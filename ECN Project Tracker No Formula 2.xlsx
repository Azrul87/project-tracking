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2.xml" ContentType="application/vnd.ms-excel.namedsheetviews+xml"/>
  <Override PartName="/xl/namedSheetViews/namedSheetView3.xml" ContentType="application/vnd.ms-excel.namedsheetview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Users\Azrul\Desktop\"/>
    </mc:Choice>
  </mc:AlternateContent>
  <xr:revisionPtr revIDLastSave="0" documentId="8_{C7782564-7E43-4E21-80D4-CDBF65577E6F}" xr6:coauthVersionLast="47" xr6:coauthVersionMax="47" xr10:uidLastSave="{00000000-0000-0000-0000-000000000000}"/>
  <bookViews>
    <workbookView xWindow="-108" yWindow="-108" windowWidth="23256" windowHeight="13896" tabRatio="699" activeTab="6" xr2:uid="{23ED2DF0-5D21-4D23-AE67-0BBD761A9BC3}"/>
  </bookViews>
  <sheets>
    <sheet name="Dashboard" sheetId="9" r:id="rId1"/>
    <sheet name="Pivot" sheetId="11" state="hidden" r:id="rId2"/>
    <sheet name="Master Data" sheetId="1" r:id="rId3"/>
    <sheet name="Data" sheetId="10" state="hidden" r:id="rId4"/>
    <sheet name="ECN Project Tracker" sheetId="2" r:id="rId5"/>
    <sheet name="In Progress" sheetId="14" r:id="rId6"/>
    <sheet name="Finance Tracker" sheetId="3" r:id="rId7"/>
    <sheet name="Insurance Tracker" sheetId="7" r:id="rId8"/>
    <sheet name="Material Input" sheetId="4" r:id="rId9"/>
    <sheet name="Material Input (2)" sheetId="12" state="hidden" r:id="rId10"/>
    <sheet name="Material List" sheetId="5" r:id="rId11"/>
    <sheet name="Warehouse Stock" sheetId="6" state="hidden" r:id="rId12"/>
  </sheets>
  <definedNames>
    <definedName name="_xlnm._FilterDatabase" localSheetId="4" hidden="1">'ECN Project Tracker'!$A$4:$AK$372</definedName>
    <definedName name="_xlnm._FilterDatabase" localSheetId="6" hidden="1">'Finance Tracker'!$A$3:$AI$403</definedName>
    <definedName name="_xlnm._FilterDatabase" localSheetId="5" hidden="1">'In Progress'!$B$11:$M$188</definedName>
    <definedName name="_xlnm._FilterDatabase" localSheetId="7" hidden="1">'Insurance Tracker'!$A$3:$P$661</definedName>
    <definedName name="_xlchart.v6.0" hidden="1">Dashboard!$A$139</definedName>
    <definedName name="_xlchart.v6.1" hidden="1">Dashboard!$A$140:$A$153</definedName>
    <definedName name="_xlchart.v6.2" hidden="1">Dashboard!$B$139</definedName>
    <definedName name="_xlchart.v6.3" hidden="1">Dashboard!$B$140:$B$153</definedName>
    <definedName name="Category" localSheetId="9">'Material Input (2)'!$B$2</definedName>
    <definedName name="Category">'Material Input'!$B$2</definedName>
    <definedName name="Client_Name" localSheetId="9">'Material Input (2)'!$B$1</definedName>
    <definedName name="Client_Name">'Material Input'!$B$1</definedName>
    <definedName name="End_Clamp" localSheetId="9">'Material Input (2)'!$B$15</definedName>
    <definedName name="End_Clamp">'Material Input'!$B$15</definedName>
    <definedName name="Grounding_Clip" localSheetId="9">'Material Input (2)'!$B$16</definedName>
    <definedName name="Grounding_Clip">'Material Input'!$B$16</definedName>
    <definedName name="Grounding_Lug" localSheetId="9">'Material Input (2)'!$B$17</definedName>
    <definedName name="Grounding_Lug">'Material Input'!$B$17</definedName>
    <definedName name="Klip_Lok_Clamp" localSheetId="9">'Material Input (2)'!$B$8</definedName>
    <definedName name="Klip_Lok_Clamp">'Material Input'!$B$8</definedName>
    <definedName name="L_Foot" localSheetId="9">'Material Input (2)'!$B$7</definedName>
    <definedName name="L_Foot">'Material Input'!$B$7</definedName>
    <definedName name="Mid_Clamp" localSheetId="9">'Material Input (2)'!$B$14</definedName>
    <definedName name="Mid_Clamp">'Material Input'!$B$14</definedName>
    <definedName name="Precast_Concrete_Block" localSheetId="9">'Material Input (2)'!$B$18</definedName>
    <definedName name="Precast_Concrete_Block">'Material Input'!$B$18</definedName>
    <definedName name="Rail" localSheetId="9">'Material Input (2)'!$B$9</definedName>
    <definedName name="Rail">'Material Input'!$B$9</definedName>
    <definedName name="Rail_2.6" localSheetId="9">'Material Input (2)'!$B$9</definedName>
    <definedName name="Rail_2.6">'Material Input'!$B$9</definedName>
    <definedName name="Rail_26" localSheetId="9">'Material Input (2)'!$B$9</definedName>
    <definedName name="Rail_26">'Material Input'!$B$9</definedName>
    <definedName name="Rail_36" localSheetId="9">'Material Input (2)'!$B$12</definedName>
    <definedName name="Rail_36">'Material Input'!$B$12</definedName>
    <definedName name="Rail_47" localSheetId="9">'Material Input (2)'!$B$11</definedName>
    <definedName name="Rail_47">'Material Input'!$B$11</definedName>
    <definedName name="Rail_53" localSheetId="9">'Material Input (2)'!$B$10</definedName>
    <definedName name="Rail_53">'Material Input'!$B$10</definedName>
    <definedName name="Roof_Type" localSheetId="9">'Material Input (2)'!$B$3</definedName>
    <definedName name="Roof_Type">'Material Input'!$B$3</definedName>
    <definedName name="Splicer" localSheetId="9">'Material Input (2)'!$B$13</definedName>
    <definedName name="Splicer">'Material Input'!$B$13</definedName>
    <definedName name="Tile_Hook" localSheetId="9">'Material Input (2)'!$B$6</definedName>
    <definedName name="Tile_Hook">'Material Input'!$B$6</definedName>
  </definedNames>
  <calcPr calcId="191028"/>
  <pivotCaches>
    <pivotCache cacheId="6"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4" l="1"/>
  <c r="C7" i="14"/>
  <c r="E7" i="14"/>
  <c r="D6" i="14" a="1"/>
  <c r="D6" i="14" s="1"/>
  <c r="E6" i="14"/>
  <c r="C5" i="14"/>
  <c r="D5" i="14"/>
  <c r="D7" i="14" s="1"/>
  <c r="E5" i="14"/>
  <c r="C4" i="14"/>
  <c r="C6" i="14" s="1"/>
  <c r="D4" i="14" a="1"/>
  <c r="D4" i="14" s="1"/>
  <c r="T102" i="9"/>
  <c r="U102" i="9"/>
  <c r="V102" i="9"/>
  <c r="W102" i="9"/>
  <c r="X102" i="9"/>
  <c r="T103" i="9"/>
  <c r="U103" i="9"/>
  <c r="V103" i="9"/>
  <c r="W103" i="9"/>
  <c r="X103" i="9"/>
  <c r="X101" i="9"/>
  <c r="X100" i="9"/>
  <c r="X99" i="9"/>
  <c r="X98" i="9"/>
  <c r="N102" i="9"/>
  <c r="O102" i="9"/>
  <c r="P102" i="9"/>
  <c r="Q102" i="9"/>
  <c r="R102" i="9"/>
  <c r="N103" i="9"/>
  <c r="O103" i="9"/>
  <c r="P103" i="9"/>
  <c r="Q103" i="9"/>
  <c r="R103" i="9"/>
  <c r="R101" i="9"/>
  <c r="R100" i="9"/>
  <c r="R99" i="9"/>
  <c r="R98" i="9"/>
  <c r="H102" i="9"/>
  <c r="I102" i="9"/>
  <c r="J102" i="9"/>
  <c r="K102" i="9"/>
  <c r="L102" i="9"/>
  <c r="H103" i="9"/>
  <c r="I103" i="9"/>
  <c r="J103" i="9"/>
  <c r="K103" i="9"/>
  <c r="L103" i="9"/>
  <c r="L101" i="9"/>
  <c r="L100" i="9"/>
  <c r="L99" i="9"/>
  <c r="L98" i="9"/>
  <c r="B102" i="9"/>
  <c r="C102" i="9"/>
  <c r="D102" i="9"/>
  <c r="E102" i="9"/>
  <c r="F102" i="9"/>
  <c r="B103" i="9"/>
  <c r="C103" i="9"/>
  <c r="D103" i="9"/>
  <c r="E103" i="9"/>
  <c r="F103" i="9"/>
  <c r="F101" i="9"/>
  <c r="F100" i="9"/>
  <c r="F99" i="9"/>
  <c r="F98" i="9"/>
  <c r="H90" i="9"/>
  <c r="I90" i="9"/>
  <c r="J90" i="9"/>
  <c r="K90" i="9"/>
  <c r="L90" i="9"/>
  <c r="H89" i="9"/>
  <c r="I89" i="9"/>
  <c r="J89" i="9"/>
  <c r="K89" i="9"/>
  <c r="L89" i="9"/>
  <c r="L88" i="9"/>
  <c r="L87" i="9"/>
  <c r="L86" i="9"/>
  <c r="L85" i="9"/>
  <c r="B90" i="9"/>
  <c r="C90" i="9"/>
  <c r="D90" i="9"/>
  <c r="E90" i="9"/>
  <c r="F90" i="9"/>
  <c r="F89" i="9"/>
  <c r="F88" i="9"/>
  <c r="F87" i="9"/>
  <c r="F86" i="9"/>
  <c r="F85" i="9"/>
  <c r="B89" i="9"/>
  <c r="C89" i="9"/>
  <c r="D89" i="9"/>
  <c r="E89" i="9"/>
  <c r="E84" i="9"/>
  <c r="X50" i="9"/>
  <c r="W50" i="9"/>
  <c r="V50" i="9"/>
  <c r="U50" i="9"/>
  <c r="T50" i="9"/>
  <c r="R50" i="9"/>
  <c r="Q50" i="9"/>
  <c r="P50" i="9"/>
  <c r="O50" i="9"/>
  <c r="N50" i="9"/>
  <c r="L50" i="9"/>
  <c r="K50" i="9"/>
  <c r="J50" i="9"/>
  <c r="I50" i="9"/>
  <c r="H50" i="9"/>
  <c r="F50" i="9"/>
  <c r="E50" i="9"/>
  <c r="D50" i="9"/>
  <c r="C50" i="9"/>
  <c r="B50" i="9"/>
  <c r="X49" i="9"/>
  <c r="X48" i="9"/>
  <c r="R49" i="9"/>
  <c r="R48" i="9"/>
  <c r="L49" i="9"/>
  <c r="L48" i="9"/>
  <c r="F49" i="9"/>
  <c r="F48" i="9"/>
  <c r="AD41" i="9"/>
  <c r="AD40" i="9"/>
  <c r="AD39" i="9"/>
  <c r="AD38" i="9"/>
  <c r="AD37" i="9"/>
  <c r="L41" i="9"/>
  <c r="D41" i="11" s="1"/>
  <c r="L40" i="9"/>
  <c r="D37" i="11" s="1"/>
  <c r="L39" i="9"/>
  <c r="D33" i="11" s="1"/>
  <c r="L38" i="9"/>
  <c r="D29" i="11" s="1"/>
  <c r="L37" i="9"/>
  <c r="F40" i="9"/>
  <c r="D17" i="11" s="1"/>
  <c r="F41" i="9"/>
  <c r="D21" i="11" s="1"/>
  <c r="F39" i="9"/>
  <c r="D13" i="11" s="1"/>
  <c r="F38" i="9"/>
  <c r="D9" i="11" s="1"/>
  <c r="F37" i="9"/>
  <c r="D5" i="11" s="1"/>
  <c r="F91" i="9" l="1"/>
  <c r="L91" i="9"/>
  <c r="AD42" i="9"/>
  <c r="L42" i="9"/>
  <c r="D25" i="11"/>
  <c r="M106" i="4" l="1"/>
  <c r="N106" i="4"/>
  <c r="L106" i="4"/>
  <c r="K106" i="4"/>
  <c r="C102" i="4"/>
  <c r="D102" i="4"/>
  <c r="E102" i="4"/>
  <c r="F102" i="4"/>
  <c r="H102" i="4"/>
  <c r="J102" i="4"/>
  <c r="O102" i="4"/>
  <c r="G102" i="4" s="1"/>
  <c r="P102" i="4"/>
  <c r="Q102" i="4"/>
  <c r="C103" i="4"/>
  <c r="D103" i="4"/>
  <c r="E103" i="4"/>
  <c r="F103" i="4"/>
  <c r="H103" i="4"/>
  <c r="O103" i="4"/>
  <c r="G103" i="4" s="1"/>
  <c r="P103" i="4"/>
  <c r="Q103" i="4"/>
  <c r="C104" i="4"/>
  <c r="D104" i="4"/>
  <c r="E104" i="4"/>
  <c r="F104" i="4"/>
  <c r="G104" i="4"/>
  <c r="H104" i="4"/>
  <c r="O104" i="4"/>
  <c r="P104" i="4"/>
  <c r="R104" i="4" s="1"/>
  <c r="Q104" i="4"/>
  <c r="I104" i="4" s="1"/>
  <c r="C105" i="4"/>
  <c r="D105" i="4"/>
  <c r="E105" i="4"/>
  <c r="J105" i="4" s="1"/>
  <c r="F105" i="4"/>
  <c r="H105" i="4"/>
  <c r="O105" i="4"/>
  <c r="G105" i="4" s="1"/>
  <c r="P105" i="4"/>
  <c r="Q105" i="4"/>
  <c r="I105" i="4" s="1"/>
  <c r="C87" i="4"/>
  <c r="D87" i="4"/>
  <c r="E87" i="4"/>
  <c r="F87" i="4"/>
  <c r="C88" i="4"/>
  <c r="D88" i="4"/>
  <c r="E88" i="4"/>
  <c r="F88" i="4"/>
  <c r="C89" i="4"/>
  <c r="D89" i="4"/>
  <c r="E89" i="4"/>
  <c r="F89" i="4"/>
  <c r="C90" i="4"/>
  <c r="D90" i="4"/>
  <c r="E90" i="4"/>
  <c r="F90" i="4"/>
  <c r="C91" i="4"/>
  <c r="D91" i="4"/>
  <c r="E91" i="4"/>
  <c r="F91" i="4"/>
  <c r="C92" i="4"/>
  <c r="D92" i="4"/>
  <c r="E92" i="4"/>
  <c r="F92" i="4"/>
  <c r="C93" i="4"/>
  <c r="D93" i="4"/>
  <c r="E93" i="4"/>
  <c r="F93" i="4"/>
  <c r="C94" i="4"/>
  <c r="D94" i="4"/>
  <c r="E94" i="4"/>
  <c r="J94" i="4" s="1"/>
  <c r="F94" i="4"/>
  <c r="C95" i="4"/>
  <c r="D95" i="4"/>
  <c r="E95" i="4"/>
  <c r="F95" i="4"/>
  <c r="C96" i="4"/>
  <c r="D96" i="4"/>
  <c r="E96" i="4"/>
  <c r="F96" i="4"/>
  <c r="C97" i="4"/>
  <c r="D97" i="4"/>
  <c r="E97" i="4"/>
  <c r="F97" i="4"/>
  <c r="J97" i="4" s="1"/>
  <c r="C98" i="4"/>
  <c r="D98" i="4"/>
  <c r="E98" i="4"/>
  <c r="F98" i="4"/>
  <c r="C99" i="4"/>
  <c r="D99" i="4"/>
  <c r="E99" i="4"/>
  <c r="F99" i="4"/>
  <c r="C100" i="4"/>
  <c r="D100" i="4"/>
  <c r="E100" i="4"/>
  <c r="F100" i="4"/>
  <c r="C101" i="4"/>
  <c r="D101" i="4"/>
  <c r="E101" i="4"/>
  <c r="F101" i="4"/>
  <c r="H87" i="4"/>
  <c r="O87" i="4"/>
  <c r="G87" i="4" s="1"/>
  <c r="P87" i="4"/>
  <c r="Q87" i="4"/>
  <c r="I87" i="4" s="1"/>
  <c r="G88" i="4"/>
  <c r="H88" i="4"/>
  <c r="O88" i="4"/>
  <c r="P88" i="4"/>
  <c r="Q88" i="4"/>
  <c r="I88" i="4" s="1"/>
  <c r="H89" i="4"/>
  <c r="O89" i="4"/>
  <c r="G89" i="4" s="1"/>
  <c r="P89" i="4"/>
  <c r="R89" i="4" s="1"/>
  <c r="Q89" i="4"/>
  <c r="I89" i="4" s="1"/>
  <c r="H90" i="4"/>
  <c r="J90" i="4"/>
  <c r="O90" i="4"/>
  <c r="G90" i="4" s="1"/>
  <c r="P90" i="4"/>
  <c r="Q90" i="4"/>
  <c r="I90" i="4" s="1"/>
  <c r="H91" i="4"/>
  <c r="O91" i="4"/>
  <c r="G91" i="4" s="1"/>
  <c r="P91" i="4"/>
  <c r="Q91" i="4"/>
  <c r="I91" i="4" s="1"/>
  <c r="H92" i="4"/>
  <c r="J92" i="4"/>
  <c r="O92" i="4"/>
  <c r="G92" i="4" s="1"/>
  <c r="P92" i="4"/>
  <c r="Q92" i="4"/>
  <c r="I92" i="4" s="1"/>
  <c r="H93" i="4"/>
  <c r="O93" i="4"/>
  <c r="G93" i="4" s="1"/>
  <c r="P93" i="4"/>
  <c r="Q93" i="4"/>
  <c r="I93" i="4" s="1"/>
  <c r="H94" i="4"/>
  <c r="O94" i="4"/>
  <c r="G94" i="4" s="1"/>
  <c r="P94" i="4"/>
  <c r="R94" i="4" s="1"/>
  <c r="Q94" i="4"/>
  <c r="I94" i="4" s="1"/>
  <c r="G95" i="4"/>
  <c r="H95" i="4"/>
  <c r="O95" i="4"/>
  <c r="P95" i="4"/>
  <c r="Q95" i="4"/>
  <c r="I95" i="4" s="1"/>
  <c r="R95" i="4"/>
  <c r="H96" i="4"/>
  <c r="J96" i="4"/>
  <c r="O96" i="4"/>
  <c r="G96" i="4" s="1"/>
  <c r="P96" i="4"/>
  <c r="Q96" i="4"/>
  <c r="I96" i="4" s="1"/>
  <c r="R96" i="4"/>
  <c r="G97" i="4"/>
  <c r="H97" i="4"/>
  <c r="O97" i="4"/>
  <c r="P97" i="4"/>
  <c r="R97" i="4" s="1"/>
  <c r="Q97" i="4"/>
  <c r="I97" i="4" s="1"/>
  <c r="H98" i="4"/>
  <c r="J98" i="4"/>
  <c r="O98" i="4"/>
  <c r="G98" i="4" s="1"/>
  <c r="P98" i="4"/>
  <c r="Q98" i="4"/>
  <c r="I98" i="4" s="1"/>
  <c r="H99" i="4"/>
  <c r="O99" i="4"/>
  <c r="G99" i="4" s="1"/>
  <c r="P99" i="4"/>
  <c r="Q99" i="4"/>
  <c r="I99" i="4" s="1"/>
  <c r="H100" i="4"/>
  <c r="J100" i="4"/>
  <c r="O100" i="4"/>
  <c r="G100" i="4" s="1"/>
  <c r="P100" i="4"/>
  <c r="Q100" i="4"/>
  <c r="I100" i="4" s="1"/>
  <c r="H101" i="4"/>
  <c r="O101" i="4"/>
  <c r="G101" i="4" s="1"/>
  <c r="P101" i="4"/>
  <c r="Q101" i="4"/>
  <c r="I101" i="4" s="1"/>
  <c r="R101" i="4"/>
  <c r="J101" i="4" l="1"/>
  <c r="J95" i="4"/>
  <c r="J91" i="4"/>
  <c r="R87" i="4"/>
  <c r="J99" i="4"/>
  <c r="J93" i="4"/>
  <c r="J87" i="4"/>
  <c r="R93" i="4"/>
  <c r="R88" i="4"/>
  <c r="J88" i="4"/>
  <c r="J104" i="4"/>
  <c r="J103" i="4"/>
  <c r="R98" i="4"/>
  <c r="R90" i="4"/>
  <c r="R99" i="4"/>
  <c r="R91" i="4"/>
  <c r="R103" i="4"/>
  <c r="R102" i="4"/>
  <c r="R100" i="4"/>
  <c r="R92" i="4"/>
  <c r="J89" i="4"/>
  <c r="I102" i="4"/>
  <c r="R105" i="4"/>
  <c r="I103" i="4"/>
  <c r="H92" i="12" l="1"/>
  <c r="S69" i="12" l="1"/>
  <c r="I69" i="12" s="1"/>
  <c r="R69" i="12"/>
  <c r="Q69" i="12"/>
  <c r="G69" i="12" s="1"/>
  <c r="H69" i="12"/>
  <c r="F69" i="12"/>
  <c r="E69" i="12"/>
  <c r="J69" i="12" s="1"/>
  <c r="D69" i="12"/>
  <c r="C69" i="12"/>
  <c r="S68" i="12"/>
  <c r="I68" i="12" s="1"/>
  <c r="R68" i="12"/>
  <c r="Q68" i="12"/>
  <c r="G68" i="12" s="1"/>
  <c r="H68" i="12"/>
  <c r="F68" i="12"/>
  <c r="E68" i="12"/>
  <c r="J68" i="12" s="1"/>
  <c r="D68" i="12"/>
  <c r="C68" i="12"/>
  <c r="S67" i="12"/>
  <c r="R67" i="12"/>
  <c r="Q67" i="12"/>
  <c r="G67" i="12" s="1"/>
  <c r="H67" i="12"/>
  <c r="F67" i="12"/>
  <c r="E67" i="12"/>
  <c r="D67" i="12"/>
  <c r="C67" i="12"/>
  <c r="S66" i="12"/>
  <c r="I66" i="12" s="1"/>
  <c r="R66" i="12"/>
  <c r="Q66" i="12"/>
  <c r="G66" i="12" s="1"/>
  <c r="H66" i="12"/>
  <c r="F66" i="12"/>
  <c r="E66" i="12"/>
  <c r="J66" i="12" s="1"/>
  <c r="D66" i="12"/>
  <c r="C66" i="12"/>
  <c r="S65" i="12"/>
  <c r="I65" i="12" s="1"/>
  <c r="R65" i="12"/>
  <c r="Q65" i="12"/>
  <c r="G65" i="12" s="1"/>
  <c r="H65" i="12"/>
  <c r="F65" i="12"/>
  <c r="E65" i="12"/>
  <c r="D65" i="12"/>
  <c r="C65" i="12"/>
  <c r="T67" i="12" l="1"/>
  <c r="I67" i="12"/>
  <c r="T65" i="12"/>
  <c r="T68" i="12"/>
  <c r="T66" i="12"/>
  <c r="T69" i="12"/>
  <c r="J67" i="12"/>
  <c r="J65" i="12"/>
  <c r="P92" i="12"/>
  <c r="B9" i="12" s="1" a="1"/>
  <c r="B9" i="12" s="1"/>
  <c r="M92" i="12"/>
  <c r="N92" i="12"/>
  <c r="B8" i="12" a="1"/>
  <c r="B8" i="12" s="1"/>
  <c r="B6" i="12" a="1"/>
  <c r="B6" i="12" s="1"/>
  <c r="C55" i="12"/>
  <c r="D55" i="12"/>
  <c r="E55" i="12"/>
  <c r="J55" i="12" s="1"/>
  <c r="F55" i="12"/>
  <c r="G55" i="12"/>
  <c r="H55" i="12"/>
  <c r="I55" i="12"/>
  <c r="Q55" i="12"/>
  <c r="R55" i="12"/>
  <c r="S55" i="12"/>
  <c r="T55" i="12"/>
  <c r="C56" i="12"/>
  <c r="D56" i="12"/>
  <c r="E56" i="12"/>
  <c r="J56" i="12" s="1"/>
  <c r="F56" i="12"/>
  <c r="G56" i="12"/>
  <c r="H56" i="12"/>
  <c r="I56" i="12"/>
  <c r="Q56" i="12"/>
  <c r="R56" i="12"/>
  <c r="S56" i="12"/>
  <c r="T56" i="12"/>
  <c r="C57" i="12"/>
  <c r="D57" i="12"/>
  <c r="E57" i="12"/>
  <c r="J57" i="12" s="1"/>
  <c r="F57" i="12"/>
  <c r="G57" i="12"/>
  <c r="H57" i="12"/>
  <c r="I57" i="12"/>
  <c r="Q57" i="12"/>
  <c r="R57" i="12"/>
  <c r="S57" i="12"/>
  <c r="T57" i="12"/>
  <c r="C58" i="12"/>
  <c r="D58" i="12"/>
  <c r="E58" i="12"/>
  <c r="J58" i="12" s="1"/>
  <c r="F58" i="12"/>
  <c r="G58" i="12"/>
  <c r="H58" i="12"/>
  <c r="I58" i="12"/>
  <c r="Q58" i="12"/>
  <c r="R58" i="12"/>
  <c r="S58" i="12"/>
  <c r="T58" i="12"/>
  <c r="C59" i="12"/>
  <c r="D59" i="12"/>
  <c r="E59" i="12"/>
  <c r="J59" i="12" s="1"/>
  <c r="F59" i="12"/>
  <c r="G59" i="12"/>
  <c r="H59" i="12"/>
  <c r="I59" i="12"/>
  <c r="Q59" i="12"/>
  <c r="R59" i="12"/>
  <c r="S59" i="12"/>
  <c r="T59" i="12"/>
  <c r="C60" i="12"/>
  <c r="D60" i="12"/>
  <c r="E60" i="12"/>
  <c r="J60" i="12" s="1"/>
  <c r="F60" i="12"/>
  <c r="G60" i="12"/>
  <c r="H60" i="12"/>
  <c r="I60" i="12"/>
  <c r="Q60" i="12"/>
  <c r="R60" i="12"/>
  <c r="S60" i="12"/>
  <c r="T60" i="12"/>
  <c r="C61" i="12"/>
  <c r="D61" i="12"/>
  <c r="E61" i="12"/>
  <c r="J61" i="12" s="1"/>
  <c r="F61" i="12"/>
  <c r="G61" i="12"/>
  <c r="H61" i="12"/>
  <c r="I61" i="12"/>
  <c r="Q61" i="12"/>
  <c r="R61" i="12"/>
  <c r="S61" i="12"/>
  <c r="T61" i="12"/>
  <c r="C62" i="12"/>
  <c r="D62" i="12"/>
  <c r="E62" i="12"/>
  <c r="J62" i="12" s="1"/>
  <c r="F62" i="12"/>
  <c r="G62" i="12"/>
  <c r="H62" i="12"/>
  <c r="I62" i="12"/>
  <c r="Q62" i="12"/>
  <c r="R62" i="12"/>
  <c r="S62" i="12"/>
  <c r="T62" i="12"/>
  <c r="C64" i="12"/>
  <c r="D64" i="12"/>
  <c r="E64" i="12"/>
  <c r="F64" i="12"/>
  <c r="H64" i="12"/>
  <c r="Q64" i="12"/>
  <c r="R64" i="12"/>
  <c r="S64" i="12"/>
  <c r="I64" i="12" s="1"/>
  <c r="C70" i="12"/>
  <c r="D70" i="12"/>
  <c r="E70" i="12"/>
  <c r="F70" i="12"/>
  <c r="H70" i="12"/>
  <c r="Q70" i="12"/>
  <c r="G70" i="12" s="1"/>
  <c r="R70" i="12"/>
  <c r="S70" i="12"/>
  <c r="I70" i="12" s="1"/>
  <c r="C71" i="12"/>
  <c r="D71" i="12"/>
  <c r="E71" i="12"/>
  <c r="F71" i="12"/>
  <c r="H71" i="12"/>
  <c r="Q71" i="12"/>
  <c r="G71" i="12" s="1"/>
  <c r="R71" i="12"/>
  <c r="S71" i="12"/>
  <c r="I71" i="12" s="1"/>
  <c r="C72" i="12"/>
  <c r="D72" i="12"/>
  <c r="E72" i="12"/>
  <c r="F72" i="12"/>
  <c r="H72" i="12"/>
  <c r="Q72" i="12"/>
  <c r="G72" i="12" s="1"/>
  <c r="R72" i="12"/>
  <c r="S72" i="12"/>
  <c r="I72" i="12" s="1"/>
  <c r="C73" i="12"/>
  <c r="D73" i="12"/>
  <c r="E73" i="12"/>
  <c r="F73" i="12"/>
  <c r="H73" i="12"/>
  <c r="Q73" i="12"/>
  <c r="G73" i="12" s="1"/>
  <c r="R73" i="12"/>
  <c r="S73" i="12"/>
  <c r="I73" i="12" s="1"/>
  <c r="C74" i="12"/>
  <c r="D74" i="12"/>
  <c r="E74" i="12"/>
  <c r="F74" i="12"/>
  <c r="H74" i="12"/>
  <c r="Q74" i="12"/>
  <c r="G74" i="12" s="1"/>
  <c r="R74" i="12"/>
  <c r="S74" i="12"/>
  <c r="I74" i="12" s="1"/>
  <c r="C75" i="12"/>
  <c r="D75" i="12"/>
  <c r="E75" i="12"/>
  <c r="J75" i="12" s="1"/>
  <c r="F75" i="12"/>
  <c r="H75" i="12"/>
  <c r="Q75" i="12"/>
  <c r="G75" i="12" s="1"/>
  <c r="R75" i="12"/>
  <c r="S75" i="12"/>
  <c r="I75" i="12" s="1"/>
  <c r="C76" i="12"/>
  <c r="D76" i="12"/>
  <c r="E76" i="12"/>
  <c r="J76" i="12" s="1"/>
  <c r="F76" i="12"/>
  <c r="H76" i="12"/>
  <c r="Q76" i="12"/>
  <c r="G76" i="12" s="1"/>
  <c r="R76" i="12"/>
  <c r="S76" i="12"/>
  <c r="T76" i="12" s="1"/>
  <c r="C77" i="12"/>
  <c r="D77" i="12"/>
  <c r="E77" i="12"/>
  <c r="F77" i="12"/>
  <c r="H77" i="12"/>
  <c r="Q77" i="12"/>
  <c r="G77" i="12" s="1"/>
  <c r="R77" i="12"/>
  <c r="S77" i="12"/>
  <c r="T77" i="12" s="1"/>
  <c r="C78" i="12"/>
  <c r="D78" i="12"/>
  <c r="E78" i="12"/>
  <c r="F78" i="12"/>
  <c r="H78" i="12"/>
  <c r="Q78" i="12"/>
  <c r="G78" i="12" s="1"/>
  <c r="R78" i="12"/>
  <c r="S78" i="12"/>
  <c r="C79" i="12"/>
  <c r="D79" i="12"/>
  <c r="E79" i="12"/>
  <c r="J79" i="12" s="1"/>
  <c r="F79" i="12"/>
  <c r="H79" i="12"/>
  <c r="Q79" i="12"/>
  <c r="G79" i="12" s="1"/>
  <c r="R79" i="12"/>
  <c r="S79" i="12"/>
  <c r="I79" i="12" s="1"/>
  <c r="C80" i="12"/>
  <c r="D80" i="12"/>
  <c r="E80" i="12"/>
  <c r="J80" i="12" s="1"/>
  <c r="F80" i="12"/>
  <c r="H80" i="12"/>
  <c r="Q80" i="12"/>
  <c r="G80" i="12" s="1"/>
  <c r="R80" i="12"/>
  <c r="S80" i="12"/>
  <c r="I80" i="12" s="1"/>
  <c r="C81" i="12"/>
  <c r="D81" i="12"/>
  <c r="E81" i="12"/>
  <c r="J81" i="12" s="1"/>
  <c r="F81" i="12"/>
  <c r="H81" i="12"/>
  <c r="Q81" i="12"/>
  <c r="G81" i="12" s="1"/>
  <c r="R81" i="12"/>
  <c r="S81" i="12"/>
  <c r="C82" i="12"/>
  <c r="D82" i="12"/>
  <c r="E82" i="12"/>
  <c r="J82" i="12" s="1"/>
  <c r="F82" i="12"/>
  <c r="H82" i="12"/>
  <c r="Q82" i="12"/>
  <c r="G82" i="12" s="1"/>
  <c r="R82" i="12"/>
  <c r="S82" i="12"/>
  <c r="T82" i="12" s="1"/>
  <c r="C83" i="12"/>
  <c r="D83" i="12"/>
  <c r="E83" i="12"/>
  <c r="F83" i="12"/>
  <c r="H83" i="12"/>
  <c r="Q83" i="12"/>
  <c r="G83" i="12" s="1"/>
  <c r="R83" i="12"/>
  <c r="S83" i="12"/>
  <c r="T83" i="12" s="1"/>
  <c r="C84" i="12"/>
  <c r="D84" i="12"/>
  <c r="E84" i="12"/>
  <c r="F84" i="12"/>
  <c r="H84" i="12"/>
  <c r="Q84" i="12"/>
  <c r="G84" i="12" s="1"/>
  <c r="R84" i="12"/>
  <c r="S84" i="12"/>
  <c r="T84" i="12" s="1"/>
  <c r="C85" i="12"/>
  <c r="D85" i="12"/>
  <c r="E85" i="12"/>
  <c r="F85" i="12"/>
  <c r="H85" i="12"/>
  <c r="Q85" i="12"/>
  <c r="G85" i="12" s="1"/>
  <c r="R85" i="12"/>
  <c r="S85" i="12"/>
  <c r="I85" i="12" s="1"/>
  <c r="C86" i="12"/>
  <c r="D86" i="12"/>
  <c r="E86" i="12"/>
  <c r="J86" i="12" s="1"/>
  <c r="F86" i="12"/>
  <c r="H86" i="12"/>
  <c r="Q86" i="12"/>
  <c r="G86" i="12" s="1"/>
  <c r="R86" i="12"/>
  <c r="S86" i="12"/>
  <c r="I86" i="12" s="1"/>
  <c r="C87" i="12"/>
  <c r="D87" i="12"/>
  <c r="E87" i="12"/>
  <c r="J87" i="12" s="1"/>
  <c r="F87" i="12"/>
  <c r="H87" i="12"/>
  <c r="Q87" i="12"/>
  <c r="G87" i="12" s="1"/>
  <c r="R87" i="12"/>
  <c r="S87" i="12"/>
  <c r="T87" i="12" s="1"/>
  <c r="C88" i="12"/>
  <c r="D88" i="12"/>
  <c r="E88" i="12"/>
  <c r="F88" i="12"/>
  <c r="H88" i="12"/>
  <c r="Q88" i="12"/>
  <c r="G88" i="12" s="1"/>
  <c r="R88" i="12"/>
  <c r="S88" i="12"/>
  <c r="T88" i="12" s="1"/>
  <c r="C89" i="12"/>
  <c r="D89" i="12"/>
  <c r="E89" i="12"/>
  <c r="F89" i="12"/>
  <c r="H89" i="12"/>
  <c r="Q89" i="12"/>
  <c r="G89" i="12" s="1"/>
  <c r="R89" i="12"/>
  <c r="S89" i="12"/>
  <c r="T89" i="12" s="1"/>
  <c r="C90" i="12"/>
  <c r="D90" i="12"/>
  <c r="E90" i="12"/>
  <c r="F90" i="12"/>
  <c r="H90" i="12"/>
  <c r="Q90" i="12"/>
  <c r="G90" i="12" s="1"/>
  <c r="R90" i="12"/>
  <c r="S90" i="12"/>
  <c r="I90" i="12" s="1"/>
  <c r="C91" i="12"/>
  <c r="D91" i="12"/>
  <c r="E91" i="12"/>
  <c r="F91" i="12"/>
  <c r="H91" i="12"/>
  <c r="J91" i="12"/>
  <c r="Q91" i="12"/>
  <c r="G91" i="12" s="1"/>
  <c r="R91" i="12"/>
  <c r="S91" i="12"/>
  <c r="I91" i="12" s="1"/>
  <c r="K92" i="12"/>
  <c r="B10" i="12" s="1"/>
  <c r="L92" i="12"/>
  <c r="B11" i="12" s="1" a="1"/>
  <c r="B11" i="12" s="1"/>
  <c r="O92" i="12"/>
  <c r="B12" i="12" s="1" a="1"/>
  <c r="B12" i="12" s="1"/>
  <c r="C30" i="12"/>
  <c r="C40" i="12" s="1"/>
  <c r="B26" i="12" s="1"/>
  <c r="D30" i="12"/>
  <c r="D40" i="12" s="1"/>
  <c r="E30" i="12"/>
  <c r="J30" i="12" s="1"/>
  <c r="F30" i="12"/>
  <c r="F40" i="12" s="1"/>
  <c r="G30" i="12"/>
  <c r="H30" i="12"/>
  <c r="H40" i="12" s="1"/>
  <c r="I30" i="12"/>
  <c r="K30" i="12"/>
  <c r="L30" i="12"/>
  <c r="C31" i="12"/>
  <c r="D31" i="12"/>
  <c r="E31" i="12"/>
  <c r="F31" i="12"/>
  <c r="G31" i="12"/>
  <c r="H31" i="12"/>
  <c r="J31" i="12"/>
  <c r="K31" i="12"/>
  <c r="L31" i="12" s="1"/>
  <c r="I31" i="12" s="1"/>
  <c r="C32" i="12"/>
  <c r="D32" i="12"/>
  <c r="E32" i="12"/>
  <c r="F32" i="12"/>
  <c r="H32" i="12"/>
  <c r="J32" i="12"/>
  <c r="K32" i="12"/>
  <c r="G32" i="12" s="1"/>
  <c r="L32" i="12"/>
  <c r="I32" i="12" s="1"/>
  <c r="C33" i="12"/>
  <c r="D33" i="12"/>
  <c r="E33" i="12"/>
  <c r="F33" i="12"/>
  <c r="H33" i="12"/>
  <c r="J33" i="12"/>
  <c r="K33" i="12"/>
  <c r="G33" i="12" s="1"/>
  <c r="L33" i="12"/>
  <c r="I33" i="12" s="1"/>
  <c r="C35" i="12"/>
  <c r="D35" i="12"/>
  <c r="E35" i="12"/>
  <c r="F35" i="12"/>
  <c r="H35" i="12"/>
  <c r="J35" i="12"/>
  <c r="K35" i="12"/>
  <c r="G35" i="12" s="1"/>
  <c r="L35" i="12"/>
  <c r="I35" i="12" s="1"/>
  <c r="C36" i="12"/>
  <c r="D36" i="12"/>
  <c r="E36" i="12"/>
  <c r="J36" i="12" s="1"/>
  <c r="F36" i="12"/>
  <c r="H36" i="12"/>
  <c r="K36" i="12"/>
  <c r="G36" i="12" s="1"/>
  <c r="L36" i="12"/>
  <c r="I36" i="12" s="1"/>
  <c r="C37" i="12"/>
  <c r="D37" i="12"/>
  <c r="E37" i="12"/>
  <c r="J37" i="12" s="1"/>
  <c r="F37" i="12"/>
  <c r="G37" i="12"/>
  <c r="H37" i="12"/>
  <c r="I37" i="12"/>
  <c r="K37" i="12"/>
  <c r="L37" i="12"/>
  <c r="C38" i="12"/>
  <c r="D38" i="12"/>
  <c r="E38" i="12"/>
  <c r="F38" i="12"/>
  <c r="G38" i="12"/>
  <c r="H38" i="12"/>
  <c r="J38" i="12"/>
  <c r="K38" i="12"/>
  <c r="L38" i="12" s="1"/>
  <c r="I38" i="12" s="1"/>
  <c r="C39" i="12"/>
  <c r="D39" i="12"/>
  <c r="E39" i="12"/>
  <c r="F39" i="12"/>
  <c r="H39" i="12"/>
  <c r="J39" i="12"/>
  <c r="K39" i="12"/>
  <c r="G39" i="12" s="1"/>
  <c r="L39" i="12"/>
  <c r="I39" i="12" s="1"/>
  <c r="J74" i="12" l="1"/>
  <c r="J85" i="12"/>
  <c r="J83" i="12"/>
  <c r="T81" i="12"/>
  <c r="J89" i="12"/>
  <c r="J90" i="12"/>
  <c r="J88" i="12"/>
  <c r="I84" i="12"/>
  <c r="T90" i="12"/>
  <c r="I89" i="12"/>
  <c r="Q92" i="12"/>
  <c r="I87" i="12"/>
  <c r="I82" i="12"/>
  <c r="T78" i="12"/>
  <c r="I77" i="12"/>
  <c r="I88" i="12"/>
  <c r="I83" i="12"/>
  <c r="J84" i="12"/>
  <c r="I81" i="12"/>
  <c r="I78" i="12"/>
  <c r="J77" i="12"/>
  <c r="J78" i="12"/>
  <c r="I76" i="12"/>
  <c r="T75" i="12"/>
  <c r="J70" i="12"/>
  <c r="J73" i="12"/>
  <c r="J71" i="12"/>
  <c r="T91" i="12"/>
  <c r="T85" i="12"/>
  <c r="T79" i="12"/>
  <c r="T86" i="12"/>
  <c r="T80" i="12"/>
  <c r="J72" i="12"/>
  <c r="I40" i="12"/>
  <c r="G40" i="12"/>
  <c r="J40" i="12"/>
  <c r="G64" i="12"/>
  <c r="G92" i="12" s="1"/>
  <c r="B13" i="12" s="1" a="1"/>
  <c r="B13" i="12" s="1"/>
  <c r="K40" i="12"/>
  <c r="E40" i="12"/>
  <c r="F92" i="12"/>
  <c r="B15" i="12" s="1" a="1"/>
  <c r="B15" i="12" s="1"/>
  <c r="D92" i="12"/>
  <c r="B17" i="12" s="1" a="1"/>
  <c r="B17" i="12" s="1"/>
  <c r="B16" i="12" a="1"/>
  <c r="B16" i="12" s="1"/>
  <c r="C92" i="12"/>
  <c r="B51" i="12" s="1"/>
  <c r="B18" i="12" s="1" a="1"/>
  <c r="B18" i="12" s="1"/>
  <c r="J64" i="12"/>
  <c r="E92" i="12"/>
  <c r="B14" i="12" s="1" a="1"/>
  <c r="B14" i="12" s="1"/>
  <c r="T74" i="12"/>
  <c r="T73" i="12"/>
  <c r="T72" i="12"/>
  <c r="T71" i="12"/>
  <c r="T70" i="12"/>
  <c r="T64" i="12"/>
  <c r="I92" i="12" l="1"/>
  <c r="B7" i="12" s="1" a="1"/>
  <c r="B7" i="12" s="1"/>
  <c r="J92" i="12"/>
  <c r="Q56" i="4"/>
  <c r="Q57" i="4"/>
  <c r="Q58" i="4"/>
  <c r="Q59" i="4"/>
  <c r="Q60" i="4"/>
  <c r="Q61" i="4"/>
  <c r="Q62" i="4"/>
  <c r="Q55" i="4"/>
  <c r="I55" i="4" s="1"/>
  <c r="C65" i="4" l="1"/>
  <c r="D65" i="4"/>
  <c r="E65" i="4"/>
  <c r="F65" i="4"/>
  <c r="H65" i="4"/>
  <c r="O65" i="4"/>
  <c r="G65" i="4" s="1"/>
  <c r="P65" i="4"/>
  <c r="Q65" i="4"/>
  <c r="C66" i="4"/>
  <c r="D66" i="4"/>
  <c r="E66" i="4"/>
  <c r="F66" i="4"/>
  <c r="H66" i="4"/>
  <c r="O66" i="4"/>
  <c r="G66" i="4" s="1"/>
  <c r="P66" i="4"/>
  <c r="Q66" i="4"/>
  <c r="C67" i="4"/>
  <c r="D67" i="4"/>
  <c r="E67" i="4"/>
  <c r="F67" i="4"/>
  <c r="H67" i="4"/>
  <c r="O67" i="4"/>
  <c r="G67" i="4" s="1"/>
  <c r="P67" i="4"/>
  <c r="Q67" i="4"/>
  <c r="C68" i="4"/>
  <c r="D68" i="4"/>
  <c r="E68" i="4"/>
  <c r="F68" i="4"/>
  <c r="H68" i="4"/>
  <c r="O68" i="4"/>
  <c r="G68" i="4" s="1"/>
  <c r="P68" i="4"/>
  <c r="Q68" i="4"/>
  <c r="C69" i="4"/>
  <c r="D69" i="4"/>
  <c r="E69" i="4"/>
  <c r="F69" i="4"/>
  <c r="H69" i="4"/>
  <c r="O69" i="4"/>
  <c r="G69" i="4" s="1"/>
  <c r="P69" i="4"/>
  <c r="Q69" i="4"/>
  <c r="C70" i="4"/>
  <c r="D70" i="4"/>
  <c r="E70" i="4"/>
  <c r="F70" i="4"/>
  <c r="H70" i="4"/>
  <c r="O70" i="4"/>
  <c r="G70" i="4" s="1"/>
  <c r="P70" i="4"/>
  <c r="Q70" i="4"/>
  <c r="I70" i="4" s="1"/>
  <c r="C71" i="4"/>
  <c r="D71" i="4"/>
  <c r="E71" i="4"/>
  <c r="F71" i="4"/>
  <c r="H71" i="4"/>
  <c r="O71" i="4"/>
  <c r="G71" i="4" s="1"/>
  <c r="P71" i="4"/>
  <c r="Q71" i="4"/>
  <c r="C72" i="4"/>
  <c r="D72" i="4"/>
  <c r="E72" i="4"/>
  <c r="F72" i="4"/>
  <c r="H72" i="4"/>
  <c r="I72" i="4"/>
  <c r="O72" i="4"/>
  <c r="G72" i="4" s="1"/>
  <c r="P72" i="4"/>
  <c r="Q72" i="4"/>
  <c r="C73" i="4"/>
  <c r="D73" i="4"/>
  <c r="E73" i="4"/>
  <c r="F73" i="4"/>
  <c r="H73" i="4"/>
  <c r="O73" i="4"/>
  <c r="G73" i="4" s="1"/>
  <c r="P73" i="4"/>
  <c r="Q73" i="4"/>
  <c r="C74" i="4"/>
  <c r="D74" i="4"/>
  <c r="E74" i="4"/>
  <c r="F74" i="4"/>
  <c r="H74" i="4"/>
  <c r="O74" i="4"/>
  <c r="G74" i="4" s="1"/>
  <c r="P74" i="4"/>
  <c r="Q74" i="4"/>
  <c r="I74" i="4" s="1"/>
  <c r="C75" i="4"/>
  <c r="D75" i="4"/>
  <c r="E75" i="4"/>
  <c r="F75" i="4"/>
  <c r="H75" i="4"/>
  <c r="O75" i="4"/>
  <c r="G75" i="4" s="1"/>
  <c r="P75" i="4"/>
  <c r="Q75" i="4"/>
  <c r="C76" i="4"/>
  <c r="D76" i="4"/>
  <c r="E76" i="4"/>
  <c r="F76" i="4"/>
  <c r="H76" i="4"/>
  <c r="O76" i="4"/>
  <c r="G76" i="4" s="1"/>
  <c r="P76" i="4"/>
  <c r="Q76" i="4"/>
  <c r="R76" i="4" s="1"/>
  <c r="C77" i="4"/>
  <c r="D77" i="4"/>
  <c r="E77" i="4"/>
  <c r="F77" i="4"/>
  <c r="H77" i="4"/>
  <c r="O77" i="4"/>
  <c r="G77" i="4" s="1"/>
  <c r="P77" i="4"/>
  <c r="Q77" i="4"/>
  <c r="R77" i="4" s="1"/>
  <c r="C78" i="4"/>
  <c r="D78" i="4"/>
  <c r="E78" i="4"/>
  <c r="F78" i="4"/>
  <c r="H78" i="4"/>
  <c r="O78" i="4"/>
  <c r="G78" i="4" s="1"/>
  <c r="P78" i="4"/>
  <c r="Q78" i="4"/>
  <c r="R78" i="4" s="1"/>
  <c r="C79" i="4"/>
  <c r="D79" i="4"/>
  <c r="E79" i="4"/>
  <c r="F79" i="4"/>
  <c r="H79" i="4"/>
  <c r="O79" i="4"/>
  <c r="G79" i="4" s="1"/>
  <c r="P79" i="4"/>
  <c r="Q79" i="4"/>
  <c r="R79" i="4" s="1"/>
  <c r="C80" i="4"/>
  <c r="D80" i="4"/>
  <c r="E80" i="4"/>
  <c r="F80" i="4"/>
  <c r="G80" i="4"/>
  <c r="H80" i="4"/>
  <c r="O80" i="4"/>
  <c r="P80" i="4"/>
  <c r="Q80" i="4"/>
  <c r="I80" i="4" s="1"/>
  <c r="C81" i="4"/>
  <c r="D81" i="4"/>
  <c r="E81" i="4"/>
  <c r="F81" i="4"/>
  <c r="H81" i="4"/>
  <c r="O81" i="4"/>
  <c r="G81" i="4" s="1"/>
  <c r="P81" i="4"/>
  <c r="Q81" i="4"/>
  <c r="C82" i="4"/>
  <c r="D82" i="4"/>
  <c r="E82" i="4"/>
  <c r="F82" i="4"/>
  <c r="H82" i="4"/>
  <c r="O82" i="4"/>
  <c r="G82" i="4" s="1"/>
  <c r="P82" i="4"/>
  <c r="Q82" i="4"/>
  <c r="I82" i="4" s="1"/>
  <c r="C83" i="4"/>
  <c r="D83" i="4"/>
  <c r="E83" i="4"/>
  <c r="F83" i="4"/>
  <c r="H83" i="4"/>
  <c r="O83" i="4"/>
  <c r="G83" i="4" s="1"/>
  <c r="P83" i="4"/>
  <c r="Q83" i="4"/>
  <c r="C84" i="4"/>
  <c r="D84" i="4"/>
  <c r="E84" i="4"/>
  <c r="F84" i="4"/>
  <c r="H84" i="4"/>
  <c r="O84" i="4"/>
  <c r="G84" i="4" s="1"/>
  <c r="P84" i="4"/>
  <c r="Q84" i="4"/>
  <c r="R84" i="4" s="1"/>
  <c r="C85" i="4"/>
  <c r="D85" i="4"/>
  <c r="E85" i="4"/>
  <c r="F85" i="4"/>
  <c r="H85" i="4"/>
  <c r="O85" i="4"/>
  <c r="G85" i="4" s="1"/>
  <c r="P85" i="4"/>
  <c r="Q85" i="4"/>
  <c r="R85" i="4" s="1"/>
  <c r="C86" i="4"/>
  <c r="D86" i="4"/>
  <c r="E86" i="4"/>
  <c r="F86" i="4"/>
  <c r="H86" i="4"/>
  <c r="O86" i="4"/>
  <c r="G86" i="4" s="1"/>
  <c r="P86" i="4"/>
  <c r="Q86" i="4"/>
  <c r="R86" i="4" s="1"/>
  <c r="O64" i="4"/>
  <c r="R70" i="4" l="1"/>
  <c r="J86" i="4"/>
  <c r="H106" i="4"/>
  <c r="F106" i="4"/>
  <c r="J85" i="4"/>
  <c r="G106" i="4"/>
  <c r="E106" i="4"/>
  <c r="G64" i="4"/>
  <c r="O106" i="4"/>
  <c r="J77" i="4"/>
  <c r="I86" i="4"/>
  <c r="J78" i="4"/>
  <c r="J80" i="4"/>
  <c r="J79" i="4"/>
  <c r="I78" i="4"/>
  <c r="I84" i="4"/>
  <c r="R72" i="4"/>
  <c r="I76" i="4"/>
  <c r="R67" i="4"/>
  <c r="R68" i="4"/>
  <c r="J68" i="4"/>
  <c r="R66" i="4"/>
  <c r="R65" i="4"/>
  <c r="J67" i="4"/>
  <c r="I68" i="4"/>
  <c r="J65" i="4"/>
  <c r="J82" i="4"/>
  <c r="J81" i="4"/>
  <c r="J74" i="4"/>
  <c r="J73" i="4"/>
  <c r="I66" i="4"/>
  <c r="R83" i="4"/>
  <c r="R82" i="4"/>
  <c r="R75" i="4"/>
  <c r="R74" i="4"/>
  <c r="R69" i="4"/>
  <c r="R81" i="4"/>
  <c r="R80" i="4"/>
  <c r="R73" i="4"/>
  <c r="J72" i="4"/>
  <c r="J71" i="4"/>
  <c r="J66" i="4"/>
  <c r="J84" i="4"/>
  <c r="J83" i="4"/>
  <c r="J76" i="4"/>
  <c r="J75" i="4"/>
  <c r="R71" i="4"/>
  <c r="J70" i="4"/>
  <c r="J69" i="4"/>
  <c r="I81" i="4"/>
  <c r="I79" i="4"/>
  <c r="I65" i="4"/>
  <c r="I85" i="4"/>
  <c r="I83" i="4"/>
  <c r="I77" i="4"/>
  <c r="I75" i="4"/>
  <c r="I73" i="4"/>
  <c r="I71" i="4"/>
  <c r="I69" i="4"/>
  <c r="I67" i="4"/>
  <c r="I106" i="4" l="1"/>
  <c r="C28" i="6" l="1"/>
  <c r="B28" i="6"/>
  <c r="C27" i="6"/>
  <c r="B27" i="6"/>
  <c r="C26" i="6"/>
  <c r="B26" i="6"/>
  <c r="C25" i="6"/>
  <c r="B25" i="6"/>
  <c r="C24" i="6"/>
  <c r="B24" i="6"/>
  <c r="C23" i="6"/>
  <c r="B23" i="6"/>
  <c r="C22" i="6"/>
  <c r="B22" i="6"/>
  <c r="C21" i="6"/>
  <c r="B21" i="6"/>
  <c r="C20" i="6"/>
  <c r="B20" i="6"/>
  <c r="C19" i="6"/>
  <c r="B19" i="6"/>
  <c r="C18" i="6"/>
  <c r="B18" i="6"/>
  <c r="C17" i="6"/>
  <c r="B17" i="6"/>
  <c r="C16" i="6"/>
  <c r="B16" i="6"/>
  <c r="Q64" i="4"/>
  <c r="I64" i="4" s="1"/>
  <c r="P64" i="4"/>
  <c r="H64" i="4"/>
  <c r="F64" i="4"/>
  <c r="E64" i="4"/>
  <c r="D64" i="4"/>
  <c r="D106" i="4" s="1"/>
  <c r="C64" i="4"/>
  <c r="P62" i="4"/>
  <c r="R62" i="4" s="1"/>
  <c r="O62" i="4"/>
  <c r="G62" i="4" s="1"/>
  <c r="I62" i="4"/>
  <c r="H62" i="4"/>
  <c r="F62" i="4"/>
  <c r="E62" i="4"/>
  <c r="J62" i="4" s="1"/>
  <c r="D62" i="4"/>
  <c r="C62" i="4"/>
  <c r="I61" i="4"/>
  <c r="P61" i="4"/>
  <c r="O61" i="4"/>
  <c r="G61" i="4" s="1"/>
  <c r="H61" i="4"/>
  <c r="F61" i="4"/>
  <c r="E61" i="4"/>
  <c r="J61" i="4" s="1"/>
  <c r="D61" i="4"/>
  <c r="C61" i="4"/>
  <c r="P60" i="4"/>
  <c r="R60" i="4" s="1"/>
  <c r="O60" i="4"/>
  <c r="G60" i="4" s="1"/>
  <c r="I60" i="4"/>
  <c r="H60" i="4"/>
  <c r="F60" i="4"/>
  <c r="E60" i="4"/>
  <c r="J60" i="4" s="1"/>
  <c r="D60" i="4"/>
  <c r="C60" i="4"/>
  <c r="I59" i="4"/>
  <c r="P59" i="4"/>
  <c r="O59" i="4"/>
  <c r="G59" i="4" s="1"/>
  <c r="H59" i="4"/>
  <c r="F59" i="4"/>
  <c r="E59" i="4"/>
  <c r="J59" i="4" s="1"/>
  <c r="D59" i="4"/>
  <c r="C59" i="4"/>
  <c r="P58" i="4"/>
  <c r="R58" i="4" s="1"/>
  <c r="O58" i="4"/>
  <c r="G58" i="4" s="1"/>
  <c r="J58" i="4"/>
  <c r="I58" i="4"/>
  <c r="H58" i="4"/>
  <c r="F58" i="4"/>
  <c r="E58" i="4"/>
  <c r="D58" i="4"/>
  <c r="C58" i="4"/>
  <c r="I57" i="4"/>
  <c r="P57" i="4"/>
  <c r="O57" i="4"/>
  <c r="G57" i="4" s="1"/>
  <c r="H57" i="4"/>
  <c r="F57" i="4"/>
  <c r="E57" i="4"/>
  <c r="J57" i="4" s="1"/>
  <c r="D57" i="4"/>
  <c r="C57" i="4"/>
  <c r="P56" i="4"/>
  <c r="R56" i="4" s="1"/>
  <c r="O56" i="4"/>
  <c r="G56" i="4" s="1"/>
  <c r="H56" i="4"/>
  <c r="F56" i="4"/>
  <c r="E56" i="4"/>
  <c r="D56" i="4"/>
  <c r="C56" i="4"/>
  <c r="P55" i="4"/>
  <c r="O55" i="4"/>
  <c r="H55" i="4"/>
  <c r="F55" i="4"/>
  <c r="E55" i="4"/>
  <c r="D55" i="4"/>
  <c r="C55" i="4"/>
  <c r="B153" i="9"/>
  <c r="B152" i="9"/>
  <c r="B151" i="9"/>
  <c r="B150" i="9"/>
  <c r="B149" i="9"/>
  <c r="B148" i="9"/>
  <c r="B147" i="9"/>
  <c r="B146" i="9"/>
  <c r="B145" i="9"/>
  <c r="B144" i="9"/>
  <c r="B143" i="9"/>
  <c r="B142" i="9"/>
  <c r="B141" i="9"/>
  <c r="B140" i="9"/>
  <c r="W101" i="9"/>
  <c r="V101" i="9"/>
  <c r="U101" i="9"/>
  <c r="T101" i="9"/>
  <c r="Q101" i="9"/>
  <c r="P101" i="9"/>
  <c r="O101" i="9"/>
  <c r="N101" i="9"/>
  <c r="K101" i="9"/>
  <c r="J101" i="9"/>
  <c r="I101" i="9"/>
  <c r="H101" i="9"/>
  <c r="E101" i="9"/>
  <c r="D101" i="9"/>
  <c r="C101" i="9"/>
  <c r="B101" i="9"/>
  <c r="W100" i="9"/>
  <c r="V100" i="9"/>
  <c r="U100" i="9"/>
  <c r="T100" i="9"/>
  <c r="Q100" i="9"/>
  <c r="P100" i="9"/>
  <c r="O100" i="9"/>
  <c r="N100" i="9"/>
  <c r="K100" i="9"/>
  <c r="J100" i="9"/>
  <c r="I100" i="9"/>
  <c r="H100" i="9"/>
  <c r="E100" i="9"/>
  <c r="D100" i="9"/>
  <c r="C100" i="9"/>
  <c r="B100" i="9"/>
  <c r="W99" i="9"/>
  <c r="V99" i="9"/>
  <c r="U99" i="9"/>
  <c r="T99" i="9"/>
  <c r="Q99" i="9"/>
  <c r="P99" i="9"/>
  <c r="O99" i="9"/>
  <c r="N99" i="9"/>
  <c r="K99" i="9"/>
  <c r="J99" i="9"/>
  <c r="I99" i="9"/>
  <c r="H99" i="9"/>
  <c r="E99" i="9"/>
  <c r="D99" i="9"/>
  <c r="C99" i="9"/>
  <c r="B99" i="9"/>
  <c r="W98" i="9"/>
  <c r="V98" i="9"/>
  <c r="U98" i="9"/>
  <c r="T98" i="9"/>
  <c r="Q98" i="9"/>
  <c r="P98" i="9"/>
  <c r="O98" i="9"/>
  <c r="N98" i="9"/>
  <c r="K98" i="9"/>
  <c r="J98" i="9"/>
  <c r="I98" i="9"/>
  <c r="H98" i="9"/>
  <c r="E98" i="9"/>
  <c r="D98" i="9"/>
  <c r="C98" i="9"/>
  <c r="B98" i="9"/>
  <c r="W97" i="9"/>
  <c r="V97" i="9"/>
  <c r="U97" i="9"/>
  <c r="T97" i="9"/>
  <c r="Q97" i="9"/>
  <c r="P97" i="9"/>
  <c r="O97" i="9"/>
  <c r="N97" i="9"/>
  <c r="K97" i="9"/>
  <c r="J97" i="9"/>
  <c r="I97" i="9"/>
  <c r="H97" i="9"/>
  <c r="E97" i="9"/>
  <c r="D97" i="9"/>
  <c r="C97" i="9"/>
  <c r="B97" i="9"/>
  <c r="K88" i="9"/>
  <c r="J88" i="9"/>
  <c r="I88" i="9"/>
  <c r="H88" i="9"/>
  <c r="E88" i="9"/>
  <c r="D88" i="9"/>
  <c r="C88" i="9"/>
  <c r="B88" i="9"/>
  <c r="K87" i="9"/>
  <c r="J87" i="9"/>
  <c r="I87" i="9"/>
  <c r="H87" i="9"/>
  <c r="E87" i="9"/>
  <c r="D87" i="9"/>
  <c r="C87" i="9"/>
  <c r="B87" i="9"/>
  <c r="K86" i="9"/>
  <c r="J86" i="9"/>
  <c r="I86" i="9"/>
  <c r="H86" i="9"/>
  <c r="E86" i="9"/>
  <c r="D86" i="9"/>
  <c r="C86" i="9"/>
  <c r="B86" i="9"/>
  <c r="K85" i="9"/>
  <c r="J85" i="9"/>
  <c r="I85" i="9"/>
  <c r="H85" i="9"/>
  <c r="E85" i="9"/>
  <c r="E91" i="9" s="1"/>
  <c r="D85" i="9"/>
  <c r="C85" i="9"/>
  <c r="B85" i="9"/>
  <c r="K84" i="9"/>
  <c r="K91" i="9" s="1"/>
  <c r="J84" i="9"/>
  <c r="J91" i="9" s="1"/>
  <c r="I84" i="9"/>
  <c r="I91" i="9" s="1"/>
  <c r="H84" i="9"/>
  <c r="H91" i="9" s="1"/>
  <c r="D84" i="9"/>
  <c r="D91" i="9" s="1"/>
  <c r="C84" i="9"/>
  <c r="B84" i="9"/>
  <c r="W49" i="9"/>
  <c r="V49" i="9"/>
  <c r="U49" i="9"/>
  <c r="T49" i="9"/>
  <c r="Q49" i="9"/>
  <c r="P49" i="9"/>
  <c r="O49" i="9"/>
  <c r="N49" i="9"/>
  <c r="K49" i="9"/>
  <c r="J49" i="9"/>
  <c r="I49" i="9"/>
  <c r="H49" i="9"/>
  <c r="E49" i="9"/>
  <c r="D49" i="9"/>
  <c r="C49" i="9"/>
  <c r="B49" i="9"/>
  <c r="W48" i="9"/>
  <c r="V48" i="9"/>
  <c r="U48" i="9"/>
  <c r="T48" i="9"/>
  <c r="Q48" i="9"/>
  <c r="P48" i="9"/>
  <c r="O48" i="9"/>
  <c r="N48" i="9"/>
  <c r="K48" i="9"/>
  <c r="J48" i="9"/>
  <c r="I48" i="9"/>
  <c r="H48" i="9"/>
  <c r="E48" i="9"/>
  <c r="D48" i="9"/>
  <c r="C48" i="9"/>
  <c r="B48" i="9"/>
  <c r="AC41" i="9"/>
  <c r="AB41" i="9"/>
  <c r="AA41" i="9"/>
  <c r="Z41" i="9"/>
  <c r="K41" i="9"/>
  <c r="D40" i="11" s="1"/>
  <c r="J41" i="9"/>
  <c r="D39" i="11" s="1"/>
  <c r="I41" i="9"/>
  <c r="D38" i="11" s="1"/>
  <c r="H41" i="9"/>
  <c r="E41" i="9"/>
  <c r="D20" i="11" s="1"/>
  <c r="D41" i="9"/>
  <c r="D19" i="11" s="1"/>
  <c r="C41" i="9"/>
  <c r="D18" i="11" s="1"/>
  <c r="B41" i="9"/>
  <c r="AC40" i="9"/>
  <c r="AB40" i="9"/>
  <c r="AA40" i="9"/>
  <c r="Z40" i="9"/>
  <c r="K40" i="9"/>
  <c r="D36" i="11" s="1"/>
  <c r="J40" i="9"/>
  <c r="D35" i="11" s="1"/>
  <c r="I40" i="9"/>
  <c r="D34" i="11" s="1"/>
  <c r="H40" i="9"/>
  <c r="E40" i="9"/>
  <c r="D16" i="11" s="1"/>
  <c r="D40" i="9"/>
  <c r="D15" i="11" s="1"/>
  <c r="C40" i="9"/>
  <c r="D14" i="11" s="1"/>
  <c r="B40" i="9"/>
  <c r="AC39" i="9"/>
  <c r="AB39" i="9"/>
  <c r="AA39" i="9"/>
  <c r="Z39" i="9"/>
  <c r="K39" i="9"/>
  <c r="D32" i="11" s="1"/>
  <c r="J39" i="9"/>
  <c r="D31" i="11" s="1"/>
  <c r="I39" i="9"/>
  <c r="D30" i="11" s="1"/>
  <c r="H39" i="9"/>
  <c r="E39" i="9"/>
  <c r="D12" i="11" s="1"/>
  <c r="D39" i="9"/>
  <c r="D11" i="11" s="1"/>
  <c r="C39" i="9"/>
  <c r="D10" i="11" s="1"/>
  <c r="B39" i="9"/>
  <c r="AC38" i="9"/>
  <c r="AB38" i="9"/>
  <c r="AA38" i="9"/>
  <c r="Z38" i="9"/>
  <c r="K38" i="9"/>
  <c r="D28" i="11" s="1"/>
  <c r="J38" i="9"/>
  <c r="D27" i="11" s="1"/>
  <c r="I38" i="9"/>
  <c r="D26" i="11" s="1"/>
  <c r="H38" i="9"/>
  <c r="E38" i="9"/>
  <c r="D8" i="11" s="1"/>
  <c r="D38" i="9"/>
  <c r="D7" i="11" s="1"/>
  <c r="C38" i="9"/>
  <c r="D6" i="11" s="1"/>
  <c r="B38" i="9"/>
  <c r="Z8" i="9" s="1"/>
  <c r="AC37" i="9"/>
  <c r="AB37" i="9"/>
  <c r="AA37" i="9"/>
  <c r="Z37" i="9"/>
  <c r="K37" i="9"/>
  <c r="J37" i="9"/>
  <c r="D23" i="11" s="1"/>
  <c r="I37" i="9"/>
  <c r="D22" i="11" s="1"/>
  <c r="H37" i="9"/>
  <c r="E37" i="9"/>
  <c r="D4" i="11" s="1"/>
  <c r="D37" i="9"/>
  <c r="D3" i="11" s="1"/>
  <c r="C37" i="9"/>
  <c r="D2" i="11" s="1"/>
  <c r="B37" i="9"/>
  <c r="Z3" i="9" s="1"/>
  <c r="C91" i="9" l="1"/>
  <c r="B91" i="9"/>
  <c r="R38" i="9"/>
  <c r="D49" i="11" s="1"/>
  <c r="X40" i="9"/>
  <c r="D77" i="11" s="1"/>
  <c r="R40" i="9"/>
  <c r="D57" i="11" s="1"/>
  <c r="R37" i="9"/>
  <c r="X39" i="9"/>
  <c r="D73" i="11" s="1"/>
  <c r="X41" i="9"/>
  <c r="D81" i="11" s="1"/>
  <c r="X38" i="9"/>
  <c r="D69" i="11" s="1"/>
  <c r="R39" i="9"/>
  <c r="D53" i="11" s="1"/>
  <c r="R41" i="9"/>
  <c r="D61" i="11" s="1"/>
  <c r="AC42" i="9"/>
  <c r="B26" i="4"/>
  <c r="C106" i="4"/>
  <c r="B51" i="4" s="1"/>
  <c r="J56" i="4"/>
  <c r="I56" i="4"/>
  <c r="J55" i="4"/>
  <c r="J64" i="4"/>
  <c r="J106" i="4" s="1"/>
  <c r="D16" i="6"/>
  <c r="D24" i="6"/>
  <c r="R55" i="4"/>
  <c r="R57" i="4"/>
  <c r="R59" i="4"/>
  <c r="R61" i="4"/>
  <c r="D25" i="6"/>
  <c r="G55" i="4"/>
  <c r="D22" i="6"/>
  <c r="D17" i="6"/>
  <c r="D23" i="6"/>
  <c r="R64" i="4"/>
  <c r="D19" i="6"/>
  <c r="D26" i="6"/>
  <c r="D20" i="6"/>
  <c r="D27" i="6"/>
  <c r="D21" i="6"/>
  <c r="D28" i="6"/>
  <c r="D18" i="6"/>
  <c r="Z42" i="9"/>
  <c r="K42" i="9"/>
  <c r="AA42" i="9"/>
  <c r="H42" i="9"/>
  <c r="AB42" i="9"/>
  <c r="D24" i="11"/>
  <c r="I42" i="9"/>
  <c r="J42" i="9"/>
  <c r="D45" i="11" l="1"/>
  <c r="R42" i="9"/>
  <c r="E168" i="9"/>
  <c r="C168" i="9"/>
  <c r="E166" i="9"/>
  <c r="E167" i="9"/>
  <c r="C166" i="9"/>
  <c r="C167" i="9"/>
  <c r="E3" i="6"/>
  <c r="E5" i="6"/>
  <c r="E4" i="6"/>
  <c r="W40" i="9" l="1"/>
  <c r="D76" i="11" s="1"/>
  <c r="W41" i="9"/>
  <c r="D80" i="11" s="1"/>
  <c r="W38" i="9"/>
  <c r="D68" i="11" s="1"/>
  <c r="W39" i="9"/>
  <c r="D72" i="11" s="1"/>
  <c r="W37" i="9"/>
  <c r="U37" i="9"/>
  <c r="U40" i="9"/>
  <c r="U38" i="9"/>
  <c r="U41" i="9"/>
  <c r="U39" i="9"/>
  <c r="V37" i="9"/>
  <c r="V40" i="9"/>
  <c r="D75" i="11" s="1"/>
  <c r="V38" i="9"/>
  <c r="D67" i="11" s="1"/>
  <c r="V41" i="9"/>
  <c r="D79" i="11" s="1"/>
  <c r="V39" i="9"/>
  <c r="D71" i="11" s="1"/>
  <c r="X37" i="9"/>
  <c r="D65" i="11" s="1"/>
  <c r="P38" i="9"/>
  <c r="D47" i="11" s="1"/>
  <c r="P37" i="9"/>
  <c r="P39" i="9"/>
  <c r="D51" i="11" s="1"/>
  <c r="P40" i="9"/>
  <c r="D55" i="11" s="1"/>
  <c r="P41" i="9"/>
  <c r="D59" i="11" s="1"/>
  <c r="O39" i="9"/>
  <c r="O38" i="9"/>
  <c r="O37" i="9"/>
  <c r="O41" i="9"/>
  <c r="O40" i="9"/>
  <c r="Q40" i="9"/>
  <c r="D56" i="11" s="1"/>
  <c r="Q37" i="9"/>
  <c r="Q39" i="9"/>
  <c r="D52" i="11" s="1"/>
  <c r="Q41" i="9"/>
  <c r="D60" i="11" s="1"/>
  <c r="Q38" i="9"/>
  <c r="D48" i="11" s="1"/>
  <c r="T39" i="9" l="1"/>
  <c r="T41" i="9"/>
  <c r="N40" i="9"/>
  <c r="N41" i="9"/>
  <c r="T38" i="9"/>
  <c r="N37" i="9"/>
  <c r="T40" i="9"/>
  <c r="N39" i="9"/>
  <c r="N38" i="9"/>
  <c r="T37" i="9"/>
  <c r="X42" i="9"/>
  <c r="D64" i="11"/>
  <c r="W42" i="9"/>
  <c r="D74" i="11"/>
  <c r="D63" i="11"/>
  <c r="V42" i="9"/>
  <c r="D78" i="11"/>
  <c r="D70" i="11"/>
  <c r="D58" i="11"/>
  <c r="D42" i="11"/>
  <c r="O42" i="9"/>
  <c r="D50" i="11"/>
  <c r="D44" i="11"/>
  <c r="Q42" i="9"/>
  <c r="D66" i="11"/>
  <c r="D43" i="11"/>
  <c r="P42" i="9"/>
  <c r="D46" i="11"/>
  <c r="D54" i="11"/>
  <c r="D62" i="11"/>
  <c r="U42" i="9"/>
  <c r="T42" i="9" l="1"/>
  <c r="N4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tc={49D72903-9A10-4902-95DF-7839C942EED2}</author>
    <author>tc={9AADDB99-9FAE-40CE-983F-51C4994D2AB0}</author>
    <author>tc={07E4CE06-0259-44BA-BCEB-222F4C1CC16F}</author>
    <author>tc={A76FE31D-E4D6-45AB-A739-CBC82F8808D5}</author>
  </authors>
  <commentList>
    <comment ref="L59" authorId="0" shapeId="0" xr:uid="{49D72903-9A10-4902-95DF-7839C942EED2}">
      <text>
        <t>[Threaded comment]
Your version of Excel allows you to read this threaded comment; however, any edits to it will get removed if the file is opened in a newer version of Excel. Learn more: https://go.microsoft.com/fwlink/?linkid=870924
Comment:
    RSA VO = RM 2,500
Lights Deduction = - RM 1,000</t>
      </text>
    </comment>
    <comment ref="B71" authorId="1" shapeId="0" xr:uid="{9AADDB99-9FAE-40CE-983F-51C4994D2AB0}">
      <text>
        <t>[Threaded comment]
Your version of Excel allows you to read this threaded comment; however, any edits to it will get removed if the file is opened in a newer version of Excel. Learn more: https://go.microsoft.com/fwlink/?linkid=870924
Comment:
    ST Login details:
sleepmaticssdnbhd@gmail.com
Abcd1234</t>
      </text>
    </comment>
    <comment ref="B72" authorId="2" shapeId="0" xr:uid="{07E4CE06-0259-44BA-BCEB-222F4C1CC16F}">
      <text>
        <t>[Threaded comment]
Your version of Excel allows you to read this threaded comment; however, any edits to it will get removed if the file is opened in a newer version of Excel. Learn more: https://go.microsoft.com/fwlink/?linkid=870924
Comment:
    ST Login:
Username: chlfoamsdnbhd@gmail.com
Password: Abcd1234</t>
      </text>
    </comment>
    <comment ref="B247" authorId="3" shapeId="0" xr:uid="{A76FE31D-E4D6-45AB-A739-CBC82F8808D5}">
      <text>
        <t>[Threaded comment]
Your version of Excel allows you to read this threaded comment; however, any edits to it will get removed if the file is opened in a newer version of Excel. Learn more: https://go.microsoft.com/fwlink/?linkid=870924
Comment:
    ST Portal Login:
Username: meishunfangmanufacturingsdnbhd@gmail.com
Password: Abcd1234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tc={A8F49A17-EBE7-4656-8BB1-D8D9AC868569}</author>
    <author>tc={ACE0D1D1-9F79-424A-8F24-9EF5B3657173}</author>
    <author>tc={820EC73D-3F88-4D90-8F18-B2DE40E65383}</author>
    <author>tc={DA0D0F06-B99B-4C6A-BE0F-158C2E452F00}</author>
  </authors>
  <commentList>
    <comment ref="R209" authorId="0" shapeId="0" xr:uid="{A8F49A17-EBE7-4656-8BB1-D8D9AC868569}">
      <text>
        <t xml:space="preserve">[Threaded comment]
Your version of Excel allows you to read this threaded comment; however, any edits to it will get removed if the file is opened in a newer version of Excel. Learn more: https://go.microsoft.com/fwlink/?linkid=870924
Comment:
    Change to 17.7kWp
</t>
      </text>
    </comment>
    <comment ref="S218" authorId="1" shapeId="0" xr:uid="{ACE0D1D1-9F79-424A-8F24-9EF5B3657173}">
      <text>
        <t>[Threaded comment]
Your version of Excel allows you to read this threaded comment; however, any edits to it will get removed if the file is opened in a newer version of Excel. Learn more: https://go.microsoft.com/fwlink/?linkid=870924
Comment:
    SEDA queries on the voltage</t>
      </text>
    </comment>
    <comment ref="R221" authorId="2" shapeId="0" xr:uid="{820EC73D-3F88-4D90-8F18-B2DE40E65383}">
      <text>
        <t xml:space="preserve">[Threaded comment]
Your version of Excel allows you to read this threaded comment; however, any edits to it will get removed if the file is opened in a newer version of Excel. Learn more: https://go.microsoft.com/fwlink/?linkid=870924
Comment:
    Change to three phase 
</t>
      </text>
    </comment>
    <comment ref="R222" authorId="3" shapeId="0" xr:uid="{DA0D0F06-B99B-4C6A-BE0F-158C2E452F00}">
      <text>
        <t>[Threaded comment]
Your version of Excel allows you to read this threaded comment; however, any edits to it will get removed if the file is opened in a newer version of Excel. Learn more: https://go.microsoft.com/fwlink/?linkid=870924
Comment:
    Change in PV capacity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28" authorId="0" shapeId="0" xr:uid="{79946625-C6DE-40CD-98DE-4447557AE6F7}">
      <text>
        <r>
          <rPr>
            <b/>
            <sz val="9"/>
            <color indexed="81"/>
            <rFont val="Tahoma"/>
            <family val="2"/>
          </rPr>
          <t>user:</t>
        </r>
        <r>
          <rPr>
            <sz val="9"/>
            <color indexed="81"/>
            <rFont val="Tahoma"/>
            <family val="2"/>
          </rPr>
          <t xml:space="preserve">
Assumed 1.2m purlin-to-purlin distance</t>
        </r>
      </text>
    </comment>
    <comment ref="I53" authorId="0" shapeId="0" xr:uid="{D867E630-D962-4CB1-9E69-29B3EFDDB599}">
      <text>
        <r>
          <rPr>
            <b/>
            <sz val="9"/>
            <color indexed="81"/>
            <rFont val="Tahoma"/>
            <family val="2"/>
          </rPr>
          <t>user:</t>
        </r>
        <r>
          <rPr>
            <sz val="9"/>
            <color indexed="81"/>
            <rFont val="Tahoma"/>
            <family val="2"/>
          </rPr>
          <t xml:space="preserve">
Assumed 1.2m purlin-to-purlin distance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28" authorId="0" shapeId="0" xr:uid="{5BDAA4EA-4105-4741-BD44-281F70CD87E8}">
      <text>
        <r>
          <rPr>
            <b/>
            <sz val="9"/>
            <color indexed="81"/>
            <rFont val="Tahoma"/>
            <family val="2"/>
          </rPr>
          <t>user:</t>
        </r>
        <r>
          <rPr>
            <sz val="9"/>
            <color indexed="81"/>
            <rFont val="Tahoma"/>
            <family val="2"/>
          </rPr>
          <t xml:space="preserve">
Assumed 1.2m purlin-to-purlin distance</t>
        </r>
      </text>
    </comment>
    <comment ref="I53" authorId="0" shapeId="0" xr:uid="{6D40D546-85EF-40F0-BDEA-21F38FA94D36}">
      <text>
        <r>
          <rPr>
            <b/>
            <sz val="9"/>
            <color indexed="81"/>
            <rFont val="Tahoma"/>
            <family val="2"/>
          </rPr>
          <t>user:</t>
        </r>
        <r>
          <rPr>
            <sz val="9"/>
            <color indexed="81"/>
            <rFont val="Tahoma"/>
            <family val="2"/>
          </rPr>
          <t xml:space="preserve">
Assumed 1.2m purlin-to-purlin distance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4">
    <bk>
      <extLst>
        <ext uri="{3e2802c4-a4d2-4d8b-9148-e3be6c30e623}">
          <xlrd:rvb i="0"/>
        </ext>
      </extLst>
    </bk>
    <bk>
      <extLst>
        <ext uri="{3e2802c4-a4d2-4d8b-9148-e3be6c30e623}">
          <xlrd:rvb i="9"/>
        </ext>
      </extLst>
    </bk>
    <bk>
      <extLst>
        <ext uri="{3e2802c4-a4d2-4d8b-9148-e3be6c30e623}">
          <xlrd:rvb i="19"/>
        </ext>
      </extLst>
    </bk>
    <bk>
      <extLst>
        <ext uri="{3e2802c4-a4d2-4d8b-9148-e3be6c30e623}">
          <xlrd:rvb i="29"/>
        </ext>
      </extLst>
    </bk>
    <bk>
      <extLst>
        <ext uri="{3e2802c4-a4d2-4d8b-9148-e3be6c30e623}">
          <xlrd:rvb i="38"/>
        </ext>
      </extLst>
    </bk>
    <bk>
      <extLst>
        <ext uri="{3e2802c4-a4d2-4d8b-9148-e3be6c30e623}">
          <xlrd:rvb i="48"/>
        </ext>
      </extLst>
    </bk>
    <bk>
      <extLst>
        <ext uri="{3e2802c4-a4d2-4d8b-9148-e3be6c30e623}">
          <xlrd:rvb i="55"/>
        </ext>
      </extLst>
    </bk>
    <bk>
      <extLst>
        <ext uri="{3e2802c4-a4d2-4d8b-9148-e3be6c30e623}">
          <xlrd:rvb i="64"/>
        </ext>
      </extLst>
    </bk>
    <bk>
      <extLst>
        <ext uri="{3e2802c4-a4d2-4d8b-9148-e3be6c30e623}">
          <xlrd:rvb i="75"/>
        </ext>
      </extLst>
    </bk>
    <bk>
      <extLst>
        <ext uri="{3e2802c4-a4d2-4d8b-9148-e3be6c30e623}">
          <xlrd:rvb i="84"/>
        </ext>
      </extLst>
    </bk>
    <bk>
      <extLst>
        <ext uri="{3e2802c4-a4d2-4d8b-9148-e3be6c30e623}">
          <xlrd:rvb i="93"/>
        </ext>
      </extLst>
    </bk>
    <bk>
      <extLst>
        <ext uri="{3e2802c4-a4d2-4d8b-9148-e3be6c30e623}">
          <xlrd:rvb i="102"/>
        </ext>
      </extLst>
    </bk>
    <bk>
      <extLst>
        <ext uri="{3e2802c4-a4d2-4d8b-9148-e3be6c30e623}">
          <xlrd:rvb i="110"/>
        </ext>
      </extLst>
    </bk>
    <bk>
      <extLst>
        <ext uri="{3e2802c4-a4d2-4d8b-9148-e3be6c30e623}">
          <xlrd:rvb i="119"/>
        </ext>
      </extLst>
    </bk>
    <bk>
      <extLst>
        <ext uri="{3e2802c4-a4d2-4d8b-9148-e3be6c30e623}">
          <xlrd:rvb i="129"/>
        </ext>
      </extLst>
    </bk>
    <bk>
      <extLst>
        <ext uri="{3e2802c4-a4d2-4d8b-9148-e3be6c30e623}">
          <xlrd:rvb i="136"/>
        </ext>
      </extLst>
    </bk>
    <bk>
      <extLst>
        <ext uri="{3e2802c4-a4d2-4d8b-9148-e3be6c30e623}">
          <xlrd:rvb i="141"/>
        </ext>
      </extLst>
    </bk>
    <bk>
      <extLst>
        <ext uri="{3e2802c4-a4d2-4d8b-9148-e3be6c30e623}">
          <xlrd:rvb i="146"/>
        </ext>
      </extLst>
    </bk>
    <bk>
      <extLst>
        <ext uri="{3e2802c4-a4d2-4d8b-9148-e3be6c30e623}">
          <xlrd:rvb i="150"/>
        </ext>
      </extLst>
    </bk>
    <bk>
      <extLst>
        <ext uri="{3e2802c4-a4d2-4d8b-9148-e3be6c30e623}">
          <xlrd:rvb i="155"/>
        </ext>
      </extLst>
    </bk>
    <bk>
      <extLst>
        <ext uri="{3e2802c4-a4d2-4d8b-9148-e3be6c30e623}">
          <xlrd:rvb i="160"/>
        </ext>
      </extLst>
    </bk>
    <bk>
      <extLst>
        <ext uri="{3e2802c4-a4d2-4d8b-9148-e3be6c30e623}">
          <xlrd:rvb i="169"/>
        </ext>
      </extLst>
    </bk>
    <bk>
      <extLst>
        <ext uri="{3e2802c4-a4d2-4d8b-9148-e3be6c30e623}">
          <xlrd:rvb i="174"/>
        </ext>
      </extLst>
    </bk>
    <bk>
      <extLst>
        <ext uri="{3e2802c4-a4d2-4d8b-9148-e3be6c30e623}">
          <xlrd:rvb i="177"/>
        </ext>
      </extLst>
    </bk>
  </futureMetadata>
  <cellMetadata count="1">
    <bk>
      <rc t="1" v="0"/>
    </bk>
  </cellMetadata>
  <valueMetadata count="2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valueMetadata>
</metadata>
</file>

<file path=xl/sharedStrings.xml><?xml version="1.0" encoding="utf-8"?>
<sst xmlns="http://schemas.openxmlformats.org/spreadsheetml/2006/main" count="21797" uniqueCount="2258">
  <si>
    <t>Residential</t>
  </si>
  <si>
    <t>C&amp;I</t>
  </si>
  <si>
    <t>System Capacity</t>
  </si>
  <si>
    <t>Project Value (RM)</t>
  </si>
  <si>
    <t>Revenue (RM)</t>
  </si>
  <si>
    <t>Collection (RM)</t>
  </si>
  <si>
    <t>No of Sites</t>
  </si>
  <si>
    <t>Total</t>
  </si>
  <si>
    <t>Residential (PV System)</t>
  </si>
  <si>
    <t>C&amp;I (PV System)</t>
  </si>
  <si>
    <t>Residential BESS</t>
  </si>
  <si>
    <t>C&amp;I BESS</t>
  </si>
  <si>
    <t>EV Chargers</t>
  </si>
  <si>
    <t>System Capacity (kWp)</t>
  </si>
  <si>
    <t>NEM</t>
  </si>
  <si>
    <t>SELCO</t>
  </si>
  <si>
    <t>ATAP</t>
  </si>
  <si>
    <t>Tham</t>
  </si>
  <si>
    <t>-</t>
  </si>
  <si>
    <t>Chean Bang</t>
  </si>
  <si>
    <t>Simon</t>
  </si>
  <si>
    <t>Ong</t>
  </si>
  <si>
    <t>Patricia</t>
  </si>
  <si>
    <t>Reeve</t>
  </si>
  <si>
    <t>Malaysia</t>
  </si>
  <si>
    <t>Authority Submission Summary Data</t>
  </si>
  <si>
    <t>NEM Rakyat</t>
  </si>
  <si>
    <t>NOVA (C&amp;I)</t>
  </si>
  <si>
    <t>Max No. of Days for SEDA Approval</t>
  </si>
  <si>
    <t>Min No. of Days for SEDA Approval</t>
  </si>
  <si>
    <t>Ave No. of Days for SEDA Approval</t>
  </si>
  <si>
    <t>Business</t>
  </si>
  <si>
    <t>Metric</t>
  </si>
  <si>
    <t>Year</t>
  </si>
  <si>
    <t>Value</t>
  </si>
  <si>
    <t>(All)</t>
  </si>
  <si>
    <t>Sum of Value</t>
  </si>
  <si>
    <t>Column Labels</t>
  </si>
  <si>
    <t>Row Labels</t>
  </si>
  <si>
    <t>Project Value</t>
  </si>
  <si>
    <t>Revenue</t>
  </si>
  <si>
    <t>Collection</t>
  </si>
  <si>
    <t>Grand Total</t>
  </si>
  <si>
    <t>Project No</t>
  </si>
  <si>
    <t>Client Name</t>
  </si>
  <si>
    <t>Closed Date</t>
  </si>
  <si>
    <t>Sales PIC</t>
  </si>
  <si>
    <t>Category</t>
  </si>
  <si>
    <t>Scheme</t>
  </si>
  <si>
    <t>Location</t>
  </si>
  <si>
    <t>PV System Capacity (kWp)</t>
  </si>
  <si>
    <t>EV Charger Capacity</t>
  </si>
  <si>
    <t>BESS Capacity</t>
  </si>
  <si>
    <t>VO (RM)</t>
  </si>
  <si>
    <t>Payment Method</t>
  </si>
  <si>
    <t>Outright/PPA</t>
  </si>
  <si>
    <t>Module</t>
  </si>
  <si>
    <t>Module Quantity</t>
  </si>
  <si>
    <t>Inverter</t>
  </si>
  <si>
    <t>Inverter Warranty</t>
  </si>
  <si>
    <t>I/C Number</t>
  </si>
  <si>
    <t>Installation Address</t>
  </si>
  <si>
    <t>Phone Number</t>
  </si>
  <si>
    <t>Email Address</t>
  </si>
  <si>
    <t>Insurance Warranty</t>
  </si>
  <si>
    <t>DLP Period</t>
  </si>
  <si>
    <t>O&amp;M</t>
  </si>
  <si>
    <t>Partner</t>
  </si>
  <si>
    <t>Services Exclusion</t>
  </si>
  <si>
    <t>Additional Remark</t>
  </si>
  <si>
    <t>Wong Kim Mei</t>
  </si>
  <si>
    <t>R-PV</t>
  </si>
  <si>
    <t>Self finance</t>
  </si>
  <si>
    <t>Outright</t>
  </si>
  <si>
    <t>Astronergy 575Wp</t>
  </si>
  <si>
    <t>Solinteg MHT-8K-25 hybrid</t>
  </si>
  <si>
    <t>731013-10-5784</t>
  </si>
  <si>
    <t>No. 24, Jalan Seri Muka 36/27A, Taman Menegun Indah, 41000 Klang, Selangor.</t>
  </si>
  <si>
    <t>016-335 4884</t>
  </si>
  <si>
    <t>wongkimmei73@gmail.com</t>
  </si>
  <si>
    <t>5 years</t>
  </si>
  <si>
    <t>1 year</t>
  </si>
  <si>
    <t>Ang Ching Ming</t>
  </si>
  <si>
    <t>Solinteg MHT-10K-25 hybrid</t>
  </si>
  <si>
    <t>931003-10-6105</t>
  </si>
  <si>
    <t>1, Jalan Ulek Mayang 2C/KU5, Bandar Bukit Raja, 41050 Klang, Selangpr</t>
  </si>
  <si>
    <t>017-9666099</t>
  </si>
  <si>
    <t>cmang_02@outlook.com</t>
  </si>
  <si>
    <t>Tan Sei Choon</t>
  </si>
  <si>
    <t>650818-06-5287</t>
  </si>
  <si>
    <t>2, Lorong Bukit Setongkol Perdana 52, Taman Fairmont Jaya, 25200 Kuantan, Pahang.</t>
  </si>
  <si>
    <t>016-922 3868</t>
  </si>
  <si>
    <t>tesoon12@gmail.com</t>
  </si>
  <si>
    <t>Ho Hon Kit</t>
  </si>
  <si>
    <t>Solinteg MHS-3.6K-30 hybrid</t>
  </si>
  <si>
    <t>670422-10-5607</t>
  </si>
  <si>
    <t>No 32, Jalan Puteri 12/7, Bandar Puteri, 47100 Puchong, Selangor.</t>
  </si>
  <si>
    <t>012-3979968</t>
  </si>
  <si>
    <t>hkho@trident-x.com</t>
  </si>
  <si>
    <t>Stanley Ang Leng Chuan</t>
  </si>
  <si>
    <t>751007-10-5671</t>
  </si>
  <si>
    <t>5, Jalan Bidara 9, Bandar Botanic, 41200 Klang, Selangor.</t>
  </si>
  <si>
    <t>016-6767999</t>
  </si>
  <si>
    <t>stanleyang9@gmail.com</t>
  </si>
  <si>
    <t>Foo Tuang Lee</t>
  </si>
  <si>
    <t>741128-01-5075</t>
  </si>
  <si>
    <t>No 20, Jln Pelangi 15, Tmn Pelangi, 86000 Kluang, Johor</t>
  </si>
  <si>
    <t>016-2368221</t>
  </si>
  <si>
    <t>ericfoo8888@gmail.com</t>
  </si>
  <si>
    <t>N/A</t>
  </si>
  <si>
    <t>Tan Hong Guan</t>
  </si>
  <si>
    <t>Huawei SUN2000-10KTL</t>
  </si>
  <si>
    <t>680512-07-5359</t>
  </si>
  <si>
    <t>No 6, Pinggir Bukit Segar 2, Tmn Bkt Segar, 56100 Cheras, Kuala Lumpur</t>
  </si>
  <si>
    <t>012-4380246</t>
  </si>
  <si>
    <t>hongguan.tan@gmail.com</t>
  </si>
  <si>
    <t>EDCA</t>
  </si>
  <si>
    <t>Law Soo Chin</t>
  </si>
  <si>
    <t>640407-07-5713</t>
  </si>
  <si>
    <t>6, Jalan BS 3/8, Taman Bukit Serdang, 43300 Seri Kembangan, Selangor.</t>
  </si>
  <si>
    <t>016-2013221</t>
  </si>
  <si>
    <t>lawsc123@hotmail.com</t>
  </si>
  <si>
    <t>3 years</t>
  </si>
  <si>
    <t>Kossan FRP Marketing (M) Sdn Bhd</t>
  </si>
  <si>
    <t>C&amp;I-PV</t>
  </si>
  <si>
    <t>Cash</t>
  </si>
  <si>
    <t>PT 2019, Jln Keretapi Lama Off, Jln Kapar, BT 4 3/4, Kg Rantau Panjang, 42100 Klang, Selangor</t>
  </si>
  <si>
    <t>MTJ Development Sdn Bhd (Intercontinental KL)</t>
  </si>
  <si>
    <t>Goodwe 50kW</t>
  </si>
  <si>
    <t>No 165, Jln Ampang, 50450 Kuala Lumpur, WP Kuala Lumpur</t>
  </si>
  <si>
    <t>Dato' Sri Ng Chong Keong</t>
  </si>
  <si>
    <t>Solinteg MHT-12K-25 hybrid</t>
  </si>
  <si>
    <t>650309-08-5407</t>
  </si>
  <si>
    <t>9, Lorong Tok Sira 4, Taman Melor, 25050 Kuantan, Pahang.</t>
  </si>
  <si>
    <t>016-9907409</t>
  </si>
  <si>
    <t>ng_xinnee@hotmail.com</t>
  </si>
  <si>
    <t>Cheong Yik Yin</t>
  </si>
  <si>
    <t>Solinteg MHT-5K-25 hybrid</t>
  </si>
  <si>
    <t>950710-14-6004</t>
  </si>
  <si>
    <t>No. 18, Jalan Setia Utama U13/39D, Setia Alam, Seksyen U13, 40170 Shah Alam, Selangor.</t>
  </si>
  <si>
    <t>016-6530107</t>
  </si>
  <si>
    <t>yikyin_cheong@hotmail.com</t>
  </si>
  <si>
    <t>Lim Chin Joo</t>
  </si>
  <si>
    <t>Huawei SUN2000-12KTL</t>
  </si>
  <si>
    <t>6905020-02-5211</t>
  </si>
  <si>
    <t xml:space="preserve">8, Jln BK 6A/2A, Bandar Kinrara, 47100 Puchong, Selangor Darul Ehsan </t>
  </si>
  <si>
    <t>012-6151020</t>
  </si>
  <si>
    <t>chinjoolim@gmail.com</t>
  </si>
  <si>
    <t>Kee Siew Chuan (Ngo Woon Wah)</t>
  </si>
  <si>
    <t>730119-08-5342</t>
  </si>
  <si>
    <t>No 12-A, Lrg Bukit Setongkol Jaya 32, Bkt Setongkol, 25200, Kuantan, Pahang Darul Makmur</t>
  </si>
  <si>
    <t>019-9631028</t>
  </si>
  <si>
    <t>siewchuan639@gmail.com</t>
  </si>
  <si>
    <t>Lee Nyok Cheng</t>
  </si>
  <si>
    <t>581227-05-5427</t>
  </si>
  <si>
    <t>No. 1, Lorong IM 1/62, Perumahan Indera Mahkota 1, 25200 Kuantan, Pahang.</t>
  </si>
  <si>
    <t>016-9221189</t>
  </si>
  <si>
    <t>songlee1188@gmail.com</t>
  </si>
  <si>
    <t>Ong Eng Guan</t>
  </si>
  <si>
    <t>451011-02-5493</t>
  </si>
  <si>
    <t>No. 9 Lorong Im 11/12, Mahkota Heights, 25200 Kuantan, Pahang Darul Makmur</t>
  </si>
  <si>
    <t>012-9853289</t>
  </si>
  <si>
    <t>daniel_8632@yahoo.com</t>
  </si>
  <si>
    <t>Chia Le Chin</t>
  </si>
  <si>
    <t>Cash + instalment</t>
  </si>
  <si>
    <t>730219-06-5090</t>
  </si>
  <si>
    <t>No 11, Lorong Im 11/12, Mahkota Heights, 25200 Kuantan, Pahang Darul Makmur</t>
  </si>
  <si>
    <t>013-9318778</t>
  </si>
  <si>
    <t>health_trading@yahoo</t>
  </si>
  <si>
    <t>Beh Poh Loh</t>
  </si>
  <si>
    <t>GoodWe GW10KN-ET</t>
  </si>
  <si>
    <t>890620-06-5065</t>
  </si>
  <si>
    <t>No 10, Lorong Peramu Jaya 1/3, Perumahan Peramu Jaya 1, 26060 Kuantan, Pahang Darul Makmur</t>
  </si>
  <si>
    <t>016-9862270</t>
  </si>
  <si>
    <t>graybackboy@hotmail.com</t>
  </si>
  <si>
    <t>Ngoh Win Nee</t>
  </si>
  <si>
    <t>Credit Card Instalment</t>
  </si>
  <si>
    <t>851017-06-5456</t>
  </si>
  <si>
    <t>No 49, Lrg Tiram Jaya 5, Perumahan Tiram Jaya, 25200 Kuantan, Pahang</t>
  </si>
  <si>
    <t>012-9860700</t>
  </si>
  <si>
    <t>winneengoh@gmail.com</t>
  </si>
  <si>
    <t>Tung Seng Chang</t>
  </si>
  <si>
    <t>Goodwe GW10K-SDT-20</t>
  </si>
  <si>
    <t>720703-10-5665</t>
  </si>
  <si>
    <t>18, Jalan Setia Perdana U13/29C, Setia Alam, 40170 Shah Alam, Selangor</t>
  </si>
  <si>
    <t>019-2933333</t>
  </si>
  <si>
    <t>tungsc6@gmail.com</t>
  </si>
  <si>
    <t xml:space="preserve">Pua Hock Meng </t>
  </si>
  <si>
    <t>830524-06-5271</t>
  </si>
  <si>
    <t>No. 18, Lorong Peramu Jaya 1/2, Perumahan Peramu Jaya 1, 26060 Kuantan, Pahang Darul Makmur</t>
  </si>
  <si>
    <t>019-9956536</t>
  </si>
  <si>
    <t>prinze.pua@gmail.com</t>
  </si>
  <si>
    <t>Dato Arif Stephen bin Abdullah</t>
  </si>
  <si>
    <t>R-BESS</t>
  </si>
  <si>
    <t>Solax X3-Ultra 20kW x 3</t>
  </si>
  <si>
    <t>Lot 12193, Jalan Felcra Semungkis, Batu 14 Hulu Langat, 43100 Hulu Langat, Selangor Darul Ehsan</t>
  </si>
  <si>
    <t>Greenlast Housing Development Sdn Bhd</t>
  </si>
  <si>
    <t>Goodwe GW20K-SDT-20</t>
  </si>
  <si>
    <t>Lot 1-5, Jalan Semambu,Kawasan Perindustrian Semambu, Kuantan Pahang 25350 Malaysia</t>
  </si>
  <si>
    <t>Others</t>
  </si>
  <si>
    <t>Panel Cleaning 3 years (Once per year)</t>
  </si>
  <si>
    <t>DBTS Industries Sdn Bhd</t>
  </si>
  <si>
    <t>SImon</t>
  </si>
  <si>
    <t>Lot 2199, Jalan Nuri, Kampung Batu 9 Kebun Baru, 42500 Telok Panglima Garang, Selangor</t>
  </si>
  <si>
    <t xml:space="preserve">Full O&amp;M - 1 year </t>
  </si>
  <si>
    <t>EV Connection Sdn Bhd (The Pines Melaka)</t>
  </si>
  <si>
    <t>EV Charger</t>
  </si>
  <si>
    <t>33, Jalan Tun Sri Lanang, 75100 Melaka</t>
  </si>
  <si>
    <t>Ching Kok Keong</t>
  </si>
  <si>
    <t>670428-11-5021</t>
  </si>
  <si>
    <t>Lot 10997, Jln Kenanga, Kg Sura Jeti, 23000 Dungun, Terengganu Darul Iman</t>
  </si>
  <si>
    <t>017-9767388</t>
  </si>
  <si>
    <t>ckkcsk6666@gmail.com</t>
  </si>
  <si>
    <t>Chu Yin Siong</t>
  </si>
  <si>
    <t>620818-11-5371</t>
  </si>
  <si>
    <t>No 11, Jln Paka, Tmn Bunga Raya, 23000 Dungun, Terengganu Darul Iman</t>
  </si>
  <si>
    <t>019-9836811</t>
  </si>
  <si>
    <t>cca6668@gmail.com</t>
  </si>
  <si>
    <t>DC Handal EV Charging Hub</t>
  </si>
  <si>
    <t>EV Connection Sdn Bhd (IOI Citymall, Putrajaya)</t>
  </si>
  <si>
    <t>Susan Lau Shiew Hung</t>
  </si>
  <si>
    <t>GoodWe GW10K-SDT-20</t>
  </si>
  <si>
    <t>821226-13-5150</t>
  </si>
  <si>
    <t>27, Jalan SS 22A/8, Damansara Jaya, 47400 Petaling Jaya, Selangor Darul Ehsan</t>
  </si>
  <si>
    <t>012-2777019</t>
  </si>
  <si>
    <t>san99lau@gmail.com</t>
  </si>
  <si>
    <t>Dr Suntheresan A/L Ganapathy</t>
  </si>
  <si>
    <t>680926-02-5351</t>
  </si>
  <si>
    <t>No 27, Jalan Aman Elemen 3, Bandar Tropicana Aman, 42500 Telok Panglima Garang, Selangor Darul Ehsan</t>
  </si>
  <si>
    <t>019-2262119</t>
  </si>
  <si>
    <t>sunthe26@gmail.com</t>
  </si>
  <si>
    <t>Saiful Lizan Bin Ibrahim</t>
  </si>
  <si>
    <t>731112-06-5749</t>
  </si>
  <si>
    <t>16, Jalan Suadamai 6/2, Bandar Tun Hussein Onn, 43200 Cheras, Selangor Darul Ehsan</t>
  </si>
  <si>
    <t>019-2611759</t>
  </si>
  <si>
    <t>gunner2490@yahoo.com</t>
  </si>
  <si>
    <t>Chong Fong Chin(Jessie)</t>
  </si>
  <si>
    <t>Astronergy 585Wp</t>
  </si>
  <si>
    <t>861207-33-5276</t>
  </si>
  <si>
    <t>No 11, Lrg Bkt Setongkol Perdana 29, Perkpgn Bkt Setongkol, Tmn Bukit Setongkol,  25200 Kuantan, Pahang Darul Makmur</t>
  </si>
  <si>
    <t>019-9351188</t>
  </si>
  <si>
    <t>jessie.cfc@gmail.com</t>
  </si>
  <si>
    <t>Loo Thiam Seng</t>
  </si>
  <si>
    <t>Astronergy 590Wp</t>
  </si>
  <si>
    <t>Huawei SUN2000-6KTL</t>
  </si>
  <si>
    <t>560426-07-5479</t>
  </si>
  <si>
    <t>61, Jln Tasik Indah 2, Tmn Tasik Indah, 51200 WP Kuala Lumpur</t>
  </si>
  <si>
    <t>019-2263229</t>
  </si>
  <si>
    <t>tsloo1956@gmail.com</t>
  </si>
  <si>
    <t>Chew Mei May</t>
  </si>
  <si>
    <t>721025-10-5598</t>
  </si>
  <si>
    <t>67, Jln BK 5B/5A, Bdr Kinrara, 47180 Puchong, Selangor Darul Ehsan</t>
  </si>
  <si>
    <t>012-2203402</t>
  </si>
  <si>
    <t>meimaychew@gmail.com</t>
  </si>
  <si>
    <t>Razman Bin Samsudin</t>
  </si>
  <si>
    <t>760713-71-5025</t>
  </si>
  <si>
    <t>No.8, Jalan SS20/25, Damansara Utama, 47400 Petaling Jaya, Selangor</t>
  </si>
  <si>
    <t>019-3371313</t>
  </si>
  <si>
    <t>razmanbinsamsudin@gmailcom</t>
  </si>
  <si>
    <t>Chen Ah Hin</t>
  </si>
  <si>
    <t>480824-10-5119</t>
  </si>
  <si>
    <t>Lot 1325-79B, Jalan Jinjang Damai 7, JinJang Utara, 52000 Kuala Lumpur</t>
  </si>
  <si>
    <t>019-3281707</t>
  </si>
  <si>
    <t>chen2.luma@gmail.com</t>
  </si>
  <si>
    <t>Lim Kok Teong</t>
  </si>
  <si>
    <t>790418-07-5747</t>
  </si>
  <si>
    <t>3 Jalan Kenyalang 11/4E, PJU 5, Kota Damansara, 47810 Petaling Jaya, Selangor Darul Ehsan</t>
  </si>
  <si>
    <t>019-4134865</t>
  </si>
  <si>
    <t>cmjasonlim311@gmail.com</t>
  </si>
  <si>
    <t>Unitrade</t>
  </si>
  <si>
    <t>Chan Po Kok (JC Chan KEB)</t>
  </si>
  <si>
    <t>830506-14-6019</t>
  </si>
  <si>
    <t>16, Jalan Sunville 4, Taman Sunville, 43000 Kajang, Selangor Darul Ehsan</t>
  </si>
  <si>
    <t>017-8786050</t>
  </si>
  <si>
    <t>cpokok0506@hotmail.com</t>
  </si>
  <si>
    <t>Lim Kok Liang</t>
  </si>
  <si>
    <t>830112-02-5169</t>
  </si>
  <si>
    <t>1, Jalan Metafasa, U16/160. Elmina West, Seksyen U16, 40160, Shah Alam , Selangor Darul Ehsan</t>
  </si>
  <si>
    <t>016-2173777</t>
  </si>
  <si>
    <t>steelmerchantssb@gmail.com</t>
  </si>
  <si>
    <t>Susan Sung Fong Thieng</t>
  </si>
  <si>
    <t>691205-12-5030</t>
  </si>
  <si>
    <t>37, Southlake Terraces, Jalan Denai Selatan 5, Desa Parkcity. 52200 Kuala Lumpur</t>
  </si>
  <si>
    <t>012-2393003</t>
  </si>
  <si>
    <t>susansung37@gmail.com</t>
  </si>
  <si>
    <t>Lee Boon Huet</t>
  </si>
  <si>
    <t>Huawei SUN2000-5KTL-L1</t>
  </si>
  <si>
    <t>720825-05-5109</t>
  </si>
  <si>
    <t>31, Jln Cassia 4, Bdr Botanic, 41200 Klang, Selangor Darul Ehsan</t>
  </si>
  <si>
    <t>012-2045618</t>
  </si>
  <si>
    <t>blee@fp-group.com</t>
  </si>
  <si>
    <t>Ng Yunn Chong</t>
  </si>
  <si>
    <t>620205-08-6037</t>
  </si>
  <si>
    <t>97, Jalan Selasar Rokam 11, Kampung Sri Ampang, 31350 Ipoh, Perak Darul Ridzuan</t>
  </si>
  <si>
    <t>012-5127295</t>
  </si>
  <si>
    <t>ngyunnchong123@gmail.com</t>
  </si>
  <si>
    <t>Wong Hoon Sang</t>
  </si>
  <si>
    <t>630220-10-7149</t>
  </si>
  <si>
    <t>75, Jalan Uranus U5/122B, Seksyen U5, 40150 Shah Alam. Selangor Darul Ehsan</t>
  </si>
  <si>
    <t>014-9159789</t>
  </si>
  <si>
    <t>wonghoonsang@gmail.com</t>
  </si>
  <si>
    <t>Nor Aini binti Mohd Ashari</t>
  </si>
  <si>
    <t>Huawei SUN2000-4KTL-L1</t>
  </si>
  <si>
    <t>731105-08-6402</t>
  </si>
  <si>
    <t>No 61, Jln Sigma U6/16A, Sek U6 (Taman Subang Permata), 40150 Subang, Selangor Darul Ehsan</t>
  </si>
  <si>
    <t>011-28584486</t>
  </si>
  <si>
    <t>norazam4446@yahoo.com.sg</t>
  </si>
  <si>
    <t>Bioserasi</t>
  </si>
  <si>
    <t>Lai Kim Soon (Stella)</t>
  </si>
  <si>
    <t>Solinteg MHS-5K-30 hybrid</t>
  </si>
  <si>
    <t>910301-06-5675</t>
  </si>
  <si>
    <t>No 36, Lrg Seri Teruntum 13, Tmn Sri Teru, Tanah Putih, 25200 Kuantan. Pahang Darul Makmur</t>
  </si>
  <si>
    <t>011-55090155</t>
  </si>
  <si>
    <t>miiao_maomao520@hotmail.com</t>
  </si>
  <si>
    <t>Tan Poh Poh</t>
  </si>
  <si>
    <t>710625-08-5224</t>
  </si>
  <si>
    <t>6, Lrg Seri Setali, 115 Off Jln Air Putih, Air Putih, 25300 Kuantan, Pahang Darul Makmur</t>
  </si>
  <si>
    <t>012-9831939</t>
  </si>
  <si>
    <t xml:space="preserve">may014215@gmail.com </t>
  </si>
  <si>
    <t>Leau Koo Sien (Eric)</t>
  </si>
  <si>
    <t>740722-06-5097</t>
  </si>
  <si>
    <t>No 12A, Lorong Pelindung 95, Perumahan Pelindung, 25050 Kuantan, Pahang Darul makmur</t>
  </si>
  <si>
    <t>019-9270778</t>
  </si>
  <si>
    <t>Leaueric@gmail.com</t>
  </si>
  <si>
    <t>2403197-1</t>
  </si>
  <si>
    <t>Koon Kok Leong</t>
  </si>
  <si>
    <t>741008-01-5759</t>
  </si>
  <si>
    <t>No 80, Lrg Delima 5/KS6, Bdr Parklands, Pandamar, 42000 Klang, Selangor Darul Ehsan</t>
  </si>
  <si>
    <t>012-3988909</t>
  </si>
  <si>
    <t>klkoon8882@gmail.com</t>
  </si>
  <si>
    <t>Wong Wai Kwong</t>
  </si>
  <si>
    <t>790114-06-5467</t>
  </si>
  <si>
    <t>No 55, Lrg Im 1/41, Tmn Putra Aman, 25200 Bandar Indera Mahkota, Pahang Darul Makmur</t>
  </si>
  <si>
    <t>016-9233066</t>
  </si>
  <si>
    <t>ww_kwong@yahoo.com.sg</t>
  </si>
  <si>
    <t>Jimmy Kok Aik Lim</t>
  </si>
  <si>
    <t>621013-11-5109</t>
  </si>
  <si>
    <t>3 Jalan Telawi 7, Bangsar Baru, Bangsar,59100 Kuala Lumpur, WP Kuala Lumpur</t>
  </si>
  <si>
    <t>012-3709905</t>
  </si>
  <si>
    <t>lytan63@hotmail.com</t>
  </si>
  <si>
    <t>Weller Air-Cond Parts Enterprise Sdn Bhd</t>
  </si>
  <si>
    <t>Huawei SUN2000-20KTL</t>
  </si>
  <si>
    <t>Lot 8324, Kg Makau Bt 1, 43100 Hulu Langat, Selangor</t>
  </si>
  <si>
    <t>Enviri Industries Sdn Bhd</t>
  </si>
  <si>
    <t>Jinko Solar 575Wp</t>
  </si>
  <si>
    <t>Huawei SUN2000-100KTL x 2
Huawei SUN2000-36KTL x 1</t>
  </si>
  <si>
    <t>PT71179, Jalan Lapis 2, 42100 Klang, Selangor</t>
  </si>
  <si>
    <t>Intergreen Holdings Sdn Bhd</t>
  </si>
  <si>
    <t>Huawei SUN2000-12KTL-M5 x 2
Huawei SUN2000-12KTL-MB0 x 1</t>
  </si>
  <si>
    <t>Pusat Perdagangan Amcorp, 3, Jalan Timur, Seksyen 9, 46000 Petaling Jaya, Selangor</t>
  </si>
  <si>
    <t>CK Fresh Sdn Bhd</t>
  </si>
  <si>
    <t>Huawei SUN2000-30KTL</t>
  </si>
  <si>
    <t>Lot 8393, Jln Air Hitam, Kelapa Sawit, 81000 Kulai, Johor</t>
  </si>
  <si>
    <t>Ling Duon Kwan</t>
  </si>
  <si>
    <t>780817-13--5437</t>
  </si>
  <si>
    <t>No 58, Jln TP 1/3, Tiara Putra, 47000 Sungai Buloh, Selangor Darul Ehsan</t>
  </si>
  <si>
    <t>012-3799638</t>
  </si>
  <si>
    <t>duncanling@yahoo.com</t>
  </si>
  <si>
    <t>Tham Chee Man</t>
  </si>
  <si>
    <t>590601-06-5153</t>
  </si>
  <si>
    <t>33, Jalan Flora 3, Saujana Utama, 47000 Sungai Buloh, Selangor Darul Ehsan</t>
  </si>
  <si>
    <t>017-9034540</t>
  </si>
  <si>
    <t>thamcheongsheng@gmail.com</t>
  </si>
  <si>
    <t>Yap Bee Im Marianne</t>
  </si>
  <si>
    <t>Huawei SUN2000-8KTL</t>
  </si>
  <si>
    <t>831021-14-6242</t>
  </si>
  <si>
    <t>No 8, Jln Hijau Alam U9/14C, Cahaya SPK, Sek U9, 40150 Shah Alam, Selangor Darul Ehsan</t>
  </si>
  <si>
    <t>012-3050288</t>
  </si>
  <si>
    <t>marianneyap21@gmail.com</t>
  </si>
  <si>
    <t>Cheong Sau Ling</t>
  </si>
  <si>
    <t>740823-02-5825</t>
  </si>
  <si>
    <t>15, Jalan Kemuning Bayu 33/32L, Kemuning Utama,40400 Shah Alam, Selangor Darul Ehsan</t>
  </si>
  <si>
    <t>013-7274135</t>
  </si>
  <si>
    <t>lingling822@hotmail.my</t>
  </si>
  <si>
    <t>Sim Keng Chor</t>
  </si>
  <si>
    <t>470725-01-5629</t>
  </si>
  <si>
    <t>8, Lorong Kemaris 6, Bangsar Baru, 59100 Kuala Lumpur, WP Kuala Lumpur</t>
  </si>
  <si>
    <t>012-2789488</t>
  </si>
  <si>
    <t>simson@unitrade.com.my</t>
  </si>
  <si>
    <t>Nor Hana binti Supiran @ Soviran</t>
  </si>
  <si>
    <t>Huawei SUN2000-5KTL-M1</t>
  </si>
  <si>
    <t>801003-08-5944</t>
  </si>
  <si>
    <t>Lot 84327, Lorong Merbau 1, Kampung Melayu, 68000 Ampang, Selangor Darul Ehsan</t>
  </si>
  <si>
    <t>019-3170725</t>
  </si>
  <si>
    <t>hanatrading78@yahoo.com</t>
  </si>
  <si>
    <t>Ng Lay Ping</t>
  </si>
  <si>
    <t>15 years</t>
  </si>
  <si>
    <t>700919-10-5236</t>
  </si>
  <si>
    <t>Lot 27838, Jln BRP 2/2C, Bkt Rahman Putra, 40160 Sungai Buloh, Selangor Darul Ehsan</t>
  </si>
  <si>
    <t>012-3999903</t>
  </si>
  <si>
    <t>lpng_lew@yahoo.com</t>
  </si>
  <si>
    <t>Inverter Warranty Extend to 15 years</t>
  </si>
  <si>
    <t>Nor Fadillah</t>
  </si>
  <si>
    <t>630327-04-5398</t>
  </si>
  <si>
    <t>17, Jalan Laman Jasmin 5A, Laman Jasmin, 71800 Nilai Negeri Sembilan Darul Khusus</t>
  </si>
  <si>
    <t>016-2477797</t>
  </si>
  <si>
    <t>drnorfadillah@gmail.com</t>
  </si>
  <si>
    <t>Budi Jelas Sdn Bhd</t>
  </si>
  <si>
    <t>PT 12887, Kaw Asan Perindustrian LKNP Benus, 28700 Bentong, Pahang</t>
  </si>
  <si>
    <t>Billy Teoh Wee Wei</t>
  </si>
  <si>
    <t>830811-07-5405</t>
  </si>
  <si>
    <t>No 5082, Lrg Bagan Vista, Jln Telaga Air, 12200 Butterworth Pulau Pinang</t>
  </si>
  <si>
    <t>012-4215656</t>
  </si>
  <si>
    <t>billyteoh19@hotmail.com</t>
  </si>
  <si>
    <t>Teo En Chie</t>
  </si>
  <si>
    <t>910530-01-6505</t>
  </si>
  <si>
    <t>18, Jalan Senibong 1, Teluk Senibong, 81750 Masai, Johor Darul Takzim</t>
  </si>
  <si>
    <t>010-8820636</t>
  </si>
  <si>
    <t>enchie@live.com.my</t>
  </si>
  <si>
    <t>Sleep Matics (Asia) Sdn Bhd</t>
  </si>
  <si>
    <t>Huawei SUN2000-115KTL x 2
Huawei SUN2000-50KTL x 1</t>
  </si>
  <si>
    <t>Lot 37133, Kg Baru Sg Buloh, 47000 Sungai Buloh, Selangor</t>
  </si>
  <si>
    <t>CHL Foam Industries Sdn Bhd</t>
  </si>
  <si>
    <t>Huawei SUN2000-115KTL x 2
Huawei SUN2000-30KTL x 1</t>
  </si>
  <si>
    <t>Lot 37174, Kg Baru Sg Buloh, 47000 Sungai Buloh, Selangor</t>
  </si>
  <si>
    <t>Ong Pui Fen</t>
  </si>
  <si>
    <t>760801-04-5180</t>
  </si>
  <si>
    <t>51, Jalan USJ 2/5H, USJ 2, 47600 Subang Jaya, Selangor Darul Ehsan</t>
  </si>
  <si>
    <t>016-2100039</t>
  </si>
  <si>
    <t>tattmun@gmail.com</t>
  </si>
  <si>
    <t>Chua Boon Seng</t>
  </si>
  <si>
    <t>Azra</t>
  </si>
  <si>
    <t>750927-06-5137</t>
  </si>
  <si>
    <t>No 1B, Lrg Seri Kuantan 28/1, Kuantan Garden, 25300 Kuantan, Pahang Darul Makmur</t>
  </si>
  <si>
    <t>018-9094538</t>
  </si>
  <si>
    <t>cboonhuang@gmail.com</t>
  </si>
  <si>
    <t>Chan Hui Li</t>
  </si>
  <si>
    <t>700521-06--5318</t>
  </si>
  <si>
    <t>No 111, Lrg Air Putih 21, Jln Air Putih, Tmn Dahlia Astana, 25350 Kuantan, Pahang Darul Makmur</t>
  </si>
  <si>
    <t>012-2392000</t>
  </si>
  <si>
    <t>conniechan2105@yahoo.com</t>
  </si>
  <si>
    <t>Goh Wee Bang (Goh Swee Teng)</t>
  </si>
  <si>
    <t>750605-10-5255</t>
  </si>
  <si>
    <t>No 12A, Jln Cokmar 2 K, Tmn Mutiara Bkt Raja, 41050 Klang, Selangor Darul Ehsan</t>
  </si>
  <si>
    <t>012-2313922</t>
  </si>
  <si>
    <t>vbangoh1975@gmail.com</t>
  </si>
  <si>
    <t>Teoh Kah Ming</t>
  </si>
  <si>
    <t>880326-14-5807</t>
  </si>
  <si>
    <t>No 5, Jln Kemuning Indah 32/141J, Kemuning Utama, 40460 Shah Alam, Selangor Darul Ehsan</t>
  </si>
  <si>
    <t>012-6777309</t>
  </si>
  <si>
    <t>kahming.teoh@gmail.com</t>
  </si>
  <si>
    <t>Gan Wei Kuan</t>
  </si>
  <si>
    <t>Cancelled</t>
  </si>
  <si>
    <t>Haiu Chan Lai</t>
  </si>
  <si>
    <t>670120-11-5324</t>
  </si>
  <si>
    <t>41, Jln Daun Inai 7, Sunway SPK Damansara, 52200 Kuala Lumpur, WP Kuala Lumpur</t>
  </si>
  <si>
    <t>012-3760333</t>
  </si>
  <si>
    <t>jacquelinehaiu@gmail.com</t>
  </si>
  <si>
    <t>Shreeram Nadarajah</t>
  </si>
  <si>
    <t>760726-14-5391</t>
  </si>
  <si>
    <t>123, Jalan Terasek 1, Bangsar Baru, Bangsar, 59100 Kuala Lumpur, WP Kuala Lumpur</t>
  </si>
  <si>
    <t>019-2619729</t>
  </si>
  <si>
    <t>shreeram.nadarajah@gmail.com</t>
  </si>
  <si>
    <t>Datin Tai Bee Choon</t>
  </si>
  <si>
    <t>760817-01-5584</t>
  </si>
  <si>
    <t>No 16, Jln Setia Tropika 15/1, Tmn Setia Tropika, 81200 Johor Bahru. Johor Darul Takzim</t>
  </si>
  <si>
    <t>013-8222255</t>
  </si>
  <si>
    <t>datoivan@ungguhgroup.com</t>
  </si>
  <si>
    <t>Yeap Say Woei</t>
  </si>
  <si>
    <t>800117-02-5697</t>
  </si>
  <si>
    <t>10, Bukit Dumbar Residences, Lorong Batu Gajah, 11600 Jelutong, Pulau Pinang</t>
  </si>
  <si>
    <t>012-4776246</t>
  </si>
  <si>
    <t>saywoei@yahoo.com</t>
  </si>
  <si>
    <t>Tan Zhi Cheng</t>
  </si>
  <si>
    <t>840518-09-5203</t>
  </si>
  <si>
    <t>15, Jalan BK 2/7, Bandar Kinrara, 47180 Puchong, Selangor Darul Ehsan</t>
  </si>
  <si>
    <t>016-4010372</t>
  </si>
  <si>
    <t>tzcheng07@gmail.com</t>
  </si>
  <si>
    <t>Teh Siew Eng</t>
  </si>
  <si>
    <t>531030-08-5440</t>
  </si>
  <si>
    <t>No 49, Jln Kasipillay, 51200 Kuala Lumpur, WP Kuala Lumpur</t>
  </si>
  <si>
    <t>012-2290951</t>
  </si>
  <si>
    <t>fattychuah@gmail.com</t>
  </si>
  <si>
    <t>Lai Chun Wai</t>
  </si>
  <si>
    <t>711015-14-5159</t>
  </si>
  <si>
    <t>No  31, Lrg Sri Kuantan 55, Tmn Timur, 25150 Kuantan, Pahang Darul Makmur</t>
  </si>
  <si>
    <t>012-3879932</t>
  </si>
  <si>
    <t>chunwai103@gmail.com</t>
  </si>
  <si>
    <t>Tay Poh Chai</t>
  </si>
  <si>
    <t>730209-04-5037</t>
  </si>
  <si>
    <t>53, Jalan Saujana Duta 7, Saujana Duta, Seremban 2 Heights, 70300 Seremban, Negeri Sembilan Darul Khusus</t>
  </si>
  <si>
    <t>019-6616826</t>
  </si>
  <si>
    <t>alextaypohchai@hotmail.com</t>
  </si>
  <si>
    <t>Alex How Chee Keong</t>
  </si>
  <si>
    <t>770202-14-5437</t>
  </si>
  <si>
    <t>Unit 16, Zenia Jalan Residen 2, Desa Parkcity, 52200 Kuala Lumpur, WP Kuala Lumpur</t>
  </si>
  <si>
    <t>012-3453457</t>
  </si>
  <si>
    <t>keongko@hotmail.com</t>
  </si>
  <si>
    <t>How Mei Cheng</t>
  </si>
  <si>
    <t>811203-14-5656</t>
  </si>
  <si>
    <t>2-134, Jalan Udang Ketak, Taman Sri Segambut, 52000 Kuala Lumpur, WP Kuala Lumpur</t>
  </si>
  <si>
    <t>012-2012123</t>
  </si>
  <si>
    <t>joe_hmc@hotmail.com</t>
  </si>
  <si>
    <t>Windy Ng</t>
  </si>
  <si>
    <t>820717-01-5204</t>
  </si>
  <si>
    <t>13, Jalan U13/53H, Eco Ardence, Seksyen U13, 40170 Shah Alam, Selangor Darul Ehsan</t>
  </si>
  <si>
    <t>017-7753119</t>
  </si>
  <si>
    <t>yellowwindy@hotmail.com</t>
  </si>
  <si>
    <t>Zainuddin Zin</t>
  </si>
  <si>
    <t>590911-06-5319</t>
  </si>
  <si>
    <t>8, Lrg Kg Panching 10, Kg Panching, 26090 Kuantan, Pahang Darul Makmur</t>
  </si>
  <si>
    <t>019-9774850</t>
  </si>
  <si>
    <t>zainudinzin@gmail.com</t>
  </si>
  <si>
    <t>Handal Green Mobility Sdn Bhd (Encore Melaka)</t>
  </si>
  <si>
    <t>No 3, Jalan KSB - Impression 8, Impression City @ Kota Syahbandar, 75200 Melaka</t>
  </si>
  <si>
    <t>Kwan Li Shan</t>
  </si>
  <si>
    <t>800718-08-5978</t>
  </si>
  <si>
    <t>Lot 387509, Laluan Sri Ampang 2, Kampung Sri Ampang, 31350 Ipoh, Perak Darul Ridzuan</t>
  </si>
  <si>
    <t>012-5142483</t>
  </si>
  <si>
    <t>lishankwan@gmail.com</t>
  </si>
  <si>
    <t>Liau Hui Kiem</t>
  </si>
  <si>
    <t>780419-10-5734</t>
  </si>
  <si>
    <t>20, Jalan Setia Damai U13/15F, Setia Alam 40170 Shah Alam, Selangor Darul Ehsan</t>
  </si>
  <si>
    <t>019-2338688</t>
  </si>
  <si>
    <t>hkliau8688@gmail.com</t>
  </si>
  <si>
    <t>Mohd Nasir Man</t>
  </si>
  <si>
    <t>640103-09-5029</t>
  </si>
  <si>
    <t>No B3075, Jln Beserah, Tmn Multiply, 25300 Kuantan, Pahang Darul Makmur</t>
  </si>
  <si>
    <t>012-9003767</t>
  </si>
  <si>
    <t>mnasirman17@gmail.com</t>
  </si>
  <si>
    <t>Tan Ger Ber</t>
  </si>
  <si>
    <t>560608-01-6090</t>
  </si>
  <si>
    <t>10, Jalan Kenyalang 11/15G, Seksyen 11, Kota Damansara, 47810, Petaling Jaya, Selangor Darul Ehsan</t>
  </si>
  <si>
    <t>012-5273664</t>
  </si>
  <si>
    <t>tangerber@gmail.com</t>
  </si>
  <si>
    <t>Ng Boon Kiat (Daniel)</t>
  </si>
  <si>
    <t>Cash + Credit Card Instalment</t>
  </si>
  <si>
    <t>840903-01-5679</t>
  </si>
  <si>
    <t>No 4, Jalan KS 14/12, Kota Sultan Ahmad Shah, 25200 Kuantan, Pahang</t>
  </si>
  <si>
    <t>012-6121112</t>
  </si>
  <si>
    <t>danielngbk84@gmail.com</t>
  </si>
  <si>
    <t>How Yee Seun</t>
  </si>
  <si>
    <t>840202-06-5008</t>
  </si>
  <si>
    <t>32A, Jalan Aman Arahsia 7, Bandar Tropicana Aman, 42500 Telok Panglima Garang, Selangor Darul Ehsan</t>
  </si>
  <si>
    <t>012-9370766</t>
  </si>
  <si>
    <t>yeesuen02@yahoo.com</t>
  </si>
  <si>
    <t>Lau Ah Leng</t>
  </si>
  <si>
    <t>550425-02-5403</t>
  </si>
  <si>
    <t>19, Jln Kenyalang 11/15I, Seksyen 11, Kota Damansara, 47810 Petaling Jaya, Selangor Darul Ehsan</t>
  </si>
  <si>
    <t>019-3128863</t>
  </si>
  <si>
    <t>allan@gmail.com</t>
  </si>
  <si>
    <t>Leong Tack Ming</t>
  </si>
  <si>
    <t>530501-05-5607</t>
  </si>
  <si>
    <t>3, Jalan SS 22/24, Damansara jaya. 47400 Petaling Jaya, Selangor</t>
  </si>
  <si>
    <t>012-2011132</t>
  </si>
  <si>
    <t>Charles Lew Chow Leng</t>
  </si>
  <si>
    <t>620529-07-5406</t>
  </si>
  <si>
    <t>6, Jalan Kenyalang 11/15A, Seksyen 11, Kota Damansara, 47810 Petaling Jaya, Selangor Darul Ehsan</t>
  </si>
  <si>
    <t>012-3999189</t>
  </si>
  <si>
    <t>clew62@gmail.com</t>
  </si>
  <si>
    <t>Loh Fook Khew</t>
  </si>
  <si>
    <t>560512-08-5307</t>
  </si>
  <si>
    <t>8, Jalan Kenyalang 11/15A, Seksyen 11, Kota Damansara, 47810 Petaling Jaya, Selangor Darul Ehsan</t>
  </si>
  <si>
    <t>012-3351801</t>
  </si>
  <si>
    <t>chinmei_fashion@hotmail.com</t>
  </si>
  <si>
    <t>Cheong Chin Meng</t>
  </si>
  <si>
    <t>730422-06-5301</t>
  </si>
  <si>
    <t>145, Jln Bkt Setongkol 3, Tmn Muhibah FAS, Bukit Setongkol, 25200 Kuantan, Pahang Darul Makmur</t>
  </si>
  <si>
    <t>012-9103893</t>
  </si>
  <si>
    <t>ioienterprisektn@gmail.com</t>
  </si>
  <si>
    <t>Advantic Nutraceuticals</t>
  </si>
  <si>
    <t>Astronergy 610Wp</t>
  </si>
  <si>
    <t xml:space="preserve">Huawei SUN2000-30KTL + Huawei SUN2000-36KTL </t>
  </si>
  <si>
    <t>Full O&amp;M - 3 years</t>
  </si>
  <si>
    <t>Chua Tong Hin Hardware Sdn Bhd</t>
  </si>
  <si>
    <t>Lot 37679, Jln 3/37A, Tmn Bukit Maluri Kepong, 52100 Kuala Lumpur</t>
  </si>
  <si>
    <t>NMSY Capital Sdn Bhd (Mohd Nasir)</t>
  </si>
  <si>
    <t>Huawei SUN2000-17KTL</t>
  </si>
  <si>
    <t>N-1332, G Floor, Jln Tg Lumpur, 26060 Kuantan, Pahang</t>
  </si>
  <si>
    <t>Chua Ling Ling</t>
  </si>
  <si>
    <t>760115-14-5448</t>
  </si>
  <si>
    <t>132A, Jln Desa Residen, Desa Parkcity, 52200 Kuala Lumpur, WP Kuala Lumpur</t>
  </si>
  <si>
    <t>011-11428999</t>
  </si>
  <si>
    <t>llchua00@hotmail.com</t>
  </si>
  <si>
    <t>Yeo Chen Kok</t>
  </si>
  <si>
    <t>830625-07-5049</t>
  </si>
  <si>
    <t>10, Jln Hujan Emas 11, Overseas Union Garden, 58200 Kuala Lumpur, WP Kuala Lumpur</t>
  </si>
  <si>
    <t>012-9283828</t>
  </si>
  <si>
    <t>yeochenkok@gmail.com</t>
  </si>
  <si>
    <t>Amirluddin bin Awang</t>
  </si>
  <si>
    <t>671111-11-5079</t>
  </si>
  <si>
    <t>No 8, Lorong Im 11/10, Mahkota Heights, 25200 Kuantan, Pahang Darul Makmur</t>
  </si>
  <si>
    <t>012-7992686</t>
  </si>
  <si>
    <t>tidzariah@gmail.com</t>
  </si>
  <si>
    <t>Ong Gin Chin</t>
  </si>
  <si>
    <t>600218-01-5432</t>
  </si>
  <si>
    <t>9, Jalan Anggerik Liparis 31/152, Kota Kemuning, 40460 Shah Alam, Selangor Darul Ehsan</t>
  </si>
  <si>
    <t>016-2792625</t>
  </si>
  <si>
    <t>cyschin@hotmail.com</t>
  </si>
  <si>
    <t>Ng Seow Fong</t>
  </si>
  <si>
    <t>790812-14-5854</t>
  </si>
  <si>
    <t>21, Jalan Suria 6, Taman Suria, 43000 Kajang, Selangor Darul Ehsan</t>
  </si>
  <si>
    <t>012-2624548</t>
  </si>
  <si>
    <t>esther@unitrade.com.my</t>
  </si>
  <si>
    <t>Chuah Teah Soo</t>
  </si>
  <si>
    <t>500224-08-5017</t>
  </si>
  <si>
    <t>No 11, PT 28561, Jalan Bukit Indah, Taman Bukit Indah, 27600 Raub, Pahang Darul Makmur</t>
  </si>
  <si>
    <t>019-9867505</t>
  </si>
  <si>
    <t>sykt_pern_chuah@yahoo.com.my</t>
  </si>
  <si>
    <t>Ecila Sim Ju-Inn</t>
  </si>
  <si>
    <t>781228-14-5762</t>
  </si>
  <si>
    <t>49, Jalan Duta Villa 1, Setia Alam, 40170 Shah Alam, Selangor Darul Ehsan</t>
  </si>
  <si>
    <t>019-6668520</t>
  </si>
  <si>
    <t>juinn@unitrade.com.my</t>
  </si>
  <si>
    <t>Wong Yoke Chon</t>
  </si>
  <si>
    <t>740422-08-5002</t>
  </si>
  <si>
    <t>368, Jalan Tasek Permai, Kampung Tasek Permai, 68000 Ampang, Selangor Darul Ehsan</t>
  </si>
  <si>
    <t>016-2081788</t>
  </si>
  <si>
    <t>traceywong92@gmail.com</t>
  </si>
  <si>
    <t>Foo Su Hoong</t>
  </si>
  <si>
    <t>640115-10-5474</t>
  </si>
  <si>
    <t>3, Jln Kenyalang 11/15D, Seksyen 11, Kota Damansara, 47810 Petaling Jaya, Selangor Darul Ehsan</t>
  </si>
  <si>
    <t>012-3739780</t>
  </si>
  <si>
    <t>suhoongfoo@gmail.com</t>
  </si>
  <si>
    <t>Wan Johan Bin Rahim</t>
  </si>
  <si>
    <t>860724-43-6847</t>
  </si>
  <si>
    <t>12A, Jalan Setia Tropika U13/20B, Setia Alam, 40170 Shah Alam, Selangor Darul Ehsan</t>
  </si>
  <si>
    <t>012-3906522</t>
  </si>
  <si>
    <t>aminrahim@msn.com</t>
  </si>
  <si>
    <t>Koo Woon Kee</t>
  </si>
  <si>
    <t>540804-10-6087</t>
  </si>
  <si>
    <t>50B, Jln Merah Mawar Tujuh U9/6G, Cahaya SPK, Sek U9, 40150 Shah Alam, Selangor Darul Ehsan</t>
  </si>
  <si>
    <t>012-2426698</t>
  </si>
  <si>
    <t>koowoonkee@gmail.com</t>
  </si>
  <si>
    <t>Exc Smart Meter</t>
  </si>
  <si>
    <t>Nor Aini binti Mat Saman (Nazrul Latif)</t>
  </si>
  <si>
    <t>760923-08-6124</t>
  </si>
  <si>
    <t>No 49, Lorong Pinggiran Putra 3/122, Pinggiran Putra 3, 26060 Kuantan, Pahang</t>
  </si>
  <si>
    <t>019-9598431</t>
  </si>
  <si>
    <t>2407397-1</t>
  </si>
  <si>
    <t>Teo Kai Yun</t>
  </si>
  <si>
    <t>950515-05-5334</t>
  </si>
  <si>
    <t>138, Lorong Warisan Villa 2/3, Taman Warisan Villa, 71800 Nilai, Negeri Sembilan Darul Khusus</t>
  </si>
  <si>
    <t>012-2531773</t>
  </si>
  <si>
    <t>allyssa_pinky@hotmail.com</t>
  </si>
  <si>
    <t>Chua Teng Teng</t>
  </si>
  <si>
    <t>771115-14-5820</t>
  </si>
  <si>
    <t>130, Jln Desa Residen, Desa Parkcity, 52200 Kuala Lumpur, WP Kuala Lumpur</t>
  </si>
  <si>
    <t>012-3354488</t>
  </si>
  <si>
    <t>ttchua77@hotmail.com</t>
  </si>
  <si>
    <t>Lee Yoon Huat</t>
  </si>
  <si>
    <t>780620-05-5273</t>
  </si>
  <si>
    <t>No 18, Jln Jalil Perkasa 19, Tmn Esplanad, 57100 Bukit Jalil, WP Kuala Lumpur</t>
  </si>
  <si>
    <t>016-2226469</t>
  </si>
  <si>
    <t>thomas119@hotmail.com</t>
  </si>
  <si>
    <t>Tan Boon Siang (Han Father)</t>
  </si>
  <si>
    <t>610216-02-5417</t>
  </si>
  <si>
    <t>360, Tmn Saga Jln Alor Mengkudu, 05400 Alor Setar, Kedah Darul Aman</t>
  </si>
  <si>
    <t>017-4732831</t>
  </si>
  <si>
    <t>boon.siang@hotmail.com</t>
  </si>
  <si>
    <t>Tee Cheong Tuan</t>
  </si>
  <si>
    <t>621029-06-5273</t>
  </si>
  <si>
    <t>No 3, Jln BK 6A/2A, Bandar Kinrara, 47100 Puchong, Selangor</t>
  </si>
  <si>
    <t>012-3290810</t>
  </si>
  <si>
    <t>tuantee2010@gmail.com</t>
  </si>
  <si>
    <t>Dato Tay Tong Ben</t>
  </si>
  <si>
    <t>900522-01-5829</t>
  </si>
  <si>
    <t>15, PTD207737, Jalan Danga Sutera 12/3, Taman Danga Sutera, 81300 Johor Bahru, Johor Darul Takzim</t>
  </si>
  <si>
    <t>016-7132622</t>
  </si>
  <si>
    <t>legendtay@hotmail.com</t>
  </si>
  <si>
    <t>Lim Choon Huat</t>
  </si>
  <si>
    <t>820818-01-6265</t>
  </si>
  <si>
    <t>64, Jalan Eko Botani 1/9, Taman Eko Botani, 79100 Iskandar Puteri, Johor Darul Takzim</t>
  </si>
  <si>
    <t>012-7731700</t>
  </si>
  <si>
    <t>otakibc@gmail.com</t>
  </si>
  <si>
    <t>Ong Ling Gee</t>
  </si>
  <si>
    <t>690508-01-5643</t>
  </si>
  <si>
    <t>57, Jln Melawati Tmn Melawati, 83700 Yong Peng, Johor Darul Takzim</t>
  </si>
  <si>
    <t>013-7448833</t>
  </si>
  <si>
    <t>onglinggee@yahoo.com</t>
  </si>
  <si>
    <t>Kuek Soon Yeam</t>
  </si>
  <si>
    <t>560722-10-6137</t>
  </si>
  <si>
    <t>No 95, Jln Hujan Bubuk, Overseas Union Garden, 58200 Kuala Lumpur, WP Kuala Lumpur</t>
  </si>
  <si>
    <t>012-3107766</t>
  </si>
  <si>
    <t>danielkuek56@hotmail.com</t>
  </si>
  <si>
    <t>Yap Siok Ching</t>
  </si>
  <si>
    <t>620404-10-6408</t>
  </si>
  <si>
    <t>No 33, Lrg Burhanuddin Helmi 1, Tmn Tun Dr Ismail, 60000 Kuala Lumpur, WP Kuala Lumpur</t>
  </si>
  <si>
    <t>017-2783248</t>
  </si>
  <si>
    <t>ginayap@gmail.com</t>
  </si>
  <si>
    <t>Shahrin Merican</t>
  </si>
  <si>
    <t>610228-71-5001</t>
  </si>
  <si>
    <t>36, Jalan Lanai Kiara, Taman Sri Hartamas, 50480 Kuala Lumpur</t>
  </si>
  <si>
    <t>012-2967681</t>
  </si>
  <si>
    <t>sitiomar19@yahoo.com</t>
  </si>
  <si>
    <t>Chua Shen Huat</t>
  </si>
  <si>
    <t>600508-11-5247</t>
  </si>
  <si>
    <t>PT PT 26137, Jln USJ 3D/6, USJ Avenue, 47500 Subang Jaya, Selangor</t>
  </si>
  <si>
    <t>013-2767764</t>
  </si>
  <si>
    <t>shchua60@hotmail.com</t>
  </si>
  <si>
    <t>Yap Kee Leong</t>
  </si>
  <si>
    <t>640318-10-6143</t>
  </si>
  <si>
    <t>Jalan Klang Batu 16, Kampung Tambak Jawa, 45800 Jeram, Selangor</t>
  </si>
  <si>
    <t>019-6642542</t>
  </si>
  <si>
    <t>klyap1964@hotmail.com</t>
  </si>
  <si>
    <t>Tiong Nguong Kiong</t>
  </si>
  <si>
    <t>560304-01-5435</t>
  </si>
  <si>
    <t>No 8, Jln Mawar 6, Tmn Mawar, 28300 Triang, Pahang</t>
  </si>
  <si>
    <t>012-6628908</t>
  </si>
  <si>
    <t>meeting1210@gmail.com</t>
  </si>
  <si>
    <t>Lua Peck Lay</t>
  </si>
  <si>
    <t>680419-11-5184</t>
  </si>
  <si>
    <t>No 25, Lrg Kubang Buaya 78, 25050 Kuantan, Pahang</t>
  </si>
  <si>
    <t>012-9218033</t>
  </si>
  <si>
    <t>luapecklay@yahoo.com</t>
  </si>
  <si>
    <t>Akhman Aidi Putra</t>
  </si>
  <si>
    <t>850804-06-5063</t>
  </si>
  <si>
    <t>No 7, Lrg Seberang Balok Aman 22, Kg Seberang Balok, 26100 Kuantan, Pahang</t>
  </si>
  <si>
    <t>017-3054551</t>
  </si>
  <si>
    <t xml:space="preserve">mr_akhman85@yahoo.com </t>
  </si>
  <si>
    <t>Chiang Yoke Har</t>
  </si>
  <si>
    <t>620610-06-5002</t>
  </si>
  <si>
    <t>2, Lrg Bukit Setongkol 45, Tmn Cenderawasih Indah, 25200 Kuantan, Pahang</t>
  </si>
  <si>
    <t>019-9896028</t>
  </si>
  <si>
    <t>yhchiang62@gmail.com</t>
  </si>
  <si>
    <t>Handal Green Mobility Sdn Bhd (ICE Gallery @ Pantai Sentral)</t>
  </si>
  <si>
    <t>No 2, Jalan Pantai Sentral 1, Pantai Sentral, 59200 Kuala Lumpur</t>
  </si>
  <si>
    <t>Lor Yean Yean</t>
  </si>
  <si>
    <t>600919-03-5372</t>
  </si>
  <si>
    <t>Lot 2206, Jln Bkt Losong Kg Losong Atap Zin, 21000 Kuala Terengganu</t>
  </si>
  <si>
    <t>012-9873293</t>
  </si>
  <si>
    <t>keemajujaya@gmail.com</t>
  </si>
  <si>
    <t>Lin Mok Kwai Yin</t>
  </si>
  <si>
    <t>521023-06-5194</t>
  </si>
  <si>
    <t>24, Lrg Seri Setali 17, Taman Tunas Baru, 25300 Kuantan, Pahang</t>
  </si>
  <si>
    <t>013-9310848</t>
  </si>
  <si>
    <t>datoedd@gmail.com</t>
  </si>
  <si>
    <t>Kwong Wui Ee</t>
  </si>
  <si>
    <t>760907-06-5366</t>
  </si>
  <si>
    <t>No. 8, Lorong Bukit Setongkol Perdana 10, Perumahan Bukit Setongkol Perdana, 25200 Kuantan, Pahang</t>
  </si>
  <si>
    <t>012-9500330</t>
  </si>
  <si>
    <t>wuiee@hotmail.com</t>
  </si>
  <si>
    <t>Cheu Chow Sew @ Chew Chow Sew</t>
  </si>
  <si>
    <t>550726-06-5257</t>
  </si>
  <si>
    <t>Lot 690-B PPRT, Jln Paka, Kg Batu 50, 23000 Dungun Terengganu</t>
  </si>
  <si>
    <t>019-982 4668</t>
  </si>
  <si>
    <t>pnhuphin@gmail.com</t>
  </si>
  <si>
    <t>Invoice to Perniagaan Hup Hin</t>
  </si>
  <si>
    <t>Ng Ek Hoo</t>
  </si>
  <si>
    <t>500712-06-5197</t>
  </si>
  <si>
    <t>41, Lrg Sekilau 64, Jalan Hj Ahmad, 25300 Kuantan</t>
  </si>
  <si>
    <t>010-2198138</t>
  </si>
  <si>
    <t>sping26@hotmail.com</t>
  </si>
  <si>
    <t>Phang Kar Teck</t>
  </si>
  <si>
    <t>560510-01-6383</t>
  </si>
  <si>
    <t>B4308, Jln Hj Ahmad, Tmn Rasa Sayang, 25300 Kuantan, Pahang</t>
  </si>
  <si>
    <t>019-9862354</t>
  </si>
  <si>
    <t>centralphang@gmail.com</t>
  </si>
  <si>
    <t>Lim Ye Soon</t>
  </si>
  <si>
    <t>870920-06-5675</t>
  </si>
  <si>
    <t>Lot 7822, Lrg SJ 6-3, Tmn Emas - Sri Jaya, 26500 Maran, Pahang</t>
  </si>
  <si>
    <t>017-2152133</t>
  </si>
  <si>
    <t>limyesoon@gmail.com</t>
  </si>
  <si>
    <t>Lee Chiou Horng</t>
  </si>
  <si>
    <t>820611-07-5743</t>
  </si>
  <si>
    <t xml:space="preserve">38, Jalan Udang Gantung, Taman Cuepacs, Segambut, 52000 Kuala Lumpur, </t>
  </si>
  <si>
    <t>016-2030140</t>
  </si>
  <si>
    <t>alch51@yahoo.com</t>
  </si>
  <si>
    <t>On-site service system electrical checking (once a year) for 1 year</t>
  </si>
  <si>
    <t>Dato Lim Zhen Peng</t>
  </si>
  <si>
    <t>910607-01-5085</t>
  </si>
  <si>
    <t>15, Jalan Sentral 23/2, Taman Nusa Sentral, 79100 Iskandar Puteri, Johor</t>
  </si>
  <si>
    <t>017-6885686</t>
  </si>
  <si>
    <t>lindasushen@gmail.com</t>
  </si>
  <si>
    <t>Mohmad Nazeri bin Abdul Wahab</t>
  </si>
  <si>
    <t>670812-10-6015</t>
  </si>
  <si>
    <t>2, Jalan Merbuk 7/23, Taman Bentara, 42500 Telok Panglima Garang, Selangor</t>
  </si>
  <si>
    <t>017-2051100</t>
  </si>
  <si>
    <t>Tan Say Kheng</t>
  </si>
  <si>
    <t>810115-10-5115</t>
  </si>
  <si>
    <t>22, Jalan Jelok Impian 4, Taman Jelok Impian, 43000 Kajang, Selangor</t>
  </si>
  <si>
    <t>012-3850884</t>
  </si>
  <si>
    <t>tansaykheng@hotmail.com</t>
  </si>
  <si>
    <t>Leong Ah Seng</t>
  </si>
  <si>
    <t>570405-71-5931</t>
  </si>
  <si>
    <t>22A, Jln PJU 3/12, Tropicana Indah, 47410 Petaling Jaya, Selangor</t>
  </si>
  <si>
    <t>012-2809511</t>
  </si>
  <si>
    <t>alicia@rossi.com.my</t>
  </si>
  <si>
    <t>Low Yin Jun</t>
  </si>
  <si>
    <t>910313-07-5138</t>
  </si>
  <si>
    <t>16, Jalan CV 4B/1, Selangor Cyber Valley, 63300 Cyberjaya. Selangor Darul Ehsan</t>
  </si>
  <si>
    <t>019-3797922</t>
  </si>
  <si>
    <t>yinjunlow@gmail.com</t>
  </si>
  <si>
    <t>Chan Chee Tuck</t>
  </si>
  <si>
    <t>830427-06-5499</t>
  </si>
  <si>
    <t>No 43, Lorong Sri Jaya 7/4, Taman Sri Jaya Indah, 26500 Maran, Pahang</t>
  </si>
  <si>
    <t>011-51393543</t>
  </si>
  <si>
    <t>xiaoying2501@gmail.com</t>
  </si>
  <si>
    <t>Tuan Noraizan Bt Tuan Long</t>
  </si>
  <si>
    <t>750714-11-5284</t>
  </si>
  <si>
    <t>Lot 339, Kg Raja Baran, Chendering, 21080 Kuala Terengganu, Terengganu</t>
  </si>
  <si>
    <t>019-4705537</t>
  </si>
  <si>
    <t>tuan_noraizan@arb.com.my</t>
  </si>
  <si>
    <t>Noor Izzah Akmal Bt Mohd Nordin</t>
  </si>
  <si>
    <t>871023-06-5530</t>
  </si>
  <si>
    <t>Lot 104149, Lrg Pak Mahat, Kg Kempadang, 26060 Kuantan. Pahang</t>
  </si>
  <si>
    <t>010-7058844</t>
  </si>
  <si>
    <t>izzahnordeen87@gmail.com</t>
  </si>
  <si>
    <t>Guok Diong Chong</t>
  </si>
  <si>
    <t>640715-08-5235</t>
  </si>
  <si>
    <t>85, Jln BU 11/6, Bandar Utama, 47800 Petaling Jaya, Selangor</t>
  </si>
  <si>
    <t>012-2685691</t>
  </si>
  <si>
    <t>dc.guok@gmail.com</t>
  </si>
  <si>
    <t>Tan Kheng Guan</t>
  </si>
  <si>
    <t>550603-11-5293</t>
  </si>
  <si>
    <t>PT 19441, Jln Jakar, 24000 Cukai, Terengganu</t>
  </si>
  <si>
    <t>017-9083355</t>
  </si>
  <si>
    <t>kianhui89@gmail.com</t>
  </si>
  <si>
    <t>2408424-1</t>
  </si>
  <si>
    <t>Low Bok Tek</t>
  </si>
  <si>
    <t>580321-08-5097</t>
  </si>
  <si>
    <t>18, Lrg 20 Tmn Lake View, 34000 Taiping, Perak</t>
  </si>
  <si>
    <t>019-4799999</t>
  </si>
  <si>
    <t>btcap@hotmail.com</t>
  </si>
  <si>
    <t>2408424-2</t>
  </si>
  <si>
    <t>530321-08-5097</t>
  </si>
  <si>
    <t>Amirul Hakim bin Omar</t>
  </si>
  <si>
    <t>940311-10-5273</t>
  </si>
  <si>
    <t>1, Jalan Beting Dua 8/13B, Seksyen 8, 40000 Shah Alam, Selangor</t>
  </si>
  <si>
    <t>010-3825802</t>
  </si>
  <si>
    <t>akembsp5@gmail.com</t>
  </si>
  <si>
    <t>Pang Chong Han</t>
  </si>
  <si>
    <t>Solinteg MHS-8K-25</t>
  </si>
  <si>
    <t>860301-43-5893</t>
  </si>
  <si>
    <t>12, Jln Gamelan 1E, Bdr Bukit Raja, 41050 Klang, Selangor</t>
  </si>
  <si>
    <t>016-9704005</t>
  </si>
  <si>
    <t>chonghan1386@hotmail.com</t>
  </si>
  <si>
    <t>Oh Chai Ean</t>
  </si>
  <si>
    <t>830417-08-5066</t>
  </si>
  <si>
    <t>A7468, Jln Galing  Kecil, 25250 Kuantan,Pahang</t>
  </si>
  <si>
    <t>019-9128777</t>
  </si>
  <si>
    <t>wcyyoong123@gmail.com</t>
  </si>
  <si>
    <t>2409449-1</t>
  </si>
  <si>
    <t>Nurul Ain Binti Yahaya</t>
  </si>
  <si>
    <t>Cash+Credit Card Instalment</t>
  </si>
  <si>
    <t>861226-23-5908</t>
  </si>
  <si>
    <t>No 24, Jalan KS 5/18, 25200 Kuantan, Pahang</t>
  </si>
  <si>
    <t>011-19423302</t>
  </si>
  <si>
    <t>nurulainyahaya@gmail.com</t>
  </si>
  <si>
    <t>Yio Pee Ban</t>
  </si>
  <si>
    <t>810215-06-5157</t>
  </si>
  <si>
    <t>135, Jln Bkt Setongkol 3, Tmn Muhibah Fasa 2, Bukit Setongkol, 25200 Kuantan, Pahang</t>
  </si>
  <si>
    <t>019-9142311</t>
  </si>
  <si>
    <t>pee.banyio@yahoo.com</t>
  </si>
  <si>
    <t>Tan Hock Seng</t>
  </si>
  <si>
    <t>700111-13-5045</t>
  </si>
  <si>
    <t>107, Jalan Udang Pasir 3, Taman Megah, Kepong, 52100 Kuala Lumpur</t>
  </si>
  <si>
    <t>012-2383954</t>
  </si>
  <si>
    <t>tan.hockseng111@gmail.com</t>
  </si>
  <si>
    <t>2409448-1</t>
  </si>
  <si>
    <t>Claris Lim Jink Niee (Lim Chin Horng)</t>
  </si>
  <si>
    <t>020529-10-1062</t>
  </si>
  <si>
    <t>No 16, Jln Setia Nusantara U13/22T, Bandar Eco Setia, Setia Alam, 40170 Shah Alam, Selangor</t>
  </si>
  <si>
    <t>016-2176116</t>
  </si>
  <si>
    <t>clarislim2002@hmail.com</t>
  </si>
  <si>
    <t>Dato Sim Keng Piao</t>
  </si>
  <si>
    <t>810623-05-5361</t>
  </si>
  <si>
    <t>632, Jalan Sri Pulai 34, Taman Sri Pulai 3, 70400 Seremban, Negeri Sembilan</t>
  </si>
  <si>
    <t>012-3599293</t>
  </si>
  <si>
    <t>piew831@gmail.com</t>
  </si>
  <si>
    <t>Muhamad Syamil bin Zulkafli</t>
  </si>
  <si>
    <t>850401-11-5337</t>
  </si>
  <si>
    <t>15, Lrg Im 6/6 Indera Kayangan, Indera Mahkota, 25200 Kuantan, Pahang</t>
  </si>
  <si>
    <t>013-7196919</t>
  </si>
  <si>
    <t>syamale1985@gmail.com</t>
  </si>
  <si>
    <t>Zarita binti Saliman</t>
  </si>
  <si>
    <t>720113-01-5002</t>
  </si>
  <si>
    <t>Lot 1183, Jalan Felcra, Kampung Batu 14, 43100 Hulu Langat, Selangor</t>
  </si>
  <si>
    <t>012-8888661</t>
  </si>
  <si>
    <t>capt.arifstephen@yahoo.com</t>
  </si>
  <si>
    <t>Chan Woei Jye</t>
  </si>
  <si>
    <t>750414-01-6647</t>
  </si>
  <si>
    <t>No 7, Jln Anggerik Eria Tujuh 31/109G, Kota Kemuning, Seksyen 31, 40460 Shah Alam, Selangor</t>
  </si>
  <si>
    <t>016-2100036</t>
  </si>
  <si>
    <t>cwoei_jye@hotmail.com</t>
  </si>
  <si>
    <t>Low Hong Chin</t>
  </si>
  <si>
    <t>791203-01-5725</t>
  </si>
  <si>
    <t>9, Jalan Panorama 2, Taman Kota Panorama, 83700 Yong Peng</t>
  </si>
  <si>
    <t>013-3533328</t>
  </si>
  <si>
    <t>aiping8113@gmail.com</t>
  </si>
  <si>
    <t>Low Hong Choon</t>
  </si>
  <si>
    <t>830209-01-6269</t>
  </si>
  <si>
    <t>No 21, Jln Bayu 8, Tmn Sri Bayu, 83700 Yong Peng, Johor</t>
  </si>
  <si>
    <t>012-5103669</t>
  </si>
  <si>
    <t>Handal Green Mobility Sdn Bhd (Mazda Kuantan Showroom)</t>
  </si>
  <si>
    <t>A557, Jalan Padang lalang, Padang Lalang Industrial Area, Kuantan, Pahang</t>
  </si>
  <si>
    <t>Handal Green Mobility Sdn Bhd (United Point Mall, Kuala Lumpur)</t>
  </si>
  <si>
    <t>10, Jalan Lang Emas, Segambut, 51200 Kuala Lumpur</t>
  </si>
  <si>
    <t>2407167-1</t>
  </si>
  <si>
    <t>Econframe Marketing Sdn Bhd (Kilang 1 &amp; 3)</t>
  </si>
  <si>
    <t>Yingli Solar 585Wp</t>
  </si>
  <si>
    <t>Huawei SUN2000-50KTL + SUN2000-36KTL</t>
  </si>
  <si>
    <t>No 1, Jln Sg Rasa 27 A Off, Jln Dato Mohd Sidin, 41300 Klang, Selangor</t>
  </si>
  <si>
    <t>2407167-2</t>
  </si>
  <si>
    <t>Econframe Marketing Sdn Bhd (Kilang 4)</t>
  </si>
  <si>
    <t>Lot 4, Jln Sg Rasa 27 A Off, Jln Dato Mohd Sidin, 41300 Klang,Selangor</t>
  </si>
  <si>
    <t>2407167-3</t>
  </si>
  <si>
    <t>Econframe Marketing Sdn Bhd (Kilang 20)</t>
  </si>
  <si>
    <t>Huawei SUN2000-50KTL</t>
  </si>
  <si>
    <t>Lot 63272, Lrg Sg Rasau 27A, 41300 Klang, Selangor</t>
  </si>
  <si>
    <t>Zimandy Construction Sdn Bhd (Bandar Tenggara)</t>
  </si>
  <si>
    <t>Huawei SUN2000-40KTL +SUN2000-30KTL + SUN2000-20KTL</t>
  </si>
  <si>
    <t>Pelita Hijrah Sdn Bhd</t>
  </si>
  <si>
    <t>Huawei SUN2000-20KTL x  4</t>
  </si>
  <si>
    <t>Lot 71104-A, Jln Teratai, Kg Paya Jaras Hilir, 40160 Sungai Buloh, Selangor</t>
  </si>
  <si>
    <t>PX</t>
  </si>
  <si>
    <t>Kim Chong Mechanical Services Sdn Bhd</t>
  </si>
  <si>
    <t>3-KB 12, Jalan KPB 18. Kawasan Perindustrian Balakong, 43300 Seri Kembangan, Selangor</t>
  </si>
  <si>
    <t>Unilink Machinery Sdn Bhd</t>
  </si>
  <si>
    <t>PT 85915, Jln KPG Tok Muda, Kapar, 42200 Klang. Selangor</t>
  </si>
  <si>
    <t>Koe Ban Seng</t>
  </si>
  <si>
    <t>621130-12-5429</t>
  </si>
  <si>
    <t>8, Jln Kenyalang 11/15C, Seksyen 11, Kota Damansara, 47810 Petaling Jaya, Selangor</t>
  </si>
  <si>
    <t>012-3983893</t>
  </si>
  <si>
    <t>koebanseng@yahoo.com</t>
  </si>
  <si>
    <t>Teo Boon Ling</t>
  </si>
  <si>
    <t>760505-06-5312</t>
  </si>
  <si>
    <t>1, Jalan Daun Imai 10, Sunway SPK Damansara, 52200 Kuala Lumpur</t>
  </si>
  <si>
    <t>019-2221381</t>
  </si>
  <si>
    <t>boonlingteo@yahoo.com</t>
  </si>
  <si>
    <t>David Hie Wen Jian</t>
  </si>
  <si>
    <t>890928-10-5553</t>
  </si>
  <si>
    <t>52, Jln BU 1/9, Bandar Utama, 47800 Petaling Jaya, Selangor</t>
  </si>
  <si>
    <t>012-3756770</t>
  </si>
  <si>
    <t>hiedavid89@gmail.com</t>
  </si>
  <si>
    <t>Tan Kong Ling</t>
  </si>
  <si>
    <t>661024-08-5861</t>
  </si>
  <si>
    <t>No 2, Lrg SJ 6-3, Tmn Emas-Sri Jaya, 26500 Maran, Selangor</t>
  </si>
  <si>
    <t>013-9365933</t>
  </si>
  <si>
    <t>ysy0723@hotmail.com</t>
  </si>
  <si>
    <t>Lim Daw Woei</t>
  </si>
  <si>
    <t>660927-01-5907</t>
  </si>
  <si>
    <t>6, Jalan Kenyalang 11/15H, Seksyen 11, Kota Damansara, 47810 Petaling Jaya, Selangor</t>
  </si>
  <si>
    <t>012-3321852</t>
  </si>
  <si>
    <t>jolimdw@gmail.com</t>
  </si>
  <si>
    <t>Choong Chin Fong</t>
  </si>
  <si>
    <t>801219-01-5419</t>
  </si>
  <si>
    <t>42, Jalan Setia 9/11, Taman Setia Indah, 81100 Johor Bahru</t>
  </si>
  <si>
    <t>013-7679113</t>
  </si>
  <si>
    <t>berny9113bc@gmail.com</t>
  </si>
  <si>
    <t>Teoh Eng Siong</t>
  </si>
  <si>
    <t>801211-08-5615</t>
  </si>
  <si>
    <t>No 46, Lorong Sri Jaya 7/4, Taman Sri Jaya Indah, 26500 Maran, Pahang</t>
  </si>
  <si>
    <t>019-9153886</t>
  </si>
  <si>
    <t>teoh114@gmail.com</t>
  </si>
  <si>
    <t>Teo Thian Keong</t>
  </si>
  <si>
    <t>870218-23-5523</t>
  </si>
  <si>
    <t>31, Jalan SS 22/30, Petaling, 47400 Petaling Jaya, Selangor</t>
  </si>
  <si>
    <t>017-7584843</t>
  </si>
  <si>
    <t>tianqiang87@gmail.com</t>
  </si>
  <si>
    <t>Chua Lu Chuan</t>
  </si>
  <si>
    <t>420804-10-5133</t>
  </si>
  <si>
    <t>No 1, Lrg Seri Kuantan 28/1, Kuantan Garden, 25300 Kuantan, Pahang</t>
  </si>
  <si>
    <t>010-3959313</t>
  </si>
  <si>
    <t>Referral</t>
  </si>
  <si>
    <t>Quah Ewe Lee</t>
  </si>
  <si>
    <t>560319-07-5561</t>
  </si>
  <si>
    <t>11, Jalan Kenyalang 11/15F, Seksyen 11, Kota Damansara, 47810 Petaling Jaya, Selangor</t>
  </si>
  <si>
    <t>019-3126618</t>
  </si>
  <si>
    <t>qel1888@hotmail.com</t>
  </si>
  <si>
    <t>Lim Chee Keong</t>
  </si>
  <si>
    <t>570825-10-5283</t>
  </si>
  <si>
    <t>5, SD 10/1E, Jln Margosa, Bdr Sri Damansara PJU 9, 52200 Kuala Lumpur, WP Kuala Lumpur</t>
  </si>
  <si>
    <t>018-7636292</t>
  </si>
  <si>
    <t>lim.jianwen0@gmail.com</t>
  </si>
  <si>
    <t xml:space="preserve">3 years </t>
  </si>
  <si>
    <t>Ho Maw Chun</t>
  </si>
  <si>
    <t>691208-08-5361</t>
  </si>
  <si>
    <t>16, Jalan Kantan 5/KS6, Bandar Botanic, 41200 Klang, Selangor</t>
  </si>
  <si>
    <t>012-3306639</t>
  </si>
  <si>
    <t>hmc8925@gmail.com</t>
  </si>
  <si>
    <t>Handal Green Mobility Sdn Bhd (Pulse Grande Hotel)</t>
  </si>
  <si>
    <t>Taman Putra perdana, Jalan Putra Perdana, Presint 1, 62000 Putrajaya</t>
  </si>
  <si>
    <t>Pang Kim Soon</t>
  </si>
  <si>
    <t>770123-06-5463</t>
  </si>
  <si>
    <t>44, Jalan KS 5/5, Kota Sultan Ahmad Shah, 25200 Kuantan, Pahang</t>
  </si>
  <si>
    <t>012-9833998</t>
  </si>
  <si>
    <t>ks.kspang@gmail.com</t>
  </si>
  <si>
    <t>Teong Lian Aik</t>
  </si>
  <si>
    <t>550907-08-5791</t>
  </si>
  <si>
    <t>9(5), Regat Tasik Tmn Tasik Permai Fasa, 34000 Taiping, Perak</t>
  </si>
  <si>
    <t>012-5381739</t>
  </si>
  <si>
    <t>la_teong@yahoo.com</t>
  </si>
  <si>
    <t>Vijayalakshmi a/p Krishnaswamy (Tan Sri Rama Iyer)</t>
  </si>
  <si>
    <t>450528-71-5062</t>
  </si>
  <si>
    <t>Lot 310, Jln 3, Tmn Ampang Utama, 68000 Ampang, Selangor</t>
  </si>
  <si>
    <t>012-3030154</t>
  </si>
  <si>
    <t xml:space="preserve"> ramavijayam10@gmail.com</t>
  </si>
  <si>
    <t>Exclude Smart Meter</t>
  </si>
  <si>
    <t>Unitrade request FOC for installing SSO for EV Charger</t>
  </si>
  <si>
    <t>Low Kim Keong</t>
  </si>
  <si>
    <t>821109-06-5309</t>
  </si>
  <si>
    <t>13, Lrg Seri Setali 11 Off Jln Galing Kem, Tmn Sri Galing, 25300 Kuantan, Pahang</t>
  </si>
  <si>
    <t>016-9210888</t>
  </si>
  <si>
    <t>adwardlow.co@gmail.com</t>
  </si>
  <si>
    <t>Chear Eng Soon</t>
  </si>
  <si>
    <t>840409-01-5489</t>
  </si>
  <si>
    <t>PTD 144930, No 7, Jln Pinggiran 3/2, Horizon Hills, 79100 Nusajaya, Johor</t>
  </si>
  <si>
    <t>012-7840881</t>
  </si>
  <si>
    <t>nick.chear@gmail.com</t>
  </si>
  <si>
    <t>BNI</t>
  </si>
  <si>
    <t>Thiong Jeng Ell</t>
  </si>
  <si>
    <t>790424-06-5465</t>
  </si>
  <si>
    <t>Lot 7929, Jln Hock Bee Kg Sri Jaya, 26500 Sri Jaya, Pahang</t>
  </si>
  <si>
    <t>013-9355351</t>
  </si>
  <si>
    <t>jethiong@hotmail.com</t>
  </si>
  <si>
    <t>Lian Hock Seng</t>
  </si>
  <si>
    <t>781225-06-5185</t>
  </si>
  <si>
    <t>70, Lrg SJ 4-4, Tmn Sri Jaya Indah, 26500 Maran, Pahang</t>
  </si>
  <si>
    <t>013-9933228</t>
  </si>
  <si>
    <t>hockseng8168@gmail.com</t>
  </si>
  <si>
    <t>Handal Green Mobility Sdn Bhd (Kuantan City Mall)</t>
  </si>
  <si>
    <t>Jalan Putra Square 6, Putra Square, 25300 Kuantan, Pahang</t>
  </si>
  <si>
    <t>Dong Mee Hong</t>
  </si>
  <si>
    <t>511231-08-5676</t>
  </si>
  <si>
    <t>Lot 7824, Lrg Sj 6-3, Tmn Emas-Sri Jaya, 26500 Maran, Pahang</t>
  </si>
  <si>
    <t>012-9371615</t>
  </si>
  <si>
    <t>Muck Bei lee (Le Lodge Mansion)</t>
  </si>
  <si>
    <t>861105-33-5208</t>
  </si>
  <si>
    <t>No 2, Lrg Air Putih 97, Tmn Sri Air Putih, Air Putih, 25300 Kuantan, Pahang</t>
  </si>
  <si>
    <t>012-9533751</t>
  </si>
  <si>
    <t>beilee86@gmail.com</t>
  </si>
  <si>
    <t>Exclude smart meter and insurance</t>
  </si>
  <si>
    <t>Liew Mun Meng</t>
  </si>
  <si>
    <t>641211-08-6159</t>
  </si>
  <si>
    <t>77, Jalan Taming Indah 2, Taman Taming Indah 2, 43000 Kajang, Selangor</t>
  </si>
  <si>
    <t>010-5642088</t>
  </si>
  <si>
    <t>weinnyliew88@gmail.com</t>
  </si>
  <si>
    <t>Yee Mei Ling</t>
  </si>
  <si>
    <t>680106-07-5302</t>
  </si>
  <si>
    <t>19, Jalan Mas 3/2, Taman Mas 3, 43200 Cheras, Selangor</t>
  </si>
  <si>
    <t>019-2233298</t>
  </si>
  <si>
    <t>pmcoatings2010@gmail.com</t>
  </si>
  <si>
    <t>Chareon Phromsuwan</t>
  </si>
  <si>
    <t>680901-07-5379</t>
  </si>
  <si>
    <t>7, Jln Kenyalang 11/15C, Seksyen 11, Kota Damansara, 47810, Petaling Jaya, Selangor</t>
  </si>
  <si>
    <t>019-3102054</t>
  </si>
  <si>
    <t>chareonp@gmail.com</t>
  </si>
  <si>
    <t>Christopher A De Souza</t>
  </si>
  <si>
    <t>600427-10-6373</t>
  </si>
  <si>
    <t xml:space="preserve">24, Jalan Kenyalang 11/15G, Seksyen 11, Kota Damansara, 47810 Petaling Jaya, Selangor </t>
  </si>
  <si>
    <t>012-3328366</t>
  </si>
  <si>
    <t>christophera.desouza@gmail.com</t>
  </si>
  <si>
    <t>Teng Lee Xung</t>
  </si>
  <si>
    <t>850803-02-5617</t>
  </si>
  <si>
    <t>No 6, Lrg Seri Setali 119, Jln Air Putih, Tmn Semambu, 25350 Kuantan, Pahang</t>
  </si>
  <si>
    <t>012-8860611</t>
  </si>
  <si>
    <t>danileteng777@gmail.com</t>
  </si>
  <si>
    <t>Ganapathy Srihari a/l Rama Iyer</t>
  </si>
  <si>
    <t>720101-10-7073</t>
  </si>
  <si>
    <t>68, Jalan Athinahapan, Taman Tun Dr Ismail, 60000 Kuala Lumpur, WP Kuala Lumpur</t>
  </si>
  <si>
    <t>012-2000599</t>
  </si>
  <si>
    <t>srihari.iyer@gmail.com</t>
  </si>
  <si>
    <t>Florence Poon</t>
  </si>
  <si>
    <t xml:space="preserve">8, Lorong PJU 3/28C, 28 Residency Sunway, Damansara, 47810 Petaling Jaya, Selangor </t>
  </si>
  <si>
    <t>Prasert Phromsuwan</t>
  </si>
  <si>
    <t>650114-07-5321</t>
  </si>
  <si>
    <t>No 37, Jln Setia Damai U13/14E, Seksyen U 13, 40170 Shah Alam, Selangor</t>
  </si>
  <si>
    <t>019-2867788</t>
  </si>
  <si>
    <t>pphromsuwan@gmail.com</t>
  </si>
  <si>
    <t>Gan Tek Chuan</t>
  </si>
  <si>
    <t>660508-10-5393</t>
  </si>
  <si>
    <t>Lot 11013, B26, Jln Hock Bee Kg Sri Jaya, 26500 Sri Jaya, Pahang</t>
  </si>
  <si>
    <t>011-53019513</t>
  </si>
  <si>
    <t>pekjin123@gmail.com</t>
  </si>
  <si>
    <t>Add 1k for smart meter</t>
  </si>
  <si>
    <t>Wong Kok Wai</t>
  </si>
  <si>
    <t>910323-06-5427</t>
  </si>
  <si>
    <t>11, Lrg Sekilau 38, Tmn Sekilau Perdana, 25200 Kuantan, Pahang</t>
  </si>
  <si>
    <t>011-16233292</t>
  </si>
  <si>
    <t>rambowongkokwai@gmail.com</t>
  </si>
  <si>
    <t>Lee Tian Look</t>
  </si>
  <si>
    <t>610115-06-5321</t>
  </si>
  <si>
    <t>53A Lrg Sj 6-3, Tmn Emas-Sri Jaya, 26500 Maran, Pahang Darul Makmur</t>
  </si>
  <si>
    <t>010-2109882</t>
  </si>
  <si>
    <t>leeweisen@gmail.com</t>
  </si>
  <si>
    <t>Lee Chean Chung</t>
  </si>
  <si>
    <t>810411-06-5277</t>
  </si>
  <si>
    <t>5, Jalan 6/5, Seksyen 6. 46000 Petaling Jaya, Selangor</t>
  </si>
  <si>
    <t>012-9540498</t>
  </si>
  <si>
    <t>cheanchung@gmail.com</t>
  </si>
  <si>
    <t>Low Yi Chin</t>
  </si>
  <si>
    <t>730830-14-5255</t>
  </si>
  <si>
    <t>Lot 4358, Jln Kuantan Kg Sri Jaya, 26500 Sri Jaya, Pahang</t>
  </si>
  <si>
    <t>012-2529900</t>
  </si>
  <si>
    <t>chipseng.srijaya@yahoo.com.my</t>
  </si>
  <si>
    <t>Salim Majid Zain Bin  Abdul Majid</t>
  </si>
  <si>
    <t>690717-10-5637</t>
  </si>
  <si>
    <t>48, Jalan Lanai Kiara, Taman Sri Haratamas, 50480 Kuala Lumpur, WP Kuala Lumpur</t>
  </si>
  <si>
    <t>019-2200333</t>
  </si>
  <si>
    <t>salimmaa@gmail.com</t>
  </si>
  <si>
    <t>Anandan a/l Balakrishnan</t>
  </si>
  <si>
    <t>670720-05-5097</t>
  </si>
  <si>
    <t>79, Jalan SS 18/4, SS 18, 47500 Subang Jaya, Selangor</t>
  </si>
  <si>
    <t>012-2070181</t>
  </si>
  <si>
    <t>dan.anandan@yahoo.com</t>
  </si>
  <si>
    <t>Liew Swee Fah</t>
  </si>
  <si>
    <t>700204-06-5293</t>
  </si>
  <si>
    <t>203, Kg Baru, Sungai Lui, 27600 Raub, Pahang</t>
  </si>
  <si>
    <t>011-37587569</t>
  </si>
  <si>
    <t>liewsweefah5379@gmail.com</t>
  </si>
  <si>
    <t>Chong Chee Hoo</t>
  </si>
  <si>
    <t>860527-23-6635</t>
  </si>
  <si>
    <t>9, Jalan Eko Botani 1/7, Taman Eko Botani, 79100 Iskandar Puteri, Johor</t>
  </si>
  <si>
    <t>012-2556708</t>
  </si>
  <si>
    <t>cheehoo1450@gmail.com</t>
  </si>
  <si>
    <t>Boo Kee Meng</t>
  </si>
  <si>
    <t>690901-01-5903</t>
  </si>
  <si>
    <t>6, Jalan Bertam 21, Taman Daya, 81100 Johor Bahru</t>
  </si>
  <si>
    <t>016-7255360</t>
  </si>
  <si>
    <t>lucasboo123@hotmail.com</t>
  </si>
  <si>
    <t>Gan Chong Sing</t>
  </si>
  <si>
    <t>900427-06-5131</t>
  </si>
  <si>
    <t>No A53, Jln Hock Bee Kg Sri Jaya, 26500 Sri Jaya, Pahang</t>
  </si>
  <si>
    <t>010-2399409</t>
  </si>
  <si>
    <t>chongsing90@hotmail.com</t>
  </si>
  <si>
    <t>Tan Seng Shen</t>
  </si>
  <si>
    <t>680116-01-5493</t>
  </si>
  <si>
    <t>20, Jalan BK 6A/2G, Bandar Kinrara, 47180 Puchong, Selangor</t>
  </si>
  <si>
    <t>012-2329310</t>
  </si>
  <si>
    <t>samtan@insutex.my</t>
  </si>
  <si>
    <t>Jordan Tan Heng Xiang</t>
  </si>
  <si>
    <t>920619-10-5001</t>
  </si>
  <si>
    <t>47, Jln Bungor 7, Bdr Botanic, 41200 Klang, Selangor</t>
  </si>
  <si>
    <t>016-3030529</t>
  </si>
  <si>
    <t>jordantan.1992@gmail.com</t>
  </si>
  <si>
    <t>Wong Peng Soon</t>
  </si>
  <si>
    <t>570816-10-5679</t>
  </si>
  <si>
    <t>1, Lrg Im 13/7, Jln Sg Lembing (Astana Golf Resort), Indera Mahkota, 25200 Kuantan, Pahang</t>
  </si>
  <si>
    <t>012-9832681</t>
  </si>
  <si>
    <t>miaoshun@live.com.my</t>
  </si>
  <si>
    <t>Chan My Ling</t>
  </si>
  <si>
    <t>651015-06-5528</t>
  </si>
  <si>
    <t>No 2, Jln Mandarina 2, Bkt Manda'rina, 56000 Cheras, WP Kuala Lumpur</t>
  </si>
  <si>
    <t>011-16262901</t>
  </si>
  <si>
    <t>irenechan2708@gmail.com</t>
  </si>
  <si>
    <t>Ricky Goh Hoon Kan</t>
  </si>
  <si>
    <t>K2270382D</t>
  </si>
  <si>
    <t>5, Jln Pahang Tmn Canning, 31400 Ipoh, Perak</t>
  </si>
  <si>
    <t>017-4380711</t>
  </si>
  <si>
    <t>rickygohhk@yahoo.com</t>
  </si>
  <si>
    <t>Chow Leong Choon</t>
  </si>
  <si>
    <t>790829-14-5017</t>
  </si>
  <si>
    <t>41, Jln USJ 16/3, Mukim Damansara, 47630 Petaling Jaya, Selangor</t>
  </si>
  <si>
    <t>011-33111419</t>
  </si>
  <si>
    <t>lcchow2k@yahoo.com</t>
  </si>
  <si>
    <t>Lim Sooi Poh</t>
  </si>
  <si>
    <t>600828-01-5237</t>
  </si>
  <si>
    <t>17, Double Storey Semi-Detached, Jln Panorama 2, Tmn Kota Panorama, 83700 Yong Peng, Johor</t>
  </si>
  <si>
    <t>019-7137352</t>
  </si>
  <si>
    <t>c2pxian92@hotmail.com</t>
  </si>
  <si>
    <t>2408411-1</t>
  </si>
  <si>
    <t>Eng Khai Shu</t>
  </si>
  <si>
    <t>880903-14-5138</t>
  </si>
  <si>
    <t>72, WP Kuala Lumpur, Jalan Kasipillay, 51200 Kuala Lumpur, WP Kuala Lumpur</t>
  </si>
  <si>
    <t>012-5030513</t>
  </si>
  <si>
    <t>celinebellea0903@gmail.com</t>
  </si>
  <si>
    <t>Chew Beng Hock</t>
  </si>
  <si>
    <t>670201-04-5153</t>
  </si>
  <si>
    <t>51, Jln USJ 11/1F, UEP Subang Jaya, 47600 Subang Jaya, Selangor</t>
  </si>
  <si>
    <t>017-8779033</t>
  </si>
  <si>
    <t>ameliachew76@yahoo.com</t>
  </si>
  <si>
    <t>Yeo Shu Jin</t>
  </si>
  <si>
    <t>820817-10-5821</t>
  </si>
  <si>
    <t>8, Jalan Aman Perdana 8E/KU5, Taman Aman Perdana, 41050 Klang, Selangor</t>
  </si>
  <si>
    <t>012-2111891</t>
  </si>
  <si>
    <t>sjyeo82@yahoo.com</t>
  </si>
  <si>
    <t>Har Hock Lee</t>
  </si>
  <si>
    <t>650217-08-5143</t>
  </si>
  <si>
    <t>Lot 5361, Lrg SJ 6-3, Tmn Emas-Sri  Jaya, 26500 Maran, Pahang</t>
  </si>
  <si>
    <t>013-9304377</t>
  </si>
  <si>
    <t>harwanhong99@gmail.com</t>
  </si>
  <si>
    <t>Wong Wai Hung</t>
  </si>
  <si>
    <t>760329-14-5793</t>
  </si>
  <si>
    <t>25, Jalan SS 3/86, Taman Universiti, 47300 Petaling Jaya, Selangor</t>
  </si>
  <si>
    <t>019-2266120</t>
  </si>
  <si>
    <t>w.waihung@gmail.com</t>
  </si>
  <si>
    <t>Kuan Guan Chong</t>
  </si>
  <si>
    <t>551212-03-5215</t>
  </si>
  <si>
    <t>7, Jln Impian 1, Tmn Impian Villa, 27600 Raub, Pahang</t>
  </si>
  <si>
    <t>017-9331115</t>
  </si>
  <si>
    <t>kuankianyang@hotmail.com</t>
  </si>
  <si>
    <t>Kuan Kian Yang</t>
  </si>
  <si>
    <t>831207-03-5225</t>
  </si>
  <si>
    <t>No 93, Jalan Impian 4, Taman Impian Villa, 27600 Raub Pahang</t>
  </si>
  <si>
    <t>Loh Chee Kuan</t>
  </si>
  <si>
    <t>810227-14-5381</t>
  </si>
  <si>
    <t>No 12, Jln Megah 11A, Tmn Megah, 43200 Batu 11 Cheras, Selangor</t>
  </si>
  <si>
    <t>012-6269463</t>
  </si>
  <si>
    <t>stanleyloh33@gmail.com</t>
  </si>
  <si>
    <t>Mohd Rushdi Bin Haji Abu Bakar</t>
  </si>
  <si>
    <t>Cash + CC Instalment</t>
  </si>
  <si>
    <t>730408-06-5049</t>
  </si>
  <si>
    <t>No 59, Lrg Seri Damai Aman 52, Jln Gambang, Tmn Seri Damai Aman, 25150 Kuantan, Pahang</t>
  </si>
  <si>
    <t>010-5767058</t>
  </si>
  <si>
    <t>mohd.rushdi.abu.bakar@gmail.com</t>
  </si>
  <si>
    <t>Ting Kam Peng</t>
  </si>
  <si>
    <t>500414-08-5173</t>
  </si>
  <si>
    <t>13, Jln 13 Jln Klang Lama Bt 5, Tmn Lee Yan Lian, 58200 WP Kuala Lumpur</t>
  </si>
  <si>
    <t>019-3211233</t>
  </si>
  <si>
    <t>tingkampeng@gmail.com</t>
  </si>
  <si>
    <t>Lim See Peng</t>
  </si>
  <si>
    <t>Huawei SUN2000-6KTL-M1</t>
  </si>
  <si>
    <t>300102-10-5815</t>
  </si>
  <si>
    <t>16, Jln Kemuning Indah 32/142, Kemuning Utama, Seksyen 32, 40460 Shah Alam, Selangor</t>
  </si>
  <si>
    <t>012-3178932</t>
  </si>
  <si>
    <t>seepeng.lim@gmail.com</t>
  </si>
  <si>
    <t>Completion of physical by Sept 2025</t>
  </si>
  <si>
    <t>Chan Yee  Wan</t>
  </si>
  <si>
    <t>801016-14-6283</t>
  </si>
  <si>
    <t>52A, Jalan Aman Arahsia 2, Bandar Tropicana Aman, 42500 Telok Panglima Garang, Selangor</t>
  </si>
  <si>
    <t>012-2912577</t>
  </si>
  <si>
    <t>jason_dasb@hotmail.com</t>
  </si>
  <si>
    <t>Lee Xue Cheng</t>
  </si>
  <si>
    <t>051028-01-1415</t>
  </si>
  <si>
    <t>No 70, Jln Bestari 3/1, Tmn Nusa Bestari, 79150 Johor Bahru, Johor</t>
  </si>
  <si>
    <t>017-7857783</t>
  </si>
  <si>
    <t>xuechenglee1028@gmail.com</t>
  </si>
  <si>
    <t>Dennis Lee Jia Seng</t>
  </si>
  <si>
    <t>970507-01-6675</t>
  </si>
  <si>
    <t>No 6, Jln Panorama 7, Tmn Kota Panorama, 83700 Yong Peng, Johor</t>
  </si>
  <si>
    <t>016-7139920</t>
  </si>
  <si>
    <t>leedennis507@gmail.com</t>
  </si>
  <si>
    <t>Teh Wee Loon</t>
  </si>
  <si>
    <t>830510-10-5973</t>
  </si>
  <si>
    <t>1, Jalan Aman Perdana 11K/KU5, Taman Aman Perdana, 41050 Klang, Selangor</t>
  </si>
  <si>
    <t>019-6483333</t>
  </si>
  <si>
    <t>tehweeloon@gmail.com</t>
  </si>
  <si>
    <t>Tang Wei Keong</t>
  </si>
  <si>
    <t>780524-14-5949</t>
  </si>
  <si>
    <t>No 5, Jln Kemuning Damai 32/147D, Kemuning Utama, Seksyen 32, 40460 Shah Alam, Selangor</t>
  </si>
  <si>
    <t>012-2398993</t>
  </si>
  <si>
    <t>wktang@synteq.com.my</t>
  </si>
  <si>
    <t>Wong Jun Kit</t>
  </si>
  <si>
    <t>801127-10-2417</t>
  </si>
  <si>
    <t>No 1, Lrg Mohd Tahir 14A/KS2, Tmn Saujana, Kg Jawa, 41000 Klang, Selangor</t>
  </si>
  <si>
    <t>019-3840060</t>
  </si>
  <si>
    <t>junkit143@yahoo.com.sg</t>
  </si>
  <si>
    <t>Rashid Bin Darlan</t>
  </si>
  <si>
    <t>680415-01-5223</t>
  </si>
  <si>
    <t>No 6, Jalan Sungai Soi Jaya 3, Perumahan Sungai Soi Jaya 2, 26060 Kuantan Pahang</t>
  </si>
  <si>
    <t>012-4424191</t>
  </si>
  <si>
    <t>rash.darl@gmail.com</t>
  </si>
  <si>
    <t>Great Beauty Furniture Sdn Bhd</t>
  </si>
  <si>
    <t>A 483, Jalan Beserah, Taman Sri Pelindung Satu, 25300 Kuantan, Pahang</t>
  </si>
  <si>
    <t>No GITA application</t>
  </si>
  <si>
    <t>Chin Kok Leng</t>
  </si>
  <si>
    <t>761030-06-5371</t>
  </si>
  <si>
    <t>11, Lrg Sekilau 42, Jln Hj Ahmad, Tmn Sekilau Perdana, 25200 Kuantan, Pahang</t>
  </si>
  <si>
    <t>016-9221033</t>
  </si>
  <si>
    <t>cherryq16@gmail.com</t>
  </si>
  <si>
    <t>Mei Shun Fang Manufacturing Sdn Bhd</t>
  </si>
  <si>
    <t>Chin Yee Fa</t>
  </si>
  <si>
    <t>570406-06-5491</t>
  </si>
  <si>
    <t>No 19, Lrg Im 11/6, Mahkota Heights, 25200 Kuantan, Pahang</t>
  </si>
  <si>
    <t>019-9160668</t>
  </si>
  <si>
    <t>cjhao8855@gmail.com</t>
  </si>
  <si>
    <t>Wong Teck Keng</t>
  </si>
  <si>
    <t>770530-14-5591</t>
  </si>
  <si>
    <t>161, Jln USJ 9/1, UEP Subang Jaya, 47630 Subang Jaya, Selangor</t>
  </si>
  <si>
    <t>012-3153960</t>
  </si>
  <si>
    <t>teckkeng@gmail.com</t>
  </si>
  <si>
    <t>Ken</t>
  </si>
  <si>
    <t>Bhajan Singh a/l S Bachan Singh</t>
  </si>
  <si>
    <t>520529-01-5595</t>
  </si>
  <si>
    <t>1, Lrg Kubang Buaya 7, 25250 Kuantan, Pahang</t>
  </si>
  <si>
    <t>013-9276292</t>
  </si>
  <si>
    <t>bhajan1952@gmail.com</t>
  </si>
  <si>
    <t>Khadillah binti Hassan</t>
  </si>
  <si>
    <t>680623-06-5006</t>
  </si>
  <si>
    <t>D367, Jln Bukit Setongkol, Pkg Cenderawasih, 25200 Kuantan, Pahang</t>
  </si>
  <si>
    <t>012-9222442</t>
  </si>
  <si>
    <t>fenthagrow@gmail.com</t>
  </si>
  <si>
    <t>ST Rosyam Mall (Plus Xnergy Services Sdn Bhd)</t>
  </si>
  <si>
    <t>Lim Zhi Jie</t>
  </si>
  <si>
    <t>991018-01-5615</t>
  </si>
  <si>
    <t>19, Jalan Panoram 2, Taman Kota Panorama, 83700 Yong Peng, Johor</t>
  </si>
  <si>
    <t>011-33112738</t>
  </si>
  <si>
    <t>Jie_008@hotmail.com</t>
  </si>
  <si>
    <t>Safinaz Binti Mohd Sharif</t>
  </si>
  <si>
    <t>670915-01-5984</t>
  </si>
  <si>
    <t>Lot 2298, Jalan Sg. Soi, Kg. Sepat, 25150 Penor, Pahang.</t>
  </si>
  <si>
    <t>012-9818637</t>
  </si>
  <si>
    <t>safinazsharif67@gmail.com</t>
  </si>
  <si>
    <t>Kong Chun Seng</t>
  </si>
  <si>
    <t>950316-14-6321</t>
  </si>
  <si>
    <t>No 200, Jalan Colonial 6, Taman Colonial, 27600 Raub, Pahang</t>
  </si>
  <si>
    <t>019-9804663</t>
  </si>
  <si>
    <t>Chunseng950316@icloud.com</t>
  </si>
  <si>
    <t>Lew Yuen Tang</t>
  </si>
  <si>
    <t>560915-10-5405</t>
  </si>
  <si>
    <t>5, Jalan SS 22A/6, Damansara Jaya, 47400 Petaling Jaya, Selangor</t>
  </si>
  <si>
    <t>012-3309688</t>
  </si>
  <si>
    <t>pavirelew3@gmail.com</t>
  </si>
  <si>
    <t>Yau Hwee Tien</t>
  </si>
  <si>
    <t>811024-01-5944</t>
  </si>
  <si>
    <t>70, Jalan Kota Impian 2, Taman Kota Impian, 83700 Yong Peng, Johor</t>
  </si>
  <si>
    <t>016-7601468</t>
  </si>
  <si>
    <t>hweetien@hotmail.com</t>
  </si>
  <si>
    <t>Datuk Abdul Rani</t>
  </si>
  <si>
    <t>730517-08-5321</t>
  </si>
  <si>
    <t>No 41, Jalan Frekuensi U16/118, Elmina East, 40160 Shah Alam, Selangor</t>
  </si>
  <si>
    <t>017-3777902</t>
  </si>
  <si>
    <t>iyadnifaelio@gmail.com</t>
  </si>
  <si>
    <t>Augustine Kok Hwai Nam</t>
  </si>
  <si>
    <t>640823-07-5309</t>
  </si>
  <si>
    <t>68, Jln BU 12/6, Bandar Utama, 47800 Petaling Jaya, Selangor</t>
  </si>
  <si>
    <t>012-5017002</t>
  </si>
  <si>
    <t>augkok@gmail.com</t>
  </si>
  <si>
    <t>Jeremy Koo Wui Ken</t>
  </si>
  <si>
    <t>810525-14-6833</t>
  </si>
  <si>
    <t>17, Jln BU 11/6, Bandar Utama, 47800 Petaling Jaya, Selangor</t>
  </si>
  <si>
    <t>852-52392544</t>
  </si>
  <si>
    <t>jeremy6833@gmail.com</t>
  </si>
  <si>
    <t>Vinny Len Siew Meng</t>
  </si>
  <si>
    <t>870530-06-5450</t>
  </si>
  <si>
    <t>No 19, Jalan Rinba Jaya 3, Taman Rimba Jaya, 28400 Mentakab, Pahang</t>
  </si>
  <si>
    <t>012-2352813</t>
  </si>
  <si>
    <t>vinnylen@gmail.com</t>
  </si>
  <si>
    <t>William Song Jian Tat</t>
  </si>
  <si>
    <t>Haslina binti Othman</t>
  </si>
  <si>
    <t>670604-11-5048</t>
  </si>
  <si>
    <t>Lot 367, Jln Tg Lumpur, Kg Peramu, 26060 Kuantan, Pahang</t>
  </si>
  <si>
    <t>013-9480768</t>
  </si>
  <si>
    <t>ahbagency67@gmail.com</t>
  </si>
  <si>
    <t>Choy Poh Chu</t>
  </si>
  <si>
    <t>751103-06-5104</t>
  </si>
  <si>
    <t>No 42, Lrg Im 1/34, Bdr Indera Mahkota, 25200 Kuantan, Pahang</t>
  </si>
  <si>
    <t>017-8815769</t>
  </si>
  <si>
    <t>pohchuchoy@gmail.com</t>
  </si>
  <si>
    <t>Chong Shiuh Dyi</t>
  </si>
  <si>
    <t>830419-14-5229</t>
  </si>
  <si>
    <t>No 143, Jln Bidara 1, Tmn Bidara, 68100 Batu Caves, Selangor</t>
  </si>
  <si>
    <t>010-4698765</t>
  </si>
  <si>
    <t>wanderingvirocana@gmail.com</t>
  </si>
  <si>
    <t>Yong Chee Seng</t>
  </si>
  <si>
    <t>751025-04-5019</t>
  </si>
  <si>
    <t>41, Jalan Aman Perdana 11K/KU5, Taman Aman Perdana, 41050 Klang, Selangor</t>
  </si>
  <si>
    <t>012-3888517</t>
  </si>
  <si>
    <t>hoongthyeengineering@gmail.com</t>
  </si>
  <si>
    <t>Nur Salinahany binti Hanafiah</t>
  </si>
  <si>
    <t>771124-02-6014</t>
  </si>
  <si>
    <t>36645, Rumah Lot, Jln Lapangan Terbang, 26070 Kuantan</t>
  </si>
  <si>
    <t>010-4060484</t>
  </si>
  <si>
    <t>hanynajib7577@gmail.com</t>
  </si>
  <si>
    <t>Chara Sdn Bhd</t>
  </si>
  <si>
    <t>PPA</t>
  </si>
  <si>
    <t>Astronergy 605Wp</t>
  </si>
  <si>
    <t>Huawei SN2000-40KTL + Huawei SUN2000-30KTL</t>
  </si>
  <si>
    <t>3, Jalan Majistret U1/26, Hicom Glenmarie Industrial Park, 40150 Shah Alam, Selangor</t>
  </si>
  <si>
    <t>Ng Mong Ping</t>
  </si>
  <si>
    <t>730122-01-5257</t>
  </si>
  <si>
    <t>25, Jalan Panorama 7, Taman Kota Panorama, 83700 Yong Peng, Johor</t>
  </si>
  <si>
    <t>65-91388191</t>
  </si>
  <si>
    <t>mongping.ng@gmail.com</t>
  </si>
  <si>
    <t>Lai Boon Liong</t>
  </si>
  <si>
    <t>791205-01-5083</t>
  </si>
  <si>
    <t>1, Jalan Bayu 8, Taman Sri Bayu, 83700 Yong Peng, Johor</t>
  </si>
  <si>
    <t>012-4743089</t>
  </si>
  <si>
    <t>yap.sk@hotmail.com</t>
  </si>
  <si>
    <t>Khairul Hisham Bin Mohamed</t>
  </si>
  <si>
    <t>850301-06-5635</t>
  </si>
  <si>
    <t>50, Taman PSJ, Lrg Sg Karang Darat 12, PKGN Sg Karang Darat, 26100 Kuantan, Pahang</t>
  </si>
  <si>
    <t>019-9709798</t>
  </si>
  <si>
    <t>khaimoha3720@gmail.com</t>
  </si>
  <si>
    <t>Tan Hock Cheng</t>
  </si>
  <si>
    <t>700325-01-5145</t>
  </si>
  <si>
    <t>No 20, Lrg Air Putih 102, Tmn Air Putih, Air Putih, 25300 Kuantan, Pahang</t>
  </si>
  <si>
    <t>019-9310567</t>
  </si>
  <si>
    <t>hvacrtan@gmail.com</t>
  </si>
  <si>
    <t>Phang Yeong Chin</t>
  </si>
  <si>
    <t>780919-07-5404</t>
  </si>
  <si>
    <t>62A, Jln USJ 12/1, UEP Subang Jaya, 47630 Subang Jaya, Selangor</t>
  </si>
  <si>
    <t>012-2965565</t>
  </si>
  <si>
    <t>phang_sk13@yahoo.com</t>
  </si>
  <si>
    <t>Yap Weoi Kee</t>
  </si>
  <si>
    <t>Solax 8kW</t>
  </si>
  <si>
    <t>670103-10-6653</t>
  </si>
  <si>
    <t>52, Jalan SL 4/2, Bandar Sungai Long, 43000 Kajang, Selangor</t>
  </si>
  <si>
    <t>019-3100965</t>
  </si>
  <si>
    <t>yapweoikee@gmail.com</t>
  </si>
  <si>
    <t>Lee Sui Lian</t>
  </si>
  <si>
    <t>550331-04-5091</t>
  </si>
  <si>
    <t>E2010, Jln Mat Kilau, 25100 Kuantan, Pahang</t>
  </si>
  <si>
    <t>011-35339431</t>
  </si>
  <si>
    <t>kcwlcy0912@gmail.com</t>
  </si>
  <si>
    <t>Too Seng Eng</t>
  </si>
  <si>
    <t>690211-06-5017</t>
  </si>
  <si>
    <t>No 18, Lrg GE 2 Tmn Gemilang Emas-Sg Jan, 27000 Jeratut Pahang</t>
  </si>
  <si>
    <t>013-9816863</t>
  </si>
  <si>
    <t>kaixuantoo@gmail.com</t>
  </si>
  <si>
    <t>Anthony Phua Kin Loong</t>
  </si>
  <si>
    <t>860406-33-5573</t>
  </si>
  <si>
    <t>No 14, Jalan KS 12/8, Kota Sultan Ahmad Shah, 25200 Kuantan, Pahang</t>
  </si>
  <si>
    <t>016-9514838</t>
  </si>
  <si>
    <t>Anthony.phua.kl@gmail.com</t>
  </si>
  <si>
    <t>Chang Kok Sang (Chang Vun Yu)</t>
  </si>
  <si>
    <t>510630-12-5175</t>
  </si>
  <si>
    <t>43, Jln USJ 9/3P, UEP Subang Jaya, 47500 Subang Jaya, Selangor</t>
  </si>
  <si>
    <t>019-8606262</t>
  </si>
  <si>
    <t>clementchang@harrisons.com.my</t>
  </si>
  <si>
    <t>Tee Hup Soon</t>
  </si>
  <si>
    <t>970830-56-5439</t>
  </si>
  <si>
    <t>No 2, Lorong Bukit Setongkol Baru 9, Perumahan Bukit Setongkol Baru, 25200 Kuantan, Pahang</t>
  </si>
  <si>
    <t>013-8040830</t>
  </si>
  <si>
    <t>thssoon@gmail.com</t>
  </si>
  <si>
    <t>include smart meter</t>
  </si>
  <si>
    <t>Muhammad Arif Stephen bin Abddullah</t>
  </si>
  <si>
    <t>621102-10-7661</t>
  </si>
  <si>
    <t>Lot-1183A, Jalan Felcra, Kampung Batu 14, 43100 Hulu Langat, Selangor</t>
  </si>
  <si>
    <t>Law Meng Siong</t>
  </si>
  <si>
    <t>680623-06-5049</t>
  </si>
  <si>
    <t>Lot 13347, Bt 2 1-2 Jln Triang, 28200 Triang, Pahang</t>
  </si>
  <si>
    <t>019-9558682</t>
  </si>
  <si>
    <t>tskiansiong@gmail.com</t>
  </si>
  <si>
    <t>Teh Bat Kuan (Teh Eng Lim)</t>
  </si>
  <si>
    <t>580406-08-5985</t>
  </si>
  <si>
    <t>PT 1467, Regat Th 2, Taman Taiping Harmoni, 34000 Taiping, Perak</t>
  </si>
  <si>
    <t>012-52211111</t>
  </si>
  <si>
    <t>office.tehtehdev@gmail.com</t>
  </si>
  <si>
    <t>Ayer Keroh R&amp;R (Southbound) - Green EV Charge Sdn Bhd</t>
  </si>
  <si>
    <t>Lai Kwee Far</t>
  </si>
  <si>
    <t>631106-05-5079</t>
  </si>
  <si>
    <t>20, Lrg Kurnia Jaya 3, Pkg Kurnia Jaya 1, 25150 Kuantan, Pahang</t>
  </si>
  <si>
    <t>010-9831963</t>
  </si>
  <si>
    <t>liewbonnie67@gmail.com</t>
  </si>
  <si>
    <t>Dr Balbinder Singh a/l Gurbaksh Singh</t>
  </si>
  <si>
    <t>680315-07-5317</t>
  </si>
  <si>
    <t>41, Jalan Tempinis 1, Taman Lucky, Bangsar, 59100 Kuala Lumpur, WP Kuala Lumpur</t>
  </si>
  <si>
    <t>012-2134001</t>
  </si>
  <si>
    <t>kgbill15@yahoo.com</t>
  </si>
  <si>
    <t>Ong Ah Chai</t>
  </si>
  <si>
    <t>1, Lrg Galing 18, 25300 Kuantan, Pahang</t>
  </si>
  <si>
    <t>Huawei SUN2000-50KTL + SUN2000-20KTL</t>
  </si>
  <si>
    <t>Wan Kong Wing</t>
  </si>
  <si>
    <t>640707-08-5227</t>
  </si>
  <si>
    <t>21, JLN UNGU U9/29A, CAHAYA SPK, SEK U9, 40150 SHAH ALAM, SELANGOR</t>
  </si>
  <si>
    <t>012-3788234</t>
  </si>
  <si>
    <t>kwwan07@yahoo.com</t>
  </si>
  <si>
    <t>Berjayapak Sdn Bhd</t>
  </si>
  <si>
    <t>Yingli Solar 620Wp</t>
  </si>
  <si>
    <t>Zohairen Bin Mhamad Sori</t>
  </si>
  <si>
    <t>691107-04-5475</t>
  </si>
  <si>
    <t>59, JLN KELAB UKAY, TMN KELAB UKAY, BKT ANTARABANGSA, 68000 AMPANG, SELANGOR</t>
  </si>
  <si>
    <t>014-6269711</t>
  </si>
  <si>
    <t>zohairen@gmail.com</t>
  </si>
  <si>
    <t>Facebook</t>
  </si>
  <si>
    <t>Roshahni Binti Mhammad</t>
  </si>
  <si>
    <t>670308-03-5318</t>
  </si>
  <si>
    <t>6, Lrg Galing 28, 25300 Kuantan, Pahang</t>
  </si>
  <si>
    <t>011-55032998</t>
  </si>
  <si>
    <t>nanimuhammad67@gmail.com</t>
  </si>
  <si>
    <t>Jowee Trading Sdn Bhd</t>
  </si>
  <si>
    <t>Astronergy 620Wp</t>
  </si>
  <si>
    <t>Huawei SUN2000-20KTL x 2</t>
  </si>
  <si>
    <t>Nur Salwahani Bt Muhammad</t>
  </si>
  <si>
    <t>780205-11-5670</t>
  </si>
  <si>
    <t>No 15, Lrg Im 15/7, Tmn Astana View, 25300 Kuantan,  Pahang</t>
  </si>
  <si>
    <t>013-9082165</t>
  </si>
  <si>
    <t>norsalwahanimuhammad2003@gmail.com</t>
  </si>
  <si>
    <t xml:space="preserve">Tham Wai Hong </t>
  </si>
  <si>
    <t>730725-06-5069</t>
  </si>
  <si>
    <t>7, Lrg Air Putih 51, 25300 Kuantan, Pahang</t>
  </si>
  <si>
    <t>012-3666363</t>
  </si>
  <si>
    <t>mysamwht@gmail.com</t>
  </si>
  <si>
    <t>Ng Heng Hock</t>
  </si>
  <si>
    <t>771118-02-5875</t>
  </si>
  <si>
    <t>1884, Lrg Alor Akar 46, Tmn Impiana, 25300 Kuantan, Pahang</t>
  </si>
  <si>
    <t>019-9523822</t>
  </si>
  <si>
    <t>xingen150305@gmail.com</t>
  </si>
  <si>
    <t xml:space="preserve">Chong Yee Sam </t>
  </si>
  <si>
    <t>870913-38-5355</t>
  </si>
  <si>
    <t>B3394, Lrg Galing 143, Air Putih, 25020 Kuantan, Pahang</t>
  </si>
  <si>
    <t>010-4080727</t>
  </si>
  <si>
    <t>sam2chong@gmail.com</t>
  </si>
  <si>
    <t>Heng Mooi Sing</t>
  </si>
  <si>
    <t>771008-08-7020</t>
  </si>
  <si>
    <t>33, Garden Manor, Sierramas, 47000 Sungai Buloh, Selangor</t>
  </si>
  <si>
    <t>012-6510878</t>
  </si>
  <si>
    <t>asam1008@hotmail.com</t>
  </si>
  <si>
    <t>Lee Soo Kean</t>
  </si>
  <si>
    <t>650615-07-5151</t>
  </si>
  <si>
    <t>No 1, Lrg Im 1/61, Tmn Mahkota Ceria, 25200 Kuantan Pahang</t>
  </si>
  <si>
    <t>013-9377981</t>
  </si>
  <si>
    <t>sklee0665@gmail.com</t>
  </si>
  <si>
    <t>Kiren Kaur A/P Bhajan Singh</t>
  </si>
  <si>
    <t>820207-08-5886</t>
  </si>
  <si>
    <t>No 11, Lrg Kubang Buaya 7, 25250 Kuantan, Pahang</t>
  </si>
  <si>
    <t>012-4056292</t>
  </si>
  <si>
    <t>kirenkaurbraich@gmail.com</t>
  </si>
  <si>
    <t>39, Bayu Utara Seri Pilmoor, Jln PJU 1A/20, 43701 Petaling Jaya, Selangor</t>
  </si>
  <si>
    <t>Chiang Hock Chiong</t>
  </si>
  <si>
    <t>680101-03-8297</t>
  </si>
  <si>
    <t>15, Lorong Pelindung 3, Persisiran Residences Bukit Pelindung, 25050 Kuantan, {ahang</t>
  </si>
  <si>
    <t>012-9085551</t>
  </si>
  <si>
    <t>isaaczack@yahoo.com</t>
  </si>
  <si>
    <t>Goh Boon Leng</t>
  </si>
  <si>
    <t>791028-01-5655</t>
  </si>
  <si>
    <t>116, Jalan 20/7, Taman Paramount, 46300 Petaling Jaya, Selangor</t>
  </si>
  <si>
    <t>016-6629044</t>
  </si>
  <si>
    <t>boonlg@gmail.com</t>
  </si>
  <si>
    <t>Lee Len Foong</t>
  </si>
  <si>
    <t>631030-06-5122</t>
  </si>
  <si>
    <t>No 16, Lrg Bukit Setongkol 171, 25200 Kuantan, Pahang</t>
  </si>
  <si>
    <t>016-5299174</t>
  </si>
  <si>
    <t>EEKIENLOONG96@GMAIL.COM</t>
  </si>
  <si>
    <t>Yap Swee Piau</t>
  </si>
  <si>
    <t>890301-14-6351</t>
  </si>
  <si>
    <t xml:space="preserve">No. 9, Jalan KS 12/8, Kota Sultan Ahmad Shah, 25200 Kuantan, Pahang </t>
  </si>
  <si>
    <t>016-6905690</t>
  </si>
  <si>
    <t>darickyap@gmail.com</t>
  </si>
  <si>
    <t>Kong King Wai</t>
  </si>
  <si>
    <t>811005-08-5461</t>
  </si>
  <si>
    <t>22A, Jln Segar Perdana 4/7, Tmn Segar Perdana, 43200 Batu 11 Cheras, Selangor</t>
  </si>
  <si>
    <t>017-8775160</t>
  </si>
  <si>
    <t>kwkong555@gmail.com</t>
  </si>
  <si>
    <t>22, Jln PJU 3/12, Tropicana Indah, 47410 Petaling Jaya, Selangor</t>
  </si>
  <si>
    <t>Lee Kee Chew</t>
  </si>
  <si>
    <t>570906-08-6555</t>
  </si>
  <si>
    <t>18, Jalan SS 22/28, Damansara Jaya, 47400 Petaling Jaya, Selangor</t>
  </si>
  <si>
    <t>019-3111662</t>
  </si>
  <si>
    <t>simonlee1@yahoo.com</t>
  </si>
  <si>
    <t>Sia Wee Leng</t>
  </si>
  <si>
    <t>700101-10-7323</t>
  </si>
  <si>
    <t>No 3, Jln Rimbunan Melor 9, Laman Rimbunan Kepong, 52100 Kuala Lumpur, WP Kuala Lumpur</t>
  </si>
  <si>
    <t>012-3862832</t>
  </si>
  <si>
    <t>lgfswl@gmail.com</t>
  </si>
  <si>
    <t>2505699-1</t>
  </si>
  <si>
    <t>Leong Wai Wung</t>
  </si>
  <si>
    <t>Lim Jun Hong</t>
  </si>
  <si>
    <t>940611-08-5059</t>
  </si>
  <si>
    <t>No 7, Jln USJ 3A/8, 47680 Subang Jaya, Selangor</t>
  </si>
  <si>
    <t>016-6679002</t>
  </si>
  <si>
    <t>limjh.611@gmail.com</t>
  </si>
  <si>
    <t>2 years</t>
  </si>
  <si>
    <t>Thayananthan A/L Lokanatan</t>
  </si>
  <si>
    <t>880603-06-5259</t>
  </si>
  <si>
    <t>No 3, Lrg Im 21/4, Perumahan Taman Indera Mahkota 21, 25200 Kuantan, Pahang</t>
  </si>
  <si>
    <t>016-7252108</t>
  </si>
  <si>
    <t>avith2309@gmail.com</t>
  </si>
  <si>
    <t>Koh Kheat Kian</t>
  </si>
  <si>
    <t>800626-06-5187</t>
  </si>
  <si>
    <t>51, Jln Bkt Setongkol 3, Tmn Muhibah Fasa 2, Bukit Setongkol, 25200 Kuantan, Pahang</t>
  </si>
  <si>
    <t>012-9502255</t>
  </si>
  <si>
    <t>kk5k@yahoo.com</t>
  </si>
  <si>
    <t>Poh Pun Hong</t>
  </si>
  <si>
    <t>651214-10-6548</t>
  </si>
  <si>
    <t>11, Jalan Sg 1/14, Taman Sri Gombak, 68100 Batu Caves. Selangor</t>
  </si>
  <si>
    <t>012-8856276</t>
  </si>
  <si>
    <t>briancmf940921@gmail.com</t>
  </si>
  <si>
    <t>Lee Meng Fui</t>
  </si>
  <si>
    <t>770221-06-5395</t>
  </si>
  <si>
    <t>32, Lrg Tiram Aman 3, Perumahan Tiram Aman. 25200 Kuantan, Pahang</t>
  </si>
  <si>
    <t>012-9589956</t>
  </si>
  <si>
    <t>calvinleemf@gmail.com</t>
  </si>
  <si>
    <t>Leow Siew Lian (Tee Hong Yee)</t>
  </si>
  <si>
    <t>670130-06-5156</t>
  </si>
  <si>
    <t>No 7, Lrg Pelindung Pantai 11 Kg Pelindu, Tmn Pantai Pelindung 26100 Berserah, Pahang</t>
  </si>
  <si>
    <t>017-8911268</t>
  </si>
  <si>
    <t>zhixuanx23@gmail.com</t>
  </si>
  <si>
    <t xml:space="preserve">Mohd Shariff </t>
  </si>
  <si>
    <t>Gan Chin Sam</t>
  </si>
  <si>
    <t>580625-05-5241</t>
  </si>
  <si>
    <t>67, Jalan PJU 1A/36, Ara Damansara, 47301 Petaling Jaya, Selangor</t>
  </si>
  <si>
    <t>019-3344789</t>
  </si>
  <si>
    <t>csamgan@gmail.com</t>
  </si>
  <si>
    <t>Tan Lee Khing</t>
  </si>
  <si>
    <t>790523-10-5186</t>
  </si>
  <si>
    <t>2, Lorong Bukit Setongkol Baru 10, Perumahan Bukit Setongkol Baru, 25200 Kuantan, Pahang</t>
  </si>
  <si>
    <t>012-2280130</t>
  </si>
  <si>
    <t>lee_khing@yahoo.com</t>
  </si>
  <si>
    <t>DK Senza Residence</t>
  </si>
  <si>
    <t>Ng Cheng Hoe</t>
  </si>
  <si>
    <t>881016-43-5205</t>
  </si>
  <si>
    <t>No. 5, Jalan Setia Utama U13/39D, Setia Alam, Seksyen U13, 40170 Shah Alam, Selangor</t>
  </si>
  <si>
    <t>013-7882286</t>
  </si>
  <si>
    <t>nevets8816@gmail.com</t>
  </si>
  <si>
    <t>Chen Kim Hock</t>
  </si>
  <si>
    <t>601117-02-5513</t>
  </si>
  <si>
    <t>37A, Jln Jingga 4, Tmn Pelangi, 80400 Johor Bahru, Johor</t>
  </si>
  <si>
    <t>014-7774333</t>
  </si>
  <si>
    <t>chenyeonhao@gmail.com</t>
  </si>
  <si>
    <t>Teh Foo Hock</t>
  </si>
  <si>
    <t>650714-06-5055</t>
  </si>
  <si>
    <t>B3410, Lrg Galing 143, Air Putih, 25020 Kuantan, Pahang</t>
  </si>
  <si>
    <t>012-9839222</t>
  </si>
  <si>
    <t>Tan Heng Lian</t>
  </si>
  <si>
    <t>780921-06-5117</t>
  </si>
  <si>
    <t>31, Lrg Sri Kuantan 63, Taman Sri Kuantan, 25250 Kuantan, Pahang</t>
  </si>
  <si>
    <t>016-9619998</t>
  </si>
  <si>
    <t>Kuzo836@gmail</t>
  </si>
  <si>
    <t>Mohamad Hafizi Bin Abdul Rahman</t>
  </si>
  <si>
    <t>741213-08-6337</t>
  </si>
  <si>
    <t>No 25, Lrg Bandar Damansara Kuantan 1/17, Bdr Damansara Kuantan, 26100 Kuantan, Pahang</t>
  </si>
  <si>
    <t>019-9569774</t>
  </si>
  <si>
    <t>datobulat@gmail.com</t>
  </si>
  <si>
    <t>Chai Cheong Sing</t>
  </si>
  <si>
    <t>720125-01-5261</t>
  </si>
  <si>
    <t>13, Lrg Seri Setali 10 Off, Jln Galing Ke, Tmn Sri Galing, 25300 Kuantan, Pahang</t>
  </si>
  <si>
    <t>012-7223686</t>
  </si>
  <si>
    <t>johnchai72@yahoo.com</t>
  </si>
  <si>
    <t>Liew Wen Qi</t>
  </si>
  <si>
    <t>A65 Bwh, Jln Seri Setali 2 Off Jln Air Putih, 25300 Kuantan, Pahang</t>
  </si>
  <si>
    <t>012-2691162</t>
  </si>
  <si>
    <t>wenqi_liew@hotmail.com</t>
  </si>
  <si>
    <t>Goh Boon Meng</t>
  </si>
  <si>
    <t>681204-06-5137</t>
  </si>
  <si>
    <t>No 6, Jln Mawar 6, Tmn Mawar, 28300 Triang, Pahang</t>
  </si>
  <si>
    <t>012-2429688</t>
  </si>
  <si>
    <t>gbm8869@gmail.com</t>
  </si>
  <si>
    <t>Megat Mohd Nashrul Bin Ahmad Zulkepli</t>
  </si>
  <si>
    <t>851019-01-6703</t>
  </si>
  <si>
    <t>No 11, Lrg Im 8/24, Bandar Indera Mahkota, Indera Mahkota, 25200 Kuantan, Pahang</t>
  </si>
  <si>
    <t>013-6803366</t>
  </si>
  <si>
    <t>megat@nexgentechaus.com</t>
  </si>
  <si>
    <t>Lim Geok Suan</t>
  </si>
  <si>
    <t>560421-07-5234</t>
  </si>
  <si>
    <t>No 65 A, Lrg Sekilau 22, Bkt Sekilau, 25200 Kuantan, Pahang</t>
  </si>
  <si>
    <t>012-9093055</t>
  </si>
  <si>
    <t>dinamikbudimas@gmail.com</t>
  </si>
  <si>
    <t>Yap Lee Yan</t>
  </si>
  <si>
    <t>830913-06-5080</t>
  </si>
  <si>
    <t>No 12, Lrg Bukit Ubi 59, Perumahan Galing, 25200 Kuantan, Pahang</t>
  </si>
  <si>
    <t>017-9898860</t>
  </si>
  <si>
    <t>yenyen6513@gmail.com</t>
  </si>
  <si>
    <t>Lee Swee Li</t>
  </si>
  <si>
    <t>730801-05-5074</t>
  </si>
  <si>
    <t>B913, Lrg Air Putih 25, Tmn Sentosa, 25350 Kuantan, Pahang</t>
  </si>
  <si>
    <t>012-9882982</t>
  </si>
  <si>
    <t>jennylee3668@gmail.com</t>
  </si>
  <si>
    <t>Koo Hing Yew</t>
  </si>
  <si>
    <t>600610-06-5215</t>
  </si>
  <si>
    <t>No. 9, Lorong Im 21/12, Perumahan Taman Indera Mahkota 21, 25200 Kuantan, Pahang</t>
  </si>
  <si>
    <t>017-3311266</t>
  </si>
  <si>
    <t>koojayaenterprise@gmail.com</t>
  </si>
  <si>
    <t>Teng Lily</t>
  </si>
  <si>
    <t>901117-06-5050</t>
  </si>
  <si>
    <t>31, Jln Bkt Setongkol 3, Tmn Muhibah Fasa, Bukit Setongkol 25200 Kuantan,Pahang</t>
  </si>
  <si>
    <t>012 - 7887991</t>
  </si>
  <si>
    <t>lilyteng_5050@hotmail.com</t>
  </si>
  <si>
    <t>Tan Shu Huat</t>
  </si>
  <si>
    <t>760905-06-5397</t>
  </si>
  <si>
    <t>137, Lrg Bkt Setongkol Perdana 52, Tmn Fairmont Jaya, 25200 Kuantan, Pahang</t>
  </si>
  <si>
    <t>016-9223663</t>
  </si>
  <si>
    <t>singhuatmotortrd@gmail.com</t>
  </si>
  <si>
    <t>Tan Wan Ngee</t>
  </si>
  <si>
    <t>760607-06-5364</t>
  </si>
  <si>
    <t>No 6, Lorong Pelindung 2, Persisiran Residences Bukit Pelindung, 25050 Kuantan, Pahang</t>
  </si>
  <si>
    <t>016 - 9222888</t>
  </si>
  <si>
    <t>Yeo Khai Boon</t>
  </si>
  <si>
    <t>000207-06-0319</t>
  </si>
  <si>
    <t>No 9, Jalan KS 5/14, Evergreen III @ Presint 5, Kotasas, 25200 Kuantan, Pahang</t>
  </si>
  <si>
    <t>019-7046189</t>
  </si>
  <si>
    <t>ahwen000207@hotmail.com</t>
  </si>
  <si>
    <t>Teo Lun Wei</t>
  </si>
  <si>
    <t>940421-06-5073</t>
  </si>
  <si>
    <t>No 26, Lorong Tas Perdana 3, Perumahan Tas Perdana, 25150 Kuantan Pahang</t>
  </si>
  <si>
    <t>010 - 7696618</t>
  </si>
  <si>
    <t>Lee Ban Hong</t>
  </si>
  <si>
    <t>860910-56-6071</t>
  </si>
  <si>
    <t>67, Jalan 2/C, Taman Jati, 48000 Rawang, Selangor</t>
  </si>
  <si>
    <t>018-2526174</t>
  </si>
  <si>
    <t>hueiya-lee97@hotmail.com</t>
  </si>
  <si>
    <t>Wu Sio Yunn</t>
  </si>
  <si>
    <t>680925-06-5044</t>
  </si>
  <si>
    <t>D-278, Lrg Bukit Setongkol 211, Tmn Bukit Setongkol, 25200 Kuantan, Pahang</t>
  </si>
  <si>
    <t>013-9848650</t>
  </si>
  <si>
    <t>irenewsy@hotmail.com</t>
  </si>
  <si>
    <t>Meor Farizal Bin Ramli</t>
  </si>
  <si>
    <t>810605-10-6153</t>
  </si>
  <si>
    <t>Lot 1433, Jln Merpati Kg Dato Ahmad Said, 30020 Ipoh, Perak</t>
  </si>
  <si>
    <t>012-5098235</t>
  </si>
  <si>
    <t>wan_8807@yahoo.com.my</t>
  </si>
  <si>
    <t>Chai Shwu Yi (Tan Lewin)</t>
  </si>
  <si>
    <t>860913-43-6870</t>
  </si>
  <si>
    <t>3, Jalan Mahligai 2A, Bandar Bukit Raja, 41050 Klang, Selangor</t>
  </si>
  <si>
    <t>012-2431712</t>
  </si>
  <si>
    <t>c.shwu.yi@gmail.com</t>
  </si>
  <si>
    <t>Lee Lee Tan @ Tan Lee Lee</t>
  </si>
  <si>
    <t>681204-10-6242</t>
  </si>
  <si>
    <t>32, Jalan SL 13/3, Bandar Sungai Long, 43000 Kajang Selangor</t>
  </si>
  <si>
    <t>012-2293778</t>
  </si>
  <si>
    <t>lilyt8793@gmail.com</t>
  </si>
  <si>
    <t>Yim Kai Mun</t>
  </si>
  <si>
    <t>531231-05-5387</t>
  </si>
  <si>
    <t>4, Lrg Pelindung 32, Tmn Pelindung, 25250 Kuantan, Pahang</t>
  </si>
  <si>
    <t>019 - 9518264</t>
  </si>
  <si>
    <t>johnnie.why@gmail.com</t>
  </si>
  <si>
    <t>Ahmad Fadhil Bin Alias</t>
  </si>
  <si>
    <t>790130-11-5113</t>
  </si>
  <si>
    <t>No 16, Lrg Pelindung Damai 26 Villa, Pelindung Indah, Beserah, 26100 Kuantan, Pahang</t>
  </si>
  <si>
    <t>014-5301886</t>
  </si>
  <si>
    <t>Lew Sieow Shih</t>
  </si>
  <si>
    <t>780528-06-5196</t>
  </si>
  <si>
    <t>D975, Jln Kg Jawa, Tmn Sri Berlian, 25200 Kuantan, Pahang</t>
  </si>
  <si>
    <t>012 - 9554526</t>
  </si>
  <si>
    <t>Leiw Chew Choi</t>
  </si>
  <si>
    <t>641010-06-5028</t>
  </si>
  <si>
    <t>No 18, Lorong Pelindung 2, Persisiran Residences Bukit Pelindung, 25050 Kuantan, Pahang</t>
  </si>
  <si>
    <t>012 - 9856616</t>
  </si>
  <si>
    <t>2506789-1</t>
  </si>
  <si>
    <t>Lim Kim Kiew</t>
  </si>
  <si>
    <t>620525-11-5212</t>
  </si>
  <si>
    <t>48, Lrg Air Putih 3 Jln Air Puith, Tmn Seri Maju, 25300 Kuantan, Pahang</t>
  </si>
  <si>
    <t>019-9629183</t>
  </si>
  <si>
    <t>lucaslim930@gmail.com</t>
  </si>
  <si>
    <t>Lim Chee Seng</t>
  </si>
  <si>
    <t>721110-14-5287</t>
  </si>
  <si>
    <t>NO DST11, JLN JEREJAK, TMN SETAPAK, 53000 WP KUALA LUMPUR</t>
  </si>
  <si>
    <t>019-2235411</t>
  </si>
  <si>
    <t>vincent7283@gmail.com</t>
  </si>
  <si>
    <t>Canning Garden Baptist Church</t>
  </si>
  <si>
    <t>Huawei SUN2000-36KTL</t>
  </si>
  <si>
    <t>3, Lal Lee Kwee Foh, Tmn Canning, 31400 Ipoh, Perak</t>
  </si>
  <si>
    <t>05-5468480</t>
  </si>
  <si>
    <t>cgbc.ipoh@gmail.com</t>
  </si>
  <si>
    <t>Lee Cheow Ban</t>
  </si>
  <si>
    <t>690614-06-5011</t>
  </si>
  <si>
    <t>No E  1111, Jln Darat Makbar, 25100 Kuantan</t>
  </si>
  <si>
    <t>017 - 9353338</t>
  </si>
  <si>
    <t>Tew Ah Sing @ Teo Ah Sing</t>
  </si>
  <si>
    <t>Mohd Nurazuwan Bin Radzi</t>
  </si>
  <si>
    <t>860517-23-6463</t>
  </si>
  <si>
    <t>No 3, Lrg Tmn Beserah 28, Tmn Beserah, 26100 Kuantan, Pahang</t>
  </si>
  <si>
    <t>016-7794494</t>
  </si>
  <si>
    <t>nurazuwan.petrofarm@gmail.com</t>
  </si>
  <si>
    <t>Lim Joo Eng</t>
  </si>
  <si>
    <t>520920-10-5796</t>
  </si>
  <si>
    <t>6, Lrg Seri Teruntum 134 Jln Wong Ah Jan, 25100 Kuantan, Pahang</t>
  </si>
  <si>
    <t>012-9392331</t>
  </si>
  <si>
    <t>gigityng85@yahoo.com</t>
  </si>
  <si>
    <t>Insultec Duragate Sdn Bhd</t>
  </si>
  <si>
    <t xml:space="preserve">Cash </t>
  </si>
  <si>
    <t>Hung Wen Hao</t>
  </si>
  <si>
    <t>980309-10-6169</t>
  </si>
  <si>
    <t>No 21, Lorong Sekilau 1/1, Perumahan Bukit Sekilau 1, 25200 Kuantan, Pahang</t>
  </si>
  <si>
    <t>011-1166669</t>
  </si>
  <si>
    <t>How Toon Huah</t>
  </si>
  <si>
    <t>560127-06-5094</t>
  </si>
  <si>
    <t xml:space="preserve">Lot 10991, Lrg Kubang Buaya 77, 25050 Kuantan, Pahang </t>
  </si>
  <si>
    <t>012-9883639</t>
  </si>
  <si>
    <t>hsmei30@yahoo.com</t>
  </si>
  <si>
    <t>G. Semanggol R&amp;R (Northbound) - Green EV Charge Sdn Bhd</t>
  </si>
  <si>
    <t>TMG Mall Tanjung Lumpur (Handal Green Mobility)</t>
  </si>
  <si>
    <t>Yee Main Way</t>
  </si>
  <si>
    <t>Solax 10kW</t>
  </si>
  <si>
    <t>700220-05-5423</t>
  </si>
  <si>
    <t>No 19 B, Lrg Galing 23 Off, Jln Hj Ahmad,Tmn Hj Ahmad Mewah, 25300 Kuantan Town, Pahang</t>
  </si>
  <si>
    <t>017-9866683</t>
  </si>
  <si>
    <t>TMG Mall Bandar Indera Mahkota (Handal Green Mobility)</t>
  </si>
  <si>
    <t>TMG Mall IM16 (Handal Green Mobility)</t>
  </si>
  <si>
    <t>TMG Mall Temerloh (Handal Green Mobility)</t>
  </si>
  <si>
    <t>Chan Weng Leong</t>
  </si>
  <si>
    <t>Solax 12kW</t>
  </si>
  <si>
    <t>810123-10-6089</t>
  </si>
  <si>
    <t>37, Jalan Mulia 9, Taman Mulia, 42700 Banting, Selangor</t>
  </si>
  <si>
    <t>016-9689365</t>
  </si>
  <si>
    <t>Tapah R&amp;R (Southbound) - Green EV Charge Sdn Bhd</t>
  </si>
  <si>
    <t>Goh Soon Teck</t>
  </si>
  <si>
    <t>Solax 7.5kW</t>
  </si>
  <si>
    <t>640915-06-5415</t>
  </si>
  <si>
    <t>No 51, Jln Bkt Setongkol 8, Tmn Sri Setongkol, 25200 Kuantan, Pahang</t>
  </si>
  <si>
    <t>016-9231811</t>
  </si>
  <si>
    <t>Chew Kok leong</t>
  </si>
  <si>
    <t>376, Jalan Kg. Kolong Pahat, Kg. Kolong Pahat, 26200 Sg. Lembing, Pahang</t>
  </si>
  <si>
    <t>Chong Horng Tat</t>
  </si>
  <si>
    <t xml:space="preserve"> 851029-14-6341</t>
  </si>
  <si>
    <t>No 92, Mutiara Villa, Jalan Mutiara 6, Mutiara Heights, 43000 Kajang, Selangor</t>
  </si>
  <si>
    <t>016-2427853</t>
  </si>
  <si>
    <t>Yeap Chooi Hock</t>
  </si>
  <si>
    <t>Solax 15kW</t>
  </si>
  <si>
    <t>621017-08-6085</t>
  </si>
  <si>
    <t>No 65, Jalan Sri Jaya 5-1, Taman Bukit SR, 26500 Maran, Pahang</t>
  </si>
  <si>
    <t>Eddie Leong Kai Sheng</t>
  </si>
  <si>
    <t>Fox ESS 12kW</t>
  </si>
  <si>
    <t>K5404484K</t>
  </si>
  <si>
    <t>No 22, Jalan KS 7/1, Kota Sultan Ahmad Shah 7, 25200 Kuantan, Pahang</t>
  </si>
  <si>
    <t>+65 90629902</t>
  </si>
  <si>
    <t>Wang Pay Chen</t>
  </si>
  <si>
    <t>790603-11-5042</t>
  </si>
  <si>
    <t>PT3665, Jalan Apps 1/5, Taman Alam Perdana, 24000 Kemaman, Terengganu</t>
  </si>
  <si>
    <t>017-9869863</t>
  </si>
  <si>
    <t>Lee Hang Meng</t>
  </si>
  <si>
    <t>Fox ESS 10kW</t>
  </si>
  <si>
    <t>700815-06-5057</t>
  </si>
  <si>
    <t xml:space="preserve">No 23, Lrg Galing 27, Tmn Sri Tahan, 25300 Kuantan, Pahang </t>
  </si>
  <si>
    <t>012-9873327</t>
  </si>
  <si>
    <t>Soe Yew Seng</t>
  </si>
  <si>
    <t>680303-10-5531</t>
  </si>
  <si>
    <t>No 117, Lebuh Berangan, 42000 Klang, Selangor</t>
  </si>
  <si>
    <t>017-3035058</t>
  </si>
  <si>
    <t>Finance</t>
  </si>
  <si>
    <t>DLP</t>
  </si>
  <si>
    <t>Insurance</t>
  </si>
  <si>
    <t>On site checking - 1 year</t>
  </si>
  <si>
    <t>On site checking - 2 years</t>
  </si>
  <si>
    <t>C&amp;I-BESS</t>
  </si>
  <si>
    <t>4 years</t>
  </si>
  <si>
    <t>On site checking - 3 years</t>
  </si>
  <si>
    <t>6 years</t>
  </si>
  <si>
    <t>Full O&amp;M - 2 years</t>
  </si>
  <si>
    <t>7 years</t>
  </si>
  <si>
    <t>8 years</t>
  </si>
  <si>
    <t>Full O&amp;M - 4 years</t>
  </si>
  <si>
    <t>9 years</t>
  </si>
  <si>
    <t>Full O&amp;M - 5 years</t>
  </si>
  <si>
    <t>10 years</t>
  </si>
  <si>
    <t>Full O&amp;M - 6 years</t>
  </si>
  <si>
    <t>Full O&amp;M - 7 years</t>
  </si>
  <si>
    <t>Full O&amp;M - 8 years</t>
  </si>
  <si>
    <t>Full O&amp;M - 9 years</t>
  </si>
  <si>
    <t>Full O&amp;M - 10 years</t>
  </si>
  <si>
    <t>SEDA Status</t>
  </si>
  <si>
    <t>Documents Provided</t>
  </si>
  <si>
    <t>Waiting for Fee Payment</t>
  </si>
  <si>
    <t>Waiting for Verification</t>
  </si>
  <si>
    <t>Waiting for Verification (Update)</t>
  </si>
  <si>
    <t xml:space="preserve">Waiting for TNB Confirmation </t>
  </si>
  <si>
    <t>Approved - Waiting for Certificate</t>
  </si>
  <si>
    <t>Certificate Generated</t>
  </si>
  <si>
    <t>Application Withdrawal</t>
  </si>
  <si>
    <t>Application Rejected</t>
  </si>
  <si>
    <t>Completed Project Milestones</t>
  </si>
  <si>
    <t>NEM Commencement Date</t>
  </si>
  <si>
    <t>TNB-CAS</t>
  </si>
  <si>
    <t>SEDA</t>
  </si>
  <si>
    <t>TNB (NEM Meter Change )</t>
  </si>
  <si>
    <t>Project Status</t>
  </si>
  <si>
    <t>Payment Status</t>
  </si>
  <si>
    <t>CAS Application</t>
  </si>
  <si>
    <t>CAS Approval</t>
  </si>
  <si>
    <t>NEM Quota Submission</t>
  </si>
  <si>
    <t>NEM Quota Approval</t>
  </si>
  <si>
    <t>NEM Quota Status</t>
  </si>
  <si>
    <t>NEMCD</t>
  </si>
  <si>
    <t>Site Survey</t>
  </si>
  <si>
    <t>Material Readiness</t>
  </si>
  <si>
    <t>RSA Result</t>
  </si>
  <si>
    <t>Engineering Design</t>
  </si>
  <si>
    <t>Installer</t>
  </si>
  <si>
    <t>Installation Date</t>
  </si>
  <si>
    <t>NEM Meter Change/ Contract Submission</t>
  </si>
  <si>
    <t>TNB Portal Status</t>
  </si>
  <si>
    <t>Status Date</t>
  </si>
  <si>
    <t>Meter Change Payment</t>
  </si>
  <si>
    <t>NEM Meter Change</t>
  </si>
  <si>
    <t>NEM Welcome Letter</t>
  </si>
  <si>
    <t>NEM Term End Date</t>
  </si>
  <si>
    <t>ST License Application</t>
  </si>
  <si>
    <t>ST License Approval</t>
  </si>
  <si>
    <t>GITA Application</t>
  </si>
  <si>
    <t>GITA Approval</t>
  </si>
  <si>
    <t>Close to Instaallation</t>
  </si>
  <si>
    <t>Completed</t>
  </si>
  <si>
    <t>PJ Plus</t>
  </si>
  <si>
    <t>AR Berkat</t>
  </si>
  <si>
    <t>Ax Electro</t>
  </si>
  <si>
    <t>Replacing Meter</t>
  </si>
  <si>
    <t>Payment Required</t>
  </si>
  <si>
    <t>Pending SEDA</t>
  </si>
  <si>
    <t>AX</t>
  </si>
  <si>
    <t>Ar Berkat</t>
  </si>
  <si>
    <t>1st Payment</t>
  </si>
  <si>
    <t>2nd Payment</t>
  </si>
  <si>
    <t>3rd Payment</t>
  </si>
  <si>
    <t>4th Payment</t>
  </si>
  <si>
    <t>5th Payment</t>
  </si>
  <si>
    <t>VO Payment</t>
  </si>
  <si>
    <t>VO</t>
  </si>
  <si>
    <t>Payment Type</t>
  </si>
  <si>
    <t>Invoice Status</t>
  </si>
  <si>
    <t>Total Invoiced</t>
  </si>
  <si>
    <t>Total Paid</t>
  </si>
  <si>
    <t>1st Invoice Date</t>
  </si>
  <si>
    <t>Invoiced Amount</t>
  </si>
  <si>
    <t>1st Payment Date</t>
  </si>
  <si>
    <t>2nd Invoice Date</t>
  </si>
  <si>
    <t>Invoice Amount</t>
  </si>
  <si>
    <t>2nd Payment Date</t>
  </si>
  <si>
    <t>Payment Received</t>
  </si>
  <si>
    <t>3rd Invoice Date</t>
  </si>
  <si>
    <t>3rd Payment Date</t>
  </si>
  <si>
    <t>4th Invoice Date</t>
  </si>
  <si>
    <t>4th Payment Date</t>
  </si>
  <si>
    <t>5th Invoice Date</t>
  </si>
  <si>
    <t>5th Payment Date</t>
  </si>
  <si>
    <t>VO Invoiced Date</t>
  </si>
  <si>
    <t>VO Invoice Amount</t>
  </si>
  <si>
    <t>VO Payment Date</t>
  </si>
  <si>
    <t>5/15/2024</t>
  </si>
  <si>
    <t>29//4/2025</t>
  </si>
  <si>
    <t>1st Year</t>
  </si>
  <si>
    <t>2nd Year</t>
  </si>
  <si>
    <t>3rd Year</t>
  </si>
  <si>
    <t>4th Year</t>
  </si>
  <si>
    <t>I/C</t>
  </si>
  <si>
    <t>Email</t>
  </si>
  <si>
    <t>Insurance Provider</t>
  </si>
  <si>
    <t>Policy Number</t>
  </si>
  <si>
    <t>Date of Policy</t>
  </si>
  <si>
    <t>MSIG</t>
  </si>
  <si>
    <t>KN-11241957-ARH</t>
  </si>
  <si>
    <t>Allianz</t>
  </si>
  <si>
    <t>24AKG0004435-00</t>
  </si>
  <si>
    <t>25AKG0000970-00</t>
  </si>
  <si>
    <t>KN-11241950-ARH</t>
  </si>
  <si>
    <t>24AKG0004436-00</t>
  </si>
  <si>
    <t>KN-11241942-ARH</t>
  </si>
  <si>
    <t>24AKG0004431-00</t>
  </si>
  <si>
    <t>KN-11241931-ARH</t>
  </si>
  <si>
    <t>KN-11241903-ARH</t>
  </si>
  <si>
    <t>24AKG0004425-00</t>
  </si>
  <si>
    <t>Tokio Marine</t>
  </si>
  <si>
    <t>GAS-G0154270-WB-AGY-24</t>
  </si>
  <si>
    <t>KN-11241896-ARH</t>
  </si>
  <si>
    <t>24AKG0004426-00</t>
  </si>
  <si>
    <t>KN-11241868-ARH</t>
  </si>
  <si>
    <t>24AKG0004430-00</t>
  </si>
  <si>
    <t>24AKG0003782-00</t>
  </si>
  <si>
    <t>24AKG0003783-00</t>
  </si>
  <si>
    <t>KN-11241886-ARH</t>
  </si>
  <si>
    <t>24AKG0004427-00</t>
  </si>
  <si>
    <t>24AKG0003784-00</t>
  </si>
  <si>
    <t>24AKG0003787-00</t>
  </si>
  <si>
    <t>24AKG0003788-00</t>
  </si>
  <si>
    <t>Project Cancelled</t>
  </si>
  <si>
    <t>25AKG0000971-00</t>
  </si>
  <si>
    <t>24AKG0003789-00</t>
  </si>
  <si>
    <t>24AKG0003790-00</t>
  </si>
  <si>
    <t>24AKG0003791-00</t>
  </si>
  <si>
    <t>24AKG0003792-00</t>
  </si>
  <si>
    <t>24AKG0003793-00</t>
  </si>
  <si>
    <t>25AKG0001669-00</t>
  </si>
  <si>
    <t>24AKG0003795-00</t>
  </si>
  <si>
    <t>25AKG0001709-00</t>
  </si>
  <si>
    <t>24AKG0003796-00</t>
  </si>
  <si>
    <t>24AKG0003797-00</t>
  </si>
  <si>
    <t>24AKG0003798-00</t>
  </si>
  <si>
    <t>24AKG0003799-00</t>
  </si>
  <si>
    <t>24AKG0003800-00</t>
  </si>
  <si>
    <t>24AKG0003801-00</t>
  </si>
  <si>
    <t>24AKG0003802-00</t>
  </si>
  <si>
    <t>24AKG0003803-00</t>
  </si>
  <si>
    <t>24AKG0003804-00</t>
  </si>
  <si>
    <t>24AKG0003805-00</t>
  </si>
  <si>
    <t>24AKG0003806-00</t>
  </si>
  <si>
    <t>24AKG0003807-00</t>
  </si>
  <si>
    <t>24AKG0003808-00</t>
  </si>
  <si>
    <t>24AKG0003809-00</t>
  </si>
  <si>
    <t>GAS-G0167581-WB-AGY-25</t>
  </si>
  <si>
    <t>24AKG0003810-00</t>
  </si>
  <si>
    <t>24AKG0003811-00</t>
  </si>
  <si>
    <t>24AKG0003812-00</t>
  </si>
  <si>
    <t>24AKG0003813-00</t>
  </si>
  <si>
    <t>24AKG0003815-00</t>
  </si>
  <si>
    <t>24AKG0003816-00</t>
  </si>
  <si>
    <t>24AKG0003817-00</t>
  </si>
  <si>
    <t>24AKG0003818-00</t>
  </si>
  <si>
    <t>GAS-G0167670-WB-AGY-25</t>
  </si>
  <si>
    <t>24AKG0003819-00</t>
  </si>
  <si>
    <t>24AKG0003820-00</t>
  </si>
  <si>
    <t>24AKG0003821-00</t>
  </si>
  <si>
    <t>24AKG0003822-00</t>
  </si>
  <si>
    <t>24AKG0003823-00</t>
  </si>
  <si>
    <t>24AKG0003824-00</t>
  </si>
  <si>
    <t>24AKG0003825-00</t>
  </si>
  <si>
    <t>25AKG0000972-00</t>
  </si>
  <si>
    <t>24AKG0003826-00</t>
  </si>
  <si>
    <t>25AKG0000973-00</t>
  </si>
  <si>
    <t>24AKG0003839-00</t>
  </si>
  <si>
    <t>24AKG0003827-00</t>
  </si>
  <si>
    <t>24AKG0003828-00</t>
  </si>
  <si>
    <t>25AKG0000974-00</t>
  </si>
  <si>
    <t>24AKG0003829-00</t>
  </si>
  <si>
    <t>24AKG0003830-00</t>
  </si>
  <si>
    <t>24AKG0003831-00</t>
  </si>
  <si>
    <t>24AKG0003832-00</t>
  </si>
  <si>
    <t>24AKG0003842-00</t>
  </si>
  <si>
    <t>24AKG0003833-00</t>
  </si>
  <si>
    <t>24AKG0003834-00</t>
  </si>
  <si>
    <t>24AKG0003835-00</t>
  </si>
  <si>
    <t>25AKG0000975-00</t>
  </si>
  <si>
    <t>25AKG0001008-00</t>
  </si>
  <si>
    <t>24AKG0003836-00</t>
  </si>
  <si>
    <t>24AKG0003837-00</t>
  </si>
  <si>
    <t>24AKG0003843-00</t>
  </si>
  <si>
    <t>GAS-G0167589-WB-AGY-25</t>
  </si>
  <si>
    <t>25AKG0000976-00</t>
  </si>
  <si>
    <t>25AKG0000977-00</t>
  </si>
  <si>
    <t>25AKG0000978-00</t>
  </si>
  <si>
    <t>25AKG0000979-00</t>
  </si>
  <si>
    <t>24AKG0003841-00</t>
  </si>
  <si>
    <t>25AKG0000980-00</t>
  </si>
  <si>
    <t>25AKG0000981-00</t>
  </si>
  <si>
    <t>25AKG0000982-00</t>
  </si>
  <si>
    <t>25AKG0000983-00</t>
  </si>
  <si>
    <t>25AKG0000984-00</t>
  </si>
  <si>
    <t>24AKG0003844-00</t>
  </si>
  <si>
    <t>25AKG0000985-00</t>
  </si>
  <si>
    <t>24AKG0003838-00</t>
  </si>
  <si>
    <t>25AKG0000986-00</t>
  </si>
  <si>
    <t>24AKG0003840-00</t>
  </si>
  <si>
    <t>25AKG0000987-00</t>
  </si>
  <si>
    <t>25AKG0000988-00</t>
  </si>
  <si>
    <t>25AKG0000989-00</t>
  </si>
  <si>
    <t>25AKG0000990-00</t>
  </si>
  <si>
    <t>25AKG0000991-00</t>
  </si>
  <si>
    <t>25AKG0000992-00</t>
  </si>
  <si>
    <t>25AKG0000993-00</t>
  </si>
  <si>
    <t>24AKG0000994-00</t>
  </si>
  <si>
    <t>25AKG0000995-00</t>
  </si>
  <si>
    <t>25AKG0000997-00</t>
  </si>
  <si>
    <t>25AKG0000998-00</t>
  </si>
  <si>
    <t>25AKG0000999-00</t>
  </si>
  <si>
    <t>25AKG0001000-00</t>
  </si>
  <si>
    <t>25AKG0001002-00</t>
  </si>
  <si>
    <t>25AKG0001003-00</t>
  </si>
  <si>
    <t>25AKG0001004-00</t>
  </si>
  <si>
    <t>25AKG0001670-00</t>
  </si>
  <si>
    <t>25AKG0001006-00</t>
  </si>
  <si>
    <t>25AKG0001012-00</t>
  </si>
  <si>
    <t>25AKG0001009-00</t>
  </si>
  <si>
    <t>25AKG0001671-00</t>
  </si>
  <si>
    <t>25AKG0001010-00</t>
  </si>
  <si>
    <t>25AKG0001011-00</t>
  </si>
  <si>
    <t>25AKG0001013-00</t>
  </si>
  <si>
    <t>25AKG0001014-00</t>
  </si>
  <si>
    <t>25AKG0001015-00</t>
  </si>
  <si>
    <t>25AKG0001007-00</t>
  </si>
  <si>
    <t>25AKG0001016-00</t>
  </si>
  <si>
    <t>25AKG0001017-00</t>
  </si>
  <si>
    <t>25AKG0001018-00</t>
  </si>
  <si>
    <t>25AKG0001019-00</t>
  </si>
  <si>
    <t>25AKG0001020-00</t>
  </si>
  <si>
    <t>25AKG0001021-00</t>
  </si>
  <si>
    <t>25AKG0001022-00</t>
  </si>
  <si>
    <t>25AKG0001023-00</t>
  </si>
  <si>
    <t>25AKG0001024-00</t>
  </si>
  <si>
    <t>GAS-G0167024-WB-AGY-25</t>
  </si>
  <si>
    <t>GAS-G0167029-WB-AGY-25</t>
  </si>
  <si>
    <t>GAS-G0167028-WB-AGY-25</t>
  </si>
  <si>
    <t>GAS-G0167685-WB-AGY-25</t>
  </si>
  <si>
    <t>GAS-G0167683-WB-AGY-25</t>
  </si>
  <si>
    <t>GAS0167754-WB-AGY-25</t>
  </si>
  <si>
    <t>25AKG0001025-00</t>
  </si>
  <si>
    <t>25AKG0001026-00</t>
  </si>
  <si>
    <t>25AKG0001027-00</t>
  </si>
  <si>
    <t>25AKG0001028-00</t>
  </si>
  <si>
    <t>25AKG0001029-00</t>
  </si>
  <si>
    <t>25AKG0001030-00</t>
  </si>
  <si>
    <t>25AKG0001031-00</t>
  </si>
  <si>
    <t>25AKG0001032-00</t>
  </si>
  <si>
    <t>25AKG0001033-00</t>
  </si>
  <si>
    <t>25AKG0001034-00</t>
  </si>
  <si>
    <t>25AKG0001035-00</t>
  </si>
  <si>
    <t>25AKG0001036-00</t>
  </si>
  <si>
    <t>25AKG0001037-00</t>
  </si>
  <si>
    <t>25AKG0001038-00</t>
  </si>
  <si>
    <t>25AKG0001039-00</t>
  </si>
  <si>
    <t>25AKG0001040-00</t>
  </si>
  <si>
    <t>25AKG0001042-00</t>
  </si>
  <si>
    <t>25AKG0001043-00</t>
  </si>
  <si>
    <t>25AKG0001044-00</t>
  </si>
  <si>
    <t>25AKG0001045-00</t>
  </si>
  <si>
    <t>25AKG0001046-00</t>
  </si>
  <si>
    <t>25AKG0001047-00</t>
  </si>
  <si>
    <t>25AKG0001048-00</t>
  </si>
  <si>
    <t>25AKG0001672-00</t>
  </si>
  <si>
    <t>25AKG0001673-00</t>
  </si>
  <si>
    <t>25AKG0001056-00</t>
  </si>
  <si>
    <t>25AKG0001049-00</t>
  </si>
  <si>
    <t>25AKG0001674-00</t>
  </si>
  <si>
    <t>25AKG0001050-00</t>
  </si>
  <si>
    <t>25AKG0001051-00</t>
  </si>
  <si>
    <t>25AKG0001675-00</t>
  </si>
  <si>
    <t>25AKG0001676-00</t>
  </si>
  <si>
    <t>25AKG0001052-00</t>
  </si>
  <si>
    <t>25AKG0001057-00</t>
  </si>
  <si>
    <t>25AKG0001677-00</t>
  </si>
  <si>
    <t>25AKG0001678-00</t>
  </si>
  <si>
    <t>25AKG0001679-00</t>
  </si>
  <si>
    <t>25AKG0001680-00</t>
  </si>
  <si>
    <t>25AKG0001681-00</t>
  </si>
  <si>
    <t>25KAG0001682-00</t>
  </si>
  <si>
    <t>25AKG0001683-00</t>
  </si>
  <si>
    <t>25AKG0001684-00</t>
  </si>
  <si>
    <t>25AKG0001053-00</t>
  </si>
  <si>
    <t>25AKG0001685-00</t>
  </si>
  <si>
    <t>25AKG0001686-00</t>
  </si>
  <si>
    <t>25AKG0001687-00</t>
  </si>
  <si>
    <t>25AKG0001688-00</t>
  </si>
  <si>
    <t>25AKG0001689-00</t>
  </si>
  <si>
    <t>25AKG0001690-00</t>
  </si>
  <si>
    <t>25AKG0001054-00</t>
  </si>
  <si>
    <t>25AKG0001691-00</t>
  </si>
  <si>
    <t>25AKG0001692-00</t>
  </si>
  <si>
    <t>25AKG0001693-00</t>
  </si>
  <si>
    <t>25AKG0001694-00</t>
  </si>
  <si>
    <t>25AKG0001695-00</t>
  </si>
  <si>
    <t>25AKG0001696-00</t>
  </si>
  <si>
    <t>25AKG0001697-00</t>
  </si>
  <si>
    <t>25AKG0001698-00</t>
  </si>
  <si>
    <t>25AKG0001699-00</t>
  </si>
  <si>
    <t>25AKG0001700-00</t>
  </si>
  <si>
    <t>25AKG0001701-00</t>
  </si>
  <si>
    <t>25AKG0001702-00</t>
  </si>
  <si>
    <t>25AKG0001703-00</t>
  </si>
  <si>
    <t>25AKG0001704-00</t>
  </si>
  <si>
    <t>25AKG0001705-00</t>
  </si>
  <si>
    <t>25AKG0001706-00</t>
  </si>
  <si>
    <t>25AKG0001707-00</t>
  </si>
  <si>
    <t>25AKG0001708-00</t>
  </si>
  <si>
    <t>Insultec Duragate</t>
  </si>
  <si>
    <t>Roof Type</t>
  </si>
  <si>
    <t>Tiles Roof</t>
  </si>
  <si>
    <t>Klip Lok Roof</t>
  </si>
  <si>
    <t>Metal Deck</t>
  </si>
  <si>
    <t>RC Roof</t>
  </si>
  <si>
    <t>Tile Hook</t>
  </si>
  <si>
    <t>L-Foot</t>
  </si>
  <si>
    <t>Klip Lok Clamp</t>
  </si>
  <si>
    <t>2.6m rail</t>
  </si>
  <si>
    <t>5.3m rail</t>
  </si>
  <si>
    <t>4.7m rail</t>
  </si>
  <si>
    <t>3.6m rail</t>
  </si>
  <si>
    <t>Splicer</t>
  </si>
  <si>
    <t>Mid Clamp</t>
  </si>
  <si>
    <t>End Clamp</t>
  </si>
  <si>
    <t>Grounding Clip</t>
  </si>
  <si>
    <t>Grounding Lug</t>
  </si>
  <si>
    <t>Precast Concrete Block</t>
  </si>
  <si>
    <t>PV Module Length (P):</t>
  </si>
  <si>
    <t>m</t>
  </si>
  <si>
    <t>PV Module Length (L)</t>
  </si>
  <si>
    <t>Purlin Distance</t>
  </si>
  <si>
    <t>Common Rail Length</t>
  </si>
  <si>
    <t>No of module</t>
  </si>
  <si>
    <t>No. of PV Module in a row</t>
  </si>
  <si>
    <t>No of Rows</t>
  </si>
  <si>
    <t>Total no of row</t>
  </si>
  <si>
    <t>Mid-Clamp</t>
  </si>
  <si>
    <t xml:space="preserve"> End-Clamp</t>
  </si>
  <si>
    <t>Splicers</t>
  </si>
  <si>
    <t>Total 
L-Foot</t>
  </si>
  <si>
    <t>Klip Lok clamp</t>
  </si>
  <si>
    <t>No of Rail</t>
  </si>
  <si>
    <t>Total Rail Length</t>
  </si>
  <si>
    <t>Portrait Arrangement</t>
  </si>
  <si>
    <t>Landscape Arrangement</t>
  </si>
  <si>
    <t>Module Length</t>
  </si>
  <si>
    <t>Remain (each side) (mm)</t>
  </si>
  <si>
    <t>01. Installation Completed</t>
  </si>
  <si>
    <t>02. Stock Ready</t>
  </si>
  <si>
    <t>03. Placed Order</t>
  </si>
  <si>
    <t>Procurement Status</t>
  </si>
  <si>
    <t>Dongle</t>
  </si>
  <si>
    <t>DC Cable (4mmsq)</t>
  </si>
  <si>
    <t>DC Cable (6mmsq)</t>
  </si>
  <si>
    <t>PV Connctor
(Male)</t>
  </si>
  <si>
    <t>PV Connctor
(Female)</t>
  </si>
  <si>
    <t>3P Isolator Switch</t>
  </si>
  <si>
    <t>1-phase kWh Meter</t>
  </si>
  <si>
    <t>3-phase kWh Meter</t>
  </si>
  <si>
    <t>PV AC DB</t>
  </si>
  <si>
    <t>Data Logger</t>
  </si>
  <si>
    <t>Weather Station</t>
  </si>
  <si>
    <t>BESS</t>
  </si>
  <si>
    <t>Optimiser</t>
  </si>
  <si>
    <t>Remark</t>
  </si>
  <si>
    <t>Tiles</t>
  </si>
  <si>
    <t>Klip-lok</t>
  </si>
  <si>
    <t>1. Sunpower PV modules to be free-issued by EDCA.</t>
  </si>
  <si>
    <t>MTJ Development Sdn Bhd (InterContinental KL)</t>
  </si>
  <si>
    <t>GoodWe GW60KS-MT</t>
  </si>
  <si>
    <t>RC</t>
  </si>
  <si>
    <t>1. WiFi dongle to be included.</t>
  </si>
  <si>
    <t>Kossan FRP Mktg (Site 1)</t>
  </si>
  <si>
    <t>Huawei SUN2000-100KTL-M1 x 2 nos;
Huawei SUN2000-30KTL-M3 x 1 nos</t>
  </si>
  <si>
    <t>Metal (screw)</t>
  </si>
  <si>
    <t>1. Sunpower PV modules to be free-issued by EDCA.
2. To check if WiFi dongle can be used to replace data logger.</t>
  </si>
  <si>
    <t>Ng Chong Keong</t>
  </si>
  <si>
    <t>Pua Hock Meng</t>
  </si>
  <si>
    <t>Dato Arif</t>
  </si>
  <si>
    <t>Off-grid</t>
  </si>
  <si>
    <t>Kee Siew Chuan</t>
  </si>
  <si>
    <t>Chu Yin Shiong</t>
  </si>
  <si>
    <t>Saiful Lizan</t>
  </si>
  <si>
    <t>Susan Lau</t>
  </si>
  <si>
    <t>Dr. Suntheresan</t>
  </si>
  <si>
    <t>Goodwe GW20KT-DT</t>
  </si>
  <si>
    <t>Chong Fong Chin</t>
  </si>
  <si>
    <t>Nor Aini</t>
  </si>
  <si>
    <t>Lai Kim Soon</t>
  </si>
  <si>
    <t>dongle</t>
  </si>
  <si>
    <t>Mixed</t>
  </si>
  <si>
    <t>LUNA2000-5kW-C0 x1
LUNA2000-5-E0 x1</t>
  </si>
  <si>
    <t>Huawei 22kW x 2</t>
  </si>
  <si>
    <t>MERC-1300W-P x16</t>
  </si>
  <si>
    <t>Rubber wheel stopper x2
Bollard x 1</t>
  </si>
  <si>
    <t>Chan Po Kok</t>
  </si>
  <si>
    <t>Yap Been Im (Marienne)</t>
  </si>
  <si>
    <t>Nor Hana</t>
  </si>
  <si>
    <t>CHL Foam Sdn Bhd</t>
  </si>
  <si>
    <t>SmartLogger</t>
  </si>
  <si>
    <t>Goh Wee Bang</t>
  </si>
  <si>
    <t>Shreeram</t>
  </si>
  <si>
    <t>Amirludin Bin Awang</t>
  </si>
  <si>
    <t>Ng Siew Fong</t>
  </si>
  <si>
    <t>Ecila Sim Jun-Inn</t>
  </si>
  <si>
    <t>Shingle</t>
  </si>
  <si>
    <t>Zimandy Construction</t>
  </si>
  <si>
    <t>Weller Aircond</t>
  </si>
  <si>
    <t>Mei Shun Fang</t>
  </si>
  <si>
    <t>Sleep Matics</t>
  </si>
  <si>
    <t>Berjayapak (System 1)</t>
  </si>
  <si>
    <t>Berjayapak (System 2)</t>
  </si>
  <si>
    <t>Gereja Baptis</t>
  </si>
  <si>
    <t>Material</t>
  </si>
  <si>
    <t>Total Amount</t>
  </si>
  <si>
    <t>Delivered</t>
  </si>
  <si>
    <t>Current Need</t>
  </si>
  <si>
    <t>Dec Module Count</t>
  </si>
  <si>
    <t>Huawei 5KTL-L1</t>
  </si>
  <si>
    <t>Huawei 5KTL-M1</t>
  </si>
  <si>
    <t>Huawei 6KTL-M1</t>
  </si>
  <si>
    <t>Huawei 8KTL-M1</t>
  </si>
  <si>
    <t>Huawei 10KTL-M1</t>
  </si>
  <si>
    <t>Huawei 12KTL-M5</t>
  </si>
  <si>
    <t>Item</t>
  </si>
  <si>
    <t>To Be Done (X)</t>
  </si>
  <si>
    <t>In Progress (Y)</t>
  </si>
  <si>
    <t>Completed (Z)</t>
  </si>
  <si>
    <t>SEDA NEMCD</t>
  </si>
  <si>
    <t>ST License</t>
  </si>
  <si>
    <t>LHDN Stamping</t>
  </si>
  <si>
    <t>GITA Asset</t>
  </si>
  <si>
    <t>Invoice Completed</t>
  </si>
  <si>
    <t>Pending 1st Invoice</t>
  </si>
  <si>
    <t>2nd invoice</t>
  </si>
  <si>
    <t>4th invoice</t>
  </si>
  <si>
    <t>1st invoice</t>
  </si>
  <si>
    <t>Pending NEM Welcome Letter</t>
  </si>
  <si>
    <t>Pending GITA Application</t>
  </si>
  <si>
    <t>Pending ST License Application</t>
  </si>
  <si>
    <t>3rd invoice</t>
  </si>
  <si>
    <t>Pending Meter Change</t>
  </si>
  <si>
    <t>Pending Site Installation</t>
  </si>
  <si>
    <t>Pending ST License Approval</t>
  </si>
  <si>
    <t>5th invoice</t>
  </si>
  <si>
    <t>Pending NEM Qouta Approval</t>
  </si>
  <si>
    <t>Pending NEM Qouta Submission</t>
  </si>
  <si>
    <t>Payment Completed</t>
  </si>
  <si>
    <t>Pending 1st Payment</t>
  </si>
  <si>
    <t>2nd payment</t>
  </si>
  <si>
    <t>3rd payment</t>
  </si>
  <si>
    <t>1st payment</t>
  </si>
  <si>
    <t>4th payment</t>
  </si>
  <si>
    <t>5th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</si>
</sst>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RM&quot;* #,##0.00_-;\-&quot;RM&quot;* #,##0.00_-;_-&quot;RM&quot;* &quot;-&quot;??_-;_-@_-"/>
    <numFmt numFmtId="164" formatCode="[$-409]d\-mmm\-yyyy;@"/>
    <numFmt numFmtId="165" formatCode="0.0000"/>
    <numFmt numFmtId="166" formatCode="0.000"/>
    <numFmt numFmtId="167" formatCode="#,##0.00\ \k\W\p"/>
    <numFmt numFmtId="168" formatCode="#,##0.00\ \k\W"/>
    <numFmt numFmtId="169" formatCode="#,##0.00&quot; kWh&quot;"/>
  </numFmts>
  <fonts count="30" x14ac:knownFonts="1">
    <font>
      <sz val="11"/>
      <color theme="1"/>
      <name val="Aptos Narrow"/>
      <family val="2"/>
      <scheme val="minor"/>
    </font>
    <font>
      <sz val="11"/>
      <color theme="1"/>
      <name val="Aptos Narrow"/>
      <family val="2"/>
      <scheme val="minor"/>
    </font>
    <font>
      <b/>
      <sz val="9"/>
      <color indexed="81"/>
      <name val="Tahoma"/>
      <family val="2"/>
    </font>
    <font>
      <sz val="9"/>
      <color indexed="81"/>
      <name val="Tahoma"/>
      <family val="2"/>
    </font>
    <font>
      <sz val="8"/>
      <name val="Aptos Narrow"/>
      <family val="2"/>
      <scheme val="minor"/>
    </font>
    <font>
      <sz val="11"/>
      <color rgb="FF000000"/>
      <name val="Calibri"/>
      <family val="2"/>
    </font>
    <font>
      <sz val="11"/>
      <name val="Aptos Narrow"/>
      <family val="2"/>
      <scheme val="minor"/>
    </font>
    <font>
      <u/>
      <sz val="11"/>
      <color theme="10"/>
      <name val="Aptos Narrow"/>
      <family val="2"/>
      <scheme val="minor"/>
    </font>
    <font>
      <sz val="10"/>
      <color theme="1"/>
      <name val="Aptos Narrow"/>
      <family val="2"/>
      <scheme val="minor"/>
    </font>
    <font>
      <sz val="11"/>
      <color rgb="FFFF0000"/>
      <name val="Aptos Narrow"/>
      <family val="2"/>
      <scheme val="minor"/>
    </font>
    <font>
      <sz val="11"/>
      <color theme="5"/>
      <name val="Aptos Narrow"/>
      <family val="2"/>
      <scheme val="minor"/>
    </font>
    <font>
      <b/>
      <sz val="14"/>
      <color theme="0"/>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b/>
      <sz val="16"/>
      <color theme="1"/>
      <name val="Aptos Narrow"/>
      <family val="2"/>
      <scheme val="minor"/>
    </font>
    <font>
      <sz val="12"/>
      <color theme="1"/>
      <name val="Aptos Narrow"/>
      <family val="2"/>
      <scheme val="minor"/>
    </font>
    <font>
      <b/>
      <sz val="12"/>
      <color theme="0"/>
      <name val="Aptos Narrow"/>
      <family val="2"/>
      <scheme val="minor"/>
    </font>
    <font>
      <b/>
      <sz val="18"/>
      <color theme="0"/>
      <name val="Aptos Narrow"/>
      <family val="2"/>
      <scheme val="minor"/>
    </font>
    <font>
      <sz val="13"/>
      <color theme="1"/>
      <name val="Aptos Narrow"/>
      <family val="2"/>
      <scheme val="minor"/>
    </font>
    <font>
      <b/>
      <sz val="13"/>
      <color theme="1"/>
      <name val="Aptos Narrow"/>
      <family val="2"/>
      <scheme val="minor"/>
    </font>
    <font>
      <b/>
      <sz val="18"/>
      <name val="Aptos Narrow"/>
      <family val="2"/>
      <scheme val="minor"/>
    </font>
    <font>
      <sz val="14"/>
      <color theme="1"/>
      <name val="Aptos Narrow"/>
      <family val="2"/>
      <scheme val="minor"/>
    </font>
    <font>
      <sz val="24"/>
      <color theme="1"/>
      <name val="Aptos Narrow"/>
      <family val="2"/>
      <scheme val="minor"/>
    </font>
    <font>
      <b/>
      <sz val="24"/>
      <color theme="0"/>
      <name val="Aptos Narrow"/>
      <family val="2"/>
      <scheme val="minor"/>
    </font>
    <font>
      <b/>
      <sz val="16"/>
      <color theme="0"/>
      <name val="Aptos Narrow"/>
      <family val="2"/>
      <scheme val="minor"/>
    </font>
    <font>
      <sz val="11"/>
      <color rgb="FFED7D31"/>
      <name val="Aptos Narrow"/>
      <family val="2"/>
      <scheme val="minor"/>
    </font>
    <font>
      <strike/>
      <sz val="11"/>
      <color theme="1"/>
      <name val="Aptos Narrow"/>
      <family val="2"/>
      <scheme val="minor"/>
    </font>
    <font>
      <sz val="11"/>
      <color rgb="FF1F1F1F"/>
      <name val="Arial"/>
      <family val="2"/>
    </font>
    <font>
      <b/>
      <sz val="11"/>
      <color rgb="FF1F1F1F"/>
      <name val="Arial"/>
      <family val="2"/>
    </font>
  </fonts>
  <fills count="29">
    <fill>
      <patternFill patternType="none"/>
    </fill>
    <fill>
      <patternFill patternType="gray125"/>
    </fill>
    <fill>
      <patternFill patternType="solid">
        <fgColor theme="2" tint="-0.249977111117893"/>
        <bgColor indexed="64"/>
      </patternFill>
    </fill>
    <fill>
      <patternFill patternType="solid">
        <fgColor theme="2"/>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rgb="FFED7D31"/>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5"/>
        <bgColor indexed="64"/>
      </patternFill>
    </fill>
    <fill>
      <patternFill patternType="solid">
        <fgColor rgb="FFFFFF00"/>
        <bgColor indexed="64"/>
      </patternFill>
    </fill>
    <fill>
      <patternFill patternType="solid">
        <fgColor rgb="FFFF99CC"/>
        <bgColor indexed="64"/>
      </patternFill>
    </fill>
    <fill>
      <patternFill patternType="solid">
        <fgColor theme="5" tint="0.39997558519241921"/>
        <bgColor indexed="64"/>
      </patternFill>
    </fill>
    <fill>
      <patternFill patternType="solid">
        <fgColor rgb="FFAA85E1"/>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9DB6E7"/>
        <bgColor indexed="64"/>
      </patternFill>
    </fill>
    <fill>
      <patternFill patternType="solid">
        <fgColor rgb="FFFFDF9F"/>
        <bgColor indexed="64"/>
      </patternFill>
    </fill>
    <fill>
      <patternFill patternType="solid">
        <fgColor rgb="FFFF7C8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8"/>
      </top>
      <bottom/>
      <diagonal/>
    </border>
    <border>
      <left/>
      <right style="thin">
        <color theme="8"/>
      </right>
      <top style="thin">
        <color theme="8"/>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s>
  <cellStyleXfs count="3">
    <xf numFmtId="0" fontId="0" fillId="0" borderId="0"/>
    <xf numFmtId="0" fontId="5" fillId="0" borderId="0"/>
    <xf numFmtId="0" fontId="7" fillId="0" borderId="0" applyNumberFormat="0" applyFill="0" applyBorder="0" applyAlignment="0" applyProtection="0"/>
  </cellStyleXfs>
  <cellXfs count="276">
    <xf numFmtId="0" fontId="0" fillId="0" borderId="0" xfId="0"/>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1" fillId="0" borderId="0" xfId="0" applyFont="1"/>
    <xf numFmtId="0" fontId="0" fillId="0" borderId="0" xfId="0" applyAlignment="1">
      <alignment horizontal="right" vertical="center"/>
    </xf>
    <xf numFmtId="0" fontId="1" fillId="0" borderId="0" xfId="0" applyFont="1" applyAlignment="1">
      <alignment wrapText="1"/>
    </xf>
    <xf numFmtId="0" fontId="0" fillId="0" borderId="4" xfId="0" applyBorder="1" applyAlignment="1">
      <alignment horizontal="center" vertical="center"/>
    </xf>
    <xf numFmtId="0" fontId="1" fillId="0" borderId="0" xfId="0" applyFont="1" applyAlignment="1">
      <alignment horizontal="center" vertical="center"/>
    </xf>
    <xf numFmtId="44" fontId="0" fillId="0" borderId="0" xfId="0" applyNumberFormat="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6" fillId="0" borderId="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0" fontId="0" fillId="0" borderId="0" xfId="0" applyAlignment="1">
      <alignment vertical="center"/>
    </xf>
    <xf numFmtId="0" fontId="7" fillId="0" borderId="0" xfId="2" applyAlignment="1">
      <alignment vertical="center"/>
    </xf>
    <xf numFmtId="0" fontId="7" fillId="0" borderId="0" xfId="2" applyAlignment="1">
      <alignment horizontal="left" vertical="center"/>
    </xf>
    <xf numFmtId="0" fontId="8" fillId="0" borderId="0" xfId="0" applyFont="1" applyAlignment="1">
      <alignment vertical="center"/>
    </xf>
    <xf numFmtId="44" fontId="0" fillId="0" borderId="0" xfId="0" applyNumberFormat="1" applyAlignment="1">
      <alignment vertical="center"/>
    </xf>
    <xf numFmtId="15"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11" fillId="5" borderId="0" xfId="0" applyFont="1" applyFill="1"/>
    <xf numFmtId="0" fontId="11" fillId="5" borderId="0" xfId="0" applyFont="1" applyFill="1" applyAlignment="1">
      <alignment horizontal="center" vertical="center"/>
    </xf>
    <xf numFmtId="0" fontId="0" fillId="6" borderId="1" xfId="0" applyFill="1" applyBorder="1" applyAlignment="1">
      <alignment horizontal="center" vertical="center"/>
    </xf>
    <xf numFmtId="0" fontId="12" fillId="0" borderId="1" xfId="0" applyFont="1" applyBorder="1" applyAlignment="1">
      <alignment horizontal="center" vertical="center" wrapText="1"/>
    </xf>
    <xf numFmtId="0" fontId="12" fillId="0" borderId="4" xfId="0" applyFont="1" applyBorder="1" applyAlignment="1">
      <alignment horizontal="center" vertical="center"/>
    </xf>
    <xf numFmtId="0" fontId="12" fillId="2" borderId="1" xfId="0" applyFont="1" applyFill="1" applyBorder="1" applyAlignment="1">
      <alignment horizontal="center" vertical="center" wrapText="1"/>
    </xf>
    <xf numFmtId="0" fontId="12" fillId="7" borderId="9" xfId="0" applyFont="1" applyFill="1" applyBorder="1" applyAlignment="1">
      <alignment horizontal="center" vertical="center"/>
    </xf>
    <xf numFmtId="0" fontId="12" fillId="7" borderId="10" xfId="0" applyFont="1" applyFill="1" applyBorder="1" applyAlignment="1">
      <alignment horizontal="center" vertical="center"/>
    </xf>
    <xf numFmtId="0" fontId="12" fillId="7" borderId="3" xfId="0" applyFont="1" applyFill="1" applyBorder="1" applyAlignment="1">
      <alignment horizontal="center" vertical="center"/>
    </xf>
    <xf numFmtId="0" fontId="12" fillId="7" borderId="2" xfId="0" applyFont="1" applyFill="1" applyBorder="1" applyAlignment="1">
      <alignment horizontal="center" vertical="center"/>
    </xf>
    <xf numFmtId="1" fontId="0" fillId="0" borderId="0" xfId="0" applyNumberFormat="1" applyAlignment="1">
      <alignment horizontal="center" vertical="center"/>
    </xf>
    <xf numFmtId="164" fontId="0" fillId="0" borderId="1" xfId="0" applyNumberFormat="1" applyBorder="1" applyAlignment="1">
      <alignment horizontal="center" vertical="center"/>
    </xf>
    <xf numFmtId="0" fontId="0" fillId="0" borderId="0" xfId="0" applyAlignment="1">
      <alignment horizontal="left"/>
    </xf>
    <xf numFmtId="0" fontId="0" fillId="0" borderId="0" xfId="0" applyAlignment="1">
      <alignment horizontal="center"/>
    </xf>
    <xf numFmtId="0" fontId="13" fillId="0" borderId="0" xfId="0" applyFont="1" applyAlignment="1">
      <alignment horizontal="center" vertical="center"/>
    </xf>
    <xf numFmtId="0" fontId="15" fillId="0" borderId="11" xfId="0" applyFont="1" applyBorder="1" applyAlignment="1">
      <alignment horizontal="center" vertical="center"/>
    </xf>
    <xf numFmtId="0" fontId="14" fillId="0" borderId="11" xfId="0" applyFont="1" applyBorder="1" applyAlignment="1">
      <alignment horizontal="center" vertical="center"/>
    </xf>
    <xf numFmtId="0" fontId="16" fillId="0" borderId="11" xfId="0" applyFont="1" applyBorder="1" applyAlignment="1">
      <alignment horizontal="center" vertical="center"/>
    </xf>
    <xf numFmtId="44" fontId="16" fillId="0" borderId="11" xfId="0" applyNumberFormat="1" applyFont="1" applyBorder="1" applyAlignment="1">
      <alignment horizontal="center" vertical="center"/>
    </xf>
    <xf numFmtId="0" fontId="15" fillId="0" borderId="11" xfId="0" applyFont="1" applyBorder="1"/>
    <xf numFmtId="0" fontId="14" fillId="0" borderId="11" xfId="0" applyFont="1" applyBorder="1"/>
    <xf numFmtId="0" fontId="13" fillId="7" borderId="1" xfId="0" applyFont="1" applyFill="1" applyBorder="1" applyAlignment="1">
      <alignment horizontal="left"/>
    </xf>
    <xf numFmtId="166" fontId="0" fillId="0" borderId="0" xfId="0" applyNumberFormat="1" applyAlignment="1">
      <alignment horizontal="center" vertical="center"/>
    </xf>
    <xf numFmtId="0" fontId="0" fillId="0" borderId="11" xfId="0" applyBorder="1" applyAlignment="1">
      <alignment horizontal="center" vertical="center"/>
    </xf>
    <xf numFmtId="166" fontId="0" fillId="0" borderId="11" xfId="0" applyNumberFormat="1" applyBorder="1" applyAlignment="1">
      <alignment horizontal="center" vertical="center"/>
    </xf>
    <xf numFmtId="0" fontId="0" fillId="0" borderId="11" xfId="0" applyBorder="1"/>
    <xf numFmtId="44" fontId="13" fillId="0" borderId="0" xfId="0" applyNumberFormat="1" applyFont="1" applyAlignment="1">
      <alignment horizontal="center" vertical="center"/>
    </xf>
    <xf numFmtId="44" fontId="0" fillId="0" borderId="1" xfId="0" applyNumberFormat="1" applyBorder="1" applyAlignment="1">
      <alignment horizontal="center" vertical="center"/>
    </xf>
    <xf numFmtId="164" fontId="0" fillId="0" borderId="1" xfId="0" applyNumberFormat="1" applyBorder="1" applyAlignment="1">
      <alignment horizontal="center" vertical="center" wrapText="1"/>
    </xf>
    <xf numFmtId="4" fontId="0" fillId="0" borderId="1" xfId="0" applyNumberFormat="1" applyBorder="1" applyAlignment="1">
      <alignment horizontal="center" vertical="center"/>
    </xf>
    <xf numFmtId="4" fontId="9" fillId="0" borderId="1" xfId="0" applyNumberFormat="1" applyFont="1" applyBorder="1" applyAlignment="1">
      <alignment horizontal="center" vertical="center"/>
    </xf>
    <xf numFmtId="4" fontId="6" fillId="0" borderId="1" xfId="0" applyNumberFormat="1" applyFont="1" applyBorder="1" applyAlignment="1">
      <alignment horizontal="center" vertical="center"/>
    </xf>
    <xf numFmtId="4" fontId="10" fillId="0" borderId="1" xfId="0" applyNumberFormat="1" applyFont="1" applyBorder="1" applyAlignment="1">
      <alignment horizontal="center" vertical="center"/>
    </xf>
    <xf numFmtId="0" fontId="17" fillId="9" borderId="1" xfId="0" applyFont="1" applyFill="1" applyBorder="1" applyAlignment="1">
      <alignment horizontal="center" vertical="center" wrapText="1"/>
    </xf>
    <xf numFmtId="44" fontId="17" fillId="9" borderId="1" xfId="0" applyNumberFormat="1" applyFont="1" applyFill="1" applyBorder="1" applyAlignment="1">
      <alignment horizontal="center" vertical="center" wrapText="1"/>
    </xf>
    <xf numFmtId="164" fontId="17" fillId="9" borderId="1" xfId="0" applyNumberFormat="1" applyFont="1" applyFill="1" applyBorder="1" applyAlignment="1">
      <alignment horizontal="center" vertical="center" wrapText="1"/>
    </xf>
    <xf numFmtId="164" fontId="6" fillId="0" borderId="1" xfId="0" applyNumberFormat="1" applyFont="1" applyBorder="1" applyAlignment="1">
      <alignment horizontal="center" vertical="center"/>
    </xf>
    <xf numFmtId="164" fontId="0" fillId="4" borderId="1" xfId="0" applyNumberFormat="1" applyFill="1" applyBorder="1" applyAlignment="1">
      <alignment horizontal="center" vertical="center"/>
    </xf>
    <xf numFmtId="4" fontId="0" fillId="4" borderId="1" xfId="0" applyNumberFormat="1" applyFill="1" applyBorder="1" applyAlignment="1">
      <alignment horizontal="center" vertical="center"/>
    </xf>
    <xf numFmtId="4" fontId="9" fillId="4" borderId="1" xfId="0" applyNumberFormat="1" applyFont="1" applyFill="1" applyBorder="1" applyAlignment="1">
      <alignment horizontal="center" vertical="center"/>
    </xf>
    <xf numFmtId="164" fontId="0" fillId="4" borderId="1" xfId="0" applyNumberFormat="1" applyFill="1" applyBorder="1" applyAlignment="1">
      <alignment horizontal="center" vertical="center" wrapText="1"/>
    </xf>
    <xf numFmtId="4" fontId="6" fillId="4" borderId="1" xfId="0" applyNumberFormat="1" applyFont="1" applyFill="1" applyBorder="1" applyAlignment="1">
      <alignment horizontal="center" vertical="center"/>
    </xf>
    <xf numFmtId="0" fontId="0" fillId="4" borderId="1" xfId="0" applyFill="1" applyBorder="1" applyAlignment="1">
      <alignment horizontal="center" vertical="center"/>
    </xf>
    <xf numFmtId="4" fontId="10" fillId="4" borderId="1" xfId="0" applyNumberFormat="1" applyFont="1" applyFill="1" applyBorder="1" applyAlignment="1">
      <alignment horizontal="center" vertical="center"/>
    </xf>
    <xf numFmtId="164" fontId="6" fillId="4" borderId="1" xfId="0" applyNumberFormat="1" applyFont="1" applyFill="1" applyBorder="1" applyAlignment="1">
      <alignment horizontal="center" vertical="center"/>
    </xf>
    <xf numFmtId="0" fontId="15" fillId="7" borderId="1" xfId="0" applyFont="1" applyFill="1" applyBorder="1" applyAlignment="1">
      <alignment horizontal="center" vertical="center"/>
    </xf>
    <xf numFmtId="0" fontId="15" fillId="7" borderId="4" xfId="0" applyFont="1" applyFill="1" applyBorder="1" applyAlignment="1">
      <alignment horizontal="center" vertical="center"/>
    </xf>
    <xf numFmtId="0" fontId="15" fillId="7" borderId="6" xfId="0" applyFont="1" applyFill="1" applyBorder="1" applyAlignment="1">
      <alignment horizontal="center" vertical="center"/>
    </xf>
    <xf numFmtId="0" fontId="19" fillId="0" borderId="1" xfId="0" applyFont="1" applyBorder="1" applyAlignment="1">
      <alignment horizontal="center" vertical="center"/>
    </xf>
    <xf numFmtId="0" fontId="19" fillId="0" borderId="4" xfId="0" applyFont="1" applyBorder="1" applyAlignment="1">
      <alignment horizontal="center" vertical="center"/>
    </xf>
    <xf numFmtId="0" fontId="19" fillId="0" borderId="1" xfId="0" applyFont="1" applyBorder="1" applyAlignment="1">
      <alignment horizontal="left"/>
    </xf>
    <xf numFmtId="44" fontId="19" fillId="0" borderId="6" xfId="0" applyNumberFormat="1" applyFont="1" applyBorder="1" applyAlignment="1">
      <alignment horizontal="center" vertical="center"/>
    </xf>
    <xf numFmtId="44" fontId="19" fillId="0" borderId="1" xfId="0" applyNumberFormat="1" applyFont="1" applyBorder="1" applyAlignment="1">
      <alignment horizontal="center" vertical="center"/>
    </xf>
    <xf numFmtId="44" fontId="19" fillId="0" borderId="4" xfId="0" applyNumberFormat="1" applyFont="1" applyBorder="1" applyAlignment="1">
      <alignment horizontal="center" vertical="center"/>
    </xf>
    <xf numFmtId="0" fontId="20" fillId="7" borderId="1" xfId="0" applyFont="1" applyFill="1" applyBorder="1" applyAlignment="1">
      <alignment horizontal="left"/>
    </xf>
    <xf numFmtId="0" fontId="0" fillId="0" borderId="12" xfId="0" applyBorder="1"/>
    <xf numFmtId="0" fontId="18" fillId="9" borderId="1" xfId="0" applyFont="1" applyFill="1" applyBorder="1" applyAlignment="1">
      <alignment horizontal="left"/>
    </xf>
    <xf numFmtId="0" fontId="18" fillId="9" borderId="1" xfId="0" applyFont="1" applyFill="1" applyBorder="1" applyAlignment="1">
      <alignment horizontal="center" vertical="center"/>
    </xf>
    <xf numFmtId="0" fontId="19" fillId="0" borderId="1" xfId="0" applyFont="1" applyBorder="1" applyAlignment="1">
      <alignment horizontal="left" vertical="center"/>
    </xf>
    <xf numFmtId="0" fontId="6" fillId="6" borderId="0" xfId="0" applyFont="1" applyFill="1"/>
    <xf numFmtId="0" fontId="13" fillId="7" borderId="13" xfId="0" applyFont="1" applyFill="1" applyBorder="1" applyAlignment="1">
      <alignment horizontal="left"/>
    </xf>
    <xf numFmtId="44" fontId="0" fillId="0" borderId="0" xfId="0" applyNumberFormat="1"/>
    <xf numFmtId="0" fontId="0" fillId="0" borderId="0" xfId="0" pivotButton="1"/>
    <xf numFmtId="0" fontId="7" fillId="0" borderId="0" xfId="2"/>
    <xf numFmtId="0" fontId="9" fillId="0" borderId="0" xfId="0" applyFont="1" applyAlignment="1">
      <alignment horizontal="center" vertical="center"/>
    </xf>
    <xf numFmtId="14" fontId="0" fillId="0" borderId="1" xfId="0" applyNumberFormat="1" applyBorder="1" applyAlignment="1">
      <alignment horizontal="center" vertical="center"/>
    </xf>
    <xf numFmtId="0" fontId="12" fillId="0" borderId="0" xfId="0" applyFont="1"/>
    <xf numFmtId="167" fontId="19" fillId="0" borderId="1" xfId="0" applyNumberFormat="1" applyFont="1" applyBorder="1" applyAlignment="1">
      <alignment horizontal="center" vertical="center"/>
    </xf>
    <xf numFmtId="167" fontId="19" fillId="0" borderId="4" xfId="0" applyNumberFormat="1" applyFont="1" applyBorder="1" applyAlignment="1">
      <alignment horizontal="center" vertical="center"/>
    </xf>
    <xf numFmtId="168" fontId="19" fillId="0" borderId="1" xfId="0" applyNumberFormat="1" applyFont="1" applyBorder="1" applyAlignment="1">
      <alignment horizontal="center" vertical="center"/>
    </xf>
    <xf numFmtId="168" fontId="19" fillId="0" borderId="4" xfId="0" applyNumberFormat="1" applyFont="1" applyBorder="1" applyAlignment="1">
      <alignment horizontal="center" vertical="center"/>
    </xf>
    <xf numFmtId="169" fontId="19" fillId="0" borderId="1" xfId="0" applyNumberFormat="1" applyFont="1" applyBorder="1" applyAlignment="1">
      <alignment horizontal="center" vertical="center"/>
    </xf>
    <xf numFmtId="169" fontId="19" fillId="0" borderId="4" xfId="0" applyNumberFormat="1" applyFont="1" applyBorder="1" applyAlignment="1">
      <alignment horizontal="center" vertical="center"/>
    </xf>
    <xf numFmtId="0" fontId="13" fillId="7" borderId="1" xfId="0" applyFont="1" applyFill="1" applyBorder="1" applyAlignment="1">
      <alignment horizontal="left" vertical="center"/>
    </xf>
    <xf numFmtId="0" fontId="16" fillId="0" borderId="11" xfId="0" applyFont="1" applyBorder="1" applyAlignment="1">
      <alignment vertical="center"/>
    </xf>
    <xf numFmtId="44" fontId="19" fillId="0" borderId="6" xfId="0" applyNumberFormat="1" applyFont="1" applyBorder="1" applyAlignment="1">
      <alignment vertical="center"/>
    </xf>
    <xf numFmtId="44" fontId="19" fillId="0" borderId="1" xfId="0" applyNumberFormat="1" applyFont="1" applyBorder="1" applyAlignment="1">
      <alignment vertical="center"/>
    </xf>
    <xf numFmtId="44" fontId="19" fillId="0" borderId="4" xfId="0" applyNumberFormat="1" applyFont="1" applyBorder="1" applyAlignment="1">
      <alignment vertical="center"/>
    </xf>
    <xf numFmtId="44" fontId="16" fillId="0" borderId="11" xfId="0" applyNumberFormat="1" applyFont="1" applyBorder="1" applyAlignment="1">
      <alignment vertical="center"/>
    </xf>
    <xf numFmtId="167" fontId="0" fillId="0" borderId="11" xfId="0" applyNumberFormat="1" applyBorder="1" applyAlignment="1">
      <alignment horizontal="center" vertical="center"/>
    </xf>
    <xf numFmtId="0" fontId="0" fillId="0" borderId="1" xfId="0" applyBorder="1"/>
    <xf numFmtId="44" fontId="0" fillId="0" borderId="0" xfId="0" applyNumberFormat="1" applyAlignment="1">
      <alignment horizontal="center" vertical="center" wrapText="1"/>
    </xf>
    <xf numFmtId="0" fontId="0" fillId="0" borderId="1" xfId="0" applyBorder="1" applyAlignment="1">
      <alignment horizontal="left" vertical="center"/>
    </xf>
    <xf numFmtId="164" fontId="0" fillId="0" borderId="0" xfId="0" applyNumberFormat="1" applyAlignment="1">
      <alignment horizontal="center" vertical="center" wrapText="1"/>
    </xf>
    <xf numFmtId="1" fontId="0" fillId="0" borderId="0" xfId="0" applyNumberFormat="1" applyAlignment="1">
      <alignment horizontal="center" vertical="center" wrapText="1"/>
    </xf>
    <xf numFmtId="0" fontId="21" fillId="0" borderId="0" xfId="0" applyFont="1" applyAlignment="1">
      <alignment horizontal="left"/>
    </xf>
    <xf numFmtId="0" fontId="0" fillId="6" borderId="1" xfId="0" applyFill="1" applyBorder="1"/>
    <xf numFmtId="4" fontId="26" fillId="0" borderId="1" xfId="0" applyNumberFormat="1" applyFont="1" applyBorder="1" applyAlignment="1">
      <alignment horizontal="center" vertical="center"/>
    </xf>
    <xf numFmtId="0" fontId="27" fillId="0" borderId="1" xfId="0" applyFont="1" applyBorder="1" applyAlignment="1">
      <alignment horizontal="center" vertical="center"/>
    </xf>
    <xf numFmtId="44" fontId="27" fillId="0" borderId="1" xfId="0" applyNumberFormat="1" applyFont="1" applyBorder="1" applyAlignment="1">
      <alignment horizontal="center" vertical="center"/>
    </xf>
    <xf numFmtId="164" fontId="27" fillId="4" borderId="1" xfId="0" applyNumberFormat="1" applyFont="1" applyFill="1" applyBorder="1" applyAlignment="1">
      <alignment horizontal="center" vertical="center"/>
    </xf>
    <xf numFmtId="4" fontId="27" fillId="4" borderId="1" xfId="0" applyNumberFormat="1" applyFont="1" applyFill="1" applyBorder="1" applyAlignment="1">
      <alignment horizontal="center" vertical="center"/>
    </xf>
    <xf numFmtId="164" fontId="27" fillId="0" borderId="1" xfId="0" applyNumberFormat="1" applyFont="1" applyBorder="1" applyAlignment="1">
      <alignment horizontal="center" vertical="center"/>
    </xf>
    <xf numFmtId="4" fontId="27" fillId="0" borderId="1" xfId="0" applyNumberFormat="1" applyFont="1" applyBorder="1" applyAlignment="1">
      <alignment horizontal="center" vertical="center"/>
    </xf>
    <xf numFmtId="0" fontId="27" fillId="4" borderId="1" xfId="0" applyFont="1" applyFill="1" applyBorder="1" applyAlignment="1">
      <alignment horizontal="center" vertical="center"/>
    </xf>
    <xf numFmtId="0" fontId="27" fillId="0" borderId="0" xfId="0" applyFont="1"/>
    <xf numFmtId="0" fontId="13" fillId="0" borderId="0" xfId="0" applyFont="1" applyAlignment="1">
      <alignment horizontal="left" vertical="center"/>
    </xf>
    <xf numFmtId="0" fontId="27" fillId="0" borderId="1" xfId="0" applyFont="1" applyBorder="1" applyAlignment="1">
      <alignment horizontal="left" vertical="center"/>
    </xf>
    <xf numFmtId="0" fontId="17" fillId="12" borderId="0" xfId="0" applyFont="1" applyFill="1" applyAlignment="1">
      <alignment horizontal="center" vertical="center" wrapText="1"/>
    </xf>
    <xf numFmtId="0" fontId="0" fillId="12" borderId="0" xfId="0" applyFill="1" applyAlignment="1">
      <alignment horizontal="center" vertical="center" wrapText="1"/>
    </xf>
    <xf numFmtId="0" fontId="1" fillId="13" borderId="0" xfId="0" applyFont="1" applyFill="1" applyAlignment="1">
      <alignment horizontal="center" vertical="center"/>
    </xf>
    <xf numFmtId="0" fontId="0" fillId="13" borderId="0" xfId="0" applyFill="1" applyAlignment="1">
      <alignment horizontal="center" vertical="center"/>
    </xf>
    <xf numFmtId="0" fontId="13" fillId="4" borderId="4" xfId="0" applyFont="1" applyFill="1" applyBorder="1" applyAlignment="1">
      <alignment horizontal="left" vertical="center"/>
    </xf>
    <xf numFmtId="0" fontId="13" fillId="4" borderId="5" xfId="0" applyFont="1" applyFill="1" applyBorder="1" applyAlignment="1">
      <alignment horizontal="left" vertical="center"/>
    </xf>
    <xf numFmtId="0" fontId="13" fillId="4" borderId="6" xfId="0" applyFont="1" applyFill="1" applyBorder="1" applyAlignment="1">
      <alignment horizontal="left" vertical="center"/>
    </xf>
    <xf numFmtId="0" fontId="27" fillId="0" borderId="1" xfId="0" applyFont="1" applyBorder="1"/>
    <xf numFmtId="0" fontId="0" fillId="0" borderId="0" xfId="0" quotePrefix="1" applyAlignment="1">
      <alignment horizontal="center" vertical="center"/>
    </xf>
    <xf numFmtId="14" fontId="0" fillId="0" borderId="1" xfId="0" applyNumberFormat="1" applyBorder="1" applyAlignment="1">
      <alignment horizontal="center" vertical="center" wrapText="1"/>
    </xf>
    <xf numFmtId="0" fontId="27" fillId="4" borderId="1" xfId="0" applyFont="1" applyFill="1" applyBorder="1"/>
    <xf numFmtId="44" fontId="27" fillId="4" borderId="1" xfId="0" applyNumberFormat="1" applyFont="1" applyFill="1" applyBorder="1" applyAlignment="1">
      <alignment horizontal="center" vertical="center"/>
    </xf>
    <xf numFmtId="0" fontId="0" fillId="0" borderId="0" xfId="0" applyAlignment="1">
      <alignment wrapText="1"/>
    </xf>
    <xf numFmtId="0" fontId="27" fillId="0" borderId="1" xfId="0" applyFont="1" applyBorder="1" applyAlignment="1">
      <alignment horizontal="center" vertical="center" wrapText="1"/>
    </xf>
    <xf numFmtId="0" fontId="27" fillId="12" borderId="0" xfId="0" applyFont="1" applyFill="1" applyAlignment="1">
      <alignment horizontal="center" vertical="center" wrapText="1"/>
    </xf>
    <xf numFmtId="164" fontId="27" fillId="0" borderId="1" xfId="0" applyNumberFormat="1" applyFont="1" applyBorder="1" applyAlignment="1">
      <alignment horizontal="center" vertical="center" wrapText="1"/>
    </xf>
    <xf numFmtId="0" fontId="27" fillId="0" borderId="0" xfId="0" applyFont="1" applyAlignment="1">
      <alignment horizontal="center" vertical="center"/>
    </xf>
    <xf numFmtId="1" fontId="27" fillId="0" borderId="0" xfId="0" applyNumberFormat="1" applyFont="1" applyAlignment="1">
      <alignment horizontal="center" vertical="center"/>
    </xf>
    <xf numFmtId="0" fontId="27" fillId="11" borderId="1" xfId="0" applyFont="1" applyFill="1" applyBorder="1"/>
    <xf numFmtId="166" fontId="0" fillId="0" borderId="12" xfId="0" applyNumberFormat="1" applyBorder="1" applyAlignment="1">
      <alignment horizontal="center" vertical="center"/>
    </xf>
    <xf numFmtId="167" fontId="0" fillId="0" borderId="0" xfId="0" applyNumberFormat="1" applyAlignment="1">
      <alignment horizontal="center" vertical="center"/>
    </xf>
    <xf numFmtId="0" fontId="0" fillId="14" borderId="1" xfId="0" applyFill="1" applyBorder="1" applyAlignment="1">
      <alignment horizontal="center" vertical="center"/>
    </xf>
    <xf numFmtId="0" fontId="0" fillId="14" borderId="1" xfId="0" applyFill="1" applyBorder="1" applyAlignment="1">
      <alignment horizontal="left" vertical="center"/>
    </xf>
    <xf numFmtId="0" fontId="0" fillId="14" borderId="1" xfId="0" applyFill="1" applyBorder="1" applyAlignment="1">
      <alignment horizontal="center" vertical="center" wrapText="1"/>
    </xf>
    <xf numFmtId="0" fontId="0" fillId="14" borderId="0" xfId="0" applyFill="1" applyAlignment="1">
      <alignment horizontal="center" vertical="center" wrapText="1"/>
    </xf>
    <xf numFmtId="164" fontId="0" fillId="14" borderId="1" xfId="0" applyNumberFormat="1" applyFill="1" applyBorder="1" applyAlignment="1">
      <alignment horizontal="center" vertical="center" wrapText="1"/>
    </xf>
    <xf numFmtId="164" fontId="0" fillId="14" borderId="1" xfId="0" applyNumberFormat="1" applyFill="1" applyBorder="1" applyAlignment="1">
      <alignment horizontal="center" vertical="center"/>
    </xf>
    <xf numFmtId="0" fontId="0" fillId="14" borderId="0" xfId="0" applyFill="1"/>
    <xf numFmtId="0" fontId="0" fillId="14" borderId="0" xfId="0" applyFill="1" applyAlignment="1">
      <alignment horizontal="center" vertical="center"/>
    </xf>
    <xf numFmtId="1" fontId="0" fillId="14" borderId="0" xfId="0" applyNumberFormat="1" applyFill="1" applyAlignment="1">
      <alignment horizontal="center" vertical="center"/>
    </xf>
    <xf numFmtId="0" fontId="0" fillId="15" borderId="1" xfId="0" applyFill="1" applyBorder="1" applyAlignment="1">
      <alignment horizontal="center" vertical="center"/>
    </xf>
    <xf numFmtId="0" fontId="0" fillId="15" borderId="1" xfId="0" applyFill="1" applyBorder="1" applyAlignment="1">
      <alignment horizontal="left" vertical="center"/>
    </xf>
    <xf numFmtId="0" fontId="0" fillId="15" borderId="1" xfId="0" applyFill="1" applyBorder="1" applyAlignment="1">
      <alignment horizontal="center" vertical="center" wrapText="1"/>
    </xf>
    <xf numFmtId="0" fontId="0" fillId="15" borderId="0" xfId="0" applyFill="1" applyAlignment="1">
      <alignment horizontal="center" vertical="center" wrapText="1"/>
    </xf>
    <xf numFmtId="164" fontId="0" fillId="15" borderId="1" xfId="0" applyNumberFormat="1" applyFill="1" applyBorder="1" applyAlignment="1">
      <alignment horizontal="center" vertical="center" wrapText="1"/>
    </xf>
    <xf numFmtId="164" fontId="0" fillId="15" borderId="1" xfId="0" applyNumberFormat="1" applyFill="1" applyBorder="1" applyAlignment="1">
      <alignment horizontal="center" vertical="center"/>
    </xf>
    <xf numFmtId="0" fontId="0" fillId="15" borderId="0" xfId="0" applyFill="1"/>
    <xf numFmtId="0" fontId="0" fillId="15" borderId="0" xfId="0" applyFill="1" applyAlignment="1">
      <alignment horizontal="center" vertical="center"/>
    </xf>
    <xf numFmtId="1" fontId="0" fillId="15" borderId="0" xfId="0" applyNumberFormat="1" applyFill="1" applyAlignment="1">
      <alignment horizontal="center" vertical="center"/>
    </xf>
    <xf numFmtId="0" fontId="0" fillId="16" borderId="1" xfId="0" applyFill="1" applyBorder="1" applyAlignment="1">
      <alignment horizontal="center" vertical="center"/>
    </xf>
    <xf numFmtId="0" fontId="0" fillId="16" borderId="1" xfId="0" applyFill="1" applyBorder="1" applyAlignment="1">
      <alignment horizontal="left" vertical="center"/>
    </xf>
    <xf numFmtId="0" fontId="0" fillId="16" borderId="1" xfId="0" applyFill="1" applyBorder="1" applyAlignment="1">
      <alignment horizontal="center" vertical="center" wrapText="1"/>
    </xf>
    <xf numFmtId="0" fontId="0" fillId="16" borderId="0" xfId="0" applyFill="1" applyAlignment="1">
      <alignment horizontal="center" vertical="center" wrapText="1"/>
    </xf>
    <xf numFmtId="164" fontId="0" fillId="16" borderId="1" xfId="0" applyNumberFormat="1" applyFill="1" applyBorder="1" applyAlignment="1">
      <alignment horizontal="center" vertical="center" wrapText="1"/>
    </xf>
    <xf numFmtId="164" fontId="0" fillId="16" borderId="1" xfId="0" applyNumberFormat="1" applyFill="1" applyBorder="1" applyAlignment="1">
      <alignment horizontal="center" vertical="center"/>
    </xf>
    <xf numFmtId="0" fontId="0" fillId="16" borderId="0" xfId="0" applyFill="1"/>
    <xf numFmtId="0" fontId="0" fillId="16" borderId="0" xfId="0" applyFill="1" applyAlignment="1">
      <alignment horizontal="center" vertical="center"/>
    </xf>
    <xf numFmtId="1" fontId="0" fillId="16" borderId="0" xfId="0" applyNumberFormat="1" applyFill="1" applyAlignment="1">
      <alignment horizontal="center" vertical="center"/>
    </xf>
    <xf numFmtId="0" fontId="27" fillId="16" borderId="1" xfId="0" applyFont="1" applyFill="1" applyBorder="1" applyAlignment="1">
      <alignment horizontal="center" vertical="center"/>
    </xf>
    <xf numFmtId="0" fontId="27" fillId="16" borderId="1" xfId="0" applyFont="1" applyFill="1" applyBorder="1" applyAlignment="1">
      <alignment horizontal="left" vertical="center"/>
    </xf>
    <xf numFmtId="0" fontId="27" fillId="16" borderId="1" xfId="0" applyFont="1" applyFill="1" applyBorder="1" applyAlignment="1">
      <alignment horizontal="center" vertical="center" wrapText="1"/>
    </xf>
    <xf numFmtId="0" fontId="27" fillId="16" borderId="0" xfId="0" applyFont="1" applyFill="1" applyAlignment="1">
      <alignment horizontal="center" vertical="center" wrapText="1"/>
    </xf>
    <xf numFmtId="164" fontId="27" fillId="16" borderId="1" xfId="0" applyNumberFormat="1" applyFont="1" applyFill="1" applyBorder="1" applyAlignment="1">
      <alignment horizontal="center" vertical="center" wrapText="1"/>
    </xf>
    <xf numFmtId="164" fontId="27" fillId="16" borderId="1" xfId="0" applyNumberFormat="1" applyFont="1" applyFill="1" applyBorder="1" applyAlignment="1">
      <alignment horizontal="center" vertical="center"/>
    </xf>
    <xf numFmtId="0" fontId="27" fillId="16" borderId="0" xfId="0" applyFont="1" applyFill="1"/>
    <xf numFmtId="0" fontId="27" fillId="16" borderId="0" xfId="0" applyFont="1" applyFill="1" applyAlignment="1">
      <alignment horizontal="center" vertical="center"/>
    </xf>
    <xf numFmtId="1" fontId="27" fillId="16" borderId="0" xfId="0" applyNumberFormat="1" applyFont="1" applyFill="1" applyAlignment="1">
      <alignment horizontal="center" vertical="center"/>
    </xf>
    <xf numFmtId="0" fontId="0" fillId="17" borderId="1" xfId="0" applyFill="1" applyBorder="1" applyAlignment="1">
      <alignment horizontal="center" vertical="center"/>
    </xf>
    <xf numFmtId="0" fontId="0" fillId="17" borderId="1" xfId="0" applyFill="1" applyBorder="1" applyAlignment="1">
      <alignment horizontal="left" vertical="center"/>
    </xf>
    <xf numFmtId="0" fontId="0" fillId="17" borderId="1" xfId="0" applyFill="1" applyBorder="1" applyAlignment="1">
      <alignment horizontal="center" vertical="center" wrapText="1"/>
    </xf>
    <xf numFmtId="0" fontId="0" fillId="17" borderId="0" xfId="0" applyFill="1" applyAlignment="1">
      <alignment horizontal="center" vertical="center" wrapText="1"/>
    </xf>
    <xf numFmtId="164" fontId="0" fillId="17" borderId="1" xfId="0" applyNumberFormat="1" applyFill="1" applyBorder="1" applyAlignment="1">
      <alignment horizontal="center" vertical="center" wrapText="1"/>
    </xf>
    <xf numFmtId="164" fontId="0" fillId="17" borderId="1" xfId="0" applyNumberFormat="1" applyFill="1" applyBorder="1" applyAlignment="1">
      <alignment horizontal="center" vertical="center"/>
    </xf>
    <xf numFmtId="0" fontId="0" fillId="17" borderId="0" xfId="0" applyFill="1"/>
    <xf numFmtId="0" fontId="0" fillId="17" borderId="0" xfId="0" applyFill="1" applyAlignment="1">
      <alignment horizontal="center" vertical="center"/>
    </xf>
    <xf numFmtId="1" fontId="0" fillId="17" borderId="0" xfId="0" applyNumberFormat="1" applyFill="1" applyAlignment="1">
      <alignment horizontal="center" vertical="center"/>
    </xf>
    <xf numFmtId="0" fontId="0" fillId="18" borderId="1" xfId="0" applyFill="1" applyBorder="1" applyAlignment="1">
      <alignment horizontal="center" vertical="center"/>
    </xf>
    <xf numFmtId="0" fontId="0" fillId="18" borderId="1" xfId="0" applyFill="1" applyBorder="1" applyAlignment="1">
      <alignment horizontal="left" vertical="center"/>
    </xf>
    <xf numFmtId="0" fontId="0" fillId="18" borderId="1" xfId="0" applyFill="1" applyBorder="1" applyAlignment="1">
      <alignment horizontal="center" vertical="center" wrapText="1"/>
    </xf>
    <xf numFmtId="0" fontId="0" fillId="18" borderId="0" xfId="0" applyFill="1" applyAlignment="1">
      <alignment horizontal="center" vertical="center" wrapText="1"/>
    </xf>
    <xf numFmtId="164" fontId="0" fillId="18" borderId="1" xfId="0" applyNumberFormat="1" applyFill="1" applyBorder="1" applyAlignment="1">
      <alignment horizontal="center" vertical="center" wrapText="1"/>
    </xf>
    <xf numFmtId="164" fontId="0" fillId="18" borderId="1" xfId="0" applyNumberFormat="1" applyFill="1" applyBorder="1" applyAlignment="1">
      <alignment horizontal="center" vertical="center"/>
    </xf>
    <xf numFmtId="0" fontId="0" fillId="18" borderId="0" xfId="0" applyFill="1"/>
    <xf numFmtId="0" fontId="0" fillId="18" borderId="0" xfId="0" applyFill="1" applyAlignment="1">
      <alignment horizontal="center" vertical="center"/>
    </xf>
    <xf numFmtId="1" fontId="0" fillId="18" borderId="0" xfId="0" applyNumberFormat="1" applyFill="1" applyAlignment="1">
      <alignment horizontal="center" vertical="center"/>
    </xf>
    <xf numFmtId="0" fontId="0" fillId="19" borderId="1" xfId="0" applyFill="1" applyBorder="1" applyAlignment="1">
      <alignment horizontal="center" vertical="center"/>
    </xf>
    <xf numFmtId="0" fontId="0" fillId="19" borderId="1" xfId="0" applyFill="1" applyBorder="1" applyAlignment="1">
      <alignment horizontal="left" vertical="center"/>
    </xf>
    <xf numFmtId="0" fontId="0" fillId="19" borderId="1" xfId="0" applyFill="1" applyBorder="1" applyAlignment="1">
      <alignment horizontal="center" vertical="center" wrapText="1"/>
    </xf>
    <xf numFmtId="0" fontId="0" fillId="19" borderId="0" xfId="0" applyFill="1" applyAlignment="1">
      <alignment horizontal="center" vertical="center" wrapText="1"/>
    </xf>
    <xf numFmtId="164" fontId="0" fillId="19" borderId="1" xfId="0" applyNumberFormat="1" applyFill="1" applyBorder="1" applyAlignment="1">
      <alignment horizontal="center" vertical="center"/>
    </xf>
    <xf numFmtId="164" fontId="0" fillId="19" borderId="1" xfId="0" applyNumberFormat="1" applyFill="1" applyBorder="1" applyAlignment="1">
      <alignment horizontal="center" vertical="center" wrapText="1"/>
    </xf>
    <xf numFmtId="0" fontId="0" fillId="19" borderId="0" xfId="0" applyFill="1"/>
    <xf numFmtId="0" fontId="0" fillId="19" borderId="0" xfId="0" applyFill="1" applyAlignment="1">
      <alignment horizontal="center" vertical="center"/>
    </xf>
    <xf numFmtId="1" fontId="0" fillId="19" borderId="0" xfId="0" applyNumberFormat="1" applyFill="1" applyAlignment="1">
      <alignment horizontal="center" vertical="center"/>
    </xf>
    <xf numFmtId="0" fontId="0" fillId="20" borderId="1" xfId="0" applyFill="1" applyBorder="1" applyAlignment="1">
      <alignment horizontal="center" vertical="center"/>
    </xf>
    <xf numFmtId="0" fontId="0" fillId="20" borderId="1" xfId="0" applyFill="1" applyBorder="1" applyAlignment="1">
      <alignment horizontal="left" vertical="center"/>
    </xf>
    <xf numFmtId="0" fontId="0" fillId="20" borderId="1" xfId="0" applyFill="1" applyBorder="1" applyAlignment="1">
      <alignment horizontal="center" vertical="center" wrapText="1"/>
    </xf>
    <xf numFmtId="0" fontId="0" fillId="20" borderId="0" xfId="0" applyFill="1" applyAlignment="1">
      <alignment horizontal="center" vertical="center" wrapText="1"/>
    </xf>
    <xf numFmtId="164" fontId="0" fillId="20" borderId="1" xfId="0" applyNumberFormat="1" applyFill="1" applyBorder="1" applyAlignment="1">
      <alignment horizontal="center" vertical="center" wrapText="1"/>
    </xf>
    <xf numFmtId="164" fontId="0" fillId="20" borderId="1" xfId="0" applyNumberFormat="1" applyFill="1" applyBorder="1" applyAlignment="1">
      <alignment horizontal="center" vertical="center"/>
    </xf>
    <xf numFmtId="0" fontId="0" fillId="20" borderId="0" xfId="0" applyFill="1"/>
    <xf numFmtId="0" fontId="0" fillId="20" borderId="0" xfId="0" applyFill="1" applyAlignment="1">
      <alignment horizontal="center" vertical="center"/>
    </xf>
    <xf numFmtId="1" fontId="0" fillId="20" borderId="0" xfId="0" applyNumberFormat="1" applyFill="1" applyAlignment="1">
      <alignment horizontal="center" vertical="center"/>
    </xf>
    <xf numFmtId="14" fontId="0" fillId="20" borderId="1" xfId="0" applyNumberFormat="1" applyFill="1" applyBorder="1" applyAlignment="1">
      <alignment horizontal="center" vertical="center" wrapText="1"/>
    </xf>
    <xf numFmtId="14" fontId="0" fillId="20" borderId="1" xfId="0" applyNumberFormat="1" applyFill="1" applyBorder="1" applyAlignment="1">
      <alignment horizontal="center" vertical="center"/>
    </xf>
    <xf numFmtId="0" fontId="0" fillId="21" borderId="1" xfId="0" applyFill="1" applyBorder="1" applyAlignment="1">
      <alignment horizontal="center" vertical="center"/>
    </xf>
    <xf numFmtId="0" fontId="0" fillId="21" borderId="1" xfId="0" applyFill="1" applyBorder="1" applyAlignment="1">
      <alignment horizontal="left" vertical="center"/>
    </xf>
    <xf numFmtId="0" fontId="0" fillId="21" borderId="1" xfId="0" applyFill="1" applyBorder="1" applyAlignment="1">
      <alignment horizontal="center" vertical="center" wrapText="1"/>
    </xf>
    <xf numFmtId="0" fontId="0" fillId="21" borderId="0" xfId="0" applyFill="1" applyAlignment="1">
      <alignment horizontal="center" vertical="center" wrapText="1"/>
    </xf>
    <xf numFmtId="164" fontId="0" fillId="21" borderId="1" xfId="0" applyNumberFormat="1" applyFill="1" applyBorder="1" applyAlignment="1">
      <alignment horizontal="center" vertical="center"/>
    </xf>
    <xf numFmtId="164" fontId="0" fillId="21" borderId="1" xfId="0" applyNumberFormat="1" applyFill="1" applyBorder="1" applyAlignment="1">
      <alignment horizontal="center" vertical="center" wrapText="1"/>
    </xf>
    <xf numFmtId="0" fontId="0" fillId="21" borderId="0" xfId="0" applyFill="1"/>
    <xf numFmtId="14" fontId="0" fillId="21" borderId="1" xfId="0" applyNumberFormat="1" applyFill="1" applyBorder="1" applyAlignment="1">
      <alignment horizontal="center" vertical="center"/>
    </xf>
    <xf numFmtId="0" fontId="0" fillId="21" borderId="0" xfId="0" applyFill="1" applyAlignment="1">
      <alignment horizontal="center" vertical="center"/>
    </xf>
    <xf numFmtId="1" fontId="0" fillId="21" borderId="0" xfId="0" applyNumberFormat="1" applyFill="1" applyAlignment="1">
      <alignment horizontal="center" vertical="center"/>
    </xf>
    <xf numFmtId="0" fontId="29" fillId="0" borderId="18" xfId="0" applyFont="1" applyBorder="1" applyAlignment="1">
      <alignment horizontal="left" vertical="center" wrapText="1" indent="1" readingOrder="1"/>
    </xf>
    <xf numFmtId="0" fontId="28" fillId="0" borderId="18" xfId="0" applyFont="1" applyBorder="1" applyAlignment="1">
      <alignment horizontal="left" vertical="center" wrapText="1" indent="1" readingOrder="1"/>
    </xf>
    <xf numFmtId="0" fontId="0" fillId="0" borderId="1" xfId="0" applyBorder="1" applyAlignment="1">
      <alignment horizontal="left"/>
    </xf>
    <xf numFmtId="0" fontId="0" fillId="22" borderId="1" xfId="0" applyFill="1" applyBorder="1" applyAlignment="1">
      <alignment horizontal="left"/>
    </xf>
    <xf numFmtId="0" fontId="0" fillId="22" borderId="0" xfId="0" applyFill="1"/>
    <xf numFmtId="0" fontId="0" fillId="18" borderId="1" xfId="0" applyFill="1" applyBorder="1" applyAlignment="1">
      <alignment horizontal="left"/>
    </xf>
    <xf numFmtId="0" fontId="0" fillId="23" borderId="1" xfId="0" applyFill="1" applyBorder="1" applyAlignment="1">
      <alignment horizontal="left"/>
    </xf>
    <xf numFmtId="0" fontId="0" fillId="23" borderId="0" xfId="0" applyFill="1"/>
    <xf numFmtId="0" fontId="0" fillId="24" borderId="1" xfId="0" applyFill="1" applyBorder="1" applyAlignment="1">
      <alignment horizontal="left"/>
    </xf>
    <xf numFmtId="0" fontId="0" fillId="24" borderId="0" xfId="0" applyFill="1"/>
    <xf numFmtId="0" fontId="0" fillId="25" borderId="1" xfId="0" applyFill="1" applyBorder="1" applyAlignment="1">
      <alignment horizontal="left"/>
    </xf>
    <xf numFmtId="0" fontId="0" fillId="25" borderId="0" xfId="0" applyFill="1"/>
    <xf numFmtId="0" fontId="0" fillId="26" borderId="1" xfId="0" applyFill="1" applyBorder="1" applyAlignment="1">
      <alignment horizontal="left"/>
    </xf>
    <xf numFmtId="0" fontId="0" fillId="26" borderId="0" xfId="0" applyFill="1"/>
    <xf numFmtId="0" fontId="0" fillId="27" borderId="1" xfId="0" applyFill="1" applyBorder="1" applyAlignment="1">
      <alignment horizontal="left"/>
    </xf>
    <xf numFmtId="0" fontId="0" fillId="27" borderId="0" xfId="0" applyFill="1"/>
    <xf numFmtId="0" fontId="0" fillId="28" borderId="1" xfId="0" applyFill="1" applyBorder="1" applyAlignment="1">
      <alignment horizontal="left"/>
    </xf>
    <xf numFmtId="0" fontId="0" fillId="28" borderId="0" xfId="0" applyFill="1"/>
    <xf numFmtId="167" fontId="23" fillId="11" borderId="0" xfId="0" applyNumberFormat="1" applyFont="1" applyFill="1" applyAlignment="1">
      <alignment horizontal="center" vertical="center"/>
    </xf>
    <xf numFmtId="0" fontId="18" fillId="8" borderId="16" xfId="0" applyFont="1" applyFill="1" applyBorder="1" applyAlignment="1">
      <alignment horizontal="center" vertical="center"/>
    </xf>
    <xf numFmtId="0" fontId="18" fillId="8" borderId="15" xfId="0" applyFont="1" applyFill="1" applyBorder="1" applyAlignment="1">
      <alignment horizontal="center" vertical="center"/>
    </xf>
    <xf numFmtId="0" fontId="18" fillId="8" borderId="17" xfId="0" applyFont="1" applyFill="1" applyBorder="1" applyAlignment="1">
      <alignment horizontal="center" vertical="center"/>
    </xf>
    <xf numFmtId="0" fontId="24" fillId="10" borderId="0" xfId="0" applyFont="1" applyFill="1" applyAlignment="1">
      <alignment horizontal="center" vertical="center"/>
    </xf>
    <xf numFmtId="0" fontId="18" fillId="8" borderId="14" xfId="0" applyFont="1" applyFill="1" applyBorder="1" applyAlignment="1">
      <alignment horizontal="center" vertical="center"/>
    </xf>
    <xf numFmtId="0" fontId="18" fillId="8" borderId="0" xfId="0" applyFont="1" applyFill="1" applyAlignment="1">
      <alignment horizontal="center" vertical="center"/>
    </xf>
    <xf numFmtId="0" fontId="18" fillId="8" borderId="12" xfId="0" applyFont="1" applyFill="1" applyBorder="1" applyAlignment="1">
      <alignment horizontal="center" vertical="center"/>
    </xf>
    <xf numFmtId="0" fontId="22" fillId="0" borderId="1" xfId="0" applyFont="1" applyBorder="1" applyAlignment="1">
      <alignment horizontal="center" vertical="center"/>
    </xf>
    <xf numFmtId="1" fontId="22" fillId="0" borderId="1" xfId="0" applyNumberFormat="1" applyFont="1" applyBorder="1" applyAlignment="1">
      <alignment horizontal="center" vertical="center"/>
    </xf>
    <xf numFmtId="0" fontId="22" fillId="0" borderId="1" xfId="0" applyFont="1" applyBorder="1" applyAlignment="1">
      <alignment horizontal="left" vertical="center"/>
    </xf>
    <xf numFmtId="0" fontId="25" fillId="9" borderId="14" xfId="0" applyFont="1" applyFill="1" applyBorder="1" applyAlignment="1">
      <alignment horizontal="center"/>
    </xf>
    <xf numFmtId="0" fontId="25" fillId="9" borderId="12" xfId="0" applyFont="1" applyFill="1" applyBorder="1" applyAlignment="1">
      <alignment horizontal="center"/>
    </xf>
    <xf numFmtId="0" fontId="25" fillId="9" borderId="0" xfId="0" applyFont="1" applyFill="1" applyAlignment="1">
      <alignment horizontal="center"/>
    </xf>
    <xf numFmtId="0" fontId="25" fillId="5" borderId="15" xfId="0" applyFont="1" applyFill="1" applyBorder="1" applyAlignment="1">
      <alignment horizontal="center" vertical="center" wrapText="1"/>
    </xf>
    <xf numFmtId="164" fontId="17" fillId="9" borderId="1" xfId="0" applyNumberFormat="1" applyFont="1" applyFill="1" applyBorder="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22" fillId="4" borderId="1" xfId="0" applyFont="1" applyFill="1" applyBorder="1" applyAlignment="1">
      <alignment horizontal="center" vertical="center"/>
    </xf>
    <xf numFmtId="0" fontId="27" fillId="4" borderId="4" xfId="0" applyFont="1" applyFill="1" applyBorder="1" applyAlignment="1">
      <alignment horizontal="center" vertical="center"/>
    </xf>
    <xf numFmtId="0" fontId="27" fillId="4" borderId="5" xfId="0" applyFont="1" applyFill="1" applyBorder="1" applyAlignment="1">
      <alignment horizontal="center" vertical="center"/>
    </xf>
    <xf numFmtId="0" fontId="27" fillId="4" borderId="6" xfId="0" applyFont="1" applyFill="1" applyBorder="1" applyAlignment="1">
      <alignment horizontal="center" vertical="center"/>
    </xf>
    <xf numFmtId="0" fontId="13" fillId="4" borderId="4" xfId="0" applyFont="1" applyFill="1" applyBorder="1" applyAlignment="1">
      <alignment horizontal="left" vertical="center"/>
    </xf>
    <xf numFmtId="0" fontId="13" fillId="4" borderId="5" xfId="0" applyFont="1" applyFill="1" applyBorder="1" applyAlignment="1">
      <alignment horizontal="left" vertical="center"/>
    </xf>
    <xf numFmtId="0" fontId="13" fillId="4" borderId="6" xfId="0" applyFont="1" applyFill="1" applyBorder="1" applyAlignment="1">
      <alignment horizontal="left" vertical="center"/>
    </xf>
    <xf numFmtId="0" fontId="0" fillId="0" borderId="0" xfId="0" applyNumberFormat="1"/>
  </cellXfs>
  <cellStyles count="3">
    <cellStyle name="Hyperlink" xfId="2" builtinId="8"/>
    <cellStyle name="Normal" xfId="0" builtinId="0"/>
    <cellStyle name="Normal 2" xfId="1" xr:uid="{608238D6-7B3F-4ABD-A742-6E969BF5F4BF}"/>
  </cellStyles>
  <dxfs count="112">
    <dxf>
      <numFmt numFmtId="34" formatCode="_-&quot;RM&quot;* #,##0.00_-;\-&quot;RM&quot;* #,##0.00_-;_-&quot;RM&quot;* &quot;-&quot;??_-;_-@_-"/>
    </dxf>
    <dxf>
      <font>
        <color rgb="FF00B050"/>
      </font>
      <fill>
        <patternFill>
          <bgColor theme="9" tint="0.79998168889431442"/>
        </patternFill>
      </fill>
    </dxf>
    <dxf>
      <font>
        <b/>
        <i val="0"/>
      </font>
      <fill>
        <patternFill>
          <bgColor theme="6" tint="0.79998168889431442"/>
        </patternFill>
      </fill>
    </dxf>
    <dxf>
      <font>
        <b/>
        <i val="0"/>
      </font>
      <fill>
        <patternFill>
          <bgColor theme="6" tint="0.79998168889431442"/>
        </patternFill>
      </fill>
    </dxf>
    <dxf>
      <fill>
        <patternFill>
          <bgColor theme="0" tint="-0.24994659260841701"/>
        </patternFill>
      </fill>
    </dxf>
    <dxf>
      <fill>
        <patternFill>
          <bgColor theme="0" tint="-0.24994659260841701"/>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font>
        <color rgb="FF00B050"/>
      </font>
      <fill>
        <patternFill>
          <bgColor theme="9" tint="0.79998168889431442"/>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4" formatCode="_-&quot;RM&quot;* #,##0.00_-;\-&quot;RM&quot;* #,##0.00_-;_-&quot;RM&quot;* &quot;-&quot;??_-;_-@_-"/>
      <alignment vertical="center" textRotation="0" indent="0" justifyLastLine="0" shrinkToFit="0" readingOrder="0"/>
    </dxf>
    <dxf>
      <numFmt numFmtId="34" formatCode="_-&quot;RM&quot;* #,##0.00_-;\-&quot;RM&quot;* #,##0.00_-;_-&quot;RM&quot;* &quot;-&quot;??_-;_-@_-"/>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0" formatCode="d\-mmm\-yy"/>
      <alignment horizontal="center" vertical="center" textRotation="0" wrapText="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2"/>
        <color theme="1"/>
        <name val="Aptos Narrow"/>
        <family val="2"/>
        <scheme val="minor"/>
      </font>
      <fill>
        <patternFill patternType="solid">
          <fgColor indexed="64"/>
          <bgColor theme="0"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Aptos Narrow"/>
        <family val="2"/>
        <scheme val="minor"/>
      </font>
      <fill>
        <patternFill patternType="solid">
          <fgColor indexed="64"/>
          <bgColor theme="3" tint="0.89999084444715716"/>
        </patternFill>
      </fill>
    </dxf>
    <dxf>
      <numFmt numFmtId="34" formatCode="_-&quot;RM&quot;* #,##0.00_-;\-&quot;RM&quot;* #,##0.00_-;_-&quot;RM&quot;* &quot;-&quot;??_-;_-@_-"/>
    </dxf>
  </dxfs>
  <tableStyles count="0" defaultTableStyle="TableStyleMedium2" defaultPivotStyle="PivotStyleLight16"/>
  <colors>
    <mruColors>
      <color rgb="FFFF7C80"/>
      <color rgb="FFFFDF9F"/>
      <color rgb="FF9DB6E7"/>
      <color rgb="FFAA85E1"/>
      <color rgb="FFFF99CC"/>
      <color rgb="FFED7D31"/>
      <color rgb="FF336699"/>
      <color rgb="FF003399"/>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20/07/relationships/rdRichValueWebImage" Target="richData/rdRichValueWebImage.xml"/><Relationship Id="rId26" Type="http://schemas.microsoft.com/office/2017/10/relationships/person" Target="persons/person.xml"/><Relationship Id="rId3" Type="http://schemas.openxmlformats.org/officeDocument/2006/relationships/worksheet" Target="worksheets/sheet3.xml"/><Relationship Id="rId21" Type="http://schemas.microsoft.com/office/2017/06/relationships/rdArray" Target="richData/rdarray.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Structure" Target="richData/rdsupportingpropertybag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ichStyles" Target="richData/rich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Contribution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Dashboard!$A$84</c:f>
              <c:strCache>
                <c:ptCount val="1"/>
                <c:pt idx="0">
                  <c:v>Tham</c:v>
                </c:pt>
              </c:strCache>
            </c:strRef>
          </c:tx>
          <c:spPr>
            <a:solidFill>
              <a:schemeClr val="accent1"/>
            </a:solidFill>
            <a:ln>
              <a:noFill/>
            </a:ln>
            <a:effectLst/>
          </c:spPr>
          <c:invertIfNegative val="0"/>
          <c:cat>
            <c:multiLvlStrRef>
              <c:f>Dashboard!$H$82:$K$83</c:f>
              <c:multiLvlStrCache>
                <c:ptCount val="4"/>
                <c:lvl>
                  <c:pt idx="0">
                    <c:v>Total</c:v>
                  </c:pt>
                  <c:pt idx="1">
                    <c:v>2023</c:v>
                  </c:pt>
                  <c:pt idx="2">
                    <c:v>2024</c:v>
                  </c:pt>
                  <c:pt idx="3">
                    <c:v>2025</c:v>
                  </c:pt>
                </c:lvl>
                <c:lvl>
                  <c:pt idx="0">
                    <c:v>Total</c:v>
                  </c:pt>
                </c:lvl>
              </c:multiLvlStrCache>
            </c:multiLvlStrRef>
          </c:cat>
          <c:val>
            <c:numRef>
              <c:f>Dashboard!$H$84:$K$84</c:f>
              <c:numCache>
                <c:formatCode>_("RM"* #,##0.00_);_("RM"* \(#,##0.00\);_("RM"* "-"??_);_(@_)</c:formatCode>
                <c:ptCount val="4"/>
                <c:pt idx="0">
                  <c:v>11010153.199999999</c:v>
                </c:pt>
                <c:pt idx="1">
                  <c:v>22000</c:v>
                </c:pt>
                <c:pt idx="2">
                  <c:v>7289133.2000000002</c:v>
                </c:pt>
                <c:pt idx="3">
                  <c:v>3673920</c:v>
                </c:pt>
              </c:numCache>
            </c:numRef>
          </c:val>
          <c:extLst>
            <c:ext xmlns:c16="http://schemas.microsoft.com/office/drawing/2014/chart" uri="{C3380CC4-5D6E-409C-BE32-E72D297353CC}">
              <c16:uniqueId val="{00000000-C090-4786-BB68-10FEE5F7E25E}"/>
            </c:ext>
          </c:extLst>
        </c:ser>
        <c:ser>
          <c:idx val="1"/>
          <c:order val="1"/>
          <c:tx>
            <c:strRef>
              <c:f>Dashboard!$A$85</c:f>
              <c:strCache>
                <c:ptCount val="1"/>
                <c:pt idx="0">
                  <c:v>Chean Bang</c:v>
                </c:pt>
              </c:strCache>
            </c:strRef>
          </c:tx>
          <c:spPr>
            <a:solidFill>
              <a:schemeClr val="accent2"/>
            </a:solidFill>
            <a:ln>
              <a:noFill/>
            </a:ln>
            <a:effectLst/>
          </c:spPr>
          <c:invertIfNegative val="0"/>
          <c:cat>
            <c:multiLvlStrRef>
              <c:f>Dashboard!$H$82:$K$83</c:f>
              <c:multiLvlStrCache>
                <c:ptCount val="4"/>
                <c:lvl>
                  <c:pt idx="0">
                    <c:v>Total</c:v>
                  </c:pt>
                  <c:pt idx="1">
                    <c:v>2023</c:v>
                  </c:pt>
                  <c:pt idx="2">
                    <c:v>2024</c:v>
                  </c:pt>
                  <c:pt idx="3">
                    <c:v>2025</c:v>
                  </c:pt>
                </c:lvl>
                <c:lvl>
                  <c:pt idx="0">
                    <c:v>Total</c:v>
                  </c:pt>
                </c:lvl>
              </c:multiLvlStrCache>
            </c:multiLvlStrRef>
          </c:cat>
          <c:val>
            <c:numRef>
              <c:f>Dashboard!$H$85:$L$85</c:f>
              <c:numCache>
                <c:formatCode>_("RM"* #,##0.00_);_("RM"* \(#,##0.00\);_("RM"* "-"??_);_(@_)</c:formatCode>
                <c:ptCount val="5"/>
                <c:pt idx="0">
                  <c:v>2335898</c:v>
                </c:pt>
                <c:pt idx="1">
                  <c:v>461700</c:v>
                </c:pt>
                <c:pt idx="2">
                  <c:v>1094898</c:v>
                </c:pt>
                <c:pt idx="3">
                  <c:v>779300</c:v>
                </c:pt>
                <c:pt idx="4">
                  <c:v>0</c:v>
                </c:pt>
              </c:numCache>
            </c:numRef>
          </c:val>
          <c:extLst>
            <c:ext xmlns:c16="http://schemas.microsoft.com/office/drawing/2014/chart" uri="{C3380CC4-5D6E-409C-BE32-E72D297353CC}">
              <c16:uniqueId val="{00000001-C090-4786-BB68-10FEE5F7E25E}"/>
            </c:ext>
          </c:extLst>
        </c:ser>
        <c:ser>
          <c:idx val="2"/>
          <c:order val="2"/>
          <c:tx>
            <c:strRef>
              <c:f>Dashboard!$A$86</c:f>
              <c:strCache>
                <c:ptCount val="1"/>
                <c:pt idx="0">
                  <c:v>Simon</c:v>
                </c:pt>
              </c:strCache>
            </c:strRef>
          </c:tx>
          <c:spPr>
            <a:solidFill>
              <a:schemeClr val="accent3"/>
            </a:solidFill>
            <a:ln>
              <a:noFill/>
            </a:ln>
            <a:effectLst/>
          </c:spPr>
          <c:invertIfNegative val="0"/>
          <c:cat>
            <c:multiLvlStrRef>
              <c:f>Dashboard!$H$82:$K$83</c:f>
              <c:multiLvlStrCache>
                <c:ptCount val="4"/>
                <c:lvl>
                  <c:pt idx="0">
                    <c:v>Total</c:v>
                  </c:pt>
                  <c:pt idx="1">
                    <c:v>2023</c:v>
                  </c:pt>
                  <c:pt idx="2">
                    <c:v>2024</c:v>
                  </c:pt>
                  <c:pt idx="3">
                    <c:v>2025</c:v>
                  </c:pt>
                </c:lvl>
                <c:lvl>
                  <c:pt idx="0">
                    <c:v>Total</c:v>
                  </c:pt>
                </c:lvl>
              </c:multiLvlStrCache>
            </c:multiLvlStrRef>
          </c:cat>
          <c:val>
            <c:numRef>
              <c:f>Dashboard!$H$86:$L$86</c:f>
              <c:numCache>
                <c:formatCode>_("RM"* #,##0.00_);_("RM"* \(#,##0.00\);_("RM"* "-"??_);_(@_)</c:formatCode>
                <c:ptCount val="5"/>
                <c:pt idx="0">
                  <c:v>3516528</c:v>
                </c:pt>
                <c:pt idx="1">
                  <c:v>1634205</c:v>
                </c:pt>
                <c:pt idx="2">
                  <c:v>783603</c:v>
                </c:pt>
                <c:pt idx="3">
                  <c:v>1098720</c:v>
                </c:pt>
                <c:pt idx="4">
                  <c:v>0</c:v>
                </c:pt>
              </c:numCache>
            </c:numRef>
          </c:val>
          <c:extLst>
            <c:ext xmlns:c16="http://schemas.microsoft.com/office/drawing/2014/chart" uri="{C3380CC4-5D6E-409C-BE32-E72D297353CC}">
              <c16:uniqueId val="{00000002-C090-4786-BB68-10FEE5F7E25E}"/>
            </c:ext>
          </c:extLst>
        </c:ser>
        <c:ser>
          <c:idx val="3"/>
          <c:order val="3"/>
          <c:tx>
            <c:strRef>
              <c:f>Dashboard!$A$87</c:f>
              <c:strCache>
                <c:ptCount val="1"/>
                <c:pt idx="0">
                  <c:v>Ong</c:v>
                </c:pt>
              </c:strCache>
            </c:strRef>
          </c:tx>
          <c:spPr>
            <a:solidFill>
              <a:schemeClr val="accent4"/>
            </a:solidFill>
            <a:ln>
              <a:noFill/>
            </a:ln>
            <a:effectLst/>
          </c:spPr>
          <c:invertIfNegative val="0"/>
          <c:cat>
            <c:multiLvlStrRef>
              <c:f>Dashboard!$H$82:$K$83</c:f>
              <c:multiLvlStrCache>
                <c:ptCount val="4"/>
                <c:lvl>
                  <c:pt idx="0">
                    <c:v>Total</c:v>
                  </c:pt>
                  <c:pt idx="1">
                    <c:v>2023</c:v>
                  </c:pt>
                  <c:pt idx="2">
                    <c:v>2024</c:v>
                  </c:pt>
                  <c:pt idx="3">
                    <c:v>2025</c:v>
                  </c:pt>
                </c:lvl>
                <c:lvl>
                  <c:pt idx="0">
                    <c:v>Total</c:v>
                  </c:pt>
                </c:lvl>
              </c:multiLvlStrCache>
            </c:multiLvlStrRef>
          </c:cat>
          <c:val>
            <c:numRef>
              <c:f>Dashboard!$H$87:$L$87</c:f>
              <c:numCache>
                <c:formatCode>_("RM"* #,##0.00_);_("RM"* \(#,##0.00\);_("RM"* "-"??_);_(@_)</c:formatCode>
                <c:ptCount val="5"/>
                <c:pt idx="0">
                  <c:v>273958</c:v>
                </c:pt>
                <c:pt idx="1">
                  <c:v>0</c:v>
                </c:pt>
                <c:pt idx="2">
                  <c:v>54930</c:v>
                </c:pt>
                <c:pt idx="3">
                  <c:v>219028</c:v>
                </c:pt>
                <c:pt idx="4">
                  <c:v>0</c:v>
                </c:pt>
              </c:numCache>
            </c:numRef>
          </c:val>
          <c:extLst>
            <c:ext xmlns:c16="http://schemas.microsoft.com/office/drawing/2014/chart" uri="{C3380CC4-5D6E-409C-BE32-E72D297353CC}">
              <c16:uniqueId val="{00000003-C090-4786-BB68-10FEE5F7E25E}"/>
            </c:ext>
          </c:extLst>
        </c:ser>
        <c:ser>
          <c:idx val="4"/>
          <c:order val="4"/>
          <c:tx>
            <c:strRef>
              <c:f>Dashboard!$A$88</c:f>
              <c:strCache>
                <c:ptCount val="1"/>
                <c:pt idx="0">
                  <c:v>Patricia</c:v>
                </c:pt>
              </c:strCache>
            </c:strRef>
          </c:tx>
          <c:spPr>
            <a:solidFill>
              <a:schemeClr val="accent5"/>
            </a:solidFill>
            <a:ln>
              <a:noFill/>
            </a:ln>
            <a:effectLst/>
          </c:spPr>
          <c:invertIfNegative val="0"/>
          <c:cat>
            <c:multiLvlStrRef>
              <c:f>Dashboard!$H$82:$K$83</c:f>
              <c:multiLvlStrCache>
                <c:ptCount val="4"/>
                <c:lvl>
                  <c:pt idx="0">
                    <c:v>Total</c:v>
                  </c:pt>
                  <c:pt idx="1">
                    <c:v>2023</c:v>
                  </c:pt>
                  <c:pt idx="2">
                    <c:v>2024</c:v>
                  </c:pt>
                  <c:pt idx="3">
                    <c:v>2025</c:v>
                  </c:pt>
                </c:lvl>
                <c:lvl>
                  <c:pt idx="0">
                    <c:v>Total</c:v>
                  </c:pt>
                </c:lvl>
              </c:multiLvlStrCache>
            </c:multiLvlStrRef>
          </c:cat>
          <c:val>
            <c:numRef>
              <c:f>Dashboard!$H$88:$L$88</c:f>
              <c:numCache>
                <c:formatCode>_("RM"* #,##0.00_);_("RM"* \(#,##0.00\);_("RM"* "-"??_);_(@_)</c:formatCode>
                <c:ptCount val="5"/>
                <c:pt idx="0">
                  <c:v>2493346.98</c:v>
                </c:pt>
                <c:pt idx="1">
                  <c:v>0</c:v>
                </c:pt>
                <c:pt idx="2">
                  <c:v>368176</c:v>
                </c:pt>
                <c:pt idx="3">
                  <c:v>2103670.98</c:v>
                </c:pt>
                <c:pt idx="4">
                  <c:v>0</c:v>
                </c:pt>
              </c:numCache>
            </c:numRef>
          </c:val>
          <c:extLst>
            <c:ext xmlns:c16="http://schemas.microsoft.com/office/drawing/2014/chart" uri="{C3380CC4-5D6E-409C-BE32-E72D297353CC}">
              <c16:uniqueId val="{00000004-C090-4786-BB68-10FEE5F7E25E}"/>
            </c:ext>
          </c:extLst>
        </c:ser>
        <c:ser>
          <c:idx val="5"/>
          <c:order val="5"/>
          <c:tx>
            <c:strRef>
              <c:f>Dashboard!$A$89</c:f>
              <c:strCache>
                <c:ptCount val="1"/>
                <c:pt idx="0">
                  <c:v>Reeve</c:v>
                </c:pt>
              </c:strCache>
            </c:strRef>
          </c:tx>
          <c:spPr>
            <a:solidFill>
              <a:schemeClr val="accent6"/>
            </a:solidFill>
            <a:ln>
              <a:noFill/>
            </a:ln>
            <a:effectLst/>
          </c:spPr>
          <c:invertIfNegative val="0"/>
          <c:val>
            <c:numRef>
              <c:f>Dashboard!$H$89:$L$89</c:f>
              <c:numCache>
                <c:formatCode>_("RM"* #,##0.00_);_("RM"* \(#,##0.00\);_("RM"* "-"??_);_(@_)</c:formatCode>
                <c:ptCount val="5"/>
                <c:pt idx="0">
                  <c:v>0</c:v>
                </c:pt>
                <c:pt idx="1">
                  <c:v>0</c:v>
                </c:pt>
                <c:pt idx="2">
                  <c:v>0</c:v>
                </c:pt>
                <c:pt idx="3">
                  <c:v>0</c:v>
                </c:pt>
                <c:pt idx="4">
                  <c:v>0</c:v>
                </c:pt>
              </c:numCache>
            </c:numRef>
          </c:val>
          <c:extLst>
            <c:ext xmlns:c16="http://schemas.microsoft.com/office/drawing/2014/chart" uri="{C3380CC4-5D6E-409C-BE32-E72D297353CC}">
              <c16:uniqueId val="{00000000-A039-4034-B25F-9BC5B14B04FB}"/>
            </c:ext>
          </c:extLst>
        </c:ser>
        <c:dLbls>
          <c:showLegendKey val="0"/>
          <c:showVal val="0"/>
          <c:showCatName val="0"/>
          <c:showSerName val="0"/>
          <c:showPercent val="0"/>
          <c:showBubbleSize val="0"/>
        </c:dLbls>
        <c:gapWidth val="150"/>
        <c:overlap val="100"/>
        <c:axId val="968194575"/>
        <c:axId val="968199375"/>
      </c:barChart>
      <c:catAx>
        <c:axId val="96819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8199375"/>
        <c:crosses val="autoZero"/>
        <c:auto val="1"/>
        <c:lblAlgn val="ctr"/>
        <c:lblOffset val="100"/>
        <c:noMultiLvlLbl val="0"/>
      </c:catAx>
      <c:valAx>
        <c:axId val="968199375"/>
        <c:scaling>
          <c:orientation val="minMax"/>
        </c:scaling>
        <c:delete val="0"/>
        <c:axPos val="b"/>
        <c:majorGridlines>
          <c:spPr>
            <a:ln w="9525" cap="flat" cmpd="sng" algn="ctr">
              <a:solidFill>
                <a:schemeClr val="tx1">
                  <a:lumMod val="15000"/>
                  <a:lumOff val="85000"/>
                </a:schemeClr>
              </a:solidFill>
              <a:round/>
            </a:ln>
            <a:effectLst/>
          </c:spPr>
        </c:majorGridlines>
        <c:numFmt formatCode="_(&quot;RM&quot;* #,##0.00_);_(&quot;RM&quot;* \(#,##0.00\);_(&quot;RM&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68194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PIC</a:t>
            </a:r>
            <a:r>
              <a:rPr lang="en-US" baseline="0"/>
              <a:t> T</a:t>
            </a:r>
            <a:r>
              <a:rPr lang="en-US"/>
              <a:t>otal Contribution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8E-4F70-A5EB-EAE11366D5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38E-4F70-A5EB-EAE11366D5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8E-4F70-A5EB-EAE11366D5E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38E-4F70-A5EB-EAE11366D5E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8E-4F70-A5EB-EAE11366D5E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1C-47EF-8DE4-6057161F24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Dashboard!$A$84:$A$89</c:f>
              <c:strCache>
                <c:ptCount val="6"/>
                <c:pt idx="0">
                  <c:v>Tham</c:v>
                </c:pt>
                <c:pt idx="1">
                  <c:v>Chean Bang</c:v>
                </c:pt>
                <c:pt idx="2">
                  <c:v>Simon</c:v>
                </c:pt>
                <c:pt idx="3">
                  <c:v>Ong</c:v>
                </c:pt>
                <c:pt idx="4">
                  <c:v>Patricia</c:v>
                </c:pt>
                <c:pt idx="5">
                  <c:v>Reeve</c:v>
                </c:pt>
              </c:strCache>
            </c:strRef>
          </c:cat>
          <c:val>
            <c:numRef>
              <c:f>Dashboard!$H$84:$H$89</c:f>
              <c:numCache>
                <c:formatCode>_("RM"* #,##0.00_);_("RM"* \(#,##0.00\);_("RM"* "-"??_);_(@_)</c:formatCode>
                <c:ptCount val="6"/>
                <c:pt idx="0">
                  <c:v>11010153.199999999</c:v>
                </c:pt>
                <c:pt idx="1">
                  <c:v>2335898</c:v>
                </c:pt>
                <c:pt idx="2">
                  <c:v>3516528</c:v>
                </c:pt>
                <c:pt idx="3">
                  <c:v>273958</c:v>
                </c:pt>
                <c:pt idx="4">
                  <c:v>2493346.98</c:v>
                </c:pt>
                <c:pt idx="5">
                  <c:v>0</c:v>
                </c:pt>
              </c:numCache>
            </c:numRef>
          </c:val>
          <c:extLst>
            <c:ext xmlns:c16="http://schemas.microsoft.com/office/drawing/2014/chart" uri="{C3380CC4-5D6E-409C-BE32-E72D297353CC}">
              <c16:uniqueId val="{00000000-C38E-4F70-A5EB-EAE11366D5E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System Capacity (kWp)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Dashboard!$A$48</c:f>
              <c:strCache>
                <c:ptCount val="1"/>
                <c:pt idx="0">
                  <c:v>NEM</c:v>
                </c:pt>
              </c:strCache>
            </c:strRef>
          </c:tx>
          <c:spPr>
            <a:solidFill>
              <a:schemeClr val="tx2"/>
            </a:solidFill>
            <a:ln>
              <a:noFill/>
            </a:ln>
            <a:effectLst/>
          </c:spPr>
          <c:invertIfNegative val="0"/>
          <c:cat>
            <c:multiLvlStrRef>
              <c:f>Dashboard!$B$46:$K$47</c:f>
              <c:multiLvlStrCache>
                <c:ptCount val="10"/>
                <c:lvl>
                  <c:pt idx="0">
                    <c:v>Total</c:v>
                  </c:pt>
                  <c:pt idx="1">
                    <c:v>2023</c:v>
                  </c:pt>
                  <c:pt idx="2">
                    <c:v>2024</c:v>
                  </c:pt>
                  <c:pt idx="3">
                    <c:v>2025</c:v>
                  </c:pt>
                  <c:pt idx="4">
                    <c:v>2026</c:v>
                  </c:pt>
                  <c:pt idx="6">
                    <c:v>Total</c:v>
                  </c:pt>
                  <c:pt idx="7">
                    <c:v>2023</c:v>
                  </c:pt>
                  <c:pt idx="8">
                    <c:v>2024</c:v>
                  </c:pt>
                  <c:pt idx="9">
                    <c:v>2025</c:v>
                  </c:pt>
                </c:lvl>
                <c:lvl>
                  <c:pt idx="0">
                    <c:v>Residential</c:v>
                  </c:pt>
                  <c:pt idx="6">
                    <c:v>C&amp;I</c:v>
                  </c:pt>
                </c:lvl>
              </c:multiLvlStrCache>
            </c:multiLvlStrRef>
          </c:cat>
          <c:val>
            <c:numRef>
              <c:f>Dashboard!$B$48:$L$48</c:f>
              <c:numCache>
                <c:formatCode>#,##0.00\ \k\W\p</c:formatCode>
                <c:ptCount val="11"/>
                <c:pt idx="0">
                  <c:v>3417.3749999999941</c:v>
                </c:pt>
                <c:pt idx="1">
                  <c:v>220.15000000000006</c:v>
                </c:pt>
                <c:pt idx="2">
                  <c:v>1637.1649999999988</c:v>
                </c:pt>
                <c:pt idx="3">
                  <c:v>1560.0600000000038</c:v>
                </c:pt>
                <c:pt idx="4">
                  <c:v>0</c:v>
                </c:pt>
                <c:pt idx="6">
                  <c:v>3286.6850000000004</c:v>
                </c:pt>
                <c:pt idx="7">
                  <c:v>428.69499999999999</c:v>
                </c:pt>
                <c:pt idx="8">
                  <c:v>1675.0000000000002</c:v>
                </c:pt>
                <c:pt idx="9">
                  <c:v>1182.99</c:v>
                </c:pt>
                <c:pt idx="10">
                  <c:v>0</c:v>
                </c:pt>
              </c:numCache>
            </c:numRef>
          </c:val>
          <c:extLst>
            <c:ext xmlns:c16="http://schemas.microsoft.com/office/drawing/2014/chart" uri="{C3380CC4-5D6E-409C-BE32-E72D297353CC}">
              <c16:uniqueId val="{00000000-3967-414C-8D5B-199ABB616B57}"/>
            </c:ext>
          </c:extLst>
        </c:ser>
        <c:ser>
          <c:idx val="1"/>
          <c:order val="1"/>
          <c:tx>
            <c:strRef>
              <c:f>Dashboard!$A$49</c:f>
              <c:strCache>
                <c:ptCount val="1"/>
                <c:pt idx="0">
                  <c:v>SELCO</c:v>
                </c:pt>
              </c:strCache>
            </c:strRef>
          </c:tx>
          <c:spPr>
            <a:solidFill>
              <a:srgbClr val="9DB6E7"/>
            </a:solidFill>
            <a:ln>
              <a:noFill/>
            </a:ln>
            <a:effectLst/>
          </c:spPr>
          <c:invertIfNegative val="0"/>
          <c:cat>
            <c:multiLvlStrRef>
              <c:f>Dashboard!$B$46:$K$47</c:f>
              <c:multiLvlStrCache>
                <c:ptCount val="10"/>
                <c:lvl>
                  <c:pt idx="0">
                    <c:v>Total</c:v>
                  </c:pt>
                  <c:pt idx="1">
                    <c:v>2023</c:v>
                  </c:pt>
                  <c:pt idx="2">
                    <c:v>2024</c:v>
                  </c:pt>
                  <c:pt idx="3">
                    <c:v>2025</c:v>
                  </c:pt>
                  <c:pt idx="4">
                    <c:v>2026</c:v>
                  </c:pt>
                  <c:pt idx="6">
                    <c:v>Total</c:v>
                  </c:pt>
                  <c:pt idx="7">
                    <c:v>2023</c:v>
                  </c:pt>
                  <c:pt idx="8">
                    <c:v>2024</c:v>
                  </c:pt>
                  <c:pt idx="9">
                    <c:v>2025</c:v>
                  </c:pt>
                </c:lvl>
                <c:lvl>
                  <c:pt idx="0">
                    <c:v>Residential</c:v>
                  </c:pt>
                  <c:pt idx="6">
                    <c:v>C&amp;I</c:v>
                  </c:pt>
                </c:lvl>
              </c:multiLvlStrCache>
            </c:multiLvlStrRef>
          </c:cat>
          <c:val>
            <c:numRef>
              <c:f>Dashboard!$B$49:$L$49</c:f>
              <c:numCache>
                <c:formatCode>#,##0.00\ \k\W\p</c:formatCode>
                <c:ptCount val="11"/>
                <c:pt idx="0">
                  <c:v>217.76999999999998</c:v>
                </c:pt>
                <c:pt idx="1">
                  <c:v>93.149999999999991</c:v>
                </c:pt>
                <c:pt idx="2">
                  <c:v>0</c:v>
                </c:pt>
                <c:pt idx="3">
                  <c:v>124.62000000000002</c:v>
                </c:pt>
                <c:pt idx="4">
                  <c:v>0</c:v>
                </c:pt>
                <c:pt idx="6">
                  <c:v>431.32500000000005</c:v>
                </c:pt>
                <c:pt idx="7">
                  <c:v>0</c:v>
                </c:pt>
                <c:pt idx="8">
                  <c:v>413.34500000000003</c:v>
                </c:pt>
                <c:pt idx="9">
                  <c:v>17.98</c:v>
                </c:pt>
                <c:pt idx="10">
                  <c:v>0</c:v>
                </c:pt>
              </c:numCache>
            </c:numRef>
          </c:val>
          <c:extLst>
            <c:ext xmlns:c16="http://schemas.microsoft.com/office/drawing/2014/chart" uri="{C3380CC4-5D6E-409C-BE32-E72D297353CC}">
              <c16:uniqueId val="{00000001-3967-414C-8D5B-199ABB616B57}"/>
            </c:ext>
          </c:extLst>
        </c:ser>
        <c:ser>
          <c:idx val="2"/>
          <c:order val="2"/>
          <c:tx>
            <c:strRef>
              <c:f>Dashboard!$A$50</c:f>
              <c:strCache>
                <c:ptCount val="1"/>
                <c:pt idx="0">
                  <c:v>ATAP</c:v>
                </c:pt>
              </c:strCache>
            </c:strRef>
          </c:tx>
          <c:spPr>
            <a:solidFill>
              <a:schemeClr val="accent3"/>
            </a:solidFill>
            <a:ln>
              <a:noFill/>
            </a:ln>
            <a:effectLst/>
          </c:spPr>
          <c:invertIfNegative val="0"/>
          <c:val>
            <c:numRef>
              <c:f>Dashboard!$B$50:$L$50</c:f>
              <c:numCache>
                <c:formatCode>#,##0.00\ \k\W\p</c:formatCode>
                <c:ptCount val="11"/>
                <c:pt idx="0">
                  <c:v>0</c:v>
                </c:pt>
                <c:pt idx="1">
                  <c:v>0</c:v>
                </c:pt>
                <c:pt idx="2">
                  <c:v>0</c:v>
                </c:pt>
                <c:pt idx="3">
                  <c:v>0</c:v>
                </c:pt>
                <c:pt idx="4">
                  <c:v>0</c:v>
                </c:pt>
                <c:pt idx="6">
                  <c:v>0</c:v>
                </c:pt>
                <c:pt idx="7">
                  <c:v>0</c:v>
                </c:pt>
                <c:pt idx="8">
                  <c:v>0</c:v>
                </c:pt>
                <c:pt idx="9">
                  <c:v>0</c:v>
                </c:pt>
                <c:pt idx="10">
                  <c:v>0</c:v>
                </c:pt>
              </c:numCache>
            </c:numRef>
          </c:val>
          <c:extLst>
            <c:ext xmlns:c16="http://schemas.microsoft.com/office/drawing/2014/chart" uri="{C3380CC4-5D6E-409C-BE32-E72D297353CC}">
              <c16:uniqueId val="{00000001-49F9-4D96-B5B4-51ABB9F8D0A2}"/>
            </c:ext>
          </c:extLst>
        </c:ser>
        <c:dLbls>
          <c:showLegendKey val="0"/>
          <c:showVal val="0"/>
          <c:showCatName val="0"/>
          <c:showSerName val="0"/>
          <c:showPercent val="0"/>
          <c:showBubbleSize val="0"/>
        </c:dLbls>
        <c:gapWidth val="182"/>
        <c:axId val="386061360"/>
        <c:axId val="386069040"/>
      </c:barChart>
      <c:catAx>
        <c:axId val="38606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6069040"/>
        <c:crosses val="autoZero"/>
        <c:auto val="1"/>
        <c:lblAlgn val="ctr"/>
        <c:lblOffset val="100"/>
        <c:noMultiLvlLbl val="0"/>
      </c:catAx>
      <c:valAx>
        <c:axId val="386069040"/>
        <c:scaling>
          <c:orientation val="minMax"/>
        </c:scaling>
        <c:delete val="0"/>
        <c:axPos val="b"/>
        <c:majorGridlines>
          <c:spPr>
            <a:ln w="9525" cap="flat" cmpd="sng" algn="ctr">
              <a:solidFill>
                <a:schemeClr val="tx1">
                  <a:lumMod val="15000"/>
                  <a:lumOff val="85000"/>
                </a:schemeClr>
              </a:solidFill>
              <a:round/>
            </a:ln>
            <a:effectLst/>
          </c:spPr>
        </c:majorGridlines>
        <c:numFmt formatCode="#,##0.00\ \k\W\p"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6061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 Value (RM)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Dashboard!$A$48</c:f>
              <c:strCache>
                <c:ptCount val="1"/>
                <c:pt idx="0">
                  <c:v>NEM</c:v>
                </c:pt>
              </c:strCache>
            </c:strRef>
          </c:tx>
          <c:spPr>
            <a:solidFill>
              <a:schemeClr val="tx2"/>
            </a:solidFill>
            <a:ln>
              <a:noFill/>
            </a:ln>
            <a:effectLst/>
          </c:spPr>
          <c:invertIfNegative val="0"/>
          <c:cat>
            <c:multiLvlStrRef>
              <c:f>Dashboard!$N$46:$W$47</c:f>
              <c:multiLvlStrCache>
                <c:ptCount val="10"/>
                <c:lvl>
                  <c:pt idx="0">
                    <c:v>Total</c:v>
                  </c:pt>
                  <c:pt idx="1">
                    <c:v>2023</c:v>
                  </c:pt>
                  <c:pt idx="2">
                    <c:v>2024</c:v>
                  </c:pt>
                  <c:pt idx="3">
                    <c:v>2025</c:v>
                  </c:pt>
                  <c:pt idx="4">
                    <c:v>2026</c:v>
                  </c:pt>
                  <c:pt idx="6">
                    <c:v>Total</c:v>
                  </c:pt>
                  <c:pt idx="7">
                    <c:v>2023</c:v>
                  </c:pt>
                  <c:pt idx="8">
                    <c:v>2024</c:v>
                  </c:pt>
                  <c:pt idx="9">
                    <c:v>2025</c:v>
                  </c:pt>
                </c:lvl>
                <c:lvl>
                  <c:pt idx="0">
                    <c:v>Residential</c:v>
                  </c:pt>
                  <c:pt idx="6">
                    <c:v>C&amp;I</c:v>
                  </c:pt>
                </c:lvl>
              </c:multiLvlStrCache>
            </c:multiLvlStrRef>
          </c:cat>
          <c:val>
            <c:numRef>
              <c:f>Dashboard!$N$48:$X$48</c:f>
              <c:numCache>
                <c:formatCode>_("RM"* #,##0.00_);_("RM"* \(#,##0.00\);_("RM"* "-"??_);_(@_)</c:formatCode>
                <c:ptCount val="11"/>
                <c:pt idx="0">
                  <c:v>9838567.5999999996</c:v>
                </c:pt>
                <c:pt idx="1">
                  <c:v>751725</c:v>
                </c:pt>
                <c:pt idx="2">
                  <c:v>5036797.2</c:v>
                </c:pt>
                <c:pt idx="3">
                  <c:v>4050045.4</c:v>
                </c:pt>
                <c:pt idx="4">
                  <c:v>0</c:v>
                </c:pt>
                <c:pt idx="6">
                  <c:v>6721700</c:v>
                </c:pt>
                <c:pt idx="7">
                  <c:v>521800</c:v>
                </c:pt>
                <c:pt idx="8">
                  <c:v>3866600</c:v>
                </c:pt>
                <c:pt idx="9">
                  <c:v>2333300</c:v>
                </c:pt>
                <c:pt idx="10">
                  <c:v>0</c:v>
                </c:pt>
              </c:numCache>
            </c:numRef>
          </c:val>
          <c:extLst>
            <c:ext xmlns:c16="http://schemas.microsoft.com/office/drawing/2014/chart" uri="{C3380CC4-5D6E-409C-BE32-E72D297353CC}">
              <c16:uniqueId val="{00000000-80B8-4D4A-85DA-9BC7EB179F86}"/>
            </c:ext>
          </c:extLst>
        </c:ser>
        <c:ser>
          <c:idx val="1"/>
          <c:order val="1"/>
          <c:tx>
            <c:strRef>
              <c:f>Dashboard!$A$49</c:f>
              <c:strCache>
                <c:ptCount val="1"/>
                <c:pt idx="0">
                  <c:v>SELCO</c:v>
                </c:pt>
              </c:strCache>
            </c:strRef>
          </c:tx>
          <c:spPr>
            <a:solidFill>
              <a:srgbClr val="9DB6E7"/>
            </a:solidFill>
            <a:ln>
              <a:noFill/>
            </a:ln>
            <a:effectLst/>
          </c:spPr>
          <c:invertIfNegative val="0"/>
          <c:cat>
            <c:multiLvlStrRef>
              <c:f>Dashboard!$N$46:$W$47</c:f>
              <c:multiLvlStrCache>
                <c:ptCount val="10"/>
                <c:lvl>
                  <c:pt idx="0">
                    <c:v>Total</c:v>
                  </c:pt>
                  <c:pt idx="1">
                    <c:v>2023</c:v>
                  </c:pt>
                  <c:pt idx="2">
                    <c:v>2024</c:v>
                  </c:pt>
                  <c:pt idx="3">
                    <c:v>2025</c:v>
                  </c:pt>
                  <c:pt idx="4">
                    <c:v>2026</c:v>
                  </c:pt>
                  <c:pt idx="6">
                    <c:v>Total</c:v>
                  </c:pt>
                  <c:pt idx="7">
                    <c:v>2023</c:v>
                  </c:pt>
                  <c:pt idx="8">
                    <c:v>2024</c:v>
                  </c:pt>
                  <c:pt idx="9">
                    <c:v>2025</c:v>
                  </c:pt>
                </c:lvl>
                <c:lvl>
                  <c:pt idx="0">
                    <c:v>Residential</c:v>
                  </c:pt>
                  <c:pt idx="6">
                    <c:v>C&amp;I</c:v>
                  </c:pt>
                </c:lvl>
              </c:multiLvlStrCache>
            </c:multiLvlStrRef>
          </c:cat>
          <c:val>
            <c:numRef>
              <c:f>Dashboard!$N$49:$X$49</c:f>
              <c:numCache>
                <c:formatCode>_("RM"* #,##0.00_);_("RM"* \(#,##0.00\);_("RM"* "-"??_);_(@_)</c:formatCode>
                <c:ptCount val="11"/>
                <c:pt idx="0">
                  <c:v>1196300</c:v>
                </c:pt>
                <c:pt idx="1">
                  <c:v>751000</c:v>
                </c:pt>
                <c:pt idx="2">
                  <c:v>0</c:v>
                </c:pt>
                <c:pt idx="3">
                  <c:v>445300</c:v>
                </c:pt>
                <c:pt idx="4">
                  <c:v>0</c:v>
                </c:pt>
                <c:pt idx="6">
                  <c:v>463853.58</c:v>
                </c:pt>
                <c:pt idx="7">
                  <c:v>0</c:v>
                </c:pt>
                <c:pt idx="8">
                  <c:v>400080</c:v>
                </c:pt>
                <c:pt idx="9">
                  <c:v>63773.58</c:v>
                </c:pt>
                <c:pt idx="10">
                  <c:v>0</c:v>
                </c:pt>
              </c:numCache>
            </c:numRef>
          </c:val>
          <c:extLst>
            <c:ext xmlns:c16="http://schemas.microsoft.com/office/drawing/2014/chart" uri="{C3380CC4-5D6E-409C-BE32-E72D297353CC}">
              <c16:uniqueId val="{00000001-80B8-4D4A-85DA-9BC7EB179F86}"/>
            </c:ext>
          </c:extLst>
        </c:ser>
        <c:ser>
          <c:idx val="2"/>
          <c:order val="2"/>
          <c:tx>
            <c:strRef>
              <c:f>Dashboard!$A$50</c:f>
              <c:strCache>
                <c:ptCount val="1"/>
                <c:pt idx="0">
                  <c:v>ATAP</c:v>
                </c:pt>
              </c:strCache>
            </c:strRef>
          </c:tx>
          <c:spPr>
            <a:solidFill>
              <a:schemeClr val="accent3"/>
            </a:solidFill>
            <a:ln>
              <a:noFill/>
            </a:ln>
            <a:effectLst/>
          </c:spPr>
          <c:invertIfNegative val="0"/>
          <c:val>
            <c:numRef>
              <c:f>Dashboard!$N$50:$X$50</c:f>
              <c:numCache>
                <c:formatCode>_("RM"* #,##0.00_);_("RM"* \(#,##0.00\);_("RM"* "-"??_);_(@_)</c:formatCode>
                <c:ptCount val="11"/>
                <c:pt idx="0">
                  <c:v>0</c:v>
                </c:pt>
                <c:pt idx="1">
                  <c:v>0</c:v>
                </c:pt>
                <c:pt idx="2">
                  <c:v>0</c:v>
                </c:pt>
                <c:pt idx="3">
                  <c:v>0</c:v>
                </c:pt>
                <c:pt idx="4">
                  <c:v>0</c:v>
                </c:pt>
                <c:pt idx="6">
                  <c:v>0</c:v>
                </c:pt>
                <c:pt idx="7">
                  <c:v>0</c:v>
                </c:pt>
                <c:pt idx="8">
                  <c:v>0</c:v>
                </c:pt>
                <c:pt idx="9">
                  <c:v>0</c:v>
                </c:pt>
                <c:pt idx="10">
                  <c:v>0</c:v>
                </c:pt>
              </c:numCache>
            </c:numRef>
          </c:val>
          <c:extLst>
            <c:ext xmlns:c16="http://schemas.microsoft.com/office/drawing/2014/chart" uri="{C3380CC4-5D6E-409C-BE32-E72D297353CC}">
              <c16:uniqueId val="{00000000-D66B-4540-BDF6-4D1E6BAD8C04}"/>
            </c:ext>
          </c:extLst>
        </c:ser>
        <c:dLbls>
          <c:showLegendKey val="0"/>
          <c:showVal val="0"/>
          <c:showCatName val="0"/>
          <c:showSerName val="0"/>
          <c:showPercent val="0"/>
          <c:showBubbleSize val="0"/>
        </c:dLbls>
        <c:gapWidth val="182"/>
        <c:axId val="386061360"/>
        <c:axId val="386069040"/>
      </c:barChart>
      <c:catAx>
        <c:axId val="38606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6069040"/>
        <c:crosses val="autoZero"/>
        <c:auto val="1"/>
        <c:lblAlgn val="ctr"/>
        <c:lblOffset val="100"/>
        <c:noMultiLvlLbl val="0"/>
      </c:catAx>
      <c:valAx>
        <c:axId val="386069040"/>
        <c:scaling>
          <c:orientation val="minMax"/>
        </c:scaling>
        <c:delete val="0"/>
        <c:axPos val="b"/>
        <c:majorGridlines>
          <c:spPr>
            <a:ln w="9525" cap="flat" cmpd="sng" algn="ctr">
              <a:solidFill>
                <a:schemeClr val="tx1">
                  <a:lumMod val="15000"/>
                  <a:lumOff val="85000"/>
                </a:schemeClr>
              </a:solidFill>
              <a:round/>
            </a:ln>
            <a:effectLst/>
          </c:spPr>
        </c:majorGridlines>
        <c:numFmt formatCode="_(&quot;RM&quot;* #,##0.00_);_(&quot;RM&quot;* \(#,##0.00\);_(&quot;RM&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6061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[ECN Project Tracker No Formula 2.xlsx]Pivot!PivotTable1</c:name>
    <c:fmtId val="3"/>
  </c:pivotSource>
  <c:chart>
    <c:title>
      <c:tx>
        <c:rich>
          <a:bodyPr rot="0" spcFirstLastPara="1" vertOverflow="ellipsis" vert="horz" wrap="square" anchor="ctr" anchorCtr="1"/>
          <a:lstStyle/>
          <a:p>
            <a:pPr>
              <a:defRPr sz="1560" b="0" i="0" u="none" strike="noStrike" kern="1200" spc="0" baseline="0">
                <a:solidFill>
                  <a:schemeClr val="tx1">
                    <a:lumMod val="65000"/>
                    <a:lumOff val="35000"/>
                  </a:schemeClr>
                </a:solidFill>
                <a:latin typeface="+mn-lt"/>
                <a:ea typeface="+mn-ea"/>
                <a:cs typeface="+mn-cs"/>
              </a:defRPr>
            </a:pPr>
            <a:r>
              <a:rPr lang="en-US"/>
              <a:t>Project Value v Collection</a:t>
            </a:r>
          </a:p>
        </c:rich>
      </c:tx>
      <c:layout>
        <c:manualLayout>
          <c:xMode val="edge"/>
          <c:yMode val="edge"/>
          <c:x val="0.4174883162699351"/>
          <c:y val="2.2130923675146734E-2"/>
        </c:manualLayout>
      </c:layout>
      <c:overlay val="0"/>
      <c:spPr>
        <a:noFill/>
        <a:ln>
          <a:noFill/>
        </a:ln>
        <a:effectLst/>
      </c:spPr>
      <c:txPr>
        <a:bodyPr rot="0" spcFirstLastPara="1" vertOverflow="ellipsis" vert="horz" wrap="square" anchor="ctr" anchorCtr="1"/>
        <a:lstStyle/>
        <a:p>
          <a:pPr>
            <a:defRPr sz="15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Pivot!$H$3:$H$4</c:f>
              <c:strCache>
                <c:ptCount val="1"/>
                <c:pt idx="0">
                  <c:v>Project Value</c:v>
                </c:pt>
              </c:strCache>
            </c:strRef>
          </c:tx>
          <c:spPr>
            <a:solidFill>
              <a:srgbClr val="ED7D31"/>
            </a:solidFill>
            <a:ln>
              <a:noFill/>
            </a:ln>
            <a:effectLst/>
          </c:spPr>
          <c:invertIfNegative val="0"/>
          <c:cat>
            <c:strRef>
              <c:f>Pivot!$G$5:$G$10</c:f>
              <c:strCache>
                <c:ptCount val="5"/>
                <c:pt idx="0">
                  <c:v>Residential (PV System)</c:v>
                </c:pt>
                <c:pt idx="1">
                  <c:v>C&amp;I (PV System)</c:v>
                </c:pt>
                <c:pt idx="2">
                  <c:v>Residential BESS</c:v>
                </c:pt>
                <c:pt idx="3">
                  <c:v>C&amp;I BESS</c:v>
                </c:pt>
                <c:pt idx="4">
                  <c:v>EV Chargers</c:v>
                </c:pt>
              </c:strCache>
            </c:strRef>
          </c:cat>
          <c:val>
            <c:numRef>
              <c:f>Pivot!$H$5:$H$10</c:f>
              <c:numCache>
                <c:formatCode>_("RM"* #,##0.00_);_("RM"* \(#,##0.00\);_("RM"* "-"??_);_(@_)</c:formatCode>
                <c:ptCount val="5"/>
                <c:pt idx="0">
                  <c:v>10314867.600000001</c:v>
                </c:pt>
                <c:pt idx="1">
                  <c:v>7185553.5800000001</c:v>
                </c:pt>
                <c:pt idx="2">
                  <c:v>720000</c:v>
                </c:pt>
                <c:pt idx="3">
                  <c:v>0</c:v>
                </c:pt>
                <c:pt idx="4">
                  <c:v>1430963</c:v>
                </c:pt>
              </c:numCache>
            </c:numRef>
          </c:val>
          <c:extLst>
            <c:ext xmlns:c16="http://schemas.microsoft.com/office/drawing/2014/chart" uri="{C3380CC4-5D6E-409C-BE32-E72D297353CC}">
              <c16:uniqueId val="{00000000-3ACF-44DB-BE3F-EA0CDC91319E}"/>
            </c:ext>
          </c:extLst>
        </c:ser>
        <c:ser>
          <c:idx val="1"/>
          <c:order val="1"/>
          <c:tx>
            <c:strRef>
              <c:f>Pivot!$I$3:$I$4</c:f>
              <c:strCache>
                <c:ptCount val="1"/>
                <c:pt idx="0">
                  <c:v>Revenue</c:v>
                </c:pt>
              </c:strCache>
            </c:strRef>
          </c:tx>
          <c:spPr>
            <a:solidFill>
              <a:schemeClr val="tx2"/>
            </a:solidFill>
            <a:ln>
              <a:noFill/>
            </a:ln>
            <a:effectLst/>
          </c:spPr>
          <c:invertIfNegative val="0"/>
          <c:cat>
            <c:strRef>
              <c:f>Pivot!$G$5:$G$10</c:f>
              <c:strCache>
                <c:ptCount val="5"/>
                <c:pt idx="0">
                  <c:v>Residential (PV System)</c:v>
                </c:pt>
                <c:pt idx="1">
                  <c:v>C&amp;I (PV System)</c:v>
                </c:pt>
                <c:pt idx="2">
                  <c:v>Residential BESS</c:v>
                </c:pt>
                <c:pt idx="3">
                  <c:v>C&amp;I BESS</c:v>
                </c:pt>
                <c:pt idx="4">
                  <c:v>EV Chargers</c:v>
                </c:pt>
              </c:strCache>
            </c:strRef>
          </c:cat>
          <c:val>
            <c:numRef>
              <c:f>Pivot!$I$5:$I$10</c:f>
              <c:numCache>
                <c:formatCode>_("RM"* #,##0.00_);_("RM"* \(#,##0.00\);_("RM"* "-"??_);_(@_)</c:formatCode>
                <c:ptCount val="5"/>
                <c:pt idx="0">
                  <c:v>8802124.6000000015</c:v>
                </c:pt>
                <c:pt idx="1">
                  <c:v>6946746.4100000001</c:v>
                </c:pt>
                <c:pt idx="2">
                  <c:v>720000</c:v>
                </c:pt>
                <c:pt idx="3">
                  <c:v>0</c:v>
                </c:pt>
                <c:pt idx="4">
                  <c:v>957823</c:v>
                </c:pt>
              </c:numCache>
            </c:numRef>
          </c:val>
          <c:extLst>
            <c:ext xmlns:c16="http://schemas.microsoft.com/office/drawing/2014/chart" uri="{C3380CC4-5D6E-409C-BE32-E72D297353CC}">
              <c16:uniqueId val="{00000001-3ACF-44DB-BE3F-EA0CDC91319E}"/>
            </c:ext>
          </c:extLst>
        </c:ser>
        <c:ser>
          <c:idx val="2"/>
          <c:order val="2"/>
          <c:tx>
            <c:strRef>
              <c:f>Pivot!$J$3:$J$4</c:f>
              <c:strCache>
                <c:ptCount val="1"/>
                <c:pt idx="0">
                  <c:v>Collection</c:v>
                </c:pt>
              </c:strCache>
            </c:strRef>
          </c:tx>
          <c:spPr>
            <a:solidFill>
              <a:schemeClr val="tx2">
                <a:lumMod val="10000"/>
                <a:lumOff val="90000"/>
              </a:schemeClr>
            </a:solidFill>
            <a:ln>
              <a:noFill/>
            </a:ln>
            <a:effectLst/>
          </c:spPr>
          <c:invertIfNegative val="0"/>
          <c:cat>
            <c:strRef>
              <c:f>Pivot!$G$5:$G$10</c:f>
              <c:strCache>
                <c:ptCount val="5"/>
                <c:pt idx="0">
                  <c:v>Residential (PV System)</c:v>
                </c:pt>
                <c:pt idx="1">
                  <c:v>C&amp;I (PV System)</c:v>
                </c:pt>
                <c:pt idx="2">
                  <c:v>Residential BESS</c:v>
                </c:pt>
                <c:pt idx="3">
                  <c:v>C&amp;I BESS</c:v>
                </c:pt>
                <c:pt idx="4">
                  <c:v>EV Chargers</c:v>
                </c:pt>
              </c:strCache>
            </c:strRef>
          </c:cat>
          <c:val>
            <c:numRef>
              <c:f>Pivot!$J$5:$J$10</c:f>
              <c:numCache>
                <c:formatCode>_("RM"* #,##0.00_);_("RM"* \(#,##0.00\);_("RM"* "-"??_);_(@_)</c:formatCode>
                <c:ptCount val="5"/>
                <c:pt idx="0">
                  <c:v>8586827.6000000015</c:v>
                </c:pt>
                <c:pt idx="1">
                  <c:v>5420201.4100000001</c:v>
                </c:pt>
                <c:pt idx="2">
                  <c:v>720000</c:v>
                </c:pt>
                <c:pt idx="3">
                  <c:v>0</c:v>
                </c:pt>
                <c:pt idx="4">
                  <c:v>735522.5</c:v>
                </c:pt>
              </c:numCache>
            </c:numRef>
          </c:val>
          <c:extLst>
            <c:ext xmlns:c16="http://schemas.microsoft.com/office/drawing/2014/chart" uri="{C3380CC4-5D6E-409C-BE32-E72D297353CC}">
              <c16:uniqueId val="{00000002-3ACF-44DB-BE3F-EA0CDC91319E}"/>
            </c:ext>
          </c:extLst>
        </c:ser>
        <c:dLbls>
          <c:showLegendKey val="0"/>
          <c:showVal val="0"/>
          <c:showCatName val="0"/>
          <c:showSerName val="0"/>
          <c:showPercent val="0"/>
          <c:showBubbleSize val="0"/>
        </c:dLbls>
        <c:gapWidth val="219"/>
        <c:overlap val="-27"/>
        <c:axId val="465687056"/>
        <c:axId val="465680816"/>
      </c:barChart>
      <c:catAx>
        <c:axId val="46568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465680816"/>
        <c:crosses val="autoZero"/>
        <c:auto val="1"/>
        <c:lblAlgn val="ctr"/>
        <c:lblOffset val="100"/>
        <c:noMultiLvlLbl val="0"/>
      </c:catAx>
      <c:valAx>
        <c:axId val="465680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r>
                  <a:rPr lang="en-US"/>
                  <a:t>RM</a:t>
                </a:r>
              </a:p>
            </c:rich>
          </c:tx>
          <c:overlay val="0"/>
          <c:spPr>
            <a:noFill/>
            <a:ln>
              <a:noFill/>
            </a:ln>
            <a:effectLst/>
          </c:spPr>
          <c:txPr>
            <a:bodyPr rot="-54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title>
        <c:numFmt formatCode="_(&quot;RM&quot;* #,##0.00_);_(&quot;RM&quot;* \(#,##0.00\);_(&quot;RM&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465687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3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[ECN Project Tracker No Formula 2.xlsx]Pivot!PivotTable2</c:name>
    <c:fmtId val="3"/>
  </c:pivotSource>
  <c:chart>
    <c:title>
      <c:layout>
        <c:manualLayout>
          <c:xMode val="edge"/>
          <c:yMode val="edge"/>
          <c:x val="0.3766272557560672"/>
          <c:y val="6.47176062144029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4423391122416204"/>
              <c:y val="3.00176486742914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21115592634713376"/>
              <c:y val="6.308673681192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830209481808158"/>
              <c:y val="-5.70716163380219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4.1896361631753073E-2"/>
              <c:y val="-6.60908671363045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4.1896361631753073E-2"/>
              <c:y val="-6.60908671363045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830209481808158"/>
              <c:y val="-5.70716163380219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1115592634713376"/>
              <c:y val="6.308673681192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4423391122416204"/>
              <c:y val="3.00176486742914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lumMod val="50000"/>
            </a:schemeClr>
          </a:solidFill>
          <a:ln w="19050">
            <a:solidFill>
              <a:schemeClr val="lt1"/>
            </a:solidFill>
          </a:ln>
          <a:effectLst/>
        </c:spPr>
      </c:pivotFmt>
      <c:pivotFmt>
        <c:idx val="13"/>
        <c:spPr>
          <a:solidFill>
            <a:schemeClr val="tx2">
              <a:lumMod val="10000"/>
              <a:lumOff val="90000"/>
            </a:schemeClr>
          </a:solidFill>
          <a:ln w="19050">
            <a:solidFill>
              <a:schemeClr val="lt1"/>
            </a:solidFill>
          </a:ln>
          <a:effectLst/>
        </c:spPr>
      </c:pivotFmt>
      <c:pivotFmt>
        <c:idx val="14"/>
        <c:spPr>
          <a:solidFill>
            <a:srgbClr val="ED7D31"/>
          </a:solidFill>
          <a:ln w="19050">
            <a:solidFill>
              <a:schemeClr val="lt1"/>
            </a:solidFill>
          </a:ln>
          <a:effectLst/>
        </c:spPr>
        <c:dLbl>
          <c:idx val="0"/>
          <c:layout>
            <c:manualLayout>
              <c:x val="-3.2412751622604409E-2"/>
              <c:y val="4.4670242004530944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968054314471944"/>
                  <c:h val="6.4418223883757383E-2"/>
                </c:manualLayout>
              </c15:layout>
            </c:ext>
          </c:extLst>
        </c:dLbl>
      </c:pivotFmt>
      <c:pivotFmt>
        <c:idx val="15"/>
        <c:spPr>
          <a:solidFill>
            <a:schemeClr val="accent2">
              <a:lumMod val="20000"/>
              <a:lumOff val="80000"/>
            </a:schemeClr>
          </a:solidFill>
          <a:ln w="19050">
            <a:solidFill>
              <a:schemeClr val="lt1"/>
            </a:solidFill>
          </a:ln>
          <a:effectLst/>
        </c:spPr>
        <c:dLbl>
          <c:idx val="0"/>
          <c:layout>
            <c:manualLayout>
              <c:x val="-6.467080900996687E-2"/>
              <c:y val="-7.302307728805924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6"/>
        <c:spPr>
          <a:solidFill>
            <a:srgbClr val="FF7C80"/>
          </a:solidFill>
          <a:ln w="19050">
            <a:solidFill>
              <a:schemeClr val="lt1"/>
            </a:solidFill>
          </a:ln>
          <a:effectLst/>
        </c:spPr>
        <c:dLbl>
          <c:idx val="0"/>
          <c:layout>
            <c:manualLayout>
              <c:x val="0.19441256646530994"/>
              <c:y val="-5.767493788362056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Pivot!$N$3:$N$4</c:f>
              <c:strCache>
                <c:ptCount val="1"/>
                <c:pt idx="0">
                  <c:v>System Capacity</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67E0-412A-B027-FA92135CE717}"/>
              </c:ext>
            </c:extLst>
          </c:dPt>
          <c:dPt>
            <c:idx val="1"/>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3-67E0-412A-B027-FA92135CE717}"/>
              </c:ext>
            </c:extLst>
          </c:dPt>
          <c:dPt>
            <c:idx val="2"/>
            <c:bubble3D val="0"/>
            <c:spPr>
              <a:solidFill>
                <a:srgbClr val="ED7D31"/>
              </a:solidFill>
              <a:ln w="19050">
                <a:solidFill>
                  <a:schemeClr val="lt1"/>
                </a:solidFill>
              </a:ln>
              <a:effectLst/>
            </c:spPr>
            <c:extLst>
              <c:ext xmlns:c16="http://schemas.microsoft.com/office/drawing/2014/chart" uri="{C3380CC4-5D6E-409C-BE32-E72D297353CC}">
                <c16:uniqueId val="{00000005-67E0-412A-B027-FA92135CE717}"/>
              </c:ext>
            </c:extLst>
          </c:dPt>
          <c:dPt>
            <c:idx val="3"/>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7-67E0-412A-B027-FA92135CE717}"/>
              </c:ext>
            </c:extLst>
          </c:dPt>
          <c:dPt>
            <c:idx val="4"/>
            <c:bubble3D val="0"/>
            <c:spPr>
              <a:solidFill>
                <a:srgbClr val="FF7C80"/>
              </a:solidFill>
              <a:ln w="19050">
                <a:solidFill>
                  <a:schemeClr val="lt1"/>
                </a:solidFill>
              </a:ln>
              <a:effectLst/>
            </c:spPr>
            <c:extLst>
              <c:ext xmlns:c16="http://schemas.microsoft.com/office/drawing/2014/chart" uri="{C3380CC4-5D6E-409C-BE32-E72D297353CC}">
                <c16:uniqueId val="{00000009-67E0-412A-B027-FA92135CE717}"/>
              </c:ext>
            </c:extLst>
          </c:dPt>
          <c:dLbls>
            <c:dLbl>
              <c:idx val="2"/>
              <c:layout>
                <c:manualLayout>
                  <c:x val="-3.2412751622604409E-2"/>
                  <c:y val="4.4670242004530944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968054314471944"/>
                      <c:h val="6.4418223883757383E-2"/>
                    </c:manualLayout>
                  </c15:layout>
                </c:ext>
                <c:ext xmlns:c16="http://schemas.microsoft.com/office/drawing/2014/chart" uri="{C3380CC4-5D6E-409C-BE32-E72D297353CC}">
                  <c16:uniqueId val="{00000005-67E0-412A-B027-FA92135CE717}"/>
                </c:ext>
              </c:extLst>
            </c:dLbl>
            <c:dLbl>
              <c:idx val="3"/>
              <c:layout>
                <c:manualLayout>
                  <c:x val="-6.467080900996687E-2"/>
                  <c:y val="-7.3023077288059249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7E0-412A-B027-FA92135CE717}"/>
                </c:ext>
              </c:extLst>
            </c:dLbl>
            <c:dLbl>
              <c:idx val="4"/>
              <c:layout>
                <c:manualLayout>
                  <c:x val="0.19441256646530994"/>
                  <c:y val="-5.7674937883620561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7E0-412A-B027-FA92135CE71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Pivot!$M$5:$M$10</c:f>
              <c:strCache>
                <c:ptCount val="5"/>
                <c:pt idx="0">
                  <c:v>Residential (PV System)</c:v>
                </c:pt>
                <c:pt idx="1">
                  <c:v>C&amp;I (PV System)</c:v>
                </c:pt>
                <c:pt idx="2">
                  <c:v>Residential BESS</c:v>
                </c:pt>
                <c:pt idx="3">
                  <c:v>C&amp;I BESS</c:v>
                </c:pt>
                <c:pt idx="4">
                  <c:v>EV Chargers</c:v>
                </c:pt>
              </c:strCache>
            </c:strRef>
          </c:cat>
          <c:val>
            <c:numRef>
              <c:f>Pivot!$N$5:$N$10</c:f>
              <c:numCache>
                <c:formatCode>General</c:formatCode>
                <c:ptCount val="5"/>
                <c:pt idx="0">
                  <c:v>3635.1450000000027</c:v>
                </c:pt>
                <c:pt idx="1">
                  <c:v>3718.0100000000011</c:v>
                </c:pt>
                <c:pt idx="2">
                  <c:v>287.39999999999998</c:v>
                </c:pt>
                <c:pt idx="3">
                  <c:v>0</c:v>
                </c:pt>
                <c:pt idx="4">
                  <c:v>1786</c:v>
                </c:pt>
              </c:numCache>
            </c:numRef>
          </c:val>
          <c:extLst>
            <c:ext xmlns:c16="http://schemas.microsoft.com/office/drawing/2014/chart" uri="{C3380CC4-5D6E-409C-BE32-E72D297353CC}">
              <c16:uniqueId val="{0000000A-67E0-412A-B027-FA92135CE717}"/>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4">
          <cx:pt idx="0">10215558</cx:pt>
          <cx:pt idx="1">16371</cx:pt>
          <cx:pt idx="2">41861</cx:pt>
          <cx:pt idx="3">7594837</cx:pt>
          <cx:pt idx="4">10215561</cx:pt>
          <cx:pt idx="5">22890</cx:pt>
          <cx:pt idx="6">20899</cx:pt>
          <cx:pt idx="7">7594849</cx:pt>
          <cx:pt idx="8">10215559</cx:pt>
          <cx:pt idx="9">10215560</cx:pt>
          <cx:pt idx="10">10215557</cx:pt>
          <cx:pt idx="11">7886181754984202244</cx:pt>
          <cx:pt idx="12">28487</cx:pt>
          <cx:pt idx="13">29882</cx:pt>
        </cx:lvl>
      </cx:strDim>
      <cx:strDim type="cat">
        <cx:f>_xlchart.v6.1</cx:f>
        <cx:nf>_xlchart.v6.0</cx:nf>
      </cx:strDim>
      <cx:numDim type="colorVal">
        <cx:f>_xlchart.v6.3</cx:f>
        <cx:nf>_xlchart.v6.2</cx:nf>
      </cx:numDim>
    </cx:data>
  </cx:chartData>
  <cx:chart>
    <cx:title pos="t" align="ctr" overlay="0">
      <cx:tx>
        <cx:txData>
          <cx:v>Total Sites Across Malaysia</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Total Sites Across Malaysia</a:t>
          </a:r>
        </a:p>
      </cx:txPr>
    </cx:title>
    <cx:plotArea>
      <cx:plotAreaRegion>
        <cx:series layoutId="regionMap" uniqueId="{709A5131-D080-4EC0-91BA-ED3B010A8FF7}">
          <cx:tx>
            <cx:txData>
              <cx:f>_xlchart.v6.2</cx:f>
              <cx:v>Total</cx:v>
            </cx:txData>
          </cx:tx>
          <cx:dataId val="0"/>
          <cx:layoutPr>
            <cx:geography cultureLanguage="en-US" cultureRegion="US" attribution="Powered by Bing">
              <cx:geoCache provider="{E9337A44-BEBE-4D9F-B70C-5C5E7DAFC167}">
                <cx:binary>7HxZc+Q2svVfcfj5o42NIDAxcx9IVlGlpffNfmHIajXBnQRIgsCvv1lt37Gao1LdW89fREd0SKUC
iETmye0k//mw/uOhebzXP61t05l/PKz/+llN0/CPX381D+qxvTe/tOWD7k3/bfrloW9/7b99Kx8e
f/2q723ZFb8ShNmvD+peT4/rz//1T1iteOzT++l+103l5N7Oj9q9ezRzM5kXPz3x4U+P35f54IbH
f/18/7Utu7Q0ky4fpp//+ujw9V8/EySk/PmnX58u8tfHr+5b+ObdfXP/8HD/zHce7830r58xIr+E
UoiIy5BiEv78k3388/f4FxkhKhHFUhBGyM8/db2eFOz5C5MMcylDxERIiIQvmX7+8yPEIoSkZEzi
MIpw+G/JvOkbV/Tdv2Xx188/dXP7pi+7yfzrZ/7zT8Off3U8WiQEl3A6IoSMsKARj+Dzh/t3IHz4
Y/z/iJ9r7QvTZoPI3ythxv1S22tmgq9hWf72RCrP7AXPvN1LciJCxkQksCCbvZpFt3mBYa+ARmnO
ySGyxT4MyeHlbfB/nClCjBK4thBTSUIQ0A9n6qjBSxjqNkNzEK8BrZJGyk9Tg67RmvEyrJK+Wm9Q
7uKRdgenbConF6MwL+NoSoVEH52K0pcf6j/OfnwmSqikiKOIE/rjM/U8j6qFDm3GR/x2wMXetepq
pjp7eRu2FfFmm+PnT66z5IOqox62Qat5KNl4N8zR+5e3ePYkIUVgFYhGgoBpPN3CdUHnZ9a02dSv
1xGJUl2aG8yGMwLD8rlrDBlYRsQ4E4iLHzeqEA+0rYM26xu8H1rj47xgX4OK2Xhk+ks0zSop6u79
3FsS93K4GbT5yJqyiMUwN/tlym2SM1nE7Yi/4JaJN56Jb6KZTYxIdLPIaUhqZ/tkHXoSR2VdpMM0
3raruO21bpIcTWpXTPLez+tNOUbtTtfMXzfc5Amrc7mPeoWvqKzndselHw6VnZrXvQh+J6z+xLBo
U9q3NKW6KDI6qNdjPixxi+v2/YjMehBMXgkneWL6DsedqO3Hag2aOV7KBU8p5u2QqqD9EE5hu7ej
rlLSR8uN4VWbwEqvJu3kb2rRNi2YDPZ1i/2uXstKx25WxWvGsUjzKnBLgmyVCELrq7Ft4x7p6UtU
RSA91VcHNfb+domGOGrH8JZ3KvoyopbFPhRlHBb8sa9CHgvcJTQoWYzUECRwLJDh7Hy6OApGE5nq
k1OdTq2c0b5kRqaiNXw/DXN15aZgb+qFpmvL59gpHC+9TPOeFinW9c1AVIKnqkx9uN6EI1U7avj6
rhUfZiQ+rB1KHZ3eKI1EMkddcK31OJQxN/VDwLpXE6JDlkdvo8bOu1LHRg6xIvzGeJr1JS0yQlW/
a0KHb/MxKOLBizob2npMrKmz2i67EcW6QukiVNpLG+t+zYJg2E3FvGvQgmJT6Ne17e8K91Dq6oZM
mh+4f6cNUu9sNd7IAl0NZPTXyK4D7L8kEfm6kk8zxnuLaMxqntRlOCVNhWLlyW3QBFeND9OJ6jqm
RL+auiDG9rNfmIwFvSuihcR1hdMFd4/T+gpzuD0ZREUMCHO38KiNsbEybid3aMh6hYfJxxz3JJmr
+VZMcr1ZWpDWGs1tXNQ+iE0ezfHadaDpETm4sGLwqzyt5nkpY7y0H1EOek+caG87O0Zx2Y/JiFny
HTd+/dMp/wX/f7qeh35wuizUX1753z/+193/OPt/Hr/29++Pnv3vnz70Lfx78U9OLvTDuvA0fz3e
MWb44Yf/CCCeevf/7Yf/u/gB3D8OQw7O/XQIsX/8+qjvm58+PGpdTr12P/XffrqZIbD46XZuh1k/
DS7+XvB/4gv8S8Qpx0hQKRiNALL/jjA4wYghyhihggCG/hVh0F8IJVxIEUYMQBzW/HeEQX9BhPJI
QkjAJcQhnP5fIgyMjx7hxxgDQgsIVUISSgSIvvHHriLU6cJ3GY6qL0VUt/EslrhYWhubtf1imd2t
i3wnF/q6rtsvg1bvhR/KxDVhnniiDo7RMkNlP8Rl213xZV3TsQpftyhPcz/zuFqGuHJlGdNWvedF
r3emWXcC4ZtiNg/ENFmg/W+dXau402QXukklHM33C+dvSN9+iaLSxrKUOtE+eOdb98b25I5wUsYu
Gl4fV837bogJD1ySq+4qh0elw7IzrgrjoRuLpAzEOwLHq8P8/cTJms7cfzFG/IGNeU9C88245V3L
hqvGhGWsWUvjeQ0TP7DbUPmPbd+/Dgj7w2v/dehkZrUrdgF8Gh8XVrmNEjjWgwZxrf0IJl3XX2bT
XolofqVLums7tqZODMu1czYR00CSoqCvjUIsUTrIdz2AaTCZh6Yu994EKh7ncI0HZa6jXHxd4ZTl
2l8d/18K8a2w0wHhut/5fn5X0OAh6PDNQqPrQZdf+3b8TfH5PVlpFyupAYirOm7DtYhp3eY3TIlX
WE0qnkq3132QGdXRWOrl1f8HlKcJyUM/d+DD3z0WZd/9YP/HKP00lhzTEWfKH/IRfPzKX2iB5S8k
whSSCBaC/TOIEf9ECyl/4QzxCEVHNIF84G+0iH6hkGhghCBToBJjDPHrX/kI+kVAjI6l5IBzBL4c
kv8LXJAfQ9iAYAbx3hGRfgz3uiVSja9zegimvrxynYvGOA+C9l3kZnszSQd20zESfObrMqStLlwV
h8NYH3wh8NvVB/01jSZ9G1RUHBo7Qpjf0nbNY0hIyV0+YHE/zMYeFGp9tctF2yUOa+ZjZsupPNhI
rWdC2CO6PgG+v4+CfjyKbI2EJGhmh6FxJoxdJYZHE+F8ifMwYOsOEj5aJrzkwZzW1IS3hR5GkuQC
qzpd1Tw89mUpPvmWj3M8j2sl4qqa8iLuJGnu8jYkv9lAiFdydeJ3uOsmUyXteEKHtb0X3pcmXRew
UmcnsZ8jFHyeF8FuPeQG10806y+f/jR9/BHa/31CsUkCrJ0M8mEVHmolmyhmwk8PhHUtSqqKBH9U
tG8+h95HfawLKVzc5kNk45f3/jER+XvvTV6wht00WtH7A6U+eCMZwr+N0uRflnUEZHx5jx9zkL/3
2KSqeTCsITfWg3LR9SGirvuj1AF6H7lQ3ci+XJs/o6MfgqOngiRH9f7bSf690/EJnmRsXRXRsloY
PZQgvW8RVeKdzjX6OGkiTOKWyF0N1UzblCMbvG1WGb2u5Zr3cagL9FHIEX3Eyyz+sItarsRYDyoW
E5NVogcCAWCAjNuxXuCvOCjtbb42dX9GRicMVmzceo+UYkW5TJkvw6yT/pphdPOy+E8tffz9E6HM
2mqSOz9lzkZxAQ4X18MZzT21NADZ06XrSXfM2nnKcjK+xhDEo7m4UCDkx6WlGmml6AhPbeq0dSOk
fwDS/wbyZ8zt1ENvsDFirjCKw8p1U+6V97Hr9O6ypbdYxRvGWNtPGQnQDsLCpEFzetHS0QYkarIS
Hwk7ZWGN9rWrdqJyZ8zmhECiDQa0XVu2koYmkyN9q0j1qHN2mUCijembQUy+69WU9UL+0TdVWvDx
7mWBnECuaGvrqxWsoke1DpyMeecjFrekMR/WsSu+vbzHKclsrHKdoaaat7DHpBav4pCN8p5K2154
p8dtn1hmUy2Qj0rQxBYqF7Fe9RLbEfcXXuvGODspGobresqGqki8sLtJj9llctkYp2lYa5ZhmDKz
orQoijr2bHx/2dob8zTcatys1ZRFxLxvhzCt0LK/bOmNeYqu7+zSlVNG1yjtUZGYQJ8R9lGhn/E8
fGOePigXaqYWQKW27nPe1vgq17X81CyLv46KsHpXyH65vegc22KerlxfKw9WZVudeFykpfurwHDS
hZ7Q+G0Jm83YFqQoQEQIIiTLMqzKy7Sdbwx2AQMlg9QmU3UXC17FUJK7TB4bM22HnJFSG5NBjfXT
hJYvnJPXLy99fLjn7nVjok6xPIIM0GSRqsI9ZWEdT33eHUpZjkkU1cHVy/uckvvGWCsCdUrR54DB
zjUJz0PI66NgPaOdp1bf2KvqLG+heAt+aVQfeP5ou+DNZc+9sdZcFsI7Ik02Eu3iPF8/t4ubL4sB
+MZeh65s2nECoTSEJ0M1ZA2LLoOCcGOvSpadwsNoMh0iHZcDk2m5+OIyeYcbj4pnRZ2MuMm4Fzf1
sGZNIC+TSbjxqGtPQQmbo6KE0ZRw3l/rfjqXDZzQk3BjosrOjev7CQwJSq+Cz6kr5sui0HBjo6ZQ
hV2W2WQhbj/Jkf0x5PWF0t7Y6GhC0vl1NRkJ+7gWItHEphepd7gxy3Hue5Z3cJF1EOwG8ptw/EIF
3Jhk34SdUgYwS3T0wJGA8te7M8981LJnMCvc2GTQCrp2Peg2FJlo2oscAiOIcxNrVfMWOSpvDVej
TMplhEJ4rSr2GpuxuoqmAkHV3S31HHe4CL/MYhW/qZajuGk5TWuJozd91OYKivBDdK9yF7wra8mv
gpVXH5Hpp0SWJm7CekxXLJeDp1OQFiEN93qsm2xeRnU1qNKiuES4/aoJa6Gd4dyVJZFL18C3SUBD
JmJqe37AppofyyYUXWyFmau4Gkj0YeVdv8tlg94FjvdTjEQwvSPTXE2x6bm9LMIJN9CDltppuYCz
moowyZsuNZpfpq5sAz2mxa2mOVjCIMW7vEfvUE4uXHqDO9TbgNujuubloSZNyvvmMkNgG9jhTZFP
A4KV/eCHOCznP1SELpM126AOHvqW11FjsqruJPRjahPLfH5/xhqeNwa2wZ1o6lZvECQ3tM9velZe
9yS/zGcfa39Pw3c/zLlpuw50ZLZrYpio0hrXxe6yB99Aj/Kd6GYFVhx5squ4u/HQKr1s6Q32GPBK
Eup+cJkzTXiAE1Ksl8Ea22CPovVa9w0x2VyI3bry1DbnnBM+2t4zuMY2NhkschmhlW6yVTp1n3vo
7krmWKp8Lj80gAUsnrxYXuGmMtdtBdkURfl4mczoxmpXoys/LxXgtcL2BlEvdoGjzWXekW4MtzJD
xyKob0LYLdNwvbXDhYZLN4YLPle5fsJwIaa56n2XyIJedtd0Y7flbOuwa0GNMCs/oA43cVnaCwWy
Mdu8RfXc1ODTMQtelyXKWtNfBmV0Y7a143qt8t5kHdFvmn7ZBRp8y0WWRTdG25pV4/D42OsyxmNx
jcfHyxbemKyIsPdTaEEeck0n0sb+bAn4eO5nzIpuTHZYui43Myxtqrux0AkdzRkIOyrCcytvDBbj
ILCg2NOB5tGym7gI0tCZdq8iur4eaFNclg9vWTQcYR8C9eJom4bGdb68FZU/d6X4KOJnTvG9MfGk
SkOCDhgwYwG26T3f1dHqd1BbyaG+V7YxGqY2IYND17rT0fW6rHo/h6yJXcjRNyZHfpmz2fK9hpWy
1tH2u0HcKdQ1cV6ePeMJFSBbS6bDYHsEnsw3/M3aTm8GrM4k0Ef+3bPi21hyUc8a2HngxyZbtyqG
ImDzql8VSQJe5/sSumco9nwYdwM/do7sUu/GdQgOojTy/cgX/ZsreXc9DtKkEnH5JgpcCLEsiGIs
1jFBtIHWKivIbR+E9qaNdH6RMf/JqXpy8b4LbNXNi87w0KLr0OM8DaU5R2Z7Xub4SEp8Gj1oB7Sb
Ws9jxgOIMJc6CS06A8zHJf5TY7HcIBy2M5FuEGOGgl68Z6uZrlXH6f1YLEF6ER59bzw+kY0TFQES
F9zqCGEmhPrxfLEybjC06atmhkYY2Nskdk7+Dm2Aiy6UfFfRpw9dqnriITisdqJrvLhKxWSaztSj
n79P8r0n9WRxXAQghqiGVNHwO+S790zMFyb9ZAOkjKGGCg72qV1TQUuqy7jhXy+6ye+EkyfP3RQj
qZgDawIXcL3kdkpatarLJI43cQ0LVTiG67Ac9Nj3H6Z1IUkJvbczmPh9mf9UdII3wc3oZFtBP24+
jHJmO9HULl7m4DcnkNwbMpfXeIUaWl7V6GZuiXld0rBPUC9RMpPO3UB/aT4AXU5c4RX4LQu1JO1y
DjS7iuLL4sbv/Non4oU82YoxdPPBDZoC70bViQOHdUa+x4M+J4ANiOTa5pwPnmTOR+v1osP2UAXT
8HoCwmEaFKT3scQT2b2sKqd22+BKS4YaSDqIZFqa+ZWVhN/KtWR3Dgtzpzg9tkhttP5JTfm/lqKP
LImnAOlUOQS6gv4Fi3pxTeZFpnMON/TyWZ7HSCBb/Lh6Dg1XvgDn+dDIZshGNKFDsSCdukXZP17e
4gQi4E1gpZAOTLcInGkfjvHU1l/LpbsMbb7nSE/UKrR8bgIFaW2o3LeiHL7kfX1ZUxdtMp1gWORQ
dpDCBc1eoEfiLhMH2mBBKF0PvVEButq1v0MEWL8S5SAukwfaIMHkp7VzZqZZB5Y7TZ2NI+XOZZ4n
LhJtw6PWhtCgg+ys7YcbKHnHphLZRTqCNgZc+U4PS6iAqNNNRAEPOAreL2V4YaMObSxWkjXnk/Og
JgV5ZSGpSsfB8TMmhE/JZWOhupnyIUAVzWgjq0PEIdkWYi52c0/wdd2wEeqOU/lQQVT8fhx5mXVa
BDeyG4L9am2wMzbKr8FV5udi9VMPtDFqalBXWNnQbCqBKsQXUwHhYTq8fFUnEANtzLloCXgOUpmD
0r1WsSqW+W00e/RJsLL5+PIeJxAWbRw9Ldp+WQOpDx1BTTaGY/PuGN++Y9TZHVt4AfQTot+/vNnz
0gLS2Y8QGGLXUTkVNANC6cfK2yyf6jNLP5/5wdjBj0t3azhCI5eTDCxcZgMHljRB1Svsy2LXCUDy
y06wsXpKfKgbw0jWUPYNhe0VtBYvQkEsN7qdk8m7cVI6k2LpD2gd/c7iqI5ffvDvBYH/dNxYbjS1
ZrbxpPZj1q+Uh7fVwgPgrTZNIlQAfCRVEf1J5iV9AylfeRssXhRxJTGNfcHoG+2jpovDxru7ZXXm
G87nbu/yQr+aVYtegw/u9lA7bA8CoqFKSbVvxZAn0JoegTo/qWI/s07tPXf0dq4id9dx2e9Zu/af
TehUUgHz4TOqMdpHsubjmUOf0reNAQ1hG4yuKnQ2dqbMiKxvckUuY5pgubGcToelV2odM6CbVLFV
JY9JHp1r73+PKJ+5ry1Hb7ZSCadVf4BeML+ugRG6q9hY3zjdqKxxDQCCVLjzMOXhcx8Ln5O3QdH5
nelGc5P3ReBTAqFldwt00DwmimKTSN91+4p36DImD94WuytWlisN0ZQFKFpupTpyF43zZ3zV8wCI
t/VuZr2xAaptNuIAZ7Neul3TkX7fL/ocVfCEihxJs09jPm8b4ipfjtkIWwHxnNo4NIO+TAHFBi6m
shoscKlJRseqfKcCOd/goD5XhXoeu7HYRAlKYDMFbUGyqJQr8MIH+kYZgHI+5vIt8Cmjj3Q13eeX
AeTEXWz5ggzq4HKx0h8aUKrPi6T2pnHj+gYBx/LMdR9l/pzKH+/oSYiJ+lINZYP9oaoDdjPZiH1q
yVp9MIg1h8GukJwvRCcKF1Xy8qFOSXCDuVHVkmUqMToY7esqHmtrYOBsHejuyEm9dm3vP9AIOAzn
9OEIDs8dcYPC1WyQnBfuD2G49EBf6DSLhUXlYbSLrFJoJ+Y73JDiuqTQApwXFCXDvOTJALOgWcs8
u4nqqd+VMm/S3jYdCKN6tOOgVNyUS7tDddv+VliYSOsDP72CybDR7hEz5nYt1fqJ5Za/JouJbGLa
Rr+ROi9ewyRgk+i8EXsIruo7NxWdib3O86Rw3CZ8ClAiXbHuVFn+Ps1Bn1I7h3dVA0N0L1/DibQa
iw1Q94HKEQPi0qERYH2Jl3XxTQc+RDFrVfA7WFFx6DRGqS1n8shoXd5x66f3apD1p8Dy4Y2CelPM
czYldrVuV7JCBkleK/Vtmtv13PWduL0N5FdDD+kVh9SaH5NfaH7edS0uzkR7JyKYLd9SIegMCCAD
H+axcHd0PQ6TUTb9PrAOSr+kDi8LYbbkS+0WFFT5Oh/sqps0GnMYPYF6z5mrPIGnW/5lOFW9mddm
PhSYOR3n1JcNkJ1ddRlGbEmYltRE9rOZDz0OiItXw9CradD1W+X8mjQ97Xerlw5KSsSdCyOO4ekz
Rnsc0HqKS4Od6Fh083zogqj+g2J1HCbqRZ2sfSHTtm3kQ20sqpNghAEa1w3FcJnCRRtEzIFeCqNL
yB0GJH9fR34XzKM7s/b3qsBzx9qAn2zbcV0LNR+UafM5kahabqZ8bB7YMLf7oi1mmINCMk+RgM57
3fLwzk+DvZ+mHEgWL1v+KXXZ4KGEsJSJEnUZWOqXBSAqhbbedO6Ex1WeO+EGVmQuFlqM0XSwI4XC
Lq1vqqjQJB0Ehk6KNqy54rrUN/lS6RR6XV0a0h5IXzBsWcfLONkzbuZUMBdtgAMiXqXmBndZ207B
DuYP8JXQo4OwG7gkqYM5mKuur4Ydgh757RqqPF6o6/dG9SSD8YAmbW0B46ABPCY0/ae0NcrGTeSK
M83PE859SyalQDrshtJ2WSF0ERd0qtMucCa2pGFnbvp7Fe2Zy9hySCcDY22uK5eDzSHWF7khU9p0
IQgh7MYQGiqLuKYOeB6VE27d2aWCFEMtyu96o+BS5oW+1yswhM5NQJwygC31tKkHGxoF3cJlLP2j
5lJ9gjkqXMWzXm3Kiv6dgspRWjdgHR2pBpiQs22o4yAv0bkJkhMxz5aj2pkaqjFauQOMdWNr9nXu
Eja4VER/kCnK7NSdaVmeCHX4BsTMkpvVUYavYKY4Q36e981QowNWvEh6r8pd1JfFGZA+pU4b2Cp8
pPggDL4itZv2o/D2uvEBeO95Ws6o0wlvCUOuP2Cy9y3U35hGVythOCly7OOJiE9tCEwM6JDmu4vw
6TgG/BT6fQSVl8n3bVY5mkTrnAzFOfw9AX18A05Ro1ceLLD0UgapxIdVXJiUbVmsYp6d9pY1GRO9
PoxmrdNFenoGzE4o0pbICkzhsV1K12QCk8HGNT+OkJVas1dQkHdXRSOR3LXR8PXlGziFG1tqq2J6
oG01Nhl0n3kG7yKIvuar1Z84h8hlreo8k8g0SWlL4IPAX+pDs9Iq431o0kW1ZR7XcjyHGSc0e0uG
9UyLIuTaZgE7vm7EA0o06Zqf63ecYBzhLR/WGtd6lcPIM0I02Ct7DLup0IuM17bQZTKs5QAvRuny
NwFk8fV+mPTyTY2hPdc9OjHICaPvP2p844BEAQVTmzW2TzvS4Hh2S2wiBNG120n+uimanR6719S6
A5Akd9C62svaA9EiT0lUfINyaKKr4GZCu2gsIGGH8c/c3MHYaEoqfh2O9ZkK/ClF3KAMDXnRwJsT
mmzBIUrrEPcwq1mGHfS1yyH2yLtXghdnm/On3MWWmlsiutSD100mWSNMOoczeiCW9g+BLybIIGHY
IMknGT6EMvJfscU4hxHtajXXeDH6DIx/p18840ZhXPcHRGoEU22FwiVznIQkDkVRXTdNV6X5ElZ/
QNpTZBzeP3EAvl3q5Zx2kc+shO6zgkH3q6iehy6dGrPGASPVbrRWx3wuXRGzohr3HR3oxyiUxwk4
SEXrdc5h2FwO46cpWPP3lUNQC0Qrfgz7aR3PYPkJH8g2WK5Bn8WaKyjzwKuMXlftEO3pPAKv13gP
bzeZ5/AasbxNGm7tmVbfCTtmGykGgaHDxAMYaPFiAN4UxyZeYDL1pujK8d3LyHVijy0reuiLPoBX
bczZyCA1iSDg21V9xVLszHT18hYnvOCWNDzCSwe4ntAM7yVaylSFZD74sKlvo1WhV4EYyjMgfDSp
Z5RuyyBulhB1da7mrC7C+8mx4rdyHcXHiw7BjmrxpOxT+6kaqI6WDLW0vC6mzo9xGPVzBoNTzRtm
3HTm0k+d4ggkTzZa29xQBd3XTEZmz0WYmrravXyGU0sfL+jJ0rJrtc+ros1KxNN6AS8YnnG3J654
y28FFO7WOsinrPFRfuWbJrwrw75AMVrD4KpuI36utX/K+WzprgYXeWFmGAnWi4EX0tBg9rupK9cb
BnnJzuU6Sueuv4IexbUYPis/XliS2FJd81DiXEbHV36VKzqUrjNXXWj8ZXezpbrmzJoR6jUdXPv4
yo/NfYXc/UXXvuW6dkFYct4tXWYLQ8Fjruh6rvS5CzmhVFu6azEOPe9lAMlxiIdENyUDcrP6/PKj
n0Anevz9E43tK5TbUkHKVxZLdOdZiZLCsPD9WFP8+8tb8O+53TO4sWW+RoGFUJxD3lvhFvojnlbw
3qq+xG4/VLw+KImLT3lT1ztk4XVQAx6qm7qYx3gmMKiRYjvZz/DmiDkuP9LrKoKiJA1e9/Vcxn2u
+t+RqKd9VMuWxF09weuY4G0r+8ai6bHyyr9qcwtRdTSX92hwcj9yROvYYOkfYdgCWl5lBQqxo5CG
dzGD8XoU02YO0jEMlq+Vq9Y9o+HyuVZ0fUuKIIAyKqlSoypzNencVfBKl3GMVaBoVsykfj+bCFyJ
afyVgcqdGT/nLkfxuvw3cefWHKmPZftPpAgEEqBXIO/O9N1V5RfC5XIhIRBI3ASf/ix3x5lLx5w5
MU/z+u/qqrQTpL3XWvu3F3mfejdB6zXrmumRq6NldqYZZMvtZjZG8UC+zNsaNBltQ1jTYLe5H0pM
aspouerL5Ijrs4XXQYAmpyJHCfn3htbB5OUU69em68ob2Rr/bALQqNTMmMmmYGU7ieAuyFPLHDyH
gPUUKTKNr7Cs5UF0NcHP2urgIQ7DeNl1ktX3razqKwcA41gOQxllZBAm/26JU3iRwF2A6jGEl81x
N2S8I9FRLFt5QlOeFMJodaxq6dccdML1q9EyPKu2YV0uJJl4FtRqSfN5bUX8yK1os8WPLSyXzdiH
Zl3ZZznR+tIG37Vki1GHq19YV+XazvKVR21Tg5GGtxg2eBjjSg1CXsQNIXVGZCv6PKWAhdSDFT9J
0sSXqWYyN34iecj50mc6TMMwG9pk3Amuo2JaZHeE1KSL1EbLS02tNnvPe8jvLeajuILXYTGmZ+yF
uQaYMrE0foaH2PcmU6bcoqwE+EwXfJpUu69l1y0v00iBtyMpwxEwUI/MdMqCLo/ksL58G4RPIXTC
5LIME10fE/wgXyDBpR9tNaJgNQnhJ/SE861JAol/FWyRA5FzQ3cc+ZI6mxN0upMnlc0ryR3NbaIp
LVKIWe+NrpoGKLemfyWW8GtKN3Y0a9y/bH4I8hlsp5z6ucv7dA5kBiE73iNKj3hsHE8jOyxoGD9o
WA42m+sVPMXWLXHRbaM1WeOSuMmTzQQ85yoFfswNgLjNeCdaWAYtP6beDjk6fHoZt8jNURb2Ffe5
Gl17t2BOKu96jy7B9VC+CuXBDPzbh62R0CH6KYu99vIot1UX5cCmYz9GYP/VlXF7QWg1w3eefa3A
PFLzfm0Ckw/10u/7OPW3emrUMRZWFr2exL6N/XIep2hNTwwOdlo0llDw7+aa9BltUnWveJBcBbNR
1ot4yCJBhipfO/U9YyTm5ui5aC6T9Fu/LzUdVO6cVp8qGEt3Mz0mqu99TebfqvIgYiX1YMbdkurP
BsO658aCOXXt1tm4SxhTG7wNo/gbtLVsC4NbAlycufSyGAIV3/turY9kWcMvC9DNvWNxfc/DsM4X
Hrcu69Zqa7M5JCvN6klZ2JKYJH+rR+3AhertIz6++wPa0zgDyNkOzwsRzQsHdOtg4hRYxLEFsmHE
Y9AikLfSU1fHzbfLZM988s5m6FxsljCGv3lToILh8fLyriKg94R2pS+w79P7rp+HXdWu/mlmaHeg
SurkERFLl1eqCknRCA3wXheLez5JOLSD7YvBenduqHJ5oiaL+i2xV4xKN4Xxfn5Wjsp8YVvwCCEz
2SloXxnriZkyMpO4AO8QmiwCuUfMHth7Qbz8CmxD9mnq4q+G8eQTmRGUWZVsf9MuwRkQKFZnmNc1
+Swj9Ju0ne+t6di+BEusLVRT4exPdIpJzWqbd4b07uxoZ3b40v1FLL1+DNhidnHq+r0LElEjSs+o
z3TrbhHknoQDspiJRPd3C2IlcWOAkqxPaY3WCxPrJtqZbQvCbNJzeedYOv8Rs3TF1DU4tC2viqUq
AyDPGNh/Y1RX4KWlncTZyuO8Cvx8PwRuOoZdb567OgpR/OLkHzPpWbTv6q71eY+RmkMQj02Eo2DT
P1KwZl8sELsWH6sLQHRMJc+qTZpX2Y8GliFOxExVpXwYG4xHZchi1zu8UGsBoIzbbcOmbt57W2UQ
/ZJXviTu7zxDzoDLi6go2Up2GuOeZyFXuOQQqCfPzDboMUreJB/hNAAetg5EnzpttnyLibhakUZ3
3dirtzFtPS6tmdh8ipfuNXBlf07XlPdFEG4DjsWpZT7vutA22TQheYTTslE8myopH3io466YVE2W
nEviH5hcYFEBMNkAnLa2+6TSLDdLONzAvk2ugcMnlh5XZ141zFw33eNCr/kAqu4WYX6ipOLBUzKf
JCBRPUixaY0KANg1Inp3HaAjZAyjVj5zc29MbmygDySu03ekV5AYSbj7XFOmr+AU+J+qqqczmXT1
IcoyOghR0xe7rfNu4dWSYoywxixDYscq2+ol/ApcUp3XUIZfkoHQxlBXPI1LrArWWFaIJuwg48/R
wcdJP+6btDOvsNDcIS7H6FhqYveso+nBmDq9OAFtPk0GXNteRfmI4g36QhNkNGy65dZZY9NHITY+
F6xjeDZiqUVzTGOugavS6UL+xAjQFV5UfjzU37mvjHGXFgq12KOvhH6N0rL/8Mh6Xio5jwCdbusr
jtRwxGVHjS96IVqb4VzE8dso/SC7L80je2xn3D5zMIyZGMP6rh6jsYhIVZsiEVV8p71fIkyulP45
1tJFORtwuDeO2bOyzfK4hr7Zh7Wsyp2pfPo1UR3tpiAu0/NSL+3FdKjJMhxSQPU51U0wux2L+lyA
2PEITh3VsO7j4F7XQfeb9AP5OQ42eRqHpNtTH8YnNxAMCBsSXqYSc/LZolbYdYg+ujcGvlcKjU2g
xIqoX99BYoInsQmf6NxxM7/Xoah2PpG6QZlZ2xhUwai3OThSHJUAsw9Vs45g9M0TP7herJiCdvYS
LOV6VE7rew/F1OwrxshhCwHFzRbY2T3wraU/TEmsz7Gb36YujYpvt3SGxpd0d4YndZSp0fDfAUUW
D5OFHfszVraK8rocOM0476Z9QNEJKrqkV4Jq/rVlGKmagtC8Wkbaae9YRfq9tgBKVWWiMjWt4AJY
iZHmzJe9ktnQI7+R9WmPcethAGMs90x1YSGnsk7PPuZR/WdCtb1HfQWRqWs6clli0vIMHIN6zToM
djdZzTawWkknDgPeri4Po7oGYphEIo8Zo+1uErTekART8poI5w81bBc8oLU0cyaimZ8R4DOfhDtI
aHFPfqvIE1lUjUQlS0g5X4F9IgWRiZ5zFJ7fsEhCbd4CeVK0PG2GXYPI2pCpskEjg4E4u+B240MM
b1vOO8z6Ipk5yoa+Vhvjf6oeUDYxpuN3XNMuDzFQmq+1XcO2GH2H2sajVN86FmDEG+rqma04y7cR
qEvmEfpLmgQi6DjH5i4kNPoRrONUJDjrkEYfg6vFN5tm4A8LkN901ABUzBYMhxpkl/Jp1jrZV+C1
wk5K2+oo2oXem0bqw7Sl+yod9FfjFntYVl/eUH/iTXL1tON6/QL1z4snBLBjdoz6wUXHvhrij7Wc
+ilfe0/Dw1izoAU9jNg037aa4tcXKH2rVQ96cQSTesEryZNgLw2m6ju03kfhMUImiamQMFH9ALbn
wLYQ1Zqk5Oansa1uVUNzw0Gx2q2on5adEJYjzYfp5nE/TOMlbBPrQPKdt0+wVDe7/+8bSBr9Q1z9
rzrIf9EGUz+GFi+JPK6W4Adbt665GLi3N+XUtFc0WXfTGE5nHsr0fVrqIcptN80nWBHjPpIKPc+A
1z5JNh/k1g79gQzfk/2UT/AIGtl2ma0p6oQ18TO6jbWq8bTqNXF7upHmil/IEhxDUsZtHpUVPEA9
0vkOA3ojyZKmaeE5RIAphCUwFnsE5OsHpbv+tyZReRX9wkhGug6FghwY0ehbQ+SMonGbXsLO6DdZ
+koXDUld0eEGeO8HLyYk0LblZLRtkZBM2c+yZcEjXrzpzgzoDTKVIgI0Ur/gJZzD9G7ysd6AQ4RM
lHOcomDIrfFan+WyERzuVONijCEF6zpqHhEgEK+Ni5cXghPmZYlLeUxIsi07mzLEQRPgVeqClhwP
VxLbUxs6eYXh/12B9q2N82WT+B3r7z/bQcz/aeM+MnnnW//XNVz8BelxKTPM9cV3oWJJci0xU3Hp
Fjq8Y0AmXHMlOgaOcbg+TTLE4VNZFLQZYPq+3EVbN39E9RYem04Fvxw8nZ+CI1HtliSU+15p8+rd
QN/DOUTPqhK1j3hp7xkOOlXMGiNQ3yfDohGOtCpDqOnsbMqrzA4b0No6Hpc3k3biceTR+oYW+a1c
MKdcgGurP4Wd+cmmY/TaphO71cPaFJuKVnyFTdcMqMlZDMve9eXLssa8Aqm1slcPNDRcEF5SjAAA
z41id2EnW4moyUNkN5qs23qosW0wXtKO+ucgjlzhMct2bdCjDJnktOb5aNHmFx2LvtWNOfAqa3UV
B/tFzOaCiBgMFhQFv/go6x9gPdc0C8o4eS+baIzyFUrIH4gCHbphBbHuBDEfSZhWNOQtISNvMnxp
CRK7ffDd8rGUgYXNZn2IILyuxTQF5SsZQ9RIAPdNtxnm2ZKtFksMcgNmCNrlLqArzsK6nRAIi/zP
MuDNo1WaXrqmdWev8ccyL7i9J5jSuUwpRe8eqgHc9aSd2LsFrVgjNZP0gLVXpLrJkWh897UvL3yz
5lQSzh4i5jXPnZ4XhPHA9bxHiMc9jw2hR0dDf1fRKLkHr0u9IiWcTrhQOrxgPaHraalJsh9Yoh6d
Qm1YzOhufwHM1tySGCxPjdoPwgWQvslSd89BvZR5OK/Ne2KiyWVAfpkXjFz0O9BVXTHGKpoyh+Qb
oFHwBhSmGIa6zNqlYwCfk6p/TJFC/MQ4T3mBEa3qwpVmuBOons/zaluUpn1zdEOy5vDA009RivKF
236EGtBvYjfJNTpplVKa676lL35i0/1I1faGI9VlCSCgPwEdSH7idh7ewohttvj2Ex6EIeUAr2YJ
b0TUBq28DPpvJP42FnMi2JGgmwt3E65dgdFXI3+3wWT3K+V2j5OcLgVY+iHJ2sqEf6NqmN+QMeRR
YS1N3zxDgCkfegwcA/M6/+Z1w0nmYLbv2qFeQZ9P7PrDJ4RUCFhBoiGSiR9is/4rtRQN/oyiLd/W
it7GcARIPZiHDLhmTI43cTqb/Qh3McKFjVY/8aV4VUzxTzGNzQXIllgB5mLNSxdq9tpFWAJQMe9u
ST+JZ9bPCz7JosRvPvCucC5VZ7eNyR7DfSiB65RB6HKmKb94oO0GQNky7jskypvTXONO3fUckOUM
bmT8hDlMlApA4fm/XpL42NNhQq+g2c5CAr8S7Rqw/FXiinAd1RuD0l7vcAyudwSwrBK1ZgRxpKwb
jNyPkbLoKcg0kMx2occtGPR+ROPXAh8PNtvi9si7p9daBkoderRew26GUvDqhA+PtfyuQbSLIiD+
DVotXn4z+VHM1XdhRbev0TL+pgfLIfQYoTKh6+GZDS1OOLnRFX+Ulv5VtqS6Dnbcrp6VGDJNfLOe
5qgFThT+yYqhU9QeBX5F/T0EG3UXLjGvMzB0kr6I57iJd2CgRC9t43HBLa3yuKn42NKiXroK0Au4
rPibEAEDVnve9qqT5RnjSeZ3MgGQTwMTuAsOw1WiYo0jiv0Aa3VYtem6XA9VdEwNGZ+N1V0H0nSd
HpdY+A1p9C560IxteyRq2L0xSXtqeqD5s66TQZwFq6M/uxAZmAzUE+hZWqzYjtCQHHMJ5THBkPwp
klH4NPda3xnVDeDrBe1Jt6uBvyPV3bYu8XGVZb+PjW6QGw/0aZ1ZcHFT0N+7OaBHOfa9hpjJko/G
wvbGO9CsO6gAKwIHI4K0Y2rR3Put2VA/dB2OmxQRdDWhZqiUSM4bC9N8IcwVbjFQQ6zZnim2P7x6
uuHS1DwtszVW8r2OJyDJ+YQHeZrCqrsHOBrygpzaAEPlMVX7IbKpOgGUYm641DDcSFHfQICDM1vv
uPRCZqVrwo9YjO3ZBik7g6c0nZMJc1CebVWTQ0KPfpoUf0FXkg1tDCrZgtuEsxxfmm/3ICSgjm4j
rJ2Yt/ZmWlQOCU3CVwV0CQTSPqR9gUdRnCyezZ8tF6gyOvjdN6ItYdj+YPVeI2L71ZQuflIjeqNg
o9vjIMPkhKZM4XGmq8d3xLf1hDQosO1Wz8hm6IUlCLxhvA9tm725nprdtGzV3pKB/pntoh5qki7n
NW4gVfdjNd9rvKO/HCTjfKsQ7EkQv9pv0WROrG2mFScVZh19sAH05FL075gsPgVtAzi7jIIjdikA
8SSCcTfakaPCnTGoF/FlP61WHYBMED8mfKZn16XDswhNmSVhEP408F2OgL7YXexxbqTafaS1Tl8b
G3TAUTe9LZCGYGVeBzJ4GpwNbp3YaC771J1xY+NWG0SI4sM2bOoK1ofLx8YpeXCqX9WuwXTPrhNV
WcAZUSqXXolfc4I0S74FFUtR4rJyF0MEbItkXmz4pOJ6nF7W2U1oP8pgS3brmiSnktfrWpCeyzCT
wVixDCz4GSVjx2x9SLmnSZaYyZ8mZ0JQjtqORme2jO6jSxjpnxOfqIOcXPvZ/uOrbxdTxYVvbIN7
zkg/ZxJbUCpMrc/keaqCcchhO3bsVZAomnZ+guW8ixqGdisY1XHg47RLacmeOwn1i27SblnAhLrT
qTD7OYWfkcWLpinqDw4tYUMsLIMW3/2KOjrvy3AmV1QC9NmblOcrJLbdkFq/Q3k2FSm0gGubyOBu
7RXL0RyKn1NSJViAsc5H1UK3TlztjwxiJCQC1X5iyDrJpTHtUzPZ9L5JR3ugW6t/rOgTB9Rrrn9d
Jz08aKxe+pGE0HsIeBCHNozdj1TwZ4I6fh8Okp96qpAtobhLzszb+cNa1NGJrW9SivA9HHHkQK0i
eU1n+T75Dq6OXdY92eb1p4thbLMeKmNW4dS8T1S6hdk4pLBYpjk8MRdWr/BmxCsde7MfMCB1wIAZ
hr+SfmVXuAaIMcUgwKqMze36qLljf6qR2Z88jV2XkVFuuL0BRt61Ya1etwUTfLWvui8I77ir/Drx
bhdNMAqUm/h9bL6fC+yeSUgWr8p2xQi0yL2B83EdqFN8142if1zdmKZQ/4g9JzIMoOAgdIJDsKL+
vJEwPKOtnm6YDJR3YkAwBvEkjzUBgSAOTJRFP1AVpE+wCcpLi1EmdE0VTZ86v4gT4wDAN1TLH8aH
/te2lcNuiDYHeY5O+xnrJtoczDj/ivnNIYPqIN864ux5InTe4QpCwr8f2LmFxPMH/20ooIO0D03c
imts5VAwJ20BGH39p6p4CXEkroukSjFoP1XVSeK5PYyRxhgJzFWdxarn52ie5AV7cwTKvDJpssar
7dq3OEByuYr+lkCQ3jJccxraKr6SXQ9Lrd15MBEw5r9FW05mCBND0LcfqpQBFi2M/miciO/M2tO7
2imMa7h0PqXAYj8rrkBTSSRMBNyXTv/q+yqBB6nL/jQNMWb+YDcsMCdQUDzCawOZ0yQK8Fi3sKxv
6wGNDIyEPaSE5IM7Mu22pUsePGJ/ApEtXSMW1FtsFkIza/6ogSTwg3CsS1maXwtM0iNB8LaQUM62
bKMWmJE1aRSgd/VMKAb+QvEO/SXGMputL8bZw44vPZyaerEdcmBDsB4gjegfnRASnzu12B2UxDXo
sG1yIFpHP0HSw0OxNTUyL3iE6R7PokJarYUMwhDcbHKUz/7NVt8eoqw2chYyQPHElnV4TPHbu+97
onaWrOthYZP8QNNdv06R1D9TP6lPykscTRDKl8JIWIwQub25sjq0eHiabS7EWvJrHJp6txkVApI7
ls/r7DEW3KPsziookIdx7dmOrSteMGQdClxI6ig0if/iETSndjNITk0Cg4N4Hi4VZNHdEqWW5Is2
Yc7KdX2xIhzvBkmHDhczPINcbcIdUIa+o+ucv2E9m0TlmATnLVQJOjbIWVXarSj2SJ0PECOvbT3i
1Rxp2R0lbbVGj0rTmxsXarOunegVLVdz2MZW7BFupGdQatb3dWDiPQn9iDcpbhVo1Fb2FNsIVv8r
EpuIdwQ/3L1KwA9C42R2kYqWm1tCDGJGQ9icNO6LdNdW7fiYVihCAjpNO1lx8VRjRPK0YBsa1sgJ
fmVAo1xAznTXxQ/+DKeufbXco7fQmCqExxvvQ/p9Y4BSlDkpaR54CXy9Vh3OcAujP9zWQ7guWOaU
NsFbhWsXfj6nGDMAlEdkI4Wcn8FaWN4F1Jc/GrAMcBf7GhZgYirs2KL+1ELVtpkhKMqmtMZqpiqk
D7M0KkPxZAqK6+mM0WJ59PhhHkRjehSKs1aHdSqjS43+ESm2Bi1S6xtx5lgZlcGMr04rBLAHgvhb
mBG79e9G6+CxGkt6Bu+YnpqAjtcy4uE957X705huqe+Gfp2RSohHdsQSqPhNT+34i1Ea/l5cPexH
XmGGNh3XH6aGhXuZqFB0365DUGUIOs1XHO5QThjDxVwjkODxffzyIdgKh6HkFN8HPq3bc4Tlv+Z1
AFxuUgZpPos3pxH8G9vdiOWlbUVbDMYLcyRAbULmaeenTSYpzSDNuUKyGUTGmKeXUU/05FhHdiWo
32e4UMuvKCmbfU8wgjsGtYdOwMi+HJFULMGB+8SaBJjnjgq3gx3WFXEfln89L8UOeAn11W0pRGRW
kw4q25zu507TMPfDPO3XaGafLJrNMRqb6crMXKG27rvoHXvIwp2BzfpAl9hgQMu58GYg1ByDJCR3
cpr9DV0BVnfFDGq3dGK8R3QSWzPSldi3CRQdPOVrSo5Okfgw0Wq5C6q5brKFmijfVKfvMfKGvV8q
jSM8Vlie0kNKh0GctdjP02c+GOcJW20crLG2j7ofOP4wuYwr7NTGzeawlQ0SBliC3TNSF7TgW9hj
j4MiaJltGuW45+NXxCZYnFXAR0LRWmFHrPj0z6Vg7ROHHnuzbR/s9Lbxx0jUNXyHpjqjAFRnWHJy
h29Pv8ZACI57ysOnlekBD0DTrk84/IYT6lABeZLqP9s09hlDziKf4D1izGlr6BPBpNGT5p36U5mW
XSyGFj719K16c7/x59GAb9tBotynbE0zSHrlH0AqfleJG7EnbUbd204w8FBG7EY5lFDX2+j75Z0O
AWaKYcHB33dq1ns81VAA63YoFO3DPXpk9G11bVaUcqZ6wxiuwIKydISXX9bLC5jJ/gHgWoweY+UT
FrJNTXAEgSsswhRED4KXCKkNuPcHnSxjIXTb3ByJq7s6SfWTB50UKnzMaviGfr7McqTPCkDwMpct
41hlBv1e1al6UW273Jog/o7e9tDjPY6PJyxrgmZjqm0nvW7Towsg4GJ1TI+DEyztLxqnyQm72IjD
QqZVycsqdJl1OP83DJ33Q2E0ZK9i0dBfKF0BsQF7azzisJMB2ragBcKzJPO1NTEAtsMSVwHGvMLk
NYZb+IpoSXlDXxDOuZXkR0nGZR+Vhhwh9i3HqJRRlM2brc815EhcHJ3wb14s+odEMOHU9dRdG6Ar
7qhL+C01GCzLm3BsdlVclSSDx45EodGD0lkfK/2OQzUensKpbFWxxLU4BCEu4wKoXBP9Nq5yRRN0
MEgNuLjjFg4QxGZQnPK26ZegcGP3O63tzDINu+HAo618iRdEo+5HguEMOi9qeInABRB7ifKtzjH8
VZvD3K8c/x+KfWTVM/4N/zeB7l9gEYKZEWvAT1eMqahw427qR4hTuNqjVB4/KQI595TEUF06vJ4A
PiSLUejr8I+/jWDmXQHQrLFMi8y5wdxjhmHVJOtwueYIUduTR1rzEsMlwzdNeQSLny1X4rjMx2SI
+c6GsWiPW6lLfUGx6vWSg5aRlNXp+wtrSFbihS3gkqGDRk8DGIG2KbR3Rqur5UlpnmikutfS9o0s
EieFKTDkgfEb7FV0TSaAM/iDWmsKUGG41Z3CCUIB/EoNiXlOSjSvUZtE+ONuQRG0yngl+YaafsIm
IExxhXVbvi5mVQtyOjFfDnHgzXKurK66rAJNjrx30GeOLoSljXt4/oMcD0t+mRruQCZFT1D2tVh3
ihuvmsYcvyfGDrAgkk+7BmmwAx9XQ14Iu2Y70BAx983JiRVqc+E9dsLGUFG0DNYs7iu2GxlzF891
/BHyAaaQIakJs2jDIosSiaJHvZbxy9B2SJhIhJoiTn2RLNN6blMMGDMshkTnD/UwT3GEodpnA5f4
6pC2R2MJOlhTBfQQpHEDk0nWpoWoXc77oK4wooARPORszPILX1i6d5OLzu33rJFF7Pr3so6YZ4sg
md3KZGHlEeWuD3Ytm+0vqKfjF3Re80tVMX/mQeTCrEau6gJLB7E4PeDU7gnfCjdVKNCRD+fNrVHe
/7XMi2MHUQbaOHgXv1Wwodgfwkoe3BAGV8w+DcUAkQ6XclqJQ40H+12AeGnzWRBW1GU/vWNkTd9L
RLqe8SjL29Do4Fc4d2nWRd5fw5Kv9zTyMdYLLKsrsJMKvYhd4+eUDCTHzRH/bcZq27O6s7h7u+Bl
67Zpj/ff51Fch3cM5e0XG7+VpSQN2h99uk54qOBa41cLdTWpTHrGUq/5k2gFM3qQI1xmSATJqOEo
l13fHRGasR8zYjgXMtTjhaXyLzyo8m4F+YFmsDmrn5jPYRJpljpt8lFp7EII6oR/9PyB6SMxIAeE
HJtGYJ66TC5xix+C9hdoBOLswhSjoO28oHiRaVcjJcSr6oLRj+3PksoVLiTFmAok9ecBS7vuWkTQ
//CJtL8YrEaAuVXv5nxGDD6jcGgu2AMa71FEq91MiHjECyieur4p7+3EhnxCgbf3KzVF41bI1+By
NwKZjwrdN5gMyYuo+/qhJ535WEgDBXQrO/g/5dg9NuhPWL5gviz6Z7T+f7T48uX/v9Ly8NV9r5Me
/nXv5f/eRsum+/xokAH6j7vnvjdGY7oech82x0HMCr+RGv+2wuh7zeZ/Wo39/1ph+V/+Nf9hmyXM
AZFwnnLxr9sso4AHqBkjBLUCWLn/vs0yxH/FJutQsIii9vm3/XTYZskFw/+UiIAKirHF/7vq8+Gf
9vB/ty77H1Hvf3eR//mxsQMvxc47Hn+vwvvPoefQ8QqLIpFHDj2yTMTXLhf/h7zzWI4by9b1q3Tc
ORTwZnAnABLpDY1IShMELbz3ePrzQarqothVpVacE3H7xJ0oqiQmkYnc2Hutf/2mZbeyUkl3lYyx
xCBrwU0hNbrdRM1pDPe1j8d/UWPzKmbiYxIIL1VbHpixBF6ZXMtRsJGqOFlNuuSvC0FiG+pU39x0
/eA/BGoHwceMAtiddABObSBogCAxvxWMKMRgju+IaaSDoIyFEKRtJbUnFXkQX9o5SPa0ncGml2fd
/vYl/tKS/ssIVlzy/shyXdePT/8I+GOJd/+4tH/8yf+49f+XifDSt0TXRUf41yv/8gqdvnn/6Pzx
qt8XukiqoqFquq5z8mAE+3sQIzmLnyRZkjXF0g2ZGHP+5beFrn8yJApfFjqDbxVSCRYDvwUx6p9k
TUVZxSJlakjkqv4rKx3uE0v5/VInDF42dYYtXA33yY/G0KCYAxPJGMlOIl/L5qkrhK9KATQUVazl
rApk0NmefCy1u2cE6NLu0XFbRBAQxaDssHUCu67JjO5U2I9anB8DPduFnfg5ytp0p4/ZKlUxMgyK
ktmrNTvBt59rJcPrRWXnyz7ofqVozKLIk04zBMax0K3r2Nz6zRRyzgdgj9hMw0rxBzsaNGNnTFg/
wVhK93jN7KNYPWmKCY+/h8aTUbv1ZoYFjP95zkzLXgY3r4xKir1pxcLRCtLEhQjcb5RYY5qha1cw
lrOXctaoGsx+YOoxt9uskrIFmcfUtOwbR6BjsfNyIclC/rETNQ9WcxBVm2QYZ1cQFfnUiIkMkoWr
fC+PZ9OHI2VrFfAGAw8SzAVz7+Mgcz1RWN0OpKGv47IjjxsaiZlX/bkDoP8ij3rG5MtssVLlrdZW
9qwK8cw8uV0YFWmZX9Sph0M0fQnN5jmrBbjngc+vYpxSVlAx/OhGq8UTuNeujDQvkUD9RVS4u3TI
wIzYtUAt4TBCabg1DEwbwO865u3jDSuuW8EapVINjc42Y5+DsgQTMupyJEhbnjys2Apq1/i7tOSX
9pl/4+j8N7ei/z0bjCybixvYX+8up1e0uv+4ec2eovTxh3DY3176+xYjf2KS9P2wZD/5Y4MhMVpi
IxEhhKu6uNgt/3GSmqrEUQqhXyIcejnhfttg5E8kSOMBLhLRyvajYKr4K0fpB6+e5Sy1TCz8mDKy
XVkMOX88S8MsN41ujLK1pkvxpgln3auYK7iDiIsbhmu1S3EQ3xmwXSH8kjZPVnNjm1ZLm6QQUQ+J
CVKiqUPFMl8h5TIwayrVJqXGeADD1A4GDMHWH2cMzJItk1KORubM7UOZZUzqlGQzL9HqMZRxZ2gN
0wX8D85NLMHzEQsDCgPRGOugBwdveF9frLI/AWxkDrRxYIaqjl211ei9hOxWZF4L5biXWuQJAjEP
mZkMn+uCEnqixbcj2LAOvjL9uhk0sK6yFnZiDTNy8pnJdnkEvaftD4Y/Hhi25btkSL+Co6Zbf8YB
M1Ll8CbM5tmTIsXCd6ds1yHNzAp+3nzI1Ei2HAMDNUbsWG8oHkqKK3lg06vn6SEU5XY1Q79YpZqe
urE2ibdS1CinaEq+9kF7JWqx6vRFSNvcoFoQhjq4abq5qxw5QGRhCwGtHrCkQnC9Lz0o+HOy/zOq
up0CGkjKr/iV/Aw4IVZatbCtNVDZpq9xSGmENHiDmwvPtROdNFTiBg6mBrup1o5dCMA9h41GounQ
7waLbTY3TMvRNMFyLBg8gYm5VCklHnP8EDoAU2mKd0YOhXHyaQBsVcZVoTYZFPaFlrkoU1qopOpp
FCEoa0GrO2HFJSWtrl3LtEJ4iCiAJyMqXC2VH9DWjJsGe2DbB9R0834c2OPkKx/6/6qnTc9lNDgE
tpcrEjtemF3JNrdusmNBvOd7QoJVKngIqLXmtnUhwxfsJM9XRtktRu2Q9jTBTafKHFgiCPfZFMqB
SU/5ZkyT5PRRB6RaS/0GfOyp6IezmFcnir9VlUXmBeZeQfQ5gjIzrOeV1fLBpbq6Doq+8Pqs0Mg9
l2M8vZTBk/rRsgfMVnaKlMCBQHZ9iQ0Vo/9AS0e7UiPfacc6doRajV0cnkVPhku06yHNnax+GTaX
odlt4kENVhbKZsU2gzbwBGhht0aKL0ZjAB8V0ZB4aZJjrlLfqiJnjAXp2wnTBP4BBbFX11m5DXn4
nMLMhlXqC6/RpDC3CPMnBanjTgWCW02z8Kgw4ohi2A5Nf5MjWrNLcl5XjdrvpLwd7bgbRJDcLtyk
Xf4ypwWwVupqnO5mKTyLptcggKh0cDG4lH4MnSwqIXcGUs3oWbjRigsHnRPwRChtvY7Gfgu2u2uN
4tH3h5e0GK9GA3wKxY8GN8dNJladEqMkgmedG+DeUGLq4iwL5pdqABbV/S89mefxCIkzznYSGvqV
FpX0q/nEgLveCoWkuko1H6yepTx0+1lIPC0u1n0sbvvJWqXsdVD6yzdMwFD9acFFzOiMp26HwgFy
KvwcmOwrltiboLZnCAfsBO1KA9utkNsjkQB0MLHFX5asDIkzKSesZeYggEiUf5XF2mEE4Iihcedb
/VctfOwrHVvHpD3MhnaQa9zMAMoEs90PxUkIm89J8VzP4bmp4KGEU7hCo3SM1OxWW6TsTYIaQg8a
pj1QkeEFQOwcuMOTfxfLXweKsLrqmfpF36XVv3Tk/3vn+X+nMPh/11T/rKmg1P/rY//w+NT9eNz/
1lTwqt/T3TXS3TVV1zm9LVVbolG+p7vTFH+iyLc03TLoX2Bo/vPM1z4plPcmfy+ZKijs4jr125nP
a2gkaLlJkDf5reavHPkfT3xIVaJsUJFTRSj8so8nPjreSc0r2DdAuLtKEy++qWzUMGFYVh6qSHew
AFkxyT7OTXVIjfSqyPqvBI3bw5yvQKW2slDdY7H4FVncz5KluGXv251v782STeRJlBsWZNIfq5E0
C/tBybV8i4XhLrc4OfpiMyuaA2/zJwa9f3opiixVBcWgU/tQ+KRirCOr5TYI/Qi6mex6NUIeG66G
7mdmTdI3j/J3bdz3z6VbskKlZ6L0+MB/J8aEWW+BDWw0Tx6DttRlfHSg9Ti2kQJfiwlyTSY9MadO
1hZ3McxRZBXKwRJ0B6zvLGXPQOO7VAlOmhaeS3W81zlx8k5+hEKtrMx+Bhetst0YZFdBrSIpycaz
XpbNSgVa5vwrrvQOdgI5DedQgUuiGRRvZZ19yTTl1Jvhfd9lmzqWTwmkNClJdyz67SQiWC8EL8Bi
ytLvqrpYJaHOKQs7amii+xIx7NhyRKe+CGyPZNTvUIXohrYPBx9+4rBN0jpzCOMr7FJrU2dGIOJE
GhLFEF5bk3J9tBieOCtwqjCJdbpZQF0sK4hCuC9UkXCDIofx/hUKjj1Uwy9iJ6k0t1vg/SsLorZg
wZmd5VPXKadhHFWH8flGm/21EBeH2CwO/GW0EO2R92YbWRcv9WAelo85+AX6XYAjBNNUvdFtrIln
kgmeJrxv51g7F938GX0pELNEy6m1bMYKqK4m/syIaPGs+Jf1YcoWNg/M5PWPfuvNxNBAljNsgsXq
qhmi1RyNHgfOVy0ST6Mh/8Q6Y1nbHy6niJKhKBqyYgCGxargnWsA9yCR66zOt7WpX7DptP0M+xkD
RkwuPpoFI+pg8n4drfrvHBb/W2EqyHWLJ9hfHyeX1/wxD95jVL+95PfuUfykgSfpkki3pyvLdv3b
WbIAVAb8MG35JhWg4HdnCcCs9n0bZXd7B8R+O35U9J+8StNEGX/yX2gfP9hLcYrwxnQgaBWYij8/
2gmP7eCLyWhW66BNJ4wXxmNXZg9jT9BxpbtBXV4s47pJV31cbK082uIb7yQx3oRo0xQ//Uy2l6cO
pe5aEEUqvXiAZN9kHeOnQPlcIgdxSq1y393ey/dl/o8cslgB5a/5v//nw+Jf3jMMUI3jGZBaNj+6
fahDMluSjFd0UUydo2GfFPWio1fjulTSU8UI214ieP/+opzhPz5z3y5rmDIAuMhjp380iquLcNDK
Eud2A0Jij4qvgyoc6YozhvV1kJX7cBxaRi2oCriFRnsrJe1NV1oOQ88vaj7v5qW2FyNgb7UBj56j
+nmYpK9q079Cqe7XnDGRDRFgnbfJOtLkFFTI+GyJDCqBGLdGOm8Nw0Sr7XuNr2/V2T8gkrwapW43
TEd0pWujQ08aHJFNu9IIyAftSAo7V+sIkxTo/9NaWGlQ3x2oAJXT4oNta7Pa7KM2f57UctdG2me9
m86zlaP57s5U+DeIew8TSka5Vs9Q3bcMENwEEqpiqcg9VX8vWIz8gnHd9KK7uEL2QuDhInWFKiB0
yCpDsYw1QVxfCS1oQFCgsZLhUSMQ30E9Rc2iqZ977hi2mvui6Ned3tz7EGiFtF8HsrJJ5wXvtPaz
Wa8VE7VXctRNfR+37boP9L0wFruA1HiT5MRxJotaLOJVWTVX2FWTT4t8N9O/jMh/kFK+TmX4hYmJ
I4RyB90fOQJuz3U6HKVwwFWrqDnkxCO0bg+pbEdiUPasV8ylldbKbcWXP0s5/1FL7dlKR38TlO3k
Gj0KVUULoOrU5ZWY9tlm9P3ruNxLnQxXqPSUOHGgimx6vbnSQ2UT5gRy18XbIGku1gKvSSauO0X8
jCb9UI+k9OI4qVVkpIWwfM3KKRMytkK93RpNcyb14KiKk2ehLEwTievod9ACT2YTP3Wlue/n8mGY
cfvI6ytMK45dbe71uny2ovQB4toJkDi2/ZI0otncZ5HgIOh6FPJz31enBZxM4BwFfM9ChjkDt6aj
1eYt81v//oH6F2CcpxgYgucIQToY/XKivjvCEqUYC8lAYPlt5wnaAgC69vpe3pcYuAWKsbEadT9I
yU92D+lHp51vW55hMXmSZJVBF7ODHy8sj5WCfQ9pBJMuvPbZcJbF+QgVfj1XlUPG8G75iqpauJJw
15Cbxq0Vg0GxshlmJIIMln79Prx/O8tu9/4+5ErezUVYEzg8nIVmuhHQgNpd43upAKe/m6/wR53Q
/pc/sQOSF+TyfRWx7GiYQ1qmzOFD5/KxkWDCT7Xb9NW6GaUcB09rsPOoO/UxDH0CSZ7lXJrvIlQc
oP29gYRX2udGfgkQRZm98ID74BPsPihZ3zjmCKpsmIaIk3MfF4RYg3IM+lg1wkmAFNrJpNExeTtp
CyID7I49If8nNzryEDm9MdAELspBGS+F/NsPDrO0l6pcX6hA8C5wvZogY6J2ngAtQZtwHM3WZC0U
68JCvBKGpYExuak7SQHYOEviUa6C1iZA9KinGCWUnAx7eeGwZCNGONWskywNAXtbdvRKC2VvGXO0
rXKJ61ryZgE2Qey3kj3W4VnIfX6VWWDRBGV3wItxgM/ulKn4oiUy2r04YX+t/Bmtjt+7tYVRnpXl
y2XGl86UX2aUR9gNpDDp+u5tKMbRxQpEd6NOMVyR7cQZKPsZaYgvYqnLbiCGkY1vEyozrDxW6mzk
jlohCw6zaW1YUIH6rL8x4ev1wxFuKyrYFpI4qqUSQSLfxAipLnWCWMhdDp1npTRvVEvs0H22JyDr
J+SybiWbR7VITI/IsMSTdP8hDvqtolckoY23Y/ol9w8zbDhdMF4gkICZtiuAXXg6DV2lzqY6E/0N
4SJV8OCM5hXnpw3ujdRE206YNSlBea0Isqf25iqdfPaSL3l/OwzRGQtHV8EwlC16O43ZPVyGW7HF
m8GPzyZRDVKjjWvUFxc9IvIkMcdLUiCKGxPmTNI2UPV7JfZXZgs/Q/vSNdZO8A3aiN7TLGFDOS66
vTKa7P79da2gRzHbl7oy3Ah6ZAATb5hf/QBRROJbwMpdvWrkctUFQwNuSvmsj47WYwKDusjwQ3DL
2CmywPSsWurWflx3q0aa3yJFdawSyJy8h1UavUGSdXK9uCSBuDamatPKw0mzqtUolrUj1xVs62KD
d/2l8aOHoUl2kC6dPh6uuqLeRCTWReZ4xif/MhWCU/ej00XSrUB0Uh21i5RjPQfTVdaFB3keDACz
EpOqAI+GGNkEjaiBBFlLvhc+vwQl/f9Y939nKVAb65aOVS7HFNvn33QBHYqd+HF6/If3+vJaP6b/
uH2t+VqK+k+YHx9+6++NAuMkRTZAHRHvszH/MGjSaSGWypMB9/IPv82Z5E9L/W4yAdI0Rt2q+Adj
Q/5kGrq4/BOUQH6hIv9Ko0Dr8eGwWBgrcGJlcCwJJdrHVD7YYPjqTXq2Hk7HjHIKXqnEpMHtz0xn
ZuQJ6+yr0DjJTuDpWakiLOPCpi6tA7e8Qomdd25QurlqC5erXL0Z4rNkYuqzOPI8jOcs22TRzg88
i3NYWWXSl0TesK2K7alVr4v8vkbk5Nue1G5b87oUdJQsZ0VCQzdVwLePEeESRvKVKAI/OJbCzqw6
p+22ylbAXgF1QpqfI2puAFdds01pN1x7zETs/iLdMh0JHSy7wClKqPPsNXelfJBKzv+jVblm9+RZ
xjPuXSplpWQnM7CL7IifkciRbMZJRBU8ceagBFXRru2Ljf/KZxLmvRaeeEITW/2shJjuuenojSK7
7KrOUTTZgi3Z2Up3dAcNkBM60i2fOcq2xcp/LMOLfGzTa719AVhwuDGNiNBWcER1t/gmJBvd3I8G
9jaTRmFK5Y/nnbrvMUEy1umzUhhuCFlMPiJi+QoSZCul3TnycVpP6zJ43jcIrsbrXAdsSex8PMnG
qczO3Hz0e9F4jlSP6ROlrhlt8uwsiIJnNOvQGG3d6Fw9OxnjJUsjG9MdBe8/+OxZLj40wCqmAt3Q
uBVieSXdirPd2CQMb5TmkseObfpb4c73hLv51HyBvOgoneUw+LNTaNw4ilT7ESe4bsTfz770lzIM
XMXtL6HTX+ovma24efDc5LvlLmrDQ8YYiBvb+veh4CTH4PN8NaWeKJ7gptIY6g+QHdJ017YcU4/t
Kh0Os77DE3R6QINKqLCsrGHOe7rTtJjaFYKLsq5cm5B65+xQDbgR7CKdvR97PzwTzZfEjh0Dc4r4
ZSxitvPmCMR5zmuXJTWSVxOv1JdJsVvDVk7+QYR80N1h0ZXe85doDyoBRaanvpBNZaTuhFW2HfSr
58UKayVcGWtlDZ330uRfcg6gdlM/9itqBRC3XcGgz235uYtU+Yd4Va8D7TqbPII2ppVdqCumJ2Po
6PWDgNsLFQbNTa89VMZdR3uIhdVN6A1fINYmTuQk5p0uPIfIBZ1WdKQD38ClrhH/26hk5W6jydsy
s8frSLErr9zgA2DeqghI9/rzffwkTa5leHyEObCjQ4AK49iGiNBd6yq4AL967eo+2gIlxGTrrOqV
9rVQHOur8FV8GAocFbdRsxUf4sf0DseoDhjB1m+WfzSfxdBFNKTt9OeG+MmzZN1M/FxtMpjEc9PW
n9VuLRR7poNv+HlRmUMpRdaSuUO7w9Mmolqxq63qJReNCdh2cvOTvqmv0mZaC5PoyA52hoLrf2kN
DXrlttHWCYWZjMrMQW/mu909hYBLoX2v9au5P24EyQspwE8P1iattxCALeUmMHF+4rm47iSHRFS7
GVC7myRY01GTTe1/UXBGslYFpnS9bq/80O3fxsl2msZpn1mTyda8ad/CJ/OQDehkbVN2usTLJ4oN
15cdMk/LaMt81qx47FZ+gi7AFY655k0eH3Z8wxFJ9MqZsnOHZ5rv9PehJ98snjqbaI0PXOFU8XnY
xzLjdDe6PsYVGnZ45rb4RIHZJpd+2MSghcJeSU6yCr0GHuwhRVEyrEK2AAxlN1E3OFZ3mI91Ymfr
0L0WVhTKbDVpaxfjWqgdTFFa73HXsUhHxR5Nt9Nfe2mrPPbXkLxvoPk8MVfUJYdkntKpTLv/PAlu
8ty8VC/zo7DDVc6RN+HO2oafFWu0aRyKyw52Hpt95aBkLeOVsc1gBEWtDfkO7we8kTTiNm7mcYPL
XOaqioP/mzY7OYB7ZyPrNNmHTWbaDiV4GTjtV7wcQ1iAiC5eooeMKh6VCLf4OUQPhpO6z5zdLkUn
EtbDQxpVdtFtMwYJk1s7U3qW2hHbkCu49fO8fETQk1rHwM2uOPQ0z5dAauxaXPOtIYXkP8qVcMcX
KTxqEaRjnp0g83R2oedItuun/gnIJMePAIqVb6uZU+rL9QtsUlY5YLEjovLoVsiKphttq59gu7HX
+DgxRmuSWWyjeuOL8p+6G3gDriMbhVN/TR2Cp15RCCivol1ujMbGkqu5SXcot1b90X9StW1j7nDX
NogLRJa5G6OXsmLiu2OLZR3UOtvYLo1HkL+d7vPnVj2kG6xxkIxjN2xr005tbXFvNg5PhrxKPOjk
EZtdkB81cwXPIcKFpoTvlF3JO/8q38YDjaLO3BZLOSNzqjt1YeJfQUjvYBF4j1l+9Vh45RXGxtIC
iR17J3OrG8dKnrOYPJ/7zvgaGMy69/gZhd9HRv8Dtex/4ihTV4y/BZ73ry+P4XvcWfr+ij/KSWpI
akZZB+1QlzCZ77izZX3SgagNDGVF6L/fCs1/EiM1RZYAY6g/CVRb0nT/OcJEzAD119LghjMXJbjy
F3Bn6WM1SdWqiNAvFUAIlbp1gSbeoR69JpcS5PpmXWJ7gTOudJ4y7El62EADsWI2KvRVkse3KJ9a
W++sn2AfC8bzbn7CZ18YmfqCAzGpFT/C3l2CdgftD7nqvYq7qX7T9ZPbTPVVkygXEs9+lkv7fUD4
L1dkMgSRzBQXk9sfP/DETI2szhogNs73uoothyTttEA6TuwqqXnss2odWsKxEEZmSFQHYPVXklhA
IEwCuzNvSYazY195baYhd2SZU60bnioJqhTyWUcU03yNFmyVZxobjSVvkkkFlEjNfbJIyOdaRjuU
zYemk2ccd1rHKIedlSAgwsyJvpOfAQhmQuzO0GvYLPULhoVXvjpealnL7LhmApgr+HQFonmfikiW
owC8GhTxhtgDDD4ZVmyJvzRPiNhvpo40UQOxFhU1sMzsPyhToNPPQiXpJfxvIbpsTFFo7WkiUjNE
j+owV39MC/VYErcGQss+pRj3Of0zNjMDnhoQtjGrnE8ypoV5R+ibECQbSRGgWiAda5R4PzfxW6nU
jZcl1tEYzHv8pK19aiigC5Hh4BMco4/CIiQb2NbwKMGaoJ0MB+PQtV7rN7qZGseo1zZZO8hbFMGP
C4Ntp8iRvyGijyqa5FUkFIPpln4NcSoZtTUmVVeJVAmrGurQVjXlxyY3pit1jG81ujwvjGORNDwD
szNhTFdzSlhoJcmAsDPOj4aexR65kfQmUSHYrVJH+6aWsz2EZ+yrfXT65LcJlKu9nlxHk9l4jfBF
JQRk3XYLgB0P6a8ikjwcMg8nLS9zIWvhMbx/NjNkLEhD8madJpknZ0jCQvy9JsJkEYp5aa9uwMRj
J45f3jXMfzLX+ZDoATK7XFjSeXhMbekzPwzZMcxNWTdxs8YdD16U6OKqlUKU7rbkO1sOIMkuq/G/
qqwicRaTFyVIf5K8pfzZxsS1UU7oFnDfxynPKM9RSfJfs/bJoHf69hiO0X2NJdS6liLmPURgNk19
DEPzwPK+6jC2IZ1S8YzBUm1VhK1s5dpRLPRNlYTnROlO4GX4R8uXAQJhVar4DgfyqewI/TNV9VBW
/mswN/dTV+8KX3ljrPCTWfG31LCPWw8oLwACcK6qfiRKCHKIbQRMgnUx+5bD5lStcjLYkK0nm8ZH
jT0p8aEOjAu+ZTlqDPJSsgz3H/Syt71OdVUMw64R2+zMgeWacU5ZX4HX+0B2do3Yx1Ea826wou0s
8LAOfVFfkb+wCovudqxx21vME6uShgoJpQF/kWpYHotspfbyakoJXcM4pMO8sA295W0IARYSU6at
1QAwt2q0R6ivmwohIk2ogI9Tl6hb5PSU32oNrcXM43SD2HXYCFV62/jqMegkf499h1eK+n1jSp6S
l41XzxFqxJlcO6kIb8tIeBywVrPVwbofKvWSBZhsZdgV4MJm7cuuxb9JiDScM+d5+/cr/QN1hYUO
HKMs1F1NYYb5jW3y7vQj4jupgpKOOhlVFevLcAeick7MRnUkvf9JRM2fXQwxj8i4w+TL/xhfALRV
kzaPiXk1Yhk0aNUuMaw3bdAaSHrxd5YAw/vgtfiTZ/hPLsZHot4wVHhQuCX9uHckqlFMmUwfYw7q
ZTC6zBHI7nI6yyccJU5+FgX5IX7n25ZhmIqoM7+WNGqaD3vV1AXoguK5XRdSetLqxdCspktcTo4m
DoK1KUgGHQhM2jq4FcFqyduJWEepsolHAysb9YiLGI0AZt1wntPbGr8ajCClt7yUd72vuHUeRFsZ
YNqfrfssEZ58VRK2QhD+5DGV/3XnMWB0MZulvkKAZX64dUaPDATJXrvu+tTc6II8w98M1molf9bN
7Don63XIoPN+O/r0Hjck1FGItv2NUMv1djlvOrEVeFqlR0Mo/GPPok5ygHnMue7/fgH/a/20vFck
MqqusF9ry2d5t4BHyYL2FPnNupVJAy7V50hFyN6LbxlUZeCA4Obvr7eUgz9uYVyP7Qv0U0SD9u3e
vbteU+hzihCywZu1uJvG5JYRFSAYw4a/v46yMPt+vBIqHfZddcFhFVbWMrZ8dyUlgwJdC3617vKE
mAjMI2xrTodr8n0OozQRNxb4ZQBcRPcc4zqwDUbFCwvMSTuRrS7B+HtbLR6XXT5hdTIKO601y1NT
6voXaVyIErj40rtm7TUuFj1UqjrdxMDCbmmm+imWi69pOs2HkVBTrNrppzVhdkhaOyR13ezEuZc8
kH7gl6ycypNZ8Hv9pDz6spHCd6+BIHpGZrVJeo85K+HZr8kYnMbKJ8ZpWBd9aqwtgueHhvKC6AO3
q2LhNBv1U6OoOAB8G4gVM6ojnjsZgjocw7g3cfgn4EapMCyWLOWMSg4ucKdfl7oVb/HDmPH5GA7o
a8LFBUFwygKTBInOGHYJkCpOFRK2EQW+F3j3I/5WSf9EYk+OhpS52FkcJb+ebV0JZBh2xZGJW7X2
LUSwesLO3Y6YsLVShzqm7ZvrvpJv1FTR1oGkiRthggiXFR1PZ41x1LcfwyvhTJCztsqbloQLqaLn
H5rBLrC/wotJYYqV5E/RWFtnrAXjvYgn0RMLAkefxReunKTB9sVshjLZ9G+ar+CiYglviKCH9VBn
rZdpPUbVXarchemIK7SOO1AUxIWLlwtES7gHZHj2yW2r4k6edPOuo+4513qg7Q1QjedQrmWHqFEf
T1NoXGVU4XigslNysEa7rhrvsgJ8UiGr414b2+YyplgnDLL8mkYdYRnTGO7autFuZjkpbd0qFpW6
dDeH9QgsNo23xlxzVpc+MEckh7Tl5UvdG+ZOK/xzFFQPTReq2wG7m1VR8+JhlALEvZPmlaUVrhkY
4xHXKMNdYIXKeaqKlSBluqNmiN8TRcMxbFS1Iyfq9OJr+skyG2NFrBweMEJA9IERTQ7GCMEjuotg
hal0uaM2IpiuFr1A75RlembupXBWvUDKEGn0CdiIzBjBbz1zBs+c5YEwbTkeRy/CuuoY+skbtZm5
TVNAEz1DDDaOfHR0Flem5n9Gzo3V12RwQ/uaGmsOLa8oksuU5sptFcBswNUjX1dtDboVYyEBschr
IlZYPIsvqASkdVhjimbN42HWdGw+a/+UQpnff5OqDeVsYkmfGEjAzNxFf2csLvO+5Gi+UB57iSfI
wQhtwFVNyO9xmNCvJpPwGitOpMMcyTs88ZPnclSindXi744LNs9Yg+ERTry6n17ScdbXFqZ3uAjE
8zEdemWG1ofyelKH7Lbpw3E7mxESVV5CZg90FmrgLHVrLM5pkbsFvdX8FaSxZmsQ3XFuTJxZbIwt
Koz9xawX3HAy+2tw98oZtDHqbFVIgXl9rOCvcLI8wJLHmrbaTgNaBryIfHMpEsHEUgam6kgGhRC3
05VpklseIztyGy19gc/ERFTgy8rMnKlpa6mHvs/PckyATFHLa91c3nMvPs3QV5Da5USeZsoB/j7W
CD42Qaox25DgtkWVHSEO7SXDz27x20WxU8VYKevBFpUVgyLdDFbkUZxmTf0aY3/2gtNIfZlp5S9R
U0jnQjfn2paTYNoKaWIBh5rIe6NcgnUkaEhmcCN366rQvMGS2rcUYgDayRTHP98C7tMHSXwifQSP
RITHBwuffzDmwTr5qc9LWmD+bjIhkkb5sJ1HRXbklDARo0awPxsqymRxMLxBNd+i3FTXYVR7nciB
/fdH1J9WWIAmtI6wvxXjQ5NUQOgC81GbtRxEo4PBaE0BKa7iXrwJw/nXz12OebhwugXz2fiYsylC
shJKnLnWSd2ufcW4qxS+aL/8GRflzz4UfHpVlw3Ijpw/P566siXHgUk841qI5JshMO/aBlf/CWcu
W+pY3t9u4f8ADPgDSfXfE1D85zkO/KU4AlkzggUqmr8eY+/gsNev70HFf77od1hR/aTRs3BCA5wZ
/Pk7rEiH8Qk5tUz9CkmSL5EL/TGmlsWF4coaAlBYvt7fYEXpk6xosL8g2EtIsS0G2L8CK36s3kwa
d3FRZLJm+W954XC+q956cwwkwpeGNfkcGwTEg42L4nruccbGmin/L+rOZLttLc3S71JzxDrogUHV
gGAnkhIlUf0ES7Zk9MBBc9A9fX5w3Mi6tm9eZ1SOahKxHCGbFAge/M3e3/bUubPmY1a0e9E2bIxL
4/ynq/UX/c8vMwx8GTQiLsNVDCDUMT/dyURjEAg6EdFoS3FE17R264IsiVlBlDkXnvuceEzikv5O
zbMB/2CyftOB/dJHLO+ACpkmjKU/XdFPLVHqQGkZhVC7KTJKYnI6qqwKF5ptQkIv8uw2MeAKG820
MWgGV8nMVrc1pstgjBfpus80rjBlmm9Ae6GN9Pa1YSYjm49Jov1Uv5n5LOX0nwv7xcYimEDjW13a
05+1vLpICUKtRLdLQv0oCLEgfAYRzaSJoz+/ZRA78V1XnN+jtfn7T+rnI+f7K2NkWMw6HKWLqOLP
twoZNR22s1rtImc6GrF3aUz1kaLs5O3+u2f28lo6sg7EGhzZpvPTbcmHNffg7f55UyQFE1OqpxUD
0Ushxt/1xH/1i+mgBgRsDdxGP4fcwyPSzNLgDkRwxvDX/+eL+YWJDIlMv7+/istV+vnzgwfCzsDy
fBMfzo9XMUUoUiSFRGssvBccVfYC10sCN9V/M5jDFv3LK5mWEA7fLHzV+s+NmRhEAwyeqFhOkpvZ
mtdDOh/E5O3q2dY2SQIFF6ffEWUnmZwRwxtPjh+jLeqrumD/G1a6+s0d9MsSg4+Vx7rO14w1y0KS
+PGXRw2uRI54cOfbltoQkpKu7KJ5pd3Aal1RX0mnrddzrD7ERA5Qlg5a8JvLby0X+McPgDmSiYXb
YlzLu/jpNjZns1rk8EQ7hlg0KxOzs9uN9c0IA2vXduFLPooh0Lk8aFxQsuHfBVCZJebO9uP3QUdL
YqJw5gQozrVNSTzF7YbUvvwJLrQAV6Hj3w2JJNZb13v3DRQHHDlLnYTwRlUjsue+MLZ+PLz2KCeN
Ub+dp/HDNRNrjyNqXsdkTV5Ez0acweiJZK3pLa4ggqHko0BvGoREWXnKW3qnWMO8hY+y41RDaSpN
1hoWcpW0ekKYlyAVFDWwb2hTDSlcgeZo5sqqmmeoteR4QfWAAD/hDyW9oLlmlBCYI9vaJoQ9GE0p
um2/EsgdQ3vTk+mwTcIhCqI+YTsuTXlVzr2xHXTg0sgPx5fcc1GtJ/WGPpWm1qm7owCIhnNePdRO
ph1624ZT088fdZvgVK5hbVvg8k4aR9lFjGO+i0uUfWKwg2JCnjCSZaKgeq0K+gZQNqBu7EjI0zSp
NnA0m6LcdF46ByNFYwL0ilHtTxpiPxBoy1iW3z0vPC0gnAjl0vKztDDRGfiX904QhbkTnPsrRFpk
o3ErBlaPFbdz/ZeEgceqQJaeaQtMDysvOxjrUhgaezZC7s4V8N09eMt431tm9Dw14SVJFXYQLz8b
bl+TQmiDplr0smFWvlvw8Vi9W9k9PMLcyw+EZWJ2ray025fO+GXWIiLzllGUW9OF5b10jxaW2CV7
5Vj3JQ9ljzhrFxv8QdjaMmhuWx7QSpL3OHx4RqcHbrhQB6xMXytiNHdgY7+kBKPtoPZgqCvST/gC
igExm3MjBWWgk6u3MiDvsd7qz3oz6xdH0zt+lFiOMYd4PhrIOio70HPel+8w8kUuwFx4YvWua4HX
uM2jKqUeaClhlk4+LH+XlGivmDci5iL4YG6DFqk9BHVT3kcKzTGRfKDPOvelUwwFMY0W4AK7hvfP
4TPUWXoI1ZBchaqwjxUkWi6gSqonkXFLz1H/2tTOV9/u3iZBwkVcRviiY+8w+zb8V01f9+SuraxS
r9elHlvnsLPna81MB25AZBOOEqeaBe867z0i4pi0o+W3ctBdHEQpEAZXIBExgKTwSYZwULrYWHdz
ajCD8s1PsKMT6/tiZlVFcqDGMR4UbhQfTCv7aAq+ZaUJqxNIyZwdNa2034rSXaWG/DIvWT5Bm01f
mriLLkPo1yuXjnwtdH71QXJNdKPwNtDLP4hqSQIc3U1g67gJy7xprsOKY9GsYFTWo7rKZizmRfSQ
FTJaG1Y1IAY0Hjo7QxYhgXZXyWehJeobasfp0e15XpK7pW1At04AtOVA6GYtrzK6wCMJliioNTTT
vTRuSS8YH3pCceZU0KFhRI/YOuzQe4KFaklIbMmbAFJ7NRPpsV1qmzhO4jWq9+F6DC2HaLH+zuDL
t8KE95GS0gn2zb+PfGIhayl3BnSGALL7h+thhg97tIKT5W4aqUBdFuG0wcZ1ae3ZDFhJJsFQ8Cl5
DEu3Q1ro7Hc5kmMYhUf0FGHCrFdlz92sSEq1vBcyAuI95n8XnVPz3knSBUdnaoLUQAull7G5lvA3
tjzQGRJI1iETIfSdLllRMhxjk39q89jeOgXps23X852Z6sc+m/sgs8cT3Ij5iOafgc4YE6eWGGKT
1J218mVqBvEiMCzaaK+0GTqnB7GAyeUq4wtiWeZ5jMq3vre7qxFJ6Cns0UMqMfMK6ZDtuEhPQ97z
2TGM27O/ydeSPRkKuhJ3Ueg9DpH+bI5cDj7O29BoTnDIr2I3zdQHmYT7MXNZxfpLUEeeOvtYGeOa
GTZWUoJF3TtVg6sw+y5dG5EJScOugbFulZNyNDmDZ6q3smvqlzC0Tykxgw9hNJPEWzjFnL75eD9x
uxAd6paaf+lHv+LpUZb2DrmDt9KJOYajP7wYGlNaOSJoM4fW3BL7Df+gaEvdD8q+mU+RABnSL/AQ
KZR/Rdc6A9yt44u/QEYKrcuZtuVvdQmAxFlIJCLtT0YX3XTfKSWtHn0AeNcOpBcYgd8aGL9EDdZk
AZy01I8cRYz/mwzc8mzll3oo+pXbaUxgbW2bOpG5HgC3rIueSJTaf8OJlp9tf5ZXhNx1xYb4O7E3
kbVv7bAMufX6+VAPZL+ZTg+c0H/3SUTblE2Ts1ANSYqsTzBNSceUFVTHCQKR8jsZzIZLdt5Ibgzz
DFFY3q3yphdCg5Gc+vaAjLDMt3aOOKtu2kfpy2NfDQYTpezStzVeKKt5aRiIwLawPnSIiyttVCzz
4uGTjx/NlqieZ81hhlrxxUk5JYO57D5Kn4PQZLaLKF8cqzLxNk45e++9MXhfhGZWd61hm7emNimL
065J93o7imM8x2TjWmrULxnxt2hiynOeantfrEk2clFt0QeVPAgcbu0oS8R14xjdrpCsgGJKM4UH
k2RofMm9KeESm4h7vanCTMHOMLkuk5DFkjcHuOynLfzpc93U9iVvbOPYh1EIhEovPIaRUxFG55yE
aR6XbLItXFsWrwhMp3qyizTZeF4krkP64JoTui23pTGphaTSbqopN4Myk/1GzKSwIDIod4qT8jGu
VfilbtP+YQqjepuwzdl5lMrrMtQfc5ckL6cfPsahKfdynI5hXOpBQtLMflA8PZBPFM+mnpPyN07h
TdFb0V4QgHEOk0x9/n01+hc1OohAE6W8gLPtIjv6sSDuAGg1Q0HSwmS1yEaoxj0J2bNiwJyyaiW5
LZ23zCadFYYSkGStd3FaPpaINCKzqbINqabeb9afxq8VMiA3gA3LSp/nn730S3+aCRj6wJOiCplf
gf0Fo+aoLb3aU6P6bkWOtLUmNHiTDeEj2p+LWVuv7UCuEmrxQy46Mklz/0XM6Z3yYShr6kg096ef
eEcTXibgpAalL0+O79f676/m9w70p9KeSR4KfoAKUBx1Ji1/fuOtH/Pobsidl0Z/HsdCHbQMtXHp
GJdOtT1mjxF0DtqRe/CGSVAmAlQQcN8bdsuHGCaujhbVvUQ1SQmuqc6wTQmrTt2LzBllmpP/olsd
6nmmISDybBpt9RG1VfK7NumXoYzL5IcWiAbYXNh6P30AbSkZh05kd3e1eCV+hDxZHXTQ6ABb6Tv+
IzUVMNVYY4xtDjFwcC8/Gjmg9b+/oN/b7B8vqOWbFnsrbgKx+P9+vKCGGNBHTFa/w/NBo5rnTiDM
/oUwqu7s5SwUUz03d31SvRGjdlOZubFZBAK4L0knJPUE3cBb6ThToHuEDNqCYiFrlgXhIA5TRsyn
ciZyFspjKfrbvA+7DYscf2XECCapuMW6K5Jq4w3knGgRafTwH6qo5clPqH3juRiLDbRb9mBt28J8
70bnhBISmROPLdnMXKvwE7bcORswyVFzHXjeOxsyIU8IsR4MK4FGXVOAsPv9GAuMtyThvkRAj1f1
VEWbJg2J+yu8oCBBKOhrl+Ua0dDrophpcgxwfjNqJXMovd/cAD8viz2GLBZKB90zUNqxLf7xstcG
CKWsUd3ue4dcWPNHDGY5ZzJRFs6Lzujl7z/n7wKlHz/nH1/wpxtuSKwyb0Ne8Hsl7M9M/UsNGX+c
GmrTKN3dwGj/wr58JMCLyERjkzi8ISRdQJ79ebu8rW4kuRSFjLFeOq2/f4Pfb7Sf3yBbEuSUmDJ9
8bNqQYVxDbgkGZh6UeX7YXchDK5kSVMPPNzzKwdex16k3nrSTbWNl4435VtqtDa8xDx5JUTL2Aif
elD35afZZkC38BpnqWevkzh69aOY2oaYnUNbk3WjTf88U/+tAfp/bzr+P3GOLW/nPxmo8GX/eHsL
HveHP2zKDr7unfpspvvPlsTPf02Ql5/87/6ffwB3Hyb5+b//199P0Jch5X89QQdZ+p79MkBf/s6/
BujYvGzkBSY7FcZzDnfn/+VBMBt0GCQZPsOcZbT+xwDd/gcGXWxogtkuY8RlpvvHAN38h0N5ujh5
fRfdHEPvf2eA/stXlYGKxZvjjRmOxYv9+FWFfVc6qeoBiVcUorKx3gY9ZRDAom9lpv2nnvjlb06H
5dv/w3eBmR6/nM3Y3ARFsfBb//yUw2lpR+FYlDuw6Ye+mG5SOoNgqsXvZI3LP/TLC1kCUQdLEBYY
P2lWEteDKA9AdVd5HYVq1R1yilGaqoNe9Z9/+shv//mv/hlR8cuwkk+KmTKZyixJWJX89FoRyR2c
2l6xI+bGWS/JfutsYCf4//IqFFzINbH52T9pVVKe2kw6sOTNWV4eDFc2exLl/N9wlv7qnuCQYqdh
Mnjl1vzxA0IBIaIhxFm0fDiWmbxOFp4iXW8uiwF5Xv7w97/WX73gsg8iGsRA72P8dBPWmJm5Vkax
o1jFuiXVxRDTpwi17dTEr1GsovXfv+CvK5Nlrvxd2o5wTYDz/PFXxEdupLo2oaDmNt3aGkQhLevN
YEg7st7qWSAYM/RdkniYGTPN36ELMALAT1i9DAO3Fk1GIA2nJrK4qDZDORbnEfrASmXJfBWHUUtv
Mpe/Gf5+h439eEsDlUEx5i44b1YoP1eIPfWGnsmmYhSB36fWpi8sTPbKx19SOsp5JrH3Gz/0Woeh
cTckEgdPErvNB0OPfNcT4xg0oWUfCFPjy5704V5FVR2Q0Vzep25WNwHCUX8jjNq+qWuXIOWIeZ43
d0yQo5wwc1Vl2e3yncJFMzSnScvN7Wi08muSSTNZs1ku933VB4Ql3QxhfiZf56k3mnJFbXSLLKG+
iTXM6IVDukkEpglDwK1bJcWWCN1spdrp2SKCdj8WZn5rIrkhA6VTZpCFE9apzOn3eamyjV56BuOb
2sGnNIoXzhntCbmGvJkY3R/0ZGgwV2VVSTpuuDjXJrf/1njqhkCcizcM7lemM+GROSMo8rnPuMO8
4VUUdoJbSJPzIXdQqROj4WA1rMej5wztqRxrK1CmwWidv0YM4VPed/Gp84ZbeC3Heq79TyLJ6qvQ
MnuGO6GBkqs3/OlGIUE5EQIwH4j1EuRFE1ZyhhsA1IDgS/xEkHUSIf23ofHtDczFm5j2Y6/Jrr8b
RLmaBX6soZ4ObVkbW8RHZCyR11hdCc1CVkLUMc7GbM4emqhLz5OAepLL2YeTKmFzorG+qZq0I0HR
4eCoJePDMs3yHfEH4wU93LjucrfZT9E4VZirLOebGJRzN48h/jop9eYDhWRKhVuOKN9DHwoQJ2kH
YmYl88JYz1kR4lqzrU09Ru/aXL/GjeexfqGAtRv3rvfSCQ0+frecNMs1INj2ahQF8yCEuzvlM0gy
eibsglylsrfHNQla6TmdanlTW5p66nPrvu6tYof2LnyZWbPsw6gQQWyGxS5xyKBNYqbrrSy+kMi2
BEWm1UtmFuGbkxg6Zbrhn2YVyqMoTO0apEC+SVO/WICYa/wyvWCiPSh7E5HpBA27Ofp8x1a9D1KT
xJxm3QKMoAjL9Ib4QyExhKlytl5UJL/FmUyvwabcDW0c7qtYN9/NUIZB0aBZbvJqE4sYefjMfdtk
HTcFG9xt6zk3buZaV8voDcRqHT3JCI27soZA9bDA6zrOv5ApYT4VmWus7Taa7j2FHdrIep+x/jyS
XTXgmSNohqTSpqxfq8KYQKx6hU4rqKgvBbk4U/vuS6CoBCKvEs3dzxVobCJanqkVY9Y+7rBWjD9X
pCP3O+5+cU7GPH8Iyw6cguPHV7KfL01vDye2AVARhMHsphvn/ej6e/bupMRBusTCHXvsGAiGaeLM
Q0lX95vByrK9iXg1QJ3+gr6+gto0PrEnOzhl6UH8KctDXTWvycxMOJLaeEqET6JOwhDx4OmgMvyG
8GM5mzJQosY3x7pDw7qxISw1WQmrvhC0IlkQhZsmwufdyDZfNYAcySXB2ZIj1uGGqxy5E3lifBTR
4PTrrpQMk1VfkYiJfAGLdg+5Q4f1c41Gs7/KmoTwWbSP+SKCzONm+NqGJTN8rZRfSMrVvuW2+5on
KBsZ4B3qGceiYSFvWtaPZyz7uHZDpI2J3kABzhUc1oBwmfbQaNEbukLSahaRpz1U8yk2VaSvx85p
700I5ETcZVP6GlpNf1fMHjHqXUWSqk7iyGomDz0DEe85z1kIPLYwCI7rF6FRpWFocoW7m331VV/E
SOOIl3guuJ9kaSR7B95gEE5E9HhjnUcbTzMRkhIktZ/tvtu0zjBtIsvKbpBFeYda8g/i+0he/Ni4
RpFJh8GhsjbBKrPVqQkFIwi2IgxZOrRUKWoLwZpnP8dkAs65bZ+KVpNXHc+GUwWXem1qyaLalREM
PtSKrCejZO3HgDkcnOIW2udghOT7VOu02CViwiyae1KP/WHXRsI5ytkqPo3am2+kM1c8brzk2h5l
fM2joV1HPJPUZsAetR5ICj1kTmsemjCuPpPa8qE/J+6FvEt9RBc74w317eSuJKQR3HzSGNtw6C8t
yWz7wpvFs+fBgKIf23ZDmsQYHDTguG1kPc/uQKx3Su4skjUe9VHC8rOL5NcudVk+REbuk/ruANrU
e3FEi9FinQ3FVZOk1p47nhTfyK4GcADL6F4TEXgnN64pJMg+61YS4i+QYnHF9EfueoXRlzzbaA3P
bypRqPFGU4MTvjHBPNezCQiaLc/Bd0Dpr9uqQ7M8iKL+5EmMM6KPC37dGs3VurYade51r20In5HV
IdTIcQq8yc8psWDXvJdpXH9F8odJtVBwJDdLkPEYFFbK7stMEnUu2Qm6V2mmVQ8G0qxdBzHoySut
DIZwZaS3nqFSBv0zzmFoWFcDk4R9NXfaRYJyJqzYMtcJQJtDVMrq2Hix9iUxXaQlgyUdkLvurG9k
3A73GXmLr0milffFoGUE/+lkuTnsKXI+J+BqmrZJ6Z6fPdGrO5fdw5qkE3WsyQtfl6zWDoOItSvd
zNyXtunHoxyUu2EdnN+TEaHuVBo3H3CiP5E7Uw/ZT7VlBVaaMnh1WWOyR3/KanUyI1+hMeiuq5Fk
8QbROeA7dpffS89/q5P+n/TIf26R/8//R1I0/A0eVfZ/3UZf3pv34cdG+o+/80cbDYiXkS4DReRj
Blq0P7XR/j9oJXELLuonZk4MhP9ooy1wKbR/PpPphZoC2Pc/+2jxD2asBl330nCAYFmYi/+aI/zR
8P1dxA2Sqx/9HB59Jq26aeGTWP4LVeOPTUWRI8zNEzfeK6DmGRIMq937kOFQjJfX2ay3gQfE/D0v
LLUn6hKYHhnCQT0n50aQipqW49Hp6oKyB190nNaYxkRZvnRRBrO8K9wPhoNsjNg8rO1eoxods+Q1
N+zTOI8Houj4qZHzPDRi7ShaTi0bKi0h4FNVXJtm/MgiPHzocpFdk3UxBS0gbgLe8yyhZG9Pc55h
/LK9tcjUZLGotQuSP2mS6Btiv9lnrdIEm8gOD2Od6gOeN6fBmFjPrrtyZGthUOis6sqs2LGDvCrS
iFREFUerkofvlxDG3aVEZ3Hjz1MYXy2pobeJleXneeJrTKaRvAPqhaLD0IV6xLgJqoS0ZDVD1fCo
XJKuLk92FfufntZYt7qBgTYBE9Wk94kWkiWcOc2dFXcWLMFOPCEbGPeyc8ob4mStL2HF+m9FKFxl
sWRH9j2aFXF77risdgFoxA01G7YG0p5N4TxofmGrNaQ9ceqzzM2DzMoAOVV+uq1Vjj3fJDdgT5be
p11oT10/CLwIIRY6zyooh0K/Km5ypROIoEr9QdoT3Kt8Se/Mu2T8atZUM/4Ua28J5lQ+Tb15NRrz
vhCDc6onXDV901Vr0xzFGhsJ7HhpiiuO7rPhNy2u+r47srzH3BaFJXlw0QhwfQW1Pb+ZKo/xg4sW
eu7xmC4xDWAqtNqGIKawLHTSz3f5SA5MHDrGLiKGJV3P5uCihsMU2I5mtzZqfX7QJEe4bcv4YrZU
jytWmcv0unoDRQ9+wnRwJ/Ek9veDpcwWAdZr1UADUp6q1UqP/H4z+hHJN71mX9WJjRHMkQ3I/ib2
SX/x3eJrrml9hBa94HZRzViQhSf5H1p/9LcQ+fQlR94YVrWnWrFSjMyJzc4WLYahkVtg2jCHomjc
R9IdTiEqzF0/6mBdQrtrV2EOoqBeAEAabZ5JDdkZDbEyurVVdoGdxUnllhC6djt3or2d+dptSp/A
GKnUDSVC994hiyIIVcaQMqqXZM7Mt7ypwq0zRIgpa10ekmasnjE52g2btsbZwFGMDr4/9zezP/bb
tGqxTCpDK56NIqKu7zDgHYBhGkCJBdwGW+GTxo86BlFbWkHt4v9a6NesfGlKDF1Pd7VDbl4Ze7Rs
aHWSsCAcnidx/lGBIj10ptk/18N4MlSP50L2BiChUCA6MhKM2mbRsUAiVeM6L5Ff4eCubkbZE+9a
m/Vt1mrT1cjBI9g1Z/YWi0i49nvf+aiI031BN8GGfVYKA/PojvKuHqfmZJdR+tbGWQUnp+WrMNnY
1Cv3trL76Js2hM156r3padKL/mC0qny0kxQGmgM8xVq842WJdi5naXhjSsMN5jrPVh2SkpuppdUh
ALtH4qFlGgl5aTw8JlWo3xTwNR+xciB10jF3Yyf3Uon5vMOLOuCWuG+qWtxWc+/dO122RB/Kd9fC
QkWCJVl2obXU0YlisJTLtHyNu2piMcbF3vQEMoEgMaMpwC3z0rT0NoPV07NY3hWwU/vAWE+/T/I2
+Yr/+isftfZFmvA6CpwOXplctApJR98mzdXcWNVHqsZi23RRuRsqR5fEdpvjfdvPgjzfELcfYqrC
uIpx/JjrtC7FwQcjd4uREXZKgwlq7icAHey7SxLEIUqHeRmhmrLqnVE50U0Zp+QYWFa6S0e+an7d
dVOAh0J/Yatn3RSmgv4ic7f85kaFAWQj6+B8k8d9rP1uurGHPLzW0tKnqA/TB5LaIdZwtPqb0cDs
aGftRUS+aFeIHsSO/qD9Qq01XViK9vcJvq+bOTX9jZF4JVSqxk8JnxiVt9Z8OXx1wuFFGhox0jln
9WS3lFLxTBSkY3p3lgUBz8795KMmjfeMqY42DFejfdfrIn5PNPsejr6mAt/L8bN0lftW6nph45dK
3TUdh7ygjngfyK4Nwlpvr5TwpER/KbqTJkZ1Z3nS/JZhd+Lqq34VEfZSjzWY1LomE4YgTc8ry12b
aVjaLMtN7hyQS2fOUiJlVN6+95K53dq1K/c1a3QQXsyxbhw319/IXM6D2JuiL4U+AJMKC64fAwEO
oomDUA98O5x3shEN+buMu5+a2EafRVG6RcHsQjgCQRgqwWX1C4VZhfBsfW0qHDBeOHIzZDmbG6ju
9qfWJmm6b0oT1lqLZR6zWzJ84/FKjRoPEY2waVZXmu3ikU50RB5NPnP4t0Zmn6XIZhOpFnvWtTaU
LxEOxtNQCw6ESdrPlqaZAcnMchPyxX4sNVnuZsDzzdbzi+Fg2tIoNkR7jsRSQhwEgebV6WpwcAsW
DkZCYeY9f+ZU3Y9tOXxoSJdQsXSWuiZJpwKB5Dj8BWzHYj6Vdv2NDVT3Gon6WFb5ntFOtG9AUyDM
QTFTraivESo0ThFd4dgygs5vTYcvc9ZvHX12vuayiG94YmcvZurCCkoUfpe2qdYcew/DCKGLp3ib
IjWxkmjtMRJAQFmzKmN6B0N5tE52Ht7rFbirkvzwK1PZ3q603Vt7kNQMQw9UGIEEQyyiqpPOTo74
4LUgFy0yI0fDN+efykQ+SJFj/IylebI1Bl8MjcloS7EzIi8iYccjpdR3DH8nrBgipFZ4xmrIUzq2
2pAd0I2hIPqk9mfgqnWU3FRRU1xPhjzUJIThLDsjLQRzFOcL2rnY+W1lrZoWX1xKeWDMBUycdHKu
Utt9WBDHo28+U/utygYCN3lGywq3Z1ddHi0LDlRmMuND476Ks0LfelVx0ZPROPL733PbbyToJHJM
A1iuGm1llAa2z1TBzuzuNk/I+l0yb8myLtXKRR60S+KyutQ1IeWaIe5k3Q8sKZ11Sstatho5or6X
EhfNC4+2+sizqXrFE3gZbTM5Urh0D5GpP5J0HR9IRQa7NMirtIxeXR1va1FucaSLtQCOeqq0Cs+/
1XTrmDXMDZMSrHtVxvARxdCW4KhtU4ykRSKONB99LdNXvjPsJoHv2S1vuqFdC2/xmxa4ZEeylzDb
ivYxjzB15i+qLbXtkFEOU5IyM/Pp7FrpXy/50FgNSSVHfVYbODj7rrt205AB1jIfmAAZOXl6o8p0
Pdbp3je+Sd14G5z5S980h8grThUkY9+SFCG+92JOX7L8KYqNZFv2PVqSaSumclz1I6r/wT73Cs0s
PJcpaznvEVr54xsCZbCxlM1jO3jBJKqjNfvZI1VI8a5s+9pxWopThAOBpmVfyoTDbDckMMiMzi6P
7ve4LSuptkNNseH2QRQjkS7b+q2fJQzT6eBMxAU0Ool/DRAaZ1fFwGQRE6/7sNU3czbAnumf0sba
J0PypNlkOZA88I3+PmU2k25DQ6Epcsu7mjy9AFekh7TtI7KIWpiG8Jbsqg168PBOb4fy4I98Cnqf
1oR7SRQThZ0XNNCEb3EXIzStdHIE48myb8Op9VelP10aOcZriRZan92XgZBCxNjmWkzxa6P8U0aa
xiGXzmmKYVfZWXmwjPBqbpNVn8fXFhGomwpOrJuEDRSbRer7DRmVzXALCK7eUU6U9T3twX5kn+no
1g74/KM9x/W6X0aunlg51XgZCGLGmfuVx8Wt6UY7HWZbPc17P7SDXqEgL0ZMmyxD48Q1Tlo079Ts
JCc/S6ftXIyPpd/LvVVUXxodnBl84+bajusMO2rnc3SMh44vaeCIkCCPJWcMGENV95xmqDdrWxwx
UcW0AsyjnfkrLOyDZc3Lz5XXGL9BpaPeOhtmHFi5kEz5ez9YJJ/M/MZn2r+dBGbLpJpjTGTDjWZo
m9KohldNuQ7P8akeb3VYH2fLr/2NLhmSTMrlGareHX0693lTQxDLLHFldGGqmHk0wEHoNRCrGUpw
JseGrDatKcLACx1SsRAeb/WqRUX8bGFL/pinmKm9Lb9ibRccQb5kOaODESsTDRFjWL+34eABvrMQ
4GkWmmwrQDZe3LaNNW/0fqzOqePdRnWS4+jOHvqEkpi2dhWpUHsAI06rUbNEucxtq193GNCvtUr0
RyMcPhT5c/OMrBVBDtqsa2mFJ4+rnqcXA8IyTJ5msQLgXiCcOxxRdpdOeNvjux4VOHoGR9WagVe4
wzs+fJSjU69HWXGkyi6P71on2uWpp68L9Mh8INwble5nt9LKjOw2dNl6rEcEeDChNy3Z5ExJczYd
+3Iwq3ZX9u11nzbhru9T464afEUZzSh5V1ZUMUzhhuzRqV3FZxGG/mOqyK6/82PfA92wKNwJc0en
UlU2iZNei6a7zg3meFmmHXWWej6vi6mXwXTbgaGrGhJmkkgNxZ4MOersGJFhEMYTg7ymnUZvq0rN
Oc+ODwUei7gn14094SevKvMMUv7FTWAadhHuz6cUe3q1Dk0Hceos0CMDo/dogLu8VudRzIRzUkGd
dW6Pz54x5lmZYJMd6RdwvCtfHUGhuEssr0ybF4y+TKmNFFP+rUvgKU7Sfk4IXzOK8KCcKPUBLLYa
aaj0/508o6/8zEo6oasw7eZmE/epc0CZbmyajmj3ySvbTRKZ8WmuxCRWhY6hQOUFrg7pU2wStIM0
WUtQ8bsO5ussiqqXUikL4RRksK2uMVQnVC2c38ahgmiEhnvqmGbryY01W06+MRR2yevIIgOPKs+1
t+hYa7xzXTi/Z8qXzzH17DmbhJtvvCLMeDrCEClBSNvu+T/YO7Mtt42za9/QDy8UgMJwSpAg2exJ
rZZ6OMFSSzJmoDAPV/8/1XESKUqcz+c587IlkwSJwjvs/eySM6k4J7LApR4nZgBAEGN1CrY59u78
Kchuu2Cdun03FPY+8TMsNlTjv2dU/YSfwoEyzpUqsbSI6rINaXsl3cK9YniQPUm2u+FSb2xoGwZZ
+7iuCWNMF3OCEeZPrHu23CfXrKkXot9sz2IK5JmvpT0bnyAp+UAbDTgoezNGYRi16UK1uBR2TWqF
2ZUfJztdX2yjWF5csiIPvafKc7MmyFnb1E+DsCHz8GthY4pe6rjHpyHhHuG09F08ZhJ/CarjEZ5r
hyjT5pTPxWvXE6kG3j0O7DA2WwbSThOgp4+37LYIDI6ZuurIKRj5SITEb280SPyDmd3G0GRIejPT
OWV8YhZfW9dmUFV2oofAlGTecQ74QZGxSkHN+kk6IDMt6iUK+Ljr7/2x8QGKdwNAiY3e8G//E9kG
3dm1A1TEgrH+9wZt5CvSVSONNh9MW7i0DYjOisEVGstaJUzlCcDlLUxF+dUtGshhsgROO48dQEwf
rTEKLoyDbiutQ+O1/p27eQVTDZMfzPv77gqffxyIpz8PhHpNkdEFuAJE6oWrKGeg6pLFM71GqcGb
JpGMtV9PF8jwJIL0CLyjplI22RsZS3j8bi4b4MkRpwaddx5uQCK6MF0GQgFt/h+7buzTUxCM/O4c
p1H1p2rmx63SvI/GYMkFC6kRba7DQUquk/s8qa49CcJr0Ss2x8KV6gacefyR5YS/Z+Y/n/25eWyA
hDwGJYcybkIwTFmxug9ub5pPhb3Zn8qytfZOHnyHkcJWzZ0rltWFm50xPVqh5zgkDDBtGBtTczp9
/7WB0P+Jzfk3tsX23olN42hXxWM1EVuS45ph1lWMD04xrDeikTVNhZvZcIpz69y7mNEpYBpxaTCq
XG0ctful8ZjmAPnAjmUcSD74XZBW6EFIGV96K2fDLJvpOqV6usFSIw/OmFyrcrJwZuQ+aF/LMz5W
5dI89vg97tNVfFvQhIJ27nAUZi71ore22cfWt8s+KoKKsnRxpsNqDhx9xoI6fSiezY5nNuOgCvX1
RD/nxYpto5rni8NE45QayXAwiODYY6liVWaPJLsUm59+6nvDvQkqkQ4MKnrAPn5d3CDxBs5K2Q2p
itWs0c22s3f1n6T5+sq7CYguFO4lJhjhwBfYHQoj6S9D0HhwvOZul1fddmnwAjGszMiQnn0qtyxP
roMeGIbgt3hbeXMEVs61tL1pw6MD1zqf75O6SlgVbu6lb/xPfpov0z5ZnPosJ5/y1ycH9n/7kO/v
8sT/IizEPC/w6yJ1+pOVyHdSipOm+1Fc+M+/9091YcBDB4InmiBNkf9RXegDj+cmQ/vmarX5H1sR
+zefZQj6JxIfMK6zB/nHVsT6DbKGw1bElqxYHIdcs7+wFPlVio+KDM2rsHyBzlEG/6L1W1KvbctY
4Yx0N/OhkUNxLYruaxuY6WPp9oCQlTiLGMpxm8jquNjsn6dhZsFHXxt23YYEZcqrs731xUmuyKl3
GVqro0hgOqbUEpSkdntWSZGHZg6oJyTeKvsvsqt3VdXPQkKc/ejyUZCjbP6F3tZSM/KkbkomHnl2
7ilLo9rB5D9NU3eAEujfo+Q8minDyZyS4kluw3QLsca8Lovpj1g29nr/Hrj2q5bYRZknUG1KB9Ec
QtCf10wBoSEoVMbyKBgv3kyZs8B1Kttv6MJercIReqJps0Qfzajx0p5aAS5hMqoP7ujTZlhLcp4K
gX0AwtAh35DdeZCHPvLAzkOarv5uKnwsiWxd8CmtVLQjQkH23LL7Lyo8nPC81Z8urM4XQPNnOjY/
ErSTP3+UwfCGuWEjfUxj8ebZ9etGxK3UWbed6NyrLa3f3IH1Etqy35VOxiWhxwwNtuRnM9BhXDgB
Q1mmZSh1qm7iMNUcSNmdyDah+SpefZ3BS9bu8BgkEBFiW0f02mWcHARr7pMP9ibbjTrNV7Tk+jKl
EZHHaHMvTaradcNP1ShWCfY6Q7ZLG3+895y+OjuZgQtWr5QMy80PFQLy02Z0ku2RwFnYtQ9L0m+7
oli2w6aziN8zcDqdTzwRVExVjKlv7d6sPJhOqAd5culo42RWvwfQWMP6ztDRx8NICDKnyLJvGu+6
qmyetToqedShyatDfPKiCFLudaRyKrcnozNJ6e5Y6Dj9Xg3etdFolbiZ3jVlM9wuZFfsPMVIYGnG
8UMFpQDJ3NrdCY+Oncj7+jKwJ418nHTHQTFi6WoKFGofHFIx6saWGEr0h0waJ2hjlccqsPNASowZ
Yq8qEEw+YvsjAYYiNLUJSymaelY5A0UOVHQEl1eIKauwRMK4Wz32aImXPBg8MvdgZ1IKT8LMUaet
2sCGmDKDShSPSEgQZ35QIzB2xy1uCk/Pgd3GZr3vIE6yv+bGwFOV4j60vQp1nCybI9P+6TLafoeo
y1/QU1CrlqP5tKXD/EKZDN8zQZCBJs36PVCAtcxc8qkLN/hONpj3ac3anp0dC6kMpLliFEJ46sR1
QPQz2ckYTZDv3k+so7kmDSnmg7hyBaJV27DBqGeV/Ij1uogQ8jG7muItku203Pv0J9HSj92+iedg
x8bTBVTZuw+T3wVhtUjr2Ej6V8scjQ++VmZum2/cjt56PRcASZWMv+Zu+4zHkwVnmXDzbL11Z8hh
JhpbKz69ApVIUyJ4qmemFxtS4kcz8T5szJ5DCJDpHk9UvEdY1yBQGbI9I6xxT393TXf6GSVYv5Na
HeE5OSa1ihoS7YSn5PNgQALNTcWY2Jyq29TabiEtfBJro/DLa2T4MH0eav8TROGbOkGWg6SwLwHl
r1ZONdWP53KYHhkH+Tft2DyLqokPjRZwbPHy4ElmOxtKPCx1ayS74WK4cgMbAGE4nYe9VxnTvW8P
HxMlI8Pym31hGU0oOvs2y7I7dIYPlFDpblHms19AMCquC07BEzy8W+rhKzPmx7UiXoTw2DzUXr5R
83iskoCkEWE/P/SGFAcAWQ+FNzGzmEhpZbawHoOxKMKWzcKO8SOTQnCnEXLw+SBH46uD12L07ddx
pSb3lsk8F1Pes8Xk6PCWmnLRobrHM/g8Qhs7QgIlL55xoZMnhMixLb0r+/6S++nrCACOURNCmq0p
4sOUYE7s3ZXgibh8MGpHgV5uRy5MT225tF+yBAulmos+9AqdTrCwy14xoURSLK+xsogsKbq3Op39
7zyfrYMnu/jg+G36lrH+PJKHbp1KFnTRaBtEr2yGtZNxgvyZWe3BaqQDlpjcDA850gn9qObn++p1
6jznvp6hl3aJu11X2VgBbIDzBxNgvTFlPd3RVGvZakewBkksRRZWeWF/ZNy6wThwpgxvoJ9ghZbu
Z7tsqw+db4gN2FegmLPwW8T1NgdfM4v8K4UF4m5tzr1VOge7Sgsdsd0eFbPZQ2KY5rlFSxCNfULu
mIzZt9TGkH2eRsIJ1mx99dAxPiuMu4uVXaeLqK5la/ghdjmCJBz7y+puBuuAOVwLgkRIcCWgMdCX
d7PcE8+V+kFmqYHOkT/ftg3Ukabioa6IZnBg0HL5yWU+L2viHzPhKk5JA9Icc3XxVuUWiQDoRQ+8
LZCEMZiwuzwLnn1p0Ng6g9sBROw2XMGLcRePQX63GI5LB6qYxHEoqA8Jwea3JgrM65SfZ2QtfADm
Of30OC7bxa6y5QGz59Yduf+bV5DV8fX/W3PLZpwAfCPuptshre1d3xjHMVsjK6WjIc49fmJ6SFpM
2c97VbUvxOh+89EkEkzhcVAPJlFWbvw7wW9q78f+N+6NqxqjcVQby3zAnxgfhtR0wjShLxtIxskS
Et3TylhPazl7N00wfEWsFrOKtYc7G/Vl13lvhTsT+uAmX1qnIh1lNVToroSwzxM47sHdnnsqkz21
AGe4QPWFFKPas3/+KFxjDYMGkYCXGQ+Lx5So7CUUPlYYfkb8ssEAabdM5cDtJEcmNuJQzQvghW57
KdGv7yrHe8uQ/B1yHPJcAXiaKQNO2bokqpnPckJuSuO17VdYjqcFSQSKeJg2Q208CMdqw2xjk79m
zXgtx/Rv1rD/6cH+T/2PdrD85/7novuf4Uv9a/+j/97f+x8LQxQJ3QiuQNPSbfyz/xG/AVsmvcDC
2wTKjqDFPxog9zeLihOTKl5IMtXf8XN/2KuAnUn+DjZcsKYBRqu/FLcLb+1fS1xMLQHWIDoqWi1M
Lj+XuI6V9p2Ni4GYHh5DXjkTRLK1r0GDNhjTAIT8VOABXEYv8ob8ASgLI6O4fMPV513Q3N6gLX9e
Jtw4naabeWM8XnlZfe9q9OS0jfN+bdwuBLkIdXIBH+wnSrB7N+SdWxb2760EzjHoBSHuAX8/yIcg
zTQ5hWFcZjOpBNK4PZRCPqSdAyfcJXRrmYuHeSzlTaKokPKKRcRQbNfdBIGy94LhIzMvEgDbgkF/
LpZ9pUTw0lel3DPFjQbgijvTqbIokTyNkqV7jm2CmuaaURDZky1HXzh44glsRpuw4crm2wb8Ag9W
Ul1Gh4Kjlr3LiHs4zzLWR15C3ogzqWNtdHcqHvOD9FLSFjnhzKFdXtAwuDtbNlfm5E6PpcF4o3Ke
nH4+FlCGdmNs3i94T3a2kZghZfr42d7qG9tML2bH/if1mlNRuN/GURFolEc5Y59DL9wIGTWbnHJ6
cFRnpXs5giwqPQ+9b+8uEcZ+Y5d79bxvUDgf25bzazRUSwOxga1Ed3iUKKO8NufjpoLnckrYRVqT
iAhwmOwCv74HTYnzfJqe88xny28P9dGQy02TiHs/5YIVpU1cVIWuyen1lBxXxVG68UlD8XY+2Qi7
ET3EvtvWNspzqtBtKceL2RQubfSw7ayqekon0YZoI9yd52OtSst1uMtY9kcwfJKjdjw9lvqFGSzp
DVa3fGQT4EWtGKz90q+/SxOjDymV7Hm26q4wQGyuo/XC93mbuERFIobG7GS7B8vzSYwAVoSapcn2
ta3/ZCbklWz9nPVI9021KzRecMJG4mAamHHrdEN1w86L8i7mJkm1/rut1I3t82ESwlpRVRRf/VH1
dPrU50tr5Zds3Kw9XI8tik3Fl22xHMWtSDCps3RvtI86rDj5kDYsGoM+Y1xZv3mZ1+5bKb+Qs/vY
TK46qGI9uBlPJW9lmGnGt1oqeqC8yXFDJIwG2Ypfkz9WeOsNa35uSyShkVTLF1Ml1o4bkLg7aR4x
jyny2jrFWievPyWquhQr3YsZsGAiWVNFW6qILO1WdDjzWZobtndng71BdERkr6n1KAxPoJBAlphb
DrFkQ+/uDabPO4unEVwo7kKf58++EWziHJMHotNeWHwup2mt79dJw5vpbcNu8ViQKK988RoKtEKQ
hAa4muCoqYnsZlCntQqKYyxkdoQYgdKgXr0o7fAjd637ocvci1QJQZlom5y8vjKm5rUrGLoC68S6
E3RcZ+48eWNMrXcrBnmNBYJ+0TG7Y5mYUWrBTVbNTINVVoKTybo4lcViSKVYBRCtniQcoQQlbOUT
eqloRSNDKnGVkS+x94tT4xDVvHlH4ZoPtqEACtkDYrsgvawaJrzV+TV4Q5vReZmhCit8ps0m+VFl
y1Bbec3H0Tr2or/1XcVq02m+T0tR3kDkhWJigVPZQnuZYvMwAbb7VkHjIhqrSt3iCDDKODroMk9F
udDH1bn1qowiPVptB0qjziqDgGVyjiTg2NOCdefSdUVwXbFKP9u5sk/SNJcD6o3g1koeimAuw1hU
5t4WeRmxB1NYxOZSb2ZHNFtOcIhtGFWlKYoQWEWPsBZ6hrRi643FxBxuveNd5bkyT5vDgMsqqglT
DjEZ9dot1ENi6ZEItmyASw6B3m/mQzF5Ytczdj/7BitDBVc6AsNGUDoml2R1EMSgGM1GZe4GN59o
yWWFkES9lrVRhYUH0i8T1hkEyeswsERobB5RCnbMTgpSzsyuICd6UMXLOjWkoiWslN2ccUwqKL0S
f5w4niTfIt5HP7GzA/uyx2o2oUDYdQLHq6XZ1fm4YEguoicLrpu717gG+obyJ702HOlfQMIuyK3K
o8yr6670GSEIwNfAlQiesNEltDpPl6sUPFeNMz3FfG+4pjy4Rlyi0O031D5Fw5KZ4Tu5uNZ4VJOz
7VL90Ze093dZOcmDWZXX2Fsa7vE6XKB5LP5EuTeq40yf+7gUAby1alr2G9Cl4+ynBSMSrnPeVFO0
de2AmMDEeZ+lbDdlBiZY28XGNpu4bXmSiZFPnObOdtxaQfxYz5oGplpc77Pc6NgHGM4eZ+KzyabS
qBJAAIh2DoB7espyIORmYfD1pqjVcsrZ/bTkLIBmkqgHmqL9kutbqidVpnQScSdmUT9Xdf+Quh4P
UmyHY4qqhe1zG6ZY49Yq4xsXzCQIkmV6lqXZaU1XDCiSjbmd5jBQeB92Y12J1LrMRRF12nhXaAte
s2XeleMSl1zgFGwgEx5sxRPaq9NXlwEFim9+k/zCqExSccUV7/feTJOOxrG5MWYbeUvd3TGblGEM
KBopV4+h6dtg+F1UKEQNyhHJvisIY6ulT/K8ueiNSDZeoT1f2KYCQxoNJmjbkjeI1vgW0EyQEqf8
4CoZeWpazOaOpdsK/F5e93WpvFKnkeHosxnBCYP3htKXo1hlzZGdHh5LK6GHYSqytn2A55ezdFkg
+s2IwHIycvawkNKjJ3CCFRn3XKHtlEFX3njLNpOcCbi+asoZFb6i+AGdf1xdminwif1+hiuyt3tX
3kJRU1HcjoiIOOzrjkfCzPOGh+MoP85Np6LZWCyePukYbqRgFhb3asLujHWz82zi+nQ4bp3VxLS7
VDypp43A6t5Fe6WNoiWZG7Ns1mtLAbYNtIvUQ7yH8ZXtlZF85z5k2ltDLXK6mSGRZ9Xh6hcYGqHC
DuCXdvYSt0wCS97ceuzn9gCg/DVFM9vVyxKShPCSzauHRZMr6Ah0eCUzLm5DysciSEW0FtVNVfNs
KoiNCMfKuGbclt9Zc7KRQs3DjO7eQU0euGdrtJC89pjfxk2DJlHX/M9W8xfWSFhR/nMbRS7x9zpJ
vtTjr42Uy9/8eyNl/wY+gHm8YF3MDuOHRsr6jdaZfwmDnL2D7mH+aKQ0pgKcCZhbIU29HvnHIokd
kyfet0xskfCb2cFfWST9gnKAFmwFDsFxrLqsX/ZI61hzD40g++Pee+zR3OwaRaBuoWqsB2jPf7g8
f3h7foQ5CN2U/bSXsAI+vwVOgdIFRIVu6n4gSNVbELfDtFrHqSVs1WyzOCr6dApTBUJKKXISces9
GM5K0iUHoL2zXJ7HeLqNv21H/+Oyh2v+yxuBH0w1T3frYm36+Y1saGRq+jnrSHJSdZ0GzCUdc6ij
Lifvt5sdkmqnsjgRnqSOkID+KtSCSw7GGLo1i0XYJf/y6uM65iyyPaLZm7nY27MlzhnxHtGfX+1f
YQy8DNYpi4cHoS9gwX/+kKlJ4kSfAKjNJsymih8hJg9hH8ZNVSdwAPeNKV7Zb6p9PiS4VQBF3bN5
m49Vl01Hv4VGVyJoNKp0PlpBOx9VM84M4HsjWrqxDDvsmIc/f8+/fC8y0OMGxgQePw/zPYHrhx9I
Wa2e284YaKoscKJmWq8q7ZfgV0oXB+dPJ9UMzLYIxWx6978gx3+5GXSwlya2YIXzcZrpN/fDi7Nq
HXqVZrz4RL0Vo4CPOjMr9mIRS1Tpt/DnH/YXPIf2s9nCMsGsy18Tckwk7AiJUl5vbdcT72cMy4Tj
fWiJs8k9/t02jNb5z1/Uec/E+ukm1HMbGSBO0h/X1XCcHz+m1ZF9JHuDb9KqbryMGrkTBNBUqd3u
yEZhmuj31d26EQecLpTbI1kNb52bEOuEVerKcBIjREPU7CkND00+lJGaUXyQWLNd+Yb7wjPsVA+I
8UyrOtW2UR7WrPyUV2hO2iwFGA895ljZ3m2K/mwp+tPCgjt06+FoszUNA9JbvbEH7Z4GJdDBFAW7
V7xJfzm1Aqd07MGwXAO+DcO1vrrGoiLV9+njuHl0pUMwk4WcIuxUi3E9uXn+5OMiCjsDTwN77umT
sMvyVEFUPba+W1DCBptx2BSO4MiYKhROg/E42JvD0KNb77K6nm+sYh3vJ9tAdzWhkR5Qs0Bbxgp/
J6mRdQStu0Z9nYjDugXV91jy+97Nrft7MG7Fdd8QFxQzrz2jFV/VgfqRwtEB7kxKspPj01+7zNmh
sQMYbUqPULzOdeynTLLg31cUkfD1CWzBHug7SzTZ6Kt7bMxqJ+BKInszGhKAS7HytfQuGsZ48u2Y
+dcgAYZY1fjp/UxHO48tQqAN3w1LTiB04xdf1jxvvviZdG68zYm/175JCZi2ffl1RlPwBTmajhwR
LGi1asu/rKkgLhma7gSleFpfSfbgSeGiOKSvkd/6xFb9zndb8IiUhFPzUS3bzZqaZmi6AhEtkSCf
ZDrjGauqOLt2FxKjLeZFuB0GtNHsR2hQ89ZFiuaEzEDcloMp1p1ssJD5Xeru1jCBwNDu4qQxTr7u
gOcZSkNrmpecup2VLn2yGAgwRi/NQmnojlOPtICkRCCr9Neu7rTle9NdS+rqqcZgSGWLKaW8CnSL
rnt1kyoMhvZ9orv4TPfzbduijrPW7AjMpQDUjm1DTaoB5GJebJc7Ab5Tfpf1Q/nS6omBq2cHkDqb
fW6WBOjgA6mri63nDMmip+F69pDoKYTQ8wiP/eiu0zOKTE8rWj23MPUEgxgE6zHTUw2p5xuOnnQo
Rh41ow94bJTvLSVx7xr13vcofROruHh6ZhLo6QnyWBVODFSknqwUDGhRMoxfVGwyWHA3wtgZxDjO
W6bnMpue0LR6VoMblzAUxjcuY5xspuQvMyQAm6kOQ+4/roD1XD37kQyBfIZBiZ4KeUH2gdVlH87l
yBKeyVH5PkQK9DzJ1ZOlVM+YZj1tYudHM6AnUC2jqCTBd7JJ2rB2rG8SPa9y9eTK1jOslmHW8j7V
4u3vysS6K4OR8KICCkCvGqXXDMSlWQoqTTua30x/5D+3eg+tdIuCo6k65hWiudXGnTfHcei6UvCJ
AnUO4h5pl2Vv4caJiQWov0pIaKpaAmFUH5O8Vbr3HGZcybUBScsG9UrY7YJFnolGkuEesLKnDTfA
nq4NCyWrd8WsMwpQ6O3wwoFtLsxbC08guWIOy++EWG4o5ikArWw4rk4tos7HYdJNs/tiK9rg1mlB
IuadjSRUvGQ+qWCLhD3hYT8DYnUeUFDuLcF41LM5sQn0PDqjsx5koo2+ek/u+OX94rvdt5bW+IPF
+z/wE0/PjeAgtyoWYthWb2iorhMeA83kP/eTdRZuX14ZwVJfNpPY1uxOeb11q/+EreRFJJvPnCqx
om7iaLKyFSuZ4XSXYXOHjxyI12ITkHtHBhwNT9powG12zAzwSJBoP6e2se3rjV9Hji4CYV6H14kp
0W5bmOjl5couFSj8ify25Jiv6UM1lbhBm+KlmRtxVefTbeInZdSTKFnvrBIRw3v7BBaYAINkMcMB
fPHJyceBkF9kkuOW42ohL7xXyC0s7BChO5hPzNfQoICivkGgCOV70OMBGUOAmJkRqDUpLlB7vChb
edVugkiyzgqToUGe17ihYFZLcS9z2MmQKsTV4haXEQZzMGxnb5WPFj6cfT5zoza5w37LZSM5wLN0
LPPJ03KNvjKDF7Ft7XHLoAvjElpCf1rtfTzV0AhTUL2Oyk/sB4eLDfZC5cHy+b0K+N927P+2HaMS
+89t3f2XFHXgry2dZgX+0NI5prTo3TzaMZNK8e/kQb0bM9mKMeQxTTv4Z0vn/Ob5lgBC67gmeEGa
vn/0dMT9YGeD+BsIxIEC2eFf6emIwaaC+6nCgzeImcQEC+bZiBRZ0P1Y4eXT6JmpED030XQP5fbe
0pxwAC5JtitxK9Qo7NCpIm+wdkifcSvmC4SOZgIqXr9yYtt7oyte0oKCuwZfbps5noE43k5qxeHY
rpl5KaGfIyYzI7MkH6IftvSzK7GV41xqj5QvywdlVfZ+BIP6DDf0xkqhtexs22ytx8nFauI7Kv02
e8v4hsCaV21q/4PklHkrlOtErUK4DU8GH+upAOXwALvh6wBwseXY6TFr0SAM9+zrTXmcYOKMIczu
7JhAuGCXxhz5E2Ng90SKBQ4hBNXigyAdlhPfCeblhO3DoWyxUvQUTa5N9R1jKCY+BdgXVZviUCgO
MtG2y9F0M4ZwSsxnx5AFszo3J4HEzgb41xAluh0WqmlXM6U+OtWy3OQzNgsp1wVAg7/gMlNNey5k
HoxRH4PMwuV3284oYmQ3+1exxyGb1EGipevWsRwMXPaJZ33ddIU7b4YPFqrABKdIN4/Xcu/q0lil
A1O4nAqjTazDZLDbLJiZHtdedhyffb/PY1kehnlNTmQLf/Ioy2ddnze6Uq91zV6IObt3dEGPGZ6v
TWFHxswQC8jGuh1oTNDoctzE50R16bVANiT0yWToM8qPbRsdtp3ddGPD+3lXoWWpvMPqbUZEm5Ck
Osv9avP/cCqKs8pb7+duI0dGqyOYvM+3ul5XYU9wHeoViqwPqNjFDR485D6Vw/MMNQUD9ckIEXeL
GlG/INk9T+yxCOFN4BBYskHdd/oBwjNoOrKJ2nY2eZA8Bkpzv3rDp5yHPCsdI3m0JmLUq4nMz9TB
PQriF2E3DtFwHgzNmvf6K8tU2UfbnO+KxETg36csMbZpYkPoXltoQ491MvL8NJJcHXwljQeFI+uw
DH6U2GCtDAvEQ1AS7D20yAFTkw2r62AqQ+SAFEw/1R2wfXp2SJgfnp7K2CdNPdM4Oe5tkCk/nEk/
v5opHwISSzYPoIhBqCmyEtqYHYlfKhSxU0QUzATNF91VjQQmpGnawkUoOhKGyr9n43hoqi74XAtb
gkAwRIgy0kbH1DHYzafm29jZ5pNdz9Mt+H58akLfl3rPqFStzqlV3gp/JdU3q6engRCpM9o3L+r1
AjPDvsCGQglcz3RtBXkObD57vQPN9DY0lYXPTluwmN9t87gcRSvyq850yg99uUyHPhfNvkvnm1LA
KQWcBBU/HZ576VP6KzQoDyD6zOME5P8AA6mNLILh832ld8M9P1B2odCIIEcuEcER/WG2p2rnVLi1
O5/W0A5WtjUA82AFhA6r6BgINkEtFePw0R7ErkolLLCa7Beh99taygMUqwwDxEGHzphu7arsj3aS
l8fK69LzOi3jhcJquhVdx04dctuT5dbG89Tayw4ZsRdR42HWxp0bEXkSvAwjotJKb/A9vcsnNWbg
+rDfH1n0T6zFd9amxmd8ag8jjkd6JYpqh+8iq8TwMdfCAXhJOLETg1z0LamvpFYbqLZVwc7nXL/O
VDqxuEWuMC0MkAfgUkDPmpt0cN03u0sfZqv2wHW45t7HgRm6I1G13NOMhruNKGZq5oU0Mw6TsF2S
/LEvhYM8Eq2OX7KH5dhpnrK881BLchSsOMMMUhZCEm+aBwvB1l3boErz9AB8KCmw137GB1rl852B
Fn0LMfdtV4NmM7LZWW/totSbk7IG3jhojqPaIDpuoB0XzoTUtzCdAX00MVENmgJZaR6kp8mQvWZE
ItdYGIsDjsw1QXJ7h0kaiT+/dHZavAyaNUlsUHzxZviTDiBKG+yFbXXT7/M7pDLmAXRlvqMrF02x
RGSmbsHVGZ9J8zafNw/apam5l4UmYHqaheln5LXN74BMHMxTNGtq5hw3+WkApGmVwDUQzJTR2oz3
/TLcFIJmpViSm4Z9LY39uO6ERnKOsDlHDemcLWidUDuFS8RxiYWYU1Ea5bjD8rrqPgcDIniKauDZ
h7g20zJby0Nwa2npbaZFuCVqXJ701zHRgA9IupLQRrE7rD5BMsUAn6ehW2GBi8t90fpfDTMlzhJU
+jjE67HRguFNS4dJ4hJ4FS3CPqh20XogxByZ/529ZulftmJIj73WKjdatcyUbuVsQclcak3zrNXN
/Kvsvo6n+RY1eHGDa+7Z9fzxhquhDpW1EBAs4xKTs00oqZYDuENOz9ssJzdFigmVcI7fkjbv9yJj
eZo5zq1Tuu4H28KotboxnddAZRMmTnbn43LkSgUhMpEYu5uycyQf3POsvUg4lc65gr6x7gezMtrI
TnFp7hozz+Ov6QYsHwgJ6MDLSKiyUU8zJw9pgbnMPvMzMqGmAFO133NLgjlIvysXMj0bGa+29YzU
trICy+oK2IcTpGmAugBRiOqsc09tyVhrJ4hZSd4DV/5XnP9fdi7sIvw/rcw/fnn7kv5YmP/xN/6o
ykXwm0Vl6SEI06mZPmXvH1U5iDPbJPXcZLBLAW7/U7Hm/WZj+wBkRlIIgQZSMBT+h2LN9Pk3pqnp
4niKWML8BcsO1p8fa/KAObwjPDDMqOBY2mhr0I81eUZsWLvMgzzXPbkNwmnbJ7aG675bODh+aFfu
/1bo/7hmsblov7wWH8vkgwICF//qZBnQuSmdL3Key2SLkg5zMVQcoMxdIO7Rskj2ohLrWg88to+N
NcIgaL4iFw5uGbqaZ1OMl2RaKug6o3FdwqeE+FtWhzRHWLqx139apqY4MoHPQ9UxX+sat+C/Numb
iyn5QEo4iuAOm3aWIM9i4Mr4cC67U7uRqhAMBiJ5rsYJSwWdelZ+yAIrg81TstH+80vx7666ZzJi
59tzLTxbP1/1dnBkZxqNcx4TXMiilvUJtcbEyjwZjn/+Uv+yPdBfsEQTaSKNBJLAj+znl6JFkj6Z
Xu65mhWsRZEY5zhIrdd8bpTDSK6tT3/+gs6/e0WLRpLbhtBCmsufXxEhdLel2+Sc379hND88aJ2x
ZIlG3s6ZxJ8EYcHWPxF0sKqQb1DhORl4YliTEVySBQsjZo7kZuz6kvW287Y25qqt+5O3a7a0uPeZ
QyIzQA0TxIoOEkQ6nUZrNeb/5+68etvG1jX8V4K5J8BegDMDHHXKPbbjJDeE7SjsvfPX74d2nLFk
RTrZ2RjsHOQmtiUurr7W973lc6nHDToDWj8fPHjCMUixHvxBQGBcQKN+HNZALOWhQ4gT7DQp7pHZ
YrRWc53RKhLgmX5UzYXcXHNFu4grRG25QahXRuDaXhW4q74D7qfWoLjjWu1mrkym/HAL7pkn3NKh
kI8Xbyh9LAuv56QRe03XBK5uj9dQjFzw7PuUxCISrD2AcraBeoFcQnhEBn7PmNRU+mvUmR/7bicJ
Klh5U/tZoNuSGJpzPFGSBynJ+xkYj/j6cAXfFkVbk14yWHyQ4lB3ihJrrtbukA12bIJBDLjdXXgJ
kB/NV4bzw0W9HYyj9YAxkhz5hzXxdluia4xarUEIDDEU6YQrQUqSIsZ1i5TMrJSy9MjoH/vmVYyD
6Yb0MXKkZG8JdZi7qWSGY8sFX6lsyyQvg5QBMNSmN6doVebTxsUgVNXibtn0mNIerukubXEsGoCz
KTLjWF2RutyuKicjsW1ACdoxyu2wmIe5UwTNUtfzaJFiFDdzJNQGXKNgHDXONI9heyTkKM6Upv56
5F12Qj28i0rfsqmx3RkEmHaGMIu/ZORi1sDbiz5mA8yQIBjP40V/p1XCrW+2CCgWl6i5uFjHu1dH
ih+rut0LFA+HkwYR1bcJfTMNJbcynNo2q86FIxpPiXOVc0xMlyaRCuiDPtdxHbdM19vIQoQcQEFP
Ae/EUg9F8TliIdUV9qEnSave4+wrf3LKUIXHlRwz2N311BqbinQ459vR9BaS507W3VH7xNf8ULPV
XrYekTv2HwpYS1MrlL7IULInqRAGDsLJenSODFeP6n6X3wmDYt6mKngmZL1u8FnrHg634ds5yrxk
ELM5oWNhKLvp2Liu0HE2OcqiAGr3RurBe+ISKfXxMPv5ogxttBQDMI/H7c5ggWGm6zUQYXuQDEST
3NyEMiQnXGzJUvRHFlf57YrAmkN6GaVYHdbo7olnqBSv1tH1sOVmiG0zz9TLEiX5WQRucZ5nxgiF
httGrCFe1nE/3LhmVXAWwUTxHAG2MReWJf5ClYcx0zV081jwrGUKHtybSjnGAWR5yOBw+QOqotbY
CSZ3lhJbFz6gvVvfhaQ7ceNaPmKDtqe/dBOjYnpNBaC5218GYGS4vZlmI5NaLk20D1dCnrsY8RE6
+Nn+gjOhKqOYrsZRV9vZ4BNzwB0z4PSC8ivaN3ok2Lrnxg8d0hc/fVBCQoSVm4rBfcbvdntNC128
iIdWVexKyvEkVOJ4lY4HVba/YyYhbxtQMyQuyNxUMZPDdGO7KNxjiM84gWInhuGulUzUPkRVKkHX
NaojtXqzSXDextWFKukYBJnG+CqvEB1B0bZe6SuKbQYk5hREU4lLiVjYIgk3rUsTXw4r9VkQzA+H
e+7N2CcJAKOdVVkDzKI/AaFeFdxD7Qh1sla2Skh5GTWpukLBPV0WSfIeM+OfhM0wuYCJYQvG9QU+
6BvYTDXKJqGfOtiNWA8gfar+Mgg139ZjpbxIJMM9DXPdnGciDU64MDqy9785R43Fa1jbEFNnQ949
ZlR1iOVQqZP+CnCtxKMguzbgW56WYEtBcg1hMucA5nfP2MQfgrikNyMJ9Bzi8EDYWGS4Xu1sxAYh
bRdB08bGrQIVoqGsqlWkJy0Wq1kl+vMKUjemxagEo3ujZcIXPDVwW02794Xmo6SnmWRFsq6/Tolm
3vRePgT3R8aB9WaDZqSbEKGAfIyTy9iZww2B+LouzNBWW7OFAWINIEXlrP9ak7GcIWe0qRy9OHUL
rbbr0CU018uRvsY6xlhxZVLxJTT0xxQ7xhMv6LVrLEgSXI5DayGaffkR7LqozirJ1T8YXiYvAEe7
o9aU0hFNbqO5FpfILJGnWKKBM0VxALap5JL6bjtRuZFNUgsoPpSYJsyx5pTluZCHJ1bfyStUdskT
dWZ0w5YC6JvDnLsAPHOKBqY3xzW6I2LarcNSdZYFlsnhpMCC2h7vpQgVm62EtYmnbWTEgzmajdby
TSXMdA3HYisCBD7VmvROrGPCtRE2GDmaGUvLcC5rNrBN3mbuBpfbO0XqqykYmO4KYcfsA/KFl1WI
24eOM2PSSz7p6MG/GmIgtBM/0NQlIHLlBO85/TLHVpBwvdpBuRD9JWhA2MS1L5ybucgrOZyL3kN3
0O8HK7FNn/R92wfhEgJxT0DdryvSUZh3eBAlP3WpWk+Jw4PwiDFhAbLRnlcZgtfTMih8kAh5a3z1
DLOIQcMbPkKynY7rM/KekyoZiFFrgnRnlRgzVrrr3LJoaXC53KB+yBrZOc8T1Z27uujaOqpS+HCk
VUD/+QlCm6lSXrWov6KS0JlXVqjB9NFjgbRxn53GOJGfVKTK0MRC8O00FshCA8uGryZYqrEIXFmH
eYCrJUrn9fChkpBtzNP8E1SVDQsBVi1ue59y/FmmDVRyUQndJQmCehZ6hsq7i9IF6Bvu5vDVbd8M
k5UryuIl1kUNuZsAw7yojo1HEXrxPVkgoUeBUKmA5EShu+Y8jnNJ7iao/SByKU61QOw/DfKgmqgZ
CuJlbGAwSO4skNwJgZNmGfW6ekmeVJy1VhVf84D+WgdCZzsp0laaUkCe7rRhiQsJRICKuPqQeRKW
SGLUom0QtkSRO15m6rcAw+FDkx9Ej9CCjt6JrpchlxyYVzDMyFu6lm8SYR2GzzgVVAxDWXA++rUc
nAuSKRAPFmVEqp3CW6MhDE2nitXkHFxGoC59MccaGwUl+K49Yn9gyJ3ABkwLs4C0GDg0TyhsgxTa
dQrhb4x8810kLIQ1/R2cZXFsofke55x7naZcqk7l28AsYQjFfXvnmPWwgKNfdYwhiySsNCjeWnMj
47HraozvA5hxxJAbsds0QmbhHRQZAaxCmZVCT8UbglpeOPEdSdw4In1GAsREYsEcIJLV+OM2UwVk
xsqFOWMtNadN0TUp+F5j4qsDfxzcGJC6T6NkFAHRqEM0FN21AoN53wsf/Np0jImGtYk37SAObIqU
a/REdR1ZWOlhwlIQB0mE5GedYVYycO8gC2o0hoYQRRRgOWW1Lht+wgTI15bkiUzxIHfuHfRwP/pV
kjkTjZWnX+o1GjzTtnBA3XlxmV53ILJWvclJq/T10RFXsoBhdEWWtyvyL6D0k76/aQq3gZhZFprE
thCxXPi5o95JmejOhDAzZ6jd4/MeNsLHItG/IGRMvmJSIuv40Et6JE/7PsxPkPbKph6x6cdY8rEF
oLmLMUgMrl+tRfEmjnRnjczDcC+oyCFCy1FnnZui9u8ZhN3Q2EJaPEmzRaJBJQzRKZ0MZOZIB6RZ
eoobekQiNPFBRSIMeldJgF1HXf5rhyuf3SkZHtVC5HzFfpzJLDUKmhjJwjSy/FZ3U2sWlniQC5Fg
XGomVgMor+YrxUixp0YtFCJTQVKiS0lXwg738oe0CwTcTZR+pgQiirYEfXDMMfPogwhUh/RdLF7F
EXlGIkYI8mS1fttIuHbDOiMmlJSk6gxLPSvH1JyPwASsS2ccTSxVd7KC/mFa5/VjLVennmZkROjl
AbnJ3HS7mzYy+glg0OazGpAPj0IUT2SlqWZdT6Kh1BJnmUdFd+e0bTivQrDZeAeM+QxADsIaUX/1
cxnriLF2QkgS1lE/d1rWLaq4Zl3p3ca6wR1dOSXN1WxKwVUQNmY5RldOJSGC4iUcIcGTSBiHTYyX
SwxUcuYrOQL+GbTnCJkurImn1qjKGllxd9OgRhRPwAyi818q3KRZSwIbeQ4VVKThnOiDacxb4lGz
sndaSGNA2hZmp/Sbhml2E8sIw9iREzkXjiC4d25UxSdx2bMAWH68EkMkKM1YjFYyLJ6ZU0RAtnwU
njGcCXGpcKJYu/JzestDqPxCN9p0Jg0Re1LW69F1WVr4RYUmSA0kQfr0Whyp0GCGyVotUdYmmZs2
wAlKhGE/Ki45+pnqQ5ntdUW8QKBDXyWeU5FLyuh+Va/MceGVlkNcBAjBAhGNUNxAlwWQqt0kfnQt
cOtaS32DKF6IUYA7EdukusvTAZ/VtNGcj5lVG7aUKuF5EuRWPi3Rs3NnZayBRxU1/4zZ5Z32yBuc
yIYlRNNYywNblgIZ3wAPUATRjfu8kTxIxeg5BDlJs94Y3ms10iGRLteLyqg/VySwrrA4I6mehPmd
o2HFbKECRM2xwUAZrrOqTdm05rz34ChNBgNEx4SsO6f9NraUKz3QC3kpKm05zxVdWUiAcauJgpA5
gGHJzFkGvWLmdw66GpYVu9Dlyq7Y+HEu3Hrq+BiN9IJypglNsQ4rYA6OweoqAYXR8wEBiLZpHoCf
4rUuJg+gCvJbYMPi5cAKPmkV05+FdXZnZAhxDUH3qIpOe8fVj1C0hCtRM3D/LpMuPROjAm8GKO8j
xoTWxl9rAUHJOEP1HNVDkOIN613lzBONHC9cMy8/QxQ8mlu1034OmdVTlSPMBbSK8ERjQttK6RT4
pIG9nZM4LZxJSCr3AknNyla8D1mDbE4oZO46w1jLgNcVG/ncyNgUML1Gem+WFxZQEkXQEwSA0CRH
ytyBSs47NjNLwerXwUrDnaAzOuirsGk83867hK21CT5aoiSgRc6wN+VMfdQstGqdLunnnSmlkNy9
CGUWHNYLM5Cwz1OyCy3l+kl67vwpWJ+GRT8Tu8TDsoQzNKJcd5guAxQFl4Ujir602hYVlTFuXQit
RaqaQKqO5MknwestdyYJODAtcgdN7gnqS9FpFJHUtgpzVhaIxIK11jeaWD60hr8KReRGtMaBd2qo
mt2aVbaWLKHcoOcLi1GThZMh9LxZkplyT5Z10Dd6MHhAXJGjW1hNSRkOdIWppkfZiR538QrgAkAW
1Y+Xpuz7t7Ll+sNSKCP1JKgIktda3nfTvpGMC8I18axy9QYXiay4rY3CTReWHsgQljWC50t8kyDZ
O4XfXzqh452ZGsr6Vtp9RDJ+WPm9BeN2cNoJWEHnVisrVcdqMaEFYkXN7WhoteiqJm35xQrQpO0r
v7xAd9461crOP8dY7E6TM+lkHPd6ittfk+OgXFtaNO2w35gGiTNzoDLd1WGEZ6NQRzM4d4PD4+Nw
HTHZJ2BXh1t0odm7ffjo2A26/b2VNOfc3dy5MK6updGEn9U+88GP5lh+JGF81QHuQqg6Bl5kRsAD
YEQD80FJfgimT1dVvAvwkehFaRZIHpo8jS5d5E+C+OzHRTDxn4Tys1Ez33mSz29LlPTT3ElXhI1r
9EoMlKXU0pBQtC/Q9h08CJCzwTHbFdB5KZ4jONusG2BWxSIeFfzHUX8LJgUN8sxAZdU3GXUdCXSw
csraAdDmy6MhAApLgzIpZHwCEsUHhNKb8bAODBcjgXhoUlsmvoidoIHRgAAE4WtBOGmZPxkRHLlm
vgl0cPMnwkaaUkKx4w2xysBhJwKuONiyVeMDAHBkDkhf/AwoHZsaMULAMsucTSAo15iPcYLkMfqa
Pik/a15/6zg1q15iWMuAO9tC7ZDUxFkU2oQCCErJPelWFmBMOJh/L/wis02UM9alcu5IaQrjvdYW
igOAOde7fFaq7SN5D/lDn4T6RPISNKF7QnW+r60kgnZTiKWSywmlnqno5Qw4Hy3pmVU80NilL2dL
zAyUr26B2p4TuxBQ4IPrQ14xHsJuHeCyhwFkH97JFd+iIO1M7Nx6gtxMN+2GKD8tq2BYWAJOKKGe
d7hdaD046dyF5pmH+DnyZzQrlFFO2kHby0DUDMnbicaNx0pRJzvcOW+iFPQN4ULSkJB8LGMXjelJ
ORH1FAEr0ew+kXz9YAbue80tvil+/jAcsrccRgFRBoXExG5eCXFSKXaSUrQJPZ1hqIHhn2lhROVo
8pHQ7ttQOlVSiTWR5+EMRtB6O66G6rnVD0R9UdRK3XOhhTzDHQXHHatvBX8Sl4JxQjYZAIvTdcAg
eRcPLdcYAJaQnwO0O9MVTkFJzc708439+s12Ml6RWYssC+MBuhy4VfTciZFCdmZR5ib2Txdl0NAG
JuOaiQbHTjSdNHImBFo7IN0L0QmF92oamk46aZomOFLUm3AimTVFATVAuskAK7xTFDA3DpFRPdjY
+IlsYDm7Entki81JXGkTQXCOZQ7HdtpK7IwlkitRR5qYrhvjG70KYMbIlOVyZQy25abtpYc43pnK
bf9IgPttjoBiNOzoSB4RGNLFne7K07pUZGghdi9lAmmWfLgaBtLYKQd6BKSE8pRhba4yFW2GTk4+
iqWsz1spXIopQtKg6gW2z+FxMAu9n0UIg6zqrsk/+4PQrg25xD6g4jqHFPpwUWMxuwb9Q4QGW9ir
mDvrVInLL4cHxb6egtQngwEXiVMYO9kck7CF4DqhaDuaMJoOqx+7riUkypUayvqR5tsTdzUM2SK5
Moaaiedsd1KVMwe12MXjUurv+PMFVgxcImsJj1EOarmr3hyu3d4CyeeQP2MsAqnZLjBLuVEBzu1t
Ja7PMzAA4C6HE2igZ73hBpPa7I4kW/Y1J9xoAj5kF8lg7wz8AjfxlKN9bycVsSrdHM6QK/+axoMw
Hazu7nDt9iygVI0NAxDRmG3ZGfMKJxMXmPBgJ0MLSCKUiLhyVR3wbD1c0L7JZcrjuAegI/Gf7WaU
klToew4+tgET5CTWEmHWkIdYHC5lbJvdKYx+DtN4XDlGwa2tKSz5udkLKM2Sg+hvFY5ashtfE6ye
V4V8kvoSASJDn/10mWCmRDqMJKOh7eb8pCCr6qJNJCApMFp19cwT0BaS9YvGBbsLc64x9Q+Hi9wz
REYuKzLCgKrYaHd7TcpKZahNtlcjWPvj+aJsVYHrUPmp8/3sSPL/7RhBVZfhb7Ds64ps7aQc4LFl
ciK0kl03EtScJAnwyEkrom38Pjmyz74dJzLJWkMEzYZsNGTx7R5UtCqva44ttqrpMYq5edg8EmtC
i/NnmxCAFKg08BRsYwgHb5dD0CBTKiaXnaOfdFEZAPZr1KxmGCCooFuJRT+V9/+GffStIrP76n7+
BFy8qjdF/35T1lH13bt06vnRl6c/+5vyZz7wAiJ8+4B3zwrn9pc//+Bc8R1t+PTBkdj0XPbzh8af
/7r/EoOLg1Ba+I/V/4yv/eqPTz+jff36699q9rbovS/18suVvynui0evf6pu/+01z+/jzZ9/nGy+
bGMyOeyOSa6/X+TPP7Ze89XQPPTcs/vo/vGRdNvzg8Y2kcc5/vKLsf7/3pPPN27hv7vexA8+Mogv
z3sqQDbH/N2vvvoPYao/BsF+Z6MdapIDTr6/+OTLTbJDeVM5UPwHevGSgRO+tOjYxGBcVOQoXn71
7/fiGsOYYvPynO+PHkUbfrX/Tu8f6u2BAbaT2/W4tfzqsw+SC3+5FwvgLi/vODbJt/fmZPCr731E
MvQX3/yoks4vPv/6sOHDLz59sfnCMI/eUYvCr9AbfJd+fXdSs4C9O63jrC5emv/vLtHZYn+1Sy7r
qrgP7vv7d29e4OXhT9PCZCabOqdaVFdFC3opZ5rDZe/bJf7a2k7mY5Nt73tHP/B957y8Rzep2vOI
45942ZH2POJbncYqC0D8kFwSiTK92m2eCtzZvPZ00p4lic76vkC/KvnlWdvdyie/td+rj+421beg
zo8a4v9WzW+zm8X0+9vtqeP2irOndq++/uqNtyrHYWQs45+tF6vWwXptXq92v1G92KEO1Wt3pf19
aqZzdjpUs7er/G9UNw5Dh+q2u8P8RjV7vbrtWT/uOCX39947jnLlJqwrjkZ7N7ffosbPd5NDHbl1
n/k96nRkAxhvUn3pf79KPVfqMa0T4NTvN66fcgn63iQ/2AJkSX5et/6hPeDbXe/7a+0ZmGcc6sKd
Wv3opvmDWo237LHq/1SlXhrxefvfU6f/3dNPHLWSTVId76NRMfJ5Cf6n6vN8Xz7USVy2N3tu27/D
xNqlo+7prq2b/m9RJxhnR9b7nSjD71Crvwf+DyfW9pUnI/CzeZ5R/9BU+RZPOTRVLv3XQZjfod2/
B3MOVut1COi3qdUYRzpUq6fw0/ag+u/eewjsEwYg20pGF6UxWR5ZGodquC+A8dx9Ufp4H/lV/+r7
P9hfdy/ixyfbsU8QIhg/8hht7ou//gUAAP//</cx:binary>
              </cx:geoCache>
            </cx:geography>
          </cx:layoutPr>
          <cx:valueColors>
            <cx:minColor>
              <a:schemeClr val="bg1"/>
            </cx:minColor>
            <cx:maxColor>
              <a:srgbClr val="ED7D31"/>
            </cx:maxColor>
          </cx:valueColors>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621354</xdr:colOff>
      <xdr:row>137</xdr:row>
      <xdr:rowOff>111541</xdr:rowOff>
    </xdr:from>
    <xdr:to>
      <xdr:col>10</xdr:col>
      <xdr:colOff>1102179</xdr:colOff>
      <xdr:row>156</xdr:row>
      <xdr:rowOff>95249</xdr:rowOff>
    </xdr:to>
    <mc:AlternateContent xmlns:mc="http://schemas.openxmlformats.org/markup-compatibility/2006">
      <mc:Choice xmlns:cx6="http://schemas.microsoft.com/office/drawing/2016/5/12/chartex" Requires="cx6">
        <xdr:graphicFrame macro="">
          <xdr:nvGraphicFramePr>
            <xdr:cNvPr id="5" name="Chart 3">
              <a:extLst>
                <a:ext uri="{FF2B5EF4-FFF2-40B4-BE49-F238E27FC236}">
                  <a16:creationId xmlns:a16="http://schemas.microsoft.com/office/drawing/2014/main" id="{BF581C72-1928-291A-3C2C-DBF9C52FE7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64554" y="30568681"/>
              <a:ext cx="8954265" cy="4959568"/>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507092</xdr:colOff>
      <xdr:row>105</xdr:row>
      <xdr:rowOff>29934</xdr:rowOff>
    </xdr:from>
    <xdr:to>
      <xdr:col>9</xdr:col>
      <xdr:colOff>1156608</xdr:colOff>
      <xdr:row>132</xdr:row>
      <xdr:rowOff>27214</xdr:rowOff>
    </xdr:to>
    <xdr:graphicFrame macro="">
      <xdr:nvGraphicFramePr>
        <xdr:cNvPr id="25" name="Chart 24">
          <a:extLst>
            <a:ext uri="{FF2B5EF4-FFF2-40B4-BE49-F238E27FC236}">
              <a16:creationId xmlns:a16="http://schemas.microsoft.com/office/drawing/2014/main" id="{B65DC0A6-BBFE-74D3-72C9-5FC30E7DD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408668</xdr:colOff>
      <xdr:row>105</xdr:row>
      <xdr:rowOff>1814</xdr:rowOff>
    </xdr:from>
    <xdr:to>
      <xdr:col>20</xdr:col>
      <xdr:colOff>898072</xdr:colOff>
      <xdr:row>132</xdr:row>
      <xdr:rowOff>40821</xdr:rowOff>
    </xdr:to>
    <xdr:graphicFrame macro="">
      <xdr:nvGraphicFramePr>
        <xdr:cNvPr id="26" name="Chart 25">
          <a:extLst>
            <a:ext uri="{FF2B5EF4-FFF2-40B4-BE49-F238E27FC236}">
              <a16:creationId xmlns:a16="http://schemas.microsoft.com/office/drawing/2014/main" id="{E39A1224-7C1E-395F-04D3-433A3FBB7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204108</xdr:colOff>
      <xdr:row>52</xdr:row>
      <xdr:rowOff>2721</xdr:rowOff>
    </xdr:from>
    <xdr:to>
      <xdr:col>9</xdr:col>
      <xdr:colOff>1115786</xdr:colOff>
      <xdr:row>74</xdr:row>
      <xdr:rowOff>149678</xdr:rowOff>
    </xdr:to>
    <xdr:graphicFrame macro="">
      <xdr:nvGraphicFramePr>
        <xdr:cNvPr id="30" name="Chart 29">
          <a:extLst>
            <a:ext uri="{FF2B5EF4-FFF2-40B4-BE49-F238E27FC236}">
              <a16:creationId xmlns:a16="http://schemas.microsoft.com/office/drawing/2014/main" id="{8120C57A-D3A0-665F-A275-122BDC091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52</xdr:row>
      <xdr:rowOff>0</xdr:rowOff>
    </xdr:from>
    <xdr:to>
      <xdr:col>21</xdr:col>
      <xdr:colOff>1251856</xdr:colOff>
      <xdr:row>74</xdr:row>
      <xdr:rowOff>146957</xdr:rowOff>
    </xdr:to>
    <xdr:graphicFrame macro="">
      <xdr:nvGraphicFramePr>
        <xdr:cNvPr id="31" name="Chart 30">
          <a:extLst>
            <a:ext uri="{FF2B5EF4-FFF2-40B4-BE49-F238E27FC236}">
              <a16:creationId xmlns:a16="http://schemas.microsoft.com/office/drawing/2014/main" id="{DA095BC3-AFFF-4B64-80B9-3D1C90071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456292</xdr:colOff>
      <xdr:row>1</xdr:row>
      <xdr:rowOff>98424</xdr:rowOff>
    </xdr:from>
    <xdr:to>
      <xdr:col>9</xdr:col>
      <xdr:colOff>1043213</xdr:colOff>
      <xdr:row>32</xdr:row>
      <xdr:rowOff>72572</xdr:rowOff>
    </xdr:to>
    <xdr:graphicFrame macro="">
      <xdr:nvGraphicFramePr>
        <xdr:cNvPr id="3" name="Chart 1">
          <a:extLst>
            <a:ext uri="{FF2B5EF4-FFF2-40B4-BE49-F238E27FC236}">
              <a16:creationId xmlns:a16="http://schemas.microsoft.com/office/drawing/2014/main" id="{8FE8FB5D-E702-4351-9315-6F8E4F392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1211036</xdr:colOff>
      <xdr:row>1</xdr:row>
      <xdr:rowOff>47171</xdr:rowOff>
    </xdr:from>
    <xdr:to>
      <xdr:col>20</xdr:col>
      <xdr:colOff>732972</xdr:colOff>
      <xdr:row>32</xdr:row>
      <xdr:rowOff>64860</xdr:rowOff>
    </xdr:to>
    <xdr:graphicFrame macro="">
      <xdr:nvGraphicFramePr>
        <xdr:cNvPr id="4" name="Chart 2">
          <a:extLst>
            <a:ext uri="{FF2B5EF4-FFF2-40B4-BE49-F238E27FC236}">
              <a16:creationId xmlns:a16="http://schemas.microsoft.com/office/drawing/2014/main" id="{B692A72E-C4E4-4C80-8DB5-B908BE875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13</xdr:row>
      <xdr:rowOff>19050</xdr:rowOff>
    </xdr:from>
    <xdr:to>
      <xdr:col>3</xdr:col>
      <xdr:colOff>1022350</xdr:colOff>
      <xdr:row>14</xdr:row>
      <xdr:rowOff>152400</xdr:rowOff>
    </xdr:to>
    <xdr:sp macro="[0]!data_input" textlink="">
      <xdr:nvSpPr>
        <xdr:cNvPr id="35" name="TextBox 34">
          <a:extLst>
            <a:ext uri="{FF2B5EF4-FFF2-40B4-BE49-F238E27FC236}">
              <a16:creationId xmlns:a16="http://schemas.microsoft.com/office/drawing/2014/main" id="{0BA247B5-86D9-9E42-D5D0-BC5F4D3E2877}"/>
            </a:ext>
          </a:extLst>
        </xdr:cNvPr>
        <xdr:cNvSpPr txBox="1"/>
      </xdr:nvSpPr>
      <xdr:spPr>
        <a:xfrm>
          <a:off x="3898900" y="2413000"/>
          <a:ext cx="869950" cy="317500"/>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US" sz="1100"/>
            <a:t>Submit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13</xdr:row>
      <xdr:rowOff>19050</xdr:rowOff>
    </xdr:from>
    <xdr:to>
      <xdr:col>3</xdr:col>
      <xdr:colOff>1022350</xdr:colOff>
      <xdr:row>14</xdr:row>
      <xdr:rowOff>152400</xdr:rowOff>
    </xdr:to>
    <xdr:sp macro="[0]!data_input" textlink="">
      <xdr:nvSpPr>
        <xdr:cNvPr id="2" name="TextBox 1">
          <a:extLst>
            <a:ext uri="{FF2B5EF4-FFF2-40B4-BE49-F238E27FC236}">
              <a16:creationId xmlns:a16="http://schemas.microsoft.com/office/drawing/2014/main" id="{D0287F83-607F-4E85-9FAD-865B3986B167}"/>
            </a:ext>
          </a:extLst>
        </xdr:cNvPr>
        <xdr:cNvSpPr txBox="1"/>
      </xdr:nvSpPr>
      <xdr:spPr>
        <a:xfrm>
          <a:off x="4259580" y="2396490"/>
          <a:ext cx="869950" cy="316230"/>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US" sz="1100"/>
            <a:t>Submit</a:t>
          </a: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7F8F5A-2DB2-4346-9E6E-7985B1AD41A0}">
    <nsvFilter filterId="{5C3EDC3D-4B7C-4A3C-99E8-A5E5AEDCB508}" ref="A4:AB395" tableId="1"/>
  </namedSheetView>
  <namedSheetView name="View2" id="{E3AD40B2-F633-47E7-A456-1CE56E2B78DF}">
    <nsvFilter filterId="{5C3EDC3D-4B7C-4A3C-99E8-A5E5AEDCB508}" ref="A4:AB395" tableId="1"/>
  </namedSheetView>
  <namedSheetView name="View3" id="{44D580C6-4B0F-4C5F-BEE7-5F79F7C60DC6}">
    <nsvFilter filterId="{5C3EDC3D-4B7C-4A3C-99E8-A5E5AEDCB508}" ref="A4:AB395" tableId="1"/>
  </namedSheetView>
  <namedSheetView name="View4" id="{D888CE02-1D16-4618-833B-830F2F02CDBF}">
    <nsvFilter filterId="{5C3EDC3D-4B7C-4A3C-99E8-A5E5AEDCB508}" ref="A4:AB395" tableId="1"/>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42CCE9FE-6147-4022-BE7B-F71D5A5DD971}">
    <nsvFilter filterId="{A7C42E5D-A908-452D-94CE-8187A50EF3AE}" ref="A4:AK372" tableId="0"/>
  </namedSheetView>
  <namedSheetView name="View2" id="{0840DBEF-0CEF-4502-93E9-779AD686085F}">
    <nsvFilter filterId="{A7C42E5D-A908-452D-94CE-8187A50EF3AE}" ref="A4:AK372" tableId="0"/>
  </namedSheetView>
  <namedSheetView name="View3" id="{5EE74C6D-F57D-4BEF-9CC8-D10C1268B831}">
    <nsvFilter filterId="{A7C42E5D-A908-452D-94CE-8187A50EF3AE}" ref="A4:AK372" tableId="0"/>
  </namedSheetView>
  <namedSheetView name="View4" id="{567E8D2A-868B-4F03-8B22-A64847DFBA85}">
    <nsvFilter filterId="{A7C42E5D-A908-452D-94CE-8187A50EF3AE}" ref="A4:AK372"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DBE32BB8-1258-4D4C-89E4-97530BEEB5D7}">
    <nsvFilter filterId="{B95B55F5-6B84-4FFA-AEC1-73DBDD62950C}" ref="A3:AI403" tableId="0"/>
  </namedSheetView>
</namedSheetViews>
</file>

<file path=xl/persons/person.xml><?xml version="1.0" encoding="utf-8"?>
<personList xmlns="http://schemas.microsoft.com/office/spreadsheetml/2018/threadedcomments" xmlns:x="http://schemas.openxmlformats.org/spreadsheetml/2006/main">
  <person displayName="NEM" id="{7396AEDE-FFC2-424F-AAD2-048CFD668304}" userId="S::nem@ecnewenergie.com::858ccd03-ef0b-4638-8f9b-8f88dec61840" providerId="AD"/>
  <person displayName="Jolyn KHOO" id="{82D4FEBB-5669-4E7C-A111-7668186A6281}" userId="S::jolyn.khoo@ecnewenergie.com::40664cd0-d0fd-4f82-a3b1-8202e6dbba45" providerId="AD"/>
  <person displayName="Siti Aziah" id="{479AFFF7-9FB9-488E-B2D1-1A290AC3FF07}" userId="S::siti.aziah@ecnewenergie.com::44910c5e-be91-4101-8b77-8f811294163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zrul" refreshedDate="46018.95776863426" createdVersion="8" refreshedVersion="8" minRefreshableVersion="3" recordCount="80" xr:uid="{DDD89B64-D0FA-42A3-AD1E-371202C266BB}">
  <cacheSource type="worksheet">
    <worksheetSource name="For_Pivot"/>
  </cacheSource>
  <cacheFields count="4">
    <cacheField name="Business" numFmtId="0">
      <sharedItems count="5">
        <s v="Residential (PV System)"/>
        <s v="C&amp;I (PV System)"/>
        <s v="Residential BESS"/>
        <s v="C&amp;I BESS"/>
        <s v="EV Chargers"/>
      </sharedItems>
    </cacheField>
    <cacheField name="Metric" numFmtId="0">
      <sharedItems count="4">
        <s v="System Capacity"/>
        <s v="Project Value"/>
        <s v="Revenue"/>
        <s v="Collection"/>
      </sharedItems>
    </cacheField>
    <cacheField name="Year" numFmtId="0">
      <sharedItems containsSemiMixedTypes="0" containsString="0" containsNumber="1" containsInteger="1" minValue="2023" maxValue="2026" count="4">
        <n v="2023"/>
        <n v="2024"/>
        <n v="2025"/>
        <n v="2026"/>
      </sharedItems>
    </cacheField>
    <cacheField name="Value" numFmtId="0">
      <sharedItems containsSemiMixedTypes="0" containsString="0" containsNumber="1" minValue="0" maxValue="503679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x v="0"/>
    <x v="0"/>
    <n v="313.29999999999995"/>
  </r>
  <r>
    <x v="0"/>
    <x v="0"/>
    <x v="1"/>
    <n v="1637.1649999999988"/>
  </r>
  <r>
    <x v="0"/>
    <x v="0"/>
    <x v="2"/>
    <n v="1684.6800000000039"/>
  </r>
  <r>
    <x v="0"/>
    <x v="0"/>
    <x v="3"/>
    <n v="0"/>
  </r>
  <r>
    <x v="1"/>
    <x v="0"/>
    <x v="0"/>
    <n v="428.69499999999999"/>
  </r>
  <r>
    <x v="1"/>
    <x v="0"/>
    <x v="1"/>
    <n v="2088.3450000000007"/>
  </r>
  <r>
    <x v="1"/>
    <x v="0"/>
    <x v="2"/>
    <n v="1200.97"/>
  </r>
  <r>
    <x v="1"/>
    <x v="0"/>
    <x v="3"/>
    <n v="0"/>
  </r>
  <r>
    <x v="2"/>
    <x v="0"/>
    <x v="0"/>
    <n v="287.39999999999998"/>
  </r>
  <r>
    <x v="2"/>
    <x v="0"/>
    <x v="1"/>
    <n v="0"/>
  </r>
  <r>
    <x v="2"/>
    <x v="0"/>
    <x v="2"/>
    <n v="0"/>
  </r>
  <r>
    <x v="2"/>
    <x v="0"/>
    <x v="3"/>
    <n v="0"/>
  </r>
  <r>
    <x v="3"/>
    <x v="0"/>
    <x v="0"/>
    <n v="0"/>
  </r>
  <r>
    <x v="3"/>
    <x v="0"/>
    <x v="1"/>
    <n v="0"/>
  </r>
  <r>
    <x v="3"/>
    <x v="0"/>
    <x v="2"/>
    <n v="0"/>
  </r>
  <r>
    <x v="3"/>
    <x v="0"/>
    <x v="3"/>
    <n v="0"/>
  </r>
  <r>
    <x v="4"/>
    <x v="0"/>
    <x v="0"/>
    <n v="100"/>
  </r>
  <r>
    <x v="4"/>
    <x v="0"/>
    <x v="1"/>
    <n v="789"/>
  </r>
  <r>
    <x v="4"/>
    <x v="0"/>
    <x v="2"/>
    <n v="897"/>
  </r>
  <r>
    <x v="4"/>
    <x v="0"/>
    <x v="3"/>
    <n v="0"/>
  </r>
  <r>
    <x v="0"/>
    <x v="1"/>
    <x v="0"/>
    <n v="782725"/>
  </r>
  <r>
    <x v="0"/>
    <x v="1"/>
    <x v="1"/>
    <n v="5036797.2"/>
  </r>
  <r>
    <x v="0"/>
    <x v="1"/>
    <x v="2"/>
    <n v="4495345.4000000004"/>
  </r>
  <r>
    <x v="0"/>
    <x v="1"/>
    <x v="3"/>
    <n v="0"/>
  </r>
  <r>
    <x v="1"/>
    <x v="1"/>
    <x v="0"/>
    <n v="521800"/>
  </r>
  <r>
    <x v="1"/>
    <x v="1"/>
    <x v="1"/>
    <n v="4266680"/>
  </r>
  <r>
    <x v="1"/>
    <x v="1"/>
    <x v="2"/>
    <n v="2397073.58"/>
  </r>
  <r>
    <x v="1"/>
    <x v="1"/>
    <x v="3"/>
    <n v="0"/>
  </r>
  <r>
    <x v="2"/>
    <x v="1"/>
    <x v="0"/>
    <n v="720000"/>
  </r>
  <r>
    <x v="2"/>
    <x v="1"/>
    <x v="1"/>
    <n v="0"/>
  </r>
  <r>
    <x v="2"/>
    <x v="1"/>
    <x v="2"/>
    <n v="0"/>
  </r>
  <r>
    <x v="2"/>
    <x v="1"/>
    <x v="3"/>
    <n v="0"/>
  </r>
  <r>
    <x v="3"/>
    <x v="1"/>
    <x v="0"/>
    <n v="0"/>
  </r>
  <r>
    <x v="3"/>
    <x v="1"/>
    <x v="1"/>
    <n v="0"/>
  </r>
  <r>
    <x v="3"/>
    <x v="1"/>
    <x v="2"/>
    <n v="0"/>
  </r>
  <r>
    <x v="3"/>
    <x v="1"/>
    <x v="3"/>
    <n v="0"/>
  </r>
  <r>
    <x v="4"/>
    <x v="1"/>
    <x v="0"/>
    <n v="93380"/>
  </r>
  <r>
    <x v="4"/>
    <x v="1"/>
    <x v="1"/>
    <n v="355363"/>
  </r>
  <r>
    <x v="4"/>
    <x v="1"/>
    <x v="2"/>
    <n v="982220"/>
  </r>
  <r>
    <x v="4"/>
    <x v="1"/>
    <x v="3"/>
    <n v="0"/>
  </r>
  <r>
    <x v="0"/>
    <x v="2"/>
    <x v="0"/>
    <n v="379240"/>
  </r>
  <r>
    <x v="0"/>
    <x v="2"/>
    <x v="1"/>
    <n v="3897315.2"/>
  </r>
  <r>
    <x v="0"/>
    <x v="2"/>
    <x v="2"/>
    <n v="4525569.4000000004"/>
  </r>
  <r>
    <x v="0"/>
    <x v="2"/>
    <x v="3"/>
    <n v="0"/>
  </r>
  <r>
    <x v="1"/>
    <x v="2"/>
    <x v="0"/>
    <n v="278820"/>
  </r>
  <r>
    <x v="1"/>
    <x v="2"/>
    <x v="1"/>
    <n v="2643170"/>
  </r>
  <r>
    <x v="1"/>
    <x v="2"/>
    <x v="2"/>
    <n v="4024756.41"/>
  </r>
  <r>
    <x v="1"/>
    <x v="2"/>
    <x v="3"/>
    <n v="0"/>
  </r>
  <r>
    <x v="2"/>
    <x v="2"/>
    <x v="0"/>
    <n v="432000"/>
  </r>
  <r>
    <x v="2"/>
    <x v="2"/>
    <x v="1"/>
    <n v="288000"/>
  </r>
  <r>
    <x v="2"/>
    <x v="2"/>
    <x v="2"/>
    <n v="0"/>
  </r>
  <r>
    <x v="2"/>
    <x v="2"/>
    <x v="3"/>
    <n v="0"/>
  </r>
  <r>
    <x v="3"/>
    <x v="2"/>
    <x v="0"/>
    <n v="0"/>
  </r>
  <r>
    <x v="3"/>
    <x v="2"/>
    <x v="1"/>
    <n v="0"/>
  </r>
  <r>
    <x v="3"/>
    <x v="2"/>
    <x v="2"/>
    <n v="0"/>
  </r>
  <r>
    <x v="3"/>
    <x v="2"/>
    <x v="3"/>
    <n v="0"/>
  </r>
  <r>
    <x v="4"/>
    <x v="2"/>
    <x v="0"/>
    <n v="46690"/>
  </r>
  <r>
    <x v="4"/>
    <x v="2"/>
    <x v="1"/>
    <n v="342903"/>
  </r>
  <r>
    <x v="4"/>
    <x v="2"/>
    <x v="2"/>
    <n v="568230"/>
  </r>
  <r>
    <x v="4"/>
    <x v="2"/>
    <x v="3"/>
    <n v="0"/>
  </r>
  <r>
    <x v="0"/>
    <x v="3"/>
    <x v="0"/>
    <n v="301640"/>
  </r>
  <r>
    <x v="0"/>
    <x v="3"/>
    <x v="1"/>
    <n v="3691311.2"/>
  </r>
  <r>
    <x v="0"/>
    <x v="3"/>
    <x v="2"/>
    <n v="4593876.4000000004"/>
  </r>
  <r>
    <x v="0"/>
    <x v="3"/>
    <x v="3"/>
    <n v="0"/>
  </r>
  <r>
    <x v="1"/>
    <x v="3"/>
    <x v="0"/>
    <n v="278820"/>
  </r>
  <r>
    <x v="1"/>
    <x v="3"/>
    <x v="1"/>
    <n v="2422890"/>
  </r>
  <r>
    <x v="1"/>
    <x v="3"/>
    <x v="2"/>
    <n v="2718491.41"/>
  </r>
  <r>
    <x v="1"/>
    <x v="3"/>
    <x v="3"/>
    <n v="0"/>
  </r>
  <r>
    <x v="2"/>
    <x v="3"/>
    <x v="0"/>
    <n v="432000"/>
  </r>
  <r>
    <x v="2"/>
    <x v="3"/>
    <x v="1"/>
    <n v="288000"/>
  </r>
  <r>
    <x v="2"/>
    <x v="3"/>
    <x v="2"/>
    <n v="0"/>
  </r>
  <r>
    <x v="2"/>
    <x v="3"/>
    <x v="3"/>
    <n v="0"/>
  </r>
  <r>
    <x v="3"/>
    <x v="3"/>
    <x v="0"/>
    <n v="0"/>
  </r>
  <r>
    <x v="3"/>
    <x v="3"/>
    <x v="1"/>
    <n v="0"/>
  </r>
  <r>
    <x v="3"/>
    <x v="3"/>
    <x v="2"/>
    <n v="0"/>
  </r>
  <r>
    <x v="3"/>
    <x v="3"/>
    <x v="3"/>
    <n v="0"/>
  </r>
  <r>
    <x v="4"/>
    <x v="3"/>
    <x v="0"/>
    <n v="46690"/>
  </r>
  <r>
    <x v="4"/>
    <x v="3"/>
    <x v="1"/>
    <n v="321025"/>
  </r>
  <r>
    <x v="4"/>
    <x v="3"/>
    <x v="2"/>
    <n v="367807.5"/>
  </r>
  <r>
    <x v="4"/>
    <x v="3"/>
    <x v="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AB7C25-5747-4660-B833-BF079A170D4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O10" firstHeaderRow="1" firstDataRow="2" firstDataCol="1" rowPageCount="1" colPageCount="1"/>
  <pivotFields count="4">
    <pivotField axis="axisRow" showAll="0">
      <items count="6">
        <item x="0"/>
        <item x="1"/>
        <item x="2"/>
        <item x="3"/>
        <item x="4"/>
        <item t="default"/>
      </items>
    </pivotField>
    <pivotField axis="axisCol" showAll="0">
      <items count="5">
        <item h="1" x="1"/>
        <item h="1" x="2"/>
        <item x="0"/>
        <item h="1" x="3"/>
        <item t="default"/>
      </items>
    </pivotField>
    <pivotField axis="axisPage" showAll="0">
      <items count="5">
        <item x="0"/>
        <item x="1"/>
        <item x="2"/>
        <item x="3"/>
        <item t="default"/>
      </items>
    </pivotField>
    <pivotField dataField="1" showAll="0"/>
  </pivotFields>
  <rowFields count="1">
    <field x="0"/>
  </rowFields>
  <rowItems count="6">
    <i>
      <x/>
    </i>
    <i>
      <x v="1"/>
    </i>
    <i>
      <x v="2"/>
    </i>
    <i>
      <x v="3"/>
    </i>
    <i>
      <x v="4"/>
    </i>
    <i t="grand">
      <x/>
    </i>
  </rowItems>
  <colFields count="1">
    <field x="1"/>
  </colFields>
  <colItems count="2">
    <i>
      <x v="2"/>
    </i>
    <i t="grand">
      <x/>
    </i>
  </colItems>
  <pageFields count="1">
    <pageField fld="2" hier="-1"/>
  </pageFields>
  <dataFields count="1">
    <dataField name="Sum of Value" fld="3" baseField="0" baseItem="0"/>
  </dataFields>
  <chartFormats count="6">
    <chartFormat chart="3" format="11" series="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3">
          <reference field="4294967294" count="1" selected="0">
            <x v="0"/>
          </reference>
          <reference field="0" count="1" selected="0">
            <x v="0"/>
          </reference>
          <reference field="1" count="1" selected="0">
            <x v="2"/>
          </reference>
        </references>
      </pivotArea>
    </chartFormat>
    <chartFormat chart="3" format="13">
      <pivotArea type="data" outline="0" fieldPosition="0">
        <references count="3">
          <reference field="4294967294" count="1" selected="0">
            <x v="0"/>
          </reference>
          <reference field="0" count="1" selected="0">
            <x v="1"/>
          </reference>
          <reference field="1" count="1" selected="0">
            <x v="2"/>
          </reference>
        </references>
      </pivotArea>
    </chartFormat>
    <chartFormat chart="3" format="14">
      <pivotArea type="data" outline="0" fieldPosition="0">
        <references count="3">
          <reference field="4294967294" count="1" selected="0">
            <x v="0"/>
          </reference>
          <reference field="0" count="1" selected="0">
            <x v="2"/>
          </reference>
          <reference field="1" count="1" selected="0">
            <x v="2"/>
          </reference>
        </references>
      </pivotArea>
    </chartFormat>
    <chartFormat chart="3" format="15">
      <pivotArea type="data" outline="0" fieldPosition="0">
        <references count="3">
          <reference field="4294967294" count="1" selected="0">
            <x v="0"/>
          </reference>
          <reference field="0" count="1" selected="0">
            <x v="3"/>
          </reference>
          <reference field="1" count="1" selected="0">
            <x v="2"/>
          </reference>
        </references>
      </pivotArea>
    </chartFormat>
    <chartFormat chart="3" format="16">
      <pivotArea type="data" outline="0" fieldPosition="0">
        <references count="3">
          <reference field="4294967294" count="1" selected="0">
            <x v="0"/>
          </reference>
          <reference field="0" count="1" selected="0">
            <x v="4"/>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E34B61-E87D-42B2-AC8B-A795EBB9265E}"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K10" firstHeaderRow="1" firstDataRow="2" firstDataCol="1" rowPageCount="1" colPageCount="1"/>
  <pivotFields count="4">
    <pivotField axis="axisRow" showAll="0">
      <items count="6">
        <item x="0"/>
        <item x="1"/>
        <item x="2"/>
        <item x="3"/>
        <item x="4"/>
        <item t="default"/>
      </items>
    </pivotField>
    <pivotField axis="axisCol" showAll="0">
      <items count="5">
        <item x="1"/>
        <item x="2"/>
        <item x="3"/>
        <item h="1" x="0"/>
        <item t="default"/>
      </items>
    </pivotField>
    <pivotField axis="axisPage" showAll="0">
      <items count="5">
        <item x="0"/>
        <item x="1"/>
        <item x="2"/>
        <item x="3"/>
        <item t="default"/>
      </items>
    </pivotField>
    <pivotField dataField="1" showAll="0"/>
  </pivotFields>
  <rowFields count="1">
    <field x="0"/>
  </rowFields>
  <rowItems count="6">
    <i>
      <x/>
    </i>
    <i>
      <x v="1"/>
    </i>
    <i>
      <x v="2"/>
    </i>
    <i>
      <x v="3"/>
    </i>
    <i>
      <x v="4"/>
    </i>
    <i t="grand">
      <x/>
    </i>
  </rowItems>
  <colFields count="1">
    <field x="1"/>
  </colFields>
  <colItems count="4">
    <i>
      <x/>
    </i>
    <i>
      <x v="1"/>
    </i>
    <i>
      <x v="2"/>
    </i>
    <i t="grand">
      <x/>
    </i>
  </colItems>
  <pageFields count="1">
    <pageField fld="2" hier="-1"/>
  </pageFields>
  <dataFields count="1">
    <dataField name="Sum of Value" fld="3" baseField="0" baseItem="0" numFmtId="44"/>
  </dataFields>
  <formats count="1">
    <format dxfId="111">
      <pivotArea outline="0" collapsedLevelsAreSubtotals="1" fieldPosition="0"/>
    </format>
  </formats>
  <chartFormats count="3">
    <chartFormat chart="3" format="7" series="1">
      <pivotArea type="data" outline="0" fieldPosition="0">
        <references count="2">
          <reference field="4294967294" count="1" selected="0">
            <x v="0"/>
          </reference>
          <reference field="1" count="1" selected="0">
            <x v="0"/>
          </reference>
        </references>
      </pivotArea>
    </chartFormat>
    <chartFormat chart="3" format="8" series="1">
      <pivotArea type="data" outline="0" fieldPosition="0">
        <references count="2">
          <reference field="4294967294" count="1" selected="0">
            <x v="0"/>
          </reference>
          <reference field="1" count="1" selected="0">
            <x v="1"/>
          </reference>
        </references>
      </pivotArea>
    </chartFormat>
    <chartFormat chart="3" format="9"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Perak" TargetMode="External"/><Relationship Id="rId13" Type="http://schemas.openxmlformats.org/officeDocument/2006/relationships/hyperlink" Target="https://www.bing.com/th?id=OSK.01c4d05da9ef1a98eb7640675d345eac&amp;qlt=95" TargetMode="External"/><Relationship Id="rId18" Type="http://schemas.openxmlformats.org/officeDocument/2006/relationships/hyperlink" Target="https://www.bing.com/images/search?form=xlimg&amp;q=Kelantan" TargetMode="External"/><Relationship Id="rId26" Type="http://schemas.openxmlformats.org/officeDocument/2006/relationships/hyperlink" Target="https://www.bing.com/images/search?form=xlimg&amp;q=Sabah" TargetMode="External"/><Relationship Id="rId3" Type="http://schemas.openxmlformats.org/officeDocument/2006/relationships/hyperlink" Target="https://www.bing.com/th?id=OSK.fdd81c82636f997d2d3a57a7d226aafa&amp;qlt=95" TargetMode="External"/><Relationship Id="rId21" Type="http://schemas.openxmlformats.org/officeDocument/2006/relationships/hyperlink" Target="https://www.bing.com/th?id=OSK.279b3ff06d5dc2c114445cbbf5780c50&amp;qlt=95" TargetMode="External"/><Relationship Id="rId7" Type="http://schemas.openxmlformats.org/officeDocument/2006/relationships/hyperlink" Target="https://www.bing.com/th?id=OSK.f4e25e20080c96089ca9c96e3d3c4adb&amp;qlt=95" TargetMode="External"/><Relationship Id="rId12" Type="http://schemas.openxmlformats.org/officeDocument/2006/relationships/hyperlink" Target="https://www.bing.com/images/search?form=xlimg&amp;q=Negeri%20Sembilan" TargetMode="External"/><Relationship Id="rId17" Type="http://schemas.openxmlformats.org/officeDocument/2006/relationships/hyperlink" Target="https://www.bing.com/th?id=OSK.f957a669f956def9ddd04ce733fc696c&amp;qlt=95" TargetMode="External"/><Relationship Id="rId25" Type="http://schemas.openxmlformats.org/officeDocument/2006/relationships/hyperlink" Target="https://www.bing.com/th?id=OSK.44a08bf92a6669b0bef12797ad5b180a&amp;qlt=95" TargetMode="External"/><Relationship Id="rId2" Type="http://schemas.openxmlformats.org/officeDocument/2006/relationships/hyperlink" Target="https://www.bing.com/images/search?form=xlimg&amp;q=Perlis" TargetMode="External"/><Relationship Id="rId16" Type="http://schemas.openxmlformats.org/officeDocument/2006/relationships/hyperlink" Target="https://www.bing.com/images/search?form=xlimg&amp;q=Johor" TargetMode="External"/><Relationship Id="rId20" Type="http://schemas.openxmlformats.org/officeDocument/2006/relationships/hyperlink" Target="https://www.bing.com/images/search?form=xlimg&amp;q=Terengganu" TargetMode="External"/><Relationship Id="rId29" Type="http://schemas.openxmlformats.org/officeDocument/2006/relationships/hyperlink" Target="https://www.bing.com/th?id=OSK.b48772640046152d9b047e6cd764c446&amp;qlt=95" TargetMode="External"/><Relationship Id="rId1" Type="http://schemas.openxmlformats.org/officeDocument/2006/relationships/hyperlink" Target="https://www.bing.com/th?id=OSK.Ymy0CVf1CG2LxxNiP7IbanVk0GFssVkhrLdYcdYSSm0&amp;qlt=95" TargetMode="External"/><Relationship Id="rId6" Type="http://schemas.openxmlformats.org/officeDocument/2006/relationships/hyperlink" Target="https://www.bing.com/images/search?form=xlimg&amp;q=Penang" TargetMode="External"/><Relationship Id="rId11" Type="http://schemas.openxmlformats.org/officeDocument/2006/relationships/hyperlink" Target="https://www.bing.com/th?id=OSK.2f50685849a988690bfba5f6ca3b93bc&amp;qlt=95" TargetMode="External"/><Relationship Id="rId24" Type="http://schemas.openxmlformats.org/officeDocument/2006/relationships/hyperlink" Target="https://www.bing.com/images/search?form=xlimg&amp;q=Kuala%20Lumpur" TargetMode="External"/><Relationship Id="rId5" Type="http://schemas.openxmlformats.org/officeDocument/2006/relationships/hyperlink" Target="https://www.bing.com/th?id=OSK.30a125127227dc3c321e6ce71d2b6d90&amp;qlt=95" TargetMode="External"/><Relationship Id="rId15" Type="http://schemas.openxmlformats.org/officeDocument/2006/relationships/hyperlink" Target="https://www.bing.com/th?id=OSK.8913e7996c998619e5350247895249ba&amp;qlt=95" TargetMode="External"/><Relationship Id="rId23" Type="http://schemas.openxmlformats.org/officeDocument/2006/relationships/hyperlink" Target="https://www.bing.com/th?id=OSK.e-IvvYMVbNBxYtivaAndiXz6G8ozxP48JqYpOtzAAv8&amp;qlt=95" TargetMode="External"/><Relationship Id="rId28" Type="http://schemas.openxmlformats.org/officeDocument/2006/relationships/hyperlink" Target="https://www.bing.com/images/search?form=xlimg&amp;q=Sarawak" TargetMode="External"/><Relationship Id="rId10" Type="http://schemas.openxmlformats.org/officeDocument/2006/relationships/hyperlink" Target="https://www.bing.com/images/search?form=xlimg&amp;q=Selangor" TargetMode="External"/><Relationship Id="rId19" Type="http://schemas.openxmlformats.org/officeDocument/2006/relationships/hyperlink" Target="https://www.bing.com/th?id=OSK.8484d390f47e47d23ed61adb7541ef2e&amp;qlt=95" TargetMode="External"/><Relationship Id="rId4" Type="http://schemas.openxmlformats.org/officeDocument/2006/relationships/hyperlink" Target="https://www.bing.com/images/search?form=xlimg&amp;q=Kedah" TargetMode="External"/><Relationship Id="rId9" Type="http://schemas.openxmlformats.org/officeDocument/2006/relationships/hyperlink" Target="https://www.bing.com/th?id=OSK.9538cdbc1066797833f471ae7b94411a&amp;qlt=95" TargetMode="External"/><Relationship Id="rId14" Type="http://schemas.openxmlformats.org/officeDocument/2006/relationships/hyperlink" Target="https://www.bing.com/images/search?form=xlimg&amp;q=Malacca" TargetMode="External"/><Relationship Id="rId22" Type="http://schemas.openxmlformats.org/officeDocument/2006/relationships/hyperlink" Target="https://www.bing.com/images/search?form=xlimg&amp;q=Pahang" TargetMode="External"/><Relationship Id="rId27" Type="http://schemas.openxmlformats.org/officeDocument/2006/relationships/hyperlink" Target="https://www.bing.com/th?id=OSK.7ad1e373a5523a5ce0c598ff3f65b8d2&amp;qlt=95" TargetMode="External"/><Relationship Id="rId30" Type="http://schemas.openxmlformats.org/officeDocument/2006/relationships/hyperlink" Target="https://www.bing.com/images/search?form=xlimg&amp;q=Putrajaya"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26">
  <a r="1">
    <v t="s">UTC+08:00</v>
  </a>
  <a r="1">
    <v t="r">14</v>
  </a>
  <a r="1">
    <v t="r">24</v>
  </a>
  <a r="1">
    <v t="r">33</v>
  </a>
  <a r="1">
    <v t="r">43</v>
  </a>
  <a r="1">
    <v t="r">59</v>
  </a>
  <a r="1">
    <v t="r">68</v>
  </a>
  <a r="1">
    <v t="s">Malay language</v>
  </a>
  <a r="1">
    <v t="s">Time in Malaysia</v>
  </a>
  <a r="1">
    <v t="r">79</v>
  </a>
  <a r="1">
    <v t="r">88</v>
  </a>
  <a r="1">
    <v t="r">97</v>
  </a>
  <a r="1">
    <v t="r">105</v>
  </a>
  <a r="1">
    <v t="r">114</v>
  </a>
  <a r="1">
    <v t="r">123</v>
  </a>
  <a r="2">
    <v t="s">English language</v>
    <v t="s">Malay language</v>
  </a>
  <a r="1">
    <v t="r">133</v>
  </a>
  <a r="1">
    <v t="r">138</v>
  </a>
  <a r="1">
    <v t="r">143</v>
  </a>
  <a r="1">
    <v t="r">147</v>
  </a>
  <a r="1">
    <v t="r">152</v>
  </a>
  <a r="1">
    <v t="r">157</v>
  </a>
  <a r="1">
    <v t="r">163</v>
  </a>
  <a r="2">
    <v t="s">Malaysia Time Zone</v>
    <v t="s">Singapore Standard Time</v>
  </a>
  <a r="1">
    <v t="r">171</v>
  </a>
  <a r="1">
    <v t="r">180</v>
  </a>
</arrayData>
</file>

<file path=xl/richData/rdrichvalue.xml><?xml version="1.0" encoding="utf-8"?>
<rvData xmlns="http://schemas.microsoft.com/office/spreadsheetml/2017/richdata" count="183">
  <rv s="0">
    <v>536870912</v>
    <v>Perlis</v>
    <v>671c3535-7aad-076b-5860-99706390b32b</v>
    <v>en-US</v>
    <v>Map</v>
  </rv>
  <rv s="1">
    <fb>821</fb>
    <v>9</v>
  </rv>
  <rv s="0">
    <v>536870912</v>
    <v>Kangar</v>
    <v>a3645305-06fc-26a4-3bf8-2a7a677933c7</v>
    <v>en-US</v>
    <v>Map</v>
  </rv>
  <rv s="0">
    <v>536870912</v>
    <v>Malaysia</v>
    <v>b3abad47-1313-e000-0d95-f77f69e2fcdd</v>
    <v>en-US</v>
    <v>Map</v>
  </rv>
  <rv s="2">
    <v>0</v>
    <v>7</v>
    <v>0</v>
    <v>7</v>
    <v>0</v>
    <v>Image of Perlis</v>
  </rv>
  <rv s="3">
    <v>https://www.bing.com/search?q=perlis+malaysia&amp;form=skydnc</v>
    <v>Learn more on Bing</v>
  </rv>
  <rv s="1">
    <fb>292700</fb>
    <v>9</v>
  </rv>
  <rv s="4">
    <v>0</v>
  </rv>
  <rv s="5">
    <v>#VALUE!</v>
    <v>en-US</v>
    <v>671c3535-7aad-076b-5860-99706390b32b</v>
    <v>536870912</v>
    <v>1</v>
    <v>2</v>
    <v>3</v>
    <v>Perlis</v>
    <v>5</v>
    <v>6</v>
    <v>Map</v>
    <v>7</v>
    <v>8</v>
    <v>MY-09</v>
    <v>1</v>
    <v>2</v>
    <v>3</v>
    <v>Perlis, is a state of Malaysia in the northwestern coast of Peninsular Malaysia. It is the smallest state in Malaysia by area and population, as well as the northernmost in the country. The state borders the Thai provinces of Satun and Songkhla ...</v>
    <v>4</v>
    <v>2</v>
    <v>5</v>
    <v>Perlis</v>
    <v>6</v>
    <v>7</v>
    <v>Perlis</v>
    <v>mdp/vdpid/10215558</v>
  </rv>
  <rv s="0">
    <v>536870912</v>
    <v>Kedah</v>
    <v>1ad802ca-b889-4b0f-9d8c-d335fad09909</v>
    <v>en-US</v>
    <v>Map</v>
  </rv>
  <rv s="1">
    <fb>9427</fb>
    <v>9</v>
  </rv>
  <rv s="0">
    <v>536870912</v>
    <v>Alor Setar</v>
    <v>5d0fbae4-5645-aebe-ccb7-66a0b5177d2c</v>
    <v>en-US</v>
    <v>Map</v>
  </rv>
  <rv s="2">
    <v>1</v>
    <v>7</v>
    <v>10</v>
    <v>7</v>
    <v>0</v>
    <v>Image of Kedah</v>
  </rv>
  <rv s="0">
    <v>536870912</v>
    <v>Sungai Petani</v>
    <v>73415655-e2e7-6cc9-6d52-11baa2ea6a55</v>
    <v>en-US</v>
    <v>Map</v>
  </rv>
  <rv s="0">
    <v>805306368</v>
    <v>Sallehuddin of Kedah (Sultan)</v>
    <v>0b19a7e7-a036-9257-28c7-a411a9dd1a9a</v>
    <v>en-US</v>
    <v>Generic</v>
  </rv>
  <rv s="4">
    <v>1</v>
  </rv>
  <rv s="3">
    <v>https://www.bing.com/search?q=kedah&amp;form=skydnc</v>
    <v>Learn more on Bing</v>
  </rv>
  <rv s="1">
    <fb>2131400</fb>
    <v>9</v>
  </rv>
  <rv s="6">
    <v>#VALUE!</v>
    <v>en-US</v>
    <v>1ad802ca-b889-4b0f-9d8c-d335fad09909</v>
    <v>536870912</v>
    <v>1</v>
    <v>12</v>
    <v>13</v>
    <v>Kedah</v>
    <v>5</v>
    <v>6</v>
    <v>Map</v>
    <v>7</v>
    <v>14</v>
    <v>MY-02</v>
    <v>10</v>
    <v>11</v>
    <v>3</v>
    <v>Kedah, also known by its honorific Darul Aman and historically as Queda, is a state of Malaysia, located in the northwestern part of Peninsular Malaysia. The state covers a total area of over 9,000 km², and consists of a mainland portion and the ...</v>
    <v>12</v>
    <v>13</v>
    <v>15</v>
    <v>16</v>
    <v>Kedah</v>
    <v>17</v>
    <v>7</v>
    <v>Kedah</v>
    <v>mdp/vdpid/16371</v>
  </rv>
  <rv s="0">
    <v>536870912</v>
    <v>Penang</v>
    <v>bf464054-864b-9148-4d71-cc74f94e1588</v>
    <v>en-US</v>
    <v>Map</v>
  </rv>
  <rv s="1">
    <fb>1031</fb>
    <v>9</v>
  </rv>
  <rv s="0">
    <v>536870912</v>
    <v>George Town, Penang</v>
    <v>f6c5eecb-f821-919d-9bc2-1e12c3665c5c</v>
    <v>en-US</v>
    <v>Map</v>
  </rv>
  <rv s="2">
    <v>2</v>
    <v>7</v>
    <v>15</v>
    <v>7</v>
    <v>0</v>
    <v>Image of Penang</v>
  </rv>
  <rv s="0">
    <v>536870912</v>
    <v>Seberang Perai</v>
    <v>47b1f83e-302e-045c-cc07-ecf7f5433782</v>
    <v>en-US</v>
    <v>Map</v>
  </rv>
  <rv s="0">
    <v>805306368</v>
    <v>Chow Kon Yeow (Chief minister)</v>
    <v>a278475b-5375-470c-cb33-32da249f8e9a</v>
    <v>en-US</v>
    <v>Generic</v>
  </rv>
  <rv s="4">
    <v>2</v>
  </rv>
  <rv s="3">
    <v>https://www.bing.com/search?q=penang&amp;form=skydnc</v>
    <v>Learn more on Bing</v>
  </rv>
  <rv s="1">
    <fb>1740400</fb>
    <v>9</v>
  </rv>
  <rv s="7">
    <v>#VALUE!</v>
    <v>en-US</v>
    <v>bf464054-864b-9148-4d71-cc74f94e1588</v>
    <v>536870912</v>
    <v>1</v>
    <v>17</v>
    <v>18</v>
    <v>Penang</v>
    <v>5</v>
    <v>6</v>
    <v>Map</v>
    <v>7</v>
    <v>14</v>
    <v>MY-07</v>
    <v>20</v>
    <v>21</v>
    <v>3</v>
    <v>Penang is a Malaysian state located on the northwest coast of Peninsular Malaysia, by the Malacca Strait. It has two parts: Penang Island, where the capital city, George Town, is located, and Seberang Perai on the Malay Peninsula. These two ...</v>
    <v>22</v>
    <v>23</v>
    <v>25</v>
    <v>26</v>
    <v>Penang</v>
    <v>27</v>
    <v>Penang</v>
    <v>mdp/vdpid/41861</v>
  </rv>
  <rv s="0">
    <v>536870912</v>
    <v>Perak</v>
    <v>6ca4b1a2-6a13-0976-d0f4-e53c93091316</v>
    <v>en-US</v>
    <v>Map</v>
  </rv>
  <rv s="1">
    <fb>21035</fb>
    <v>9</v>
  </rv>
  <rv s="0">
    <v>536870912</v>
    <v>Ipoh</v>
    <v>85ca436c-c560-6413-40ef-784625da8334</v>
    <v>en-US</v>
    <v>Map</v>
  </rv>
  <rv s="2">
    <v>3</v>
    <v>7</v>
    <v>19</v>
    <v>7</v>
    <v>0</v>
    <v>Image of Perak</v>
  </rv>
  <rv s="0">
    <v>805306368</v>
    <v>Nazrin Shah of Perak (Sultan)</v>
    <v>c053685c-a1ed-f4d8-925d-a9107ae16fe5</v>
    <v>en-US</v>
    <v>Generic</v>
  </rv>
  <rv s="4">
    <v>3</v>
  </rv>
  <rv s="3">
    <v>https://www.bing.com/search?q=suk+perak&amp;form=skydnc</v>
    <v>Learn more on Bing</v>
  </rv>
  <rv s="1">
    <fb>2500000</fb>
    <v>9</v>
  </rv>
  <rv s="6">
    <v>#VALUE!</v>
    <v>en-US</v>
    <v>6ca4b1a2-6a13-0976-d0f4-e53c93091316</v>
    <v>536870912</v>
    <v>1</v>
    <v>21</v>
    <v>13</v>
    <v>Perak</v>
    <v>5</v>
    <v>6</v>
    <v>Map</v>
    <v>7</v>
    <v>22</v>
    <v>MY-08</v>
    <v>30</v>
    <v>31</v>
    <v>3</v>
    <v>Perak is a state of Malaysia on the west coast of the Malay Peninsula. Perak has land borders with the Malaysian states of Kedah to the north, Penang to the northwest, Kelantan and Pahang to the east, and Selangor to the south. Thailand's Yala ...</v>
    <v>32</v>
    <v>31</v>
    <v>34</v>
    <v>35</v>
    <v>Perak</v>
    <v>36</v>
    <v>7</v>
    <v>Perak</v>
    <v>mdp/vdpid/7594837</v>
  </rv>
  <rv s="0">
    <v>536870912</v>
    <v>Selangor</v>
    <v>c58b8d2f-8526-6b7e-ae27-d302d98eb422</v>
    <v>en-US</v>
    <v>Map</v>
  </rv>
  <rv s="1">
    <fb>8104</fb>
    <v>9</v>
  </rv>
  <rv s="0">
    <v>536870912</v>
    <v>Shah Alam</v>
    <v>55d1e8a2-e8cf-07e5-0f90-246358d503b7</v>
    <v>en-US</v>
    <v>Map</v>
  </rv>
  <rv s="2">
    <v>4</v>
    <v>7</v>
    <v>23</v>
    <v>7</v>
    <v>0</v>
    <v>Image of Selangor</v>
  </rv>
  <rv s="0">
    <v>536870912</v>
    <v>Petaling Jaya</v>
    <v>3f77978b-ae35-7b98-b372-f2a8c8162050</v>
    <v>en-US</v>
    <v>Map</v>
  </rv>
  <rv s="0">
    <v>805306368</v>
    <v>Sharafuddin of Selangor (Sultan)</v>
    <v>04307137-f641-53b8-454c-c6cd8a35c411</v>
    <v>en-US</v>
    <v>Generic</v>
  </rv>
  <rv s="4">
    <v>4</v>
  </rv>
  <rv s="3">
    <v>https://www.bing.com/search?q=selangor&amp;form=skydnc</v>
    <v>Learn more on Bing</v>
  </rv>
  <rv s="1">
    <fb>5411324</fb>
    <v>9</v>
  </rv>
  <rv s="7">
    <v>#VALUE!</v>
    <v>en-US</v>
    <v>c58b8d2f-8526-6b7e-ae27-d302d98eb422</v>
    <v>536870912</v>
    <v>1</v>
    <v>25</v>
    <v>18</v>
    <v>Selangor</v>
    <v>5</v>
    <v>6</v>
    <v>Map</v>
    <v>7</v>
    <v>26</v>
    <v>MY-10</v>
    <v>39</v>
    <v>40</v>
    <v>3</v>
    <v>Selangor, also known by its Arabic honorific Darul Ehsan, or "Abode of Sincerity", is one of the 13 states of Malaysia. It is on the west coast of Peninsular Malaysia and is bordered by Perak to the north, Pahang to the east, Negeri Sembilan to ...</v>
    <v>41</v>
    <v>42</v>
    <v>44</v>
    <v>45</v>
    <v>Selangor</v>
    <v>46</v>
    <v>Selangor</v>
    <v>mdp/vdpid/10215561</v>
  </rv>
  <rv s="0">
    <v>536870912</v>
    <v>Negeri Sembilan</v>
    <v>db3e30e6-d597-cb37-b5d7-d3dd4e8b5d00</v>
    <v>en-US</v>
    <v>Map</v>
  </rv>
  <rv s="1">
    <fb>6686</fb>
    <v>9</v>
  </rv>
  <rv s="0">
    <v>536870912</v>
    <v>Seremban</v>
    <v>55841024-f787-c0ba-39b6-816702092c20</v>
    <v>en-US</v>
    <v>Map</v>
  </rv>
  <rv s="2">
    <v>5</v>
    <v>7</v>
    <v>27</v>
    <v>7</v>
    <v>0</v>
    <v>Image of Negeri Sembilan</v>
  </rv>
  <rv s="3">
    <v>https://www.bing.com/search?q=negeri+sembilan&amp;form=skydnc</v>
    <v>Learn more on Bing</v>
  </rv>
  <rv s="1">
    <fb>997071</fb>
    <v>9</v>
  </rv>
  <rv s="8">
    <v>#VALUE!</v>
    <v>en-US</v>
    <v>db3e30e6-d597-cb37-b5d7-d3dd4e8b5d00</v>
    <v>536870912</v>
    <v>1</v>
    <v>29</v>
    <v>30</v>
    <v>Negeri Sembilan</v>
    <v>5</v>
    <v>6</v>
    <v>Map</v>
    <v>7</v>
    <v>26</v>
    <v>MY-05</v>
    <v>49</v>
    <v>50</v>
    <v>3</v>
    <v>Negeri Sembilan, historically spelled as Negri Sembilan, is a state in Malaysia which lies on the western coast of Peninsular Malaysia. It borders Selangor on the north, Pahang in the east, and Malacca and Johor to the south.</v>
    <v>51</v>
    <v>50</v>
    <v>52</v>
    <v>Negeri Sembilan</v>
    <v>53</v>
    <v>Negeri Sembilan</v>
    <v>mdp/vdpid/22890</v>
  </rv>
  <rv s="0">
    <v>536870912</v>
    <v>Malacca</v>
    <v>44a9355d-c135-72b5-fc60-4291a89e003e</v>
    <v>en-US</v>
    <v>Map</v>
  </rv>
  <rv s="1">
    <fb>1720</fb>
    <v>9</v>
  </rv>
  <rv s="0">
    <v>536870912</v>
    <v>Malacca City</v>
    <v>9aee921e-99fb-bf62-91ba-f56fa2c759f5</v>
    <v>en-US</v>
    <v>Map</v>
  </rv>
  <rv s="2">
    <v>6</v>
    <v>7</v>
    <v>31</v>
    <v>7</v>
    <v>0</v>
    <v>Image of Malacca</v>
  </rv>
  <rv s="0">
    <v>805306368</v>
    <v>Ab Rauf Yusoh (Chief minister)</v>
    <v>4a7051a3-75b9-fc1a-e9b2-b5fec89c17f4</v>
    <v>en-US</v>
    <v>Generic</v>
  </rv>
  <rv s="4">
    <v>5</v>
  </rv>
  <rv s="3">
    <v>https://www.bing.com/search?q=malacca&amp;form=skydnc</v>
    <v>Learn more on Bing</v>
  </rv>
  <rv s="1">
    <fb>998400</fb>
    <v>9</v>
  </rv>
  <rv s="7">
    <v>#VALUE!</v>
    <v>en-US</v>
    <v>44a9355d-c135-72b5-fc60-4291a89e003e</v>
    <v>536870912</v>
    <v>1</v>
    <v>33</v>
    <v>18</v>
    <v>Malacca</v>
    <v>5</v>
    <v>6</v>
    <v>Map</v>
    <v>7</v>
    <v>14</v>
    <v>MY-04</v>
    <v>56</v>
    <v>57</v>
    <v>3</v>
    <v>Malacca, officially the Historic State of Malacca, is a state in Malaysia located in the southern region of the Malay Peninsula, facing the Strait of Malacca. The state is bordered by Negeri Sembilan to the north and west and Johor to the south. ...</v>
    <v>58</v>
    <v>57</v>
    <v>60</v>
    <v>61</v>
    <v>Malacca</v>
    <v>62</v>
    <v>Malacca</v>
    <v>mdp/vdpid/20899</v>
  </rv>
  <rv s="0">
    <v>536870912</v>
    <v>Johor</v>
    <v>592580f7-38da-e7c1-18ba-b603c80b3d69</v>
    <v>en-US</v>
    <v>Map</v>
  </rv>
  <rv s="1">
    <fb>19210</fb>
    <v>9</v>
  </rv>
  <rv s="0">
    <v>536870912</v>
    <v>Johor Bahru</v>
    <v>efc6b6ca-fb85-3052-4cd7-291dff4e4387</v>
    <v>en-US</v>
    <v>Map</v>
  </rv>
  <rv s="2">
    <v>7</v>
    <v>7</v>
    <v>34</v>
    <v>7</v>
    <v>0</v>
    <v>Image of Johor</v>
  </rv>
  <rv s="0">
    <v>805306368</v>
    <v>Ibrahim Iskandar of Johor (Sultan)</v>
    <v>cf1473be-96e1-a155-b8da-dd2b83f222ad</v>
    <v>en-US</v>
    <v>Generic</v>
  </rv>
  <rv s="4">
    <v>6</v>
  </rv>
  <rv s="3">
    <v>https://www.bing.com/search?q=johor&amp;form=skydnc</v>
    <v>Learn more on Bing</v>
  </rv>
  <rv s="4">
    <v>7</v>
  </rv>
  <rv s="1">
    <fb>4100900</fb>
    <v>9</v>
  </rv>
  <rv s="4">
    <v>8</v>
  </rv>
  <rv s="9">
    <v>#VALUE!</v>
    <v>en-US</v>
    <v>592580f7-38da-e7c1-18ba-b603c80b3d69</v>
    <v>536870912</v>
    <v>1</v>
    <v>36</v>
    <v>37</v>
    <v>Johor</v>
    <v>5</v>
    <v>6</v>
    <v>Map</v>
    <v>7</v>
    <v>8</v>
    <v>MY-01</v>
    <v>65</v>
    <v>66</v>
    <v>3</v>
    <v>Johor is a state of Malaysia in the south of the Malay Peninsula. It borders with Pahang, Malacca and Negeri Sembilan to the north. Johor has maritime borders with Singapore to the south and Indonesia to the east and west. As of 2023, the ...</v>
    <v>67</v>
    <v>66</v>
    <v>69</v>
    <v>70</v>
    <v>Johor</v>
    <v>71</v>
    <v>72</v>
    <v>73</v>
    <v>Johor</v>
    <v>mdp/vdpid/7594849</v>
  </rv>
  <rv s="0">
    <v>536870912</v>
    <v>Kelantan</v>
    <v>4ce27f56-2eb0-d77a-ba8c-f8a03a225785</v>
    <v>en-US</v>
    <v>Map</v>
  </rv>
  <rv s="1">
    <fb>15099</fb>
    <v>9</v>
  </rv>
  <rv s="0">
    <v>536870912</v>
    <v>Kota Bharu</v>
    <v>3124c5cc-71f7-80bd-ca6c-8daf3b4a83a1</v>
    <v>en-US</v>
    <v>Map</v>
  </rv>
  <rv s="2">
    <v>8</v>
    <v>7</v>
    <v>38</v>
    <v>7</v>
    <v>0</v>
    <v>Image of Kelantan</v>
  </rv>
  <rv s="0">
    <v>805306368</v>
    <v>Muhammad V of Kelantan (Sultan)</v>
    <v>2e372fa7-f859-b357-55cf-04441943b731</v>
    <v>en-US</v>
    <v>Generic</v>
  </rv>
  <rv s="4">
    <v>9</v>
  </rv>
  <rv s="3">
    <v>https://www.bing.com/search?q=kelantan&amp;form=skydnc</v>
    <v>Learn more on Bing</v>
  </rv>
  <rv s="1">
    <fb>1812300</fb>
    <v>9</v>
  </rv>
  <rv s="6">
    <v>#VALUE!</v>
    <v>en-US</v>
    <v>4ce27f56-2eb0-d77a-ba8c-f8a03a225785</v>
    <v>536870912</v>
    <v>1</v>
    <v>40</v>
    <v>13</v>
    <v>Kelantan</v>
    <v>5</v>
    <v>6</v>
    <v>Map</v>
    <v>7</v>
    <v>41</v>
    <v>MY-03</v>
    <v>76</v>
    <v>77</v>
    <v>3</v>
    <v>Kelantan is a state in Malaysia. The capital, Kota Bharu, includes the royal seat of Kubang Kerian. The honorific name of the state is Darul Naim. Kelantan is the only state outside of East Malaysia that does not use the term district in its ...</v>
    <v>78</v>
    <v>77</v>
    <v>80</v>
    <v>81</v>
    <v>Kelantan</v>
    <v>82</v>
    <v>7</v>
    <v>Kelantan</v>
    <v>mdp/vdpid/10215559</v>
  </rv>
  <rv s="0">
    <v>536870912</v>
    <v>Terengganu</v>
    <v>4c426c92-33a4-e12c-382a-d84a8509dfa2</v>
    <v>en-US</v>
    <v>Map</v>
  </rv>
  <rv s="1">
    <fb>12955</fb>
    <v>9</v>
  </rv>
  <rv s="0">
    <v>536870912</v>
    <v>Kuala Terengganu</v>
    <v>57738c15-6baf-961c-9194-ce6c45371217</v>
    <v>en-US</v>
    <v>Map</v>
  </rv>
  <rv s="2">
    <v>9</v>
    <v>7</v>
    <v>42</v>
    <v>7</v>
    <v>0</v>
    <v>Image of Terengganu</v>
  </rv>
  <rv s="0">
    <v>805306368</v>
    <v>Mizan Zainal Abidin of Terengganu (Sultan)</v>
    <v>2bd6804d-de63-7b5b-805b-2a38564ed5b9</v>
    <v>en-US</v>
    <v>Generic</v>
  </rv>
  <rv s="4">
    <v>10</v>
  </rv>
  <rv s="3">
    <v>https://www.bing.com/search?q=terengganu&amp;form=skydnc</v>
    <v>Learn more on Bing</v>
  </rv>
  <rv s="1">
    <fb>1149440</fb>
    <v>9</v>
  </rv>
  <rv s="6">
    <v>#VALUE!</v>
    <v>en-US</v>
    <v>4c426c92-33a4-e12c-382a-d84a8509dfa2</v>
    <v>536870912</v>
    <v>1</v>
    <v>44</v>
    <v>13</v>
    <v>Terengganu</v>
    <v>5</v>
    <v>6</v>
    <v>Map</v>
    <v>7</v>
    <v>14</v>
    <v>MY-11</v>
    <v>85</v>
    <v>86</v>
    <v>3</v>
    <v>Terengganu is a sultanate and federal state of Malaysia. The state is also known by its Arabic honorific, Dāru l-Īmān. The coastal city of Kuala Terengganu, at the mouth of the Terengganu River, is both the state and royal capital as well as the ...</v>
    <v>87</v>
    <v>86</v>
    <v>89</v>
    <v>90</v>
    <v>Terengganu</v>
    <v>91</v>
    <v>7</v>
    <v>Terengganu</v>
    <v>mdp/vdpid/10215560</v>
  </rv>
  <rv s="0">
    <v>536870912</v>
    <v>Pahang</v>
    <v>829da6d6-c70a-85d9-8d5d-b70db574854d</v>
    <v>en-US</v>
    <v>Map</v>
  </rv>
  <rv s="1">
    <fb>35964</fb>
    <v>9</v>
  </rv>
  <rv s="0">
    <v>536870912</v>
    <v>Kuantan</v>
    <v>b64ae13b-8106-9b62-13eb-69af00eeeee9</v>
    <v>en-US</v>
    <v>Map</v>
  </rv>
  <rv s="2">
    <v>10</v>
    <v>7</v>
    <v>45</v>
    <v>7</v>
    <v>0</v>
    <v>Image of Pahang</v>
  </rv>
  <rv s="0">
    <v>805306368</v>
    <v>Abdullah of Pahang (Sultan)</v>
    <v>6a422b48-a7d4-e27a-b096-ef9fbb32091f</v>
    <v>en-US</v>
    <v>Generic</v>
  </rv>
  <rv s="4">
    <v>11</v>
  </rv>
  <rv s="3">
    <v>https://www.bing.com/search?q=pahang&amp;form=skydnc</v>
    <v>Learn more on Bing</v>
  </rv>
  <rv s="1">
    <fb>1623200</fb>
    <v>9</v>
  </rv>
  <rv s="6">
    <v>#VALUE!</v>
    <v>en-US</v>
    <v>829da6d6-c70a-85d9-8d5d-b70db574854d</v>
    <v>536870912</v>
    <v>1</v>
    <v>47</v>
    <v>13</v>
    <v>Pahang</v>
    <v>5</v>
    <v>6</v>
    <v>Map</v>
    <v>7</v>
    <v>48</v>
    <v>MY-06</v>
    <v>94</v>
    <v>95</v>
    <v>3</v>
    <v>Pahang, officially Pahang Darul Makmur with the Arabic honorific Darul Makmur is a sultanate and a federal state of Malaysia. It is the third largest state in the country and the largest state in Peninsular Malaysia, and the ninth most populous. ...</v>
    <v>96</v>
    <v>95</v>
    <v>98</v>
    <v>99</v>
    <v>Pahang</v>
    <v>100</v>
    <v>7</v>
    <v>Pahang</v>
    <v>mdp/vdpid/10215557</v>
  </rv>
  <rv s="0">
    <v>536870912</v>
    <v>Kuala Lumpur</v>
    <v>22f00b26-6726-bd5c-180f-3ff38ae380f3</v>
    <v>en-US</v>
    <v>Map</v>
  </rv>
  <rv s="1">
    <fb>243.65</fb>
    <v>9</v>
  </rv>
  <rv s="2">
    <v>11</v>
    <v>7</v>
    <v>49</v>
    <v>7</v>
    <v>0</v>
    <v>Image of Kuala Lumpur</v>
  </rv>
  <rv s="0">
    <v>805306368</v>
    <v>Maimunah Mohd Sharif (Mayor)</v>
    <v>e460365c-33af-c512-021d-15ea70e026d8</v>
    <v>en-US</v>
    <v>Generic</v>
  </rv>
  <rv s="4">
    <v>12</v>
  </rv>
  <rv s="3">
    <v>https://www.bing.com/search?q=kuala+lumpur&amp;form=skydnc</v>
    <v>Learn more on Bing</v>
  </rv>
  <rv s="1">
    <fb>1982100</fb>
    <v>9</v>
  </rv>
  <rv s="10">
    <v>#VALUE!</v>
    <v>en-US</v>
    <v>22f00b26-6726-bd5c-180f-3ff38ae380f3</v>
    <v>536870912</v>
    <v>1</v>
    <v>51</v>
    <v>52</v>
    <v>Kuala Lumpur</v>
    <v>5</v>
    <v>6</v>
    <v>Map</v>
    <v>7</v>
    <v>14</v>
    <v>MY-14</v>
    <v>103</v>
    <v>3</v>
    <v>Kuala Lumpur, officially the Federal Territory of Kuala Lumpur, and colloquially referred to as KL, is the capital city and a federal territory of Malaysia. It is the largest city in the country, covering an area of 243 km² with a census ...</v>
    <v>104</v>
    <v>106</v>
    <v>107</v>
    <v>Kuala Lumpur</v>
    <v>71</v>
    <v>108</v>
    <v>7</v>
    <v>Kuala Lumpur</v>
    <v>mdp/vdpid/7886181754984202244</v>
  </rv>
  <rv s="0">
    <v>536870912</v>
    <v>Sabah</v>
    <v>6441d726-276d-e074-b446-2e6612c2e9e2</v>
    <v>en-US</v>
    <v>Map</v>
  </rv>
  <rv s="1">
    <fb>76115</fb>
    <v>9</v>
  </rv>
  <rv s="0">
    <v>536870912</v>
    <v>Kota Kinabalu</v>
    <v>9ca05a89-1d88-7ee8-c9fd-81f8744aa629</v>
    <v>en-US</v>
    <v>Map</v>
  </rv>
  <rv s="2">
    <v>12</v>
    <v>7</v>
    <v>53</v>
    <v>7</v>
    <v>0</v>
    <v>Image of Sabah</v>
  </rv>
  <rv s="0">
    <v>805306368</v>
    <v>Hajiji Noor (Chief minister)</v>
    <v>5e4b431a-7b0b-cd9f-c078-21a895052062</v>
    <v>en-US</v>
    <v>Generic</v>
  </rv>
  <rv s="4">
    <v>13</v>
  </rv>
  <rv s="3">
    <v>https://www.bing.com/search?q=sabah&amp;form=skydnc</v>
    <v>Learn more on Bing</v>
  </rv>
  <rv s="1">
    <fb>3830000</fb>
    <v>9</v>
  </rv>
  <rv s="11">
    <v>#VALUE!</v>
    <v>en-US</v>
    <v>6441d726-276d-e074-b446-2e6612c2e9e2</v>
    <v>536870912</v>
    <v>1</v>
    <v>55</v>
    <v>56</v>
    <v>Sabah</v>
    <v>5</v>
    <v>6</v>
    <v>Map</v>
    <v>7</v>
    <v>41</v>
    <v>MY-12</v>
    <v>111</v>
    <v>112</v>
    <v>3</v>
    <v>Sabah, or given nickname Sabah Bumi Di Bawah Bayu is a state of Malaysia located on the northern portion of Borneo, in the region of East Malaysia. Sabah has land borders with the Malaysian state of Sarawak to the southwest and Indonesia's North ...</v>
    <v>113</v>
    <v>112</v>
    <v>115</v>
    <v>116</v>
    <v>Sabah</v>
    <v>71</v>
    <v>117</v>
    <v>Sabah</v>
    <v>mdp/vdpid/28487</v>
  </rv>
  <rv s="0">
    <v>536870912</v>
    <v>Sarawak</v>
    <v>dce6889b-8572-6739-b867-e448e9f0fc11</v>
    <v>en-US</v>
    <v>Map</v>
  </rv>
  <rv s="1">
    <fb>124450</fb>
    <v>9</v>
  </rv>
  <rv s="0">
    <v>536870912</v>
    <v>Kuching</v>
    <v>4db49314-b768-1548-c2a3-e03240cca84f</v>
    <v>en-US</v>
    <v>Map</v>
  </rv>
  <rv s="2">
    <v>13</v>
    <v>7</v>
    <v>57</v>
    <v>7</v>
    <v>0</v>
    <v>Image of Sarawak</v>
  </rv>
  <rv s="0">
    <v>805306368</v>
    <v>Abang Johari (Premier)</v>
    <v>dbd7cd23-0118-e080-bc6a-361575c68f00</v>
    <v>en-US</v>
    <v>Generic</v>
  </rv>
  <rv s="4">
    <v>14</v>
  </rv>
  <rv s="3">
    <v>https://www.bing.com/search?q=sarawak&amp;form=skydnc</v>
    <v>Learn more on Bing</v>
  </rv>
  <rv s="4">
    <v>15</v>
  </rv>
  <rv s="1">
    <fb>2907500</fb>
    <v>9</v>
  </rv>
  <rv s="9">
    <v>#VALUE!</v>
    <v>en-US</v>
    <v>dce6889b-8572-6739-b867-e448e9f0fc11</v>
    <v>536870912</v>
    <v>1</v>
    <v>59</v>
    <v>37</v>
    <v>Sarawak</v>
    <v>5</v>
    <v>6</v>
    <v>Map</v>
    <v>7</v>
    <v>14</v>
    <v>MY-13</v>
    <v>120</v>
    <v>121</v>
    <v>3</v>
    <v>Sarawak is a state of Malaysia. The largest among the 13 states, with an area almost equal to that of Peninsular Malaysia, Sarawak is located in East Malaysia in northwest Borneo, and is bordered by the Malaysian state of Sabah to the northeast, ...</v>
    <v>122</v>
    <v>121</v>
    <v>124</v>
    <v>125</v>
    <v>Sarawak</v>
    <v>126</v>
    <v>127</v>
    <v>7</v>
    <v>Sarawak</v>
    <v>mdp/vdpid/29882</v>
  </rv>
  <rv s="0">
    <v>536870912</v>
    <v>Selangor</v>
    <v>c58b8d2f-8526-6b7e-ae27-d302d98eb422</v>
    <v>en-MY</v>
    <v>Map</v>
  </rv>
  <rv s="0">
    <v>536870912</v>
    <v>Shah Alam</v>
    <v>55d1e8a2-e8cf-07e5-0f90-246358d503b7</v>
    <v>en-MY</v>
    <v>Map</v>
  </rv>
  <rv s="0">
    <v>536870912</v>
    <v>Malaysia</v>
    <v>b3abad47-1313-e000-0d95-f77f69e2fcdd</v>
    <v>en-MY</v>
    <v>Map</v>
  </rv>
  <rv s="0">
    <v>536870912</v>
    <v>Petaling Jaya</v>
    <v>3f77978b-ae35-7b98-b372-f2a8c8162050</v>
    <v>en-MY</v>
    <v>Map</v>
  </rv>
  <rv s="0">
    <v>805306368</v>
    <v>Sharafuddin of Selangor (Sultan)</v>
    <v>04307137-f641-53b8-454c-c6cd8a35c411</v>
    <v>en-MY</v>
    <v>Generic</v>
  </rv>
  <rv s="4">
    <v>16</v>
  </rv>
  <rv s="7">
    <v>#VALUE!</v>
    <v>en-MY</v>
    <v>c58b8d2f-8526-6b7e-ae27-d302d98eb422</v>
    <v>536870912</v>
    <v>1</v>
    <v>25</v>
    <v>18</v>
    <v>Selangor</v>
    <v>5</v>
    <v>6</v>
    <v>Map</v>
    <v>7</v>
    <v>26</v>
    <v>MY-10</v>
    <v>39</v>
    <v>130</v>
    <v>131</v>
    <v>Selangor, also known by its Arabic honorific Darul Ehsan, or "Abode of Sincerity", is one of the 13 states of Malaysia. It is on the west coast of Peninsular Malaysia and is bordered by Perak to the north, Pahang to the east, Negeri Sembilan to ...</v>
    <v>41</v>
    <v>132</v>
    <v>134</v>
    <v>45</v>
    <v>Selangor</v>
    <v>46</v>
    <v>Selangor</v>
    <v>mdp/vdpid/10215561</v>
  </rv>
  <rv s="0">
    <v>536870912</v>
    <v>Pahang</v>
    <v>829da6d6-c70a-85d9-8d5d-b70db574854d</v>
    <v>en-MY</v>
    <v>Map</v>
  </rv>
  <rv s="0">
    <v>536870912</v>
    <v>Kuantan</v>
    <v>b64ae13b-8106-9b62-13eb-69af00eeeee9</v>
    <v>en-MY</v>
    <v>Map</v>
  </rv>
  <rv s="0">
    <v>805306368</v>
    <v>Abdullah of Pahang (Sultan)</v>
    <v>6a422b48-a7d4-e27a-b096-ef9fbb32091f</v>
    <v>en-MY</v>
    <v>Generic</v>
  </rv>
  <rv s="4">
    <v>17</v>
  </rv>
  <rv s="6">
    <v>#VALUE!</v>
    <v>en-MY</v>
    <v>829da6d6-c70a-85d9-8d5d-b70db574854d</v>
    <v>536870912</v>
    <v>1</v>
    <v>47</v>
    <v>13</v>
    <v>Pahang</v>
    <v>5</v>
    <v>6</v>
    <v>Map</v>
    <v>7</v>
    <v>48</v>
    <v>MY-06</v>
    <v>94</v>
    <v>137</v>
    <v>131</v>
    <v>Pahang, officially Pahang Darul Makmur with the Arabic honorific Darul Makmur is a sultanate and a federal state of Malaysia. It is the third largest state in the country and the largest state in Peninsular Malaysia, and the ninth most populous. ...</v>
    <v>96</v>
    <v>137</v>
    <v>139</v>
    <v>99</v>
    <v>Pahang</v>
    <v>100</v>
    <v>7</v>
    <v>Pahang</v>
    <v>mdp/vdpid/10215557</v>
  </rv>
  <rv s="0">
    <v>536870912</v>
    <v>Johor</v>
    <v>592580f7-38da-e7c1-18ba-b603c80b3d69</v>
    <v>en-MY</v>
    <v>Map</v>
  </rv>
  <rv s="0">
    <v>536870912</v>
    <v>Johor Bahru</v>
    <v>efc6b6ca-fb85-3052-4cd7-291dff4e4387</v>
    <v>en-MY</v>
    <v>Map</v>
  </rv>
  <rv s="0">
    <v>805306368</v>
    <v>Ibrahim Iskandar of Johor (Sultan)</v>
    <v>cf1473be-96e1-a155-b8da-dd2b83f222ad</v>
    <v>en-MY</v>
    <v>Generic</v>
  </rv>
  <rv s="4">
    <v>18</v>
  </rv>
  <rv s="9">
    <v>#VALUE!</v>
    <v>en-MY</v>
    <v>592580f7-38da-e7c1-18ba-b603c80b3d69</v>
    <v>536870912</v>
    <v>1</v>
    <v>36</v>
    <v>37</v>
    <v>Johor</v>
    <v>5</v>
    <v>6</v>
    <v>Map</v>
    <v>7</v>
    <v>8</v>
    <v>MY-01</v>
    <v>65</v>
    <v>142</v>
    <v>131</v>
    <v>Johor is a state of Malaysia in the south of the Malay Peninsula. It borders with Pahang, Malacca and Negeri Sembilan to the north. Johor has maritime borders with Singapore to the south and Indonesia to the east and west. As of 2023, the ...</v>
    <v>67</v>
    <v>142</v>
    <v>144</v>
    <v>70</v>
    <v>Johor</v>
    <v>71</v>
    <v>72</v>
    <v>73</v>
    <v>Johor</v>
    <v>mdp/vdpid/7594849</v>
  </rv>
  <rv s="0">
    <v>536870912</v>
    <v>Kuala Lumpur</v>
    <v>22f00b26-6726-bd5c-180f-3ff38ae380f3</v>
    <v>en-MY</v>
    <v>Map</v>
  </rv>
  <rv s="0">
    <v>805306368</v>
    <v>Maimunah Mohd Sharif (Mayor)</v>
    <v>e460365c-33af-c512-021d-15ea70e026d8</v>
    <v>en-MY</v>
    <v>Generic</v>
  </rv>
  <rv s="4">
    <v>19</v>
  </rv>
  <rv s="10">
    <v>#VALUE!</v>
    <v>en-MY</v>
    <v>22f00b26-6726-bd5c-180f-3ff38ae380f3</v>
    <v>536870912</v>
    <v>1</v>
    <v>51</v>
    <v>52</v>
    <v>Kuala Lumpur</v>
    <v>5</v>
    <v>6</v>
    <v>Map</v>
    <v>7</v>
    <v>14</v>
    <v>MY-14</v>
    <v>103</v>
    <v>131</v>
    <v>Kuala Lumpur, officially the Federal Territory of Kuala Lumpur, and colloquially referred to as KL, is the capital city and a federal territory of Malaysia. It is the largest city in the country, covering an area of 243 km² with a census ...</v>
    <v>104</v>
    <v>148</v>
    <v>107</v>
    <v>Kuala Lumpur</v>
    <v>71</v>
    <v>108</v>
    <v>7</v>
    <v>Kuala Lumpur</v>
    <v>mdp/vdpid/7886181754984202244</v>
  </rv>
  <rv s="0">
    <v>536870912</v>
    <v>Malacca</v>
    <v>44a9355d-c135-72b5-fc60-4291a89e003e</v>
    <v>en-MY</v>
    <v>Map</v>
  </rv>
  <rv s="0">
    <v>536870912</v>
    <v>Malacca City</v>
    <v>9aee921e-99fb-bf62-91ba-f56fa2c759f5</v>
    <v>en-MY</v>
    <v>Map</v>
  </rv>
  <rv s="0">
    <v>805306368</v>
    <v>Ab Rauf Yusoh (Chief minister)</v>
    <v>4a7051a3-75b9-fc1a-e9b2-b5fec89c17f4</v>
    <v>en-MY</v>
    <v>Generic</v>
  </rv>
  <rv s="4">
    <v>20</v>
  </rv>
  <rv s="7">
    <v>#VALUE!</v>
    <v>en-MY</v>
    <v>44a9355d-c135-72b5-fc60-4291a89e003e</v>
    <v>536870912</v>
    <v>1</v>
    <v>33</v>
    <v>18</v>
    <v>Malacca</v>
    <v>5</v>
    <v>6</v>
    <v>Map</v>
    <v>7</v>
    <v>14</v>
    <v>MY-04</v>
    <v>56</v>
    <v>151</v>
    <v>131</v>
    <v>Malacca, officially the Historic State of Malacca, is a state in Malaysia located in the southern region of the Malay Peninsula, facing the Strait of Malacca. The state is bordered by Negeri Sembilan to the north and west and Johor to the south. ...</v>
    <v>58</v>
    <v>151</v>
    <v>153</v>
    <v>61</v>
    <v>Malacca</v>
    <v>62</v>
    <v>Malacca</v>
    <v>mdp/vdpid/20899</v>
  </rv>
  <rv s="0">
    <v>536870912</v>
    <v>Terengganu</v>
    <v>4c426c92-33a4-e12c-382a-d84a8509dfa2</v>
    <v>en-MY</v>
    <v>Map</v>
  </rv>
  <rv s="0">
    <v>536870912</v>
    <v>Kuala Terengganu</v>
    <v>57738c15-6baf-961c-9194-ce6c45371217</v>
    <v>en-MY</v>
    <v>Map</v>
  </rv>
  <rv s="0">
    <v>805306368</v>
    <v>Mizan Zainal Abidin of Terengganu (Sultan)</v>
    <v>2bd6804d-de63-7b5b-805b-2a38564ed5b9</v>
    <v>en-MY</v>
    <v>Generic</v>
  </rv>
  <rv s="4">
    <v>21</v>
  </rv>
  <rv s="6">
    <v>#VALUE!</v>
    <v>en-MY</v>
    <v>4c426c92-33a4-e12c-382a-d84a8509dfa2</v>
    <v>536870912</v>
    <v>1</v>
    <v>44</v>
    <v>13</v>
    <v>Terengganu</v>
    <v>5</v>
    <v>6</v>
    <v>Map</v>
    <v>7</v>
    <v>14</v>
    <v>MY-11</v>
    <v>85</v>
    <v>156</v>
    <v>131</v>
    <v>Terengganu is a sultanate and federal state of Malaysia. The state is also known by its Arabic honorific, Dāru l-Īmān. The coastal city of Kuala Terengganu, at the mouth of the Terengganu River, is both the state and royal capital as well as the ...</v>
    <v>87</v>
    <v>156</v>
    <v>158</v>
    <v>90</v>
    <v>Terengganu</v>
    <v>91</v>
    <v>7</v>
    <v>Terengganu</v>
    <v>mdp/vdpid/10215560</v>
  </rv>
  <rv s="0">
    <v>536870912</v>
    <v>Putrajaya</v>
    <v>703ccf1a-052c-03ee-0599-1ef25799d8dc</v>
    <v>en-MY</v>
    <v>Map</v>
  </rv>
  <rv s="1">
    <fb>49</fb>
    <v>9</v>
  </rv>
  <rv s="2">
    <v>14</v>
    <v>7</v>
    <v>60</v>
    <v>7</v>
    <v>0</v>
    <v>Image of Putrajaya</v>
  </rv>
  <rv s="0">
    <v>805306368</v>
    <v>Tan Sri Thamarai Selvan (President)</v>
    <v>57868b8d-759a-4ebd-99c4-a71a2b02ae4b</v>
    <v>en-MY</v>
    <v>Generic</v>
  </rv>
  <rv s="4">
    <v>22</v>
  </rv>
  <rv s="3">
    <v>https://www.bing.com/search?q=putrajaya&amp;form=skydnc</v>
    <v>Learn more on Bing</v>
  </rv>
  <rv s="1">
    <fb>109202</fb>
    <v>9</v>
  </rv>
  <rv s="4">
    <v>23</v>
  </rv>
  <rv s="12">
    <v>#VALUE!</v>
    <v>en-MY</v>
    <v>703ccf1a-052c-03ee-0599-1ef25799d8dc</v>
    <v>536870912</v>
    <v>1</v>
    <v>62</v>
    <v>63</v>
    <v>Putrajaya</v>
    <v>5</v>
    <v>6</v>
    <v>Map</v>
    <v>7</v>
    <v>14</v>
    <v>MY-16</v>
    <v>161</v>
    <v>131</v>
    <v>Putrajaya, officially the Federal Territory of Putrajaya, is the administrative centre of Malaysia. The seat of the federal government of Malaysia was moved in 1999 from Kuala Lumpur to Putrajaya because of overcrowding and congestion, whilst ...</v>
    <v>162</v>
    <v>164</v>
    <v>165</v>
    <v>Putrajaya</v>
    <v>166</v>
    <v>167</v>
    <v>Putrajaya</v>
    <v>mdp/vdpid/7886186426331561985</v>
  </rv>
  <rv s="0">
    <v>536870912</v>
    <v>Perak</v>
    <v>6ca4b1a2-6a13-0976-d0f4-e53c93091316</v>
    <v>en-MY</v>
    <v>Map</v>
  </rv>
  <rv s="0">
    <v>536870912</v>
    <v>Ipoh</v>
    <v>85ca436c-c560-6413-40ef-784625da8334</v>
    <v>en-MY</v>
    <v>Map</v>
  </rv>
  <rv s="0">
    <v>805306368</v>
    <v>Nazrin Shah of Perak (Sultan)</v>
    <v>c053685c-a1ed-f4d8-925d-a9107ae16fe5</v>
    <v>en-MY</v>
    <v>Generic</v>
  </rv>
  <rv s="4">
    <v>24</v>
  </rv>
  <rv s="6">
    <v>#VALUE!</v>
    <v>en-MY</v>
    <v>6ca4b1a2-6a13-0976-d0f4-e53c93091316</v>
    <v>536870912</v>
    <v>1</v>
    <v>21</v>
    <v>13</v>
    <v>Perak</v>
    <v>5</v>
    <v>6</v>
    <v>Map</v>
    <v>7</v>
    <v>22</v>
    <v>MY-08</v>
    <v>30</v>
    <v>170</v>
    <v>131</v>
    <v>Perak is a state of Malaysia on the west coast of the Malay Peninsula. Perak has land borders with the Malaysian states of Kedah to the north, Penang to the northwest, Kelantan and Pahang to the east, and Selangor to the south. Thailand's Yala ...</v>
    <v>32</v>
    <v>170</v>
    <v>172</v>
    <v>35</v>
    <v>Perak</v>
    <v>36</v>
    <v>7</v>
    <v>Perak</v>
    <v>mdp/vdpid/7594837</v>
  </rv>
  <rv s="0">
    <v>536870912</v>
    <v>Negeri Sembilan</v>
    <v>db3e30e6-d597-cb37-b5d7-d3dd4e8b5d00</v>
    <v>en-MY</v>
    <v>Map</v>
  </rv>
  <rv s="0">
    <v>536870912</v>
    <v>Seremban</v>
    <v>55841024-f787-c0ba-39b6-816702092c20</v>
    <v>en-MY</v>
    <v>Map</v>
  </rv>
  <rv s="8">
    <v>#VALUE!</v>
    <v>en-MY</v>
    <v>db3e30e6-d597-cb37-b5d7-d3dd4e8b5d00</v>
    <v>536870912</v>
    <v>1</v>
    <v>29</v>
    <v>30</v>
    <v>Negeri Sembilan</v>
    <v>5</v>
    <v>6</v>
    <v>Map</v>
    <v>7</v>
    <v>26</v>
    <v>MY-05</v>
    <v>49</v>
    <v>175</v>
    <v>131</v>
    <v>Negeri Sembilan, historically spelled as Negri Sembilan, is a state in Malaysia which lies on the western coast of Peninsular Malaysia. It borders Selangor on the north, Pahang in the east, and Malacca and Johor to the south.</v>
    <v>51</v>
    <v>175</v>
    <v>52</v>
    <v>Negeri Sembilan</v>
    <v>53</v>
    <v>Negeri Sembilan</v>
    <v>mdp/vdpid/22890</v>
  </rv>
  <rv s="0">
    <v>536870912</v>
    <v>Penang</v>
    <v>bf464054-864b-9148-4d71-cc74f94e1588</v>
    <v>en-MY</v>
    <v>Map</v>
  </rv>
  <rv s="0">
    <v>536870912</v>
    <v>George Town, Penang</v>
    <v>f6c5eecb-f821-919d-9bc2-1e12c3665c5c</v>
    <v>en-MY</v>
    <v>Map</v>
  </rv>
  <rv s="0">
    <v>536870912</v>
    <v>Seberang Perai</v>
    <v>47b1f83e-302e-045c-cc07-ecf7f5433782</v>
    <v>en-MY</v>
    <v>Map</v>
  </rv>
  <rv s="0">
    <v>805306368</v>
    <v>Chow Kon Yeow (Chief minister)</v>
    <v>a278475b-5375-470c-cb33-32da249f8e9a</v>
    <v>en-MY</v>
    <v>Generic</v>
  </rv>
  <rv s="4">
    <v>25</v>
  </rv>
  <rv s="7">
    <v>#VALUE!</v>
    <v>en-MY</v>
    <v>bf464054-864b-9148-4d71-cc74f94e1588</v>
    <v>536870912</v>
    <v>1</v>
    <v>17</v>
    <v>18</v>
    <v>Penang</v>
    <v>5</v>
    <v>6</v>
    <v>Map</v>
    <v>7</v>
    <v>14</v>
    <v>MY-07</v>
    <v>20</v>
    <v>178</v>
    <v>131</v>
    <v>Penang is a Malaysian state located on the northwest coast of Peninsular Malaysia, by the Malacca Strait. It has two parts: Penang Island, where the capital city, George Town, is located, and Seberang Perai on the Malay Peninsula. These two ...</v>
    <v>22</v>
    <v>179</v>
    <v>181</v>
    <v>26</v>
    <v>Penang</v>
    <v>27</v>
    <v>Penang</v>
    <v>mdp/vdpid/41861</v>
  </rv>
</rvData>
</file>

<file path=xl/richData/rdrichvaluestructure.xml><?xml version="1.0" encoding="utf-8"?>
<rvStructures xmlns="http://schemas.microsoft.com/office/spreadsheetml/2017/richdata" count="13">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8">
    <a count="25">
      <v t="s">%EntityServiceId</v>
      <v t="s">%IsRefreshable</v>
      <v t="s">%EntityCulture</v>
      <v t="s">%EntityId</v>
      <v t="s">_Icon</v>
      <v t="s">_Provider</v>
      <v t="s">_Attribution</v>
      <v t="s">_Display</v>
      <v t="s">Name</v>
      <v t="s">_Format</v>
      <v t="s">Capital/Major City</v>
      <v t="s">Country/region</v>
      <v t="s">_SubLabel</v>
      <v t="s">Population</v>
      <v t="s">Area</v>
      <v t="s">Abbreviation</v>
      <v t="s">Largest city</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Country/region</v>
      <v t="s">_SubLabel</v>
      <v t="s">Population</v>
      <v t="s">Area</v>
      <v t="s">Abbreviation</v>
      <v t="s">Largest city</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Official language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Time zone(s)</v>
      <v t="s">_Flags</v>
      <v t="s">VDPID/VSID</v>
      <v t="s">UniqueName</v>
      <v t="s">_DisplayString</v>
      <v t="s">LearnMoreOnLink</v>
      <v t="s">Image</v>
      <v t="s">Description</v>
    </a>
  </spbArrays>
  <spbData count="64">
    <spb s="0">
      <v xml:space="preserve">Wikipedia	</v>
      <v xml:space="preserve">CC BY-SA 3.0	</v>
      <v xml:space="preserve">https://en.wikipedia.org/wiki/Perlis	</v>
      <v xml:space="preserve">https://creativecommons.org/licenses/by-sa/3.0	</v>
    </spb>
    <spb s="0">
      <v xml:space="preserve">Wikipedia	</v>
      <v xml:space="preserve">CC-BY-SA	</v>
      <v xml:space="preserve">http://en.wikipedia.org/wiki/Perlis	</v>
      <v xml:space="preserve">http://creativecommons.org/licenses/by-sa/3.0/	</v>
    </spb>
    <spb s="1">
      <v>0</v>
      <v>0</v>
      <v>0</v>
      <v>0</v>
      <v>0</v>
      <v>1</v>
      <v>0</v>
      <v>0</v>
      <v>0</v>
    </spb>
    <spb s="2">
      <v>0</v>
      <v>Name</v>
      <v>LearnMoreOnLink</v>
    </spb>
    <spb s="3">
      <v>0</v>
      <v>0</v>
      <v>0</v>
    </spb>
    <spb s="4">
      <v>4</v>
      <v>4</v>
      <v>4</v>
    </spb>
    <spb s="5">
      <v>1</v>
      <v>2</v>
    </spb>
    <spb s="6">
      <v>https://www.bing.com</v>
      <v>https://www.bing.com/th?id=Ga%5Cbing_yt.png&amp;w=100&amp;h=40&amp;c=0&amp;pid=0.1</v>
      <v>Powered by Bing</v>
    </spb>
    <spb s="7">
      <v>square km</v>
      <v>2023</v>
    </spb>
    <spb s="8">
      <v>3</v>
    </spb>
    <spb s="0">
      <v xml:space="preserve">Wikipedia	</v>
      <v xml:space="preserve">CC BY-SA 3.0	</v>
      <v xml:space="preserve">https://en.wikipedia.org/wiki/Kedah	</v>
      <v xml:space="preserve">https://creativecommons.org/licenses/by-sa/3.0	</v>
    </spb>
    <spb s="0">
      <v xml:space="preserve">Wikipedia	</v>
      <v xml:space="preserve">CC-BY-SA	</v>
      <v xml:space="preserve">http://en.wikipedia.org/wiki/Kedah	</v>
      <v xml:space="preserve">http://creativecommons.org/licenses/by-sa/3.0/	</v>
    </spb>
    <spb s="1">
      <v>10</v>
      <v>10</v>
      <v>10</v>
      <v>10</v>
      <v>10</v>
      <v>11</v>
      <v>10</v>
      <v>10</v>
      <v>10</v>
    </spb>
    <spb s="2">
      <v>1</v>
      <v>Name</v>
      <v>LearnMoreOnLink</v>
    </spb>
    <spb s="7">
      <v>square km</v>
      <v>2020</v>
    </spb>
    <spb s="0">
      <v xml:space="preserve">Wikipedia	</v>
      <v xml:space="preserve">CC BY-SA 3.0	</v>
      <v xml:space="preserve">https://en.wikipedia.org/wiki/Penang	</v>
      <v xml:space="preserve">https://creativecommons.org/licenses/by-sa/3.0	</v>
    </spb>
    <spb s="0">
      <v xml:space="preserve">Wikipedia	</v>
      <v xml:space="preserve">CC-BY-SA	</v>
      <v xml:space="preserve">http://en.wikipedia.org/wiki/Penang	</v>
      <v xml:space="preserve">http://creativecommons.org/licenses/by-sa/3.0/	</v>
    </spb>
    <spb s="1">
      <v>15</v>
      <v>15</v>
      <v>15</v>
      <v>15</v>
      <v>15</v>
      <v>16</v>
      <v>15</v>
      <v>15</v>
      <v>15</v>
    </spb>
    <spb s="2">
      <v>2</v>
      <v>Name</v>
      <v>LearnMoreOnLink</v>
    </spb>
    <spb s="0">
      <v xml:space="preserve">Wikipedia	</v>
      <v xml:space="preserve">CC BY-SA 3.0	</v>
      <v xml:space="preserve">https://en.wikipedia.org/wiki/Perak	</v>
      <v xml:space="preserve">https://creativecommons.org/licenses/by-sa/3.0	</v>
    </spb>
    <spb s="0">
      <v xml:space="preserve">Wikipedia	</v>
      <v xml:space="preserve">CC-BY-SA	</v>
      <v xml:space="preserve">http://en.wikipedia.org/wiki/Perak	</v>
      <v xml:space="preserve">http://creativecommons.org/licenses/by-sa/3.0/	</v>
    </spb>
    <spb s="1">
      <v>19</v>
      <v>19</v>
      <v>19</v>
      <v>19</v>
      <v>19</v>
      <v>20</v>
      <v>19</v>
      <v>19</v>
      <v>19</v>
    </spb>
    <spb s="7">
      <v>square km</v>
      <v>2018</v>
    </spb>
    <spb s="0">
      <v xml:space="preserve">Wikipedia	</v>
      <v xml:space="preserve">CC BY-SA 3.0	</v>
      <v xml:space="preserve">https://en.wikipedia.org/wiki/Selangor	</v>
      <v xml:space="preserve">https://creativecommons.org/licenses/by-sa/3.0	</v>
    </spb>
    <spb s="0">
      <v xml:space="preserve">Wikipedia	</v>
      <v xml:space="preserve">CC-BY-SA	</v>
      <v xml:space="preserve">http://en.wikipedia.org/wiki/Selangor	</v>
      <v xml:space="preserve">http://creativecommons.org/licenses/by-sa/3.0/	</v>
    </spb>
    <spb s="1">
      <v>23</v>
      <v>23</v>
      <v>23</v>
      <v>23</v>
      <v>23</v>
      <v>24</v>
      <v>23</v>
      <v>23</v>
      <v>23</v>
    </spb>
    <spb s="7">
      <v>square km</v>
      <v>2010</v>
    </spb>
    <spb s="0">
      <v xml:space="preserve">Wikipedia	</v>
      <v xml:space="preserve">CC BY-SA 3.0	</v>
      <v xml:space="preserve">https://en.wikipedia.org/wiki/Negeri_Sembilan	</v>
      <v xml:space="preserve">https://creativecommons.org/licenses/by-sa/3.0	</v>
    </spb>
    <spb s="0">
      <v xml:space="preserve">Wikipedia	</v>
      <v xml:space="preserve">CC-BY-SA	</v>
      <v xml:space="preserve">http://en.wikipedia.org/wiki/Negeri_Sembilan	</v>
      <v xml:space="preserve">http://creativecommons.org/licenses/by-sa/3.0/	</v>
    </spb>
    <spb s="1">
      <v>27</v>
      <v>27</v>
      <v>27</v>
      <v>27</v>
      <v>27</v>
      <v>28</v>
      <v>27</v>
      <v>27</v>
      <v>27</v>
    </spb>
    <spb s="2">
      <v>3</v>
      <v>Name</v>
      <v>LearnMoreOnLink</v>
    </spb>
    <spb s="0">
      <v xml:space="preserve">Wikipedia	</v>
      <v xml:space="preserve">CC BY-SA 3.0	</v>
      <v xml:space="preserve">https://en.wikipedia.org/wiki/Malacca	</v>
      <v xml:space="preserve">https://creativecommons.org/licenses/by-sa/3.0	</v>
    </spb>
    <spb s="0">
      <v xml:space="preserve">Wikipedia	</v>
      <v xml:space="preserve">CC-BY-SA	</v>
      <v xml:space="preserve">http://en.wikipedia.org/wiki/Malacca	</v>
      <v xml:space="preserve">http://creativecommons.org/licenses/by-sa/3.0/	</v>
    </spb>
    <spb s="1">
      <v>31</v>
      <v>31</v>
      <v>31</v>
      <v>31</v>
      <v>31</v>
      <v>32</v>
      <v>31</v>
      <v>31</v>
      <v>31</v>
    </spb>
    <spb s="0">
      <v xml:space="preserve">Wikipedia	</v>
      <v xml:space="preserve">CC BY-SA 3.0	</v>
      <v xml:space="preserve">https://en.wikipedia.org/wiki/Johor	</v>
      <v xml:space="preserve">https://creativecommons.org/licenses/by-sa/3.0	</v>
    </spb>
    <spb s="0">
      <v xml:space="preserve">Wikipedia	</v>
      <v xml:space="preserve">CC-BY-SA	</v>
      <v xml:space="preserve">http://en.wikipedia.org/wiki/Johor	</v>
      <v xml:space="preserve">http://creativecommons.org/licenses/by-sa/3.0/	</v>
    </spb>
    <spb s="1">
      <v>34</v>
      <v>34</v>
      <v>34</v>
      <v>34</v>
      <v>34</v>
      <v>35</v>
      <v>34</v>
      <v>34</v>
      <v>34</v>
    </spb>
    <spb s="2">
      <v>4</v>
      <v>Name</v>
      <v>LearnMoreOnLink</v>
    </spb>
    <spb s="0">
      <v xml:space="preserve">Wikipedia	</v>
      <v xml:space="preserve">CC BY-SA 3.0	</v>
      <v xml:space="preserve">https://en.wikipedia.org/wiki/Kelantan	</v>
      <v xml:space="preserve">https://creativecommons.org/licenses/by-sa/3.0	</v>
    </spb>
    <spb s="0">
      <v xml:space="preserve">Wikipedia	</v>
      <v xml:space="preserve">CC-BY-SA	</v>
      <v xml:space="preserve">http://en.wikipedia.org/wiki/Kelantan	</v>
      <v xml:space="preserve">http://creativecommons.org/licenses/by-sa/3.0/	</v>
    </spb>
    <spb s="1">
      <v>38</v>
      <v>38</v>
      <v>38</v>
      <v>38</v>
      <v>38</v>
      <v>39</v>
      <v>38</v>
      <v>38</v>
      <v>38</v>
    </spb>
    <spb s="7">
      <v>square km</v>
      <v>2021</v>
    </spb>
    <spb s="0">
      <v xml:space="preserve">Wikipedia	</v>
      <v xml:space="preserve">CC BY-SA 3.0	</v>
      <v xml:space="preserve">https://en.wikipedia.org/wiki/Terengganu	</v>
      <v xml:space="preserve">https://creativecommons.org/licenses/by-sa/3.0	</v>
    </spb>
    <spb s="0">
      <v xml:space="preserve">Wikipedia	</v>
      <v xml:space="preserve">CC-BY-SA	</v>
      <v xml:space="preserve">http://en.wikipedia.org/wiki/Terengganu	</v>
      <v xml:space="preserve">http://creativecommons.org/licenses/by-sa/3.0/	</v>
    </spb>
    <spb s="1">
      <v>42</v>
      <v>42</v>
      <v>42</v>
      <v>42</v>
      <v>42</v>
      <v>43</v>
      <v>42</v>
      <v>42</v>
      <v>42</v>
    </spb>
    <spb s="0">
      <v xml:space="preserve">Wikipedia	</v>
      <v xml:space="preserve">CC BY-SA 3.0	</v>
      <v xml:space="preserve">https://en.wikipedia.org/wiki/Pahang	</v>
      <v xml:space="preserve">https://creativecommons.org/licenses/by-sa/3.0	</v>
    </spb>
    <spb s="0">
      <v xml:space="preserve">Wikipedia	</v>
      <v xml:space="preserve">CC-BY-SA	</v>
      <v xml:space="preserve">http://en.wikipedia.org/wiki/Pahang	</v>
      <v xml:space="preserve">http://creativecommons.org/licenses/by-sa/3.0/	</v>
    </spb>
    <spb s="1">
      <v>45</v>
      <v>45</v>
      <v>45</v>
      <v>45</v>
      <v>45</v>
      <v>46</v>
      <v>45</v>
      <v>45</v>
      <v>45</v>
    </spb>
    <spb s="7">
      <v>square km</v>
      <v>2015</v>
    </spb>
    <spb s="0">
      <v xml:space="preserve">Wikipedia	</v>
      <v xml:space="preserve">CC BY-SA 3.0	</v>
      <v xml:space="preserve">https://en.wikipedia.org/wiki/Kuala_Lumpur	</v>
      <v xml:space="preserve">https://creativecommons.org/licenses/by-sa/3.0	</v>
    </spb>
    <spb s="0">
      <v xml:space="preserve">Wikipedia	</v>
      <v xml:space="preserve">CC-BY-SA	</v>
      <v xml:space="preserve">http://en.wikipedia.org/wiki/Kuala_Lumpur	</v>
      <v xml:space="preserve">http://creativecommons.org/licenses/by-sa/3.0/	</v>
    </spb>
    <spb s="9">
      <v>49</v>
      <v>49</v>
      <v>49</v>
      <v>49</v>
      <v>49</v>
      <v>50</v>
      <v>49</v>
    </spb>
    <spb s="2">
      <v>5</v>
      <v>Name</v>
      <v>LearnMoreOnLink</v>
    </spb>
    <spb s="0">
      <v xml:space="preserve">Wikipedia	</v>
      <v xml:space="preserve">CC BY-SA 3.0	</v>
      <v xml:space="preserve">https://en.wikipedia.org/wiki/Sabah	</v>
      <v xml:space="preserve">https://creativecommons.org/licenses/by-sa/3.0	</v>
    </spb>
    <spb s="0">
      <v xml:space="preserve">Wikipedia	</v>
      <v xml:space="preserve">CC-BY-SA	</v>
      <v xml:space="preserve">http://en.wikipedia.org/wiki/Sabah	</v>
      <v xml:space="preserve">http://creativecommons.org/licenses/by-sa/3.0/	</v>
    </spb>
    <spb s="1">
      <v>53</v>
      <v>53</v>
      <v>53</v>
      <v>53</v>
      <v>53</v>
      <v>54</v>
      <v>53</v>
      <v>53</v>
      <v>53</v>
    </spb>
    <spb s="2">
      <v>6</v>
      <v>Name</v>
      <v>LearnMoreOnLink</v>
    </spb>
    <spb s="0">
      <v xml:space="preserve">Wikipedia	</v>
      <v xml:space="preserve">CC BY-SA 3.0	</v>
      <v xml:space="preserve">https://en.wikipedia.org/wiki/Sarawak	</v>
      <v xml:space="preserve">https://creativecommons.org/licenses/by-sa/3.0	</v>
    </spb>
    <spb s="0">
      <v xml:space="preserve">Wikipedia	</v>
      <v xml:space="preserve">CC-BY-SA	</v>
      <v xml:space="preserve">http://en.wikipedia.org/wiki/Sarawak	</v>
      <v xml:space="preserve">http://creativecommons.org/licenses/by-sa/3.0/	</v>
    </spb>
    <spb s="1">
      <v>57</v>
      <v>57</v>
      <v>57</v>
      <v>57</v>
      <v>57</v>
      <v>58</v>
      <v>57</v>
      <v>57</v>
      <v>57</v>
    </spb>
    <spb s="0">
      <v xml:space="preserve">Wikipedia	</v>
      <v xml:space="preserve">CC BY-SA 3.0	</v>
      <v xml:space="preserve">https://en.wikipedia.org/wiki/Putrajaya	</v>
      <v xml:space="preserve">https://creativecommons.org/licenses/by-sa/3.0	</v>
    </spb>
    <spb s="0">
      <v xml:space="preserve">Wikipedia	</v>
      <v xml:space="preserve">CC-BY-SA	</v>
      <v xml:space="preserve">http://en.wikipedia.org/wiki/Putrajaya	</v>
      <v xml:space="preserve">http://creativecommons.org/licenses/by-sa/3.0/	</v>
    </spb>
    <spb s="9">
      <v>60</v>
      <v>60</v>
      <v>60</v>
      <v>60</v>
      <v>60</v>
      <v>61</v>
      <v>60</v>
    </spb>
    <spb s="2">
      <v>7</v>
      <v>Name</v>
      <v>LearnMoreOnLink</v>
    </spb>
  </spbData>
</supportingPropertyBags>
</file>

<file path=xl/richData/rdsupportingpropertybagstructure.xml><?xml version="1.0" encoding="utf-8"?>
<spbStructures xmlns="http://schemas.microsoft.com/office/spreadsheetml/2017/richdata2" count="10">
  <s>
    <k n="SourceText" t="s"/>
    <k n="LicenseText" t="s"/>
    <k n="SourceAddress" t="s"/>
    <k n="LicenseAddress" t="s"/>
  </s>
  <s>
    <k n="Area" t="spb"/>
    <k n="Name" t="spb"/>
    <k n="Population" t="spb"/>
    <k n="UniqueName" t="spb"/>
    <k n="Description" t="spb"/>
    <k n="Abbreviation" t="spb"/>
    <k n="Largest city" t="spb"/>
    <k n="Country/region" t="spb"/>
    <k n="Capital/Major City"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Population" t="spb"/>
    <k n="UniqueName" t="spb"/>
    <k n="Description" t="spb"/>
    <k n="Abbreviation" t="spb"/>
    <k n="Country/region"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3" formatCode="#,##0"/>
    </x:dxf>
  </dxfs>
  <richProperties>
    <rPr n="IsTitleField" t="b"/>
    <rPr n="IsHeroField" t="b"/>
    <rPr n="NumberFormat" t="s"/>
  </richProperties>
  <richStyles>
    <rSty>
      <rpv i="0">1</rpv>
    </rSty>
    <rSty>
      <rpv i="1">1</rpv>
    </rSty>
    <rSty dxfid="0">
      <rpv i="2">#,##0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1A2449-278F-459C-971F-81BECFB598F3}" name="For_Pivot" displayName="For_Pivot" ref="A1:D81" totalsRowShown="0" headerRowDxfId="110">
  <autoFilter ref="A1:D81" xr:uid="{7A1A2449-278F-459C-971F-81BECFB598F3}"/>
  <tableColumns count="4">
    <tableColumn id="1" xr3:uid="{C544A1C4-5EAE-4826-8C51-56E3894F883B}" name="Business" dataDxfId="109"/>
    <tableColumn id="2" xr3:uid="{9108613C-F23F-45FE-ABAB-8E22B179C2EB}" name="Metric"/>
    <tableColumn id="6" xr3:uid="{183F9AD8-4C0C-4C3C-ACA3-72DA2398E16E}" name="Year"/>
    <tableColumn id="3" xr3:uid="{D42A2726-5616-4D61-8329-D7A04310F990}" name="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3EDC3D-4B7C-4A3C-99E8-A5E5AEDCB508}" name="Table1" displayName="Table1" ref="A4:AB395" totalsRowShown="0" headerRowDxfId="108" dataDxfId="107">
  <autoFilter ref="A4:AB395" xr:uid="{5C3EDC3D-4B7C-4A3C-99E8-A5E5AEDCB508}"/>
  <tableColumns count="28">
    <tableColumn id="2" xr3:uid="{8F1AECFC-8DEC-4295-B23E-14A1A601F8BC}" name="Project No" dataDxfId="106"/>
    <tableColumn id="3" xr3:uid="{9A7A8B04-6ED5-4309-AAF2-CA104C30B846}" name="Client Name" dataDxfId="105"/>
    <tableColumn id="21" xr3:uid="{5DC3C2CD-CA0E-4F12-8259-E0D10CA3E618}" name="Closed Date" dataDxfId="104"/>
    <tableColumn id="1" xr3:uid="{C1AEF758-C95F-453E-BEDC-1381FD44A0CB}" name="Sales PIC" dataDxfId="103"/>
    <tableColumn id="4" xr3:uid="{1EC91402-B30E-4644-B37A-D8DD1FC03C72}" name="Category" dataDxfId="102"/>
    <tableColumn id="5" xr3:uid="{09F0E74B-ED5B-4F7B-8A4B-835E95F21562}" name="Scheme" dataDxfId="101"/>
    <tableColumn id="24" xr3:uid="{38FB7635-52B1-4B9F-8754-63507D53D092}" name="Location" dataDxfId="100"/>
    <tableColumn id="6" xr3:uid="{77C0D681-BCC8-4700-972C-8ADC717C4FBE}" name="PV System Capacity (kWp)" dataDxfId="99"/>
    <tableColumn id="23" xr3:uid="{9D5173D1-5178-4B3B-8161-B2DE3EB43473}" name="EV Charger Capacity" dataDxfId="98"/>
    <tableColumn id="27" xr3:uid="{5A62E94E-BF86-4F98-98F4-6FC1F723B5F2}" name="BESS Capacity" dataDxfId="97"/>
    <tableColumn id="7" xr3:uid="{D593CA90-420F-4ADA-94A3-E35D92E8710D}" name="Project Value (RM)" dataDxfId="96"/>
    <tableColumn id="8" xr3:uid="{9B16C196-4567-4A3B-A267-0AC3B3C6F6EE}" name="VO (RM)" dataDxfId="95"/>
    <tableColumn id="9" xr3:uid="{F69E6F65-DA33-4DAE-AB46-D42E63655DA3}" name="Payment Method" dataDxfId="94"/>
    <tableColumn id="26" xr3:uid="{249977B9-9B5F-4DFF-8428-07C0243B7AEE}" name="Outright/PPA" dataDxfId="93"/>
    <tableColumn id="10" xr3:uid="{00B9EAD6-D65E-4D86-BDC9-D0913B4CF66A}" name="Module" dataDxfId="92"/>
    <tableColumn id="11" xr3:uid="{18E6BEDB-34E3-4BEE-9D4D-B2DDB629782B}" name="Module Quantity" dataDxfId="91"/>
    <tableColumn id="12" xr3:uid="{EBD61E3D-361B-49ED-91D6-EEDF559EF857}" name="Inverter" dataDxfId="90"/>
    <tableColumn id="20" xr3:uid="{D8A59752-742B-4085-AB1C-4E544FC2499F}" name="Inverter Warranty" dataDxfId="89"/>
    <tableColumn id="19" xr3:uid="{8E773F07-B54A-4EF5-8886-CFD0C1F87FC6}" name="I/C Number" dataDxfId="88"/>
    <tableColumn id="13" xr3:uid="{E5945364-6398-468A-9C3E-55D93C972704}" name="Installation Address" dataDxfId="87"/>
    <tableColumn id="14" xr3:uid="{8728A4DE-EE16-4FC3-8C7D-4FF616E12DB8}" name="Phone Number" dataDxfId="86"/>
    <tableColumn id="18" xr3:uid="{C416CFD7-017D-41F5-BBE1-1909D8759237}" name="Email Address" dataDxfId="85"/>
    <tableColumn id="15" xr3:uid="{2A215979-6201-4E7A-ACA4-76D5F081C3A3}" name="Insurance Warranty" dataDxfId="84"/>
    <tableColumn id="28" xr3:uid="{2A941E33-7EFB-4AA6-AEF7-2EBDCF156F49}" name="DLP Period" dataDxfId="83"/>
    <tableColumn id="25" xr3:uid="{F6DB433A-DACF-4328-8E58-755FA2EFACBB}" name="O&amp;M" dataDxfId="82"/>
    <tableColumn id="22" xr3:uid="{992F597A-A71D-4D9D-B7C3-EB97A65BDD04}" name="Partner" dataDxfId="81"/>
    <tableColumn id="16" xr3:uid="{8BD17A95-EC4A-4E8C-9D5B-1352CB14B499}" name="Services Exclusion" dataDxfId="80"/>
    <tableColumn id="17" xr3:uid="{5B5AC019-506E-4042-AC14-3C219C8FC9CD}" name="Additional Remark" dataDxfId="79"/>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569244-419E-40D7-9457-02EF79814B59}" name="Table2" displayName="Table2" ref="A11:AJ150" totalsRowShown="0" headerRowDxfId="78" dataDxfId="77">
  <autoFilter ref="A11:AJ150" xr:uid="{61569244-419E-40D7-9457-02EF79814B59}">
    <filterColumn colId="3">
      <filters>
        <filter val="C&amp;I"/>
      </filters>
    </filterColumn>
  </autoFilter>
  <tableColumns count="36">
    <tableColumn id="1" xr3:uid="{F741C9F2-C23B-4040-AF61-D59508DB7E9C}" name="Client Name" dataDxfId="76"/>
    <tableColumn id="2" xr3:uid="{10EFD805-3C71-4F82-A90B-B75091528BCE}" name="Procurement Status" dataDxfId="75"/>
    <tableColumn id="3" xr3:uid="{7E728E73-E8DC-4151-837F-F1D6870AB6C9}" name="System Capacity" dataDxfId="74"/>
    <tableColumn id="4" xr3:uid="{1719550A-8552-49AA-A7F0-571E95608718}" name="Category" dataDxfId="73"/>
    <tableColumn id="5" xr3:uid="{794D35E3-7C8C-4C3C-BFCE-8B8A0C786555}" name="Module" dataDxfId="72"/>
    <tableColumn id="6" xr3:uid="{4FAA6AF3-14AD-4AB1-8138-276F8AB5A927}" name="Module Quantity" dataDxfId="71"/>
    <tableColumn id="7" xr3:uid="{26263154-E57E-42A3-A57F-C89C9C8593E5}" name="Inverter" dataDxfId="70"/>
    <tableColumn id="8" xr3:uid="{F97E34BD-8015-4F04-ADA8-B6A9B0E95341}" name="Roof Type" dataDxfId="69"/>
    <tableColumn id="9" xr3:uid="{0C39CDBB-B2D2-40A4-A071-CFC6DA757A9F}" name="Klip Lok Clamp" dataDxfId="68"/>
    <tableColumn id="10" xr3:uid="{FE67BA5A-E60E-47D9-99D3-9EA108DECA16}" name="L-Foot" dataDxfId="67"/>
    <tableColumn id="11" xr3:uid="{57D205F6-DDE8-465E-8918-4558E8F2BE7E}" name="Tile Hook" dataDxfId="66"/>
    <tableColumn id="12" xr3:uid="{CC73C8ED-A056-4BA8-AFAA-5A5C4D27552B}" name="2.6m rail" dataDxfId="65"/>
    <tableColumn id="13" xr3:uid="{81064BD3-8296-4288-87A5-6139A64A119C}" name="5.3m rail" dataDxfId="64"/>
    <tableColumn id="14" xr3:uid="{01342BB7-5AEC-4AA6-B22B-8305BBFE57C6}" name="4.7m rail" dataDxfId="63"/>
    <tableColumn id="15" xr3:uid="{F3B4D826-9068-43C0-9B8B-D4EFC9205205}" name="3.6m rail" dataDxfId="62"/>
    <tableColumn id="16" xr3:uid="{78E110FB-6A80-4CD5-9853-380B56E9AFE5}" name="Splicer" dataDxfId="61"/>
    <tableColumn id="17" xr3:uid="{1D5967D8-0DFF-4E9D-B096-18EE7F0AFAC0}" name="Mid Clamp" dataDxfId="60"/>
    <tableColumn id="18" xr3:uid="{C1068C2B-B649-4E3A-8CB1-976D73982E39}" name="End Clamp" dataDxfId="59"/>
    <tableColumn id="19" xr3:uid="{610A04F6-A5B5-4751-B81A-18092DEEC53D}" name="Grounding Clip" dataDxfId="58"/>
    <tableColumn id="20" xr3:uid="{C882FAFD-9FBA-44A6-9477-83F3A71071DF}" name="Grounding Lug" dataDxfId="57"/>
    <tableColumn id="21" xr3:uid="{592E8037-14D3-4655-88EA-64093B0A82FD}" name="Dongle" dataDxfId="56"/>
    <tableColumn id="22" xr3:uid="{D12CBFCB-A329-4513-AD6F-6D73A03EBDE2}" name="Precast Concrete Block" dataDxfId="55"/>
    <tableColumn id="23" xr3:uid="{C55CE1E8-6BFC-493C-9008-733FC67AC8FB}" name="DC Cable (4mmsq)" dataDxfId="54"/>
    <tableColumn id="24" xr3:uid="{8CF33F23-D1BD-41DE-BFFF-AA6B7B8659CE}" name="DC Cable (6mmsq)" dataDxfId="53"/>
    <tableColumn id="25" xr3:uid="{AB06C77C-4B5F-4AFF-9F09-9F947D6C37CD}" name="PV Connctor_x000a_(Male)" dataDxfId="52"/>
    <tableColumn id="26" xr3:uid="{DF93938D-FB47-4311-B144-410784C00F08}" name="PV Connctor_x000a_(Female)" dataDxfId="51"/>
    <tableColumn id="27" xr3:uid="{7DD6F9D8-7ED4-49B9-B9BD-17BDB9E10B6D}" name="3P Isolator Switch" dataDxfId="50"/>
    <tableColumn id="28" xr3:uid="{99E1F351-934F-40BB-BA9F-D700B711C2BE}" name="1-phase kWh Meter" dataDxfId="49"/>
    <tableColumn id="29" xr3:uid="{479C38D1-4F23-49E1-8384-D8C3E4EA2822}" name="3-phase kWh Meter" dataDxfId="48"/>
    <tableColumn id="30" xr3:uid="{B1B8A294-62F9-41F0-8114-08A4DD175F19}" name="PV AC DB" dataDxfId="47"/>
    <tableColumn id="31" xr3:uid="{E86B62AC-2670-4082-B2D4-0E91838B61BD}" name="Data Logger" dataDxfId="46"/>
    <tableColumn id="32" xr3:uid="{A0E806C3-6729-4E41-87DD-E903DF432654}" name="Weather Station" dataDxfId="45"/>
    <tableColumn id="33" xr3:uid="{DBC665C5-D678-423E-9C99-37677A871F34}" name="BESS" dataDxfId="44"/>
    <tableColumn id="34" xr3:uid="{906BB073-D513-48E3-BBFB-91EA6F81D4C1}" name="EV Charger" dataDxfId="43"/>
    <tableColumn id="35" xr3:uid="{B304804B-3937-4B54-96E3-29B51E8A3D70}" name="Optimiser" dataDxfId="42"/>
    <tableColumn id="36" xr3:uid="{28826EC8-8016-4C2F-A14C-C80C7DA3A4C5}" name="Remark" dataDxfId="4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59" dT="2025-09-23T06:00:11.01" personId="{82D4FEBB-5669-4E7C-A111-7668186A6281}" id="{49D72903-9A10-4902-95DF-7839C942EED2}">
    <text>RSA VO = RM 2,500
Lights Deduction = - RM 1,000</text>
  </threadedComment>
  <threadedComment ref="B71" dT="2025-11-04T03:30:34.93" personId="{479AFFF7-9FB9-488E-B2D1-1A290AC3FF07}" id="{9AADDB99-9FAE-40CE-983F-51C4994D2AB0}">
    <text>ST Login details:
sleepmaticssdnbhd@gmail.com
Abcd1234</text>
  </threadedComment>
  <threadedComment ref="B72" dT="2025-10-23T09:02:17.52" personId="{479AFFF7-9FB9-488E-B2D1-1A290AC3FF07}" id="{07E4CE06-0259-44BA-BCEB-222F4C1CC16F}">
    <text>ST Login:
Username: chlfoamsdnbhd@gmail.com
Password: Abcd1234</text>
  </threadedComment>
  <threadedComment ref="B247" dT="2025-10-23T08:25:03.27" personId="{479AFFF7-9FB9-488E-B2D1-1A290AC3FF07}" id="{A76FE31D-E4D6-45AB-A739-CBC82F8808D5}">
    <text>ST Portal Login:
Username: meishunfangmanufacturingsdnbhd@gmail.com
Password: Abcd1234</text>
  </threadedComment>
</ThreadedComments>
</file>

<file path=xl/threadedComments/threadedComment2.xml><?xml version="1.0" encoding="utf-8"?>
<ThreadedComments xmlns="http://schemas.microsoft.com/office/spreadsheetml/2018/threadedcomments" xmlns:x="http://schemas.openxmlformats.org/spreadsheetml/2006/main">
  <threadedComment ref="R209" dT="2025-02-28T06:41:28.20" personId="{82D4FEBB-5669-4E7C-A111-7668186A6281}" id="{A8F49A17-EBE7-4656-8BB1-D8D9AC868569}">
    <text xml:space="preserve">Change to 17.7kWp
</text>
  </threadedComment>
  <threadedComment ref="S218" dT="2025-02-25T05:36:12.98" personId="{7396AEDE-FFC2-424F-AAD2-048CFD668304}" id="{ACE0D1D1-9F79-424A-8F24-9EF5B3657173}">
    <text>SEDA queries on the voltage</text>
  </threadedComment>
  <threadedComment ref="R221" dT="2025-02-26T09:31:43.07" personId="{82D4FEBB-5669-4E7C-A111-7668186A6281}" id="{820EC73D-3F88-4D90-8F18-B2DE40E65383}">
    <text xml:space="preserve">Change to three phase 
</text>
  </threadedComment>
  <threadedComment ref="R222" dT="2025-02-26T08:05:01.01" personId="{82D4FEBB-5669-4E7C-A111-7668186A6281}" id="{DA0D0F06-B99B-4C6A-BE0F-158C2E452F00}">
    <text>Change in PV capacity</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17" Type="http://schemas.openxmlformats.org/officeDocument/2006/relationships/hyperlink" Target="mailto:razmanbinsamsudin@gmailcom" TargetMode="External"/><Relationship Id="rId21" Type="http://schemas.openxmlformats.org/officeDocument/2006/relationships/hyperlink" Target="mailto:piew831@gmail.com" TargetMode="External"/><Relationship Id="rId42" Type="http://schemas.openxmlformats.org/officeDocument/2006/relationships/hyperlink" Target="mailto:steelmerchantssb@gmail.com" TargetMode="External"/><Relationship Id="rId63" Type="http://schemas.openxmlformats.org/officeDocument/2006/relationships/hyperlink" Target="mailto:vbangoh1975@gmail.com" TargetMode="External"/><Relationship Id="rId84" Type="http://schemas.openxmlformats.org/officeDocument/2006/relationships/hyperlink" Target="mailto:juinn@unitrade.com.my" TargetMode="External"/><Relationship Id="rId138" Type="http://schemas.openxmlformats.org/officeDocument/2006/relationships/hyperlink" Target="mailto:leedennis507@gmail.com" TargetMode="External"/><Relationship Id="rId159" Type="http://schemas.openxmlformats.org/officeDocument/2006/relationships/hyperlink" Target="mailto:augkok@gmail.com" TargetMode="External"/><Relationship Id="rId170" Type="http://schemas.openxmlformats.org/officeDocument/2006/relationships/hyperlink" Target="mailto:capt.arifstephen@yahoo.com" TargetMode="External"/><Relationship Id="rId191" Type="http://schemas.openxmlformats.org/officeDocument/2006/relationships/hyperlink" Target="mailto:nevets8816@gmail.com" TargetMode="External"/><Relationship Id="rId205" Type="http://schemas.microsoft.com/office/2017/10/relationships/threadedComment" Target="../threadedComments/threadedComment1.xml"/><Relationship Id="rId107" Type="http://schemas.openxmlformats.org/officeDocument/2006/relationships/hyperlink" Target="mailto:yellowwindy@hotmail.com" TargetMode="External"/><Relationship Id="rId11" Type="http://schemas.openxmlformats.org/officeDocument/2006/relationships/hyperlink" Target="mailto:keemajujaya@gmail.com" TargetMode="External"/><Relationship Id="rId32" Type="http://schemas.openxmlformats.org/officeDocument/2006/relationships/hyperlink" Target="mailto:graybackboy@hotmail.com" TargetMode="External"/><Relationship Id="rId53" Type="http://schemas.openxmlformats.org/officeDocument/2006/relationships/hyperlink" Target="mailto:marianneyap21@gmail.com" TargetMode="External"/><Relationship Id="rId74" Type="http://schemas.openxmlformats.org/officeDocument/2006/relationships/hyperlink" Target="mailto:tangerber@gmail.com" TargetMode="External"/><Relationship Id="rId128" Type="http://schemas.openxmlformats.org/officeDocument/2006/relationships/hyperlink" Target="mailto:christophera.desouza@gmail.com" TargetMode="External"/><Relationship Id="rId149" Type="http://schemas.openxmlformats.org/officeDocument/2006/relationships/hyperlink" Target="mailto:hmc8925@gmail.com" TargetMode="External"/><Relationship Id="rId5" Type="http://schemas.openxmlformats.org/officeDocument/2006/relationships/hyperlink" Target="mailto:onglinggee@yahoo.com" TargetMode="External"/><Relationship Id="rId95" Type="http://schemas.openxmlformats.org/officeDocument/2006/relationships/hyperlink" Target="mailto:shreeram.nadarajah@gmail.com" TargetMode="External"/><Relationship Id="rId160" Type="http://schemas.openxmlformats.org/officeDocument/2006/relationships/hyperlink" Target="mailto:iyadnifaelio@gmail.com" TargetMode="External"/><Relationship Id="rId181" Type="http://schemas.openxmlformats.org/officeDocument/2006/relationships/hyperlink" Target="mailto:sklee0665@gmail.com" TargetMode="External"/><Relationship Id="rId22" Type="http://schemas.openxmlformats.org/officeDocument/2006/relationships/hyperlink" Target="mailto:syamale1985@gmail.com" TargetMode="External"/><Relationship Id="rId43" Type="http://schemas.openxmlformats.org/officeDocument/2006/relationships/hyperlink" Target="mailto:cpokok0506@hotmail.com" TargetMode="External"/><Relationship Id="rId64" Type="http://schemas.openxmlformats.org/officeDocument/2006/relationships/hyperlink" Target="mailto:kahming.teoh@gmail.com" TargetMode="External"/><Relationship Id="rId118" Type="http://schemas.openxmlformats.org/officeDocument/2006/relationships/hyperlink" Target="mailto:soum.ski6@gmail.com" TargetMode="External"/><Relationship Id="rId139" Type="http://schemas.openxmlformats.org/officeDocument/2006/relationships/hyperlink" Target="mailto:tehweeloon@gmail.com" TargetMode="External"/><Relationship Id="rId85" Type="http://schemas.openxmlformats.org/officeDocument/2006/relationships/hyperlink" Target="mailto:traceywong92@gmail.com" TargetMode="External"/><Relationship Id="rId150" Type="http://schemas.openxmlformats.org/officeDocument/2006/relationships/hyperlink" Target="mailto:la_teong@yahoo.com" TargetMode="External"/><Relationship Id="rId171" Type="http://schemas.openxmlformats.org/officeDocument/2006/relationships/hyperlink" Target="mailto:office.tehtehdev@gmail.com" TargetMode="External"/><Relationship Id="rId192" Type="http://schemas.openxmlformats.org/officeDocument/2006/relationships/hyperlink" Target="mailto:chenyeonhao@gmail.com" TargetMode="External"/><Relationship Id="rId206" Type="http://schemas.microsoft.com/office/2019/04/relationships/namedSheetView" Target="../namedSheetViews/namedSheetView1.xml"/><Relationship Id="rId12" Type="http://schemas.openxmlformats.org/officeDocument/2006/relationships/hyperlink" Target="mailto:datoedd@gmail.com" TargetMode="External"/><Relationship Id="rId33" Type="http://schemas.openxmlformats.org/officeDocument/2006/relationships/hyperlink" Target="mailto:ckkcsk6666@gmail.com" TargetMode="External"/><Relationship Id="rId108" Type="http://schemas.openxmlformats.org/officeDocument/2006/relationships/hyperlink" Target="mailto:chunwai103@gmail.com" TargetMode="External"/><Relationship Id="rId129" Type="http://schemas.openxmlformats.org/officeDocument/2006/relationships/hyperlink" Target="mailto:irenechan2708@gmail.com" TargetMode="External"/><Relationship Id="rId54" Type="http://schemas.openxmlformats.org/officeDocument/2006/relationships/hyperlink" Target="mailto:lingling822@hotmail.my" TargetMode="External"/><Relationship Id="rId75" Type="http://schemas.openxmlformats.org/officeDocument/2006/relationships/hyperlink" Target="mailto:yeesuen02@yahoo.com" TargetMode="External"/><Relationship Id="rId96" Type="http://schemas.openxmlformats.org/officeDocument/2006/relationships/hyperlink" Target="mailto:wongkimmei73@gmail.com" TargetMode="External"/><Relationship Id="rId140" Type="http://schemas.openxmlformats.org/officeDocument/2006/relationships/hyperlink" Target="mailto:wktang@synteq.com.my" TargetMode="External"/><Relationship Id="rId161" Type="http://schemas.openxmlformats.org/officeDocument/2006/relationships/hyperlink" Target="mailto:pavirelew3@gmail.com" TargetMode="External"/><Relationship Id="rId182" Type="http://schemas.openxmlformats.org/officeDocument/2006/relationships/hyperlink" Target="https://software.wms-lite.com/main.php?route=outgoing_list/outgoing&amp;s=&amp;searchByStatus=ALL&amp;id=VFZSUmVVNVVaM28" TargetMode="External"/><Relationship Id="rId6" Type="http://schemas.openxmlformats.org/officeDocument/2006/relationships/hyperlink" Target="mailto:danielkuek56@hotmail.com" TargetMode="External"/><Relationship Id="rId23" Type="http://schemas.openxmlformats.org/officeDocument/2006/relationships/hyperlink" Target="mailto:capt.arifstephen@yahoo.com" TargetMode="External"/><Relationship Id="rId119" Type="http://schemas.openxmlformats.org/officeDocument/2006/relationships/hyperlink" Target="mailto:qel1888@hotmail.com" TargetMode="External"/><Relationship Id="rId44" Type="http://schemas.openxmlformats.org/officeDocument/2006/relationships/hyperlink" Target="mailto:ngyunnchong123@gmail.com" TargetMode="External"/><Relationship Id="rId65" Type="http://schemas.openxmlformats.org/officeDocument/2006/relationships/hyperlink" Target="mailto:tzcheng07@gmail.com" TargetMode="External"/><Relationship Id="rId86" Type="http://schemas.openxmlformats.org/officeDocument/2006/relationships/hyperlink" Target="mailto:aminrahim@msn.com" TargetMode="External"/><Relationship Id="rId130" Type="http://schemas.openxmlformats.org/officeDocument/2006/relationships/hyperlink" Target="mailto:lcchow2k@yahoo.com" TargetMode="External"/><Relationship Id="rId151" Type="http://schemas.openxmlformats.org/officeDocument/2006/relationships/hyperlink" Target="mailto:adwardlow.co@gmail.com" TargetMode="External"/><Relationship Id="rId172" Type="http://schemas.openxmlformats.org/officeDocument/2006/relationships/hyperlink" Target="mailto:kgbill15@yahoo.com" TargetMode="External"/><Relationship Id="rId193" Type="http://schemas.openxmlformats.org/officeDocument/2006/relationships/hyperlink" Target="mailto:wenqi_liew@hotmail.com" TargetMode="External"/><Relationship Id="rId13" Type="http://schemas.openxmlformats.org/officeDocument/2006/relationships/hyperlink" Target="mailto:sping26@hotmail.com" TargetMode="External"/><Relationship Id="rId109" Type="http://schemas.openxmlformats.org/officeDocument/2006/relationships/hyperlink" Target="mailto:saywoei@yahoo.com" TargetMode="External"/><Relationship Id="rId34" Type="http://schemas.openxmlformats.org/officeDocument/2006/relationships/hyperlink" Target="mailto:cca6668@gmail.com" TargetMode="External"/><Relationship Id="rId55" Type="http://schemas.openxmlformats.org/officeDocument/2006/relationships/hyperlink" Target="mailto:simson@unitrade.com.my" TargetMode="External"/><Relationship Id="rId76" Type="http://schemas.openxmlformats.org/officeDocument/2006/relationships/hyperlink" Target="mailto:clew62@gmail.com" TargetMode="External"/><Relationship Id="rId97" Type="http://schemas.openxmlformats.org/officeDocument/2006/relationships/hyperlink" Target="mailto:tesoon12@gmail.com" TargetMode="External"/><Relationship Id="rId120" Type="http://schemas.openxmlformats.org/officeDocument/2006/relationships/hyperlink" Target="mailto:winneengoh@gmail.com" TargetMode="External"/><Relationship Id="rId141" Type="http://schemas.openxmlformats.org/officeDocument/2006/relationships/hyperlink" Target="mailto:junkit143@yahoo.com.sg" TargetMode="External"/><Relationship Id="rId7" Type="http://schemas.openxmlformats.org/officeDocument/2006/relationships/hyperlink" Target="mailto:ginayap@gmail.com" TargetMode="External"/><Relationship Id="rId162" Type="http://schemas.openxmlformats.org/officeDocument/2006/relationships/hyperlink" Target="mailto:hweetien@hotmail.com" TargetMode="External"/><Relationship Id="rId183" Type="http://schemas.openxmlformats.org/officeDocument/2006/relationships/hyperlink" Target="mailto:mongping.ng@gmail.com" TargetMode="External"/><Relationship Id="rId24" Type="http://schemas.openxmlformats.org/officeDocument/2006/relationships/hyperlink" Target="mailto:dc.guok@gmail.com" TargetMode="External"/><Relationship Id="rId40" Type="http://schemas.openxmlformats.org/officeDocument/2006/relationships/hyperlink" Target="mailto:blee@fp-group.com" TargetMode="External"/><Relationship Id="rId45" Type="http://schemas.openxmlformats.org/officeDocument/2006/relationships/hyperlink" Target="mailto:wonghoonsang@gmail.com" TargetMode="External"/><Relationship Id="rId66" Type="http://schemas.openxmlformats.org/officeDocument/2006/relationships/hyperlink" Target="mailto:fattychuah@gmail.com" TargetMode="External"/><Relationship Id="rId87" Type="http://schemas.openxmlformats.org/officeDocument/2006/relationships/hyperlink" Target="mailto:koowoonkee@gmail.com" TargetMode="External"/><Relationship Id="rId110" Type="http://schemas.openxmlformats.org/officeDocument/2006/relationships/hyperlink" Target="mailto:cwoei_jye@hotmail.com" TargetMode="External"/><Relationship Id="rId115" Type="http://schemas.openxmlformats.org/officeDocument/2006/relationships/hyperlink" Target="mailto:jolimdw@gmail.com" TargetMode="External"/><Relationship Id="rId131" Type="http://schemas.openxmlformats.org/officeDocument/2006/relationships/hyperlink" Target="mailto:c2pxian92@hotmail.com" TargetMode="External"/><Relationship Id="rId136" Type="http://schemas.openxmlformats.org/officeDocument/2006/relationships/hyperlink" Target="mailto:jason_dasb@hotmail.com" TargetMode="External"/><Relationship Id="rId157" Type="http://schemas.openxmlformats.org/officeDocument/2006/relationships/hyperlink" Target="mailto:seepeng.lim@gmail.com" TargetMode="External"/><Relationship Id="rId178" Type="http://schemas.openxmlformats.org/officeDocument/2006/relationships/hyperlink" Target="mailto:xingen150305@gmail.com" TargetMode="External"/><Relationship Id="rId61" Type="http://schemas.openxmlformats.org/officeDocument/2006/relationships/hyperlink" Target="mailto:cboonhuang@gmail.com" TargetMode="External"/><Relationship Id="rId82" Type="http://schemas.openxmlformats.org/officeDocument/2006/relationships/hyperlink" Target="mailto:allyssa_pinky@hotmail.com" TargetMode="External"/><Relationship Id="rId152" Type="http://schemas.openxmlformats.org/officeDocument/2006/relationships/hyperlink" Target="mailto:nick.chear@gmail.com" TargetMode="External"/><Relationship Id="rId173" Type="http://schemas.openxmlformats.org/officeDocument/2006/relationships/hyperlink" Target="mailto:kwwan07@yahoo.com" TargetMode="External"/><Relationship Id="rId194" Type="http://schemas.openxmlformats.org/officeDocument/2006/relationships/hyperlink" Target="mailto:wan_8807@yahoo.com.my" TargetMode="External"/><Relationship Id="rId199" Type="http://schemas.openxmlformats.org/officeDocument/2006/relationships/hyperlink" Target="mailto:phang_sk13@yahoo.com" TargetMode="External"/><Relationship Id="rId203" Type="http://schemas.openxmlformats.org/officeDocument/2006/relationships/table" Target="../tables/table2.xml"/><Relationship Id="rId19" Type="http://schemas.openxmlformats.org/officeDocument/2006/relationships/hyperlink" Target="mailto:tan.hockseng111@gmail.com" TargetMode="External"/><Relationship Id="rId14" Type="http://schemas.openxmlformats.org/officeDocument/2006/relationships/hyperlink" Target="mailto:alch51@yahoo.com" TargetMode="External"/><Relationship Id="rId30" Type="http://schemas.openxmlformats.org/officeDocument/2006/relationships/hyperlink" Target="mailto:daniel_8632@yahoo.com" TargetMode="External"/><Relationship Id="rId35" Type="http://schemas.openxmlformats.org/officeDocument/2006/relationships/hyperlink" Target="mailto:san99lau@gmail.com" TargetMode="External"/><Relationship Id="rId56" Type="http://schemas.openxmlformats.org/officeDocument/2006/relationships/hyperlink" Target="mailto:hanatrading78@yahoo.com" TargetMode="External"/><Relationship Id="rId77" Type="http://schemas.openxmlformats.org/officeDocument/2006/relationships/hyperlink" Target="mailto:chinmei_fashion@hotmail.com" TargetMode="External"/><Relationship Id="rId100" Type="http://schemas.openxmlformats.org/officeDocument/2006/relationships/hyperlink" Target="mailto:lawsc123@hotmail.com" TargetMode="External"/><Relationship Id="rId105" Type="http://schemas.openxmlformats.org/officeDocument/2006/relationships/hyperlink" Target="mailto:tidzariah@gmail.com" TargetMode="External"/><Relationship Id="rId126" Type="http://schemas.openxmlformats.org/officeDocument/2006/relationships/hyperlink" Target="mailto:pmcoatings2010@gmail.com" TargetMode="External"/><Relationship Id="rId147" Type="http://schemas.openxmlformats.org/officeDocument/2006/relationships/hyperlink" Target="mailto:tsloo1956@gmail.com" TargetMode="External"/><Relationship Id="rId168" Type="http://schemas.openxmlformats.org/officeDocument/2006/relationships/hyperlink" Target="mailto:khaimoha3720@gmail.com" TargetMode="External"/><Relationship Id="rId8" Type="http://schemas.openxmlformats.org/officeDocument/2006/relationships/hyperlink" Target="mailto:sitiomar19@yahoo.com" TargetMode="External"/><Relationship Id="rId51" Type="http://schemas.openxmlformats.org/officeDocument/2006/relationships/hyperlink" Target="mailto:duncanling@yahoo.com" TargetMode="External"/><Relationship Id="rId72" Type="http://schemas.openxmlformats.org/officeDocument/2006/relationships/hyperlink" Target="mailto:mnasirman17@gmail.com" TargetMode="External"/><Relationship Id="rId93" Type="http://schemas.openxmlformats.org/officeDocument/2006/relationships/hyperlink" Target="mailto:datoivan@ungguhgroup.com" TargetMode="External"/><Relationship Id="rId98" Type="http://schemas.openxmlformats.org/officeDocument/2006/relationships/hyperlink" Target="mailto:hkho@trident-x.com" TargetMode="External"/><Relationship Id="rId121" Type="http://schemas.openxmlformats.org/officeDocument/2006/relationships/hyperlink" Target="mailto:pphromsuwan@gmail.com" TargetMode="External"/><Relationship Id="rId142" Type="http://schemas.openxmlformats.org/officeDocument/2006/relationships/hyperlink" Target="mailto:rash.darl@gmail.com" TargetMode="External"/><Relationship Id="rId163" Type="http://schemas.openxmlformats.org/officeDocument/2006/relationships/hyperlink" Target="mailto:jeremy6833@gmail.com" TargetMode="External"/><Relationship Id="rId184" Type="http://schemas.openxmlformats.org/officeDocument/2006/relationships/hyperlink" Target="mailto:yapweoikee@gmail.com" TargetMode="External"/><Relationship Id="rId189" Type="http://schemas.openxmlformats.org/officeDocument/2006/relationships/hyperlink" Target="mailto:avith2309@gmail.com" TargetMode="External"/><Relationship Id="rId3" Type="http://schemas.openxmlformats.org/officeDocument/2006/relationships/hyperlink" Target="mailto:otakibc@gmail.com" TargetMode="External"/><Relationship Id="rId25" Type="http://schemas.openxmlformats.org/officeDocument/2006/relationships/hyperlink" Target="mailto:kianhui89@gmail.com" TargetMode="External"/><Relationship Id="rId46" Type="http://schemas.openxmlformats.org/officeDocument/2006/relationships/hyperlink" Target="mailto:norazam4446@yahoo.com.sg" TargetMode="External"/><Relationship Id="rId67" Type="http://schemas.openxmlformats.org/officeDocument/2006/relationships/hyperlink" Target="mailto:alextaypohchai@hotmail.com" TargetMode="External"/><Relationship Id="rId116" Type="http://schemas.openxmlformats.org/officeDocument/2006/relationships/hyperlink" Target="mailto:berny9113bc@gmail.com" TargetMode="External"/><Relationship Id="rId137" Type="http://schemas.openxmlformats.org/officeDocument/2006/relationships/hyperlink" Target="mailto:xuechenglee1028@gmail.com" TargetMode="External"/><Relationship Id="rId158" Type="http://schemas.openxmlformats.org/officeDocument/2006/relationships/hyperlink" Target="mailto:safinazsharif67@gmail.com" TargetMode="External"/><Relationship Id="rId20" Type="http://schemas.openxmlformats.org/officeDocument/2006/relationships/hyperlink" Target="mailto:clarislim2002@hmail.com" TargetMode="External"/><Relationship Id="rId41" Type="http://schemas.openxmlformats.org/officeDocument/2006/relationships/hyperlink" Target="mailto:susansung37@gmail.com" TargetMode="External"/><Relationship Id="rId62" Type="http://schemas.openxmlformats.org/officeDocument/2006/relationships/hyperlink" Target="mailto:conniechan2105@yahoo.com" TargetMode="External"/><Relationship Id="rId83" Type="http://schemas.openxmlformats.org/officeDocument/2006/relationships/hyperlink" Target="mailto:allyssa_pinky@hotmail.com" TargetMode="External"/><Relationship Id="rId88" Type="http://schemas.openxmlformats.org/officeDocument/2006/relationships/hyperlink" Target="mailto:suhoongfoo@gmail.com" TargetMode="External"/><Relationship Id="rId111" Type="http://schemas.openxmlformats.org/officeDocument/2006/relationships/hyperlink" Target="mailto:aiping8113@gmail.com" TargetMode="External"/><Relationship Id="rId132" Type="http://schemas.openxmlformats.org/officeDocument/2006/relationships/hyperlink" Target="mailto:celinebellea0903@gmail.com" TargetMode="External"/><Relationship Id="rId153" Type="http://schemas.openxmlformats.org/officeDocument/2006/relationships/hyperlink" Target="mailto:liewsweefah5379@gmail.com" TargetMode="External"/><Relationship Id="rId174" Type="http://schemas.openxmlformats.org/officeDocument/2006/relationships/hyperlink" Target="mailto:zohairen@gmail.com" TargetMode="External"/><Relationship Id="rId179" Type="http://schemas.openxmlformats.org/officeDocument/2006/relationships/hyperlink" Target="mailto:sam2chong@gmail.com" TargetMode="External"/><Relationship Id="rId195" Type="http://schemas.openxmlformats.org/officeDocument/2006/relationships/hyperlink" Target="mailto:c.shwu.yi@gmail.com" TargetMode="External"/><Relationship Id="rId190" Type="http://schemas.openxmlformats.org/officeDocument/2006/relationships/hyperlink" Target="mailto:kk5k@yahoo.com" TargetMode="External"/><Relationship Id="rId204" Type="http://schemas.openxmlformats.org/officeDocument/2006/relationships/comments" Target="../comments1.xml"/><Relationship Id="rId15" Type="http://schemas.openxmlformats.org/officeDocument/2006/relationships/hyperlink" Target="mailto:lindasushen@gmail.com" TargetMode="External"/><Relationship Id="rId36" Type="http://schemas.openxmlformats.org/officeDocument/2006/relationships/hyperlink" Target="mailto:sunthe26@gmail.com" TargetMode="External"/><Relationship Id="rId57" Type="http://schemas.openxmlformats.org/officeDocument/2006/relationships/hyperlink" Target="mailto:lpng_lew@yahoo.com" TargetMode="External"/><Relationship Id="rId106" Type="http://schemas.openxmlformats.org/officeDocument/2006/relationships/hyperlink" Target="mailto:sykt_pern_chuah@yahoo.com.my" TargetMode="External"/><Relationship Id="rId127" Type="http://schemas.openxmlformats.org/officeDocument/2006/relationships/hyperlink" Target="mailto:chareonp@gmail.com" TargetMode="External"/><Relationship Id="rId10" Type="http://schemas.openxmlformats.org/officeDocument/2006/relationships/hyperlink" Target="mailto:klyap1964@hotmail.com" TargetMode="External"/><Relationship Id="rId31" Type="http://schemas.openxmlformats.org/officeDocument/2006/relationships/hyperlink" Target="mailto:health_trading@yahoo" TargetMode="External"/><Relationship Id="rId52" Type="http://schemas.openxmlformats.org/officeDocument/2006/relationships/hyperlink" Target="mailto:thamcheongsheng@gmail.com" TargetMode="External"/><Relationship Id="rId73" Type="http://schemas.openxmlformats.org/officeDocument/2006/relationships/hyperlink" Target="mailto:hkliau8688@gmail.com" TargetMode="External"/><Relationship Id="rId78" Type="http://schemas.openxmlformats.org/officeDocument/2006/relationships/hyperlink" Target="mailto:ioienterprisektn@gmail.com" TargetMode="External"/><Relationship Id="rId94" Type="http://schemas.openxmlformats.org/officeDocument/2006/relationships/hyperlink" Target="mailto:jacquelinehaiu@gmail.com" TargetMode="External"/><Relationship Id="rId99" Type="http://schemas.openxmlformats.org/officeDocument/2006/relationships/hyperlink" Target="mailto:stanleyang9@gmail.com" TargetMode="External"/><Relationship Id="rId101" Type="http://schemas.openxmlformats.org/officeDocument/2006/relationships/hyperlink" Target="mailto:ng_xinnee@hotmail.com" TargetMode="External"/><Relationship Id="rId122" Type="http://schemas.openxmlformats.org/officeDocument/2006/relationships/hyperlink" Target="mailto:rambowongkokwai@gmail.com" TargetMode="External"/><Relationship Id="rId143" Type="http://schemas.openxmlformats.org/officeDocument/2006/relationships/hyperlink" Target="mailto:cherryq16@gmail.com" TargetMode="External"/><Relationship Id="rId148" Type="http://schemas.openxmlformats.org/officeDocument/2006/relationships/hyperlink" Target="mailto:yinjunlow@gmail.com" TargetMode="External"/><Relationship Id="rId164" Type="http://schemas.openxmlformats.org/officeDocument/2006/relationships/hyperlink" Target="mailto:wanderingvirocana@gmail.com" TargetMode="External"/><Relationship Id="rId169" Type="http://schemas.openxmlformats.org/officeDocument/2006/relationships/hyperlink" Target="mailto:hvacrtan@gmail.com" TargetMode="External"/><Relationship Id="rId185" Type="http://schemas.openxmlformats.org/officeDocument/2006/relationships/hyperlink" Target="mailto:calvinleemf@gmail.com" TargetMode="External"/><Relationship Id="rId4" Type="http://schemas.openxmlformats.org/officeDocument/2006/relationships/hyperlink" Target="mailto:tuantee2010@gmail.com" TargetMode="External"/><Relationship Id="rId9" Type="http://schemas.openxmlformats.org/officeDocument/2006/relationships/hyperlink" Target="mailto:shchua60@hotmail.com" TargetMode="External"/><Relationship Id="rId180" Type="http://schemas.openxmlformats.org/officeDocument/2006/relationships/hyperlink" Target="mailto:asam1008@hotmail.com" TargetMode="External"/><Relationship Id="rId26" Type="http://schemas.openxmlformats.org/officeDocument/2006/relationships/hyperlink" Target="mailto:btcap@hotmail.com" TargetMode="External"/><Relationship Id="rId47" Type="http://schemas.openxmlformats.org/officeDocument/2006/relationships/hyperlink" Target="mailto:may014215@gmail.com" TargetMode="External"/><Relationship Id="rId68" Type="http://schemas.openxmlformats.org/officeDocument/2006/relationships/hyperlink" Target="mailto:keongko@hotmail.com" TargetMode="External"/><Relationship Id="rId89" Type="http://schemas.openxmlformats.org/officeDocument/2006/relationships/hyperlink" Target="mailto:cyschin@hotmail.com" TargetMode="External"/><Relationship Id="rId112" Type="http://schemas.openxmlformats.org/officeDocument/2006/relationships/hyperlink" Target="mailto:aiping8113@gmail.com" TargetMode="External"/><Relationship Id="rId133" Type="http://schemas.openxmlformats.org/officeDocument/2006/relationships/hyperlink" Target="mailto:ameliachew76@yahoo.com" TargetMode="External"/><Relationship Id="rId154" Type="http://schemas.openxmlformats.org/officeDocument/2006/relationships/hyperlink" Target="mailto:cheehoo1450@gmail.com" TargetMode="External"/><Relationship Id="rId175" Type="http://schemas.openxmlformats.org/officeDocument/2006/relationships/hyperlink" Target="mailto:nanimuhammad67@gmail.com" TargetMode="External"/><Relationship Id="rId196" Type="http://schemas.openxmlformats.org/officeDocument/2006/relationships/hyperlink" Target="mailto:lilyt8793@gmail.com" TargetMode="External"/><Relationship Id="rId200" Type="http://schemas.openxmlformats.org/officeDocument/2006/relationships/hyperlink" Target="mailto:johnnie.why@gmail.com" TargetMode="External"/><Relationship Id="rId16" Type="http://schemas.openxmlformats.org/officeDocument/2006/relationships/hyperlink" Target="mailto:tansaykheng@hotmail.com" TargetMode="External"/><Relationship Id="rId37" Type="http://schemas.openxmlformats.org/officeDocument/2006/relationships/hyperlink" Target="mailto:gunner2490@yahoo.com" TargetMode="External"/><Relationship Id="rId58" Type="http://schemas.openxmlformats.org/officeDocument/2006/relationships/hyperlink" Target="mailto:drnorfadillah@gmail.com" TargetMode="External"/><Relationship Id="rId79" Type="http://schemas.openxmlformats.org/officeDocument/2006/relationships/hyperlink" Target="mailto:llchua00@hotmail.com" TargetMode="External"/><Relationship Id="rId102" Type="http://schemas.openxmlformats.org/officeDocument/2006/relationships/hyperlink" Target="mailto:yikyin_cheong@hotmail.com" TargetMode="External"/><Relationship Id="rId123" Type="http://schemas.openxmlformats.org/officeDocument/2006/relationships/hyperlink" Target="mailto:salimmaa@gmail.com" TargetMode="External"/><Relationship Id="rId144" Type="http://schemas.openxmlformats.org/officeDocument/2006/relationships/hyperlink" Target="mailto:cjhao8855@gmail.com" TargetMode="External"/><Relationship Id="rId90" Type="http://schemas.openxmlformats.org/officeDocument/2006/relationships/hyperlink" Target="mailto:esther@unitrade.com.my" TargetMode="External"/><Relationship Id="rId165" Type="http://schemas.openxmlformats.org/officeDocument/2006/relationships/hyperlink" Target="mailto:hoongthyeengineering@gmail.com" TargetMode="External"/><Relationship Id="rId186" Type="http://schemas.openxmlformats.org/officeDocument/2006/relationships/hyperlink" Target="mailto:alicia@rossi.com.my" TargetMode="External"/><Relationship Id="rId27" Type="http://schemas.openxmlformats.org/officeDocument/2006/relationships/hyperlink" Target="mailto:akembsp5@gmail.com" TargetMode="External"/><Relationship Id="rId48" Type="http://schemas.openxmlformats.org/officeDocument/2006/relationships/hyperlink" Target="mailto:klkoon8882@gmail.com" TargetMode="External"/><Relationship Id="rId69" Type="http://schemas.openxmlformats.org/officeDocument/2006/relationships/hyperlink" Target="mailto:joe_hmc@hotmail.com" TargetMode="External"/><Relationship Id="rId113" Type="http://schemas.openxmlformats.org/officeDocument/2006/relationships/hyperlink" Target="mailto:boonlingteo@yahoo.com" TargetMode="External"/><Relationship Id="rId134" Type="http://schemas.openxmlformats.org/officeDocument/2006/relationships/hyperlink" Target="mailto:sjyeo82@yahoo.com" TargetMode="External"/><Relationship Id="rId80" Type="http://schemas.openxmlformats.org/officeDocument/2006/relationships/hyperlink" Target="mailto:yeochenkok@gmail.com" TargetMode="External"/><Relationship Id="rId155" Type="http://schemas.openxmlformats.org/officeDocument/2006/relationships/hyperlink" Target="mailto:jordantan.1992@gmail.com" TargetMode="External"/><Relationship Id="rId176" Type="http://schemas.openxmlformats.org/officeDocument/2006/relationships/hyperlink" Target="mailto:norsalwahanimuhammad2003@gmail.com" TargetMode="External"/><Relationship Id="rId197" Type="http://schemas.openxmlformats.org/officeDocument/2006/relationships/hyperlink" Target="mailto:cgbc.ipoh@gmail.com" TargetMode="External"/><Relationship Id="rId201" Type="http://schemas.openxmlformats.org/officeDocument/2006/relationships/printerSettings" Target="../printerSettings/printerSettings3.bin"/><Relationship Id="rId17" Type="http://schemas.openxmlformats.org/officeDocument/2006/relationships/hyperlink" Target="mailto:alicia@rossi.com.my" TargetMode="External"/><Relationship Id="rId38" Type="http://schemas.openxmlformats.org/officeDocument/2006/relationships/hyperlink" Target="mailto:meimaychew@gmail.com" TargetMode="External"/><Relationship Id="rId59" Type="http://schemas.openxmlformats.org/officeDocument/2006/relationships/hyperlink" Target="mailto:billyteoh19@hotmail.com" TargetMode="External"/><Relationship Id="rId103" Type="http://schemas.openxmlformats.org/officeDocument/2006/relationships/hyperlink" Target="mailto:songlee1188@gmail.com" TargetMode="External"/><Relationship Id="rId124" Type="http://schemas.openxmlformats.org/officeDocument/2006/relationships/hyperlink" Target="mailto:weinnyliew88@gmail.com" TargetMode="External"/><Relationship Id="rId70" Type="http://schemas.openxmlformats.org/officeDocument/2006/relationships/hyperlink" Target="mailto:zainudinzin@gmail.com" TargetMode="External"/><Relationship Id="rId91" Type="http://schemas.openxmlformats.org/officeDocument/2006/relationships/hyperlink" Target="mailto:prinze.pua@gmail.com" TargetMode="External"/><Relationship Id="rId145" Type="http://schemas.openxmlformats.org/officeDocument/2006/relationships/hyperlink" Target="mailto:teckkeng@gmail.com" TargetMode="External"/><Relationship Id="rId166" Type="http://schemas.openxmlformats.org/officeDocument/2006/relationships/hyperlink" Target="mailto:hanynajib7577@gmail.com" TargetMode="External"/><Relationship Id="rId187" Type="http://schemas.openxmlformats.org/officeDocument/2006/relationships/hyperlink" Target="mailto:simonlee1@yahoo.com" TargetMode="External"/><Relationship Id="rId1" Type="http://schemas.openxmlformats.org/officeDocument/2006/relationships/hyperlink" Target="mailto:thomas119@hotmail.com" TargetMode="External"/><Relationship Id="rId28" Type="http://schemas.openxmlformats.org/officeDocument/2006/relationships/hyperlink" Target="mailto:chinjoolim@gmail.com" TargetMode="External"/><Relationship Id="rId49" Type="http://schemas.openxmlformats.org/officeDocument/2006/relationships/hyperlink" Target="mailto:ww_kwong@yahoo.com.sg" TargetMode="External"/><Relationship Id="rId114" Type="http://schemas.openxmlformats.org/officeDocument/2006/relationships/hyperlink" Target="mailto:hiedavid89@gmail.com" TargetMode="External"/><Relationship Id="rId60" Type="http://schemas.openxmlformats.org/officeDocument/2006/relationships/hyperlink" Target="mailto:tattmun@gmail.com" TargetMode="External"/><Relationship Id="rId81" Type="http://schemas.openxmlformats.org/officeDocument/2006/relationships/hyperlink" Target="mailto:ttchua77@hotmail.com" TargetMode="External"/><Relationship Id="rId135" Type="http://schemas.openxmlformats.org/officeDocument/2006/relationships/hyperlink" Target="mailto:w.waihung@gmail.com" TargetMode="External"/><Relationship Id="rId156" Type="http://schemas.openxmlformats.org/officeDocument/2006/relationships/hyperlink" Target="mailto:tingkampeng@gmail.com" TargetMode="External"/><Relationship Id="rId177" Type="http://schemas.openxmlformats.org/officeDocument/2006/relationships/hyperlink" Target="mailto:mysamwht@gmail.com" TargetMode="External"/><Relationship Id="rId198" Type="http://schemas.openxmlformats.org/officeDocument/2006/relationships/hyperlink" Target="mailto:hueiya-lee97@hotmail.com" TargetMode="External"/><Relationship Id="rId202" Type="http://schemas.openxmlformats.org/officeDocument/2006/relationships/vmlDrawing" Target="../drawings/vmlDrawing1.vml"/><Relationship Id="rId18" Type="http://schemas.openxmlformats.org/officeDocument/2006/relationships/hyperlink" Target="mailto:pee.banyio@yahoo.com" TargetMode="External"/><Relationship Id="rId39" Type="http://schemas.openxmlformats.org/officeDocument/2006/relationships/hyperlink" Target="mailto:chen2.luma@gmail.com" TargetMode="External"/><Relationship Id="rId50" Type="http://schemas.openxmlformats.org/officeDocument/2006/relationships/hyperlink" Target="mailto:lytan63@hotmail.com" TargetMode="External"/><Relationship Id="rId104" Type="http://schemas.openxmlformats.org/officeDocument/2006/relationships/hyperlink" Target="mailto:allan@gmail.com" TargetMode="External"/><Relationship Id="rId125" Type="http://schemas.openxmlformats.org/officeDocument/2006/relationships/hyperlink" Target="mailto:lucasboo123@hotmail.com" TargetMode="External"/><Relationship Id="rId146" Type="http://schemas.openxmlformats.org/officeDocument/2006/relationships/hyperlink" Target="mailto:bhajan1952@gmail.com" TargetMode="External"/><Relationship Id="rId167" Type="http://schemas.openxmlformats.org/officeDocument/2006/relationships/hyperlink" Target="mailto:yap.sk@hotmail.com" TargetMode="External"/><Relationship Id="rId188" Type="http://schemas.openxmlformats.org/officeDocument/2006/relationships/hyperlink" Target="mailto:lgfswl@gmail.com" TargetMode="External"/><Relationship Id="rId71" Type="http://schemas.openxmlformats.org/officeDocument/2006/relationships/hyperlink" Target="mailto:lishankwan@gmail.com" TargetMode="External"/><Relationship Id="rId92" Type="http://schemas.openxmlformats.org/officeDocument/2006/relationships/hyperlink" Target="mailto:cmang_02@outlook.com" TargetMode="External"/><Relationship Id="rId2" Type="http://schemas.openxmlformats.org/officeDocument/2006/relationships/hyperlink" Target="mailto:legendtay@hotmail.com" TargetMode="External"/><Relationship Id="rId29" Type="http://schemas.openxmlformats.org/officeDocument/2006/relationships/hyperlink" Target="mailto:siewchuan639@gmail.com"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2.xml"/></Relationships>
</file>

<file path=xl/worksheets/_rels/sheet7.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65044-D915-451E-8811-FAAE548D75E3}">
  <sheetPr codeName="Sheet6"/>
  <dimension ref="A3:AD168"/>
  <sheetViews>
    <sheetView showGridLines="0" topLeftCell="A3" zoomScale="70" zoomScaleNormal="70" workbookViewId="0">
      <selection activeCell="Z24" sqref="Z24"/>
    </sheetView>
  </sheetViews>
  <sheetFormatPr defaultRowHeight="14.4" x14ac:dyDescent="0.3"/>
  <cols>
    <col min="1" max="1" width="24" style="40" customWidth="1"/>
    <col min="2" max="3" width="16" style="40" customWidth="1"/>
    <col min="4" max="6" width="16" style="5" customWidth="1"/>
    <col min="7" max="7" width="0.5546875" style="5" customWidth="1"/>
    <col min="8" max="8" width="20.109375" style="5" bestFit="1" customWidth="1"/>
    <col min="9" max="9" width="19.44140625" style="5" customWidth="1"/>
    <col min="10" max="12" width="19.44140625" customWidth="1"/>
    <col min="13" max="13" width="0.5546875" customWidth="1"/>
    <col min="14" max="18" width="19.44140625" customWidth="1"/>
    <col min="19" max="19" width="0.5546875" customWidth="1"/>
    <col min="20" max="24" width="19.44140625" customWidth="1"/>
    <col min="25" max="25" width="0.5546875" customWidth="1"/>
    <col min="26" max="30" width="19.5546875" customWidth="1"/>
    <col min="31" max="31" width="0.5546875" customWidth="1"/>
    <col min="32" max="35" width="18.44140625" customWidth="1"/>
    <col min="36" max="36" width="9" customWidth="1"/>
  </cols>
  <sheetData>
    <row r="3" spans="22:27" ht="30.9" customHeight="1" x14ac:dyDescent="0.3">
      <c r="W3" s="253" t="s">
        <v>0</v>
      </c>
      <c r="X3" s="253"/>
      <c r="Z3" s="249">
        <f>B37</f>
        <v>3635.1449999999941</v>
      </c>
      <c r="AA3" s="249"/>
    </row>
    <row r="4" spans="22:27" ht="30.9" customHeight="1" x14ac:dyDescent="0.3">
      <c r="W4" s="253"/>
      <c r="X4" s="253"/>
      <c r="Z4" s="249"/>
      <c r="AA4" s="249"/>
    </row>
    <row r="5" spans="22:27" ht="30.9" customHeight="1" x14ac:dyDescent="0.3">
      <c r="W5" s="253"/>
      <c r="X5" s="253"/>
      <c r="Z5" s="249"/>
      <c r="AA5" s="249"/>
    </row>
    <row r="6" spans="22:27" ht="14.85" customHeight="1" x14ac:dyDescent="0.3">
      <c r="V6" s="5"/>
      <c r="W6" s="5"/>
      <c r="X6" s="5"/>
    </row>
    <row r="7" spans="22:27" ht="14.85" customHeight="1" x14ac:dyDescent="0.3">
      <c r="V7" s="5"/>
      <c r="W7" s="5"/>
      <c r="X7" s="5"/>
    </row>
    <row r="8" spans="22:27" ht="14.85" customHeight="1" x14ac:dyDescent="0.3">
      <c r="W8" s="253" t="s">
        <v>1</v>
      </c>
      <c r="X8" s="253"/>
      <c r="Z8" s="249">
        <f>B38</f>
        <v>3718.01</v>
      </c>
      <c r="AA8" s="249"/>
    </row>
    <row r="9" spans="22:27" ht="30.9" customHeight="1" x14ac:dyDescent="0.3">
      <c r="W9" s="253"/>
      <c r="X9" s="253"/>
      <c r="Z9" s="249"/>
      <c r="AA9" s="249"/>
    </row>
    <row r="10" spans="22:27" ht="30.9" customHeight="1" x14ac:dyDescent="0.3">
      <c r="W10" s="253"/>
      <c r="X10" s="253"/>
      <c r="Z10" s="249"/>
      <c r="AA10" s="249"/>
    </row>
    <row r="11" spans="22:27" ht="14.85" customHeight="1" x14ac:dyDescent="0.3"/>
    <row r="12" spans="22:27" ht="14.85" customHeight="1" x14ac:dyDescent="0.3"/>
    <row r="13" spans="22:27" ht="14.85" customHeight="1" x14ac:dyDescent="0.3"/>
    <row r="32" spans="1:3" x14ac:dyDescent="0.3">
      <c r="A32" s="15"/>
      <c r="B32" s="15"/>
      <c r="C32" s="15"/>
    </row>
    <row r="33" spans="1:30" x14ac:dyDescent="0.3">
      <c r="A33" s="15"/>
      <c r="B33" s="15"/>
      <c r="C33" s="15"/>
    </row>
    <row r="34" spans="1:30" x14ac:dyDescent="0.3">
      <c r="A34" s="15"/>
      <c r="B34" s="15"/>
      <c r="C34" s="15"/>
    </row>
    <row r="35" spans="1:30" ht="23.4" x14ac:dyDescent="0.4">
      <c r="A35" s="15"/>
      <c r="B35" s="250" t="s">
        <v>2</v>
      </c>
      <c r="C35" s="251"/>
      <c r="D35" s="251"/>
      <c r="E35" s="251"/>
      <c r="F35" s="252"/>
      <c r="G35" s="43"/>
      <c r="H35" s="250" t="s">
        <v>3</v>
      </c>
      <c r="I35" s="251"/>
      <c r="J35" s="251"/>
      <c r="K35" s="251"/>
      <c r="L35" s="252"/>
      <c r="M35" s="47"/>
      <c r="N35" s="250" t="s">
        <v>4</v>
      </c>
      <c r="O35" s="251"/>
      <c r="P35" s="251"/>
      <c r="Q35" s="251"/>
      <c r="R35" s="252"/>
      <c r="S35" s="43"/>
      <c r="T35" s="250" t="s">
        <v>5</v>
      </c>
      <c r="U35" s="251"/>
      <c r="V35" s="251"/>
      <c r="W35" s="251"/>
      <c r="X35" s="251"/>
      <c r="Z35" s="250" t="s">
        <v>6</v>
      </c>
      <c r="AA35" s="251"/>
      <c r="AB35" s="251"/>
      <c r="AC35" s="251"/>
      <c r="AD35" s="251"/>
    </row>
    <row r="36" spans="1:30" ht="21" x14ac:dyDescent="0.35">
      <c r="B36" s="73" t="s">
        <v>7</v>
      </c>
      <c r="C36" s="73">
        <v>2023</v>
      </c>
      <c r="D36" s="73">
        <v>2024</v>
      </c>
      <c r="E36" s="74">
        <v>2025</v>
      </c>
      <c r="F36" s="74">
        <v>2026</v>
      </c>
      <c r="G36" s="44"/>
      <c r="H36" s="75" t="s">
        <v>7</v>
      </c>
      <c r="I36" s="73">
        <v>2023</v>
      </c>
      <c r="J36" s="73">
        <v>2024</v>
      </c>
      <c r="K36" s="74">
        <v>2025</v>
      </c>
      <c r="L36" s="74">
        <v>2026</v>
      </c>
      <c r="M36" s="48"/>
      <c r="N36" s="75" t="s">
        <v>7</v>
      </c>
      <c r="O36" s="73">
        <v>2023</v>
      </c>
      <c r="P36" s="73">
        <v>2024</v>
      </c>
      <c r="Q36" s="74">
        <v>2025</v>
      </c>
      <c r="R36" s="74">
        <v>2026</v>
      </c>
      <c r="S36" s="44"/>
      <c r="T36" s="75" t="s">
        <v>7</v>
      </c>
      <c r="U36" s="73">
        <v>2023</v>
      </c>
      <c r="V36" s="73">
        <v>2024</v>
      </c>
      <c r="W36" s="73">
        <v>2025</v>
      </c>
      <c r="X36" s="73">
        <v>2026</v>
      </c>
      <c r="Z36" s="73" t="s">
        <v>7</v>
      </c>
      <c r="AA36" s="73">
        <v>2023</v>
      </c>
      <c r="AB36" s="73">
        <v>2024</v>
      </c>
      <c r="AC36" s="73">
        <v>2025</v>
      </c>
      <c r="AD36" s="73">
        <v>2026</v>
      </c>
    </row>
    <row r="37" spans="1:30" s="20" customFormat="1" ht="25.5" customHeight="1" x14ac:dyDescent="0.3">
      <c r="A37" s="101" t="s">
        <v>8</v>
      </c>
      <c r="B37" s="95">
        <f>SUMIFS(Table1[PV System Capacity (kWp)],Table1[Category],"*R*")</f>
        <v>3635.1449999999941</v>
      </c>
      <c r="C37" s="95">
        <f>SUMIFS(Table1[PV System Capacity (kWp)],Table1[Category],"*R*",Table1[Closed Date],"&gt;="&amp;DATE(2023,1,1),Table1[Closed Date],"&lt;="&amp;DATE(2023,12,31))</f>
        <v>313.29999999999995</v>
      </c>
      <c r="D37" s="95">
        <f>SUMIFS(Table1[PV System Capacity (kWp)],Table1[Category],"*R*",Table1[Closed Date],"&gt;="&amp;DATE(2024,1,1),Table1[Closed Date],"&lt;="&amp;DATE(2024,12,31))</f>
        <v>1637.1649999999988</v>
      </c>
      <c r="E37" s="96">
        <f>SUMIFS(Table1[PV System Capacity (kWp)],Table1[Category],"*R*",Table1[Closed Date],"&gt;="&amp;DATE(2025,1,1),Table1[Closed Date],"&lt;="&amp;DATE(2025,12,31))</f>
        <v>1684.6800000000039</v>
      </c>
      <c r="F37" s="96">
        <f>SUMIFS(Table1[PV System Capacity (kWp)],Table1[Category],"*R*",Table1[Closed Date],"&gt;="&amp;DATE(2026,1,1),Table1[Closed Date],"&lt;="&amp;DATE(2026,12,31))</f>
        <v>0</v>
      </c>
      <c r="G37" s="45"/>
      <c r="H37" s="79">
        <f>SUMIFS(Table1[Project Value (RM)],Table1[Category],"R-PV")</f>
        <v>10314867.6</v>
      </c>
      <c r="I37" s="80">
        <f>SUMIFS(Table1[Project Value (RM)],Table1[Category],"R-PV",Table1[Closed Date],"&gt;="&amp;DATE(2023,1,1),Table1[Closed Date],"&lt;="&amp;DATE(2023,12,31))</f>
        <v>782725</v>
      </c>
      <c r="J37" s="80">
        <f>SUMIFS(Table1[Project Value (RM)],Table1[Category],"R-PV",Table1[Closed Date],"&gt;="&amp;DATE(2024,1,1),Table1[Closed Date],"&lt;="&amp;DATE(2024,12,31))</f>
        <v>5036797.2</v>
      </c>
      <c r="K37" s="81">
        <f>SUMIFS(Table1[Project Value (RM)],Table1[Category],"R-PV",Table1[Closed Date],"&gt;="&amp;DATE(2025,1,1),Table1[Closed Date],"&lt;="&amp;DATE(2025,12,31))</f>
        <v>4495345.4000000004</v>
      </c>
      <c r="L37" s="81">
        <f>SUMIFS(Table1[Project Value (RM)],Table1[Category],"R-PV",Table1[Closed Date],"&gt;="&amp;DATE(2026,1,1),Table1[Closed Date],"&lt;="&amp;DATE(2026,12,31))</f>
        <v>0</v>
      </c>
      <c r="M37" s="102"/>
      <c r="N37" s="103">
        <f>SUM(O37:R37)</f>
        <v>8802124.6000000015</v>
      </c>
      <c r="O37" s="80">
        <f>SUMIFS('Finance Tracker'!M:M,'Finance Tracker'!L:L,"&gt;="&amp;DATE(2023,1,1),'Finance Tracker'!L:L,"&lt;="&amp;DATE(2023,12,31),'Finance Tracker'!F:F,"R-PV")
+SUMIFS('Finance Tracker'!Q:Q,'Finance Tracker'!P:P,"&gt;="&amp;DATE(2023,1,1),'Finance Tracker'!P:P,"&lt;="&amp;DATE(2023,12,31),'Finance Tracker'!F:F,"R-PV")
+SUMIFS('Finance Tracker'!U:U,'Finance Tracker'!T:T,"&gt;="&amp;DATE(2023,1,1),'Finance Tracker'!T:T,"&lt;="&amp;DATE(2023,12,31),'Finance Tracker'!F:F,"R-PV")
+SUMIFS('Finance Tracker'!Y:Y,'Finance Tracker'!X:X,"&gt;="&amp;DATE(2023,1,1),'Finance Tracker'!X:X,"&lt;="&amp;DATE(2023,12,31),'Finance Tracker'!F:F,"R-PV")
+SUMIFS('Finance Tracker'!AC:AC,'Finance Tracker'!AB:AB,"&gt;="&amp;DATE(2023,1,1),'Finance Tracker'!AB:AB,"&lt;="&amp;DATE(2023,12,31),'Finance Tracker'!F:F,"R-PV")
+SUMIFS('Finance Tracker'!AG:AG,'Finance Tracker'!AF:AF,"&gt;="&amp;DATE(2023,1,1),'Finance Tracker'!AF:AF,"&lt;="&amp;DATE(2023,12,31),'Finance Tracker'!F:F,"R-PV")</f>
        <v>379240</v>
      </c>
      <c r="P37" s="80">
        <f>SUMIFS('Finance Tracker'!M:M,'Finance Tracker'!L:L,"&gt;="&amp;DATE(2024,1,1),'Finance Tracker'!L:L,"&lt;="&amp;DATE(2024,12,31),'Finance Tracker'!F:F,"R-PV")
+SUMIFS('Finance Tracker'!Q:Q,'Finance Tracker'!P:P,"&gt;="&amp;DATE(2024,1,1),'Finance Tracker'!P:P,"&lt;="&amp;DATE(2024,12,31),'Finance Tracker'!F:F,"R-PV")
+SUMIFS('Finance Tracker'!U:U,'Finance Tracker'!T:T,"&gt;="&amp;DATE(2024,1,1),'Finance Tracker'!T:T,"&lt;="&amp;DATE(2024,12,31),'Finance Tracker'!F:F,"R-PV")
+SUMIFS('Finance Tracker'!Y:Y,'Finance Tracker'!X:X,"&gt;="&amp;DATE(2024,1,1),'Finance Tracker'!X:X,"&lt;="&amp;DATE(2024,12,31),'Finance Tracker'!F:F,"R-PV")
+SUMIFS('Finance Tracker'!AC:AC,'Finance Tracker'!AB:AB,"&gt;="&amp;DATE(2024,1,1),'Finance Tracker'!AB:AB,"&lt;="&amp;DATE(2024,12,31),'Finance Tracker'!F:F,"R-PV")
+SUMIFS('Finance Tracker'!AG:AG,'Finance Tracker'!AF:AF,"&gt;="&amp;DATE(2024,1,1),'Finance Tracker'!AF:AF,"&lt;="&amp;DATE(2024,12,31),'Finance Tracker'!F:F,"R-PV")</f>
        <v>3897315.2</v>
      </c>
      <c r="Q37" s="81">
        <f>SUMIFS('Finance Tracker'!M:M,'Finance Tracker'!L:L,"&gt;="&amp;DATE(2025,1,1),'Finance Tracker'!L:L,"&lt;="&amp;DATE(2025,12,31),'Finance Tracker'!F:F,"R-PV")
+SUMIFS('Finance Tracker'!Q:Q,'Finance Tracker'!P:P,"&gt;="&amp;DATE(2025,1,1),'Finance Tracker'!P:P,"&lt;="&amp;DATE(2025,12,31),'Finance Tracker'!F:F,"R-PV")
+SUMIFS('Finance Tracker'!U:U,'Finance Tracker'!T:T,"&gt;="&amp;DATE(2025,1,1),'Finance Tracker'!T:T,"&lt;="&amp;DATE(2025,12,31),'Finance Tracker'!F:F,"R-PV")
+SUMIFS('Finance Tracker'!Y:Y,'Finance Tracker'!X:X,"&gt;="&amp;DATE(2025,1,1),'Finance Tracker'!X:X,"&lt;="&amp;DATE(2025,12,31),'Finance Tracker'!F:F,"R-PV")
+SUMIFS('Finance Tracker'!AC:AC,'Finance Tracker'!AB:AB,"&gt;="&amp;DATE(2025,1,1),'Finance Tracker'!AB:AB,"&lt;="&amp;DATE(2025,12,31),'Finance Tracker'!F:F,"R-PV")
+SUMIFS('Finance Tracker'!AG:AG,'Finance Tracker'!AF:AF,"&gt;="&amp;DATE(2025,1,1),'Finance Tracker'!AF:AF,"&lt;="&amp;DATE(2025,12,31),'Finance Tracker'!F:F,"R-PV")</f>
        <v>4525569.4000000004</v>
      </c>
      <c r="R37" s="81">
        <f>SUMIFS('Finance Tracker'!M:M,'Finance Tracker'!L:L,"&gt;="&amp;DATE(2026,1,1),'Finance Tracker'!L:L,"&lt;="&amp;DATE(2026,12,31),'Finance Tracker'!F:F,"R-PV")
+SUMIFS('Finance Tracker'!Q:Q,'Finance Tracker'!P:P,"&gt;="&amp;DATE(2026,1,1),'Finance Tracker'!P:P,"&lt;="&amp;DATE(2026,12,31),'Finance Tracker'!F:F,"R-PV")
+SUMIFS('Finance Tracker'!U:U,'Finance Tracker'!T:T,"&gt;="&amp;DATE(2026,1,1),'Finance Tracker'!T:T,"&lt;="&amp;DATE(2026,12,31),'Finance Tracker'!F:F,"R-PV")
+SUMIFS('Finance Tracker'!Y:Y,'Finance Tracker'!X:X,"&gt;="&amp;DATE(2026,1,1),'Finance Tracker'!X:X,"&lt;="&amp;DATE(2026,12,31),'Finance Tracker'!F:F,"R-PV")
+SUMIFS('Finance Tracker'!AC:AC,'Finance Tracker'!AB:AB,"&gt;="&amp;DATE(2026,1,1),'Finance Tracker'!AB:AB,"&lt;="&amp;DATE(2026,12,31),'Finance Tracker'!F:F,"R-PV")
+SUMIFS('Finance Tracker'!AG:AG,'Finance Tracker'!AF:AF,"&gt;="&amp;DATE(2026,1,1),'Finance Tracker'!AF:AF,"&lt;="&amp;DATE(2026,12,31),'Finance Tracker'!F:F,"R-PV")</f>
        <v>0</v>
      </c>
      <c r="S37" s="46"/>
      <c r="T37" s="79">
        <f>SUM(U37:X37)</f>
        <v>8586827.6000000015</v>
      </c>
      <c r="U37" s="80">
        <f>SUMIFS('Finance Tracker'!O:O,'Finance Tracker'!N:N,"&gt;="&amp;DATE(2023,1,1),'Finance Tracker'!N:N,"&lt;="&amp;DATE(2023,12,31),'Finance Tracker'!F:F,"R-PV")
+SUMIFS('Finance Tracker'!S:S,'Finance Tracker'!R:R,"&gt;="&amp;DATE(2023,1,1),'Finance Tracker'!R:R,"&lt;="&amp;DATE(2023,12,31),'Finance Tracker'!F:F,"R-PV")
+SUMIFS('Finance Tracker'!W:W,'Finance Tracker'!V:V,"&gt;="&amp;DATE(2023,1,1),'Finance Tracker'!V:V,"&lt;="&amp;DATE(2023,12,31),'Finance Tracker'!F:F,"R-PV")
+SUMIFS('Finance Tracker'!AA:AA,'Finance Tracker'!Z:Z,"&gt;="&amp;DATE(2023,1,1),'Finance Tracker'!Z:Z,"&lt;="&amp;DATE(2023,12,31),'Finance Tracker'!F:F,"R-PV")
+SUMIFS('Finance Tracker'!AD:AD,'Finance Tracker'!AE:AE,"&gt;="&amp;DATE(2023,1,1),'Finance Tracker'!AE:AE,"&lt;="&amp;DATE(2023,12,31),'Finance Tracker'!F:F,"R-PV")
+SUMIFS('Finance Tracker'!AI:AI,'Finance Tracker'!AH:AH,"&gt;="&amp;DATE(2023,1,1),'Finance Tracker'!AH:AH,"&lt;="&amp;DATE(2023,12,31),'Finance Tracker'!F:F,"R-PV")</f>
        <v>301640</v>
      </c>
      <c r="V37" s="80">
        <f>SUMIFS('Finance Tracker'!O:O,'Finance Tracker'!N:N,"&gt;="&amp;DATE(2024,1,1),'Finance Tracker'!N:N,"&lt;="&amp;DATE(2024,12,31),'Finance Tracker'!F:F,"R-PV")
+SUMIFS('Finance Tracker'!S:S,'Finance Tracker'!R:R,"&gt;="&amp;DATE(2024,1,1),'Finance Tracker'!R:R,"&lt;="&amp;DATE(2024,12,31),'Finance Tracker'!F:F,"R-PV")
+SUMIFS('Finance Tracker'!W:W,'Finance Tracker'!V:V,"&gt;="&amp;DATE(2024,1,1),'Finance Tracker'!V:V,"&lt;="&amp;DATE(2024,12,31),'Finance Tracker'!F:F,"R-PV")
+SUMIFS('Finance Tracker'!AA:AA,'Finance Tracker'!Z:Z,"&gt;="&amp;DATE(2024,1,1),'Finance Tracker'!Z:Z,"&lt;="&amp;DATE(2024,12,31),'Finance Tracker'!F:F,"R-PV")
+SUMIFS('Finance Tracker'!AD:AD,'Finance Tracker'!AE:AE,"&gt;="&amp;DATE(2024,1,1),'Finance Tracker'!AE:AE,"&lt;="&amp;DATE(2024,12,31),'Finance Tracker'!F:F,"R-PV")
+SUMIFS('Finance Tracker'!AI:AI,'Finance Tracker'!AH:AH,"&gt;="&amp;DATE(2024,1,1),'Finance Tracker'!AH:AH,"&lt;="&amp;DATE(2024,12,31),'Finance Tracker'!F:F,"R-PV")</f>
        <v>3691311.2</v>
      </c>
      <c r="W37" s="80">
        <f>SUMIFS('Finance Tracker'!O:O,'Finance Tracker'!N:N,"&gt;="&amp;DATE(2025,1,1),'Finance Tracker'!N:N,"&lt;="&amp;DATE(2025,12,31),'Finance Tracker'!F:F,"R-PV")
+SUMIFS('Finance Tracker'!S:S,'Finance Tracker'!R:R,"&gt;="&amp;DATE(2025,1,1),'Finance Tracker'!R:R,"&lt;="&amp;DATE(2025,12,31),'Finance Tracker'!F:F,"R-PV")
+SUMIFS('Finance Tracker'!W:W,'Finance Tracker'!V:V,"&gt;="&amp;DATE(2025,1,1),'Finance Tracker'!V:V,"&lt;="&amp;DATE(2025,12,31),'Finance Tracker'!F:F,"R-PV")
+SUMIFS('Finance Tracker'!AA:AA,'Finance Tracker'!Z:Z,"&gt;="&amp;DATE(2025,1,1),'Finance Tracker'!Z:Z,"&lt;="&amp;DATE(2025,12,31),'Finance Tracker'!F:F,"R-PV")
+SUMIFS('Finance Tracker'!AD:AD,'Finance Tracker'!AE:AE,"&gt;="&amp;DATE(2025,1,1),'Finance Tracker'!AE:AE,"&lt;="&amp;DATE(2025,12,31),'Finance Tracker'!F:F,"R-PV")
+SUMIFS('Finance Tracker'!AI:AI,'Finance Tracker'!AH:AH,"&gt;="&amp;DATE(2025,1,1),'Finance Tracker'!AH:AH,"&lt;="&amp;DATE(2025,12,31),'Finance Tracker'!F:F,"R-PV")</f>
        <v>4593876.4000000004</v>
      </c>
      <c r="X37" s="80">
        <f>SUMIFS('Finance Tracker'!O:O,'Finance Tracker'!N:N,"&gt;="&amp;DATE(2026,1,1),'Finance Tracker'!N:N,"&lt;="&amp;DATE(2026,12,31),'Finance Tracker'!F:F,"R-PV")
+SUMIFS('Finance Tracker'!S:S,'Finance Tracker'!R:R,"&gt;="&amp;DATE(2026,1,1),'Finance Tracker'!R:R,"&lt;="&amp;DATE(2026,12,31),'Finance Tracker'!F:F,"R-PV")
+SUMIFS('Finance Tracker'!W:W,'Finance Tracker'!V:V,"&gt;="&amp;DATE(2026,1,1),'Finance Tracker'!V:V,"&lt;="&amp;DATE(2026,12,31),'Finance Tracker'!F:F,"R-PV")
+SUMIFS('Finance Tracker'!AA:AA,'Finance Tracker'!Z:Z,"&gt;="&amp;DATE(2026,1,1),'Finance Tracker'!Z:Z,"&lt;="&amp;DATE(2026,12,31),'Finance Tracker'!F:F,"R-PV")
+SUMIFS('Finance Tracker'!AE:AE,'Finance Tracker'!AE:AE,"&gt;="&amp;DATE(2026,1,1),'Finance Tracker'!AD:AD,"&lt;="&amp;DATE(2026,12,31),'Finance Tracker'!F:F,"R-PV")
+SUMIFS('Finance Tracker'!AI:AI,'Finance Tracker'!AH:AH,"&gt;="&amp;DATE(2026,1,1),'Finance Tracker'!AH:AH,"&lt;="&amp;DATE(2026,12,31),'Finance Tracker'!F:F,"R-PV")</f>
        <v>0</v>
      </c>
      <c r="Z37" s="76">
        <f>COUNTIF(Table1[Category],"R-PV")</f>
        <v>313</v>
      </c>
      <c r="AA37" s="76">
        <f>COUNTIFS(Table1[Category],"R-PV",Table1[Closed Date],"&gt;="&amp;DATE(2023,1,1),Table1[Closed Date],"&lt;="&amp;DATE(2023,12,31))</f>
        <v>23</v>
      </c>
      <c r="AB37" s="76">
        <f>COUNTIFS(Table1[Category],"R-PV",Table1[Closed Date],"&gt;="&amp;DATE(2024,1,1),Table1[Closed Date],"&lt;="&amp;DATE(2024,12,31))</f>
        <v>143</v>
      </c>
      <c r="AC37" s="76">
        <f>COUNTIFS(Table1[Category],"R-PV",Table1[Closed Date],"&gt;="&amp;DATE(2025,1,1),Table1[Closed Date],"&lt;="&amp;DATE(2025,12,31))</f>
        <v>147</v>
      </c>
      <c r="AD37" s="76">
        <f>COUNTIFS(Table1[Category],"R-PV",Table1[Closed Date],"&gt;="&amp;DATE(2026,1,1),Table1[Closed Date],"&lt;="&amp;DATE(2026,12,31))</f>
        <v>0</v>
      </c>
    </row>
    <row r="38" spans="1:30" s="20" customFormat="1" ht="25.5" customHeight="1" x14ac:dyDescent="0.3">
      <c r="A38" s="101" t="s">
        <v>9</v>
      </c>
      <c r="B38" s="95">
        <f>SUMIFS(Table1[PV System Capacity (kWp)],Table1[Category],"*C&amp;I*")</f>
        <v>3718.01</v>
      </c>
      <c r="C38" s="95">
        <f>SUMIFS(Table1[PV System Capacity (kWp)],Table1[Category],"*C&amp;I*",Table1[Closed Date],"&gt;="&amp;DATE(2023,1,1),Table1[Closed Date],"&lt;="&amp;DATE(2023,12,31))</f>
        <v>428.69499999999999</v>
      </c>
      <c r="D38" s="95">
        <f>SUMIFS(Table1[PV System Capacity (kWp)],Table1[Category],"*C&amp;I*",Table1[Closed Date],"&gt;="&amp;DATE(2024,1,1),Table1[Closed Date],"&lt;="&amp;DATE(2024,12,31))</f>
        <v>2088.3450000000007</v>
      </c>
      <c r="E38" s="96">
        <f>SUMIFS(Table1[PV System Capacity (kWp)],Table1[Category],"*C&amp;I*",Table1[Closed Date],"&gt;="&amp;DATE(2025,1,1),Table1[Closed Date],"&lt;="&amp;DATE(2025,12,31))</f>
        <v>1200.97</v>
      </c>
      <c r="F38" s="96">
        <f>SUMIFS(Table1[PV System Capacity (kWp)],Table1[Category],"*C&amp;I*",Table1[Closed Date],"&gt;="&amp;DATE(2026,1,1),Table1[Closed Date],"&lt;="&amp;DATE(2026,12,31))</f>
        <v>0</v>
      </c>
      <c r="G38" s="45"/>
      <c r="H38" s="79">
        <f>SUMIFS(Table1[Project Value (RM)],Table1[Category],"C&amp;I-PV")</f>
        <v>7185553.5800000001</v>
      </c>
      <c r="I38" s="80">
        <f>SUMIFS(Table1[Project Value (RM)],Table1[Category],"C&amp;I-PV",Table1[Closed Date],"&gt;="&amp;DATE(2023,1,1),Table1[Closed Date],"&lt;="&amp;DATE(2023,12,31))</f>
        <v>521800</v>
      </c>
      <c r="J38" s="80">
        <f>SUMIFS(Table1[Project Value (RM)],Table1[Category],"C&amp;I-PV",Table1[Closed Date],"&gt;="&amp;DATE(2024,1,1),Table1[Closed Date],"&lt;="&amp;DATE(2024,12,31))</f>
        <v>4266680</v>
      </c>
      <c r="K38" s="81">
        <f>SUMIFS(Table1[Project Value (RM)],Table1[Category],"C&amp;I-PV",Table1[Closed Date],"&gt;="&amp;DATE(2025,1,1),Table1[Closed Date],"&lt;="&amp;DATE(2025,12,31))</f>
        <v>2397073.58</v>
      </c>
      <c r="L38" s="81">
        <f>SUMIFS(Table1[Project Value (RM)],Table1[Category],"C&amp;I-PV",Table1[Closed Date],"&gt;="&amp;DATE(2026,1,1),Table1[Closed Date],"&lt;="&amp;DATE(2026,12,31))</f>
        <v>0</v>
      </c>
      <c r="M38" s="102"/>
      <c r="N38" s="103">
        <f t="shared" ref="N38:N41" si="0">SUM(O38:R38)</f>
        <v>6946746.4100000001</v>
      </c>
      <c r="O38" s="80">
        <f>SUMIFS('Finance Tracker'!M:M,'Finance Tracker'!L:L,"&gt;="&amp;DATE(2023,1,1),'Finance Tracker'!L:L,"&lt;="&amp;DATE(2023,12,31),'Finance Tracker'!F:F,"C&amp;I-PV")
+SUMIFS('Finance Tracker'!Q:Q,'Finance Tracker'!P:P,"&gt;="&amp;DATE(2023,1,1),'Finance Tracker'!P:P,"&lt;="&amp;DATE(2023,12,31),'Finance Tracker'!F:F,"C&amp;I-PV")
+SUMIFS('Finance Tracker'!U:U,'Finance Tracker'!T:T,"&gt;="&amp;DATE(2023,1,1),'Finance Tracker'!T:T,"&lt;="&amp;DATE(2023,12,31),'Finance Tracker'!F:F,"C&amp;I-PV")
+SUMIFS('Finance Tracker'!Y:Y,'Finance Tracker'!X:X,"&gt;="&amp;DATE(2023,1,1),'Finance Tracker'!X:X,"&lt;="&amp;DATE(2023,12,31),'Finance Tracker'!F:F,"C&amp;I-PV")
+SUMIFS('Finance Tracker'!AC:AC,'Finance Tracker'!AB:AB,"&gt;="&amp;DATE(2023,1,1),'Finance Tracker'!AB:AB,"&lt;="&amp;DATE(2023,12,31),'Finance Tracker'!F:F,"C&amp;I-PV")
+SUMIFS('Finance Tracker'!AG:AG,'Finance Tracker'!AF:AF,"&gt;="&amp;DATE(2023,1,1),'Finance Tracker'!AF:AF,"&lt;="&amp;DATE(2023,12,31),'Finance Tracker'!F:F,"C&amp;I-PV")</f>
        <v>278820</v>
      </c>
      <c r="P38" s="80">
        <f>SUMIFS('Finance Tracker'!M:M,'Finance Tracker'!L:L,"&gt;="&amp;DATE(2024,1,1),'Finance Tracker'!L:L,"&lt;="&amp;DATE(2024,12,31),'Finance Tracker'!F:F,"C&amp;I-PV")
+SUMIFS('Finance Tracker'!Q:Q,'Finance Tracker'!P:P,"&gt;="&amp;DATE(2024,1,1),'Finance Tracker'!P:P,"&lt;="&amp;DATE(2024,12,31),'Finance Tracker'!F:F,"C&amp;I-PV")
+SUMIFS('Finance Tracker'!U:U,'Finance Tracker'!T:T,"&gt;="&amp;DATE(2024,1,1),'Finance Tracker'!T:T,"&lt;="&amp;DATE(2024,12,31),'Finance Tracker'!F:F,"C&amp;I-PV")
+SUMIFS('Finance Tracker'!Y:Y,'Finance Tracker'!X:X,"&gt;="&amp;DATE(2024,1,1),'Finance Tracker'!X:X,"&lt;="&amp;DATE(2024,12,31),'Finance Tracker'!F:F,"C&amp;I-PV")
+SUMIFS('Finance Tracker'!AC:AC,'Finance Tracker'!AB:AB,"&gt;="&amp;DATE(2024,1,1),'Finance Tracker'!AB:AB,"&lt;="&amp;DATE(2024,12,31),'Finance Tracker'!F:F,"C&amp;I-PV")
+SUMIFS('Finance Tracker'!AG:AG,'Finance Tracker'!AF:AF,"&gt;="&amp;DATE(2024,1,1),'Finance Tracker'!AF:AF,"&lt;="&amp;DATE(2024,12,31),'Finance Tracker'!F:F,"C&amp;I-PV")</f>
        <v>2643170</v>
      </c>
      <c r="Q38" s="81">
        <f>SUMIFS('Finance Tracker'!M:M,'Finance Tracker'!L:L,"&gt;="&amp;DATE(2025,1,1),'Finance Tracker'!L:L,"&lt;="&amp;DATE(2025,12,31),'Finance Tracker'!F:F,"C&amp;I-PV")
+SUMIFS('Finance Tracker'!Q:Q,'Finance Tracker'!P:P,"&gt;="&amp;DATE(2025,1,1),'Finance Tracker'!P:P,"&lt;="&amp;DATE(2025,12,31),'Finance Tracker'!F:F,"C&amp;I-PV")
+SUMIFS('Finance Tracker'!U:U,'Finance Tracker'!T:T,"&gt;="&amp;DATE(2025,1,1),'Finance Tracker'!T:T,"&lt;="&amp;DATE(2025,12,31),'Finance Tracker'!F:F,"C&amp;I-PV")
+SUMIFS('Finance Tracker'!Y:Y,'Finance Tracker'!X:X,"&gt;="&amp;DATE(2025,1,1),'Finance Tracker'!X:X,"&lt;="&amp;DATE(2025,12,31),'Finance Tracker'!F:F,"C&amp;I-PV")
+SUMIFS('Finance Tracker'!AC:AC,'Finance Tracker'!AB:AB,"&gt;="&amp;DATE(2025,1,1),'Finance Tracker'!AB:AB,"&lt;="&amp;DATE(2025,12,31),'Finance Tracker'!F:F,"C&amp;I-PV")
+SUMIFS('Finance Tracker'!AG:AG,'Finance Tracker'!AF:AF,"&gt;="&amp;DATE(2025,1,1),'Finance Tracker'!AF:AF,"&lt;="&amp;DATE(2025,12,31),'Finance Tracker'!F:F,"C&amp;I-PV")</f>
        <v>4024756.41</v>
      </c>
      <c r="R38" s="81">
        <f>SUMIFS('Finance Tracker'!M:M,'Finance Tracker'!L:L,"&gt;="&amp;DATE(2026,1,1),'Finance Tracker'!L:L,"&lt;="&amp;DATE(2026,12,31),'Finance Tracker'!F:F,"C&amp;I-PV")
+SUMIFS('Finance Tracker'!Q:Q,'Finance Tracker'!P:P,"&gt;="&amp;DATE(2026,1,1),'Finance Tracker'!P:P,"&lt;="&amp;DATE(2026,12,31),'Finance Tracker'!F:F,"C&amp;I-PV")
+SUMIFS('Finance Tracker'!U:U,'Finance Tracker'!T:T,"&gt;="&amp;DATE(2026,1,1),'Finance Tracker'!T:T,"&lt;="&amp;DATE(2026,12,31),'Finance Tracker'!F:F,"C&amp;I-PV")
+SUMIFS('Finance Tracker'!Y:Y,'Finance Tracker'!X:X,"&gt;="&amp;DATE(2026,1,1),'Finance Tracker'!X:X,"&lt;="&amp;DATE(2026,12,31),'Finance Tracker'!F:F,"C&amp;I-PV")
+SUMIFS('Finance Tracker'!AC:AC,'Finance Tracker'!AB:AB,"&gt;="&amp;DATE(2026,1,1),'Finance Tracker'!AB:AB,"&lt;="&amp;DATE(2026,12,31),'Finance Tracker'!F:F,"C&amp;I-PV")
+SUMIFS('Finance Tracker'!AG:AG,'Finance Tracker'!AF:AF,"&gt;="&amp;DATE(2026,1,1),'Finance Tracker'!AF:AF,"&lt;="&amp;DATE(2026,12,31),'Finance Tracker'!F:F,"C&amp;I-PV")</f>
        <v>0</v>
      </c>
      <c r="S38" s="46"/>
      <c r="T38" s="79">
        <f t="shared" ref="T38:T41" si="1">SUM(U38:X38)</f>
        <v>5420201.4100000001</v>
      </c>
      <c r="U38" s="80">
        <f>SUMIFS('Finance Tracker'!O:O,'Finance Tracker'!N:N,"&gt;="&amp;DATE(2023,1,1),'Finance Tracker'!N:N,"&lt;="&amp;DATE(2023,12,31),'Finance Tracker'!F:F,"C&amp;I-PV")
+SUMIFS('Finance Tracker'!S:S,'Finance Tracker'!R:R,"&gt;="&amp;DATE(2023,1,1),'Finance Tracker'!R:R,"&lt;="&amp;DATE(2023,12,31),'Finance Tracker'!F:F,"C&amp;I-PV")
+SUMIFS('Finance Tracker'!W:W,'Finance Tracker'!V:V,"&gt;="&amp;DATE(2023,1,1),'Finance Tracker'!V:V,"&lt;="&amp;DATE(2023,12,31),'Finance Tracker'!F:F,"C&amp;I-PV")
+SUMIFS('Finance Tracker'!AA:AA,'Finance Tracker'!Z:Z,"&gt;="&amp;DATE(2023,1,1),'Finance Tracker'!Z:Z,"&lt;="&amp;DATE(2023,12,31),'Finance Tracker'!F:F,"C&amp;I-PV")
+SUMIFS('Finance Tracker'!AD:AD,'Finance Tracker'!AE:AE,"&gt;="&amp;DATE(2023,1,1),'Finance Tracker'!AE:AE,"&lt;="&amp;DATE(2023,12,31),'Finance Tracker'!F:F,"C&amp;I-PV")
+SUMIFS('Finance Tracker'!AI:AI,'Finance Tracker'!AH:AH,"&gt;="&amp;DATE(2023,1,1),'Finance Tracker'!AH:AH,"&lt;="&amp;DATE(2023,12,31),'Finance Tracker'!F:F,"C&amp;I-PV")</f>
        <v>278820</v>
      </c>
      <c r="V38" s="80">
        <f>SUMIFS('Finance Tracker'!O:O,'Finance Tracker'!N:N,"&gt;="&amp;DATE(2024,1,1),'Finance Tracker'!N:N,"&lt;="&amp;DATE(2024,12,31),'Finance Tracker'!F:F,"C&amp;I-PV")
+SUMIFS('Finance Tracker'!S:S,'Finance Tracker'!R:R,"&gt;="&amp;DATE(2024,1,1),'Finance Tracker'!R:R,"&lt;="&amp;DATE(2024,12,31),'Finance Tracker'!F:F,"C&amp;I-PV")
+SUMIFS('Finance Tracker'!W:W,'Finance Tracker'!V:V,"&gt;="&amp;DATE(2024,1,1),'Finance Tracker'!V:V,"&lt;="&amp;DATE(2024,12,31),'Finance Tracker'!F:F,"C&amp;I-PV")
+SUMIFS('Finance Tracker'!AA:AA,'Finance Tracker'!Z:Z,"&gt;="&amp;DATE(2024,1,1),'Finance Tracker'!Z:Z,"&lt;="&amp;DATE(2024,12,31),'Finance Tracker'!F:F,"C&amp;I-PV")
+SUMIFS('Finance Tracker'!AD:AD,'Finance Tracker'!AE:AE,"&gt;="&amp;DATE(2024,1,1),'Finance Tracker'!AE:AE,"&lt;="&amp;DATE(2024,12,31),'Finance Tracker'!F:F,"C&amp;I-PV")
+SUMIFS('Finance Tracker'!AI:AI,'Finance Tracker'!AH:AH,"&gt;="&amp;DATE(2024,1,1),'Finance Tracker'!AH:AH,"&lt;="&amp;DATE(2024,12,31),'Finance Tracker'!F:F,"C&amp;I-PV")</f>
        <v>2422890</v>
      </c>
      <c r="W38" s="80">
        <f>SUMIFS('Finance Tracker'!O:O,'Finance Tracker'!N:N,"&gt;="&amp;DATE(2025,1,1),'Finance Tracker'!N:N,"&lt;="&amp;DATE(2025,12,31),'Finance Tracker'!F:F,"C&amp;I-PV")
+SUMIFS('Finance Tracker'!S:S,'Finance Tracker'!R:R,"&gt;="&amp;DATE(2025,1,1),'Finance Tracker'!R:R,"&lt;="&amp;DATE(2025,12,31),'Finance Tracker'!F:F,"C&amp;I-PV")
+SUMIFS('Finance Tracker'!W:W,'Finance Tracker'!V:V,"&gt;="&amp;DATE(2025,1,1),'Finance Tracker'!V:V,"&lt;="&amp;DATE(2025,12,31),'Finance Tracker'!F:F,"C&amp;I-PV")
+SUMIFS('Finance Tracker'!AA:AA,'Finance Tracker'!Z:Z,"&gt;="&amp;DATE(2025,1,1),'Finance Tracker'!Z:Z,"&lt;="&amp;DATE(2025,12,31),'Finance Tracker'!F:F,"C&amp;I-PV")
+SUMIFS('Finance Tracker'!AD:AD,'Finance Tracker'!AE:AE,"&gt;="&amp;DATE(2025,1,1),'Finance Tracker'!AE:AE,"&lt;="&amp;DATE(2025,12,31),'Finance Tracker'!F:F,"C&amp;I-PV")
+SUMIFS('Finance Tracker'!AI:AI,'Finance Tracker'!AH:AH,"&gt;="&amp;DATE(2025,1,1),'Finance Tracker'!AH:AH,"&lt;="&amp;DATE(2025,12,31),'Finance Tracker'!F:F,"C&amp;I-PV")</f>
        <v>2718491.41</v>
      </c>
      <c r="X38" s="80">
        <f>SUMIFS('Finance Tracker'!O:O,'Finance Tracker'!N:N,"&gt;="&amp;DATE(2026,1,1),'Finance Tracker'!N:N,"&lt;="&amp;DATE(2026,12,31),'Finance Tracker'!F:F,"C&amp;I-PV")
+SUMIFS('Finance Tracker'!S:S,'Finance Tracker'!R:R,"&gt;="&amp;DATE(2026,1,1),'Finance Tracker'!R:R,"&lt;="&amp;DATE(2026,12,31),'Finance Tracker'!F:F,"C&amp;I-PV")
+SUMIFS('Finance Tracker'!W:W,'Finance Tracker'!V:V,"&gt;="&amp;DATE(2026,1,1),'Finance Tracker'!V:V,"&lt;="&amp;DATE(2026,12,31),'Finance Tracker'!F:F,"C&amp;I-PV")
+SUMIFS('Finance Tracker'!AA:AA,'Finance Tracker'!Z:Z,"&gt;="&amp;DATE(2026,1,1),'Finance Tracker'!Z:Z,"&lt;="&amp;DATE(2026,12,31),'Finance Tracker'!F:F,"C&amp;I-PV")
+SUMIFS('Finance Tracker'!AD:AD,'Finance Tracker'!AE:AE,"&gt;="&amp;DATE(2026,1,1),'Finance Tracker'!AE:AE,"&lt;="&amp;DATE(2026,12,31),'Finance Tracker'!F:F,"C&amp;I-PV")
+SUMIFS('Finance Tracker'!AI:AI,'Finance Tracker'!AH:AH,"&gt;="&amp;DATE(2026,1,1),'Finance Tracker'!AH:AH,"&lt;="&amp;DATE(2026,12,31),'Finance Tracker'!F:F,"C&amp;I-PV")</f>
        <v>0</v>
      </c>
      <c r="Z38" s="76">
        <f>COUNTIF(Table1[Category],"C&amp;I-PV")</f>
        <v>33</v>
      </c>
      <c r="AA38" s="76">
        <f>COUNTIFS(Table1[Category],"C&amp;I-PV",Table1[Closed Date],"&gt;="&amp;DATE(2023,1,1),Table1[Closed Date],"&lt;="&amp;DATE(2023,12,31))</f>
        <v>3</v>
      </c>
      <c r="AB38" s="76">
        <f>COUNTIFS(Table1[Category],"C&amp;I-PV",Table1[Closed Date],"&gt;="&amp;DATE(2024,1,1),Table1[Closed Date],"&lt;="&amp;DATE(2024,12,31))</f>
        <v>18</v>
      </c>
      <c r="AC38" s="76">
        <f>COUNTIFS(Table1[Category],"C&amp;I-PV",Table1[Closed Date],"&gt;="&amp;DATE(2025,1,1),Table1[Closed Date],"&lt;="&amp;DATE(2025,12,31))</f>
        <v>12</v>
      </c>
      <c r="AD38" s="76">
        <f>COUNTIFS(Table1[Category],"C&amp;I-PV",Table1[Closed Date],"&gt;="&amp;DATE(2026,1,1),Table1[Closed Date],"&lt;="&amp;DATE(2026,12,31))</f>
        <v>0</v>
      </c>
    </row>
    <row r="39" spans="1:30" s="20" customFormat="1" ht="25.5" customHeight="1" x14ac:dyDescent="0.3">
      <c r="A39" s="101" t="s">
        <v>10</v>
      </c>
      <c r="B39" s="99">
        <f>SUMIFS(Table1[BESS Capacity],Table1[Category],"R-BESS")</f>
        <v>287.39999999999998</v>
      </c>
      <c r="C39" s="99">
        <f>SUMIFS(Table1[BESS Capacity],Table1[Category],"R-BESS",Table1[Closed Date],"&gt;="&amp;DATE(2023,1,1),Table1[Closed Date],"&lt;="&amp;DATE(2023,12,31))</f>
        <v>287.39999999999998</v>
      </c>
      <c r="D39" s="99">
        <f>SUMIFS(Table1[BESS Capacity],Table1[Category],"R-BESS",Table1[Closed Date],"&gt;="&amp;DATE(2024,1,1),Table1[Closed Date],"&lt;="&amp;DATE(2024,12,31))</f>
        <v>0</v>
      </c>
      <c r="E39" s="100">
        <f>SUMIFS(Table1[BESS Capacity],Table1[Category],"R-BESS",Table1[Closed Date],"&gt;="&amp;DATE(2025,1,1),Table1[Closed Date],"&lt;="&amp;DATE(2025,12,31))</f>
        <v>0</v>
      </c>
      <c r="F39" s="100">
        <f>SUMIFS(Table1[BESS Capacity],Table1[Category],"R-BESS",Table1[Closed Date],"&gt;="&amp;DATE(2026,1,1),Table1[Closed Date],"&lt;="&amp;DATE(2026,12,31))</f>
        <v>0</v>
      </c>
      <c r="G39" s="45"/>
      <c r="H39" s="79">
        <f>SUMIFS(Table1[Project Value (RM)],Table1[Category],"R-BESS")</f>
        <v>720000</v>
      </c>
      <c r="I39" s="80">
        <f>SUMIFS(Table1[Project Value (RM)],Table1[Category],"R-BESS",Table1[Closed Date],"&gt;="&amp;DATE(2023,1,1),Table1[Closed Date],"&lt;="&amp;DATE(2023,12,31))</f>
        <v>720000</v>
      </c>
      <c r="J39" s="80">
        <f>SUMIFS(Table1[Project Value (RM)],Table1[Category],"R-BESS",Table1[Closed Date],"&gt;="&amp;DATE(2024,1,1),Table1[Closed Date],"&lt;="&amp;DATE(2024,12,31))</f>
        <v>0</v>
      </c>
      <c r="K39" s="81">
        <f>SUMIFS(Table1[Project Value (RM)],Table1[Category],"R-BESS",Table1[Closed Date],"&gt;="&amp;DATE(2025,1,1),Table1[Closed Date],"&lt;="&amp;DATE(2025,12,31))</f>
        <v>0</v>
      </c>
      <c r="L39" s="81">
        <f>SUMIFS(Table1[Project Value (RM)],Table1[Category],"R-BESS",Table1[Closed Date],"&gt;="&amp;DATE(2026,1,1),Table1[Closed Date],"&lt;="&amp;DATE(2026,12,31))</f>
        <v>0</v>
      </c>
      <c r="M39" s="102"/>
      <c r="N39" s="103">
        <f t="shared" si="0"/>
        <v>720000</v>
      </c>
      <c r="O39" s="80">
        <f>SUMIFS('Finance Tracker'!M:M,'Finance Tracker'!L:L,"&gt;="&amp;DATE(2023,1,1),'Finance Tracker'!L:L,"&lt;="&amp;DATE(2023,12,31),'Finance Tracker'!F:F,"R-BESS")
+SUMIFS('Finance Tracker'!Q:Q,'Finance Tracker'!P:P,"&gt;="&amp;DATE(2023,1,1),'Finance Tracker'!P:P,"&lt;="&amp;DATE(2023,12,31),'Finance Tracker'!F:F,"R-BESS")
+SUMIFS('Finance Tracker'!U:U,'Finance Tracker'!T:T,"&gt;="&amp;DATE(2023,1,1),'Finance Tracker'!T:T,"&lt;="&amp;DATE(2023,12,31),'Finance Tracker'!F:F,"R-BESS")
+SUMIFS('Finance Tracker'!Y:Y,'Finance Tracker'!X:X,"&gt;="&amp;DATE(2023,1,1),'Finance Tracker'!X:X,"&lt;="&amp;DATE(2023,12,31),'Finance Tracker'!F:F,"R-BESS")
+SUMIFS('Finance Tracker'!AC:AC,'Finance Tracker'!AB:AB,"&gt;="&amp;DATE(2023,1,1),'Finance Tracker'!AB:AB,"&lt;="&amp;DATE(2023,12,31),'Finance Tracker'!F:F,"R-BESS")
+SUMIFS('Finance Tracker'!AG:AG,'Finance Tracker'!AF:AF,"&gt;="&amp;DATE(2023,1,1),'Finance Tracker'!AF:AF,"&lt;="&amp;DATE(2023,12,31),'Finance Tracker'!F:F,"R-BESS")</f>
        <v>432000</v>
      </c>
      <c r="P39" s="80">
        <f>SUMIFS('Finance Tracker'!M:M,'Finance Tracker'!L:L,"&gt;="&amp;DATE(2024,1,1),'Finance Tracker'!L:L,"&lt;="&amp;DATE(2024,12,31),'Finance Tracker'!F:F,"R-BESS")
+SUMIFS('Finance Tracker'!Q:Q,'Finance Tracker'!P:P,"&gt;="&amp;DATE(2024,1,1),'Finance Tracker'!P:P,"&lt;="&amp;DATE(2024,12,31),'Finance Tracker'!F:F,"R-BESS")
+SUMIFS('Finance Tracker'!U:U,'Finance Tracker'!T:T,"&gt;="&amp;DATE(2024,1,1),'Finance Tracker'!T:T,"&lt;="&amp;DATE(2024,12,31),'Finance Tracker'!F:F,"R-BESS")
+SUMIFS('Finance Tracker'!Y:Y,'Finance Tracker'!X:X,"&gt;="&amp;DATE(2024,1,1),'Finance Tracker'!X:X,"&lt;="&amp;DATE(2024,12,31),'Finance Tracker'!F:F,"R-BESS")
+SUMIFS('Finance Tracker'!AC:AC,'Finance Tracker'!AB:AB,"&gt;="&amp;DATE(2024,1,1),'Finance Tracker'!AB:AB,"&lt;="&amp;DATE(2024,12,31),'Finance Tracker'!F:F,"R-BESS")
+SUMIFS('Finance Tracker'!AG:AG,'Finance Tracker'!AF:AF,"&gt;="&amp;DATE(2024,1,1),'Finance Tracker'!AF:AF,"&lt;="&amp;DATE(2024,12,31),'Finance Tracker'!F:F,"R-BESS")</f>
        <v>288000</v>
      </c>
      <c r="Q39" s="81">
        <f>SUMIFS('Finance Tracker'!M:M,'Finance Tracker'!L:L,"&gt;="&amp;DATE(2025,1,1),'Finance Tracker'!L:L,"&lt;="&amp;DATE(2025,12,31),'Finance Tracker'!F:F,"R-BESS")
+SUMIFS('Finance Tracker'!Q:Q,'Finance Tracker'!P:P,"&gt;="&amp;DATE(2025,1,1),'Finance Tracker'!P:P,"&lt;="&amp;DATE(2025,12,31),'Finance Tracker'!F:F,"R-BESS")
+SUMIFS('Finance Tracker'!U:U,'Finance Tracker'!T:T,"&gt;="&amp;DATE(2025,1,1),'Finance Tracker'!T:T,"&lt;="&amp;DATE(2025,12,31),'Finance Tracker'!F:F,"R-BESS")
+SUMIFS('Finance Tracker'!Y:Y,'Finance Tracker'!X:X,"&gt;="&amp;DATE(2025,1,1),'Finance Tracker'!X:X,"&lt;="&amp;DATE(2025,12,31),'Finance Tracker'!F:F,"R-BESS")
+SUMIFS('Finance Tracker'!AC:AC,'Finance Tracker'!AB:AB,"&gt;="&amp;DATE(2025,1,1),'Finance Tracker'!AB:AB,"&lt;="&amp;DATE(2025,12,31),'Finance Tracker'!F:F,"R-BESS")
+SUMIFS('Finance Tracker'!AG:AG,'Finance Tracker'!AF:AF,"&gt;="&amp;DATE(2025,1,1),'Finance Tracker'!AF:AF,"&lt;="&amp;DATE(2025,12,31),'Finance Tracker'!F:F,"R-BESS")</f>
        <v>0</v>
      </c>
      <c r="R39" s="81">
        <f>SUMIFS('Finance Tracker'!M:M,'Finance Tracker'!L:L,"&gt;="&amp;DATE(2026,1,1),'Finance Tracker'!L:L,"&lt;="&amp;DATE(2026,12,31),'Finance Tracker'!F:F,"R-BESS")
+SUMIFS('Finance Tracker'!Q:Q,'Finance Tracker'!P:P,"&gt;="&amp;DATE(2026,1,1),'Finance Tracker'!P:P,"&lt;="&amp;DATE(2026,12,31),'Finance Tracker'!F:F,"R-BESS")
+SUMIFS('Finance Tracker'!U:U,'Finance Tracker'!T:T,"&gt;="&amp;DATE(2026,1,1),'Finance Tracker'!T:T,"&lt;="&amp;DATE(2026,12,31),'Finance Tracker'!F:F,"R-BESS")
+SUMIFS('Finance Tracker'!Y:Y,'Finance Tracker'!X:X,"&gt;="&amp;DATE(2026,1,1),'Finance Tracker'!X:X,"&lt;="&amp;DATE(2026,12,31),'Finance Tracker'!F:F,"R-BESS")
+SUMIFS('Finance Tracker'!AC:AC,'Finance Tracker'!AB:AB,"&gt;="&amp;DATE(2026,1,1),'Finance Tracker'!AB:AB,"&lt;="&amp;DATE(2026,12,31),'Finance Tracker'!F:F,"R-BESS")
+SUMIFS('Finance Tracker'!AG:AG,'Finance Tracker'!AF:AF,"&gt;="&amp;DATE(2026,1,1),'Finance Tracker'!AF:AF,"&lt;="&amp;DATE(2026,12,31),'Finance Tracker'!F:F,"R-BESS")</f>
        <v>0</v>
      </c>
      <c r="S39" s="46"/>
      <c r="T39" s="79">
        <f t="shared" si="1"/>
        <v>720000</v>
      </c>
      <c r="U39" s="80">
        <f>SUMIFS('Finance Tracker'!O:O,'Finance Tracker'!N:N,"&gt;="&amp;DATE(2023,1,1),'Finance Tracker'!N:N,"&lt;="&amp;DATE(2023,12,31),'Finance Tracker'!F:F,"R-BESS")
+SUMIFS('Finance Tracker'!S:S,'Finance Tracker'!R:R,"&gt;="&amp;DATE(2023,1,1),'Finance Tracker'!R:R,"&lt;="&amp;DATE(2023,12,31),'Finance Tracker'!F:F,"R-BESS")
+SUMIFS('Finance Tracker'!W:W,'Finance Tracker'!V:V,"&gt;="&amp;DATE(2023,1,1),'Finance Tracker'!V:V,"&lt;="&amp;DATE(2023,12,31),'Finance Tracker'!F:F,"R-BESS")
+SUMIFS('Finance Tracker'!AA:AA,'Finance Tracker'!Z:Z,"&gt;="&amp;DATE(2023,1,1),'Finance Tracker'!Z:Z,"&lt;="&amp;DATE(2023,12,31),'Finance Tracker'!F:F,"R-BESS")
+SUMIFS('Finance Tracker'!AD:AD,'Finance Tracker'!AE:AE,"&gt;="&amp;DATE(2023,1,1),'Finance Tracker'!AE:AE,"&lt;="&amp;DATE(2023,12,31),'Finance Tracker'!F:F,"R-BESS")
+SUMIFS('Finance Tracker'!AI:AI,'Finance Tracker'!AH:AH,"&gt;="&amp;DATE(2023,1,1),'Finance Tracker'!AH:AH,"&lt;="&amp;DATE(2023,12,31),'Finance Tracker'!F:F,"R-BESS")</f>
        <v>432000</v>
      </c>
      <c r="V39" s="80">
        <f>SUMIFS('Finance Tracker'!O:O,'Finance Tracker'!N:N,"&gt;="&amp;DATE(2024,1,1),'Finance Tracker'!N:N,"&lt;="&amp;DATE(2024,12,31),'Finance Tracker'!F:F,"R-BESS")
+SUMIFS('Finance Tracker'!S:S,'Finance Tracker'!R:R,"&gt;="&amp;DATE(2024,1,1),'Finance Tracker'!R:R,"&lt;="&amp;DATE(2024,12,31),'Finance Tracker'!F:F,"R-BESS")
+SUMIFS('Finance Tracker'!W:W,'Finance Tracker'!V:V,"&gt;="&amp;DATE(2024,1,1),'Finance Tracker'!V:V,"&lt;="&amp;DATE(2024,12,31),'Finance Tracker'!F:F,"R-BESS")
+SUMIFS('Finance Tracker'!AA:AA,'Finance Tracker'!Z:Z,"&gt;="&amp;DATE(2024,1,1),'Finance Tracker'!Z:Z,"&lt;="&amp;DATE(2024,12,31),'Finance Tracker'!F:F,"R-BESS")
+SUMIFS('Finance Tracker'!AD:AD,'Finance Tracker'!AE:AE,"&gt;="&amp;DATE(2024,1,1),'Finance Tracker'!AE:AE,"&lt;="&amp;DATE(2024,12,31),'Finance Tracker'!F:F,"R-BESS")
+SUMIFS('Finance Tracker'!AI:AI,'Finance Tracker'!AH:AH,"&gt;="&amp;DATE(2024,1,1),'Finance Tracker'!AH:AH,"&lt;="&amp;DATE(2024,12,31),'Finance Tracker'!F:F,"R-BESS")</f>
        <v>288000</v>
      </c>
      <c r="W39" s="80">
        <f>SUMIFS('Finance Tracker'!O:O,'Finance Tracker'!N:N,"&gt;="&amp;DATE(2025,1,1),'Finance Tracker'!N:N,"&lt;="&amp;DATE(2025,12,31),'Finance Tracker'!F:F,"R-BESS")
+SUMIFS('Finance Tracker'!S:S,'Finance Tracker'!R:R,"&gt;="&amp;DATE(2025,1,1),'Finance Tracker'!R:R,"&lt;="&amp;DATE(2025,12,31),'Finance Tracker'!F:F,"R-BESS")
+SUMIFS('Finance Tracker'!W:W,'Finance Tracker'!V:V,"&gt;="&amp;DATE(2025,1,1),'Finance Tracker'!V:V,"&lt;="&amp;DATE(2025,12,31),'Finance Tracker'!F:F,"R-BESS")
+SUMIFS('Finance Tracker'!AA:AA,'Finance Tracker'!Z:Z,"&gt;="&amp;DATE(2025,1,1),'Finance Tracker'!Z:Z,"&lt;="&amp;DATE(2025,12,31),'Finance Tracker'!F:F,"R-BESS")
+SUMIFS('Finance Tracker'!AD:AD,'Finance Tracker'!AE:AE,"&gt;="&amp;DATE(2025,1,1),'Finance Tracker'!AE:AE,"&lt;="&amp;DATE(2025,12,31),'Finance Tracker'!F:F,"R-BESS")
+SUMIFS('Finance Tracker'!AI:AI,'Finance Tracker'!AH:AH,"&gt;="&amp;DATE(2025,1,1),'Finance Tracker'!AH:AH,"&lt;="&amp;DATE(2025,12,31),'Finance Tracker'!F:F,"R-BESS")</f>
        <v>0</v>
      </c>
      <c r="X39" s="80">
        <f>SUMIFS('Finance Tracker'!O:O,'Finance Tracker'!N:N,"&gt;="&amp;DATE(2026,1,1),'Finance Tracker'!N:N,"&lt;="&amp;DATE(2026,12,31),'Finance Tracker'!F:F,"R-BESS")
+SUMIFS('Finance Tracker'!S:S,'Finance Tracker'!R:R,"&gt;="&amp;DATE(2026,1,1),'Finance Tracker'!R:R,"&lt;="&amp;DATE(2026,12,31),'Finance Tracker'!F:F,"R-BESS")
+SUMIFS('Finance Tracker'!W:W,'Finance Tracker'!V:V,"&gt;="&amp;DATE(2026,1,1),'Finance Tracker'!V:V,"&lt;="&amp;DATE(2026,12,31),'Finance Tracker'!F:F,"R-BESS")
+SUMIFS('Finance Tracker'!AA:AA,'Finance Tracker'!Z:Z,"&gt;="&amp;DATE(2026,1,1),'Finance Tracker'!Z:Z,"&lt;="&amp;DATE(2026,12,31),'Finance Tracker'!F:F,"R-BESS")
+SUMIFS('Finance Tracker'!AD:AD,'Finance Tracker'!AE:AE,"&gt;="&amp;DATE(2026,1,1),'Finance Tracker'!AE:AE,"&lt;="&amp;DATE(2026,12,31),'Finance Tracker'!F:F,"R-BESS")
+SUMIFS('Finance Tracker'!AI:AI,'Finance Tracker'!AH:AH,"&gt;="&amp;DATE(2026,1,1),'Finance Tracker'!AH:AH,"&lt;="&amp;DATE(2026,12,31),'Finance Tracker'!F:F,"R-BESS")</f>
        <v>0</v>
      </c>
      <c r="Z39" s="76">
        <f>COUNTIF(Table1[Category],"R-BESS")</f>
        <v>1</v>
      </c>
      <c r="AA39" s="76">
        <f>COUNTIFS(Table1[Category],"R-BESS",Table1[Closed Date],"&gt;="&amp;DATE(2023,1,1),Table1[Closed Date],"&lt;="&amp;DATE(2023,12,31))</f>
        <v>1</v>
      </c>
      <c r="AB39" s="76">
        <f>COUNTIFS(Table1[Category],"R-BESS",Table1[Closed Date],"&gt;="&amp;DATE(2024,1,1),Table1[Closed Date],"&lt;="&amp;DATE(2024,12,31))</f>
        <v>0</v>
      </c>
      <c r="AC39" s="76">
        <f>COUNTIFS(Table1[Category],"R-BESS",Table1[Closed Date],"&gt;="&amp;DATE(2025,1,1),Table1[Closed Date],"&lt;="&amp;DATE(2025,12,31))</f>
        <v>0</v>
      </c>
      <c r="AD39" s="76">
        <f>COUNTIFS(Table1[Category],"R-BESS",Table1[Closed Date],"&gt;="&amp;DATE(2026,1,1),Table1[Closed Date],"&lt;="&amp;DATE(2026,12,31))</f>
        <v>0</v>
      </c>
    </row>
    <row r="40" spans="1:30" s="20" customFormat="1" ht="25.5" customHeight="1" x14ac:dyDescent="0.3">
      <c r="A40" s="101" t="s">
        <v>11</v>
      </c>
      <c r="B40" s="99">
        <f>SUMIFS(Table1[BESS Capacity],Table1[Category],"C&amp;I-BESS")</f>
        <v>0</v>
      </c>
      <c r="C40" s="99">
        <f>SUMIFS(Table1[BESS Capacity],Table1[Category],"C&amp;I-BESS",Table1[Closed Date],"&gt;="&amp;DATE(2023,1,1),Table1[Closed Date],"&lt;="&amp;DATE(2023,12,31))</f>
        <v>0</v>
      </c>
      <c r="D40" s="99">
        <f>SUMIFS(Table1[BESS Capacity],Table1[Category],"C&amp;I-BESS",Table1[Closed Date],"&gt;="&amp;DATE(2024,1,1),Table1[Closed Date],"&lt;="&amp;DATE(2024,12,31))</f>
        <v>0</v>
      </c>
      <c r="E40" s="100">
        <f>SUMIFS(Table1[BESS Capacity],Table1[Category],"C&amp;I-BESS",Table1[Closed Date],"&gt;="&amp;DATE(2025,1,1),Table1[Closed Date],"&lt;="&amp;DATE(2025,12,31))</f>
        <v>0</v>
      </c>
      <c r="F40" s="100">
        <f>SUMIFS(Table1[BESS Capacity],Table1[Category],"C&amp;I-BESS",Table1[Closed Date],"&gt;="&amp;DATE(2026,1,1),Table1[Closed Date],"&lt;="&amp;DATE(2026,12,31))</f>
        <v>0</v>
      </c>
      <c r="G40" s="45"/>
      <c r="H40" s="79">
        <f>SUMIFS(Table1[Project Value (RM)],Table1[Category],"C&amp;I-BESS")</f>
        <v>0</v>
      </c>
      <c r="I40" s="80">
        <f>SUMIFS(Table1[Project Value (RM)],Table1[Category],"C&amp;I-BESS",Table1[Closed Date],"&gt;="&amp;DATE(2023,1,1),Table1[Closed Date],"&lt;="&amp;DATE(2023,12,31))</f>
        <v>0</v>
      </c>
      <c r="J40" s="80">
        <f>SUMIFS(Table1[Project Value (RM)],Table1[Category],"C&amp;I-BESS",Table1[Closed Date],"&gt;="&amp;DATE(2024,1,1),Table1[Closed Date],"&lt;="&amp;DATE(2024,12,31))</f>
        <v>0</v>
      </c>
      <c r="K40" s="81">
        <f>SUMIFS(Table1[Project Value (RM)],Table1[Category],"C&amp;I-BESS",Table1[Closed Date],"&gt;="&amp;DATE(2025,1,1),Table1[Closed Date],"&lt;="&amp;DATE(2025,12,31))</f>
        <v>0</v>
      </c>
      <c r="L40" s="81">
        <f>SUMIFS(Table1[Project Value (RM)],Table1[Category],"C&amp;I-BESS",Table1[Closed Date],"&gt;="&amp;DATE(2026,1,1),Table1[Closed Date],"&lt;="&amp;DATE(2026,12,31))</f>
        <v>0</v>
      </c>
      <c r="M40" s="102"/>
      <c r="N40" s="103">
        <f t="shared" si="0"/>
        <v>0</v>
      </c>
      <c r="O40" s="80">
        <f>SUMIFS('Finance Tracker'!M:M,'Finance Tracker'!L:L,"&gt;="&amp;DATE(2023,1,1),'Finance Tracker'!L:L,"&lt;="&amp;DATE(2023,12,31),'Finance Tracker'!F:F,"C&amp;I-BESS")
+SUMIFS('Finance Tracker'!Q:Q,'Finance Tracker'!P:P,"&gt;="&amp;DATE(2023,1,1),'Finance Tracker'!P:P,"&lt;="&amp;DATE(2023,12,31),'Finance Tracker'!F:F,"C&amp;I-BESS")
+SUMIFS('Finance Tracker'!U:U,'Finance Tracker'!T:T,"&gt;="&amp;DATE(2023,1,1),'Finance Tracker'!T:T,"&lt;="&amp;DATE(2023,12,31),'Finance Tracker'!F:F,"C&amp;I-BESS")
+SUMIFS('Finance Tracker'!Y:Y,'Finance Tracker'!X:X,"&gt;="&amp;DATE(2023,1,1),'Finance Tracker'!X:X,"&lt;="&amp;DATE(2023,12,31),'Finance Tracker'!F:F,"C&amp;I-BESS")
+SUMIFS('Finance Tracker'!AC:AC,'Finance Tracker'!AB:AB,"&gt;="&amp;DATE(2023,1,1),'Finance Tracker'!AB:AB,"&lt;="&amp;DATE(2023,12,31),'Finance Tracker'!F:F,"C&amp;I-BESS")
+SUMIFS('Finance Tracker'!AG:AG,'Finance Tracker'!AF:AF,"&gt;="&amp;DATE(2023,1,1),'Finance Tracker'!AF:AF,"&lt;="&amp;DATE(2023,12,31),'Finance Tracker'!F:F,"C&amp;I-BESS")</f>
        <v>0</v>
      </c>
      <c r="P40" s="80">
        <f>SUMIFS('Finance Tracker'!M:M,'Finance Tracker'!L:L,"&gt;="&amp;DATE(2024,1,1),'Finance Tracker'!L:L,"&lt;="&amp;DATE(2024,12,31),'Finance Tracker'!F:F,"C&amp;I-BESS")
+SUMIFS('Finance Tracker'!Q:Q,'Finance Tracker'!P:P,"&gt;="&amp;DATE(2024,1,1),'Finance Tracker'!P:P,"&lt;="&amp;DATE(2024,12,31),'Finance Tracker'!F:F,"C&amp;I-BESS")
+SUMIFS('Finance Tracker'!U:U,'Finance Tracker'!T:T,"&gt;="&amp;DATE(2024,1,1),'Finance Tracker'!T:T,"&lt;="&amp;DATE(2024,12,31),'Finance Tracker'!F:F,"C&amp;I-BESS")
+SUMIFS('Finance Tracker'!Y:Y,'Finance Tracker'!X:X,"&gt;="&amp;DATE(2024,1,1),'Finance Tracker'!X:X,"&lt;="&amp;DATE(2024,12,31),'Finance Tracker'!F:F,"C&amp;I-BESS")
+SUMIFS('Finance Tracker'!AC:AC,'Finance Tracker'!AB:AB,"&gt;="&amp;DATE(2024,1,1),'Finance Tracker'!AB:AB,"&lt;="&amp;DATE(2024,12,31),'Finance Tracker'!F:F,"C&amp;I-BESS")
+SUMIFS('Finance Tracker'!AG:AG,'Finance Tracker'!AF:AF,"&gt;="&amp;DATE(2024,1,1),'Finance Tracker'!AF:AF,"&lt;="&amp;DATE(2024,12,31),'Finance Tracker'!F:F,"C&amp;I-BESS")</f>
        <v>0</v>
      </c>
      <c r="Q40" s="81">
        <f>SUMIFS('Finance Tracker'!M:M,'Finance Tracker'!L:L,"&gt;="&amp;DATE(2025,1,1),'Finance Tracker'!L:L,"&lt;="&amp;DATE(2025,12,31),'Finance Tracker'!F:F,"C&amp;I-BESS")
+SUMIFS('Finance Tracker'!Q:Q,'Finance Tracker'!P:P,"&gt;="&amp;DATE(2025,1,1),'Finance Tracker'!P:P,"&lt;="&amp;DATE(2025,12,31),'Finance Tracker'!F:F,"C&amp;I-BESS")
+SUMIFS('Finance Tracker'!U:U,'Finance Tracker'!T:T,"&gt;="&amp;DATE(2025,1,1),'Finance Tracker'!T:T,"&lt;="&amp;DATE(2025,12,31),'Finance Tracker'!F:F,"C&amp;I-BESS")
+SUMIFS('Finance Tracker'!Y:Y,'Finance Tracker'!X:X,"&gt;="&amp;DATE(2025,1,1),'Finance Tracker'!X:X,"&lt;="&amp;DATE(2025,12,31),'Finance Tracker'!F:F,"C&amp;I-BESS")
+SUMIFS('Finance Tracker'!AC:AC,'Finance Tracker'!AB:AB,"&gt;="&amp;DATE(2025,1,1),'Finance Tracker'!AB:AB,"&lt;="&amp;DATE(2025,12,31),'Finance Tracker'!F:F,"C&amp;I-BESS")
+SUMIFS('Finance Tracker'!AG:AG,'Finance Tracker'!AF:AF,"&gt;="&amp;DATE(2025,1,1),'Finance Tracker'!AF:AF,"&lt;="&amp;DATE(2025,12,31),'Finance Tracker'!F:F,"C&amp;I-BESS")</f>
        <v>0</v>
      </c>
      <c r="R40" s="81">
        <f>SUMIFS('Finance Tracker'!M:M,'Finance Tracker'!L:L,"&gt;="&amp;DATE(2026,1,1),'Finance Tracker'!L:L,"&lt;="&amp;DATE(2026,12,31),'Finance Tracker'!F:F,"C&amp;I-BESS")
+SUMIFS('Finance Tracker'!Q:Q,'Finance Tracker'!P:P,"&gt;="&amp;DATE(2026,1,1),'Finance Tracker'!P:P,"&lt;="&amp;DATE(2026,12,31),'Finance Tracker'!F:F,"C&amp;I-BESS")
+SUMIFS('Finance Tracker'!U:U,'Finance Tracker'!T:T,"&gt;="&amp;DATE(2026,1,1),'Finance Tracker'!T:T,"&lt;="&amp;DATE(2026,12,31),'Finance Tracker'!F:F,"C&amp;I-BESS")
+SUMIFS('Finance Tracker'!Y:Y,'Finance Tracker'!X:X,"&gt;="&amp;DATE(2026,1,1),'Finance Tracker'!X:X,"&lt;="&amp;DATE(2026,12,31),'Finance Tracker'!F:F,"C&amp;I-BESS")
+SUMIFS('Finance Tracker'!AC:AC,'Finance Tracker'!AB:AB,"&gt;="&amp;DATE(2026,1,1),'Finance Tracker'!AB:AB,"&lt;="&amp;DATE(2026,12,31),'Finance Tracker'!F:F,"C&amp;I-BESS")
+SUMIFS('Finance Tracker'!AG:AG,'Finance Tracker'!AF:AF,"&gt;="&amp;DATE(2026,1,1),'Finance Tracker'!AF:AF,"&lt;="&amp;DATE(2026,12,31),'Finance Tracker'!F:F,"C&amp;I-BESS")</f>
        <v>0</v>
      </c>
      <c r="S40" s="46"/>
      <c r="T40" s="79">
        <f t="shared" si="1"/>
        <v>0</v>
      </c>
      <c r="U40" s="80">
        <f>SUMIFS('Finance Tracker'!O:O,'Finance Tracker'!N:N,"&gt;="&amp;DATE(2023,1,1),'Finance Tracker'!N:N,"&lt;="&amp;DATE(2023,12,31),'Finance Tracker'!F:F,"C&amp;I-BESS")
+SUMIFS('Finance Tracker'!S:S,'Finance Tracker'!R:R,"&gt;="&amp;DATE(2023,1,1),'Finance Tracker'!R:R,"&lt;="&amp;DATE(2023,12,31),'Finance Tracker'!F:F,"C&amp;I-BESS")
+SUMIFS('Finance Tracker'!W:W,'Finance Tracker'!V:V,"&gt;="&amp;DATE(2023,1,1),'Finance Tracker'!V:V,"&lt;="&amp;DATE(2023,12,31),'Finance Tracker'!F:F,"C&amp;I-BESS")
+SUMIFS('Finance Tracker'!AA:AA,'Finance Tracker'!Z:Z,"&gt;="&amp;DATE(2023,1,1),'Finance Tracker'!Z:Z,"&lt;="&amp;DATE(2023,12,31),'Finance Tracker'!F:F,"C&amp;I-BESS")
+SUMIFS('Finance Tracker'!AD:AD,'Finance Tracker'!AE:AE,"&gt;="&amp;DATE(2023,1,1),'Finance Tracker'!AE:AE,"&lt;="&amp;DATE(2023,12,31),'Finance Tracker'!F:F,"C&amp;I-BESS")
+SUMIFS('Finance Tracker'!AI:AI,'Finance Tracker'!AH:AH,"&gt;="&amp;DATE(2023,1,1),'Finance Tracker'!AH:AH,"&lt;="&amp;DATE(2023,12,31),'Finance Tracker'!F:F,"C&amp;I-BESS")</f>
        <v>0</v>
      </c>
      <c r="V40" s="80">
        <f>SUMIFS('Finance Tracker'!O:O,'Finance Tracker'!N:N,"&gt;="&amp;DATE(2024,1,1),'Finance Tracker'!N:N,"&lt;="&amp;DATE(2024,12,31),'Finance Tracker'!F:F,"C&amp;I-BESS")
+SUMIFS('Finance Tracker'!S:S,'Finance Tracker'!R:R,"&gt;="&amp;DATE(2024,1,1),'Finance Tracker'!R:R,"&lt;="&amp;DATE(2024,12,31),'Finance Tracker'!F:F,"C&amp;I-BESS")
+SUMIFS('Finance Tracker'!W:W,'Finance Tracker'!V:V,"&gt;="&amp;DATE(2024,1,1),'Finance Tracker'!V:V,"&lt;="&amp;DATE(2024,12,31),'Finance Tracker'!F:F,"C&amp;I-BESS")
+SUMIFS('Finance Tracker'!AA:AA,'Finance Tracker'!Z:Z,"&gt;="&amp;DATE(2024,1,1),'Finance Tracker'!Z:Z,"&lt;="&amp;DATE(2024,12,31),'Finance Tracker'!F:F,"C&amp;I-BESS")
+SUMIFS('Finance Tracker'!AD:AD,'Finance Tracker'!AE:AE,"&gt;="&amp;DATE(2024,1,1),'Finance Tracker'!AE:AE,"&lt;="&amp;DATE(2024,12,31),'Finance Tracker'!F:F,"C&amp;I-BESS")
+SUMIFS('Finance Tracker'!AI:AI,'Finance Tracker'!AH:AH,"&gt;="&amp;DATE(2024,1,1),'Finance Tracker'!AH:AH,"&lt;="&amp;DATE(2024,12,31),'Finance Tracker'!F:F,"C&amp;I-BESS")</f>
        <v>0</v>
      </c>
      <c r="W40" s="80">
        <f>SUMIFS('Finance Tracker'!O:O,'Finance Tracker'!N:N,"&gt;="&amp;DATE(2025,1,1),'Finance Tracker'!N:N,"&lt;="&amp;DATE(2025,12,31),'Finance Tracker'!F:F,"C&amp;I-BESS")
+SUMIFS('Finance Tracker'!S:S,'Finance Tracker'!R:R,"&gt;="&amp;DATE(2025,1,1),'Finance Tracker'!R:R,"&lt;="&amp;DATE(2025,12,31),'Finance Tracker'!F:F,"C&amp;I-BESS")
+SUMIFS('Finance Tracker'!W:W,'Finance Tracker'!V:V,"&gt;="&amp;DATE(2025,1,1),'Finance Tracker'!V:V,"&lt;="&amp;DATE(2025,12,31),'Finance Tracker'!F:F,"C&amp;I-BESS")
+SUMIFS('Finance Tracker'!AA:AA,'Finance Tracker'!Z:Z,"&gt;="&amp;DATE(2025,1,1),'Finance Tracker'!Z:Z,"&lt;="&amp;DATE(2025,12,31),'Finance Tracker'!F:F,"C&amp;I-BESS")
+SUMIFS('Finance Tracker'!AD:AD,'Finance Tracker'!AE:AE,"&gt;="&amp;DATE(2025,1,1),'Finance Tracker'!AE:AE,"&lt;="&amp;DATE(2025,12,31),'Finance Tracker'!F:F,"C&amp;I-BESS")
+SUMIFS('Finance Tracker'!AI:AI,'Finance Tracker'!AH:AH,"&gt;="&amp;DATE(2025,1,1),'Finance Tracker'!AH:AH,"&lt;="&amp;DATE(2025,12,31),'Finance Tracker'!F:F,"C&amp;I-BESS")</f>
        <v>0</v>
      </c>
      <c r="X40" s="80">
        <f>SUMIFS('Finance Tracker'!O:O,'Finance Tracker'!N:N,"&gt;="&amp;DATE(2026,1,1),'Finance Tracker'!N:N,"&lt;="&amp;DATE(2026,12,31),'Finance Tracker'!F:F,"C&amp;I-BESS")
+SUMIFS('Finance Tracker'!S:S,'Finance Tracker'!R:R,"&gt;="&amp;DATE(2026,1,1),'Finance Tracker'!R:R,"&lt;="&amp;DATE(2026,12,31),'Finance Tracker'!F:F,"C&amp;I-BESS")
+SUMIFS('Finance Tracker'!W:W,'Finance Tracker'!V:V,"&gt;="&amp;DATE(2026,1,1),'Finance Tracker'!V:V,"&lt;="&amp;DATE(2026,12,31),'Finance Tracker'!F:F,"C&amp;I-BESS")
+SUMIFS('Finance Tracker'!AA:AA,'Finance Tracker'!Z:Z,"&gt;="&amp;DATE(2026,1,1),'Finance Tracker'!Z:Z,"&lt;="&amp;DATE(2026,12,31),'Finance Tracker'!F:F,"C&amp;I-BESS")
+SUMIFS('Finance Tracker'!AD:AD,'Finance Tracker'!AE:AE,"&gt;="&amp;DATE(2026,1,1),'Finance Tracker'!AE:AE,"&lt;="&amp;DATE(2026,12,31),'Finance Tracker'!F:F,"C&amp;I-BESS")
+SUMIFS('Finance Tracker'!AI:AI,'Finance Tracker'!AH:AH,"&gt;="&amp;DATE(2026,1,1),'Finance Tracker'!AH:AH,"&lt;="&amp;DATE(2026,12,31),'Finance Tracker'!F:F,"C&amp;I-BESS")</f>
        <v>0</v>
      </c>
      <c r="Z40" s="76">
        <f>COUNTIF(Table1[Category],"C&amp;I-BESS")</f>
        <v>0</v>
      </c>
      <c r="AA40" s="76">
        <f>COUNTIFS(Table1[Category],"C&amp;I-BESS",Table1[Closed Date],"&gt;="&amp;DATE(2023,1,1),Table1[Closed Date],"&lt;="&amp;DATE(2023,12,31))</f>
        <v>0</v>
      </c>
      <c r="AB40" s="76">
        <f>COUNTIFS(Table1[Category],"C&amp;I-BESS",Table1[Closed Date],"&gt;="&amp;DATE(2024,1,1),Table1[Closed Date],"&lt;="&amp;DATE(2024,12,31))</f>
        <v>0</v>
      </c>
      <c r="AC40" s="76">
        <f>COUNTIFS(Table1[Category],"C&amp;I-BESS",Table1[Closed Date],"&gt;="&amp;DATE(2025,1,1),Table1[Closed Date],"&lt;="&amp;DATE(2025,12,31))</f>
        <v>0</v>
      </c>
      <c r="AD40" s="76">
        <f>COUNTIFS(Table1[Scheme],"C&amp;I-BESS",Table1[Sales PIC],"&gt;="&amp;DATE(2026,1,1),Table1[Sales PIC],"&lt;="&amp;DATE(2026,12,31))</f>
        <v>0</v>
      </c>
    </row>
    <row r="41" spans="1:30" s="20" customFormat="1" ht="25.5" customHeight="1" x14ac:dyDescent="0.3">
      <c r="A41" s="101" t="s">
        <v>12</v>
      </c>
      <c r="B41" s="97">
        <f>SUMIFS(Table1[EV Charger Capacity],Table1[Category],"EV Charger")</f>
        <v>1786</v>
      </c>
      <c r="C41" s="97">
        <f>SUMIFS(Table1[EV Charger Capacity],Table1[Category],"EV Charger",Table1[Closed Date],"&gt;="&amp;DATE(2023,1,1),Table1[Closed Date],"&lt;="&amp;DATE(2023,12,31))</f>
        <v>100</v>
      </c>
      <c r="D41" s="97">
        <f>SUMIFS(Table1[EV Charger Capacity],Table1[Category],"EV Charger",Table1[Closed Date],"&gt;="&amp;DATE(2024,1,1),Table1[Closed Date],"&lt;="&amp;DATE(2024,12,31))</f>
        <v>789</v>
      </c>
      <c r="E41" s="98">
        <f>SUMIFS(Table1[EV Charger Capacity],Table1[Category],"EV Charger",Table1[Closed Date],"&gt;="&amp;DATE(2025,1,1),Table1[Closed Date],"&lt;="&amp;DATE(2025,12,31))</f>
        <v>897</v>
      </c>
      <c r="F41" s="98">
        <f>SUMIFS(Table1[EV Charger Capacity],Table1[Category],"EV Charger",Table1[Closed Date],"&gt;="&amp;DATE(2026,1,1),Table1[Closed Date],"&lt;="&amp;DATE(2026,12,31))</f>
        <v>0</v>
      </c>
      <c r="G41" s="45"/>
      <c r="H41" s="79">
        <f>SUMIFS(Table1[Project Value (RM)],Table1[Category],"EV Charger")</f>
        <v>1430963</v>
      </c>
      <c r="I41" s="80">
        <f>SUMIFS(Table1[Project Value (RM)],Table1[Category],"EV Charger",Table1[Closed Date],"&gt;="&amp;DATE(2023,1,1),Table1[Closed Date],"&lt;="&amp;DATE(2023,12,31))</f>
        <v>93380</v>
      </c>
      <c r="J41" s="80">
        <f>SUMIFS(Table1[Project Value (RM)],Table1[Category],"EV Charger",Table1[Closed Date],"&gt;="&amp;DATE(2024,1,1),Table1[Closed Date],"&lt;="&amp;DATE(2024,12,31))</f>
        <v>355363</v>
      </c>
      <c r="K41" s="81">
        <f>SUMIFS(Table1[Project Value (RM)],Table1[Category],"EV Charger",Table1[Closed Date],"&gt;="&amp;DATE(2025,1,1),Table1[Closed Date],"&lt;="&amp;DATE(2025,12,31))</f>
        <v>982220</v>
      </c>
      <c r="L41" s="81">
        <f>SUMIFS(Table1[Project Value (RM)],Table1[Category],"EV Charger",Table1[Closed Date],"&gt;="&amp;DATE(2026,1,1),Table1[Closed Date],"&lt;="&amp;DATE(2026,12,31))</f>
        <v>0</v>
      </c>
      <c r="M41" s="102"/>
      <c r="N41" s="103">
        <f t="shared" si="0"/>
        <v>957823</v>
      </c>
      <c r="O41" s="80">
        <f>SUMIFS('Finance Tracker'!M:M,'Finance Tracker'!L:L,"&gt;="&amp;DATE(2023,1,1),'Finance Tracker'!L:L,"&lt;="&amp;DATE(2023,12,31),'Finance Tracker'!F:F,"EV Charger")
+SUMIFS('Finance Tracker'!Q:Q,'Finance Tracker'!P:P,"&gt;="&amp;DATE(2023,1,1),'Finance Tracker'!P:P,"&lt;="&amp;DATE(2023,12,31),'Finance Tracker'!F:F,"EV Charger")
+SUMIFS('Finance Tracker'!U:U,'Finance Tracker'!T:T,"&gt;="&amp;DATE(2023,1,1),'Finance Tracker'!T:T,"&lt;="&amp;DATE(2023,12,31),'Finance Tracker'!F:F,"EV Charger")
+SUMIFS('Finance Tracker'!Y:Y,'Finance Tracker'!X:X,"&gt;="&amp;DATE(2023,1,1),'Finance Tracker'!X:X,"&lt;="&amp;DATE(2023,12,31),'Finance Tracker'!F:F,"EV Charger")
+SUMIFS('Finance Tracker'!AC:AC,'Finance Tracker'!AB:AB,"&gt;="&amp;DATE(2023,1,1),'Finance Tracker'!AB:AB,"&lt;="&amp;DATE(2023,12,31),'Finance Tracker'!F:F,"EV Charger")
+SUMIFS('Finance Tracker'!AG:AG,'Finance Tracker'!AF:AF,"&gt;="&amp;DATE(2023,1,1),'Finance Tracker'!AF:AF,"&lt;="&amp;DATE(2023,12,31),'Finance Tracker'!F:F,"EV Charger")</f>
        <v>46690</v>
      </c>
      <c r="P41" s="80">
        <f>SUMIFS('Finance Tracker'!M:M,'Finance Tracker'!L:L,"&gt;="&amp;DATE(2024,1,1),'Finance Tracker'!L:L,"&lt;="&amp;DATE(2024,12,31),'Finance Tracker'!F:F,"EV Charger")
+SUMIFS('Finance Tracker'!Q:Q,'Finance Tracker'!P:P,"&gt;="&amp;DATE(2024,1,1),'Finance Tracker'!P:P,"&lt;="&amp;DATE(2024,12,31),'Finance Tracker'!F:F,"EV Charger")
+SUMIFS('Finance Tracker'!U:U,'Finance Tracker'!T:T,"&gt;="&amp;DATE(2024,1,1),'Finance Tracker'!T:T,"&lt;="&amp;DATE(2024,12,31),'Finance Tracker'!F:F,"EV Charger")
+SUMIFS('Finance Tracker'!Y:Y,'Finance Tracker'!X:X,"&gt;="&amp;DATE(2024,1,1),'Finance Tracker'!X:X,"&lt;="&amp;DATE(2024,12,31),'Finance Tracker'!F:F,"EV Charger")
+SUMIFS('Finance Tracker'!AC:AC,'Finance Tracker'!AB:AB,"&gt;="&amp;DATE(2024,1,1),'Finance Tracker'!AB:AB,"&lt;="&amp;DATE(2024,12,31),'Finance Tracker'!F:F,"EV Charger")
+SUMIFS('Finance Tracker'!AG:AG,'Finance Tracker'!AF:AF,"&gt;="&amp;DATE(2024,1,1),'Finance Tracker'!AF:AF,"&lt;="&amp;DATE(2024,12,31),'Finance Tracker'!F:F,"EV Charger")</f>
        <v>342903</v>
      </c>
      <c r="Q41" s="81">
        <f>SUMIFS('Finance Tracker'!M:M,'Finance Tracker'!L:L,"&gt;="&amp;DATE(2025,1,1),'Finance Tracker'!L:L,"&lt;="&amp;DATE(2025,12,31),'Finance Tracker'!F:F,"EV Charger")
+SUMIFS('Finance Tracker'!Q:Q,'Finance Tracker'!P:P,"&gt;="&amp;DATE(2025,1,1),'Finance Tracker'!P:P,"&lt;="&amp;DATE(2025,12,31),'Finance Tracker'!F:F,"EV Charger")
+SUMIFS('Finance Tracker'!U:U,'Finance Tracker'!T:T,"&gt;="&amp;DATE(2025,1,1),'Finance Tracker'!T:T,"&lt;="&amp;DATE(2025,12,31),'Finance Tracker'!F:F,"EV Charger")
+SUMIFS('Finance Tracker'!Y:Y,'Finance Tracker'!X:X,"&gt;="&amp;DATE(2025,1,1),'Finance Tracker'!X:X,"&lt;="&amp;DATE(2025,12,31),'Finance Tracker'!F:F,"EV Charger")
+SUMIFS('Finance Tracker'!AC:AC,'Finance Tracker'!AB:AB,"&gt;="&amp;DATE(2025,1,1),'Finance Tracker'!AB:AB,"&lt;="&amp;DATE(2025,12,31),'Finance Tracker'!F:F,"EV Charger")
+SUMIFS('Finance Tracker'!AG:AG,'Finance Tracker'!AF:AF,"&gt;="&amp;DATE(2025,1,1),'Finance Tracker'!AF:AF,"&lt;="&amp;DATE(2025,12,31),'Finance Tracker'!F:F,"EV Charger")</f>
        <v>568230</v>
      </c>
      <c r="R41" s="81">
        <f>SUMIFS('Finance Tracker'!M:M,'Finance Tracker'!L:L,"&gt;="&amp;DATE(2026,1,1),'Finance Tracker'!L:L,"&lt;="&amp;DATE(2026,12,31),'Finance Tracker'!F:F,"EV Charger")
+SUMIFS('Finance Tracker'!Q:Q,'Finance Tracker'!P:P,"&gt;="&amp;DATE(2026,1,1),'Finance Tracker'!P:P,"&lt;="&amp;DATE(2026,12,31),'Finance Tracker'!F:F,"EV Charger")
+SUMIFS('Finance Tracker'!U:U,'Finance Tracker'!T:T,"&gt;="&amp;DATE(2026,1,1),'Finance Tracker'!T:T,"&lt;="&amp;DATE(2026,12,31),'Finance Tracker'!F:F,"EV Charger")
+SUMIFS('Finance Tracker'!Y:Y,'Finance Tracker'!X:X,"&gt;="&amp;DATE(2026,1,1),'Finance Tracker'!X:X,"&lt;="&amp;DATE(2026,12,31),'Finance Tracker'!F:F,"EV Charger")
+SUMIFS('Finance Tracker'!AC:AC,'Finance Tracker'!AB:AB,"&gt;="&amp;DATE(2026,1,1),'Finance Tracker'!AB:AB,"&lt;="&amp;DATE(2026,12,31),'Finance Tracker'!F:F,"EV Charger")
+SUMIFS('Finance Tracker'!AG:AG,'Finance Tracker'!AF:AF,"&gt;="&amp;DATE(2026,1,1),'Finance Tracker'!AF:AF,"&lt;="&amp;DATE(2026,12,31),'Finance Tracker'!F:F,"EV Charger")</f>
        <v>0</v>
      </c>
      <c r="S41" s="46"/>
      <c r="T41" s="79">
        <f t="shared" si="1"/>
        <v>735522.5</v>
      </c>
      <c r="U41" s="80">
        <f>SUMIFS('Finance Tracker'!O:O,'Finance Tracker'!N:N,"&gt;="&amp;DATE(2023,1,1),'Finance Tracker'!N:N,"&lt;="&amp;DATE(2023,12,31),'Finance Tracker'!F:F,"EV Charger")
+SUMIFS('Finance Tracker'!S:S,'Finance Tracker'!R:R,"&gt;="&amp;DATE(2023,1,1),'Finance Tracker'!R:R,"&lt;="&amp;DATE(2023,12,31),'Finance Tracker'!F:F,"EV Charger")
+SUMIFS('Finance Tracker'!W:W,'Finance Tracker'!V:V,"&gt;="&amp;DATE(2023,1,1),'Finance Tracker'!V:V,"&lt;="&amp;DATE(2023,12,31),'Finance Tracker'!F:F,"EV Charger")
+SUMIFS('Finance Tracker'!AA:AA,'Finance Tracker'!Z:Z,"&gt;="&amp;DATE(2023,1,1),'Finance Tracker'!Z:Z,"&lt;="&amp;DATE(2023,12,31),'Finance Tracker'!F:F,"EV Charger")
+SUMIFS('Finance Tracker'!AD:AD,'Finance Tracker'!AE:AE,"&gt;="&amp;DATE(2023,1,1),'Finance Tracker'!AE:AE,"&lt;="&amp;DATE(2023,12,31),'Finance Tracker'!F:F,"EV Charger")
+SUMIFS('Finance Tracker'!AI:AI,'Finance Tracker'!AH:AH,"&gt;="&amp;DATE(2023,1,1),'Finance Tracker'!AH:AH,"&lt;="&amp;DATE(2023,12,31),'Finance Tracker'!F:F,"EV Charger")</f>
        <v>46690</v>
      </c>
      <c r="V41" s="80">
        <f>SUMIFS('Finance Tracker'!O:O,'Finance Tracker'!N:N,"&gt;="&amp;DATE(2024,1,1),'Finance Tracker'!N:N,"&lt;="&amp;DATE(2024,12,31),'Finance Tracker'!F:F,"EV Charger")
+SUMIFS('Finance Tracker'!S:S,'Finance Tracker'!R:R,"&gt;="&amp;DATE(2024,1,1),'Finance Tracker'!R:R,"&lt;="&amp;DATE(2024,12,31),'Finance Tracker'!F:F,"EV Charger")
+SUMIFS('Finance Tracker'!W:W,'Finance Tracker'!V:V,"&gt;="&amp;DATE(2024,1,1),'Finance Tracker'!V:V,"&lt;="&amp;DATE(2024,12,31),'Finance Tracker'!F:F,"EV Charger")
+SUMIFS('Finance Tracker'!AA:AA,'Finance Tracker'!Z:Z,"&gt;="&amp;DATE(2024,1,1),'Finance Tracker'!Z:Z,"&lt;="&amp;DATE(2024,12,31),'Finance Tracker'!F:F,"EV Charger")
+SUMIFS('Finance Tracker'!AD:AD,'Finance Tracker'!AE:AE,"&gt;="&amp;DATE(2024,1,1),'Finance Tracker'!AE:AE,"&lt;="&amp;DATE(2024,12,31),'Finance Tracker'!F:F,"EV Charger")
+SUMIFS('Finance Tracker'!AI:AI,'Finance Tracker'!AH:AH,"&gt;="&amp;DATE(2024,1,1),'Finance Tracker'!AH:AH,"&lt;="&amp;DATE(2024,12,31),'Finance Tracker'!F:F,"EV Charger")</f>
        <v>321025</v>
      </c>
      <c r="W41" s="80">
        <f>SUMIFS('Finance Tracker'!O:O,'Finance Tracker'!N:N,"&gt;="&amp;DATE(2025,1,1),'Finance Tracker'!N:N,"&lt;="&amp;DATE(2025,12,31),'Finance Tracker'!F:F,"EV Charger")
+SUMIFS('Finance Tracker'!S:S,'Finance Tracker'!R:R,"&gt;="&amp;DATE(2025,1,1),'Finance Tracker'!R:R,"&lt;="&amp;DATE(2025,12,31),'Finance Tracker'!F:F,"EV Charger")
+SUMIFS('Finance Tracker'!W:W,'Finance Tracker'!V:V,"&gt;="&amp;DATE(2025,1,1),'Finance Tracker'!V:V,"&lt;="&amp;DATE(2025,12,31),'Finance Tracker'!F:F,"EV Charger")
+SUMIFS('Finance Tracker'!AA:AA,'Finance Tracker'!Z:Z,"&gt;="&amp;DATE(2025,1,1),'Finance Tracker'!Z:Z,"&lt;="&amp;DATE(2025,12,31),'Finance Tracker'!F:F,"EV Charger")
+SUMIFS('Finance Tracker'!AD:AD,'Finance Tracker'!AE:AE,"&gt;="&amp;DATE(2025,1,1),'Finance Tracker'!AE:AE,"&lt;="&amp;DATE(2025,12,31),'Finance Tracker'!F:F,"EV Charger")
+SUMIFS('Finance Tracker'!AI:AI,'Finance Tracker'!AH:AH,"&gt;="&amp;DATE(2025,1,1),'Finance Tracker'!AH:AH,"&lt;="&amp;DATE(2025,12,31),'Finance Tracker'!F:F,"EV Charger")</f>
        <v>367807.5</v>
      </c>
      <c r="X41" s="80">
        <f>SUMIFS('Finance Tracker'!O:O,'Finance Tracker'!N:N,"&gt;="&amp;DATE(2026,1,1),'Finance Tracker'!N:N,"&lt;="&amp;DATE(2026,12,31),'Finance Tracker'!F:F,"EV Charger")
+SUMIFS('Finance Tracker'!S:S,'Finance Tracker'!R:R,"&gt;="&amp;DATE(2026,1,1),'Finance Tracker'!R:R,"&lt;="&amp;DATE(2026,12,31),'Finance Tracker'!F:F,"EV Charger")
+SUMIFS('Finance Tracker'!W:W,'Finance Tracker'!V:V,"&gt;="&amp;DATE(2026,1,1),'Finance Tracker'!V:V,"&lt;="&amp;DATE(2026,12,31),'Finance Tracker'!F:F,"EV Charger")
+SUMIFS('Finance Tracker'!AA:AA,'Finance Tracker'!Z:Z,"&gt;="&amp;DATE(2026,1,1),'Finance Tracker'!Z:Z,"&lt;="&amp;DATE(2026,12,31),'Finance Tracker'!F:F,"EV Charger")
+SUMIFS('Finance Tracker'!AD:AD,'Finance Tracker'!AE:AE,"&gt;="&amp;DATE(2026,1,1),'Finance Tracker'!AE:AE,"&lt;="&amp;DATE(2026,12,31),'Finance Tracker'!F:F,"EV Charger")
+SUMIFS('Finance Tracker'!AI:AI,'Finance Tracker'!AH:AH,"&gt;="&amp;DATE(2026,1,1),'Finance Tracker'!AH:AH,"&lt;="&amp;DATE(2026,12,31),'Finance Tracker'!F:F,"EV Charger")</f>
        <v>0</v>
      </c>
      <c r="Z41" s="76">
        <f>COUNTIF(Table1[Category],"EV Charger")</f>
        <v>18</v>
      </c>
      <c r="AA41" s="76">
        <f>COUNTIFS(Table1[Category],"EV Charger",Table1[Closed Date],"&gt;="&amp;DATE(2023,1,1),Table1[Closed Date],"&lt;="&amp;DATE(2023,12,31))</f>
        <v>1</v>
      </c>
      <c r="AB41" s="76">
        <f>COUNTIFS(Table1[Category],"EV Charger",Table1[Closed Date],"&gt;="&amp;DATE(2024,1,1),Table1[Closed Date],"&lt;="&amp;DATE(2024,12,31))</f>
        <v>7</v>
      </c>
      <c r="AC41" s="76">
        <f>COUNTIFS(Table1[Category],"EV Charger",Table1[Closed Date],"&gt;="&amp;DATE(2025,1,1),Table1[Closed Date],"&lt;="&amp;DATE(2025,12,31))</f>
        <v>10</v>
      </c>
      <c r="AD41" s="76">
        <f>COUNTIFS(Table1[Category],"EV Charger",Table1[Closed Date],"&gt;="&amp;DATE(2026,1,1),Table1[Closed Date],"&lt;="&amp;DATE(2026,12,31))</f>
        <v>0</v>
      </c>
    </row>
    <row r="42" spans="1:30" s="20" customFormat="1" ht="25.5" customHeight="1" x14ac:dyDescent="0.3">
      <c r="A42" s="101" t="s">
        <v>7</v>
      </c>
      <c r="B42" s="86"/>
      <c r="C42" s="86"/>
      <c r="D42" s="76"/>
      <c r="E42" s="77"/>
      <c r="F42" s="77"/>
      <c r="G42" s="45"/>
      <c r="H42" s="79">
        <f>SUM(H37:H41)</f>
        <v>19651384.18</v>
      </c>
      <c r="I42" s="80">
        <f>SUM(I37:I41)</f>
        <v>2117905</v>
      </c>
      <c r="J42" s="80">
        <f>SUM(J37:J41)</f>
        <v>9658840.1999999993</v>
      </c>
      <c r="K42" s="81">
        <f>SUM(K37:K41)</f>
        <v>7874638.9800000004</v>
      </c>
      <c r="L42" s="81">
        <f>SUM(L37:L41)</f>
        <v>0</v>
      </c>
      <c r="M42" s="102"/>
      <c r="N42" s="103">
        <f>SUM(N37:N41)</f>
        <v>17426694.010000002</v>
      </c>
      <c r="O42" s="104">
        <f>SUM(O37:O41)</f>
        <v>1136750</v>
      </c>
      <c r="P42" s="104">
        <f>SUM(P37:P41)</f>
        <v>7171388.2000000002</v>
      </c>
      <c r="Q42" s="105">
        <f>SUM(Q37:Q41)</f>
        <v>9118555.8100000005</v>
      </c>
      <c r="R42" s="105">
        <f>SUM(R37:R41)</f>
        <v>0</v>
      </c>
      <c r="S42" s="106"/>
      <c r="T42" s="103">
        <f>SUM(T37:T41)</f>
        <v>15462551.510000002</v>
      </c>
      <c r="U42" s="104">
        <f>SUM(U37:U41)</f>
        <v>1059150</v>
      </c>
      <c r="V42" s="104">
        <f>SUM(V37:V41)</f>
        <v>6723226.2000000002</v>
      </c>
      <c r="W42" s="104">
        <f>SUM(W37:W41)</f>
        <v>7680175.3100000005</v>
      </c>
      <c r="X42" s="104">
        <f>SUM(X37:X41)</f>
        <v>0</v>
      </c>
      <c r="Z42" s="76">
        <f>SUM(Z37:Z41)</f>
        <v>365</v>
      </c>
      <c r="AA42" s="76">
        <f>SUM(AA37:AA41)</f>
        <v>28</v>
      </c>
      <c r="AB42" s="76">
        <f>SUM(AB37:AB41)</f>
        <v>168</v>
      </c>
      <c r="AC42" s="76">
        <f>SUM(AC37:AC41)</f>
        <v>169</v>
      </c>
      <c r="AD42" s="76">
        <f>SUM(AD37:AD41)</f>
        <v>0</v>
      </c>
    </row>
    <row r="43" spans="1:30" x14ac:dyDescent="0.3">
      <c r="B43" s="41"/>
    </row>
    <row r="44" spans="1:30" x14ac:dyDescent="0.3">
      <c r="B44" s="41"/>
    </row>
    <row r="45" spans="1:30" ht="23.4" x14ac:dyDescent="0.3">
      <c r="B45" s="254" t="s">
        <v>13</v>
      </c>
      <c r="C45" s="255"/>
      <c r="D45" s="255"/>
      <c r="E45" s="255"/>
      <c r="F45" s="256"/>
      <c r="G45" s="51"/>
      <c r="H45" s="254" t="s">
        <v>13</v>
      </c>
      <c r="I45" s="255"/>
      <c r="J45" s="255"/>
      <c r="K45" s="255"/>
      <c r="L45" s="255"/>
      <c r="M45" s="83"/>
      <c r="N45" s="254" t="s">
        <v>3</v>
      </c>
      <c r="O45" s="255"/>
      <c r="P45" s="255"/>
      <c r="Q45" s="255"/>
      <c r="R45" s="256"/>
      <c r="S45" s="51"/>
      <c r="T45" s="254" t="s">
        <v>3</v>
      </c>
      <c r="U45" s="255"/>
      <c r="V45" s="255"/>
      <c r="W45" s="255"/>
      <c r="X45" s="255"/>
    </row>
    <row r="46" spans="1:30" ht="23.4" x14ac:dyDescent="0.3">
      <c r="B46" s="254" t="s">
        <v>0</v>
      </c>
      <c r="C46" s="255"/>
      <c r="D46" s="255"/>
      <c r="E46" s="255"/>
      <c r="F46" s="256"/>
      <c r="G46" s="51"/>
      <c r="H46" s="254" t="s">
        <v>1</v>
      </c>
      <c r="I46" s="255"/>
      <c r="J46" s="255"/>
      <c r="K46" s="255"/>
      <c r="L46" s="256"/>
      <c r="M46" s="83"/>
      <c r="N46" s="254" t="s">
        <v>0</v>
      </c>
      <c r="O46" s="255"/>
      <c r="P46" s="255"/>
      <c r="Q46" s="255"/>
      <c r="R46" s="256"/>
      <c r="S46" s="51"/>
      <c r="T46" s="250" t="s">
        <v>1</v>
      </c>
      <c r="U46" s="251"/>
      <c r="V46" s="251"/>
      <c r="W46" s="251"/>
      <c r="X46" s="251"/>
    </row>
    <row r="47" spans="1:30" ht="21" x14ac:dyDescent="0.3">
      <c r="B47" s="73" t="s">
        <v>7</v>
      </c>
      <c r="C47" s="73">
        <v>2023</v>
      </c>
      <c r="D47" s="73">
        <v>2024</v>
      </c>
      <c r="E47" s="74">
        <v>2025</v>
      </c>
      <c r="F47" s="74">
        <v>2026</v>
      </c>
      <c r="G47" s="51"/>
      <c r="H47" s="73" t="s">
        <v>7</v>
      </c>
      <c r="I47" s="73">
        <v>2023</v>
      </c>
      <c r="J47" s="73">
        <v>2024</v>
      </c>
      <c r="K47" s="73">
        <v>2025</v>
      </c>
      <c r="L47" s="73">
        <v>2026</v>
      </c>
      <c r="M47" s="83"/>
      <c r="N47" s="75" t="s">
        <v>7</v>
      </c>
      <c r="O47" s="73">
        <v>2023</v>
      </c>
      <c r="P47" s="73">
        <v>2024</v>
      </c>
      <c r="Q47" s="74">
        <v>2025</v>
      </c>
      <c r="R47" s="74">
        <v>2026</v>
      </c>
      <c r="S47" s="51"/>
      <c r="T47" s="73" t="s">
        <v>7</v>
      </c>
      <c r="U47" s="73">
        <v>2023</v>
      </c>
      <c r="V47" s="73">
        <v>2024</v>
      </c>
      <c r="W47" s="73">
        <v>2025</v>
      </c>
      <c r="X47" s="73">
        <v>2026</v>
      </c>
    </row>
    <row r="48" spans="1:30" ht="25.5" customHeight="1" x14ac:dyDescent="0.35">
      <c r="A48" s="82" t="s">
        <v>14</v>
      </c>
      <c r="B48" s="95">
        <f>SUMIFS(Table1[PV System Capacity (kWp)],Table1[Scheme],"NEM",Table1[Category],"*R*")</f>
        <v>3417.3749999999941</v>
      </c>
      <c r="C48" s="95">
        <f>SUMIFS(Table1[PV System Capacity (kWp)],Table1[Scheme],"NEM",Table1[Category],"*R*",Table1[Closed Date],"&gt;="&amp;DATE(2023,1,1),Table1[Closed Date],"&lt;="&amp;DATE(2023,12,31))</f>
        <v>220.15000000000006</v>
      </c>
      <c r="D48" s="95">
        <f>SUMIFS(Table1[PV System Capacity (kWp)],Table1[Scheme],"NEM",Table1[Category],"*R*",Table1[Closed Date],"&gt;="&amp;DATE(2024,1,1),Table1[Closed Date],"&lt;="&amp;DATE(2024,12,31))</f>
        <v>1637.1649999999988</v>
      </c>
      <c r="E48" s="95">
        <f>SUMIFS(Table1[PV System Capacity (kWp)],Table1[Scheme],"NEM",Table1[Category],"*R*",Table1[Closed Date],"&gt;="&amp;DATE(2025,1,1),Table1[Closed Date],"&lt;="&amp;DATE(2025,12,31))</f>
        <v>1560.0600000000038</v>
      </c>
      <c r="F48" s="95">
        <f>SUMIFS(Table1[PV System Capacity (kWp)],Table1[Scheme],"NEM",Table1[Category],"*R*",Table1[Closed Date],"&gt;="&amp;DATE(2026,1,1),Table1[Closed Date],"&lt;="&amp;DATE(2026,12,31))</f>
        <v>0</v>
      </c>
      <c r="G48" s="145"/>
      <c r="H48" s="95">
        <f>SUMIFS(Table1[PV System Capacity (kWp)],Table1[Scheme],"NEM",Table1[Category],"*C&amp;I*")</f>
        <v>3286.6850000000004</v>
      </c>
      <c r="I48" s="95">
        <f>SUMIFS(Table1[PV System Capacity (kWp)],Table1[Scheme],"NEM",Table1[Category],"*C&amp;I*",Table1[Closed Date],"&gt;="&amp;DATE(2023,1,1),Table1[Closed Date],"&lt;="&amp;DATE(2023,12,31))</f>
        <v>428.69499999999999</v>
      </c>
      <c r="J48" s="95">
        <f>SUMIFS(Table1[PV System Capacity (kWp)],Table1[Scheme],"NEM",Table1[Category],"*C&amp;I*",Table1[Closed Date],"&gt;="&amp;DATE(2024,1,1),Table1[Closed Date],"&lt;="&amp;DATE(2024,12,31))</f>
        <v>1675.0000000000002</v>
      </c>
      <c r="K48" s="95">
        <f>SUMIFS(Table1[PV System Capacity (kWp)],Table1[Scheme],"NEM",Table1[Category],"*C&amp;I*",Table1[Closed Date],"&gt;="&amp;DATE(2025,1,1),Table1[Closed Date],"&lt;="&amp;DATE(2025,12,31))</f>
        <v>1182.99</v>
      </c>
      <c r="L48" s="95">
        <f>SUMIFS(Table1[PV System Capacity (kWp)],Table1[Scheme],"NEM",Table1[Category],"*C&amp;I*",Table1[Closed Date],"&gt;="&amp;DATE(2026,1,1),Table1[Closed Date],"&lt;="&amp;DATE(2026,12,31))</f>
        <v>0</v>
      </c>
      <c r="M48" s="83"/>
      <c r="N48" s="79">
        <f>SUMIFS(Table1[Project Value (RM)],Table1[Scheme],"NEM",Table1[Category],"*R*")</f>
        <v>9838567.5999999996</v>
      </c>
      <c r="O48" s="79">
        <f>SUMIFS(Table1[Project Value (RM)],Table1[Scheme],"NEM",Table1[Category],"*R*",Table1[Closed Date],"&gt;="&amp;DATE(2023,1,1),Table1[Closed Date],"&lt;="&amp;DATE(2023,12,31))</f>
        <v>751725</v>
      </c>
      <c r="P48" s="79">
        <f>SUMIFS(Table1[Project Value (RM)],Table1[Scheme],"NEM",Table1[Category],"*R*",Table1[Closed Date],"&gt;="&amp;DATE(2024,1,1),Table1[Closed Date],"&lt;="&amp;DATE(2024,12,31))</f>
        <v>5036797.2</v>
      </c>
      <c r="Q48" s="79">
        <f>SUMIFS(Table1[Project Value (RM)],Table1[Scheme],"NEM",Table1[Category],"*R*",Table1[Closed Date],"&gt;="&amp;DATE(2025,1,1),Table1[Closed Date],"&lt;="&amp;DATE(2025,12,31))</f>
        <v>4050045.4</v>
      </c>
      <c r="R48" s="79">
        <f>SUMIFS(Table1[Project Value (RM)],Table1[Scheme],"NEM",Table1[Category],"*R*",Table1[Closed Date],"&gt;="&amp;DATE(2026,1,1),Table1[Closed Date],"&lt;="&amp;DATE(2026,12,31))</f>
        <v>0</v>
      </c>
      <c r="S48" s="52"/>
      <c r="T48" s="79">
        <f>SUMIFS(Table1[Project Value (RM)],Table1[Scheme],"NEM",Table1[Category],"*C&amp;I*")</f>
        <v>6721700</v>
      </c>
      <c r="U48" s="79">
        <f>SUMIFS(Table1[Project Value (RM)],Table1[Scheme],"NEM",Table1[Category],"*C&amp;I*",Table1[Closed Date],"&gt;="&amp;DATE(2023,1,1),Table1[Closed Date],"&lt;="&amp;DATE(2023,12,31))</f>
        <v>521800</v>
      </c>
      <c r="V48" s="79">
        <f>SUMIFS(Table1[Project Value (RM)],Table1[Scheme],"NEM",Table1[Category],"*C&amp;I*",Table1[Closed Date],"&gt;="&amp;DATE(2024,1,1),Table1[Closed Date],"&lt;="&amp;DATE(2024,12,31))</f>
        <v>3866600</v>
      </c>
      <c r="W48" s="79">
        <f>SUMIFS(Table1[Project Value (RM)],Table1[Scheme],"NEM",Table1[Category],"*C&amp;I*",Table1[Closed Date],"&gt;="&amp;DATE(2025,1,1),Table1[Closed Date],"&lt;="&amp;DATE(2025,12,31))</f>
        <v>2333300</v>
      </c>
      <c r="X48" s="79">
        <f>SUMIFS(Table1[Project Value (RM)],Table1[Scheme],"NEM",Table1[Category],"*C&amp;I*",Table1[Closed Date],"&gt;="&amp;DATE(2026,1,1),Table1[Closed Date],"&lt;="&amp;DATE(2026,12,31))</f>
        <v>0</v>
      </c>
    </row>
    <row r="49" spans="1:24" ht="25.5" customHeight="1" x14ac:dyDescent="0.35">
      <c r="A49" s="82" t="s">
        <v>15</v>
      </c>
      <c r="B49" s="95">
        <f>SUMIFS(Table1[PV System Capacity (kWp)],Table1[Scheme],"SELCO",Table1[Category],"*R*")</f>
        <v>217.76999999999998</v>
      </c>
      <c r="C49" s="95">
        <f>SUMIFS(Table1[PV System Capacity (kWp)],Table1[Scheme],"SELCO",Table1[Category],"*R*",Table1[Closed Date],"&gt;="&amp;DATE(2023,1,1),Table1[Closed Date],"&lt;="&amp;DATE(2023,12,31))</f>
        <v>93.149999999999991</v>
      </c>
      <c r="D49" s="95">
        <f>SUMIFS(Table1[PV System Capacity (kWp)],Table1[Scheme],"SELCO",Table1[Category],"*R*",Table1[Closed Date],"&gt;="&amp;DATE(2024,1,1),Table1[Closed Date],"&lt;="&amp;DATE(2024,12,31))</f>
        <v>0</v>
      </c>
      <c r="E49" s="95">
        <f>SUMIFS(Table1[PV System Capacity (kWp)],Table1[Scheme],"SELCO",Table1[Category],"*R*",Table1[Closed Date],"&gt;="&amp;DATE(2025,1,1),Table1[Closed Date],"&lt;="&amp;DATE(2025,12,31))</f>
        <v>124.62000000000002</v>
      </c>
      <c r="F49" s="95">
        <f>SUMIFS(Table1[PV System Capacity (kWp)],Table1[Scheme],"SELCO",Table1[Category],"*R*",Table1[Closed Date],"&gt;="&amp;DATE(2026,1,1),Table1[Closed Date],"&lt;="&amp;DATE(2026,12,31))</f>
        <v>0</v>
      </c>
      <c r="G49" s="145"/>
      <c r="H49" s="95">
        <f>SUMIFS(Table1[PV System Capacity (kWp)],Table1[Scheme],"SELCO",Table1[Category],"*C&amp;I*")</f>
        <v>431.32500000000005</v>
      </c>
      <c r="I49" s="95">
        <f>SUMIFS(Table1[PV System Capacity (kWp)],Table1[Scheme],"SELCO",Table1[Category],"*C&amp;I*",Table1[Closed Date],"&gt;="&amp;DATE(2023,1,1),Table1[Closed Date],"&lt;="&amp;DATE(2023,12,31))</f>
        <v>0</v>
      </c>
      <c r="J49" s="95">
        <f>SUMIFS(Table1[PV System Capacity (kWp)],Table1[Scheme],"SELCO",Table1[Category],"*C&amp;I*",Table1[Closed Date],"&gt;="&amp;DATE(2024,1,1),Table1[Closed Date],"&lt;="&amp;DATE(2024,12,31))</f>
        <v>413.34500000000003</v>
      </c>
      <c r="K49" s="95">
        <f>SUMIFS(Table1[PV System Capacity (kWp)],Table1[Scheme],"SELCO",Table1[Category],"*C&amp;I*",Table1[Closed Date],"&gt;="&amp;DATE(2025,1,1),Table1[Closed Date],"&lt;="&amp;DATE(2025,12,31))</f>
        <v>17.98</v>
      </c>
      <c r="L49" s="95">
        <f>SUMIFS(Table1[PV System Capacity (kWp)],Table1[Scheme],"SELCO",Table1[Category],"*C&amp;I*",Table1[Closed Date],"&gt;="&amp;DATE(2026,1,1),Table1[Closed Date],"&lt;="&amp;DATE(2026,12,31))</f>
        <v>0</v>
      </c>
      <c r="M49" s="83"/>
      <c r="N49" s="79">
        <f>SUMIFS(Table1[Project Value (RM)],Table1[Scheme],"SELCO",Table1[Category],"*R*")</f>
        <v>1196300</v>
      </c>
      <c r="O49" s="79">
        <f>SUMIFS(Table1[Project Value (RM)],Table1[Scheme],"SELCO",Table1[Category],"*R*",Table1[Closed Date],"&gt;="&amp;DATE(2023,1,1),Table1[Closed Date],"&lt;="&amp;DATE(2023,12,31))</f>
        <v>751000</v>
      </c>
      <c r="P49" s="79">
        <f>SUMIFS(Table1[Project Value (RM)],Table1[Scheme],"SELCO",Table1[Category],"*R*",Table1[Closed Date],"&gt;="&amp;DATE(2024,1,1),Table1[Closed Date],"&lt;="&amp;DATE(2024,12,31))</f>
        <v>0</v>
      </c>
      <c r="Q49" s="79">
        <f>SUMIFS(Table1[Project Value (RM)],Table1[Scheme],"SELCO",Table1[Category],"*R*",Table1[Closed Date],"&gt;="&amp;DATE(2025,1,1),Table1[Closed Date],"&lt;="&amp;DATE(2025,12,31))</f>
        <v>445300</v>
      </c>
      <c r="R49" s="79">
        <f>SUMIFS(Table1[Project Value (RM)],Table1[Scheme],"SELCO",Table1[Category],"*R*",Table1[Closed Date],"&gt;="&amp;DATE(2026,1,1),Table1[Closed Date],"&lt;="&amp;DATE(2026,12,31))</f>
        <v>0</v>
      </c>
      <c r="S49" s="52"/>
      <c r="T49" s="79">
        <f>SUMIFS(Table1[Project Value (RM)],Table1[Scheme],"SELCO",Table1[Category],"*C&amp;I*")</f>
        <v>463853.58</v>
      </c>
      <c r="U49" s="79">
        <f>SUMIFS(Table1[Project Value (RM)],Table1[Scheme],"SELCO",Table1[Category],"*C&amp;I*",Table1[Closed Date],"&gt;="&amp;DATE(2023,1,1),Table1[Closed Date],"&lt;="&amp;DATE(2023,12,31))</f>
        <v>0</v>
      </c>
      <c r="V49" s="79">
        <f>SUMIFS(Table1[Project Value (RM)],Table1[Scheme],"SELCO",Table1[Category],"*C&amp;I*",Table1[Closed Date],"&gt;="&amp;DATE(2024,1,1),Table1[Closed Date],"&lt;="&amp;DATE(2024,12,31))</f>
        <v>400080</v>
      </c>
      <c r="W49" s="79">
        <f>SUMIFS(Table1[Project Value (RM)],Table1[Scheme],"SELCO",Table1[Category],"*C&amp;I*",Table1[Closed Date],"&gt;="&amp;DATE(2025,1,1),Table1[Closed Date],"&lt;="&amp;DATE(2025,12,31))</f>
        <v>63773.58</v>
      </c>
      <c r="X49" s="79">
        <f>SUMIFS(Table1[Project Value (RM)],Table1[Scheme],"SELCO",Table1[Category],"*C&amp;I*",Table1[Closed Date],"&gt;="&amp;DATE(2026,1,1),Table1[Closed Date],"&lt;="&amp;DATE(2026,12,31))</f>
        <v>0</v>
      </c>
    </row>
    <row r="50" spans="1:24" ht="25.5" customHeight="1" x14ac:dyDescent="0.35">
      <c r="A50" s="82" t="s">
        <v>16</v>
      </c>
      <c r="B50" s="95">
        <f>SUMIFS(Table1[PV System Capacity (kWp)],Table1[Scheme],"ATAP",Table1[Category],"*R*")</f>
        <v>0</v>
      </c>
      <c r="C50" s="95">
        <f>SUMIFS(Table1[PV System Capacity (kWp)],Table1[Scheme],"ATAP",Table1[Category],"*R*",Table1[Closed Date],"&gt;="&amp;DATE(2023,1,1),Table1[Closed Date],"&lt;="&amp;DATE(2023,12,31))</f>
        <v>0</v>
      </c>
      <c r="D50" s="95">
        <f>SUMIFS(Table1[PV System Capacity (kWp)],Table1[Scheme],"ATAP",Table1[Category],"*R*",Table1[Closed Date],"&gt;="&amp;DATE(2024,1,1),Table1[Closed Date],"&lt;="&amp;DATE(2024,12,31))</f>
        <v>0</v>
      </c>
      <c r="E50" s="95">
        <f>SUMIFS(Table1[PV System Capacity (kWp)],Table1[Scheme],"ATAP",Table1[Category],"*R*",Table1[Closed Date],"&gt;="&amp;DATE(2025,1,1),Table1[Closed Date],"&lt;="&amp;DATE(2025,12,31))</f>
        <v>0</v>
      </c>
      <c r="F50" s="95">
        <f>SUMIFS(Table1[PV System Capacity (kWp)],Table1[Scheme],"SATAP",Table1[Category],"*R*",Table1[Closed Date],"&gt;="&amp;DATE(2026,1,1),Table1[Closed Date],"&lt;="&amp;DATE(2026,12,31))</f>
        <v>0</v>
      </c>
      <c r="G50" s="50"/>
      <c r="H50" s="95">
        <f>SUMIFS(Table1[PV System Capacity (kWp)],Table1[Scheme],"ATAP",Table1[Category],"*C&amp;I*")</f>
        <v>0</v>
      </c>
      <c r="I50" s="95">
        <f>SUMIFS(Table1[PV System Capacity (kWp)],Table1[Scheme],"ATAP",Table1[Category],"*C&amp;I*",Table1[Closed Date],"&gt;="&amp;DATE(2023,1,1),Table1[Closed Date],"&lt;="&amp;DATE(2023,12,31))</f>
        <v>0</v>
      </c>
      <c r="J50" s="95">
        <f>SUMIFS(Table1[PV System Capacity (kWp)],Table1[Scheme],"ATAP",Table1[Category],"*C&amp;I*",Table1[Closed Date],"&gt;="&amp;DATE(2024,1,1),Table1[Closed Date],"&lt;="&amp;DATE(2024,12,31))</f>
        <v>0</v>
      </c>
      <c r="K50" s="95">
        <f>SUMIFS(Table1[PV System Capacity (kWp)],Table1[Scheme],"ATAP",Table1[Category],"*C&amp;I*",Table1[Closed Date],"&gt;="&amp;DATE(2025,1,1),Table1[Closed Date],"&lt;="&amp;DATE(2025,12,31))</f>
        <v>0</v>
      </c>
      <c r="L50" s="95">
        <f>SUMIFS(Table1[PV System Capacity (kWp)],Table1[Scheme],"ATAP",Table1[Category],"*C&amp;I*",Table1[Closed Date],"&gt;="&amp;DATE(2026,1,1),Table1[Closed Date],"&lt;="&amp;DATE(2026,12,31))</f>
        <v>0</v>
      </c>
      <c r="N50" s="79">
        <f>SUMIFS(Table1[Project Value (RM)],Table1[Scheme],"ATAP",Table1[Category],"*R*")</f>
        <v>0</v>
      </c>
      <c r="O50" s="79">
        <f>SUMIFS(Table1[Project Value (RM)],Table1[Scheme],"ATAP",Table1[Category],"*R*",Table1[Closed Date],"&gt;="&amp;DATE(2023,1,1),Table1[Closed Date],"&lt;="&amp;DATE(2023,12,31))</f>
        <v>0</v>
      </c>
      <c r="P50" s="79">
        <f>SUMIFS(Table1[Project Value (RM)],Table1[Scheme],"ATAP",Table1[Category],"*R*",Table1[Closed Date],"&gt;="&amp;DATE(2024,1,1),Table1[Closed Date],"&lt;="&amp;DATE(2024,12,31))</f>
        <v>0</v>
      </c>
      <c r="Q50" s="79">
        <f>SUMIFS(Table1[Project Value (RM)],Table1[Scheme],"ATAP",Table1[Category],"*R*",Table1[Closed Date],"&gt;="&amp;DATE(2025,1,1),Table1[Closed Date],"&lt;="&amp;DATE(2025,12,31))</f>
        <v>0</v>
      </c>
      <c r="R50" s="79">
        <f>SUMIFS(Table1[Project Value (RM)],Table1[Scheme],"ATAP",Table1[Category],"*R*",Table1[Closed Date],"&gt;="&amp;DATE(2026,1,1),Table1[Closed Date],"&lt;="&amp;DATE(2026,12,31))</f>
        <v>0</v>
      </c>
      <c r="S50" s="50"/>
      <c r="T50" s="79">
        <f>SUMIFS(Table1[Project Value (RM)],Table1[Scheme],"ATAP",Table1[Category],"*C&amp;I*")</f>
        <v>0</v>
      </c>
      <c r="U50" s="79">
        <f>SUMIFS(Table1[Project Value (RM)],Table1[Scheme],"ATAP",Table1[Category],"*C&amp;I*",Table1[Closed Date],"&gt;="&amp;DATE(2023,1,1),Table1[Closed Date],"&lt;="&amp;DATE(2023,12,31))</f>
        <v>0</v>
      </c>
      <c r="V50" s="79">
        <f>SUMIFS(Table1[Project Value (RM)],Table1[Scheme],"ATAP",Table1[Category],"*C&amp;I*",Table1[Closed Date],"&gt;="&amp;DATE(2024,1,1),Table1[Closed Date],"&lt;="&amp;DATE(2024,12,31))</f>
        <v>0</v>
      </c>
      <c r="W50" s="79">
        <f>SUMIFS(Table1[Project Value (RM)],Table1[Scheme],"TAP",Table1[Category],"*C&amp;I*",Table1[Closed Date],"&gt;="&amp;DATE(2025,1,1),Table1[Closed Date],"&lt;="&amp;DATE(2025,12,31))</f>
        <v>0</v>
      </c>
      <c r="X50" s="79">
        <f>SUMIFS(Table1[Project Value (RM)],Table1[Scheme],"ATAP",Table1[Category],"*C&amp;I*",Table1[Closed Date],"&gt;="&amp;DATE(2026,1,1),Table1[Closed Date],"&lt;="&amp;DATE(2026,12,31))</f>
        <v>0</v>
      </c>
    </row>
    <row r="51" spans="1:24" x14ac:dyDescent="0.3">
      <c r="B51" s="50"/>
      <c r="C51" s="50"/>
      <c r="D51" s="50"/>
      <c r="E51" s="50"/>
      <c r="F51" s="50"/>
      <c r="G51" s="50"/>
      <c r="H51" s="50"/>
      <c r="I51" s="50"/>
      <c r="J51" s="50"/>
      <c r="K51" s="50"/>
      <c r="L51" s="50"/>
    </row>
    <row r="52" spans="1:24" x14ac:dyDescent="0.3">
      <c r="B52" s="50"/>
      <c r="C52" s="50"/>
      <c r="D52" s="50"/>
      <c r="E52" s="50"/>
      <c r="F52" s="50"/>
      <c r="G52" s="50"/>
      <c r="H52" s="50"/>
      <c r="I52" s="50"/>
      <c r="J52" s="50"/>
      <c r="K52" s="50"/>
      <c r="L52" s="50"/>
    </row>
    <row r="53" spans="1:24" x14ac:dyDescent="0.3">
      <c r="B53" s="50"/>
      <c r="C53" s="50"/>
      <c r="D53" s="50"/>
      <c r="E53" s="50"/>
      <c r="F53" s="50"/>
      <c r="G53" s="50"/>
      <c r="H53" s="50"/>
      <c r="I53" s="50"/>
      <c r="J53" s="50"/>
      <c r="K53" s="50"/>
      <c r="L53" s="50"/>
    </row>
    <row r="54" spans="1:24" x14ac:dyDescent="0.3">
      <c r="B54" s="50"/>
      <c r="C54" s="50"/>
      <c r="D54" s="50"/>
      <c r="E54" s="50"/>
      <c r="F54" s="50"/>
      <c r="G54" s="50"/>
      <c r="H54" s="50"/>
      <c r="I54" s="50"/>
      <c r="J54" s="50"/>
      <c r="K54" s="50"/>
      <c r="L54" s="50"/>
    </row>
    <row r="55" spans="1:24" x14ac:dyDescent="0.3">
      <c r="B55" s="50"/>
      <c r="C55" s="50"/>
      <c r="D55" s="50"/>
      <c r="E55" s="50"/>
      <c r="F55" s="50"/>
      <c r="G55" s="50"/>
      <c r="H55" s="50"/>
      <c r="I55" s="50"/>
      <c r="J55" s="50"/>
      <c r="K55" s="50"/>
      <c r="L55" s="50"/>
    </row>
    <row r="56" spans="1:24" x14ac:dyDescent="0.3">
      <c r="B56" s="50"/>
      <c r="C56" s="50"/>
      <c r="D56" s="50"/>
      <c r="E56" s="50"/>
      <c r="F56" s="50"/>
      <c r="G56" s="50"/>
      <c r="H56" s="50"/>
      <c r="I56" s="50"/>
      <c r="J56" s="50"/>
      <c r="K56" s="50"/>
      <c r="L56" s="50"/>
    </row>
    <row r="57" spans="1:24" x14ac:dyDescent="0.3">
      <c r="B57" s="50"/>
      <c r="C57" s="50"/>
      <c r="D57" s="50"/>
      <c r="E57" s="50"/>
      <c r="F57" s="50"/>
      <c r="G57" s="50"/>
      <c r="H57" s="50"/>
      <c r="I57" s="50"/>
      <c r="J57" s="50"/>
      <c r="K57" s="50"/>
      <c r="L57" s="50"/>
    </row>
    <row r="58" spans="1:24" x14ac:dyDescent="0.3">
      <c r="B58" s="50"/>
      <c r="C58" s="50"/>
      <c r="D58" s="50"/>
      <c r="E58" s="50"/>
      <c r="F58" s="50"/>
      <c r="G58" s="50"/>
      <c r="H58" s="50"/>
      <c r="I58" s="50"/>
      <c r="J58" s="50"/>
      <c r="K58" s="50"/>
      <c r="L58" s="50"/>
    </row>
    <row r="59" spans="1:24" x14ac:dyDescent="0.3">
      <c r="B59" s="50"/>
      <c r="C59" s="50"/>
      <c r="D59" s="50"/>
      <c r="E59" s="50"/>
      <c r="F59" s="50"/>
      <c r="G59" s="50"/>
      <c r="H59" s="50"/>
      <c r="I59" s="50"/>
      <c r="J59" s="50"/>
      <c r="K59" s="50"/>
      <c r="L59" s="50"/>
    </row>
    <row r="60" spans="1:24" x14ac:dyDescent="0.3">
      <c r="B60" s="50"/>
      <c r="C60" s="50"/>
      <c r="D60" s="50"/>
      <c r="E60" s="50"/>
      <c r="F60" s="50"/>
      <c r="G60" s="50"/>
      <c r="H60" s="50"/>
      <c r="I60" s="50"/>
      <c r="J60" s="50"/>
      <c r="K60" s="50"/>
      <c r="L60" s="50"/>
    </row>
    <row r="61" spans="1:24" x14ac:dyDescent="0.3">
      <c r="B61" s="50"/>
      <c r="C61" s="50"/>
      <c r="D61" s="50"/>
      <c r="E61" s="50"/>
      <c r="F61" s="50"/>
      <c r="G61" s="50"/>
      <c r="H61" s="50"/>
      <c r="I61" s="50"/>
      <c r="J61" s="50"/>
      <c r="K61" s="50"/>
      <c r="L61" s="50"/>
    </row>
    <row r="62" spans="1:24" x14ac:dyDescent="0.3">
      <c r="B62" s="50"/>
      <c r="C62" s="50"/>
      <c r="D62" s="50"/>
      <c r="E62" s="50"/>
      <c r="F62" s="50"/>
      <c r="G62" s="50"/>
      <c r="H62" s="50"/>
      <c r="I62" s="50"/>
      <c r="J62" s="50"/>
      <c r="K62" s="50"/>
      <c r="L62" s="50"/>
    </row>
    <row r="63" spans="1:24" x14ac:dyDescent="0.3">
      <c r="B63" s="50"/>
      <c r="C63" s="50"/>
      <c r="D63" s="50"/>
      <c r="E63" s="50"/>
      <c r="F63" s="50"/>
      <c r="G63" s="50"/>
      <c r="H63" s="50"/>
      <c r="I63" s="50"/>
      <c r="J63" s="50"/>
      <c r="K63" s="50"/>
      <c r="L63" s="50"/>
    </row>
    <row r="64" spans="1:24" x14ac:dyDescent="0.3">
      <c r="B64" s="50"/>
      <c r="C64" s="50"/>
      <c r="D64" s="50"/>
      <c r="E64" s="50"/>
      <c r="F64" s="50"/>
      <c r="G64" s="50"/>
      <c r="H64" s="50"/>
      <c r="I64" s="50"/>
      <c r="J64" s="50"/>
      <c r="K64" s="50"/>
      <c r="L64" s="50"/>
    </row>
    <row r="65" spans="2:12" x14ac:dyDescent="0.3">
      <c r="B65" s="50"/>
      <c r="C65" s="50"/>
      <c r="D65" s="50"/>
      <c r="E65" s="50"/>
      <c r="F65" s="50"/>
      <c r="G65" s="50"/>
      <c r="H65" s="50"/>
      <c r="I65" s="50"/>
      <c r="J65" s="50"/>
      <c r="K65" s="50"/>
      <c r="L65" s="50"/>
    </row>
    <row r="66" spans="2:12" x14ac:dyDescent="0.3">
      <c r="B66" s="50"/>
      <c r="C66" s="50"/>
      <c r="D66" s="50"/>
      <c r="E66" s="50"/>
      <c r="F66" s="50"/>
      <c r="G66" s="50"/>
      <c r="H66" s="50"/>
      <c r="I66" s="50"/>
      <c r="J66" s="50"/>
      <c r="K66" s="50"/>
      <c r="L66" s="50"/>
    </row>
    <row r="67" spans="2:12" x14ac:dyDescent="0.3">
      <c r="B67" s="50"/>
      <c r="C67" s="50"/>
      <c r="D67" s="50"/>
      <c r="E67" s="50"/>
      <c r="F67" s="50"/>
      <c r="G67" s="50"/>
      <c r="H67" s="50"/>
      <c r="I67" s="50"/>
      <c r="J67" s="50"/>
      <c r="K67" s="50"/>
      <c r="L67" s="50"/>
    </row>
    <row r="68" spans="2:12" x14ac:dyDescent="0.3">
      <c r="B68" s="50"/>
      <c r="C68" s="50"/>
      <c r="D68" s="50"/>
      <c r="E68" s="50"/>
      <c r="F68" s="50"/>
      <c r="G68" s="50"/>
      <c r="H68" s="50"/>
      <c r="I68" s="50"/>
      <c r="J68" s="50"/>
      <c r="K68" s="50"/>
      <c r="L68" s="50"/>
    </row>
    <row r="69" spans="2:12" x14ac:dyDescent="0.3">
      <c r="B69" s="50"/>
      <c r="C69" s="50"/>
      <c r="D69" s="50"/>
      <c r="E69" s="50"/>
      <c r="F69" s="50"/>
      <c r="G69" s="50"/>
      <c r="H69" s="50"/>
      <c r="I69" s="50"/>
      <c r="J69" s="50"/>
      <c r="K69" s="50"/>
      <c r="L69" s="50"/>
    </row>
    <row r="70" spans="2:12" x14ac:dyDescent="0.3">
      <c r="B70" s="50"/>
      <c r="C70" s="50"/>
      <c r="D70" s="50"/>
      <c r="E70" s="50"/>
      <c r="F70" s="50"/>
      <c r="G70" s="50"/>
      <c r="H70" s="50"/>
      <c r="I70" s="50"/>
      <c r="J70" s="50"/>
      <c r="K70" s="50"/>
      <c r="L70" s="50"/>
    </row>
    <row r="71" spans="2:12" x14ac:dyDescent="0.3">
      <c r="B71" s="50"/>
      <c r="C71" s="50"/>
      <c r="D71" s="50"/>
      <c r="E71" s="50"/>
      <c r="F71" s="50"/>
      <c r="G71" s="50"/>
      <c r="H71" s="50"/>
      <c r="I71" s="50"/>
      <c r="J71" s="50"/>
      <c r="K71" s="50"/>
      <c r="L71" s="50"/>
    </row>
    <row r="72" spans="2:12" x14ac:dyDescent="0.3">
      <c r="B72" s="50"/>
      <c r="C72" s="50"/>
      <c r="D72" s="50"/>
      <c r="E72" s="50"/>
      <c r="F72" s="50"/>
      <c r="G72" s="50"/>
      <c r="H72" s="50"/>
      <c r="I72" s="50"/>
      <c r="J72" s="50"/>
      <c r="K72" s="50"/>
      <c r="L72" s="50"/>
    </row>
    <row r="73" spans="2:12" x14ac:dyDescent="0.3">
      <c r="B73" s="50"/>
      <c r="C73" s="50"/>
      <c r="D73" s="50"/>
      <c r="E73" s="50"/>
      <c r="F73" s="50"/>
      <c r="G73" s="50"/>
      <c r="H73" s="50"/>
      <c r="I73" s="50"/>
      <c r="J73" s="50"/>
      <c r="K73" s="50"/>
      <c r="L73" s="50"/>
    </row>
    <row r="74" spans="2:12" x14ac:dyDescent="0.3">
      <c r="B74" s="50"/>
      <c r="C74" s="50"/>
      <c r="D74" s="50"/>
      <c r="E74" s="50"/>
      <c r="F74" s="50"/>
      <c r="G74" s="50"/>
      <c r="H74" s="50"/>
      <c r="I74" s="50"/>
      <c r="J74" s="50"/>
      <c r="K74" s="50"/>
      <c r="L74" s="50"/>
    </row>
    <row r="75" spans="2:12" x14ac:dyDescent="0.3">
      <c r="B75" s="50"/>
      <c r="C75" s="50"/>
      <c r="D75" s="50"/>
      <c r="E75" s="50"/>
      <c r="F75" s="50"/>
      <c r="G75" s="50"/>
      <c r="H75" s="50"/>
      <c r="I75" s="50"/>
      <c r="J75" s="50"/>
      <c r="K75" s="50"/>
      <c r="L75" s="50"/>
    </row>
    <row r="76" spans="2:12" x14ac:dyDescent="0.3">
      <c r="B76" s="50"/>
      <c r="C76" s="50"/>
      <c r="D76" s="50"/>
      <c r="E76" s="50"/>
      <c r="F76" s="50"/>
      <c r="G76" s="50"/>
      <c r="H76" s="50"/>
      <c r="I76" s="50"/>
      <c r="J76" s="50"/>
      <c r="K76" s="50"/>
      <c r="L76" s="50"/>
    </row>
    <row r="77" spans="2:12" x14ac:dyDescent="0.3">
      <c r="B77" s="50"/>
      <c r="C77" s="50"/>
      <c r="D77" s="50"/>
      <c r="E77" s="50"/>
      <c r="F77" s="50"/>
      <c r="G77" s="50"/>
      <c r="H77" s="50"/>
      <c r="I77" s="50"/>
      <c r="J77" s="50"/>
      <c r="K77" s="50"/>
      <c r="L77" s="50"/>
    </row>
    <row r="78" spans="2:12" x14ac:dyDescent="0.3">
      <c r="B78" s="50"/>
      <c r="C78" s="50"/>
      <c r="D78" s="50"/>
      <c r="E78" s="50"/>
      <c r="F78" s="50"/>
      <c r="G78" s="50"/>
      <c r="H78" s="50"/>
      <c r="I78" s="50"/>
      <c r="J78" s="50"/>
      <c r="K78" s="50"/>
      <c r="L78" s="50"/>
    </row>
    <row r="79" spans="2:12" x14ac:dyDescent="0.3">
      <c r="B79" s="50"/>
      <c r="C79" s="50"/>
      <c r="D79" s="50"/>
      <c r="E79" s="50"/>
      <c r="F79" s="50"/>
      <c r="G79" s="50"/>
      <c r="H79" s="50"/>
      <c r="I79" s="50"/>
      <c r="J79" s="50"/>
      <c r="K79" s="50"/>
      <c r="L79" s="50"/>
    </row>
    <row r="80" spans="2:12" x14ac:dyDescent="0.3">
      <c r="B80" s="50"/>
      <c r="C80" s="50"/>
      <c r="D80" s="50"/>
      <c r="E80" s="50"/>
      <c r="F80" s="50"/>
      <c r="G80" s="50"/>
      <c r="H80" s="50"/>
      <c r="I80" s="50"/>
      <c r="J80" s="50"/>
      <c r="K80" s="50"/>
      <c r="L80" s="50"/>
    </row>
    <row r="81" spans="1:24" ht="23.4" x14ac:dyDescent="0.3">
      <c r="B81" s="254" t="s">
        <v>13</v>
      </c>
      <c r="C81" s="255"/>
      <c r="D81" s="255"/>
      <c r="E81" s="255"/>
      <c r="F81" s="255"/>
      <c r="H81" s="254" t="s">
        <v>3</v>
      </c>
      <c r="I81" s="255"/>
      <c r="J81" s="255"/>
      <c r="K81" s="255"/>
      <c r="L81" s="255"/>
    </row>
    <row r="82" spans="1:24" ht="23.4" x14ac:dyDescent="0.3">
      <c r="B82" s="250" t="s">
        <v>7</v>
      </c>
      <c r="C82" s="251"/>
      <c r="D82" s="251"/>
      <c r="E82" s="251"/>
      <c r="F82" s="251"/>
      <c r="H82" s="250" t="s">
        <v>7</v>
      </c>
      <c r="I82" s="251"/>
      <c r="J82" s="251"/>
      <c r="K82" s="251"/>
      <c r="L82" s="251"/>
    </row>
    <row r="83" spans="1:24" ht="21" x14ac:dyDescent="0.3">
      <c r="B83" s="73" t="s">
        <v>7</v>
      </c>
      <c r="C83" s="73">
        <v>2023</v>
      </c>
      <c r="D83" s="73">
        <v>2024</v>
      </c>
      <c r="E83" s="73">
        <v>2025</v>
      </c>
      <c r="F83" s="73">
        <v>2026</v>
      </c>
      <c r="H83" s="73" t="s">
        <v>7</v>
      </c>
      <c r="I83" s="73">
        <v>2023</v>
      </c>
      <c r="J83" s="73">
        <v>2024</v>
      </c>
      <c r="K83" s="73">
        <v>2025</v>
      </c>
      <c r="L83" s="73">
        <v>2026</v>
      </c>
    </row>
    <row r="84" spans="1:24" ht="25.5" customHeight="1" x14ac:dyDescent="0.35">
      <c r="A84" s="82" t="s">
        <v>17</v>
      </c>
      <c r="B84" s="95">
        <f>SUMIF(Table1[Sales PIC],A84,Table1[PV System Capacity (kWp)])</f>
        <v>4469.9199999999983</v>
      </c>
      <c r="C84" s="95">
        <f>SUMIFS(Table1[PV System Capacity (kWp)],Table1[Sales PIC],A84,Table1[Closed Date],"&gt;="&amp;DATE(2023,1,1),Table1[Closed Date],"&lt;="&amp;DATE(2023,12,31))</f>
        <v>5.75</v>
      </c>
      <c r="D84" s="95">
        <f>SUMIFS(Table1[PV System Capacity (kWp)],Table1[Sales PIC],A84,Table1[Closed Date],"&gt;="&amp;DATE(2024,1,1),Table1[Closed Date],"&lt;="&amp;DATE(2024,12,31))</f>
        <v>2808.4199999999992</v>
      </c>
      <c r="E84" s="95">
        <f>SUMIFS(Table1[PV System Capacity (kWp)],Table1[Sales PIC],A84,Table1[Closed Date],"&gt;="&amp;DATE(2025,1,1),Table1[Closed Date],"&lt;="&amp;DATE(2025,12,31))</f>
        <v>1648.7300000000007</v>
      </c>
      <c r="F84" s="95" t="s">
        <v>18</v>
      </c>
      <c r="H84" s="80">
        <f>SUMIF(Table1[Sales PIC],A84,Table1[Project Value (RM)])</f>
        <v>11010153.199999999</v>
      </c>
      <c r="I84" s="80">
        <f>SUMIFS(Table1[Project Value (RM)],Table1[Sales PIC],A84,Table1[Closed Date],"&gt;="&amp;DATE(2023,1,1),Table1[Closed Date],"&lt;="&amp;DATE(2023,12,31))</f>
        <v>22000</v>
      </c>
      <c r="J84" s="80">
        <f>SUMIFS(Table1[Project Value (RM)],Table1[Sales PIC],A84,Table1[Closed Date],"&gt;="&amp;DATE(2024,1,1),Table1[Closed Date],"&lt;="&amp;DATE(2024,12,31))</f>
        <v>7289133.2000000002</v>
      </c>
      <c r="K84" s="80">
        <f>SUMIFS(Table1[Project Value (RM)],Table1[Sales PIC],A84,Table1[Closed Date],"&gt;="&amp;DATE(2025,1,1),Table1[Closed Date],"&lt;="&amp;DATE(2025,12,31))</f>
        <v>3673920</v>
      </c>
      <c r="L84" s="80" t="s">
        <v>18</v>
      </c>
    </row>
    <row r="85" spans="1:24" ht="25.5" customHeight="1" x14ac:dyDescent="0.35">
      <c r="A85" s="82" t="s">
        <v>19</v>
      </c>
      <c r="B85" s="95">
        <f>SUMIF(Table1[Sales PIC],A85,Table1[PV System Capacity (kWp)])</f>
        <v>686.55500000000018</v>
      </c>
      <c r="C85" s="95">
        <f>SUMIFS(Table1[PV System Capacity (kWp)],Table1[Sales PIC],A85,Table1[Closed Date],"&gt;="&amp;DATE(2023,1,1),Table1[Closed Date],"&lt;="&amp;DATE(2023,12,31))</f>
        <v>128.85</v>
      </c>
      <c r="D85" s="95">
        <f>SUMIFS(Table1[PV System Capacity (kWp)],Table1[Sales PIC],A85,Table1[Closed Date],"&gt;="&amp;DATE(2024,1,1),Table1[Closed Date],"&lt;="&amp;DATE(2024,12,31))</f>
        <v>333.78499999999997</v>
      </c>
      <c r="E85" s="95">
        <f>SUMIFS(Table1[PV System Capacity (kWp)],Table1[Sales PIC],A85,Table1[Closed Date],"&gt;="&amp;DATE(2025,1,1),Table1[Closed Date],"&lt;="&amp;DATE(2025,12,31))</f>
        <v>223.92000000000002</v>
      </c>
      <c r="F85" s="95">
        <f>SUMIFS(Table1[PV System Capacity (kWp)],Table1[Sales PIC],A85,Table1[Closed Date],"&gt;="&amp;DATE(2026,1,1),Table1[Closed Date],"&lt;="&amp;DATE(2026,12,31))</f>
        <v>0</v>
      </c>
      <c r="H85" s="80">
        <f>SUMIF(Table1[Sales PIC],A85,Table1[Project Value (RM)])</f>
        <v>2335898</v>
      </c>
      <c r="I85" s="80">
        <f>SUMIFS(Table1[Project Value (RM)],Table1[Sales PIC],A85,Table1[Closed Date],"&gt;="&amp;DATE(2023,1,1),Table1[Closed Date],"&lt;="&amp;DATE(2023,12,31))</f>
        <v>461700</v>
      </c>
      <c r="J85" s="80">
        <f>SUMIFS(Table1[Project Value (RM)],Table1[Sales PIC],A85,Table1[Closed Date],"&gt;="&amp;DATE(2024,1,1),Table1[Closed Date],"&lt;="&amp;DATE(2024,12,31))</f>
        <v>1094898</v>
      </c>
      <c r="K85" s="80">
        <f>SUMIFS(Table1[Project Value (RM)],Table1[Sales PIC],A85,Table1[Closed Date],"&gt;="&amp;DATE(2025,1,1),Table1[Closed Date],"&lt;="&amp;DATE(2025,12,31))</f>
        <v>779300</v>
      </c>
      <c r="L85" s="80">
        <f>SUMIFS(Table1[Project Value (RM)],Table1[Sales PIC],A85,Table1[Closed Date],"&gt;="&amp;DATE(2026,1,1),Table1[Closed Date],"&lt;="&amp;DATE(2026,12,31))</f>
        <v>0</v>
      </c>
    </row>
    <row r="86" spans="1:24" ht="25.5" customHeight="1" x14ac:dyDescent="0.35">
      <c r="A86" s="82" t="s">
        <v>20</v>
      </c>
      <c r="B86" s="95">
        <f>SUMIF(Table1[Sales PIC],A86,Table1[PV System Capacity (kWp)])</f>
        <v>1185.0550000000003</v>
      </c>
      <c r="C86" s="95">
        <f>SUMIFS(Table1[PV System Capacity (kWp)],Table1[Sales PIC],A86,Table1[Closed Date],"&gt;="&amp;DATE(2023,1,1),Table1[Closed Date],"&lt;="&amp;DATE(2023,12,31))</f>
        <v>607.39499999999998</v>
      </c>
      <c r="D86" s="95">
        <f>SUMIFS(Table1[PV System Capacity (kWp)],Table1[Sales PIC],A86,Table1[Closed Date],"&gt;="&amp;DATE(2024,1,1),Table1[Closed Date],"&lt;="&amp;DATE(2024,12,31))</f>
        <v>429.69</v>
      </c>
      <c r="E86" s="95">
        <f>SUMIFS(Table1[PV System Capacity (kWp)],Table1[Sales PIC],A86,Table1[Closed Date],"&gt;="&amp;DATE(2025,1,1),Table1[Closed Date],"&lt;="&amp;DATE(2025,12,31))</f>
        <v>147.97</v>
      </c>
      <c r="F86" s="95">
        <f>SUMIFS(Table1[PV System Capacity (kWp)],Table1[Sales PIC],A86,Table1[Closed Date],"&gt;="&amp;DATE(2026,1,1),Table1[Closed Date],"&lt;="&amp;DATE(2026,12,31))</f>
        <v>0</v>
      </c>
      <c r="H86" s="80">
        <f>SUMIF(Table1[Sales PIC],A86,Table1[Project Value (RM)])</f>
        <v>3516528</v>
      </c>
      <c r="I86" s="80">
        <f>SUMIFS(Table1[Project Value (RM)],Table1[Sales PIC],A86,Table1[Closed Date],"&gt;="&amp;DATE(2023,1,1),Table1[Closed Date],"&lt;="&amp;DATE(2023,12,31))</f>
        <v>1634205</v>
      </c>
      <c r="J86" s="80">
        <f>SUMIFS(Table1[Project Value (RM)],Table1[Sales PIC],A86,Table1[Closed Date],"&gt;="&amp;DATE(2024,1,1),Table1[Closed Date],"&lt;="&amp;DATE(2024,12,31))</f>
        <v>783603</v>
      </c>
      <c r="K86" s="80">
        <f>SUMIFS(Table1[Project Value (RM)],Table1[Sales PIC],A86,Table1[Closed Date],"&gt;="&amp;DATE(2025,1,1),Table1[Closed Date],"&lt;="&amp;DATE(2025,12,31))</f>
        <v>1098720</v>
      </c>
      <c r="L86" s="80">
        <f>SUMIFS(Table1[Project Value (RM)],Table1[Sales PIC],A86,Table1[Closed Date],"&gt;="&amp;DATE(2026,1,1),Table1[Closed Date],"&lt;="&amp;DATE(2026,12,31))</f>
        <v>0</v>
      </c>
    </row>
    <row r="87" spans="1:24" ht="25.5" customHeight="1" x14ac:dyDescent="0.35">
      <c r="A87" s="82" t="s">
        <v>21</v>
      </c>
      <c r="B87" s="95">
        <f>SUMIF(Table1[Sales PIC],A87,Table1[PV System Capacity (kWp)])</f>
        <v>71.53</v>
      </c>
      <c r="C87" s="95">
        <f>SUMIFS(Table1[PV System Capacity (kWp)],Table1[Sales PIC],A87,Table1[Closed Date],"&gt;="&amp;DATE(2023,1,1),Table1[Closed Date],"&lt;="&amp;DATE(2023,12,31))</f>
        <v>0</v>
      </c>
      <c r="D87" s="95">
        <f>SUMIFS(Table1[PV System Capacity (kWp)],Table1[Sales PIC],A87,Table1[Closed Date],"&gt;="&amp;DATE(2024,1,1),Table1[Closed Date],"&lt;="&amp;DATE(2024,12,31))</f>
        <v>13.8</v>
      </c>
      <c r="E87" s="95">
        <f>SUMIFS(Table1[PV System Capacity (kWp)],Table1[Sales PIC],A87,Table1[Closed Date],"&gt;="&amp;DATE(2025,1,1),Table1[Closed Date],"&lt;="&amp;DATE(2025,12,31))</f>
        <v>57.73</v>
      </c>
      <c r="F87" s="95">
        <f>SUMIFS(Table1[PV System Capacity (kWp)],Table1[Sales PIC],A87,Table1[Closed Date],"&gt;="&amp;DATE(2026,1,1),Table1[Closed Date],"&lt;="&amp;DATE(2026,12,31))</f>
        <v>0</v>
      </c>
      <c r="H87" s="80">
        <f>SUMIF(Table1[Sales PIC],A87,Table1[Project Value (RM)])</f>
        <v>273958</v>
      </c>
      <c r="I87" s="80">
        <f>SUMIFS(Table1[Project Value (RM)],Table1[Sales PIC],A87,Table1[Closed Date],"&gt;="&amp;DATE(2023,1,1),Table1[Closed Date],"&lt;="&amp;DATE(2023,12,31))</f>
        <v>0</v>
      </c>
      <c r="J87" s="80">
        <f>SUMIFS(Table1[Project Value (RM)],Table1[Sales PIC],A87,Table1[Closed Date],"&gt;="&amp;DATE(2024,1,1),Table1[Closed Date],"&lt;="&amp;DATE(2024,12,31))</f>
        <v>54930</v>
      </c>
      <c r="K87" s="80">
        <f>SUMIFS(Table1[Project Value (RM)],Table1[Sales PIC],A87,Table1[Closed Date],"&gt;="&amp;DATE(2025,1,1),Table1[Closed Date],"&lt;="&amp;DATE(2025,12,31))</f>
        <v>219028</v>
      </c>
      <c r="L87" s="80">
        <f>SUMIFS(Table1[Project Value (RM)],Table1[Sales PIC],A87,Table1[Closed Date],"&gt;="&amp;DATE(2026,1,1),Table1[Closed Date],"&lt;="&amp;DATE(2026,12,31))</f>
        <v>0</v>
      </c>
    </row>
    <row r="88" spans="1:24" ht="25.5" customHeight="1" x14ac:dyDescent="0.35">
      <c r="A88" s="82" t="s">
        <v>22</v>
      </c>
      <c r="B88" s="95">
        <f>SUMIF(Table1[Sales PIC],A88,Table1[PV System Capacity (kWp)])</f>
        <v>934.88999999999976</v>
      </c>
      <c r="C88" s="95">
        <f>SUMIFS(Table1[PV System Capacity (kWp)],Table1[Sales PIC],A88,Table1[Closed Date],"&gt;="&amp;DATE(2023,1,1),Table1[Closed Date],"&lt;="&amp;DATE(2023,12,31))</f>
        <v>0</v>
      </c>
      <c r="D88" s="95">
        <f>SUMIFS(Table1[PV System Capacity (kWp)],Table1[Sales PIC],A88,Table1[Closed Date],"&gt;="&amp;DATE(2024,1,1),Table1[Closed Date],"&lt;="&amp;DATE(2024,12,31))</f>
        <v>120.50999999999999</v>
      </c>
      <c r="E88" s="95">
        <f>SUMIFS(Table1[PV System Capacity (kWp)],Table1[Sales PIC],A88,Table1[Closed Date],"&gt;="&amp;DATE(2025,1,1),Table1[Closed Date],"&lt;="&amp;DATE(2025,12,31))</f>
        <v>807.29999999999973</v>
      </c>
      <c r="F88" s="95">
        <f>SUMIFS(Table1[PV System Capacity (kWp)],Table1[Sales PIC],A88,Table1[Closed Date],"&gt;="&amp;DATE(2026,1,1),Table1[Closed Date],"&lt;="&amp;DATE(2026,12,31))</f>
        <v>0</v>
      </c>
      <c r="H88" s="80">
        <f>SUMIF(Table1[Sales PIC],A88,Table1[Project Value (RM)])</f>
        <v>2493346.98</v>
      </c>
      <c r="I88" s="80">
        <f>SUMIFS(Table1[Project Value (RM)],Table1[Sales PIC],A88,Table1[Closed Date],"&gt;="&amp;DATE(2023,1,1),Table1[Closed Date],"&lt;="&amp;DATE(2023,12,31))</f>
        <v>0</v>
      </c>
      <c r="J88" s="80">
        <f>SUMIFS(Table1[Project Value (RM)],Table1[Sales PIC],A88,Table1[Closed Date],"&gt;="&amp;DATE(2024,1,1),Table1[Closed Date],"&lt;="&amp;DATE(2024,12,31))</f>
        <v>368176</v>
      </c>
      <c r="K88" s="80">
        <f>SUMIFS(Table1[Project Value (RM)],Table1[Sales PIC],A88,Table1[Closed Date],"&gt;="&amp;DATE(2025,1,1),Table1[Closed Date],"&lt;="&amp;DATE(2025,12,31))</f>
        <v>2103670.98</v>
      </c>
      <c r="L88" s="80">
        <f>SUMIFS(Table1[Project Value (RM)],Table1[Sales PIC],A88,Table1[Closed Date],"&gt;="&amp;DATE(2026,1,1),Table1[Closed Date],"&lt;="&amp;DATE(2026,12,31))</f>
        <v>0</v>
      </c>
    </row>
    <row r="89" spans="1:24" ht="25.5" customHeight="1" x14ac:dyDescent="0.35">
      <c r="A89" s="82" t="s">
        <v>23</v>
      </c>
      <c r="B89" s="95">
        <f>SUMIF(Table1[Sales PIC],A89,Table1[PV System Capacity (kWp)])</f>
        <v>0</v>
      </c>
      <c r="C89" s="95">
        <f>SUMIFS(Table1[PV System Capacity (kWp)],Table1[Sales PIC],A89,Table1[Closed Date],"&gt;="&amp;DATE(2023,1,1),Table1[Closed Date],"&lt;="&amp;DATE(2023,12,31))</f>
        <v>0</v>
      </c>
      <c r="D89" s="95">
        <f>SUMIFS(Table1[PV System Capacity (kWp)],Table1[Sales PIC],A89,Table1[Closed Date],"&gt;="&amp;DATE(2024,1,1),Table1[Closed Date],"&lt;="&amp;DATE(2024,12,31))</f>
        <v>0</v>
      </c>
      <c r="E89" s="95">
        <f>SUMIFS(Table1[PV System Capacity (kWp)],Table1[Sales PIC],A89,Table1[Closed Date],"&gt;="&amp;DATE(2025,1,1),Table1[Closed Date],"&lt;="&amp;DATE(2025,12,31))</f>
        <v>0</v>
      </c>
      <c r="F89" s="95">
        <f>SUMIFS(Table1[PV System Capacity (kWp)],Table1[Sales PIC],A89,Table1[Closed Date],"&gt;="&amp;DATE(2026,1,1),Table1[Closed Date],"&lt;="&amp;DATE(2026,12,31))</f>
        <v>0</v>
      </c>
      <c r="H89" s="80">
        <f>SUMIF(Table1[Sales PIC],A89,Table1[Project Value (RM)])</f>
        <v>0</v>
      </c>
      <c r="I89" s="80">
        <f>SUMIFS(Table1[Project Value (RM)],Table1[Sales PIC],A89,Table1[Closed Date],"&gt;="&amp;DATE(2023,1,1),Table1[Closed Date],"&lt;="&amp;DATE(2023,12,31))</f>
        <v>0</v>
      </c>
      <c r="J89" s="80">
        <f>SUMIFS(Table1[Project Value (RM)],Table1[Sales PIC],A89,Table1[Closed Date],"&gt;="&amp;DATE(2024,1,1),Table1[Closed Date],"&lt;="&amp;DATE(2024,12,31))</f>
        <v>0</v>
      </c>
      <c r="K89" s="80">
        <f>SUMIFS(Table1[Project Value (RM)],Table1[Sales PIC],A89,Table1[Closed Date],"&gt;="&amp;DATE(2025,1,1),Table1[Closed Date],"&lt;="&amp;DATE(2025,12,31))</f>
        <v>0</v>
      </c>
      <c r="L89" s="80">
        <f>SUMIFS(Table1[Project Value (RM)],Table1[Sales PIC],A89,Table1[Closed Date],"&gt;="&amp;DATE(2026,1,1),Table1[Closed Date],"&lt;="&amp;DATE(2026,12,31))</f>
        <v>0</v>
      </c>
    </row>
    <row r="90" spans="1:24" ht="25.5" customHeight="1" x14ac:dyDescent="0.35">
      <c r="A90" s="82"/>
      <c r="B90" s="95">
        <f>SUMIF(Table1[Sales PIC],A90,Table1[PV System Capacity (kWp)])</f>
        <v>0</v>
      </c>
      <c r="C90" s="95">
        <f>SUMIFS(Table1[PV System Capacity (kWp)],Table1[Sales PIC],A90,Table1[Closed Date],"&gt;="&amp;DATE(2023,1,1),Table1[Closed Date],"&lt;="&amp;DATE(2023,12,31))</f>
        <v>0</v>
      </c>
      <c r="D90" s="95">
        <f>SUMIFS(Table1[PV System Capacity (kWp)],Table1[Sales PIC],A90,Table1[Closed Date],"&gt;="&amp;DATE(2024,1,1),Table1[Closed Date],"&lt;="&amp;DATE(2024,12,31))</f>
        <v>0</v>
      </c>
      <c r="E90" s="95">
        <f>SUMIFS(Table1[PV System Capacity (kWp)],Table1[Sales PIC],A90,Table1[Closed Date],"&gt;="&amp;DATE(2025,1,1),Table1[Closed Date],"&lt;="&amp;DATE(2025,12,31))</f>
        <v>0</v>
      </c>
      <c r="F90" s="95">
        <f>SUMIFS(Table1[PV System Capacity (kWp)],Table1[Sales PIC],A90,Table1[Closed Date],"&gt;="&amp;DATE(2026,1,1),Table1[Closed Date],"&lt;="&amp;DATE(2026,12,31))</f>
        <v>0</v>
      </c>
      <c r="H90" s="80">
        <f>SUMIF(Table1[Sales PIC],A90,Table1[Project Value (RM)])</f>
        <v>0</v>
      </c>
      <c r="I90" s="80">
        <f>SUMIFS(Table1[Project Value (RM)],Table1[Sales PIC],A90,Table1[Closed Date],"&gt;="&amp;DATE(2023,1,1),Table1[Closed Date],"&lt;="&amp;DATE(2023,12,31))</f>
        <v>0</v>
      </c>
      <c r="J90" s="80">
        <f>SUMIFS(Table1[Project Value (RM)],Table1[Sales PIC],A90,Table1[Closed Date],"&gt;="&amp;DATE(2024,1,1),Table1[Closed Date],"&lt;="&amp;DATE(2024,12,31))</f>
        <v>0</v>
      </c>
      <c r="K90" s="80">
        <f>SUMIFS(Table1[Project Value (RM)],Table1[Sales PIC],A90,Table1[Closed Date],"&gt;="&amp;DATE(2025,1,1),Table1[Closed Date],"&lt;="&amp;DATE(2025,12,31))</f>
        <v>0</v>
      </c>
      <c r="L90" s="80">
        <f>SUMIFS(Table1[Project Value (RM)],Table1[Sales PIC],A90,Table1[Closed Date],"&gt;="&amp;DATE(2026,1,1),Table1[Closed Date],"&lt;="&amp;DATE(2026,12,31))</f>
        <v>0</v>
      </c>
    </row>
    <row r="91" spans="1:24" ht="25.5" customHeight="1" x14ac:dyDescent="0.35">
      <c r="A91" s="82" t="s">
        <v>7</v>
      </c>
      <c r="B91" s="95">
        <f>SUM(B84:B90)</f>
        <v>7347.949999999998</v>
      </c>
      <c r="C91" s="95">
        <f t="shared" ref="C91:F91" si="2">SUM(C84:C90)</f>
        <v>741.995</v>
      </c>
      <c r="D91" s="95">
        <f t="shared" si="2"/>
        <v>3706.204999999999</v>
      </c>
      <c r="E91" s="95">
        <f t="shared" si="2"/>
        <v>2885.6500000000005</v>
      </c>
      <c r="F91" s="95">
        <f t="shared" si="2"/>
        <v>0</v>
      </c>
      <c r="H91" s="80">
        <f>SUM(H84:H90)</f>
        <v>19629884.18</v>
      </c>
      <c r="I91" s="80">
        <f t="shared" ref="I91:L91" si="3">SUM(I84:I90)</f>
        <v>2117905</v>
      </c>
      <c r="J91" s="80">
        <f t="shared" si="3"/>
        <v>9590740.1999999993</v>
      </c>
      <c r="K91" s="80">
        <f t="shared" si="3"/>
        <v>7874638.9800000004</v>
      </c>
      <c r="L91" s="80">
        <f t="shared" si="3"/>
        <v>0</v>
      </c>
    </row>
    <row r="92" spans="1:24" x14ac:dyDescent="0.3">
      <c r="B92" s="50"/>
      <c r="C92" s="50"/>
      <c r="D92" s="50"/>
      <c r="E92" s="50"/>
      <c r="F92" s="50"/>
      <c r="G92" s="50"/>
      <c r="H92" s="50"/>
      <c r="I92" s="50"/>
      <c r="J92" s="50"/>
      <c r="K92" s="50"/>
      <c r="L92" s="50"/>
    </row>
    <row r="93" spans="1:24" x14ac:dyDescent="0.3">
      <c r="B93" s="50"/>
      <c r="C93" s="50"/>
      <c r="D93" s="50"/>
      <c r="E93" s="50"/>
      <c r="F93" s="50"/>
      <c r="G93" s="50"/>
      <c r="H93" s="50"/>
      <c r="I93" s="50"/>
      <c r="J93" s="50"/>
      <c r="K93" s="50"/>
      <c r="L93" s="50"/>
    </row>
    <row r="94" spans="1:24" ht="23.4" x14ac:dyDescent="0.3">
      <c r="B94" s="254" t="s">
        <v>13</v>
      </c>
      <c r="C94" s="255"/>
      <c r="D94" s="255"/>
      <c r="E94" s="255"/>
      <c r="F94" s="256"/>
      <c r="G94" s="51"/>
      <c r="H94" s="254" t="s">
        <v>13</v>
      </c>
      <c r="I94" s="255"/>
      <c r="J94" s="255"/>
      <c r="K94" s="255"/>
      <c r="L94" s="256"/>
      <c r="M94" s="53"/>
      <c r="N94" s="254" t="s">
        <v>3</v>
      </c>
      <c r="O94" s="255"/>
      <c r="P94" s="255"/>
      <c r="Q94" s="255"/>
      <c r="R94" s="256"/>
      <c r="S94" s="51"/>
      <c r="T94" s="254" t="s">
        <v>3</v>
      </c>
      <c r="U94" s="255"/>
      <c r="V94" s="255"/>
      <c r="W94" s="255"/>
      <c r="X94" s="255"/>
    </row>
    <row r="95" spans="1:24" ht="23.4" x14ac:dyDescent="0.3">
      <c r="B95" s="250" t="s">
        <v>0</v>
      </c>
      <c r="C95" s="251"/>
      <c r="D95" s="251"/>
      <c r="E95" s="251"/>
      <c r="F95" s="252"/>
      <c r="G95" s="51"/>
      <c r="H95" s="250" t="s">
        <v>1</v>
      </c>
      <c r="I95" s="251"/>
      <c r="J95" s="251"/>
      <c r="K95" s="251"/>
      <c r="L95" s="252"/>
      <c r="M95" s="53"/>
      <c r="N95" s="250" t="s">
        <v>0</v>
      </c>
      <c r="O95" s="251"/>
      <c r="P95" s="251"/>
      <c r="Q95" s="251"/>
      <c r="R95" s="252"/>
      <c r="S95" s="51"/>
      <c r="T95" s="250" t="s">
        <v>1</v>
      </c>
      <c r="U95" s="251"/>
      <c r="V95" s="251"/>
      <c r="W95" s="251"/>
      <c r="X95" s="251"/>
    </row>
    <row r="96" spans="1:24" ht="21" x14ac:dyDescent="0.3">
      <c r="B96" s="73" t="s">
        <v>7</v>
      </c>
      <c r="C96" s="73">
        <v>2023</v>
      </c>
      <c r="D96" s="73">
        <v>2024</v>
      </c>
      <c r="E96" s="74">
        <v>2025</v>
      </c>
      <c r="F96" s="74">
        <v>2026</v>
      </c>
      <c r="G96" s="51"/>
      <c r="H96" s="73" t="s">
        <v>7</v>
      </c>
      <c r="I96" s="73">
        <v>2023</v>
      </c>
      <c r="J96" s="73">
        <v>2024</v>
      </c>
      <c r="K96" s="74">
        <v>2025</v>
      </c>
      <c r="L96" s="74">
        <v>2026</v>
      </c>
      <c r="M96" s="53"/>
      <c r="N96" s="75" t="s">
        <v>7</v>
      </c>
      <c r="O96" s="73">
        <v>2023</v>
      </c>
      <c r="P96" s="73">
        <v>2024</v>
      </c>
      <c r="Q96" s="74">
        <v>2025</v>
      </c>
      <c r="R96" s="74">
        <v>2026</v>
      </c>
      <c r="S96" s="51"/>
      <c r="T96" s="75" t="s">
        <v>7</v>
      </c>
      <c r="U96" s="73">
        <v>2023</v>
      </c>
      <c r="V96" s="73">
        <v>2024</v>
      </c>
      <c r="W96" s="73">
        <v>2025</v>
      </c>
      <c r="X96" s="73">
        <v>2026</v>
      </c>
    </row>
    <row r="97" spans="1:24" ht="24.75" customHeight="1" x14ac:dyDescent="0.35">
      <c r="A97" s="82" t="s">
        <v>17</v>
      </c>
      <c r="B97" s="95">
        <f>SUMIFS(Table1[PV System Capacity (kWp)],Table1[Sales PIC],A84,Table1[Category],"*R*")</f>
        <v>1805.1000000000001</v>
      </c>
      <c r="C97" s="95">
        <f>SUMIFS(Table1[PV System Capacity (kWp)],Table1[Sales PIC],A84,Table1[Category],"*R*",Table1[Closed Date],"&gt;="&amp;DATE(2023,1,1),Table1[Closed Date],"&lt;="&amp;DATE(2023,12,31))</f>
        <v>5.75</v>
      </c>
      <c r="D97" s="95">
        <f>SUMIFS(Table1[PV System Capacity (kWp)],Table1[Sales PIC],A84,Table1[Category],"*R*",Table1[Closed Date],"&gt;="&amp;DATE(2024,1,1),Table1[Closed Date],"&lt;="&amp;DATE(2024,12,31))</f>
        <v>1131.8499999999997</v>
      </c>
      <c r="E97" s="96">
        <f>SUMIFS(Table1[PV System Capacity (kWp)],Table1[Sales PIC],A84,Table1[Category],"*R*",Table1[Closed Date],"&gt;="&amp;DATE(2025,1,1),Table1[Closed Date],"&lt;="&amp;DATE(2025,12,31))</f>
        <v>667.50000000000023</v>
      </c>
      <c r="F97" s="96" t="s">
        <v>18</v>
      </c>
      <c r="G97" s="107"/>
      <c r="H97" s="95">
        <f>SUMIFS(Table1[PV System Capacity (kWp)],Table1[Sales PIC],A84,Table1[Category],"*C&amp;I*")</f>
        <v>2657.8</v>
      </c>
      <c r="I97" s="95">
        <f>SUMIFS(Table1[PV System Capacity (kWp)],Table1[Sales PIC],A84,Table1[Category],"*C&amp;I*",Table1[Closed Date],"&gt;="&amp;DATE(2023,1,1),Table1[Closed Date],"&lt;="&amp;DATE(2023,12,31))</f>
        <v>0</v>
      </c>
      <c r="J97" s="95">
        <f>SUMIFS(Table1[PV System Capacity (kWp)],Table1[Sales PIC],A84,Table1[Category],"*C&amp;I*",Table1[Closed Date],"&gt;="&amp;DATE(2024,1,1),Table1[Closed Date],"&lt;="&amp;DATE(2024,12,31))</f>
        <v>1676.5700000000004</v>
      </c>
      <c r="K97" s="96">
        <f>SUMIFS(Table1[PV System Capacity (kWp)],Table1[Sales PIC],A84,Table1[Category],"*C&amp;I*",Table1[Closed Date],"&gt;="&amp;DATE(2025,1,1),Table1[Closed Date],"&lt;="&amp;DATE(2025,12,31))</f>
        <v>981.23</v>
      </c>
      <c r="L97" s="96" t="s">
        <v>18</v>
      </c>
      <c r="M97" s="53"/>
      <c r="N97" s="79">
        <f>SUMIFS(Table1[Project Value (RM)],Table1[Sales PIC],A84,Table1[Category],"*R*")</f>
        <v>5183153.2</v>
      </c>
      <c r="O97" s="79">
        <f>SUMIFS(Table1[Project Value (RM)],Table1[Sales PIC],A84,Table1[Category],"*R*",Table1[Closed Date],"&gt;="&amp;DATE(2023,1,1),Table1[Closed Date],"&lt;="&amp;DATE(2023,12,31))</f>
        <v>22000</v>
      </c>
      <c r="P97" s="79">
        <f>SUMIFS(Table1[Project Value (RM)],Table1[Sales PIC],A84,Table1[Category],"*R*",Table1[Closed Date],"&gt;="&amp;DATE(2024,1,1),Table1[Closed Date],"&lt;="&amp;DATE(2024,12,31))</f>
        <v>3434533.2</v>
      </c>
      <c r="Q97" s="79">
        <f>SUMIFS(Table1[Project Value (RM)],Table1[Sales PIC],A84,Table1[Category],"*R*",Table1[Closed Date],"&gt;="&amp;DATE(2025,1,1),Table1[Closed Date],"&lt;="&amp;DATE(2025,12,31))</f>
        <v>1726620</v>
      </c>
      <c r="R97" s="79" t="s">
        <v>18</v>
      </c>
      <c r="S97" s="52"/>
      <c r="T97" s="79">
        <f>SUMIFS(Table1[Project Value (RM)],Table1[Sales PIC],A84,Table1[Category],"*C&amp;I*")</f>
        <v>5801900</v>
      </c>
      <c r="U97" s="79">
        <f>SUMIFS(Table1[Project Value (RM)],Table1[Sales PIC],A84,Table1[Category],"*C&amp;I*",Table1[Closed Date],"&gt;="&amp;DATE(2023,1,1),Table1[Closed Date],"&lt;="&amp;DATE(2023,12,31))</f>
        <v>0</v>
      </c>
      <c r="V97" s="79">
        <f>SUMIFS(Table1[Project Value (RM)],Table1[Sales PIC],A84,Table1[Category],"*C&amp;I*",Table1[Closed Date],"&gt;="&amp;DATE(2024,1,1),Table1[Closed Date],"&lt;="&amp;DATE(2024,12,31))</f>
        <v>3854600</v>
      </c>
      <c r="W97" s="79">
        <f>SUMIFS(Table1[Project Value (RM)],Table1[Sales PIC],A84,Table1[Category],"*C&amp;I*",Table1[Closed Date],"&gt;="&amp;DATE(2025,1,1),Table1[Closed Date],"&lt;="&amp;DATE(2025,12,31))</f>
        <v>1947300</v>
      </c>
      <c r="X97" s="79" t="s">
        <v>18</v>
      </c>
    </row>
    <row r="98" spans="1:24" ht="24.75" customHeight="1" x14ac:dyDescent="0.35">
      <c r="A98" s="82" t="s">
        <v>19</v>
      </c>
      <c r="B98" s="95">
        <f>SUMIFS(Table1[PV System Capacity (kWp)],Table1[Sales PIC],A85,Table1[Category],"*R*")</f>
        <v>622.84500000000014</v>
      </c>
      <c r="C98" s="95">
        <f>SUMIFS(Table1[PV System Capacity (kWp)],Table1[Sales PIC],A85,Table1[Category],"*R*",Table1[Closed Date],"&gt;="&amp;DATE(2023,1,1),Table1[Closed Date],"&lt;="&amp;DATE(2023,12,31))</f>
        <v>128.85</v>
      </c>
      <c r="D98" s="95">
        <f>SUMIFS(Table1[PV System Capacity (kWp)],Table1[Sales PIC],A85,Table1[Category],"*R*",Table1[Closed Date],"&gt;="&amp;DATE(2024,1,1),Table1[Closed Date],"&lt;="&amp;DATE(2024,12,31))</f>
        <v>310.78500000000003</v>
      </c>
      <c r="E98" s="96">
        <f>SUMIFS(Table1[PV System Capacity (kWp)],Table1[Sales PIC],A85,Table1[Category],"*R*",Table1[Closed Date],"&gt;="&amp;DATE(2025,1,1),Table1[Closed Date],"&lt;="&amp;DATE(2025,12,31))</f>
        <v>183.21</v>
      </c>
      <c r="F98" s="96">
        <f>SUMIFS(Table1[PV System Capacity (kWp)],Table1[Sales PIC],A85,Table1[Category],"*R*",Table1[Closed Date],"&gt;="&amp;DATE(2026,1,1),Table1[Closed Date],"&lt;="&amp;DATE(2026,12,31))</f>
        <v>0</v>
      </c>
      <c r="G98" s="107"/>
      <c r="H98" s="95">
        <f>SUMIFS(Table1[PV System Capacity (kWp)],Table1[Sales PIC],A85,Table1[Category],"*C&amp;I*")</f>
        <v>63.709999999999994</v>
      </c>
      <c r="I98" s="95">
        <f>SUMIFS(Table1[PV System Capacity (kWp)],Table1[Sales PIC],A85,Table1[Category],"*C&amp;I*",Table1[Closed Date],"&gt;="&amp;DATE(2023,1,1),Table1[Closed Date],"&lt;="&amp;DATE(2023,12,31))</f>
        <v>0</v>
      </c>
      <c r="J98" s="95">
        <f>SUMIFS(Table1[PV System Capacity (kWp)],Table1[Sales PIC],A85,Table1[Category],"*C&amp;I*",Table1[Closed Date],"&gt;="&amp;DATE(2024,1,1),Table1[Closed Date],"&lt;="&amp;DATE(2024,12,31))</f>
        <v>23</v>
      </c>
      <c r="K98" s="96">
        <f>SUMIFS(Table1[PV System Capacity (kWp)],Table1[Sales PIC],A85,Table1[Category],"*C&amp;I*",Table1[Closed Date],"&gt;="&amp;DATE(2025,1,1),Table1[Closed Date],"&lt;="&amp;DATE(2025,12,31))</f>
        <v>40.71</v>
      </c>
      <c r="L98" s="96">
        <f>SUMIFS(Table1[PV System Capacity (kWp)],Table1[Sales PIC],A85,Table1[Category],"*C&amp;I*",Table1[Closed Date],"&gt;="&amp;DATE(2026,1,1),Table1[Closed Date],"&lt;="&amp;DATE(2026,12,31))</f>
        <v>0</v>
      </c>
      <c r="M98" s="53"/>
      <c r="N98" s="79">
        <f>SUMIFS(Table1[Project Value (RM)],Table1[Sales PIC],A85,Table1[Category],"*R*")</f>
        <v>2164898</v>
      </c>
      <c r="O98" s="79">
        <f>SUMIFS(Table1[Project Value (RM)],Table1[Sales PIC],A85,Table1[Category],"*R*",Table1[Closed Date],"&gt;="&amp;DATE(2023,1,1),Table1[Closed Date],"&lt;="&amp;DATE(2023,12,31))</f>
        <v>461700</v>
      </c>
      <c r="P98" s="79">
        <f>SUMIFS(Table1[Project Value (RM)],Table1[Sales PIC],A85,Table1[Category],"*R*",Table1[Closed Date],"&gt;="&amp;DATE(2024,1,1),Table1[Closed Date],"&lt;="&amp;DATE(2024,12,31))</f>
        <v>1014898</v>
      </c>
      <c r="Q98" s="79">
        <f>SUMIFS(Table1[Project Value (RM)],Table1[Sales PIC],A85,Table1[Category],"*R*",Table1[Closed Date],"&gt;="&amp;DATE(2025,1,1),Table1[Closed Date],"&lt;="&amp;DATE(2025,12,31))</f>
        <v>688300</v>
      </c>
      <c r="R98" s="79">
        <f>SUMIFS(Table1[Project Value (RM)],Table1[Sales PIC],A85,Table1[Category],"*R*",Table1[Closed Date],"&gt;="&amp;DATE(2026,1,1),Table1[Closed Date],"&lt;="&amp;DATE(2026,12,31))</f>
        <v>0</v>
      </c>
      <c r="S98" s="52"/>
      <c r="T98" s="79">
        <f>SUMIFS(Table1[Project Value (RM)],Table1[Sales PIC],A85,Table1[Category],"*C&amp;I*")</f>
        <v>171000</v>
      </c>
      <c r="U98" s="79">
        <f>SUMIFS(Table1[Project Value (RM)],Table1[Sales PIC],A85,Table1[Category],"*C&amp;I*",Table1[Closed Date],"&gt;="&amp;DATE(2023,1,1),Table1[Closed Date],"&lt;="&amp;DATE(2023,12,31))</f>
        <v>0</v>
      </c>
      <c r="V98" s="79">
        <f>SUMIFS(Table1[Project Value (RM)],Table1[Sales PIC],A85,Table1[Category],"*C&amp;I*",Table1[Closed Date],"&gt;="&amp;DATE(2024,1,1),Table1[Closed Date],"&lt;="&amp;DATE(2024,12,31))</f>
        <v>80000</v>
      </c>
      <c r="W98" s="79">
        <f>SUMIFS(Table1[Project Value (RM)],Table1[Sales PIC],A85,Table1[Category],"*C&amp;I*",Table1[Closed Date],"&gt;="&amp;DATE(2025,1,1),Table1[Closed Date],"&lt;="&amp;DATE(2025,12,31))</f>
        <v>91000</v>
      </c>
      <c r="X98" s="79">
        <f>SUMIFS(Table1[Project Value (RM)],Table1[Sales PIC],A85,Table1[Category],"*C&amp;I*",Table1[Closed Date],"&gt;="&amp;DATE(2026,1,1),Table1[Closed Date],"&lt;="&amp;DATE(2026,12,31))</f>
        <v>0</v>
      </c>
    </row>
    <row r="99" spans="1:24" ht="24.75" customHeight="1" x14ac:dyDescent="0.35">
      <c r="A99" s="82" t="s">
        <v>20</v>
      </c>
      <c r="B99" s="95">
        <f>SUMIFS(Table1[PV System Capacity (kWp)],Table1[Sales PIC],A86,Table1[Category],"*R*")</f>
        <v>293.13499999999999</v>
      </c>
      <c r="C99" s="95">
        <f>SUMIFS(Table1[PV System Capacity (kWp)],Table1[Sales PIC],A86,Table1[Category],"*R*",Table1[Closed Date],"&gt;="&amp;DATE(2023,1,1),Table1[Closed Date],"&lt;="&amp;DATE(2023,12,31))</f>
        <v>178.7</v>
      </c>
      <c r="D99" s="95">
        <f>SUMIFS(Table1[PV System Capacity (kWp)],Table1[Sales PIC],A86,Table1[Category],"*R*",Table1[Closed Date],"&gt;="&amp;DATE(2024,1,1),Table1[Closed Date],"&lt;="&amp;DATE(2024,12,31))</f>
        <v>59.634999999999998</v>
      </c>
      <c r="E99" s="96">
        <f>SUMIFS(Table1[PV System Capacity (kWp)],Table1[Sales PIC],A86,Table1[Category],"*R*",Table1[Closed Date],"&gt;="&amp;DATE(2025,1,1),Table1[Closed Date],"&lt;="&amp;DATE(2025,12,31))</f>
        <v>54.8</v>
      </c>
      <c r="F99" s="96">
        <f>SUMIFS(Table1[PV System Capacity (kWp)],Table1[Sales PIC],A86,Table1[Category],"*R*",Table1[Closed Date],"&gt;="&amp;DATE(2026,1,1),Table1[Closed Date],"&lt;="&amp;DATE(2026,12,31))</f>
        <v>0</v>
      </c>
      <c r="G99" s="107"/>
      <c r="H99" s="95">
        <f>SUMIFS(Table1[PV System Capacity (kWp)],Table1[Sales PIC],A86,Table1[Category],"*C&amp;I*")</f>
        <v>891.92</v>
      </c>
      <c r="I99" s="95">
        <f>SUMIFS(Table1[PV System Capacity (kWp)],Table1[Sales PIC],A86,Table1[Category],"*C&amp;I*",Table1[Closed Date],"&gt;="&amp;DATE(2023,1,1),Table1[Closed Date],"&lt;="&amp;DATE(2023,12,31))</f>
        <v>428.69499999999999</v>
      </c>
      <c r="J99" s="95">
        <f>SUMIFS(Table1[PV System Capacity (kWp)],Table1[Sales PIC],A86,Table1[Category],"*C&amp;I*",Table1[Closed Date],"&gt;="&amp;DATE(2024,1,1),Table1[Closed Date],"&lt;="&amp;DATE(2024,12,31))</f>
        <v>370.05500000000001</v>
      </c>
      <c r="K99" s="96">
        <f>SUMIFS(Table1[PV System Capacity (kWp)],Table1[Sales PIC],A86,Table1[Category],"*C&amp;I*",Table1[Closed Date],"&gt;="&amp;DATE(2025,1,1),Table1[Closed Date],"&lt;="&amp;DATE(2025,12,31))</f>
        <v>93.17</v>
      </c>
      <c r="L99" s="96">
        <f>SUMIFS(Table1[PV System Capacity (kWp)],Table1[Sales PIC],A86,Table1[Category],"*C&amp;I*",Table1[Closed Date],"&gt;="&amp;DATE(2026,1,1),Table1[Closed Date],"&lt;="&amp;DATE(2026,12,31))</f>
        <v>0</v>
      </c>
      <c r="M99" s="53"/>
      <c r="N99" s="79">
        <f>SUMIFS(Table1[Project Value (RM)],Table1[Sales PIC],A86,Table1[Category],"*R*")</f>
        <v>2559648</v>
      </c>
      <c r="O99" s="79">
        <f>SUMIFS(Table1[Project Value (RM)],Table1[Sales PIC],A86,Table1[Category],"*R*",Table1[Closed Date],"&gt;="&amp;DATE(2023,1,1),Table1[Closed Date],"&lt;="&amp;DATE(2023,12,31))</f>
        <v>1112405</v>
      </c>
      <c r="P99" s="79">
        <f>SUMIFS(Table1[Project Value (RM)],Table1[Sales PIC],A86,Table1[Category],"*R*",Table1[Closed Date],"&gt;="&amp;DATE(2024,1,1),Table1[Closed Date],"&lt;="&amp;DATE(2024,12,31))</f>
        <v>503523</v>
      </c>
      <c r="Q99" s="79">
        <f>SUMIFS(Table1[Project Value (RM)],Table1[Sales PIC],A86,Table1[Category],"*R*",Table1[Closed Date],"&gt;="&amp;DATE(2025,1,1),Table1[Closed Date],"&lt;="&amp;DATE(2025,12,31))</f>
        <v>943720</v>
      </c>
      <c r="R99" s="79">
        <f>SUMIFS(Table1[Project Value (RM)],Table1[Sales PIC],A86,Table1[Category],"*R*",Table1[Closed Date],"&gt;="&amp;DATE(2026,1,1),Table1[Closed Date],"&lt;="&amp;DATE(2026,12,31))</f>
        <v>0</v>
      </c>
      <c r="S99" s="53"/>
      <c r="T99" s="79">
        <f>SUMIFS(Table1[Project Value (RM)],Table1[Sales PIC],A86,Table1[Category],"*C&amp;I*")</f>
        <v>956880</v>
      </c>
      <c r="U99" s="79">
        <f>SUMIFS(Table1[Project Value (RM)],Table1[Sales PIC],A86,Table1[Category],"*C&amp;I*",Table1[Closed Date],"&gt;="&amp;DATE(2023,1,1),Table1[Closed Date],"&lt;="&amp;DATE(2023,12,31))</f>
        <v>521800</v>
      </c>
      <c r="V99" s="79">
        <f>SUMIFS(Table1[Project Value (RM)],Table1[Sales PIC],A86,Table1[Category],"*C&amp;I*",Table1[Closed Date],"&gt;="&amp;DATE(2024,1,1),Table1[Closed Date],"&lt;="&amp;DATE(2024,12,31))</f>
        <v>280080</v>
      </c>
      <c r="W99" s="79">
        <f>SUMIFS(Table1[Project Value (RM)],Table1[Sales PIC],A86,Table1[Category],"*C&amp;I*",Table1[Closed Date],"&gt;="&amp;DATE(2025,1,1),Table1[Closed Date],"&lt;="&amp;DATE(2025,12,31))</f>
        <v>155000</v>
      </c>
      <c r="X99" s="79">
        <f>SUMIFS(Table1[Project Value (RM)],Table1[Sales PIC],A86,Table1[Category],"*C&amp;I*",Table1[Closed Date],"&gt;="&amp;DATE(2026,1,1),Table1[Closed Date],"&lt;="&amp;DATE(2026,12,31))</f>
        <v>0</v>
      </c>
    </row>
    <row r="100" spans="1:24" ht="24.75" customHeight="1" x14ac:dyDescent="0.35">
      <c r="A100" s="82" t="s">
        <v>21</v>
      </c>
      <c r="B100" s="95">
        <f>SUMIFS(Table1[PV System Capacity (kWp)],Table1[Sales PIC],A87,Table1[Category],"*R*")</f>
        <v>71.53</v>
      </c>
      <c r="C100" s="95">
        <f>SUMIFS(Table1[PV System Capacity (kWp)],Table1[Sales PIC],A87,Table1[Category],"*R*",Table1[Closed Date],"&gt;="&amp;DATE(2023,1,1),Table1[Closed Date],"&lt;="&amp;DATE(2023,12,31))</f>
        <v>0</v>
      </c>
      <c r="D100" s="95">
        <f>SUMIFS(Table1[PV System Capacity (kWp)],Table1[Sales PIC],A87,Table1[Category],"*R*",Table1[Closed Date],"&gt;="&amp;DATE(2024,1,1),Table1[Closed Date],"&lt;="&amp;DATE(2024,12,31))</f>
        <v>13.8</v>
      </c>
      <c r="E100" s="96">
        <f>SUMIFS(Table1[PV System Capacity (kWp)],Table1[Sales PIC],A87,Table1[Category],"*R*",Table1[Closed Date],"&gt;="&amp;DATE(2025,1,1),Table1[Closed Date],"&lt;="&amp;DATE(2025,12,31))</f>
        <v>57.73</v>
      </c>
      <c r="F100" s="96">
        <f>SUMIFS(Table1[PV System Capacity (kWp)],Table1[Sales PIC],A87,Table1[Category],"*R*",Table1[Closed Date],"&gt;="&amp;DATE(2026,1,1),Table1[Closed Date],"&lt;="&amp;DATE(2026,12,31))</f>
        <v>0</v>
      </c>
      <c r="G100" s="107"/>
      <c r="H100" s="95">
        <f>SUMIFS(Table1[PV System Capacity (kWp)],Table1[Sales PIC],A87,Table1[Category],"*C&amp;I*")</f>
        <v>0</v>
      </c>
      <c r="I100" s="95">
        <f>SUMIFS(Table1[PV System Capacity (kWp)],Table1[Sales PIC],A87,Table1[Category],"*C&amp;I*",Table1[Closed Date],"&gt;="&amp;DATE(2023,1,1),Table1[Closed Date],"&lt;="&amp;DATE(2023,12,31))</f>
        <v>0</v>
      </c>
      <c r="J100" s="95">
        <f>SUMIFS(Table1[PV System Capacity (kWp)],Table1[Sales PIC],A87,Table1[Category],"*C&amp;I*",Table1[Closed Date],"&gt;="&amp;DATE(2024,1,1),Table1[Closed Date],"&lt;="&amp;DATE(2024,12,31))</f>
        <v>0</v>
      </c>
      <c r="K100" s="96">
        <f>SUMIFS(Table1[PV System Capacity (kWp)],Table1[Sales PIC],A87,Table1[Category],"*C&amp;I*",Table1[Closed Date],"&gt;="&amp;DATE(2025,1,1),Table1[Closed Date],"&lt;="&amp;DATE(2025,12,31))</f>
        <v>0</v>
      </c>
      <c r="L100" s="96">
        <f>SUMIFS(Table1[PV System Capacity (kWp)],Table1[Sales PIC],A87,Table1[Category],"*C&amp;I*",Table1[Closed Date],"&gt;="&amp;DATE(2026,1,1),Table1[Closed Date],"&lt;="&amp;DATE(2026,12,31))</f>
        <v>0</v>
      </c>
      <c r="M100" s="53"/>
      <c r="N100" s="79">
        <f>SUMIFS(Table1[Project Value (RM)],Table1[Sales PIC],A87,Table1[Category],"*R*")</f>
        <v>273958</v>
      </c>
      <c r="O100" s="79">
        <f>SUMIFS(Table1[Project Value (RM)],Table1[Sales PIC],A87,Table1[Category],"*R*",Table1[Closed Date],"&gt;="&amp;DATE(2023,1,1),Table1[Closed Date],"&lt;="&amp;DATE(2023,12,31))</f>
        <v>0</v>
      </c>
      <c r="P100" s="79">
        <f>SUMIFS(Table1[Project Value (RM)],Table1[Sales PIC],A87,Table1[Category],"*R*",Table1[Closed Date],"&gt;="&amp;DATE(2024,1,1),Table1[Closed Date],"&lt;="&amp;DATE(2024,12,31))</f>
        <v>54930</v>
      </c>
      <c r="Q100" s="79">
        <f>SUMIFS(Table1[Project Value (RM)],Table1[Sales PIC],A87,Table1[Category],"*R*",Table1[Closed Date],"&gt;="&amp;DATE(2025,1,1),Table1[Closed Date],"&lt;="&amp;DATE(2025,12,31))</f>
        <v>219028</v>
      </c>
      <c r="R100" s="79">
        <f>SUMIFS(Table1[Project Value (RM)],Table1[Sales PIC],A87,Table1[Category],"*R*",Table1[Closed Date],"&gt;="&amp;DATE(2026,1,1),Table1[Closed Date],"&lt;="&amp;DATE(2026,12,31))</f>
        <v>0</v>
      </c>
      <c r="S100" s="53"/>
      <c r="T100" s="79">
        <f>SUMIFS(Table1[Project Value (RM)],Table1[Sales PIC],A87,Table1[Category],"*C&amp;I*")</f>
        <v>0</v>
      </c>
      <c r="U100" s="79">
        <f>SUMIFS(Table1[Project Value (RM)],Table1[Sales PIC],A87,Table1[Category],"*C&amp;I*",Table1[Closed Date],"&gt;="&amp;DATE(2023,1,1),Table1[Closed Date],"&lt;="&amp;DATE(2023,12,31))</f>
        <v>0</v>
      </c>
      <c r="V100" s="79">
        <f>SUMIFS(Table1[Project Value (RM)],Table1[Sales PIC],A87,Table1[Category],"*C&amp;I*",Table1[Closed Date],"&gt;="&amp;DATE(2024,1,1),Table1[Closed Date],"&lt;="&amp;DATE(2024,12,31))</f>
        <v>0</v>
      </c>
      <c r="W100" s="79">
        <f>SUMIFS(Table1[Project Value (RM)],Table1[Sales PIC],A87,Table1[Category],"*C&amp;I*",Table1[Closed Date],"&gt;="&amp;DATE(2025,1,1),Table1[Closed Date],"&lt;="&amp;DATE(2025,12,31))</f>
        <v>0</v>
      </c>
      <c r="X100" s="79">
        <f>SUMIFS(Table1[Project Value (RM)],Table1[Sales PIC],A87,Table1[Category],"*C&amp;I*",Table1[Closed Date],"&gt;="&amp;DATE(2026,1,1),Table1[Closed Date],"&lt;="&amp;DATE(2026,12,31))</f>
        <v>0</v>
      </c>
    </row>
    <row r="101" spans="1:24" ht="24.75" customHeight="1" x14ac:dyDescent="0.35">
      <c r="A101" s="82" t="s">
        <v>22</v>
      </c>
      <c r="B101" s="95">
        <f>SUMIFS(Table1[PV System Capacity (kWp)],Table1[Sales PIC],A88,Table1[Category],"*R*")</f>
        <v>823.22999999999968</v>
      </c>
      <c r="C101" s="95">
        <f>SUMIFS(Table1[PV System Capacity (kWp)],Table1[Sales PIC],A88,Table1[Category],"*R*",Table1[Closed Date],"&gt;="&amp;DATE(2023,1,1),Table1[Closed Date],"&lt;="&amp;DATE(2023,12,31))</f>
        <v>0</v>
      </c>
      <c r="D101" s="95">
        <f>SUMIFS(Table1[PV System Capacity (kWp)],Table1[Sales PIC],A88,Table1[Category],"*R*",Table1[Closed Date],"&gt;="&amp;DATE(2024,1,1),Table1[Closed Date],"&lt;="&amp;DATE(2024,12,31))</f>
        <v>101.78999999999999</v>
      </c>
      <c r="E101" s="96">
        <f>SUMIFS(Table1[PV System Capacity (kWp)],Table1[Sales PIC],A88,Table1[Category],"*R*",Table1[Closed Date],"&gt;="&amp;DATE(2025,1,1),Table1[Closed Date],"&lt;="&amp;DATE(2025,12,31))</f>
        <v>721.43999999999971</v>
      </c>
      <c r="F101" s="96">
        <f>SUMIFS(Table1[PV System Capacity (kWp)],Table1[Sales PIC],A88,Table1[Category],"*R*",Table1[Closed Date],"&gt;="&amp;DATE(2026,1,1),Table1[Closed Date],"&lt;="&amp;DATE(2026,12,31))</f>
        <v>0</v>
      </c>
      <c r="G101" s="107"/>
      <c r="H101" s="95">
        <f>SUMIFS(Table1[PV System Capacity (kWp)],Table1[Sales PIC],A88,Table1[Category],"*C&amp;I*")</f>
        <v>104.58</v>
      </c>
      <c r="I101" s="95">
        <f>SUMIFS(Table1[PV System Capacity (kWp)],Table1[Sales PIC],A88,Table1[Category],"*C&amp;I*",Table1[Closed Date],"&gt;="&amp;DATE(2023,1,1),Table1[Closed Date],"&lt;="&amp;DATE(2023,12,31))</f>
        <v>0</v>
      </c>
      <c r="J101" s="95">
        <f>SUMIFS(Table1[PV System Capacity (kWp)],Table1[Sales PIC],A88,Table1[Category],"*C&amp;I*",Table1[Closed Date],"&gt;="&amp;DATE(2024,1,1),Table1[Closed Date],"&lt;="&amp;DATE(2024,12,31))</f>
        <v>18.72</v>
      </c>
      <c r="K101" s="96">
        <f>SUMIFS(Table1[PV System Capacity (kWp)],Table1[Sales PIC],A88,Table1[Category],"*C&amp;I*",Table1[Closed Date],"&gt;="&amp;DATE(2025,1,1),Table1[Closed Date],"&lt;="&amp;DATE(2025,12,31))</f>
        <v>85.86</v>
      </c>
      <c r="L101" s="96">
        <f>SUMIFS(Table1[PV System Capacity (kWp)],Table1[Sales PIC],A88,Table1[Category],"*C&amp;I*",Table1[Closed Date],"&gt;="&amp;DATE(2026,1,1),Table1[Closed Date],"&lt;="&amp;DATE(2026,12,31))</f>
        <v>0</v>
      </c>
      <c r="M101" s="53"/>
      <c r="N101" s="79">
        <f>SUMIFS(Table1[Project Value (RM)],Table1[Sales PIC],A88,Table1[Category],"*R*")</f>
        <v>2216073.4</v>
      </c>
      <c r="O101" s="79">
        <f>SUMIFS(Table1[Project Value (RM)],Table1[Sales PIC],A88,Table1[Category],"*R*",Table1[Closed Date],"&gt;="&amp;DATE(2023,1,1),Table1[Closed Date],"&lt;="&amp;DATE(2023,12,31))</f>
        <v>0</v>
      </c>
      <c r="P101" s="79">
        <f>SUMIFS(Table1[Project Value (RM)],Table1[Sales PIC],A88,Table1[Category],"*R*",Table1[Closed Date],"&gt;="&amp;DATE(2024,1,1),Table1[Closed Date],"&lt;="&amp;DATE(2024,12,31))</f>
        <v>316176</v>
      </c>
      <c r="Q101" s="79">
        <f>SUMIFS(Table1[Project Value (RM)],Table1[Sales PIC],A88,Table1[Category],"*R*",Table1[Closed Date],"&gt;="&amp;DATE(2025,1,1),Table1[Closed Date],"&lt;="&amp;DATE(2025,12,31))</f>
        <v>1899897.4</v>
      </c>
      <c r="R101" s="79">
        <f>SUMIFS(Table1[Project Value (RM)],Table1[Sales PIC],A88,Table1[Category],"*R*",Table1[Closed Date],"&gt;="&amp;DATE(2026,1,1),Table1[Closed Date],"&lt;="&amp;DATE(2026,12,31))</f>
        <v>0</v>
      </c>
      <c r="S101" s="53"/>
      <c r="T101" s="79">
        <f>SUMIFS(Table1[Project Value (RM)],Table1[Sales PIC],A88,Table1[Category],"*C&amp;I*")</f>
        <v>255773.58000000002</v>
      </c>
      <c r="U101" s="79">
        <f>SUMIFS(Table1[Project Value (RM)],Table1[Sales PIC],A88,Table1[Category],"*C&amp;I*",Table1[Closed Date],"&gt;="&amp;DATE(2023,1,1),Table1[Closed Date],"&lt;="&amp;DATE(2023,12,31))</f>
        <v>0</v>
      </c>
      <c r="V101" s="79">
        <f>SUMIFS(Table1[Project Value (RM)],Table1[Sales PIC],A88,Table1[Category],"*C&amp;I*",Table1[Closed Date],"&gt;="&amp;DATE(2024,1,1),Table1[Closed Date],"&lt;="&amp;DATE(2024,12,31))</f>
        <v>52000</v>
      </c>
      <c r="W101" s="79">
        <f>SUMIFS(Table1[Project Value (RM)],Table1[Sales PIC],A88,Table1[Category],"*C&amp;I*",Table1[Closed Date],"&gt;="&amp;DATE(2025,1,1),Table1[Closed Date],"&lt;="&amp;DATE(2025,12,31))</f>
        <v>203773.58000000002</v>
      </c>
      <c r="X101" s="79">
        <f>SUMIFS(Table1[Project Value (RM)],Table1[Sales PIC],A88,Table1[Category],"*C&amp;I*",Table1[Closed Date],"&gt;="&amp;DATE(2026,1,1),Table1[Closed Date],"&lt;="&amp;DATE(2026,12,31))</f>
        <v>0</v>
      </c>
    </row>
    <row r="102" spans="1:24" ht="24.75" customHeight="1" x14ac:dyDescent="0.35">
      <c r="A102" s="82" t="s">
        <v>23</v>
      </c>
      <c r="B102" s="95">
        <f>SUMIFS(Table1[PV System Capacity (kWp)],Table1[Sales PIC],A89,Table1[Category],"*R*")</f>
        <v>0</v>
      </c>
      <c r="C102" s="95">
        <f>SUMIFS(Table1[PV System Capacity (kWp)],Table1[Sales PIC],A89,Table1[Category],"*R*",Table1[Closed Date],"&gt;="&amp;DATE(2023,1,1),Table1[Closed Date],"&lt;="&amp;DATE(2023,12,31))</f>
        <v>0</v>
      </c>
      <c r="D102" s="95">
        <f>SUMIFS(Table1[PV System Capacity (kWp)],Table1[Sales PIC],A89,Table1[Category],"*R*",Table1[Closed Date],"&gt;="&amp;DATE(2024,1,1),Table1[Closed Date],"&lt;="&amp;DATE(2024,12,31))</f>
        <v>0</v>
      </c>
      <c r="E102" s="96">
        <f>SUMIFS(Table1[PV System Capacity (kWp)],Table1[Sales PIC],A89,Table1[Category],"*R*",Table1[Closed Date],"&gt;="&amp;DATE(2025,1,1),Table1[Closed Date],"&lt;="&amp;DATE(2025,12,31))</f>
        <v>0</v>
      </c>
      <c r="F102" s="96">
        <f>SUMIFS(Table1[PV System Capacity (kWp)],Table1[Sales PIC],A89,Table1[Category],"*R*",Table1[Closed Date],"&gt;="&amp;DATE(2026,1,1),Table1[Closed Date],"&lt;="&amp;DATE(2026,12,31))</f>
        <v>0</v>
      </c>
      <c r="G102" s="146"/>
      <c r="H102" s="95">
        <f>SUMIFS(Table1[PV System Capacity (kWp)],Table1[Sales PIC],A89,Table1[Category],"*C&amp;I*")</f>
        <v>0</v>
      </c>
      <c r="I102" s="95">
        <f>SUMIFS(Table1[PV System Capacity (kWp)],Table1[Sales PIC],A89,Table1[Category],"*C&amp;I*",Table1[Closed Date],"&gt;="&amp;DATE(2023,1,1),Table1[Closed Date],"&lt;="&amp;DATE(2023,12,31))</f>
        <v>0</v>
      </c>
      <c r="J102" s="95">
        <f>SUMIFS(Table1[PV System Capacity (kWp)],Table1[Sales PIC],A89,Table1[Category],"*C&amp;I*",Table1[Closed Date],"&gt;="&amp;DATE(2024,1,1),Table1[Closed Date],"&lt;="&amp;DATE(2024,12,31))</f>
        <v>0</v>
      </c>
      <c r="K102" s="96">
        <f>SUMIFS(Table1[PV System Capacity (kWp)],Table1[Sales PIC],A89,Table1[Category],"*C&amp;I*",Table1[Closed Date],"&gt;="&amp;DATE(2025,1,1),Table1[Closed Date],"&lt;="&amp;DATE(2025,12,31))</f>
        <v>0</v>
      </c>
      <c r="L102" s="96">
        <f>SUMIFS(Table1[PV System Capacity (kWp)],Table1[Sales PIC],A89,Table1[Category],"*C&amp;I*",Table1[Closed Date],"&gt;="&amp;DATE(2026,1,1),Table1[Closed Date],"&lt;="&amp;DATE(2026,12,31))</f>
        <v>0</v>
      </c>
      <c r="N102" s="79">
        <f>SUMIFS(Table1[Project Value (RM)],Table1[Sales PIC],A89,Table1[Category],"*R*")</f>
        <v>0</v>
      </c>
      <c r="O102" s="79">
        <f>SUMIFS(Table1[Project Value (RM)],Table1[Sales PIC],A89,Table1[Category],"*R*",Table1[Closed Date],"&gt;="&amp;DATE(2023,1,1),Table1[Closed Date],"&lt;="&amp;DATE(2023,12,31))</f>
        <v>0</v>
      </c>
      <c r="P102" s="79">
        <f>SUMIFS(Table1[Project Value (RM)],Table1[Sales PIC],A89,Table1[Category],"*R*",Table1[Closed Date],"&gt;="&amp;DATE(2024,1,1),Table1[Closed Date],"&lt;="&amp;DATE(2024,12,31))</f>
        <v>0</v>
      </c>
      <c r="Q102" s="79">
        <f>SUMIFS(Table1[Project Value (RM)],Table1[Sales PIC],A89,Table1[Category],"*R*",Table1[Closed Date],"&gt;="&amp;DATE(2025,1,1),Table1[Closed Date],"&lt;="&amp;DATE(2025,12,31))</f>
        <v>0</v>
      </c>
      <c r="R102" s="79">
        <f>SUMIFS(Table1[Project Value (RM)],Table1[Sales PIC],A89,Table1[Category],"*R*",Table1[Closed Date],"&gt;="&amp;DATE(2026,1,1),Table1[Closed Date],"&lt;="&amp;DATE(2026,12,31))</f>
        <v>0</v>
      </c>
      <c r="T102" s="79">
        <f>SUMIFS(Table1[Project Value (RM)],Table1[Sales PIC],A89,Table1[Category],"*C&amp;I*")</f>
        <v>0</v>
      </c>
      <c r="U102" s="79">
        <f>SUMIFS(Table1[Project Value (RM)],Table1[Sales PIC],A89,Table1[Category],"*C&amp;I*",Table1[Closed Date],"&gt;="&amp;DATE(2023,1,1),Table1[Closed Date],"&lt;="&amp;DATE(2023,12,31))</f>
        <v>0</v>
      </c>
      <c r="V102" s="79">
        <f>SUMIFS(Table1[Project Value (RM)],Table1[Sales PIC],A89,Table1[Category],"*C&amp;I*",Table1[Closed Date],"&gt;="&amp;DATE(2024,1,1),Table1[Closed Date],"&lt;="&amp;DATE(2024,12,31))</f>
        <v>0</v>
      </c>
      <c r="W102" s="79">
        <f>SUMIFS(Table1[Project Value (RM)],Table1[Sales PIC],A89,Table1[Category],"*C&amp;I*",Table1[Closed Date],"&gt;="&amp;DATE(2025,1,1),Table1[Closed Date],"&lt;="&amp;DATE(2025,12,31))</f>
        <v>0</v>
      </c>
      <c r="X102" s="79">
        <f>SUMIFS(Table1[Project Value (RM)],Table1[Sales PIC],A89,Table1[Category],"*C&amp;I*",Table1[Closed Date],"&gt;="&amp;DATE(2026,1,1),Table1[Closed Date],"&lt;="&amp;DATE(2026,12,31))</f>
        <v>0</v>
      </c>
    </row>
    <row r="103" spans="1:24" ht="24.75" customHeight="1" x14ac:dyDescent="0.35">
      <c r="A103" s="82"/>
      <c r="B103" s="95">
        <f>SUMIFS(Table1[PV System Capacity (kWp)],Table1[Sales PIC],A90,Table1[Category],"*R*")</f>
        <v>0</v>
      </c>
      <c r="C103" s="95">
        <f>SUMIFS(Table1[PV System Capacity (kWp)],Table1[Sales PIC],A90,Table1[Category],"*R*",Table1[Closed Date],"&gt;="&amp;DATE(2023,1,1),Table1[Closed Date],"&lt;="&amp;DATE(2023,12,31))</f>
        <v>0</v>
      </c>
      <c r="D103" s="95">
        <f>SUMIFS(Table1[PV System Capacity (kWp)],Table1[Sales PIC],A90,Table1[Category],"*R*",Table1[Closed Date],"&gt;="&amp;DATE(2024,1,1),Table1[Closed Date],"&lt;="&amp;DATE(2024,12,31))</f>
        <v>0</v>
      </c>
      <c r="E103" s="96">
        <f>SUMIFS(Table1[PV System Capacity (kWp)],Table1[Sales PIC],A90,Table1[Category],"*R*",Table1[Closed Date],"&gt;="&amp;DATE(2025,1,1),Table1[Closed Date],"&lt;="&amp;DATE(2025,12,31))</f>
        <v>0</v>
      </c>
      <c r="F103" s="96">
        <f>SUMIFS(Table1[PV System Capacity (kWp)],Table1[Sales PIC],A90,Table1[Category],"*R*",Table1[Closed Date],"&gt;="&amp;DATE(2026,1,1),Table1[Closed Date],"&lt;="&amp;DATE(2026,12,31))</f>
        <v>0</v>
      </c>
      <c r="G103" s="146"/>
      <c r="H103" s="95">
        <f>SUMIFS(Table1[PV System Capacity (kWp)],Table1[Sales PIC],A90,Table1[Category],"*C&amp;I*")</f>
        <v>0</v>
      </c>
      <c r="I103" s="95">
        <f>SUMIFS(Table1[PV System Capacity (kWp)],Table1[Sales PIC],A90,Table1[Category],"*C&amp;I*",Table1[Closed Date],"&gt;="&amp;DATE(2023,1,1),Table1[Closed Date],"&lt;="&amp;DATE(2023,12,31))</f>
        <v>0</v>
      </c>
      <c r="J103" s="95">
        <f>SUMIFS(Table1[PV System Capacity (kWp)],Table1[Sales PIC],A90,Table1[Category],"*C&amp;I*",Table1[Closed Date],"&gt;="&amp;DATE(2024,1,1),Table1[Closed Date],"&lt;="&amp;DATE(2024,12,31))</f>
        <v>0</v>
      </c>
      <c r="K103" s="96">
        <f>SUMIFS(Table1[PV System Capacity (kWp)],Table1[Sales PIC],A90,Table1[Category],"*C&amp;I*",Table1[Closed Date],"&gt;="&amp;DATE(2025,1,1),Table1[Closed Date],"&lt;="&amp;DATE(2025,12,31))</f>
        <v>0</v>
      </c>
      <c r="L103" s="96">
        <f>SUMIFS(Table1[PV System Capacity (kWp)],Table1[Sales PIC],A90,Table1[Category],"*C&amp;I*",Table1[Closed Date],"&gt;="&amp;DATE(2026,1,1),Table1[Closed Date],"&lt;="&amp;DATE(2026,12,31))</f>
        <v>0</v>
      </c>
      <c r="N103" s="79">
        <f>SUMIFS(Table1[Project Value (RM)],Table1[Sales PIC],A90,Table1[Category],"*R*")</f>
        <v>0</v>
      </c>
      <c r="O103" s="79">
        <f>SUMIFS(Table1[Project Value (RM)],Table1[Sales PIC],A90,Table1[Category],"*R*",Table1[Closed Date],"&gt;="&amp;DATE(2023,1,1),Table1[Closed Date],"&lt;="&amp;DATE(2023,12,31))</f>
        <v>0</v>
      </c>
      <c r="P103" s="79">
        <f>SUMIFS(Table1[Project Value (RM)],Table1[Sales PIC],A90,Table1[Category],"*R*",Table1[Closed Date],"&gt;="&amp;DATE(2024,1,1),Table1[Closed Date],"&lt;="&amp;DATE(2024,12,31))</f>
        <v>0</v>
      </c>
      <c r="Q103" s="79">
        <f>SUMIFS(Table1[Project Value (RM)],Table1[Sales PIC],A90,Table1[Category],"*R*",Table1[Closed Date],"&gt;="&amp;DATE(2025,1,1),Table1[Closed Date],"&lt;="&amp;DATE(2025,12,31))</f>
        <v>0</v>
      </c>
      <c r="R103" s="79">
        <f>SUMIFS(Table1[Project Value (RM)],Table1[Sales PIC],A90,Table1[Category],"*R*",Table1[Closed Date],"&gt;="&amp;DATE(2026,1,1),Table1[Closed Date],"&lt;="&amp;DATE(2026,12,31))</f>
        <v>0</v>
      </c>
      <c r="T103" s="79">
        <f>SUMIFS(Table1[Project Value (RM)],Table1[Sales PIC],A90,Table1[Category],"*C&amp;I*")</f>
        <v>0</v>
      </c>
      <c r="U103" s="79">
        <f>SUMIFS(Table1[Project Value (RM)],Table1[Sales PIC],A90,Table1[Category],"*C&amp;I*",Table1[Closed Date],"&gt;="&amp;DATE(2023,1,1),Table1[Closed Date],"&lt;="&amp;DATE(2023,12,31))</f>
        <v>0</v>
      </c>
      <c r="V103" s="79">
        <f>SUMIFS(Table1[Project Value (RM)],Table1[Sales PIC],A90,Table1[Category],"*C&amp;I*",Table1[Closed Date],"&gt;="&amp;DATE(2024,1,1),Table1[Closed Date],"&lt;="&amp;DATE(2024,12,31))</f>
        <v>0</v>
      </c>
      <c r="W103" s="79">
        <f>SUMIFS(Table1[Project Value (RM)],Table1[Sales PIC],A90,Table1[Category],"*C&amp;I*",Table1[Closed Date],"&gt;="&amp;DATE(2025,1,1),Table1[Closed Date],"&lt;="&amp;DATE(2025,12,31))</f>
        <v>0</v>
      </c>
      <c r="X103" s="79">
        <f>SUMIFS(Table1[Project Value (RM)],Table1[Sales PIC],A90,Table1[Category],"*C&amp;I*",Table1[Closed Date],"&gt;="&amp;DATE(2026,1,1),Table1[Closed Date],"&lt;="&amp;DATE(2026,12,31))</f>
        <v>0</v>
      </c>
    </row>
    <row r="104" spans="1:24" x14ac:dyDescent="0.3">
      <c r="B104" s="50"/>
      <c r="C104" s="50"/>
      <c r="D104" s="50"/>
      <c r="E104" s="50"/>
      <c r="F104" s="50"/>
      <c r="G104" s="50"/>
      <c r="H104" s="50"/>
      <c r="I104" s="50"/>
      <c r="J104" s="50"/>
      <c r="K104" s="50"/>
      <c r="L104" s="50"/>
    </row>
    <row r="105" spans="1:24" x14ac:dyDescent="0.3">
      <c r="B105" s="50"/>
      <c r="C105" s="50"/>
      <c r="D105" s="50"/>
      <c r="E105" s="50"/>
      <c r="F105" s="50"/>
      <c r="G105" s="50"/>
      <c r="H105" s="50"/>
      <c r="I105" s="50"/>
      <c r="J105" s="50"/>
      <c r="K105" s="50"/>
      <c r="L105" s="50"/>
    </row>
    <row r="106" spans="1:24" x14ac:dyDescent="0.3">
      <c r="B106" s="50"/>
      <c r="C106" s="50"/>
      <c r="D106" s="50"/>
      <c r="E106" s="50"/>
      <c r="F106" s="50"/>
      <c r="G106" s="50"/>
      <c r="H106" s="50"/>
      <c r="I106" s="50"/>
      <c r="J106" s="50"/>
      <c r="K106" s="50"/>
      <c r="L106" s="50"/>
    </row>
    <row r="107" spans="1:24" x14ac:dyDescent="0.3">
      <c r="B107" s="50"/>
      <c r="C107" s="50"/>
      <c r="D107" s="50"/>
      <c r="E107" s="50"/>
      <c r="F107" s="50"/>
      <c r="G107" s="50"/>
      <c r="H107" s="50"/>
      <c r="I107" s="50"/>
      <c r="J107" s="50"/>
      <c r="K107" s="50"/>
      <c r="L107" s="50"/>
    </row>
    <row r="108" spans="1:24" x14ac:dyDescent="0.3">
      <c r="B108" s="50"/>
      <c r="C108" s="50"/>
      <c r="D108" s="50"/>
      <c r="E108" s="50"/>
      <c r="F108" s="50"/>
      <c r="G108" s="50"/>
      <c r="H108" s="50"/>
      <c r="I108" s="50"/>
      <c r="J108" s="50"/>
      <c r="K108" s="50"/>
      <c r="L108" s="50"/>
    </row>
    <row r="109" spans="1:24" x14ac:dyDescent="0.3">
      <c r="B109" s="50"/>
      <c r="C109" s="50"/>
      <c r="D109" s="50"/>
      <c r="E109" s="50"/>
      <c r="F109" s="50"/>
      <c r="G109" s="50"/>
      <c r="H109" s="50"/>
      <c r="I109" s="50"/>
      <c r="J109" s="50"/>
      <c r="K109" s="50"/>
      <c r="L109" s="50"/>
    </row>
    <row r="110" spans="1:24" x14ac:dyDescent="0.3">
      <c r="B110" s="50"/>
      <c r="C110" s="50"/>
      <c r="D110" s="50"/>
      <c r="E110" s="50"/>
      <c r="F110" s="50"/>
      <c r="G110" s="50"/>
      <c r="H110" s="50"/>
      <c r="I110" s="50"/>
      <c r="J110" s="50"/>
      <c r="K110" s="50"/>
      <c r="L110" s="50"/>
    </row>
    <row r="111" spans="1:24" x14ac:dyDescent="0.3">
      <c r="B111" s="50"/>
      <c r="C111" s="50"/>
      <c r="D111" s="50"/>
      <c r="E111" s="50"/>
      <c r="F111" s="50"/>
      <c r="G111" s="50"/>
      <c r="H111" s="50"/>
      <c r="I111" s="50"/>
      <c r="J111" s="50"/>
      <c r="K111" s="50"/>
      <c r="L111" s="50"/>
    </row>
    <row r="112" spans="1:24" x14ac:dyDescent="0.3">
      <c r="B112" s="50"/>
      <c r="C112" s="50"/>
      <c r="D112" s="50"/>
      <c r="E112" s="50"/>
      <c r="F112" s="50"/>
      <c r="G112" s="50"/>
      <c r="H112" s="50"/>
      <c r="I112" s="50"/>
      <c r="J112" s="50"/>
      <c r="K112" s="50"/>
      <c r="L112" s="50"/>
    </row>
    <row r="113" spans="2:12" x14ac:dyDescent="0.3">
      <c r="B113" s="50"/>
      <c r="C113" s="50"/>
      <c r="D113" s="50"/>
      <c r="E113" s="50"/>
      <c r="F113" s="50"/>
      <c r="G113" s="50"/>
      <c r="H113" s="50"/>
      <c r="I113" s="50"/>
      <c r="J113" s="50"/>
      <c r="K113" s="50"/>
      <c r="L113" s="50"/>
    </row>
    <row r="114" spans="2:12" x14ac:dyDescent="0.3">
      <c r="B114" s="50"/>
      <c r="C114" s="50"/>
      <c r="D114" s="50"/>
      <c r="E114" s="50"/>
      <c r="F114" s="50"/>
      <c r="G114" s="50"/>
      <c r="H114" s="50"/>
      <c r="I114" s="50"/>
      <c r="J114" s="50"/>
      <c r="K114" s="50"/>
      <c r="L114" s="50"/>
    </row>
    <row r="115" spans="2:12" x14ac:dyDescent="0.3">
      <c r="B115" s="50"/>
      <c r="C115" s="50"/>
      <c r="D115" s="50"/>
      <c r="E115" s="50"/>
      <c r="F115" s="50"/>
      <c r="G115" s="50"/>
      <c r="H115" s="50"/>
      <c r="I115" s="50"/>
      <c r="J115" s="50"/>
      <c r="K115" s="50"/>
      <c r="L115" s="50"/>
    </row>
    <row r="116" spans="2:12" x14ac:dyDescent="0.3">
      <c r="B116" s="50"/>
      <c r="C116" s="50"/>
      <c r="D116" s="50"/>
      <c r="E116" s="50"/>
      <c r="F116" s="50"/>
      <c r="G116" s="50"/>
      <c r="H116" s="50"/>
      <c r="I116" s="50"/>
      <c r="J116" s="50"/>
      <c r="K116" s="50"/>
      <c r="L116" s="50"/>
    </row>
    <row r="117" spans="2:12" x14ac:dyDescent="0.3">
      <c r="B117" s="50"/>
      <c r="C117" s="50"/>
      <c r="D117" s="50"/>
      <c r="E117" s="50"/>
      <c r="F117" s="50"/>
      <c r="G117" s="50"/>
      <c r="H117" s="50"/>
      <c r="I117" s="50"/>
      <c r="J117" s="50"/>
      <c r="K117" s="50"/>
      <c r="L117" s="50"/>
    </row>
    <row r="118" spans="2:12" x14ac:dyDescent="0.3">
      <c r="B118" s="50"/>
      <c r="C118" s="50"/>
      <c r="D118" s="50"/>
      <c r="E118" s="50"/>
      <c r="F118" s="50"/>
      <c r="G118" s="50"/>
      <c r="H118" s="50"/>
      <c r="I118" s="50"/>
      <c r="J118" s="50"/>
      <c r="K118" s="50"/>
      <c r="L118" s="50"/>
    </row>
    <row r="119" spans="2:12" x14ac:dyDescent="0.3">
      <c r="B119" s="50"/>
      <c r="C119" s="50"/>
      <c r="D119" s="50"/>
      <c r="E119" s="50"/>
      <c r="F119" s="50"/>
      <c r="G119" s="50"/>
      <c r="H119" s="50"/>
      <c r="I119" s="50"/>
      <c r="J119" s="50"/>
      <c r="K119" s="50"/>
      <c r="L119" s="50"/>
    </row>
    <row r="120" spans="2:12" x14ac:dyDescent="0.3">
      <c r="B120" s="50"/>
      <c r="C120" s="50"/>
      <c r="D120" s="50"/>
      <c r="E120" s="50"/>
      <c r="F120" s="50"/>
      <c r="G120" s="50"/>
      <c r="H120" s="50"/>
      <c r="I120" s="50"/>
      <c r="J120" s="50"/>
      <c r="K120" s="50"/>
      <c r="L120" s="50"/>
    </row>
    <row r="121" spans="2:12" x14ac:dyDescent="0.3">
      <c r="B121" s="50"/>
      <c r="C121" s="50"/>
      <c r="D121" s="50"/>
      <c r="E121" s="50"/>
      <c r="F121" s="50"/>
      <c r="G121" s="50"/>
      <c r="H121" s="50"/>
      <c r="I121" s="50"/>
      <c r="J121" s="50"/>
      <c r="K121" s="50"/>
      <c r="L121" s="50"/>
    </row>
    <row r="122" spans="2:12" x14ac:dyDescent="0.3">
      <c r="B122" s="50"/>
      <c r="C122" s="50"/>
      <c r="D122" s="50"/>
      <c r="E122" s="50"/>
      <c r="F122" s="50"/>
      <c r="G122" s="50"/>
      <c r="H122" s="50"/>
      <c r="I122" s="50"/>
      <c r="J122" s="50"/>
      <c r="K122" s="50"/>
      <c r="L122" s="50"/>
    </row>
    <row r="123" spans="2:12" x14ac:dyDescent="0.3">
      <c r="B123" s="50"/>
      <c r="C123" s="50"/>
      <c r="D123" s="50"/>
      <c r="E123" s="50"/>
      <c r="F123" s="50"/>
      <c r="G123" s="50"/>
      <c r="H123" s="50"/>
      <c r="I123" s="50"/>
      <c r="J123" s="50"/>
      <c r="K123" s="50"/>
      <c r="L123" s="50"/>
    </row>
    <row r="124" spans="2:12" x14ac:dyDescent="0.3">
      <c r="B124" s="50"/>
      <c r="C124" s="50"/>
      <c r="D124" s="50"/>
      <c r="E124" s="50"/>
      <c r="F124" s="50"/>
      <c r="G124" s="50"/>
      <c r="H124" s="50"/>
      <c r="I124" s="50"/>
      <c r="J124" s="50"/>
      <c r="K124" s="50"/>
      <c r="L124" s="50"/>
    </row>
    <row r="125" spans="2:12" x14ac:dyDescent="0.3">
      <c r="B125" s="50"/>
      <c r="C125" s="50"/>
      <c r="D125" s="50"/>
      <c r="E125" s="50"/>
      <c r="F125" s="50"/>
      <c r="G125" s="50"/>
      <c r="H125" s="50"/>
      <c r="I125" s="50"/>
      <c r="J125" s="50"/>
      <c r="K125" s="50"/>
      <c r="L125" s="50"/>
    </row>
    <row r="126" spans="2:12" x14ac:dyDescent="0.3">
      <c r="B126" s="50"/>
      <c r="C126" s="50"/>
      <c r="D126" s="50"/>
      <c r="E126" s="50"/>
      <c r="F126" s="50"/>
      <c r="G126" s="50"/>
      <c r="H126" s="50"/>
      <c r="I126" s="50"/>
      <c r="J126" s="50"/>
      <c r="K126" s="50"/>
      <c r="L126" s="50"/>
    </row>
    <row r="127" spans="2:12" x14ac:dyDescent="0.3">
      <c r="B127" s="50"/>
      <c r="C127" s="50"/>
      <c r="D127" s="50"/>
      <c r="E127" s="50"/>
      <c r="F127" s="50"/>
      <c r="G127" s="50"/>
      <c r="H127" s="50"/>
      <c r="I127" s="50"/>
      <c r="J127" s="50"/>
      <c r="K127" s="50"/>
      <c r="L127" s="50"/>
    </row>
    <row r="128" spans="2:12" x14ac:dyDescent="0.3">
      <c r="B128" s="50"/>
      <c r="C128" s="50"/>
      <c r="D128" s="50"/>
      <c r="E128" s="50"/>
      <c r="F128" s="50"/>
      <c r="G128" s="50"/>
      <c r="H128" s="50"/>
      <c r="I128" s="50"/>
      <c r="J128" s="50"/>
      <c r="K128" s="50"/>
      <c r="L128" s="50"/>
    </row>
    <row r="129" spans="1:12" x14ac:dyDescent="0.3">
      <c r="B129" s="50"/>
      <c r="C129" s="50"/>
      <c r="D129" s="50"/>
      <c r="E129" s="50"/>
      <c r="F129" s="50"/>
      <c r="G129" s="50"/>
      <c r="H129" s="50"/>
      <c r="I129" s="50"/>
      <c r="J129" s="50"/>
      <c r="K129" s="50"/>
      <c r="L129" s="50"/>
    </row>
    <row r="130" spans="1:12" x14ac:dyDescent="0.3">
      <c r="B130" s="50"/>
      <c r="C130" s="50"/>
      <c r="D130" s="50"/>
      <c r="E130" s="50"/>
      <c r="F130" s="50"/>
      <c r="G130" s="50"/>
      <c r="H130" s="50"/>
      <c r="I130" s="50"/>
      <c r="J130" s="50"/>
      <c r="K130" s="50"/>
      <c r="L130" s="50"/>
    </row>
    <row r="131" spans="1:12" x14ac:dyDescent="0.3">
      <c r="B131" s="50"/>
      <c r="C131" s="50"/>
      <c r="D131" s="50"/>
      <c r="E131" s="50"/>
      <c r="F131" s="50"/>
      <c r="G131" s="50"/>
      <c r="H131" s="50"/>
      <c r="I131" s="50"/>
      <c r="J131" s="50"/>
      <c r="K131" s="50"/>
      <c r="L131" s="50"/>
    </row>
    <row r="132" spans="1:12" x14ac:dyDescent="0.3">
      <c r="B132" s="50"/>
      <c r="C132" s="50"/>
      <c r="D132" s="50"/>
      <c r="E132" s="50"/>
      <c r="F132" s="50"/>
      <c r="G132" s="50"/>
      <c r="H132" s="50"/>
      <c r="I132" s="50"/>
      <c r="J132" s="50"/>
      <c r="K132" s="50"/>
      <c r="L132" s="50"/>
    </row>
    <row r="133" spans="1:12" x14ac:dyDescent="0.3">
      <c r="B133" s="50"/>
      <c r="C133" s="50"/>
      <c r="D133" s="50"/>
      <c r="E133" s="50"/>
      <c r="F133" s="50"/>
      <c r="G133" s="50"/>
      <c r="H133" s="50"/>
      <c r="I133" s="50"/>
      <c r="J133" s="50"/>
      <c r="K133" s="50"/>
      <c r="L133" s="50"/>
    </row>
    <row r="134" spans="1:12" x14ac:dyDescent="0.3">
      <c r="B134" s="50"/>
      <c r="C134" s="50"/>
      <c r="D134" s="50"/>
      <c r="E134" s="50"/>
      <c r="F134" s="50"/>
      <c r="G134" s="50"/>
      <c r="H134" s="50"/>
      <c r="I134" s="50"/>
      <c r="J134" s="50"/>
      <c r="K134" s="50"/>
      <c r="L134" s="50"/>
    </row>
    <row r="135" spans="1:12" x14ac:dyDescent="0.3">
      <c r="B135" s="50"/>
      <c r="C135" s="50"/>
      <c r="D135" s="50"/>
      <c r="E135" s="50"/>
      <c r="F135" s="50"/>
      <c r="G135" s="50"/>
      <c r="H135" s="50"/>
      <c r="I135" s="50"/>
      <c r="J135" s="50"/>
      <c r="K135" s="50"/>
      <c r="L135" s="50"/>
    </row>
    <row r="136" spans="1:12" x14ac:dyDescent="0.3">
      <c r="B136" s="50"/>
      <c r="C136" s="50"/>
      <c r="D136" s="50"/>
      <c r="E136" s="50"/>
      <c r="F136" s="50"/>
      <c r="G136" s="50"/>
      <c r="H136" s="50"/>
      <c r="I136" s="50"/>
      <c r="J136" s="50"/>
      <c r="K136" s="50"/>
      <c r="L136" s="50"/>
    </row>
    <row r="137" spans="1:12" x14ac:dyDescent="0.3">
      <c r="B137" s="50"/>
      <c r="C137" s="50"/>
      <c r="D137" s="50"/>
      <c r="E137" s="50"/>
      <c r="F137" s="50"/>
      <c r="G137" s="50"/>
      <c r="H137" s="50"/>
      <c r="I137" s="50"/>
      <c r="J137" s="50"/>
      <c r="K137" s="50"/>
      <c r="L137" s="50"/>
    </row>
    <row r="139" spans="1:12" ht="23.4" x14ac:dyDescent="0.45">
      <c r="A139" s="84" t="s">
        <v>24</v>
      </c>
      <c r="B139" s="85" t="s">
        <v>7</v>
      </c>
      <c r="C139" s="5"/>
    </row>
    <row r="140" spans="1:12" ht="22.5" customHeight="1" x14ac:dyDescent="0.35">
      <c r="A140" s="78" t="e" vm="1">
        <v>#VALUE!</v>
      </c>
      <c r="B140" s="76">
        <f>COUNTIF(Table1[Location],A140)</f>
        <v>0</v>
      </c>
      <c r="C140" s="5"/>
    </row>
    <row r="141" spans="1:12" ht="22.5" customHeight="1" x14ac:dyDescent="0.35">
      <c r="A141" s="78" t="e" vm="2">
        <v>#VALUE!</v>
      </c>
      <c r="B141" s="76">
        <f>COUNTIF(Table1[Location],A141)</f>
        <v>1</v>
      </c>
      <c r="C141" s="5"/>
    </row>
    <row r="142" spans="1:12" ht="22.5" customHeight="1" x14ac:dyDescent="0.35">
      <c r="A142" s="78" t="e" vm="3">
        <v>#VALUE!</v>
      </c>
      <c r="B142" s="76">
        <f>COUNTIF(Table1[Location],A142)</f>
        <v>3</v>
      </c>
      <c r="C142" s="5"/>
    </row>
    <row r="143" spans="1:12" ht="22.5" customHeight="1" x14ac:dyDescent="0.35">
      <c r="A143" s="78" t="e" vm="4">
        <v>#VALUE!</v>
      </c>
      <c r="B143" s="76">
        <f>COUNTIF(Table1[Location],A143)</f>
        <v>10</v>
      </c>
      <c r="C143" s="5"/>
    </row>
    <row r="144" spans="1:12" ht="22.5" customHeight="1" x14ac:dyDescent="0.35">
      <c r="A144" s="78" t="e" vm="5">
        <v>#VALUE!</v>
      </c>
      <c r="B144" s="76">
        <f>COUNTIF(Table1[Location],A144)</f>
        <v>138</v>
      </c>
      <c r="C144" s="5"/>
    </row>
    <row r="145" spans="1:10" ht="22.5" customHeight="1" x14ac:dyDescent="0.35">
      <c r="A145" s="78" t="e" vm="6">
        <v>#VALUE!</v>
      </c>
      <c r="B145" s="76">
        <f>COUNTIF(Table1[Location],A145)</f>
        <v>4</v>
      </c>
      <c r="C145" s="5"/>
    </row>
    <row r="146" spans="1:10" ht="22.5" customHeight="1" x14ac:dyDescent="0.35">
      <c r="A146" s="78" t="e" vm="7">
        <v>#VALUE!</v>
      </c>
      <c r="B146" s="76">
        <f>COUNTIF(Table1[Location],A146)</f>
        <v>3</v>
      </c>
      <c r="C146" s="5"/>
    </row>
    <row r="147" spans="1:10" ht="22.5" customHeight="1" x14ac:dyDescent="0.35">
      <c r="A147" s="78" t="e" vm="8">
        <v>#VALUE!</v>
      </c>
      <c r="B147" s="76">
        <f>COUNTIF(Table1[Location],A147)</f>
        <v>27</v>
      </c>
      <c r="C147" s="5"/>
    </row>
    <row r="148" spans="1:10" ht="22.5" customHeight="1" x14ac:dyDescent="0.35">
      <c r="A148" s="78" t="e" vm="9">
        <v>#VALUE!</v>
      </c>
      <c r="B148" s="76">
        <f>COUNTIF(Table1[Location],A148)</f>
        <v>0</v>
      </c>
      <c r="C148" s="5"/>
    </row>
    <row r="149" spans="1:10" ht="22.5" customHeight="1" x14ac:dyDescent="0.35">
      <c r="A149" s="78" t="e" vm="10">
        <v>#VALUE!</v>
      </c>
      <c r="B149" s="76">
        <f>COUNTIF(Table1[Location],A149)</f>
        <v>7</v>
      </c>
      <c r="C149" s="5"/>
    </row>
    <row r="150" spans="1:10" ht="22.5" customHeight="1" x14ac:dyDescent="0.35">
      <c r="A150" s="78" t="e" vm="11">
        <v>#VALUE!</v>
      </c>
      <c r="B150" s="76">
        <f>COUNTIF(Table1[Location],A150)</f>
        <v>140</v>
      </c>
      <c r="C150" s="5"/>
    </row>
    <row r="151" spans="1:10" ht="22.5" customHeight="1" x14ac:dyDescent="0.35">
      <c r="A151" s="78" t="e" vm="12">
        <v>#VALUE!</v>
      </c>
      <c r="B151" s="76">
        <f>COUNTIF(Table1[Location],A151)</f>
        <v>31</v>
      </c>
      <c r="C151" s="5"/>
    </row>
    <row r="152" spans="1:10" ht="22.5" customHeight="1" x14ac:dyDescent="0.3">
      <c r="A152" s="86" t="e" vm="13">
        <v>#VALUE!</v>
      </c>
      <c r="B152" s="76">
        <f>COUNTIF(Table1[Location],A152)</f>
        <v>0</v>
      </c>
      <c r="C152" s="5"/>
    </row>
    <row r="153" spans="1:10" ht="22.5" customHeight="1" x14ac:dyDescent="0.3">
      <c r="A153" s="86" t="e" vm="14">
        <v>#VALUE!</v>
      </c>
      <c r="B153" s="76">
        <f>COUNTIF(Table1[Location],A153)</f>
        <v>0</v>
      </c>
      <c r="C153" s="5"/>
    </row>
    <row r="157" spans="1:10" x14ac:dyDescent="0.3">
      <c r="J157" s="5"/>
    </row>
    <row r="158" spans="1:10" x14ac:dyDescent="0.3">
      <c r="D158" s="27"/>
      <c r="E158" s="11"/>
      <c r="F158" s="11"/>
      <c r="G158" s="11"/>
      <c r="H158" s="11"/>
      <c r="I158" s="11"/>
      <c r="J158" s="38"/>
    </row>
    <row r="159" spans="1:10" x14ac:dyDescent="0.3">
      <c r="D159" s="27"/>
      <c r="E159" s="11"/>
      <c r="F159" s="11"/>
      <c r="G159" s="11"/>
      <c r="H159" s="11"/>
      <c r="I159" s="11"/>
      <c r="J159" s="38"/>
    </row>
    <row r="161" spans="1:8" ht="23.4" x14ac:dyDescent="0.45">
      <c r="A161" s="113" t="s">
        <v>25</v>
      </c>
    </row>
    <row r="164" spans="1:8" ht="21" x14ac:dyDescent="0.4">
      <c r="C164" s="260" t="s">
        <v>26</v>
      </c>
      <c r="D164" s="261"/>
      <c r="E164" s="260" t="s">
        <v>27</v>
      </c>
      <c r="F164" s="262"/>
      <c r="G164" s="262"/>
      <c r="H164" s="262"/>
    </row>
    <row r="165" spans="1:8" ht="7.5" customHeight="1" x14ac:dyDescent="0.3"/>
    <row r="166" spans="1:8" ht="28.5" customHeight="1" x14ac:dyDescent="0.3">
      <c r="A166" s="259" t="s">
        <v>28</v>
      </c>
      <c r="B166" s="259"/>
      <c r="C166" s="257">
        <f>_xlfn.MAXIFS('ECN Project Tracker'!AP5:AP250,'ECN Project Tracker'!E5:E250,"*R*",'ECN Project Tracker'!F5:F250,"NEM",'ECN Project Tracker'!AP5:AP250,"&gt;0")</f>
        <v>109</v>
      </c>
      <c r="D166" s="257"/>
      <c r="E166" s="257">
        <f>_xlfn.MAXIFS('ECN Project Tracker'!AP5:AP250,'ECN Project Tracker'!E5:E250,"*C&amp;I*",'ECN Project Tracker'!F5:F250,"NEM",'ECN Project Tracker'!AP5:AP250,"&gt;0")</f>
        <v>132</v>
      </c>
      <c r="F166" s="257"/>
      <c r="G166" s="257"/>
      <c r="H166" s="257"/>
    </row>
    <row r="167" spans="1:8" ht="28.5" customHeight="1" x14ac:dyDescent="0.3">
      <c r="A167" s="259" t="s">
        <v>29</v>
      </c>
      <c r="B167" s="259"/>
      <c r="C167" s="257">
        <f>_xlfn.MINIFS('ECN Project Tracker'!AP5:AP250,'ECN Project Tracker'!E5:E250,"*R*",'ECN Project Tracker'!F5:F250,"NEM",'ECN Project Tracker'!AP5:AP250,"&gt;0")</f>
        <v>3</v>
      </c>
      <c r="D167" s="257"/>
      <c r="E167" s="257">
        <f>_xlfn.MINIFS('ECN Project Tracker'!AP5:AP250,'ECN Project Tracker'!E5:E250,"*C&amp;I*",'ECN Project Tracker'!F5:F250,"NEM",'ECN Project Tracker'!AP5:AP250,"&gt;0")</f>
        <v>10</v>
      </c>
      <c r="F167" s="257"/>
      <c r="G167" s="257"/>
      <c r="H167" s="257"/>
    </row>
    <row r="168" spans="1:8" ht="28.5" customHeight="1" x14ac:dyDescent="0.3">
      <c r="A168" s="259" t="s">
        <v>30</v>
      </c>
      <c r="B168" s="259"/>
      <c r="C168" s="258">
        <f>AVERAGEIFS('ECN Project Tracker'!AP5:AP250,'ECN Project Tracker'!E5:E250,"*R*", 'ECN Project Tracker'!F5:F250,"NEM",'ECN Project Tracker'!AP5:AP250,"&gt;0")</f>
        <v>21.557692307692307</v>
      </c>
      <c r="D168" s="258"/>
      <c r="E168" s="258">
        <f>AVERAGEIFS('ECN Project Tracker'!AP5:AP250,'ECN Project Tracker'!E5:E250,"*C&amp;I*", 'ECN Project Tracker'!F5:F250,"NEM",'ECN Project Tracker'!AP5:AP250,"&gt;0")</f>
        <v>41.714285714285715</v>
      </c>
      <c r="F168" s="258"/>
      <c r="G168" s="258"/>
      <c r="H168" s="258"/>
    </row>
  </sheetData>
  <mergeCells count="40">
    <mergeCell ref="N35:R35"/>
    <mergeCell ref="T35:X35"/>
    <mergeCell ref="Z35:AD35"/>
    <mergeCell ref="C164:D164"/>
    <mergeCell ref="E164:H164"/>
    <mergeCell ref="N46:R46"/>
    <mergeCell ref="T45:X45"/>
    <mergeCell ref="T46:X46"/>
    <mergeCell ref="H46:L46"/>
    <mergeCell ref="N45:R45"/>
    <mergeCell ref="B45:F45"/>
    <mergeCell ref="B46:F46"/>
    <mergeCell ref="H45:L45"/>
    <mergeCell ref="B35:F35"/>
    <mergeCell ref="H35:L35"/>
    <mergeCell ref="E166:H166"/>
    <mergeCell ref="E167:H167"/>
    <mergeCell ref="E168:H168"/>
    <mergeCell ref="A166:B166"/>
    <mergeCell ref="A167:B167"/>
    <mergeCell ref="A168:B168"/>
    <mergeCell ref="C166:D166"/>
    <mergeCell ref="C167:D167"/>
    <mergeCell ref="C168:D168"/>
    <mergeCell ref="Z3:AA5"/>
    <mergeCell ref="Z8:AA10"/>
    <mergeCell ref="B95:F95"/>
    <mergeCell ref="W3:X5"/>
    <mergeCell ref="W8:X10"/>
    <mergeCell ref="T95:X95"/>
    <mergeCell ref="N94:R94"/>
    <mergeCell ref="N95:R95"/>
    <mergeCell ref="H94:L94"/>
    <mergeCell ref="H95:L95"/>
    <mergeCell ref="B81:F81"/>
    <mergeCell ref="B82:F82"/>
    <mergeCell ref="H81:L81"/>
    <mergeCell ref="H82:L82"/>
    <mergeCell ref="T94:X94"/>
    <mergeCell ref="B94:F9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33D8D-3C68-4DCF-8746-8A0A7DD7415E}">
  <dimension ref="A1:O81"/>
  <sheetViews>
    <sheetView zoomScale="70" zoomScaleNormal="70" workbookViewId="0">
      <selection activeCell="N1" sqref="N1"/>
    </sheetView>
  </sheetViews>
  <sheetFormatPr defaultRowHeight="14.4" x14ac:dyDescent="0.3"/>
  <cols>
    <col min="1" max="1" width="26.5546875" customWidth="1"/>
    <col min="2" max="2" width="18.5546875" customWidth="1"/>
    <col min="3" max="3" width="26.5546875" customWidth="1"/>
    <col min="4" max="4" width="18.5546875" bestFit="1" customWidth="1"/>
    <col min="7" max="7" width="20.77734375" bestFit="1" customWidth="1"/>
    <col min="8" max="11" width="17.77734375" bestFit="1" customWidth="1"/>
    <col min="12" max="12" width="11.5546875" bestFit="1" customWidth="1"/>
    <col min="13" max="13" width="20.77734375" bestFit="1" customWidth="1"/>
    <col min="14" max="14" width="17.109375" bestFit="1" customWidth="1"/>
    <col min="15" max="15" width="10.77734375" bestFit="1" customWidth="1"/>
    <col min="16" max="16" width="15.44140625" bestFit="1" customWidth="1"/>
    <col min="17" max="17" width="9.5546875" bestFit="1" customWidth="1"/>
    <col min="18" max="19" width="11.5546875" bestFit="1" customWidth="1"/>
  </cols>
  <sheetData>
    <row r="1" spans="1:15" x14ac:dyDescent="0.3">
      <c r="A1" s="87" t="s">
        <v>31</v>
      </c>
      <c r="B1" s="87" t="s">
        <v>32</v>
      </c>
      <c r="C1" s="87" t="s">
        <v>33</v>
      </c>
      <c r="D1" s="87" t="s">
        <v>34</v>
      </c>
      <c r="G1" s="90" t="s">
        <v>33</v>
      </c>
      <c r="H1" t="s">
        <v>35</v>
      </c>
      <c r="M1" s="90" t="s">
        <v>33</v>
      </c>
      <c r="N1" t="s">
        <v>35</v>
      </c>
    </row>
    <row r="2" spans="1:15" ht="15.6" x14ac:dyDescent="0.3">
      <c r="A2" s="49" t="s">
        <v>8</v>
      </c>
      <c r="B2" t="s">
        <v>2</v>
      </c>
      <c r="C2">
        <v>2023</v>
      </c>
      <c r="D2">
        <f>Dashboard!C37</f>
        <v>313.29999999999995</v>
      </c>
    </row>
    <row r="3" spans="1:15" ht="15.6" x14ac:dyDescent="0.3">
      <c r="A3" s="49" t="s">
        <v>8</v>
      </c>
      <c r="B3" t="s">
        <v>2</v>
      </c>
      <c r="C3">
        <v>2024</v>
      </c>
      <c r="D3">
        <f>Dashboard!D37</f>
        <v>1637.1649999999988</v>
      </c>
      <c r="G3" s="90" t="s">
        <v>36</v>
      </c>
      <c r="H3" s="90" t="s">
        <v>37</v>
      </c>
      <c r="M3" s="90" t="s">
        <v>36</v>
      </c>
      <c r="N3" s="90" t="s">
        <v>37</v>
      </c>
    </row>
    <row r="4" spans="1:15" ht="15.6" x14ac:dyDescent="0.3">
      <c r="A4" s="49" t="s">
        <v>8</v>
      </c>
      <c r="B4" t="s">
        <v>2</v>
      </c>
      <c r="C4">
        <v>2025</v>
      </c>
      <c r="D4">
        <f>Dashboard!E37</f>
        <v>1684.6800000000039</v>
      </c>
      <c r="G4" s="90" t="s">
        <v>38</v>
      </c>
      <c r="H4" t="s">
        <v>39</v>
      </c>
      <c r="I4" t="s">
        <v>40</v>
      </c>
      <c r="J4" t="s">
        <v>41</v>
      </c>
      <c r="K4" t="s">
        <v>42</v>
      </c>
      <c r="M4" s="90" t="s">
        <v>38</v>
      </c>
      <c r="N4" t="s">
        <v>2</v>
      </c>
      <c r="O4" t="s">
        <v>42</v>
      </c>
    </row>
    <row r="5" spans="1:15" ht="15.6" x14ac:dyDescent="0.3">
      <c r="A5" s="49" t="s">
        <v>8</v>
      </c>
      <c r="B5" t="s">
        <v>2</v>
      </c>
      <c r="C5">
        <v>2026</v>
      </c>
      <c r="D5">
        <f>Dashboard!F37</f>
        <v>0</v>
      </c>
      <c r="G5" s="40" t="s">
        <v>8</v>
      </c>
      <c r="H5" s="89">
        <v>10314867.600000001</v>
      </c>
      <c r="I5" s="89">
        <v>8802124.6000000015</v>
      </c>
      <c r="J5" s="89">
        <v>8586827.6000000015</v>
      </c>
      <c r="K5" s="89">
        <v>27703819.800000004</v>
      </c>
      <c r="M5" s="40" t="s">
        <v>8</v>
      </c>
      <c r="N5" s="275">
        <v>3635.1450000000027</v>
      </c>
      <c r="O5" s="275">
        <v>3635.1450000000027</v>
      </c>
    </row>
    <row r="6" spans="1:15" ht="15.6" x14ac:dyDescent="0.3">
      <c r="A6" s="49" t="s">
        <v>9</v>
      </c>
      <c r="B6" t="s">
        <v>2</v>
      </c>
      <c r="C6">
        <v>2023</v>
      </c>
      <c r="D6">
        <f>Dashboard!C38</f>
        <v>428.69499999999999</v>
      </c>
      <c r="G6" s="40" t="s">
        <v>9</v>
      </c>
      <c r="H6" s="89">
        <v>7185553.5800000001</v>
      </c>
      <c r="I6" s="89">
        <v>6946746.4100000001</v>
      </c>
      <c r="J6" s="89">
        <v>5420201.4100000001</v>
      </c>
      <c r="K6" s="89">
        <v>19552501.399999999</v>
      </c>
      <c r="M6" s="40" t="s">
        <v>9</v>
      </c>
      <c r="N6" s="275">
        <v>3718.0100000000011</v>
      </c>
      <c r="O6" s="275">
        <v>3718.0100000000011</v>
      </c>
    </row>
    <row r="7" spans="1:15" ht="15.6" x14ac:dyDescent="0.3">
      <c r="A7" s="49" t="s">
        <v>9</v>
      </c>
      <c r="B7" t="s">
        <v>2</v>
      </c>
      <c r="C7">
        <v>2024</v>
      </c>
      <c r="D7">
        <f>Dashboard!D38</f>
        <v>2088.3450000000007</v>
      </c>
      <c r="G7" s="40" t="s">
        <v>10</v>
      </c>
      <c r="H7" s="89">
        <v>720000</v>
      </c>
      <c r="I7" s="89">
        <v>720000</v>
      </c>
      <c r="J7" s="89">
        <v>720000</v>
      </c>
      <c r="K7" s="89">
        <v>2160000</v>
      </c>
      <c r="M7" s="40" t="s">
        <v>10</v>
      </c>
      <c r="N7" s="275">
        <v>287.39999999999998</v>
      </c>
      <c r="O7" s="275">
        <v>287.39999999999998</v>
      </c>
    </row>
    <row r="8" spans="1:15" ht="15.6" x14ac:dyDescent="0.3">
      <c r="A8" s="49" t="s">
        <v>9</v>
      </c>
      <c r="B8" t="s">
        <v>2</v>
      </c>
      <c r="C8">
        <v>2025</v>
      </c>
      <c r="D8">
        <f>Dashboard!E38</f>
        <v>1200.97</v>
      </c>
      <c r="G8" s="40" t="s">
        <v>11</v>
      </c>
      <c r="H8" s="89">
        <v>0</v>
      </c>
      <c r="I8" s="89">
        <v>0</v>
      </c>
      <c r="J8" s="89">
        <v>0</v>
      </c>
      <c r="K8" s="89">
        <v>0</v>
      </c>
      <c r="M8" s="40" t="s">
        <v>11</v>
      </c>
      <c r="N8" s="275">
        <v>0</v>
      </c>
      <c r="O8" s="275">
        <v>0</v>
      </c>
    </row>
    <row r="9" spans="1:15" ht="15.6" x14ac:dyDescent="0.3">
      <c r="A9" s="49" t="s">
        <v>9</v>
      </c>
      <c r="B9" t="s">
        <v>2</v>
      </c>
      <c r="C9">
        <v>2026</v>
      </c>
      <c r="D9">
        <f>Dashboard!F38</f>
        <v>0</v>
      </c>
      <c r="G9" s="40" t="s">
        <v>12</v>
      </c>
      <c r="H9" s="89">
        <v>1430963</v>
      </c>
      <c r="I9" s="89">
        <v>957823</v>
      </c>
      <c r="J9" s="89">
        <v>735522.5</v>
      </c>
      <c r="K9" s="89">
        <v>3124308.5</v>
      </c>
      <c r="M9" s="40" t="s">
        <v>12</v>
      </c>
      <c r="N9" s="275">
        <v>1786</v>
      </c>
      <c r="O9" s="275">
        <v>1786</v>
      </c>
    </row>
    <row r="10" spans="1:15" ht="15.6" x14ac:dyDescent="0.3">
      <c r="A10" s="49" t="s">
        <v>10</v>
      </c>
      <c r="B10" t="s">
        <v>2</v>
      </c>
      <c r="C10">
        <v>2023</v>
      </c>
      <c r="D10">
        <f>Dashboard!C39</f>
        <v>287.39999999999998</v>
      </c>
      <c r="G10" s="40" t="s">
        <v>42</v>
      </c>
      <c r="H10" s="89">
        <v>19651384.18</v>
      </c>
      <c r="I10" s="89">
        <v>17426694.010000002</v>
      </c>
      <c r="J10" s="89">
        <v>15462551.510000002</v>
      </c>
      <c r="K10" s="89">
        <v>52540629.700000003</v>
      </c>
      <c r="M10" s="40" t="s">
        <v>42</v>
      </c>
      <c r="N10" s="275">
        <v>9426.5550000000039</v>
      </c>
      <c r="O10" s="275">
        <v>9426.5550000000039</v>
      </c>
    </row>
    <row r="11" spans="1:15" ht="15.6" x14ac:dyDescent="0.3">
      <c r="A11" s="49" t="s">
        <v>10</v>
      </c>
      <c r="B11" t="s">
        <v>2</v>
      </c>
      <c r="C11">
        <v>2024</v>
      </c>
      <c r="D11">
        <f>Dashboard!D39</f>
        <v>0</v>
      </c>
    </row>
    <row r="12" spans="1:15" ht="15.6" x14ac:dyDescent="0.3">
      <c r="A12" s="49" t="s">
        <v>10</v>
      </c>
      <c r="B12" t="s">
        <v>2</v>
      </c>
      <c r="C12">
        <v>2025</v>
      </c>
      <c r="D12">
        <f>Dashboard!E39</f>
        <v>0</v>
      </c>
    </row>
    <row r="13" spans="1:15" ht="15.6" x14ac:dyDescent="0.3">
      <c r="A13" s="49" t="s">
        <v>10</v>
      </c>
      <c r="B13" t="s">
        <v>2</v>
      </c>
      <c r="C13">
        <v>2026</v>
      </c>
      <c r="D13">
        <f>Dashboard!F39</f>
        <v>0</v>
      </c>
    </row>
    <row r="14" spans="1:15" ht="15.6" x14ac:dyDescent="0.3">
      <c r="A14" s="49" t="s">
        <v>11</v>
      </c>
      <c r="B14" t="s">
        <v>2</v>
      </c>
      <c r="C14">
        <v>2023</v>
      </c>
      <c r="D14">
        <f>Dashboard!C40</f>
        <v>0</v>
      </c>
    </row>
    <row r="15" spans="1:15" ht="15.6" x14ac:dyDescent="0.3">
      <c r="A15" s="49" t="s">
        <v>11</v>
      </c>
      <c r="B15" t="s">
        <v>2</v>
      </c>
      <c r="C15">
        <v>2024</v>
      </c>
      <c r="D15">
        <f>Dashboard!D40</f>
        <v>0</v>
      </c>
    </row>
    <row r="16" spans="1:15" ht="15.6" x14ac:dyDescent="0.3">
      <c r="A16" s="49" t="s">
        <v>11</v>
      </c>
      <c r="B16" t="s">
        <v>2</v>
      </c>
      <c r="C16">
        <v>2025</v>
      </c>
      <c r="D16">
        <f>Dashboard!E40</f>
        <v>0</v>
      </c>
    </row>
    <row r="17" spans="1:4" ht="15.6" x14ac:dyDescent="0.3">
      <c r="A17" s="49" t="s">
        <v>11</v>
      </c>
      <c r="B17" t="s">
        <v>2</v>
      </c>
      <c r="C17">
        <v>2026</v>
      </c>
      <c r="D17">
        <f>Dashboard!F40</f>
        <v>0</v>
      </c>
    </row>
    <row r="18" spans="1:4" ht="15.6" x14ac:dyDescent="0.3">
      <c r="A18" s="49" t="s">
        <v>12</v>
      </c>
      <c r="B18" t="s">
        <v>2</v>
      </c>
      <c r="C18">
        <v>2023</v>
      </c>
      <c r="D18">
        <f>Dashboard!C41</f>
        <v>100</v>
      </c>
    </row>
    <row r="19" spans="1:4" ht="15.6" x14ac:dyDescent="0.3">
      <c r="A19" s="49" t="s">
        <v>12</v>
      </c>
      <c r="B19" t="s">
        <v>2</v>
      </c>
      <c r="C19">
        <v>2024</v>
      </c>
      <c r="D19">
        <f>Dashboard!D41</f>
        <v>789</v>
      </c>
    </row>
    <row r="20" spans="1:4" ht="15.6" x14ac:dyDescent="0.3">
      <c r="A20" s="49" t="s">
        <v>12</v>
      </c>
      <c r="B20" t="s">
        <v>2</v>
      </c>
      <c r="C20">
        <v>2025</v>
      </c>
      <c r="D20">
        <f>Dashboard!E41</f>
        <v>897</v>
      </c>
    </row>
    <row r="21" spans="1:4" ht="15.6" x14ac:dyDescent="0.3">
      <c r="A21" s="49" t="s">
        <v>12</v>
      </c>
      <c r="B21" t="s">
        <v>2</v>
      </c>
      <c r="C21">
        <v>2026</v>
      </c>
      <c r="D21">
        <f>Dashboard!F41</f>
        <v>0</v>
      </c>
    </row>
    <row r="22" spans="1:4" ht="15.6" x14ac:dyDescent="0.3">
      <c r="A22" s="49" t="s">
        <v>8</v>
      </c>
      <c r="B22" t="s">
        <v>39</v>
      </c>
      <c r="C22">
        <v>2023</v>
      </c>
      <c r="D22" s="89">
        <f>Dashboard!I37</f>
        <v>782725</v>
      </c>
    </row>
    <row r="23" spans="1:4" ht="15.6" x14ac:dyDescent="0.3">
      <c r="A23" s="49" t="s">
        <v>8</v>
      </c>
      <c r="B23" t="s">
        <v>39</v>
      </c>
      <c r="C23">
        <v>2024</v>
      </c>
      <c r="D23" s="89">
        <f>Dashboard!J37</f>
        <v>5036797.2</v>
      </c>
    </row>
    <row r="24" spans="1:4" ht="15.6" x14ac:dyDescent="0.3">
      <c r="A24" s="49" t="s">
        <v>8</v>
      </c>
      <c r="B24" t="s">
        <v>39</v>
      </c>
      <c r="C24">
        <v>2025</v>
      </c>
      <c r="D24" s="89">
        <f>Dashboard!K37</f>
        <v>4495345.4000000004</v>
      </c>
    </row>
    <row r="25" spans="1:4" ht="15.6" x14ac:dyDescent="0.3">
      <c r="A25" s="49" t="s">
        <v>8</v>
      </c>
      <c r="B25" t="s">
        <v>39</v>
      </c>
      <c r="C25">
        <v>2026</v>
      </c>
      <c r="D25" s="89">
        <f>Dashboard!L37</f>
        <v>0</v>
      </c>
    </row>
    <row r="26" spans="1:4" ht="15.6" x14ac:dyDescent="0.3">
      <c r="A26" s="49" t="s">
        <v>9</v>
      </c>
      <c r="B26" t="s">
        <v>39</v>
      </c>
      <c r="C26">
        <v>2023</v>
      </c>
      <c r="D26" s="89">
        <f>Dashboard!I38</f>
        <v>521800</v>
      </c>
    </row>
    <row r="27" spans="1:4" ht="15.6" x14ac:dyDescent="0.3">
      <c r="A27" s="49" t="s">
        <v>9</v>
      </c>
      <c r="B27" t="s">
        <v>39</v>
      </c>
      <c r="C27">
        <v>2024</v>
      </c>
      <c r="D27" s="89">
        <f>Dashboard!J38</f>
        <v>4266680</v>
      </c>
    </row>
    <row r="28" spans="1:4" ht="15.6" x14ac:dyDescent="0.3">
      <c r="A28" s="49" t="s">
        <v>9</v>
      </c>
      <c r="B28" t="s">
        <v>39</v>
      </c>
      <c r="C28">
        <v>2025</v>
      </c>
      <c r="D28" s="89">
        <f>Dashboard!K38</f>
        <v>2397073.58</v>
      </c>
    </row>
    <row r="29" spans="1:4" ht="15.6" x14ac:dyDescent="0.3">
      <c r="A29" s="49" t="s">
        <v>9</v>
      </c>
      <c r="B29" t="s">
        <v>39</v>
      </c>
      <c r="C29">
        <v>2026</v>
      </c>
      <c r="D29" s="89">
        <f>Dashboard!L38</f>
        <v>0</v>
      </c>
    </row>
    <row r="30" spans="1:4" ht="15.6" x14ac:dyDescent="0.3">
      <c r="A30" s="49" t="s">
        <v>10</v>
      </c>
      <c r="B30" t="s">
        <v>39</v>
      </c>
      <c r="C30">
        <v>2023</v>
      </c>
      <c r="D30" s="89">
        <f>Dashboard!I39</f>
        <v>720000</v>
      </c>
    </row>
    <row r="31" spans="1:4" ht="15.6" x14ac:dyDescent="0.3">
      <c r="A31" s="49" t="s">
        <v>10</v>
      </c>
      <c r="B31" t="s">
        <v>39</v>
      </c>
      <c r="C31">
        <v>2024</v>
      </c>
      <c r="D31" s="89">
        <f>Dashboard!J39</f>
        <v>0</v>
      </c>
    </row>
    <row r="32" spans="1:4" ht="15.6" x14ac:dyDescent="0.3">
      <c r="A32" s="49" t="s">
        <v>10</v>
      </c>
      <c r="B32" t="s">
        <v>39</v>
      </c>
      <c r="C32">
        <v>2025</v>
      </c>
      <c r="D32" s="89">
        <f>Dashboard!K39</f>
        <v>0</v>
      </c>
    </row>
    <row r="33" spans="1:4" ht="15.6" x14ac:dyDescent="0.3">
      <c r="A33" s="49" t="s">
        <v>10</v>
      </c>
      <c r="B33" t="s">
        <v>39</v>
      </c>
      <c r="C33">
        <v>2026</v>
      </c>
      <c r="D33" s="89">
        <f>Dashboard!L39</f>
        <v>0</v>
      </c>
    </row>
    <row r="34" spans="1:4" ht="15.6" x14ac:dyDescent="0.3">
      <c r="A34" s="49" t="s">
        <v>11</v>
      </c>
      <c r="B34" t="s">
        <v>39</v>
      </c>
      <c r="C34">
        <v>2023</v>
      </c>
      <c r="D34" s="89">
        <f>Dashboard!I40</f>
        <v>0</v>
      </c>
    </row>
    <row r="35" spans="1:4" ht="15.6" x14ac:dyDescent="0.3">
      <c r="A35" s="49" t="s">
        <v>11</v>
      </c>
      <c r="B35" t="s">
        <v>39</v>
      </c>
      <c r="C35">
        <v>2024</v>
      </c>
      <c r="D35" s="89">
        <f>Dashboard!J40</f>
        <v>0</v>
      </c>
    </row>
    <row r="36" spans="1:4" ht="15.6" x14ac:dyDescent="0.3">
      <c r="A36" s="49" t="s">
        <v>11</v>
      </c>
      <c r="B36" t="s">
        <v>39</v>
      </c>
      <c r="C36">
        <v>2025</v>
      </c>
      <c r="D36" s="89">
        <f>Dashboard!K40</f>
        <v>0</v>
      </c>
    </row>
    <row r="37" spans="1:4" ht="15.6" x14ac:dyDescent="0.3">
      <c r="A37" s="49" t="s">
        <v>11</v>
      </c>
      <c r="B37" t="s">
        <v>39</v>
      </c>
      <c r="C37">
        <v>2026</v>
      </c>
      <c r="D37" s="89">
        <f>Dashboard!L40</f>
        <v>0</v>
      </c>
    </row>
    <row r="38" spans="1:4" ht="15.6" x14ac:dyDescent="0.3">
      <c r="A38" s="49" t="s">
        <v>12</v>
      </c>
      <c r="B38" t="s">
        <v>39</v>
      </c>
      <c r="C38">
        <v>2023</v>
      </c>
      <c r="D38" s="89">
        <f>Dashboard!I41</f>
        <v>93380</v>
      </c>
    </row>
    <row r="39" spans="1:4" ht="15.6" x14ac:dyDescent="0.3">
      <c r="A39" s="49" t="s">
        <v>12</v>
      </c>
      <c r="B39" t="s">
        <v>39</v>
      </c>
      <c r="C39">
        <v>2024</v>
      </c>
      <c r="D39" s="89">
        <f>Dashboard!J41</f>
        <v>355363</v>
      </c>
    </row>
    <row r="40" spans="1:4" ht="15.6" x14ac:dyDescent="0.3">
      <c r="A40" s="49" t="s">
        <v>12</v>
      </c>
      <c r="B40" t="s">
        <v>39</v>
      </c>
      <c r="C40">
        <v>2025</v>
      </c>
      <c r="D40" s="89">
        <f>Dashboard!K41</f>
        <v>982220</v>
      </c>
    </row>
    <row r="41" spans="1:4" ht="15.6" x14ac:dyDescent="0.3">
      <c r="A41" s="49" t="s">
        <v>12</v>
      </c>
      <c r="B41" t="s">
        <v>39</v>
      </c>
      <c r="C41">
        <v>2026</v>
      </c>
      <c r="D41" s="89">
        <f>Dashboard!L41</f>
        <v>0</v>
      </c>
    </row>
    <row r="42" spans="1:4" ht="15.6" x14ac:dyDescent="0.3">
      <c r="A42" s="49" t="s">
        <v>8</v>
      </c>
      <c r="B42" t="s">
        <v>40</v>
      </c>
      <c r="C42">
        <v>2023</v>
      </c>
      <c r="D42" s="89">
        <f>Dashboard!O37</f>
        <v>379240</v>
      </c>
    </row>
    <row r="43" spans="1:4" ht="15.6" x14ac:dyDescent="0.3">
      <c r="A43" s="49" t="s">
        <v>8</v>
      </c>
      <c r="B43" t="s">
        <v>40</v>
      </c>
      <c r="C43">
        <v>2024</v>
      </c>
      <c r="D43" s="89">
        <f>Dashboard!P37</f>
        <v>3897315.2</v>
      </c>
    </row>
    <row r="44" spans="1:4" ht="15.6" x14ac:dyDescent="0.3">
      <c r="A44" s="49" t="s">
        <v>8</v>
      </c>
      <c r="B44" t="s">
        <v>40</v>
      </c>
      <c r="C44">
        <v>2025</v>
      </c>
      <c r="D44" s="89">
        <f>Dashboard!Q37</f>
        <v>4525569.4000000004</v>
      </c>
    </row>
    <row r="45" spans="1:4" ht="15.6" x14ac:dyDescent="0.3">
      <c r="A45" s="49" t="s">
        <v>8</v>
      </c>
      <c r="B45" t="s">
        <v>40</v>
      </c>
      <c r="C45">
        <v>2026</v>
      </c>
      <c r="D45" s="89">
        <f>Dashboard!R37</f>
        <v>0</v>
      </c>
    </row>
    <row r="46" spans="1:4" ht="15.6" x14ac:dyDescent="0.3">
      <c r="A46" s="49" t="s">
        <v>9</v>
      </c>
      <c r="B46" t="s">
        <v>40</v>
      </c>
      <c r="C46">
        <v>2023</v>
      </c>
      <c r="D46" s="89">
        <f>Dashboard!O38</f>
        <v>278820</v>
      </c>
    </row>
    <row r="47" spans="1:4" ht="15.6" x14ac:dyDescent="0.3">
      <c r="A47" s="49" t="s">
        <v>9</v>
      </c>
      <c r="B47" t="s">
        <v>40</v>
      </c>
      <c r="C47">
        <v>2024</v>
      </c>
      <c r="D47" s="89">
        <f>Dashboard!P38</f>
        <v>2643170</v>
      </c>
    </row>
    <row r="48" spans="1:4" ht="15.6" x14ac:dyDescent="0.3">
      <c r="A48" s="49" t="s">
        <v>9</v>
      </c>
      <c r="B48" t="s">
        <v>40</v>
      </c>
      <c r="C48">
        <v>2025</v>
      </c>
      <c r="D48" s="89">
        <f>Dashboard!Q38</f>
        <v>4024756.41</v>
      </c>
    </row>
    <row r="49" spans="1:4" ht="15.6" x14ac:dyDescent="0.3">
      <c r="A49" s="49" t="s">
        <v>9</v>
      </c>
      <c r="B49" t="s">
        <v>40</v>
      </c>
      <c r="C49">
        <v>2026</v>
      </c>
      <c r="D49" s="89">
        <f>Dashboard!R38</f>
        <v>0</v>
      </c>
    </row>
    <row r="50" spans="1:4" ht="15.6" x14ac:dyDescent="0.3">
      <c r="A50" s="49" t="s">
        <v>10</v>
      </c>
      <c r="B50" t="s">
        <v>40</v>
      </c>
      <c r="C50">
        <v>2023</v>
      </c>
      <c r="D50" s="89">
        <f>Dashboard!O39</f>
        <v>432000</v>
      </c>
    </row>
    <row r="51" spans="1:4" ht="15.6" x14ac:dyDescent="0.3">
      <c r="A51" s="49" t="s">
        <v>10</v>
      </c>
      <c r="B51" t="s">
        <v>40</v>
      </c>
      <c r="C51">
        <v>2024</v>
      </c>
      <c r="D51" s="89">
        <f>Dashboard!P39</f>
        <v>288000</v>
      </c>
    </row>
    <row r="52" spans="1:4" ht="15.6" x14ac:dyDescent="0.3">
      <c r="A52" s="49" t="s">
        <v>10</v>
      </c>
      <c r="B52" t="s">
        <v>40</v>
      </c>
      <c r="C52">
        <v>2025</v>
      </c>
      <c r="D52" s="89">
        <f>Dashboard!Q39</f>
        <v>0</v>
      </c>
    </row>
    <row r="53" spans="1:4" ht="15.6" x14ac:dyDescent="0.3">
      <c r="A53" s="49" t="s">
        <v>10</v>
      </c>
      <c r="B53" t="s">
        <v>40</v>
      </c>
      <c r="C53">
        <v>2026</v>
      </c>
      <c r="D53" s="89">
        <f>Dashboard!R39</f>
        <v>0</v>
      </c>
    </row>
    <row r="54" spans="1:4" ht="15.6" x14ac:dyDescent="0.3">
      <c r="A54" s="49" t="s">
        <v>11</v>
      </c>
      <c r="B54" t="s">
        <v>40</v>
      </c>
      <c r="C54">
        <v>2023</v>
      </c>
      <c r="D54" s="89">
        <f>Dashboard!O40</f>
        <v>0</v>
      </c>
    </row>
    <row r="55" spans="1:4" ht="15.6" x14ac:dyDescent="0.3">
      <c r="A55" s="49" t="s">
        <v>11</v>
      </c>
      <c r="B55" t="s">
        <v>40</v>
      </c>
      <c r="C55">
        <v>2024</v>
      </c>
      <c r="D55" s="89">
        <f>Dashboard!P40</f>
        <v>0</v>
      </c>
    </row>
    <row r="56" spans="1:4" ht="15.6" x14ac:dyDescent="0.3">
      <c r="A56" s="49" t="s">
        <v>11</v>
      </c>
      <c r="B56" t="s">
        <v>40</v>
      </c>
      <c r="C56">
        <v>2025</v>
      </c>
      <c r="D56" s="89">
        <f>Dashboard!Q40</f>
        <v>0</v>
      </c>
    </row>
    <row r="57" spans="1:4" ht="15.6" x14ac:dyDescent="0.3">
      <c r="A57" s="49" t="s">
        <v>11</v>
      </c>
      <c r="B57" t="s">
        <v>40</v>
      </c>
      <c r="C57">
        <v>2026</v>
      </c>
      <c r="D57" s="89">
        <f>Dashboard!R40</f>
        <v>0</v>
      </c>
    </row>
    <row r="58" spans="1:4" ht="15.6" x14ac:dyDescent="0.3">
      <c r="A58" s="49" t="s">
        <v>12</v>
      </c>
      <c r="B58" t="s">
        <v>40</v>
      </c>
      <c r="C58">
        <v>2023</v>
      </c>
      <c r="D58" s="89">
        <f>Dashboard!O41</f>
        <v>46690</v>
      </c>
    </row>
    <row r="59" spans="1:4" ht="15.6" x14ac:dyDescent="0.3">
      <c r="A59" s="49" t="s">
        <v>12</v>
      </c>
      <c r="B59" t="s">
        <v>40</v>
      </c>
      <c r="C59">
        <v>2024</v>
      </c>
      <c r="D59" s="89">
        <f>Dashboard!P41</f>
        <v>342903</v>
      </c>
    </row>
    <row r="60" spans="1:4" ht="15.6" x14ac:dyDescent="0.3">
      <c r="A60" s="88" t="s">
        <v>12</v>
      </c>
      <c r="B60" t="s">
        <v>40</v>
      </c>
      <c r="C60">
        <v>2025</v>
      </c>
      <c r="D60" s="89">
        <f>Dashboard!Q41</f>
        <v>568230</v>
      </c>
    </row>
    <row r="61" spans="1:4" ht="15.6" x14ac:dyDescent="0.3">
      <c r="A61" s="88" t="s">
        <v>12</v>
      </c>
      <c r="B61" t="s">
        <v>40</v>
      </c>
      <c r="C61">
        <v>2026</v>
      </c>
      <c r="D61" s="89">
        <f>Dashboard!R41</f>
        <v>0</v>
      </c>
    </row>
    <row r="62" spans="1:4" ht="15.6" x14ac:dyDescent="0.3">
      <c r="A62" s="49" t="s">
        <v>8</v>
      </c>
      <c r="B62" t="s">
        <v>41</v>
      </c>
      <c r="C62">
        <v>2023</v>
      </c>
      <c r="D62" s="89">
        <f>Dashboard!U37</f>
        <v>301640</v>
      </c>
    </row>
    <row r="63" spans="1:4" ht="15.6" x14ac:dyDescent="0.3">
      <c r="A63" s="49" t="s">
        <v>8</v>
      </c>
      <c r="B63" t="s">
        <v>41</v>
      </c>
      <c r="C63">
        <v>2024</v>
      </c>
      <c r="D63" s="89">
        <f>Dashboard!V37</f>
        <v>3691311.2</v>
      </c>
    </row>
    <row r="64" spans="1:4" ht="15.6" x14ac:dyDescent="0.3">
      <c r="A64" s="49" t="s">
        <v>8</v>
      </c>
      <c r="B64" t="s">
        <v>41</v>
      </c>
      <c r="C64">
        <v>2025</v>
      </c>
      <c r="D64" s="89">
        <f>Dashboard!W37</f>
        <v>4593876.4000000004</v>
      </c>
    </row>
    <row r="65" spans="1:4" ht="15.6" x14ac:dyDescent="0.3">
      <c r="A65" s="49" t="s">
        <v>8</v>
      </c>
      <c r="B65" t="s">
        <v>41</v>
      </c>
      <c r="C65">
        <v>2026</v>
      </c>
      <c r="D65" s="89">
        <f>Dashboard!X37</f>
        <v>0</v>
      </c>
    </row>
    <row r="66" spans="1:4" ht="15.6" x14ac:dyDescent="0.3">
      <c r="A66" s="49" t="s">
        <v>9</v>
      </c>
      <c r="B66" t="s">
        <v>41</v>
      </c>
      <c r="C66">
        <v>2023</v>
      </c>
      <c r="D66" s="89">
        <f>Dashboard!U38</f>
        <v>278820</v>
      </c>
    </row>
    <row r="67" spans="1:4" ht="15.6" x14ac:dyDescent="0.3">
      <c r="A67" s="49" t="s">
        <v>9</v>
      </c>
      <c r="B67" t="s">
        <v>41</v>
      </c>
      <c r="C67">
        <v>2024</v>
      </c>
      <c r="D67" s="89">
        <f>Dashboard!V38</f>
        <v>2422890</v>
      </c>
    </row>
    <row r="68" spans="1:4" ht="15.6" x14ac:dyDescent="0.3">
      <c r="A68" s="49" t="s">
        <v>9</v>
      </c>
      <c r="B68" t="s">
        <v>41</v>
      </c>
      <c r="C68">
        <v>2025</v>
      </c>
      <c r="D68" s="89">
        <f>Dashboard!W38</f>
        <v>2718491.41</v>
      </c>
    </row>
    <row r="69" spans="1:4" ht="15.6" x14ac:dyDescent="0.3">
      <c r="A69" s="49" t="s">
        <v>9</v>
      </c>
      <c r="B69" t="s">
        <v>41</v>
      </c>
      <c r="C69">
        <v>2026</v>
      </c>
      <c r="D69" s="89">
        <f>Dashboard!X38</f>
        <v>0</v>
      </c>
    </row>
    <row r="70" spans="1:4" ht="15.6" x14ac:dyDescent="0.3">
      <c r="A70" s="49" t="s">
        <v>10</v>
      </c>
      <c r="B70" t="s">
        <v>41</v>
      </c>
      <c r="C70">
        <v>2023</v>
      </c>
      <c r="D70" s="89">
        <f>Dashboard!U39</f>
        <v>432000</v>
      </c>
    </row>
    <row r="71" spans="1:4" ht="15.6" x14ac:dyDescent="0.3">
      <c r="A71" s="49" t="s">
        <v>10</v>
      </c>
      <c r="B71" t="s">
        <v>41</v>
      </c>
      <c r="C71">
        <v>2024</v>
      </c>
      <c r="D71" s="89">
        <f>Dashboard!V39</f>
        <v>288000</v>
      </c>
    </row>
    <row r="72" spans="1:4" ht="15.6" x14ac:dyDescent="0.3">
      <c r="A72" s="49" t="s">
        <v>10</v>
      </c>
      <c r="B72" t="s">
        <v>41</v>
      </c>
      <c r="C72">
        <v>2025</v>
      </c>
      <c r="D72" s="89">
        <f>Dashboard!W39</f>
        <v>0</v>
      </c>
    </row>
    <row r="73" spans="1:4" ht="15.6" x14ac:dyDescent="0.3">
      <c r="A73" s="49" t="s">
        <v>10</v>
      </c>
      <c r="B73" t="s">
        <v>41</v>
      </c>
      <c r="C73">
        <v>2026</v>
      </c>
      <c r="D73" s="89">
        <f>Dashboard!X39</f>
        <v>0</v>
      </c>
    </row>
    <row r="74" spans="1:4" ht="15.6" x14ac:dyDescent="0.3">
      <c r="A74" s="49" t="s">
        <v>11</v>
      </c>
      <c r="B74" t="s">
        <v>41</v>
      </c>
      <c r="C74">
        <v>2023</v>
      </c>
      <c r="D74" s="89">
        <f>Dashboard!U40</f>
        <v>0</v>
      </c>
    </row>
    <row r="75" spans="1:4" ht="15.6" x14ac:dyDescent="0.3">
      <c r="A75" s="49" t="s">
        <v>11</v>
      </c>
      <c r="B75" t="s">
        <v>41</v>
      </c>
      <c r="C75">
        <v>2024</v>
      </c>
      <c r="D75" s="89">
        <f>Dashboard!V40</f>
        <v>0</v>
      </c>
    </row>
    <row r="76" spans="1:4" ht="15.6" x14ac:dyDescent="0.3">
      <c r="A76" s="49" t="s">
        <v>11</v>
      </c>
      <c r="B76" t="s">
        <v>41</v>
      </c>
      <c r="C76">
        <v>2025</v>
      </c>
      <c r="D76" s="89">
        <f>Dashboard!W40</f>
        <v>0</v>
      </c>
    </row>
    <row r="77" spans="1:4" ht="15.6" x14ac:dyDescent="0.3">
      <c r="A77" s="49" t="s">
        <v>11</v>
      </c>
      <c r="B77" t="s">
        <v>41</v>
      </c>
      <c r="C77">
        <v>2026</v>
      </c>
      <c r="D77" s="89">
        <f>Dashboard!X40</f>
        <v>0</v>
      </c>
    </row>
    <row r="78" spans="1:4" ht="15.6" x14ac:dyDescent="0.3">
      <c r="A78" s="49" t="s">
        <v>12</v>
      </c>
      <c r="B78" t="s">
        <v>41</v>
      </c>
      <c r="C78">
        <v>2023</v>
      </c>
      <c r="D78" s="89">
        <f>Dashboard!U41</f>
        <v>46690</v>
      </c>
    </row>
    <row r="79" spans="1:4" ht="15.6" x14ac:dyDescent="0.3">
      <c r="A79" s="49" t="s">
        <v>12</v>
      </c>
      <c r="B79" t="s">
        <v>41</v>
      </c>
      <c r="C79">
        <v>2024</v>
      </c>
      <c r="D79" s="89">
        <f>Dashboard!V41</f>
        <v>321025</v>
      </c>
    </row>
    <row r="80" spans="1:4" ht="15.6" x14ac:dyDescent="0.3">
      <c r="A80" s="88" t="s">
        <v>12</v>
      </c>
      <c r="B80" t="s">
        <v>41</v>
      </c>
      <c r="C80">
        <v>2025</v>
      </c>
      <c r="D80" s="89">
        <f>Dashboard!W41</f>
        <v>367807.5</v>
      </c>
    </row>
    <row r="81" spans="1:4" ht="15.6" x14ac:dyDescent="0.3">
      <c r="A81" s="88" t="s">
        <v>12</v>
      </c>
      <c r="B81" t="s">
        <v>41</v>
      </c>
      <c r="C81">
        <v>2026</v>
      </c>
      <c r="D81" s="89">
        <f>Dashboard!X41</f>
        <v>0</v>
      </c>
    </row>
  </sheetData>
  <pageMargins left="0.7" right="0.7" top="0.75" bottom="0.75" header="0.3" footer="0.3"/>
  <pageSetup orientation="portrait"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FD94A-5788-41C4-B196-550685D9D376}">
  <sheetPr codeName="Sheet1"/>
  <dimension ref="A3:AB395"/>
  <sheetViews>
    <sheetView topLeftCell="A4" zoomScaleNormal="100" workbookViewId="0">
      <pane xSplit="2" ySplit="1" topLeftCell="C301" activePane="bottomRight" state="frozen"/>
      <selection pane="topRight" activeCell="C4" sqref="C4"/>
      <selection pane="bottomLeft" activeCell="A5" sqref="A5"/>
      <selection pane="bottomRight" activeCell="J305" sqref="J305"/>
    </sheetView>
  </sheetViews>
  <sheetFormatPr defaultColWidth="8.5546875" defaultRowHeight="14.4" x14ac:dyDescent="0.3"/>
  <cols>
    <col min="1" max="1" width="16.44140625" style="20" customWidth="1"/>
    <col min="2" max="2" width="44" style="5" customWidth="1"/>
    <col min="3" max="3" width="15.44140625" style="5" customWidth="1"/>
    <col min="4" max="4" width="15" style="20" customWidth="1"/>
    <col min="5" max="5" width="13.5546875" style="20" customWidth="1"/>
    <col min="6" max="6" width="11.44140625" style="20" customWidth="1"/>
    <col min="7" max="7" width="17.44140625" style="20" customWidth="1"/>
    <col min="8" max="10" width="13.5546875" style="20" customWidth="1"/>
    <col min="11" max="11" width="16.5546875" style="24" customWidth="1"/>
    <col min="12" max="12" width="14.44140625" style="24" customWidth="1"/>
    <col min="13" max="13" width="23" style="20" customWidth="1"/>
    <col min="14" max="14" width="17.5546875" style="20" customWidth="1"/>
    <col min="15" max="15" width="17.5546875" style="5" customWidth="1"/>
    <col min="16" max="16" width="18.5546875" style="5" customWidth="1"/>
    <col min="17" max="17" width="26.5546875" style="5" customWidth="1"/>
    <col min="18" max="18" width="25.44140625" style="20" customWidth="1"/>
    <col min="19" max="19" width="23.5546875" style="5" customWidth="1"/>
    <col min="20" max="20" width="83.5546875" style="20" customWidth="1"/>
    <col min="21" max="21" width="25.44140625" style="5" customWidth="1"/>
    <col min="22" max="22" width="33.44140625" style="20" customWidth="1"/>
    <col min="23" max="25" width="22.44140625" style="20" customWidth="1"/>
    <col min="26" max="26" width="15.5546875" style="20" customWidth="1"/>
    <col min="27" max="27" width="18.44140625" style="20" customWidth="1"/>
    <col min="28" max="28" width="20.44140625" style="20" customWidth="1"/>
    <col min="29" max="16384" width="8.5546875" style="20"/>
  </cols>
  <sheetData>
    <row r="3" spans="1:28" x14ac:dyDescent="0.3">
      <c r="G3" s="91"/>
    </row>
    <row r="4" spans="1:28" s="14" customFormat="1" ht="33.75" customHeight="1" x14ac:dyDescent="0.3">
      <c r="A4" s="14" t="s">
        <v>43</v>
      </c>
      <c r="B4" s="14" t="s">
        <v>44</v>
      </c>
      <c r="C4" s="14" t="s">
        <v>45</v>
      </c>
      <c r="D4" s="14" t="s">
        <v>46</v>
      </c>
      <c r="E4" s="14" t="s">
        <v>47</v>
      </c>
      <c r="F4" s="14" t="s">
        <v>48</v>
      </c>
      <c r="G4" s="14" t="s">
        <v>49</v>
      </c>
      <c r="H4" s="14" t="s">
        <v>50</v>
      </c>
      <c r="I4" s="14" t="s">
        <v>51</v>
      </c>
      <c r="J4" s="14" t="s">
        <v>52</v>
      </c>
      <c r="K4" s="109" t="s">
        <v>3</v>
      </c>
      <c r="L4" s="109" t="s">
        <v>53</v>
      </c>
      <c r="M4" s="14" t="s">
        <v>54</v>
      </c>
      <c r="N4" s="14" t="s">
        <v>55</v>
      </c>
      <c r="O4" s="14" t="s">
        <v>56</v>
      </c>
      <c r="P4" s="14" t="s">
        <v>57</v>
      </c>
      <c r="Q4" s="14" t="s">
        <v>58</v>
      </c>
      <c r="R4" s="14" t="s">
        <v>59</v>
      </c>
      <c r="S4" s="14" t="s">
        <v>60</v>
      </c>
      <c r="T4" s="14" t="s">
        <v>61</v>
      </c>
      <c r="U4" s="14" t="s">
        <v>62</v>
      </c>
      <c r="V4" s="14" t="s">
        <v>63</v>
      </c>
      <c r="W4" s="14" t="s">
        <v>64</v>
      </c>
      <c r="X4" s="14" t="s">
        <v>65</v>
      </c>
      <c r="Y4" s="14" t="s">
        <v>66</v>
      </c>
      <c r="Z4" s="14" t="s">
        <v>67</v>
      </c>
      <c r="AA4" s="14" t="s">
        <v>68</v>
      </c>
      <c r="AB4" s="14" t="s">
        <v>69</v>
      </c>
    </row>
    <row r="5" spans="1:28" x14ac:dyDescent="0.3">
      <c r="A5" s="5">
        <v>2303005</v>
      </c>
      <c r="B5" s="20" t="s">
        <v>70</v>
      </c>
      <c r="C5" s="25">
        <v>45021</v>
      </c>
      <c r="D5" s="5" t="s">
        <v>20</v>
      </c>
      <c r="E5" s="5" t="s">
        <v>71</v>
      </c>
      <c r="F5" s="5" t="s">
        <v>14</v>
      </c>
      <c r="G5" s="5" t="e" vm="15">
        <v>#VALUE!</v>
      </c>
      <c r="H5" s="5">
        <v>8.0500000000000007</v>
      </c>
      <c r="I5" s="5" t="s">
        <v>18</v>
      </c>
      <c r="J5" s="5"/>
      <c r="K5" s="11">
        <v>32000</v>
      </c>
      <c r="M5" s="5" t="s">
        <v>72</v>
      </c>
      <c r="N5" s="5" t="s">
        <v>73</v>
      </c>
      <c r="O5" s="5" t="s">
        <v>74</v>
      </c>
      <c r="P5" s="5">
        <v>14.000000000000002</v>
      </c>
      <c r="Q5" s="5" t="s">
        <v>75</v>
      </c>
      <c r="R5" s="5"/>
      <c r="S5" s="5" t="s">
        <v>76</v>
      </c>
      <c r="T5" s="20" t="s">
        <v>77</v>
      </c>
      <c r="U5" s="5" t="s">
        <v>78</v>
      </c>
      <c r="V5" s="21" t="s">
        <v>79</v>
      </c>
      <c r="W5" s="5" t="s">
        <v>80</v>
      </c>
      <c r="X5" s="5" t="s">
        <v>81</v>
      </c>
      <c r="Y5" s="5"/>
      <c r="Z5" s="5"/>
    </row>
    <row r="6" spans="1:28" x14ac:dyDescent="0.3">
      <c r="A6" s="5">
        <v>2303006</v>
      </c>
      <c r="B6" s="20" t="s">
        <v>82</v>
      </c>
      <c r="C6" s="25">
        <v>45029</v>
      </c>
      <c r="D6" s="5" t="s">
        <v>20</v>
      </c>
      <c r="E6" s="5" t="s">
        <v>71</v>
      </c>
      <c r="F6" s="5" t="s">
        <v>14</v>
      </c>
      <c r="G6" s="5" t="e" vm="15">
        <v>#VALUE!</v>
      </c>
      <c r="H6" s="5">
        <v>12.65</v>
      </c>
      <c r="I6" s="5" t="s">
        <v>18</v>
      </c>
      <c r="J6" s="5"/>
      <c r="K6" s="11">
        <v>40000</v>
      </c>
      <c r="M6" s="5" t="s">
        <v>72</v>
      </c>
      <c r="N6" s="5" t="s">
        <v>73</v>
      </c>
      <c r="O6" s="5" t="s">
        <v>74</v>
      </c>
      <c r="P6" s="5">
        <v>22.000000000000004</v>
      </c>
      <c r="Q6" s="5" t="s">
        <v>83</v>
      </c>
      <c r="R6" s="5"/>
      <c r="S6" s="5" t="s">
        <v>84</v>
      </c>
      <c r="T6" s="15" t="s">
        <v>85</v>
      </c>
      <c r="U6" s="5" t="s">
        <v>86</v>
      </c>
      <c r="V6" s="22" t="s">
        <v>87</v>
      </c>
      <c r="W6" s="5" t="s">
        <v>81</v>
      </c>
      <c r="X6" s="5" t="s">
        <v>81</v>
      </c>
      <c r="Y6" s="5"/>
      <c r="Z6" s="5"/>
    </row>
    <row r="7" spans="1:28" x14ac:dyDescent="0.3">
      <c r="A7" s="5">
        <v>2304016</v>
      </c>
      <c r="B7" s="20" t="s">
        <v>88</v>
      </c>
      <c r="C7" s="25">
        <v>45048</v>
      </c>
      <c r="D7" s="5" t="s">
        <v>19</v>
      </c>
      <c r="E7" s="5" t="s">
        <v>71</v>
      </c>
      <c r="F7" s="5" t="s">
        <v>15</v>
      </c>
      <c r="G7" s="5" t="e" vm="16">
        <v>#VALUE!</v>
      </c>
      <c r="H7" s="5">
        <v>8.0500000000000007</v>
      </c>
      <c r="I7" s="5" t="s">
        <v>18</v>
      </c>
      <c r="J7" s="5"/>
      <c r="K7" s="11">
        <v>31000</v>
      </c>
      <c r="M7" s="5" t="s">
        <v>72</v>
      </c>
      <c r="N7" s="5" t="s">
        <v>73</v>
      </c>
      <c r="O7" s="5" t="s">
        <v>74</v>
      </c>
      <c r="P7" s="5">
        <v>14.000000000000002</v>
      </c>
      <c r="Q7" s="5" t="s">
        <v>75</v>
      </c>
      <c r="R7" s="5"/>
      <c r="S7" s="5" t="s">
        <v>89</v>
      </c>
      <c r="T7" s="20" t="s">
        <v>90</v>
      </c>
      <c r="U7" s="5" t="s">
        <v>91</v>
      </c>
      <c r="V7" s="21" t="s">
        <v>92</v>
      </c>
      <c r="W7" s="5" t="s">
        <v>80</v>
      </c>
      <c r="X7" s="5" t="s">
        <v>81</v>
      </c>
      <c r="Y7" s="5"/>
      <c r="Z7" s="5"/>
    </row>
    <row r="8" spans="1:28" x14ac:dyDescent="0.3">
      <c r="A8" s="5">
        <v>2305021</v>
      </c>
      <c r="B8" s="20" t="s">
        <v>93</v>
      </c>
      <c r="C8" s="25">
        <v>45058</v>
      </c>
      <c r="D8" s="5" t="s">
        <v>20</v>
      </c>
      <c r="E8" s="5" t="s">
        <v>71</v>
      </c>
      <c r="F8" s="5" t="s">
        <v>14</v>
      </c>
      <c r="G8" s="5" t="e" vm="15">
        <v>#VALUE!</v>
      </c>
      <c r="H8" s="5">
        <v>4.6500000000000004</v>
      </c>
      <c r="I8" s="5" t="s">
        <v>18</v>
      </c>
      <c r="J8" s="5"/>
      <c r="K8" s="11">
        <v>20000</v>
      </c>
      <c r="M8" s="5" t="s">
        <v>72</v>
      </c>
      <c r="N8" s="5" t="s">
        <v>73</v>
      </c>
      <c r="O8" s="5" t="s">
        <v>74</v>
      </c>
      <c r="P8" s="5">
        <v>8</v>
      </c>
      <c r="Q8" s="5" t="s">
        <v>94</v>
      </c>
      <c r="R8" s="5"/>
      <c r="S8" s="5" t="s">
        <v>95</v>
      </c>
      <c r="T8" s="20" t="s">
        <v>96</v>
      </c>
      <c r="U8" s="5" t="s">
        <v>97</v>
      </c>
      <c r="V8" s="21" t="s">
        <v>98</v>
      </c>
      <c r="W8" s="5" t="s">
        <v>80</v>
      </c>
      <c r="X8" s="5" t="s">
        <v>81</v>
      </c>
      <c r="Y8" s="5"/>
      <c r="Z8" s="5"/>
    </row>
    <row r="9" spans="1:28" x14ac:dyDescent="0.3">
      <c r="A9" s="5">
        <v>2305026</v>
      </c>
      <c r="B9" s="20" t="s">
        <v>99</v>
      </c>
      <c r="C9" s="25">
        <v>45114</v>
      </c>
      <c r="D9" s="5" t="s">
        <v>20</v>
      </c>
      <c r="E9" s="5" t="s">
        <v>71</v>
      </c>
      <c r="F9" s="5" t="s">
        <v>14</v>
      </c>
      <c r="G9" s="5" t="e" vm="15">
        <v>#VALUE!</v>
      </c>
      <c r="H9" s="5">
        <v>12.65</v>
      </c>
      <c r="I9" s="5" t="s">
        <v>18</v>
      </c>
      <c r="J9" s="5"/>
      <c r="K9" s="11">
        <v>40000</v>
      </c>
      <c r="M9" s="5" t="s">
        <v>72</v>
      </c>
      <c r="N9" s="5" t="s">
        <v>73</v>
      </c>
      <c r="O9" s="12" t="s">
        <v>74</v>
      </c>
      <c r="P9" s="13">
        <v>22</v>
      </c>
      <c r="Q9" s="12" t="s">
        <v>83</v>
      </c>
      <c r="R9" s="12"/>
      <c r="S9" s="5" t="s">
        <v>100</v>
      </c>
      <c r="T9" s="20" t="s">
        <v>101</v>
      </c>
      <c r="U9" s="5" t="s">
        <v>102</v>
      </c>
      <c r="V9" s="21" t="s">
        <v>103</v>
      </c>
      <c r="W9" s="5" t="s">
        <v>81</v>
      </c>
      <c r="X9" s="5" t="s">
        <v>81</v>
      </c>
      <c r="Y9" s="5"/>
      <c r="Z9" s="5"/>
    </row>
    <row r="10" spans="1:28" x14ac:dyDescent="0.3">
      <c r="A10" s="5">
        <v>2306033</v>
      </c>
      <c r="B10" s="20" t="s">
        <v>104</v>
      </c>
      <c r="C10" s="25">
        <v>45083</v>
      </c>
      <c r="D10" s="5" t="s">
        <v>19</v>
      </c>
      <c r="E10" s="5" t="s">
        <v>71</v>
      </c>
      <c r="F10" s="5" t="s">
        <v>14</v>
      </c>
      <c r="G10" s="5" t="e" vm="17">
        <v>#VALUE!</v>
      </c>
      <c r="H10" s="5">
        <v>4.6500000000000004</v>
      </c>
      <c r="I10" s="5" t="s">
        <v>18</v>
      </c>
      <c r="J10" s="5"/>
      <c r="K10" s="11">
        <v>16000</v>
      </c>
      <c r="M10" s="5" t="s">
        <v>72</v>
      </c>
      <c r="N10" s="5" t="s">
        <v>73</v>
      </c>
      <c r="O10" s="5" t="s">
        <v>74</v>
      </c>
      <c r="P10" s="5">
        <v>8</v>
      </c>
      <c r="Q10" s="5" t="s">
        <v>94</v>
      </c>
      <c r="R10" s="5"/>
      <c r="S10" s="5" t="s">
        <v>105</v>
      </c>
      <c r="T10" s="20" t="s">
        <v>106</v>
      </c>
      <c r="U10" s="5" t="s">
        <v>107</v>
      </c>
      <c r="V10" s="21" t="s">
        <v>108</v>
      </c>
      <c r="W10" s="5" t="s">
        <v>109</v>
      </c>
      <c r="X10" s="5" t="s">
        <v>81</v>
      </c>
      <c r="Y10" s="5"/>
      <c r="Z10" s="5"/>
    </row>
    <row r="11" spans="1:28" x14ac:dyDescent="0.3">
      <c r="A11" s="5">
        <v>2306037</v>
      </c>
      <c r="B11" s="20" t="s">
        <v>110</v>
      </c>
      <c r="C11" s="25">
        <v>45195</v>
      </c>
      <c r="D11" s="5" t="s">
        <v>20</v>
      </c>
      <c r="E11" s="5" t="s">
        <v>71</v>
      </c>
      <c r="F11" s="5" t="s">
        <v>14</v>
      </c>
      <c r="G11" s="5" t="e" vm="18">
        <v>#VALUE!</v>
      </c>
      <c r="H11" s="5">
        <v>10.925000000000001</v>
      </c>
      <c r="I11" s="5" t="s">
        <v>18</v>
      </c>
      <c r="J11" s="5"/>
      <c r="K11" s="11">
        <v>36575</v>
      </c>
      <c r="M11" s="5" t="s">
        <v>72</v>
      </c>
      <c r="N11" s="5" t="s">
        <v>73</v>
      </c>
      <c r="O11" s="12" t="s">
        <v>74</v>
      </c>
      <c r="P11" s="13">
        <v>19</v>
      </c>
      <c r="Q11" s="12" t="s">
        <v>111</v>
      </c>
      <c r="R11" s="12"/>
      <c r="S11" s="12" t="s">
        <v>112</v>
      </c>
      <c r="T11" s="20" t="s">
        <v>113</v>
      </c>
      <c r="U11" s="5" t="s">
        <v>114</v>
      </c>
      <c r="V11" s="21" t="s">
        <v>115</v>
      </c>
      <c r="W11" s="5" t="s">
        <v>109</v>
      </c>
      <c r="X11" s="5" t="s">
        <v>81</v>
      </c>
      <c r="Y11" s="5"/>
      <c r="Z11" s="5" t="s">
        <v>116</v>
      </c>
    </row>
    <row r="12" spans="1:28" x14ac:dyDescent="0.3">
      <c r="A12" s="5">
        <v>2307040</v>
      </c>
      <c r="B12" s="20" t="s">
        <v>117</v>
      </c>
      <c r="C12" s="25">
        <v>45118</v>
      </c>
      <c r="D12" s="5" t="s">
        <v>19</v>
      </c>
      <c r="E12" s="5" t="s">
        <v>71</v>
      </c>
      <c r="F12" s="5" t="s">
        <v>14</v>
      </c>
      <c r="G12" s="5" t="e" vm="15">
        <v>#VALUE!</v>
      </c>
      <c r="H12" s="5">
        <v>12.65</v>
      </c>
      <c r="I12" s="5" t="s">
        <v>18</v>
      </c>
      <c r="J12" s="5"/>
      <c r="K12" s="11">
        <v>40000</v>
      </c>
      <c r="M12" s="5" t="s">
        <v>72</v>
      </c>
      <c r="N12" s="5" t="s">
        <v>73</v>
      </c>
      <c r="O12" s="5" t="s">
        <v>74</v>
      </c>
      <c r="P12" s="5">
        <v>22.000000000000004</v>
      </c>
      <c r="Q12" s="5" t="s">
        <v>83</v>
      </c>
      <c r="R12" s="5"/>
      <c r="S12" s="5" t="s">
        <v>118</v>
      </c>
      <c r="T12" s="20" t="s">
        <v>119</v>
      </c>
      <c r="U12" s="5" t="s">
        <v>120</v>
      </c>
      <c r="V12" s="21" t="s">
        <v>121</v>
      </c>
      <c r="W12" s="5" t="s">
        <v>122</v>
      </c>
      <c r="X12" s="5" t="s">
        <v>81</v>
      </c>
      <c r="Y12" s="5"/>
      <c r="Z12" s="5"/>
    </row>
    <row r="13" spans="1:28" x14ac:dyDescent="0.3">
      <c r="A13" s="5">
        <v>2305011</v>
      </c>
      <c r="B13" s="20" t="s">
        <v>123</v>
      </c>
      <c r="C13" s="25">
        <v>45078</v>
      </c>
      <c r="D13" s="5" t="s">
        <v>20</v>
      </c>
      <c r="E13" s="5" t="s">
        <v>124</v>
      </c>
      <c r="F13" s="5" t="s">
        <v>14</v>
      </c>
      <c r="G13" s="5" t="e" vm="15">
        <v>#VALUE!</v>
      </c>
      <c r="H13" s="5">
        <v>283.94499999999999</v>
      </c>
      <c r="I13" s="5" t="s">
        <v>18</v>
      </c>
      <c r="J13" s="5"/>
      <c r="K13" s="11">
        <v>242000</v>
      </c>
      <c r="M13" s="5" t="s">
        <v>125</v>
      </c>
      <c r="N13" s="5" t="s">
        <v>73</v>
      </c>
      <c r="O13" s="5" t="s">
        <v>18</v>
      </c>
      <c r="P13" s="5" t="s">
        <v>18</v>
      </c>
      <c r="Q13" s="5" t="s">
        <v>18</v>
      </c>
      <c r="R13" s="5"/>
      <c r="S13" s="5" t="s">
        <v>18</v>
      </c>
      <c r="T13" s="20" t="s">
        <v>126</v>
      </c>
      <c r="U13" s="5" t="s">
        <v>18</v>
      </c>
      <c r="V13" s="5" t="s">
        <v>18</v>
      </c>
      <c r="W13" s="5" t="s">
        <v>109</v>
      </c>
      <c r="X13" s="5" t="s">
        <v>81</v>
      </c>
      <c r="Y13" s="5" t="s">
        <v>109</v>
      </c>
      <c r="Z13" s="5" t="s">
        <v>116</v>
      </c>
    </row>
    <row r="14" spans="1:28" x14ac:dyDescent="0.3">
      <c r="A14" s="5">
        <v>2304007</v>
      </c>
      <c r="B14" s="20" t="s">
        <v>127</v>
      </c>
      <c r="C14" s="25">
        <v>45105</v>
      </c>
      <c r="D14" s="5" t="s">
        <v>20</v>
      </c>
      <c r="E14" s="5" t="s">
        <v>124</v>
      </c>
      <c r="F14" s="5" t="s">
        <v>14</v>
      </c>
      <c r="G14" s="5" t="e" vm="18">
        <v>#VALUE!</v>
      </c>
      <c r="H14" s="5">
        <v>51.75</v>
      </c>
      <c r="I14" s="5"/>
      <c r="J14" s="5"/>
      <c r="K14" s="11">
        <v>188800</v>
      </c>
      <c r="M14" s="5" t="s">
        <v>125</v>
      </c>
      <c r="N14" s="5" t="s">
        <v>73</v>
      </c>
      <c r="O14" s="5" t="s">
        <v>74</v>
      </c>
      <c r="P14" s="5">
        <v>90</v>
      </c>
      <c r="Q14" s="5" t="s">
        <v>128</v>
      </c>
      <c r="R14" s="5"/>
      <c r="S14" s="5" t="s">
        <v>18</v>
      </c>
      <c r="T14" s="20" t="s">
        <v>129</v>
      </c>
      <c r="U14" s="5" t="s">
        <v>18</v>
      </c>
      <c r="V14" s="5" t="s">
        <v>18</v>
      </c>
      <c r="W14" s="5" t="s">
        <v>122</v>
      </c>
      <c r="X14" s="5" t="s">
        <v>81</v>
      </c>
      <c r="Y14" s="5" t="s">
        <v>109</v>
      </c>
      <c r="Z14" s="5"/>
    </row>
    <row r="15" spans="1:28" x14ac:dyDescent="0.3">
      <c r="A15" s="5">
        <v>2307042</v>
      </c>
      <c r="B15" s="20" t="s">
        <v>130</v>
      </c>
      <c r="C15" s="25">
        <v>45086</v>
      </c>
      <c r="D15" s="5" t="s">
        <v>19</v>
      </c>
      <c r="E15" s="5" t="s">
        <v>71</v>
      </c>
      <c r="F15" s="5" t="s">
        <v>14</v>
      </c>
      <c r="G15" s="5" t="e" vm="16">
        <v>#VALUE!</v>
      </c>
      <c r="H15" s="5">
        <v>16.100000000000001</v>
      </c>
      <c r="I15" s="5" t="s">
        <v>18</v>
      </c>
      <c r="J15" s="5"/>
      <c r="K15" s="11">
        <v>50000</v>
      </c>
      <c r="M15" s="5" t="s">
        <v>72</v>
      </c>
      <c r="N15" s="5" t="s">
        <v>73</v>
      </c>
      <c r="O15" s="5" t="s">
        <v>74</v>
      </c>
      <c r="P15" s="5">
        <v>28.000000000000004</v>
      </c>
      <c r="Q15" s="5" t="s">
        <v>131</v>
      </c>
      <c r="R15" s="5"/>
      <c r="S15" s="5" t="s">
        <v>132</v>
      </c>
      <c r="T15" s="20" t="s">
        <v>133</v>
      </c>
      <c r="U15" s="5" t="s">
        <v>134</v>
      </c>
      <c r="V15" s="21" t="s">
        <v>135</v>
      </c>
      <c r="W15" s="5" t="s">
        <v>80</v>
      </c>
      <c r="X15" s="5" t="s">
        <v>81</v>
      </c>
      <c r="Y15" s="5"/>
      <c r="Z15" s="5"/>
    </row>
    <row r="16" spans="1:28" x14ac:dyDescent="0.3">
      <c r="A16" s="5">
        <v>2308058</v>
      </c>
      <c r="B16" s="20" t="s">
        <v>136</v>
      </c>
      <c r="C16" s="25">
        <v>45144</v>
      </c>
      <c r="D16" s="5" t="s">
        <v>20</v>
      </c>
      <c r="E16" s="5" t="s">
        <v>71</v>
      </c>
      <c r="F16" s="5" t="s">
        <v>14</v>
      </c>
      <c r="G16" s="5" t="e" vm="15">
        <v>#VALUE!</v>
      </c>
      <c r="H16" s="5">
        <v>6.9</v>
      </c>
      <c r="I16" s="5" t="s">
        <v>18</v>
      </c>
      <c r="J16" s="5"/>
      <c r="K16" s="11">
        <v>30000</v>
      </c>
      <c r="M16" s="5" t="s">
        <v>72</v>
      </c>
      <c r="N16" s="5" t="s">
        <v>73</v>
      </c>
      <c r="O16" s="5" t="s">
        <v>74</v>
      </c>
      <c r="P16" s="5">
        <v>12.000000000000002</v>
      </c>
      <c r="Q16" s="5" t="s">
        <v>137</v>
      </c>
      <c r="R16" s="5"/>
      <c r="S16" s="5" t="s">
        <v>138</v>
      </c>
      <c r="T16" s="20" t="s">
        <v>139</v>
      </c>
      <c r="U16" s="5" t="s">
        <v>140</v>
      </c>
      <c r="V16" s="21" t="s">
        <v>141</v>
      </c>
      <c r="W16" s="5" t="s">
        <v>122</v>
      </c>
      <c r="X16" s="5" t="s">
        <v>81</v>
      </c>
      <c r="Y16" s="5"/>
      <c r="Z16" s="5"/>
    </row>
    <row r="17" spans="1:28" x14ac:dyDescent="0.3">
      <c r="A17" s="5">
        <v>2308062</v>
      </c>
      <c r="B17" s="20" t="s">
        <v>142</v>
      </c>
      <c r="C17" s="25">
        <v>45247</v>
      </c>
      <c r="D17" s="5" t="s">
        <v>20</v>
      </c>
      <c r="E17" s="5" t="s">
        <v>71</v>
      </c>
      <c r="F17" s="5" t="s">
        <v>14</v>
      </c>
      <c r="G17" s="5" t="e" vm="15">
        <v>#VALUE!</v>
      </c>
      <c r="H17" s="5">
        <v>12.65</v>
      </c>
      <c r="I17" s="5" t="s">
        <v>18</v>
      </c>
      <c r="J17" s="5"/>
      <c r="K17" s="11">
        <v>42300</v>
      </c>
      <c r="M17" s="5" t="s">
        <v>72</v>
      </c>
      <c r="N17" s="5" t="s">
        <v>73</v>
      </c>
      <c r="O17" s="12" t="s">
        <v>74</v>
      </c>
      <c r="P17" s="13">
        <v>22.000000000000004</v>
      </c>
      <c r="Q17" s="12" t="s">
        <v>143</v>
      </c>
      <c r="R17" s="12"/>
      <c r="S17" s="5" t="s">
        <v>144</v>
      </c>
      <c r="T17" s="15" t="s">
        <v>145</v>
      </c>
      <c r="U17" s="5" t="s">
        <v>146</v>
      </c>
      <c r="V17" s="22" t="s">
        <v>147</v>
      </c>
      <c r="W17" s="5" t="s">
        <v>122</v>
      </c>
      <c r="X17" s="5" t="s">
        <v>81</v>
      </c>
      <c r="Y17" s="5"/>
      <c r="Z17" s="5"/>
    </row>
    <row r="18" spans="1:28" x14ac:dyDescent="0.3">
      <c r="A18" s="5">
        <v>2309068</v>
      </c>
      <c r="B18" s="20" t="s">
        <v>148</v>
      </c>
      <c r="C18" s="25">
        <v>45219</v>
      </c>
      <c r="D18" s="5" t="s">
        <v>19</v>
      </c>
      <c r="E18" s="5" t="s">
        <v>71</v>
      </c>
      <c r="F18" s="5" t="s">
        <v>14</v>
      </c>
      <c r="G18" s="5" t="e" vm="16">
        <v>#VALUE!</v>
      </c>
      <c r="H18" s="5">
        <v>6.9</v>
      </c>
      <c r="I18" s="5" t="s">
        <v>18</v>
      </c>
      <c r="J18" s="5"/>
      <c r="K18" s="11">
        <v>28500</v>
      </c>
      <c r="M18" s="5" t="s">
        <v>72</v>
      </c>
      <c r="N18" s="5" t="s">
        <v>73</v>
      </c>
      <c r="O18" s="5" t="s">
        <v>74</v>
      </c>
      <c r="P18" s="5">
        <v>12.000000000000002</v>
      </c>
      <c r="Q18" s="5" t="s">
        <v>137</v>
      </c>
      <c r="R18" s="5"/>
      <c r="S18" s="5" t="s">
        <v>149</v>
      </c>
      <c r="T18" s="20" t="s">
        <v>150</v>
      </c>
      <c r="U18" s="5" t="s">
        <v>151</v>
      </c>
      <c r="V18" s="22" t="s">
        <v>152</v>
      </c>
      <c r="W18" s="5" t="s">
        <v>80</v>
      </c>
      <c r="X18" s="5" t="s">
        <v>81</v>
      </c>
      <c r="Y18" s="5"/>
      <c r="Z18" s="5"/>
    </row>
    <row r="19" spans="1:28" x14ac:dyDescent="0.3">
      <c r="A19" s="5">
        <v>2310078</v>
      </c>
      <c r="B19" s="20" t="s">
        <v>153</v>
      </c>
      <c r="C19" s="25">
        <v>45209</v>
      </c>
      <c r="D19" s="5" t="s">
        <v>19</v>
      </c>
      <c r="E19" s="5" t="s">
        <v>71</v>
      </c>
      <c r="F19" s="5" t="s">
        <v>14</v>
      </c>
      <c r="G19" s="5" t="e" vm="16">
        <v>#VALUE!</v>
      </c>
      <c r="H19" s="5">
        <v>16.100000000000001</v>
      </c>
      <c r="I19" s="5" t="s">
        <v>18</v>
      </c>
      <c r="J19" s="5"/>
      <c r="K19" s="11">
        <v>52000</v>
      </c>
      <c r="M19" s="5" t="s">
        <v>72</v>
      </c>
      <c r="N19" s="5" t="s">
        <v>73</v>
      </c>
      <c r="O19" s="5" t="s">
        <v>74</v>
      </c>
      <c r="P19" s="5">
        <v>28.000000000000004</v>
      </c>
      <c r="Q19" s="5" t="s">
        <v>131</v>
      </c>
      <c r="R19" s="5"/>
      <c r="S19" s="5" t="s">
        <v>154</v>
      </c>
      <c r="T19" s="20" t="s">
        <v>155</v>
      </c>
      <c r="U19" s="5" t="s">
        <v>156</v>
      </c>
      <c r="V19" s="21" t="s">
        <v>157</v>
      </c>
      <c r="W19" s="5" t="s">
        <v>80</v>
      </c>
      <c r="X19" s="5" t="s">
        <v>81</v>
      </c>
      <c r="Y19" s="5"/>
      <c r="Z19" s="5"/>
    </row>
    <row r="20" spans="1:28" x14ac:dyDescent="0.3">
      <c r="A20" s="5">
        <v>2310083</v>
      </c>
      <c r="B20" s="20" t="s">
        <v>158</v>
      </c>
      <c r="C20" s="25">
        <v>45229</v>
      </c>
      <c r="D20" s="5" t="s">
        <v>19</v>
      </c>
      <c r="E20" s="5" t="s">
        <v>71</v>
      </c>
      <c r="F20" s="5" t="s">
        <v>14</v>
      </c>
      <c r="G20" s="5" t="e" vm="16">
        <v>#VALUE!</v>
      </c>
      <c r="H20" s="5">
        <v>8.0500000000000007</v>
      </c>
      <c r="I20" s="5" t="s">
        <v>18</v>
      </c>
      <c r="J20" s="5"/>
      <c r="K20" s="11">
        <v>31000</v>
      </c>
      <c r="M20" s="5" t="s">
        <v>72</v>
      </c>
      <c r="N20" s="5" t="s">
        <v>73</v>
      </c>
      <c r="O20" s="5" t="s">
        <v>74</v>
      </c>
      <c r="P20" s="5">
        <v>14.000000000000002</v>
      </c>
      <c r="Q20" s="5" t="s">
        <v>75</v>
      </c>
      <c r="R20" s="5"/>
      <c r="S20" s="5" t="s">
        <v>159</v>
      </c>
      <c r="T20" s="20" t="s">
        <v>160</v>
      </c>
      <c r="U20" s="5" t="s">
        <v>161</v>
      </c>
      <c r="V20" s="22" t="s">
        <v>162</v>
      </c>
      <c r="W20" s="5" t="s">
        <v>80</v>
      </c>
      <c r="X20" s="5" t="s">
        <v>81</v>
      </c>
      <c r="Y20" s="5"/>
      <c r="Z20" s="5"/>
    </row>
    <row r="21" spans="1:28" x14ac:dyDescent="0.3">
      <c r="A21" s="5">
        <v>2310084</v>
      </c>
      <c r="B21" s="20" t="s">
        <v>163</v>
      </c>
      <c r="C21" s="25">
        <v>45231</v>
      </c>
      <c r="D21" s="5" t="s">
        <v>19</v>
      </c>
      <c r="E21" s="5" t="s">
        <v>71</v>
      </c>
      <c r="F21" s="5" t="s">
        <v>14</v>
      </c>
      <c r="G21" s="5" t="e" vm="16">
        <v>#VALUE!</v>
      </c>
      <c r="H21" s="5">
        <v>8.0500000000000007</v>
      </c>
      <c r="I21" s="5" t="s">
        <v>18</v>
      </c>
      <c r="J21" s="5"/>
      <c r="K21" s="11">
        <v>34000</v>
      </c>
      <c r="M21" s="5" t="s">
        <v>164</v>
      </c>
      <c r="N21" s="5" t="s">
        <v>73</v>
      </c>
      <c r="O21" s="5" t="s">
        <v>74</v>
      </c>
      <c r="P21" s="5">
        <v>14.000000000000002</v>
      </c>
      <c r="Q21" s="5" t="s">
        <v>75</v>
      </c>
      <c r="R21" s="5"/>
      <c r="S21" s="5" t="s">
        <v>165</v>
      </c>
      <c r="T21" s="20" t="s">
        <v>166</v>
      </c>
      <c r="U21" s="5" t="s">
        <v>167</v>
      </c>
      <c r="V21" s="22" t="s">
        <v>168</v>
      </c>
      <c r="W21" s="5" t="s">
        <v>80</v>
      </c>
      <c r="X21" s="5" t="s">
        <v>81</v>
      </c>
      <c r="Y21" s="5"/>
      <c r="Z21" s="5"/>
    </row>
    <row r="22" spans="1:28" x14ac:dyDescent="0.3">
      <c r="A22" s="5">
        <v>2305024</v>
      </c>
      <c r="B22" s="20" t="s">
        <v>169</v>
      </c>
      <c r="C22" s="25">
        <v>45103</v>
      </c>
      <c r="D22" s="5" t="s">
        <v>19</v>
      </c>
      <c r="E22" s="5" t="s">
        <v>71</v>
      </c>
      <c r="F22" s="5" t="s">
        <v>14</v>
      </c>
      <c r="G22" s="5" t="e" vm="16">
        <v>#VALUE!</v>
      </c>
      <c r="H22" s="5">
        <v>12.65</v>
      </c>
      <c r="I22" s="5" t="s">
        <v>18</v>
      </c>
      <c r="J22" s="5"/>
      <c r="K22" s="11">
        <v>42500</v>
      </c>
      <c r="L22" s="24">
        <v>6000</v>
      </c>
      <c r="M22" s="5" t="s">
        <v>72</v>
      </c>
      <c r="N22" s="5" t="s">
        <v>73</v>
      </c>
      <c r="O22" s="5" t="s">
        <v>74</v>
      </c>
      <c r="P22" s="5">
        <v>22.000000000000004</v>
      </c>
      <c r="Q22" s="5" t="s">
        <v>170</v>
      </c>
      <c r="R22" s="5"/>
      <c r="S22" s="5" t="s">
        <v>171</v>
      </c>
      <c r="T22" s="20" t="s">
        <v>172</v>
      </c>
      <c r="U22" s="5" t="s">
        <v>173</v>
      </c>
      <c r="V22" s="22" t="s">
        <v>174</v>
      </c>
      <c r="W22" s="5" t="s">
        <v>80</v>
      </c>
      <c r="X22" s="5" t="s">
        <v>81</v>
      </c>
      <c r="Y22" s="5"/>
      <c r="Z22" s="5"/>
    </row>
    <row r="23" spans="1:28" x14ac:dyDescent="0.3">
      <c r="A23" s="5">
        <v>2307052</v>
      </c>
      <c r="B23" s="20" t="s">
        <v>175</v>
      </c>
      <c r="C23" s="25">
        <v>45154</v>
      </c>
      <c r="D23" s="5" t="s">
        <v>19</v>
      </c>
      <c r="E23" s="5" t="s">
        <v>71</v>
      </c>
      <c r="F23" s="5" t="s">
        <v>14</v>
      </c>
      <c r="G23" s="5" t="e" vm="16">
        <v>#VALUE!</v>
      </c>
      <c r="H23" s="5">
        <v>4.5999999999999996</v>
      </c>
      <c r="I23" s="5" t="s">
        <v>18</v>
      </c>
      <c r="J23" s="5"/>
      <c r="K23" s="11">
        <v>22100</v>
      </c>
      <c r="M23" s="5" t="s">
        <v>176</v>
      </c>
      <c r="N23" s="5" t="s">
        <v>73</v>
      </c>
      <c r="O23" s="5" t="s">
        <v>74</v>
      </c>
      <c r="P23" s="5">
        <v>8</v>
      </c>
      <c r="Q23" s="5" t="s">
        <v>94</v>
      </c>
      <c r="R23" s="5"/>
      <c r="S23" s="5" t="s">
        <v>177</v>
      </c>
      <c r="T23" s="20" t="s">
        <v>178</v>
      </c>
      <c r="U23" s="5" t="s">
        <v>179</v>
      </c>
      <c r="V23" s="91" t="s">
        <v>180</v>
      </c>
      <c r="W23" s="92" t="s">
        <v>80</v>
      </c>
      <c r="X23" s="5" t="s">
        <v>81</v>
      </c>
      <c r="Y23" s="5"/>
      <c r="Z23" s="5"/>
    </row>
    <row r="24" spans="1:28" x14ac:dyDescent="0.3">
      <c r="A24" s="5">
        <v>2304010</v>
      </c>
      <c r="B24" s="20" t="s">
        <v>181</v>
      </c>
      <c r="C24" s="25">
        <v>45061</v>
      </c>
      <c r="D24" s="5" t="s">
        <v>20</v>
      </c>
      <c r="E24" s="5" t="s">
        <v>71</v>
      </c>
      <c r="F24" s="5" t="s">
        <v>14</v>
      </c>
      <c r="G24" s="5" t="e" vm="15">
        <v>#VALUE!</v>
      </c>
      <c r="H24" s="5">
        <v>13.625</v>
      </c>
      <c r="I24" s="5" t="s">
        <v>18</v>
      </c>
      <c r="J24" s="5"/>
      <c r="K24" s="11">
        <v>20650</v>
      </c>
      <c r="M24" s="5" t="s">
        <v>125</v>
      </c>
      <c r="N24" s="5" t="s">
        <v>73</v>
      </c>
      <c r="O24" s="5" t="s">
        <v>18</v>
      </c>
      <c r="P24" s="5" t="s">
        <v>18</v>
      </c>
      <c r="Q24" s="5" t="s">
        <v>182</v>
      </c>
      <c r="R24" s="5"/>
      <c r="S24" s="5" t="s">
        <v>183</v>
      </c>
      <c r="T24" s="20" t="s">
        <v>184</v>
      </c>
      <c r="U24" s="5" t="s">
        <v>185</v>
      </c>
      <c r="V24" s="91" t="s">
        <v>186</v>
      </c>
      <c r="W24" s="5" t="s">
        <v>109</v>
      </c>
      <c r="X24" s="5" t="s">
        <v>81</v>
      </c>
      <c r="Y24" s="5"/>
      <c r="Z24" s="5" t="s">
        <v>116</v>
      </c>
    </row>
    <row r="25" spans="1:28" x14ac:dyDescent="0.3">
      <c r="A25" s="5">
        <v>2308065</v>
      </c>
      <c r="B25" s="20" t="s">
        <v>187</v>
      </c>
      <c r="C25" s="25">
        <v>45176</v>
      </c>
      <c r="D25" s="5" t="s">
        <v>19</v>
      </c>
      <c r="E25" s="5" t="s">
        <v>71</v>
      </c>
      <c r="F25" s="5" t="s">
        <v>14</v>
      </c>
      <c r="G25" s="5" t="e" vm="16">
        <v>#VALUE!</v>
      </c>
      <c r="H25" s="5">
        <v>8.625</v>
      </c>
      <c r="I25" s="5" t="s">
        <v>18</v>
      </c>
      <c r="J25" s="5"/>
      <c r="K25" s="11">
        <v>33000</v>
      </c>
      <c r="L25" s="24">
        <v>2500</v>
      </c>
      <c r="M25" s="5" t="s">
        <v>72</v>
      </c>
      <c r="N25" s="5" t="s">
        <v>73</v>
      </c>
      <c r="O25" s="5" t="s">
        <v>74</v>
      </c>
      <c r="P25" s="5">
        <v>15.000000000000002</v>
      </c>
      <c r="Q25" s="5" t="s">
        <v>75</v>
      </c>
      <c r="R25" s="5"/>
      <c r="S25" s="5" t="s">
        <v>188</v>
      </c>
      <c r="T25" s="20" t="s">
        <v>189</v>
      </c>
      <c r="U25" s="5" t="s">
        <v>190</v>
      </c>
      <c r="V25" s="22" t="s">
        <v>191</v>
      </c>
      <c r="W25" s="5" t="s">
        <v>80</v>
      </c>
      <c r="X25" s="5" t="s">
        <v>81</v>
      </c>
      <c r="Y25" s="5"/>
      <c r="Z25" s="5"/>
    </row>
    <row r="26" spans="1:28" x14ac:dyDescent="0.3">
      <c r="A26" s="5">
        <v>2306009</v>
      </c>
      <c r="B26" s="20" t="s">
        <v>192</v>
      </c>
      <c r="C26" s="25">
        <v>45193</v>
      </c>
      <c r="D26" s="5" t="s">
        <v>20</v>
      </c>
      <c r="E26" s="5" t="s">
        <v>193</v>
      </c>
      <c r="F26" s="5" t="s">
        <v>15</v>
      </c>
      <c r="G26" s="5" t="e" vm="15">
        <v>#VALUE!</v>
      </c>
      <c r="H26" s="5">
        <v>85.1</v>
      </c>
      <c r="I26" s="5">
        <v>44</v>
      </c>
      <c r="J26" s="5">
        <v>287.39999999999998</v>
      </c>
      <c r="K26" s="11">
        <v>720000</v>
      </c>
      <c r="M26" s="5" t="s">
        <v>125</v>
      </c>
      <c r="N26" s="5" t="s">
        <v>73</v>
      </c>
      <c r="O26" s="5" t="s">
        <v>74</v>
      </c>
      <c r="P26" s="5">
        <v>148</v>
      </c>
      <c r="Q26" s="5" t="s">
        <v>194</v>
      </c>
      <c r="R26" s="5"/>
      <c r="T26" s="20" t="s">
        <v>195</v>
      </c>
      <c r="V26" s="22"/>
      <c r="W26" s="5"/>
      <c r="X26" s="5" t="s">
        <v>81</v>
      </c>
      <c r="Y26" s="5"/>
      <c r="Z26" s="5"/>
    </row>
    <row r="27" spans="1:28" x14ac:dyDescent="0.3">
      <c r="A27" s="5">
        <v>2303003</v>
      </c>
      <c r="B27" s="20" t="s">
        <v>196</v>
      </c>
      <c r="C27" s="25">
        <v>45309</v>
      </c>
      <c r="D27" s="5" t="s">
        <v>19</v>
      </c>
      <c r="E27" s="5" t="s">
        <v>124</v>
      </c>
      <c r="F27" s="5" t="s">
        <v>14</v>
      </c>
      <c r="G27" s="5" t="e" vm="16">
        <v>#VALUE!</v>
      </c>
      <c r="H27" s="5">
        <v>23</v>
      </c>
      <c r="I27" s="5" t="s">
        <v>18</v>
      </c>
      <c r="J27" s="5"/>
      <c r="K27" s="11">
        <v>80000</v>
      </c>
      <c r="M27" s="5" t="s">
        <v>72</v>
      </c>
      <c r="N27" s="5" t="s">
        <v>73</v>
      </c>
      <c r="O27" s="5" t="s">
        <v>74</v>
      </c>
      <c r="P27" s="5">
        <v>40</v>
      </c>
      <c r="Q27" s="5" t="s">
        <v>197</v>
      </c>
      <c r="R27" s="5"/>
      <c r="S27" s="5" t="s">
        <v>18</v>
      </c>
      <c r="T27" s="20" t="s">
        <v>198</v>
      </c>
      <c r="U27" s="5" t="s">
        <v>18</v>
      </c>
      <c r="V27" s="20" t="s">
        <v>18</v>
      </c>
      <c r="W27" s="5" t="s">
        <v>109</v>
      </c>
      <c r="X27" s="5" t="s">
        <v>81</v>
      </c>
      <c r="Y27" s="5" t="s">
        <v>199</v>
      </c>
      <c r="Z27" s="5"/>
      <c r="AB27" s="20" t="s">
        <v>200</v>
      </c>
    </row>
    <row r="28" spans="1:28" x14ac:dyDescent="0.3">
      <c r="A28" s="5">
        <v>2311040</v>
      </c>
      <c r="B28" s="20" t="s">
        <v>201</v>
      </c>
      <c r="C28" s="25">
        <v>45244</v>
      </c>
      <c r="D28" s="5" t="s">
        <v>202</v>
      </c>
      <c r="E28" s="5" t="s">
        <v>124</v>
      </c>
      <c r="F28" s="5" t="s">
        <v>14</v>
      </c>
      <c r="G28" s="5" t="e" vm="15">
        <v>#VALUE!</v>
      </c>
      <c r="H28" s="5">
        <v>93</v>
      </c>
      <c r="I28" s="5" t="s">
        <v>18</v>
      </c>
      <c r="J28" s="5"/>
      <c r="K28" s="11">
        <v>91000</v>
      </c>
      <c r="M28" s="5" t="s">
        <v>125</v>
      </c>
      <c r="N28" s="5" t="s">
        <v>73</v>
      </c>
      <c r="O28" s="5" t="s">
        <v>18</v>
      </c>
      <c r="P28" s="5" t="s">
        <v>18</v>
      </c>
      <c r="Q28" s="5" t="s">
        <v>18</v>
      </c>
      <c r="R28" s="5"/>
      <c r="S28" s="5" t="s">
        <v>18</v>
      </c>
      <c r="T28" s="20" t="s">
        <v>203</v>
      </c>
      <c r="U28" s="5" t="s">
        <v>18</v>
      </c>
      <c r="V28" s="20" t="s">
        <v>18</v>
      </c>
      <c r="W28" s="5" t="s">
        <v>109</v>
      </c>
      <c r="X28" s="5" t="s">
        <v>81</v>
      </c>
      <c r="Y28" s="5" t="s">
        <v>204</v>
      </c>
      <c r="Z28" s="5" t="s">
        <v>116</v>
      </c>
    </row>
    <row r="29" spans="1:28" x14ac:dyDescent="0.3">
      <c r="A29" s="5">
        <v>2308007</v>
      </c>
      <c r="B29" s="20" t="s">
        <v>205</v>
      </c>
      <c r="C29" s="25">
        <v>45245</v>
      </c>
      <c r="D29" s="5" t="s">
        <v>20</v>
      </c>
      <c r="E29" s="5" t="s">
        <v>206</v>
      </c>
      <c r="F29" s="5" t="s">
        <v>18</v>
      </c>
      <c r="G29" s="5" t="e" vm="19">
        <v>#VALUE!</v>
      </c>
      <c r="H29" s="5">
        <v>0</v>
      </c>
      <c r="I29" s="5">
        <v>100</v>
      </c>
      <c r="J29" s="5"/>
      <c r="K29" s="11">
        <v>93380</v>
      </c>
      <c r="M29" s="5" t="s">
        <v>125</v>
      </c>
      <c r="N29" s="5" t="s">
        <v>73</v>
      </c>
      <c r="O29" s="5" t="s">
        <v>18</v>
      </c>
      <c r="P29" s="5" t="s">
        <v>18</v>
      </c>
      <c r="Q29" s="5" t="s">
        <v>18</v>
      </c>
      <c r="R29" s="5"/>
      <c r="T29" s="20" t="s">
        <v>207</v>
      </c>
      <c r="W29" s="5" t="s">
        <v>109</v>
      </c>
      <c r="X29" s="5" t="s">
        <v>81</v>
      </c>
      <c r="Y29" s="5"/>
      <c r="Z29" s="5"/>
    </row>
    <row r="30" spans="1:28" x14ac:dyDescent="0.3">
      <c r="A30" s="5">
        <v>2311094</v>
      </c>
      <c r="B30" s="20" t="s">
        <v>208</v>
      </c>
      <c r="C30" s="25">
        <v>45260</v>
      </c>
      <c r="D30" s="5" t="s">
        <v>19</v>
      </c>
      <c r="E30" s="5" t="s">
        <v>71</v>
      </c>
      <c r="F30" s="5" t="s">
        <v>14</v>
      </c>
      <c r="G30" s="5" t="e" vm="20">
        <v>#VALUE!</v>
      </c>
      <c r="H30" s="5">
        <v>9.7750000000000004</v>
      </c>
      <c r="I30" s="5" t="s">
        <v>18</v>
      </c>
      <c r="J30" s="5"/>
      <c r="K30" s="11">
        <v>37000</v>
      </c>
      <c r="M30" s="5" t="s">
        <v>72</v>
      </c>
      <c r="N30" s="5" t="s">
        <v>73</v>
      </c>
      <c r="O30" s="5" t="s">
        <v>74</v>
      </c>
      <c r="P30" s="5">
        <v>17.000000000000004</v>
      </c>
      <c r="Q30" s="5" t="s">
        <v>75</v>
      </c>
      <c r="R30" s="5"/>
      <c r="S30" s="5" t="s">
        <v>209</v>
      </c>
      <c r="T30" s="20" t="s">
        <v>210</v>
      </c>
      <c r="U30" s="5" t="s">
        <v>211</v>
      </c>
      <c r="V30" s="22" t="s">
        <v>212</v>
      </c>
      <c r="W30" s="5" t="s">
        <v>122</v>
      </c>
      <c r="X30" s="5" t="s">
        <v>81</v>
      </c>
      <c r="Y30" s="5"/>
      <c r="Z30" s="5"/>
    </row>
    <row r="31" spans="1:28" x14ac:dyDescent="0.3">
      <c r="A31" s="5">
        <v>2311095</v>
      </c>
      <c r="B31" s="20" t="s">
        <v>213</v>
      </c>
      <c r="C31" s="25">
        <v>45255</v>
      </c>
      <c r="D31" s="5" t="s">
        <v>19</v>
      </c>
      <c r="E31" s="5" t="s">
        <v>71</v>
      </c>
      <c r="F31" s="5" t="s">
        <v>14</v>
      </c>
      <c r="G31" s="5" t="e" vm="20">
        <v>#VALUE!</v>
      </c>
      <c r="H31" s="5">
        <v>12.65</v>
      </c>
      <c r="I31" s="5" t="s">
        <v>18</v>
      </c>
      <c r="J31" s="5"/>
      <c r="K31" s="11">
        <v>44600</v>
      </c>
      <c r="M31" s="5" t="s">
        <v>72</v>
      </c>
      <c r="N31" s="5" t="s">
        <v>73</v>
      </c>
      <c r="O31" s="5" t="s">
        <v>74</v>
      </c>
      <c r="P31" s="5">
        <v>22.000000000000004</v>
      </c>
      <c r="Q31" s="5" t="s">
        <v>83</v>
      </c>
      <c r="R31" s="5"/>
      <c r="S31" s="5" t="s">
        <v>214</v>
      </c>
      <c r="T31" s="20" t="s">
        <v>215</v>
      </c>
      <c r="U31" s="5" t="s">
        <v>216</v>
      </c>
      <c r="V31" s="22" t="s">
        <v>217</v>
      </c>
      <c r="W31" s="5" t="s">
        <v>122</v>
      </c>
      <c r="X31" s="5" t="s">
        <v>81</v>
      </c>
      <c r="Y31" s="5"/>
      <c r="Z31" s="5"/>
    </row>
    <row r="32" spans="1:28" x14ac:dyDescent="0.3">
      <c r="A32" s="5">
        <v>2311039</v>
      </c>
      <c r="B32" s="20" t="s">
        <v>218</v>
      </c>
      <c r="C32" s="25">
        <v>45297</v>
      </c>
      <c r="D32" s="5" t="s">
        <v>20</v>
      </c>
      <c r="E32" s="5" t="s">
        <v>124</v>
      </c>
      <c r="F32" s="5" t="s">
        <v>15</v>
      </c>
      <c r="G32" s="5" t="e" vm="17">
        <v>#VALUE!</v>
      </c>
      <c r="H32" s="5">
        <v>370.05500000000001</v>
      </c>
      <c r="I32" s="5" t="s">
        <v>18</v>
      </c>
      <c r="J32" s="5"/>
      <c r="K32" s="11">
        <v>280080</v>
      </c>
      <c r="L32" s="24">
        <v>46945</v>
      </c>
      <c r="M32" s="5" t="s">
        <v>72</v>
      </c>
      <c r="N32" s="5" t="s">
        <v>73</v>
      </c>
      <c r="O32" s="5" t="s">
        <v>18</v>
      </c>
      <c r="P32" s="5" t="s">
        <v>18</v>
      </c>
      <c r="Q32" s="5" t="s">
        <v>18</v>
      </c>
      <c r="R32" s="5"/>
      <c r="S32" s="5" t="s">
        <v>18</v>
      </c>
      <c r="T32" s="20" t="s">
        <v>18</v>
      </c>
      <c r="U32" s="5" t="s">
        <v>18</v>
      </c>
      <c r="V32" s="20" t="s">
        <v>18</v>
      </c>
      <c r="W32" s="5" t="s">
        <v>109</v>
      </c>
      <c r="X32" s="5" t="s">
        <v>81</v>
      </c>
      <c r="Y32" s="5" t="s">
        <v>109</v>
      </c>
      <c r="Z32" s="5"/>
    </row>
    <row r="33" spans="1:26" x14ac:dyDescent="0.3">
      <c r="A33" s="5">
        <v>2311012</v>
      </c>
      <c r="B33" s="20" t="s">
        <v>219</v>
      </c>
      <c r="C33" s="25">
        <v>45301</v>
      </c>
      <c r="D33" s="5" t="s">
        <v>20</v>
      </c>
      <c r="E33" s="5" t="s">
        <v>206</v>
      </c>
      <c r="F33" s="5" t="s">
        <v>18</v>
      </c>
      <c r="G33" s="5" t="e" vm="21">
        <v>#VALUE!</v>
      </c>
      <c r="H33" s="5">
        <v>0</v>
      </c>
      <c r="I33" s="5">
        <v>240</v>
      </c>
      <c r="J33" s="5"/>
      <c r="K33" s="11">
        <v>109000</v>
      </c>
      <c r="M33" s="5" t="s">
        <v>125</v>
      </c>
      <c r="N33" s="5" t="s">
        <v>73</v>
      </c>
      <c r="O33" s="5" t="s">
        <v>18</v>
      </c>
      <c r="P33" s="5" t="s">
        <v>18</v>
      </c>
      <c r="Q33" s="5" t="s">
        <v>18</v>
      </c>
      <c r="R33" s="5"/>
      <c r="S33" s="5" t="s">
        <v>18</v>
      </c>
      <c r="T33" s="20" t="s">
        <v>18</v>
      </c>
      <c r="U33" s="5" t="s">
        <v>18</v>
      </c>
      <c r="V33" s="20" t="s">
        <v>18</v>
      </c>
      <c r="W33" s="5" t="s">
        <v>109</v>
      </c>
      <c r="X33" s="5" t="s">
        <v>81</v>
      </c>
      <c r="Y33" s="5"/>
      <c r="Z33" s="5"/>
    </row>
    <row r="34" spans="1:26" x14ac:dyDescent="0.3">
      <c r="A34" s="5">
        <v>2311089</v>
      </c>
      <c r="B34" s="15" t="s">
        <v>220</v>
      </c>
      <c r="C34" s="25">
        <v>45260</v>
      </c>
      <c r="D34" s="5" t="s">
        <v>20</v>
      </c>
      <c r="E34" s="5" t="s">
        <v>71</v>
      </c>
      <c r="F34" s="5" t="s">
        <v>14</v>
      </c>
      <c r="G34" s="5" t="e" vm="15">
        <v>#VALUE!</v>
      </c>
      <c r="H34" s="5">
        <v>11.5</v>
      </c>
      <c r="I34" s="5" t="s">
        <v>18</v>
      </c>
      <c r="J34" s="5"/>
      <c r="K34" s="11">
        <v>37500</v>
      </c>
      <c r="M34" s="5" t="s">
        <v>72</v>
      </c>
      <c r="N34" s="5" t="s">
        <v>73</v>
      </c>
      <c r="O34" s="5" t="s">
        <v>74</v>
      </c>
      <c r="P34" s="5">
        <v>20</v>
      </c>
      <c r="Q34" s="5" t="s">
        <v>221</v>
      </c>
      <c r="R34" s="5"/>
      <c r="S34" s="5" t="s">
        <v>222</v>
      </c>
      <c r="T34" s="20" t="s">
        <v>223</v>
      </c>
      <c r="U34" s="5" t="s">
        <v>224</v>
      </c>
      <c r="V34" s="21" t="s">
        <v>225</v>
      </c>
      <c r="W34" s="5" t="s">
        <v>122</v>
      </c>
      <c r="X34" s="5" t="s">
        <v>81</v>
      </c>
      <c r="Y34" s="5"/>
      <c r="Z34" s="5"/>
    </row>
    <row r="35" spans="1:26" x14ac:dyDescent="0.3">
      <c r="A35" s="5">
        <v>2312118</v>
      </c>
      <c r="B35" s="15" t="s">
        <v>226</v>
      </c>
      <c r="C35" s="25">
        <v>45296</v>
      </c>
      <c r="D35" s="5" t="s">
        <v>21</v>
      </c>
      <c r="E35" s="5" t="s">
        <v>71</v>
      </c>
      <c r="F35" s="5" t="s">
        <v>14</v>
      </c>
      <c r="G35" s="5" t="e" vm="15">
        <v>#VALUE!</v>
      </c>
      <c r="H35" s="5">
        <v>13.8</v>
      </c>
      <c r="I35" s="5" t="s">
        <v>18</v>
      </c>
      <c r="J35" s="5"/>
      <c r="K35" s="11">
        <v>54930</v>
      </c>
      <c r="M35" s="5" t="s">
        <v>72</v>
      </c>
      <c r="N35" s="5" t="s">
        <v>73</v>
      </c>
      <c r="O35" s="5" t="s">
        <v>74</v>
      </c>
      <c r="P35" s="5">
        <v>24.000000000000004</v>
      </c>
      <c r="Q35" s="5" t="s">
        <v>131</v>
      </c>
      <c r="R35" s="5"/>
      <c r="S35" s="5" t="s">
        <v>227</v>
      </c>
      <c r="T35" s="20" t="s">
        <v>228</v>
      </c>
      <c r="U35" s="5" t="s">
        <v>229</v>
      </c>
      <c r="V35" s="21" t="s">
        <v>230</v>
      </c>
      <c r="W35" s="5" t="s">
        <v>122</v>
      </c>
      <c r="X35" s="5" t="s">
        <v>81</v>
      </c>
      <c r="Y35" s="5"/>
      <c r="Z35" s="5"/>
    </row>
    <row r="36" spans="1:26" x14ac:dyDescent="0.3">
      <c r="A36" s="5">
        <v>2309070</v>
      </c>
      <c r="B36" s="15" t="s">
        <v>231</v>
      </c>
      <c r="C36" s="25">
        <v>45303</v>
      </c>
      <c r="D36" s="5" t="s">
        <v>20</v>
      </c>
      <c r="E36" s="5" t="s">
        <v>71</v>
      </c>
      <c r="F36" s="5" t="s">
        <v>14</v>
      </c>
      <c r="G36" s="5" t="e" vm="15">
        <v>#VALUE!</v>
      </c>
      <c r="H36" s="5">
        <v>13.8</v>
      </c>
      <c r="I36" s="5" t="s">
        <v>18</v>
      </c>
      <c r="J36" s="5"/>
      <c r="K36" s="11">
        <v>48902</v>
      </c>
      <c r="M36" s="5" t="s">
        <v>176</v>
      </c>
      <c r="N36" s="5" t="s">
        <v>73</v>
      </c>
      <c r="O36" s="5" t="s">
        <v>74</v>
      </c>
      <c r="P36" s="5">
        <v>24.000000000000004</v>
      </c>
      <c r="Q36" s="5" t="s">
        <v>131</v>
      </c>
      <c r="R36" s="5"/>
      <c r="S36" s="5" t="s">
        <v>232</v>
      </c>
      <c r="T36" s="20" t="s">
        <v>233</v>
      </c>
      <c r="U36" s="5" t="s">
        <v>234</v>
      </c>
      <c r="V36" s="22" t="s">
        <v>235</v>
      </c>
      <c r="W36" s="5" t="s">
        <v>122</v>
      </c>
      <c r="X36" s="5" t="s">
        <v>81</v>
      </c>
      <c r="Y36" s="5"/>
      <c r="Z36" s="5"/>
    </row>
    <row r="37" spans="1:26" x14ac:dyDescent="0.3">
      <c r="A37" s="5">
        <v>2310075</v>
      </c>
      <c r="B37" s="20" t="s">
        <v>236</v>
      </c>
      <c r="C37" s="25">
        <v>45366</v>
      </c>
      <c r="D37" s="5" t="s">
        <v>19</v>
      </c>
      <c r="E37" s="5" t="s">
        <v>71</v>
      </c>
      <c r="F37" s="5" t="s">
        <v>14</v>
      </c>
      <c r="G37" s="5" t="e" vm="16">
        <v>#VALUE!</v>
      </c>
      <c r="H37" s="5">
        <v>14.625</v>
      </c>
      <c r="I37" s="5" t="s">
        <v>18</v>
      </c>
      <c r="J37" s="5"/>
      <c r="K37" s="11">
        <v>45600</v>
      </c>
      <c r="M37" s="5" t="s">
        <v>72</v>
      </c>
      <c r="N37" s="5" t="s">
        <v>73</v>
      </c>
      <c r="O37" s="5" t="s">
        <v>237</v>
      </c>
      <c r="P37" s="5">
        <v>25</v>
      </c>
      <c r="Q37" s="5" t="s">
        <v>131</v>
      </c>
      <c r="R37" s="5"/>
      <c r="S37" s="5" t="s">
        <v>238</v>
      </c>
      <c r="T37" s="20" t="s">
        <v>239</v>
      </c>
      <c r="U37" s="5" t="s">
        <v>240</v>
      </c>
      <c r="V37" s="20" t="s">
        <v>241</v>
      </c>
      <c r="X37" s="5" t="s">
        <v>81</v>
      </c>
      <c r="Y37" s="5"/>
    </row>
    <row r="38" spans="1:26" x14ac:dyDescent="0.3">
      <c r="A38" s="5">
        <v>2310076</v>
      </c>
      <c r="B38" s="20" t="s">
        <v>242</v>
      </c>
      <c r="C38" s="25">
        <v>45707</v>
      </c>
      <c r="D38" s="5" t="s">
        <v>17</v>
      </c>
      <c r="E38" s="5" t="s">
        <v>71</v>
      </c>
      <c r="F38" s="5" t="s">
        <v>14</v>
      </c>
      <c r="G38" s="5" t="e" vm="18">
        <v>#VALUE!</v>
      </c>
      <c r="H38" s="5">
        <v>8.26</v>
      </c>
      <c r="I38" s="5" t="s">
        <v>18</v>
      </c>
      <c r="J38" s="5"/>
      <c r="K38" s="11">
        <v>24000</v>
      </c>
      <c r="M38" s="5" t="s">
        <v>125</v>
      </c>
      <c r="N38" s="5" t="s">
        <v>73</v>
      </c>
      <c r="O38" s="5" t="s">
        <v>243</v>
      </c>
      <c r="P38" s="5">
        <v>14</v>
      </c>
      <c r="Q38" s="5" t="s">
        <v>244</v>
      </c>
      <c r="R38" s="5"/>
      <c r="S38" s="5" t="s">
        <v>245</v>
      </c>
      <c r="T38" s="20" t="s">
        <v>246</v>
      </c>
      <c r="U38" s="5" t="s">
        <v>247</v>
      </c>
      <c r="V38" s="21" t="s">
        <v>248</v>
      </c>
      <c r="W38" s="5" t="s">
        <v>122</v>
      </c>
      <c r="X38" s="5" t="s">
        <v>81</v>
      </c>
      <c r="Y38" s="5"/>
      <c r="Z38" s="5"/>
    </row>
    <row r="39" spans="1:26" x14ac:dyDescent="0.3">
      <c r="A39" s="5">
        <v>2310085</v>
      </c>
      <c r="B39" s="20" t="s">
        <v>249</v>
      </c>
      <c r="C39" s="25">
        <v>45403</v>
      </c>
      <c r="D39" s="5" t="s">
        <v>20</v>
      </c>
      <c r="E39" s="5" t="s">
        <v>71</v>
      </c>
      <c r="F39" s="5" t="s">
        <v>14</v>
      </c>
      <c r="G39" s="5" t="e" vm="15">
        <v>#VALUE!</v>
      </c>
      <c r="H39" s="5">
        <v>12.074999999999999</v>
      </c>
      <c r="I39" s="5" t="s">
        <v>18</v>
      </c>
      <c r="J39" s="5"/>
      <c r="K39" s="11">
        <v>47786</v>
      </c>
      <c r="M39" s="5" t="s">
        <v>176</v>
      </c>
      <c r="N39" s="5" t="s">
        <v>73</v>
      </c>
      <c r="O39" s="5" t="s">
        <v>74</v>
      </c>
      <c r="P39" s="5">
        <v>21</v>
      </c>
      <c r="Q39" s="5" t="s">
        <v>83</v>
      </c>
      <c r="R39" s="5"/>
      <c r="S39" s="5" t="s">
        <v>250</v>
      </c>
      <c r="T39" s="20" t="s">
        <v>251</v>
      </c>
      <c r="U39" s="5" t="s">
        <v>252</v>
      </c>
      <c r="V39" s="21" t="s">
        <v>253</v>
      </c>
      <c r="W39" s="5" t="s">
        <v>122</v>
      </c>
      <c r="X39" s="5" t="s">
        <v>81</v>
      </c>
      <c r="Y39" s="5"/>
      <c r="Z39" s="5"/>
    </row>
    <row r="40" spans="1:26" x14ac:dyDescent="0.3">
      <c r="A40" s="5">
        <v>2312113</v>
      </c>
      <c r="B40" s="20" t="s">
        <v>254</v>
      </c>
      <c r="C40" s="25">
        <v>45313</v>
      </c>
      <c r="D40" s="5" t="s">
        <v>20</v>
      </c>
      <c r="E40" s="5" t="s">
        <v>71</v>
      </c>
      <c r="F40" s="5" t="s">
        <v>14</v>
      </c>
      <c r="G40" s="5" t="e" vm="15">
        <v>#VALUE!</v>
      </c>
      <c r="H40" s="5">
        <v>13.8</v>
      </c>
      <c r="I40" s="5" t="s">
        <v>18</v>
      </c>
      <c r="J40" s="5"/>
      <c r="K40" s="11">
        <v>44000</v>
      </c>
      <c r="M40" s="5" t="s">
        <v>72</v>
      </c>
      <c r="N40" s="5" t="s">
        <v>73</v>
      </c>
      <c r="O40" s="5" t="s">
        <v>74</v>
      </c>
      <c r="P40" s="5">
        <v>24.000000000000004</v>
      </c>
      <c r="Q40" s="5" t="s">
        <v>143</v>
      </c>
      <c r="R40" s="5"/>
      <c r="S40" s="5" t="s">
        <v>255</v>
      </c>
      <c r="T40" s="20" t="s">
        <v>256</v>
      </c>
      <c r="U40" s="5" t="s">
        <v>257</v>
      </c>
      <c r="V40" s="21" t="s">
        <v>258</v>
      </c>
      <c r="W40" s="5" t="s">
        <v>122</v>
      </c>
      <c r="X40" s="5" t="s">
        <v>81</v>
      </c>
      <c r="Y40" s="5"/>
      <c r="Z40" s="5"/>
    </row>
    <row r="41" spans="1:26" x14ac:dyDescent="0.3">
      <c r="A41" s="5">
        <v>2401121</v>
      </c>
      <c r="B41" s="20" t="s">
        <v>259</v>
      </c>
      <c r="C41" s="25">
        <v>45383</v>
      </c>
      <c r="D41" s="5" t="s">
        <v>17</v>
      </c>
      <c r="E41" s="5" t="s">
        <v>71</v>
      </c>
      <c r="F41" s="5" t="s">
        <v>14</v>
      </c>
      <c r="G41" s="5" t="e" vm="18">
        <v>#VALUE!</v>
      </c>
      <c r="H41" s="5">
        <v>11.7</v>
      </c>
      <c r="I41" s="5" t="s">
        <v>18</v>
      </c>
      <c r="J41" s="5"/>
      <c r="K41" s="11">
        <v>40000</v>
      </c>
      <c r="M41" s="5" t="s">
        <v>72</v>
      </c>
      <c r="N41" s="5" t="s">
        <v>73</v>
      </c>
      <c r="O41" s="5" t="s">
        <v>237</v>
      </c>
      <c r="P41" s="5">
        <v>20</v>
      </c>
      <c r="Q41" s="5" t="s">
        <v>83</v>
      </c>
      <c r="R41" s="5"/>
      <c r="S41" s="5" t="s">
        <v>260</v>
      </c>
      <c r="T41" s="20" t="s">
        <v>261</v>
      </c>
      <c r="U41" s="5" t="s">
        <v>262</v>
      </c>
      <c r="V41" s="22" t="s">
        <v>263</v>
      </c>
      <c r="W41" s="5" t="s">
        <v>122</v>
      </c>
      <c r="X41" s="5" t="s">
        <v>81</v>
      </c>
      <c r="Y41" s="5"/>
      <c r="Z41" s="5"/>
    </row>
    <row r="42" spans="1:26" x14ac:dyDescent="0.3">
      <c r="A42" s="5">
        <v>2401124</v>
      </c>
      <c r="B42" s="20" t="s">
        <v>264</v>
      </c>
      <c r="C42" s="25">
        <v>45384</v>
      </c>
      <c r="D42" s="5" t="s">
        <v>17</v>
      </c>
      <c r="E42" s="5" t="s">
        <v>71</v>
      </c>
      <c r="F42" s="5" t="s">
        <v>14</v>
      </c>
      <c r="G42" s="5" t="e" vm="15">
        <v>#VALUE!</v>
      </c>
      <c r="H42" s="5">
        <v>17.55</v>
      </c>
      <c r="I42" s="5" t="s">
        <v>18</v>
      </c>
      <c r="J42" s="5"/>
      <c r="K42" s="11">
        <v>53708</v>
      </c>
      <c r="M42" s="5" t="s">
        <v>176</v>
      </c>
      <c r="N42" s="5" t="s">
        <v>73</v>
      </c>
      <c r="O42" s="5" t="s">
        <v>237</v>
      </c>
      <c r="P42" s="5">
        <v>30.000000000000004</v>
      </c>
      <c r="Q42" s="5" t="s">
        <v>143</v>
      </c>
      <c r="R42" s="5"/>
      <c r="S42" s="5" t="s">
        <v>265</v>
      </c>
      <c r="T42" s="20" t="s">
        <v>266</v>
      </c>
      <c r="U42" s="5" t="s">
        <v>267</v>
      </c>
      <c r="V42" s="20" t="s">
        <v>268</v>
      </c>
      <c r="W42" s="5" t="s">
        <v>122</v>
      </c>
      <c r="X42" s="5" t="s">
        <v>81</v>
      </c>
      <c r="Y42" s="5"/>
      <c r="Z42" s="5" t="s">
        <v>269</v>
      </c>
    </row>
    <row r="43" spans="1:26" x14ac:dyDescent="0.3">
      <c r="A43" s="5">
        <v>2401131</v>
      </c>
      <c r="B43" s="20" t="s">
        <v>270</v>
      </c>
      <c r="C43" s="25">
        <v>45394</v>
      </c>
      <c r="D43" s="5" t="s">
        <v>17</v>
      </c>
      <c r="E43" s="5" t="s">
        <v>71</v>
      </c>
      <c r="F43" s="5" t="s">
        <v>14</v>
      </c>
      <c r="G43" s="5" t="e" vm="15">
        <v>#VALUE!</v>
      </c>
      <c r="H43" s="5">
        <v>8.19</v>
      </c>
      <c r="I43" s="5" t="s">
        <v>18</v>
      </c>
      <c r="J43" s="5"/>
      <c r="K43" s="11">
        <v>29500</v>
      </c>
      <c r="M43" s="5" t="s">
        <v>72</v>
      </c>
      <c r="N43" s="5" t="s">
        <v>73</v>
      </c>
      <c r="O43" s="5" t="s">
        <v>237</v>
      </c>
      <c r="P43" s="5">
        <v>14</v>
      </c>
      <c r="Q43" s="5" t="s">
        <v>244</v>
      </c>
      <c r="R43" s="5"/>
      <c r="S43" s="5" t="s">
        <v>271</v>
      </c>
      <c r="T43" s="20" t="s">
        <v>272</v>
      </c>
      <c r="U43" s="5" t="s">
        <v>273</v>
      </c>
      <c r="V43" s="22" t="s">
        <v>274</v>
      </c>
      <c r="W43" s="5" t="s">
        <v>122</v>
      </c>
      <c r="X43" s="5" t="s">
        <v>81</v>
      </c>
      <c r="Y43" s="5"/>
      <c r="Z43" s="5"/>
    </row>
    <row r="44" spans="1:26" x14ac:dyDescent="0.3">
      <c r="A44" s="5">
        <v>2401137</v>
      </c>
      <c r="B44" s="20" t="s">
        <v>275</v>
      </c>
      <c r="C44" s="25">
        <v>45384</v>
      </c>
      <c r="D44" s="5" t="s">
        <v>17</v>
      </c>
      <c r="E44" s="5" t="s">
        <v>71</v>
      </c>
      <c r="F44" s="5" t="s">
        <v>14</v>
      </c>
      <c r="G44" s="5" t="e" vm="15">
        <v>#VALUE!</v>
      </c>
      <c r="H44" s="5">
        <v>11.7</v>
      </c>
      <c r="I44" s="5" t="s">
        <v>18</v>
      </c>
      <c r="J44" s="5"/>
      <c r="K44" s="11">
        <v>40900</v>
      </c>
      <c r="M44" s="5" t="s">
        <v>176</v>
      </c>
      <c r="N44" s="5" t="s">
        <v>73</v>
      </c>
      <c r="O44" s="5" t="s">
        <v>237</v>
      </c>
      <c r="P44" s="5">
        <v>20</v>
      </c>
      <c r="Q44" s="5" t="s">
        <v>111</v>
      </c>
      <c r="R44" s="5"/>
      <c r="S44" s="5" t="s">
        <v>276</v>
      </c>
      <c r="T44" s="20" t="s">
        <v>277</v>
      </c>
      <c r="U44" s="5" t="s">
        <v>278</v>
      </c>
      <c r="V44" s="21" t="s">
        <v>279</v>
      </c>
      <c r="W44" s="5" t="s">
        <v>122</v>
      </c>
      <c r="X44" s="5" t="s">
        <v>81</v>
      </c>
      <c r="Y44" s="5"/>
      <c r="Z44" s="5"/>
    </row>
    <row r="45" spans="1:26" x14ac:dyDescent="0.3">
      <c r="A45" s="5">
        <v>2401147</v>
      </c>
      <c r="B45" s="20" t="s">
        <v>280</v>
      </c>
      <c r="C45" s="25">
        <v>45384</v>
      </c>
      <c r="D45" s="5" t="s">
        <v>17</v>
      </c>
      <c r="E45" s="5" t="s">
        <v>71</v>
      </c>
      <c r="F45" s="5" t="s">
        <v>14</v>
      </c>
      <c r="G45" s="5" t="e" vm="18">
        <v>#VALUE!</v>
      </c>
      <c r="H45" s="5">
        <v>11.7</v>
      </c>
      <c r="I45" s="5" t="s">
        <v>18</v>
      </c>
      <c r="J45" s="5"/>
      <c r="K45" s="11">
        <v>40440</v>
      </c>
      <c r="M45" s="5" t="s">
        <v>176</v>
      </c>
      <c r="N45" s="5" t="s">
        <v>73</v>
      </c>
      <c r="O45" s="5" t="s">
        <v>237</v>
      </c>
      <c r="P45" s="5">
        <v>20</v>
      </c>
      <c r="Q45" s="5" t="s">
        <v>111</v>
      </c>
      <c r="R45" s="5"/>
      <c r="S45" s="5" t="s">
        <v>281</v>
      </c>
      <c r="T45" s="20" t="s">
        <v>282</v>
      </c>
      <c r="U45" s="5" t="s">
        <v>283</v>
      </c>
      <c r="V45" s="22" t="s">
        <v>284</v>
      </c>
      <c r="W45" s="5" t="s">
        <v>122</v>
      </c>
      <c r="X45" s="5" t="s">
        <v>81</v>
      </c>
      <c r="Y45" s="5"/>
      <c r="Z45" s="5" t="s">
        <v>269</v>
      </c>
    </row>
    <row r="46" spans="1:26" x14ac:dyDescent="0.3">
      <c r="A46" s="5">
        <v>2403165</v>
      </c>
      <c r="B46" s="20" t="s">
        <v>285</v>
      </c>
      <c r="C46" s="25">
        <v>45383</v>
      </c>
      <c r="D46" s="5" t="s">
        <v>17</v>
      </c>
      <c r="E46" s="5" t="s">
        <v>71</v>
      </c>
      <c r="F46" s="5" t="s">
        <v>14</v>
      </c>
      <c r="G46" s="5" t="e" vm="15">
        <v>#VALUE!</v>
      </c>
      <c r="H46" s="5">
        <v>7.02</v>
      </c>
      <c r="I46" s="5" t="s">
        <v>18</v>
      </c>
      <c r="J46" s="5"/>
      <c r="K46" s="11">
        <v>24600</v>
      </c>
      <c r="M46" s="5" t="s">
        <v>125</v>
      </c>
      <c r="N46" s="5" t="s">
        <v>73</v>
      </c>
      <c r="O46" s="5" t="s">
        <v>237</v>
      </c>
      <c r="P46" s="5">
        <v>12</v>
      </c>
      <c r="Q46" s="5" t="s">
        <v>286</v>
      </c>
      <c r="R46" s="5"/>
      <c r="S46" s="5" t="s">
        <v>287</v>
      </c>
      <c r="T46" s="20" t="s">
        <v>288</v>
      </c>
      <c r="U46" s="5" t="s">
        <v>289</v>
      </c>
      <c r="V46" s="22" t="s">
        <v>290</v>
      </c>
      <c r="W46" s="5" t="s">
        <v>122</v>
      </c>
      <c r="X46" s="5" t="s">
        <v>81</v>
      </c>
      <c r="Y46" s="5"/>
      <c r="Z46" s="5"/>
    </row>
    <row r="47" spans="1:26" x14ac:dyDescent="0.3">
      <c r="A47" s="5">
        <v>2403167</v>
      </c>
      <c r="B47" s="20" t="s">
        <v>291</v>
      </c>
      <c r="C47" s="25">
        <v>45375</v>
      </c>
      <c r="D47" s="5" t="s">
        <v>17</v>
      </c>
      <c r="E47" s="5" t="s">
        <v>71</v>
      </c>
      <c r="F47" s="5" t="s">
        <v>14</v>
      </c>
      <c r="G47" s="5" t="e" vm="22">
        <v>#VALUE!</v>
      </c>
      <c r="H47" s="5">
        <v>17.55</v>
      </c>
      <c r="I47" s="5" t="s">
        <v>18</v>
      </c>
      <c r="J47" s="5"/>
      <c r="K47" s="11">
        <v>47500</v>
      </c>
      <c r="M47" s="5" t="s">
        <v>72</v>
      </c>
      <c r="N47" s="5" t="s">
        <v>73</v>
      </c>
      <c r="O47" s="5" t="s">
        <v>237</v>
      </c>
      <c r="P47" s="5">
        <v>30.000000000000004</v>
      </c>
      <c r="Q47" s="5" t="s">
        <v>143</v>
      </c>
      <c r="R47" s="5"/>
      <c r="S47" s="5" t="s">
        <v>292</v>
      </c>
      <c r="T47" s="20" t="s">
        <v>293</v>
      </c>
      <c r="U47" s="5" t="s">
        <v>294</v>
      </c>
      <c r="V47" s="22" t="s">
        <v>295</v>
      </c>
      <c r="W47" s="5" t="s">
        <v>122</v>
      </c>
      <c r="X47" s="5" t="s">
        <v>81</v>
      </c>
      <c r="Y47" s="5"/>
      <c r="Z47" s="5"/>
    </row>
    <row r="48" spans="1:26" x14ac:dyDescent="0.3">
      <c r="A48" s="5">
        <v>2403170</v>
      </c>
      <c r="B48" s="20" t="s">
        <v>296</v>
      </c>
      <c r="C48" s="25">
        <v>45367</v>
      </c>
      <c r="D48" s="5" t="s">
        <v>17</v>
      </c>
      <c r="E48" s="5" t="s">
        <v>71</v>
      </c>
      <c r="F48" s="5" t="s">
        <v>14</v>
      </c>
      <c r="G48" s="5" t="e" vm="15">
        <v>#VALUE!</v>
      </c>
      <c r="H48" s="5">
        <v>10.53</v>
      </c>
      <c r="I48" s="5" t="s">
        <v>18</v>
      </c>
      <c r="J48" s="5"/>
      <c r="K48" s="11">
        <v>35600</v>
      </c>
      <c r="M48" s="5" t="s">
        <v>72</v>
      </c>
      <c r="N48" s="5" t="s">
        <v>73</v>
      </c>
      <c r="O48" s="5" t="s">
        <v>237</v>
      </c>
      <c r="P48" s="5">
        <v>18</v>
      </c>
      <c r="Q48" s="5" t="s">
        <v>75</v>
      </c>
      <c r="R48" s="5"/>
      <c r="S48" s="5" t="s">
        <v>297</v>
      </c>
      <c r="T48" s="20" t="s">
        <v>298</v>
      </c>
      <c r="U48" s="5" t="s">
        <v>299</v>
      </c>
      <c r="V48" s="22" t="s">
        <v>300</v>
      </c>
      <c r="W48" s="5" t="s">
        <v>122</v>
      </c>
      <c r="X48" s="5" t="s">
        <v>81</v>
      </c>
      <c r="Y48" s="5"/>
      <c r="Z48" s="5"/>
    </row>
    <row r="49" spans="1:26" x14ac:dyDescent="0.3">
      <c r="A49" s="5">
        <v>2403177</v>
      </c>
      <c r="B49" s="20" t="s">
        <v>301</v>
      </c>
      <c r="C49" s="25">
        <v>45376</v>
      </c>
      <c r="D49" s="5" t="s">
        <v>17</v>
      </c>
      <c r="E49" s="5" t="s">
        <v>71</v>
      </c>
      <c r="F49" s="5" t="s">
        <v>14</v>
      </c>
      <c r="G49" s="5" t="e" vm="15">
        <v>#VALUE!</v>
      </c>
      <c r="H49" s="5">
        <v>4.68</v>
      </c>
      <c r="I49" s="5" t="s">
        <v>18</v>
      </c>
      <c r="J49" s="5"/>
      <c r="K49" s="11">
        <v>20000</v>
      </c>
      <c r="M49" s="5" t="s">
        <v>72</v>
      </c>
      <c r="N49" s="5" t="s">
        <v>73</v>
      </c>
      <c r="O49" s="5" t="s">
        <v>237</v>
      </c>
      <c r="P49" s="5">
        <v>8</v>
      </c>
      <c r="Q49" s="5" t="s">
        <v>302</v>
      </c>
      <c r="R49" s="5"/>
      <c r="S49" s="5" t="s">
        <v>303</v>
      </c>
      <c r="T49" s="20" t="s">
        <v>304</v>
      </c>
      <c r="U49" s="5" t="s">
        <v>305</v>
      </c>
      <c r="V49" s="22" t="s">
        <v>306</v>
      </c>
      <c r="W49" s="5" t="s">
        <v>122</v>
      </c>
      <c r="X49" s="5" t="s">
        <v>81</v>
      </c>
      <c r="Y49" s="5"/>
      <c r="Z49" s="5" t="s">
        <v>307</v>
      </c>
    </row>
    <row r="50" spans="1:26" x14ac:dyDescent="0.3">
      <c r="A50" s="5">
        <v>2403189</v>
      </c>
      <c r="B50" s="20" t="s">
        <v>308</v>
      </c>
      <c r="C50" s="25">
        <v>45380</v>
      </c>
      <c r="D50" s="5" t="s">
        <v>19</v>
      </c>
      <c r="E50" s="5" t="s">
        <v>71</v>
      </c>
      <c r="F50" s="5" t="s">
        <v>14</v>
      </c>
      <c r="G50" s="5" t="e" vm="16">
        <v>#VALUE!</v>
      </c>
      <c r="H50" s="5">
        <v>7.02</v>
      </c>
      <c r="I50" s="5" t="s">
        <v>18</v>
      </c>
      <c r="J50" s="5"/>
      <c r="K50" s="11">
        <v>27500</v>
      </c>
      <c r="M50" s="5" t="s">
        <v>72</v>
      </c>
      <c r="N50" s="5" t="s">
        <v>73</v>
      </c>
      <c r="O50" s="5" t="s">
        <v>237</v>
      </c>
      <c r="P50" s="5">
        <v>12</v>
      </c>
      <c r="Q50" s="5" t="s">
        <v>309</v>
      </c>
      <c r="R50" s="5"/>
      <c r="S50" s="5" t="s">
        <v>310</v>
      </c>
      <c r="T50" s="20" t="s">
        <v>311</v>
      </c>
      <c r="U50" s="5" t="s">
        <v>312</v>
      </c>
      <c r="V50" s="20" t="s">
        <v>313</v>
      </c>
      <c r="W50" s="5" t="s">
        <v>122</v>
      </c>
      <c r="X50" s="5" t="s">
        <v>81</v>
      </c>
      <c r="Y50" s="5"/>
      <c r="Z50" s="5"/>
    </row>
    <row r="51" spans="1:26" x14ac:dyDescent="0.3">
      <c r="A51" s="5">
        <v>2403190</v>
      </c>
      <c r="B51" s="20" t="s">
        <v>314</v>
      </c>
      <c r="C51" s="25">
        <v>45378</v>
      </c>
      <c r="D51" s="5" t="s">
        <v>19</v>
      </c>
      <c r="E51" s="5" t="s">
        <v>71</v>
      </c>
      <c r="F51" s="5" t="s">
        <v>14</v>
      </c>
      <c r="G51" s="5" t="e" vm="16">
        <v>#VALUE!</v>
      </c>
      <c r="H51" s="5">
        <v>7.02</v>
      </c>
      <c r="I51" s="5" t="s">
        <v>18</v>
      </c>
      <c r="J51" s="5"/>
      <c r="K51" s="11">
        <v>21000</v>
      </c>
      <c r="M51" s="5" t="s">
        <v>72</v>
      </c>
      <c r="N51" s="5" t="s">
        <v>73</v>
      </c>
      <c r="O51" s="5" t="s">
        <v>237</v>
      </c>
      <c r="P51" s="5">
        <v>12</v>
      </c>
      <c r="Q51" s="5" t="s">
        <v>309</v>
      </c>
      <c r="R51" s="5"/>
      <c r="S51" s="5" t="s">
        <v>315</v>
      </c>
      <c r="T51" s="20" t="s">
        <v>316</v>
      </c>
      <c r="U51" s="5" t="s">
        <v>317</v>
      </c>
      <c r="V51" s="21" t="s">
        <v>318</v>
      </c>
      <c r="W51" s="5" t="s">
        <v>122</v>
      </c>
      <c r="X51" s="5" t="s">
        <v>81</v>
      </c>
      <c r="Y51" s="5"/>
      <c r="Z51" s="5"/>
    </row>
    <row r="52" spans="1:26" x14ac:dyDescent="0.3">
      <c r="A52" s="5">
        <v>2403197</v>
      </c>
      <c r="B52" s="20" t="s">
        <v>319</v>
      </c>
      <c r="C52" s="25">
        <v>45380</v>
      </c>
      <c r="D52" s="5" t="s">
        <v>19</v>
      </c>
      <c r="E52" s="5" t="s">
        <v>71</v>
      </c>
      <c r="F52" s="5" t="s">
        <v>14</v>
      </c>
      <c r="G52" s="5" t="e" vm="16">
        <v>#VALUE!</v>
      </c>
      <c r="H52" s="5">
        <v>16.38</v>
      </c>
      <c r="I52" s="5" t="s">
        <v>18</v>
      </c>
      <c r="J52" s="5"/>
      <c r="K52" s="11">
        <v>48600</v>
      </c>
      <c r="M52" s="5" t="s">
        <v>72</v>
      </c>
      <c r="N52" s="5" t="s">
        <v>73</v>
      </c>
      <c r="O52" s="5" t="s">
        <v>237</v>
      </c>
      <c r="P52" s="5">
        <v>28</v>
      </c>
      <c r="Q52" s="5" t="s">
        <v>131</v>
      </c>
      <c r="R52" s="5"/>
      <c r="S52" s="5" t="s">
        <v>320</v>
      </c>
      <c r="T52" s="20" t="s">
        <v>321</v>
      </c>
      <c r="U52" s="5" t="s">
        <v>322</v>
      </c>
      <c r="V52" s="20" t="s">
        <v>323</v>
      </c>
      <c r="W52" s="5" t="s">
        <v>122</v>
      </c>
      <c r="X52" s="5" t="s">
        <v>81</v>
      </c>
      <c r="Y52" s="5"/>
      <c r="Z52" s="5"/>
    </row>
    <row r="53" spans="1:26" x14ac:dyDescent="0.3">
      <c r="A53" s="5" t="s">
        <v>324</v>
      </c>
      <c r="B53" s="20" t="s">
        <v>325</v>
      </c>
      <c r="C53" s="25">
        <v>45383</v>
      </c>
      <c r="D53" s="5" t="s">
        <v>17</v>
      </c>
      <c r="E53" s="5" t="s">
        <v>71</v>
      </c>
      <c r="F53" s="5" t="s">
        <v>14</v>
      </c>
      <c r="G53" s="5" t="e" vm="15">
        <v>#VALUE!</v>
      </c>
      <c r="H53" s="5">
        <v>7.02</v>
      </c>
      <c r="I53" s="5" t="s">
        <v>18</v>
      </c>
      <c r="J53" s="5"/>
      <c r="K53" s="11">
        <v>27237.200000000001</v>
      </c>
      <c r="M53" s="5" t="s">
        <v>176</v>
      </c>
      <c r="N53" s="5" t="s">
        <v>73</v>
      </c>
      <c r="O53" s="5" t="s">
        <v>237</v>
      </c>
      <c r="P53" s="5">
        <v>12</v>
      </c>
      <c r="Q53" s="5" t="s">
        <v>286</v>
      </c>
      <c r="R53" s="5"/>
      <c r="S53" s="5" t="s">
        <v>326</v>
      </c>
      <c r="T53" s="20" t="s">
        <v>327</v>
      </c>
      <c r="U53" s="5" t="s">
        <v>328</v>
      </c>
      <c r="V53" s="22" t="s">
        <v>329</v>
      </c>
      <c r="W53" s="5" t="s">
        <v>122</v>
      </c>
      <c r="X53" s="5" t="s">
        <v>81</v>
      </c>
      <c r="Y53" s="5"/>
      <c r="Z53" s="5"/>
    </row>
    <row r="54" spans="1:26" x14ac:dyDescent="0.3">
      <c r="A54" s="5">
        <v>2404206</v>
      </c>
      <c r="B54" s="20" t="s">
        <v>330</v>
      </c>
      <c r="C54" s="25">
        <v>45386</v>
      </c>
      <c r="D54" s="5" t="s">
        <v>19</v>
      </c>
      <c r="E54" s="5" t="s">
        <v>71</v>
      </c>
      <c r="F54" s="5" t="s">
        <v>14</v>
      </c>
      <c r="G54" s="5" t="e" vm="16">
        <v>#VALUE!</v>
      </c>
      <c r="H54" s="5">
        <v>8.19</v>
      </c>
      <c r="I54" s="5" t="s">
        <v>18</v>
      </c>
      <c r="J54" s="5"/>
      <c r="K54" s="11">
        <v>31000</v>
      </c>
      <c r="M54" s="5" t="s">
        <v>164</v>
      </c>
      <c r="N54" s="5" t="s">
        <v>73</v>
      </c>
      <c r="O54" s="5" t="s">
        <v>237</v>
      </c>
      <c r="P54" s="5">
        <v>14</v>
      </c>
      <c r="Q54" s="5" t="s">
        <v>244</v>
      </c>
      <c r="R54" s="5"/>
      <c r="S54" s="5" t="s">
        <v>331</v>
      </c>
      <c r="T54" s="20" t="s">
        <v>332</v>
      </c>
      <c r="U54" s="5" t="s">
        <v>333</v>
      </c>
      <c r="V54" s="22" t="s">
        <v>334</v>
      </c>
      <c r="W54" s="5" t="s">
        <v>122</v>
      </c>
      <c r="X54" s="5" t="s">
        <v>81</v>
      </c>
      <c r="Y54" s="5"/>
      <c r="Z54" s="5"/>
    </row>
    <row r="55" spans="1:26" x14ac:dyDescent="0.3">
      <c r="A55" s="5">
        <v>2404226</v>
      </c>
      <c r="B55" s="20" t="s">
        <v>335</v>
      </c>
      <c r="C55" s="25">
        <v>45396</v>
      </c>
      <c r="D55" s="5" t="s">
        <v>17</v>
      </c>
      <c r="E55" s="5" t="s">
        <v>71</v>
      </c>
      <c r="F55" s="5" t="s">
        <v>14</v>
      </c>
      <c r="G55" s="5" t="e" vm="18">
        <v>#VALUE!</v>
      </c>
      <c r="H55" s="5">
        <v>7.02</v>
      </c>
      <c r="I55" s="5" t="s">
        <v>18</v>
      </c>
      <c r="J55" s="5"/>
      <c r="K55" s="11">
        <v>25100</v>
      </c>
      <c r="M55" s="5" t="s">
        <v>72</v>
      </c>
      <c r="N55" s="5" t="s">
        <v>73</v>
      </c>
      <c r="O55" s="5" t="s">
        <v>237</v>
      </c>
      <c r="P55" s="5">
        <v>12</v>
      </c>
      <c r="Q55" s="5" t="s">
        <v>286</v>
      </c>
      <c r="R55" s="5"/>
      <c r="S55" s="5" t="s">
        <v>336</v>
      </c>
      <c r="T55" s="20" t="s">
        <v>337</v>
      </c>
      <c r="U55" s="5" t="s">
        <v>338</v>
      </c>
      <c r="V55" s="22" t="s">
        <v>339</v>
      </c>
      <c r="W55" s="5" t="s">
        <v>122</v>
      </c>
      <c r="X55" s="5" t="s">
        <v>81</v>
      </c>
      <c r="Y55" s="5"/>
      <c r="Z55" s="5"/>
    </row>
    <row r="56" spans="1:26" x14ac:dyDescent="0.3">
      <c r="A56" s="5">
        <v>2401063</v>
      </c>
      <c r="B56" s="20" t="s">
        <v>340</v>
      </c>
      <c r="C56" s="25">
        <v>45363</v>
      </c>
      <c r="D56" s="5" t="s">
        <v>17</v>
      </c>
      <c r="E56" s="5" t="s">
        <v>124</v>
      </c>
      <c r="F56" s="5" t="s">
        <v>14</v>
      </c>
      <c r="G56" s="5" t="e" vm="15">
        <v>#VALUE!</v>
      </c>
      <c r="H56" s="5">
        <v>26.91</v>
      </c>
      <c r="I56" s="5" t="s">
        <v>18</v>
      </c>
      <c r="J56" s="5"/>
      <c r="K56" s="11">
        <v>82000</v>
      </c>
      <c r="M56" s="5" t="s">
        <v>72</v>
      </c>
      <c r="N56" s="5" t="s">
        <v>73</v>
      </c>
      <c r="O56" s="5" t="s">
        <v>237</v>
      </c>
      <c r="P56" s="5">
        <v>46</v>
      </c>
      <c r="Q56" s="5" t="s">
        <v>341</v>
      </c>
      <c r="R56" s="5"/>
      <c r="T56" s="20" t="s">
        <v>342</v>
      </c>
      <c r="W56" s="5" t="s">
        <v>122</v>
      </c>
      <c r="X56" s="5" t="s">
        <v>81</v>
      </c>
      <c r="Y56" s="5"/>
      <c r="Z56" s="5"/>
    </row>
    <row r="57" spans="1:26" x14ac:dyDescent="0.3">
      <c r="A57" s="5">
        <v>2401069</v>
      </c>
      <c r="B57" s="20" t="s">
        <v>343</v>
      </c>
      <c r="C57" s="25">
        <v>45380</v>
      </c>
      <c r="D57" s="5" t="s">
        <v>17</v>
      </c>
      <c r="E57" s="5" t="s">
        <v>124</v>
      </c>
      <c r="F57" s="5" t="s">
        <v>14</v>
      </c>
      <c r="G57" s="5" t="e" vm="15">
        <v>#VALUE!</v>
      </c>
      <c r="H57" s="5">
        <v>290.39999999999998</v>
      </c>
      <c r="I57" s="5" t="s">
        <v>18</v>
      </c>
      <c r="J57" s="5"/>
      <c r="K57" s="11">
        <v>668000</v>
      </c>
      <c r="L57" s="24">
        <v>2610</v>
      </c>
      <c r="M57" s="5" t="s">
        <v>72</v>
      </c>
      <c r="N57" s="5" t="s">
        <v>73</v>
      </c>
      <c r="O57" s="5" t="s">
        <v>344</v>
      </c>
      <c r="P57" s="5">
        <v>505.00000000000006</v>
      </c>
      <c r="Q57" s="5" t="s">
        <v>345</v>
      </c>
      <c r="R57" s="5"/>
      <c r="T57" s="20" t="s">
        <v>346</v>
      </c>
      <c r="W57" s="5" t="s">
        <v>122</v>
      </c>
      <c r="X57" s="5" t="s">
        <v>81</v>
      </c>
      <c r="Y57" s="5"/>
      <c r="Z57" s="5"/>
    </row>
    <row r="58" spans="1:26" x14ac:dyDescent="0.3">
      <c r="A58" s="5">
        <v>2402079</v>
      </c>
      <c r="B58" s="20" t="s">
        <v>347</v>
      </c>
      <c r="C58" s="25">
        <v>45394</v>
      </c>
      <c r="D58" s="5" t="s">
        <v>17</v>
      </c>
      <c r="E58" s="5" t="s">
        <v>124</v>
      </c>
      <c r="F58" s="5" t="s">
        <v>14</v>
      </c>
      <c r="G58" s="5" t="e" vm="15">
        <v>#VALUE!</v>
      </c>
      <c r="H58" s="5">
        <v>46.8</v>
      </c>
      <c r="I58" s="5" t="s">
        <v>18</v>
      </c>
      <c r="J58" s="5"/>
      <c r="K58" s="11">
        <v>194600</v>
      </c>
      <c r="M58" s="5" t="s">
        <v>72</v>
      </c>
      <c r="N58" s="5" t="s">
        <v>73</v>
      </c>
      <c r="O58" s="5" t="s">
        <v>237</v>
      </c>
      <c r="P58" s="5">
        <v>80</v>
      </c>
      <c r="Q58" s="5" t="s">
        <v>348</v>
      </c>
      <c r="R58" s="5"/>
      <c r="T58" s="20" t="s">
        <v>349</v>
      </c>
      <c r="W58" s="5" t="s">
        <v>122</v>
      </c>
      <c r="X58" s="5" t="s">
        <v>81</v>
      </c>
      <c r="Y58" s="5"/>
      <c r="Z58" s="5"/>
    </row>
    <row r="59" spans="1:26" x14ac:dyDescent="0.3">
      <c r="A59" s="5">
        <v>2402080</v>
      </c>
      <c r="B59" s="20" t="s">
        <v>350</v>
      </c>
      <c r="C59" s="25">
        <v>45357</v>
      </c>
      <c r="D59" s="5" t="s">
        <v>17</v>
      </c>
      <c r="E59" s="5" t="s">
        <v>124</v>
      </c>
      <c r="F59" s="5" t="s">
        <v>15</v>
      </c>
      <c r="G59" s="5" t="e" vm="17">
        <v>#VALUE!</v>
      </c>
      <c r="H59" s="5">
        <v>43.29</v>
      </c>
      <c r="I59" s="5" t="s">
        <v>18</v>
      </c>
      <c r="J59" s="5"/>
      <c r="K59" s="11">
        <v>120000</v>
      </c>
      <c r="L59" s="24">
        <v>1500</v>
      </c>
      <c r="M59" s="5" t="s">
        <v>72</v>
      </c>
      <c r="N59" s="5" t="s">
        <v>73</v>
      </c>
      <c r="O59" s="5" t="s">
        <v>237</v>
      </c>
      <c r="P59" s="5">
        <v>74</v>
      </c>
      <c r="Q59" s="5" t="s">
        <v>351</v>
      </c>
      <c r="R59" s="5"/>
      <c r="T59" s="20" t="s">
        <v>352</v>
      </c>
      <c r="W59" s="5" t="s">
        <v>122</v>
      </c>
      <c r="X59" s="5" t="s">
        <v>81</v>
      </c>
      <c r="Y59" s="5"/>
      <c r="Z59" s="5"/>
    </row>
    <row r="60" spans="1:26" x14ac:dyDescent="0.3">
      <c r="A60" s="5">
        <v>2312120</v>
      </c>
      <c r="B60" s="20" t="s">
        <v>353</v>
      </c>
      <c r="C60" s="25">
        <v>45390</v>
      </c>
      <c r="D60" s="5" t="s">
        <v>17</v>
      </c>
      <c r="E60" s="5" t="s">
        <v>71</v>
      </c>
      <c r="F60" s="5" t="s">
        <v>14</v>
      </c>
      <c r="G60" s="5" t="e" vm="15">
        <v>#VALUE!</v>
      </c>
      <c r="H60" s="5">
        <v>7.6050000000000004</v>
      </c>
      <c r="I60" s="5" t="s">
        <v>18</v>
      </c>
      <c r="J60" s="5"/>
      <c r="K60" s="11">
        <v>27500</v>
      </c>
      <c r="M60" s="5" t="s">
        <v>72</v>
      </c>
      <c r="N60" s="5" t="s">
        <v>73</v>
      </c>
      <c r="O60" s="5" t="s">
        <v>237</v>
      </c>
      <c r="P60" s="5">
        <v>13.000000000000002</v>
      </c>
      <c r="Q60" s="5" t="s">
        <v>244</v>
      </c>
      <c r="R60" s="5"/>
      <c r="S60" s="5" t="s">
        <v>354</v>
      </c>
      <c r="T60" s="20" t="s">
        <v>355</v>
      </c>
      <c r="U60" s="5" t="s">
        <v>356</v>
      </c>
      <c r="V60" s="21" t="s">
        <v>357</v>
      </c>
      <c r="W60" s="5" t="s">
        <v>122</v>
      </c>
      <c r="X60" s="5" t="s">
        <v>81</v>
      </c>
      <c r="Y60" s="5"/>
      <c r="Z60" s="5"/>
    </row>
    <row r="61" spans="1:26" x14ac:dyDescent="0.3">
      <c r="A61" s="5">
        <v>2311092</v>
      </c>
      <c r="B61" s="20" t="s">
        <v>358</v>
      </c>
      <c r="C61" s="25">
        <v>45253</v>
      </c>
      <c r="D61" s="5" t="s">
        <v>17</v>
      </c>
      <c r="E61" s="5" t="s">
        <v>71</v>
      </c>
      <c r="F61" s="5" t="s">
        <v>14</v>
      </c>
      <c r="G61" s="5" t="e" vm="15">
        <v>#VALUE!</v>
      </c>
      <c r="H61" s="5">
        <v>5.75</v>
      </c>
      <c r="I61" s="5" t="s">
        <v>18</v>
      </c>
      <c r="J61" s="5"/>
      <c r="K61" s="11">
        <v>22000</v>
      </c>
      <c r="M61" s="5" t="s">
        <v>72</v>
      </c>
      <c r="N61" s="5" t="s">
        <v>73</v>
      </c>
      <c r="O61" s="5" t="s">
        <v>74</v>
      </c>
      <c r="P61" s="5">
        <v>10</v>
      </c>
      <c r="Q61" s="5" t="s">
        <v>309</v>
      </c>
      <c r="R61" s="5"/>
      <c r="S61" s="5" t="s">
        <v>359</v>
      </c>
      <c r="T61" s="20" t="s">
        <v>360</v>
      </c>
      <c r="U61" s="5" t="s">
        <v>361</v>
      </c>
      <c r="V61" s="22" t="s">
        <v>362</v>
      </c>
      <c r="W61" s="5" t="s">
        <v>122</v>
      </c>
      <c r="X61" s="5" t="s">
        <v>81</v>
      </c>
      <c r="Y61" s="5"/>
      <c r="Z61" s="5"/>
    </row>
    <row r="62" spans="1:26" x14ac:dyDescent="0.3">
      <c r="A62" s="5">
        <v>2404230</v>
      </c>
      <c r="B62" s="20" t="s">
        <v>363</v>
      </c>
      <c r="C62" s="25">
        <v>45402</v>
      </c>
      <c r="D62" s="5" t="s">
        <v>17</v>
      </c>
      <c r="E62" s="5" t="s">
        <v>71</v>
      </c>
      <c r="F62" s="5" t="s">
        <v>14</v>
      </c>
      <c r="G62" s="5" t="e" vm="15">
        <v>#VALUE!</v>
      </c>
      <c r="H62" s="5">
        <v>8.7750000000000004</v>
      </c>
      <c r="I62" s="5" t="s">
        <v>18</v>
      </c>
      <c r="J62" s="5"/>
      <c r="K62" s="11">
        <v>32500</v>
      </c>
      <c r="L62" s="24">
        <v>-2000</v>
      </c>
      <c r="M62" s="5" t="s">
        <v>72</v>
      </c>
      <c r="N62" s="5" t="s">
        <v>73</v>
      </c>
      <c r="O62" s="5" t="s">
        <v>237</v>
      </c>
      <c r="P62" s="5">
        <v>15.000000000000002</v>
      </c>
      <c r="Q62" s="5" t="s">
        <v>364</v>
      </c>
      <c r="R62" s="5"/>
      <c r="S62" s="5" t="s">
        <v>365</v>
      </c>
      <c r="T62" s="20" t="s">
        <v>366</v>
      </c>
      <c r="U62" s="5" t="s">
        <v>367</v>
      </c>
      <c r="V62" s="21" t="s">
        <v>368</v>
      </c>
      <c r="W62" s="5" t="s">
        <v>122</v>
      </c>
      <c r="X62" s="5" t="s">
        <v>81</v>
      </c>
      <c r="Y62" s="5"/>
      <c r="Z62" s="5"/>
    </row>
    <row r="63" spans="1:26" x14ac:dyDescent="0.3">
      <c r="A63" s="5">
        <v>2401133</v>
      </c>
      <c r="B63" s="20" t="s">
        <v>369</v>
      </c>
      <c r="C63" s="25">
        <v>45404</v>
      </c>
      <c r="D63" s="5" t="s">
        <v>17</v>
      </c>
      <c r="E63" s="5" t="s">
        <v>71</v>
      </c>
      <c r="F63" s="5" t="s">
        <v>14</v>
      </c>
      <c r="G63" s="5" t="e" vm="15">
        <v>#VALUE!</v>
      </c>
      <c r="H63" s="5">
        <v>8.7750000000000004</v>
      </c>
      <c r="I63" s="5" t="s">
        <v>18</v>
      </c>
      <c r="J63" s="5"/>
      <c r="K63" s="11">
        <v>34460</v>
      </c>
      <c r="M63" s="5" t="s">
        <v>176</v>
      </c>
      <c r="N63" s="5" t="s">
        <v>73</v>
      </c>
      <c r="O63" s="5" t="s">
        <v>237</v>
      </c>
      <c r="P63" s="5">
        <v>15.000000000000002</v>
      </c>
      <c r="Q63" s="5" t="s">
        <v>364</v>
      </c>
      <c r="R63" s="5"/>
      <c r="S63" s="5" t="s">
        <v>370</v>
      </c>
      <c r="T63" s="20" t="s">
        <v>371</v>
      </c>
      <c r="U63" s="5" t="s">
        <v>372</v>
      </c>
      <c r="V63" s="22" t="s">
        <v>373</v>
      </c>
      <c r="W63" s="5" t="s">
        <v>122</v>
      </c>
      <c r="X63" s="5" t="s">
        <v>81</v>
      </c>
      <c r="Y63" s="5"/>
      <c r="Z63" s="5"/>
    </row>
    <row r="64" spans="1:26" x14ac:dyDescent="0.3">
      <c r="A64" s="5">
        <v>2403171</v>
      </c>
      <c r="B64" s="20" t="s">
        <v>374</v>
      </c>
      <c r="C64" s="25">
        <v>45404</v>
      </c>
      <c r="D64" s="5" t="s">
        <v>17</v>
      </c>
      <c r="E64" s="5" t="s">
        <v>71</v>
      </c>
      <c r="F64" s="5" t="s">
        <v>14</v>
      </c>
      <c r="G64" s="5" t="e" vm="18">
        <v>#VALUE!</v>
      </c>
      <c r="H64" s="5">
        <v>17.55</v>
      </c>
      <c r="I64" s="5" t="s">
        <v>18</v>
      </c>
      <c r="J64" s="5"/>
      <c r="K64" s="11">
        <v>52400</v>
      </c>
      <c r="M64" s="5" t="s">
        <v>176</v>
      </c>
      <c r="N64" s="5" t="s">
        <v>73</v>
      </c>
      <c r="O64" s="5" t="s">
        <v>237</v>
      </c>
      <c r="P64" s="5">
        <v>30.000000000000004</v>
      </c>
      <c r="Q64" s="5" t="s">
        <v>143</v>
      </c>
      <c r="R64" s="5"/>
      <c r="S64" s="5" t="s">
        <v>375</v>
      </c>
      <c r="T64" s="20" t="s">
        <v>376</v>
      </c>
      <c r="U64" s="5" t="s">
        <v>377</v>
      </c>
      <c r="V64" s="22" t="s">
        <v>378</v>
      </c>
      <c r="W64" s="5" t="s">
        <v>122</v>
      </c>
      <c r="X64" s="5" t="s">
        <v>81</v>
      </c>
      <c r="Y64" s="5"/>
      <c r="Z64" s="5" t="s">
        <v>269</v>
      </c>
    </row>
    <row r="65" spans="1:28" x14ac:dyDescent="0.3">
      <c r="A65" s="5">
        <v>2403176</v>
      </c>
      <c r="B65" s="20" t="s">
        <v>379</v>
      </c>
      <c r="C65" s="25">
        <v>45406</v>
      </c>
      <c r="D65" s="5" t="s">
        <v>17</v>
      </c>
      <c r="E65" s="5" t="s">
        <v>71</v>
      </c>
      <c r="F65" s="5" t="s">
        <v>14</v>
      </c>
      <c r="G65" s="5" t="e" vm="15">
        <v>#VALUE!</v>
      </c>
      <c r="H65" s="5">
        <v>6.4349999999999996</v>
      </c>
      <c r="I65" s="5" t="s">
        <v>18</v>
      </c>
      <c r="J65" s="5"/>
      <c r="K65" s="11">
        <v>30500</v>
      </c>
      <c r="M65" s="5" t="s">
        <v>72</v>
      </c>
      <c r="N65" s="5" t="s">
        <v>73</v>
      </c>
      <c r="O65" s="5" t="s">
        <v>237</v>
      </c>
      <c r="P65" s="5">
        <v>11</v>
      </c>
      <c r="Q65" s="5" t="s">
        <v>380</v>
      </c>
      <c r="R65" s="5"/>
      <c r="S65" s="5" t="s">
        <v>381</v>
      </c>
      <c r="T65" s="20" t="s">
        <v>382</v>
      </c>
      <c r="U65" s="5" t="s">
        <v>383</v>
      </c>
      <c r="V65" s="21" t="s">
        <v>384</v>
      </c>
      <c r="W65" s="5" t="s">
        <v>122</v>
      </c>
      <c r="X65" s="5" t="s">
        <v>81</v>
      </c>
      <c r="Y65" s="5"/>
      <c r="Z65" s="5" t="s">
        <v>307</v>
      </c>
    </row>
    <row r="66" spans="1:28" x14ac:dyDescent="0.3">
      <c r="A66" s="5">
        <v>2404229</v>
      </c>
      <c r="B66" s="20" t="s">
        <v>385</v>
      </c>
      <c r="C66" s="25">
        <v>45407</v>
      </c>
      <c r="D66" s="5" t="s">
        <v>17</v>
      </c>
      <c r="E66" s="5" t="s">
        <v>71</v>
      </c>
      <c r="F66" s="5" t="s">
        <v>14</v>
      </c>
      <c r="G66" s="5" t="e" vm="15">
        <v>#VALUE!</v>
      </c>
      <c r="H66" s="5">
        <v>14.625</v>
      </c>
      <c r="I66" s="5" t="s">
        <v>18</v>
      </c>
      <c r="J66" s="5"/>
      <c r="K66" s="11">
        <v>41600</v>
      </c>
      <c r="L66" s="24">
        <v>-1600</v>
      </c>
      <c r="M66" s="5" t="s">
        <v>72</v>
      </c>
      <c r="N66" s="5" t="s">
        <v>73</v>
      </c>
      <c r="O66" s="5" t="s">
        <v>237</v>
      </c>
      <c r="P66" s="5">
        <v>25</v>
      </c>
      <c r="Q66" s="5" t="s">
        <v>143</v>
      </c>
      <c r="R66" s="5" t="s">
        <v>386</v>
      </c>
      <c r="S66" s="5" t="s">
        <v>387</v>
      </c>
      <c r="T66" s="20" t="s">
        <v>388</v>
      </c>
      <c r="U66" s="5" t="s">
        <v>389</v>
      </c>
      <c r="V66" s="22" t="s">
        <v>390</v>
      </c>
      <c r="W66" s="5" t="s">
        <v>122</v>
      </c>
      <c r="X66" s="5" t="s">
        <v>81</v>
      </c>
      <c r="Y66" s="5"/>
      <c r="Z66" s="5"/>
      <c r="AB66" s="20" t="s">
        <v>391</v>
      </c>
    </row>
    <row r="67" spans="1:28" x14ac:dyDescent="0.3">
      <c r="A67" s="5">
        <v>2404211</v>
      </c>
      <c r="B67" s="20" t="s">
        <v>392</v>
      </c>
      <c r="C67" s="25">
        <v>45408</v>
      </c>
      <c r="D67" s="5" t="s">
        <v>17</v>
      </c>
      <c r="E67" s="5" t="s">
        <v>71</v>
      </c>
      <c r="F67" s="5" t="s">
        <v>14</v>
      </c>
      <c r="G67" s="5" t="e" vm="23">
        <v>#VALUE!</v>
      </c>
      <c r="H67" s="5">
        <v>17.55</v>
      </c>
      <c r="I67" s="5" t="s">
        <v>18</v>
      </c>
      <c r="J67" s="5"/>
      <c r="K67" s="11">
        <v>49600</v>
      </c>
      <c r="M67" s="5" t="s">
        <v>72</v>
      </c>
      <c r="N67" s="5" t="s">
        <v>73</v>
      </c>
      <c r="O67" s="5" t="s">
        <v>237</v>
      </c>
      <c r="P67" s="5">
        <v>30.000000000000004</v>
      </c>
      <c r="Q67" s="5" t="s">
        <v>143</v>
      </c>
      <c r="R67" s="5"/>
      <c r="S67" s="5" t="s">
        <v>393</v>
      </c>
      <c r="T67" s="20" t="s">
        <v>394</v>
      </c>
      <c r="U67" s="5" t="s">
        <v>395</v>
      </c>
      <c r="V67" s="22" t="s">
        <v>396</v>
      </c>
      <c r="W67" s="5" t="s">
        <v>122</v>
      </c>
      <c r="X67" s="5" t="s">
        <v>81</v>
      </c>
      <c r="Y67" s="5"/>
      <c r="Z67" s="5"/>
    </row>
    <row r="68" spans="1:28" x14ac:dyDescent="0.3">
      <c r="A68" s="5">
        <v>2404111</v>
      </c>
      <c r="B68" s="20" t="s">
        <v>397</v>
      </c>
      <c r="C68" s="25">
        <v>45407</v>
      </c>
      <c r="D68" s="5" t="s">
        <v>17</v>
      </c>
      <c r="E68" s="5" t="s">
        <v>124</v>
      </c>
      <c r="F68" s="5" t="s">
        <v>14</v>
      </c>
      <c r="G68" s="5" t="e" vm="16">
        <v>#VALUE!</v>
      </c>
      <c r="H68" s="5">
        <v>26.91</v>
      </c>
      <c r="I68" s="5" t="s">
        <v>18</v>
      </c>
      <c r="J68" s="5"/>
      <c r="K68" s="11">
        <v>81000</v>
      </c>
      <c r="M68" s="5" t="s">
        <v>72</v>
      </c>
      <c r="N68" s="5" t="s">
        <v>73</v>
      </c>
      <c r="O68" s="5" t="s">
        <v>237</v>
      </c>
      <c r="P68" s="5">
        <v>46</v>
      </c>
      <c r="Q68" s="5" t="s">
        <v>341</v>
      </c>
      <c r="R68" s="5"/>
      <c r="T68" s="20" t="s">
        <v>398</v>
      </c>
      <c r="W68" s="5" t="s">
        <v>122</v>
      </c>
      <c r="X68" s="5" t="s">
        <v>81</v>
      </c>
      <c r="Y68" s="5"/>
      <c r="Z68" s="5"/>
    </row>
    <row r="69" spans="1:28" x14ac:dyDescent="0.3">
      <c r="A69" s="5">
        <v>2404219</v>
      </c>
      <c r="B69" s="20" t="s">
        <v>399</v>
      </c>
      <c r="C69" s="25">
        <v>45412</v>
      </c>
      <c r="D69" s="5" t="s">
        <v>17</v>
      </c>
      <c r="E69" s="5" t="s">
        <v>71</v>
      </c>
      <c r="F69" s="5" t="s">
        <v>14</v>
      </c>
      <c r="G69" s="5" t="e" vm="24">
        <v>#VALUE!</v>
      </c>
      <c r="H69" s="5">
        <v>17.55</v>
      </c>
      <c r="I69" s="5" t="s">
        <v>18</v>
      </c>
      <c r="J69" s="5"/>
      <c r="K69" s="11">
        <v>52000</v>
      </c>
      <c r="M69" s="5" t="s">
        <v>164</v>
      </c>
      <c r="N69" s="5" t="s">
        <v>73</v>
      </c>
      <c r="O69" s="5" t="s">
        <v>237</v>
      </c>
      <c r="P69" s="5">
        <v>30.000000000000004</v>
      </c>
      <c r="Q69" s="5" t="s">
        <v>143</v>
      </c>
      <c r="R69" s="5"/>
      <c r="S69" s="5" t="s">
        <v>400</v>
      </c>
      <c r="T69" s="20" t="s">
        <v>401</v>
      </c>
      <c r="U69" s="5" t="s">
        <v>402</v>
      </c>
      <c r="V69" s="22" t="s">
        <v>403</v>
      </c>
      <c r="W69" s="5" t="s">
        <v>122</v>
      </c>
      <c r="X69" s="5" t="s">
        <v>81</v>
      </c>
      <c r="Y69" s="5"/>
      <c r="Z69" s="5" t="s">
        <v>269</v>
      </c>
    </row>
    <row r="70" spans="1:28" x14ac:dyDescent="0.3">
      <c r="A70" s="5">
        <v>2404214</v>
      </c>
      <c r="B70" s="20" t="s">
        <v>404</v>
      </c>
      <c r="C70" s="25">
        <v>45414</v>
      </c>
      <c r="D70" s="5" t="s">
        <v>17</v>
      </c>
      <c r="E70" s="5" t="s">
        <v>71</v>
      </c>
      <c r="F70" s="5" t="s">
        <v>14</v>
      </c>
      <c r="G70" s="5" t="e" vm="17">
        <v>#VALUE!</v>
      </c>
      <c r="H70" s="5">
        <v>15.795</v>
      </c>
      <c r="I70" s="5" t="s">
        <v>18</v>
      </c>
      <c r="J70" s="5"/>
      <c r="K70" s="11">
        <v>48200</v>
      </c>
      <c r="M70" s="5" t="s">
        <v>176</v>
      </c>
      <c r="N70" s="5" t="s">
        <v>73</v>
      </c>
      <c r="O70" s="5" t="s">
        <v>237</v>
      </c>
      <c r="P70" s="5">
        <v>27</v>
      </c>
      <c r="Q70" s="5" t="s">
        <v>143</v>
      </c>
      <c r="R70" s="5"/>
      <c r="S70" s="5" t="s">
        <v>405</v>
      </c>
      <c r="T70" s="20" t="s">
        <v>406</v>
      </c>
      <c r="U70" s="5" t="s">
        <v>407</v>
      </c>
      <c r="V70" s="20" t="s">
        <v>408</v>
      </c>
      <c r="W70" s="5" t="s">
        <v>122</v>
      </c>
      <c r="X70" s="5" t="s">
        <v>81</v>
      </c>
      <c r="Y70" s="5"/>
      <c r="Z70" s="5" t="s">
        <v>269</v>
      </c>
    </row>
    <row r="71" spans="1:28" x14ac:dyDescent="0.3">
      <c r="A71" s="5">
        <v>2403102</v>
      </c>
      <c r="B71" s="20" t="s">
        <v>409</v>
      </c>
      <c r="C71" s="25">
        <v>45415</v>
      </c>
      <c r="D71" s="5" t="s">
        <v>17</v>
      </c>
      <c r="E71" s="5" t="s">
        <v>124</v>
      </c>
      <c r="F71" s="5" t="s">
        <v>14</v>
      </c>
      <c r="G71" s="5" t="e" vm="15">
        <v>#VALUE!</v>
      </c>
      <c r="H71" s="5">
        <v>374.4</v>
      </c>
      <c r="I71" s="5" t="s">
        <v>18</v>
      </c>
      <c r="J71" s="5"/>
      <c r="K71" s="11">
        <v>744800</v>
      </c>
      <c r="M71" s="5" t="s">
        <v>72</v>
      </c>
      <c r="N71" s="5" t="s">
        <v>73</v>
      </c>
      <c r="O71" s="5" t="s">
        <v>237</v>
      </c>
      <c r="P71" s="5">
        <v>640</v>
      </c>
      <c r="Q71" s="5" t="s">
        <v>410</v>
      </c>
      <c r="R71" s="5"/>
      <c r="T71" s="20" t="s">
        <v>411</v>
      </c>
      <c r="W71" s="5" t="s">
        <v>109</v>
      </c>
      <c r="X71" s="5" t="s">
        <v>81</v>
      </c>
      <c r="Y71" s="5"/>
      <c r="Z71" s="5" t="s">
        <v>269</v>
      </c>
    </row>
    <row r="72" spans="1:28" x14ac:dyDescent="0.3">
      <c r="A72" s="5">
        <v>2312059</v>
      </c>
      <c r="B72" s="20" t="s">
        <v>412</v>
      </c>
      <c r="C72" s="25">
        <v>45415</v>
      </c>
      <c r="D72" s="5" t="s">
        <v>17</v>
      </c>
      <c r="E72" s="5" t="s">
        <v>124</v>
      </c>
      <c r="F72" s="5" t="s">
        <v>14</v>
      </c>
      <c r="G72" s="5" t="e" vm="15">
        <v>#VALUE!</v>
      </c>
      <c r="H72" s="5">
        <v>345.15</v>
      </c>
      <c r="I72" s="5" t="s">
        <v>18</v>
      </c>
      <c r="J72" s="5"/>
      <c r="K72" s="11">
        <v>690300</v>
      </c>
      <c r="L72" s="24">
        <v>130000</v>
      </c>
      <c r="M72" s="5" t="s">
        <v>72</v>
      </c>
      <c r="N72" s="5" t="s">
        <v>73</v>
      </c>
      <c r="O72" s="5" t="s">
        <v>237</v>
      </c>
      <c r="P72" s="5">
        <v>590</v>
      </c>
      <c r="Q72" s="5" t="s">
        <v>413</v>
      </c>
      <c r="R72" s="5"/>
      <c r="T72" s="20" t="s">
        <v>414</v>
      </c>
      <c r="W72" s="5" t="s">
        <v>109</v>
      </c>
      <c r="X72" s="5" t="s">
        <v>81</v>
      </c>
      <c r="Y72" s="5"/>
      <c r="Z72" s="5" t="s">
        <v>269</v>
      </c>
    </row>
    <row r="73" spans="1:28" x14ac:dyDescent="0.3">
      <c r="A73" s="5">
        <v>2404255</v>
      </c>
      <c r="B73" s="20" t="s">
        <v>415</v>
      </c>
      <c r="C73" s="25">
        <v>45424</v>
      </c>
      <c r="D73" s="5" t="s">
        <v>17</v>
      </c>
      <c r="E73" s="5" t="s">
        <v>71</v>
      </c>
      <c r="F73" s="5" t="s">
        <v>14</v>
      </c>
      <c r="G73" s="5" t="e" vm="15">
        <v>#VALUE!</v>
      </c>
      <c r="H73" s="5">
        <v>7.6050000000000004</v>
      </c>
      <c r="I73" s="5" t="s">
        <v>18</v>
      </c>
      <c r="J73" s="5"/>
      <c r="K73" s="11">
        <v>30260</v>
      </c>
      <c r="M73" s="5" t="s">
        <v>176</v>
      </c>
      <c r="N73" s="5" t="s">
        <v>73</v>
      </c>
      <c r="O73" s="5" t="s">
        <v>237</v>
      </c>
      <c r="P73" s="5">
        <v>13.000000000000002</v>
      </c>
      <c r="Q73" s="5" t="s">
        <v>244</v>
      </c>
      <c r="R73" s="5"/>
      <c r="S73" s="5" t="s">
        <v>416</v>
      </c>
      <c r="T73" s="20" t="s">
        <v>417</v>
      </c>
      <c r="U73" s="5" t="s">
        <v>418</v>
      </c>
      <c r="V73" s="22" t="s">
        <v>419</v>
      </c>
      <c r="W73" s="5" t="s">
        <v>122</v>
      </c>
      <c r="X73" s="5" t="s">
        <v>81</v>
      </c>
      <c r="Y73" s="5"/>
      <c r="Z73" s="5"/>
    </row>
    <row r="74" spans="1:28" x14ac:dyDescent="0.3">
      <c r="A74" s="5">
        <v>2404242</v>
      </c>
      <c r="B74" s="20" t="s">
        <v>420</v>
      </c>
      <c r="C74" s="25">
        <v>45408</v>
      </c>
      <c r="D74" s="5" t="s">
        <v>421</v>
      </c>
      <c r="E74" s="5" t="s">
        <v>71</v>
      </c>
      <c r="F74" s="5" t="s">
        <v>14</v>
      </c>
      <c r="G74" s="5" t="e" vm="16">
        <v>#VALUE!</v>
      </c>
      <c r="H74" s="5">
        <v>10.53</v>
      </c>
      <c r="I74" s="5" t="s">
        <v>18</v>
      </c>
      <c r="J74" s="5"/>
      <c r="K74" s="11">
        <v>35000</v>
      </c>
      <c r="M74" s="5" t="s">
        <v>176</v>
      </c>
      <c r="N74" s="5" t="s">
        <v>73</v>
      </c>
      <c r="O74" s="5" t="s">
        <v>237</v>
      </c>
      <c r="P74" s="5">
        <v>21</v>
      </c>
      <c r="Q74" s="5" t="s">
        <v>364</v>
      </c>
      <c r="R74" s="5"/>
      <c r="S74" s="5" t="s">
        <v>422</v>
      </c>
      <c r="T74" s="20" t="s">
        <v>423</v>
      </c>
      <c r="U74" s="5" t="s">
        <v>424</v>
      </c>
      <c r="V74" s="22" t="s">
        <v>425</v>
      </c>
      <c r="W74" s="5" t="s">
        <v>122</v>
      </c>
      <c r="X74" s="5" t="s">
        <v>81</v>
      </c>
      <c r="Y74" s="5"/>
      <c r="Z74" s="5"/>
    </row>
    <row r="75" spans="1:28" x14ac:dyDescent="0.3">
      <c r="A75" s="5">
        <v>2405272</v>
      </c>
      <c r="B75" s="20" t="s">
        <v>426</v>
      </c>
      <c r="C75" s="25">
        <v>45427</v>
      </c>
      <c r="D75" s="5" t="s">
        <v>17</v>
      </c>
      <c r="E75" s="5" t="s">
        <v>71</v>
      </c>
      <c r="F75" s="5" t="s">
        <v>14</v>
      </c>
      <c r="G75" s="5" t="e" vm="16">
        <v>#VALUE!</v>
      </c>
      <c r="H75" s="5">
        <v>9.36</v>
      </c>
      <c r="I75" s="5" t="s">
        <v>18</v>
      </c>
      <c r="J75" s="5"/>
      <c r="K75" s="11">
        <v>32180</v>
      </c>
      <c r="M75" s="5" t="s">
        <v>72</v>
      </c>
      <c r="N75" s="5" t="s">
        <v>73</v>
      </c>
      <c r="O75" s="5" t="s">
        <v>237</v>
      </c>
      <c r="P75" s="5">
        <v>16</v>
      </c>
      <c r="Q75" s="5" t="s">
        <v>364</v>
      </c>
      <c r="R75" s="5"/>
      <c r="S75" s="5" t="s">
        <v>427</v>
      </c>
      <c r="T75" s="20" t="s">
        <v>428</v>
      </c>
      <c r="U75" s="5" t="s">
        <v>429</v>
      </c>
      <c r="V75" s="22" t="s">
        <v>430</v>
      </c>
      <c r="W75" s="5" t="s">
        <v>122</v>
      </c>
      <c r="X75" s="5" t="s">
        <v>81</v>
      </c>
      <c r="Y75" s="5"/>
      <c r="Z75" s="5" t="s">
        <v>269</v>
      </c>
    </row>
    <row r="76" spans="1:28" x14ac:dyDescent="0.3">
      <c r="A76" s="5">
        <v>2405266</v>
      </c>
      <c r="B76" s="20" t="s">
        <v>431</v>
      </c>
      <c r="C76" s="25">
        <v>45432</v>
      </c>
      <c r="D76" s="5" t="s">
        <v>17</v>
      </c>
      <c r="E76" s="5" t="s">
        <v>71</v>
      </c>
      <c r="F76" s="5" t="s">
        <v>14</v>
      </c>
      <c r="G76" s="5" t="e" vm="15">
        <v>#VALUE!</v>
      </c>
      <c r="H76" s="5">
        <v>13.455</v>
      </c>
      <c r="I76" s="5" t="s">
        <v>18</v>
      </c>
      <c r="J76" s="5"/>
      <c r="K76" s="11">
        <v>41000</v>
      </c>
      <c r="M76" s="5" t="s">
        <v>72</v>
      </c>
      <c r="N76" s="5" t="s">
        <v>73</v>
      </c>
      <c r="O76" s="5" t="s">
        <v>237</v>
      </c>
      <c r="P76" s="5">
        <v>23</v>
      </c>
      <c r="Q76" s="5" t="s">
        <v>111</v>
      </c>
      <c r="R76" s="5"/>
      <c r="S76" s="5" t="s">
        <v>432</v>
      </c>
      <c r="T76" s="20" t="s">
        <v>433</v>
      </c>
      <c r="U76" s="5" t="s">
        <v>434</v>
      </c>
      <c r="V76" s="22" t="s">
        <v>435</v>
      </c>
      <c r="W76" s="5" t="s">
        <v>122</v>
      </c>
      <c r="X76" s="5" t="s">
        <v>81</v>
      </c>
      <c r="Y76" s="5"/>
      <c r="Z76" s="5"/>
    </row>
    <row r="77" spans="1:28" x14ac:dyDescent="0.3">
      <c r="A77" s="5">
        <v>2405280</v>
      </c>
      <c r="B77" s="20" t="s">
        <v>436</v>
      </c>
      <c r="C77" s="25">
        <v>45422</v>
      </c>
      <c r="D77" s="5" t="s">
        <v>17</v>
      </c>
      <c r="E77" s="5" t="s">
        <v>71</v>
      </c>
      <c r="F77" s="5" t="s">
        <v>14</v>
      </c>
      <c r="G77" s="5" t="e" vm="15">
        <v>#VALUE!</v>
      </c>
      <c r="H77" s="5">
        <v>9.36</v>
      </c>
      <c r="I77" s="5" t="s">
        <v>18</v>
      </c>
      <c r="J77" s="5"/>
      <c r="K77" s="11">
        <v>34600</v>
      </c>
      <c r="M77" s="5" t="s">
        <v>176</v>
      </c>
      <c r="N77" s="5" t="s">
        <v>73</v>
      </c>
      <c r="O77" s="5" t="s">
        <v>237</v>
      </c>
      <c r="P77" s="5">
        <v>16</v>
      </c>
      <c r="Q77" s="5" t="s">
        <v>364</v>
      </c>
      <c r="R77" s="5"/>
      <c r="S77" s="5" t="s">
        <v>437</v>
      </c>
      <c r="T77" s="20" t="s">
        <v>438</v>
      </c>
      <c r="U77" s="5" t="s">
        <v>439</v>
      </c>
      <c r="V77" s="22" t="s">
        <v>440</v>
      </c>
      <c r="W77" s="5" t="s">
        <v>122</v>
      </c>
      <c r="X77" s="5" t="s">
        <v>81</v>
      </c>
      <c r="Y77" s="5"/>
      <c r="Z77" s="5"/>
    </row>
    <row r="78" spans="1:28" x14ac:dyDescent="0.3">
      <c r="A78" s="5">
        <v>2405294</v>
      </c>
      <c r="B78" s="20" t="s">
        <v>441</v>
      </c>
      <c r="C78" s="25" t="s">
        <v>442</v>
      </c>
      <c r="D78" s="5" t="s">
        <v>17</v>
      </c>
      <c r="E78" s="5"/>
      <c r="F78" s="5"/>
      <c r="G78" s="5"/>
      <c r="H78" s="5">
        <v>7.02</v>
      </c>
      <c r="I78" s="5" t="s">
        <v>18</v>
      </c>
      <c r="J78" s="5"/>
      <c r="K78" s="11">
        <v>25100</v>
      </c>
      <c r="M78" s="5" t="s">
        <v>72</v>
      </c>
      <c r="N78" s="5" t="s">
        <v>73</v>
      </c>
      <c r="O78" s="5" t="s">
        <v>237</v>
      </c>
      <c r="P78" s="5">
        <v>12</v>
      </c>
      <c r="Q78" s="5" t="s">
        <v>286</v>
      </c>
      <c r="R78" s="5"/>
      <c r="W78" s="5" t="s">
        <v>122</v>
      </c>
      <c r="X78" s="5" t="s">
        <v>81</v>
      </c>
      <c r="Y78" s="5"/>
      <c r="Z78" s="5"/>
    </row>
    <row r="79" spans="1:28" x14ac:dyDescent="0.3">
      <c r="A79" s="5">
        <v>2405296</v>
      </c>
      <c r="B79" s="20" t="s">
        <v>443</v>
      </c>
      <c r="C79" s="25">
        <v>45414</v>
      </c>
      <c r="D79" s="5" t="s">
        <v>17</v>
      </c>
      <c r="E79" s="5" t="s">
        <v>71</v>
      </c>
      <c r="F79" s="5" t="s">
        <v>14</v>
      </c>
      <c r="G79" s="5" t="e" vm="18">
        <v>#VALUE!</v>
      </c>
      <c r="H79" s="5">
        <v>8.7750000000000004</v>
      </c>
      <c r="I79" s="5" t="s">
        <v>18</v>
      </c>
      <c r="J79" s="5"/>
      <c r="K79" s="11">
        <v>32000</v>
      </c>
      <c r="M79" s="5" t="s">
        <v>72</v>
      </c>
      <c r="N79" s="5" t="s">
        <v>73</v>
      </c>
      <c r="O79" s="5" t="s">
        <v>237</v>
      </c>
      <c r="P79" s="5">
        <v>15.000000000000002</v>
      </c>
      <c r="Q79" s="5" t="s">
        <v>364</v>
      </c>
      <c r="R79" s="5"/>
      <c r="S79" s="5" t="s">
        <v>444</v>
      </c>
      <c r="T79" s="20" t="s">
        <v>445</v>
      </c>
      <c r="U79" s="5" t="s">
        <v>446</v>
      </c>
      <c r="V79" s="22" t="s">
        <v>447</v>
      </c>
      <c r="W79" s="5" t="s">
        <v>122</v>
      </c>
      <c r="X79" s="5" t="s">
        <v>81</v>
      </c>
      <c r="Y79" s="5"/>
      <c r="Z79" s="5" t="s">
        <v>269</v>
      </c>
    </row>
    <row r="80" spans="1:28" x14ac:dyDescent="0.3">
      <c r="A80" s="5">
        <v>2405307</v>
      </c>
      <c r="B80" s="20" t="s">
        <v>448</v>
      </c>
      <c r="C80" s="25">
        <v>45434</v>
      </c>
      <c r="D80" s="5" t="s">
        <v>17</v>
      </c>
      <c r="E80" s="5" t="s">
        <v>71</v>
      </c>
      <c r="F80" s="5" t="s">
        <v>14</v>
      </c>
      <c r="G80" s="5" t="e" vm="18">
        <v>#VALUE!</v>
      </c>
      <c r="H80" s="5">
        <v>8.19</v>
      </c>
      <c r="I80" s="5" t="s">
        <v>18</v>
      </c>
      <c r="J80" s="5"/>
      <c r="K80" s="11">
        <v>28000</v>
      </c>
      <c r="L80" s="24">
        <v>4600</v>
      </c>
      <c r="M80" s="5" t="s">
        <v>72</v>
      </c>
      <c r="N80" s="5" t="s">
        <v>73</v>
      </c>
      <c r="O80" s="5" t="s">
        <v>237</v>
      </c>
      <c r="P80" s="5">
        <v>14</v>
      </c>
      <c r="Q80" s="5" t="s">
        <v>244</v>
      </c>
      <c r="R80" s="5"/>
      <c r="S80" s="5" t="s">
        <v>449</v>
      </c>
      <c r="T80" s="20" t="s">
        <v>450</v>
      </c>
      <c r="U80" s="5" t="s">
        <v>451</v>
      </c>
      <c r="V80" s="22" t="s">
        <v>452</v>
      </c>
      <c r="W80" s="5" t="s">
        <v>81</v>
      </c>
      <c r="X80" s="5" t="s">
        <v>81</v>
      </c>
      <c r="Y80" s="5"/>
      <c r="Z80" s="5" t="s">
        <v>269</v>
      </c>
    </row>
    <row r="81" spans="1:26" x14ac:dyDescent="0.3">
      <c r="A81" s="5">
        <v>2404227</v>
      </c>
      <c r="B81" s="20" t="s">
        <v>453</v>
      </c>
      <c r="C81" s="25">
        <v>45442</v>
      </c>
      <c r="D81" s="5" t="s">
        <v>17</v>
      </c>
      <c r="E81" s="5" t="s">
        <v>71</v>
      </c>
      <c r="F81" s="5" t="s">
        <v>14</v>
      </c>
      <c r="G81" s="5" t="e" vm="17">
        <v>#VALUE!</v>
      </c>
      <c r="H81" s="5">
        <v>17.55</v>
      </c>
      <c r="I81" s="5" t="s">
        <v>18</v>
      </c>
      <c r="J81" s="5"/>
      <c r="K81" s="11">
        <v>52400</v>
      </c>
      <c r="M81" s="5" t="s">
        <v>72</v>
      </c>
      <c r="N81" s="5" t="s">
        <v>73</v>
      </c>
      <c r="O81" s="5" t="s">
        <v>237</v>
      </c>
      <c r="P81" s="5">
        <v>30.000000000000004</v>
      </c>
      <c r="Q81" s="5" t="s">
        <v>143</v>
      </c>
      <c r="R81" s="5"/>
      <c r="S81" s="5" t="s">
        <v>454</v>
      </c>
      <c r="T81" s="20" t="s">
        <v>455</v>
      </c>
      <c r="U81" s="5" t="s">
        <v>456</v>
      </c>
      <c r="V81" s="22" t="s">
        <v>457</v>
      </c>
      <c r="W81" s="5" t="s">
        <v>122</v>
      </c>
      <c r="X81" s="5" t="s">
        <v>81</v>
      </c>
      <c r="Y81" s="5"/>
      <c r="Z81" s="5" t="s">
        <v>269</v>
      </c>
    </row>
    <row r="82" spans="1:26" x14ac:dyDescent="0.3">
      <c r="A82" s="5">
        <v>2405315</v>
      </c>
      <c r="B82" s="20" t="s">
        <v>458</v>
      </c>
      <c r="C82" s="25">
        <v>45446</v>
      </c>
      <c r="D82" s="5" t="s">
        <v>17</v>
      </c>
      <c r="E82" s="5" t="s">
        <v>71</v>
      </c>
      <c r="F82" s="5" t="s">
        <v>14</v>
      </c>
      <c r="G82" s="5" t="e" vm="24">
        <v>#VALUE!</v>
      </c>
      <c r="H82" s="5">
        <v>13.455</v>
      </c>
      <c r="I82" s="5" t="s">
        <v>18</v>
      </c>
      <c r="J82" s="5"/>
      <c r="K82" s="11">
        <v>40000</v>
      </c>
      <c r="M82" s="5" t="s">
        <v>72</v>
      </c>
      <c r="N82" s="5" t="s">
        <v>73</v>
      </c>
      <c r="O82" s="5" t="s">
        <v>237</v>
      </c>
      <c r="P82" s="5">
        <v>23</v>
      </c>
      <c r="Q82" s="5" t="s">
        <v>111</v>
      </c>
      <c r="R82" s="5"/>
      <c r="S82" s="5" t="s">
        <v>459</v>
      </c>
      <c r="T82" s="20" t="s">
        <v>460</v>
      </c>
      <c r="U82" s="5" t="s">
        <v>461</v>
      </c>
      <c r="V82" s="22" t="s">
        <v>462</v>
      </c>
      <c r="W82" s="5" t="s">
        <v>122</v>
      </c>
      <c r="X82" s="5" t="s">
        <v>81</v>
      </c>
      <c r="Y82" s="5"/>
      <c r="Z82" s="5" t="s">
        <v>269</v>
      </c>
    </row>
    <row r="83" spans="1:26" x14ac:dyDescent="0.3">
      <c r="A83" s="5">
        <v>2405319</v>
      </c>
      <c r="B83" s="20" t="s">
        <v>463</v>
      </c>
      <c r="C83" s="25">
        <v>45445</v>
      </c>
      <c r="D83" s="5" t="s">
        <v>17</v>
      </c>
      <c r="E83" s="5" t="s">
        <v>71</v>
      </c>
      <c r="F83" s="5" t="s">
        <v>14</v>
      </c>
      <c r="G83" s="5" t="e" vm="15">
        <v>#VALUE!</v>
      </c>
      <c r="H83" s="5">
        <v>7.02</v>
      </c>
      <c r="I83" s="5" t="s">
        <v>18</v>
      </c>
      <c r="J83" s="5"/>
      <c r="K83" s="11">
        <v>26240</v>
      </c>
      <c r="M83" s="5" t="s">
        <v>72</v>
      </c>
      <c r="N83" s="5" t="s">
        <v>73</v>
      </c>
      <c r="O83" s="5" t="s">
        <v>237</v>
      </c>
      <c r="P83" s="5">
        <v>12</v>
      </c>
      <c r="Q83" s="5" t="s">
        <v>286</v>
      </c>
      <c r="R83" s="5"/>
      <c r="S83" s="5" t="s">
        <v>464</v>
      </c>
      <c r="T83" s="20" t="s">
        <v>465</v>
      </c>
      <c r="U83" s="5" t="s">
        <v>466</v>
      </c>
      <c r="V83" s="22" t="s">
        <v>467</v>
      </c>
      <c r="W83" s="5" t="s">
        <v>122</v>
      </c>
      <c r="X83" s="5" t="s">
        <v>81</v>
      </c>
      <c r="Y83" s="5"/>
      <c r="Z83" s="5" t="s">
        <v>269</v>
      </c>
    </row>
    <row r="84" spans="1:26" x14ac:dyDescent="0.3">
      <c r="A84" s="5">
        <v>2405288</v>
      </c>
      <c r="B84" s="20" t="s">
        <v>468</v>
      </c>
      <c r="C84" s="25">
        <v>45440</v>
      </c>
      <c r="D84" s="5" t="s">
        <v>17</v>
      </c>
      <c r="E84" s="5" t="s">
        <v>71</v>
      </c>
      <c r="F84" s="5" t="s">
        <v>14</v>
      </c>
      <c r="G84" s="5" t="e" vm="18">
        <v>#VALUE!</v>
      </c>
      <c r="H84" s="5">
        <v>12.285</v>
      </c>
      <c r="I84" s="5" t="s">
        <v>18</v>
      </c>
      <c r="J84" s="5"/>
      <c r="K84" s="11">
        <v>41840</v>
      </c>
      <c r="M84" s="5" t="s">
        <v>72</v>
      </c>
      <c r="N84" s="5" t="s">
        <v>73</v>
      </c>
      <c r="O84" s="5" t="s">
        <v>237</v>
      </c>
      <c r="P84" s="5">
        <v>21</v>
      </c>
      <c r="Q84" s="5" t="s">
        <v>111</v>
      </c>
      <c r="R84" s="5"/>
      <c r="S84" s="5" t="s">
        <v>469</v>
      </c>
      <c r="T84" s="20" t="s">
        <v>470</v>
      </c>
      <c r="U84" s="5" t="s">
        <v>471</v>
      </c>
      <c r="V84" s="22" t="s">
        <v>472</v>
      </c>
      <c r="W84" s="5" t="s">
        <v>122</v>
      </c>
      <c r="X84" s="5" t="s">
        <v>81</v>
      </c>
      <c r="Y84" s="5"/>
      <c r="Z84" s="5" t="s">
        <v>269</v>
      </c>
    </row>
    <row r="85" spans="1:26" x14ac:dyDescent="0.3">
      <c r="A85" s="5">
        <v>2404256</v>
      </c>
      <c r="B85" s="20" t="s">
        <v>473</v>
      </c>
      <c r="C85" s="25">
        <v>45464</v>
      </c>
      <c r="D85" s="5" t="s">
        <v>421</v>
      </c>
      <c r="E85" s="5" t="s">
        <v>71</v>
      </c>
      <c r="F85" s="5" t="s">
        <v>14</v>
      </c>
      <c r="G85" s="5" t="e" vm="16">
        <v>#VALUE!</v>
      </c>
      <c r="H85" s="5">
        <v>8.7750000000000004</v>
      </c>
      <c r="I85" s="5" t="s">
        <v>18</v>
      </c>
      <c r="J85" s="5"/>
      <c r="K85" s="11">
        <v>33100</v>
      </c>
      <c r="M85" s="5" t="s">
        <v>72</v>
      </c>
      <c r="N85" s="5" t="s">
        <v>73</v>
      </c>
      <c r="O85" s="5" t="s">
        <v>237</v>
      </c>
      <c r="P85" s="5">
        <v>14</v>
      </c>
      <c r="Q85" s="5" t="s">
        <v>75</v>
      </c>
      <c r="R85" s="5"/>
      <c r="S85" s="5" t="s">
        <v>474</v>
      </c>
      <c r="T85" s="20" t="s">
        <v>475</v>
      </c>
      <c r="U85" s="5" t="s">
        <v>476</v>
      </c>
      <c r="V85" s="22" t="s">
        <v>477</v>
      </c>
      <c r="W85" s="5" t="s">
        <v>122</v>
      </c>
      <c r="X85" s="5" t="s">
        <v>81</v>
      </c>
      <c r="Y85" s="5"/>
      <c r="Z85" s="5"/>
    </row>
    <row r="86" spans="1:26" x14ac:dyDescent="0.3">
      <c r="A86" s="5">
        <v>2406323</v>
      </c>
      <c r="B86" s="20" t="s">
        <v>478</v>
      </c>
      <c r="C86" s="25">
        <v>45457</v>
      </c>
      <c r="D86" s="5" t="s">
        <v>17</v>
      </c>
      <c r="E86" s="5" t="s">
        <v>71</v>
      </c>
      <c r="F86" s="5" t="s">
        <v>14</v>
      </c>
      <c r="G86" s="5" t="e" vm="23">
        <v>#VALUE!</v>
      </c>
      <c r="H86" s="5">
        <v>14.04</v>
      </c>
      <c r="I86" s="5" t="s">
        <v>18</v>
      </c>
      <c r="J86" s="5"/>
      <c r="K86" s="11">
        <v>40000</v>
      </c>
      <c r="M86" s="5" t="s">
        <v>72</v>
      </c>
      <c r="N86" s="5" t="s">
        <v>73</v>
      </c>
      <c r="O86" s="5" t="s">
        <v>237</v>
      </c>
      <c r="P86" s="5">
        <v>24</v>
      </c>
      <c r="Q86" s="5" t="s">
        <v>143</v>
      </c>
      <c r="R86" s="5"/>
      <c r="S86" s="5" t="s">
        <v>479</v>
      </c>
      <c r="T86" s="20" t="s">
        <v>480</v>
      </c>
      <c r="U86" s="5" t="s">
        <v>481</v>
      </c>
      <c r="V86" s="22" t="s">
        <v>482</v>
      </c>
      <c r="W86" s="5" t="s">
        <v>122</v>
      </c>
      <c r="X86" s="5" t="s">
        <v>81</v>
      </c>
      <c r="Y86" s="5"/>
      <c r="Z86" s="5"/>
    </row>
    <row r="87" spans="1:26" x14ac:dyDescent="0.3">
      <c r="A87" s="5">
        <v>2406336</v>
      </c>
      <c r="B87" s="20" t="s">
        <v>483</v>
      </c>
      <c r="C87" s="25">
        <v>45462</v>
      </c>
      <c r="D87" s="5" t="s">
        <v>17</v>
      </c>
      <c r="E87" s="5" t="s">
        <v>71</v>
      </c>
      <c r="F87" s="5" t="s">
        <v>14</v>
      </c>
      <c r="G87" s="5" t="e" vm="18">
        <v>#VALUE!</v>
      </c>
      <c r="H87" s="5">
        <v>11.7</v>
      </c>
      <c r="I87" s="5" t="s">
        <v>18</v>
      </c>
      <c r="J87" s="5"/>
      <c r="K87" s="11">
        <v>31000</v>
      </c>
      <c r="M87" s="5" t="s">
        <v>72</v>
      </c>
      <c r="N87" s="5" t="s">
        <v>73</v>
      </c>
      <c r="O87" s="5" t="s">
        <v>237</v>
      </c>
      <c r="P87" s="5">
        <v>20</v>
      </c>
      <c r="Q87" s="5" t="s">
        <v>111</v>
      </c>
      <c r="R87" s="5"/>
      <c r="S87" s="5" t="s">
        <v>484</v>
      </c>
      <c r="T87" s="20" t="s">
        <v>485</v>
      </c>
      <c r="U87" s="5" t="s">
        <v>486</v>
      </c>
      <c r="V87" s="22" t="s">
        <v>487</v>
      </c>
      <c r="W87" s="5" t="s">
        <v>81</v>
      </c>
      <c r="X87" s="5" t="s">
        <v>81</v>
      </c>
      <c r="Y87" s="5"/>
      <c r="Z87" s="5" t="s">
        <v>269</v>
      </c>
    </row>
    <row r="88" spans="1:26" x14ac:dyDescent="0.3">
      <c r="A88" s="5">
        <v>2406340</v>
      </c>
      <c r="B88" s="20" t="s">
        <v>488</v>
      </c>
      <c r="C88" s="25">
        <v>45464</v>
      </c>
      <c r="D88" s="5" t="s">
        <v>17</v>
      </c>
      <c r="E88" s="5" t="s">
        <v>71</v>
      </c>
      <c r="F88" s="5" t="s">
        <v>14</v>
      </c>
      <c r="G88" s="5" t="e" vm="18">
        <v>#VALUE!</v>
      </c>
      <c r="H88" s="5">
        <v>7.02</v>
      </c>
      <c r="I88" s="5" t="s">
        <v>18</v>
      </c>
      <c r="J88" s="5"/>
      <c r="K88" s="11">
        <v>24100</v>
      </c>
      <c r="M88" s="5" t="s">
        <v>72</v>
      </c>
      <c r="N88" s="5" t="s">
        <v>73</v>
      </c>
      <c r="O88" s="5" t="s">
        <v>237</v>
      </c>
      <c r="P88" s="5">
        <v>12</v>
      </c>
      <c r="Q88" s="5" t="s">
        <v>286</v>
      </c>
      <c r="R88" s="5"/>
      <c r="S88" s="5" t="s">
        <v>489</v>
      </c>
      <c r="T88" s="20" t="s">
        <v>490</v>
      </c>
      <c r="U88" s="5" t="s">
        <v>491</v>
      </c>
      <c r="V88" s="22" t="s">
        <v>492</v>
      </c>
      <c r="W88" s="5" t="s">
        <v>122</v>
      </c>
      <c r="X88" s="5" t="s">
        <v>81</v>
      </c>
      <c r="Y88" s="5"/>
      <c r="Z88" s="5" t="s">
        <v>269</v>
      </c>
    </row>
    <row r="89" spans="1:26" x14ac:dyDescent="0.3">
      <c r="A89" s="5">
        <v>2406355</v>
      </c>
      <c r="B89" s="20" t="s">
        <v>493</v>
      </c>
      <c r="C89" s="25">
        <v>45471</v>
      </c>
      <c r="D89" s="5" t="s">
        <v>17</v>
      </c>
      <c r="E89" s="5" t="s">
        <v>71</v>
      </c>
      <c r="F89" s="5" t="s">
        <v>14</v>
      </c>
      <c r="G89" s="5" t="e" vm="15">
        <v>#VALUE!</v>
      </c>
      <c r="H89" s="5">
        <v>9.36</v>
      </c>
      <c r="I89" s="5" t="s">
        <v>18</v>
      </c>
      <c r="J89" s="5"/>
      <c r="K89" s="11">
        <v>27000</v>
      </c>
      <c r="L89" s="24">
        <v>-1872</v>
      </c>
      <c r="M89" s="5" t="s">
        <v>72</v>
      </c>
      <c r="N89" s="5" t="s">
        <v>73</v>
      </c>
      <c r="O89" s="5" t="s">
        <v>237</v>
      </c>
      <c r="P89" s="5">
        <v>16</v>
      </c>
      <c r="Q89" s="5" t="s">
        <v>364</v>
      </c>
      <c r="R89" s="5"/>
      <c r="S89" s="5" t="s">
        <v>494</v>
      </c>
      <c r="T89" s="20" t="s">
        <v>495</v>
      </c>
      <c r="U89" s="5" t="s">
        <v>496</v>
      </c>
      <c r="V89" s="22" t="s">
        <v>497</v>
      </c>
      <c r="W89" s="5" t="s">
        <v>109</v>
      </c>
      <c r="X89" s="5" t="s">
        <v>81</v>
      </c>
      <c r="Y89" s="5"/>
      <c r="Z89" s="5"/>
    </row>
    <row r="90" spans="1:26" x14ac:dyDescent="0.3">
      <c r="A90" s="5">
        <v>2406357</v>
      </c>
      <c r="B90" s="20" t="s">
        <v>498</v>
      </c>
      <c r="C90" s="25">
        <v>45471</v>
      </c>
      <c r="D90" s="5" t="s">
        <v>22</v>
      </c>
      <c r="E90" s="5" t="s">
        <v>71</v>
      </c>
      <c r="F90" s="5" t="s">
        <v>14</v>
      </c>
      <c r="G90" s="5" t="e" vm="16">
        <v>#VALUE!</v>
      </c>
      <c r="H90" s="5">
        <v>12.285</v>
      </c>
      <c r="I90" s="5" t="s">
        <v>18</v>
      </c>
      <c r="J90" s="5"/>
      <c r="K90" s="11">
        <v>38000</v>
      </c>
      <c r="M90" s="5" t="s">
        <v>72</v>
      </c>
      <c r="N90" s="5" t="s">
        <v>73</v>
      </c>
      <c r="O90" s="5" t="s">
        <v>237</v>
      </c>
      <c r="P90" s="5">
        <v>21</v>
      </c>
      <c r="Q90" s="5" t="s">
        <v>111</v>
      </c>
      <c r="R90" s="5"/>
      <c r="S90" s="5" t="s">
        <v>499</v>
      </c>
      <c r="T90" s="20" t="s">
        <v>500</v>
      </c>
      <c r="U90" s="5" t="s">
        <v>501</v>
      </c>
      <c r="V90" s="22" t="s">
        <v>502</v>
      </c>
      <c r="W90" s="5" t="s">
        <v>80</v>
      </c>
      <c r="X90" s="5" t="s">
        <v>81</v>
      </c>
      <c r="Y90" s="5"/>
      <c r="Z90" s="5"/>
    </row>
    <row r="91" spans="1:26" x14ac:dyDescent="0.3">
      <c r="A91" s="5">
        <v>2405019</v>
      </c>
      <c r="B91" s="20" t="s">
        <v>503</v>
      </c>
      <c r="C91" s="25">
        <v>45463</v>
      </c>
      <c r="D91" s="5" t="s">
        <v>20</v>
      </c>
      <c r="E91" s="5" t="s">
        <v>206</v>
      </c>
      <c r="F91" s="5" t="s">
        <v>18</v>
      </c>
      <c r="G91" s="5" t="e" vm="19">
        <v>#VALUE!</v>
      </c>
      <c r="H91" s="5">
        <v>0</v>
      </c>
      <c r="I91" s="5">
        <v>240</v>
      </c>
      <c r="J91" s="5"/>
      <c r="K91" s="11">
        <v>90800</v>
      </c>
      <c r="M91" s="5" t="s">
        <v>125</v>
      </c>
      <c r="N91" s="5" t="s">
        <v>73</v>
      </c>
      <c r="O91" s="5" t="s">
        <v>18</v>
      </c>
      <c r="P91" s="5" t="s">
        <v>18</v>
      </c>
      <c r="Q91" s="5" t="s">
        <v>18</v>
      </c>
      <c r="R91" s="5"/>
      <c r="S91" s="5" t="s">
        <v>18</v>
      </c>
      <c r="T91" s="20" t="s">
        <v>504</v>
      </c>
      <c r="U91" s="5" t="s">
        <v>18</v>
      </c>
      <c r="V91" s="22" t="s">
        <v>18</v>
      </c>
      <c r="W91" s="5" t="s">
        <v>109</v>
      </c>
      <c r="X91" s="5" t="s">
        <v>81</v>
      </c>
      <c r="Y91" s="5"/>
      <c r="Z91" s="5"/>
    </row>
    <row r="92" spans="1:26" x14ac:dyDescent="0.3">
      <c r="A92" s="5">
        <v>2406358</v>
      </c>
      <c r="B92" s="20" t="s">
        <v>505</v>
      </c>
      <c r="C92" s="25">
        <v>45474</v>
      </c>
      <c r="D92" s="5" t="s">
        <v>17</v>
      </c>
      <c r="E92" s="5" t="s">
        <v>71</v>
      </c>
      <c r="F92" s="5" t="s">
        <v>14</v>
      </c>
      <c r="G92" s="5" t="e" vm="22">
        <v>#VALUE!</v>
      </c>
      <c r="H92" s="5">
        <v>9.36</v>
      </c>
      <c r="I92" s="5" t="s">
        <v>18</v>
      </c>
      <c r="J92" s="5"/>
      <c r="K92" s="11">
        <v>30000</v>
      </c>
      <c r="M92" s="5" t="s">
        <v>72</v>
      </c>
      <c r="N92" s="5" t="s">
        <v>73</v>
      </c>
      <c r="O92" s="5" t="s">
        <v>237</v>
      </c>
      <c r="P92" s="5">
        <v>16</v>
      </c>
      <c r="Q92" s="5" t="s">
        <v>364</v>
      </c>
      <c r="R92" s="5"/>
      <c r="S92" s="5" t="s">
        <v>506</v>
      </c>
      <c r="T92" s="20" t="s">
        <v>507</v>
      </c>
      <c r="U92" s="5" t="s">
        <v>508</v>
      </c>
      <c r="V92" s="22" t="s">
        <v>509</v>
      </c>
      <c r="W92" s="5" t="s">
        <v>122</v>
      </c>
      <c r="X92" s="5" t="s">
        <v>81</v>
      </c>
      <c r="Y92" s="5"/>
      <c r="Z92" s="5"/>
    </row>
    <row r="93" spans="1:26" x14ac:dyDescent="0.3">
      <c r="A93" s="5">
        <v>2407360</v>
      </c>
      <c r="B93" s="20" t="s">
        <v>510</v>
      </c>
      <c r="C93" s="25">
        <v>45491</v>
      </c>
      <c r="D93" s="5" t="s">
        <v>17</v>
      </c>
      <c r="E93" s="5" t="s">
        <v>71</v>
      </c>
      <c r="F93" s="5" t="s">
        <v>14</v>
      </c>
      <c r="G93" s="5" t="e" vm="15">
        <v>#VALUE!</v>
      </c>
      <c r="H93" s="5">
        <v>14.04</v>
      </c>
      <c r="I93" s="5" t="s">
        <v>18</v>
      </c>
      <c r="J93" s="5"/>
      <c r="K93" s="11">
        <v>45020</v>
      </c>
      <c r="M93" s="5" t="s">
        <v>176</v>
      </c>
      <c r="N93" s="5" t="s">
        <v>73</v>
      </c>
      <c r="O93" s="5" t="s">
        <v>237</v>
      </c>
      <c r="P93" s="5">
        <v>24</v>
      </c>
      <c r="Q93" s="5" t="s">
        <v>143</v>
      </c>
      <c r="R93" s="5"/>
      <c r="S93" s="5" t="s">
        <v>511</v>
      </c>
      <c r="T93" s="20" t="s">
        <v>512</v>
      </c>
      <c r="U93" s="5" t="s">
        <v>513</v>
      </c>
      <c r="V93" s="22" t="s">
        <v>514</v>
      </c>
      <c r="W93" s="5" t="s">
        <v>122</v>
      </c>
      <c r="X93" s="5" t="s">
        <v>81</v>
      </c>
      <c r="Y93" s="5"/>
      <c r="Z93" s="5"/>
    </row>
    <row r="94" spans="1:26" x14ac:dyDescent="0.3">
      <c r="A94" s="5">
        <v>2407364</v>
      </c>
      <c r="B94" s="20" t="s">
        <v>515</v>
      </c>
      <c r="C94" s="25">
        <v>45481</v>
      </c>
      <c r="D94" s="5" t="s">
        <v>22</v>
      </c>
      <c r="E94" s="5" t="s">
        <v>71</v>
      </c>
      <c r="F94" s="5" t="s">
        <v>14</v>
      </c>
      <c r="G94" s="5" t="e" vm="16">
        <v>#VALUE!</v>
      </c>
      <c r="H94" s="5">
        <v>8.19</v>
      </c>
      <c r="I94" s="5" t="s">
        <v>18</v>
      </c>
      <c r="J94" s="5"/>
      <c r="K94" s="11">
        <v>25000</v>
      </c>
      <c r="M94" s="5" t="s">
        <v>72</v>
      </c>
      <c r="N94" s="5" t="s">
        <v>73</v>
      </c>
      <c r="O94" s="5" t="s">
        <v>237</v>
      </c>
      <c r="P94" s="5">
        <v>14</v>
      </c>
      <c r="Q94" s="5" t="s">
        <v>244</v>
      </c>
      <c r="R94" s="5"/>
      <c r="S94" s="5" t="s">
        <v>516</v>
      </c>
      <c r="T94" s="20" t="s">
        <v>517</v>
      </c>
      <c r="U94" s="5" t="s">
        <v>518</v>
      </c>
      <c r="V94" s="22" t="s">
        <v>519</v>
      </c>
      <c r="W94" s="5" t="s">
        <v>109</v>
      </c>
      <c r="X94" s="5" t="s">
        <v>81</v>
      </c>
      <c r="Y94" s="5"/>
      <c r="Z94" s="5"/>
    </row>
    <row r="95" spans="1:26" x14ac:dyDescent="0.3">
      <c r="A95" s="5">
        <v>2407375</v>
      </c>
      <c r="B95" s="20" t="s">
        <v>520</v>
      </c>
      <c r="C95" s="25">
        <v>45485</v>
      </c>
      <c r="D95" s="5" t="s">
        <v>17</v>
      </c>
      <c r="E95" s="5" t="s">
        <v>71</v>
      </c>
      <c r="F95" s="5" t="s">
        <v>14</v>
      </c>
      <c r="G95" s="5" t="e" vm="15">
        <v>#VALUE!</v>
      </c>
      <c r="H95" s="5">
        <v>14.04</v>
      </c>
      <c r="I95" s="5" t="s">
        <v>18</v>
      </c>
      <c r="J95" s="5"/>
      <c r="K95" s="11">
        <v>39980</v>
      </c>
      <c r="M95" s="5" t="s">
        <v>176</v>
      </c>
      <c r="N95" s="5" t="s">
        <v>73</v>
      </c>
      <c r="O95" s="5" t="s">
        <v>237</v>
      </c>
      <c r="P95" s="5">
        <v>24</v>
      </c>
      <c r="Q95" s="5" t="s">
        <v>143</v>
      </c>
      <c r="R95" s="5"/>
      <c r="S95" s="5" t="s">
        <v>521</v>
      </c>
      <c r="T95" s="20" t="s">
        <v>522</v>
      </c>
      <c r="U95" s="5" t="s">
        <v>523</v>
      </c>
      <c r="V95" s="22" t="s">
        <v>524</v>
      </c>
      <c r="W95" s="5" t="s">
        <v>122</v>
      </c>
      <c r="X95" s="5" t="s">
        <v>81</v>
      </c>
      <c r="Y95" s="5"/>
      <c r="Z95" s="5" t="s">
        <v>269</v>
      </c>
    </row>
    <row r="96" spans="1:26" x14ac:dyDescent="0.3">
      <c r="A96" s="5">
        <v>2407379</v>
      </c>
      <c r="B96" s="20" t="s">
        <v>525</v>
      </c>
      <c r="C96" s="25">
        <v>45484</v>
      </c>
      <c r="D96" s="5" t="s">
        <v>19</v>
      </c>
      <c r="E96" s="5" t="s">
        <v>71</v>
      </c>
      <c r="F96" s="5" t="s">
        <v>14</v>
      </c>
      <c r="G96" s="5" t="e" vm="16">
        <v>#VALUE!</v>
      </c>
      <c r="H96" s="5">
        <v>5.2649999999999997</v>
      </c>
      <c r="I96" s="5" t="s">
        <v>18</v>
      </c>
      <c r="J96" s="5"/>
      <c r="K96" s="11">
        <v>22860</v>
      </c>
      <c r="M96" s="5" t="s">
        <v>526</v>
      </c>
      <c r="N96" s="5" t="s">
        <v>73</v>
      </c>
      <c r="O96" s="5" t="s">
        <v>237</v>
      </c>
      <c r="P96" s="5">
        <v>9</v>
      </c>
      <c r="Q96" s="5" t="s">
        <v>309</v>
      </c>
      <c r="R96" s="5"/>
      <c r="S96" s="5" t="s">
        <v>527</v>
      </c>
      <c r="T96" s="20" t="s">
        <v>528</v>
      </c>
      <c r="U96" s="5" t="s">
        <v>529</v>
      </c>
      <c r="V96" s="20" t="s">
        <v>530</v>
      </c>
      <c r="W96" s="5" t="s">
        <v>109</v>
      </c>
      <c r="X96" s="5" t="s">
        <v>81</v>
      </c>
      <c r="Y96" s="5"/>
      <c r="Z96" s="5"/>
    </row>
    <row r="97" spans="1:26" x14ac:dyDescent="0.3">
      <c r="A97" s="5">
        <v>2407380</v>
      </c>
      <c r="B97" s="20" t="s">
        <v>531</v>
      </c>
      <c r="C97" s="25">
        <v>45486</v>
      </c>
      <c r="D97" s="5" t="s">
        <v>17</v>
      </c>
      <c r="E97" s="5" t="s">
        <v>71</v>
      </c>
      <c r="F97" s="5" t="s">
        <v>14</v>
      </c>
      <c r="G97" s="5" t="e" vm="15">
        <v>#VALUE!</v>
      </c>
      <c r="H97" s="5">
        <v>12.87</v>
      </c>
      <c r="I97" s="5" t="s">
        <v>18</v>
      </c>
      <c r="J97" s="5"/>
      <c r="K97" s="11">
        <v>38000</v>
      </c>
      <c r="M97" s="5" t="s">
        <v>72</v>
      </c>
      <c r="N97" s="5" t="s">
        <v>73</v>
      </c>
      <c r="O97" s="5" t="s">
        <v>237</v>
      </c>
      <c r="P97" s="5">
        <v>22</v>
      </c>
      <c r="Q97" s="5" t="s">
        <v>111</v>
      </c>
      <c r="R97" s="5"/>
      <c r="S97" s="5" t="s">
        <v>532</v>
      </c>
      <c r="T97" s="20" t="s">
        <v>533</v>
      </c>
      <c r="U97" s="5" t="s">
        <v>534</v>
      </c>
      <c r="V97" s="22" t="s">
        <v>535</v>
      </c>
      <c r="W97" s="5" t="s">
        <v>122</v>
      </c>
      <c r="X97" s="5" t="s">
        <v>81</v>
      </c>
      <c r="Y97" s="5"/>
      <c r="Z97" s="5" t="s">
        <v>269</v>
      </c>
    </row>
    <row r="98" spans="1:26" x14ac:dyDescent="0.3">
      <c r="A98" s="5">
        <v>2407381</v>
      </c>
      <c r="B98" s="20" t="s">
        <v>536</v>
      </c>
      <c r="C98" s="25">
        <v>45486</v>
      </c>
      <c r="D98" s="5" t="s">
        <v>17</v>
      </c>
      <c r="E98" s="5" t="s">
        <v>71</v>
      </c>
      <c r="F98" s="5" t="s">
        <v>14</v>
      </c>
      <c r="G98" s="5" t="e" vm="15">
        <v>#VALUE!</v>
      </c>
      <c r="H98" s="5">
        <v>12.285</v>
      </c>
      <c r="I98" s="5" t="s">
        <v>18</v>
      </c>
      <c r="J98" s="5"/>
      <c r="K98" s="11">
        <v>36680</v>
      </c>
      <c r="M98" s="5" t="s">
        <v>72</v>
      </c>
      <c r="N98" s="5" t="s">
        <v>73</v>
      </c>
      <c r="O98" s="5" t="s">
        <v>237</v>
      </c>
      <c r="P98" s="5">
        <v>21</v>
      </c>
      <c r="Q98" s="5" t="s">
        <v>111</v>
      </c>
      <c r="R98" s="5"/>
      <c r="S98" s="5" t="s">
        <v>537</v>
      </c>
      <c r="T98" s="20" t="s">
        <v>538</v>
      </c>
      <c r="U98" s="5" t="s">
        <v>539</v>
      </c>
      <c r="V98" s="22" t="s">
        <v>540</v>
      </c>
      <c r="W98" s="5" t="s">
        <v>122</v>
      </c>
      <c r="X98" s="5" t="s">
        <v>81</v>
      </c>
      <c r="Y98" s="5"/>
      <c r="Z98" s="5" t="s">
        <v>269</v>
      </c>
    </row>
    <row r="99" spans="1:26" x14ac:dyDescent="0.3">
      <c r="A99" s="5">
        <v>2407382</v>
      </c>
      <c r="B99" s="20" t="s">
        <v>541</v>
      </c>
      <c r="C99" s="25">
        <v>45488</v>
      </c>
      <c r="D99" s="5" t="s">
        <v>17</v>
      </c>
      <c r="E99" s="5" t="s">
        <v>71</v>
      </c>
      <c r="F99" s="5" t="s">
        <v>14</v>
      </c>
      <c r="G99" s="5" t="e" vm="15">
        <v>#VALUE!</v>
      </c>
      <c r="H99" s="5">
        <v>8.7750000000000004</v>
      </c>
      <c r="I99" s="5" t="s">
        <v>18</v>
      </c>
      <c r="J99" s="5"/>
      <c r="K99" s="11">
        <v>29840</v>
      </c>
      <c r="M99" s="5" t="s">
        <v>176</v>
      </c>
      <c r="N99" s="5" t="s">
        <v>73</v>
      </c>
      <c r="O99" s="5" t="s">
        <v>237</v>
      </c>
      <c r="P99" s="5">
        <v>15.000000000000002</v>
      </c>
      <c r="Q99" s="5" t="s">
        <v>364</v>
      </c>
      <c r="R99" s="5"/>
      <c r="S99" s="5" t="s">
        <v>542</v>
      </c>
      <c r="T99" s="20" t="s">
        <v>543</v>
      </c>
      <c r="U99" s="5" t="s">
        <v>544</v>
      </c>
      <c r="W99" s="5" t="s">
        <v>122</v>
      </c>
      <c r="X99" s="5" t="s">
        <v>81</v>
      </c>
      <c r="Y99" s="5"/>
      <c r="Z99" s="5" t="s">
        <v>269</v>
      </c>
    </row>
    <row r="100" spans="1:26" x14ac:dyDescent="0.3">
      <c r="A100" s="5">
        <v>2407383</v>
      </c>
      <c r="B100" s="20" t="s">
        <v>545</v>
      </c>
      <c r="C100" s="25">
        <v>45488</v>
      </c>
      <c r="D100" s="5" t="s">
        <v>17</v>
      </c>
      <c r="E100" s="5" t="s">
        <v>71</v>
      </c>
      <c r="F100" s="5" t="s">
        <v>14</v>
      </c>
      <c r="G100" s="5" t="e" vm="15">
        <v>#VALUE!</v>
      </c>
      <c r="H100" s="5">
        <v>14.04</v>
      </c>
      <c r="I100" s="5" t="s">
        <v>18</v>
      </c>
      <c r="J100" s="5"/>
      <c r="K100" s="11">
        <v>39980</v>
      </c>
      <c r="M100" s="5" t="s">
        <v>72</v>
      </c>
      <c r="N100" s="5" t="s">
        <v>73</v>
      </c>
      <c r="O100" s="5" t="s">
        <v>237</v>
      </c>
      <c r="P100" s="5">
        <v>24</v>
      </c>
      <c r="Q100" s="5" t="s">
        <v>143</v>
      </c>
      <c r="R100" s="5"/>
      <c r="S100" s="5" t="s">
        <v>546</v>
      </c>
      <c r="T100" s="20" t="s">
        <v>547</v>
      </c>
      <c r="U100" s="5" t="s">
        <v>548</v>
      </c>
      <c r="V100" s="22" t="s">
        <v>549</v>
      </c>
      <c r="W100" s="5" t="s">
        <v>122</v>
      </c>
      <c r="X100" s="5" t="s">
        <v>81</v>
      </c>
      <c r="Y100" s="5"/>
      <c r="Z100" s="5" t="s">
        <v>269</v>
      </c>
    </row>
    <row r="101" spans="1:26" x14ac:dyDescent="0.3">
      <c r="A101" s="5">
        <v>2407384</v>
      </c>
      <c r="B101" s="20" t="s">
        <v>550</v>
      </c>
      <c r="C101" s="25">
        <v>45488</v>
      </c>
      <c r="D101" s="5" t="s">
        <v>17</v>
      </c>
      <c r="E101" s="5" t="s">
        <v>71</v>
      </c>
      <c r="F101" s="5" t="s">
        <v>14</v>
      </c>
      <c r="G101" s="5" t="e" vm="15">
        <v>#VALUE!</v>
      </c>
      <c r="H101" s="5">
        <v>12.285</v>
      </c>
      <c r="I101" s="5" t="s">
        <v>18</v>
      </c>
      <c r="J101" s="5"/>
      <c r="K101" s="11">
        <v>36800</v>
      </c>
      <c r="M101" s="5" t="s">
        <v>72</v>
      </c>
      <c r="N101" s="5" t="s">
        <v>73</v>
      </c>
      <c r="O101" s="5" t="s">
        <v>237</v>
      </c>
      <c r="P101" s="5">
        <v>21</v>
      </c>
      <c r="Q101" s="5" t="s">
        <v>111</v>
      </c>
      <c r="R101" s="5"/>
      <c r="S101" s="5" t="s">
        <v>551</v>
      </c>
      <c r="T101" s="20" t="s">
        <v>552</v>
      </c>
      <c r="U101" s="5" t="s">
        <v>553</v>
      </c>
      <c r="V101" s="22" t="s">
        <v>554</v>
      </c>
      <c r="W101" s="5" t="s">
        <v>122</v>
      </c>
      <c r="X101" s="5" t="s">
        <v>81</v>
      </c>
      <c r="Y101" s="5"/>
      <c r="Z101" s="5" t="s">
        <v>269</v>
      </c>
    </row>
    <row r="102" spans="1:26" x14ac:dyDescent="0.3">
      <c r="A102" s="5">
        <v>2407385</v>
      </c>
      <c r="B102" s="20" t="s">
        <v>555</v>
      </c>
      <c r="C102" s="25">
        <v>45488</v>
      </c>
      <c r="D102" s="5" t="s">
        <v>19</v>
      </c>
      <c r="E102" s="5" t="s">
        <v>71</v>
      </c>
      <c r="F102" s="5" t="s">
        <v>14</v>
      </c>
      <c r="G102" s="5" t="e" vm="16">
        <v>#VALUE!</v>
      </c>
      <c r="H102" s="5">
        <v>15.21</v>
      </c>
      <c r="I102" s="5" t="s">
        <v>18</v>
      </c>
      <c r="J102" s="5"/>
      <c r="K102" s="11">
        <v>45600</v>
      </c>
      <c r="M102" s="5" t="s">
        <v>72</v>
      </c>
      <c r="N102" s="5" t="s">
        <v>73</v>
      </c>
      <c r="O102" s="5" t="s">
        <v>237</v>
      </c>
      <c r="P102" s="5">
        <v>26.000000000000004</v>
      </c>
      <c r="Q102" s="5" t="s">
        <v>131</v>
      </c>
      <c r="R102" s="5"/>
      <c r="S102" s="5" t="s">
        <v>556</v>
      </c>
      <c r="T102" s="20" t="s">
        <v>557</v>
      </c>
      <c r="U102" s="5" t="s">
        <v>558</v>
      </c>
      <c r="V102" s="22" t="s">
        <v>559</v>
      </c>
      <c r="W102" s="5" t="s">
        <v>122</v>
      </c>
      <c r="X102" s="5" t="s">
        <v>81</v>
      </c>
      <c r="Y102" s="5"/>
      <c r="Z102" s="5"/>
    </row>
    <row r="103" spans="1:26" x14ac:dyDescent="0.3">
      <c r="A103" s="5">
        <v>2310035</v>
      </c>
      <c r="B103" s="20" t="s">
        <v>560</v>
      </c>
      <c r="C103" s="25">
        <v>45793</v>
      </c>
      <c r="D103" s="5" t="s">
        <v>17</v>
      </c>
      <c r="E103" s="5" t="s">
        <v>124</v>
      </c>
      <c r="F103" s="5" t="s">
        <v>14</v>
      </c>
      <c r="G103" s="5" t="e" vm="5">
        <v>#VALUE!</v>
      </c>
      <c r="H103" s="5">
        <v>87.84</v>
      </c>
      <c r="I103" s="5" t="s">
        <v>18</v>
      </c>
      <c r="J103" s="5"/>
      <c r="K103" s="11">
        <v>188000</v>
      </c>
      <c r="M103" s="5" t="s">
        <v>72</v>
      </c>
      <c r="N103" s="5" t="s">
        <v>73</v>
      </c>
      <c r="O103" s="5" t="s">
        <v>561</v>
      </c>
      <c r="P103" s="5">
        <v>144</v>
      </c>
      <c r="Q103" s="5" t="s">
        <v>562</v>
      </c>
      <c r="R103" s="5"/>
      <c r="W103" s="5" t="s">
        <v>122</v>
      </c>
      <c r="X103" s="5" t="s">
        <v>81</v>
      </c>
      <c r="Y103" s="5" t="s">
        <v>563</v>
      </c>
      <c r="Z103" s="5"/>
    </row>
    <row r="104" spans="1:26" x14ac:dyDescent="0.3">
      <c r="A104" s="5">
        <v>2403088</v>
      </c>
      <c r="B104" s="20" t="s">
        <v>564</v>
      </c>
      <c r="C104" s="25">
        <v>45490</v>
      </c>
      <c r="D104" s="5" t="s">
        <v>17</v>
      </c>
      <c r="E104" s="5" t="s">
        <v>124</v>
      </c>
      <c r="F104" s="5" t="s">
        <v>14</v>
      </c>
      <c r="G104" s="5" t="e" vm="5">
        <v>#VALUE!</v>
      </c>
      <c r="H104" s="5">
        <v>37.44</v>
      </c>
      <c r="I104" s="5" t="s">
        <v>18</v>
      </c>
      <c r="J104" s="5"/>
      <c r="K104" s="11">
        <v>98000</v>
      </c>
      <c r="M104" s="5" t="s">
        <v>72</v>
      </c>
      <c r="N104" s="5" t="s">
        <v>73</v>
      </c>
      <c r="O104" s="5" t="s">
        <v>237</v>
      </c>
      <c r="P104" s="5">
        <v>64</v>
      </c>
      <c r="Q104" s="5" t="s">
        <v>351</v>
      </c>
      <c r="R104" s="5"/>
      <c r="T104" s="20" t="s">
        <v>565</v>
      </c>
      <c r="W104" s="5" t="s">
        <v>122</v>
      </c>
      <c r="X104" s="5" t="s">
        <v>81</v>
      </c>
      <c r="Y104" s="5"/>
      <c r="Z104" s="5"/>
    </row>
    <row r="105" spans="1:26" x14ac:dyDescent="0.3">
      <c r="A105" s="5">
        <v>2407157</v>
      </c>
      <c r="B105" s="20" t="s">
        <v>566</v>
      </c>
      <c r="C105" s="25">
        <v>45481</v>
      </c>
      <c r="D105" s="5" t="s">
        <v>22</v>
      </c>
      <c r="E105" s="5" t="s">
        <v>124</v>
      </c>
      <c r="F105" s="5" t="s">
        <v>14</v>
      </c>
      <c r="G105" s="5" t="e" vm="11">
        <v>#VALUE!</v>
      </c>
      <c r="H105" s="5">
        <v>18.72</v>
      </c>
      <c r="I105" s="5" t="s">
        <v>18</v>
      </c>
      <c r="J105" s="5"/>
      <c r="K105" s="11">
        <v>52000</v>
      </c>
      <c r="M105" s="5" t="s">
        <v>72</v>
      </c>
      <c r="N105" s="5" t="s">
        <v>73</v>
      </c>
      <c r="O105" s="5" t="s">
        <v>237</v>
      </c>
      <c r="P105" s="5">
        <v>32</v>
      </c>
      <c r="Q105" s="5" t="s">
        <v>567</v>
      </c>
      <c r="R105" s="5"/>
      <c r="T105" s="20" t="s">
        <v>568</v>
      </c>
      <c r="W105" s="5" t="s">
        <v>109</v>
      </c>
      <c r="X105" s="5" t="s">
        <v>81</v>
      </c>
      <c r="Y105" s="5"/>
      <c r="Z105" s="5"/>
    </row>
    <row r="106" spans="1:26" x14ac:dyDescent="0.3">
      <c r="A106" s="5">
        <v>2312116</v>
      </c>
      <c r="B106" s="20" t="s">
        <v>569</v>
      </c>
      <c r="C106" s="25">
        <v>45461</v>
      </c>
      <c r="D106" s="5" t="s">
        <v>17</v>
      </c>
      <c r="E106" s="5" t="s">
        <v>71</v>
      </c>
      <c r="F106" s="5" t="s">
        <v>14</v>
      </c>
      <c r="G106" s="5" t="e" vm="12">
        <v>#VALUE!</v>
      </c>
      <c r="H106" s="5">
        <v>11.7</v>
      </c>
      <c r="I106" s="5" t="s">
        <v>18</v>
      </c>
      <c r="J106" s="5"/>
      <c r="K106" s="11">
        <v>32540</v>
      </c>
      <c r="M106" s="5" t="s">
        <v>176</v>
      </c>
      <c r="N106" s="5" t="s">
        <v>73</v>
      </c>
      <c r="O106" s="5" t="s">
        <v>237</v>
      </c>
      <c r="P106" s="5">
        <v>20</v>
      </c>
      <c r="Q106" s="5" t="s">
        <v>111</v>
      </c>
      <c r="R106" s="5"/>
      <c r="S106" s="5" t="s">
        <v>570</v>
      </c>
      <c r="T106" s="20" t="s">
        <v>571</v>
      </c>
      <c r="U106" s="5" t="s">
        <v>572</v>
      </c>
      <c r="V106" s="22" t="s">
        <v>573</v>
      </c>
      <c r="W106" s="5" t="s">
        <v>81</v>
      </c>
      <c r="X106" s="5" t="s">
        <v>81</v>
      </c>
      <c r="Y106" s="5"/>
      <c r="Z106" s="5" t="s">
        <v>269</v>
      </c>
    </row>
    <row r="107" spans="1:26" x14ac:dyDescent="0.3">
      <c r="A107" s="5">
        <v>2407388</v>
      </c>
      <c r="B107" s="20" t="s">
        <v>574</v>
      </c>
      <c r="C107" s="25">
        <v>45492</v>
      </c>
      <c r="D107" s="5" t="s">
        <v>17</v>
      </c>
      <c r="E107" s="5" t="s">
        <v>71</v>
      </c>
      <c r="F107" s="5" t="s">
        <v>14</v>
      </c>
      <c r="G107" s="5" t="e" vm="12">
        <v>#VALUE!</v>
      </c>
      <c r="H107" s="5">
        <v>12.285</v>
      </c>
      <c r="I107" s="5" t="s">
        <v>18</v>
      </c>
      <c r="J107" s="5"/>
      <c r="K107" s="11">
        <v>34600</v>
      </c>
      <c r="M107" s="5" t="s">
        <v>125</v>
      </c>
      <c r="N107" s="5" t="s">
        <v>73</v>
      </c>
      <c r="O107" s="5" t="s">
        <v>237</v>
      </c>
      <c r="P107" s="5">
        <v>21</v>
      </c>
      <c r="Q107" s="5" t="s">
        <v>111</v>
      </c>
      <c r="R107" s="5"/>
      <c r="S107" s="5" t="s">
        <v>575</v>
      </c>
      <c r="T107" s="20" t="s">
        <v>576</v>
      </c>
      <c r="U107" s="5" t="s">
        <v>577</v>
      </c>
      <c r="V107" s="22" t="s">
        <v>578</v>
      </c>
      <c r="W107" s="5" t="s">
        <v>122</v>
      </c>
      <c r="X107" s="5" t="s">
        <v>81</v>
      </c>
      <c r="Y107" s="5"/>
      <c r="Z107" s="5" t="s">
        <v>269</v>
      </c>
    </row>
    <row r="108" spans="1:26" x14ac:dyDescent="0.3">
      <c r="A108" s="5">
        <v>2407386</v>
      </c>
      <c r="B108" s="20" t="s">
        <v>579</v>
      </c>
      <c r="C108" s="25">
        <v>45494</v>
      </c>
      <c r="D108" s="5" t="s">
        <v>19</v>
      </c>
      <c r="E108" s="5" t="s">
        <v>71</v>
      </c>
      <c r="F108" s="5" t="s">
        <v>14</v>
      </c>
      <c r="G108" s="5" t="e" vm="16">
        <v>#VALUE!</v>
      </c>
      <c r="H108" s="5">
        <v>12.285</v>
      </c>
      <c r="I108" s="5" t="s">
        <v>18</v>
      </c>
      <c r="J108" s="5"/>
      <c r="K108" s="11">
        <v>38000</v>
      </c>
      <c r="M108" s="5" t="s">
        <v>72</v>
      </c>
      <c r="N108" s="5" t="s">
        <v>73</v>
      </c>
      <c r="O108" s="5" t="s">
        <v>237</v>
      </c>
      <c r="P108" s="5">
        <v>21</v>
      </c>
      <c r="Q108" s="5" t="s">
        <v>83</v>
      </c>
      <c r="R108" s="5"/>
      <c r="S108" s="5" t="s">
        <v>580</v>
      </c>
      <c r="T108" s="20" t="s">
        <v>581</v>
      </c>
      <c r="U108" s="5" t="s">
        <v>582</v>
      </c>
      <c r="V108" s="22" t="s">
        <v>583</v>
      </c>
      <c r="W108" s="5" t="s">
        <v>109</v>
      </c>
      <c r="X108" s="5" t="s">
        <v>81</v>
      </c>
      <c r="Y108" s="5"/>
      <c r="Z108" s="5"/>
    </row>
    <row r="109" spans="1:26" x14ac:dyDescent="0.3">
      <c r="A109" s="5">
        <v>2403158</v>
      </c>
      <c r="B109" s="20" t="s">
        <v>584</v>
      </c>
      <c r="C109" s="25">
        <v>45495</v>
      </c>
      <c r="D109" s="5" t="s">
        <v>17</v>
      </c>
      <c r="E109" s="5" t="s">
        <v>71</v>
      </c>
      <c r="F109" s="5" t="s">
        <v>14</v>
      </c>
      <c r="G109" s="5" t="e" vm="5">
        <v>#VALUE!</v>
      </c>
      <c r="H109" s="5">
        <v>7.02</v>
      </c>
      <c r="I109" s="5" t="s">
        <v>18</v>
      </c>
      <c r="J109" s="5"/>
      <c r="K109" s="11">
        <v>23500</v>
      </c>
      <c r="L109" s="24">
        <v>-1404</v>
      </c>
      <c r="M109" s="5" t="s">
        <v>72</v>
      </c>
      <c r="N109" s="5" t="s">
        <v>73</v>
      </c>
      <c r="O109" s="5" t="s">
        <v>237</v>
      </c>
      <c r="P109" s="5">
        <v>12</v>
      </c>
      <c r="Q109" s="5" t="s">
        <v>286</v>
      </c>
      <c r="R109" s="5"/>
      <c r="S109" s="5" t="s">
        <v>585</v>
      </c>
      <c r="T109" s="20" t="s">
        <v>586</v>
      </c>
      <c r="U109" s="5" t="s">
        <v>587</v>
      </c>
      <c r="V109" s="22" t="s">
        <v>588</v>
      </c>
      <c r="W109" s="5" t="s">
        <v>122</v>
      </c>
      <c r="X109" s="5" t="s">
        <v>81</v>
      </c>
      <c r="Y109" s="5"/>
      <c r="Z109" s="5" t="s">
        <v>269</v>
      </c>
    </row>
    <row r="110" spans="1:26" x14ac:dyDescent="0.3">
      <c r="A110" s="5">
        <v>2404220</v>
      </c>
      <c r="B110" s="20" t="s">
        <v>589</v>
      </c>
      <c r="C110" s="25">
        <v>45491</v>
      </c>
      <c r="D110" s="5" t="s">
        <v>17</v>
      </c>
      <c r="E110" s="5" t="s">
        <v>71</v>
      </c>
      <c r="F110" s="5" t="s">
        <v>14</v>
      </c>
      <c r="G110" s="5" t="e" vm="5">
        <v>#VALUE!</v>
      </c>
      <c r="H110" s="5">
        <v>7.02</v>
      </c>
      <c r="I110" s="5" t="s">
        <v>18</v>
      </c>
      <c r="J110" s="5"/>
      <c r="K110" s="11">
        <v>23500</v>
      </c>
      <c r="L110" s="24">
        <v>-1404</v>
      </c>
      <c r="M110" s="5" t="s">
        <v>72</v>
      </c>
      <c r="N110" s="5" t="s">
        <v>73</v>
      </c>
      <c r="O110" s="5" t="s">
        <v>237</v>
      </c>
      <c r="P110" s="5">
        <v>12</v>
      </c>
      <c r="Q110" s="5" t="s">
        <v>286</v>
      </c>
      <c r="R110" s="5"/>
      <c r="S110" s="5" t="s">
        <v>590</v>
      </c>
      <c r="T110" s="20" t="s">
        <v>591</v>
      </c>
      <c r="U110" s="5" t="s">
        <v>592</v>
      </c>
      <c r="V110" s="22" t="s">
        <v>593</v>
      </c>
      <c r="W110" s="5" t="s">
        <v>122</v>
      </c>
      <c r="X110" s="5" t="s">
        <v>81</v>
      </c>
      <c r="Y110" s="5"/>
      <c r="Z110" s="5" t="s">
        <v>269</v>
      </c>
    </row>
    <row r="111" spans="1:26" x14ac:dyDescent="0.3">
      <c r="A111" s="5">
        <v>2403202</v>
      </c>
      <c r="B111" s="20" t="s">
        <v>594</v>
      </c>
      <c r="C111" s="25">
        <v>45497</v>
      </c>
      <c r="D111" s="5" t="s">
        <v>17</v>
      </c>
      <c r="E111" s="5" t="s">
        <v>71</v>
      </c>
      <c r="F111" s="5" t="s">
        <v>14</v>
      </c>
      <c r="G111" s="5" t="e" vm="11">
        <v>#VALUE!</v>
      </c>
      <c r="H111" s="5">
        <v>10.53</v>
      </c>
      <c r="I111" s="5" t="s">
        <v>18</v>
      </c>
      <c r="J111" s="5"/>
      <c r="K111" s="11">
        <v>31000</v>
      </c>
      <c r="M111" s="5" t="s">
        <v>72</v>
      </c>
      <c r="N111" s="5" t="s">
        <v>73</v>
      </c>
      <c r="O111" s="5" t="s">
        <v>237</v>
      </c>
      <c r="P111" s="5">
        <v>18</v>
      </c>
      <c r="Q111" s="5" t="s">
        <v>364</v>
      </c>
      <c r="R111" s="5"/>
      <c r="S111" s="5" t="s">
        <v>595</v>
      </c>
      <c r="T111" s="20" t="s">
        <v>596</v>
      </c>
      <c r="U111" s="5" t="s">
        <v>597</v>
      </c>
      <c r="V111" s="22" t="s">
        <v>598</v>
      </c>
      <c r="W111" s="5" t="s">
        <v>122</v>
      </c>
      <c r="X111" s="5" t="s">
        <v>81</v>
      </c>
      <c r="Y111" s="5"/>
      <c r="Z111" s="5"/>
    </row>
    <row r="112" spans="1:26" x14ac:dyDescent="0.3">
      <c r="A112" s="5">
        <v>2407392</v>
      </c>
      <c r="B112" s="20" t="s">
        <v>599</v>
      </c>
      <c r="C112" s="25">
        <v>45497</v>
      </c>
      <c r="D112" s="5" t="s">
        <v>17</v>
      </c>
      <c r="E112" s="5" t="s">
        <v>71</v>
      </c>
      <c r="F112" s="5" t="s">
        <v>14</v>
      </c>
      <c r="G112" s="5" t="e" vm="5">
        <v>#VALUE!</v>
      </c>
      <c r="H112" s="5">
        <v>11.7</v>
      </c>
      <c r="I112" s="5" t="s">
        <v>18</v>
      </c>
      <c r="J112" s="5"/>
      <c r="K112" s="11">
        <v>36680</v>
      </c>
      <c r="L112" s="24">
        <v>-2340</v>
      </c>
      <c r="M112" s="5" t="s">
        <v>72</v>
      </c>
      <c r="N112" s="5" t="s">
        <v>73</v>
      </c>
      <c r="O112" s="5" t="s">
        <v>237</v>
      </c>
      <c r="P112" s="5">
        <v>20</v>
      </c>
      <c r="Q112" s="5" t="s">
        <v>111</v>
      </c>
      <c r="R112" s="5"/>
      <c r="S112" s="5" t="s">
        <v>600</v>
      </c>
      <c r="T112" s="20" t="s">
        <v>601</v>
      </c>
      <c r="U112" s="5" t="s">
        <v>602</v>
      </c>
      <c r="V112" s="22" t="s">
        <v>603</v>
      </c>
      <c r="W112" s="5" t="s">
        <v>122</v>
      </c>
      <c r="X112" s="5" t="s">
        <v>81</v>
      </c>
      <c r="Y112" s="5"/>
      <c r="Z112" s="5" t="s">
        <v>269</v>
      </c>
    </row>
    <row r="113" spans="1:27" x14ac:dyDescent="0.3">
      <c r="A113" s="5">
        <v>2404232</v>
      </c>
      <c r="B113" s="20" t="s">
        <v>604</v>
      </c>
      <c r="C113" s="25">
        <v>45468</v>
      </c>
      <c r="D113" s="5" t="s">
        <v>17</v>
      </c>
      <c r="E113" s="5" t="s">
        <v>71</v>
      </c>
      <c r="F113" s="5" t="s">
        <v>14</v>
      </c>
      <c r="G113" s="5" t="e" vm="5">
        <v>#VALUE!</v>
      </c>
      <c r="H113" s="5">
        <v>7.02</v>
      </c>
      <c r="I113" s="5" t="s">
        <v>18</v>
      </c>
      <c r="J113" s="5"/>
      <c r="K113" s="11">
        <v>25000</v>
      </c>
      <c r="M113" s="5" t="s">
        <v>72</v>
      </c>
      <c r="N113" s="5" t="s">
        <v>73</v>
      </c>
      <c r="O113" s="5" t="s">
        <v>237</v>
      </c>
      <c r="P113" s="5">
        <v>12</v>
      </c>
      <c r="Q113" s="5" t="s">
        <v>286</v>
      </c>
      <c r="R113" s="5"/>
      <c r="S113" s="5" t="s">
        <v>605</v>
      </c>
      <c r="T113" s="20" t="s">
        <v>606</v>
      </c>
      <c r="U113" s="5" t="s">
        <v>607</v>
      </c>
      <c r="V113" s="22" t="s">
        <v>608</v>
      </c>
      <c r="W113" s="5" t="s">
        <v>122</v>
      </c>
      <c r="X113" s="5" t="s">
        <v>81</v>
      </c>
      <c r="Y113" s="5"/>
      <c r="Z113" s="5" t="s">
        <v>269</v>
      </c>
    </row>
    <row r="114" spans="1:27" x14ac:dyDescent="0.3">
      <c r="A114" s="5">
        <v>2407397</v>
      </c>
      <c r="B114" s="20" t="s">
        <v>609</v>
      </c>
      <c r="C114" s="25">
        <v>45498</v>
      </c>
      <c r="D114" s="5" t="s">
        <v>17</v>
      </c>
      <c r="E114" s="5" t="s">
        <v>71</v>
      </c>
      <c r="F114" s="5" t="s">
        <v>14</v>
      </c>
      <c r="G114" s="5" t="e" vm="5">
        <v>#VALUE!</v>
      </c>
      <c r="H114" s="5">
        <v>15.21</v>
      </c>
      <c r="I114" s="5" t="s">
        <v>18</v>
      </c>
      <c r="J114" s="5"/>
      <c r="K114" s="11">
        <v>39600</v>
      </c>
      <c r="M114" s="5" t="s">
        <v>72</v>
      </c>
      <c r="N114" s="5" t="s">
        <v>73</v>
      </c>
      <c r="O114" s="5" t="s">
        <v>237</v>
      </c>
      <c r="P114" s="5">
        <v>26.000000000000004</v>
      </c>
      <c r="Q114" s="5" t="s">
        <v>143</v>
      </c>
      <c r="R114" s="5"/>
      <c r="S114" s="5" t="s">
        <v>610</v>
      </c>
      <c r="T114" s="20" t="s">
        <v>611</v>
      </c>
      <c r="U114" s="5" t="s">
        <v>612</v>
      </c>
      <c r="V114" s="22" t="s">
        <v>613</v>
      </c>
      <c r="W114" s="5" t="s">
        <v>122</v>
      </c>
      <c r="X114" s="5" t="s">
        <v>81</v>
      </c>
      <c r="Y114" s="5"/>
      <c r="Z114" s="5" t="s">
        <v>269</v>
      </c>
    </row>
    <row r="115" spans="1:27" x14ac:dyDescent="0.3">
      <c r="A115" s="5">
        <v>2404250</v>
      </c>
      <c r="B115" s="20" t="s">
        <v>614</v>
      </c>
      <c r="C115" s="25">
        <v>45502</v>
      </c>
      <c r="D115" s="5" t="s">
        <v>17</v>
      </c>
      <c r="E115" s="5" t="s">
        <v>71</v>
      </c>
      <c r="F115" s="5" t="s">
        <v>14</v>
      </c>
      <c r="G115" s="5" t="e" vm="5">
        <v>#VALUE!</v>
      </c>
      <c r="H115" s="5">
        <v>17.55</v>
      </c>
      <c r="I115" s="5" t="s">
        <v>18</v>
      </c>
      <c r="J115" s="5"/>
      <c r="K115" s="11">
        <v>50320</v>
      </c>
      <c r="M115" s="5" t="s">
        <v>176</v>
      </c>
      <c r="N115" s="5" t="s">
        <v>73</v>
      </c>
      <c r="O115" s="14" t="s">
        <v>237</v>
      </c>
      <c r="P115" s="13">
        <v>30.000000000000004</v>
      </c>
      <c r="Q115" s="14" t="s">
        <v>143</v>
      </c>
      <c r="R115" s="14"/>
      <c r="S115" s="5" t="s">
        <v>615</v>
      </c>
      <c r="T115" s="20" t="s">
        <v>616</v>
      </c>
      <c r="U115" s="5" t="s">
        <v>617</v>
      </c>
      <c r="V115" s="22" t="s">
        <v>618</v>
      </c>
      <c r="W115" s="5" t="s">
        <v>122</v>
      </c>
      <c r="X115" s="5" t="s">
        <v>81</v>
      </c>
      <c r="Y115" s="5"/>
      <c r="Z115" s="5"/>
    </row>
    <row r="116" spans="1:27" x14ac:dyDescent="0.3">
      <c r="A116" s="5">
        <v>2407399</v>
      </c>
      <c r="B116" s="20" t="s">
        <v>619</v>
      </c>
      <c r="C116" s="25">
        <v>45499</v>
      </c>
      <c r="D116" s="5" t="s">
        <v>17</v>
      </c>
      <c r="E116" s="5" t="s">
        <v>71</v>
      </c>
      <c r="F116" s="5" t="s">
        <v>14</v>
      </c>
      <c r="G116" s="5" t="e" vm="5">
        <v>#VALUE!</v>
      </c>
      <c r="H116" s="5">
        <v>10.53</v>
      </c>
      <c r="I116" s="5" t="s">
        <v>18</v>
      </c>
      <c r="J116" s="5"/>
      <c r="K116" s="11">
        <v>31000</v>
      </c>
      <c r="M116" s="5" t="s">
        <v>125</v>
      </c>
      <c r="N116" s="5" t="s">
        <v>73</v>
      </c>
      <c r="O116" s="14" t="s">
        <v>237</v>
      </c>
      <c r="P116" s="13">
        <v>18</v>
      </c>
      <c r="Q116" s="14" t="s">
        <v>364</v>
      </c>
      <c r="R116" s="14"/>
      <c r="S116" s="5" t="s">
        <v>620</v>
      </c>
      <c r="T116" s="20" t="s">
        <v>621</v>
      </c>
      <c r="U116" s="5" t="s">
        <v>622</v>
      </c>
      <c r="V116" s="22" t="s">
        <v>623</v>
      </c>
      <c r="W116" s="5" t="s">
        <v>122</v>
      </c>
      <c r="X116" s="5" t="s">
        <v>81</v>
      </c>
      <c r="Y116" s="5"/>
      <c r="Z116" s="5"/>
      <c r="AA116" s="20" t="s">
        <v>624</v>
      </c>
    </row>
    <row r="117" spans="1:27" x14ac:dyDescent="0.3">
      <c r="A117" s="5">
        <v>2407394</v>
      </c>
      <c r="B117" s="20" t="s">
        <v>625</v>
      </c>
      <c r="C117" s="25">
        <v>45504</v>
      </c>
      <c r="D117" s="5" t="s">
        <v>22</v>
      </c>
      <c r="E117" s="5" t="s">
        <v>71</v>
      </c>
      <c r="F117" s="5" t="s">
        <v>14</v>
      </c>
      <c r="G117" s="5" t="e" vm="11">
        <v>#VALUE!</v>
      </c>
      <c r="H117" s="5">
        <v>7.02</v>
      </c>
      <c r="I117" s="5" t="s">
        <v>18</v>
      </c>
      <c r="J117" s="5"/>
      <c r="K117" s="11">
        <v>24100</v>
      </c>
      <c r="M117" s="5" t="s">
        <v>72</v>
      </c>
      <c r="N117" s="5" t="s">
        <v>73</v>
      </c>
      <c r="O117" s="14" t="s">
        <v>237</v>
      </c>
      <c r="P117" s="13">
        <v>12</v>
      </c>
      <c r="Q117" s="14" t="s">
        <v>286</v>
      </c>
      <c r="R117" s="14"/>
      <c r="S117" s="14" t="s">
        <v>626</v>
      </c>
      <c r="T117" s="20" t="s">
        <v>627</v>
      </c>
      <c r="U117" s="5" t="s">
        <v>628</v>
      </c>
      <c r="W117" s="5" t="s">
        <v>122</v>
      </c>
      <c r="X117" s="5" t="s">
        <v>81</v>
      </c>
      <c r="Y117" s="5"/>
      <c r="Z117" s="5"/>
    </row>
    <row r="118" spans="1:27" x14ac:dyDescent="0.3">
      <c r="A118" s="5" t="s">
        <v>629</v>
      </c>
      <c r="B118" s="20" t="s">
        <v>630</v>
      </c>
      <c r="C118" s="25">
        <v>45506</v>
      </c>
      <c r="D118" s="5" t="s">
        <v>17</v>
      </c>
      <c r="E118" s="5" t="s">
        <v>71</v>
      </c>
      <c r="F118" s="5" t="s">
        <v>14</v>
      </c>
      <c r="G118" s="5" t="e" vm="6">
        <v>#VALUE!</v>
      </c>
      <c r="H118" s="5">
        <v>15.21</v>
      </c>
      <c r="I118" s="5" t="s">
        <v>18</v>
      </c>
      <c r="J118" s="5"/>
      <c r="K118" s="11">
        <v>39600</v>
      </c>
      <c r="M118" s="5" t="s">
        <v>72</v>
      </c>
      <c r="N118" s="5" t="s">
        <v>73</v>
      </c>
      <c r="O118" s="14" t="s">
        <v>237</v>
      </c>
      <c r="P118" s="13">
        <v>26.000000000000004</v>
      </c>
      <c r="Q118" s="14" t="s">
        <v>143</v>
      </c>
      <c r="R118" s="14"/>
      <c r="S118" s="5" t="s">
        <v>631</v>
      </c>
      <c r="T118" s="20" t="s">
        <v>632</v>
      </c>
      <c r="U118" s="5" t="s">
        <v>633</v>
      </c>
      <c r="V118" s="22" t="s">
        <v>634</v>
      </c>
      <c r="W118" s="5" t="s">
        <v>122</v>
      </c>
      <c r="X118" s="5" t="s">
        <v>81</v>
      </c>
      <c r="Y118" s="5"/>
      <c r="Z118" s="5" t="s">
        <v>269</v>
      </c>
    </row>
    <row r="119" spans="1:27" x14ac:dyDescent="0.3">
      <c r="A119" s="5">
        <v>2312114</v>
      </c>
      <c r="B119" s="20" t="s">
        <v>635</v>
      </c>
      <c r="C119" s="25">
        <v>45461</v>
      </c>
      <c r="D119" s="5" t="s">
        <v>17</v>
      </c>
      <c r="E119" s="5" t="s">
        <v>71</v>
      </c>
      <c r="F119" s="5" t="s">
        <v>14</v>
      </c>
      <c r="G119" s="5" t="e" vm="12">
        <v>#VALUE!</v>
      </c>
      <c r="H119" s="5">
        <v>11.7</v>
      </c>
      <c r="I119" s="5" t="s">
        <v>18</v>
      </c>
      <c r="J119" s="5"/>
      <c r="K119" s="11">
        <v>31000</v>
      </c>
      <c r="M119" s="5" t="s">
        <v>72</v>
      </c>
      <c r="N119" s="5" t="s">
        <v>73</v>
      </c>
      <c r="O119" s="14" t="s">
        <v>237</v>
      </c>
      <c r="P119" s="13">
        <v>20</v>
      </c>
      <c r="Q119" s="14" t="s">
        <v>111</v>
      </c>
      <c r="R119" s="14"/>
      <c r="S119" s="5" t="s">
        <v>636</v>
      </c>
      <c r="T119" s="20" t="s">
        <v>637</v>
      </c>
      <c r="U119" s="5" t="s">
        <v>638</v>
      </c>
      <c r="V119" s="22" t="s">
        <v>639</v>
      </c>
      <c r="W119" s="5" t="s">
        <v>81</v>
      </c>
      <c r="X119" s="5" t="s">
        <v>81</v>
      </c>
      <c r="Y119" s="5"/>
      <c r="Z119" s="5" t="s">
        <v>269</v>
      </c>
    </row>
    <row r="120" spans="1:27" x14ac:dyDescent="0.3">
      <c r="A120" s="5">
        <v>2401123</v>
      </c>
      <c r="B120" s="20" t="s">
        <v>640</v>
      </c>
      <c r="C120" s="25">
        <v>45478</v>
      </c>
      <c r="D120" s="5" t="s">
        <v>17</v>
      </c>
      <c r="E120" s="5" t="s">
        <v>71</v>
      </c>
      <c r="F120" s="5" t="s">
        <v>14</v>
      </c>
      <c r="G120" s="5" t="e" vm="12">
        <v>#VALUE!</v>
      </c>
      <c r="H120" s="5">
        <v>12.285</v>
      </c>
      <c r="I120" s="5" t="s">
        <v>18</v>
      </c>
      <c r="J120" s="5"/>
      <c r="K120" s="11">
        <v>36500</v>
      </c>
      <c r="M120" s="5" t="s">
        <v>125</v>
      </c>
      <c r="N120" s="5" t="s">
        <v>73</v>
      </c>
      <c r="O120" s="5" t="s">
        <v>237</v>
      </c>
      <c r="P120" s="5">
        <v>21</v>
      </c>
      <c r="Q120" s="14" t="s">
        <v>111</v>
      </c>
      <c r="R120" s="14"/>
      <c r="S120" s="5" t="s">
        <v>641</v>
      </c>
      <c r="T120" s="20" t="s">
        <v>642</v>
      </c>
      <c r="U120" s="5" t="s">
        <v>643</v>
      </c>
      <c r="V120" s="22" t="s">
        <v>644</v>
      </c>
      <c r="W120" s="5" t="s">
        <v>122</v>
      </c>
      <c r="X120" s="5" t="s">
        <v>81</v>
      </c>
      <c r="Y120" s="5"/>
      <c r="Z120" s="5" t="s">
        <v>269</v>
      </c>
    </row>
    <row r="121" spans="1:27" x14ac:dyDescent="0.3">
      <c r="A121" s="5">
        <v>2404207</v>
      </c>
      <c r="B121" s="20" t="s">
        <v>645</v>
      </c>
      <c r="C121" s="25">
        <v>45432</v>
      </c>
      <c r="D121" s="5" t="s">
        <v>17</v>
      </c>
      <c r="E121" s="5" t="s">
        <v>71</v>
      </c>
      <c r="F121" s="5" t="s">
        <v>14</v>
      </c>
      <c r="G121" s="5" t="e" vm="2">
        <v>#VALUE!</v>
      </c>
      <c r="H121" s="5">
        <v>7.02</v>
      </c>
      <c r="I121" s="5" t="s">
        <v>18</v>
      </c>
      <c r="J121" s="5"/>
      <c r="K121" s="11">
        <v>26240</v>
      </c>
      <c r="L121" s="24">
        <v>-1404</v>
      </c>
      <c r="M121" s="5" t="s">
        <v>125</v>
      </c>
      <c r="N121" s="5" t="s">
        <v>73</v>
      </c>
      <c r="O121" s="5" t="s">
        <v>237</v>
      </c>
      <c r="P121" s="5">
        <v>12</v>
      </c>
      <c r="Q121" s="5" t="s">
        <v>286</v>
      </c>
      <c r="R121" s="5"/>
      <c r="S121" s="5" t="s">
        <v>646</v>
      </c>
      <c r="T121" s="20" t="s">
        <v>647</v>
      </c>
      <c r="U121" s="5" t="s">
        <v>648</v>
      </c>
      <c r="V121" s="20" t="s">
        <v>649</v>
      </c>
      <c r="W121" s="5" t="s">
        <v>122</v>
      </c>
      <c r="X121" s="5" t="s">
        <v>81</v>
      </c>
      <c r="Y121" s="5"/>
      <c r="Z121" s="5" t="s">
        <v>269</v>
      </c>
    </row>
    <row r="122" spans="1:27" x14ac:dyDescent="0.3">
      <c r="A122" s="5">
        <v>2408402</v>
      </c>
      <c r="B122" s="20" t="s">
        <v>650</v>
      </c>
      <c r="C122" s="25">
        <v>45509</v>
      </c>
      <c r="D122" s="5" t="s">
        <v>17</v>
      </c>
      <c r="E122" s="5" t="s">
        <v>71</v>
      </c>
      <c r="F122" s="5" t="s">
        <v>14</v>
      </c>
      <c r="G122" s="5" t="e" vm="5">
        <v>#VALUE!</v>
      </c>
      <c r="H122" s="5">
        <v>12.87</v>
      </c>
      <c r="I122" s="5" t="s">
        <v>18</v>
      </c>
      <c r="J122" s="5"/>
      <c r="K122" s="11">
        <v>43000</v>
      </c>
      <c r="M122" s="5" t="s">
        <v>125</v>
      </c>
      <c r="N122" s="5" t="s">
        <v>73</v>
      </c>
      <c r="O122" s="5" t="s">
        <v>237</v>
      </c>
      <c r="P122" s="5">
        <v>22</v>
      </c>
      <c r="Q122" s="14" t="s">
        <v>111</v>
      </c>
      <c r="R122" s="14"/>
      <c r="S122" s="5" t="s">
        <v>651</v>
      </c>
      <c r="T122" s="20" t="s">
        <v>652</v>
      </c>
      <c r="U122" s="5" t="s">
        <v>653</v>
      </c>
      <c r="V122" s="21" t="s">
        <v>654</v>
      </c>
      <c r="W122" s="5" t="s">
        <v>122</v>
      </c>
      <c r="X122" s="5" t="s">
        <v>81</v>
      </c>
      <c r="Y122" s="5"/>
      <c r="Z122" s="5"/>
    </row>
    <row r="123" spans="1:27" x14ac:dyDescent="0.3">
      <c r="A123" s="5">
        <v>2407372</v>
      </c>
      <c r="B123" s="20" t="s">
        <v>655</v>
      </c>
      <c r="C123" s="25">
        <v>45510</v>
      </c>
      <c r="D123" s="5" t="s">
        <v>17</v>
      </c>
      <c r="E123" s="5" t="s">
        <v>71</v>
      </c>
      <c r="F123" s="5" t="s">
        <v>14</v>
      </c>
      <c r="G123" s="5" t="e" vm="8">
        <v>#VALUE!</v>
      </c>
      <c r="H123" s="5">
        <v>14.04</v>
      </c>
      <c r="I123" s="5" t="s">
        <v>18</v>
      </c>
      <c r="J123" s="5"/>
      <c r="K123" s="11">
        <v>37600</v>
      </c>
      <c r="M123" s="5" t="s">
        <v>125</v>
      </c>
      <c r="N123" s="5" t="s">
        <v>73</v>
      </c>
      <c r="O123" s="5" t="s">
        <v>237</v>
      </c>
      <c r="P123" s="5">
        <v>24</v>
      </c>
      <c r="Q123" s="5" t="s">
        <v>143</v>
      </c>
      <c r="R123" s="5"/>
      <c r="S123" s="5" t="s">
        <v>656</v>
      </c>
      <c r="T123" s="20" t="s">
        <v>657</v>
      </c>
      <c r="U123" s="5" t="s">
        <v>658</v>
      </c>
      <c r="V123" s="22" t="s">
        <v>659</v>
      </c>
      <c r="W123" s="5" t="s">
        <v>122</v>
      </c>
      <c r="X123" s="5" t="s">
        <v>81</v>
      </c>
      <c r="Y123" s="5"/>
      <c r="Z123" s="5" t="s">
        <v>269</v>
      </c>
    </row>
    <row r="124" spans="1:27" x14ac:dyDescent="0.3">
      <c r="A124" s="5">
        <v>2405298</v>
      </c>
      <c r="B124" s="20" t="s">
        <v>660</v>
      </c>
      <c r="C124" s="25">
        <v>45499</v>
      </c>
      <c r="D124" s="5" t="s">
        <v>17</v>
      </c>
      <c r="E124" s="5" t="s">
        <v>71</v>
      </c>
      <c r="F124" s="5" t="s">
        <v>14</v>
      </c>
      <c r="G124" s="5" t="e" vm="8">
        <v>#VALUE!</v>
      </c>
      <c r="H124" s="5">
        <v>11.7</v>
      </c>
      <c r="I124" s="5" t="s">
        <v>18</v>
      </c>
      <c r="J124" s="5"/>
      <c r="K124" s="11">
        <v>35960</v>
      </c>
      <c r="M124" s="5" t="s">
        <v>176</v>
      </c>
      <c r="N124" s="5" t="s">
        <v>73</v>
      </c>
      <c r="O124" s="5" t="s">
        <v>237</v>
      </c>
      <c r="P124" s="5">
        <v>20</v>
      </c>
      <c r="Q124" s="14" t="s">
        <v>111</v>
      </c>
      <c r="R124" s="14"/>
      <c r="S124" s="5" t="s">
        <v>661</v>
      </c>
      <c r="T124" s="20" t="s">
        <v>662</v>
      </c>
      <c r="U124" s="5" t="s">
        <v>663</v>
      </c>
      <c r="V124" s="22" t="s">
        <v>664</v>
      </c>
      <c r="W124" s="5" t="s">
        <v>122</v>
      </c>
      <c r="X124" s="5" t="s">
        <v>81</v>
      </c>
      <c r="Y124" s="5"/>
      <c r="Z124" s="5" t="s">
        <v>269</v>
      </c>
    </row>
    <row r="125" spans="1:27" x14ac:dyDescent="0.3">
      <c r="A125" s="5">
        <v>2408404</v>
      </c>
      <c r="B125" s="20" t="s">
        <v>665</v>
      </c>
      <c r="C125" s="25">
        <v>45515</v>
      </c>
      <c r="D125" s="5" t="s">
        <v>17</v>
      </c>
      <c r="E125" s="5" t="s">
        <v>71</v>
      </c>
      <c r="F125" s="5" t="s">
        <v>14</v>
      </c>
      <c r="G125" s="5" t="e" vm="8">
        <v>#VALUE!</v>
      </c>
      <c r="H125" s="5">
        <v>7.02</v>
      </c>
      <c r="I125" s="5" t="s">
        <v>18</v>
      </c>
      <c r="J125" s="5"/>
      <c r="K125" s="11">
        <v>24680</v>
      </c>
      <c r="M125" s="5" t="s">
        <v>176</v>
      </c>
      <c r="N125" s="5" t="s">
        <v>73</v>
      </c>
      <c r="O125" s="5" t="s">
        <v>237</v>
      </c>
      <c r="P125" s="5">
        <v>12</v>
      </c>
      <c r="Q125" s="5" t="s">
        <v>286</v>
      </c>
      <c r="R125" s="5"/>
      <c r="S125" s="5" t="s">
        <v>666</v>
      </c>
      <c r="T125" s="20" t="s">
        <v>667</v>
      </c>
      <c r="U125" s="5" t="s">
        <v>668</v>
      </c>
      <c r="V125" s="22" t="s">
        <v>669</v>
      </c>
      <c r="W125" s="5" t="s">
        <v>122</v>
      </c>
      <c r="X125" s="5" t="s">
        <v>81</v>
      </c>
      <c r="Y125" s="5"/>
      <c r="Z125" s="5" t="s">
        <v>269</v>
      </c>
    </row>
    <row r="126" spans="1:27" x14ac:dyDescent="0.3">
      <c r="A126" s="5">
        <v>2408401</v>
      </c>
      <c r="B126" s="20" t="s">
        <v>670</v>
      </c>
      <c r="C126" s="25">
        <v>45512</v>
      </c>
      <c r="D126" s="5" t="s">
        <v>17</v>
      </c>
      <c r="E126" s="5" t="s">
        <v>71</v>
      </c>
      <c r="F126" s="5" t="s">
        <v>14</v>
      </c>
      <c r="G126" s="5" t="e" vm="12">
        <v>#VALUE!</v>
      </c>
      <c r="H126" s="5">
        <v>7.02</v>
      </c>
      <c r="I126" s="5" t="s">
        <v>18</v>
      </c>
      <c r="J126" s="5"/>
      <c r="K126" s="11">
        <v>22500</v>
      </c>
      <c r="M126" s="5" t="s">
        <v>125</v>
      </c>
      <c r="N126" s="5" t="s">
        <v>73</v>
      </c>
      <c r="O126" s="5" t="s">
        <v>237</v>
      </c>
      <c r="P126" s="5">
        <v>12</v>
      </c>
      <c r="Q126" s="5" t="s">
        <v>286</v>
      </c>
      <c r="R126" s="5"/>
      <c r="S126" s="5" t="s">
        <v>671</v>
      </c>
      <c r="T126" s="20" t="s">
        <v>672</v>
      </c>
      <c r="U126" s="5" t="s">
        <v>673</v>
      </c>
      <c r="V126" s="22" t="s">
        <v>674</v>
      </c>
      <c r="W126" s="5" t="s">
        <v>122</v>
      </c>
      <c r="X126" s="5" t="s">
        <v>81</v>
      </c>
      <c r="Y126" s="5"/>
      <c r="Z126" s="5"/>
    </row>
    <row r="127" spans="1:27" x14ac:dyDescent="0.3">
      <c r="A127" s="5">
        <v>2408398</v>
      </c>
      <c r="B127" s="20" t="s">
        <v>675</v>
      </c>
      <c r="C127" s="25">
        <v>45519</v>
      </c>
      <c r="D127" s="5" t="s">
        <v>17</v>
      </c>
      <c r="E127" s="5" t="s">
        <v>71</v>
      </c>
      <c r="F127" s="5" t="s">
        <v>14</v>
      </c>
      <c r="G127" s="5" t="e" vm="12">
        <v>#VALUE!</v>
      </c>
      <c r="H127" s="5">
        <v>11.7</v>
      </c>
      <c r="I127" s="5" t="s">
        <v>18</v>
      </c>
      <c r="J127" s="5"/>
      <c r="K127" s="11">
        <v>36680</v>
      </c>
      <c r="M127" s="5" t="s">
        <v>176</v>
      </c>
      <c r="N127" s="5" t="s">
        <v>73</v>
      </c>
      <c r="O127" s="5" t="s">
        <v>237</v>
      </c>
      <c r="P127" s="5">
        <v>20</v>
      </c>
      <c r="Q127" s="14" t="s">
        <v>111</v>
      </c>
      <c r="R127" s="14"/>
      <c r="S127" s="5" t="s">
        <v>676</v>
      </c>
      <c r="T127" s="20" t="s">
        <v>677</v>
      </c>
      <c r="U127" s="5" t="s">
        <v>678</v>
      </c>
      <c r="V127" s="21" t="s">
        <v>679</v>
      </c>
      <c r="W127" s="5" t="s">
        <v>122</v>
      </c>
      <c r="X127" s="5" t="s">
        <v>81</v>
      </c>
      <c r="Y127" s="5"/>
      <c r="Z127" s="5" t="s">
        <v>269</v>
      </c>
    </row>
    <row r="128" spans="1:27" x14ac:dyDescent="0.3">
      <c r="A128" s="5">
        <v>2408415</v>
      </c>
      <c r="B128" s="20" t="s">
        <v>680</v>
      </c>
      <c r="C128" s="25">
        <v>45525</v>
      </c>
      <c r="D128" s="5" t="s">
        <v>17</v>
      </c>
      <c r="E128" s="5" t="s">
        <v>71</v>
      </c>
      <c r="F128" s="5" t="s">
        <v>14</v>
      </c>
      <c r="G128" s="5" t="e" vm="12">
        <v>#VALUE!</v>
      </c>
      <c r="H128" s="5">
        <v>17.55</v>
      </c>
      <c r="I128" s="5" t="s">
        <v>18</v>
      </c>
      <c r="J128" s="5"/>
      <c r="K128" s="11">
        <v>45600</v>
      </c>
      <c r="M128" s="5" t="s">
        <v>125</v>
      </c>
      <c r="N128" s="5" t="s">
        <v>73</v>
      </c>
      <c r="O128" s="5" t="s">
        <v>237</v>
      </c>
      <c r="P128" s="5">
        <v>30</v>
      </c>
      <c r="Q128" s="5" t="s">
        <v>143</v>
      </c>
      <c r="R128" s="5"/>
      <c r="S128" s="5" t="s">
        <v>681</v>
      </c>
      <c r="T128" s="20" t="s">
        <v>682</v>
      </c>
      <c r="U128" s="5" t="s">
        <v>683</v>
      </c>
      <c r="V128" s="21" t="s">
        <v>684</v>
      </c>
      <c r="W128" s="5" t="s">
        <v>122</v>
      </c>
      <c r="X128" s="5" t="s">
        <v>81</v>
      </c>
      <c r="Y128" s="5"/>
      <c r="Z128" s="5" t="s">
        <v>269</v>
      </c>
    </row>
    <row r="129" spans="1:28" x14ac:dyDescent="0.3">
      <c r="A129" s="5">
        <v>2408425</v>
      </c>
      <c r="B129" s="20" t="s">
        <v>685</v>
      </c>
      <c r="C129" s="25">
        <v>45531</v>
      </c>
      <c r="D129" s="5" t="s">
        <v>17</v>
      </c>
      <c r="E129" s="5" t="s">
        <v>71</v>
      </c>
      <c r="F129" s="5" t="s">
        <v>14</v>
      </c>
      <c r="G129" s="5" t="e" vm="5">
        <v>#VALUE!</v>
      </c>
      <c r="H129" s="5">
        <v>14.04</v>
      </c>
      <c r="I129" s="5" t="s">
        <v>18</v>
      </c>
      <c r="J129" s="5"/>
      <c r="K129" s="11">
        <v>43100</v>
      </c>
      <c r="M129" s="5" t="s">
        <v>176</v>
      </c>
      <c r="N129" s="5" t="s">
        <v>73</v>
      </c>
      <c r="O129" s="5" t="s">
        <v>237</v>
      </c>
      <c r="P129" s="5">
        <v>24</v>
      </c>
      <c r="Q129" s="5" t="s">
        <v>143</v>
      </c>
      <c r="R129" s="5"/>
      <c r="S129" s="5" t="s">
        <v>686</v>
      </c>
      <c r="T129" s="20" t="s">
        <v>687</v>
      </c>
      <c r="U129" s="5" t="s">
        <v>688</v>
      </c>
      <c r="V129" s="21" t="s">
        <v>689</v>
      </c>
      <c r="W129" s="5" t="s">
        <v>122</v>
      </c>
      <c r="X129" s="5" t="s">
        <v>81</v>
      </c>
      <c r="Y129" s="5"/>
      <c r="Z129" s="5"/>
    </row>
    <row r="130" spans="1:28" x14ac:dyDescent="0.3">
      <c r="A130" s="5">
        <v>2406334</v>
      </c>
      <c r="B130" s="20" t="s">
        <v>690</v>
      </c>
      <c r="C130" s="25">
        <v>45531</v>
      </c>
      <c r="D130" s="5" t="s">
        <v>17</v>
      </c>
      <c r="E130" s="5" t="s">
        <v>71</v>
      </c>
      <c r="F130" s="5" t="s">
        <v>14</v>
      </c>
      <c r="G130" s="5" t="e" vm="5">
        <v>#VALUE!</v>
      </c>
      <c r="H130" s="5">
        <v>14.04</v>
      </c>
      <c r="I130" s="5" t="s">
        <v>18</v>
      </c>
      <c r="J130" s="5"/>
      <c r="K130" s="11">
        <v>37600</v>
      </c>
      <c r="M130" s="5" t="s">
        <v>125</v>
      </c>
      <c r="N130" s="5" t="s">
        <v>73</v>
      </c>
      <c r="O130" s="5" t="s">
        <v>237</v>
      </c>
      <c r="P130" s="5">
        <v>24</v>
      </c>
      <c r="Q130" s="5" t="s">
        <v>143</v>
      </c>
      <c r="R130" s="5"/>
      <c r="S130" s="5" t="s">
        <v>691</v>
      </c>
      <c r="T130" s="20" t="s">
        <v>692</v>
      </c>
      <c r="U130" s="5" t="s">
        <v>693</v>
      </c>
      <c r="V130" s="21" t="s">
        <v>694</v>
      </c>
      <c r="W130" s="5" t="s">
        <v>122</v>
      </c>
      <c r="X130" s="5" t="s">
        <v>81</v>
      </c>
      <c r="Y130" s="5"/>
      <c r="Z130" s="5"/>
    </row>
    <row r="131" spans="1:28" x14ac:dyDescent="0.3">
      <c r="A131" s="5">
        <v>2407371</v>
      </c>
      <c r="B131" s="20" t="s">
        <v>695</v>
      </c>
      <c r="C131" s="25">
        <v>45532</v>
      </c>
      <c r="D131" s="5" t="s">
        <v>19</v>
      </c>
      <c r="E131" s="5" t="s">
        <v>71</v>
      </c>
      <c r="F131" s="5" t="s">
        <v>14</v>
      </c>
      <c r="G131" s="5" t="e" vm="11">
        <v>#VALUE!</v>
      </c>
      <c r="H131" s="5">
        <v>10.53</v>
      </c>
      <c r="I131" s="5" t="s">
        <v>18</v>
      </c>
      <c r="J131" s="5"/>
      <c r="K131" s="11">
        <v>32800</v>
      </c>
      <c r="M131" s="5" t="s">
        <v>125</v>
      </c>
      <c r="N131" s="5" t="s">
        <v>73</v>
      </c>
      <c r="O131" s="5" t="s">
        <v>237</v>
      </c>
      <c r="P131" s="5">
        <v>18</v>
      </c>
      <c r="Q131" s="14" t="s">
        <v>364</v>
      </c>
      <c r="R131" s="14"/>
      <c r="S131" s="5" t="s">
        <v>696</v>
      </c>
      <c r="T131" s="20" t="s">
        <v>697</v>
      </c>
      <c r="U131" s="5" t="s">
        <v>698</v>
      </c>
      <c r="V131" s="20" t="s">
        <v>699</v>
      </c>
      <c r="W131" s="5" t="s">
        <v>80</v>
      </c>
      <c r="X131" s="5" t="s">
        <v>81</v>
      </c>
      <c r="Y131" s="5"/>
      <c r="Z131" s="5"/>
    </row>
    <row r="132" spans="1:28" x14ac:dyDescent="0.3">
      <c r="A132" s="5">
        <v>2408409</v>
      </c>
      <c r="B132" s="20" t="s">
        <v>700</v>
      </c>
      <c r="C132" s="25">
        <v>45534</v>
      </c>
      <c r="D132" s="5" t="s">
        <v>22</v>
      </c>
      <c r="E132" s="5" t="s">
        <v>71</v>
      </c>
      <c r="F132" s="5" t="s">
        <v>14</v>
      </c>
      <c r="G132" s="5" t="e" vm="11">
        <v>#VALUE!</v>
      </c>
      <c r="H132" s="5">
        <v>9.9450000000000003</v>
      </c>
      <c r="I132" s="5" t="s">
        <v>18</v>
      </c>
      <c r="J132" s="5"/>
      <c r="K132" s="11">
        <v>27700</v>
      </c>
      <c r="M132" s="5" t="s">
        <v>125</v>
      </c>
      <c r="N132" s="5" t="s">
        <v>73</v>
      </c>
      <c r="O132" s="5" t="s">
        <v>237</v>
      </c>
      <c r="P132" s="5">
        <v>17</v>
      </c>
      <c r="Q132" s="14" t="s">
        <v>364</v>
      </c>
      <c r="R132" s="14"/>
      <c r="S132" s="5" t="s">
        <v>701</v>
      </c>
      <c r="T132" s="20" t="s">
        <v>702</v>
      </c>
      <c r="U132" s="5" t="s">
        <v>703</v>
      </c>
      <c r="V132" s="20" t="s">
        <v>704</v>
      </c>
      <c r="W132" s="5" t="s">
        <v>109</v>
      </c>
      <c r="X132" s="5" t="s">
        <v>81</v>
      </c>
      <c r="Y132" s="5"/>
      <c r="Z132" s="5"/>
    </row>
    <row r="133" spans="1:28" x14ac:dyDescent="0.3">
      <c r="A133" s="5">
        <v>2408411</v>
      </c>
      <c r="B133" s="20" t="s">
        <v>705</v>
      </c>
      <c r="C133" s="25">
        <v>45519</v>
      </c>
      <c r="D133" s="5" t="s">
        <v>22</v>
      </c>
      <c r="E133" s="5" t="s">
        <v>71</v>
      </c>
      <c r="F133" s="5" t="s">
        <v>14</v>
      </c>
      <c r="G133" s="5" t="e" vm="11">
        <v>#VALUE!</v>
      </c>
      <c r="H133" s="5">
        <v>7.02</v>
      </c>
      <c r="I133" s="5" t="s">
        <v>18</v>
      </c>
      <c r="J133" s="5"/>
      <c r="K133" s="11">
        <v>24100</v>
      </c>
      <c r="M133" s="5" t="s">
        <v>125</v>
      </c>
      <c r="N133" s="5" t="s">
        <v>73</v>
      </c>
      <c r="O133" s="5" t="s">
        <v>237</v>
      </c>
      <c r="P133" s="5">
        <v>12</v>
      </c>
      <c r="Q133" s="5" t="s">
        <v>286</v>
      </c>
      <c r="R133" s="5"/>
      <c r="S133" s="5" t="s">
        <v>706</v>
      </c>
      <c r="T133" s="20" t="s">
        <v>707</v>
      </c>
      <c r="U133" s="5" t="s">
        <v>708</v>
      </c>
      <c r="V133" s="20" t="s">
        <v>709</v>
      </c>
      <c r="W133" s="5" t="s">
        <v>122</v>
      </c>
      <c r="X133" s="5" t="s">
        <v>81</v>
      </c>
      <c r="Y133" s="5"/>
      <c r="Z133" s="5"/>
    </row>
    <row r="134" spans="1:28" x14ac:dyDescent="0.3">
      <c r="A134" s="5">
        <v>2408408</v>
      </c>
      <c r="B134" s="20" t="s">
        <v>710</v>
      </c>
      <c r="C134" s="25">
        <v>45519</v>
      </c>
      <c r="D134" s="5" t="s">
        <v>22</v>
      </c>
      <c r="E134" s="5" t="s">
        <v>71</v>
      </c>
      <c r="F134" s="5" t="s">
        <v>14</v>
      </c>
      <c r="G134" s="5" t="e" vm="11">
        <v>#VALUE!</v>
      </c>
      <c r="H134" s="5">
        <v>17.55</v>
      </c>
      <c r="I134" s="5" t="s">
        <v>18</v>
      </c>
      <c r="J134" s="5"/>
      <c r="K134" s="11">
        <v>50600</v>
      </c>
      <c r="M134" s="5" t="s">
        <v>526</v>
      </c>
      <c r="N134" s="5" t="s">
        <v>73</v>
      </c>
      <c r="O134" s="5" t="s">
        <v>237</v>
      </c>
      <c r="P134" s="5">
        <v>30</v>
      </c>
      <c r="Q134" s="5" t="s">
        <v>143</v>
      </c>
      <c r="R134" s="5"/>
      <c r="S134" s="5" t="s">
        <v>711</v>
      </c>
      <c r="T134" s="20" t="s">
        <v>712</v>
      </c>
      <c r="U134" s="5" t="s">
        <v>713</v>
      </c>
      <c r="V134" s="20" t="s">
        <v>714</v>
      </c>
      <c r="W134" s="5" t="s">
        <v>122</v>
      </c>
      <c r="X134" s="5" t="s">
        <v>81</v>
      </c>
      <c r="Y134" s="5"/>
      <c r="Z134" s="5"/>
    </row>
    <row r="135" spans="1:28" x14ac:dyDescent="0.3">
      <c r="A135" s="5">
        <v>2408025</v>
      </c>
      <c r="B135" s="20" t="s">
        <v>715</v>
      </c>
      <c r="C135" s="25">
        <v>45533</v>
      </c>
      <c r="D135" s="5" t="s">
        <v>20</v>
      </c>
      <c r="E135" s="5" t="s">
        <v>206</v>
      </c>
      <c r="F135" s="5" t="s">
        <v>18</v>
      </c>
      <c r="G135" s="5" t="e" vm="12">
        <v>#VALUE!</v>
      </c>
      <c r="H135" s="5">
        <v>0</v>
      </c>
      <c r="I135" s="5"/>
      <c r="J135" s="5"/>
      <c r="K135" s="11">
        <v>55300</v>
      </c>
      <c r="M135" s="5" t="s">
        <v>125</v>
      </c>
      <c r="N135" s="5" t="s">
        <v>73</v>
      </c>
      <c r="O135" s="5" t="s">
        <v>18</v>
      </c>
      <c r="P135" s="5" t="s">
        <v>18</v>
      </c>
      <c r="Q135" s="5" t="s">
        <v>18</v>
      </c>
      <c r="R135" s="5"/>
      <c r="S135" s="5" t="s">
        <v>18</v>
      </c>
      <c r="T135" s="20" t="s">
        <v>716</v>
      </c>
      <c r="U135" s="5" t="s">
        <v>18</v>
      </c>
      <c r="V135" s="20" t="s">
        <v>18</v>
      </c>
      <c r="W135" s="5" t="s">
        <v>109</v>
      </c>
      <c r="X135" s="5" t="s">
        <v>81</v>
      </c>
      <c r="Y135" s="5"/>
      <c r="Z135" s="5"/>
    </row>
    <row r="136" spans="1:28" x14ac:dyDescent="0.3">
      <c r="A136" s="5">
        <v>2408431</v>
      </c>
      <c r="B136" s="20" t="s">
        <v>717</v>
      </c>
      <c r="C136" s="25">
        <v>45544</v>
      </c>
      <c r="D136" s="5" t="s">
        <v>17</v>
      </c>
      <c r="E136" s="5" t="s">
        <v>71</v>
      </c>
      <c r="F136" s="5" t="s">
        <v>14</v>
      </c>
      <c r="G136" s="5" t="e" vm="10">
        <v>#VALUE!</v>
      </c>
      <c r="H136" s="5">
        <v>9.36</v>
      </c>
      <c r="I136" s="5" t="s">
        <v>18</v>
      </c>
      <c r="J136" s="5"/>
      <c r="K136" s="11">
        <v>30000</v>
      </c>
      <c r="M136" s="5"/>
      <c r="N136" s="5" t="s">
        <v>73</v>
      </c>
      <c r="O136" s="5" t="s">
        <v>237</v>
      </c>
      <c r="P136" s="5">
        <v>16</v>
      </c>
      <c r="Q136" s="14" t="s">
        <v>364</v>
      </c>
      <c r="R136" s="14"/>
      <c r="S136" s="5" t="s">
        <v>718</v>
      </c>
      <c r="T136" s="20" t="s">
        <v>719</v>
      </c>
      <c r="U136" s="5" t="s">
        <v>720</v>
      </c>
      <c r="V136" s="21" t="s">
        <v>721</v>
      </c>
      <c r="W136" s="5" t="s">
        <v>122</v>
      </c>
      <c r="X136" s="5" t="s">
        <v>81</v>
      </c>
      <c r="Y136" s="5"/>
      <c r="Z136" s="5"/>
    </row>
    <row r="137" spans="1:28" x14ac:dyDescent="0.3">
      <c r="A137" s="5">
        <v>2408432</v>
      </c>
      <c r="B137" s="20" t="s">
        <v>722</v>
      </c>
      <c r="C137" s="25">
        <v>45534</v>
      </c>
      <c r="D137" s="5" t="s">
        <v>19</v>
      </c>
      <c r="E137" s="5" t="s">
        <v>71</v>
      </c>
      <c r="F137" s="5" t="s">
        <v>14</v>
      </c>
      <c r="G137" s="5" t="e" vm="11">
        <v>#VALUE!</v>
      </c>
      <c r="H137" s="5">
        <v>8.19</v>
      </c>
      <c r="I137" s="5" t="s">
        <v>18</v>
      </c>
      <c r="J137" s="5"/>
      <c r="K137" s="11">
        <v>23800</v>
      </c>
      <c r="M137" s="5"/>
      <c r="N137" s="5" t="s">
        <v>73</v>
      </c>
      <c r="O137" s="5" t="s">
        <v>237</v>
      </c>
      <c r="P137" s="5">
        <v>14</v>
      </c>
      <c r="Q137" s="14" t="s">
        <v>244</v>
      </c>
      <c r="R137" s="14"/>
      <c r="S137" s="5" t="s">
        <v>723</v>
      </c>
      <c r="T137" s="20" t="s">
        <v>724</v>
      </c>
      <c r="U137" s="5" t="s">
        <v>725</v>
      </c>
      <c r="V137" s="21" t="s">
        <v>726</v>
      </c>
      <c r="W137" s="5" t="s">
        <v>109</v>
      </c>
      <c r="X137" s="5" t="s">
        <v>81</v>
      </c>
      <c r="Y137" s="5"/>
      <c r="Z137" s="5"/>
    </row>
    <row r="138" spans="1:28" x14ac:dyDescent="0.3">
      <c r="A138" s="5">
        <v>2408407</v>
      </c>
      <c r="B138" s="20" t="s">
        <v>727</v>
      </c>
      <c r="C138" s="25">
        <v>45540</v>
      </c>
      <c r="D138" s="5" t="s">
        <v>22</v>
      </c>
      <c r="E138" s="5" t="s">
        <v>71</v>
      </c>
      <c r="F138" s="5" t="s">
        <v>14</v>
      </c>
      <c r="G138" s="5" t="e" vm="11">
        <v>#VALUE!</v>
      </c>
      <c r="H138" s="5">
        <v>9.36</v>
      </c>
      <c r="I138" s="5" t="s">
        <v>18</v>
      </c>
      <c r="J138" s="5"/>
      <c r="K138" s="11">
        <v>29700</v>
      </c>
      <c r="M138" s="5" t="s">
        <v>125</v>
      </c>
      <c r="N138" s="5" t="s">
        <v>73</v>
      </c>
      <c r="O138" s="5" t="s">
        <v>237</v>
      </c>
      <c r="P138" s="5">
        <v>16</v>
      </c>
      <c r="Q138" s="14" t="s">
        <v>364</v>
      </c>
      <c r="R138" s="14"/>
      <c r="S138" s="5" t="s">
        <v>728</v>
      </c>
      <c r="T138" s="20" t="s">
        <v>729</v>
      </c>
      <c r="U138" s="5" t="s">
        <v>730</v>
      </c>
      <c r="V138" s="20" t="s">
        <v>731</v>
      </c>
      <c r="W138" s="5" t="s">
        <v>109</v>
      </c>
      <c r="X138" s="5" t="s">
        <v>81</v>
      </c>
      <c r="Y138" s="5"/>
      <c r="Z138" s="5"/>
      <c r="AA138" s="20" t="s">
        <v>624</v>
      </c>
    </row>
    <row r="139" spans="1:28" x14ac:dyDescent="0.3">
      <c r="A139" s="5">
        <v>2409441</v>
      </c>
      <c r="B139" s="20" t="s">
        <v>732</v>
      </c>
      <c r="C139" s="25">
        <v>45540</v>
      </c>
      <c r="D139" s="5" t="s">
        <v>19</v>
      </c>
      <c r="E139" s="5" t="s">
        <v>71</v>
      </c>
      <c r="F139" s="5" t="s">
        <v>14</v>
      </c>
      <c r="G139" s="5" t="e" vm="10">
        <v>#VALUE!</v>
      </c>
      <c r="H139" s="5">
        <v>12.87</v>
      </c>
      <c r="I139" s="5" t="s">
        <v>18</v>
      </c>
      <c r="J139" s="5"/>
      <c r="K139" s="11">
        <v>38000</v>
      </c>
      <c r="M139" s="5" t="s">
        <v>125</v>
      </c>
      <c r="N139" s="5" t="s">
        <v>73</v>
      </c>
      <c r="O139" s="5" t="s">
        <v>237</v>
      </c>
      <c r="P139" s="5">
        <v>22</v>
      </c>
      <c r="Q139" s="14" t="s">
        <v>111</v>
      </c>
      <c r="R139" s="14"/>
      <c r="S139" s="5" t="s">
        <v>733</v>
      </c>
      <c r="T139" s="20" t="s">
        <v>734</v>
      </c>
      <c r="U139" s="5" t="s">
        <v>735</v>
      </c>
      <c r="V139" s="20" t="s">
        <v>736</v>
      </c>
      <c r="W139" s="5" t="s">
        <v>122</v>
      </c>
      <c r="X139" s="5" t="s">
        <v>81</v>
      </c>
      <c r="Y139" s="5"/>
      <c r="Z139" s="5"/>
      <c r="AB139" s="20" t="s">
        <v>737</v>
      </c>
    </row>
    <row r="140" spans="1:28" x14ac:dyDescent="0.3">
      <c r="A140" s="5">
        <v>2408433</v>
      </c>
      <c r="B140" s="20" t="s">
        <v>738</v>
      </c>
      <c r="C140" s="25">
        <v>45537</v>
      </c>
      <c r="D140" s="5" t="s">
        <v>19</v>
      </c>
      <c r="E140" s="5" t="s">
        <v>71</v>
      </c>
      <c r="F140" s="5" t="s">
        <v>14</v>
      </c>
      <c r="G140" s="5" t="e" vm="11">
        <v>#VALUE!</v>
      </c>
      <c r="H140" s="5">
        <v>5.85</v>
      </c>
      <c r="I140" s="5" t="s">
        <v>18</v>
      </c>
      <c r="J140" s="5"/>
      <c r="K140" s="11">
        <v>24000</v>
      </c>
      <c r="M140" s="5" t="s">
        <v>125</v>
      </c>
      <c r="N140" s="5" t="s">
        <v>73</v>
      </c>
      <c r="O140" s="5" t="s">
        <v>237</v>
      </c>
      <c r="P140" s="5">
        <v>10</v>
      </c>
      <c r="Q140" s="5" t="s">
        <v>380</v>
      </c>
      <c r="R140" s="5"/>
      <c r="S140" s="5" t="s">
        <v>739</v>
      </c>
      <c r="T140" s="20" t="s">
        <v>740</v>
      </c>
      <c r="U140" s="5" t="s">
        <v>741</v>
      </c>
      <c r="V140" s="21" t="s">
        <v>742</v>
      </c>
      <c r="W140" s="5" t="s">
        <v>122</v>
      </c>
      <c r="X140" s="5" t="s">
        <v>81</v>
      </c>
      <c r="Y140" s="5"/>
      <c r="Z140" s="5"/>
    </row>
    <row r="141" spans="1:28" x14ac:dyDescent="0.3">
      <c r="A141" s="5">
        <v>2409445</v>
      </c>
      <c r="B141" s="20" t="s">
        <v>743</v>
      </c>
      <c r="C141" s="25">
        <v>45544</v>
      </c>
      <c r="D141" s="5" t="s">
        <v>22</v>
      </c>
      <c r="E141" s="5" t="s">
        <v>71</v>
      </c>
      <c r="F141" s="5" t="s">
        <v>14</v>
      </c>
      <c r="G141" s="5" t="e" vm="11">
        <v>#VALUE!</v>
      </c>
      <c r="H141" s="5">
        <v>7.02</v>
      </c>
      <c r="I141" s="5" t="s">
        <v>18</v>
      </c>
      <c r="J141" s="5"/>
      <c r="K141" s="11">
        <v>22500</v>
      </c>
      <c r="M141" s="5" t="s">
        <v>125</v>
      </c>
      <c r="N141" s="5" t="s">
        <v>73</v>
      </c>
      <c r="O141" s="5" t="s">
        <v>237</v>
      </c>
      <c r="P141" s="5">
        <v>12</v>
      </c>
      <c r="Q141" s="5" t="s">
        <v>286</v>
      </c>
      <c r="R141" s="5"/>
      <c r="S141" s="5" t="s">
        <v>744</v>
      </c>
      <c r="T141" s="20" t="s">
        <v>745</v>
      </c>
      <c r="U141" s="5" t="s">
        <v>746</v>
      </c>
      <c r="V141" s="20" t="s">
        <v>747</v>
      </c>
      <c r="W141" s="5" t="s">
        <v>109</v>
      </c>
      <c r="X141" s="5" t="s">
        <v>81</v>
      </c>
      <c r="Y141" s="5"/>
      <c r="Z141" s="5"/>
    </row>
    <row r="142" spans="1:28" x14ac:dyDescent="0.3">
      <c r="A142" s="5">
        <v>2408434</v>
      </c>
      <c r="B142" s="20" t="s">
        <v>748</v>
      </c>
      <c r="C142" s="25">
        <v>45544</v>
      </c>
      <c r="D142" s="5" t="s">
        <v>19</v>
      </c>
      <c r="E142" s="5" t="s">
        <v>71</v>
      </c>
      <c r="F142" s="5" t="s">
        <v>14</v>
      </c>
      <c r="G142" s="5" t="e" vm="11">
        <v>#VALUE!</v>
      </c>
      <c r="H142" s="5">
        <v>14.04</v>
      </c>
      <c r="I142" s="5" t="s">
        <v>18</v>
      </c>
      <c r="J142" s="5"/>
      <c r="K142" s="11">
        <v>38600</v>
      </c>
      <c r="M142" s="5" t="s">
        <v>125</v>
      </c>
      <c r="N142" s="5" t="s">
        <v>73</v>
      </c>
      <c r="O142" s="5" t="s">
        <v>237</v>
      </c>
      <c r="P142" s="5">
        <v>24</v>
      </c>
      <c r="Q142" s="5" t="s">
        <v>143</v>
      </c>
      <c r="R142" s="5"/>
      <c r="S142" s="5" t="s">
        <v>749</v>
      </c>
      <c r="T142" s="20" t="s">
        <v>750</v>
      </c>
      <c r="U142" s="5" t="s">
        <v>751</v>
      </c>
      <c r="V142" s="20" t="s">
        <v>752</v>
      </c>
      <c r="W142" s="5" t="s">
        <v>122</v>
      </c>
      <c r="X142" s="5" t="s">
        <v>81</v>
      </c>
      <c r="Y142" s="5"/>
      <c r="Z142" s="5"/>
    </row>
    <row r="143" spans="1:28" x14ac:dyDescent="0.3">
      <c r="A143" s="5">
        <v>2409442</v>
      </c>
      <c r="B143" s="20" t="s">
        <v>753</v>
      </c>
      <c r="C143" s="25">
        <v>45543</v>
      </c>
      <c r="D143" s="5" t="s">
        <v>17</v>
      </c>
      <c r="E143" s="5" t="s">
        <v>71</v>
      </c>
      <c r="F143" s="5" t="s">
        <v>14</v>
      </c>
      <c r="G143" s="5" t="e" vm="12">
        <v>#VALUE!</v>
      </c>
      <c r="H143" s="5">
        <v>9.44</v>
      </c>
      <c r="I143" s="5" t="s">
        <v>18</v>
      </c>
      <c r="J143" s="5"/>
      <c r="K143" s="11">
        <v>33000</v>
      </c>
      <c r="M143" s="5" t="s">
        <v>176</v>
      </c>
      <c r="N143" s="5" t="s">
        <v>73</v>
      </c>
      <c r="O143" s="5" t="s">
        <v>243</v>
      </c>
      <c r="P143" s="5">
        <v>16</v>
      </c>
      <c r="Q143" s="14" t="s">
        <v>364</v>
      </c>
      <c r="R143" s="14"/>
      <c r="S143" s="5" t="s">
        <v>754</v>
      </c>
      <c r="T143" s="20" t="s">
        <v>755</v>
      </c>
      <c r="U143" s="5" t="s">
        <v>756</v>
      </c>
      <c r="V143" s="21" t="s">
        <v>757</v>
      </c>
      <c r="W143" s="5" t="s">
        <v>122</v>
      </c>
      <c r="X143" s="5" t="s">
        <v>81</v>
      </c>
      <c r="Y143" s="5"/>
      <c r="Z143" s="5"/>
      <c r="AB143" s="20" t="s">
        <v>758</v>
      </c>
    </row>
    <row r="144" spans="1:28" x14ac:dyDescent="0.3">
      <c r="A144" s="5">
        <v>2409443</v>
      </c>
      <c r="B144" s="20" t="s">
        <v>759</v>
      </c>
      <c r="C144" s="25">
        <v>45544</v>
      </c>
      <c r="D144" s="5" t="s">
        <v>17</v>
      </c>
      <c r="E144" s="5" t="s">
        <v>71</v>
      </c>
      <c r="F144" s="5" t="s">
        <v>14</v>
      </c>
      <c r="G144" s="5" t="e" vm="8">
        <v>#VALUE!</v>
      </c>
      <c r="H144" s="5">
        <v>17.55</v>
      </c>
      <c r="I144" s="5" t="s">
        <v>18</v>
      </c>
      <c r="J144" s="5"/>
      <c r="K144" s="11">
        <v>47360</v>
      </c>
      <c r="M144" s="5" t="s">
        <v>176</v>
      </c>
      <c r="N144" s="5" t="s">
        <v>73</v>
      </c>
      <c r="O144" s="5" t="s">
        <v>237</v>
      </c>
      <c r="P144" s="5">
        <v>30</v>
      </c>
      <c r="Q144" s="5" t="s">
        <v>143</v>
      </c>
      <c r="R144" s="5"/>
      <c r="S144" s="5" t="s">
        <v>760</v>
      </c>
      <c r="T144" s="20" t="s">
        <v>761</v>
      </c>
      <c r="U144" s="5" t="s">
        <v>762</v>
      </c>
      <c r="V144" s="21" t="s">
        <v>763</v>
      </c>
      <c r="W144" s="5" t="s">
        <v>122</v>
      </c>
      <c r="X144" s="5" t="s">
        <v>81</v>
      </c>
      <c r="Y144" s="5"/>
      <c r="Z144" s="5"/>
    </row>
    <row r="145" spans="1:26" x14ac:dyDescent="0.3">
      <c r="A145" s="5">
        <v>2408417</v>
      </c>
      <c r="B145" s="20" t="s">
        <v>764</v>
      </c>
      <c r="C145" s="25">
        <v>45543</v>
      </c>
      <c r="D145" s="5" t="s">
        <v>17</v>
      </c>
      <c r="E145" s="5" t="s">
        <v>71</v>
      </c>
      <c r="F145" s="5" t="s">
        <v>14</v>
      </c>
      <c r="G145" s="5" t="e" vm="5">
        <v>#VALUE!</v>
      </c>
      <c r="H145" s="5">
        <v>17.55</v>
      </c>
      <c r="I145" s="5" t="s">
        <v>18</v>
      </c>
      <c r="J145" s="5"/>
      <c r="K145" s="11">
        <v>36500</v>
      </c>
      <c r="M145" s="5" t="s">
        <v>125</v>
      </c>
      <c r="N145" s="5" t="s">
        <v>73</v>
      </c>
      <c r="O145" s="5" t="s">
        <v>243</v>
      </c>
      <c r="P145" s="5">
        <v>30</v>
      </c>
      <c r="Q145" s="5" t="s">
        <v>143</v>
      </c>
      <c r="R145" s="5"/>
      <c r="S145" s="5" t="s">
        <v>765</v>
      </c>
      <c r="T145" s="20" t="s">
        <v>766</v>
      </c>
      <c r="U145" s="5" t="s">
        <v>767</v>
      </c>
      <c r="W145" s="5" t="s">
        <v>122</v>
      </c>
      <c r="X145" s="5" t="s">
        <v>81</v>
      </c>
      <c r="Y145" s="5"/>
      <c r="Z145" s="5"/>
    </row>
    <row r="146" spans="1:26" x14ac:dyDescent="0.3">
      <c r="A146" s="5">
        <v>2409440</v>
      </c>
      <c r="B146" s="20" t="s">
        <v>768</v>
      </c>
      <c r="C146" s="25">
        <v>45539</v>
      </c>
      <c r="D146" s="5" t="s">
        <v>17</v>
      </c>
      <c r="E146" s="5" t="s">
        <v>71</v>
      </c>
      <c r="F146" s="5" t="s">
        <v>14</v>
      </c>
      <c r="G146" s="5" t="e" vm="5">
        <v>#VALUE!</v>
      </c>
      <c r="H146" s="5">
        <v>7.02</v>
      </c>
      <c r="I146" s="5" t="s">
        <v>18</v>
      </c>
      <c r="J146" s="5"/>
      <c r="K146" s="11">
        <v>25520</v>
      </c>
      <c r="M146" s="5" t="s">
        <v>176</v>
      </c>
      <c r="N146" s="5" t="s">
        <v>73</v>
      </c>
      <c r="O146" s="5" t="s">
        <v>237</v>
      </c>
      <c r="P146" s="5">
        <v>12</v>
      </c>
      <c r="Q146" s="5" t="s">
        <v>286</v>
      </c>
      <c r="R146" s="5"/>
      <c r="S146" s="5" t="s">
        <v>769</v>
      </c>
      <c r="T146" s="20" t="s">
        <v>770</v>
      </c>
      <c r="U146" s="5" t="s">
        <v>771</v>
      </c>
      <c r="V146" s="21" t="s">
        <v>772</v>
      </c>
      <c r="W146" s="5" t="s">
        <v>122</v>
      </c>
      <c r="X146" s="5" t="s">
        <v>81</v>
      </c>
      <c r="Y146" s="5"/>
      <c r="Z146" s="5" t="s">
        <v>269</v>
      </c>
    </row>
    <row r="147" spans="1:26" x14ac:dyDescent="0.3">
      <c r="A147" s="5">
        <v>2405273</v>
      </c>
      <c r="B147" s="20" t="s">
        <v>773</v>
      </c>
      <c r="C147" s="25">
        <v>45533</v>
      </c>
      <c r="D147" s="5" t="s">
        <v>17</v>
      </c>
      <c r="E147" s="5" t="s">
        <v>71</v>
      </c>
      <c r="F147" s="5" t="s">
        <v>14</v>
      </c>
      <c r="G147" s="5" t="e" vm="5">
        <v>#VALUE!</v>
      </c>
      <c r="H147" s="5">
        <v>17.55</v>
      </c>
      <c r="I147" s="5" t="s">
        <v>18</v>
      </c>
      <c r="J147" s="5"/>
      <c r="K147" s="11">
        <v>44600</v>
      </c>
      <c r="L147" s="24">
        <v>7500</v>
      </c>
      <c r="M147" s="5" t="s">
        <v>125</v>
      </c>
      <c r="N147" s="5" t="s">
        <v>73</v>
      </c>
      <c r="O147" s="5" t="s">
        <v>237</v>
      </c>
      <c r="P147" s="5">
        <v>30</v>
      </c>
      <c r="Q147" s="5" t="s">
        <v>143</v>
      </c>
      <c r="R147" s="5"/>
      <c r="S147" s="5" t="s">
        <v>774</v>
      </c>
      <c r="T147" s="20" t="s">
        <v>775</v>
      </c>
      <c r="U147" s="5" t="s">
        <v>776</v>
      </c>
      <c r="V147" s="21" t="s">
        <v>777</v>
      </c>
      <c r="W147" s="5" t="s">
        <v>122</v>
      </c>
      <c r="X147" s="5" t="s">
        <v>81</v>
      </c>
      <c r="Y147" s="5"/>
      <c r="Z147" s="5" t="s">
        <v>269</v>
      </c>
    </row>
    <row r="148" spans="1:26" x14ac:dyDescent="0.3">
      <c r="A148" s="5">
        <v>2308064</v>
      </c>
      <c r="B148" s="20" t="s">
        <v>778</v>
      </c>
      <c r="C148" s="25">
        <v>45532</v>
      </c>
      <c r="D148" s="5" t="s">
        <v>20</v>
      </c>
      <c r="E148" s="5" t="s">
        <v>71</v>
      </c>
      <c r="F148" s="5" t="s">
        <v>14</v>
      </c>
      <c r="G148" s="5" t="e" vm="15">
        <v>#VALUE!</v>
      </c>
      <c r="H148" s="5">
        <v>11.7</v>
      </c>
      <c r="I148" s="5"/>
      <c r="J148" s="5"/>
      <c r="K148" s="11">
        <v>35000</v>
      </c>
      <c r="M148" s="5" t="s">
        <v>125</v>
      </c>
      <c r="N148" s="5" t="s">
        <v>73</v>
      </c>
      <c r="O148" s="5" t="s">
        <v>237</v>
      </c>
      <c r="P148" s="5">
        <v>20</v>
      </c>
      <c r="Q148" s="14" t="s">
        <v>83</v>
      </c>
      <c r="R148" s="5"/>
      <c r="S148" s="5" t="s">
        <v>779</v>
      </c>
      <c r="T148" s="20" t="s">
        <v>780</v>
      </c>
      <c r="U148" s="5" t="s">
        <v>781</v>
      </c>
      <c r="V148" s="21" t="s">
        <v>782</v>
      </c>
      <c r="W148" s="5" t="s">
        <v>122</v>
      </c>
      <c r="X148" s="5" t="s">
        <v>81</v>
      </c>
      <c r="Y148" s="5"/>
      <c r="Z148" s="5"/>
    </row>
    <row r="149" spans="1:26" x14ac:dyDescent="0.3">
      <c r="A149" s="5">
        <v>2409447</v>
      </c>
      <c r="B149" s="20" t="s">
        <v>783</v>
      </c>
      <c r="C149" s="25">
        <v>45545</v>
      </c>
      <c r="D149" s="5" t="s">
        <v>19</v>
      </c>
      <c r="E149" s="5" t="s">
        <v>71</v>
      </c>
      <c r="F149" s="5" t="s">
        <v>14</v>
      </c>
      <c r="G149" s="5" t="e" vm="11">
        <v>#VALUE!</v>
      </c>
      <c r="H149" s="5">
        <v>7.02</v>
      </c>
      <c r="I149" s="5" t="s">
        <v>18</v>
      </c>
      <c r="J149" s="5"/>
      <c r="K149" s="24">
        <v>22200</v>
      </c>
      <c r="M149" s="5" t="s">
        <v>125</v>
      </c>
      <c r="N149" s="5" t="s">
        <v>73</v>
      </c>
      <c r="O149" s="5" t="s">
        <v>237</v>
      </c>
      <c r="P149" s="5">
        <v>12</v>
      </c>
      <c r="Q149" s="5" t="s">
        <v>286</v>
      </c>
      <c r="R149" s="5"/>
      <c r="S149" s="5" t="s">
        <v>784</v>
      </c>
      <c r="T149" s="20" t="s">
        <v>785</v>
      </c>
      <c r="U149" s="5" t="s">
        <v>786</v>
      </c>
      <c r="V149" s="20" t="s">
        <v>787</v>
      </c>
      <c r="W149" s="5" t="s">
        <v>109</v>
      </c>
      <c r="X149" s="5" t="s">
        <v>81</v>
      </c>
      <c r="Y149" s="5"/>
      <c r="Z149" s="5"/>
    </row>
    <row r="150" spans="1:26" x14ac:dyDescent="0.3">
      <c r="A150" s="5">
        <v>2409444</v>
      </c>
      <c r="B150" s="20" t="s">
        <v>788</v>
      </c>
      <c r="C150" s="25">
        <v>45546</v>
      </c>
      <c r="D150" s="5" t="s">
        <v>19</v>
      </c>
      <c r="E150" s="5" t="s">
        <v>71</v>
      </c>
      <c r="F150" s="5" t="s">
        <v>14</v>
      </c>
      <c r="G150" s="5" t="e" vm="10">
        <v>#VALUE!</v>
      </c>
      <c r="H150" s="5">
        <v>9.36</v>
      </c>
      <c r="I150" s="5" t="s">
        <v>18</v>
      </c>
      <c r="J150" s="5"/>
      <c r="K150" s="24">
        <v>28700</v>
      </c>
      <c r="M150" s="5" t="s">
        <v>125</v>
      </c>
      <c r="N150" s="5" t="s">
        <v>73</v>
      </c>
      <c r="O150" s="5" t="s">
        <v>237</v>
      </c>
      <c r="P150" s="5">
        <v>16</v>
      </c>
      <c r="Q150" s="14" t="s">
        <v>364</v>
      </c>
      <c r="R150" s="14"/>
      <c r="S150" s="5" t="s">
        <v>789</v>
      </c>
      <c r="T150" s="20" t="s">
        <v>790</v>
      </c>
      <c r="U150" s="5" t="s">
        <v>791</v>
      </c>
      <c r="V150" s="20" t="s">
        <v>792</v>
      </c>
      <c r="W150" s="5" t="s">
        <v>109</v>
      </c>
      <c r="X150" s="5" t="s">
        <v>81</v>
      </c>
      <c r="Y150" s="5"/>
      <c r="Z150" s="5"/>
    </row>
    <row r="151" spans="1:26" x14ac:dyDescent="0.3">
      <c r="A151" s="5">
        <v>2407368</v>
      </c>
      <c r="B151" s="20" t="s">
        <v>793</v>
      </c>
      <c r="C151" s="25">
        <v>45545</v>
      </c>
      <c r="D151" s="5" t="s">
        <v>19</v>
      </c>
      <c r="E151" s="5" t="s">
        <v>71</v>
      </c>
      <c r="F151" s="5" t="s">
        <v>14</v>
      </c>
      <c r="G151" s="5" t="e" vm="11">
        <v>#VALUE!</v>
      </c>
      <c r="H151" s="5">
        <v>12.87</v>
      </c>
      <c r="I151" s="5" t="s">
        <v>18</v>
      </c>
      <c r="J151" s="5"/>
      <c r="K151" s="24">
        <v>38600</v>
      </c>
      <c r="M151" s="5" t="s">
        <v>125</v>
      </c>
      <c r="N151" s="5" t="s">
        <v>73</v>
      </c>
      <c r="O151" s="5" t="s">
        <v>237</v>
      </c>
      <c r="P151" s="5">
        <v>22</v>
      </c>
      <c r="Q151" s="14" t="s">
        <v>111</v>
      </c>
      <c r="R151" s="14"/>
      <c r="S151" s="5" t="s">
        <v>794</v>
      </c>
      <c r="T151" s="20" t="s">
        <v>795</v>
      </c>
      <c r="U151" s="5" t="s">
        <v>796</v>
      </c>
      <c r="V151" s="20" t="s">
        <v>797</v>
      </c>
      <c r="W151" s="5" t="s">
        <v>122</v>
      </c>
      <c r="X151" s="5" t="s">
        <v>81</v>
      </c>
      <c r="Y151" s="5"/>
      <c r="Z151" s="5"/>
    </row>
    <row r="152" spans="1:26" x14ac:dyDescent="0.3">
      <c r="A152" s="5">
        <v>2409446</v>
      </c>
      <c r="B152" s="20" t="s">
        <v>798</v>
      </c>
      <c r="C152" s="25">
        <v>45544</v>
      </c>
      <c r="D152" s="5" t="s">
        <v>17</v>
      </c>
      <c r="E152" s="5" t="s">
        <v>71</v>
      </c>
      <c r="F152" s="5" t="s">
        <v>14</v>
      </c>
      <c r="G152" s="5" t="e" vm="5">
        <v>#VALUE!</v>
      </c>
      <c r="H152" s="5">
        <v>9.36</v>
      </c>
      <c r="I152" s="5" t="s">
        <v>18</v>
      </c>
      <c r="J152" s="5"/>
      <c r="K152" s="24">
        <v>28500</v>
      </c>
      <c r="M152" s="5" t="s">
        <v>125</v>
      </c>
      <c r="N152" s="5" t="s">
        <v>73</v>
      </c>
      <c r="O152" s="5" t="s">
        <v>237</v>
      </c>
      <c r="P152" s="5">
        <v>16</v>
      </c>
      <c r="Q152" s="14" t="s">
        <v>364</v>
      </c>
      <c r="R152" s="14"/>
      <c r="S152" s="5" t="s">
        <v>799</v>
      </c>
      <c r="T152" s="20" t="s">
        <v>800</v>
      </c>
      <c r="U152" s="5" t="s">
        <v>801</v>
      </c>
      <c r="V152" s="21" t="s">
        <v>802</v>
      </c>
      <c r="W152" s="5" t="s">
        <v>122</v>
      </c>
      <c r="X152" s="5" t="s">
        <v>81</v>
      </c>
      <c r="Y152" s="5"/>
      <c r="Z152" s="5" t="s">
        <v>269</v>
      </c>
    </row>
    <row r="153" spans="1:26" x14ac:dyDescent="0.3">
      <c r="A153" s="5">
        <v>2404249</v>
      </c>
      <c r="B153" s="20" t="s">
        <v>803</v>
      </c>
      <c r="C153" s="25">
        <v>45546</v>
      </c>
      <c r="D153" s="5" t="s">
        <v>17</v>
      </c>
      <c r="E153" s="5" t="s">
        <v>71</v>
      </c>
      <c r="F153" s="5" t="s">
        <v>14</v>
      </c>
      <c r="G153" s="5" t="e" vm="10">
        <v>#VALUE!</v>
      </c>
      <c r="H153" s="5">
        <v>17.55</v>
      </c>
      <c r="I153" s="5" t="s">
        <v>18</v>
      </c>
      <c r="J153" s="5"/>
      <c r="K153" s="24">
        <v>47600</v>
      </c>
      <c r="M153" s="5"/>
      <c r="N153" s="5" t="s">
        <v>73</v>
      </c>
      <c r="O153" s="5" t="s">
        <v>237</v>
      </c>
      <c r="P153" s="5">
        <v>30</v>
      </c>
      <c r="Q153" s="5" t="s">
        <v>143</v>
      </c>
      <c r="R153" s="5"/>
      <c r="S153" s="5" t="s">
        <v>804</v>
      </c>
      <c r="T153" s="20" t="s">
        <v>805</v>
      </c>
      <c r="U153" s="5" t="s">
        <v>806</v>
      </c>
      <c r="V153" s="21" t="s">
        <v>807</v>
      </c>
      <c r="W153" s="5" t="s">
        <v>122</v>
      </c>
      <c r="X153" s="5" t="s">
        <v>81</v>
      </c>
      <c r="Y153" s="5"/>
      <c r="Z153" s="5"/>
    </row>
    <row r="154" spans="1:26" x14ac:dyDescent="0.3">
      <c r="A154" s="5" t="s">
        <v>808</v>
      </c>
      <c r="B154" s="20" t="s">
        <v>809</v>
      </c>
      <c r="C154" s="25">
        <v>45546</v>
      </c>
      <c r="D154" s="5" t="s">
        <v>17</v>
      </c>
      <c r="E154" s="5" t="s">
        <v>71</v>
      </c>
      <c r="F154" s="5" t="s">
        <v>14</v>
      </c>
      <c r="G154" s="5" t="e" vm="4">
        <v>#VALUE!</v>
      </c>
      <c r="H154" s="5">
        <v>17.55</v>
      </c>
      <c r="I154" s="5" t="s">
        <v>18</v>
      </c>
      <c r="J154" s="5"/>
      <c r="K154" s="24">
        <v>46100</v>
      </c>
      <c r="M154" s="5" t="s">
        <v>125</v>
      </c>
      <c r="N154" s="5" t="s">
        <v>73</v>
      </c>
      <c r="O154" s="5" t="s">
        <v>237</v>
      </c>
      <c r="P154" s="5">
        <v>30</v>
      </c>
      <c r="Q154" s="5" t="s">
        <v>143</v>
      </c>
      <c r="R154" s="5"/>
      <c r="S154" s="5" t="s">
        <v>810</v>
      </c>
      <c r="T154" s="20" t="s">
        <v>811</v>
      </c>
      <c r="U154" s="5" t="s">
        <v>812</v>
      </c>
      <c r="V154" s="20" t="s">
        <v>813</v>
      </c>
      <c r="W154" s="5" t="s">
        <v>122</v>
      </c>
      <c r="X154" s="5" t="s">
        <v>81</v>
      </c>
      <c r="Y154" s="5"/>
      <c r="Z154" s="5"/>
    </row>
    <row r="155" spans="1:26" x14ac:dyDescent="0.3">
      <c r="A155" s="5" t="s">
        <v>814</v>
      </c>
      <c r="B155" s="20" t="s">
        <v>809</v>
      </c>
      <c r="C155" s="25">
        <v>45546</v>
      </c>
      <c r="D155" s="5" t="s">
        <v>17</v>
      </c>
      <c r="E155" s="5" t="s">
        <v>71</v>
      </c>
      <c r="F155" s="5" t="s">
        <v>14</v>
      </c>
      <c r="G155" s="5" t="e" vm="4">
        <v>#VALUE!</v>
      </c>
      <c r="H155" s="5">
        <v>17.55</v>
      </c>
      <c r="I155" s="5" t="s">
        <v>18</v>
      </c>
      <c r="J155" s="5"/>
      <c r="K155" s="24">
        <v>46100</v>
      </c>
      <c r="M155" s="5" t="s">
        <v>125</v>
      </c>
      <c r="N155" s="5" t="s">
        <v>73</v>
      </c>
      <c r="O155" s="5" t="s">
        <v>237</v>
      </c>
      <c r="P155" s="5">
        <v>30</v>
      </c>
      <c r="Q155" s="5" t="s">
        <v>143</v>
      </c>
      <c r="R155" s="5"/>
      <c r="S155" s="5" t="s">
        <v>815</v>
      </c>
      <c r="T155" s="20" t="s">
        <v>811</v>
      </c>
      <c r="U155" s="5" t="s">
        <v>812</v>
      </c>
      <c r="V155" s="21" t="s">
        <v>813</v>
      </c>
      <c r="W155" s="5" t="s">
        <v>122</v>
      </c>
      <c r="X155" s="5" t="s">
        <v>81</v>
      </c>
      <c r="Y155" s="5"/>
      <c r="Z155" s="5"/>
    </row>
    <row r="156" spans="1:26" x14ac:dyDescent="0.3">
      <c r="A156" s="5">
        <v>2405284</v>
      </c>
      <c r="B156" s="15" t="s">
        <v>816</v>
      </c>
      <c r="C156" s="25">
        <v>45546</v>
      </c>
      <c r="D156" s="5" t="s">
        <v>17</v>
      </c>
      <c r="E156" s="5" t="s">
        <v>71</v>
      </c>
      <c r="F156" s="5" t="s">
        <v>14</v>
      </c>
      <c r="G156" s="5" t="e" vm="5">
        <v>#VALUE!</v>
      </c>
      <c r="H156" s="5">
        <v>7.02</v>
      </c>
      <c r="I156" s="5" t="s">
        <v>18</v>
      </c>
      <c r="J156" s="5"/>
      <c r="K156" s="11">
        <v>23500</v>
      </c>
      <c r="M156" s="5"/>
      <c r="N156" s="5" t="s">
        <v>73</v>
      </c>
      <c r="O156" s="5" t="s">
        <v>237</v>
      </c>
      <c r="P156" s="5">
        <v>12</v>
      </c>
      <c r="Q156" s="5" t="s">
        <v>286</v>
      </c>
      <c r="R156" s="5"/>
      <c r="S156" s="5" t="s">
        <v>817</v>
      </c>
      <c r="T156" s="20" t="s">
        <v>818</v>
      </c>
      <c r="U156" s="5" t="s">
        <v>819</v>
      </c>
      <c r="V156" s="21" t="s">
        <v>820</v>
      </c>
      <c r="W156" s="5" t="s">
        <v>122</v>
      </c>
      <c r="X156" s="5" t="s">
        <v>81</v>
      </c>
      <c r="Y156" s="5"/>
      <c r="Z156" s="5"/>
    </row>
    <row r="157" spans="1:26" x14ac:dyDescent="0.3">
      <c r="A157" s="5">
        <v>2409448</v>
      </c>
      <c r="B157" s="15" t="s">
        <v>821</v>
      </c>
      <c r="C157" s="25">
        <v>45545</v>
      </c>
      <c r="D157" s="5" t="s">
        <v>20</v>
      </c>
      <c r="E157" s="5" t="s">
        <v>71</v>
      </c>
      <c r="F157" s="5" t="s">
        <v>14</v>
      </c>
      <c r="G157" s="5" t="e" vm="5">
        <v>#VALUE!</v>
      </c>
      <c r="H157" s="5">
        <v>8.26</v>
      </c>
      <c r="I157" s="5" t="s">
        <v>18</v>
      </c>
      <c r="J157" s="5"/>
      <c r="K157" s="11">
        <v>31622</v>
      </c>
      <c r="M157" s="5" t="s">
        <v>176</v>
      </c>
      <c r="N157" s="5" t="s">
        <v>73</v>
      </c>
      <c r="O157" s="5" t="s">
        <v>243</v>
      </c>
      <c r="P157" s="5">
        <v>14</v>
      </c>
      <c r="Q157" s="14" t="s">
        <v>822</v>
      </c>
      <c r="R157" s="14"/>
      <c r="S157" s="5" t="s">
        <v>823</v>
      </c>
      <c r="T157" s="20" t="s">
        <v>824</v>
      </c>
      <c r="U157" s="5" t="s">
        <v>825</v>
      </c>
      <c r="V157" s="23" t="s">
        <v>826</v>
      </c>
      <c r="W157" s="5" t="s">
        <v>122</v>
      </c>
      <c r="X157" s="5" t="s">
        <v>81</v>
      </c>
      <c r="Y157" s="5"/>
      <c r="Z157" s="5"/>
    </row>
    <row r="158" spans="1:26" x14ac:dyDescent="0.3">
      <c r="A158" s="5">
        <v>2408400</v>
      </c>
      <c r="B158" s="15" t="s">
        <v>827</v>
      </c>
      <c r="C158" s="25">
        <v>45546</v>
      </c>
      <c r="D158" s="5" t="s">
        <v>19</v>
      </c>
      <c r="E158" s="5" t="s">
        <v>71</v>
      </c>
      <c r="F158" s="5" t="s">
        <v>14</v>
      </c>
      <c r="G158" s="5" t="e" vm="11">
        <v>#VALUE!</v>
      </c>
      <c r="H158" s="5">
        <v>17.55</v>
      </c>
      <c r="I158" s="5" t="s">
        <v>18</v>
      </c>
      <c r="J158" s="5"/>
      <c r="K158" s="11">
        <v>43300</v>
      </c>
      <c r="M158" s="5" t="s">
        <v>125</v>
      </c>
      <c r="N158" s="5" t="s">
        <v>73</v>
      </c>
      <c r="O158" s="5" t="s">
        <v>237</v>
      </c>
      <c r="P158" s="5">
        <v>30</v>
      </c>
      <c r="Q158" s="5" t="s">
        <v>143</v>
      </c>
      <c r="R158" s="5"/>
      <c r="S158" s="5" t="s">
        <v>828</v>
      </c>
      <c r="T158" s="20" t="s">
        <v>829</v>
      </c>
      <c r="U158" s="5" t="s">
        <v>830</v>
      </c>
      <c r="V158" s="20" t="s">
        <v>831</v>
      </c>
      <c r="W158" s="5" t="s">
        <v>109</v>
      </c>
      <c r="X158" s="5" t="s">
        <v>81</v>
      </c>
      <c r="Y158" s="5"/>
      <c r="Z158" s="5"/>
    </row>
    <row r="159" spans="1:26" x14ac:dyDescent="0.3">
      <c r="A159" s="5" t="s">
        <v>832</v>
      </c>
      <c r="B159" s="15" t="s">
        <v>833</v>
      </c>
      <c r="C159" s="25">
        <v>45546</v>
      </c>
      <c r="D159" s="5" t="s">
        <v>19</v>
      </c>
      <c r="E159" s="5" t="s">
        <v>71</v>
      </c>
      <c r="F159" s="5" t="s">
        <v>14</v>
      </c>
      <c r="G159" s="5" t="e" vm="11">
        <v>#VALUE!</v>
      </c>
      <c r="H159" s="5">
        <v>9.36</v>
      </c>
      <c r="I159" s="5" t="s">
        <v>18</v>
      </c>
      <c r="J159" s="5"/>
      <c r="K159" s="11">
        <v>30000</v>
      </c>
      <c r="M159" s="5" t="s">
        <v>834</v>
      </c>
      <c r="N159" s="5" t="s">
        <v>73</v>
      </c>
      <c r="O159" s="5" t="s">
        <v>237</v>
      </c>
      <c r="P159" s="5">
        <v>16</v>
      </c>
      <c r="Q159" s="14" t="s">
        <v>364</v>
      </c>
      <c r="R159" s="14"/>
      <c r="S159" s="5" t="s">
        <v>835</v>
      </c>
      <c r="T159" s="20" t="s">
        <v>836</v>
      </c>
      <c r="U159" s="5" t="s">
        <v>837</v>
      </c>
      <c r="V159" s="20" t="s">
        <v>838</v>
      </c>
      <c r="W159" s="5" t="s">
        <v>122</v>
      </c>
      <c r="X159" s="5" t="s">
        <v>81</v>
      </c>
      <c r="Y159" s="5"/>
      <c r="Z159" s="5"/>
    </row>
    <row r="160" spans="1:26" x14ac:dyDescent="0.3">
      <c r="A160" s="5">
        <v>2409452</v>
      </c>
      <c r="B160" s="15" t="s">
        <v>839</v>
      </c>
      <c r="C160" s="25">
        <v>45556</v>
      </c>
      <c r="D160" s="5" t="s">
        <v>19</v>
      </c>
      <c r="E160" s="5" t="s">
        <v>71</v>
      </c>
      <c r="F160" s="5" t="s">
        <v>14</v>
      </c>
      <c r="G160" s="5" t="e" vm="11">
        <v>#VALUE!</v>
      </c>
      <c r="H160" s="5">
        <v>10.53</v>
      </c>
      <c r="I160" s="5" t="s">
        <v>18</v>
      </c>
      <c r="J160" s="5"/>
      <c r="K160" s="11">
        <v>29700</v>
      </c>
      <c r="M160" s="5" t="s">
        <v>125</v>
      </c>
      <c r="N160" s="5" t="s">
        <v>73</v>
      </c>
      <c r="O160" s="5" t="s">
        <v>237</v>
      </c>
      <c r="P160" s="5">
        <v>18</v>
      </c>
      <c r="Q160" s="14" t="s">
        <v>364</v>
      </c>
      <c r="R160" s="14"/>
      <c r="S160" s="5" t="s">
        <v>840</v>
      </c>
      <c r="T160" s="20" t="s">
        <v>841</v>
      </c>
      <c r="U160" s="5" t="s">
        <v>842</v>
      </c>
      <c r="V160" s="21" t="s">
        <v>843</v>
      </c>
      <c r="W160" s="5" t="s">
        <v>122</v>
      </c>
      <c r="X160" s="5" t="s">
        <v>81</v>
      </c>
      <c r="Y160" s="5"/>
      <c r="Z160" s="5"/>
    </row>
    <row r="161" spans="1:26" x14ac:dyDescent="0.3">
      <c r="A161" s="5">
        <v>2409449</v>
      </c>
      <c r="B161" s="15" t="s">
        <v>844</v>
      </c>
      <c r="C161" s="25">
        <v>45561</v>
      </c>
      <c r="D161" s="5" t="s">
        <v>17</v>
      </c>
      <c r="E161" s="5" t="s">
        <v>71</v>
      </c>
      <c r="F161" s="5" t="s">
        <v>14</v>
      </c>
      <c r="G161" s="5" t="e" vm="12">
        <v>#VALUE!</v>
      </c>
      <c r="H161" s="5">
        <v>7.02</v>
      </c>
      <c r="I161" s="5" t="s">
        <v>18</v>
      </c>
      <c r="J161" s="5"/>
      <c r="K161" s="11">
        <v>24908</v>
      </c>
      <c r="M161" s="5" t="s">
        <v>176</v>
      </c>
      <c r="N161" s="5" t="s">
        <v>73</v>
      </c>
      <c r="O161" s="5" t="s">
        <v>237</v>
      </c>
      <c r="P161" s="5">
        <v>12</v>
      </c>
      <c r="Q161" s="5" t="s">
        <v>286</v>
      </c>
      <c r="R161" s="5"/>
      <c r="S161" s="5" t="s">
        <v>845</v>
      </c>
      <c r="T161" s="20" t="s">
        <v>846</v>
      </c>
      <c r="U161" s="5" t="s">
        <v>847</v>
      </c>
      <c r="V161" s="21" t="s">
        <v>848</v>
      </c>
      <c r="W161" s="5" t="s">
        <v>122</v>
      </c>
      <c r="X161" s="5" t="s">
        <v>81</v>
      </c>
      <c r="Y161" s="5"/>
      <c r="Z161" s="5"/>
    </row>
    <row r="162" spans="1:26" x14ac:dyDescent="0.3">
      <c r="A162" s="5" t="s">
        <v>849</v>
      </c>
      <c r="B162" s="15" t="s">
        <v>850</v>
      </c>
      <c r="C162" s="25">
        <v>45556</v>
      </c>
      <c r="D162" s="5" t="s">
        <v>17</v>
      </c>
      <c r="E162" s="5" t="s">
        <v>71</v>
      </c>
      <c r="F162" s="5" t="s">
        <v>14</v>
      </c>
      <c r="G162" s="5" t="e" vm="5">
        <v>#VALUE!</v>
      </c>
      <c r="H162" s="5">
        <v>11.7</v>
      </c>
      <c r="I162" s="5" t="s">
        <v>18</v>
      </c>
      <c r="J162" s="5"/>
      <c r="K162" s="11">
        <v>34600</v>
      </c>
      <c r="M162" s="5"/>
      <c r="N162" s="5" t="s">
        <v>73</v>
      </c>
      <c r="O162" s="5" t="s">
        <v>237</v>
      </c>
      <c r="P162" s="5">
        <v>20</v>
      </c>
      <c r="Q162" s="14" t="s">
        <v>111</v>
      </c>
      <c r="R162" s="14"/>
      <c r="S162" s="5" t="s">
        <v>851</v>
      </c>
      <c r="T162" s="20" t="s">
        <v>852</v>
      </c>
      <c r="U162" s="5" t="s">
        <v>853</v>
      </c>
      <c r="V162" s="21" t="s">
        <v>854</v>
      </c>
      <c r="W162" s="5" t="s">
        <v>122</v>
      </c>
      <c r="X162" s="5" t="s">
        <v>81</v>
      </c>
      <c r="Y162" s="5"/>
      <c r="Z162" s="5"/>
    </row>
    <row r="163" spans="1:26" x14ac:dyDescent="0.3">
      <c r="A163" s="5">
        <v>2406343</v>
      </c>
      <c r="B163" s="15" t="s">
        <v>855</v>
      </c>
      <c r="C163" s="25">
        <v>45562</v>
      </c>
      <c r="D163" s="5" t="s">
        <v>17</v>
      </c>
      <c r="E163" s="5" t="s">
        <v>71</v>
      </c>
      <c r="F163" s="5" t="s">
        <v>14</v>
      </c>
      <c r="G163" s="5" t="e" vm="6">
        <v>#VALUE!</v>
      </c>
      <c r="H163" s="5">
        <v>9.36</v>
      </c>
      <c r="I163" s="5" t="s">
        <v>18</v>
      </c>
      <c r="J163" s="5"/>
      <c r="K163" s="11">
        <v>30000</v>
      </c>
      <c r="M163" s="5"/>
      <c r="N163" s="5" t="s">
        <v>73</v>
      </c>
      <c r="O163" s="5" t="s">
        <v>237</v>
      </c>
      <c r="P163" s="5">
        <v>16</v>
      </c>
      <c r="Q163" s="14" t="s">
        <v>364</v>
      </c>
      <c r="R163" s="14"/>
      <c r="S163" s="5" t="s">
        <v>856</v>
      </c>
      <c r="T163" s="20" t="s">
        <v>857</v>
      </c>
      <c r="U163" s="5" t="s">
        <v>858</v>
      </c>
      <c r="V163" s="21" t="s">
        <v>859</v>
      </c>
      <c r="W163" s="5" t="s">
        <v>122</v>
      </c>
      <c r="X163" s="5" t="s">
        <v>81</v>
      </c>
      <c r="Y163" s="5"/>
      <c r="Z163" s="5"/>
    </row>
    <row r="164" spans="1:26" x14ac:dyDescent="0.3">
      <c r="A164" s="5">
        <v>2409455</v>
      </c>
      <c r="B164" s="15" t="s">
        <v>860</v>
      </c>
      <c r="C164" s="25">
        <v>45538</v>
      </c>
      <c r="D164" s="5" t="s">
        <v>17</v>
      </c>
      <c r="E164" s="5" t="s">
        <v>71</v>
      </c>
      <c r="F164" s="5" t="s">
        <v>14</v>
      </c>
      <c r="G164" s="5" t="e" vm="11">
        <v>#VALUE!</v>
      </c>
      <c r="H164" s="5">
        <v>7.02</v>
      </c>
      <c r="I164" s="5" t="s">
        <v>18</v>
      </c>
      <c r="J164" s="5"/>
      <c r="K164" s="11">
        <v>22800</v>
      </c>
      <c r="M164" s="5" t="s">
        <v>125</v>
      </c>
      <c r="N164" s="5" t="s">
        <v>73</v>
      </c>
      <c r="O164" s="5" t="s">
        <v>237</v>
      </c>
      <c r="P164" s="5">
        <v>12</v>
      </c>
      <c r="Q164" s="5" t="s">
        <v>286</v>
      </c>
      <c r="R164" s="5"/>
      <c r="S164" s="5" t="s">
        <v>861</v>
      </c>
      <c r="T164" s="20" t="s">
        <v>862</v>
      </c>
      <c r="U164" s="5" t="s">
        <v>863</v>
      </c>
      <c r="V164" s="21" t="s">
        <v>864</v>
      </c>
      <c r="W164" s="5" t="s">
        <v>109</v>
      </c>
      <c r="X164" s="5" t="s">
        <v>81</v>
      </c>
      <c r="Y164" s="5"/>
      <c r="Z164" s="5"/>
    </row>
    <row r="165" spans="1:26" x14ac:dyDescent="0.3">
      <c r="A165" s="5">
        <v>2410064</v>
      </c>
      <c r="B165" s="15" t="s">
        <v>865</v>
      </c>
      <c r="C165" s="25">
        <v>45573</v>
      </c>
      <c r="D165" s="5" t="s">
        <v>17</v>
      </c>
      <c r="E165" s="5" t="s">
        <v>71</v>
      </c>
      <c r="F165" s="5" t="s">
        <v>14</v>
      </c>
      <c r="G165" s="5" t="e" vm="5">
        <v>#VALUE!</v>
      </c>
      <c r="H165" s="5">
        <v>7.6050000000000004</v>
      </c>
      <c r="I165" s="5" t="s">
        <v>18</v>
      </c>
      <c r="J165" s="5"/>
      <c r="K165" s="11">
        <v>23940</v>
      </c>
      <c r="M165" s="5" t="s">
        <v>125</v>
      </c>
      <c r="N165" s="5" t="s">
        <v>73</v>
      </c>
      <c r="O165" s="5" t="s">
        <v>237</v>
      </c>
      <c r="P165" s="5">
        <v>13</v>
      </c>
      <c r="Q165" s="5" t="s">
        <v>309</v>
      </c>
      <c r="R165" s="5"/>
      <c r="S165" s="5" t="s">
        <v>866</v>
      </c>
      <c r="T165" s="20" t="s">
        <v>867</v>
      </c>
      <c r="U165" s="5" t="s">
        <v>868</v>
      </c>
      <c r="V165" s="21" t="s">
        <v>869</v>
      </c>
      <c r="W165" s="5" t="s">
        <v>122</v>
      </c>
      <c r="X165" s="5" t="s">
        <v>81</v>
      </c>
      <c r="Y165" s="5"/>
      <c r="Z165" s="5"/>
    </row>
    <row r="166" spans="1:26" x14ac:dyDescent="0.3">
      <c r="A166" s="5">
        <v>2405305</v>
      </c>
      <c r="B166" s="15" t="s">
        <v>870</v>
      </c>
      <c r="C166" s="25">
        <v>45583</v>
      </c>
      <c r="D166" s="5" t="s">
        <v>17</v>
      </c>
      <c r="E166" s="5" t="s">
        <v>71</v>
      </c>
      <c r="F166" s="5" t="s">
        <v>14</v>
      </c>
      <c r="G166" s="5" t="e" vm="5">
        <v>#VALUE!</v>
      </c>
      <c r="H166" s="5">
        <v>10.53</v>
      </c>
      <c r="I166" s="5" t="s">
        <v>18</v>
      </c>
      <c r="J166" s="5"/>
      <c r="K166" s="11">
        <v>32000</v>
      </c>
      <c r="M166" s="5" t="s">
        <v>125</v>
      </c>
      <c r="N166" s="5" t="s">
        <v>73</v>
      </c>
      <c r="O166" s="5" t="s">
        <v>237</v>
      </c>
      <c r="P166" s="5">
        <v>18</v>
      </c>
      <c r="Q166" s="5" t="s">
        <v>364</v>
      </c>
      <c r="R166" s="5"/>
      <c r="S166" s="5" t="s">
        <v>871</v>
      </c>
      <c r="T166" s="20" t="s">
        <v>872</v>
      </c>
      <c r="U166" s="5" t="s">
        <v>873</v>
      </c>
      <c r="V166" s="21" t="s">
        <v>874</v>
      </c>
      <c r="W166" s="5" t="s">
        <v>122</v>
      </c>
      <c r="X166" s="5" t="s">
        <v>81</v>
      </c>
      <c r="Y166" s="5"/>
      <c r="Z166" s="5"/>
    </row>
    <row r="167" spans="1:26" x14ac:dyDescent="0.3">
      <c r="A167" s="5">
        <v>2409456</v>
      </c>
      <c r="B167" s="15" t="s">
        <v>875</v>
      </c>
      <c r="C167" s="25">
        <v>45586</v>
      </c>
      <c r="D167" s="5" t="s">
        <v>17</v>
      </c>
      <c r="E167" s="5" t="s">
        <v>71</v>
      </c>
      <c r="F167" s="5" t="s">
        <v>14</v>
      </c>
      <c r="G167" s="5" t="e" vm="8">
        <v>#VALUE!</v>
      </c>
      <c r="H167" s="5">
        <v>11.115</v>
      </c>
      <c r="I167" s="5" t="s">
        <v>18</v>
      </c>
      <c r="J167" s="5"/>
      <c r="K167" s="11">
        <v>30000</v>
      </c>
      <c r="M167" s="5" t="s">
        <v>125</v>
      </c>
      <c r="N167" s="5" t="s">
        <v>73</v>
      </c>
      <c r="O167" s="5" t="s">
        <v>237</v>
      </c>
      <c r="P167" s="5">
        <v>19</v>
      </c>
      <c r="Q167" s="5" t="s">
        <v>111</v>
      </c>
      <c r="R167" s="5"/>
      <c r="S167" s="5" t="s">
        <v>876</v>
      </c>
      <c r="T167" s="20" t="s">
        <v>877</v>
      </c>
      <c r="U167" s="5" t="s">
        <v>878</v>
      </c>
      <c r="V167" s="21" t="s">
        <v>879</v>
      </c>
      <c r="W167" s="5" t="s">
        <v>122</v>
      </c>
      <c r="X167" s="5" t="s">
        <v>81</v>
      </c>
      <c r="Y167" s="5"/>
      <c r="Z167" s="5"/>
    </row>
    <row r="168" spans="1:26" x14ac:dyDescent="0.3">
      <c r="A168" s="5">
        <v>2410461</v>
      </c>
      <c r="B168" s="15" t="s">
        <v>880</v>
      </c>
      <c r="C168" s="25">
        <v>45586</v>
      </c>
      <c r="D168" s="5" t="s">
        <v>17</v>
      </c>
      <c r="E168" s="5" t="s">
        <v>71</v>
      </c>
      <c r="F168" s="5" t="s">
        <v>14</v>
      </c>
      <c r="G168" s="5" t="e" vm="8">
        <v>#VALUE!</v>
      </c>
      <c r="H168" s="5">
        <v>7.02</v>
      </c>
      <c r="I168" s="5" t="s">
        <v>18</v>
      </c>
      <c r="J168" s="5"/>
      <c r="K168" s="11">
        <v>23500</v>
      </c>
      <c r="M168" s="5" t="s">
        <v>125</v>
      </c>
      <c r="N168" s="5" t="s">
        <v>73</v>
      </c>
      <c r="O168" s="5" t="s">
        <v>237</v>
      </c>
      <c r="P168" s="5">
        <v>12</v>
      </c>
      <c r="Q168" s="5" t="s">
        <v>286</v>
      </c>
      <c r="R168" s="5"/>
      <c r="S168" s="5" t="s">
        <v>881</v>
      </c>
      <c r="T168" s="20" t="s">
        <v>882</v>
      </c>
      <c r="U168" s="5" t="s">
        <v>883</v>
      </c>
      <c r="V168" s="21" t="s">
        <v>879</v>
      </c>
      <c r="W168" s="5" t="s">
        <v>122</v>
      </c>
      <c r="X168" s="5" t="s">
        <v>81</v>
      </c>
      <c r="Y168" s="5"/>
      <c r="Z168" s="5"/>
    </row>
    <row r="169" spans="1:26" x14ac:dyDescent="0.3">
      <c r="A169" s="5">
        <v>2409029</v>
      </c>
      <c r="B169" s="15" t="s">
        <v>884</v>
      </c>
      <c r="C169" s="25">
        <v>45580</v>
      </c>
      <c r="D169" s="5" t="s">
        <v>20</v>
      </c>
      <c r="E169" s="5" t="s">
        <v>206</v>
      </c>
      <c r="F169" s="5" t="s">
        <v>18</v>
      </c>
      <c r="G169" s="5" t="e" vm="11">
        <v>#VALUE!</v>
      </c>
      <c r="H169" s="5">
        <v>0</v>
      </c>
      <c r="I169" s="5">
        <v>22</v>
      </c>
      <c r="J169" s="5"/>
      <c r="K169" s="11">
        <v>2643</v>
      </c>
      <c r="M169" s="5" t="s">
        <v>125</v>
      </c>
      <c r="N169" s="5" t="s">
        <v>73</v>
      </c>
      <c r="O169" s="5" t="s">
        <v>18</v>
      </c>
      <c r="P169" s="5" t="s">
        <v>18</v>
      </c>
      <c r="Q169" s="5" t="s">
        <v>18</v>
      </c>
      <c r="R169" s="5"/>
      <c r="S169" s="5" t="s">
        <v>18</v>
      </c>
      <c r="T169" s="20" t="s">
        <v>885</v>
      </c>
      <c r="U169" s="5" t="s">
        <v>18</v>
      </c>
      <c r="V169" s="5" t="s">
        <v>18</v>
      </c>
      <c r="W169" s="5" t="s">
        <v>109</v>
      </c>
      <c r="X169" s="5" t="s">
        <v>81</v>
      </c>
      <c r="Y169" s="5"/>
      <c r="Z169" s="5"/>
    </row>
    <row r="170" spans="1:26" x14ac:dyDescent="0.3">
      <c r="A170" s="5">
        <v>2410032</v>
      </c>
      <c r="B170" s="15" t="s">
        <v>886</v>
      </c>
      <c r="C170" s="25">
        <v>45589</v>
      </c>
      <c r="D170" s="5" t="s">
        <v>20</v>
      </c>
      <c r="E170" s="5" t="s">
        <v>206</v>
      </c>
      <c r="F170" s="5" t="s">
        <v>18</v>
      </c>
      <c r="G170" s="5" t="e" vm="12">
        <v>#VALUE!</v>
      </c>
      <c r="H170" s="5">
        <v>0</v>
      </c>
      <c r="I170" s="5">
        <v>120</v>
      </c>
      <c r="J170" s="5"/>
      <c r="K170" s="11">
        <v>38470</v>
      </c>
      <c r="M170" s="5" t="s">
        <v>125</v>
      </c>
      <c r="N170" s="5" t="s">
        <v>73</v>
      </c>
      <c r="O170" s="5" t="s">
        <v>18</v>
      </c>
      <c r="P170" s="5" t="s">
        <v>18</v>
      </c>
      <c r="Q170" s="5" t="s">
        <v>18</v>
      </c>
      <c r="R170" s="5"/>
      <c r="S170" s="5" t="s">
        <v>18</v>
      </c>
      <c r="T170" s="20" t="s">
        <v>887</v>
      </c>
      <c r="U170" s="5" t="s">
        <v>18</v>
      </c>
      <c r="V170" s="5" t="s">
        <v>18</v>
      </c>
      <c r="W170" s="5" t="s">
        <v>109</v>
      </c>
      <c r="X170" s="5" t="s">
        <v>81</v>
      </c>
      <c r="Y170" s="5"/>
      <c r="Z170" s="5"/>
    </row>
    <row r="171" spans="1:26" x14ac:dyDescent="0.3">
      <c r="A171" s="5" t="s">
        <v>888</v>
      </c>
      <c r="B171" s="20" t="s">
        <v>889</v>
      </c>
      <c r="C171" s="25">
        <v>45552</v>
      </c>
      <c r="D171" s="5" t="s">
        <v>17</v>
      </c>
      <c r="E171" s="5" t="s">
        <v>124</v>
      </c>
      <c r="F171" s="5" t="s">
        <v>14</v>
      </c>
      <c r="G171" s="5" t="e" vm="5">
        <v>#VALUE!</v>
      </c>
      <c r="H171" s="5">
        <v>109.395</v>
      </c>
      <c r="I171" s="5" t="s">
        <v>18</v>
      </c>
      <c r="J171" s="5"/>
      <c r="K171" s="11">
        <v>233000</v>
      </c>
      <c r="M171" s="5" t="s">
        <v>125</v>
      </c>
      <c r="N171" s="5" t="s">
        <v>73</v>
      </c>
      <c r="O171" s="5" t="s">
        <v>890</v>
      </c>
      <c r="P171" s="5">
        <v>187</v>
      </c>
      <c r="Q171" s="5" t="s">
        <v>891</v>
      </c>
      <c r="R171" s="5"/>
      <c r="S171" s="5" t="s">
        <v>18</v>
      </c>
      <c r="T171" s="20" t="s">
        <v>892</v>
      </c>
      <c r="W171" s="5" t="s">
        <v>122</v>
      </c>
      <c r="X171" s="5" t="s">
        <v>81</v>
      </c>
      <c r="Y171" s="5"/>
      <c r="Z171" s="5"/>
    </row>
    <row r="172" spans="1:26" x14ac:dyDescent="0.3">
      <c r="A172" s="5" t="s">
        <v>893</v>
      </c>
      <c r="B172" s="20" t="s">
        <v>894</v>
      </c>
      <c r="C172" s="25">
        <v>45553</v>
      </c>
      <c r="D172" s="5" t="s">
        <v>17</v>
      </c>
      <c r="E172" s="5" t="s">
        <v>124</v>
      </c>
      <c r="F172" s="5" t="s">
        <v>14</v>
      </c>
      <c r="G172" s="5" t="e" vm="5">
        <v>#VALUE!</v>
      </c>
      <c r="H172" s="5">
        <v>26.91</v>
      </c>
      <c r="I172" s="5" t="s">
        <v>18</v>
      </c>
      <c r="J172" s="5"/>
      <c r="K172" s="11">
        <v>71000</v>
      </c>
      <c r="M172" s="5" t="s">
        <v>125</v>
      </c>
      <c r="N172" s="5" t="s">
        <v>73</v>
      </c>
      <c r="O172" s="5" t="s">
        <v>890</v>
      </c>
      <c r="P172" s="5">
        <v>46</v>
      </c>
      <c r="Q172" s="5" t="s">
        <v>341</v>
      </c>
      <c r="R172" s="5"/>
      <c r="S172" s="5" t="s">
        <v>18</v>
      </c>
      <c r="T172" s="20" t="s">
        <v>895</v>
      </c>
      <c r="W172" s="5" t="s">
        <v>122</v>
      </c>
      <c r="X172" s="5" t="s">
        <v>81</v>
      </c>
      <c r="Y172" s="5"/>
      <c r="Z172" s="5"/>
    </row>
    <row r="173" spans="1:26" x14ac:dyDescent="0.3">
      <c r="A173" s="5" t="s">
        <v>896</v>
      </c>
      <c r="B173" s="20" t="s">
        <v>897</v>
      </c>
      <c r="C173" s="25">
        <v>45554</v>
      </c>
      <c r="D173" s="5" t="s">
        <v>17</v>
      </c>
      <c r="E173" s="5" t="s">
        <v>124</v>
      </c>
      <c r="F173" s="5" t="s">
        <v>14</v>
      </c>
      <c r="G173" s="5" t="e" vm="5">
        <v>#VALUE!</v>
      </c>
      <c r="H173" s="5">
        <v>67.275000000000006</v>
      </c>
      <c r="I173" s="5" t="s">
        <v>18</v>
      </c>
      <c r="J173" s="5"/>
      <c r="K173" s="11">
        <v>136000</v>
      </c>
      <c r="M173" s="5" t="s">
        <v>125</v>
      </c>
      <c r="N173" s="5" t="s">
        <v>73</v>
      </c>
      <c r="O173" s="5" t="s">
        <v>890</v>
      </c>
      <c r="P173" s="5">
        <v>115</v>
      </c>
      <c r="Q173" s="5" t="s">
        <v>898</v>
      </c>
      <c r="R173" s="5"/>
      <c r="S173" s="5" t="s">
        <v>18</v>
      </c>
      <c r="T173" s="20" t="s">
        <v>899</v>
      </c>
      <c r="W173" s="5" t="s">
        <v>122</v>
      </c>
      <c r="X173" s="5" t="s">
        <v>81</v>
      </c>
      <c r="Y173" s="5"/>
      <c r="Z173" s="5"/>
    </row>
    <row r="174" spans="1:26" x14ac:dyDescent="0.3">
      <c r="A174" s="5">
        <v>2408174</v>
      </c>
      <c r="B174" s="20" t="s">
        <v>900</v>
      </c>
      <c r="C174" s="25">
        <v>45583</v>
      </c>
      <c r="D174" s="5" t="s">
        <v>17</v>
      </c>
      <c r="E174" s="5" t="s">
        <v>124</v>
      </c>
      <c r="F174" s="5" t="s">
        <v>14</v>
      </c>
      <c r="G174" s="5" t="e" vm="8">
        <v>#VALUE!</v>
      </c>
      <c r="H174" s="5">
        <v>120.95</v>
      </c>
      <c r="I174" s="5" t="s">
        <v>18</v>
      </c>
      <c r="J174" s="5"/>
      <c r="K174" s="11">
        <v>269900</v>
      </c>
      <c r="M174" s="5" t="s">
        <v>125</v>
      </c>
      <c r="N174" s="5" t="s">
        <v>73</v>
      </c>
      <c r="O174" s="5" t="s">
        <v>243</v>
      </c>
      <c r="P174" s="5">
        <v>205</v>
      </c>
      <c r="Q174" s="5" t="s">
        <v>901</v>
      </c>
      <c r="R174" s="5"/>
      <c r="S174" s="5" t="s">
        <v>18</v>
      </c>
      <c r="W174" s="5" t="s">
        <v>122</v>
      </c>
      <c r="X174" s="5" t="s">
        <v>81</v>
      </c>
      <c r="Y174" s="5"/>
      <c r="Z174" s="5"/>
    </row>
    <row r="175" spans="1:26" x14ac:dyDescent="0.3">
      <c r="A175" s="5">
        <v>2408179</v>
      </c>
      <c r="B175" s="20" t="s">
        <v>902</v>
      </c>
      <c r="C175" s="25">
        <v>45562</v>
      </c>
      <c r="D175" s="5" t="s">
        <v>17</v>
      </c>
      <c r="E175" s="5" t="s">
        <v>124</v>
      </c>
      <c r="F175" s="5" t="s">
        <v>14</v>
      </c>
      <c r="G175" s="5" t="e" vm="5">
        <v>#VALUE!</v>
      </c>
      <c r="H175" s="5">
        <v>107.64</v>
      </c>
      <c r="I175" s="5" t="s">
        <v>18</v>
      </c>
      <c r="J175" s="5"/>
      <c r="K175" s="11">
        <v>320000</v>
      </c>
      <c r="M175" s="5" t="s">
        <v>125</v>
      </c>
      <c r="N175" s="5" t="s">
        <v>73</v>
      </c>
      <c r="O175" s="5" t="s">
        <v>237</v>
      </c>
      <c r="P175" s="5">
        <v>184</v>
      </c>
      <c r="Q175" s="5" t="s">
        <v>903</v>
      </c>
      <c r="R175" s="5"/>
      <c r="S175" s="5" t="s">
        <v>18</v>
      </c>
      <c r="T175" s="20" t="s">
        <v>904</v>
      </c>
      <c r="W175" s="5" t="s">
        <v>122</v>
      </c>
      <c r="X175" s="5" t="s">
        <v>81</v>
      </c>
      <c r="Y175" s="5"/>
      <c r="Z175" s="5" t="s">
        <v>905</v>
      </c>
    </row>
    <row r="176" spans="1:26" x14ac:dyDescent="0.3">
      <c r="A176" s="5">
        <v>2409185</v>
      </c>
      <c r="B176" s="20" t="s">
        <v>906</v>
      </c>
      <c r="C176" s="25">
        <v>45565</v>
      </c>
      <c r="D176" s="5" t="s">
        <v>17</v>
      </c>
      <c r="E176" s="5" t="s">
        <v>124</v>
      </c>
      <c r="F176" s="5" t="s">
        <v>14</v>
      </c>
      <c r="G176" s="5" t="e" vm="5">
        <v>#VALUE!</v>
      </c>
      <c r="H176" s="5">
        <v>26.55</v>
      </c>
      <c r="I176" s="5" t="s">
        <v>18</v>
      </c>
      <c r="J176" s="5"/>
      <c r="K176" s="11">
        <v>73000</v>
      </c>
      <c r="M176" s="5" t="s">
        <v>125</v>
      </c>
      <c r="N176" s="5" t="s">
        <v>73</v>
      </c>
      <c r="O176" s="5" t="s">
        <v>243</v>
      </c>
      <c r="P176" s="5">
        <v>45</v>
      </c>
      <c r="Q176" s="5" t="s">
        <v>341</v>
      </c>
      <c r="R176" s="5"/>
      <c r="S176" s="5" t="s">
        <v>18</v>
      </c>
      <c r="T176" s="20" t="s">
        <v>907</v>
      </c>
      <c r="W176" s="5" t="s">
        <v>122</v>
      </c>
      <c r="X176" s="5" t="s">
        <v>81</v>
      </c>
      <c r="Y176" s="5"/>
      <c r="Z176" s="5" t="s">
        <v>269</v>
      </c>
    </row>
    <row r="177" spans="1:26" x14ac:dyDescent="0.3">
      <c r="A177" s="5">
        <v>2410196</v>
      </c>
      <c r="B177" s="20" t="s">
        <v>908</v>
      </c>
      <c r="C177" s="25">
        <v>45589</v>
      </c>
      <c r="D177" s="5" t="s">
        <v>17</v>
      </c>
      <c r="E177" s="5" t="s">
        <v>124</v>
      </c>
      <c r="F177" s="5" t="s">
        <v>14</v>
      </c>
      <c r="G177" s="5" t="e" vm="5">
        <v>#VALUE!</v>
      </c>
      <c r="H177" s="5">
        <v>26.55</v>
      </c>
      <c r="I177" s="5" t="s">
        <v>18</v>
      </c>
      <c r="J177" s="5"/>
      <c r="K177" s="11">
        <v>73000</v>
      </c>
      <c r="M177" s="5" t="s">
        <v>125</v>
      </c>
      <c r="N177" s="5" t="s">
        <v>73</v>
      </c>
      <c r="O177" s="5" t="s">
        <v>243</v>
      </c>
      <c r="P177" s="5">
        <v>45</v>
      </c>
      <c r="Q177" s="5" t="s">
        <v>341</v>
      </c>
      <c r="R177" s="5"/>
      <c r="T177" s="20" t="s">
        <v>909</v>
      </c>
      <c r="W177" s="5" t="s">
        <v>122</v>
      </c>
      <c r="X177" s="5" t="s">
        <v>81</v>
      </c>
      <c r="Y177" s="5"/>
      <c r="Z177" s="5" t="s">
        <v>269</v>
      </c>
    </row>
    <row r="178" spans="1:26" x14ac:dyDescent="0.3">
      <c r="A178" s="5">
        <v>2410474</v>
      </c>
      <c r="B178" s="20" t="s">
        <v>910</v>
      </c>
      <c r="C178" s="25">
        <v>45597</v>
      </c>
      <c r="D178" s="5" t="s">
        <v>17</v>
      </c>
      <c r="E178" s="5" t="s">
        <v>71</v>
      </c>
      <c r="F178" s="5" t="s">
        <v>14</v>
      </c>
      <c r="G178" s="5" t="e" vm="5">
        <v>#VALUE!</v>
      </c>
      <c r="H178" s="5">
        <v>14.04</v>
      </c>
      <c r="I178" s="5" t="s">
        <v>18</v>
      </c>
      <c r="J178" s="5"/>
      <c r="K178" s="11">
        <v>37600</v>
      </c>
      <c r="M178" s="5" t="s">
        <v>125</v>
      </c>
      <c r="N178" s="5" t="s">
        <v>73</v>
      </c>
      <c r="O178" s="5" t="s">
        <v>237</v>
      </c>
      <c r="P178" s="5">
        <v>24</v>
      </c>
      <c r="Q178" s="5" t="s">
        <v>143</v>
      </c>
      <c r="R178" s="5"/>
      <c r="S178" s="5" t="s">
        <v>911</v>
      </c>
      <c r="T178" s="20" t="s">
        <v>912</v>
      </c>
      <c r="U178" s="5" t="s">
        <v>913</v>
      </c>
      <c r="V178" s="20" t="s">
        <v>914</v>
      </c>
      <c r="W178" s="5" t="s">
        <v>122</v>
      </c>
      <c r="X178" s="5" t="s">
        <v>81</v>
      </c>
      <c r="Y178" s="5"/>
      <c r="Z178" s="5" t="s">
        <v>269</v>
      </c>
    </row>
    <row r="179" spans="1:26" x14ac:dyDescent="0.3">
      <c r="A179" s="5">
        <v>2410468</v>
      </c>
      <c r="B179" s="20" t="s">
        <v>915</v>
      </c>
      <c r="C179" s="25">
        <v>45590</v>
      </c>
      <c r="D179" s="5" t="s">
        <v>17</v>
      </c>
      <c r="E179" s="5" t="s">
        <v>71</v>
      </c>
      <c r="F179" s="5" t="s">
        <v>14</v>
      </c>
      <c r="G179" s="5" t="e" vm="12">
        <v>#VALUE!</v>
      </c>
      <c r="H179" s="5">
        <v>11.7</v>
      </c>
      <c r="I179" s="5" t="s">
        <v>18</v>
      </c>
      <c r="J179" s="5"/>
      <c r="K179" s="11">
        <v>36600</v>
      </c>
      <c r="M179" s="5" t="s">
        <v>125</v>
      </c>
      <c r="N179" s="5" t="s">
        <v>73</v>
      </c>
      <c r="O179" s="5" t="s">
        <v>237</v>
      </c>
      <c r="P179" s="5">
        <v>20</v>
      </c>
      <c r="Q179" s="5" t="s">
        <v>111</v>
      </c>
      <c r="R179" s="5"/>
      <c r="S179" s="5" t="s">
        <v>916</v>
      </c>
      <c r="T179" s="20" t="s">
        <v>917</v>
      </c>
      <c r="U179" s="5" t="s">
        <v>918</v>
      </c>
      <c r="V179" s="21" t="s">
        <v>919</v>
      </c>
      <c r="W179" s="5" t="s">
        <v>122</v>
      </c>
      <c r="X179" s="5" t="s">
        <v>81</v>
      </c>
      <c r="Y179" s="5"/>
      <c r="Z179" s="5" t="s">
        <v>269</v>
      </c>
    </row>
    <row r="180" spans="1:26" x14ac:dyDescent="0.3">
      <c r="A180" s="5">
        <v>2409450</v>
      </c>
      <c r="B180" s="20" t="s">
        <v>920</v>
      </c>
      <c r="C180" s="25">
        <v>45591</v>
      </c>
      <c r="D180" s="5" t="s">
        <v>17</v>
      </c>
      <c r="E180" s="5" t="s">
        <v>71</v>
      </c>
      <c r="F180" s="5" t="s">
        <v>14</v>
      </c>
      <c r="G180" s="5" t="e" vm="5">
        <v>#VALUE!</v>
      </c>
      <c r="H180" s="5">
        <v>7.02</v>
      </c>
      <c r="I180" s="5" t="s">
        <v>18</v>
      </c>
      <c r="J180" s="5"/>
      <c r="K180" s="11">
        <v>23500</v>
      </c>
      <c r="M180" s="5" t="s">
        <v>125</v>
      </c>
      <c r="N180" s="5" t="s">
        <v>73</v>
      </c>
      <c r="O180" s="5" t="s">
        <v>237</v>
      </c>
      <c r="P180" s="5">
        <v>12</v>
      </c>
      <c r="Q180" s="5" t="s">
        <v>286</v>
      </c>
      <c r="R180" s="5"/>
      <c r="S180" s="5" t="s">
        <v>921</v>
      </c>
      <c r="T180" s="20" t="s">
        <v>922</v>
      </c>
      <c r="U180" s="5" t="s">
        <v>923</v>
      </c>
      <c r="V180" s="21" t="s">
        <v>924</v>
      </c>
      <c r="W180" s="5" t="s">
        <v>122</v>
      </c>
      <c r="X180" s="5" t="s">
        <v>81</v>
      </c>
      <c r="Y180" s="5"/>
      <c r="Z180" s="5"/>
    </row>
    <row r="181" spans="1:26" x14ac:dyDescent="0.3">
      <c r="A181" s="5">
        <v>2411488</v>
      </c>
      <c r="B181" s="20" t="s">
        <v>925</v>
      </c>
      <c r="C181" s="25">
        <v>45600</v>
      </c>
      <c r="D181" s="5" t="s">
        <v>19</v>
      </c>
      <c r="E181" s="5" t="s">
        <v>71</v>
      </c>
      <c r="F181" s="5" t="s">
        <v>14</v>
      </c>
      <c r="G181" s="5" t="e" vm="5">
        <v>#VALUE!</v>
      </c>
      <c r="H181" s="5">
        <v>10.53</v>
      </c>
      <c r="I181" s="5" t="s">
        <v>18</v>
      </c>
      <c r="J181" s="5"/>
      <c r="K181" s="11">
        <v>32000</v>
      </c>
      <c r="M181" s="5" t="s">
        <v>125</v>
      </c>
      <c r="N181" s="5" t="s">
        <v>73</v>
      </c>
      <c r="O181" s="5" t="s">
        <v>237</v>
      </c>
      <c r="P181" s="5">
        <v>18</v>
      </c>
      <c r="Q181" s="14" t="s">
        <v>364</v>
      </c>
      <c r="R181" s="5"/>
      <c r="S181" s="5" t="s">
        <v>926</v>
      </c>
      <c r="T181" s="20" t="s">
        <v>927</v>
      </c>
      <c r="U181" s="5" t="s">
        <v>928</v>
      </c>
      <c r="V181" s="20" t="s">
        <v>929</v>
      </c>
      <c r="W181" s="5" t="s">
        <v>122</v>
      </c>
      <c r="X181" s="5" t="s">
        <v>81</v>
      </c>
      <c r="Y181" s="5"/>
      <c r="Z181" s="5"/>
    </row>
    <row r="182" spans="1:26" x14ac:dyDescent="0.3">
      <c r="A182" s="5">
        <v>2411487</v>
      </c>
      <c r="B182" s="20" t="s">
        <v>930</v>
      </c>
      <c r="C182" s="25">
        <v>45600</v>
      </c>
      <c r="D182" s="5" t="s">
        <v>17</v>
      </c>
      <c r="E182" s="5" t="s">
        <v>71</v>
      </c>
      <c r="F182" s="5" t="s">
        <v>14</v>
      </c>
      <c r="G182" s="5" t="e" vm="5">
        <v>#VALUE!</v>
      </c>
      <c r="H182" s="5">
        <v>15.21</v>
      </c>
      <c r="I182" s="5" t="s">
        <v>18</v>
      </c>
      <c r="J182" s="5"/>
      <c r="K182" s="11">
        <v>42200</v>
      </c>
      <c r="M182" s="5" t="s">
        <v>125</v>
      </c>
      <c r="N182" s="5" t="s">
        <v>73</v>
      </c>
      <c r="O182" s="5" t="s">
        <v>237</v>
      </c>
      <c r="P182" s="5">
        <v>26</v>
      </c>
      <c r="Q182" s="5" t="s">
        <v>143</v>
      </c>
      <c r="R182" s="5"/>
      <c r="S182" s="5" t="s">
        <v>931</v>
      </c>
      <c r="T182" s="20" t="s">
        <v>932</v>
      </c>
      <c r="U182" s="5" t="s">
        <v>933</v>
      </c>
      <c r="V182" s="21" t="s">
        <v>934</v>
      </c>
      <c r="W182" s="5" t="s">
        <v>122</v>
      </c>
      <c r="X182" s="5" t="s">
        <v>81</v>
      </c>
      <c r="Y182" s="5"/>
      <c r="Z182" s="5" t="s">
        <v>269</v>
      </c>
    </row>
    <row r="183" spans="1:26" x14ac:dyDescent="0.3">
      <c r="A183" s="5">
        <v>2410476</v>
      </c>
      <c r="B183" s="20" t="s">
        <v>935</v>
      </c>
      <c r="C183" s="25">
        <v>45599</v>
      </c>
      <c r="D183" s="5" t="s">
        <v>17</v>
      </c>
      <c r="E183" s="5" t="s">
        <v>71</v>
      </c>
      <c r="F183" s="5" t="s">
        <v>14</v>
      </c>
      <c r="G183" s="5" t="e" vm="8">
        <v>#VALUE!</v>
      </c>
      <c r="H183" s="5">
        <v>7.02</v>
      </c>
      <c r="I183" s="5" t="s">
        <v>18</v>
      </c>
      <c r="J183" s="5"/>
      <c r="K183" s="11">
        <v>23500</v>
      </c>
      <c r="M183" s="5" t="s">
        <v>125</v>
      </c>
      <c r="N183" s="5" t="s">
        <v>73</v>
      </c>
      <c r="O183" s="5" t="s">
        <v>237</v>
      </c>
      <c r="P183" s="5">
        <v>12</v>
      </c>
      <c r="Q183" s="5" t="s">
        <v>286</v>
      </c>
      <c r="R183" s="5"/>
      <c r="S183" s="5" t="s">
        <v>936</v>
      </c>
      <c r="T183" s="20" t="s">
        <v>937</v>
      </c>
      <c r="U183" s="5" t="s">
        <v>938</v>
      </c>
      <c r="V183" s="21" t="s">
        <v>939</v>
      </c>
      <c r="W183" s="5" t="s">
        <v>122</v>
      </c>
      <c r="X183" s="5" t="s">
        <v>81</v>
      </c>
      <c r="Y183" s="5"/>
      <c r="Z183" s="5" t="s">
        <v>269</v>
      </c>
    </row>
    <row r="184" spans="1:26" x14ac:dyDescent="0.3">
      <c r="A184" s="5">
        <v>2407376</v>
      </c>
      <c r="B184" s="20" t="s">
        <v>940</v>
      </c>
      <c r="C184" s="25">
        <v>45500</v>
      </c>
      <c r="D184" s="5" t="s">
        <v>19</v>
      </c>
      <c r="E184" s="5" t="s">
        <v>71</v>
      </c>
      <c r="F184" s="5" t="s">
        <v>14</v>
      </c>
      <c r="G184" s="5" t="e" vm="11">
        <v>#VALUE!</v>
      </c>
      <c r="H184" s="5">
        <v>10.53</v>
      </c>
      <c r="I184" s="5" t="s">
        <v>18</v>
      </c>
      <c r="J184" s="5"/>
      <c r="K184" s="11">
        <v>37768</v>
      </c>
      <c r="M184" s="5" t="s">
        <v>176</v>
      </c>
      <c r="N184" s="5" t="s">
        <v>73</v>
      </c>
      <c r="O184" s="5" t="s">
        <v>237</v>
      </c>
      <c r="P184" s="5">
        <v>18</v>
      </c>
      <c r="Q184" s="14" t="s">
        <v>364</v>
      </c>
      <c r="R184" s="5"/>
      <c r="S184" s="5" t="s">
        <v>941</v>
      </c>
      <c r="T184" s="20" t="s">
        <v>942</v>
      </c>
      <c r="U184" s="5" t="s">
        <v>943</v>
      </c>
      <c r="V184" s="20" t="s">
        <v>944</v>
      </c>
      <c r="W184" s="5" t="s">
        <v>80</v>
      </c>
      <c r="X184" s="5" t="s">
        <v>81</v>
      </c>
      <c r="Y184" s="5"/>
      <c r="Z184" s="5"/>
    </row>
    <row r="185" spans="1:26" x14ac:dyDescent="0.3">
      <c r="A185" s="5">
        <v>2410482</v>
      </c>
      <c r="B185" s="20" t="s">
        <v>945</v>
      </c>
      <c r="C185" s="25">
        <v>45596</v>
      </c>
      <c r="D185" s="5" t="s">
        <v>17</v>
      </c>
      <c r="E185" s="5" t="s">
        <v>71</v>
      </c>
      <c r="F185" s="5" t="s">
        <v>14</v>
      </c>
      <c r="G185" s="5" t="e" vm="5">
        <v>#VALUE!</v>
      </c>
      <c r="H185" s="5">
        <v>8.7750000000000004</v>
      </c>
      <c r="I185" s="5" t="s">
        <v>18</v>
      </c>
      <c r="J185" s="5"/>
      <c r="K185" s="11">
        <v>28500</v>
      </c>
      <c r="M185" s="5" t="s">
        <v>125</v>
      </c>
      <c r="N185" s="5" t="s">
        <v>73</v>
      </c>
      <c r="O185" s="5" t="s">
        <v>237</v>
      </c>
      <c r="P185" s="5">
        <v>15</v>
      </c>
      <c r="Q185" s="14" t="s">
        <v>364</v>
      </c>
      <c r="R185" s="5"/>
      <c r="S185" s="5" t="s">
        <v>946</v>
      </c>
      <c r="T185" s="20" t="s">
        <v>947</v>
      </c>
      <c r="U185" s="5" t="s">
        <v>948</v>
      </c>
      <c r="V185" s="20" t="s">
        <v>949</v>
      </c>
      <c r="W185" s="5" t="s">
        <v>122</v>
      </c>
      <c r="X185" s="5" t="s">
        <v>81</v>
      </c>
      <c r="Y185" s="5"/>
      <c r="Z185" s="5"/>
    </row>
    <row r="186" spans="1:26" x14ac:dyDescent="0.3">
      <c r="A186" s="5">
        <v>2410471</v>
      </c>
      <c r="B186" s="20" t="s">
        <v>950</v>
      </c>
      <c r="C186" s="25">
        <v>45576</v>
      </c>
      <c r="D186" s="5" t="s">
        <v>19</v>
      </c>
      <c r="E186" s="5" t="s">
        <v>71</v>
      </c>
      <c r="F186" s="5" t="s">
        <v>14</v>
      </c>
      <c r="G186" s="5" t="e" vm="11">
        <v>#VALUE!</v>
      </c>
      <c r="H186" s="5">
        <v>17.55</v>
      </c>
      <c r="I186" s="5" t="s">
        <v>18</v>
      </c>
      <c r="J186" s="5"/>
      <c r="K186" s="11">
        <v>47600</v>
      </c>
      <c r="M186" s="5" t="s">
        <v>125</v>
      </c>
      <c r="N186" s="5" t="s">
        <v>73</v>
      </c>
      <c r="O186" s="5" t="s">
        <v>237</v>
      </c>
      <c r="P186" s="5">
        <v>30</v>
      </c>
      <c r="Q186" s="5" t="s">
        <v>143</v>
      </c>
      <c r="R186" s="5"/>
      <c r="S186" s="5" t="s">
        <v>951</v>
      </c>
      <c r="T186" s="20" t="s">
        <v>952</v>
      </c>
      <c r="U186" s="5" t="s">
        <v>953</v>
      </c>
      <c r="V186" s="20" t="s">
        <v>425</v>
      </c>
      <c r="W186" s="5" t="s">
        <v>122</v>
      </c>
      <c r="X186" s="5" t="s">
        <v>81</v>
      </c>
      <c r="Y186" s="5"/>
      <c r="Z186" s="5" t="s">
        <v>954</v>
      </c>
    </row>
    <row r="187" spans="1:26" x14ac:dyDescent="0.3">
      <c r="A187" s="5">
        <v>2411489</v>
      </c>
      <c r="B187" s="20" t="s">
        <v>955</v>
      </c>
      <c r="C187" s="25">
        <v>45622</v>
      </c>
      <c r="D187" s="5" t="s">
        <v>17</v>
      </c>
      <c r="E187" s="5" t="s">
        <v>71</v>
      </c>
      <c r="F187" s="5" t="s">
        <v>14</v>
      </c>
      <c r="G187" s="5" t="e" vm="5">
        <v>#VALUE!</v>
      </c>
      <c r="H187" s="5">
        <v>14.04</v>
      </c>
      <c r="I187" s="5" t="s">
        <v>18</v>
      </c>
      <c r="J187" s="5"/>
      <c r="K187" s="11">
        <v>39980</v>
      </c>
      <c r="M187" s="5"/>
      <c r="N187" s="5" t="s">
        <v>73</v>
      </c>
      <c r="O187" s="5" t="s">
        <v>237</v>
      </c>
      <c r="P187" s="5">
        <v>24</v>
      </c>
      <c r="Q187" s="5" t="s">
        <v>143</v>
      </c>
      <c r="R187" s="5"/>
      <c r="S187" s="5" t="s">
        <v>956</v>
      </c>
      <c r="T187" s="20" t="s">
        <v>957</v>
      </c>
      <c r="U187" s="5" t="s">
        <v>958</v>
      </c>
      <c r="V187" s="21" t="s">
        <v>959</v>
      </c>
      <c r="W187" s="5" t="s">
        <v>122</v>
      </c>
      <c r="X187" s="5" t="s">
        <v>81</v>
      </c>
      <c r="Y187" s="5"/>
      <c r="Z187" s="5" t="s">
        <v>269</v>
      </c>
    </row>
    <row r="188" spans="1:26" x14ac:dyDescent="0.3">
      <c r="A188" s="5">
        <v>2411486</v>
      </c>
      <c r="B188" s="20" t="s">
        <v>960</v>
      </c>
      <c r="C188" s="25">
        <v>45628</v>
      </c>
      <c r="D188" s="5" t="s">
        <v>17</v>
      </c>
      <c r="E188" s="5" t="s">
        <v>71</v>
      </c>
      <c r="F188" s="5" t="s">
        <v>14</v>
      </c>
      <c r="G188" s="5" t="e" vm="5">
        <v>#VALUE!</v>
      </c>
      <c r="H188" s="5">
        <v>13.455</v>
      </c>
      <c r="I188" s="5" t="s">
        <v>18</v>
      </c>
      <c r="J188" s="5"/>
      <c r="K188" s="11">
        <v>36600</v>
      </c>
      <c r="M188" s="5" t="s">
        <v>125</v>
      </c>
      <c r="N188" s="5" t="s">
        <v>73</v>
      </c>
      <c r="O188" s="5" t="s">
        <v>237</v>
      </c>
      <c r="P188" s="5">
        <v>23</v>
      </c>
      <c r="Q188" s="14" t="s">
        <v>111</v>
      </c>
      <c r="R188" s="5"/>
      <c r="S188" s="5" t="s">
        <v>961</v>
      </c>
      <c r="T188" s="20" t="s">
        <v>962</v>
      </c>
      <c r="U188" s="5" t="s">
        <v>963</v>
      </c>
      <c r="V188" s="20" t="s">
        <v>964</v>
      </c>
      <c r="W188" s="5" t="s">
        <v>965</v>
      </c>
      <c r="X188" s="5" t="s">
        <v>81</v>
      </c>
      <c r="Y188" s="5"/>
      <c r="Z188" s="5"/>
    </row>
    <row r="189" spans="1:26" x14ac:dyDescent="0.3">
      <c r="A189" s="5">
        <v>2411500</v>
      </c>
      <c r="B189" s="20" t="s">
        <v>966</v>
      </c>
      <c r="C189" s="25">
        <v>45628</v>
      </c>
      <c r="D189" s="5" t="s">
        <v>17</v>
      </c>
      <c r="E189" s="5" t="s">
        <v>71</v>
      </c>
      <c r="F189" s="5" t="s">
        <v>14</v>
      </c>
      <c r="G189" s="5" t="e" vm="5">
        <v>#VALUE!</v>
      </c>
      <c r="H189" s="5">
        <v>14.16</v>
      </c>
      <c r="I189" s="5" t="s">
        <v>18</v>
      </c>
      <c r="J189" s="5"/>
      <c r="K189" s="11">
        <v>37600</v>
      </c>
      <c r="M189" s="5" t="s">
        <v>125</v>
      </c>
      <c r="N189" s="5" t="s">
        <v>73</v>
      </c>
      <c r="O189" s="5" t="s">
        <v>243</v>
      </c>
      <c r="P189" s="5">
        <v>24</v>
      </c>
      <c r="Q189" s="5" t="s">
        <v>143</v>
      </c>
      <c r="R189" s="5"/>
      <c r="S189" s="5" t="s">
        <v>967</v>
      </c>
      <c r="T189" s="20" t="s">
        <v>968</v>
      </c>
      <c r="U189" s="5" t="s">
        <v>969</v>
      </c>
      <c r="V189" s="21" t="s">
        <v>970</v>
      </c>
      <c r="W189" s="5" t="s">
        <v>965</v>
      </c>
      <c r="X189" s="5" t="s">
        <v>81</v>
      </c>
      <c r="Y189" s="5"/>
      <c r="Z189" s="5"/>
    </row>
    <row r="190" spans="1:26" x14ac:dyDescent="0.3">
      <c r="A190" s="5">
        <v>2410034</v>
      </c>
      <c r="B190" s="20" t="s">
        <v>971</v>
      </c>
      <c r="C190" s="25">
        <v>45621</v>
      </c>
      <c r="D190" s="5" t="s">
        <v>19</v>
      </c>
      <c r="E190" s="5" t="s">
        <v>206</v>
      </c>
      <c r="F190" s="5" t="s">
        <v>18</v>
      </c>
      <c r="G190" s="5" t="e" vm="5">
        <v>#VALUE!</v>
      </c>
      <c r="H190" s="5">
        <v>0</v>
      </c>
      <c r="I190" s="5">
        <v>47</v>
      </c>
      <c r="J190" s="5"/>
      <c r="K190" s="11">
        <v>4150</v>
      </c>
      <c r="M190" s="5" t="s">
        <v>125</v>
      </c>
      <c r="N190" s="5" t="s">
        <v>73</v>
      </c>
      <c r="O190" s="5" t="s">
        <v>18</v>
      </c>
      <c r="P190" s="5" t="s">
        <v>18</v>
      </c>
      <c r="Q190" s="5" t="s">
        <v>18</v>
      </c>
      <c r="R190" s="5"/>
      <c r="S190" s="5" t="s">
        <v>18</v>
      </c>
      <c r="T190" s="20" t="s">
        <v>972</v>
      </c>
      <c r="U190" s="5" t="s">
        <v>18</v>
      </c>
      <c r="V190" s="20" t="s">
        <v>18</v>
      </c>
      <c r="W190" s="5" t="s">
        <v>109</v>
      </c>
      <c r="X190" s="5" t="s">
        <v>81</v>
      </c>
      <c r="Y190" s="5"/>
      <c r="Z190" s="5"/>
    </row>
    <row r="191" spans="1:26" x14ac:dyDescent="0.3">
      <c r="A191" s="5">
        <v>2411494</v>
      </c>
      <c r="B191" s="20" t="s">
        <v>973</v>
      </c>
      <c r="C191" s="25">
        <v>45622</v>
      </c>
      <c r="D191" s="5" t="s">
        <v>19</v>
      </c>
      <c r="E191" s="5" t="s">
        <v>71</v>
      </c>
      <c r="F191" s="5" t="s">
        <v>14</v>
      </c>
      <c r="G191" s="5" t="e" vm="11">
        <v>#VALUE!</v>
      </c>
      <c r="H191" s="5">
        <v>17.55</v>
      </c>
      <c r="I191" s="5" t="s">
        <v>18</v>
      </c>
      <c r="J191" s="5"/>
      <c r="K191" s="11">
        <v>60000</v>
      </c>
      <c r="M191" s="5" t="s">
        <v>125</v>
      </c>
      <c r="N191" s="5" t="s">
        <v>73</v>
      </c>
      <c r="O191" s="5" t="s">
        <v>237</v>
      </c>
      <c r="P191" s="5">
        <v>30</v>
      </c>
      <c r="Q191" s="5" t="s">
        <v>143</v>
      </c>
      <c r="R191" s="5"/>
      <c r="S191" s="5" t="s">
        <v>974</v>
      </c>
      <c r="T191" s="20" t="s">
        <v>975</v>
      </c>
      <c r="U191" s="5" t="s">
        <v>976</v>
      </c>
      <c r="V191" s="20" t="s">
        <v>977</v>
      </c>
      <c r="W191" s="5" t="s">
        <v>109</v>
      </c>
      <c r="X191" s="5" t="s">
        <v>81</v>
      </c>
      <c r="Y191" s="5"/>
      <c r="Z191" s="5"/>
    </row>
    <row r="192" spans="1:26" x14ac:dyDescent="0.3">
      <c r="A192" s="5">
        <v>2411496</v>
      </c>
      <c r="B192" s="20" t="s">
        <v>978</v>
      </c>
      <c r="C192" s="25">
        <v>45622</v>
      </c>
      <c r="D192" s="5" t="s">
        <v>17</v>
      </c>
      <c r="E192" s="5" t="s">
        <v>71</v>
      </c>
      <c r="F192" s="5" t="s">
        <v>14</v>
      </c>
      <c r="G192" s="5" t="e" vm="4">
        <v>#VALUE!</v>
      </c>
      <c r="H192" s="5">
        <v>9.36</v>
      </c>
      <c r="I192" s="5" t="s">
        <v>18</v>
      </c>
      <c r="J192" s="5"/>
      <c r="K192" s="11">
        <v>29000</v>
      </c>
      <c r="L192" s="24">
        <v>289</v>
      </c>
      <c r="M192" s="5" t="s">
        <v>125</v>
      </c>
      <c r="N192" s="5" t="s">
        <v>73</v>
      </c>
      <c r="O192" s="5" t="s">
        <v>237</v>
      </c>
      <c r="P192" s="5">
        <v>16</v>
      </c>
      <c r="Q192" s="14" t="s">
        <v>364</v>
      </c>
      <c r="R192" s="5"/>
      <c r="S192" s="5" t="s">
        <v>979</v>
      </c>
      <c r="T192" s="20" t="s">
        <v>980</v>
      </c>
      <c r="U192" s="5" t="s">
        <v>981</v>
      </c>
      <c r="V192" s="21" t="s">
        <v>982</v>
      </c>
      <c r="W192" s="5" t="s">
        <v>965</v>
      </c>
      <c r="X192" s="5" t="s">
        <v>81</v>
      </c>
      <c r="Y192" s="5"/>
      <c r="Z192" s="5"/>
    </row>
    <row r="193" spans="1:28" x14ac:dyDescent="0.3">
      <c r="A193" s="5">
        <v>2404224</v>
      </c>
      <c r="B193" s="20" t="s">
        <v>983</v>
      </c>
      <c r="C193" s="25">
        <v>45624</v>
      </c>
      <c r="D193" s="5" t="s">
        <v>17</v>
      </c>
      <c r="E193" s="5" t="s">
        <v>71</v>
      </c>
      <c r="F193" s="5" t="s">
        <v>14</v>
      </c>
      <c r="G193" s="5" t="e" vm="5">
        <v>#VALUE!</v>
      </c>
      <c r="H193" s="5">
        <v>17.7</v>
      </c>
      <c r="I193" s="5" t="s">
        <v>18</v>
      </c>
      <c r="J193" s="5"/>
      <c r="K193" s="11">
        <v>45600</v>
      </c>
      <c r="M193" s="5" t="s">
        <v>125</v>
      </c>
      <c r="N193" s="5" t="s">
        <v>73</v>
      </c>
      <c r="O193" s="5" t="s">
        <v>243</v>
      </c>
      <c r="P193" s="5">
        <v>30</v>
      </c>
      <c r="Q193" s="5" t="s">
        <v>143</v>
      </c>
      <c r="R193" s="5" t="s">
        <v>18</v>
      </c>
      <c r="S193" s="5" t="s">
        <v>984</v>
      </c>
      <c r="T193" s="20" t="s">
        <v>985</v>
      </c>
      <c r="U193" s="5" t="s">
        <v>986</v>
      </c>
      <c r="V193" s="21" t="s">
        <v>987</v>
      </c>
      <c r="W193" s="5" t="s">
        <v>965</v>
      </c>
      <c r="X193" s="5" t="s">
        <v>81</v>
      </c>
      <c r="Y193" s="5"/>
      <c r="Z193" s="5" t="s">
        <v>269</v>
      </c>
      <c r="AA193" s="20" t="s">
        <v>988</v>
      </c>
      <c r="AB193" s="20" t="s">
        <v>989</v>
      </c>
    </row>
    <row r="194" spans="1:28" x14ac:dyDescent="0.3">
      <c r="A194" s="5">
        <v>2411491</v>
      </c>
      <c r="B194" s="20" t="s">
        <v>990</v>
      </c>
      <c r="C194" s="25">
        <v>45631</v>
      </c>
      <c r="D194" s="5" t="s">
        <v>19</v>
      </c>
      <c r="E194" s="5" t="s">
        <v>71</v>
      </c>
      <c r="F194" s="5" t="s">
        <v>14</v>
      </c>
      <c r="G194" s="5" t="e" vm="11">
        <v>#VALUE!</v>
      </c>
      <c r="H194" s="5">
        <v>11.7</v>
      </c>
      <c r="I194" s="5" t="s">
        <v>18</v>
      </c>
      <c r="J194" s="5"/>
      <c r="K194" s="11">
        <v>38420</v>
      </c>
      <c r="M194" s="5" t="s">
        <v>176</v>
      </c>
      <c r="N194" s="5" t="s">
        <v>73</v>
      </c>
      <c r="O194" s="5" t="s">
        <v>237</v>
      </c>
      <c r="P194" s="5">
        <v>20</v>
      </c>
      <c r="Q194" s="5" t="s">
        <v>111</v>
      </c>
      <c r="R194" s="5"/>
      <c r="S194" s="5" t="s">
        <v>991</v>
      </c>
      <c r="T194" s="20" t="s">
        <v>992</v>
      </c>
      <c r="U194" s="5" t="s">
        <v>993</v>
      </c>
      <c r="V194" s="21" t="s">
        <v>994</v>
      </c>
      <c r="W194" s="5" t="s">
        <v>965</v>
      </c>
      <c r="X194" s="5" t="s">
        <v>81</v>
      </c>
      <c r="Y194" s="5"/>
      <c r="Z194" s="5"/>
    </row>
    <row r="195" spans="1:28" x14ac:dyDescent="0.3">
      <c r="A195" s="5">
        <v>2411490</v>
      </c>
      <c r="B195" s="20" t="s">
        <v>995</v>
      </c>
      <c r="C195" s="25">
        <v>45631</v>
      </c>
      <c r="D195" s="5" t="s">
        <v>19</v>
      </c>
      <c r="E195" s="5" t="s">
        <v>71</v>
      </c>
      <c r="F195" s="5" t="s">
        <v>14</v>
      </c>
      <c r="G195" s="5" t="e" vm="8">
        <v>#VALUE!</v>
      </c>
      <c r="H195" s="5">
        <v>7.02</v>
      </c>
      <c r="I195" s="5" t="s">
        <v>18</v>
      </c>
      <c r="J195" s="5"/>
      <c r="K195" s="11">
        <v>21500</v>
      </c>
      <c r="M195" s="5" t="s">
        <v>125</v>
      </c>
      <c r="N195" s="5" t="s">
        <v>73</v>
      </c>
      <c r="O195" s="5" t="s">
        <v>237</v>
      </c>
      <c r="P195" s="5">
        <v>12</v>
      </c>
      <c r="Q195" s="5" t="s">
        <v>286</v>
      </c>
      <c r="R195" s="5"/>
      <c r="S195" s="5" t="s">
        <v>996</v>
      </c>
      <c r="T195" s="20" t="s">
        <v>997</v>
      </c>
      <c r="U195" s="5" t="s">
        <v>998</v>
      </c>
      <c r="V195" s="21" t="s">
        <v>999</v>
      </c>
      <c r="W195" s="5" t="s">
        <v>965</v>
      </c>
      <c r="X195" s="5" t="s">
        <v>81</v>
      </c>
      <c r="Y195" s="5"/>
      <c r="Z195" s="5" t="s">
        <v>1000</v>
      </c>
      <c r="AA195" s="20" t="s">
        <v>988</v>
      </c>
    </row>
    <row r="196" spans="1:28" x14ac:dyDescent="0.3">
      <c r="A196" s="5">
        <v>2412504</v>
      </c>
      <c r="B196" s="20" t="s">
        <v>1001</v>
      </c>
      <c r="C196" s="25">
        <v>45633</v>
      </c>
      <c r="D196" s="5" t="s">
        <v>22</v>
      </c>
      <c r="E196" s="5" t="s">
        <v>71</v>
      </c>
      <c r="F196" s="5" t="s">
        <v>14</v>
      </c>
      <c r="G196" s="5" t="e" vm="11">
        <v>#VALUE!</v>
      </c>
      <c r="H196" s="5">
        <v>9.36</v>
      </c>
      <c r="I196" s="5" t="s">
        <v>18</v>
      </c>
      <c r="J196" s="5"/>
      <c r="K196" s="11">
        <v>31616</v>
      </c>
      <c r="M196" s="5" t="s">
        <v>125</v>
      </c>
      <c r="N196" s="5" t="s">
        <v>73</v>
      </c>
      <c r="O196" s="5" t="s">
        <v>237</v>
      </c>
      <c r="P196" s="5">
        <v>16</v>
      </c>
      <c r="Q196" s="14" t="s">
        <v>364</v>
      </c>
      <c r="R196" s="5"/>
      <c r="S196" s="5" t="s">
        <v>1002</v>
      </c>
      <c r="T196" s="20" t="s">
        <v>1003</v>
      </c>
      <c r="U196" s="5" t="s">
        <v>1004</v>
      </c>
      <c r="V196" s="20" t="s">
        <v>1005</v>
      </c>
      <c r="W196" s="5" t="s">
        <v>80</v>
      </c>
      <c r="X196" s="5" t="s">
        <v>81</v>
      </c>
      <c r="Y196" s="5"/>
      <c r="Z196" s="5"/>
    </row>
    <row r="197" spans="1:28" x14ac:dyDescent="0.3">
      <c r="A197" s="5">
        <v>2412503</v>
      </c>
      <c r="B197" s="20" t="s">
        <v>1006</v>
      </c>
      <c r="C197" s="25">
        <v>45633</v>
      </c>
      <c r="D197" s="5" t="s">
        <v>19</v>
      </c>
      <c r="E197" s="5" t="s">
        <v>71</v>
      </c>
      <c r="F197" s="5" t="s">
        <v>14</v>
      </c>
      <c r="G197" s="5" t="e" vm="11">
        <v>#VALUE!</v>
      </c>
      <c r="H197" s="5">
        <v>14.04</v>
      </c>
      <c r="I197" s="5" t="s">
        <v>18</v>
      </c>
      <c r="J197" s="5"/>
      <c r="K197" s="11">
        <v>38600</v>
      </c>
      <c r="M197" s="5" t="s">
        <v>125</v>
      </c>
      <c r="N197" s="5" t="s">
        <v>73</v>
      </c>
      <c r="O197" s="5" t="s">
        <v>237</v>
      </c>
      <c r="P197" s="5">
        <v>24</v>
      </c>
      <c r="Q197" s="5" t="s">
        <v>143</v>
      </c>
      <c r="R197" s="5"/>
      <c r="S197" s="5" t="s">
        <v>1007</v>
      </c>
      <c r="T197" s="20" t="s">
        <v>1008</v>
      </c>
      <c r="U197" s="5" t="s">
        <v>1009</v>
      </c>
      <c r="V197" s="20" t="s">
        <v>1010</v>
      </c>
      <c r="W197" s="5" t="s">
        <v>80</v>
      </c>
      <c r="X197" s="5" t="s">
        <v>81</v>
      </c>
      <c r="Y197" s="5"/>
      <c r="Z197" s="5"/>
    </row>
    <row r="198" spans="1:28" x14ac:dyDescent="0.3">
      <c r="A198" s="5">
        <v>2410033</v>
      </c>
      <c r="B198" s="20" t="s">
        <v>1011</v>
      </c>
      <c r="C198" s="25">
        <v>45636</v>
      </c>
      <c r="D198" s="5" t="s">
        <v>19</v>
      </c>
      <c r="E198" s="5" t="s">
        <v>206</v>
      </c>
      <c r="F198" s="5" t="s">
        <v>18</v>
      </c>
      <c r="G198" s="5" t="e" vm="11">
        <v>#VALUE!</v>
      </c>
      <c r="H198" s="5">
        <v>0</v>
      </c>
      <c r="I198" s="5">
        <v>120</v>
      </c>
      <c r="J198" s="5"/>
      <c r="K198" s="11">
        <v>55000</v>
      </c>
      <c r="M198" s="5" t="s">
        <v>125</v>
      </c>
      <c r="N198" s="5" t="s">
        <v>73</v>
      </c>
      <c r="O198" s="5" t="s">
        <v>18</v>
      </c>
      <c r="P198" s="5" t="s">
        <v>18</v>
      </c>
      <c r="Q198" s="5" t="s">
        <v>18</v>
      </c>
      <c r="R198" s="5"/>
      <c r="S198" s="5" t="s">
        <v>18</v>
      </c>
      <c r="T198" s="20" t="s">
        <v>1012</v>
      </c>
      <c r="U198" s="5" t="s">
        <v>18</v>
      </c>
      <c r="V198" s="20" t="s">
        <v>18</v>
      </c>
      <c r="W198" s="5" t="s">
        <v>109</v>
      </c>
      <c r="X198" s="5" t="s">
        <v>81</v>
      </c>
      <c r="Y198" s="5"/>
      <c r="Z198" s="5"/>
    </row>
    <row r="199" spans="1:28" x14ac:dyDescent="0.3">
      <c r="A199" s="5">
        <v>2412505</v>
      </c>
      <c r="B199" s="20" t="s">
        <v>1013</v>
      </c>
      <c r="C199" s="25">
        <v>45639</v>
      </c>
      <c r="D199" s="5" t="s">
        <v>22</v>
      </c>
      <c r="E199" s="5" t="s">
        <v>71</v>
      </c>
      <c r="F199" s="5" t="s">
        <v>14</v>
      </c>
      <c r="G199" s="5" t="e" vm="11">
        <v>#VALUE!</v>
      </c>
      <c r="H199" s="5">
        <v>14.04</v>
      </c>
      <c r="I199" s="5" t="s">
        <v>18</v>
      </c>
      <c r="J199" s="5"/>
      <c r="K199" s="11">
        <v>42860</v>
      </c>
      <c r="M199" s="5" t="s">
        <v>176</v>
      </c>
      <c r="N199" s="5" t="s">
        <v>73</v>
      </c>
      <c r="O199" s="5" t="s">
        <v>237</v>
      </c>
      <c r="P199" s="5">
        <v>24</v>
      </c>
      <c r="Q199" s="5" t="s">
        <v>143</v>
      </c>
      <c r="R199" s="5"/>
      <c r="S199" s="5" t="s">
        <v>1014</v>
      </c>
      <c r="T199" s="20" t="s">
        <v>1015</v>
      </c>
      <c r="U199" s="5" t="s">
        <v>1016</v>
      </c>
      <c r="W199" s="5" t="s">
        <v>80</v>
      </c>
      <c r="X199" s="5" t="s">
        <v>81</v>
      </c>
      <c r="Y199" s="5"/>
      <c r="Z199" s="5"/>
    </row>
    <row r="200" spans="1:28" x14ac:dyDescent="0.3">
      <c r="A200" s="5">
        <v>2412509</v>
      </c>
      <c r="B200" s="20" t="s">
        <v>1017</v>
      </c>
      <c r="C200" s="25">
        <v>45657</v>
      </c>
      <c r="D200" s="5" t="s">
        <v>19</v>
      </c>
      <c r="E200" s="5" t="s">
        <v>71</v>
      </c>
      <c r="F200" s="5" t="s">
        <v>14</v>
      </c>
      <c r="G200" s="5" t="e" vm="11">
        <v>#VALUE!</v>
      </c>
      <c r="H200" s="5">
        <v>17.7</v>
      </c>
      <c r="I200" s="5" t="s">
        <v>18</v>
      </c>
      <c r="J200" s="5"/>
      <c r="K200" s="11">
        <v>50000</v>
      </c>
      <c r="M200" s="5" t="s">
        <v>176</v>
      </c>
      <c r="N200" s="5" t="s">
        <v>73</v>
      </c>
      <c r="O200" s="5" t="s">
        <v>243</v>
      </c>
      <c r="P200" s="5">
        <v>30</v>
      </c>
      <c r="Q200" s="5" t="s">
        <v>143</v>
      </c>
      <c r="R200" s="5"/>
      <c r="S200" s="5" t="s">
        <v>1018</v>
      </c>
      <c r="T200" s="20" t="s">
        <v>1019</v>
      </c>
      <c r="U200" s="5" t="s">
        <v>1020</v>
      </c>
      <c r="V200" s="20" t="s">
        <v>1021</v>
      </c>
      <c r="W200" s="5" t="s">
        <v>109</v>
      </c>
      <c r="X200" s="5" t="s">
        <v>81</v>
      </c>
      <c r="Y200" s="5"/>
      <c r="Z200" s="5"/>
      <c r="AA200" s="20" t="s">
        <v>1022</v>
      </c>
    </row>
    <row r="201" spans="1:28" x14ac:dyDescent="0.3">
      <c r="A201" s="5">
        <v>2412515</v>
      </c>
      <c r="B201" s="20" t="s">
        <v>1023</v>
      </c>
      <c r="C201" s="25">
        <v>45647</v>
      </c>
      <c r="D201" s="5" t="s">
        <v>17</v>
      </c>
      <c r="E201" s="5" t="s">
        <v>71</v>
      </c>
      <c r="F201" s="5" t="s">
        <v>14</v>
      </c>
      <c r="G201" s="5" t="e" vm="5">
        <v>#VALUE!</v>
      </c>
      <c r="H201" s="5">
        <v>17.55</v>
      </c>
      <c r="I201" s="5" t="s">
        <v>18</v>
      </c>
      <c r="J201" s="5"/>
      <c r="K201" s="11">
        <v>44600</v>
      </c>
      <c r="M201" s="5" t="s">
        <v>125</v>
      </c>
      <c r="N201" s="5" t="s">
        <v>73</v>
      </c>
      <c r="O201" s="5" t="s">
        <v>237</v>
      </c>
      <c r="P201" s="5">
        <v>30</v>
      </c>
      <c r="Q201" s="5" t="s">
        <v>143</v>
      </c>
      <c r="R201" s="5"/>
      <c r="S201" s="5" t="s">
        <v>1024</v>
      </c>
      <c r="T201" s="20" t="s">
        <v>1025</v>
      </c>
      <c r="U201" s="5" t="s">
        <v>1026</v>
      </c>
      <c r="V201" s="21" t="s">
        <v>1027</v>
      </c>
      <c r="W201" s="5" t="s">
        <v>965</v>
      </c>
      <c r="X201" s="5" t="s">
        <v>81</v>
      </c>
      <c r="Y201" s="5"/>
      <c r="Z201" s="5" t="s">
        <v>269</v>
      </c>
    </row>
    <row r="202" spans="1:28" x14ac:dyDescent="0.3">
      <c r="A202" s="5">
        <v>2410462</v>
      </c>
      <c r="B202" s="20" t="s">
        <v>1028</v>
      </c>
      <c r="C202" s="25">
        <v>45649</v>
      </c>
      <c r="D202" s="5" t="s">
        <v>17</v>
      </c>
      <c r="E202" s="5" t="s">
        <v>71</v>
      </c>
      <c r="F202" s="5" t="s">
        <v>14</v>
      </c>
      <c r="G202" s="5" t="e" vm="5">
        <v>#VALUE!</v>
      </c>
      <c r="H202" s="5">
        <v>7.02</v>
      </c>
      <c r="I202" s="5" t="s">
        <v>18</v>
      </c>
      <c r="J202" s="5"/>
      <c r="K202" s="11">
        <v>23500</v>
      </c>
      <c r="M202" s="5" t="s">
        <v>125</v>
      </c>
      <c r="N202" s="5" t="s">
        <v>73</v>
      </c>
      <c r="O202" s="5" t="s">
        <v>237</v>
      </c>
      <c r="P202" s="5">
        <v>12</v>
      </c>
      <c r="Q202" s="5" t="s">
        <v>286</v>
      </c>
      <c r="R202" s="5"/>
      <c r="S202" s="5" t="s">
        <v>1029</v>
      </c>
      <c r="T202" s="20" t="s">
        <v>1030</v>
      </c>
      <c r="U202" s="5" t="s">
        <v>1031</v>
      </c>
      <c r="V202" s="21" t="s">
        <v>1032</v>
      </c>
      <c r="W202" s="5" t="s">
        <v>965</v>
      </c>
      <c r="X202" s="5" t="s">
        <v>81</v>
      </c>
      <c r="Y202" s="5"/>
      <c r="Z202" s="5" t="s">
        <v>269</v>
      </c>
    </row>
    <row r="203" spans="1:28" x14ac:dyDescent="0.3">
      <c r="A203" s="5">
        <v>2412516</v>
      </c>
      <c r="B203" s="20" t="s">
        <v>1033</v>
      </c>
      <c r="C203" s="25">
        <v>45650</v>
      </c>
      <c r="D203" s="5" t="s">
        <v>17</v>
      </c>
      <c r="E203" s="5" t="s">
        <v>71</v>
      </c>
      <c r="F203" s="5" t="s">
        <v>14</v>
      </c>
      <c r="G203" s="5" t="e" vm="5">
        <v>#VALUE!</v>
      </c>
      <c r="H203" s="5">
        <v>12.98</v>
      </c>
      <c r="I203" s="5" t="s">
        <v>18</v>
      </c>
      <c r="J203" s="5"/>
      <c r="K203" s="11">
        <v>37160</v>
      </c>
      <c r="M203" s="5" t="s">
        <v>176</v>
      </c>
      <c r="N203" s="5" t="s">
        <v>73</v>
      </c>
      <c r="O203" s="5" t="s">
        <v>243</v>
      </c>
      <c r="P203" s="5">
        <v>22</v>
      </c>
      <c r="Q203" s="5" t="s">
        <v>111</v>
      </c>
      <c r="R203" s="5"/>
      <c r="S203" s="5" t="s">
        <v>1034</v>
      </c>
      <c r="T203" s="20" t="s">
        <v>1035</v>
      </c>
      <c r="U203" s="5" t="s">
        <v>1036</v>
      </c>
      <c r="V203" s="21" t="s">
        <v>1037</v>
      </c>
      <c r="W203" s="5" t="s">
        <v>965</v>
      </c>
      <c r="X203" s="5" t="s">
        <v>81</v>
      </c>
      <c r="Y203" s="5"/>
      <c r="Z203" s="5" t="s">
        <v>269</v>
      </c>
    </row>
    <row r="204" spans="1:28" x14ac:dyDescent="0.3">
      <c r="A204" s="5">
        <v>2412521</v>
      </c>
      <c r="B204" s="20" t="s">
        <v>1038</v>
      </c>
      <c r="C204" s="25">
        <v>45659</v>
      </c>
      <c r="D204" s="5" t="s">
        <v>17</v>
      </c>
      <c r="E204" s="5" t="s">
        <v>71</v>
      </c>
      <c r="F204" s="5" t="s">
        <v>14</v>
      </c>
      <c r="G204" s="5" t="e" vm="5">
        <v>#VALUE!</v>
      </c>
      <c r="H204" s="5">
        <v>15.34</v>
      </c>
      <c r="I204" s="5" t="s">
        <v>18</v>
      </c>
      <c r="J204" s="5"/>
      <c r="K204" s="11">
        <v>39560</v>
      </c>
      <c r="M204" s="5" t="s">
        <v>176</v>
      </c>
      <c r="N204" s="5" t="s">
        <v>73</v>
      </c>
      <c r="O204" s="5" t="s">
        <v>243</v>
      </c>
      <c r="P204" s="5">
        <v>26</v>
      </c>
      <c r="Q204" s="5" t="s">
        <v>143</v>
      </c>
      <c r="R204" s="5"/>
      <c r="S204" s="5" t="s">
        <v>1039</v>
      </c>
      <c r="T204" s="20" t="s">
        <v>1040</v>
      </c>
      <c r="U204" s="5" t="s">
        <v>1041</v>
      </c>
      <c r="V204" s="21" t="s">
        <v>1042</v>
      </c>
      <c r="W204" s="5" t="s">
        <v>965</v>
      </c>
      <c r="X204" s="5" t="s">
        <v>81</v>
      </c>
      <c r="Y204" s="5"/>
      <c r="Z204" s="5" t="s">
        <v>269</v>
      </c>
    </row>
    <row r="205" spans="1:28" x14ac:dyDescent="0.3">
      <c r="A205" s="5">
        <v>2412524</v>
      </c>
      <c r="B205" s="20" t="s">
        <v>1043</v>
      </c>
      <c r="C205" s="25">
        <v>45659</v>
      </c>
      <c r="D205" s="5" t="s">
        <v>19</v>
      </c>
      <c r="E205" s="5" t="s">
        <v>71</v>
      </c>
      <c r="F205" s="5" t="s">
        <v>14</v>
      </c>
      <c r="G205" s="5" t="e" vm="11">
        <v>#VALUE!</v>
      </c>
      <c r="H205" s="5">
        <v>14.16</v>
      </c>
      <c r="I205" s="5" t="s">
        <v>18</v>
      </c>
      <c r="J205" s="5"/>
      <c r="K205" s="11">
        <v>34000</v>
      </c>
      <c r="M205" s="5" t="s">
        <v>125</v>
      </c>
      <c r="N205" s="5" t="s">
        <v>73</v>
      </c>
      <c r="O205" s="5" t="s">
        <v>243</v>
      </c>
      <c r="P205" s="5">
        <v>24</v>
      </c>
      <c r="Q205" s="5" t="s">
        <v>143</v>
      </c>
      <c r="R205" s="5"/>
      <c r="S205" s="5" t="s">
        <v>1044</v>
      </c>
      <c r="T205" s="20" t="s">
        <v>1045</v>
      </c>
      <c r="U205" s="5" t="s">
        <v>1046</v>
      </c>
      <c r="V205" s="20" t="s">
        <v>1047</v>
      </c>
      <c r="W205" s="5" t="s">
        <v>109</v>
      </c>
      <c r="X205" s="5" t="s">
        <v>81</v>
      </c>
      <c r="Y205" s="5"/>
      <c r="Z205" s="5"/>
    </row>
    <row r="206" spans="1:28" x14ac:dyDescent="0.3">
      <c r="A206" s="5">
        <v>2412513</v>
      </c>
      <c r="B206" s="20" t="s">
        <v>1048</v>
      </c>
      <c r="C206" s="25">
        <v>45666</v>
      </c>
      <c r="D206" s="5" t="s">
        <v>17</v>
      </c>
      <c r="E206" s="5" t="s">
        <v>71</v>
      </c>
      <c r="F206" s="5" t="s">
        <v>14</v>
      </c>
      <c r="G206" s="5" t="e" vm="12">
        <v>#VALUE!</v>
      </c>
      <c r="H206" s="5">
        <v>10.029999999999999</v>
      </c>
      <c r="I206" s="5" t="s">
        <v>18</v>
      </c>
      <c r="J206" s="5" t="s">
        <v>18</v>
      </c>
      <c r="K206" s="11">
        <v>29000</v>
      </c>
      <c r="M206" s="5" t="s">
        <v>125</v>
      </c>
      <c r="N206" s="5" t="s">
        <v>73</v>
      </c>
      <c r="O206" s="5" t="s">
        <v>243</v>
      </c>
      <c r="P206" s="5">
        <v>17</v>
      </c>
      <c r="Q206" s="14" t="s">
        <v>364</v>
      </c>
      <c r="R206" s="5"/>
      <c r="S206" s="5" t="s">
        <v>1049</v>
      </c>
      <c r="T206" s="20" t="s">
        <v>1050</v>
      </c>
      <c r="U206" s="5" t="s">
        <v>1051</v>
      </c>
      <c r="V206" s="20" t="s">
        <v>1052</v>
      </c>
      <c r="W206" s="5" t="s">
        <v>965</v>
      </c>
      <c r="X206" s="5" t="s">
        <v>81</v>
      </c>
      <c r="Y206" s="5"/>
      <c r="Z206" s="5"/>
    </row>
    <row r="207" spans="1:28" x14ac:dyDescent="0.3">
      <c r="A207" s="5">
        <v>2501038</v>
      </c>
      <c r="B207" s="20" t="s">
        <v>1053</v>
      </c>
      <c r="C207" s="25">
        <v>45678</v>
      </c>
      <c r="D207" s="5" t="s">
        <v>20</v>
      </c>
      <c r="E207" s="5" t="s">
        <v>206</v>
      </c>
      <c r="F207" s="5" t="s">
        <v>18</v>
      </c>
      <c r="G207" s="5" t="e" vm="5">
        <v>#VALUE!</v>
      </c>
      <c r="H207" s="5">
        <v>0</v>
      </c>
      <c r="I207" s="5">
        <v>11</v>
      </c>
      <c r="J207" s="5"/>
      <c r="K207" s="11">
        <v>2000</v>
      </c>
      <c r="M207" s="5" t="s">
        <v>125</v>
      </c>
      <c r="N207" s="5" t="s">
        <v>73</v>
      </c>
      <c r="P207" s="5" t="s">
        <v>18</v>
      </c>
      <c r="Q207" s="5" t="s">
        <v>18</v>
      </c>
      <c r="R207" s="5"/>
      <c r="S207" s="5" t="s">
        <v>18</v>
      </c>
      <c r="T207" s="20" t="s">
        <v>1054</v>
      </c>
      <c r="U207" s="5" t="s">
        <v>18</v>
      </c>
      <c r="V207" s="20" t="s">
        <v>18</v>
      </c>
      <c r="W207" s="5" t="s">
        <v>109</v>
      </c>
      <c r="X207" s="5" t="s">
        <v>81</v>
      </c>
      <c r="Y207" s="5"/>
      <c r="Z207" s="5"/>
    </row>
    <row r="208" spans="1:28" x14ac:dyDescent="0.3">
      <c r="A208" s="5">
        <v>2501532</v>
      </c>
      <c r="B208" s="20" t="s">
        <v>1055</v>
      </c>
      <c r="C208" s="25">
        <v>45682</v>
      </c>
      <c r="D208" s="5" t="s">
        <v>17</v>
      </c>
      <c r="E208" s="5" t="s">
        <v>71</v>
      </c>
      <c r="F208" s="5" t="s">
        <v>14</v>
      </c>
      <c r="G208" s="5" t="e" vm="5">
        <v>#VALUE!</v>
      </c>
      <c r="H208" s="5">
        <v>9.44</v>
      </c>
      <c r="I208" s="5" t="s">
        <v>18</v>
      </c>
      <c r="J208" s="5" t="s">
        <v>18</v>
      </c>
      <c r="K208" s="11">
        <v>27000</v>
      </c>
      <c r="M208" s="5" t="s">
        <v>125</v>
      </c>
      <c r="N208" s="5" t="s">
        <v>73</v>
      </c>
      <c r="O208" s="5" t="s">
        <v>243</v>
      </c>
      <c r="P208" s="5">
        <v>16</v>
      </c>
      <c r="Q208" s="14" t="s">
        <v>364</v>
      </c>
      <c r="R208" s="5"/>
      <c r="S208" s="5" t="s">
        <v>1056</v>
      </c>
      <c r="T208" s="20" t="s">
        <v>1057</v>
      </c>
      <c r="U208" s="5" t="s">
        <v>1058</v>
      </c>
      <c r="V208" s="21" t="s">
        <v>1059</v>
      </c>
      <c r="W208" s="5" t="s">
        <v>965</v>
      </c>
      <c r="X208" s="5" t="s">
        <v>81</v>
      </c>
      <c r="Y208" s="5"/>
      <c r="Z208" s="5"/>
    </row>
    <row r="209" spans="1:28" x14ac:dyDescent="0.3">
      <c r="A209" s="5">
        <v>2501544</v>
      </c>
      <c r="B209" s="20" t="s">
        <v>1060</v>
      </c>
      <c r="C209" s="25">
        <v>45694</v>
      </c>
      <c r="D209" s="5" t="s">
        <v>22</v>
      </c>
      <c r="E209" s="5" t="s">
        <v>71</v>
      </c>
      <c r="F209" s="5" t="s">
        <v>14</v>
      </c>
      <c r="G209" s="5" t="e" vm="11">
        <v>#VALUE!</v>
      </c>
      <c r="H209" s="5">
        <v>17.7</v>
      </c>
      <c r="I209" s="5" t="s">
        <v>18</v>
      </c>
      <c r="J209" s="5" t="s">
        <v>18</v>
      </c>
      <c r="K209" s="11">
        <v>44000</v>
      </c>
      <c r="M209" s="5" t="s">
        <v>125</v>
      </c>
      <c r="N209" s="5" t="s">
        <v>73</v>
      </c>
      <c r="O209" s="5" t="s">
        <v>243</v>
      </c>
      <c r="P209" s="5">
        <v>30</v>
      </c>
      <c r="Q209" s="5" t="s">
        <v>143</v>
      </c>
      <c r="R209" s="5"/>
      <c r="S209" s="5" t="s">
        <v>1061</v>
      </c>
      <c r="T209" s="20" t="s">
        <v>1062</v>
      </c>
      <c r="U209" s="5" t="s">
        <v>1063</v>
      </c>
      <c r="V209" s="20" t="s">
        <v>1064</v>
      </c>
      <c r="W209" s="5" t="s">
        <v>965</v>
      </c>
      <c r="X209" s="5" t="s">
        <v>81</v>
      </c>
      <c r="Y209" s="5"/>
      <c r="Z209" s="5"/>
      <c r="AB209" s="20" t="s">
        <v>1065</v>
      </c>
    </row>
    <row r="210" spans="1:28" x14ac:dyDescent="0.3">
      <c r="A210" s="5">
        <v>2502548</v>
      </c>
      <c r="B210" s="20" t="s">
        <v>1066</v>
      </c>
      <c r="C210" s="25">
        <v>45700</v>
      </c>
      <c r="D210" s="5" t="s">
        <v>19</v>
      </c>
      <c r="E210" s="5" t="s">
        <v>71</v>
      </c>
      <c r="F210" s="5" t="s">
        <v>14</v>
      </c>
      <c r="G210" s="5" t="e" vm="11">
        <v>#VALUE!</v>
      </c>
      <c r="H210" s="5">
        <v>17.7</v>
      </c>
      <c r="I210" s="5" t="s">
        <v>18</v>
      </c>
      <c r="J210" s="5" t="s">
        <v>18</v>
      </c>
      <c r="K210" s="11">
        <v>42000</v>
      </c>
      <c r="M210" s="5" t="s">
        <v>125</v>
      </c>
      <c r="N210" s="5" t="s">
        <v>73</v>
      </c>
      <c r="O210" s="5" t="s">
        <v>243</v>
      </c>
      <c r="P210" s="5">
        <v>30</v>
      </c>
      <c r="Q210" s="5" t="s">
        <v>143</v>
      </c>
      <c r="R210" s="5"/>
      <c r="S210" s="5" t="s">
        <v>1067</v>
      </c>
      <c r="T210" s="20" t="s">
        <v>1068</v>
      </c>
      <c r="U210" s="5" t="s">
        <v>1069</v>
      </c>
      <c r="V210" s="21" t="s">
        <v>1070</v>
      </c>
      <c r="W210" s="5" t="s">
        <v>965</v>
      </c>
      <c r="X210" s="5" t="s">
        <v>81</v>
      </c>
      <c r="Y210" s="5"/>
      <c r="Z210" s="5"/>
    </row>
    <row r="211" spans="1:28" x14ac:dyDescent="0.3">
      <c r="A211" s="5">
        <v>2501545</v>
      </c>
      <c r="B211" s="20" t="s">
        <v>1071</v>
      </c>
      <c r="C211" s="25">
        <v>45701</v>
      </c>
      <c r="D211" s="5" t="s">
        <v>19</v>
      </c>
      <c r="E211" s="5" t="s">
        <v>71</v>
      </c>
      <c r="F211" s="5" t="s">
        <v>14</v>
      </c>
      <c r="G211" s="5" t="e" vm="11">
        <v>#VALUE!</v>
      </c>
      <c r="H211" s="5">
        <v>7.08</v>
      </c>
      <c r="I211" s="5" t="s">
        <v>18</v>
      </c>
      <c r="J211" s="5" t="s">
        <v>18</v>
      </c>
      <c r="K211" s="11">
        <v>21800</v>
      </c>
      <c r="M211" s="5" t="s">
        <v>125</v>
      </c>
      <c r="N211" s="5" t="s">
        <v>73</v>
      </c>
      <c r="O211" s="5" t="s">
        <v>243</v>
      </c>
      <c r="P211" s="5">
        <v>12</v>
      </c>
      <c r="Q211" s="5" t="s">
        <v>286</v>
      </c>
      <c r="R211" s="5"/>
      <c r="S211" s="5" t="s">
        <v>1072</v>
      </c>
      <c r="T211" s="20" t="s">
        <v>1073</v>
      </c>
      <c r="U211" s="5" t="s">
        <v>1074</v>
      </c>
      <c r="V211" s="20" t="s">
        <v>1075</v>
      </c>
      <c r="W211" s="5" t="s">
        <v>965</v>
      </c>
      <c r="X211" s="5" t="s">
        <v>81</v>
      </c>
      <c r="Y211" s="5"/>
      <c r="Z211" s="5"/>
    </row>
    <row r="212" spans="1:28" x14ac:dyDescent="0.3">
      <c r="A212" s="5">
        <v>2311088</v>
      </c>
      <c r="B212" s="20" t="s">
        <v>1076</v>
      </c>
      <c r="C212" s="25">
        <v>45700</v>
      </c>
      <c r="D212" s="5" t="s">
        <v>19</v>
      </c>
      <c r="E212" s="5" t="s">
        <v>71</v>
      </c>
      <c r="F212" s="5" t="s">
        <v>14</v>
      </c>
      <c r="G212" s="5" t="e" vm="11">
        <v>#VALUE!</v>
      </c>
      <c r="H212" s="5">
        <v>10.62</v>
      </c>
      <c r="I212" s="5" t="s">
        <v>18</v>
      </c>
      <c r="J212" s="5" t="s">
        <v>18</v>
      </c>
      <c r="K212" s="11">
        <v>27000</v>
      </c>
      <c r="M212" s="5" t="s">
        <v>125</v>
      </c>
      <c r="N212" s="5" t="s">
        <v>73</v>
      </c>
      <c r="O212" s="5" t="s">
        <v>243</v>
      </c>
      <c r="P212" s="5">
        <v>18</v>
      </c>
      <c r="Q212" s="5" t="s">
        <v>111</v>
      </c>
      <c r="R212" s="5"/>
      <c r="S212" s="5" t="s">
        <v>1077</v>
      </c>
      <c r="T212" s="20" t="s">
        <v>1078</v>
      </c>
      <c r="U212" s="5" t="s">
        <v>1079</v>
      </c>
      <c r="V212" s="20" t="s">
        <v>1080</v>
      </c>
      <c r="W212" s="5" t="s">
        <v>965</v>
      </c>
      <c r="X212" s="5" t="s">
        <v>81</v>
      </c>
      <c r="Y212" s="5"/>
      <c r="Z212" s="5"/>
    </row>
    <row r="213" spans="1:28" x14ac:dyDescent="0.3">
      <c r="A213" s="5">
        <v>2502216</v>
      </c>
      <c r="B213" s="20" t="s">
        <v>1081</v>
      </c>
      <c r="C213" s="25">
        <v>45701</v>
      </c>
      <c r="D213" s="5" t="s">
        <v>19</v>
      </c>
      <c r="E213" s="5" t="s">
        <v>124</v>
      </c>
      <c r="F213" s="5" t="s">
        <v>14</v>
      </c>
      <c r="G213" s="5" t="e" vm="11">
        <v>#VALUE!</v>
      </c>
      <c r="H213" s="5">
        <v>14.16</v>
      </c>
      <c r="I213" s="5" t="s">
        <v>18</v>
      </c>
      <c r="J213" s="5" t="s">
        <v>18</v>
      </c>
      <c r="K213" s="11">
        <v>37000</v>
      </c>
      <c r="M213" s="5" t="s">
        <v>125</v>
      </c>
      <c r="N213" s="5" t="s">
        <v>73</v>
      </c>
      <c r="O213" s="5" t="s">
        <v>243</v>
      </c>
      <c r="P213" s="5">
        <v>24</v>
      </c>
      <c r="Q213" s="5" t="s">
        <v>143</v>
      </c>
      <c r="R213" s="5"/>
      <c r="S213" s="5" t="s">
        <v>1082</v>
      </c>
      <c r="T213" s="20" t="s">
        <v>1083</v>
      </c>
      <c r="U213" s="5" t="s">
        <v>1084</v>
      </c>
      <c r="V213" s="20" t="s">
        <v>1085</v>
      </c>
      <c r="W213" s="5" t="s">
        <v>965</v>
      </c>
      <c r="X213" s="5" t="s">
        <v>81</v>
      </c>
      <c r="Y213" s="5"/>
      <c r="Z213" s="5"/>
    </row>
    <row r="214" spans="1:28" x14ac:dyDescent="0.3">
      <c r="A214" s="5">
        <v>2502553</v>
      </c>
      <c r="B214" s="20" t="s">
        <v>1086</v>
      </c>
      <c r="C214" s="25">
        <v>45702</v>
      </c>
      <c r="D214" s="5" t="s">
        <v>17</v>
      </c>
      <c r="E214" s="5" t="s">
        <v>71</v>
      </c>
      <c r="F214" s="5" t="s">
        <v>14</v>
      </c>
      <c r="G214" s="5" t="e" vm="5">
        <v>#VALUE!</v>
      </c>
      <c r="H214" s="5">
        <v>17.7</v>
      </c>
      <c r="I214" s="5" t="s">
        <v>18</v>
      </c>
      <c r="J214" s="5" t="s">
        <v>18</v>
      </c>
      <c r="K214" s="11">
        <v>42000</v>
      </c>
      <c r="M214" s="5" t="s">
        <v>125</v>
      </c>
      <c r="N214" s="5" t="s">
        <v>73</v>
      </c>
      <c r="O214" s="5" t="s">
        <v>243</v>
      </c>
      <c r="P214" s="5">
        <v>30</v>
      </c>
      <c r="Q214" s="5" t="s">
        <v>143</v>
      </c>
      <c r="R214" s="5"/>
      <c r="S214" s="5" t="s">
        <v>1087</v>
      </c>
      <c r="T214" s="20" t="s">
        <v>1088</v>
      </c>
      <c r="U214" s="5" t="s">
        <v>1089</v>
      </c>
      <c r="V214" s="21" t="s">
        <v>1090</v>
      </c>
      <c r="W214" s="5" t="s">
        <v>965</v>
      </c>
      <c r="X214" s="5" t="s">
        <v>81</v>
      </c>
      <c r="Y214" s="5"/>
      <c r="Z214" s="5"/>
    </row>
    <row r="215" spans="1:28" x14ac:dyDescent="0.3">
      <c r="A215" s="5">
        <v>2502552</v>
      </c>
      <c r="B215" s="20" t="s">
        <v>1091</v>
      </c>
      <c r="C215" s="25">
        <v>45702</v>
      </c>
      <c r="D215" s="5" t="s">
        <v>17</v>
      </c>
      <c r="E215" s="5" t="s">
        <v>71</v>
      </c>
      <c r="F215" s="5" t="s">
        <v>14</v>
      </c>
      <c r="G215" s="5" t="e" vm="5">
        <v>#VALUE!</v>
      </c>
      <c r="H215" s="5">
        <v>11.8</v>
      </c>
      <c r="I215" s="5" t="s">
        <v>18</v>
      </c>
      <c r="J215" s="5" t="s">
        <v>18</v>
      </c>
      <c r="K215" s="11">
        <v>31000</v>
      </c>
      <c r="M215" s="5" t="s">
        <v>125</v>
      </c>
      <c r="N215" s="5" t="s">
        <v>73</v>
      </c>
      <c r="O215" s="5" t="s">
        <v>243</v>
      </c>
      <c r="P215" s="5">
        <v>20</v>
      </c>
      <c r="Q215" s="5" t="s">
        <v>111</v>
      </c>
      <c r="R215" s="5"/>
      <c r="S215" s="5" t="s">
        <v>1092</v>
      </c>
      <c r="T215" s="20" t="s">
        <v>1093</v>
      </c>
      <c r="U215" s="5" t="s">
        <v>1094</v>
      </c>
      <c r="V215" s="20" t="s">
        <v>1095</v>
      </c>
      <c r="W215" s="5" t="s">
        <v>965</v>
      </c>
      <c r="X215" s="5" t="s">
        <v>81</v>
      </c>
      <c r="Y215" s="5"/>
      <c r="Z215" s="5"/>
    </row>
    <row r="216" spans="1:28" x14ac:dyDescent="0.3">
      <c r="A216" s="5">
        <v>2412519</v>
      </c>
      <c r="B216" s="20" t="s">
        <v>1096</v>
      </c>
      <c r="C216" s="25">
        <v>45700</v>
      </c>
      <c r="D216" s="5" t="s">
        <v>17</v>
      </c>
      <c r="E216" s="5" t="s">
        <v>71</v>
      </c>
      <c r="F216" s="5" t="s">
        <v>14</v>
      </c>
      <c r="G216" s="5" t="e" vm="11">
        <v>#VALUE!</v>
      </c>
      <c r="H216" s="5">
        <v>7.08</v>
      </c>
      <c r="I216" s="5" t="s">
        <v>18</v>
      </c>
      <c r="J216" s="5" t="s">
        <v>18</v>
      </c>
      <c r="K216" s="11">
        <v>21500</v>
      </c>
      <c r="M216" s="5" t="s">
        <v>125</v>
      </c>
      <c r="N216" s="5" t="s">
        <v>73</v>
      </c>
      <c r="O216" s="5" t="s">
        <v>243</v>
      </c>
      <c r="P216" s="5">
        <v>12</v>
      </c>
      <c r="Q216" s="5" t="s">
        <v>286</v>
      </c>
      <c r="R216" s="5"/>
      <c r="S216" s="5" t="s">
        <v>1097</v>
      </c>
      <c r="T216" s="20" t="s">
        <v>1098</v>
      </c>
      <c r="U216" s="5" t="s">
        <v>1099</v>
      </c>
      <c r="V216" s="21" t="s">
        <v>1100</v>
      </c>
      <c r="W216" s="5" t="s">
        <v>965</v>
      </c>
      <c r="X216" s="5" t="s">
        <v>81</v>
      </c>
      <c r="Y216" s="5"/>
      <c r="Z216" s="5"/>
    </row>
    <row r="217" spans="1:28" x14ac:dyDescent="0.3">
      <c r="A217" s="5">
        <v>2502547</v>
      </c>
      <c r="B217" s="20" t="s">
        <v>1101</v>
      </c>
      <c r="C217" s="25">
        <v>45705</v>
      </c>
      <c r="D217" s="5" t="s">
        <v>17</v>
      </c>
      <c r="E217" s="5" t="s">
        <v>71</v>
      </c>
      <c r="F217" s="5" t="s">
        <v>14</v>
      </c>
      <c r="G217" s="5" t="e" vm="8">
        <v>#VALUE!</v>
      </c>
      <c r="H217" s="5">
        <v>11.8</v>
      </c>
      <c r="I217" s="5" t="s">
        <v>18</v>
      </c>
      <c r="J217" s="5" t="s">
        <v>18</v>
      </c>
      <c r="K217" s="11">
        <v>32840</v>
      </c>
      <c r="M217" s="5" t="s">
        <v>176</v>
      </c>
      <c r="N217" s="5" t="s">
        <v>73</v>
      </c>
      <c r="O217" s="5" t="s">
        <v>243</v>
      </c>
      <c r="P217" s="5">
        <v>20</v>
      </c>
      <c r="Q217" s="5" t="s">
        <v>111</v>
      </c>
      <c r="R217" s="5"/>
      <c r="S217" s="5" t="s">
        <v>1102</v>
      </c>
      <c r="T217" s="20" t="s">
        <v>1103</v>
      </c>
      <c r="U217" s="5" t="s">
        <v>1104</v>
      </c>
      <c r="V217" s="21" t="s">
        <v>1105</v>
      </c>
      <c r="W217" s="5" t="s">
        <v>965</v>
      </c>
      <c r="X217" s="5" t="s">
        <v>81</v>
      </c>
      <c r="Y217" s="5"/>
      <c r="Z217" s="5" t="s">
        <v>269</v>
      </c>
    </row>
    <row r="218" spans="1:28" x14ac:dyDescent="0.3">
      <c r="A218" s="5">
        <v>2502541</v>
      </c>
      <c r="B218" s="20" t="s">
        <v>1106</v>
      </c>
      <c r="C218" s="25">
        <v>45705</v>
      </c>
      <c r="D218" s="5" t="s">
        <v>17</v>
      </c>
      <c r="E218" s="5" t="s">
        <v>71</v>
      </c>
      <c r="F218" s="5" t="s">
        <v>14</v>
      </c>
      <c r="G218" s="5" t="e" vm="8">
        <v>#VALUE!</v>
      </c>
      <c r="H218" s="5">
        <v>7.08</v>
      </c>
      <c r="I218" s="5" t="s">
        <v>18</v>
      </c>
      <c r="J218" s="5" t="s">
        <v>18</v>
      </c>
      <c r="K218" s="11">
        <v>21500</v>
      </c>
      <c r="M218" s="5" t="s">
        <v>125</v>
      </c>
      <c r="N218" s="5" t="s">
        <v>73</v>
      </c>
      <c r="O218" s="5" t="s">
        <v>243</v>
      </c>
      <c r="P218" s="5">
        <v>12</v>
      </c>
      <c r="Q218" s="5" t="s">
        <v>286</v>
      </c>
      <c r="R218" s="5"/>
      <c r="S218" s="5" t="s">
        <v>1107</v>
      </c>
      <c r="T218" s="20" t="s">
        <v>1108</v>
      </c>
      <c r="U218" s="5" t="s">
        <v>1109</v>
      </c>
      <c r="V218" s="21" t="s">
        <v>1110</v>
      </c>
      <c r="W218" s="5" t="s">
        <v>965</v>
      </c>
      <c r="X218" s="5" t="s">
        <v>81</v>
      </c>
      <c r="Y218" s="5"/>
      <c r="Z218" s="5"/>
    </row>
    <row r="219" spans="1:28" x14ac:dyDescent="0.3">
      <c r="A219" s="5">
        <v>2502556</v>
      </c>
      <c r="B219" s="20" t="s">
        <v>1111</v>
      </c>
      <c r="C219" s="25">
        <v>45705</v>
      </c>
      <c r="D219" s="5" t="s">
        <v>22</v>
      </c>
      <c r="E219" s="5" t="s">
        <v>71</v>
      </c>
      <c r="F219" s="5" t="s">
        <v>14</v>
      </c>
      <c r="G219" s="5" t="e" vm="11">
        <v>#VALUE!</v>
      </c>
      <c r="H219" s="5">
        <v>7.08</v>
      </c>
      <c r="I219" s="5" t="s">
        <v>18</v>
      </c>
      <c r="J219" s="5" t="s">
        <v>18</v>
      </c>
      <c r="K219" s="11">
        <v>22500</v>
      </c>
      <c r="M219" s="5" t="s">
        <v>125</v>
      </c>
      <c r="N219" s="5" t="s">
        <v>73</v>
      </c>
      <c r="O219" s="5" t="s">
        <v>243</v>
      </c>
      <c r="P219" s="5">
        <v>12</v>
      </c>
      <c r="Q219" s="5" t="s">
        <v>286</v>
      </c>
      <c r="R219" s="5"/>
      <c r="S219" s="5" t="s">
        <v>1112</v>
      </c>
      <c r="T219" s="20" t="s">
        <v>1113</v>
      </c>
      <c r="U219" s="5" t="s">
        <v>1114</v>
      </c>
      <c r="V219" s="20" t="s">
        <v>1115</v>
      </c>
      <c r="W219" s="5" t="s">
        <v>965</v>
      </c>
      <c r="X219" s="5" t="s">
        <v>81</v>
      </c>
      <c r="Y219" s="5"/>
      <c r="Z219" s="5"/>
    </row>
    <row r="220" spans="1:28" x14ac:dyDescent="0.3">
      <c r="A220" s="5">
        <v>2502551</v>
      </c>
      <c r="B220" s="20" t="s">
        <v>1116</v>
      </c>
      <c r="C220" s="25">
        <v>45705</v>
      </c>
      <c r="D220" s="5" t="s">
        <v>17</v>
      </c>
      <c r="E220" s="5" t="s">
        <v>71</v>
      </c>
      <c r="F220" s="5" t="s">
        <v>14</v>
      </c>
      <c r="G220" s="5" t="e" vm="5">
        <v>#VALUE!</v>
      </c>
      <c r="H220" s="5">
        <v>14.16</v>
      </c>
      <c r="I220" s="5" t="s">
        <v>18</v>
      </c>
      <c r="J220" s="5" t="s">
        <v>18</v>
      </c>
      <c r="K220" s="11">
        <v>35000</v>
      </c>
      <c r="M220" s="5" t="s">
        <v>125</v>
      </c>
      <c r="N220" s="5" t="s">
        <v>73</v>
      </c>
      <c r="O220" s="5" t="s">
        <v>243</v>
      </c>
      <c r="P220" s="5">
        <v>24</v>
      </c>
      <c r="Q220" s="5" t="s">
        <v>143</v>
      </c>
      <c r="R220" s="5"/>
      <c r="S220" s="5" t="s">
        <v>1117</v>
      </c>
      <c r="T220" s="20" t="s">
        <v>1118</v>
      </c>
      <c r="U220" s="5" t="s">
        <v>1119</v>
      </c>
      <c r="V220" s="20" t="s">
        <v>1120</v>
      </c>
      <c r="W220" s="5" t="s">
        <v>965</v>
      </c>
      <c r="X220" s="5" t="s">
        <v>81</v>
      </c>
      <c r="Y220" s="5"/>
      <c r="Z220" s="5"/>
    </row>
    <row r="221" spans="1:28" x14ac:dyDescent="0.3">
      <c r="A221" s="5">
        <v>2502546</v>
      </c>
      <c r="B221" s="20" t="s">
        <v>1121</v>
      </c>
      <c r="C221" s="25">
        <v>45705</v>
      </c>
      <c r="D221" s="5" t="s">
        <v>17</v>
      </c>
      <c r="E221" s="5" t="s">
        <v>71</v>
      </c>
      <c r="F221" s="5" t="s">
        <v>14</v>
      </c>
      <c r="G221" s="5" t="e" vm="5">
        <v>#VALUE!</v>
      </c>
      <c r="H221" s="5">
        <v>7.08</v>
      </c>
      <c r="I221" s="5" t="s">
        <v>18</v>
      </c>
      <c r="J221" s="5" t="s">
        <v>18</v>
      </c>
      <c r="K221" s="11">
        <v>22500</v>
      </c>
      <c r="M221" s="5" t="s">
        <v>125</v>
      </c>
      <c r="N221" s="5" t="s">
        <v>73</v>
      </c>
      <c r="O221" s="5" t="s">
        <v>243</v>
      </c>
      <c r="P221" s="5">
        <v>12</v>
      </c>
      <c r="Q221" s="5" t="s">
        <v>244</v>
      </c>
      <c r="R221" s="5"/>
      <c r="S221" s="5" t="s">
        <v>1122</v>
      </c>
      <c r="T221" s="20" t="s">
        <v>1123</v>
      </c>
      <c r="U221" s="5" t="s">
        <v>1124</v>
      </c>
      <c r="V221" s="21" t="s">
        <v>1125</v>
      </c>
      <c r="W221" s="5" t="s">
        <v>965</v>
      </c>
      <c r="X221" s="5" t="s">
        <v>81</v>
      </c>
      <c r="Y221" s="5"/>
      <c r="Z221" s="5"/>
    </row>
    <row r="222" spans="1:28" x14ac:dyDescent="0.3">
      <c r="A222" s="5">
        <v>2502559</v>
      </c>
      <c r="B222" s="20" t="s">
        <v>1126</v>
      </c>
      <c r="C222" s="25">
        <v>45706</v>
      </c>
      <c r="D222" s="5" t="s">
        <v>19</v>
      </c>
      <c r="E222" s="5" t="s">
        <v>71</v>
      </c>
      <c r="F222" s="5" t="s">
        <v>14</v>
      </c>
      <c r="G222" s="5" t="e" vm="11">
        <v>#VALUE!</v>
      </c>
      <c r="H222" s="5">
        <v>9.44</v>
      </c>
      <c r="I222" s="5" t="s">
        <v>18</v>
      </c>
      <c r="J222" s="5" t="s">
        <v>18</v>
      </c>
      <c r="K222" s="11">
        <v>28000</v>
      </c>
      <c r="M222" s="5" t="s">
        <v>125</v>
      </c>
      <c r="N222" s="5" t="s">
        <v>73</v>
      </c>
      <c r="O222" s="5" t="s">
        <v>243</v>
      </c>
      <c r="P222" s="5">
        <v>16</v>
      </c>
      <c r="Q222" s="14" t="s">
        <v>364</v>
      </c>
      <c r="R222" s="5"/>
      <c r="S222" s="5" t="s">
        <v>1127</v>
      </c>
      <c r="T222" s="20" t="s">
        <v>1128</v>
      </c>
      <c r="U222" s="5" t="s">
        <v>1129</v>
      </c>
      <c r="V222" s="20" t="s">
        <v>1130</v>
      </c>
      <c r="W222" s="5" t="s">
        <v>965</v>
      </c>
      <c r="X222" s="5" t="s">
        <v>81</v>
      </c>
      <c r="Y222" s="5"/>
      <c r="Z222" s="5"/>
    </row>
    <row r="223" spans="1:28" x14ac:dyDescent="0.3">
      <c r="A223" s="5">
        <v>2501537</v>
      </c>
      <c r="B223" s="20" t="s">
        <v>1131</v>
      </c>
      <c r="C223" s="25">
        <v>45705</v>
      </c>
      <c r="D223" s="5" t="s">
        <v>17</v>
      </c>
      <c r="E223" s="5" t="s">
        <v>71</v>
      </c>
      <c r="F223" s="5" t="s">
        <v>14</v>
      </c>
      <c r="G223" s="5" t="e" vm="12">
        <v>#VALUE!</v>
      </c>
      <c r="H223" s="5">
        <v>12.39</v>
      </c>
      <c r="I223" s="5" t="s">
        <v>18</v>
      </c>
      <c r="J223" s="5" t="s">
        <v>18</v>
      </c>
      <c r="K223" s="11">
        <v>33800</v>
      </c>
      <c r="M223" s="5" t="s">
        <v>176</v>
      </c>
      <c r="N223" s="5" t="s">
        <v>73</v>
      </c>
      <c r="O223" s="5" t="s">
        <v>243</v>
      </c>
      <c r="P223" s="5">
        <v>21</v>
      </c>
      <c r="Q223" s="5" t="s">
        <v>111</v>
      </c>
      <c r="R223" s="5"/>
      <c r="S223" s="5" t="s">
        <v>1132</v>
      </c>
      <c r="T223" s="20" t="s">
        <v>1133</v>
      </c>
      <c r="U223" s="5" t="s">
        <v>1134</v>
      </c>
      <c r="V223" s="21" t="s">
        <v>1135</v>
      </c>
      <c r="W223" s="5" t="s">
        <v>965</v>
      </c>
      <c r="X223" s="5" t="s">
        <v>81</v>
      </c>
      <c r="Y223" s="5"/>
      <c r="Z223" s="5" t="s">
        <v>269</v>
      </c>
    </row>
    <row r="224" spans="1:28" x14ac:dyDescent="0.3">
      <c r="A224" s="5">
        <v>2502550</v>
      </c>
      <c r="B224" s="20" t="s">
        <v>1136</v>
      </c>
      <c r="C224" s="25">
        <v>45706</v>
      </c>
      <c r="D224" s="5" t="s">
        <v>19</v>
      </c>
      <c r="E224" s="5" t="s">
        <v>71</v>
      </c>
      <c r="F224" s="5" t="s">
        <v>14</v>
      </c>
      <c r="G224" s="5" t="e" vm="4">
        <v>#VALUE!</v>
      </c>
      <c r="H224" s="5">
        <v>14.75</v>
      </c>
      <c r="I224" s="5" t="s">
        <v>18</v>
      </c>
      <c r="J224" s="5" t="s">
        <v>18</v>
      </c>
      <c r="K224" s="11">
        <v>37500</v>
      </c>
      <c r="M224" s="5" t="s">
        <v>125</v>
      </c>
      <c r="N224" s="5" t="s">
        <v>73</v>
      </c>
      <c r="O224" s="5" t="s">
        <v>243</v>
      </c>
      <c r="P224" s="5">
        <v>25</v>
      </c>
      <c r="Q224" s="5" t="s">
        <v>143</v>
      </c>
      <c r="R224" s="5"/>
      <c r="S224" s="5" t="s">
        <v>1137</v>
      </c>
      <c r="T224" s="20" t="s">
        <v>1138</v>
      </c>
      <c r="U224" s="5" t="s">
        <v>1139</v>
      </c>
      <c r="V224" s="20" t="s">
        <v>1140</v>
      </c>
      <c r="W224" s="5" t="s">
        <v>80</v>
      </c>
      <c r="X224" s="5" t="s">
        <v>81</v>
      </c>
      <c r="Y224" s="5"/>
      <c r="Z224" s="5"/>
    </row>
    <row r="225" spans="1:28" x14ac:dyDescent="0.3">
      <c r="A225" s="5">
        <v>2502543</v>
      </c>
      <c r="B225" s="20" t="s">
        <v>1141</v>
      </c>
      <c r="C225" s="25">
        <v>45701</v>
      </c>
      <c r="D225" s="5" t="s">
        <v>21</v>
      </c>
      <c r="E225" s="5" t="s">
        <v>71</v>
      </c>
      <c r="F225" s="5" t="s">
        <v>14</v>
      </c>
      <c r="G225" s="5" t="e" vm="5">
        <v>#VALUE!</v>
      </c>
      <c r="H225" s="5">
        <v>7.08</v>
      </c>
      <c r="I225" s="5"/>
      <c r="J225" s="5"/>
      <c r="K225" s="11">
        <v>22000</v>
      </c>
      <c r="M225" s="5" t="s">
        <v>125</v>
      </c>
      <c r="N225" s="5" t="s">
        <v>73</v>
      </c>
      <c r="O225" s="5" t="s">
        <v>243</v>
      </c>
      <c r="P225" s="5">
        <v>12</v>
      </c>
      <c r="Q225" s="5" t="s">
        <v>286</v>
      </c>
      <c r="R225" s="5"/>
      <c r="S225" s="5" t="s">
        <v>1142</v>
      </c>
      <c r="T225" s="20" t="s">
        <v>1143</v>
      </c>
      <c r="U225" s="5" t="s">
        <v>1144</v>
      </c>
      <c r="V225" s="21" t="s">
        <v>1145</v>
      </c>
      <c r="W225" s="5" t="s">
        <v>109</v>
      </c>
      <c r="X225" s="5" t="s">
        <v>81</v>
      </c>
      <c r="Y225" s="5"/>
      <c r="Z225" s="5"/>
    </row>
    <row r="226" spans="1:28" x14ac:dyDescent="0.3">
      <c r="A226" s="5">
        <v>2502560</v>
      </c>
      <c r="B226" s="20" t="s">
        <v>1146</v>
      </c>
      <c r="C226" s="25">
        <v>45708</v>
      </c>
      <c r="D226" s="5" t="s">
        <v>17</v>
      </c>
      <c r="E226" s="5" t="s">
        <v>71</v>
      </c>
      <c r="F226" s="5" t="s">
        <v>14</v>
      </c>
      <c r="G226" s="5" t="e" vm="8">
        <v>#VALUE!</v>
      </c>
      <c r="H226" s="5">
        <v>14.16</v>
      </c>
      <c r="I226" s="5"/>
      <c r="J226" s="5"/>
      <c r="K226" s="11">
        <v>35000</v>
      </c>
      <c r="M226" s="5" t="s">
        <v>125</v>
      </c>
      <c r="N226" s="5" t="s">
        <v>73</v>
      </c>
      <c r="O226" s="5" t="s">
        <v>243</v>
      </c>
      <c r="P226" s="5">
        <v>24</v>
      </c>
      <c r="Q226" s="5" t="s">
        <v>143</v>
      </c>
      <c r="R226" s="5"/>
      <c r="S226" s="5" t="s">
        <v>1147</v>
      </c>
      <c r="T226" s="20" t="s">
        <v>1148</v>
      </c>
      <c r="U226" s="5" t="s">
        <v>1149</v>
      </c>
      <c r="V226" s="21" t="s">
        <v>1150</v>
      </c>
      <c r="W226" s="5" t="s">
        <v>965</v>
      </c>
      <c r="X226" s="5" t="s">
        <v>81</v>
      </c>
      <c r="Y226" s="5"/>
      <c r="Z226" s="5" t="s">
        <v>269</v>
      </c>
    </row>
    <row r="227" spans="1:28" x14ac:dyDescent="0.3">
      <c r="A227" s="5" t="s">
        <v>1151</v>
      </c>
      <c r="B227" s="20" t="s">
        <v>1152</v>
      </c>
      <c r="C227" s="25">
        <v>45713</v>
      </c>
      <c r="D227" s="5" t="s">
        <v>17</v>
      </c>
      <c r="E227" s="5" t="s">
        <v>71</v>
      </c>
      <c r="F227" s="5" t="s">
        <v>14</v>
      </c>
      <c r="G227" s="5" t="e" vm="12">
        <v>#VALUE!</v>
      </c>
      <c r="H227" s="5">
        <v>17.7</v>
      </c>
      <c r="I227" s="5"/>
      <c r="J227" s="5"/>
      <c r="K227" s="11">
        <v>43000</v>
      </c>
      <c r="M227" s="5" t="s">
        <v>125</v>
      </c>
      <c r="N227" s="5" t="s">
        <v>73</v>
      </c>
      <c r="O227" s="5" t="s">
        <v>243</v>
      </c>
      <c r="P227" s="5">
        <v>30</v>
      </c>
      <c r="Q227" s="5" t="s">
        <v>143</v>
      </c>
      <c r="R227" s="5"/>
      <c r="S227" s="5" t="s">
        <v>1153</v>
      </c>
      <c r="T227" s="20" t="s">
        <v>1154</v>
      </c>
      <c r="U227" s="5" t="s">
        <v>1155</v>
      </c>
      <c r="V227" s="21" t="s">
        <v>1156</v>
      </c>
      <c r="W227" s="5" t="s">
        <v>965</v>
      </c>
      <c r="X227" s="5" t="s">
        <v>81</v>
      </c>
      <c r="Y227" s="5"/>
      <c r="Z227" s="5"/>
    </row>
    <row r="228" spans="1:28" x14ac:dyDescent="0.3">
      <c r="A228" s="5">
        <v>2502569</v>
      </c>
      <c r="B228" s="20" t="s">
        <v>1157</v>
      </c>
      <c r="C228" s="25">
        <v>45712</v>
      </c>
      <c r="D228" s="5" t="s">
        <v>21</v>
      </c>
      <c r="E228" s="5" t="s">
        <v>71</v>
      </c>
      <c r="F228" s="5" t="s">
        <v>14</v>
      </c>
      <c r="G228" s="5" t="e" vm="5">
        <v>#VALUE!</v>
      </c>
      <c r="H228" s="5">
        <v>8.85</v>
      </c>
      <c r="I228" s="5"/>
      <c r="J228" s="5"/>
      <c r="K228" s="11">
        <v>29228</v>
      </c>
      <c r="M228" s="5" t="s">
        <v>176</v>
      </c>
      <c r="N228" s="5" t="s">
        <v>73</v>
      </c>
      <c r="O228" s="5" t="s">
        <v>243</v>
      </c>
      <c r="P228" s="5">
        <v>15</v>
      </c>
      <c r="Q228" s="14" t="s">
        <v>364</v>
      </c>
      <c r="R228" s="5"/>
      <c r="S228" s="5" t="s">
        <v>1158</v>
      </c>
      <c r="T228" s="20" t="s">
        <v>1159</v>
      </c>
      <c r="U228" s="5" t="s">
        <v>1160</v>
      </c>
      <c r="V228" s="21" t="s">
        <v>1161</v>
      </c>
      <c r="W228" s="5" t="s">
        <v>965</v>
      </c>
      <c r="X228" s="5" t="s">
        <v>81</v>
      </c>
      <c r="Y228" s="5"/>
      <c r="Z228" s="5"/>
    </row>
    <row r="229" spans="1:28" x14ac:dyDescent="0.3">
      <c r="A229" s="5">
        <v>2502565</v>
      </c>
      <c r="B229" s="20" t="s">
        <v>1162</v>
      </c>
      <c r="C229" s="25">
        <v>45713</v>
      </c>
      <c r="D229" s="5" t="s">
        <v>20</v>
      </c>
      <c r="E229" s="5" t="s">
        <v>71</v>
      </c>
      <c r="F229" s="5" t="s">
        <v>14</v>
      </c>
      <c r="G229" s="5" t="e" vm="5">
        <v>#VALUE!</v>
      </c>
      <c r="H229" s="5">
        <v>7.67</v>
      </c>
      <c r="I229" s="5"/>
      <c r="J229" s="5"/>
      <c r="K229" s="11">
        <v>21500</v>
      </c>
      <c r="M229" s="5" t="s">
        <v>125</v>
      </c>
      <c r="N229" s="5" t="s">
        <v>73</v>
      </c>
      <c r="O229" s="5" t="s">
        <v>243</v>
      </c>
      <c r="P229" s="5">
        <v>13</v>
      </c>
      <c r="Q229" s="14" t="s">
        <v>244</v>
      </c>
      <c r="R229" s="5"/>
      <c r="S229" s="5" t="s">
        <v>1163</v>
      </c>
      <c r="T229" s="20" t="s">
        <v>1164</v>
      </c>
      <c r="U229" s="5" t="s">
        <v>1165</v>
      </c>
      <c r="V229" s="21" t="s">
        <v>1166</v>
      </c>
      <c r="W229" s="5" t="s">
        <v>965</v>
      </c>
      <c r="X229" s="5" t="s">
        <v>81</v>
      </c>
      <c r="Y229" s="5"/>
      <c r="Z229" s="5"/>
    </row>
    <row r="230" spans="1:28" x14ac:dyDescent="0.3">
      <c r="A230" s="5">
        <v>2502549</v>
      </c>
      <c r="B230" s="20" t="s">
        <v>1167</v>
      </c>
      <c r="C230" s="25">
        <v>45715</v>
      </c>
      <c r="D230" s="5" t="s">
        <v>22</v>
      </c>
      <c r="E230" s="5" t="s">
        <v>71</v>
      </c>
      <c r="F230" s="5" t="s">
        <v>14</v>
      </c>
      <c r="G230" s="5" t="e" vm="11">
        <v>#VALUE!</v>
      </c>
      <c r="H230" s="5">
        <v>14.16</v>
      </c>
      <c r="I230" s="5"/>
      <c r="J230" s="5"/>
      <c r="K230" s="11">
        <v>35000</v>
      </c>
      <c r="M230" s="5" t="s">
        <v>125</v>
      </c>
      <c r="N230" s="5" t="s">
        <v>73</v>
      </c>
      <c r="O230" s="5" t="s">
        <v>243</v>
      </c>
      <c r="P230" s="5">
        <v>24</v>
      </c>
      <c r="Q230" s="5" t="s">
        <v>143</v>
      </c>
      <c r="R230" s="5"/>
      <c r="S230" s="5" t="s">
        <v>1168</v>
      </c>
      <c r="T230" s="20" t="s">
        <v>1169</v>
      </c>
      <c r="U230" s="5" t="s">
        <v>1170</v>
      </c>
      <c r="V230" s="20" t="s">
        <v>1171</v>
      </c>
      <c r="W230" s="5" t="s">
        <v>965</v>
      </c>
      <c r="X230" s="5" t="s">
        <v>81</v>
      </c>
      <c r="Y230" s="5"/>
      <c r="Z230" s="5"/>
    </row>
    <row r="231" spans="1:28" x14ac:dyDescent="0.3">
      <c r="A231" s="5">
        <v>2405286</v>
      </c>
      <c r="B231" s="20" t="s">
        <v>1172</v>
      </c>
      <c r="C231" s="25">
        <v>45716</v>
      </c>
      <c r="D231" s="5" t="s">
        <v>17</v>
      </c>
      <c r="E231" s="5" t="s">
        <v>71</v>
      </c>
      <c r="F231" s="5" t="s">
        <v>14</v>
      </c>
      <c r="G231" s="5" t="e" vm="5">
        <v>#VALUE!</v>
      </c>
      <c r="H231" s="5">
        <v>17.7</v>
      </c>
      <c r="I231" s="5"/>
      <c r="J231" s="5"/>
      <c r="K231" s="11">
        <v>41000</v>
      </c>
      <c r="M231" s="5" t="s">
        <v>125</v>
      </c>
      <c r="N231" s="5" t="s">
        <v>73</v>
      </c>
      <c r="O231" s="5" t="s">
        <v>243</v>
      </c>
      <c r="P231" s="5">
        <v>30</v>
      </c>
      <c r="Q231" s="5" t="s">
        <v>143</v>
      </c>
      <c r="R231" s="5"/>
      <c r="S231" s="5" t="s">
        <v>1173</v>
      </c>
      <c r="T231" s="20" t="s">
        <v>1174</v>
      </c>
      <c r="U231" s="5" t="s">
        <v>1175</v>
      </c>
      <c r="V231" s="21" t="s">
        <v>1176</v>
      </c>
      <c r="W231" s="5" t="s">
        <v>965</v>
      </c>
      <c r="X231" s="5" t="s">
        <v>81</v>
      </c>
      <c r="Y231" s="5"/>
      <c r="Z231" s="5"/>
    </row>
    <row r="232" spans="1:28" x14ac:dyDescent="0.3">
      <c r="A232" s="5">
        <v>2501527</v>
      </c>
      <c r="B232" s="20" t="s">
        <v>1177</v>
      </c>
      <c r="C232" s="25">
        <v>45718</v>
      </c>
      <c r="D232" s="5" t="s">
        <v>17</v>
      </c>
      <c r="E232" s="5" t="s">
        <v>71</v>
      </c>
      <c r="F232" s="5" t="s">
        <v>14</v>
      </c>
      <c r="G232" s="5" t="e" vm="11">
        <v>#VALUE!</v>
      </c>
      <c r="H232" s="5">
        <v>11.8</v>
      </c>
      <c r="I232" s="5"/>
      <c r="J232" s="5"/>
      <c r="K232" s="11">
        <v>31000</v>
      </c>
      <c r="M232" s="5" t="s">
        <v>125</v>
      </c>
      <c r="N232" s="5" t="s">
        <v>73</v>
      </c>
      <c r="O232" s="5" t="s">
        <v>243</v>
      </c>
      <c r="P232" s="5">
        <v>20</v>
      </c>
      <c r="Q232" s="5" t="s">
        <v>111</v>
      </c>
      <c r="R232" s="5"/>
      <c r="S232" s="5" t="s">
        <v>1178</v>
      </c>
      <c r="T232" s="20" t="s">
        <v>1179</v>
      </c>
      <c r="U232" s="5" t="s">
        <v>1180</v>
      </c>
      <c r="V232" s="20" t="s">
        <v>1181</v>
      </c>
      <c r="W232" s="5" t="s">
        <v>965</v>
      </c>
      <c r="X232" s="5" t="s">
        <v>81</v>
      </c>
      <c r="Y232" s="5"/>
      <c r="Z232" s="5"/>
    </row>
    <row r="233" spans="1:28" x14ac:dyDescent="0.3">
      <c r="A233" s="5">
        <v>2501529</v>
      </c>
      <c r="B233" s="20" t="s">
        <v>1182</v>
      </c>
      <c r="C233" s="25">
        <v>45718</v>
      </c>
      <c r="D233" s="5" t="s">
        <v>17</v>
      </c>
      <c r="E233" s="5" t="s">
        <v>71</v>
      </c>
      <c r="F233" s="5" t="s">
        <v>14</v>
      </c>
      <c r="G233" s="5" t="e" vm="11">
        <v>#VALUE!</v>
      </c>
      <c r="H233" s="5">
        <v>10.62</v>
      </c>
      <c r="I233" s="5"/>
      <c r="J233" s="5"/>
      <c r="K233" s="11">
        <v>29000</v>
      </c>
      <c r="M233" s="5" t="s">
        <v>125</v>
      </c>
      <c r="N233" s="5" t="s">
        <v>73</v>
      </c>
      <c r="O233" s="5" t="s">
        <v>243</v>
      </c>
      <c r="P233" s="5">
        <v>18</v>
      </c>
      <c r="Q233" s="14" t="s">
        <v>364</v>
      </c>
      <c r="R233" s="5"/>
      <c r="S233" s="5" t="s">
        <v>1183</v>
      </c>
      <c r="T233" s="20" t="s">
        <v>1184</v>
      </c>
      <c r="U233" s="5" t="s">
        <v>1180</v>
      </c>
      <c r="V233" s="20" t="s">
        <v>1181</v>
      </c>
      <c r="W233" s="5" t="s">
        <v>965</v>
      </c>
      <c r="X233" s="5" t="s">
        <v>81</v>
      </c>
      <c r="Y233" s="5"/>
      <c r="Z233" s="5"/>
    </row>
    <row r="234" spans="1:28" x14ac:dyDescent="0.3">
      <c r="A234" s="5">
        <v>2502581</v>
      </c>
      <c r="B234" s="20" t="s">
        <v>1185</v>
      </c>
      <c r="C234" s="25">
        <v>45717</v>
      </c>
      <c r="D234" s="5" t="s">
        <v>17</v>
      </c>
      <c r="E234" s="5" t="s">
        <v>71</v>
      </c>
      <c r="F234" s="5" t="s">
        <v>14</v>
      </c>
      <c r="G234" s="5" t="e" vm="5">
        <v>#VALUE!</v>
      </c>
      <c r="H234" s="5">
        <v>7.08</v>
      </c>
      <c r="I234" s="5"/>
      <c r="J234" s="5"/>
      <c r="K234" s="11">
        <v>22340</v>
      </c>
      <c r="M234" s="5" t="s">
        <v>176</v>
      </c>
      <c r="N234" s="5" t="s">
        <v>73</v>
      </c>
      <c r="O234" s="5" t="s">
        <v>243</v>
      </c>
      <c r="P234" s="5">
        <v>12</v>
      </c>
      <c r="Q234" s="5" t="s">
        <v>286</v>
      </c>
      <c r="R234" s="5"/>
      <c r="S234" s="5" t="s">
        <v>1186</v>
      </c>
      <c r="T234" s="20" t="s">
        <v>1187</v>
      </c>
      <c r="U234" s="5" t="s">
        <v>1188</v>
      </c>
      <c r="V234" s="20" t="s">
        <v>1189</v>
      </c>
      <c r="W234" s="5" t="s">
        <v>965</v>
      </c>
      <c r="X234" s="5" t="s">
        <v>81</v>
      </c>
      <c r="Y234" s="5"/>
      <c r="Z234" s="5"/>
    </row>
    <row r="235" spans="1:28" x14ac:dyDescent="0.3">
      <c r="A235" s="5">
        <v>2501540</v>
      </c>
      <c r="B235" s="20" t="s">
        <v>1190</v>
      </c>
      <c r="C235" s="25">
        <v>45716</v>
      </c>
      <c r="D235" s="5" t="s">
        <v>22</v>
      </c>
      <c r="E235" s="5" t="s">
        <v>71</v>
      </c>
      <c r="F235" s="5" t="s">
        <v>14</v>
      </c>
      <c r="G235" s="5" t="e" vm="11">
        <v>#VALUE!</v>
      </c>
      <c r="H235" s="5">
        <v>7.08</v>
      </c>
      <c r="I235" s="5"/>
      <c r="J235" s="5"/>
      <c r="K235" s="11">
        <v>23429</v>
      </c>
      <c r="M235" s="5" t="s">
        <v>1191</v>
      </c>
      <c r="N235" s="5" t="s">
        <v>73</v>
      </c>
      <c r="O235" s="5" t="s">
        <v>243</v>
      </c>
      <c r="P235" s="5">
        <v>12</v>
      </c>
      <c r="Q235" s="5" t="s">
        <v>286</v>
      </c>
      <c r="R235" s="5"/>
      <c r="S235" s="5" t="s">
        <v>1192</v>
      </c>
      <c r="T235" s="20" t="s">
        <v>1193</v>
      </c>
      <c r="U235" s="5" t="s">
        <v>1194</v>
      </c>
      <c r="V235" s="20" t="s">
        <v>1195</v>
      </c>
      <c r="W235" s="5" t="s">
        <v>965</v>
      </c>
      <c r="X235" s="5" t="s">
        <v>81</v>
      </c>
      <c r="Y235" s="5"/>
      <c r="Z235" s="5"/>
    </row>
    <row r="236" spans="1:28" x14ac:dyDescent="0.3">
      <c r="A236" s="5">
        <v>2502571</v>
      </c>
      <c r="B236" s="20" t="s">
        <v>1196</v>
      </c>
      <c r="C236" s="25">
        <v>45718</v>
      </c>
      <c r="D236" s="5" t="s">
        <v>17</v>
      </c>
      <c r="E236" s="5" t="s">
        <v>71</v>
      </c>
      <c r="F236" s="5" t="s">
        <v>14</v>
      </c>
      <c r="G236" s="5" t="e" vm="12">
        <v>#VALUE!</v>
      </c>
      <c r="H236" s="5">
        <v>11.8</v>
      </c>
      <c r="I236" s="5"/>
      <c r="J236" s="5"/>
      <c r="K236" s="11">
        <v>32840</v>
      </c>
      <c r="M236" s="5" t="s">
        <v>176</v>
      </c>
      <c r="N236" s="5" t="s">
        <v>73</v>
      </c>
      <c r="O236" s="5" t="s">
        <v>243</v>
      </c>
      <c r="P236" s="5">
        <v>20</v>
      </c>
      <c r="Q236" s="5" t="s">
        <v>111</v>
      </c>
      <c r="R236" s="5"/>
      <c r="S236" s="5" t="s">
        <v>1197</v>
      </c>
      <c r="T236" s="20" t="s">
        <v>1198</v>
      </c>
      <c r="U236" s="5" t="s">
        <v>1199</v>
      </c>
      <c r="V236" s="21" t="s">
        <v>1200</v>
      </c>
      <c r="W236" s="5" t="s">
        <v>965</v>
      </c>
      <c r="X236" s="5" t="s">
        <v>81</v>
      </c>
      <c r="Y236" s="5"/>
      <c r="Z236" s="5"/>
    </row>
    <row r="237" spans="1:28" x14ac:dyDescent="0.3">
      <c r="A237" s="5">
        <v>2502568</v>
      </c>
      <c r="B237" s="20" t="s">
        <v>1201</v>
      </c>
      <c r="C237" s="25">
        <v>45716</v>
      </c>
      <c r="D237" s="5" t="s">
        <v>17</v>
      </c>
      <c r="E237" s="5" t="s">
        <v>71</v>
      </c>
      <c r="F237" s="5" t="s">
        <v>14</v>
      </c>
      <c r="G237" s="5" t="e" vm="5">
        <v>#VALUE!</v>
      </c>
      <c r="H237" s="5">
        <v>7.08</v>
      </c>
      <c r="I237" s="5"/>
      <c r="J237" s="5"/>
      <c r="K237" s="11">
        <v>25280</v>
      </c>
      <c r="M237" s="5" t="s">
        <v>176</v>
      </c>
      <c r="N237" s="5" t="s">
        <v>73</v>
      </c>
      <c r="O237" s="5" t="s">
        <v>243</v>
      </c>
      <c r="P237" s="5">
        <v>12</v>
      </c>
      <c r="Q237" s="5" t="s">
        <v>1202</v>
      </c>
      <c r="R237" s="5"/>
      <c r="S237" s="5" t="s">
        <v>1203</v>
      </c>
      <c r="T237" s="20" t="s">
        <v>1204</v>
      </c>
      <c r="U237" s="5" t="s">
        <v>1205</v>
      </c>
      <c r="V237" s="21" t="s">
        <v>1206</v>
      </c>
      <c r="W237" s="5" t="s">
        <v>965</v>
      </c>
      <c r="X237" s="5" t="s">
        <v>81</v>
      </c>
      <c r="Y237" s="5"/>
      <c r="Z237" s="5"/>
      <c r="AB237" s="20" t="s">
        <v>1207</v>
      </c>
    </row>
    <row r="238" spans="1:28" x14ac:dyDescent="0.3">
      <c r="A238" s="5">
        <v>2404258</v>
      </c>
      <c r="B238" s="20" t="s">
        <v>1208</v>
      </c>
      <c r="C238" s="25">
        <v>45722</v>
      </c>
      <c r="D238" s="5" t="s">
        <v>17</v>
      </c>
      <c r="E238" s="5" t="s">
        <v>71</v>
      </c>
      <c r="F238" s="5" t="s">
        <v>14</v>
      </c>
      <c r="G238" s="5" t="e" vm="5">
        <v>#VALUE!</v>
      </c>
      <c r="H238" s="5">
        <v>9.44</v>
      </c>
      <c r="I238" s="5"/>
      <c r="J238" s="5"/>
      <c r="K238" s="11">
        <v>27000</v>
      </c>
      <c r="M238" s="5" t="s">
        <v>125</v>
      </c>
      <c r="N238" s="5" t="s">
        <v>73</v>
      </c>
      <c r="O238" s="5" t="s">
        <v>243</v>
      </c>
      <c r="P238" s="5">
        <v>16</v>
      </c>
      <c r="Q238" s="14" t="s">
        <v>364</v>
      </c>
      <c r="R238" s="5"/>
      <c r="S238" s="5" t="s">
        <v>1209</v>
      </c>
      <c r="T238" s="20" t="s">
        <v>1210</v>
      </c>
      <c r="U238" s="5" t="s">
        <v>1211</v>
      </c>
      <c r="V238" s="21" t="s">
        <v>1212</v>
      </c>
      <c r="W238" s="5" t="s">
        <v>965</v>
      </c>
      <c r="X238" s="5" t="s">
        <v>81</v>
      </c>
      <c r="Y238" s="5"/>
      <c r="Z238" s="5"/>
    </row>
    <row r="239" spans="1:28" x14ac:dyDescent="0.3">
      <c r="A239" s="5">
        <v>2503588</v>
      </c>
      <c r="B239" s="20" t="s">
        <v>1213</v>
      </c>
      <c r="C239" s="25">
        <v>45722</v>
      </c>
      <c r="D239" s="5" t="s">
        <v>17</v>
      </c>
      <c r="E239" s="5" t="s">
        <v>71</v>
      </c>
      <c r="F239" s="5" t="s">
        <v>14</v>
      </c>
      <c r="G239" s="5" t="e" vm="8">
        <v>#VALUE!</v>
      </c>
      <c r="H239" s="5">
        <v>7.08</v>
      </c>
      <c r="I239" s="5"/>
      <c r="J239" s="5"/>
      <c r="K239" s="11">
        <v>22500</v>
      </c>
      <c r="M239" s="5" t="s">
        <v>125</v>
      </c>
      <c r="N239" s="5" t="s">
        <v>73</v>
      </c>
      <c r="O239" s="5" t="s">
        <v>243</v>
      </c>
      <c r="P239" s="5">
        <v>12</v>
      </c>
      <c r="Q239" s="5" t="s">
        <v>286</v>
      </c>
      <c r="R239" s="5"/>
      <c r="S239" s="5" t="s">
        <v>1214</v>
      </c>
      <c r="T239" s="20" t="s">
        <v>1215</v>
      </c>
      <c r="U239" s="5" t="s">
        <v>1216</v>
      </c>
      <c r="V239" s="21" t="s">
        <v>1217</v>
      </c>
      <c r="W239" s="5" t="s">
        <v>965</v>
      </c>
      <c r="X239" s="5" t="s">
        <v>81</v>
      </c>
      <c r="Y239" s="5"/>
      <c r="Z239" s="5"/>
    </row>
    <row r="240" spans="1:28" x14ac:dyDescent="0.3">
      <c r="A240" s="5">
        <v>2502561</v>
      </c>
      <c r="B240" s="20" t="s">
        <v>1218</v>
      </c>
      <c r="C240" s="25">
        <v>45723</v>
      </c>
      <c r="D240" s="5" t="s">
        <v>17</v>
      </c>
      <c r="E240" s="5" t="s">
        <v>71</v>
      </c>
      <c r="F240" s="5" t="s">
        <v>14</v>
      </c>
      <c r="G240" s="5" t="e" vm="8">
        <v>#VALUE!</v>
      </c>
      <c r="H240" s="5">
        <v>15.93</v>
      </c>
      <c r="I240" s="5"/>
      <c r="J240" s="5"/>
      <c r="K240" s="11">
        <v>38000</v>
      </c>
      <c r="M240" s="5" t="s">
        <v>125</v>
      </c>
      <c r="N240" s="5" t="s">
        <v>73</v>
      </c>
      <c r="O240" s="5" t="s">
        <v>243</v>
      </c>
      <c r="P240" s="5">
        <v>27</v>
      </c>
      <c r="Q240" s="5" t="s">
        <v>143</v>
      </c>
      <c r="R240" s="5"/>
      <c r="S240" s="5" t="s">
        <v>1219</v>
      </c>
      <c r="T240" s="20" t="s">
        <v>1220</v>
      </c>
      <c r="U240" s="5" t="s">
        <v>1221</v>
      </c>
      <c r="V240" s="21" t="s">
        <v>1222</v>
      </c>
      <c r="W240" s="5" t="s">
        <v>965</v>
      </c>
      <c r="X240" s="5" t="s">
        <v>81</v>
      </c>
      <c r="Y240" s="5"/>
      <c r="Z240" s="5" t="s">
        <v>269</v>
      </c>
    </row>
    <row r="241" spans="1:28" x14ac:dyDescent="0.3">
      <c r="A241" s="5">
        <v>2503590</v>
      </c>
      <c r="B241" s="20" t="s">
        <v>1223</v>
      </c>
      <c r="C241" s="25">
        <v>45723</v>
      </c>
      <c r="D241" s="5" t="s">
        <v>17</v>
      </c>
      <c r="E241" s="5" t="s">
        <v>71</v>
      </c>
      <c r="F241" s="5" t="s">
        <v>14</v>
      </c>
      <c r="G241" s="5" t="e" vm="5">
        <v>#VALUE!</v>
      </c>
      <c r="H241" s="5">
        <v>14.16</v>
      </c>
      <c r="I241" s="5"/>
      <c r="J241" s="5"/>
      <c r="K241" s="11">
        <v>39680</v>
      </c>
      <c r="M241" s="5" t="s">
        <v>176</v>
      </c>
      <c r="N241" s="5" t="s">
        <v>73</v>
      </c>
      <c r="O241" s="5" t="s">
        <v>243</v>
      </c>
      <c r="P241" s="5">
        <v>24</v>
      </c>
      <c r="Q241" s="5" t="s">
        <v>143</v>
      </c>
      <c r="R241" s="5"/>
      <c r="S241" s="5" t="s">
        <v>1224</v>
      </c>
      <c r="T241" s="20" t="s">
        <v>1225</v>
      </c>
      <c r="U241" s="5" t="s">
        <v>1226</v>
      </c>
      <c r="V241" s="21" t="s">
        <v>1227</v>
      </c>
      <c r="W241" s="5" t="s">
        <v>965</v>
      </c>
      <c r="X241" s="5" t="s">
        <v>81</v>
      </c>
      <c r="Y241" s="5"/>
      <c r="Z241" s="5" t="s">
        <v>269</v>
      </c>
    </row>
    <row r="242" spans="1:28" ht="17.850000000000001" customHeight="1" x14ac:dyDescent="0.3">
      <c r="A242" s="5">
        <v>2502570</v>
      </c>
      <c r="B242" s="20" t="s">
        <v>1228</v>
      </c>
      <c r="C242" s="25">
        <v>45723</v>
      </c>
      <c r="D242" s="5" t="s">
        <v>17</v>
      </c>
      <c r="E242" s="5" t="s">
        <v>71</v>
      </c>
      <c r="F242" s="5" t="s">
        <v>14</v>
      </c>
      <c r="G242" s="5" t="e" vm="5">
        <v>#VALUE!</v>
      </c>
      <c r="H242" s="5">
        <v>9.44</v>
      </c>
      <c r="I242" s="5"/>
      <c r="J242" s="5"/>
      <c r="K242" s="11">
        <v>27000</v>
      </c>
      <c r="M242" s="5" t="s">
        <v>125</v>
      </c>
      <c r="N242" s="5" t="s">
        <v>73</v>
      </c>
      <c r="O242" s="5" t="s">
        <v>243</v>
      </c>
      <c r="P242" s="5">
        <v>16</v>
      </c>
      <c r="Q242" s="14" t="s">
        <v>364</v>
      </c>
      <c r="R242" s="5"/>
      <c r="S242" s="5" t="s">
        <v>1229</v>
      </c>
      <c r="T242" s="20" t="s">
        <v>1230</v>
      </c>
      <c r="U242" s="5" t="s">
        <v>1231</v>
      </c>
      <c r="V242" s="21" t="s">
        <v>1232</v>
      </c>
      <c r="W242" s="5" t="s">
        <v>965</v>
      </c>
      <c r="X242" s="5" t="s">
        <v>81</v>
      </c>
      <c r="Y242" s="5"/>
      <c r="Z242" s="5"/>
    </row>
    <row r="243" spans="1:28" x14ac:dyDescent="0.3">
      <c r="A243" s="5">
        <v>2502573</v>
      </c>
      <c r="B243" s="20" t="s">
        <v>1233</v>
      </c>
      <c r="C243" s="25">
        <v>45722</v>
      </c>
      <c r="D243" s="5" t="s">
        <v>20</v>
      </c>
      <c r="E243" s="5" t="s">
        <v>71</v>
      </c>
      <c r="F243" s="5" t="s">
        <v>14</v>
      </c>
      <c r="G243" s="5" t="e" vm="5">
        <v>#VALUE!</v>
      </c>
      <c r="H243" s="5">
        <v>6.49</v>
      </c>
      <c r="I243" s="5"/>
      <c r="J243" s="5"/>
      <c r="K243" s="11">
        <v>26000</v>
      </c>
      <c r="M243" s="5" t="s">
        <v>125</v>
      </c>
      <c r="N243" s="5" t="s">
        <v>73</v>
      </c>
      <c r="O243" s="5" t="s">
        <v>243</v>
      </c>
      <c r="P243" s="5">
        <v>11</v>
      </c>
      <c r="Q243" s="5" t="s">
        <v>380</v>
      </c>
      <c r="R243" s="5"/>
      <c r="S243" s="5" t="s">
        <v>1234</v>
      </c>
      <c r="T243" s="20" t="s">
        <v>1235</v>
      </c>
      <c r="U243" s="5" t="s">
        <v>1236</v>
      </c>
      <c r="V243" s="21" t="s">
        <v>1237</v>
      </c>
      <c r="W243" s="5" t="s">
        <v>965</v>
      </c>
      <c r="X243" s="5" t="s">
        <v>81</v>
      </c>
      <c r="Y243" s="5"/>
      <c r="Z243" s="5"/>
    </row>
    <row r="244" spans="1:28" x14ac:dyDescent="0.3">
      <c r="A244" s="5">
        <v>2503593</v>
      </c>
      <c r="B244" s="20" t="s">
        <v>1238</v>
      </c>
      <c r="C244" s="25">
        <v>45726</v>
      </c>
      <c r="D244" s="5" t="s">
        <v>22</v>
      </c>
      <c r="E244" s="5" t="s">
        <v>71</v>
      </c>
      <c r="F244" s="5" t="s">
        <v>14</v>
      </c>
      <c r="G244" s="5" t="e" vm="11">
        <v>#VALUE!</v>
      </c>
      <c r="H244" s="5">
        <v>7.08</v>
      </c>
      <c r="I244" s="5"/>
      <c r="J244" s="5"/>
      <c r="K244" s="11">
        <v>24548</v>
      </c>
      <c r="M244" s="5" t="s">
        <v>176</v>
      </c>
      <c r="N244" s="5" t="s">
        <v>73</v>
      </c>
      <c r="O244" s="5" t="s">
        <v>243</v>
      </c>
      <c r="P244" s="5">
        <v>12</v>
      </c>
      <c r="Q244" s="5" t="s">
        <v>286</v>
      </c>
      <c r="R244" s="5"/>
      <c r="S244" s="5" t="s">
        <v>1239</v>
      </c>
      <c r="T244" s="20" t="s">
        <v>1240</v>
      </c>
      <c r="U244" s="5" t="s">
        <v>1241</v>
      </c>
      <c r="V244" s="21" t="s">
        <v>1242</v>
      </c>
      <c r="W244" s="5" t="s">
        <v>965</v>
      </c>
      <c r="X244" s="5" t="s">
        <v>81</v>
      </c>
      <c r="Y244" s="5"/>
      <c r="Z244" s="5"/>
    </row>
    <row r="245" spans="1:28" x14ac:dyDescent="0.3">
      <c r="A245" s="5">
        <v>2501211</v>
      </c>
      <c r="B245" s="20" t="s">
        <v>1243</v>
      </c>
      <c r="C245" s="25">
        <v>45723</v>
      </c>
      <c r="D245" s="5" t="s">
        <v>19</v>
      </c>
      <c r="E245" s="5" t="s">
        <v>124</v>
      </c>
      <c r="F245" s="5" t="s">
        <v>14</v>
      </c>
      <c r="G245" s="5" t="e" vm="11">
        <v>#VALUE!</v>
      </c>
      <c r="H245" s="5">
        <v>26.55</v>
      </c>
      <c r="I245" s="5"/>
      <c r="J245" s="5"/>
      <c r="K245" s="11">
        <v>54000</v>
      </c>
      <c r="M245" s="5" t="s">
        <v>125</v>
      </c>
      <c r="N245" s="5" t="s">
        <v>73</v>
      </c>
      <c r="O245" s="5" t="s">
        <v>243</v>
      </c>
      <c r="P245" s="5">
        <v>45</v>
      </c>
      <c r="Q245" s="5" t="s">
        <v>341</v>
      </c>
      <c r="R245" s="5"/>
      <c r="T245" s="20" t="s">
        <v>1244</v>
      </c>
      <c r="W245" s="5" t="s">
        <v>965</v>
      </c>
      <c r="X245" s="5" t="s">
        <v>81</v>
      </c>
      <c r="Y245" s="5"/>
      <c r="Z245" s="5"/>
      <c r="AB245" s="20" t="s">
        <v>1245</v>
      </c>
    </row>
    <row r="246" spans="1:28" x14ac:dyDescent="0.3">
      <c r="A246" s="5">
        <v>2502589</v>
      </c>
      <c r="B246" s="20" t="s">
        <v>1246</v>
      </c>
      <c r="C246" s="25">
        <v>45723</v>
      </c>
      <c r="D246" s="5" t="s">
        <v>22</v>
      </c>
      <c r="E246" s="5" t="s">
        <v>71</v>
      </c>
      <c r="F246" s="5" t="s">
        <v>14</v>
      </c>
      <c r="G246" s="5" t="e" vm="11">
        <v>#VALUE!</v>
      </c>
      <c r="H246" s="5">
        <v>8.85</v>
      </c>
      <c r="I246" s="5"/>
      <c r="J246" s="5"/>
      <c r="K246" s="11">
        <v>26000</v>
      </c>
      <c r="M246" s="5" t="s">
        <v>125</v>
      </c>
      <c r="N246" s="5" t="s">
        <v>73</v>
      </c>
      <c r="O246" s="5" t="s">
        <v>243</v>
      </c>
      <c r="P246" s="5">
        <v>15</v>
      </c>
      <c r="Q246" s="14" t="s">
        <v>364</v>
      </c>
      <c r="R246" s="5"/>
      <c r="S246" s="5" t="s">
        <v>1247</v>
      </c>
      <c r="T246" s="20" t="s">
        <v>1248</v>
      </c>
      <c r="U246" s="5" t="s">
        <v>1249</v>
      </c>
      <c r="V246" s="21" t="s">
        <v>1250</v>
      </c>
      <c r="W246" s="5" t="s">
        <v>965</v>
      </c>
      <c r="X246" s="5" t="s">
        <v>81</v>
      </c>
      <c r="Y246" s="5"/>
      <c r="Z246" s="5"/>
    </row>
    <row r="247" spans="1:28" x14ac:dyDescent="0.3">
      <c r="A247" s="5">
        <v>2403090</v>
      </c>
      <c r="B247" s="20" t="s">
        <v>1251</v>
      </c>
      <c r="C247" s="25">
        <v>45715</v>
      </c>
      <c r="D247" s="5" t="s">
        <v>17</v>
      </c>
      <c r="E247" s="5" t="s">
        <v>124</v>
      </c>
      <c r="F247" s="5" t="s">
        <v>14</v>
      </c>
      <c r="G247" s="5" t="e" vm="8">
        <v>#VALUE!</v>
      </c>
      <c r="H247" s="5">
        <v>476.13</v>
      </c>
      <c r="I247" s="5">
        <v>44</v>
      </c>
      <c r="J247" s="5"/>
      <c r="K247" s="11">
        <v>898000</v>
      </c>
      <c r="L247" s="24">
        <v>8500</v>
      </c>
      <c r="M247" s="5" t="s">
        <v>125</v>
      </c>
      <c r="N247" s="5" t="s">
        <v>73</v>
      </c>
      <c r="O247" s="5" t="s">
        <v>243</v>
      </c>
      <c r="P247" s="5">
        <v>807</v>
      </c>
      <c r="Q247" s="14"/>
      <c r="R247" s="5"/>
      <c r="W247" s="5" t="s">
        <v>965</v>
      </c>
      <c r="X247" s="5" t="s">
        <v>81</v>
      </c>
      <c r="Y247" s="5" t="s">
        <v>563</v>
      </c>
      <c r="Z247" s="5"/>
    </row>
    <row r="248" spans="1:28" x14ac:dyDescent="0.3">
      <c r="A248" s="5">
        <v>2502557</v>
      </c>
      <c r="B248" s="20" t="s">
        <v>1252</v>
      </c>
      <c r="C248" s="25">
        <v>45727</v>
      </c>
      <c r="D248" s="5" t="s">
        <v>22</v>
      </c>
      <c r="E248" s="5" t="s">
        <v>71</v>
      </c>
      <c r="F248" s="5" t="s">
        <v>14</v>
      </c>
      <c r="G248" s="5" t="e" vm="11">
        <v>#VALUE!</v>
      </c>
      <c r="H248" s="5">
        <v>9.44</v>
      </c>
      <c r="I248" s="5"/>
      <c r="J248" s="5"/>
      <c r="K248" s="11">
        <v>28000</v>
      </c>
      <c r="M248" s="5" t="s">
        <v>125</v>
      </c>
      <c r="N248" s="5" t="s">
        <v>73</v>
      </c>
      <c r="O248" s="5" t="s">
        <v>243</v>
      </c>
      <c r="P248" s="5">
        <v>16</v>
      </c>
      <c r="Q248" s="14" t="s">
        <v>364</v>
      </c>
      <c r="R248" s="5"/>
      <c r="S248" s="5" t="s">
        <v>1253</v>
      </c>
      <c r="T248" s="20" t="s">
        <v>1254</v>
      </c>
      <c r="U248" s="5" t="s">
        <v>1255</v>
      </c>
      <c r="V248" s="21" t="s">
        <v>1256</v>
      </c>
      <c r="W248" s="5" t="s">
        <v>965</v>
      </c>
      <c r="X248" s="5" t="s">
        <v>81</v>
      </c>
      <c r="Y248" s="5"/>
      <c r="Z248" s="5"/>
    </row>
    <row r="249" spans="1:28" x14ac:dyDescent="0.3">
      <c r="A249" s="5">
        <v>2503594</v>
      </c>
      <c r="B249" s="20" t="s">
        <v>1257</v>
      </c>
      <c r="C249" s="25">
        <v>45727</v>
      </c>
      <c r="D249" s="5" t="s">
        <v>22</v>
      </c>
      <c r="E249" s="5" t="s">
        <v>71</v>
      </c>
      <c r="F249" s="5" t="s">
        <v>14</v>
      </c>
      <c r="G249" s="5" t="e" vm="5">
        <v>#VALUE!</v>
      </c>
      <c r="H249" s="5">
        <v>7.08</v>
      </c>
      <c r="I249" s="5"/>
      <c r="J249" s="5"/>
      <c r="K249" s="11">
        <v>22500</v>
      </c>
      <c r="M249" s="5" t="s">
        <v>125</v>
      </c>
      <c r="N249" s="5" t="s">
        <v>73</v>
      </c>
      <c r="O249" s="5" t="s">
        <v>243</v>
      </c>
      <c r="P249" s="5">
        <v>12</v>
      </c>
      <c r="Q249" s="5" t="s">
        <v>286</v>
      </c>
      <c r="R249" s="5"/>
      <c r="S249" s="5" t="s">
        <v>1258</v>
      </c>
      <c r="T249" s="20" t="s">
        <v>1259</v>
      </c>
      <c r="U249" s="5" t="s">
        <v>1260</v>
      </c>
      <c r="V249" s="21" t="s">
        <v>1261</v>
      </c>
      <c r="W249" s="5" t="s">
        <v>965</v>
      </c>
      <c r="X249" s="5" t="s">
        <v>81</v>
      </c>
      <c r="Y249" s="5"/>
      <c r="Z249" s="5" t="s">
        <v>1262</v>
      </c>
    </row>
    <row r="250" spans="1:28" x14ac:dyDescent="0.3">
      <c r="A250" s="5">
        <v>2503597</v>
      </c>
      <c r="B250" s="20" t="s">
        <v>1263</v>
      </c>
      <c r="C250" s="25">
        <v>45727</v>
      </c>
      <c r="D250" s="5" t="s">
        <v>19</v>
      </c>
      <c r="E250" s="5" t="s">
        <v>71</v>
      </c>
      <c r="F250" s="5" t="s">
        <v>14</v>
      </c>
      <c r="G250" s="5" t="e" vm="11">
        <v>#VALUE!</v>
      </c>
      <c r="H250" s="5">
        <v>10.62</v>
      </c>
      <c r="I250" s="5"/>
      <c r="J250" s="5"/>
      <c r="K250" s="11">
        <v>31000</v>
      </c>
      <c r="M250" s="5" t="s">
        <v>125</v>
      </c>
      <c r="N250" s="5" t="s">
        <v>73</v>
      </c>
      <c r="O250" s="5" t="s">
        <v>243</v>
      </c>
      <c r="P250" s="5">
        <v>18</v>
      </c>
      <c r="Q250" s="14" t="s">
        <v>364</v>
      </c>
      <c r="R250" s="5"/>
      <c r="S250" s="5" t="s">
        <v>1264</v>
      </c>
      <c r="T250" s="20" t="s">
        <v>1265</v>
      </c>
      <c r="U250" s="5" t="s">
        <v>1266</v>
      </c>
      <c r="V250" s="21" t="s">
        <v>1267</v>
      </c>
      <c r="W250" s="5" t="s">
        <v>965</v>
      </c>
      <c r="X250" s="5" t="s">
        <v>81</v>
      </c>
      <c r="Y250" s="5"/>
      <c r="Z250" s="5"/>
    </row>
    <row r="251" spans="1:28" x14ac:dyDescent="0.3">
      <c r="A251" s="5">
        <v>2502588</v>
      </c>
      <c r="B251" s="20" t="s">
        <v>1268</v>
      </c>
      <c r="C251" s="25">
        <v>45728</v>
      </c>
      <c r="D251" s="5" t="s">
        <v>22</v>
      </c>
      <c r="E251" s="5" t="s">
        <v>71</v>
      </c>
      <c r="F251" s="5" t="s">
        <v>14</v>
      </c>
      <c r="G251" s="5" t="e" vm="11">
        <v>#VALUE!</v>
      </c>
      <c r="H251" s="5">
        <v>8.85</v>
      </c>
      <c r="I251" s="5"/>
      <c r="J251" s="5"/>
      <c r="K251" s="11">
        <v>26600</v>
      </c>
      <c r="L251" s="24">
        <v>1000</v>
      </c>
      <c r="M251" s="5" t="s">
        <v>125</v>
      </c>
      <c r="N251" s="5" t="s">
        <v>73</v>
      </c>
      <c r="O251" s="5" t="s">
        <v>243</v>
      </c>
      <c r="P251" s="5">
        <v>15</v>
      </c>
      <c r="Q251" s="14" t="s">
        <v>364</v>
      </c>
      <c r="R251" s="5"/>
      <c r="S251" s="5" t="s">
        <v>1269</v>
      </c>
      <c r="T251" s="20" t="s">
        <v>1270</v>
      </c>
      <c r="U251" s="5" t="s">
        <v>1271</v>
      </c>
      <c r="V251" s="20" t="s">
        <v>1272</v>
      </c>
      <c r="W251" s="5" t="s">
        <v>965</v>
      </c>
      <c r="X251" s="5" t="s">
        <v>81</v>
      </c>
      <c r="Y251" s="5"/>
      <c r="Z251" s="5"/>
    </row>
    <row r="252" spans="1:28" x14ac:dyDescent="0.3">
      <c r="A252" s="5">
        <v>2502040</v>
      </c>
      <c r="B252" s="20" t="s">
        <v>1273</v>
      </c>
      <c r="C252" s="25">
        <v>45728</v>
      </c>
      <c r="D252" s="5" t="s">
        <v>20</v>
      </c>
      <c r="E252" s="5" t="s">
        <v>206</v>
      </c>
      <c r="F252" s="5"/>
      <c r="G252" s="5" t="e" vm="5">
        <v>#VALUE!</v>
      </c>
      <c r="H252" s="5"/>
      <c r="I252" s="5">
        <v>62</v>
      </c>
      <c r="J252" s="5"/>
      <c r="K252" s="11">
        <v>92000</v>
      </c>
      <c r="L252" s="24">
        <v>400</v>
      </c>
      <c r="M252" s="5" t="s">
        <v>125</v>
      </c>
      <c r="N252" s="5" t="s">
        <v>73</v>
      </c>
      <c r="O252" s="5" t="s">
        <v>18</v>
      </c>
      <c r="P252" s="5" t="s">
        <v>18</v>
      </c>
      <c r="Q252" s="14" t="s">
        <v>18</v>
      </c>
      <c r="R252" s="5"/>
      <c r="W252" s="5" t="s">
        <v>109</v>
      </c>
      <c r="X252" s="5" t="s">
        <v>81</v>
      </c>
      <c r="Y252" s="5"/>
      <c r="Z252" s="5"/>
    </row>
    <row r="253" spans="1:28" x14ac:dyDescent="0.3">
      <c r="A253" s="5">
        <v>2503595</v>
      </c>
      <c r="B253" s="20" t="s">
        <v>1274</v>
      </c>
      <c r="C253" s="25">
        <v>45730</v>
      </c>
      <c r="D253" s="5" t="s">
        <v>17</v>
      </c>
      <c r="E253" s="5" t="s">
        <v>71</v>
      </c>
      <c r="F253" s="5" t="s">
        <v>14</v>
      </c>
      <c r="G253" s="5" t="e" vm="8">
        <v>#VALUE!</v>
      </c>
      <c r="H253" s="5">
        <v>14.16</v>
      </c>
      <c r="I253" s="5"/>
      <c r="J253" s="5"/>
      <c r="K253" s="11">
        <v>35000</v>
      </c>
      <c r="M253" s="5" t="s">
        <v>125</v>
      </c>
      <c r="N253" s="5" t="s">
        <v>73</v>
      </c>
      <c r="O253" s="5" t="s">
        <v>243</v>
      </c>
      <c r="P253" s="5">
        <v>24</v>
      </c>
      <c r="Q253" s="5" t="s">
        <v>143</v>
      </c>
      <c r="R253" s="5"/>
      <c r="S253" s="5" t="s">
        <v>1275</v>
      </c>
      <c r="T253" s="20" t="s">
        <v>1276</v>
      </c>
      <c r="U253" s="5" t="s">
        <v>1277</v>
      </c>
      <c r="V253" s="20" t="s">
        <v>1278</v>
      </c>
      <c r="W253" s="5" t="s">
        <v>965</v>
      </c>
      <c r="X253" s="5" t="s">
        <v>81</v>
      </c>
      <c r="Y253" s="5"/>
      <c r="Z253" s="5" t="s">
        <v>269</v>
      </c>
    </row>
    <row r="254" spans="1:28" x14ac:dyDescent="0.3">
      <c r="A254" s="5">
        <v>2503586</v>
      </c>
      <c r="B254" s="20" t="s">
        <v>1279</v>
      </c>
      <c r="C254" s="25">
        <v>45730</v>
      </c>
      <c r="D254" s="5" t="s">
        <v>22</v>
      </c>
      <c r="E254" s="5" t="s">
        <v>71</v>
      </c>
      <c r="F254" s="5" t="s">
        <v>14</v>
      </c>
      <c r="G254" s="5" t="e" vm="11">
        <v>#VALUE!</v>
      </c>
      <c r="H254" s="5">
        <v>6.49</v>
      </c>
      <c r="I254" s="5"/>
      <c r="J254" s="5"/>
      <c r="K254" s="11">
        <v>21500</v>
      </c>
      <c r="M254" s="5" t="s">
        <v>125</v>
      </c>
      <c r="N254" s="5" t="s">
        <v>73</v>
      </c>
      <c r="O254" s="5" t="s">
        <v>243</v>
      </c>
      <c r="P254" s="5">
        <v>11</v>
      </c>
      <c r="Q254" s="14" t="s">
        <v>286</v>
      </c>
      <c r="R254" s="5"/>
      <c r="S254" s="5" t="s">
        <v>1280</v>
      </c>
      <c r="T254" s="20" t="s">
        <v>1281</v>
      </c>
      <c r="U254" s="5" t="s">
        <v>1282</v>
      </c>
      <c r="V254" s="21" t="s">
        <v>1283</v>
      </c>
      <c r="W254" s="5" t="s">
        <v>965</v>
      </c>
      <c r="X254" s="5" t="s">
        <v>81</v>
      </c>
      <c r="Y254" s="5"/>
      <c r="Z254" s="5" t="s">
        <v>1262</v>
      </c>
    </row>
    <row r="255" spans="1:28" x14ac:dyDescent="0.3">
      <c r="A255" s="5">
        <v>2503604</v>
      </c>
      <c r="B255" s="20" t="s">
        <v>1284</v>
      </c>
      <c r="C255" s="25">
        <v>45733</v>
      </c>
      <c r="D255" s="5" t="s">
        <v>17</v>
      </c>
      <c r="E255" s="5" t="s">
        <v>71</v>
      </c>
      <c r="F255" s="5" t="s">
        <v>14</v>
      </c>
      <c r="G255" s="5" t="e" vm="11">
        <v>#VALUE!</v>
      </c>
      <c r="H255" s="5">
        <v>9.44</v>
      </c>
      <c r="I255" s="5"/>
      <c r="J255" s="5"/>
      <c r="K255" s="11">
        <v>27000</v>
      </c>
      <c r="M255" s="5" t="s">
        <v>125</v>
      </c>
      <c r="N255" s="5" t="s">
        <v>73</v>
      </c>
      <c r="O255" s="5" t="s">
        <v>243</v>
      </c>
      <c r="P255" s="5">
        <v>16</v>
      </c>
      <c r="Q255" s="14" t="s">
        <v>364</v>
      </c>
      <c r="R255" s="5"/>
      <c r="S255" s="5" t="s">
        <v>1285</v>
      </c>
      <c r="T255" s="20" t="s">
        <v>1286</v>
      </c>
      <c r="U255" s="5" t="s">
        <v>1287</v>
      </c>
      <c r="V255" s="20" t="s">
        <v>1288</v>
      </c>
      <c r="W255" s="5" t="s">
        <v>965</v>
      </c>
      <c r="X255" s="5" t="s">
        <v>81</v>
      </c>
      <c r="Y255" s="5"/>
      <c r="Z255" s="5"/>
    </row>
    <row r="256" spans="1:28" x14ac:dyDescent="0.3">
      <c r="A256" s="5">
        <v>2503598</v>
      </c>
      <c r="B256" s="20" t="s">
        <v>1289</v>
      </c>
      <c r="C256" s="25">
        <v>45733</v>
      </c>
      <c r="D256" s="5" t="s">
        <v>17</v>
      </c>
      <c r="E256" s="5" t="s">
        <v>71</v>
      </c>
      <c r="F256" s="5" t="s">
        <v>14</v>
      </c>
      <c r="G256" s="5" t="e" vm="5">
        <v>#VALUE!</v>
      </c>
      <c r="H256" s="5">
        <v>9.44</v>
      </c>
      <c r="I256" s="5"/>
      <c r="J256" s="5"/>
      <c r="K256" s="11">
        <v>27000</v>
      </c>
      <c r="M256" s="5" t="s">
        <v>125</v>
      </c>
      <c r="N256" s="5" t="s">
        <v>73</v>
      </c>
      <c r="O256" s="5" t="s">
        <v>243</v>
      </c>
      <c r="P256" s="5">
        <v>16</v>
      </c>
      <c r="Q256" s="14" t="s">
        <v>364</v>
      </c>
      <c r="R256" s="5"/>
      <c r="S256" s="5" t="s">
        <v>1290</v>
      </c>
      <c r="T256" s="20" t="s">
        <v>1291</v>
      </c>
      <c r="U256" s="5" t="s">
        <v>1292</v>
      </c>
      <c r="V256" s="21" t="s">
        <v>1293</v>
      </c>
      <c r="W256" s="5" t="s">
        <v>965</v>
      </c>
      <c r="X256" s="5" t="s">
        <v>81</v>
      </c>
      <c r="Y256" s="5"/>
      <c r="Z256" s="5" t="s">
        <v>269</v>
      </c>
    </row>
    <row r="257" spans="1:26" x14ac:dyDescent="0.3">
      <c r="A257" s="5">
        <v>2503609</v>
      </c>
      <c r="B257" s="20" t="s">
        <v>1294</v>
      </c>
      <c r="C257" s="25">
        <v>45735</v>
      </c>
      <c r="D257" s="5" t="s">
        <v>17</v>
      </c>
      <c r="E257" s="5" t="s">
        <v>71</v>
      </c>
      <c r="F257" s="5" t="s">
        <v>14</v>
      </c>
      <c r="G257" s="5" t="e" vm="8">
        <v>#VALUE!</v>
      </c>
      <c r="H257" s="5">
        <v>14.16</v>
      </c>
      <c r="I257" s="5"/>
      <c r="J257" s="5"/>
      <c r="K257" s="11">
        <v>35000</v>
      </c>
      <c r="M257" s="5" t="s">
        <v>125</v>
      </c>
      <c r="N257" s="5" t="s">
        <v>73</v>
      </c>
      <c r="O257" s="5" t="s">
        <v>243</v>
      </c>
      <c r="P257" s="5">
        <v>24</v>
      </c>
      <c r="Q257" s="5" t="s">
        <v>143</v>
      </c>
      <c r="R257" s="5"/>
      <c r="S257" s="5" t="s">
        <v>1295</v>
      </c>
      <c r="T257" s="20" t="s">
        <v>1296</v>
      </c>
      <c r="U257" s="5" t="s">
        <v>1297</v>
      </c>
      <c r="V257" s="21" t="s">
        <v>1298</v>
      </c>
      <c r="W257" s="5" t="s">
        <v>965</v>
      </c>
      <c r="X257" s="5" t="s">
        <v>81</v>
      </c>
      <c r="Y257" s="5"/>
      <c r="Z257" s="5" t="s">
        <v>269</v>
      </c>
    </row>
    <row r="258" spans="1:26" x14ac:dyDescent="0.3">
      <c r="A258" s="5">
        <v>2503610</v>
      </c>
      <c r="B258" s="20" t="s">
        <v>1299</v>
      </c>
      <c r="C258" s="25">
        <v>45740</v>
      </c>
      <c r="D258" s="5" t="s">
        <v>17</v>
      </c>
      <c r="E258" s="5" t="s">
        <v>71</v>
      </c>
      <c r="F258" s="5" t="s">
        <v>14</v>
      </c>
      <c r="G258" s="5" t="e" vm="5">
        <v>#VALUE!</v>
      </c>
      <c r="H258" s="5">
        <v>17.7</v>
      </c>
      <c r="I258" s="5"/>
      <c r="J258" s="5"/>
      <c r="K258" s="11">
        <v>43000</v>
      </c>
      <c r="M258" s="5" t="s">
        <v>125</v>
      </c>
      <c r="N258" s="5" t="s">
        <v>73</v>
      </c>
      <c r="O258" s="5" t="s">
        <v>243</v>
      </c>
      <c r="P258" s="5">
        <v>30</v>
      </c>
      <c r="Q258" s="5" t="s">
        <v>143</v>
      </c>
      <c r="R258" s="5"/>
      <c r="S258" s="5" t="s">
        <v>1300</v>
      </c>
      <c r="T258" s="20" t="s">
        <v>1301</v>
      </c>
      <c r="U258" s="5" t="s">
        <v>1302</v>
      </c>
      <c r="V258" s="21" t="s">
        <v>1303</v>
      </c>
      <c r="W258" s="5" t="s">
        <v>965</v>
      </c>
      <c r="X258" s="5" t="s">
        <v>81</v>
      </c>
      <c r="Y258" s="5"/>
      <c r="Z258" s="5"/>
    </row>
    <row r="259" spans="1:26" x14ac:dyDescent="0.3">
      <c r="A259" s="5">
        <v>2503611</v>
      </c>
      <c r="B259" s="20" t="s">
        <v>1304</v>
      </c>
      <c r="C259" s="25">
        <v>45742</v>
      </c>
      <c r="D259" s="5" t="s">
        <v>17</v>
      </c>
      <c r="E259" s="5" t="s">
        <v>71</v>
      </c>
      <c r="F259" s="5" t="s">
        <v>14</v>
      </c>
      <c r="G259" s="5" t="e" vm="5">
        <v>#VALUE!</v>
      </c>
      <c r="H259" s="5">
        <v>7.67</v>
      </c>
      <c r="I259" s="5"/>
      <c r="J259" s="5"/>
      <c r="K259" s="11">
        <v>23500</v>
      </c>
      <c r="M259" s="5" t="s">
        <v>125</v>
      </c>
      <c r="N259" s="5" t="s">
        <v>73</v>
      </c>
      <c r="O259" s="5" t="s">
        <v>243</v>
      </c>
      <c r="P259" s="5">
        <v>13</v>
      </c>
      <c r="Q259" s="14" t="s">
        <v>244</v>
      </c>
      <c r="R259" s="5"/>
      <c r="S259" s="5" t="s">
        <v>1305</v>
      </c>
      <c r="T259" s="20" t="s">
        <v>1306</v>
      </c>
      <c r="U259" s="5" t="s">
        <v>1307</v>
      </c>
      <c r="V259" s="21" t="s">
        <v>1308</v>
      </c>
      <c r="W259" s="5" t="s">
        <v>965</v>
      </c>
      <c r="X259" s="5" t="s">
        <v>81</v>
      </c>
      <c r="Y259" s="5"/>
      <c r="Z259" s="5"/>
    </row>
    <row r="260" spans="1:26" x14ac:dyDescent="0.3">
      <c r="A260" s="5">
        <v>2501524</v>
      </c>
      <c r="B260" s="20" t="s">
        <v>1309</v>
      </c>
      <c r="C260" s="25">
        <v>45744</v>
      </c>
      <c r="D260" s="5" t="s">
        <v>17</v>
      </c>
      <c r="E260" s="5" t="s">
        <v>71</v>
      </c>
      <c r="F260" s="5" t="s">
        <v>14</v>
      </c>
      <c r="G260" s="5" t="e" vm="5">
        <v>#VALUE!</v>
      </c>
      <c r="H260" s="5">
        <v>9.44</v>
      </c>
      <c r="I260" s="5"/>
      <c r="J260" s="5"/>
      <c r="K260" s="11">
        <v>27000</v>
      </c>
      <c r="M260" s="5" t="s">
        <v>125</v>
      </c>
      <c r="N260" s="5" t="s">
        <v>73</v>
      </c>
      <c r="O260" s="5" t="s">
        <v>243</v>
      </c>
      <c r="P260" s="5">
        <v>16</v>
      </c>
      <c r="Q260" s="14" t="s">
        <v>364</v>
      </c>
      <c r="R260" s="5"/>
      <c r="S260" s="5" t="s">
        <v>1310</v>
      </c>
      <c r="T260" s="20" t="s">
        <v>1311</v>
      </c>
      <c r="U260" s="5" t="s">
        <v>1312</v>
      </c>
      <c r="V260" s="21" t="s">
        <v>1313</v>
      </c>
      <c r="W260" s="5" t="s">
        <v>965</v>
      </c>
      <c r="X260" s="5" t="s">
        <v>81</v>
      </c>
      <c r="Y260" s="5"/>
      <c r="Z260" s="5"/>
    </row>
    <row r="261" spans="1:26" x14ac:dyDescent="0.3">
      <c r="A261" s="5">
        <v>2503617</v>
      </c>
      <c r="B261" s="20" t="s">
        <v>1314</v>
      </c>
      <c r="C261" s="25">
        <v>45744</v>
      </c>
      <c r="D261" s="5" t="s">
        <v>22</v>
      </c>
      <c r="E261" s="5" t="s">
        <v>71</v>
      </c>
      <c r="F261" s="5" t="s">
        <v>14</v>
      </c>
      <c r="G261" s="5" t="e" vm="11">
        <v>#VALUE!</v>
      </c>
      <c r="H261" s="5">
        <v>17.7</v>
      </c>
      <c r="I261" s="5"/>
      <c r="J261" s="5"/>
      <c r="K261" s="11">
        <v>41000</v>
      </c>
      <c r="M261" s="5" t="s">
        <v>125</v>
      </c>
      <c r="N261" s="5" t="s">
        <v>73</v>
      </c>
      <c r="O261" s="5" t="s">
        <v>243</v>
      </c>
      <c r="P261" s="5">
        <v>30</v>
      </c>
      <c r="Q261" s="5" t="s">
        <v>143</v>
      </c>
      <c r="R261" s="5"/>
      <c r="S261" s="5" t="s">
        <v>1315</v>
      </c>
      <c r="T261" s="20" t="s">
        <v>1316</v>
      </c>
      <c r="U261" s="5" t="s">
        <v>1317</v>
      </c>
      <c r="V261" s="21" t="s">
        <v>1318</v>
      </c>
      <c r="W261" s="5" t="s">
        <v>965</v>
      </c>
      <c r="X261" s="5" t="s">
        <v>81</v>
      </c>
      <c r="Y261" s="5"/>
      <c r="Z261" s="5"/>
    </row>
    <row r="262" spans="1:26" x14ac:dyDescent="0.3">
      <c r="A262" s="5">
        <v>2503601</v>
      </c>
      <c r="B262" s="20" t="s">
        <v>1319</v>
      </c>
      <c r="C262" s="25">
        <v>45744</v>
      </c>
      <c r="D262" s="5" t="s">
        <v>17</v>
      </c>
      <c r="E262" s="5" t="s">
        <v>71</v>
      </c>
      <c r="F262" s="5" t="s">
        <v>14</v>
      </c>
      <c r="G262" s="5" t="e" vm="5">
        <v>#VALUE!</v>
      </c>
      <c r="H262" s="5">
        <v>9.44</v>
      </c>
      <c r="I262" s="5"/>
      <c r="J262" s="5"/>
      <c r="K262" s="11">
        <v>29000</v>
      </c>
      <c r="M262" s="5" t="s">
        <v>125</v>
      </c>
      <c r="N262" s="5" t="s">
        <v>73</v>
      </c>
      <c r="O262" s="5" t="s">
        <v>243</v>
      </c>
      <c r="P262" s="5">
        <v>16</v>
      </c>
      <c r="Q262" s="14" t="s">
        <v>364</v>
      </c>
      <c r="R262" s="5"/>
      <c r="W262" s="5" t="s">
        <v>965</v>
      </c>
      <c r="X262" s="5" t="s">
        <v>81</v>
      </c>
      <c r="Y262" s="5"/>
      <c r="Z262" s="5"/>
    </row>
    <row r="263" spans="1:26" x14ac:dyDescent="0.3">
      <c r="A263" s="5">
        <v>2503619</v>
      </c>
      <c r="B263" s="20" t="s">
        <v>1320</v>
      </c>
      <c r="C263" s="25" t="s">
        <v>442</v>
      </c>
      <c r="D263" s="5" t="s">
        <v>22</v>
      </c>
      <c r="E263" s="5"/>
      <c r="F263" s="5"/>
      <c r="G263" s="5"/>
      <c r="H263" s="5">
        <v>7.08</v>
      </c>
      <c r="I263" s="5"/>
      <c r="J263" s="5"/>
      <c r="K263" s="11">
        <v>21500</v>
      </c>
      <c r="M263" s="5" t="s">
        <v>125</v>
      </c>
      <c r="N263" s="5" t="s">
        <v>73</v>
      </c>
      <c r="O263" s="5" t="s">
        <v>243</v>
      </c>
      <c r="P263" s="5">
        <v>12</v>
      </c>
      <c r="Q263" s="5" t="s">
        <v>286</v>
      </c>
      <c r="R263" s="5"/>
      <c r="S263" s="5" t="s">
        <v>1321</v>
      </c>
      <c r="T263" s="20" t="s">
        <v>1322</v>
      </c>
      <c r="U263" s="5" t="s">
        <v>1323</v>
      </c>
      <c r="V263" s="20" t="s">
        <v>1324</v>
      </c>
      <c r="W263" s="5" t="s">
        <v>965</v>
      </c>
      <c r="X263" s="5" t="s">
        <v>81</v>
      </c>
      <c r="Y263" s="5"/>
      <c r="Z263" s="5"/>
    </row>
    <row r="264" spans="1:26" x14ac:dyDescent="0.3">
      <c r="A264" s="5">
        <v>2504623</v>
      </c>
      <c r="B264" s="20" t="s">
        <v>1325</v>
      </c>
      <c r="C264" s="25">
        <v>45750</v>
      </c>
      <c r="D264" s="5" t="s">
        <v>22</v>
      </c>
      <c r="E264" s="5" t="s">
        <v>71</v>
      </c>
      <c r="F264" s="5" t="s">
        <v>14</v>
      </c>
      <c r="G264" s="5" t="e" vm="11">
        <v>#VALUE!</v>
      </c>
      <c r="H264" s="5">
        <v>7.08</v>
      </c>
      <c r="I264" s="5"/>
      <c r="J264" s="5"/>
      <c r="K264" s="11">
        <v>21500</v>
      </c>
      <c r="M264" s="5" t="s">
        <v>125</v>
      </c>
      <c r="N264" s="5" t="s">
        <v>73</v>
      </c>
      <c r="O264" s="5" t="s">
        <v>243</v>
      </c>
      <c r="P264" s="5">
        <v>12</v>
      </c>
      <c r="Q264" s="5" t="s">
        <v>286</v>
      </c>
      <c r="R264" s="5"/>
      <c r="S264" s="5" t="s">
        <v>1326</v>
      </c>
      <c r="T264" s="20" t="s">
        <v>1327</v>
      </c>
      <c r="U264" s="5" t="s">
        <v>1328</v>
      </c>
      <c r="V264" s="20" t="s">
        <v>1329</v>
      </c>
      <c r="W264" s="5" t="s">
        <v>965</v>
      </c>
      <c r="X264" s="5" t="s">
        <v>81</v>
      </c>
      <c r="Y264" s="5"/>
      <c r="Z264" s="5"/>
    </row>
    <row r="265" spans="1:26" x14ac:dyDescent="0.3">
      <c r="A265" s="5">
        <v>2503589</v>
      </c>
      <c r="B265" s="20" t="s">
        <v>1330</v>
      </c>
      <c r="C265" s="25">
        <v>45756</v>
      </c>
      <c r="D265" s="5" t="s">
        <v>17</v>
      </c>
      <c r="E265" s="5" t="s">
        <v>71</v>
      </c>
      <c r="F265" s="5" t="s">
        <v>14</v>
      </c>
      <c r="G265" s="5" t="e" vm="5">
        <v>#VALUE!</v>
      </c>
      <c r="H265" s="5">
        <v>7.08</v>
      </c>
      <c r="I265" s="5"/>
      <c r="J265" s="5"/>
      <c r="K265" s="11">
        <v>21500</v>
      </c>
      <c r="M265" s="5" t="s">
        <v>125</v>
      </c>
      <c r="N265" s="5" t="s">
        <v>73</v>
      </c>
      <c r="O265" s="5" t="s">
        <v>243</v>
      </c>
      <c r="P265" s="5">
        <v>12</v>
      </c>
      <c r="Q265" s="5" t="s">
        <v>286</v>
      </c>
      <c r="R265" s="5"/>
      <c r="S265" s="5" t="s">
        <v>1331</v>
      </c>
      <c r="T265" s="20" t="s">
        <v>1332</v>
      </c>
      <c r="U265" s="5" t="s">
        <v>1333</v>
      </c>
      <c r="V265" s="21" t="s">
        <v>1334</v>
      </c>
      <c r="W265" s="5" t="s">
        <v>965</v>
      </c>
      <c r="X265" s="5" t="s">
        <v>81</v>
      </c>
      <c r="Y265" s="5"/>
      <c r="Z265" s="5" t="s">
        <v>269</v>
      </c>
    </row>
    <row r="266" spans="1:26" x14ac:dyDescent="0.3">
      <c r="A266" s="5">
        <v>2504633</v>
      </c>
      <c r="B266" s="20" t="s">
        <v>1335</v>
      </c>
      <c r="C266" s="25">
        <v>45758</v>
      </c>
      <c r="D266" s="5" t="s">
        <v>17</v>
      </c>
      <c r="E266" s="5" t="s">
        <v>71</v>
      </c>
      <c r="F266" s="5" t="s">
        <v>14</v>
      </c>
      <c r="G266" s="5" t="e" vm="5">
        <v>#VALUE!</v>
      </c>
      <c r="H266" s="5">
        <v>7.08</v>
      </c>
      <c r="I266" s="5"/>
      <c r="J266" s="5"/>
      <c r="K266" s="11">
        <v>21500</v>
      </c>
      <c r="M266" s="5" t="s">
        <v>125</v>
      </c>
      <c r="N266" s="5" t="s">
        <v>73</v>
      </c>
      <c r="O266" s="5" t="s">
        <v>243</v>
      </c>
      <c r="P266" s="5">
        <v>12</v>
      </c>
      <c r="Q266" s="5" t="s">
        <v>286</v>
      </c>
      <c r="R266" s="5"/>
      <c r="S266" s="5" t="s">
        <v>1336</v>
      </c>
      <c r="T266" s="20" t="s">
        <v>1337</v>
      </c>
      <c r="U266" s="5" t="s">
        <v>1338</v>
      </c>
      <c r="V266" s="21" t="s">
        <v>1339</v>
      </c>
      <c r="W266" s="5" t="s">
        <v>965</v>
      </c>
      <c r="X266" s="5" t="s">
        <v>81</v>
      </c>
      <c r="Y266" s="5"/>
      <c r="Z266" s="5" t="s">
        <v>269</v>
      </c>
    </row>
    <row r="267" spans="1:26" x14ac:dyDescent="0.3">
      <c r="A267" s="5">
        <v>2504636</v>
      </c>
      <c r="B267" s="20" t="s">
        <v>1340</v>
      </c>
      <c r="C267" s="25">
        <v>45758</v>
      </c>
      <c r="D267" s="5" t="s">
        <v>22</v>
      </c>
      <c r="E267" s="5" t="s">
        <v>71</v>
      </c>
      <c r="F267" s="5" t="s">
        <v>14</v>
      </c>
      <c r="G267" s="5" t="e" vm="11">
        <v>#VALUE!</v>
      </c>
      <c r="H267" s="5">
        <v>17.7</v>
      </c>
      <c r="I267" s="5"/>
      <c r="J267" s="5"/>
      <c r="K267" s="11">
        <v>41000</v>
      </c>
      <c r="M267" s="5" t="s">
        <v>125</v>
      </c>
      <c r="N267" s="5" t="s">
        <v>73</v>
      </c>
      <c r="O267" s="5" t="s">
        <v>243</v>
      </c>
      <c r="P267" s="5">
        <v>30</v>
      </c>
      <c r="Q267" s="5" t="s">
        <v>143</v>
      </c>
      <c r="R267" s="5"/>
      <c r="S267" s="5" t="s">
        <v>1341</v>
      </c>
      <c r="T267" s="20" t="s">
        <v>1342</v>
      </c>
      <c r="U267" s="5" t="s">
        <v>1343</v>
      </c>
      <c r="V267" s="21" t="s">
        <v>1344</v>
      </c>
      <c r="W267" s="5" t="s">
        <v>965</v>
      </c>
      <c r="X267" s="5" t="s">
        <v>81</v>
      </c>
      <c r="Y267" s="5"/>
      <c r="Z267" s="5"/>
    </row>
    <row r="268" spans="1:26" x14ac:dyDescent="0.3">
      <c r="A268" s="5">
        <v>2406152</v>
      </c>
      <c r="B268" s="20" t="s">
        <v>1345</v>
      </c>
      <c r="C268" s="25">
        <v>45754</v>
      </c>
      <c r="D268" s="5" t="s">
        <v>20</v>
      </c>
      <c r="E268" s="5" t="s">
        <v>124</v>
      </c>
      <c r="F268" s="5" t="s">
        <v>14</v>
      </c>
      <c r="G268" s="5" t="e" vm="5">
        <v>#VALUE!</v>
      </c>
      <c r="H268" s="5">
        <v>93.17</v>
      </c>
      <c r="I268" s="5"/>
      <c r="J268" s="5"/>
      <c r="K268" s="11">
        <v>155000</v>
      </c>
      <c r="M268" s="5" t="s">
        <v>125</v>
      </c>
      <c r="N268" s="5" t="s">
        <v>1346</v>
      </c>
      <c r="O268" s="5" t="s">
        <v>1347</v>
      </c>
      <c r="P268" s="5">
        <v>154</v>
      </c>
      <c r="Q268" s="5" t="s">
        <v>1348</v>
      </c>
      <c r="R268" s="5"/>
      <c r="T268" s="20" t="s">
        <v>1349</v>
      </c>
      <c r="W268" s="5" t="s">
        <v>109</v>
      </c>
      <c r="X268" s="5" t="s">
        <v>81</v>
      </c>
      <c r="Y268" s="5"/>
      <c r="Z268" s="5" t="s">
        <v>269</v>
      </c>
    </row>
    <row r="269" spans="1:26" x14ac:dyDescent="0.3">
      <c r="A269" s="5">
        <v>2504640</v>
      </c>
      <c r="B269" s="20" t="s">
        <v>1350</v>
      </c>
      <c r="C269" s="25">
        <v>45764</v>
      </c>
      <c r="D269" s="5" t="s">
        <v>17</v>
      </c>
      <c r="E269" s="5" t="s">
        <v>71</v>
      </c>
      <c r="F269" s="5" t="s">
        <v>14</v>
      </c>
      <c r="G269" s="5" t="e" vm="8">
        <v>#VALUE!</v>
      </c>
      <c r="H269" s="5">
        <v>9.44</v>
      </c>
      <c r="I269" s="5"/>
      <c r="J269" s="5"/>
      <c r="K269" s="11">
        <v>26000</v>
      </c>
      <c r="M269" s="5" t="s">
        <v>125</v>
      </c>
      <c r="N269" s="5" t="s">
        <v>73</v>
      </c>
      <c r="O269" s="5" t="s">
        <v>243</v>
      </c>
      <c r="P269" s="5">
        <v>16</v>
      </c>
      <c r="Q269" s="14" t="s">
        <v>364</v>
      </c>
      <c r="R269" s="5"/>
      <c r="S269" s="5" t="s">
        <v>1351</v>
      </c>
      <c r="T269" s="20" t="s">
        <v>1352</v>
      </c>
      <c r="U269" s="5" t="s">
        <v>1353</v>
      </c>
      <c r="V269" s="91" t="s">
        <v>1354</v>
      </c>
      <c r="W269" s="5" t="s">
        <v>965</v>
      </c>
      <c r="X269" s="5" t="s">
        <v>81</v>
      </c>
      <c r="Y269" s="5"/>
      <c r="Z269" s="5"/>
    </row>
    <row r="270" spans="1:26" x14ac:dyDescent="0.3">
      <c r="A270" s="5">
        <v>2504638</v>
      </c>
      <c r="B270" s="20" t="s">
        <v>1355</v>
      </c>
      <c r="C270" s="25">
        <v>45764</v>
      </c>
      <c r="D270" s="5" t="s">
        <v>17</v>
      </c>
      <c r="E270" s="5" t="s">
        <v>71</v>
      </c>
      <c r="F270" s="5" t="s">
        <v>14</v>
      </c>
      <c r="G270" s="5" t="e" vm="8">
        <v>#VALUE!</v>
      </c>
      <c r="H270" s="5">
        <v>9.44</v>
      </c>
      <c r="I270" s="5"/>
      <c r="J270" s="5"/>
      <c r="K270" s="11">
        <v>27000</v>
      </c>
      <c r="M270" s="5" t="s">
        <v>125</v>
      </c>
      <c r="N270" s="5" t="s">
        <v>73</v>
      </c>
      <c r="O270" s="5" t="s">
        <v>243</v>
      </c>
      <c r="P270" s="5">
        <v>16</v>
      </c>
      <c r="Q270" s="14" t="s">
        <v>364</v>
      </c>
      <c r="R270" s="5"/>
      <c r="S270" s="5" t="s">
        <v>1356</v>
      </c>
      <c r="T270" s="20" t="s">
        <v>1357</v>
      </c>
      <c r="U270" s="5" t="s">
        <v>1358</v>
      </c>
      <c r="V270" s="21" t="s">
        <v>1359</v>
      </c>
      <c r="W270" s="5" t="s">
        <v>965</v>
      </c>
      <c r="X270" s="5" t="s">
        <v>81</v>
      </c>
      <c r="Y270" s="5"/>
      <c r="Z270" s="5" t="s">
        <v>269</v>
      </c>
    </row>
    <row r="271" spans="1:26" x14ac:dyDescent="0.3">
      <c r="A271" s="5">
        <v>2504652</v>
      </c>
      <c r="B271" s="20" t="s">
        <v>1360</v>
      </c>
      <c r="C271" s="25">
        <v>45766</v>
      </c>
      <c r="D271" s="5" t="s">
        <v>22</v>
      </c>
      <c r="E271" s="5" t="s">
        <v>71</v>
      </c>
      <c r="F271" s="5" t="s">
        <v>14</v>
      </c>
      <c r="G271" s="5" t="e" vm="11">
        <v>#VALUE!</v>
      </c>
      <c r="H271" s="5">
        <v>9.44</v>
      </c>
      <c r="I271" s="5"/>
      <c r="J271" s="5"/>
      <c r="K271" s="11">
        <v>27500</v>
      </c>
      <c r="M271" s="5" t="s">
        <v>125</v>
      </c>
      <c r="N271" s="5" t="s">
        <v>73</v>
      </c>
      <c r="O271" s="5" t="s">
        <v>243</v>
      </c>
      <c r="P271" s="5">
        <v>16</v>
      </c>
      <c r="Q271" s="14" t="s">
        <v>364</v>
      </c>
      <c r="R271" s="5"/>
      <c r="S271" s="5" t="s">
        <v>1361</v>
      </c>
      <c r="T271" s="20" t="s">
        <v>1362</v>
      </c>
      <c r="U271" s="5" t="s">
        <v>1363</v>
      </c>
      <c r="V271" s="21" t="s">
        <v>1364</v>
      </c>
      <c r="W271" s="5" t="s">
        <v>965</v>
      </c>
      <c r="X271" s="5" t="s">
        <v>81</v>
      </c>
      <c r="Y271" s="5"/>
      <c r="Z271" s="5"/>
    </row>
    <row r="272" spans="1:26" x14ac:dyDescent="0.3">
      <c r="A272" s="5">
        <v>2504647</v>
      </c>
      <c r="B272" s="20" t="s">
        <v>1365</v>
      </c>
      <c r="C272" s="25">
        <v>45767</v>
      </c>
      <c r="D272" s="5" t="s">
        <v>22</v>
      </c>
      <c r="E272" s="5" t="s">
        <v>71</v>
      </c>
      <c r="F272" s="5" t="s">
        <v>14</v>
      </c>
      <c r="G272" s="5" t="e" vm="11">
        <v>#VALUE!</v>
      </c>
      <c r="H272" s="5">
        <v>7.08</v>
      </c>
      <c r="I272" s="5"/>
      <c r="J272" s="5"/>
      <c r="K272" s="11">
        <v>21500</v>
      </c>
      <c r="M272" s="5" t="s">
        <v>125</v>
      </c>
      <c r="N272" s="5" t="s">
        <v>73</v>
      </c>
      <c r="O272" s="5" t="s">
        <v>243</v>
      </c>
      <c r="P272" s="5">
        <v>12</v>
      </c>
      <c r="Q272" s="5" t="s">
        <v>286</v>
      </c>
      <c r="R272" s="5"/>
      <c r="S272" s="5" t="s">
        <v>1366</v>
      </c>
      <c r="T272" s="20" t="s">
        <v>1367</v>
      </c>
      <c r="U272" s="5" t="s">
        <v>1368</v>
      </c>
      <c r="V272" s="21" t="s">
        <v>1369</v>
      </c>
      <c r="W272" s="5" t="s">
        <v>965</v>
      </c>
      <c r="X272" s="5" t="s">
        <v>81</v>
      </c>
      <c r="Y272" s="5"/>
      <c r="Z272" s="5"/>
    </row>
    <row r="273" spans="1:28" x14ac:dyDescent="0.3">
      <c r="A273" s="5">
        <v>2504658</v>
      </c>
      <c r="B273" s="20" t="s">
        <v>1370</v>
      </c>
      <c r="C273" s="25">
        <v>45769</v>
      </c>
      <c r="D273" s="5" t="s">
        <v>21</v>
      </c>
      <c r="E273" s="5" t="s">
        <v>71</v>
      </c>
      <c r="F273" s="5" t="s">
        <v>14</v>
      </c>
      <c r="G273" s="5" t="e" vm="5">
        <v>#VALUE!</v>
      </c>
      <c r="H273" s="5">
        <v>7.08</v>
      </c>
      <c r="I273" s="5"/>
      <c r="J273" s="5"/>
      <c r="K273" s="11">
        <v>22500</v>
      </c>
      <c r="M273" s="5" t="s">
        <v>125</v>
      </c>
      <c r="N273" s="5" t="s">
        <v>73</v>
      </c>
      <c r="O273" s="5" t="s">
        <v>243</v>
      </c>
      <c r="P273" s="5">
        <v>12</v>
      </c>
      <c r="Q273" s="5" t="s">
        <v>286</v>
      </c>
      <c r="R273" s="5"/>
      <c r="S273" s="5" t="s">
        <v>1371</v>
      </c>
      <c r="T273" s="20" t="s">
        <v>1372</v>
      </c>
      <c r="U273" s="5" t="s">
        <v>1373</v>
      </c>
      <c r="V273" s="21" t="s">
        <v>1374</v>
      </c>
      <c r="W273" s="5" t="s">
        <v>965</v>
      </c>
      <c r="X273" s="5" t="s">
        <v>81</v>
      </c>
      <c r="Y273" s="5"/>
      <c r="Z273" s="5"/>
    </row>
    <row r="274" spans="1:28" x14ac:dyDescent="0.3">
      <c r="A274" s="5">
        <v>2503614</v>
      </c>
      <c r="B274" s="20" t="s">
        <v>1375</v>
      </c>
      <c r="C274" s="25" t="s">
        <v>442</v>
      </c>
      <c r="D274" s="5" t="s">
        <v>20</v>
      </c>
      <c r="E274" s="5"/>
      <c r="F274" s="5"/>
      <c r="G274" s="5"/>
      <c r="H274" s="5"/>
      <c r="I274" s="5"/>
      <c r="J274" s="5"/>
      <c r="K274" s="11"/>
      <c r="M274" s="5" t="s">
        <v>125</v>
      </c>
      <c r="N274" s="5" t="s">
        <v>73</v>
      </c>
      <c r="O274" s="5" t="s">
        <v>243</v>
      </c>
      <c r="P274" s="5">
        <v>15</v>
      </c>
      <c r="Q274" s="5" t="s">
        <v>1376</v>
      </c>
      <c r="R274" s="5"/>
      <c r="S274" s="5" t="s">
        <v>1377</v>
      </c>
      <c r="T274" s="20" t="s">
        <v>1378</v>
      </c>
      <c r="U274" s="5" t="s">
        <v>1379</v>
      </c>
      <c r="V274" s="21" t="s">
        <v>1380</v>
      </c>
      <c r="W274" s="5" t="s">
        <v>109</v>
      </c>
      <c r="X274" s="5" t="s">
        <v>81</v>
      </c>
      <c r="Y274" s="5"/>
      <c r="Z274" s="5"/>
    </row>
    <row r="275" spans="1:28" x14ac:dyDescent="0.3">
      <c r="A275" s="5">
        <v>2504643</v>
      </c>
      <c r="B275" s="20" t="s">
        <v>1381</v>
      </c>
      <c r="C275" s="25">
        <v>45772</v>
      </c>
      <c r="D275" s="5" t="s">
        <v>22</v>
      </c>
      <c r="E275" s="5" t="s">
        <v>71</v>
      </c>
      <c r="F275" s="5" t="s">
        <v>14</v>
      </c>
      <c r="G275" s="5" t="e" vm="11">
        <v>#VALUE!</v>
      </c>
      <c r="H275" s="5">
        <v>17.7</v>
      </c>
      <c r="I275" s="5"/>
      <c r="J275" s="5"/>
      <c r="K275" s="11">
        <v>46700</v>
      </c>
      <c r="M275" s="5" t="s">
        <v>176</v>
      </c>
      <c r="N275" s="5" t="s">
        <v>73</v>
      </c>
      <c r="O275" s="5" t="s">
        <v>243</v>
      </c>
      <c r="P275" s="5">
        <v>30</v>
      </c>
      <c r="Q275" s="5" t="s">
        <v>143</v>
      </c>
      <c r="R275" s="5"/>
      <c r="S275" s="5" t="s">
        <v>1382</v>
      </c>
      <c r="T275" s="20" t="s">
        <v>1383</v>
      </c>
      <c r="U275" s="5" t="s">
        <v>1384</v>
      </c>
      <c r="V275" s="20" t="s">
        <v>1385</v>
      </c>
      <c r="W275" s="5" t="s">
        <v>965</v>
      </c>
      <c r="X275" s="5" t="s">
        <v>81</v>
      </c>
      <c r="Y275" s="5"/>
      <c r="Z275" s="5"/>
    </row>
    <row r="276" spans="1:28" x14ac:dyDescent="0.3">
      <c r="A276" s="5">
        <v>2504663</v>
      </c>
      <c r="B276" s="20" t="s">
        <v>1386</v>
      </c>
      <c r="C276" s="25">
        <v>45770</v>
      </c>
      <c r="D276" s="5" t="s">
        <v>22</v>
      </c>
      <c r="E276" s="5" t="s">
        <v>71</v>
      </c>
      <c r="F276" s="5" t="s">
        <v>14</v>
      </c>
      <c r="G276" s="5" t="e" vm="11">
        <v>#VALUE!</v>
      </c>
      <c r="H276" s="5">
        <v>7.08</v>
      </c>
      <c r="I276" s="5"/>
      <c r="J276" s="5"/>
      <c r="K276" s="11">
        <v>22500</v>
      </c>
      <c r="M276" s="5" t="s">
        <v>125</v>
      </c>
      <c r="N276" s="5" t="s">
        <v>73</v>
      </c>
      <c r="O276" s="5" t="s">
        <v>243</v>
      </c>
      <c r="P276" s="5">
        <v>12</v>
      </c>
      <c r="Q276" s="5" t="s">
        <v>1202</v>
      </c>
      <c r="R276" s="5"/>
      <c r="S276" s="5" t="s">
        <v>1387</v>
      </c>
      <c r="T276" s="20" t="s">
        <v>1388</v>
      </c>
      <c r="U276" s="5" t="s">
        <v>1389</v>
      </c>
      <c r="V276" s="20" t="s">
        <v>1390</v>
      </c>
      <c r="W276" s="5" t="s">
        <v>965</v>
      </c>
      <c r="X276" s="5" t="s">
        <v>81</v>
      </c>
      <c r="Y276" s="5"/>
      <c r="Z276" s="5"/>
    </row>
    <row r="277" spans="1:28" x14ac:dyDescent="0.3">
      <c r="A277" s="5">
        <v>2504671</v>
      </c>
      <c r="B277" s="20" t="s">
        <v>1391</v>
      </c>
      <c r="C277" s="25">
        <v>45777</v>
      </c>
      <c r="D277" s="5" t="s">
        <v>22</v>
      </c>
      <c r="E277" s="5" t="s">
        <v>71</v>
      </c>
      <c r="F277" s="5" t="s">
        <v>14</v>
      </c>
      <c r="G277" s="5" t="e" vm="11">
        <v>#VALUE!</v>
      </c>
      <c r="H277" s="5">
        <v>17.7</v>
      </c>
      <c r="I277" s="5"/>
      <c r="J277" s="5"/>
      <c r="K277" s="11">
        <v>41000</v>
      </c>
      <c r="M277" s="5" t="s">
        <v>125</v>
      </c>
      <c r="N277" s="5" t="s">
        <v>73</v>
      </c>
      <c r="O277" s="5" t="s">
        <v>243</v>
      </c>
      <c r="P277" s="5">
        <v>30</v>
      </c>
      <c r="Q277" s="5" t="s">
        <v>143</v>
      </c>
      <c r="R277" s="5"/>
      <c r="S277" s="5" t="s">
        <v>1392</v>
      </c>
      <c r="T277" s="20" t="s">
        <v>1393</v>
      </c>
      <c r="U277" s="5" t="s">
        <v>1394</v>
      </c>
      <c r="V277" s="20" t="s">
        <v>1395</v>
      </c>
      <c r="W277" s="5" t="s">
        <v>965</v>
      </c>
      <c r="X277" s="5" t="s">
        <v>81</v>
      </c>
      <c r="Y277" s="5"/>
      <c r="Z277" s="5"/>
    </row>
    <row r="278" spans="1:28" x14ac:dyDescent="0.3">
      <c r="A278" s="5">
        <v>2506644</v>
      </c>
      <c r="B278" s="20" t="s">
        <v>1396</v>
      </c>
      <c r="C278" s="25">
        <v>45782</v>
      </c>
      <c r="D278" s="5" t="s">
        <v>17</v>
      </c>
      <c r="E278" s="5" t="s">
        <v>71</v>
      </c>
      <c r="F278" s="5" t="s">
        <v>14</v>
      </c>
      <c r="G278" s="5" t="e" vm="5">
        <v>#VALUE!</v>
      </c>
      <c r="H278" s="5">
        <v>7.08</v>
      </c>
      <c r="I278" s="5"/>
      <c r="J278" s="5"/>
      <c r="K278" s="11">
        <v>21000</v>
      </c>
      <c r="M278" s="5" t="s">
        <v>125</v>
      </c>
      <c r="N278" s="5" t="s">
        <v>73</v>
      </c>
      <c r="O278" s="5" t="s">
        <v>243</v>
      </c>
      <c r="P278" s="5">
        <v>12</v>
      </c>
      <c r="Q278" s="5" t="s">
        <v>286</v>
      </c>
      <c r="R278" s="5"/>
      <c r="S278" s="5" t="s">
        <v>1397</v>
      </c>
      <c r="T278" s="20" t="s">
        <v>1398</v>
      </c>
      <c r="U278" s="5" t="s">
        <v>1399</v>
      </c>
      <c r="V278" s="20" t="s">
        <v>1400</v>
      </c>
      <c r="W278" s="5" t="s">
        <v>965</v>
      </c>
      <c r="X278" s="5" t="s">
        <v>81</v>
      </c>
      <c r="Y278" s="5"/>
      <c r="Z278" s="5"/>
    </row>
    <row r="279" spans="1:28" x14ac:dyDescent="0.3">
      <c r="A279" s="5">
        <v>2505675</v>
      </c>
      <c r="B279" s="20" t="s">
        <v>1401</v>
      </c>
      <c r="C279" s="25">
        <v>45782</v>
      </c>
      <c r="D279" s="5" t="s">
        <v>22</v>
      </c>
      <c r="E279" s="5" t="s">
        <v>71</v>
      </c>
      <c r="F279" s="5" t="s">
        <v>14</v>
      </c>
      <c r="G279" s="5" t="e" vm="11">
        <v>#VALUE!</v>
      </c>
      <c r="H279" s="5">
        <v>15.34</v>
      </c>
      <c r="I279" s="5"/>
      <c r="J279" s="5"/>
      <c r="K279" s="11">
        <v>42170</v>
      </c>
      <c r="M279" s="5" t="s">
        <v>176</v>
      </c>
      <c r="N279" s="5" t="s">
        <v>73</v>
      </c>
      <c r="O279" s="5" t="s">
        <v>243</v>
      </c>
      <c r="P279" s="5">
        <v>26</v>
      </c>
      <c r="Q279" s="5" t="s">
        <v>143</v>
      </c>
      <c r="R279" s="5"/>
      <c r="S279" s="5" t="s">
        <v>1402</v>
      </c>
      <c r="T279" s="20" t="s">
        <v>1403</v>
      </c>
      <c r="U279" s="5" t="s">
        <v>1404</v>
      </c>
      <c r="V279" s="20" t="s">
        <v>1405</v>
      </c>
      <c r="W279" s="5" t="s">
        <v>965</v>
      </c>
      <c r="X279" s="5" t="s">
        <v>81</v>
      </c>
      <c r="Y279" s="5"/>
      <c r="Z279" s="5"/>
      <c r="AB279" s="20" t="s">
        <v>1406</v>
      </c>
    </row>
    <row r="280" spans="1:28" x14ac:dyDescent="0.3">
      <c r="A280" s="5">
        <v>2502564</v>
      </c>
      <c r="B280" s="20" t="s">
        <v>1407</v>
      </c>
      <c r="C280" s="25">
        <v>45783</v>
      </c>
      <c r="D280" s="5" t="s">
        <v>20</v>
      </c>
      <c r="E280" s="5" t="s">
        <v>71</v>
      </c>
      <c r="F280" s="5" t="s">
        <v>14</v>
      </c>
      <c r="G280" s="5" t="e" vm="5">
        <v>#VALUE!</v>
      </c>
      <c r="H280" s="5">
        <v>17.7</v>
      </c>
      <c r="I280" s="5"/>
      <c r="J280" s="5"/>
      <c r="K280" s="11">
        <v>43000</v>
      </c>
      <c r="M280" s="5" t="s">
        <v>125</v>
      </c>
      <c r="N280" s="5" t="s">
        <v>73</v>
      </c>
      <c r="O280" s="5" t="s">
        <v>243</v>
      </c>
      <c r="P280" s="5">
        <v>30</v>
      </c>
      <c r="Q280" s="5" t="s">
        <v>131</v>
      </c>
      <c r="R280" s="5"/>
      <c r="S280" s="5" t="s">
        <v>1408</v>
      </c>
      <c r="T280" s="20" t="s">
        <v>1409</v>
      </c>
      <c r="U280" s="5" t="s">
        <v>868</v>
      </c>
      <c r="V280" s="21" t="s">
        <v>869</v>
      </c>
      <c r="W280" s="5" t="s">
        <v>965</v>
      </c>
      <c r="X280" s="5" t="s">
        <v>81</v>
      </c>
      <c r="Y280" s="5"/>
      <c r="Z280" s="5"/>
    </row>
    <row r="281" spans="1:28" x14ac:dyDescent="0.3">
      <c r="A281" s="5">
        <v>2504664</v>
      </c>
      <c r="B281" s="20" t="s">
        <v>1410</v>
      </c>
      <c r="C281" s="25">
        <v>45786</v>
      </c>
      <c r="D281" s="5" t="s">
        <v>22</v>
      </c>
      <c r="E281" s="5" t="s">
        <v>71</v>
      </c>
      <c r="F281" s="5" t="s">
        <v>14</v>
      </c>
      <c r="G281" s="5" t="e" vm="11">
        <v>#VALUE!</v>
      </c>
      <c r="H281" s="5">
        <v>17.7</v>
      </c>
      <c r="I281" s="5"/>
      <c r="J281" s="5"/>
      <c r="K281" s="11">
        <v>41000</v>
      </c>
      <c r="M281" s="5" t="s">
        <v>125</v>
      </c>
      <c r="N281" s="5" t="s">
        <v>73</v>
      </c>
      <c r="O281" s="5" t="s">
        <v>243</v>
      </c>
      <c r="P281" s="5">
        <v>30</v>
      </c>
      <c r="Q281" s="5" t="s">
        <v>143</v>
      </c>
      <c r="R281" s="5"/>
      <c r="S281" s="5" t="s">
        <v>1411</v>
      </c>
      <c r="T281" s="20" t="s">
        <v>1412</v>
      </c>
      <c r="U281" s="5" t="s">
        <v>1413</v>
      </c>
      <c r="V281" s="20" t="s">
        <v>1414</v>
      </c>
      <c r="W281" s="5" t="s">
        <v>965</v>
      </c>
      <c r="X281" s="5" t="s">
        <v>81</v>
      </c>
      <c r="Y281" s="5"/>
      <c r="Z281" s="5"/>
    </row>
    <row r="282" spans="1:28" x14ac:dyDescent="0.3">
      <c r="A282" s="5">
        <v>2504651</v>
      </c>
      <c r="B282" s="20" t="s">
        <v>1415</v>
      </c>
      <c r="C282" s="25">
        <v>45786</v>
      </c>
      <c r="D282" s="5" t="s">
        <v>17</v>
      </c>
      <c r="E282" s="5" t="s">
        <v>71</v>
      </c>
      <c r="F282" s="5" t="s">
        <v>14</v>
      </c>
      <c r="G282" s="5" t="e" vm="4">
        <v>#VALUE!</v>
      </c>
      <c r="H282" s="5">
        <v>14.16</v>
      </c>
      <c r="I282" s="5"/>
      <c r="J282" s="5"/>
      <c r="K282" s="11">
        <v>35000</v>
      </c>
      <c r="M282" s="5" t="s">
        <v>125</v>
      </c>
      <c r="N282" s="5" t="s">
        <v>73</v>
      </c>
      <c r="O282" s="5" t="s">
        <v>243</v>
      </c>
      <c r="P282" s="5">
        <v>24</v>
      </c>
      <c r="Q282" s="5" t="s">
        <v>143</v>
      </c>
      <c r="R282" s="5"/>
      <c r="S282" s="5" t="s">
        <v>1416</v>
      </c>
      <c r="T282" s="20" t="s">
        <v>1417</v>
      </c>
      <c r="U282" s="5" t="s">
        <v>1418</v>
      </c>
      <c r="V282" s="21" t="s">
        <v>1419</v>
      </c>
      <c r="W282" s="5" t="s">
        <v>965</v>
      </c>
      <c r="X282" s="5" t="s">
        <v>81</v>
      </c>
      <c r="Y282" s="5"/>
      <c r="Z282" s="5" t="s">
        <v>269</v>
      </c>
    </row>
    <row r="283" spans="1:28" x14ac:dyDescent="0.3">
      <c r="A283" s="5">
        <v>2504049</v>
      </c>
      <c r="B283" s="20" t="s">
        <v>1420</v>
      </c>
      <c r="C283" s="25">
        <v>45786</v>
      </c>
      <c r="D283" s="5" t="s">
        <v>20</v>
      </c>
      <c r="E283" s="5" t="s">
        <v>206</v>
      </c>
      <c r="F283" s="5"/>
      <c r="G283" s="5" t="e" vm="7">
        <v>#VALUE!</v>
      </c>
      <c r="H283" s="5"/>
      <c r="I283" s="5">
        <v>60</v>
      </c>
      <c r="J283" s="5"/>
      <c r="K283" s="11">
        <v>45015</v>
      </c>
      <c r="M283" s="5" t="s">
        <v>125</v>
      </c>
      <c r="N283" s="5" t="s">
        <v>73</v>
      </c>
      <c r="O283" s="5" t="s">
        <v>18</v>
      </c>
      <c r="P283" s="5" t="s">
        <v>18</v>
      </c>
      <c r="Q283" s="5" t="s">
        <v>18</v>
      </c>
      <c r="R283" s="5"/>
      <c r="V283" s="21"/>
      <c r="W283" s="5"/>
      <c r="X283" s="5"/>
      <c r="Y283" s="5"/>
      <c r="Z283" s="5"/>
    </row>
    <row r="284" spans="1:28" x14ac:dyDescent="0.3">
      <c r="A284" s="5">
        <v>2505686</v>
      </c>
      <c r="B284" s="20" t="s">
        <v>1421</v>
      </c>
      <c r="C284" s="25">
        <v>45790</v>
      </c>
      <c r="D284" s="5" t="s">
        <v>22</v>
      </c>
      <c r="E284" s="5" t="s">
        <v>71</v>
      </c>
      <c r="F284" s="5" t="s">
        <v>14</v>
      </c>
      <c r="G284" s="5" t="e" vm="11">
        <v>#VALUE!</v>
      </c>
      <c r="H284" s="5">
        <v>7.08</v>
      </c>
      <c r="I284" s="5"/>
      <c r="J284" s="5"/>
      <c r="K284" s="11">
        <v>21500</v>
      </c>
      <c r="M284" s="5" t="s">
        <v>125</v>
      </c>
      <c r="N284" s="5" t="s">
        <v>73</v>
      </c>
      <c r="O284" s="5" t="s">
        <v>243</v>
      </c>
      <c r="P284" s="5">
        <v>12</v>
      </c>
      <c r="Q284" s="5" t="s">
        <v>286</v>
      </c>
      <c r="R284" s="5"/>
      <c r="S284" s="5" t="s">
        <v>1422</v>
      </c>
      <c r="T284" s="20" t="s">
        <v>1423</v>
      </c>
      <c r="U284" s="5" t="s">
        <v>1424</v>
      </c>
      <c r="V284" s="20" t="s">
        <v>1425</v>
      </c>
      <c r="W284" s="5" t="s">
        <v>965</v>
      </c>
      <c r="X284" s="5" t="s">
        <v>81</v>
      </c>
      <c r="Y284" s="5"/>
      <c r="Z284" s="5"/>
    </row>
    <row r="285" spans="1:28" x14ac:dyDescent="0.3">
      <c r="A285" s="5">
        <v>2503603</v>
      </c>
      <c r="B285" s="20" t="s">
        <v>1426</v>
      </c>
      <c r="C285" s="25">
        <v>45791</v>
      </c>
      <c r="D285" s="5" t="s">
        <v>17</v>
      </c>
      <c r="E285" s="5" t="s">
        <v>71</v>
      </c>
      <c r="F285" s="5" t="s">
        <v>14</v>
      </c>
      <c r="G285" s="5" t="e" vm="12">
        <v>#VALUE!</v>
      </c>
      <c r="H285" s="5">
        <v>17.7</v>
      </c>
      <c r="I285" s="5"/>
      <c r="J285" s="5"/>
      <c r="K285" s="11">
        <v>43400</v>
      </c>
      <c r="M285" s="5" t="s">
        <v>176</v>
      </c>
      <c r="N285" s="5" t="s">
        <v>73</v>
      </c>
      <c r="O285" s="5" t="s">
        <v>243</v>
      </c>
      <c r="P285" s="5">
        <v>30</v>
      </c>
      <c r="Q285" s="5" t="s">
        <v>143</v>
      </c>
      <c r="R285" s="5"/>
      <c r="S285" s="5" t="s">
        <v>1427</v>
      </c>
      <c r="T285" s="20" t="s">
        <v>1428</v>
      </c>
      <c r="U285" s="5" t="s">
        <v>1429</v>
      </c>
      <c r="V285" s="21" t="s">
        <v>1430</v>
      </c>
      <c r="W285" s="5" t="s">
        <v>965</v>
      </c>
      <c r="X285" s="5" t="s">
        <v>81</v>
      </c>
      <c r="Y285" s="5"/>
      <c r="Z285" s="5"/>
    </row>
    <row r="286" spans="1:28" x14ac:dyDescent="0.3">
      <c r="A286" s="5">
        <v>2302004</v>
      </c>
      <c r="B286" s="20" t="s">
        <v>1431</v>
      </c>
      <c r="C286" s="25">
        <v>45791</v>
      </c>
      <c r="D286" s="5" t="s">
        <v>19</v>
      </c>
      <c r="E286" s="5" t="s">
        <v>71</v>
      </c>
      <c r="F286" s="5" t="s">
        <v>14</v>
      </c>
      <c r="G286" s="5" t="e" vm="11">
        <v>#VALUE!</v>
      </c>
      <c r="H286" s="5">
        <v>8.85</v>
      </c>
      <c r="I286" s="5"/>
      <c r="J286" s="5"/>
      <c r="K286" s="11">
        <v>27500</v>
      </c>
      <c r="M286" s="5" t="s">
        <v>176</v>
      </c>
      <c r="N286" s="5" t="s">
        <v>73</v>
      </c>
      <c r="O286" s="5" t="s">
        <v>243</v>
      </c>
      <c r="P286" s="5">
        <v>15</v>
      </c>
      <c r="Q286" s="14" t="s">
        <v>364</v>
      </c>
      <c r="R286" s="5"/>
      <c r="T286" s="20" t="s">
        <v>1432</v>
      </c>
      <c r="W286" s="5" t="s">
        <v>109</v>
      </c>
      <c r="X286" s="5" t="s">
        <v>81</v>
      </c>
      <c r="Y286" s="5"/>
      <c r="Z286" s="5"/>
    </row>
    <row r="287" spans="1:28" x14ac:dyDescent="0.3">
      <c r="A287" s="5">
        <v>2503225</v>
      </c>
      <c r="B287" s="20" t="s">
        <v>340</v>
      </c>
      <c r="C287" s="25">
        <v>45791</v>
      </c>
      <c r="D287" s="5" t="s">
        <v>17</v>
      </c>
      <c r="E287" s="5" t="s">
        <v>124</v>
      </c>
      <c r="F287" s="5" t="s">
        <v>14</v>
      </c>
      <c r="G287" s="5" t="e" vm="5">
        <v>#VALUE!</v>
      </c>
      <c r="H287" s="5">
        <v>97.6</v>
      </c>
      <c r="I287" s="5"/>
      <c r="J287" s="5"/>
      <c r="K287" s="11">
        <v>198800</v>
      </c>
      <c r="M287" s="5" t="s">
        <v>125</v>
      </c>
      <c r="N287" s="5" t="s">
        <v>73</v>
      </c>
      <c r="O287" s="5" t="s">
        <v>561</v>
      </c>
      <c r="P287" s="5">
        <v>160</v>
      </c>
      <c r="Q287" s="5" t="s">
        <v>1433</v>
      </c>
      <c r="R287" s="5"/>
      <c r="W287" s="5" t="s">
        <v>965</v>
      </c>
      <c r="X287" s="5" t="s">
        <v>81</v>
      </c>
      <c r="Y287" s="5"/>
      <c r="Z287" s="5"/>
    </row>
    <row r="288" spans="1:28" x14ac:dyDescent="0.3">
      <c r="A288" s="5">
        <v>2403185</v>
      </c>
      <c r="B288" s="20" t="s">
        <v>1434</v>
      </c>
      <c r="C288" s="25">
        <v>45792</v>
      </c>
      <c r="D288" s="5" t="s">
        <v>17</v>
      </c>
      <c r="E288" s="5" t="s">
        <v>71</v>
      </c>
      <c r="F288" s="5" t="s">
        <v>14</v>
      </c>
      <c r="G288" s="5" t="e" vm="5">
        <v>#VALUE!</v>
      </c>
      <c r="H288" s="5">
        <v>7.08</v>
      </c>
      <c r="I288" s="5"/>
      <c r="J288" s="5"/>
      <c r="K288" s="11">
        <v>21500</v>
      </c>
      <c r="L288" s="24">
        <v>-1416</v>
      </c>
      <c r="M288" s="5" t="s">
        <v>125</v>
      </c>
      <c r="N288" s="5" t="s">
        <v>73</v>
      </c>
      <c r="O288" s="5" t="s">
        <v>243</v>
      </c>
      <c r="P288" s="5">
        <v>12</v>
      </c>
      <c r="Q288" s="5" t="s">
        <v>286</v>
      </c>
      <c r="R288" s="5"/>
      <c r="S288" s="5" t="s">
        <v>1435</v>
      </c>
      <c r="T288" s="20" t="s">
        <v>1436</v>
      </c>
      <c r="U288" s="5" t="s">
        <v>1437</v>
      </c>
      <c r="V288" s="21" t="s">
        <v>1438</v>
      </c>
      <c r="W288" s="5" t="s">
        <v>965</v>
      </c>
      <c r="X288" s="5" t="s">
        <v>81</v>
      </c>
      <c r="Y288" s="5"/>
      <c r="Z288" s="5" t="s">
        <v>269</v>
      </c>
    </row>
    <row r="289" spans="1:28" x14ac:dyDescent="0.3">
      <c r="A289" s="5">
        <v>2410194</v>
      </c>
      <c r="B289" s="15" t="s">
        <v>1439</v>
      </c>
      <c r="C289" s="25">
        <v>45792</v>
      </c>
      <c r="D289" s="5" t="s">
        <v>17</v>
      </c>
      <c r="E289" s="5" t="s">
        <v>124</v>
      </c>
      <c r="F289" s="5" t="s">
        <v>14</v>
      </c>
      <c r="G289" s="5" t="e" vm="3">
        <v>#VALUE!</v>
      </c>
      <c r="H289" s="5">
        <v>207.08</v>
      </c>
      <c r="I289" s="5"/>
      <c r="J289" s="5"/>
      <c r="K289" s="11">
        <v>395000</v>
      </c>
      <c r="M289" s="5" t="s">
        <v>125</v>
      </c>
      <c r="N289" s="5" t="s">
        <v>73</v>
      </c>
      <c r="O289" s="5" t="s">
        <v>1440</v>
      </c>
      <c r="P289" s="5">
        <v>334</v>
      </c>
      <c r="Q289" s="5" t="s">
        <v>1433</v>
      </c>
      <c r="R289" s="5"/>
      <c r="W289" s="5"/>
      <c r="X289" s="5"/>
      <c r="Y289" s="5"/>
      <c r="Z289" s="5"/>
    </row>
    <row r="290" spans="1:28" x14ac:dyDescent="0.3">
      <c r="A290" s="5">
        <v>2504669</v>
      </c>
      <c r="B290" s="20" t="s">
        <v>1441</v>
      </c>
      <c r="C290" s="25">
        <v>45793</v>
      </c>
      <c r="D290" s="5" t="s">
        <v>17</v>
      </c>
      <c r="E290" s="5" t="s">
        <v>71</v>
      </c>
      <c r="F290" s="5" t="s">
        <v>14</v>
      </c>
      <c r="G290" s="5" t="e" vm="5">
        <v>#VALUE!</v>
      </c>
      <c r="H290" s="5">
        <v>10.62</v>
      </c>
      <c r="I290" s="5"/>
      <c r="J290" s="5"/>
      <c r="K290" s="11">
        <v>29000</v>
      </c>
      <c r="M290" s="5" t="s">
        <v>125</v>
      </c>
      <c r="N290" s="5" t="s">
        <v>73</v>
      </c>
      <c r="O290" s="5" t="s">
        <v>243</v>
      </c>
      <c r="P290" s="5">
        <v>18</v>
      </c>
      <c r="Q290" s="5" t="s">
        <v>364</v>
      </c>
      <c r="R290" s="5"/>
      <c r="S290" s="5" t="s">
        <v>1442</v>
      </c>
      <c r="T290" s="20" t="s">
        <v>1443</v>
      </c>
      <c r="U290" s="5" t="s">
        <v>1444</v>
      </c>
      <c r="V290" s="21" t="s">
        <v>1445</v>
      </c>
      <c r="W290" s="5" t="s">
        <v>965</v>
      </c>
      <c r="X290" s="5" t="s">
        <v>81</v>
      </c>
      <c r="Y290" s="5"/>
      <c r="Z290" s="5" t="s">
        <v>1446</v>
      </c>
    </row>
    <row r="291" spans="1:28" x14ac:dyDescent="0.3">
      <c r="A291" s="5">
        <v>2504660</v>
      </c>
      <c r="B291" s="20" t="s">
        <v>1447</v>
      </c>
      <c r="C291" s="25">
        <v>45793</v>
      </c>
      <c r="D291" s="5" t="s">
        <v>19</v>
      </c>
      <c r="E291" s="5" t="s">
        <v>71</v>
      </c>
      <c r="F291" s="5" t="s">
        <v>14</v>
      </c>
      <c r="G291" s="5" t="e" vm="11">
        <v>#VALUE!</v>
      </c>
      <c r="H291" s="5">
        <v>14.75</v>
      </c>
      <c r="I291" s="5"/>
      <c r="J291" s="5"/>
      <c r="K291" s="11">
        <v>34000</v>
      </c>
      <c r="M291" s="5" t="s">
        <v>125</v>
      </c>
      <c r="N291" s="5" t="s">
        <v>73</v>
      </c>
      <c r="O291" s="5" t="s">
        <v>243</v>
      </c>
      <c r="P291" s="5">
        <v>25</v>
      </c>
      <c r="Q291" s="5" t="s">
        <v>143</v>
      </c>
      <c r="R291" s="5"/>
      <c r="S291" s="5" t="s">
        <v>1448</v>
      </c>
      <c r="T291" s="20" t="s">
        <v>1449</v>
      </c>
      <c r="U291" s="5" t="s">
        <v>1450</v>
      </c>
      <c r="V291" s="21" t="s">
        <v>1451</v>
      </c>
      <c r="W291" s="5" t="s">
        <v>109</v>
      </c>
      <c r="X291" s="5" t="s">
        <v>81</v>
      </c>
      <c r="Y291" s="5"/>
      <c r="Z291" s="5"/>
    </row>
    <row r="292" spans="1:28" x14ac:dyDescent="0.3">
      <c r="A292" s="5">
        <v>2410191</v>
      </c>
      <c r="B292" s="15" t="s">
        <v>1452</v>
      </c>
      <c r="C292" s="25">
        <v>45793</v>
      </c>
      <c r="D292" s="5" t="s">
        <v>17</v>
      </c>
      <c r="E292" s="5" t="s">
        <v>124</v>
      </c>
      <c r="F292" s="5" t="s">
        <v>14</v>
      </c>
      <c r="G292" s="5" t="e" vm="8">
        <v>#VALUE!</v>
      </c>
      <c r="H292" s="5">
        <v>53.68</v>
      </c>
      <c r="I292" s="5"/>
      <c r="J292" s="5"/>
      <c r="K292" s="11">
        <v>150000</v>
      </c>
      <c r="M292" s="5" t="s">
        <v>125</v>
      </c>
      <c r="N292" s="5" t="s">
        <v>73</v>
      </c>
      <c r="O292" s="5" t="s">
        <v>1453</v>
      </c>
      <c r="P292" s="5">
        <v>88</v>
      </c>
      <c r="Q292" s="14" t="s">
        <v>1454</v>
      </c>
      <c r="R292" s="5"/>
      <c r="W292" s="5" t="s">
        <v>965</v>
      </c>
      <c r="X292" s="5" t="s">
        <v>81</v>
      </c>
      <c r="Y292" s="5"/>
      <c r="Z292" s="5" t="s">
        <v>269</v>
      </c>
    </row>
    <row r="293" spans="1:28" x14ac:dyDescent="0.3">
      <c r="A293" s="5">
        <v>2505695</v>
      </c>
      <c r="B293" s="15" t="s">
        <v>1455</v>
      </c>
      <c r="C293" s="25">
        <v>45797</v>
      </c>
      <c r="D293" s="5" t="s">
        <v>22</v>
      </c>
      <c r="E293" s="5" t="s">
        <v>71</v>
      </c>
      <c r="F293" s="5" t="s">
        <v>14</v>
      </c>
      <c r="G293" s="5" t="e" vm="11">
        <v>#VALUE!</v>
      </c>
      <c r="H293" s="5">
        <v>9.44</v>
      </c>
      <c r="I293" s="5"/>
      <c r="J293" s="5"/>
      <c r="K293" s="11">
        <v>27000</v>
      </c>
      <c r="M293" s="5" t="s">
        <v>125</v>
      </c>
      <c r="N293" s="5" t="s">
        <v>73</v>
      </c>
      <c r="O293" s="5" t="s">
        <v>243</v>
      </c>
      <c r="P293" s="5">
        <v>16</v>
      </c>
      <c r="Q293" s="14" t="s">
        <v>364</v>
      </c>
      <c r="R293" s="5"/>
      <c r="S293" s="5" t="s">
        <v>1456</v>
      </c>
      <c r="T293" s="20" t="s">
        <v>1457</v>
      </c>
      <c r="U293" s="5" t="s">
        <v>1458</v>
      </c>
      <c r="V293" s="21" t="s">
        <v>1459</v>
      </c>
      <c r="W293" s="5" t="s">
        <v>965</v>
      </c>
      <c r="X293" s="5" t="s">
        <v>81</v>
      </c>
      <c r="Y293" s="5"/>
      <c r="Z293" s="5"/>
    </row>
    <row r="294" spans="1:28" x14ac:dyDescent="0.3">
      <c r="A294" s="5">
        <v>2505672</v>
      </c>
      <c r="B294" s="15" t="s">
        <v>1460</v>
      </c>
      <c r="C294" s="25">
        <v>45797</v>
      </c>
      <c r="D294" s="5" t="s">
        <v>22</v>
      </c>
      <c r="E294" s="5" t="s">
        <v>71</v>
      </c>
      <c r="F294" s="5" t="s">
        <v>14</v>
      </c>
      <c r="G294" s="5" t="e" vm="11">
        <v>#VALUE!</v>
      </c>
      <c r="H294" s="5">
        <v>8.85</v>
      </c>
      <c r="I294" s="5"/>
      <c r="J294" s="5"/>
      <c r="K294" s="11">
        <v>27000</v>
      </c>
      <c r="M294" s="5" t="s">
        <v>125</v>
      </c>
      <c r="N294" s="5" t="s">
        <v>73</v>
      </c>
      <c r="O294" s="5" t="s">
        <v>243</v>
      </c>
      <c r="P294" s="5">
        <v>15</v>
      </c>
      <c r="Q294" s="14" t="s">
        <v>364</v>
      </c>
      <c r="R294" s="5"/>
      <c r="S294" s="5" t="s">
        <v>1461</v>
      </c>
      <c r="T294" s="20" t="s">
        <v>1462</v>
      </c>
      <c r="U294" s="5" t="s">
        <v>1463</v>
      </c>
      <c r="V294" s="21" t="s">
        <v>1464</v>
      </c>
      <c r="W294" s="5" t="s">
        <v>965</v>
      </c>
      <c r="X294" s="5" t="s">
        <v>81</v>
      </c>
      <c r="Y294" s="5"/>
      <c r="Z294" s="5"/>
      <c r="AB294" s="20" t="s">
        <v>1406</v>
      </c>
    </row>
    <row r="295" spans="1:28" x14ac:dyDescent="0.3">
      <c r="A295" s="5">
        <v>2505684</v>
      </c>
      <c r="B295" s="15" t="s">
        <v>1465</v>
      </c>
      <c r="C295" s="25">
        <v>45797</v>
      </c>
      <c r="D295" s="5" t="s">
        <v>22</v>
      </c>
      <c r="E295" s="5" t="s">
        <v>71</v>
      </c>
      <c r="F295" s="5" t="s">
        <v>14</v>
      </c>
      <c r="G295" s="5" t="e" vm="11">
        <v>#VALUE!</v>
      </c>
      <c r="H295" s="5">
        <v>11.21</v>
      </c>
      <c r="I295" s="5"/>
      <c r="J295" s="5"/>
      <c r="K295" s="11">
        <v>30000</v>
      </c>
      <c r="M295" s="5" t="s">
        <v>125</v>
      </c>
      <c r="N295" s="5" t="s">
        <v>73</v>
      </c>
      <c r="O295" s="5" t="s">
        <v>243</v>
      </c>
      <c r="P295" s="5">
        <v>19</v>
      </c>
      <c r="Q295" s="5" t="s">
        <v>111</v>
      </c>
      <c r="R295" s="5"/>
      <c r="S295" s="5" t="s">
        <v>1466</v>
      </c>
      <c r="T295" s="20" t="s">
        <v>1467</v>
      </c>
      <c r="U295" s="5" t="s">
        <v>1468</v>
      </c>
      <c r="V295" s="21" t="s">
        <v>1469</v>
      </c>
      <c r="W295" s="5" t="s">
        <v>965</v>
      </c>
      <c r="X295" s="5" t="s">
        <v>81</v>
      </c>
      <c r="Y295" s="5"/>
      <c r="Z295" s="5"/>
    </row>
    <row r="296" spans="1:28" x14ac:dyDescent="0.3">
      <c r="A296" s="5">
        <v>2505697</v>
      </c>
      <c r="B296" s="20" t="s">
        <v>1470</v>
      </c>
      <c r="C296" s="25">
        <v>45797</v>
      </c>
      <c r="D296" s="5" t="s">
        <v>22</v>
      </c>
      <c r="E296" s="5" t="s">
        <v>71</v>
      </c>
      <c r="F296" s="5" t="s">
        <v>14</v>
      </c>
      <c r="G296" s="5" t="e" vm="11">
        <v>#VALUE!</v>
      </c>
      <c r="H296" s="5">
        <v>7.08</v>
      </c>
      <c r="I296" s="5"/>
      <c r="J296" s="5"/>
      <c r="K296" s="11">
        <v>21500</v>
      </c>
      <c r="M296" s="5" t="s">
        <v>125</v>
      </c>
      <c r="N296" s="5" t="s">
        <v>73</v>
      </c>
      <c r="O296" s="5" t="s">
        <v>243</v>
      </c>
      <c r="P296" s="5">
        <v>12</v>
      </c>
      <c r="Q296" s="5" t="s">
        <v>286</v>
      </c>
      <c r="R296" s="5"/>
      <c r="S296" s="5" t="s">
        <v>1471</v>
      </c>
      <c r="T296" s="20" t="s">
        <v>1472</v>
      </c>
      <c r="U296" s="5" t="s">
        <v>1473</v>
      </c>
      <c r="V296" s="21" t="s">
        <v>1474</v>
      </c>
      <c r="W296" s="5" t="s">
        <v>965</v>
      </c>
      <c r="X296" s="5" t="s">
        <v>81</v>
      </c>
      <c r="Y296" s="5"/>
      <c r="Z296" s="5"/>
    </row>
    <row r="297" spans="1:28" x14ac:dyDescent="0.3">
      <c r="A297" s="5">
        <v>2505688</v>
      </c>
      <c r="B297" s="20" t="s">
        <v>1475</v>
      </c>
      <c r="C297" s="25">
        <v>45797</v>
      </c>
      <c r="D297" s="5" t="s">
        <v>17</v>
      </c>
      <c r="E297" s="5" t="s">
        <v>71</v>
      </c>
      <c r="F297" s="5" t="s">
        <v>14</v>
      </c>
      <c r="G297" s="5" t="e" vm="5">
        <v>#VALUE!</v>
      </c>
      <c r="H297" s="5">
        <v>16.52</v>
      </c>
      <c r="I297" s="5"/>
      <c r="J297" s="5"/>
      <c r="K297" s="11">
        <v>40000</v>
      </c>
      <c r="M297" s="5" t="s">
        <v>125</v>
      </c>
      <c r="N297" s="5" t="s">
        <v>73</v>
      </c>
      <c r="O297" s="5" t="s">
        <v>243</v>
      </c>
      <c r="P297" s="5">
        <v>28</v>
      </c>
      <c r="Q297" s="5" t="s">
        <v>143</v>
      </c>
      <c r="R297" s="5"/>
      <c r="S297" s="5" t="s">
        <v>1476</v>
      </c>
      <c r="T297" s="20" t="s">
        <v>1477</v>
      </c>
      <c r="U297" s="5" t="s">
        <v>1478</v>
      </c>
      <c r="V297" s="21" t="s">
        <v>1479</v>
      </c>
      <c r="W297" s="5" t="s">
        <v>965</v>
      </c>
      <c r="X297" s="5" t="s">
        <v>81</v>
      </c>
      <c r="Y297" s="5"/>
      <c r="Z297" s="5"/>
    </row>
    <row r="298" spans="1:28" x14ac:dyDescent="0.3">
      <c r="A298" s="5">
        <v>2505682</v>
      </c>
      <c r="B298" s="20" t="s">
        <v>1480</v>
      </c>
      <c r="C298" s="25">
        <v>45797</v>
      </c>
      <c r="D298" s="5" t="s">
        <v>22</v>
      </c>
      <c r="E298" s="5" t="s">
        <v>71</v>
      </c>
      <c r="F298" s="5" t="s">
        <v>14</v>
      </c>
      <c r="G298" s="5" t="e" vm="11">
        <v>#VALUE!</v>
      </c>
      <c r="H298" s="5">
        <v>13.42</v>
      </c>
      <c r="I298" s="5"/>
      <c r="J298" s="5"/>
      <c r="K298" s="11">
        <v>36620</v>
      </c>
      <c r="M298" s="5" t="s">
        <v>176</v>
      </c>
      <c r="N298" s="5" t="s">
        <v>73</v>
      </c>
      <c r="O298" s="5" t="s">
        <v>561</v>
      </c>
      <c r="P298" s="5">
        <v>22</v>
      </c>
      <c r="Q298" s="5" t="s">
        <v>111</v>
      </c>
      <c r="R298" s="5"/>
      <c r="S298" s="5" t="s">
        <v>1481</v>
      </c>
      <c r="T298" s="20" t="s">
        <v>1482</v>
      </c>
      <c r="U298" s="5" t="s">
        <v>1483</v>
      </c>
      <c r="V298" s="21" t="s">
        <v>1484</v>
      </c>
      <c r="W298" s="5" t="s">
        <v>80</v>
      </c>
      <c r="X298" s="5" t="s">
        <v>81</v>
      </c>
      <c r="Y298" s="5"/>
      <c r="Z298" s="5"/>
    </row>
    <row r="299" spans="1:28" x14ac:dyDescent="0.3">
      <c r="A299" s="5">
        <v>2505699</v>
      </c>
      <c r="B299" s="20" t="s">
        <v>1485</v>
      </c>
      <c r="C299" s="25">
        <v>45798</v>
      </c>
      <c r="D299" s="5" t="s">
        <v>19</v>
      </c>
      <c r="E299" s="5" t="s">
        <v>71</v>
      </c>
      <c r="F299" s="5" t="s">
        <v>14</v>
      </c>
      <c r="G299" s="5" t="e" vm="11">
        <v>#VALUE!</v>
      </c>
      <c r="H299" s="5">
        <v>11.8</v>
      </c>
      <c r="I299" s="5"/>
      <c r="J299" s="5"/>
      <c r="K299" s="11">
        <v>33000</v>
      </c>
      <c r="M299" s="5" t="s">
        <v>125</v>
      </c>
      <c r="N299" s="5" t="s">
        <v>73</v>
      </c>
      <c r="O299" s="5" t="s">
        <v>243</v>
      </c>
      <c r="P299" s="5">
        <v>20</v>
      </c>
      <c r="Q299" s="5" t="s">
        <v>111</v>
      </c>
      <c r="R299" s="5"/>
      <c r="S299" s="5" t="s">
        <v>1486</v>
      </c>
      <c r="T299" s="20" t="s">
        <v>1487</v>
      </c>
      <c r="U299" s="5" t="s">
        <v>1488</v>
      </c>
      <c r="V299" s="20" t="s">
        <v>1489</v>
      </c>
      <c r="W299" s="5"/>
      <c r="X299" s="5"/>
      <c r="Y299" s="5"/>
      <c r="Z299" s="5"/>
    </row>
    <row r="300" spans="1:28" x14ac:dyDescent="0.3">
      <c r="A300" s="5">
        <v>2503612</v>
      </c>
      <c r="B300" s="20" t="s">
        <v>809</v>
      </c>
      <c r="C300" s="25">
        <v>45798</v>
      </c>
      <c r="D300" s="5" t="s">
        <v>17</v>
      </c>
      <c r="E300" s="5" t="s">
        <v>71</v>
      </c>
      <c r="F300" s="5" t="s">
        <v>14</v>
      </c>
      <c r="G300" s="5" t="e" vm="5">
        <v>#VALUE!</v>
      </c>
      <c r="H300" s="5">
        <v>17.7</v>
      </c>
      <c r="I300" s="5"/>
      <c r="J300" s="5"/>
      <c r="K300" s="11"/>
      <c r="M300" s="5"/>
      <c r="N300" s="5" t="s">
        <v>73</v>
      </c>
      <c r="O300" s="5" t="s">
        <v>243</v>
      </c>
      <c r="P300" s="5">
        <v>30</v>
      </c>
      <c r="Q300" s="5" t="s">
        <v>143</v>
      </c>
      <c r="R300" s="5"/>
      <c r="S300" s="5" t="s">
        <v>810</v>
      </c>
      <c r="T300" s="20" t="s">
        <v>1490</v>
      </c>
      <c r="U300" s="5" t="s">
        <v>812</v>
      </c>
      <c r="V300" s="20" t="s">
        <v>813</v>
      </c>
      <c r="W300" s="5"/>
      <c r="X300" s="5"/>
      <c r="Y300" s="5"/>
      <c r="Z300" s="5"/>
    </row>
    <row r="301" spans="1:28" x14ac:dyDescent="0.3">
      <c r="A301" s="5">
        <v>2505680</v>
      </c>
      <c r="B301" s="20" t="s">
        <v>1491</v>
      </c>
      <c r="C301" s="25">
        <v>45798</v>
      </c>
      <c r="D301" s="5" t="s">
        <v>22</v>
      </c>
      <c r="E301" s="5" t="s">
        <v>71</v>
      </c>
      <c r="F301" s="5" t="s">
        <v>14</v>
      </c>
      <c r="G301" s="5" t="e" vm="11">
        <v>#VALUE!</v>
      </c>
      <c r="H301" s="5">
        <v>17.7</v>
      </c>
      <c r="I301" s="5"/>
      <c r="J301" s="5"/>
      <c r="K301" s="11">
        <v>41000</v>
      </c>
      <c r="M301" s="5" t="s">
        <v>125</v>
      </c>
      <c r="N301" s="5" t="s">
        <v>73</v>
      </c>
      <c r="O301" s="5" t="s">
        <v>243</v>
      </c>
      <c r="P301" s="5">
        <v>30</v>
      </c>
      <c r="Q301" s="5" t="s">
        <v>143</v>
      </c>
      <c r="R301" s="5"/>
      <c r="S301" s="5" t="s">
        <v>1492</v>
      </c>
      <c r="T301" s="20" t="s">
        <v>1493</v>
      </c>
      <c r="U301" s="5" t="s">
        <v>1494</v>
      </c>
      <c r="V301" s="20" t="s">
        <v>1495</v>
      </c>
      <c r="W301" s="5"/>
      <c r="X301" s="5"/>
      <c r="Y301" s="5"/>
      <c r="Z301" s="5"/>
    </row>
    <row r="302" spans="1:28" x14ac:dyDescent="0.3">
      <c r="A302" s="5">
        <v>2503607</v>
      </c>
      <c r="B302" s="20" t="s">
        <v>1496</v>
      </c>
      <c r="C302" s="25">
        <v>45800</v>
      </c>
      <c r="D302" s="5" t="s">
        <v>17</v>
      </c>
      <c r="E302" s="5" t="s">
        <v>71</v>
      </c>
      <c r="F302" s="5" t="s">
        <v>14</v>
      </c>
      <c r="G302" s="5" t="e" vm="5">
        <v>#VALUE!</v>
      </c>
      <c r="H302" s="5">
        <v>10.62</v>
      </c>
      <c r="I302" s="5"/>
      <c r="J302" s="5"/>
      <c r="K302" s="11">
        <v>29000</v>
      </c>
      <c r="M302" s="5" t="s">
        <v>125</v>
      </c>
      <c r="N302" s="5" t="s">
        <v>73</v>
      </c>
      <c r="O302" s="5" t="s">
        <v>243</v>
      </c>
      <c r="P302" s="5">
        <v>18</v>
      </c>
      <c r="Q302" s="5" t="s">
        <v>364</v>
      </c>
      <c r="R302" s="5"/>
      <c r="S302" s="5" t="s">
        <v>1497</v>
      </c>
      <c r="T302" s="20" t="s">
        <v>1498</v>
      </c>
      <c r="U302" s="5" t="s">
        <v>1499</v>
      </c>
      <c r="V302" s="20" t="s">
        <v>1500</v>
      </c>
      <c r="W302" s="5" t="s">
        <v>965</v>
      </c>
      <c r="X302" s="5" t="s">
        <v>81</v>
      </c>
      <c r="Y302" s="5"/>
      <c r="Z302" s="5" t="s">
        <v>269</v>
      </c>
    </row>
    <row r="303" spans="1:28" x14ac:dyDescent="0.3">
      <c r="A303" s="5">
        <v>2505711</v>
      </c>
      <c r="B303" s="20" t="s">
        <v>1501</v>
      </c>
      <c r="C303" s="25">
        <v>45804</v>
      </c>
      <c r="D303" s="5" t="s">
        <v>19</v>
      </c>
      <c r="E303" s="5" t="s">
        <v>71</v>
      </c>
      <c r="F303" s="5" t="s">
        <v>14</v>
      </c>
      <c r="G303" s="5" t="e" vm="11">
        <v>#VALUE!</v>
      </c>
      <c r="H303" s="5">
        <v>8.26</v>
      </c>
      <c r="I303" s="5"/>
      <c r="J303" s="5"/>
      <c r="K303" s="11">
        <v>25500</v>
      </c>
      <c r="M303" s="5" t="s">
        <v>125</v>
      </c>
      <c r="N303" s="5" t="s">
        <v>73</v>
      </c>
      <c r="O303" s="5" t="s">
        <v>243</v>
      </c>
      <c r="P303" s="5">
        <v>14</v>
      </c>
      <c r="Q303" s="5" t="s">
        <v>244</v>
      </c>
      <c r="R303" s="5"/>
      <c r="S303" s="5" t="s">
        <v>1502</v>
      </c>
      <c r="T303" s="20" t="s">
        <v>1503</v>
      </c>
      <c r="U303" s="5" t="s">
        <v>1504</v>
      </c>
      <c r="V303" s="20" t="s">
        <v>1505</v>
      </c>
      <c r="W303" s="5" t="s">
        <v>965</v>
      </c>
      <c r="X303" s="5" t="s">
        <v>81</v>
      </c>
      <c r="Y303" s="5"/>
      <c r="Z303" s="5"/>
    </row>
    <row r="304" spans="1:28" x14ac:dyDescent="0.3">
      <c r="A304" s="5">
        <v>2505713</v>
      </c>
      <c r="B304" s="20" t="s">
        <v>1506</v>
      </c>
      <c r="C304" s="25">
        <v>45805</v>
      </c>
      <c r="D304" s="5" t="s">
        <v>22</v>
      </c>
      <c r="E304" s="5" t="s">
        <v>71</v>
      </c>
      <c r="F304" s="5" t="s">
        <v>14</v>
      </c>
      <c r="G304" s="5" t="e" vm="11">
        <v>#VALUE!</v>
      </c>
      <c r="H304" s="5">
        <v>17.7</v>
      </c>
      <c r="I304" s="5"/>
      <c r="J304" s="5"/>
      <c r="K304" s="11">
        <v>41000</v>
      </c>
      <c r="M304" s="5" t="s">
        <v>125</v>
      </c>
      <c r="N304" s="5" t="s">
        <v>73</v>
      </c>
      <c r="O304" s="5" t="s">
        <v>243</v>
      </c>
      <c r="P304" s="5">
        <v>30</v>
      </c>
      <c r="Q304" s="5" t="s">
        <v>143</v>
      </c>
      <c r="R304" s="5"/>
      <c r="S304" s="5" t="s">
        <v>1507</v>
      </c>
      <c r="T304" s="20" t="s">
        <v>1508</v>
      </c>
      <c r="U304" s="5" t="s">
        <v>1509</v>
      </c>
      <c r="V304" s="20" t="s">
        <v>1510</v>
      </c>
      <c r="W304" s="5" t="s">
        <v>965</v>
      </c>
      <c r="X304" s="5" t="s">
        <v>81</v>
      </c>
      <c r="Y304" s="5"/>
      <c r="Z304" s="5"/>
    </row>
    <row r="305" spans="1:26" x14ac:dyDescent="0.3">
      <c r="A305" s="5">
        <v>2505714</v>
      </c>
      <c r="B305" s="20" t="s">
        <v>1511</v>
      </c>
      <c r="C305" s="25">
        <v>45806</v>
      </c>
      <c r="D305" s="5" t="s">
        <v>17</v>
      </c>
      <c r="E305" s="5" t="s">
        <v>71</v>
      </c>
      <c r="F305" s="5" t="s">
        <v>14</v>
      </c>
      <c r="G305" s="5" t="e" vm="5">
        <v>#VALUE!</v>
      </c>
      <c r="H305" s="5">
        <v>7.08</v>
      </c>
      <c r="I305" s="5"/>
      <c r="J305" s="5"/>
      <c r="K305" s="11">
        <v>22500</v>
      </c>
      <c r="M305" s="5" t="s">
        <v>125</v>
      </c>
      <c r="N305" s="5" t="s">
        <v>73</v>
      </c>
      <c r="O305" s="5" t="s">
        <v>243</v>
      </c>
      <c r="P305" s="5">
        <v>12</v>
      </c>
      <c r="Q305" s="5" t="s">
        <v>286</v>
      </c>
      <c r="R305" s="5"/>
      <c r="S305" s="5" t="s">
        <v>1512</v>
      </c>
      <c r="T305" s="20" t="s">
        <v>1513</v>
      </c>
      <c r="U305" s="5" t="s">
        <v>1514</v>
      </c>
      <c r="V305" s="20" t="s">
        <v>1515</v>
      </c>
      <c r="W305" s="5" t="s">
        <v>965</v>
      </c>
      <c r="X305" s="5" t="s">
        <v>81</v>
      </c>
      <c r="Y305" s="5"/>
      <c r="Z305" s="5"/>
    </row>
    <row r="306" spans="1:26" x14ac:dyDescent="0.3">
      <c r="A306" s="5">
        <v>2405306</v>
      </c>
      <c r="B306" s="20" t="s">
        <v>773</v>
      </c>
      <c r="C306" s="25">
        <v>45806</v>
      </c>
      <c r="D306" s="5" t="s">
        <v>17</v>
      </c>
      <c r="E306" s="5" t="s">
        <v>71</v>
      </c>
      <c r="F306" s="5" t="s">
        <v>14</v>
      </c>
      <c r="G306" s="5" t="e" vm="5">
        <v>#VALUE!</v>
      </c>
      <c r="H306" s="5">
        <v>17.7</v>
      </c>
      <c r="I306" s="5"/>
      <c r="J306" s="5"/>
      <c r="K306" s="11">
        <v>43000</v>
      </c>
      <c r="L306" s="24">
        <v>7000</v>
      </c>
      <c r="M306" s="5" t="s">
        <v>125</v>
      </c>
      <c r="N306" s="5" t="s">
        <v>73</v>
      </c>
      <c r="O306" s="5" t="s">
        <v>243</v>
      </c>
      <c r="P306" s="5">
        <v>30</v>
      </c>
      <c r="Q306" s="5" t="s">
        <v>143</v>
      </c>
      <c r="R306" s="5"/>
      <c r="S306" s="5" t="s">
        <v>774</v>
      </c>
      <c r="T306" s="20" t="s">
        <v>1516</v>
      </c>
      <c r="U306" s="5" t="s">
        <v>776</v>
      </c>
      <c r="V306" s="21" t="s">
        <v>777</v>
      </c>
      <c r="W306" s="5" t="s">
        <v>965</v>
      </c>
      <c r="X306" s="5" t="s">
        <v>81</v>
      </c>
      <c r="Y306" s="5"/>
      <c r="Z306" s="5"/>
    </row>
    <row r="307" spans="1:26" x14ac:dyDescent="0.3">
      <c r="A307" s="5">
        <v>2505705</v>
      </c>
      <c r="B307" s="20" t="s">
        <v>1517</v>
      </c>
      <c r="C307" s="25">
        <v>45807</v>
      </c>
      <c r="D307" s="5" t="s">
        <v>17</v>
      </c>
      <c r="E307" s="5" t="s">
        <v>71</v>
      </c>
      <c r="F307" s="5" t="s">
        <v>14</v>
      </c>
      <c r="G307" s="5" t="e" vm="5">
        <v>#VALUE!</v>
      </c>
      <c r="H307" s="5">
        <v>7.08</v>
      </c>
      <c r="I307" s="5"/>
      <c r="J307" s="5"/>
      <c r="K307" s="11">
        <v>21500</v>
      </c>
      <c r="M307" s="5" t="s">
        <v>125</v>
      </c>
      <c r="N307" s="5" t="s">
        <v>73</v>
      </c>
      <c r="O307" s="5" t="s">
        <v>243</v>
      </c>
      <c r="P307" s="5">
        <v>12</v>
      </c>
      <c r="Q307" s="5" t="s">
        <v>286</v>
      </c>
      <c r="R307" s="5"/>
      <c r="S307" s="5" t="s">
        <v>1518</v>
      </c>
      <c r="T307" s="20" t="s">
        <v>1519</v>
      </c>
      <c r="U307" s="5" t="s">
        <v>1520</v>
      </c>
      <c r="V307" s="21" t="s">
        <v>1521</v>
      </c>
      <c r="W307" s="5" t="s">
        <v>965</v>
      </c>
      <c r="X307" s="5" t="s">
        <v>81</v>
      </c>
      <c r="Y307" s="5"/>
      <c r="Z307" s="5"/>
    </row>
    <row r="308" spans="1:26" x14ac:dyDescent="0.3">
      <c r="A308" s="5">
        <v>2505717</v>
      </c>
      <c r="B308" s="20" t="s">
        <v>1522</v>
      </c>
      <c r="C308" s="25">
        <v>45811</v>
      </c>
      <c r="D308" s="5" t="s">
        <v>17</v>
      </c>
      <c r="E308" s="5" t="s">
        <v>71</v>
      </c>
      <c r="F308" s="5" t="s">
        <v>14</v>
      </c>
      <c r="G308" s="5" t="e" vm="12">
        <v>#VALUE!</v>
      </c>
      <c r="H308" s="5">
        <v>16.52</v>
      </c>
      <c r="I308" s="5"/>
      <c r="J308" s="5"/>
      <c r="K308" s="11">
        <v>42000</v>
      </c>
      <c r="M308" s="5" t="s">
        <v>176</v>
      </c>
      <c r="N308" s="5" t="s">
        <v>73</v>
      </c>
      <c r="O308" s="5" t="s">
        <v>243</v>
      </c>
      <c r="P308" s="5">
        <v>28</v>
      </c>
      <c r="Q308" s="5" t="s">
        <v>143</v>
      </c>
      <c r="R308" s="5"/>
      <c r="S308" s="5" t="s">
        <v>1523</v>
      </c>
      <c r="T308" s="20" t="s">
        <v>1524</v>
      </c>
      <c r="U308" s="5" t="s">
        <v>1525</v>
      </c>
      <c r="V308" s="21" t="s">
        <v>1526</v>
      </c>
      <c r="W308" s="5" t="s">
        <v>965</v>
      </c>
      <c r="X308" s="5" t="s">
        <v>81</v>
      </c>
      <c r="Y308" s="5"/>
      <c r="Z308" s="5"/>
    </row>
    <row r="309" spans="1:26" x14ac:dyDescent="0.3">
      <c r="A309" s="5" t="s">
        <v>1527</v>
      </c>
      <c r="B309" s="20" t="s">
        <v>1528</v>
      </c>
      <c r="C309" s="25">
        <v>45812</v>
      </c>
      <c r="D309" s="5" t="s">
        <v>17</v>
      </c>
      <c r="E309" s="5" t="s">
        <v>71</v>
      </c>
      <c r="F309" s="5" t="s">
        <v>14</v>
      </c>
      <c r="G309" s="5" t="e" vm="5">
        <v>#VALUE!</v>
      </c>
      <c r="H309" s="5">
        <v>11.8</v>
      </c>
      <c r="I309" s="5"/>
      <c r="J309" s="5"/>
      <c r="K309" s="11">
        <v>32000</v>
      </c>
      <c r="M309" s="5" t="s">
        <v>125</v>
      </c>
      <c r="N309" s="5" t="s">
        <v>73</v>
      </c>
      <c r="O309" s="5" t="s">
        <v>243</v>
      </c>
      <c r="P309" s="5">
        <v>20</v>
      </c>
      <c r="Q309" s="5" t="s">
        <v>111</v>
      </c>
      <c r="R309" s="5"/>
      <c r="W309" s="5"/>
      <c r="X309" s="5"/>
      <c r="Y309" s="5"/>
      <c r="Z309" s="5"/>
    </row>
    <row r="310" spans="1:26" x14ac:dyDescent="0.3">
      <c r="A310" s="5">
        <v>2505719</v>
      </c>
      <c r="B310" s="20" t="s">
        <v>1529</v>
      </c>
      <c r="C310" s="25">
        <v>45812</v>
      </c>
      <c r="D310" s="5" t="s">
        <v>17</v>
      </c>
      <c r="E310" s="5" t="s">
        <v>71</v>
      </c>
      <c r="F310" s="5" t="s">
        <v>14</v>
      </c>
      <c r="G310" s="5" t="e" vm="5">
        <v>#VALUE!</v>
      </c>
      <c r="H310" s="5">
        <v>11.78</v>
      </c>
      <c r="I310" s="5"/>
      <c r="J310" s="5"/>
      <c r="K310" s="11">
        <v>27000</v>
      </c>
      <c r="M310" s="5" t="s">
        <v>125</v>
      </c>
      <c r="N310" s="5" t="s">
        <v>73</v>
      </c>
      <c r="O310" s="5" t="s">
        <v>1453</v>
      </c>
      <c r="P310" s="5">
        <v>19</v>
      </c>
      <c r="Q310" s="5" t="s">
        <v>111</v>
      </c>
      <c r="R310" s="5"/>
      <c r="S310" s="5" t="s">
        <v>1530</v>
      </c>
      <c r="T310" s="20" t="s">
        <v>1531</v>
      </c>
      <c r="U310" s="5" t="s">
        <v>1532</v>
      </c>
      <c r="V310" s="20" t="s">
        <v>1533</v>
      </c>
      <c r="W310" s="5" t="s">
        <v>109</v>
      </c>
      <c r="X310" s="5" t="s">
        <v>1534</v>
      </c>
      <c r="Y310" s="5"/>
      <c r="Z310" s="5"/>
    </row>
    <row r="311" spans="1:26" x14ac:dyDescent="0.3">
      <c r="A311" s="5">
        <v>2505687</v>
      </c>
      <c r="B311" s="20" t="s">
        <v>1535</v>
      </c>
      <c r="C311" s="25">
        <v>45814</v>
      </c>
      <c r="D311" s="5" t="s">
        <v>22</v>
      </c>
      <c r="E311" s="5" t="s">
        <v>71</v>
      </c>
      <c r="F311" s="5" t="s">
        <v>14</v>
      </c>
      <c r="G311" s="5" t="e" vm="11">
        <v>#VALUE!</v>
      </c>
      <c r="H311" s="5">
        <v>10.029999999999999</v>
      </c>
      <c r="I311" s="5"/>
      <c r="J311" s="5"/>
      <c r="K311" s="11">
        <v>30000</v>
      </c>
      <c r="M311" s="5" t="s">
        <v>125</v>
      </c>
      <c r="N311" s="5" t="s">
        <v>73</v>
      </c>
      <c r="O311" s="5" t="s">
        <v>243</v>
      </c>
      <c r="P311" s="5">
        <v>17</v>
      </c>
      <c r="Q311" s="14" t="s">
        <v>364</v>
      </c>
      <c r="R311" s="5"/>
      <c r="S311" s="5" t="s">
        <v>1536</v>
      </c>
      <c r="T311" s="20" t="s">
        <v>1537</v>
      </c>
      <c r="U311" s="5" t="s">
        <v>1538</v>
      </c>
      <c r="V311" s="21" t="s">
        <v>1539</v>
      </c>
      <c r="W311" s="5" t="s">
        <v>109</v>
      </c>
      <c r="X311" s="5" t="s">
        <v>81</v>
      </c>
      <c r="Y311" s="5"/>
      <c r="Z311" s="5"/>
    </row>
    <row r="312" spans="1:26" x14ac:dyDescent="0.3">
      <c r="A312" s="5">
        <v>2505718</v>
      </c>
      <c r="B312" s="20" t="s">
        <v>1540</v>
      </c>
      <c r="C312" s="25">
        <v>45815</v>
      </c>
      <c r="D312" s="5" t="s">
        <v>19</v>
      </c>
      <c r="E312" s="5" t="s">
        <v>71</v>
      </c>
      <c r="F312" s="5" t="s">
        <v>14</v>
      </c>
      <c r="G312" s="5" t="e" vm="11">
        <v>#VALUE!</v>
      </c>
      <c r="H312" s="5">
        <v>7.44</v>
      </c>
      <c r="I312" s="5"/>
      <c r="J312" s="5"/>
      <c r="K312" s="11">
        <v>23500</v>
      </c>
      <c r="M312" s="5" t="s">
        <v>125</v>
      </c>
      <c r="N312" s="5" t="s">
        <v>73</v>
      </c>
      <c r="O312" s="5" t="s">
        <v>1453</v>
      </c>
      <c r="P312" s="5">
        <v>12</v>
      </c>
      <c r="Q312" s="5" t="s">
        <v>380</v>
      </c>
      <c r="R312" s="5"/>
      <c r="S312" s="5" t="s">
        <v>1541</v>
      </c>
      <c r="T312" s="20" t="s">
        <v>1542</v>
      </c>
      <c r="U312" s="5" t="s">
        <v>1543</v>
      </c>
      <c r="V312" s="21" t="s">
        <v>1544</v>
      </c>
      <c r="W312" s="5" t="s">
        <v>965</v>
      </c>
      <c r="X312" s="5" t="s">
        <v>1534</v>
      </c>
      <c r="Y312" s="5"/>
      <c r="Z312" s="5"/>
    </row>
    <row r="313" spans="1:26" x14ac:dyDescent="0.3">
      <c r="A313" s="5">
        <v>2506726</v>
      </c>
      <c r="B313" s="20" t="s">
        <v>1545</v>
      </c>
      <c r="C313" s="25">
        <v>45816</v>
      </c>
      <c r="D313" s="5" t="s">
        <v>21</v>
      </c>
      <c r="E313" s="5" t="s">
        <v>71</v>
      </c>
      <c r="F313" s="5" t="s">
        <v>14</v>
      </c>
      <c r="G313" s="5" t="e" vm="5">
        <v>#VALUE!</v>
      </c>
      <c r="H313" s="5">
        <v>7.44</v>
      </c>
      <c r="I313" s="5"/>
      <c r="J313" s="5"/>
      <c r="K313" s="11">
        <v>22000</v>
      </c>
      <c r="M313" s="5" t="s">
        <v>1191</v>
      </c>
      <c r="N313" s="5" t="s">
        <v>73</v>
      </c>
      <c r="O313" s="5" t="s">
        <v>1453</v>
      </c>
      <c r="P313" s="5">
        <v>12</v>
      </c>
      <c r="Q313" s="5" t="s">
        <v>286</v>
      </c>
      <c r="R313" s="5"/>
      <c r="S313" s="5" t="s">
        <v>1546</v>
      </c>
      <c r="T313" s="20" t="s">
        <v>1547</v>
      </c>
      <c r="U313" s="5" t="s">
        <v>1548</v>
      </c>
      <c r="V313" s="20" t="s">
        <v>1549</v>
      </c>
      <c r="W313" s="5" t="s">
        <v>965</v>
      </c>
      <c r="X313" s="5" t="s">
        <v>1534</v>
      </c>
      <c r="Y313" s="5"/>
      <c r="Z313" s="5"/>
    </row>
    <row r="314" spans="1:26" x14ac:dyDescent="0.3">
      <c r="A314" s="5">
        <v>2506735</v>
      </c>
      <c r="B314" s="20" t="s">
        <v>1550</v>
      </c>
      <c r="C314" s="25">
        <v>45817</v>
      </c>
      <c r="D314" s="5" t="s">
        <v>22</v>
      </c>
      <c r="E314" s="5" t="s">
        <v>71</v>
      </c>
      <c r="F314" s="5" t="s">
        <v>14</v>
      </c>
      <c r="G314" s="5" t="e" vm="11">
        <v>#VALUE!</v>
      </c>
      <c r="H314" s="5">
        <v>7.44</v>
      </c>
      <c r="I314" s="5"/>
      <c r="J314" s="5"/>
      <c r="K314" s="11">
        <v>19000</v>
      </c>
      <c r="M314" s="5" t="s">
        <v>125</v>
      </c>
      <c r="N314" s="5" t="s">
        <v>73</v>
      </c>
      <c r="O314" s="5" t="s">
        <v>561</v>
      </c>
      <c r="P314" s="5">
        <v>12</v>
      </c>
      <c r="Q314" s="5" t="s">
        <v>286</v>
      </c>
      <c r="R314" s="5"/>
      <c r="S314" s="5" t="s">
        <v>1551</v>
      </c>
      <c r="T314" s="20" t="s">
        <v>1552</v>
      </c>
      <c r="U314" s="5" t="s">
        <v>1553</v>
      </c>
      <c r="V314" s="21" t="s">
        <v>1554</v>
      </c>
      <c r="W314" s="5" t="s">
        <v>109</v>
      </c>
      <c r="X314" s="5" t="s">
        <v>81</v>
      </c>
      <c r="Y314" s="5"/>
      <c r="Z314" s="5"/>
    </row>
    <row r="315" spans="1:26" x14ac:dyDescent="0.3">
      <c r="A315" s="5">
        <v>2506734</v>
      </c>
      <c r="B315" s="20" t="s">
        <v>1555</v>
      </c>
      <c r="C315" s="25">
        <v>45817</v>
      </c>
      <c r="D315" s="5" t="s">
        <v>22</v>
      </c>
      <c r="E315" s="5" t="s">
        <v>71</v>
      </c>
      <c r="F315" s="5" t="s">
        <v>14</v>
      </c>
      <c r="G315" s="5" t="e" vm="11">
        <v>#VALUE!</v>
      </c>
      <c r="H315" s="5">
        <v>11.16</v>
      </c>
      <c r="I315" s="5"/>
      <c r="J315" s="5"/>
      <c r="K315" s="11">
        <v>25500</v>
      </c>
      <c r="M315" s="5" t="s">
        <v>125</v>
      </c>
      <c r="N315" s="5" t="s">
        <v>73</v>
      </c>
      <c r="O315" s="5" t="s">
        <v>561</v>
      </c>
      <c r="P315" s="5">
        <v>18</v>
      </c>
      <c r="Q315" s="5" t="s">
        <v>364</v>
      </c>
      <c r="R315" s="5"/>
      <c r="S315" s="5" t="s">
        <v>1556</v>
      </c>
      <c r="T315" s="20" t="s">
        <v>1557</v>
      </c>
      <c r="U315" s="5" t="s">
        <v>1558</v>
      </c>
      <c r="V315" s="20" t="s">
        <v>1559</v>
      </c>
      <c r="W315" s="5" t="s">
        <v>109</v>
      </c>
      <c r="X315" s="5" t="s">
        <v>81</v>
      </c>
      <c r="Y315" s="5"/>
      <c r="Z315" s="5"/>
    </row>
    <row r="316" spans="1:26" x14ac:dyDescent="0.3">
      <c r="A316" s="5">
        <v>2505708</v>
      </c>
      <c r="B316" s="20" t="s">
        <v>1560</v>
      </c>
      <c r="C316" s="25">
        <v>45818</v>
      </c>
      <c r="D316" s="5" t="s">
        <v>17</v>
      </c>
      <c r="E316" s="5" t="s">
        <v>71</v>
      </c>
      <c r="F316" s="5" t="s">
        <v>14</v>
      </c>
      <c r="G316" s="5" t="e" vm="5">
        <v>#VALUE!</v>
      </c>
      <c r="H316" s="5">
        <v>7.44</v>
      </c>
      <c r="I316" s="5"/>
      <c r="J316" s="5"/>
      <c r="K316" s="11">
        <v>20500</v>
      </c>
      <c r="M316" s="5" t="s">
        <v>125</v>
      </c>
      <c r="N316" s="5" t="s">
        <v>73</v>
      </c>
      <c r="O316" s="5" t="s">
        <v>1453</v>
      </c>
      <c r="P316" s="5">
        <v>12</v>
      </c>
      <c r="Q316" s="5" t="s">
        <v>286</v>
      </c>
      <c r="R316" s="5"/>
      <c r="W316" s="5"/>
      <c r="X316" s="5"/>
      <c r="Y316" s="5"/>
      <c r="Z316" s="5"/>
    </row>
    <row r="317" spans="1:26" x14ac:dyDescent="0.3">
      <c r="A317" s="5">
        <v>2506744</v>
      </c>
      <c r="B317" s="20" t="s">
        <v>1561</v>
      </c>
      <c r="C317" s="25">
        <v>45818</v>
      </c>
      <c r="D317" s="5" t="s">
        <v>17</v>
      </c>
      <c r="E317" s="5" t="s">
        <v>71</v>
      </c>
      <c r="F317" s="5" t="s">
        <v>14</v>
      </c>
      <c r="G317" s="5" t="e" vm="5">
        <v>#VALUE!</v>
      </c>
      <c r="H317" s="5">
        <v>14.88</v>
      </c>
      <c r="I317" s="5"/>
      <c r="J317" s="5"/>
      <c r="K317" s="11">
        <v>32500</v>
      </c>
      <c r="M317" s="5" t="s">
        <v>125</v>
      </c>
      <c r="N317" s="5" t="s">
        <v>73</v>
      </c>
      <c r="O317" s="5" t="s">
        <v>1453</v>
      </c>
      <c r="P317" s="5">
        <v>24</v>
      </c>
      <c r="Q317" s="5" t="s">
        <v>143</v>
      </c>
      <c r="R317" s="5"/>
      <c r="S317" s="5" t="s">
        <v>1562</v>
      </c>
      <c r="T317" s="20" t="s">
        <v>1563</v>
      </c>
      <c r="U317" s="5" t="s">
        <v>1564</v>
      </c>
      <c r="V317" s="20" t="s">
        <v>1565</v>
      </c>
      <c r="W317" s="5" t="s">
        <v>965</v>
      </c>
      <c r="X317" s="5" t="s">
        <v>1534</v>
      </c>
      <c r="Y317" s="5"/>
      <c r="Z317" s="5"/>
    </row>
    <row r="318" spans="1:26" x14ac:dyDescent="0.3">
      <c r="A318" s="5">
        <v>2506727</v>
      </c>
      <c r="B318" s="20" t="s">
        <v>1566</v>
      </c>
      <c r="C318" s="25">
        <v>45819</v>
      </c>
      <c r="D318" s="5" t="s">
        <v>22</v>
      </c>
      <c r="E318" s="5" t="s">
        <v>71</v>
      </c>
      <c r="F318" s="5" t="s">
        <v>14</v>
      </c>
      <c r="G318" s="5" t="e" vm="11">
        <v>#VALUE!</v>
      </c>
      <c r="H318" s="5">
        <v>12.4</v>
      </c>
      <c r="I318" s="5"/>
      <c r="J318" s="5"/>
      <c r="K318" s="11">
        <v>28300</v>
      </c>
      <c r="M318" s="5" t="s">
        <v>125</v>
      </c>
      <c r="N318" s="5" t="s">
        <v>73</v>
      </c>
      <c r="O318" s="5" t="s">
        <v>1453</v>
      </c>
      <c r="P318" s="5">
        <v>20</v>
      </c>
      <c r="Q318" s="5" t="s">
        <v>111</v>
      </c>
      <c r="R318" s="5"/>
      <c r="S318" s="5" t="s">
        <v>1567</v>
      </c>
      <c r="T318" s="20" t="s">
        <v>1568</v>
      </c>
      <c r="U318" s="5" t="s">
        <v>1569</v>
      </c>
      <c r="V318" s="20" t="s">
        <v>1570</v>
      </c>
      <c r="W318" s="5" t="s">
        <v>109</v>
      </c>
      <c r="X318" s="5" t="s">
        <v>122</v>
      </c>
      <c r="Y318" s="5"/>
      <c r="Z318" s="5"/>
    </row>
    <row r="319" spans="1:26" x14ac:dyDescent="0.3">
      <c r="A319" s="5">
        <v>2505054</v>
      </c>
      <c r="B319" s="15" t="s">
        <v>1571</v>
      </c>
      <c r="C319" s="25">
        <v>45809</v>
      </c>
      <c r="D319" s="5" t="s">
        <v>20</v>
      </c>
      <c r="E319" s="5" t="s">
        <v>206</v>
      </c>
      <c r="F319" s="5"/>
      <c r="G319" s="5" t="e" vm="5">
        <v>#VALUE!</v>
      </c>
      <c r="H319" s="5"/>
      <c r="I319" s="5">
        <v>44</v>
      </c>
      <c r="J319" s="5"/>
      <c r="K319" s="11">
        <v>59345</v>
      </c>
      <c r="M319" s="5"/>
      <c r="N319" s="5" t="s">
        <v>73</v>
      </c>
      <c r="O319" s="5" t="s">
        <v>18</v>
      </c>
      <c r="P319" s="5" t="s">
        <v>18</v>
      </c>
      <c r="Q319" s="5" t="s">
        <v>18</v>
      </c>
      <c r="R319" s="5"/>
      <c r="W319" s="5" t="s">
        <v>109</v>
      </c>
      <c r="X319" s="5"/>
      <c r="Y319" s="5"/>
      <c r="Z319" s="5"/>
    </row>
    <row r="320" spans="1:26" x14ac:dyDescent="0.3">
      <c r="A320" s="5">
        <v>2506752</v>
      </c>
      <c r="B320" s="20" t="s">
        <v>1572</v>
      </c>
      <c r="C320" s="25">
        <v>45821</v>
      </c>
      <c r="D320" s="5" t="s">
        <v>17</v>
      </c>
      <c r="E320" s="5" t="s">
        <v>71</v>
      </c>
      <c r="F320" s="5" t="s">
        <v>14</v>
      </c>
      <c r="G320" s="5" t="e" vm="5">
        <v>#VALUE!</v>
      </c>
      <c r="H320" s="5">
        <v>7.44</v>
      </c>
      <c r="I320" s="5"/>
      <c r="J320" s="5"/>
      <c r="K320" s="11">
        <v>22500</v>
      </c>
      <c r="M320" s="5" t="s">
        <v>125</v>
      </c>
      <c r="N320" s="5" t="s">
        <v>73</v>
      </c>
      <c r="O320" s="5" t="s">
        <v>1453</v>
      </c>
      <c r="P320" s="5">
        <v>12</v>
      </c>
      <c r="Q320" s="5" t="s">
        <v>286</v>
      </c>
      <c r="R320" s="5"/>
      <c r="S320" s="5" t="s">
        <v>1573</v>
      </c>
      <c r="T320" s="20" t="s">
        <v>1574</v>
      </c>
      <c r="U320" s="5" t="s">
        <v>1575</v>
      </c>
      <c r="V320" s="21" t="s">
        <v>1576</v>
      </c>
      <c r="W320" s="5" t="s">
        <v>965</v>
      </c>
      <c r="X320" s="5" t="s">
        <v>1534</v>
      </c>
      <c r="Y320" s="5"/>
      <c r="Z320" s="5"/>
    </row>
    <row r="321" spans="1:26" x14ac:dyDescent="0.3">
      <c r="A321" s="5">
        <v>2501523</v>
      </c>
      <c r="B321" s="15" t="s">
        <v>1577</v>
      </c>
      <c r="C321" s="25">
        <v>45821</v>
      </c>
      <c r="D321" s="5" t="s">
        <v>17</v>
      </c>
      <c r="E321" s="5" t="s">
        <v>71</v>
      </c>
      <c r="F321" s="5" t="s">
        <v>14</v>
      </c>
      <c r="G321" s="5" t="e" vm="8">
        <v>#VALUE!</v>
      </c>
      <c r="H321" s="5">
        <v>17.7</v>
      </c>
      <c r="I321" s="5"/>
      <c r="J321" s="5"/>
      <c r="K321" s="11">
        <v>44880</v>
      </c>
      <c r="M321" s="5" t="s">
        <v>125</v>
      </c>
      <c r="N321" s="5" t="s">
        <v>73</v>
      </c>
      <c r="O321" s="5" t="s">
        <v>243</v>
      </c>
      <c r="P321" s="5">
        <v>30</v>
      </c>
      <c r="Q321" s="5" t="s">
        <v>143</v>
      </c>
      <c r="R321" s="5"/>
      <c r="S321" s="5" t="s">
        <v>1578</v>
      </c>
      <c r="T321" s="20" t="s">
        <v>1579</v>
      </c>
      <c r="U321" s="5" t="s">
        <v>1580</v>
      </c>
      <c r="V321" s="21" t="s">
        <v>1581</v>
      </c>
      <c r="W321" s="5" t="s">
        <v>965</v>
      </c>
      <c r="X321" s="5" t="s">
        <v>81</v>
      </c>
      <c r="Y321" s="5"/>
      <c r="Z321" s="5" t="s">
        <v>269</v>
      </c>
    </row>
    <row r="322" spans="1:26" x14ac:dyDescent="0.3">
      <c r="A322" s="5">
        <v>2506748</v>
      </c>
      <c r="B322" s="15" t="s">
        <v>1582</v>
      </c>
      <c r="C322" s="25">
        <v>45824</v>
      </c>
      <c r="D322" s="5" t="s">
        <v>22</v>
      </c>
      <c r="E322" s="5" t="s">
        <v>71</v>
      </c>
      <c r="F322" s="5" t="s">
        <v>14</v>
      </c>
      <c r="G322" s="5" t="e" vm="11">
        <v>#VALUE!</v>
      </c>
      <c r="H322" s="5">
        <v>8.68</v>
      </c>
      <c r="I322" s="5"/>
      <c r="J322" s="5"/>
      <c r="K322" s="11">
        <v>22500</v>
      </c>
      <c r="M322" s="5" t="s">
        <v>125</v>
      </c>
      <c r="N322" s="5" t="s">
        <v>73</v>
      </c>
      <c r="O322" s="5" t="s">
        <v>1453</v>
      </c>
      <c r="P322" s="5">
        <v>14</v>
      </c>
      <c r="Q322" s="5" t="s">
        <v>364</v>
      </c>
      <c r="R322" s="5"/>
      <c r="S322" s="5" t="s">
        <v>1583</v>
      </c>
      <c r="T322" s="20" t="s">
        <v>1584</v>
      </c>
      <c r="U322" s="5" t="s">
        <v>1585</v>
      </c>
      <c r="W322" s="5" t="s">
        <v>109</v>
      </c>
      <c r="X322" s="5" t="s">
        <v>1534</v>
      </c>
      <c r="Y322" s="5"/>
      <c r="Z322" s="5"/>
    </row>
    <row r="323" spans="1:26" x14ac:dyDescent="0.3">
      <c r="A323" s="5">
        <v>2505709</v>
      </c>
      <c r="B323" s="15" t="s">
        <v>1586</v>
      </c>
      <c r="C323" s="25">
        <v>45824</v>
      </c>
      <c r="D323" s="5" t="s">
        <v>22</v>
      </c>
      <c r="E323" s="5" t="s">
        <v>71</v>
      </c>
      <c r="F323" s="5" t="s">
        <v>14</v>
      </c>
      <c r="G323" s="5" t="e" vm="11">
        <v>#VALUE!</v>
      </c>
      <c r="H323" s="5">
        <v>17.98</v>
      </c>
      <c r="I323" s="5"/>
      <c r="J323" s="5"/>
      <c r="K323" s="11">
        <v>39000.400000000001</v>
      </c>
      <c r="M323" s="5" t="s">
        <v>176</v>
      </c>
      <c r="N323" s="5" t="s">
        <v>73</v>
      </c>
      <c r="O323" s="5" t="s">
        <v>1453</v>
      </c>
      <c r="P323" s="5">
        <v>29</v>
      </c>
      <c r="Q323" s="5" t="s">
        <v>143</v>
      </c>
      <c r="R323" s="5"/>
      <c r="S323" s="5" t="s">
        <v>1587</v>
      </c>
      <c r="T323" s="20" t="s">
        <v>1588</v>
      </c>
      <c r="U323" s="5" t="s">
        <v>1589</v>
      </c>
      <c r="V323" s="20" t="s">
        <v>1590</v>
      </c>
      <c r="W323" s="5" t="s">
        <v>965</v>
      </c>
      <c r="X323" s="5" t="s">
        <v>1534</v>
      </c>
      <c r="Y323" s="5"/>
      <c r="Z323" s="5"/>
    </row>
    <row r="324" spans="1:26" x14ac:dyDescent="0.3">
      <c r="A324" s="5">
        <v>2501531</v>
      </c>
      <c r="B324" s="15" t="s">
        <v>1591</v>
      </c>
      <c r="C324" s="25">
        <v>45825</v>
      </c>
      <c r="D324" s="5" t="s">
        <v>22</v>
      </c>
      <c r="E324" s="5" t="s">
        <v>71</v>
      </c>
      <c r="F324" s="5" t="s">
        <v>14</v>
      </c>
      <c r="G324" s="5" t="e" vm="11">
        <v>#VALUE!</v>
      </c>
      <c r="H324" s="5">
        <v>13.64</v>
      </c>
      <c r="I324" s="5"/>
      <c r="J324" s="5"/>
      <c r="K324" s="11">
        <v>30500</v>
      </c>
      <c r="M324" s="5" t="s">
        <v>125</v>
      </c>
      <c r="N324" s="5" t="s">
        <v>73</v>
      </c>
      <c r="O324" s="5" t="s">
        <v>1453</v>
      </c>
      <c r="P324" s="5">
        <v>22</v>
      </c>
      <c r="Q324" s="5" t="s">
        <v>111</v>
      </c>
      <c r="R324" s="5"/>
      <c r="S324" s="5" t="s">
        <v>1592</v>
      </c>
      <c r="T324" s="20" t="s">
        <v>1593</v>
      </c>
      <c r="U324" s="5" t="s">
        <v>1594</v>
      </c>
      <c r="V324" s="20" t="s">
        <v>1595</v>
      </c>
      <c r="W324" s="5" t="s">
        <v>80</v>
      </c>
      <c r="X324" s="5" t="s">
        <v>1534</v>
      </c>
      <c r="Y324" s="5"/>
      <c r="Z324" s="5"/>
    </row>
    <row r="325" spans="1:26" x14ac:dyDescent="0.3">
      <c r="A325" s="5">
        <v>2506757</v>
      </c>
      <c r="B325" s="15" t="s">
        <v>1596</v>
      </c>
      <c r="C325" s="25">
        <v>45826</v>
      </c>
      <c r="D325" s="5" t="s">
        <v>22</v>
      </c>
      <c r="E325" s="5" t="s">
        <v>71</v>
      </c>
      <c r="F325" s="5" t="s">
        <v>14</v>
      </c>
      <c r="G325" s="5" t="e" vm="11">
        <v>#VALUE!</v>
      </c>
      <c r="H325" s="5">
        <v>7.44</v>
      </c>
      <c r="I325" s="5"/>
      <c r="J325" s="5"/>
      <c r="K325" s="11">
        <v>21500</v>
      </c>
      <c r="M325" s="5" t="s">
        <v>125</v>
      </c>
      <c r="N325" s="5" t="s">
        <v>73</v>
      </c>
      <c r="O325" s="5" t="s">
        <v>1453</v>
      </c>
      <c r="P325" s="5">
        <v>12</v>
      </c>
      <c r="Q325" s="5" t="s">
        <v>1202</v>
      </c>
      <c r="R325" s="5"/>
      <c r="S325" s="5" t="s">
        <v>1597</v>
      </c>
      <c r="T325" s="20" t="s">
        <v>1598</v>
      </c>
      <c r="U325" s="5" t="s">
        <v>1599</v>
      </c>
      <c r="V325" s="20" t="s">
        <v>1600</v>
      </c>
      <c r="W325" s="5" t="s">
        <v>965</v>
      </c>
      <c r="X325" s="5" t="s">
        <v>1534</v>
      </c>
      <c r="Y325" s="5"/>
      <c r="Z325" s="5"/>
    </row>
    <row r="326" spans="1:26" x14ac:dyDescent="0.3">
      <c r="A326" s="5">
        <v>2505259</v>
      </c>
      <c r="B326" s="15" t="s">
        <v>1601</v>
      </c>
      <c r="C326" s="25">
        <v>45826</v>
      </c>
      <c r="D326" s="5" t="s">
        <v>22</v>
      </c>
      <c r="E326" s="5" t="s">
        <v>124</v>
      </c>
      <c r="F326" s="5" t="s">
        <v>14</v>
      </c>
      <c r="G326" s="5" t="e" vm="11">
        <v>#VALUE!</v>
      </c>
      <c r="H326" s="5">
        <v>19.52</v>
      </c>
      <c r="I326" s="5"/>
      <c r="J326" s="5"/>
      <c r="K326" s="11">
        <v>45000</v>
      </c>
      <c r="M326" s="5" t="s">
        <v>125</v>
      </c>
      <c r="N326" s="5" t="s">
        <v>73</v>
      </c>
      <c r="O326" s="5" t="s">
        <v>561</v>
      </c>
      <c r="P326" s="5">
        <v>32</v>
      </c>
      <c r="Q326" s="5" t="s">
        <v>567</v>
      </c>
      <c r="R326" s="5"/>
      <c r="T326" s="20" t="s">
        <v>1602</v>
      </c>
      <c r="U326" s="5" t="s">
        <v>1603</v>
      </c>
      <c r="V326" s="21" t="s">
        <v>1604</v>
      </c>
      <c r="W326" s="5" t="s">
        <v>109</v>
      </c>
      <c r="X326" s="5" t="s">
        <v>81</v>
      </c>
      <c r="Y326" s="5"/>
      <c r="Z326" s="5"/>
    </row>
    <row r="327" spans="1:26" x14ac:dyDescent="0.3">
      <c r="A327" s="5">
        <v>2506758</v>
      </c>
      <c r="B327" s="15" t="s">
        <v>1605</v>
      </c>
      <c r="C327" s="25">
        <v>45827</v>
      </c>
      <c r="D327" s="5" t="s">
        <v>22</v>
      </c>
      <c r="E327" s="5" t="s">
        <v>71</v>
      </c>
      <c r="F327" s="5" t="s">
        <v>14</v>
      </c>
      <c r="G327" s="5" t="e" vm="11">
        <v>#VALUE!</v>
      </c>
      <c r="H327" s="5">
        <v>17.98</v>
      </c>
      <c r="I327" s="5"/>
      <c r="J327" s="5"/>
      <c r="K327" s="11">
        <v>39500</v>
      </c>
      <c r="M327" s="5" t="s">
        <v>176</v>
      </c>
      <c r="N327" s="5" t="s">
        <v>73</v>
      </c>
      <c r="O327" s="5" t="s">
        <v>1453</v>
      </c>
      <c r="P327" s="5">
        <v>29</v>
      </c>
      <c r="Q327" s="5" t="s">
        <v>143</v>
      </c>
      <c r="R327" s="5"/>
      <c r="S327" s="5" t="s">
        <v>1606</v>
      </c>
      <c r="T327" s="20" t="s">
        <v>1607</v>
      </c>
      <c r="U327" s="5" t="s">
        <v>1608</v>
      </c>
      <c r="V327" s="20" t="s">
        <v>1609</v>
      </c>
      <c r="W327" s="5" t="s">
        <v>965</v>
      </c>
      <c r="X327" s="5" t="s">
        <v>1534</v>
      </c>
      <c r="Y327" s="5"/>
      <c r="Z327" s="5"/>
    </row>
    <row r="328" spans="1:26" x14ac:dyDescent="0.3">
      <c r="A328" s="5">
        <v>2506762</v>
      </c>
      <c r="B328" s="15" t="s">
        <v>1610</v>
      </c>
      <c r="C328" s="25">
        <v>45828</v>
      </c>
      <c r="D328" s="5" t="s">
        <v>22</v>
      </c>
      <c r="E328" s="5" t="s">
        <v>71</v>
      </c>
      <c r="F328" s="5" t="s">
        <v>14</v>
      </c>
      <c r="G328" s="5" t="e" vm="11">
        <v>#VALUE!</v>
      </c>
      <c r="H328" s="5">
        <v>12.4</v>
      </c>
      <c r="I328" s="5"/>
      <c r="J328" s="5"/>
      <c r="K328" s="11">
        <v>32500</v>
      </c>
      <c r="M328" s="5" t="s">
        <v>125</v>
      </c>
      <c r="N328" s="5" t="s">
        <v>73</v>
      </c>
      <c r="O328" s="5" t="s">
        <v>1453</v>
      </c>
      <c r="P328" s="5">
        <v>20</v>
      </c>
      <c r="Q328" s="5" t="s">
        <v>111</v>
      </c>
      <c r="R328" s="5"/>
      <c r="S328" s="5" t="s">
        <v>1611</v>
      </c>
      <c r="T328" s="20" t="s">
        <v>1612</v>
      </c>
      <c r="U328" s="5" t="s">
        <v>1613</v>
      </c>
      <c r="V328" s="20" t="s">
        <v>1614</v>
      </c>
      <c r="W328" s="5" t="s">
        <v>965</v>
      </c>
      <c r="X328" s="5" t="s">
        <v>1534</v>
      </c>
      <c r="Y328" s="5"/>
      <c r="Z328" s="5"/>
    </row>
    <row r="329" spans="1:26" x14ac:dyDescent="0.3">
      <c r="A329" s="5">
        <v>2506753</v>
      </c>
      <c r="B329" s="15" t="s">
        <v>1615</v>
      </c>
      <c r="C329" s="25">
        <v>45828</v>
      </c>
      <c r="D329" s="5" t="s">
        <v>22</v>
      </c>
      <c r="E329" s="5" t="s">
        <v>71</v>
      </c>
      <c r="F329" s="5" t="s">
        <v>14</v>
      </c>
      <c r="G329" s="5" t="e" vm="11">
        <v>#VALUE!</v>
      </c>
      <c r="H329" s="5">
        <v>11.78</v>
      </c>
      <c r="I329" s="5"/>
      <c r="J329" s="5"/>
      <c r="K329" s="11">
        <v>27500</v>
      </c>
      <c r="M329" s="5" t="s">
        <v>125</v>
      </c>
      <c r="N329" s="5" t="s">
        <v>73</v>
      </c>
      <c r="O329" s="5" t="s">
        <v>1453</v>
      </c>
      <c r="P329" s="5">
        <v>19</v>
      </c>
      <c r="Q329" s="5" t="s">
        <v>111</v>
      </c>
      <c r="R329" s="5"/>
      <c r="S329" s="5" t="s">
        <v>1616</v>
      </c>
      <c r="T329" s="20" t="s">
        <v>1617</v>
      </c>
      <c r="U329" s="5" t="s">
        <v>1618</v>
      </c>
      <c r="V329" s="20" t="s">
        <v>1619</v>
      </c>
      <c r="W329" s="5" t="s">
        <v>965</v>
      </c>
      <c r="X329" s="5" t="s">
        <v>1534</v>
      </c>
      <c r="Y329" s="5"/>
      <c r="Z329" s="5"/>
    </row>
    <row r="330" spans="1:26" x14ac:dyDescent="0.3">
      <c r="A330" s="5">
        <v>2506768</v>
      </c>
      <c r="B330" s="15" t="s">
        <v>1620</v>
      </c>
      <c r="C330" s="25">
        <v>45828</v>
      </c>
      <c r="D330" s="5" t="s">
        <v>22</v>
      </c>
      <c r="E330" s="5" t="s">
        <v>71</v>
      </c>
      <c r="F330" s="5" t="s">
        <v>14</v>
      </c>
      <c r="G330" s="5" t="e" vm="11">
        <v>#VALUE!</v>
      </c>
      <c r="H330" s="5">
        <v>11.16</v>
      </c>
      <c r="I330" s="5"/>
      <c r="J330" s="5"/>
      <c r="K330" s="11">
        <v>27000</v>
      </c>
      <c r="M330" s="5" t="s">
        <v>125</v>
      </c>
      <c r="N330" s="5" t="s">
        <v>73</v>
      </c>
      <c r="O330" s="5" t="s">
        <v>1453</v>
      </c>
      <c r="P330" s="5">
        <v>18</v>
      </c>
      <c r="Q330" s="5" t="s">
        <v>111</v>
      </c>
      <c r="R330" s="5"/>
      <c r="S330" s="5" t="s">
        <v>1621</v>
      </c>
      <c r="T330" s="20" t="s">
        <v>1622</v>
      </c>
      <c r="U330" s="5" t="s">
        <v>1623</v>
      </c>
      <c r="V330" s="20" t="s">
        <v>1624</v>
      </c>
      <c r="W330" s="5" t="s">
        <v>965</v>
      </c>
      <c r="X330" s="5" t="s">
        <v>1534</v>
      </c>
      <c r="Y330" s="5"/>
      <c r="Z330" s="5"/>
    </row>
    <row r="331" spans="1:26" x14ac:dyDescent="0.3">
      <c r="A331" s="5">
        <v>2506761</v>
      </c>
      <c r="B331" s="15" t="s">
        <v>1625</v>
      </c>
      <c r="C331" s="25">
        <v>45831</v>
      </c>
      <c r="D331" s="5" t="s">
        <v>22</v>
      </c>
      <c r="E331" s="5" t="s">
        <v>71</v>
      </c>
      <c r="F331" s="5" t="s">
        <v>14</v>
      </c>
      <c r="G331" s="5" t="e" vm="11">
        <v>#VALUE!</v>
      </c>
      <c r="H331" s="5">
        <v>13.64</v>
      </c>
      <c r="I331" s="5"/>
      <c r="J331" s="5"/>
      <c r="K331" s="11">
        <v>34000</v>
      </c>
      <c r="M331" s="5" t="s">
        <v>176</v>
      </c>
      <c r="N331" s="5" t="s">
        <v>73</v>
      </c>
      <c r="O331" s="5" t="s">
        <v>1453</v>
      </c>
      <c r="P331" s="5">
        <v>22</v>
      </c>
      <c r="Q331" s="5" t="s">
        <v>143</v>
      </c>
      <c r="R331" s="5"/>
      <c r="S331" s="5" t="s">
        <v>1626</v>
      </c>
      <c r="T331" s="20" t="s">
        <v>1627</v>
      </c>
      <c r="U331" s="5" t="s">
        <v>1628</v>
      </c>
      <c r="V331" s="20" t="s">
        <v>1629</v>
      </c>
      <c r="W331" s="5" t="s">
        <v>965</v>
      </c>
      <c r="X331" s="5" t="s">
        <v>1534</v>
      </c>
      <c r="Y331" s="5"/>
      <c r="Z331" s="5"/>
    </row>
    <row r="332" spans="1:26" x14ac:dyDescent="0.3">
      <c r="A332" s="5">
        <v>2506779</v>
      </c>
      <c r="B332" s="15" t="s">
        <v>1630</v>
      </c>
      <c r="C332" s="25">
        <v>45831</v>
      </c>
      <c r="D332" s="5" t="s">
        <v>22</v>
      </c>
      <c r="E332" s="5" t="s">
        <v>71</v>
      </c>
      <c r="F332" s="5" t="s">
        <v>14</v>
      </c>
      <c r="G332" s="5" t="e" vm="11">
        <v>#VALUE!</v>
      </c>
      <c r="H332" s="5">
        <v>7.44</v>
      </c>
      <c r="I332" s="5"/>
      <c r="J332" s="5"/>
      <c r="K332" s="11">
        <v>20500</v>
      </c>
      <c r="M332" s="5" t="s">
        <v>125</v>
      </c>
      <c r="N332" s="5" t="s">
        <v>73</v>
      </c>
      <c r="O332" s="5" t="s">
        <v>1453</v>
      </c>
      <c r="P332" s="5">
        <v>12</v>
      </c>
      <c r="Q332" s="5" t="s">
        <v>286</v>
      </c>
      <c r="R332" s="5"/>
      <c r="S332" s="5" t="s">
        <v>1631</v>
      </c>
      <c r="T332" s="20" t="s">
        <v>1632</v>
      </c>
      <c r="U332" s="5" t="s">
        <v>1633</v>
      </c>
      <c r="V332" s="20" t="s">
        <v>1634</v>
      </c>
      <c r="W332" s="5" t="s">
        <v>965</v>
      </c>
      <c r="X332" s="5" t="s">
        <v>1534</v>
      </c>
      <c r="Y332" s="5"/>
      <c r="Z332" s="5"/>
    </row>
    <row r="333" spans="1:26" x14ac:dyDescent="0.3">
      <c r="A333" s="5">
        <v>2506781</v>
      </c>
      <c r="B333" s="15" t="s">
        <v>1635</v>
      </c>
      <c r="C333" s="25">
        <v>45831</v>
      </c>
      <c r="D333" s="5" t="s">
        <v>22</v>
      </c>
      <c r="E333" s="5" t="s">
        <v>71</v>
      </c>
      <c r="F333" s="5" t="s">
        <v>14</v>
      </c>
      <c r="G333" s="5" t="e" vm="11">
        <v>#VALUE!</v>
      </c>
      <c r="H333" s="5">
        <v>7.44</v>
      </c>
      <c r="I333" s="5"/>
      <c r="J333" s="5"/>
      <c r="K333" s="11">
        <v>22000</v>
      </c>
      <c r="M333" s="5" t="s">
        <v>176</v>
      </c>
      <c r="N333" s="5" t="s">
        <v>73</v>
      </c>
      <c r="O333" s="5" t="s">
        <v>1453</v>
      </c>
      <c r="P333" s="5">
        <v>12</v>
      </c>
      <c r="Q333" s="5" t="s">
        <v>286</v>
      </c>
      <c r="R333" s="5"/>
      <c r="S333" s="5" t="s">
        <v>1636</v>
      </c>
      <c r="T333" s="20" t="s">
        <v>1637</v>
      </c>
      <c r="U333" s="5" t="s">
        <v>1638</v>
      </c>
      <c r="V333" s="20" t="s">
        <v>1639</v>
      </c>
      <c r="W333" s="5" t="s">
        <v>965</v>
      </c>
      <c r="X333" s="5" t="s">
        <v>1534</v>
      </c>
      <c r="Y333" s="5"/>
      <c r="Z333" s="5"/>
    </row>
    <row r="334" spans="1:26" x14ac:dyDescent="0.3">
      <c r="A334" s="5">
        <v>2506782</v>
      </c>
      <c r="B334" s="15" t="s">
        <v>1640</v>
      </c>
      <c r="C334" s="25">
        <v>45831</v>
      </c>
      <c r="D334" s="5" t="s">
        <v>22</v>
      </c>
      <c r="E334" s="5" t="s">
        <v>71</v>
      </c>
      <c r="F334" s="5" t="s">
        <v>14</v>
      </c>
      <c r="G334" s="5" t="e" vm="11">
        <v>#VALUE!</v>
      </c>
      <c r="H334" s="5">
        <v>14.88</v>
      </c>
      <c r="I334" s="5"/>
      <c r="J334" s="5"/>
      <c r="K334" s="11">
        <v>36100</v>
      </c>
      <c r="M334" s="5" t="s">
        <v>1191</v>
      </c>
      <c r="N334" s="5" t="s">
        <v>73</v>
      </c>
      <c r="O334" s="5" t="s">
        <v>1453</v>
      </c>
      <c r="P334" s="5">
        <v>24</v>
      </c>
      <c r="Q334" s="5" t="s">
        <v>143</v>
      </c>
      <c r="R334" s="5"/>
      <c r="S334" s="5" t="s">
        <v>1641</v>
      </c>
      <c r="T334" s="20" t="s">
        <v>1642</v>
      </c>
      <c r="U334" s="5" t="s">
        <v>1643</v>
      </c>
      <c r="V334" s="20" t="s">
        <v>1644</v>
      </c>
      <c r="W334" s="5" t="s">
        <v>965</v>
      </c>
      <c r="X334" s="5" t="s">
        <v>1534</v>
      </c>
      <c r="Y334" s="5"/>
      <c r="Z334" s="5"/>
    </row>
    <row r="335" spans="1:26" x14ac:dyDescent="0.3">
      <c r="A335" s="5">
        <v>2506746</v>
      </c>
      <c r="B335" s="15" t="s">
        <v>1645</v>
      </c>
      <c r="C335" s="25">
        <v>45831</v>
      </c>
      <c r="D335" s="5" t="s">
        <v>22</v>
      </c>
      <c r="E335" s="5" t="s">
        <v>71</v>
      </c>
      <c r="F335" s="5" t="s">
        <v>14</v>
      </c>
      <c r="G335" s="5" t="e" vm="11">
        <v>#VALUE!</v>
      </c>
      <c r="H335" s="5">
        <v>9.92</v>
      </c>
      <c r="I335" s="5"/>
      <c r="J335" s="5"/>
      <c r="K335" s="11">
        <v>24000</v>
      </c>
      <c r="M335" s="5" t="s">
        <v>125</v>
      </c>
      <c r="N335" s="5" t="s">
        <v>73</v>
      </c>
      <c r="O335" s="5" t="s">
        <v>1453</v>
      </c>
      <c r="P335" s="5">
        <v>16</v>
      </c>
      <c r="Q335" s="5" t="s">
        <v>364</v>
      </c>
      <c r="R335" s="5"/>
      <c r="S335" s="5" t="s">
        <v>1646</v>
      </c>
      <c r="T335" s="20" t="s">
        <v>1647</v>
      </c>
      <c r="U335" s="5" t="s">
        <v>1648</v>
      </c>
      <c r="W335" s="5" t="s">
        <v>109</v>
      </c>
      <c r="X335" s="5" t="s">
        <v>1534</v>
      </c>
      <c r="Y335" s="5"/>
      <c r="Z335" s="5"/>
    </row>
    <row r="336" spans="1:26" x14ac:dyDescent="0.3">
      <c r="A336" s="5">
        <v>2506780</v>
      </c>
      <c r="B336" s="15" t="s">
        <v>1649</v>
      </c>
      <c r="C336" s="25">
        <v>45831</v>
      </c>
      <c r="D336" s="5" t="s">
        <v>22</v>
      </c>
      <c r="E336" s="5" t="s">
        <v>71</v>
      </c>
      <c r="F336" s="5" t="s">
        <v>14</v>
      </c>
      <c r="G336" s="5" t="e" vm="11">
        <v>#VALUE!</v>
      </c>
      <c r="H336" s="5">
        <v>9.92</v>
      </c>
      <c r="I336" s="5"/>
      <c r="J336" s="5"/>
      <c r="K336" s="11">
        <v>23800</v>
      </c>
      <c r="M336" s="5" t="s">
        <v>125</v>
      </c>
      <c r="N336" s="5" t="s">
        <v>73</v>
      </c>
      <c r="O336" s="5" t="s">
        <v>1453</v>
      </c>
      <c r="P336" s="5">
        <v>16</v>
      </c>
      <c r="Q336" s="5" t="s">
        <v>364</v>
      </c>
      <c r="R336" s="5"/>
      <c r="S336" s="5" t="s">
        <v>1650</v>
      </c>
      <c r="T336" s="20" t="s">
        <v>1651</v>
      </c>
      <c r="U336" s="5" t="s">
        <v>1652</v>
      </c>
      <c r="V336" s="20" t="s">
        <v>1653</v>
      </c>
      <c r="W336" s="5" t="s">
        <v>109</v>
      </c>
      <c r="X336" s="5" t="s">
        <v>1534</v>
      </c>
      <c r="Y336" s="5"/>
      <c r="Z336" s="5"/>
    </row>
    <row r="337" spans="1:26" x14ac:dyDescent="0.3">
      <c r="A337" s="5">
        <v>2506778</v>
      </c>
      <c r="B337" s="15" t="s">
        <v>1654</v>
      </c>
      <c r="C337" s="25">
        <v>45831</v>
      </c>
      <c r="D337" s="5" t="s">
        <v>22</v>
      </c>
      <c r="E337" s="5" t="s">
        <v>71</v>
      </c>
      <c r="F337" s="5" t="s">
        <v>14</v>
      </c>
      <c r="G337" s="5" t="e" vm="11">
        <v>#VALUE!</v>
      </c>
      <c r="H337" s="5">
        <v>7.44</v>
      </c>
      <c r="I337" s="5"/>
      <c r="J337" s="5"/>
      <c r="K337" s="11">
        <v>20500</v>
      </c>
      <c r="M337" s="5" t="s">
        <v>125</v>
      </c>
      <c r="N337" s="5" t="s">
        <v>73</v>
      </c>
      <c r="O337" s="5" t="s">
        <v>1453</v>
      </c>
      <c r="P337" s="5">
        <v>12</v>
      </c>
      <c r="Q337" s="5" t="s">
        <v>286</v>
      </c>
      <c r="R337" s="5"/>
      <c r="S337" s="5" t="s">
        <v>1655</v>
      </c>
      <c r="T337" s="20" t="s">
        <v>1656</v>
      </c>
      <c r="U337" s="5" t="s">
        <v>1657</v>
      </c>
      <c r="W337" s="5" t="s">
        <v>965</v>
      </c>
      <c r="X337" s="5" t="s">
        <v>1534</v>
      </c>
      <c r="Y337" s="5"/>
      <c r="Z337" s="5"/>
    </row>
    <row r="338" spans="1:26" x14ac:dyDescent="0.3">
      <c r="A338" s="5">
        <v>2506745</v>
      </c>
      <c r="B338" s="20" t="s">
        <v>1658</v>
      </c>
      <c r="C338" s="25">
        <v>45823</v>
      </c>
      <c r="D338" s="5" t="s">
        <v>17</v>
      </c>
      <c r="E338" s="5" t="s">
        <v>71</v>
      </c>
      <c r="F338" s="5" t="s">
        <v>14</v>
      </c>
      <c r="G338" s="5" t="e" vm="5">
        <v>#VALUE!</v>
      </c>
      <c r="H338" s="5">
        <v>14.88</v>
      </c>
      <c r="I338" s="5"/>
      <c r="J338" s="5"/>
      <c r="K338" s="11">
        <v>32500</v>
      </c>
      <c r="M338" s="5" t="s">
        <v>125</v>
      </c>
      <c r="N338" s="5" t="s">
        <v>73</v>
      </c>
      <c r="O338" s="5" t="s">
        <v>1453</v>
      </c>
      <c r="P338" s="5">
        <v>24</v>
      </c>
      <c r="Q338" s="5" t="s">
        <v>143</v>
      </c>
      <c r="R338" s="5"/>
      <c r="S338" s="5" t="s">
        <v>1659</v>
      </c>
      <c r="T338" s="20" t="s">
        <v>1660</v>
      </c>
      <c r="U338" s="5" t="s">
        <v>1661</v>
      </c>
      <c r="V338" s="21" t="s">
        <v>1662</v>
      </c>
      <c r="W338" s="5" t="s">
        <v>965</v>
      </c>
      <c r="X338" s="5" t="s">
        <v>1534</v>
      </c>
      <c r="Y338" s="5"/>
      <c r="Z338" s="5"/>
    </row>
    <row r="339" spans="1:26" x14ac:dyDescent="0.3">
      <c r="A339" s="5">
        <v>2506789</v>
      </c>
      <c r="B339" s="20" t="s">
        <v>1663</v>
      </c>
      <c r="C339" s="25">
        <v>45833</v>
      </c>
      <c r="D339" s="5" t="s">
        <v>22</v>
      </c>
      <c r="E339" s="5" t="s">
        <v>71</v>
      </c>
      <c r="F339" s="5" t="s">
        <v>14</v>
      </c>
      <c r="G339" s="5" t="e" vm="11">
        <v>#VALUE!</v>
      </c>
      <c r="H339" s="5">
        <v>9.92</v>
      </c>
      <c r="I339" s="5"/>
      <c r="J339" s="5"/>
      <c r="K339" s="11">
        <v>27130</v>
      </c>
      <c r="M339" s="5" t="s">
        <v>176</v>
      </c>
      <c r="N339" s="5" t="s">
        <v>73</v>
      </c>
      <c r="O339" s="5" t="s">
        <v>1453</v>
      </c>
      <c r="P339" s="5">
        <v>16</v>
      </c>
      <c r="Q339" s="5" t="s">
        <v>364</v>
      </c>
      <c r="R339" s="5"/>
      <c r="S339" s="5" t="s">
        <v>1664</v>
      </c>
      <c r="T339" s="20" t="s">
        <v>1665</v>
      </c>
      <c r="U339" s="5" t="s">
        <v>1666</v>
      </c>
      <c r="V339" s="20" t="s">
        <v>1667</v>
      </c>
      <c r="W339" s="5" t="s">
        <v>965</v>
      </c>
      <c r="X339" s="5" t="s">
        <v>1534</v>
      </c>
      <c r="Y339" s="5"/>
      <c r="Z339" s="5"/>
    </row>
    <row r="340" spans="1:26" x14ac:dyDescent="0.3">
      <c r="A340" s="5">
        <v>2404254</v>
      </c>
      <c r="B340" s="20" t="s">
        <v>1668</v>
      </c>
      <c r="C340" s="25">
        <v>45833</v>
      </c>
      <c r="D340" s="5" t="s">
        <v>19</v>
      </c>
      <c r="E340" s="5" t="s">
        <v>71</v>
      </c>
      <c r="F340" s="5" t="s">
        <v>15</v>
      </c>
      <c r="G340" s="5" t="e" vm="11">
        <v>#VALUE!</v>
      </c>
      <c r="H340" s="5">
        <v>5.58</v>
      </c>
      <c r="I340" s="5"/>
      <c r="J340" s="5"/>
      <c r="K340" s="11">
        <v>19500</v>
      </c>
      <c r="M340" s="5" t="s">
        <v>125</v>
      </c>
      <c r="N340" s="5" t="s">
        <v>73</v>
      </c>
      <c r="O340" s="5" t="s">
        <v>1453</v>
      </c>
      <c r="P340" s="5">
        <v>9</v>
      </c>
      <c r="Q340" s="5" t="s">
        <v>286</v>
      </c>
      <c r="R340" s="5"/>
      <c r="S340" s="5" t="s">
        <v>1669</v>
      </c>
      <c r="T340" s="20" t="s">
        <v>1670</v>
      </c>
      <c r="U340" s="5" t="s">
        <v>1671</v>
      </c>
      <c r="V340" s="21" t="s">
        <v>1672</v>
      </c>
      <c r="W340" s="5" t="s">
        <v>965</v>
      </c>
      <c r="X340" s="5" t="s">
        <v>1534</v>
      </c>
      <c r="Y340" s="5"/>
      <c r="Z340" s="5"/>
    </row>
    <row r="341" spans="1:26" x14ac:dyDescent="0.3">
      <c r="A341" s="5">
        <v>2506732</v>
      </c>
      <c r="B341" s="15" t="s">
        <v>1673</v>
      </c>
      <c r="C341" s="25">
        <v>45833</v>
      </c>
      <c r="D341" s="5" t="s">
        <v>20</v>
      </c>
      <c r="E341" s="5" t="s">
        <v>71</v>
      </c>
      <c r="F341" s="5" t="s">
        <v>14</v>
      </c>
      <c r="G341" s="5" t="e" vm="11">
        <v>#VALUE!</v>
      </c>
      <c r="H341" s="5">
        <v>7.44</v>
      </c>
      <c r="I341" s="5"/>
      <c r="J341" s="5"/>
      <c r="K341" s="11">
        <v>20500</v>
      </c>
      <c r="M341" s="5" t="s">
        <v>125</v>
      </c>
      <c r="N341" s="5" t="s">
        <v>73</v>
      </c>
      <c r="O341" s="5" t="s">
        <v>1453</v>
      </c>
      <c r="P341" s="5">
        <v>12</v>
      </c>
      <c r="Q341" s="5" t="s">
        <v>286</v>
      </c>
      <c r="R341" s="5"/>
      <c r="S341" s="5" t="s">
        <v>1674</v>
      </c>
      <c r="T341" s="20" t="s">
        <v>1675</v>
      </c>
      <c r="U341" s="5" t="s">
        <v>1676</v>
      </c>
      <c r="V341" s="21" t="s">
        <v>1677</v>
      </c>
      <c r="W341" s="5" t="s">
        <v>965</v>
      </c>
      <c r="X341" s="5" t="s">
        <v>1534</v>
      </c>
      <c r="Y341" s="5"/>
      <c r="Z341" s="5"/>
    </row>
    <row r="342" spans="1:26" x14ac:dyDescent="0.3">
      <c r="A342" s="5">
        <v>2506767</v>
      </c>
      <c r="B342" s="20" t="s">
        <v>1678</v>
      </c>
      <c r="C342" s="25">
        <v>45833</v>
      </c>
      <c r="D342" s="5" t="s">
        <v>17</v>
      </c>
      <c r="E342" s="5" t="s">
        <v>71</v>
      </c>
      <c r="F342" s="5" t="s">
        <v>14</v>
      </c>
      <c r="G342" s="5" t="e" vm="5">
        <v>#VALUE!</v>
      </c>
      <c r="H342" s="5">
        <v>7.44</v>
      </c>
      <c r="I342" s="5"/>
      <c r="J342" s="5"/>
      <c r="K342" s="11">
        <v>20500</v>
      </c>
      <c r="M342" s="5" t="s">
        <v>125</v>
      </c>
      <c r="N342" s="5" t="s">
        <v>73</v>
      </c>
      <c r="O342" s="5" t="s">
        <v>1453</v>
      </c>
      <c r="P342" s="5">
        <v>12</v>
      </c>
      <c r="Q342" s="5" t="s">
        <v>286</v>
      </c>
      <c r="R342" s="5"/>
      <c r="S342" s="5" t="s">
        <v>1679</v>
      </c>
      <c r="T342" s="20" t="s">
        <v>1680</v>
      </c>
      <c r="U342" s="5" t="s">
        <v>1681</v>
      </c>
      <c r="V342" s="21" t="s">
        <v>1682</v>
      </c>
      <c r="W342" s="5" t="s">
        <v>965</v>
      </c>
      <c r="X342" s="5" t="s">
        <v>1534</v>
      </c>
      <c r="Y342" s="5"/>
      <c r="Z342" s="5"/>
    </row>
    <row r="343" spans="1:26" x14ac:dyDescent="0.3">
      <c r="A343" s="5">
        <v>2506759</v>
      </c>
      <c r="B343" s="20" t="s">
        <v>1683</v>
      </c>
      <c r="C343" s="25">
        <v>45834</v>
      </c>
      <c r="D343" s="5" t="s">
        <v>22</v>
      </c>
      <c r="E343" s="5" t="s">
        <v>71</v>
      </c>
      <c r="F343" s="5" t="s">
        <v>14</v>
      </c>
      <c r="G343" s="5" t="e" vm="11">
        <v>#VALUE!</v>
      </c>
      <c r="H343" s="5">
        <v>10.54</v>
      </c>
      <c r="I343" s="5"/>
      <c r="J343" s="5"/>
      <c r="K343" s="11">
        <v>27000</v>
      </c>
      <c r="M343" s="5" t="s">
        <v>125</v>
      </c>
      <c r="N343" s="5" t="s">
        <v>73</v>
      </c>
      <c r="O343" s="5" t="s">
        <v>1453</v>
      </c>
      <c r="P343" s="5">
        <v>17</v>
      </c>
      <c r="Q343" s="5" t="s">
        <v>364</v>
      </c>
      <c r="R343" s="5"/>
      <c r="S343" s="5" t="s">
        <v>1684</v>
      </c>
      <c r="T343" s="20" t="s">
        <v>1685</v>
      </c>
      <c r="U343" s="5" t="s">
        <v>1686</v>
      </c>
      <c r="V343" s="21" t="s">
        <v>1687</v>
      </c>
      <c r="W343" s="5" t="s">
        <v>965</v>
      </c>
      <c r="X343" s="5" t="s">
        <v>1534</v>
      </c>
      <c r="Y343" s="5"/>
      <c r="Z343" s="5"/>
    </row>
    <row r="344" spans="1:26" x14ac:dyDescent="0.3">
      <c r="A344" s="5">
        <v>2506794</v>
      </c>
      <c r="B344" s="20" t="s">
        <v>1688</v>
      </c>
      <c r="C344" s="25">
        <v>45834</v>
      </c>
      <c r="D344" s="5" t="s">
        <v>22</v>
      </c>
      <c r="E344" s="5" t="s">
        <v>71</v>
      </c>
      <c r="F344" s="5" t="s">
        <v>14</v>
      </c>
      <c r="G344" s="5" t="e" vm="11">
        <v>#VALUE!</v>
      </c>
      <c r="H344" s="5">
        <v>9.92</v>
      </c>
      <c r="I344" s="5"/>
      <c r="J344" s="5"/>
      <c r="K344" s="11">
        <v>25000</v>
      </c>
      <c r="M344" s="5" t="s">
        <v>125</v>
      </c>
      <c r="N344" s="5" t="s">
        <v>73</v>
      </c>
      <c r="O344" s="5" t="s">
        <v>1453</v>
      </c>
      <c r="P344" s="5">
        <v>16</v>
      </c>
      <c r="Q344" s="5" t="s">
        <v>364</v>
      </c>
      <c r="R344" s="5"/>
      <c r="S344" s="5" t="s">
        <v>1689</v>
      </c>
      <c r="T344" s="20" t="s">
        <v>1690</v>
      </c>
      <c r="U344" s="5" t="s">
        <v>1691</v>
      </c>
      <c r="W344" s="5" t="s">
        <v>965</v>
      </c>
      <c r="X344" s="5" t="s">
        <v>1534</v>
      </c>
      <c r="Y344" s="5"/>
      <c r="Z344" s="5"/>
    </row>
    <row r="345" spans="1:26" x14ac:dyDescent="0.3">
      <c r="A345" s="5">
        <v>2506798</v>
      </c>
      <c r="B345" s="20" t="s">
        <v>1692</v>
      </c>
      <c r="C345" s="25">
        <v>45834</v>
      </c>
      <c r="D345" s="5" t="s">
        <v>22</v>
      </c>
      <c r="E345" s="5" t="s">
        <v>71</v>
      </c>
      <c r="F345" s="5" t="s">
        <v>14</v>
      </c>
      <c r="G345" s="5" t="e" vm="11">
        <v>#VALUE!</v>
      </c>
      <c r="H345" s="5">
        <v>7.44</v>
      </c>
      <c r="I345" s="5"/>
      <c r="J345" s="5"/>
      <c r="K345" s="11">
        <v>20500</v>
      </c>
      <c r="M345" s="5" t="s">
        <v>125</v>
      </c>
      <c r="N345" s="5" t="s">
        <v>73</v>
      </c>
      <c r="O345" s="5" t="s">
        <v>1453</v>
      </c>
      <c r="P345" s="5">
        <v>12</v>
      </c>
      <c r="Q345" s="5" t="s">
        <v>286</v>
      </c>
      <c r="R345" s="5"/>
      <c r="S345" s="5" t="s">
        <v>1693</v>
      </c>
      <c r="T345" s="20" t="s">
        <v>1694</v>
      </c>
      <c r="U345" s="5" t="s">
        <v>1695</v>
      </c>
      <c r="W345" s="5" t="s">
        <v>965</v>
      </c>
      <c r="X345" s="5" t="s">
        <v>1534</v>
      </c>
      <c r="Y345" s="5"/>
      <c r="Z345" s="5"/>
    </row>
    <row r="346" spans="1:26" x14ac:dyDescent="0.3">
      <c r="A346" s="5">
        <v>2506773</v>
      </c>
      <c r="B346" s="20" t="s">
        <v>1696</v>
      </c>
      <c r="C346" s="25">
        <v>45834</v>
      </c>
      <c r="D346" s="5" t="s">
        <v>22</v>
      </c>
      <c r="E346" s="5" t="s">
        <v>71</v>
      </c>
      <c r="F346" s="5" t="s">
        <v>14</v>
      </c>
      <c r="G346" s="5" t="e" vm="11">
        <v>#VALUE!</v>
      </c>
      <c r="H346" s="5">
        <v>14.88</v>
      </c>
      <c r="I346" s="5"/>
      <c r="J346" s="5"/>
      <c r="K346" s="11">
        <v>32500</v>
      </c>
      <c r="M346" s="5" t="s">
        <v>125</v>
      </c>
      <c r="N346" s="5" t="s">
        <v>73</v>
      </c>
      <c r="O346" s="5" t="s">
        <v>1453</v>
      </c>
      <c r="P346" s="5">
        <v>24</v>
      </c>
      <c r="Q346" s="5" t="s">
        <v>143</v>
      </c>
      <c r="R346" s="5"/>
      <c r="S346" s="5" t="s">
        <v>1697</v>
      </c>
      <c r="T346" s="20" t="s">
        <v>1698</v>
      </c>
      <c r="U346" s="5" t="s">
        <v>1699</v>
      </c>
      <c r="W346" s="5" t="s">
        <v>965</v>
      </c>
      <c r="X346" s="5" t="s">
        <v>1534</v>
      </c>
      <c r="Y346" s="5"/>
      <c r="Z346" s="5"/>
    </row>
    <row r="347" spans="1:26" x14ac:dyDescent="0.3">
      <c r="A347" s="5" t="s">
        <v>1700</v>
      </c>
      <c r="B347" s="20" t="s">
        <v>1701</v>
      </c>
      <c r="C347" s="25">
        <v>45834</v>
      </c>
      <c r="D347" s="5" t="s">
        <v>19</v>
      </c>
      <c r="E347" s="5" t="s">
        <v>71</v>
      </c>
      <c r="F347" s="5" t="s">
        <v>14</v>
      </c>
      <c r="G347" s="5" t="e" vm="11">
        <v>#VALUE!</v>
      </c>
      <c r="H347" s="5">
        <v>7.44</v>
      </c>
      <c r="I347" s="5"/>
      <c r="J347" s="5"/>
      <c r="K347" s="11">
        <v>20500</v>
      </c>
      <c r="M347" s="5" t="s">
        <v>125</v>
      </c>
      <c r="N347" s="5" t="s">
        <v>73</v>
      </c>
      <c r="O347" s="5" t="s">
        <v>1453</v>
      </c>
      <c r="P347" s="5">
        <v>12</v>
      </c>
      <c r="Q347" s="5" t="s">
        <v>286</v>
      </c>
      <c r="R347" s="5"/>
      <c r="S347" s="5" t="s">
        <v>1702</v>
      </c>
      <c r="T347" s="20" t="s">
        <v>1703</v>
      </c>
      <c r="U347" s="5" t="s">
        <v>1704</v>
      </c>
      <c r="V347" s="20" t="s">
        <v>1705</v>
      </c>
      <c r="W347" s="5" t="s">
        <v>965</v>
      </c>
      <c r="X347" s="5" t="s">
        <v>1534</v>
      </c>
      <c r="Y347" s="5"/>
      <c r="Z347" s="5"/>
    </row>
    <row r="348" spans="1:26" x14ac:dyDescent="0.3">
      <c r="A348" s="5">
        <v>2506786</v>
      </c>
      <c r="B348" s="20" t="s">
        <v>1706</v>
      </c>
      <c r="C348" s="25">
        <v>45836</v>
      </c>
      <c r="D348" s="5" t="s">
        <v>17</v>
      </c>
      <c r="E348" s="5" t="s">
        <v>71</v>
      </c>
      <c r="F348" s="5" t="s">
        <v>14</v>
      </c>
      <c r="G348" s="5" t="e" vm="12">
        <v>#VALUE!</v>
      </c>
      <c r="H348" s="5">
        <v>13.64</v>
      </c>
      <c r="I348" s="5"/>
      <c r="J348" s="5"/>
      <c r="K348" s="11">
        <v>30500</v>
      </c>
      <c r="M348" s="5" t="s">
        <v>125</v>
      </c>
      <c r="N348" s="5" t="s">
        <v>73</v>
      </c>
      <c r="O348" s="5" t="s">
        <v>1453</v>
      </c>
      <c r="P348" s="5">
        <v>22</v>
      </c>
      <c r="Q348" s="5" t="s">
        <v>143</v>
      </c>
      <c r="R348" s="5"/>
      <c r="S348" s="5" t="s">
        <v>1707</v>
      </c>
      <c r="T348" s="20" t="s">
        <v>1708</v>
      </c>
      <c r="U348" s="5" t="s">
        <v>1709</v>
      </c>
      <c r="V348" s="20" t="s">
        <v>1710</v>
      </c>
      <c r="W348" s="5" t="s">
        <v>965</v>
      </c>
      <c r="X348" s="5"/>
      <c r="Y348" s="5"/>
      <c r="Z348" s="5"/>
    </row>
    <row r="349" spans="1:26" x14ac:dyDescent="0.3">
      <c r="A349" s="5">
        <v>2505260</v>
      </c>
      <c r="B349" s="20" t="s">
        <v>1711</v>
      </c>
      <c r="C349" s="25">
        <v>45833</v>
      </c>
      <c r="D349" s="5" t="s">
        <v>22</v>
      </c>
      <c r="E349" s="5" t="s">
        <v>124</v>
      </c>
      <c r="F349" s="5" t="s">
        <v>14</v>
      </c>
      <c r="G349" s="5" t="e" vm="4">
        <v>#VALUE!</v>
      </c>
      <c r="H349" s="5">
        <v>48.36</v>
      </c>
      <c r="I349" s="5"/>
      <c r="J349" s="5"/>
      <c r="K349" s="11">
        <v>95000</v>
      </c>
      <c r="M349" s="5" t="s">
        <v>125</v>
      </c>
      <c r="N349" s="5" t="s">
        <v>73</v>
      </c>
      <c r="O349" s="5" t="s">
        <v>1453</v>
      </c>
      <c r="P349" s="5">
        <v>78</v>
      </c>
      <c r="Q349" s="5" t="s">
        <v>1712</v>
      </c>
      <c r="R349" s="5"/>
      <c r="S349" s="134" t="s">
        <v>18</v>
      </c>
      <c r="T349" s="20" t="s">
        <v>1713</v>
      </c>
      <c r="U349" s="5" t="s">
        <v>1714</v>
      </c>
      <c r="V349" s="21" t="s">
        <v>1715</v>
      </c>
      <c r="W349" s="5" t="s">
        <v>965</v>
      </c>
      <c r="X349" s="5" t="s">
        <v>81</v>
      </c>
      <c r="Y349" s="5"/>
      <c r="Z349" s="5"/>
    </row>
    <row r="350" spans="1:26" x14ac:dyDescent="0.3">
      <c r="A350" s="5">
        <v>2506799</v>
      </c>
      <c r="B350" s="20" t="s">
        <v>1716</v>
      </c>
      <c r="C350" s="25">
        <v>45835</v>
      </c>
      <c r="D350" s="5" t="s">
        <v>22</v>
      </c>
      <c r="E350" s="5" t="s">
        <v>71</v>
      </c>
      <c r="F350" s="5" t="s">
        <v>14</v>
      </c>
      <c r="G350" s="5" t="e" vm="11">
        <v>#VALUE!</v>
      </c>
      <c r="H350" s="5">
        <v>13.64</v>
      </c>
      <c r="I350" s="5"/>
      <c r="J350" s="5"/>
      <c r="K350" s="11">
        <v>30500</v>
      </c>
      <c r="M350" s="5" t="s">
        <v>125</v>
      </c>
      <c r="N350" s="5" t="s">
        <v>73</v>
      </c>
      <c r="O350" s="5" t="s">
        <v>1453</v>
      </c>
      <c r="P350" s="5">
        <v>22</v>
      </c>
      <c r="Q350" s="5" t="s">
        <v>143</v>
      </c>
      <c r="R350" s="5"/>
      <c r="S350" s="5" t="s">
        <v>1717</v>
      </c>
      <c r="T350" s="20" t="s">
        <v>1718</v>
      </c>
      <c r="U350" s="5" t="s">
        <v>1719</v>
      </c>
      <c r="W350" s="5" t="s">
        <v>965</v>
      </c>
      <c r="X350" s="5" t="s">
        <v>1534</v>
      </c>
      <c r="Y350" s="5"/>
      <c r="Z350" s="5"/>
    </row>
    <row r="351" spans="1:26" x14ac:dyDescent="0.3">
      <c r="A351" s="5">
        <v>2506276</v>
      </c>
      <c r="B351" s="20" t="s">
        <v>1720</v>
      </c>
      <c r="C351" s="25">
        <v>45836</v>
      </c>
      <c r="D351" s="5" t="s">
        <v>19</v>
      </c>
      <c r="E351" s="5" t="s">
        <v>71</v>
      </c>
      <c r="F351" s="5" t="s">
        <v>14</v>
      </c>
      <c r="G351" s="5" t="e" vm="11">
        <v>#VALUE!</v>
      </c>
      <c r="H351" s="5">
        <v>19.84</v>
      </c>
      <c r="I351" s="5"/>
      <c r="J351" s="5"/>
      <c r="K351" s="11">
        <v>40000</v>
      </c>
      <c r="L351" s="24">
        <v>-1000</v>
      </c>
      <c r="M351" s="5" t="s">
        <v>125</v>
      </c>
      <c r="N351" s="5" t="s">
        <v>73</v>
      </c>
      <c r="O351" s="5" t="s">
        <v>1453</v>
      </c>
      <c r="P351" s="5">
        <v>32</v>
      </c>
      <c r="Q351" s="5" t="s">
        <v>567</v>
      </c>
      <c r="R351" s="5"/>
      <c r="W351" s="5"/>
      <c r="X351" s="5"/>
      <c r="Y351" s="5"/>
      <c r="Z351" s="5"/>
    </row>
    <row r="352" spans="1:26" x14ac:dyDescent="0.3">
      <c r="A352" s="5">
        <v>2506785</v>
      </c>
      <c r="B352" s="20" t="s">
        <v>1721</v>
      </c>
      <c r="C352" s="25">
        <v>45837</v>
      </c>
      <c r="D352" s="5" t="s">
        <v>22</v>
      </c>
      <c r="E352" s="5" t="s">
        <v>71</v>
      </c>
      <c r="F352" s="5" t="s">
        <v>14</v>
      </c>
      <c r="G352" s="5" t="e" vm="11">
        <v>#VALUE!</v>
      </c>
      <c r="H352" s="5">
        <v>13.64</v>
      </c>
      <c r="I352" s="5"/>
      <c r="J352" s="5"/>
      <c r="K352" s="11">
        <v>34500</v>
      </c>
      <c r="M352" s="5" t="s">
        <v>125</v>
      </c>
      <c r="N352" s="5" t="s">
        <v>73</v>
      </c>
      <c r="O352" s="5" t="s">
        <v>1453</v>
      </c>
      <c r="P352" s="5">
        <v>22</v>
      </c>
      <c r="Q352" s="5" t="s">
        <v>143</v>
      </c>
      <c r="R352" s="5"/>
      <c r="S352" s="5" t="s">
        <v>1722</v>
      </c>
      <c r="T352" s="20" t="s">
        <v>1723</v>
      </c>
      <c r="U352" s="5" t="s">
        <v>1724</v>
      </c>
      <c r="V352" s="20" t="s">
        <v>1725</v>
      </c>
      <c r="W352" s="5" t="s">
        <v>965</v>
      </c>
      <c r="X352" s="5" t="s">
        <v>1534</v>
      </c>
      <c r="Y352" s="5"/>
      <c r="Z352" s="5"/>
    </row>
    <row r="353" spans="1:26" x14ac:dyDescent="0.3">
      <c r="A353" s="5">
        <v>2506801</v>
      </c>
      <c r="B353" s="20" t="s">
        <v>1726</v>
      </c>
      <c r="C353" s="25">
        <v>45838</v>
      </c>
      <c r="D353" s="5" t="s">
        <v>22</v>
      </c>
      <c r="E353" s="5" t="s">
        <v>71</v>
      </c>
      <c r="F353" s="5" t="s">
        <v>14</v>
      </c>
      <c r="G353" s="5" t="e" vm="11">
        <v>#VALUE!</v>
      </c>
      <c r="H353" s="5">
        <v>17.98</v>
      </c>
      <c r="I353" s="5"/>
      <c r="J353" s="5"/>
      <c r="K353" s="11">
        <v>39500</v>
      </c>
      <c r="M353" s="5" t="s">
        <v>176</v>
      </c>
      <c r="N353" s="5" t="s">
        <v>73</v>
      </c>
      <c r="O353" s="5" t="s">
        <v>1453</v>
      </c>
      <c r="P353" s="5">
        <v>29</v>
      </c>
      <c r="Q353" s="5" t="s">
        <v>143</v>
      </c>
      <c r="R353" s="5"/>
      <c r="S353" s="5" t="s">
        <v>1727</v>
      </c>
      <c r="T353" s="20" t="s">
        <v>1728</v>
      </c>
      <c r="U353" s="5" t="s">
        <v>1729</v>
      </c>
      <c r="V353" s="20" t="s">
        <v>1730</v>
      </c>
      <c r="W353" s="5" t="s">
        <v>965</v>
      </c>
      <c r="X353" s="5" t="s">
        <v>1534</v>
      </c>
      <c r="Y353" s="5"/>
      <c r="Z353" s="5"/>
    </row>
    <row r="354" spans="1:26" x14ac:dyDescent="0.3">
      <c r="A354" s="5">
        <v>2503223</v>
      </c>
      <c r="B354" s="20" t="s">
        <v>1731</v>
      </c>
      <c r="C354" s="25">
        <v>45832</v>
      </c>
      <c r="D354" s="5" t="s">
        <v>17</v>
      </c>
      <c r="E354" s="5" t="s">
        <v>124</v>
      </c>
      <c r="F354" s="5" t="s">
        <v>14</v>
      </c>
      <c r="G354" s="5" t="e" vm="8">
        <v>#VALUE!</v>
      </c>
      <c r="H354" s="5">
        <v>58.9</v>
      </c>
      <c r="I354" s="5"/>
      <c r="J354" s="5"/>
      <c r="K354" s="11">
        <v>117500</v>
      </c>
      <c r="M354" s="5" t="s">
        <v>1732</v>
      </c>
      <c r="N354" s="5" t="s">
        <v>73</v>
      </c>
      <c r="O354" s="5" t="s">
        <v>1440</v>
      </c>
      <c r="P354" s="5">
        <v>95</v>
      </c>
      <c r="Q354" s="5" t="s">
        <v>898</v>
      </c>
      <c r="R354" s="5"/>
      <c r="W354" s="5" t="s">
        <v>965</v>
      </c>
      <c r="X354" s="5"/>
      <c r="Y354" s="5"/>
      <c r="Z354" s="5"/>
    </row>
    <row r="355" spans="1:26" x14ac:dyDescent="0.3">
      <c r="A355" s="5">
        <v>2506802</v>
      </c>
      <c r="B355" s="20" t="s">
        <v>1733</v>
      </c>
      <c r="C355" s="25">
        <v>45838</v>
      </c>
      <c r="D355" s="5" t="s">
        <v>22</v>
      </c>
      <c r="E355" s="5" t="s">
        <v>71</v>
      </c>
      <c r="F355" s="5" t="s">
        <v>14</v>
      </c>
      <c r="G355" s="5" t="e" vm="11">
        <v>#VALUE!</v>
      </c>
      <c r="H355" s="5">
        <v>13.64</v>
      </c>
      <c r="I355" s="5"/>
      <c r="J355" s="5"/>
      <c r="K355" s="11">
        <v>31500</v>
      </c>
      <c r="M355" s="5" t="s">
        <v>125</v>
      </c>
      <c r="N355" s="5" t="s">
        <v>73</v>
      </c>
      <c r="O355" s="5" t="s">
        <v>1453</v>
      </c>
      <c r="P355" s="5">
        <v>22</v>
      </c>
      <c r="Q355" s="5" t="s">
        <v>143</v>
      </c>
      <c r="R355" s="5"/>
      <c r="S355" s="5" t="s">
        <v>1734</v>
      </c>
      <c r="T355" s="20" t="s">
        <v>1735</v>
      </c>
      <c r="U355" s="5" t="s">
        <v>1736</v>
      </c>
      <c r="W355" s="5" t="s">
        <v>965</v>
      </c>
      <c r="X355" s="5" t="s">
        <v>1534</v>
      </c>
      <c r="Y355" s="5"/>
      <c r="Z355" s="5"/>
    </row>
    <row r="356" spans="1:26" x14ac:dyDescent="0.3">
      <c r="A356" s="5">
        <v>2412510</v>
      </c>
      <c r="B356" s="20" t="s">
        <v>1737</v>
      </c>
      <c r="C356" s="25">
        <v>45843</v>
      </c>
      <c r="D356" s="5" t="s">
        <v>19</v>
      </c>
      <c r="E356" s="5" t="s">
        <v>71</v>
      </c>
      <c r="F356" s="5" t="s">
        <v>14</v>
      </c>
      <c r="G356" s="5" t="e" vm="11">
        <v>#VALUE!</v>
      </c>
      <c r="H356" s="5">
        <v>14.88</v>
      </c>
      <c r="I356" s="5"/>
      <c r="J356" s="5"/>
      <c r="K356" s="11">
        <v>34000</v>
      </c>
      <c r="M356" s="5" t="s">
        <v>176</v>
      </c>
      <c r="N356" s="5" t="s">
        <v>73</v>
      </c>
      <c r="O356" s="5" t="s">
        <v>1453</v>
      </c>
      <c r="P356" s="5">
        <v>24</v>
      </c>
      <c r="Q356" s="5" t="s">
        <v>143</v>
      </c>
      <c r="R356" s="5"/>
      <c r="S356" s="5" t="s">
        <v>1738</v>
      </c>
      <c r="T356" s="20" t="s">
        <v>1739</v>
      </c>
      <c r="U356" s="5" t="s">
        <v>1740</v>
      </c>
      <c r="V356" s="20" t="s">
        <v>1741</v>
      </c>
      <c r="W356" s="5" t="s">
        <v>965</v>
      </c>
      <c r="X356" s="5" t="s">
        <v>1534</v>
      </c>
      <c r="Y356" s="5"/>
      <c r="Z356" s="5"/>
    </row>
    <row r="357" spans="1:26" x14ac:dyDescent="0.3">
      <c r="A357" s="5">
        <v>2504051</v>
      </c>
      <c r="B357" s="20" t="s">
        <v>1742</v>
      </c>
      <c r="C357" s="25">
        <v>45833</v>
      </c>
      <c r="D357" s="5" t="s">
        <v>20</v>
      </c>
      <c r="E357" s="5" t="s">
        <v>206</v>
      </c>
      <c r="F357" s="5"/>
      <c r="G357" s="5" t="e" vm="4">
        <v>#VALUE!</v>
      </c>
      <c r="H357" s="5"/>
      <c r="I357" s="5">
        <v>240</v>
      </c>
      <c r="J357" s="5"/>
      <c r="K357" s="11">
        <v>250000</v>
      </c>
      <c r="M357" s="5" t="s">
        <v>125</v>
      </c>
      <c r="N357" s="5" t="s">
        <v>73</v>
      </c>
      <c r="R357" s="5"/>
      <c r="W357" s="5" t="s">
        <v>109</v>
      </c>
      <c r="X357" s="5"/>
      <c r="Y357" s="5"/>
      <c r="Z357" s="5"/>
    </row>
    <row r="358" spans="1:26" x14ac:dyDescent="0.3">
      <c r="A358" s="5">
        <v>2505056</v>
      </c>
      <c r="B358" s="20" t="s">
        <v>1743</v>
      </c>
      <c r="C358" s="25">
        <v>45859</v>
      </c>
      <c r="D358" s="5" t="s">
        <v>19</v>
      </c>
      <c r="E358" s="5" t="s">
        <v>206</v>
      </c>
      <c r="F358" s="5"/>
      <c r="G358" s="5" t="e" vm="11">
        <v>#VALUE!</v>
      </c>
      <c r="H358" s="5"/>
      <c r="I358" s="5">
        <v>60</v>
      </c>
      <c r="J358" s="5"/>
      <c r="K358" s="11">
        <v>43000</v>
      </c>
      <c r="M358" s="5" t="s">
        <v>125</v>
      </c>
      <c r="N358" s="5" t="s">
        <v>73</v>
      </c>
      <c r="R358" s="5"/>
      <c r="W358" s="5" t="s">
        <v>109</v>
      </c>
      <c r="X358" s="5"/>
      <c r="Y358" s="5"/>
      <c r="Z358" s="5"/>
    </row>
    <row r="359" spans="1:26" x14ac:dyDescent="0.3">
      <c r="A359" s="5">
        <v>2507833</v>
      </c>
      <c r="B359" s="20" t="s">
        <v>1744</v>
      </c>
      <c r="C359" s="25">
        <v>45874</v>
      </c>
      <c r="D359" s="5" t="s">
        <v>22</v>
      </c>
      <c r="E359" s="5" t="s">
        <v>71</v>
      </c>
      <c r="F359" s="5" t="s">
        <v>15</v>
      </c>
      <c r="G359" s="5" t="e" vm="11">
        <v>#VALUE!</v>
      </c>
      <c r="H359" s="5">
        <v>12.4</v>
      </c>
      <c r="I359" s="5"/>
      <c r="J359" s="5">
        <v>15</v>
      </c>
      <c r="K359" s="11">
        <v>46000</v>
      </c>
      <c r="M359" s="5" t="s">
        <v>1191</v>
      </c>
      <c r="N359" s="5" t="s">
        <v>73</v>
      </c>
      <c r="O359" s="5" t="s">
        <v>1453</v>
      </c>
      <c r="P359" s="5">
        <v>20</v>
      </c>
      <c r="Q359" s="5" t="s">
        <v>1745</v>
      </c>
      <c r="R359" s="5"/>
      <c r="S359" s="5" t="s">
        <v>1746</v>
      </c>
      <c r="T359" s="20" t="s">
        <v>1747</v>
      </c>
      <c r="U359" s="5" t="s">
        <v>1748</v>
      </c>
      <c r="W359" s="5" t="s">
        <v>109</v>
      </c>
      <c r="X359" s="5" t="s">
        <v>1534</v>
      </c>
      <c r="Y359" s="5"/>
      <c r="Z359" s="5"/>
    </row>
    <row r="360" spans="1:26" x14ac:dyDescent="0.3">
      <c r="A360" s="5">
        <v>2409030</v>
      </c>
      <c r="B360" s="20" t="s">
        <v>1749</v>
      </c>
      <c r="C360" s="25">
        <v>45881</v>
      </c>
      <c r="D360" s="5" t="s">
        <v>19</v>
      </c>
      <c r="E360" s="5" t="s">
        <v>206</v>
      </c>
      <c r="F360" s="5"/>
      <c r="G360" s="5" t="e" vm="11">
        <v>#VALUE!</v>
      </c>
      <c r="H360" s="5"/>
      <c r="I360" s="5">
        <v>60</v>
      </c>
      <c r="J360" s="5"/>
      <c r="K360" s="11">
        <v>58000</v>
      </c>
      <c r="M360" s="5" t="s">
        <v>125</v>
      </c>
      <c r="N360" s="5" t="s">
        <v>73</v>
      </c>
      <c r="R360" s="5"/>
      <c r="W360" s="5" t="s">
        <v>109</v>
      </c>
      <c r="X360" s="5"/>
      <c r="Y360" s="5"/>
      <c r="Z360" s="5"/>
    </row>
    <row r="361" spans="1:26" x14ac:dyDescent="0.3">
      <c r="A361" s="5">
        <v>2507059</v>
      </c>
      <c r="B361" s="20" t="s">
        <v>1750</v>
      </c>
      <c r="C361" s="25">
        <v>45881</v>
      </c>
      <c r="D361" s="5" t="s">
        <v>19</v>
      </c>
      <c r="E361" s="5" t="s">
        <v>206</v>
      </c>
      <c r="F361" s="5"/>
      <c r="G361" s="5" t="e" vm="11">
        <v>#VALUE!</v>
      </c>
      <c r="H361" s="5"/>
      <c r="I361" s="5">
        <v>60</v>
      </c>
      <c r="J361" s="5"/>
      <c r="K361" s="11">
        <v>53000</v>
      </c>
      <c r="M361" s="5" t="s">
        <v>125</v>
      </c>
      <c r="N361" s="5" t="s">
        <v>73</v>
      </c>
      <c r="R361" s="5"/>
      <c r="W361" s="5" t="s">
        <v>109</v>
      </c>
      <c r="X361" s="5"/>
      <c r="Y361" s="5"/>
      <c r="Z361" s="5"/>
    </row>
    <row r="362" spans="1:26" x14ac:dyDescent="0.3">
      <c r="A362" s="5">
        <v>2507060</v>
      </c>
      <c r="B362" s="15" t="s">
        <v>1751</v>
      </c>
      <c r="C362" s="25">
        <v>45881</v>
      </c>
      <c r="D362" s="5" t="s">
        <v>19</v>
      </c>
      <c r="E362" s="5" t="s">
        <v>206</v>
      </c>
      <c r="F362" s="5"/>
      <c r="G362" s="5" t="e" vm="11">
        <v>#VALUE!</v>
      </c>
      <c r="H362" s="5"/>
      <c r="I362" s="5">
        <v>60</v>
      </c>
      <c r="J362" s="5"/>
      <c r="K362" s="11">
        <v>55500</v>
      </c>
      <c r="M362" s="5" t="s">
        <v>125</v>
      </c>
      <c r="N362" s="5" t="s">
        <v>73</v>
      </c>
      <c r="R362" s="5"/>
      <c r="W362" s="5" t="s">
        <v>109</v>
      </c>
      <c r="X362" s="5"/>
      <c r="Y362" s="5"/>
      <c r="Z362" s="5"/>
    </row>
    <row r="363" spans="1:26" x14ac:dyDescent="0.3">
      <c r="A363" s="5">
        <v>2508858</v>
      </c>
      <c r="B363" s="20" t="s">
        <v>1752</v>
      </c>
      <c r="C363" s="25">
        <v>45895</v>
      </c>
      <c r="D363" s="5" t="s">
        <v>22</v>
      </c>
      <c r="E363" s="5" t="s">
        <v>71</v>
      </c>
      <c r="F363" s="5" t="s">
        <v>15</v>
      </c>
      <c r="G363" s="5" t="e" vm="5">
        <v>#VALUE!</v>
      </c>
      <c r="H363" s="5">
        <v>16.12</v>
      </c>
      <c r="I363" s="5"/>
      <c r="J363" s="5">
        <v>15</v>
      </c>
      <c r="K363" s="11">
        <v>49000</v>
      </c>
      <c r="L363" s="24">
        <v>1593</v>
      </c>
      <c r="M363" s="5" t="s">
        <v>125</v>
      </c>
      <c r="N363" s="5" t="s">
        <v>73</v>
      </c>
      <c r="O363" s="5" t="s">
        <v>1453</v>
      </c>
      <c r="P363" s="5">
        <v>26</v>
      </c>
      <c r="Q363" s="5" t="s">
        <v>1753</v>
      </c>
      <c r="R363" s="5"/>
      <c r="S363" s="5" t="s">
        <v>1754</v>
      </c>
      <c r="T363" s="20" t="s">
        <v>1755</v>
      </c>
      <c r="U363" s="5" t="s">
        <v>1756</v>
      </c>
      <c r="W363" s="5" t="s">
        <v>965</v>
      </c>
      <c r="X363" s="5" t="s">
        <v>1534</v>
      </c>
      <c r="Y363" s="5"/>
      <c r="Z363" s="5"/>
    </row>
    <row r="364" spans="1:26" x14ac:dyDescent="0.3">
      <c r="A364" s="5">
        <v>2507062</v>
      </c>
      <c r="B364" s="15" t="s">
        <v>1757</v>
      </c>
      <c r="C364" s="25">
        <v>45878</v>
      </c>
      <c r="D364" s="5" t="s">
        <v>20</v>
      </c>
      <c r="E364" s="5" t="s">
        <v>206</v>
      </c>
      <c r="F364" s="5"/>
      <c r="G364" s="5" t="e" vm="4">
        <v>#VALUE!</v>
      </c>
      <c r="H364" s="5"/>
      <c r="I364" s="5">
        <v>240</v>
      </c>
      <c r="J364" s="5"/>
      <c r="K364" s="11">
        <v>324360</v>
      </c>
      <c r="M364" s="5" t="s">
        <v>125</v>
      </c>
      <c r="N364" s="5" t="s">
        <v>73</v>
      </c>
      <c r="R364" s="5"/>
      <c r="W364" s="5" t="s">
        <v>109</v>
      </c>
      <c r="X364" s="5"/>
      <c r="Y364" s="5"/>
      <c r="Z364" s="5"/>
    </row>
    <row r="365" spans="1:26" x14ac:dyDescent="0.3">
      <c r="A365" s="5">
        <v>2509863</v>
      </c>
      <c r="B365" s="20" t="s">
        <v>1758</v>
      </c>
      <c r="C365" s="25">
        <v>45929</v>
      </c>
      <c r="D365" s="5" t="s">
        <v>22</v>
      </c>
      <c r="E365" s="5" t="s">
        <v>71</v>
      </c>
      <c r="F365" s="5" t="s">
        <v>15</v>
      </c>
      <c r="G365" s="5" t="e" vm="11">
        <v>#VALUE!</v>
      </c>
      <c r="H365" s="5">
        <v>9.92</v>
      </c>
      <c r="I365" s="5"/>
      <c r="J365" s="5"/>
      <c r="K365" s="11">
        <v>27000</v>
      </c>
      <c r="M365" s="5" t="s">
        <v>125</v>
      </c>
      <c r="N365" s="5" t="s">
        <v>73</v>
      </c>
      <c r="O365" s="5" t="s">
        <v>1453</v>
      </c>
      <c r="P365" s="5">
        <v>16</v>
      </c>
      <c r="Q365" s="5" t="s">
        <v>1759</v>
      </c>
      <c r="R365" s="5"/>
      <c r="S365" s="5" t="s">
        <v>1760</v>
      </c>
      <c r="T365" s="20" t="s">
        <v>1761</v>
      </c>
      <c r="U365" s="5" t="s">
        <v>1762</v>
      </c>
      <c r="W365" s="5" t="s">
        <v>109</v>
      </c>
      <c r="X365" s="5" t="s">
        <v>1534</v>
      </c>
      <c r="Y365" s="5"/>
      <c r="Z365" s="5"/>
    </row>
    <row r="366" spans="1:26" x14ac:dyDescent="0.3">
      <c r="A366" s="5">
        <v>2507840</v>
      </c>
      <c r="B366" s="15" t="s">
        <v>1763</v>
      </c>
      <c r="C366" s="25">
        <v>45919</v>
      </c>
      <c r="D366" s="5" t="s">
        <v>22</v>
      </c>
      <c r="E366" s="5" t="s">
        <v>71</v>
      </c>
      <c r="F366" s="5" t="s">
        <v>15</v>
      </c>
      <c r="G366" s="5" t="e" vm="11">
        <v>#VALUE!</v>
      </c>
      <c r="H366" s="5">
        <v>15.5</v>
      </c>
      <c r="I366" s="5"/>
      <c r="J366" s="5">
        <v>30</v>
      </c>
      <c r="K366" s="11">
        <v>63000</v>
      </c>
      <c r="M366" s="5" t="s">
        <v>1191</v>
      </c>
      <c r="N366" s="5" t="s">
        <v>73</v>
      </c>
      <c r="O366" s="5" t="s">
        <v>1453</v>
      </c>
      <c r="P366" s="5">
        <v>25</v>
      </c>
      <c r="Q366" s="5" t="s">
        <v>1753</v>
      </c>
      <c r="R366" s="5"/>
      <c r="T366" s="20" t="s">
        <v>1764</v>
      </c>
      <c r="W366" s="5" t="s">
        <v>109</v>
      </c>
      <c r="X366" s="5" t="s">
        <v>1534</v>
      </c>
      <c r="Y366" s="5"/>
      <c r="Z366" s="5"/>
    </row>
    <row r="367" spans="1:26" x14ac:dyDescent="0.3">
      <c r="A367" s="5">
        <v>2508857</v>
      </c>
      <c r="B367" s="20" t="s">
        <v>1765</v>
      </c>
      <c r="C367" s="25">
        <v>45940</v>
      </c>
      <c r="D367" s="5" t="s">
        <v>21</v>
      </c>
      <c r="E367" s="5" t="s">
        <v>71</v>
      </c>
      <c r="F367" s="5" t="s">
        <v>15</v>
      </c>
      <c r="G367" s="5" t="e" vm="5">
        <v>#VALUE!</v>
      </c>
      <c r="H367" s="5">
        <v>8.68</v>
      </c>
      <c r="I367" s="5"/>
      <c r="J367" s="5">
        <v>15</v>
      </c>
      <c r="K367" s="11">
        <v>49800</v>
      </c>
      <c r="M367" s="5" t="s">
        <v>125</v>
      </c>
      <c r="N367" s="5" t="s">
        <v>73</v>
      </c>
      <c r="O367" s="5" t="s">
        <v>1453</v>
      </c>
      <c r="P367" s="5">
        <v>14</v>
      </c>
      <c r="Q367" s="5" t="s">
        <v>1376</v>
      </c>
      <c r="R367" s="5"/>
      <c r="S367" s="5" t="s">
        <v>1766</v>
      </c>
      <c r="T367" s="20" t="s">
        <v>1767</v>
      </c>
      <c r="U367" s="5" t="s">
        <v>1768</v>
      </c>
      <c r="W367" s="5" t="s">
        <v>109</v>
      </c>
      <c r="X367" s="5" t="s">
        <v>1534</v>
      </c>
      <c r="Y367" s="5"/>
      <c r="Z367" s="5"/>
    </row>
    <row r="368" spans="1:26" x14ac:dyDescent="0.3">
      <c r="A368" s="5">
        <v>2305008</v>
      </c>
      <c r="B368" s="15" t="s">
        <v>1769</v>
      </c>
      <c r="C368" s="25">
        <v>45958</v>
      </c>
      <c r="D368" s="5" t="s">
        <v>22</v>
      </c>
      <c r="E368" s="5" t="s">
        <v>124</v>
      </c>
      <c r="F368" s="5" t="s">
        <v>15</v>
      </c>
      <c r="G368" s="5" t="e" vm="11">
        <v>#VALUE!</v>
      </c>
      <c r="H368" s="5">
        <v>17.98</v>
      </c>
      <c r="I368" s="5"/>
      <c r="J368" s="5">
        <v>30</v>
      </c>
      <c r="K368" s="11">
        <v>63773.58</v>
      </c>
      <c r="M368" s="5" t="s">
        <v>1191</v>
      </c>
      <c r="N368" s="5" t="s">
        <v>73</v>
      </c>
      <c r="O368" s="5" t="s">
        <v>1453</v>
      </c>
      <c r="P368" s="5">
        <v>29</v>
      </c>
      <c r="Q368" s="5" t="s">
        <v>1770</v>
      </c>
      <c r="R368" s="5"/>
      <c r="S368" s="5" t="s">
        <v>1771</v>
      </c>
      <c r="T368" s="20" t="s">
        <v>1772</v>
      </c>
      <c r="W368" s="5" t="s">
        <v>109</v>
      </c>
      <c r="X368" s="5" t="s">
        <v>1534</v>
      </c>
      <c r="Y368" s="5"/>
      <c r="Z368" s="5"/>
    </row>
    <row r="369" spans="1:26" x14ac:dyDescent="0.3">
      <c r="A369" s="5">
        <v>2508856</v>
      </c>
      <c r="B369" s="20" t="s">
        <v>1773</v>
      </c>
      <c r="C369" s="25">
        <v>45958</v>
      </c>
      <c r="D369" s="5" t="s">
        <v>21</v>
      </c>
      <c r="E369" s="5" t="s">
        <v>71</v>
      </c>
      <c r="F369" s="5" t="s">
        <v>15</v>
      </c>
      <c r="G369" s="5" t="e" vm="11">
        <v>#VALUE!</v>
      </c>
      <c r="H369" s="5">
        <v>18.600000000000001</v>
      </c>
      <c r="I369" s="5"/>
      <c r="J369" s="5">
        <v>29.95</v>
      </c>
      <c r="K369" s="11">
        <v>73500</v>
      </c>
      <c r="M369" s="5" t="s">
        <v>125</v>
      </c>
      <c r="N369" s="5" t="s">
        <v>73</v>
      </c>
      <c r="O369" s="5" t="s">
        <v>1453</v>
      </c>
      <c r="P369" s="5">
        <v>30</v>
      </c>
      <c r="Q369" s="5" t="s">
        <v>1774</v>
      </c>
      <c r="R369" s="5"/>
      <c r="S369" s="5" t="s">
        <v>1775</v>
      </c>
      <c r="T369" s="20" t="s">
        <v>1776</v>
      </c>
      <c r="U369" s="5" t="s">
        <v>1777</v>
      </c>
      <c r="W369" s="5" t="s">
        <v>109</v>
      </c>
      <c r="X369" s="5" t="s">
        <v>1534</v>
      </c>
      <c r="Y369" s="5"/>
      <c r="Z369" s="5"/>
    </row>
    <row r="370" spans="1:26" x14ac:dyDescent="0.3">
      <c r="A370" s="5">
        <v>2510877</v>
      </c>
      <c r="B370" s="15" t="s">
        <v>1778</v>
      </c>
      <c r="C370" s="25">
        <v>45964</v>
      </c>
      <c r="D370" s="5" t="s">
        <v>22</v>
      </c>
      <c r="E370" s="5" t="s">
        <v>71</v>
      </c>
      <c r="F370" s="5" t="s">
        <v>15</v>
      </c>
      <c r="G370" s="5" t="e" vm="10">
        <v>#VALUE!</v>
      </c>
      <c r="H370" s="5">
        <v>9.92</v>
      </c>
      <c r="I370" s="5"/>
      <c r="J370" s="5"/>
      <c r="K370" s="11">
        <v>28500</v>
      </c>
      <c r="M370" s="5" t="s">
        <v>125</v>
      </c>
      <c r="N370" s="5" t="s">
        <v>73</v>
      </c>
      <c r="O370" s="5" t="s">
        <v>1453</v>
      </c>
      <c r="P370" s="5">
        <v>16</v>
      </c>
      <c r="Q370" s="5" t="s">
        <v>1376</v>
      </c>
      <c r="R370" s="5"/>
      <c r="S370" s="5" t="s">
        <v>1779</v>
      </c>
      <c r="T370" s="20" t="s">
        <v>1780</v>
      </c>
      <c r="U370" s="5" t="s">
        <v>1781</v>
      </c>
      <c r="W370" s="5" t="s">
        <v>109</v>
      </c>
      <c r="X370" s="5" t="s">
        <v>1534</v>
      </c>
      <c r="Y370" s="5"/>
      <c r="Z370" s="5"/>
    </row>
    <row r="371" spans="1:26" x14ac:dyDescent="0.3">
      <c r="A371" s="5">
        <v>2511887</v>
      </c>
      <c r="B371" s="20" t="s">
        <v>1782</v>
      </c>
      <c r="C371" s="25">
        <v>45970</v>
      </c>
      <c r="D371" s="5" t="s">
        <v>22</v>
      </c>
      <c r="E371" s="5" t="s">
        <v>71</v>
      </c>
      <c r="F371" s="5" t="s">
        <v>15</v>
      </c>
      <c r="G371" s="5" t="e" vm="11">
        <v>#VALUE!</v>
      </c>
      <c r="H371" s="5">
        <v>12.4</v>
      </c>
      <c r="I371" s="5"/>
      <c r="J371" s="5"/>
      <c r="K371" s="11">
        <v>29000</v>
      </c>
      <c r="M371" s="5" t="s">
        <v>125</v>
      </c>
      <c r="N371" s="5" t="s">
        <v>73</v>
      </c>
      <c r="O371" s="5" t="s">
        <v>1453</v>
      </c>
      <c r="P371" s="5">
        <v>19</v>
      </c>
      <c r="Q371" s="5" t="s">
        <v>1783</v>
      </c>
      <c r="R371" s="5"/>
      <c r="S371" s="5" t="s">
        <v>1784</v>
      </c>
      <c r="T371" s="20" t="s">
        <v>1785</v>
      </c>
      <c r="U371" s="5" t="s">
        <v>1786</v>
      </c>
      <c r="W371" s="5" t="s">
        <v>109</v>
      </c>
      <c r="X371" s="5" t="s">
        <v>1534</v>
      </c>
      <c r="Y371" s="5"/>
      <c r="Z371" s="5"/>
    </row>
    <row r="372" spans="1:26" x14ac:dyDescent="0.3">
      <c r="A372" s="5">
        <v>2305019</v>
      </c>
      <c r="B372" s="15" t="s">
        <v>1787</v>
      </c>
      <c r="C372" s="25">
        <v>45960</v>
      </c>
      <c r="D372" s="5" t="s">
        <v>20</v>
      </c>
      <c r="E372" s="5" t="s">
        <v>71</v>
      </c>
      <c r="F372" s="5" t="s">
        <v>15</v>
      </c>
      <c r="G372" s="5" t="e" vm="5">
        <v>#VALUE!</v>
      </c>
      <c r="H372" s="5">
        <v>15.5</v>
      </c>
      <c r="I372" s="5"/>
      <c r="J372" s="5">
        <v>29.95</v>
      </c>
      <c r="K372" s="11">
        <v>60000</v>
      </c>
      <c r="M372" s="5" t="s">
        <v>125</v>
      </c>
      <c r="N372" s="5" t="s">
        <v>73</v>
      </c>
      <c r="O372" s="5" t="s">
        <v>1453</v>
      </c>
      <c r="P372" s="5">
        <v>25</v>
      </c>
      <c r="Q372" s="5" t="s">
        <v>1774</v>
      </c>
      <c r="R372" s="5"/>
      <c r="S372" s="5" t="s">
        <v>1788</v>
      </c>
      <c r="T372" s="20" t="s">
        <v>1789</v>
      </c>
      <c r="U372" s="5" t="s">
        <v>1790</v>
      </c>
      <c r="W372" s="5" t="s">
        <v>109</v>
      </c>
      <c r="X372" s="5" t="s">
        <v>1534</v>
      </c>
      <c r="Y372" s="5"/>
      <c r="Z372" s="5"/>
    </row>
    <row r="373" spans="1:26" x14ac:dyDescent="0.3">
      <c r="A373" s="5"/>
      <c r="B373" s="20"/>
      <c r="C373" s="25"/>
      <c r="D373" s="5"/>
      <c r="E373" s="5"/>
      <c r="F373" s="5"/>
      <c r="G373" s="5"/>
      <c r="H373" s="5"/>
      <c r="I373" s="5"/>
      <c r="J373" s="5"/>
      <c r="K373" s="11"/>
      <c r="M373" s="5"/>
      <c r="N373" s="5"/>
      <c r="R373" s="5"/>
      <c r="W373" s="5"/>
      <c r="X373" s="5"/>
      <c r="Y373" s="5"/>
      <c r="Z373" s="5"/>
    </row>
    <row r="374" spans="1:26" x14ac:dyDescent="0.3">
      <c r="A374" s="5"/>
      <c r="C374" s="25"/>
      <c r="D374" s="5"/>
      <c r="E374" s="5"/>
      <c r="F374" s="5"/>
      <c r="G374" s="5"/>
      <c r="H374" s="5"/>
      <c r="I374" s="5"/>
      <c r="J374" s="5"/>
      <c r="K374" s="11"/>
      <c r="M374" s="5"/>
      <c r="N374" s="5"/>
      <c r="R374" s="5"/>
      <c r="W374" s="5"/>
      <c r="X374" s="5"/>
      <c r="Y374" s="5"/>
      <c r="Z374" s="5"/>
    </row>
    <row r="375" spans="1:26" x14ac:dyDescent="0.3">
      <c r="A375" s="5"/>
      <c r="B375" s="20"/>
      <c r="C375" s="25"/>
      <c r="D375" s="5"/>
      <c r="E375" s="5"/>
      <c r="F375" s="5"/>
      <c r="G375" s="5"/>
      <c r="H375" s="5"/>
      <c r="I375" s="5"/>
      <c r="J375" s="5"/>
      <c r="K375" s="11"/>
      <c r="M375" s="5"/>
      <c r="N375" s="5"/>
      <c r="R375" s="5"/>
      <c r="W375" s="5"/>
      <c r="X375" s="5"/>
      <c r="Y375" s="5"/>
      <c r="Z375" s="5"/>
    </row>
    <row r="376" spans="1:26" x14ac:dyDescent="0.3">
      <c r="A376" s="5"/>
      <c r="C376" s="25"/>
      <c r="D376" s="5"/>
      <c r="E376" s="5"/>
      <c r="F376" s="5"/>
      <c r="G376" s="5"/>
      <c r="H376" s="5"/>
      <c r="I376" s="5"/>
      <c r="J376" s="5"/>
      <c r="K376" s="11"/>
      <c r="M376" s="5"/>
      <c r="N376" s="5"/>
      <c r="R376" s="5"/>
      <c r="W376" s="5"/>
      <c r="X376" s="5"/>
      <c r="Y376" s="5"/>
      <c r="Z376" s="5"/>
    </row>
    <row r="377" spans="1:26" x14ac:dyDescent="0.3">
      <c r="A377" s="5"/>
      <c r="B377" s="20"/>
      <c r="C377" s="25"/>
      <c r="D377" s="5"/>
      <c r="E377" s="5"/>
      <c r="F377" s="5"/>
      <c r="G377" s="5"/>
      <c r="H377" s="5"/>
      <c r="I377" s="5"/>
      <c r="J377" s="5"/>
      <c r="K377" s="11"/>
      <c r="M377" s="5"/>
      <c r="N377" s="5"/>
      <c r="R377" s="5"/>
      <c r="W377" s="5"/>
      <c r="X377" s="5"/>
      <c r="Y377" s="5"/>
      <c r="Z377" s="5"/>
    </row>
    <row r="378" spans="1:26" x14ac:dyDescent="0.3">
      <c r="A378" s="5"/>
      <c r="C378" s="25"/>
      <c r="D378" s="5"/>
      <c r="E378" s="5"/>
      <c r="F378" s="5"/>
      <c r="G378" s="5"/>
      <c r="H378" s="5"/>
      <c r="I378" s="5"/>
      <c r="J378" s="5"/>
      <c r="K378" s="11"/>
      <c r="M378" s="5"/>
      <c r="N378" s="5"/>
      <c r="R378" s="5"/>
      <c r="W378" s="5"/>
      <c r="X378" s="5"/>
      <c r="Y378" s="5"/>
      <c r="Z378" s="5"/>
    </row>
    <row r="379" spans="1:26" x14ac:dyDescent="0.3">
      <c r="A379" s="5"/>
      <c r="B379" s="20"/>
      <c r="C379" s="25"/>
      <c r="D379" s="5"/>
      <c r="E379" s="5"/>
      <c r="F379" s="5"/>
      <c r="G379" s="5"/>
      <c r="H379" s="5"/>
      <c r="I379" s="5"/>
      <c r="J379" s="5"/>
      <c r="K379" s="11"/>
      <c r="M379" s="5"/>
      <c r="N379" s="5"/>
      <c r="R379" s="5"/>
      <c r="W379" s="5"/>
      <c r="X379" s="5"/>
      <c r="Y379" s="5"/>
      <c r="Z379" s="5"/>
    </row>
    <row r="380" spans="1:26" x14ac:dyDescent="0.3">
      <c r="A380" s="5"/>
      <c r="C380" s="25"/>
      <c r="D380" s="5"/>
      <c r="E380" s="5"/>
      <c r="F380" s="5"/>
      <c r="G380" s="5"/>
      <c r="H380" s="5"/>
      <c r="I380" s="5"/>
      <c r="J380" s="5"/>
      <c r="K380" s="11"/>
      <c r="M380" s="5"/>
      <c r="N380" s="5"/>
      <c r="R380" s="5"/>
      <c r="W380" s="5"/>
      <c r="X380" s="5"/>
      <c r="Y380" s="5"/>
      <c r="Z380" s="5"/>
    </row>
    <row r="381" spans="1:26" x14ac:dyDescent="0.3">
      <c r="A381" s="5"/>
      <c r="B381" s="20"/>
      <c r="C381" s="25"/>
      <c r="D381" s="5"/>
      <c r="E381" s="5"/>
      <c r="F381" s="5"/>
      <c r="G381" s="5"/>
      <c r="H381" s="5"/>
      <c r="I381" s="5"/>
      <c r="J381" s="5"/>
      <c r="K381" s="11"/>
      <c r="M381" s="5"/>
      <c r="N381" s="5"/>
      <c r="R381" s="5"/>
      <c r="W381" s="5"/>
      <c r="X381" s="5"/>
      <c r="Y381" s="5"/>
      <c r="Z381" s="5"/>
    </row>
    <row r="382" spans="1:26" x14ac:dyDescent="0.3">
      <c r="A382" s="5"/>
      <c r="C382" s="25"/>
      <c r="D382" s="5"/>
      <c r="E382" s="5"/>
      <c r="F382" s="5"/>
      <c r="G382" s="5"/>
      <c r="H382" s="5"/>
      <c r="I382" s="5"/>
      <c r="J382" s="5"/>
      <c r="K382" s="11"/>
      <c r="M382" s="5"/>
      <c r="N382" s="5"/>
      <c r="R382" s="5"/>
      <c r="W382" s="5"/>
      <c r="X382" s="5"/>
      <c r="Y382" s="5"/>
      <c r="Z382" s="5"/>
    </row>
    <row r="383" spans="1:26" x14ac:dyDescent="0.3">
      <c r="A383" s="5"/>
      <c r="B383" s="20"/>
      <c r="C383" s="25"/>
      <c r="D383" s="5"/>
      <c r="E383" s="5"/>
      <c r="F383" s="5"/>
      <c r="G383" s="5"/>
      <c r="H383" s="5"/>
      <c r="I383" s="5"/>
      <c r="J383" s="5"/>
      <c r="K383" s="11"/>
      <c r="M383" s="5"/>
      <c r="N383" s="5"/>
      <c r="R383" s="5"/>
      <c r="W383" s="5"/>
      <c r="X383" s="5"/>
      <c r="Y383" s="5"/>
      <c r="Z383" s="5"/>
    </row>
    <row r="384" spans="1:26" x14ac:dyDescent="0.3">
      <c r="A384" s="5"/>
      <c r="C384" s="25"/>
      <c r="D384" s="5"/>
      <c r="E384" s="5"/>
      <c r="F384" s="5"/>
      <c r="G384" s="5"/>
      <c r="H384" s="5"/>
      <c r="I384" s="5"/>
      <c r="J384" s="5"/>
      <c r="K384" s="11"/>
      <c r="M384" s="5"/>
      <c r="N384" s="5"/>
      <c r="R384" s="5"/>
      <c r="W384" s="5"/>
      <c r="X384" s="5"/>
      <c r="Y384" s="5"/>
      <c r="Z384" s="5"/>
    </row>
    <row r="385" spans="1:26" x14ac:dyDescent="0.3">
      <c r="A385" s="5"/>
      <c r="B385" s="20"/>
      <c r="C385" s="25"/>
      <c r="D385" s="5"/>
      <c r="E385" s="5"/>
      <c r="F385" s="5"/>
      <c r="G385" s="5"/>
      <c r="H385" s="5"/>
      <c r="I385" s="5"/>
      <c r="J385" s="5"/>
      <c r="K385" s="11"/>
      <c r="M385" s="5"/>
      <c r="N385" s="5"/>
      <c r="R385" s="5"/>
      <c r="W385" s="5"/>
      <c r="X385" s="5"/>
      <c r="Y385" s="5"/>
      <c r="Z385" s="5"/>
    </row>
    <row r="386" spans="1:26" x14ac:dyDescent="0.3">
      <c r="A386" s="5"/>
      <c r="C386" s="25"/>
      <c r="D386" s="5"/>
      <c r="E386" s="5"/>
      <c r="F386" s="5"/>
      <c r="G386" s="5"/>
      <c r="H386" s="5"/>
      <c r="I386" s="5"/>
      <c r="J386" s="5"/>
      <c r="K386" s="11"/>
      <c r="M386" s="5"/>
      <c r="N386" s="5"/>
      <c r="R386" s="5"/>
      <c r="W386" s="5"/>
      <c r="X386" s="5"/>
      <c r="Y386" s="5"/>
      <c r="Z386" s="5"/>
    </row>
    <row r="387" spans="1:26" x14ac:dyDescent="0.3">
      <c r="A387" s="5"/>
      <c r="B387" s="20"/>
      <c r="C387" s="25"/>
      <c r="D387" s="5"/>
      <c r="E387" s="5"/>
      <c r="F387" s="5"/>
      <c r="G387" s="5"/>
      <c r="H387" s="5"/>
      <c r="I387" s="5"/>
      <c r="J387" s="5"/>
      <c r="K387" s="11"/>
      <c r="M387" s="5"/>
      <c r="N387" s="5"/>
      <c r="R387" s="5"/>
      <c r="W387" s="5"/>
      <c r="X387" s="5"/>
      <c r="Y387" s="5"/>
      <c r="Z387" s="5"/>
    </row>
    <row r="388" spans="1:26" x14ac:dyDescent="0.3">
      <c r="A388" s="5"/>
      <c r="C388" s="25"/>
      <c r="D388" s="5"/>
      <c r="E388" s="5"/>
      <c r="F388" s="5"/>
      <c r="G388" s="5"/>
      <c r="H388" s="5"/>
      <c r="I388" s="5"/>
      <c r="J388" s="5"/>
      <c r="K388" s="11"/>
      <c r="M388" s="5"/>
      <c r="N388" s="5"/>
      <c r="R388" s="5"/>
      <c r="W388" s="5"/>
      <c r="X388" s="5"/>
      <c r="Y388" s="5"/>
      <c r="Z388" s="5"/>
    </row>
    <row r="389" spans="1:26" x14ac:dyDescent="0.3">
      <c r="A389" s="5"/>
      <c r="B389" s="20"/>
      <c r="C389" s="25"/>
      <c r="D389" s="5"/>
      <c r="E389" s="5"/>
      <c r="F389" s="5"/>
      <c r="G389" s="5"/>
      <c r="H389" s="5"/>
      <c r="I389" s="5"/>
      <c r="J389" s="5"/>
      <c r="K389" s="11"/>
      <c r="M389" s="5"/>
      <c r="N389" s="5"/>
      <c r="R389" s="5"/>
      <c r="W389" s="5"/>
      <c r="X389" s="5"/>
      <c r="Y389" s="5"/>
      <c r="Z389" s="5"/>
    </row>
    <row r="390" spans="1:26" x14ac:dyDescent="0.3">
      <c r="A390" s="5"/>
      <c r="C390" s="25"/>
      <c r="D390" s="5"/>
      <c r="E390" s="5"/>
      <c r="F390" s="5"/>
      <c r="G390" s="5"/>
      <c r="H390" s="5"/>
      <c r="I390" s="5"/>
      <c r="J390" s="5"/>
      <c r="K390" s="11"/>
      <c r="M390" s="5"/>
      <c r="N390" s="5"/>
      <c r="R390" s="5"/>
      <c r="W390" s="5"/>
      <c r="X390" s="5"/>
      <c r="Y390" s="5"/>
      <c r="Z390" s="5"/>
    </row>
    <row r="391" spans="1:26" x14ac:dyDescent="0.3">
      <c r="A391" s="5"/>
      <c r="B391" s="20"/>
      <c r="C391" s="25"/>
      <c r="D391" s="5"/>
      <c r="E391" s="5"/>
      <c r="F391" s="5"/>
      <c r="G391" s="5"/>
      <c r="H391" s="5"/>
      <c r="I391" s="5"/>
      <c r="J391" s="5"/>
      <c r="K391" s="11"/>
      <c r="M391" s="5"/>
      <c r="N391" s="5"/>
      <c r="R391" s="5"/>
      <c r="W391" s="5"/>
      <c r="X391" s="5"/>
      <c r="Y391" s="5"/>
      <c r="Z391" s="5"/>
    </row>
    <row r="392" spans="1:26" x14ac:dyDescent="0.3">
      <c r="A392" s="5"/>
      <c r="C392" s="25"/>
      <c r="D392" s="5"/>
      <c r="E392" s="5"/>
      <c r="F392" s="5"/>
      <c r="G392" s="5"/>
      <c r="H392" s="5"/>
      <c r="I392" s="5"/>
      <c r="J392" s="5"/>
      <c r="K392" s="11"/>
      <c r="M392" s="5"/>
      <c r="N392" s="5"/>
      <c r="R392" s="5"/>
      <c r="W392" s="5"/>
      <c r="X392" s="5"/>
      <c r="Y392" s="5"/>
      <c r="Z392" s="5"/>
    </row>
    <row r="393" spans="1:26" x14ac:dyDescent="0.3">
      <c r="A393" s="5"/>
      <c r="B393" s="20"/>
      <c r="C393" s="25"/>
      <c r="D393" s="5"/>
      <c r="E393" s="5"/>
      <c r="F393" s="5"/>
      <c r="G393" s="5"/>
      <c r="H393" s="5"/>
      <c r="I393" s="5"/>
      <c r="J393" s="5"/>
      <c r="K393" s="11"/>
      <c r="M393" s="5"/>
      <c r="N393" s="5"/>
      <c r="R393" s="5"/>
      <c r="W393" s="5"/>
      <c r="X393" s="5"/>
      <c r="Y393" s="5"/>
      <c r="Z393" s="5"/>
    </row>
    <row r="394" spans="1:26" x14ac:dyDescent="0.3">
      <c r="A394" s="5"/>
      <c r="C394" s="25"/>
      <c r="D394" s="5"/>
      <c r="E394" s="5"/>
      <c r="F394" s="5"/>
      <c r="G394" s="5"/>
      <c r="H394" s="5"/>
      <c r="I394" s="5"/>
      <c r="J394" s="5"/>
      <c r="K394" s="11"/>
      <c r="M394" s="5"/>
      <c r="N394" s="5"/>
      <c r="R394" s="5"/>
      <c r="W394" s="5"/>
      <c r="X394" s="5"/>
      <c r="Y394" s="5"/>
      <c r="Z394" s="5"/>
    </row>
    <row r="395" spans="1:26" x14ac:dyDescent="0.3">
      <c r="A395" s="5"/>
      <c r="B395" s="20"/>
      <c r="C395" s="25"/>
      <c r="D395" s="5"/>
      <c r="E395" s="5"/>
      <c r="F395" s="5"/>
      <c r="G395" s="5"/>
      <c r="H395" s="5"/>
      <c r="I395" s="5"/>
      <c r="J395" s="5"/>
      <c r="K395" s="11"/>
      <c r="M395" s="5"/>
      <c r="N395" s="5"/>
      <c r="R395" s="5"/>
      <c r="W395" s="5"/>
      <c r="X395" s="5"/>
      <c r="Y395" s="5"/>
      <c r="Z395" s="5"/>
    </row>
  </sheetData>
  <phoneticPr fontId="4" type="noConversion"/>
  <conditionalFormatting sqref="O11:Q11">
    <cfRule type="expression" dxfId="40" priority="40">
      <formula>$D11="01. Installation Completed"</formula>
    </cfRule>
  </conditionalFormatting>
  <conditionalFormatting sqref="O17:Q17">
    <cfRule type="expression" dxfId="39" priority="39">
      <formula>$D17="01. Installation Completed"</formula>
    </cfRule>
  </conditionalFormatting>
  <conditionalFormatting sqref="O115:Q119 R115:S120 Q120 R122:S122 R124:S124 R127 R131:R132 R137:R139 R143 R150:R152 R157 R159 Q162:R163 Q196">
    <cfRule type="expression" dxfId="38" priority="42">
      <formula>$D114="01. Installation Completed"</formula>
    </cfRule>
  </conditionalFormatting>
  <conditionalFormatting sqref="O9:S9 R11:S11 R17:S17">
    <cfRule type="expression" dxfId="37" priority="41">
      <formula>$D9="01. Installation Completed"</formula>
    </cfRule>
  </conditionalFormatting>
  <conditionalFormatting sqref="Q122">
    <cfRule type="expression" dxfId="36" priority="37">
      <formula>$D121="01. Installation Completed"</formula>
    </cfRule>
  </conditionalFormatting>
  <conditionalFormatting sqref="Q124">
    <cfRule type="expression" dxfId="35" priority="36">
      <formula>$D123="01. Installation Completed"</formula>
    </cfRule>
  </conditionalFormatting>
  <conditionalFormatting sqref="Q127">
    <cfRule type="expression" dxfId="34" priority="35">
      <formula>$D126="01. Installation Completed"</formula>
    </cfRule>
  </conditionalFormatting>
  <conditionalFormatting sqref="Q131:Q132">
    <cfRule type="expression" dxfId="33" priority="34">
      <formula>$D130="01. Installation Completed"</formula>
    </cfRule>
  </conditionalFormatting>
  <conditionalFormatting sqref="Q137:Q139">
    <cfRule type="expression" dxfId="32" priority="32">
      <formula>$D136="01. Installation Completed"</formula>
    </cfRule>
  </conditionalFormatting>
  <conditionalFormatting sqref="Q143">
    <cfRule type="expression" dxfId="31" priority="31">
      <formula>$D142="01. Installation Completed"</formula>
    </cfRule>
  </conditionalFormatting>
  <conditionalFormatting sqref="Q148">
    <cfRule type="expression" dxfId="30" priority="13">
      <formula>$D147="01. Installation Completed"</formula>
    </cfRule>
  </conditionalFormatting>
  <conditionalFormatting sqref="Q150:Q152">
    <cfRule type="expression" dxfId="29" priority="25">
      <formula>$D149="01. Installation Completed"</formula>
    </cfRule>
  </conditionalFormatting>
  <conditionalFormatting sqref="Q157">
    <cfRule type="expression" dxfId="28" priority="24">
      <formula>$D156="01. Installation Completed"</formula>
    </cfRule>
  </conditionalFormatting>
  <conditionalFormatting sqref="Q159">
    <cfRule type="expression" dxfId="27" priority="23">
      <formula>$D158="01. Installation Completed"</formula>
    </cfRule>
  </conditionalFormatting>
  <conditionalFormatting sqref="Q181">
    <cfRule type="expression" dxfId="26" priority="22">
      <formula>$D167="01. Installation Completed"</formula>
    </cfRule>
  </conditionalFormatting>
  <conditionalFormatting sqref="Q184:Q185 Q246:Q248 Q250:Q252">
    <cfRule type="expression" dxfId="25" priority="30">
      <formula>$D172="01. Installation Completed"</formula>
    </cfRule>
  </conditionalFormatting>
  <conditionalFormatting sqref="Q188">
    <cfRule type="expression" dxfId="24" priority="20">
      <formula>$D187="01. Installation Completed"</formula>
    </cfRule>
  </conditionalFormatting>
  <conditionalFormatting sqref="Q192">
    <cfRule type="expression" dxfId="23" priority="19">
      <formula>$D191="01. Installation Completed"</formula>
    </cfRule>
  </conditionalFormatting>
  <conditionalFormatting sqref="Q206">
    <cfRule type="expression" dxfId="22" priority="16">
      <formula>$D194="01. Installation Completed"</formula>
    </cfRule>
  </conditionalFormatting>
  <conditionalFormatting sqref="Q222">
    <cfRule type="expression" dxfId="21" priority="15">
      <formula>$D210="01. Installation Completed"</formula>
    </cfRule>
  </conditionalFormatting>
  <conditionalFormatting sqref="Q228:Q229">
    <cfRule type="expression" dxfId="20" priority="14">
      <formula>$D216="01. Installation Completed"</formula>
    </cfRule>
  </conditionalFormatting>
  <conditionalFormatting sqref="Q233">
    <cfRule type="expression" dxfId="19" priority="12">
      <formula>$D220="01. Installation Completed"</formula>
    </cfRule>
  </conditionalFormatting>
  <conditionalFormatting sqref="Q238">
    <cfRule type="expression" dxfId="18" priority="11">
      <formula>$D226="01. Installation Completed"</formula>
    </cfRule>
  </conditionalFormatting>
  <conditionalFormatting sqref="Q242">
    <cfRule type="expression" dxfId="17" priority="10">
      <formula>$D230="01. Installation Completed"</formula>
    </cfRule>
  </conditionalFormatting>
  <conditionalFormatting sqref="Q254">
    <cfRule type="expression" dxfId="16" priority="49">
      <formula>$D238="01. Installation Completed"</formula>
    </cfRule>
  </conditionalFormatting>
  <conditionalFormatting sqref="Q255:Q256">
    <cfRule type="expression" dxfId="15" priority="7">
      <formula>$D242="01. Installation Completed"</formula>
    </cfRule>
  </conditionalFormatting>
  <conditionalFormatting sqref="Q259:Q260">
    <cfRule type="expression" dxfId="14" priority="6">
      <formula>$D246="01. Installation Completed"</formula>
    </cfRule>
  </conditionalFormatting>
  <conditionalFormatting sqref="Q262">
    <cfRule type="expression" dxfId="13" priority="5">
      <formula>$D249="01. Installation Completed"</formula>
    </cfRule>
  </conditionalFormatting>
  <conditionalFormatting sqref="Q269:Q271">
    <cfRule type="expression" dxfId="12" priority="4">
      <formula>$D256="01. Installation Completed"</formula>
    </cfRule>
  </conditionalFormatting>
  <conditionalFormatting sqref="Q286">
    <cfRule type="expression" dxfId="11" priority="3">
      <formula>$D273="01. Installation Completed"</formula>
    </cfRule>
  </conditionalFormatting>
  <conditionalFormatting sqref="Q292">
    <cfRule type="expression" dxfId="10" priority="45">
      <formula>$D270="01. Installation Completed"</formula>
    </cfRule>
  </conditionalFormatting>
  <conditionalFormatting sqref="Q293:Q294">
    <cfRule type="expression" dxfId="9" priority="2">
      <formula>$D281="01. Installation Completed"</formula>
    </cfRule>
  </conditionalFormatting>
  <conditionalFormatting sqref="Q311">
    <cfRule type="expression" dxfId="8" priority="1">
      <formula>$D299="01. Installation Completed"</formula>
    </cfRule>
  </conditionalFormatting>
  <conditionalFormatting sqref="Q136:R136">
    <cfRule type="expression" dxfId="7" priority="43">
      <formula>$D134="01. Installation Completed"</formula>
    </cfRule>
  </conditionalFormatting>
  <conditionalFormatting sqref="Q160:R160 Q208">
    <cfRule type="expression" dxfId="6" priority="17">
      <formula>$D147="01. Installation Completed"</formula>
    </cfRule>
  </conditionalFormatting>
  <hyperlinks>
    <hyperlink ref="V120" r:id="rId1" xr:uid="{89B1ADB9-EC56-4EC6-9A4B-A537B9FBF924}"/>
    <hyperlink ref="V123" r:id="rId2" xr:uid="{8E2590AF-C2F0-4622-8464-DB7EFC568109}"/>
    <hyperlink ref="V124" r:id="rId3" xr:uid="{C5BA0F6B-F00F-49A4-8768-F208C484EA94}"/>
    <hyperlink ref="V122" r:id="rId4" xr:uid="{F6ECCC43-4180-4E30-92F5-9D706642D715}"/>
    <hyperlink ref="V125" r:id="rId5" xr:uid="{2AF9F1C4-3A58-41D5-ACCD-1ABA2831B73E}"/>
    <hyperlink ref="V126" r:id="rId6" xr:uid="{44F817E2-8BE0-4834-A785-020701A84454}"/>
    <hyperlink ref="V127" r:id="rId7" xr:uid="{7F35959E-8578-4D31-878E-F0B25119956F}"/>
    <hyperlink ref="V128" r:id="rId8" xr:uid="{D8E3A607-3C16-4111-BC61-B429F8D71BB8}"/>
    <hyperlink ref="V129" r:id="rId9" xr:uid="{522BA188-6E73-4B5C-92EF-F6401AADF114}"/>
    <hyperlink ref="V130" r:id="rId10" xr:uid="{C0C391D4-43C0-425B-BDF4-621E5F83EF38}"/>
    <hyperlink ref="V136" r:id="rId11" xr:uid="{34BD6BB9-9171-4621-B094-CC73C8D36F0D}"/>
    <hyperlink ref="V137" r:id="rId12" xr:uid="{CAA7E21B-E8A8-44CE-8DA4-305BF0972C96}"/>
    <hyperlink ref="V140" r:id="rId13" xr:uid="{165AC6D1-3277-48B2-A567-93B9DFADE837}"/>
    <hyperlink ref="V143" r:id="rId14" xr:uid="{77C56BC3-9FAD-4DD7-9518-714C85601F47}"/>
    <hyperlink ref="V144" r:id="rId15" xr:uid="{DE009BB6-1E60-449E-A7F6-277FC9F66EBE}"/>
    <hyperlink ref="V146" r:id="rId16" xr:uid="{F004CB49-15C8-4FC9-B434-E5CF414D7817}"/>
    <hyperlink ref="V147" r:id="rId17" xr:uid="{34B956BF-29E5-4F49-90A5-AC5EB7C44D92}"/>
    <hyperlink ref="V160" r:id="rId18" xr:uid="{954A4CB8-5C1B-4602-ADC8-30C32774A886}"/>
    <hyperlink ref="V161" r:id="rId19" xr:uid="{9737BF40-59C1-4C33-8B9C-6B9707C66689}"/>
    <hyperlink ref="V162" r:id="rId20" xr:uid="{15EFAF2A-2868-4B2D-B8A9-66B65F94222C}"/>
    <hyperlink ref="V163" r:id="rId21" xr:uid="{39CA9FBC-B567-499E-91FD-E4709658D606}"/>
    <hyperlink ref="V164" r:id="rId22" xr:uid="{E25A6BDA-9F08-400C-AA17-478173710BE8}"/>
    <hyperlink ref="V165" r:id="rId23" xr:uid="{3041C5D0-7FF8-465B-B61C-705E16464FD8}"/>
    <hyperlink ref="V152" r:id="rId24" xr:uid="{FE21E2F0-BE8B-4057-9916-47E3DDF101EF}"/>
    <hyperlink ref="V153" r:id="rId25" xr:uid="{A5FD7040-57BA-4BD5-BB90-A52835A04B78}"/>
    <hyperlink ref="V155" r:id="rId26" xr:uid="{9AEFB438-8320-461C-956D-A7200E80D559}"/>
    <hyperlink ref="V156" r:id="rId27" xr:uid="{320C31ED-FED5-4370-8B25-A78E04FD89BC}"/>
    <hyperlink ref="V17" r:id="rId28" xr:uid="{1CF57439-70ED-4552-9052-B955C345AEF1}"/>
    <hyperlink ref="V18" r:id="rId29" xr:uid="{D79E64B6-1869-4104-BF89-EB6B4D1B4F09}"/>
    <hyperlink ref="V20" r:id="rId30" xr:uid="{37BFD1CD-42C8-49F0-A257-3737550D8573}"/>
    <hyperlink ref="V21" r:id="rId31" xr:uid="{8ECCEB55-FB52-4C94-B9EE-364CB6443106}"/>
    <hyperlink ref="V22" r:id="rId32" xr:uid="{223A9C1C-2D94-4ADF-8681-D94D6F455B69}"/>
    <hyperlink ref="V30" r:id="rId33" xr:uid="{EBE20CB2-57A4-486C-AA2B-FA29FEB9E2B3}"/>
    <hyperlink ref="V31" r:id="rId34" xr:uid="{7F22B26F-CA5F-4420-BEFF-0E3BC825FB04}"/>
    <hyperlink ref="V34" r:id="rId35" xr:uid="{77883A16-1ACF-4C4A-9E18-7FD3EDD37C81}"/>
    <hyperlink ref="V35" r:id="rId36" xr:uid="{9212D770-7000-415C-B5FF-9BBB40096C9A}"/>
    <hyperlink ref="V36" r:id="rId37" xr:uid="{0C1B4394-DC7A-444D-AD51-0112C04C65D5}"/>
    <hyperlink ref="V39" r:id="rId38" xr:uid="{A2C92CB5-7987-455A-BD91-0077D7C8F4D2}"/>
    <hyperlink ref="V41" r:id="rId39" xr:uid="{C597F7FF-07CB-49C5-AB6C-9CF2433E2EA6}"/>
    <hyperlink ref="V46" r:id="rId40" xr:uid="{D45416AB-4189-4549-AB87-457E0A6ACD24}"/>
    <hyperlink ref="V45" r:id="rId41" xr:uid="{9525237A-60C6-41FA-88E5-8F0833D700D1}"/>
    <hyperlink ref="V44" r:id="rId42" xr:uid="{B6300DB2-041A-4301-9A36-A5C3B4725FFA}"/>
    <hyperlink ref="V43" r:id="rId43" xr:uid="{E122A1DA-BF12-4458-95A5-41FCBD1FC444}"/>
    <hyperlink ref="V47" r:id="rId44" xr:uid="{CFB0D537-A7CD-405F-B010-9BA97CE26A3D}"/>
    <hyperlink ref="V48" r:id="rId45" xr:uid="{68AAAEDE-66BF-40A7-B5D4-6618DDFF6C5A}"/>
    <hyperlink ref="V49" r:id="rId46" xr:uid="{3C5392DA-88A8-4505-BE7A-CA2B2EFC2BF7}"/>
    <hyperlink ref="V51" r:id="rId47" xr:uid="{1E8A3359-6265-452A-8AA7-6FC867779923}"/>
    <hyperlink ref="V53" r:id="rId48" xr:uid="{D2B484DC-5950-4A10-9158-7C46A2DFD17F}"/>
    <hyperlink ref="V54" r:id="rId49" xr:uid="{DD93F0D0-C43D-49EF-995E-E04888613A88}"/>
    <hyperlink ref="V55" r:id="rId50" xr:uid="{2ED737DD-6EC3-40C9-A430-1105CAEE220F}"/>
    <hyperlink ref="V60" r:id="rId51" xr:uid="{39B0A126-FD38-4AF9-92BB-BA4146DD3BFC}"/>
    <hyperlink ref="V61" r:id="rId52" xr:uid="{384212BE-ACE7-418B-9F5B-581513AE2FB0}"/>
    <hyperlink ref="V62" r:id="rId53" xr:uid="{EA4F28CA-B885-4D31-B4DE-30572642068E}"/>
    <hyperlink ref="V63" r:id="rId54" xr:uid="{1C911340-2D54-4511-9524-B72FEF53A521}"/>
    <hyperlink ref="V64" r:id="rId55" xr:uid="{3587BFAF-B1F8-4560-AE43-5CC72F18E683}"/>
    <hyperlink ref="V65" r:id="rId56" xr:uid="{1B53AF29-5CFB-4DC7-92C2-5A442AB5E96E}"/>
    <hyperlink ref="V66" r:id="rId57" xr:uid="{23A23CF6-D449-499B-A33F-00D1AB74151E}"/>
    <hyperlink ref="V67" r:id="rId58" xr:uid="{FD44096F-C097-444D-AA64-2ED2229E2375}"/>
    <hyperlink ref="V69" r:id="rId59" xr:uid="{F10FA61A-4EBE-4596-81DF-F51F6491D2D2}"/>
    <hyperlink ref="V73" r:id="rId60" xr:uid="{CD86EAE2-33F1-42BA-A73D-64C5B079BEB0}"/>
    <hyperlink ref="V74" r:id="rId61" xr:uid="{867BFCDC-EDB6-443C-AEF3-CB7582AAED86}"/>
    <hyperlink ref="V75" r:id="rId62" xr:uid="{DE134056-0C37-4835-AD3E-0DC493FC0A9E}"/>
    <hyperlink ref="V76" r:id="rId63" xr:uid="{56B5C0A6-6289-427E-AAC3-9F34F385030E}"/>
    <hyperlink ref="V77" r:id="rId64" xr:uid="{3743E6B3-4DCD-4DF4-A4B8-82AB12010169}"/>
    <hyperlink ref="V83" r:id="rId65" xr:uid="{233953F7-C466-4928-A628-EB1B69E87EA6}"/>
    <hyperlink ref="V84" r:id="rId66" xr:uid="{EED17338-F00D-4519-AA74-B77EA468F6C0}"/>
    <hyperlink ref="V86" r:id="rId67" xr:uid="{05E1712F-251A-48CA-B310-CA1923C87348}"/>
    <hyperlink ref="V87" r:id="rId68" xr:uid="{546F2341-F3CE-45FE-9A69-189B8AD243B0}"/>
    <hyperlink ref="V88" r:id="rId69" xr:uid="{E29063FD-D512-4030-8FA3-437D06FA0242}"/>
    <hyperlink ref="V90" r:id="rId70" xr:uid="{DB606848-E5EA-4ABB-8FBA-2E05473C1306}"/>
    <hyperlink ref="V92" r:id="rId71" xr:uid="{F7DF181A-937B-47F7-A3F7-C4B7FC52040C}"/>
    <hyperlink ref="V94" r:id="rId72" xr:uid="{C7A77008-82F1-4A27-9330-ED30C85AD457}"/>
    <hyperlink ref="V93" r:id="rId73" xr:uid="{4C357846-688D-42C3-8F94-70CFBD0AF110}"/>
    <hyperlink ref="V95" r:id="rId74" xr:uid="{6CC483B2-D318-48EC-9625-8372F47957BF}"/>
    <hyperlink ref="V97" r:id="rId75" xr:uid="{7FDDA5BB-4EC1-4256-995E-A775EDB0D046}"/>
    <hyperlink ref="V100" r:id="rId76" xr:uid="{FC615CDE-E231-44D4-AFFD-2205FA9CFB06}"/>
    <hyperlink ref="V101" r:id="rId77" xr:uid="{2E4110E7-F8C5-46FC-BFBB-E0820A9140AA}"/>
    <hyperlink ref="V102" r:id="rId78" xr:uid="{63ABC83D-8F58-4726-83F6-EB0596BBBC84}"/>
    <hyperlink ref="V106" r:id="rId79" xr:uid="{B3D0A38E-B525-4D98-ADE8-22965BD9FA18}"/>
    <hyperlink ref="V107" r:id="rId80" xr:uid="{82F716F2-CEFB-42F8-8779-14CF778BAF59}"/>
    <hyperlink ref="V119" r:id="rId81" xr:uid="{F5E56B0D-768C-4CB2-B7D7-F054DFBD15BD}"/>
    <hyperlink ref="W118" r:id="rId82" display="allyssa_pinky@hotmail.com" xr:uid="{8CA1E6DD-F245-4654-90C1-C0FD65232E3F}"/>
    <hyperlink ref="V118" r:id="rId83" xr:uid="{8CA1E6DD-F245-4654-90C1-C0FD65232E3F}"/>
    <hyperlink ref="V112" r:id="rId84" xr:uid="{FFE1F3B5-36FC-42BC-BEB5-D56158979C0E}"/>
    <hyperlink ref="V113" r:id="rId85" xr:uid="{3CF0E8A5-6043-4C67-8268-F2860C7AA642}"/>
    <hyperlink ref="V115" r:id="rId86" xr:uid="{E8665762-9AB5-46A7-B90E-43B7863548CB}"/>
    <hyperlink ref="V116" r:id="rId87" xr:uid="{4E8333A6-8098-41D7-8FDA-F8E59C63B8E7}"/>
    <hyperlink ref="V114" r:id="rId88" xr:uid="{B4AC9DBC-C1B2-4068-AC5A-89972667ED56}"/>
    <hyperlink ref="V109" r:id="rId89" xr:uid="{F97FD9EE-CEC9-4A1C-A373-6C827E8994E3}"/>
    <hyperlink ref="V110" r:id="rId90" xr:uid="{34B7CBB6-599D-41D4-8B72-CFDD21806AA3}"/>
    <hyperlink ref="V25" r:id="rId91" xr:uid="{6A315FEA-588F-4546-B95B-BF1154707F8B}"/>
    <hyperlink ref="V6" r:id="rId92" xr:uid="{A70DD937-B134-47F2-856B-C283880A1C2D}"/>
    <hyperlink ref="V81" r:id="rId93" xr:uid="{8D884833-F955-4AC0-8377-D97E5E7F3275}"/>
    <hyperlink ref="V79" r:id="rId94" xr:uid="{280886C4-51D7-4252-984C-4B4DE306B219}"/>
    <hyperlink ref="V80" r:id="rId95" xr:uid="{0520A865-CEE0-4502-B912-F0DE0961318C}"/>
    <hyperlink ref="V5" r:id="rId96" xr:uid="{FBE870BB-9788-4B2D-846B-31A5C21AFAF0}"/>
    <hyperlink ref="V7" r:id="rId97" xr:uid="{9158DCA9-334D-4DD4-BA89-849C2660D329}"/>
    <hyperlink ref="V8" r:id="rId98" xr:uid="{A32240DA-4DF1-4A55-9DFC-45FBF6997059}"/>
    <hyperlink ref="V9" r:id="rId99" xr:uid="{63722B5F-FAF8-4530-A481-15AAA1BF43C6}"/>
    <hyperlink ref="V12" r:id="rId100" xr:uid="{85DD6024-6A05-4579-BE40-6820C730D0B8}"/>
    <hyperlink ref="V15" r:id="rId101" xr:uid="{8DD396E6-3F74-4363-AAB4-7F0134FD5CB0}"/>
    <hyperlink ref="V16" r:id="rId102" xr:uid="{B899357B-1216-4BC3-B880-56626F5E86F1}"/>
    <hyperlink ref="V19" r:id="rId103" xr:uid="{3B76A21A-2E8C-4FBB-A288-3289B6FF6B8D}"/>
    <hyperlink ref="V98" r:id="rId104" xr:uid="{8E4778E9-3013-4605-9573-57758ACD1B95}"/>
    <hyperlink ref="V108" r:id="rId105" xr:uid="{4E9BA185-724D-4AB2-AF9A-E582DC8FF86F}"/>
    <hyperlink ref="V111" r:id="rId106" xr:uid="{5BFC2959-812A-431C-B3B2-A90927655EC3}"/>
    <hyperlink ref="V89" r:id="rId107" xr:uid="{366D05AB-2702-4D53-9EB7-BCF00E4CD1E0}"/>
    <hyperlink ref="V85" r:id="rId108" xr:uid="{4B27019D-4398-4ED8-919F-064E8D936796}"/>
    <hyperlink ref="V82" r:id="rId109" xr:uid="{D78BA3AD-BF1F-46B1-8A0D-8BEE9B802A51}"/>
    <hyperlink ref="V166" r:id="rId110" xr:uid="{BB5AC54C-B4D9-43E0-9EE1-29F88A5BE4C5}"/>
    <hyperlink ref="V167" r:id="rId111" xr:uid="{63C20A4A-3D25-4672-BB61-6443B95C6D19}"/>
    <hyperlink ref="V168" r:id="rId112" xr:uid="{D0CBF9CB-65A9-4EFA-B697-F24CAD87CD49}"/>
    <hyperlink ref="V179" r:id="rId113" xr:uid="{24039112-5A71-4D10-96AC-A44C52E0DE34}"/>
    <hyperlink ref="V180" r:id="rId114" xr:uid="{E85FB909-9BAF-4375-8B90-AAFD40BD5F19}"/>
    <hyperlink ref="V182" r:id="rId115" xr:uid="{2EB541A7-1A32-492E-8596-6E2FA7D9A4B8}"/>
    <hyperlink ref="V183" r:id="rId116" xr:uid="{14C12AB4-4916-467D-A20F-A59AF69E1C8A}"/>
    <hyperlink ref="V40" r:id="rId117" xr:uid="{D4310ADD-C7CE-4F14-A039-502A2B130273}"/>
    <hyperlink ref="V193" r:id="rId118" display="soum.ski6@gmail.com" xr:uid="{05DBA2A2-5E68-47F1-B401-F98D99631EF1}"/>
    <hyperlink ref="V187" r:id="rId119" xr:uid="{2132F761-905F-44D4-9DFD-5D1EB90B2501}"/>
    <hyperlink ref="V23" r:id="rId120" display="mailto:winneengoh@gmail.com" xr:uid="{EC6F924A-182F-43F5-8311-B49C4B546C52}"/>
    <hyperlink ref="V208" r:id="rId121" xr:uid="{B9277DDF-6E2F-4486-8AF7-048DC4289CD9}"/>
    <hyperlink ref="V210" r:id="rId122" xr:uid="{B8E580E4-A78A-4666-8F40-3FD21354D776}"/>
    <hyperlink ref="V214" r:id="rId123" xr:uid="{42E9F7A9-5F3E-42C8-B4DA-D0AF64F6D873}"/>
    <hyperlink ref="V201" r:id="rId124" xr:uid="{7235B2A1-86FD-46D8-B690-EE9587F8C9CF}"/>
    <hyperlink ref="V218" r:id="rId125" xr:uid="{ACA129C8-5008-4EC9-9DBF-46E733CF9CF9}"/>
    <hyperlink ref="V202" r:id="rId126" xr:uid="{7C1C3509-FF50-4CC7-844B-03972370B88E}"/>
    <hyperlink ref="V203" r:id="rId127" xr:uid="{C8F675BA-D009-46EC-9AA0-0B53E6683718}"/>
    <hyperlink ref="V204" r:id="rId128" xr:uid="{2FB453CB-1FAB-470B-8FA0-20C7EF57A623}"/>
    <hyperlink ref="V223" r:id="rId129" xr:uid="{DD9C48B3-9B2E-4C06-945F-78993C384539}"/>
    <hyperlink ref="V225" r:id="rId130" xr:uid="{5F969837-7DC2-476D-AE11-EF2BBD95A9EE}"/>
    <hyperlink ref="V226" r:id="rId131" xr:uid="{BEA9FC85-01D7-49AC-A7BB-B586048B9C3C}"/>
    <hyperlink ref="V227" r:id="rId132" xr:uid="{27A31501-ACB3-4010-AE67-73D4E744D74E}"/>
    <hyperlink ref="V228" r:id="rId133" xr:uid="{534F88E0-4FA2-4163-AB5D-CEDA1790B5A4}"/>
    <hyperlink ref="V229" r:id="rId134" xr:uid="{5DDC52D5-B0B4-4ACE-AA64-699E7B0B437A}"/>
    <hyperlink ref="V231" r:id="rId135" xr:uid="{66FB373C-65F7-4A2A-9556-E8E5732EF01E}"/>
    <hyperlink ref="V238" r:id="rId136" xr:uid="{66E3E413-DEE7-46AE-B26E-3D532D396E9E}"/>
    <hyperlink ref="V239" r:id="rId137" xr:uid="{1CE92977-50E7-499D-84E0-5A940C2CCC43}"/>
    <hyperlink ref="V240" r:id="rId138" xr:uid="{8FF629D4-30CF-482C-B528-40ECBD02F31C}"/>
    <hyperlink ref="V241" r:id="rId139" xr:uid="{5706524F-8AAF-4722-8EFD-93796434505A}"/>
    <hyperlink ref="V242" r:id="rId140" xr:uid="{0767C8C3-6BBD-494D-8FD8-315A8F2CA2D7}"/>
    <hyperlink ref="V243" r:id="rId141" xr:uid="{960ABA77-0B20-40E7-B2B9-6C19606AF0EA}"/>
    <hyperlink ref="V244" r:id="rId142" xr:uid="{1094919A-F4A4-4D97-8BEC-C327398FA356}"/>
    <hyperlink ref="V246" r:id="rId143" xr:uid="{29D811A9-734C-45F9-9581-5F0E63E9F3C6}"/>
    <hyperlink ref="V248" r:id="rId144" xr:uid="{AAE4A910-C856-47F8-AA48-AD76D9E09992}"/>
    <hyperlink ref="V249" r:id="rId145" xr:uid="{1723703A-67F3-4915-9AAE-716BD0A79C64}"/>
    <hyperlink ref="V250" r:id="rId146" xr:uid="{7D5C2905-5F04-4C20-A40F-60E73581A623}"/>
    <hyperlink ref="V38" r:id="rId147" xr:uid="{72A65991-3CD8-4705-BF16-4C654DA52206}"/>
    <hyperlink ref="V148" r:id="rId148" xr:uid="{80221E73-1EC7-4FB2-9816-B336BDFEDED5}"/>
    <hyperlink ref="V189" r:id="rId149" xr:uid="{E5F1173E-620D-451C-9AA5-54DB72E680A5}"/>
    <hyperlink ref="V192" r:id="rId150" xr:uid="{4DC22F0C-6CD0-4741-AD18-0E198EEA81AC}"/>
    <hyperlink ref="V194" r:id="rId151" xr:uid="{F9222FB7-2014-4CF2-9431-E686F5590A2F}"/>
    <hyperlink ref="V195" r:id="rId152" xr:uid="{71430928-DB80-4124-B0AF-45297A2292A3}"/>
    <hyperlink ref="V216" r:id="rId153" xr:uid="{183275F8-1EA3-42D8-9203-D5DE529838B4}"/>
    <hyperlink ref="V217" r:id="rId154" xr:uid="{1ABF6A05-D9A9-4D66-AEBC-ABD828A697AF}"/>
    <hyperlink ref="V221" r:id="rId155" xr:uid="{8516615D-FED1-4F1B-A4A9-84BF8A18C309}"/>
    <hyperlink ref="V236" r:id="rId156" xr:uid="{A7B6F570-86CF-428B-AB10-B8FB8C622072}"/>
    <hyperlink ref="V237" r:id="rId157" xr:uid="{B5D7A013-ADF0-4071-BC37-3B174D67A108}"/>
    <hyperlink ref="V254" r:id="rId158" xr:uid="{445253F7-6924-4F58-89A8-66444E16575B}"/>
    <hyperlink ref="V259" r:id="rId159" xr:uid="{4CDB20C1-A827-4B76-A00B-2722C1FB5E5D}"/>
    <hyperlink ref="V258" r:id="rId160" xr:uid="{802DA9CD-F12C-44FC-BF42-AEBC34D8B59E}"/>
    <hyperlink ref="V256" r:id="rId161" xr:uid="{42D4CB16-3697-436A-857B-F16417085084}"/>
    <hyperlink ref="V257" r:id="rId162" xr:uid="{D8A19624-9E7D-4DAE-82F9-78CCD4F18CD9}"/>
    <hyperlink ref="V260" r:id="rId163" xr:uid="{71399C53-41E1-4A79-9491-D1C8A1F50998}"/>
    <hyperlink ref="V265" r:id="rId164" xr:uid="{D86694AC-AF69-43E4-8152-73F4FB2286B3}"/>
    <hyperlink ref="V266" r:id="rId165" xr:uid="{6891EF1D-4D10-405C-9CA3-DF706B126BEE}"/>
    <hyperlink ref="V267" r:id="rId166" xr:uid="{2B483915-ACB1-4881-A282-93778CDFFB33}"/>
    <hyperlink ref="V270" r:id="rId167" xr:uid="{D2B6C53A-7046-43F1-A14D-D5EAEAFF7A5B}"/>
    <hyperlink ref="V271" r:id="rId168" xr:uid="{D180E5AF-19FB-4D5A-8A11-9F32F679D81B}"/>
    <hyperlink ref="V272" r:id="rId169" xr:uid="{69DDD384-73B7-4C4D-BBA1-A01EBD03DD69}"/>
    <hyperlink ref="V280" r:id="rId170" xr:uid="{59B1BCA9-F0BE-45FA-B997-E82AA0C900DD}"/>
    <hyperlink ref="V282" r:id="rId171" xr:uid="{81BCB37A-3E8E-4D74-BB9A-4C0FC7C75B5A}"/>
    <hyperlink ref="V285" r:id="rId172" xr:uid="{56018D07-F449-48A5-83E7-06E2A742FBE9}"/>
    <hyperlink ref="V288" r:id="rId173" xr:uid="{C056E636-364F-4D53-ADEC-7A664D393890}"/>
    <hyperlink ref="V290" r:id="rId174" xr:uid="{ABA672F7-6804-4B9D-9726-B28BD5BAE128}"/>
    <hyperlink ref="V291" r:id="rId175" xr:uid="{8FB6EB18-ED39-419A-87A9-926AB0D9CD89}"/>
    <hyperlink ref="V293" r:id="rId176" xr:uid="{B9510435-C512-45C7-9174-81B093C03510}"/>
    <hyperlink ref="V294" r:id="rId177" xr:uid="{338668D5-F92F-4DF9-8415-3FCD4F3ED0CC}"/>
    <hyperlink ref="V295" r:id="rId178" xr:uid="{C9E38D1B-F09D-4DF4-AB4E-0411924FCF4A}"/>
    <hyperlink ref="V296" r:id="rId179" xr:uid="{DE151380-A7B8-40D3-8980-BA70D338C317}"/>
    <hyperlink ref="V297" r:id="rId180" xr:uid="{992123E3-836A-4493-AA5F-CE8D982487DD}"/>
    <hyperlink ref="V298" r:id="rId181" xr:uid="{C567587F-088A-47C2-9EA0-00536E023F89}"/>
    <hyperlink ref="G3" r:id="rId182" display="https://software.wms-lite.com/main.php?route=outgoing_list/outgoing&amp;s=&amp;searchByStatus=ALL&amp;id=VFZSUmVVNVVaM28" xr:uid="{8987B751-2E9E-4F77-8C07-5AB560CD879B}"/>
    <hyperlink ref="V269" r:id="rId183" xr:uid="{555587CD-8CA4-4AEE-A8A2-275E757531AB}"/>
    <hyperlink ref="V274" r:id="rId184" xr:uid="{98D20E4A-B096-4AB1-8E9F-EDD770C48A63}"/>
    <hyperlink ref="V314" r:id="rId185" xr:uid="{8D216B59-4D42-4375-958D-066BFE3859C2}"/>
    <hyperlink ref="V306" r:id="rId186" xr:uid="{90EFA683-51AF-4E89-9E89-1DEE1BBFCE24}"/>
    <hyperlink ref="V307" r:id="rId187" xr:uid="{FEEDE36B-14F9-4038-9C6C-7A5AA5A0F443}"/>
    <hyperlink ref="V308" r:id="rId188" xr:uid="{8E9AFFAA-FD9B-40EA-AB12-B248A8B8CFE5}"/>
    <hyperlink ref="V311" r:id="rId189" xr:uid="{9C32FA97-4AC0-417F-BAFB-86A8F58E6E0E}"/>
    <hyperlink ref="V312" r:id="rId190" xr:uid="{0CAE9E24-B788-4A1F-BF39-9A391B7D78DB}"/>
    <hyperlink ref="V320" r:id="rId191" xr:uid="{33DA0390-B950-4054-9D9F-8BAECECC9021}"/>
    <hyperlink ref="V321" r:id="rId192" xr:uid="{3689C2F3-B4D9-48C6-A8FE-03176BF0408D}"/>
    <hyperlink ref="V326" r:id="rId193" xr:uid="{B0408FA1-3B7A-4998-8F6D-FD469E470529}"/>
    <hyperlink ref="V340" r:id="rId194" xr:uid="{97199A10-6B00-4D6A-91CF-B57E8F4D25A8}"/>
    <hyperlink ref="V341" r:id="rId195" xr:uid="{9F0673DE-0C28-4B60-A7CC-18E697BC329A}"/>
    <hyperlink ref="V342" r:id="rId196" xr:uid="{6AFEE766-CDFB-46DB-AE68-57E8A03FA8B9}"/>
    <hyperlink ref="V349" r:id="rId197" xr:uid="{2913092A-0036-4F8A-B44E-9D03E2963698}"/>
    <hyperlink ref="V338" r:id="rId198" xr:uid="{0C6D4320-F142-4267-8D75-813BD877EBEA}"/>
    <hyperlink ref="V273" r:id="rId199" xr:uid="{321A9EFD-6B9D-485F-A991-26166376B556}"/>
    <hyperlink ref="V343" r:id="rId200" xr:uid="{83735094-79B2-47BE-91FC-F99DD4BCAA8B}"/>
  </hyperlinks>
  <pageMargins left="0.7" right="0.7" top="0.75" bottom="0.75" header="0.3" footer="0.3"/>
  <pageSetup orientation="portrait" r:id="rId201"/>
  <legacyDrawing r:id="rId202"/>
  <tableParts count="1">
    <tablePart r:id="rId203"/>
  </tableParts>
  <extLst>
    <ext xmlns:x14="http://schemas.microsoft.com/office/spreadsheetml/2009/9/main" uri="{CCE6A557-97BC-4b89-ADB6-D9C93CAAB3DF}">
      <x14:dataValidations xmlns:xm="http://schemas.microsoft.com/office/excel/2006/main" count="11">
        <x14:dataValidation type="list" allowBlank="1" showInputMessage="1" showErrorMessage="1" xr:uid="{D80A07EE-60A4-4E0F-87D3-C6B7149611BB}">
          <x14:formula1>
            <xm:f>Data!$H$3:$H$23</xm:f>
          </x14:formula1>
          <xm:sqref>Y5:Y29 Y31:Y262 Y264:Y269 Y271:Y275 Y277:Y281 Y284:Y288 Y290:Y294 Y296:Y300 Y302 Y304 Y306 Y308 Y310 Y312 Y314 Y316 Y318 Y320 Y322 Y324 Y326 Y328 Y330 Y332 Y334 Y336 Y338 Y340 Y342 Y344 Y346 Y353 Y359 Y365 Y371 Y377 Y383 Y389 Y395 Y349 Y355 Y361 Y367 Y373 Y379 Y385 Y391 Y351 Y357 Y363 Y369 Y375 Y381 Y387 Y393</xm:sqref>
        </x14:dataValidation>
        <x14:dataValidation type="list" allowBlank="1" showInputMessage="1" showErrorMessage="1" xr:uid="{C63EC1FB-1153-4F89-B89B-0E089BFFCE19}">
          <x14:formula1>
            <xm:f>Data!$I$3:$I$20</xm:f>
          </x14:formula1>
          <xm:sqref>W188:W189 W191:W197 W199:W206 W208:W395</xm:sqref>
        </x14:dataValidation>
        <x14:dataValidation type="list" showInputMessage="1" showErrorMessage="1" xr:uid="{44F8E075-7EDB-451B-AD6A-1FEAFE1D507E}">
          <x14:formula1>
            <xm:f>Data!$B$3:$B$9</xm:f>
          </x14:formula1>
          <xm:sqref>E5:E372 E374:E395</xm:sqref>
        </x14:dataValidation>
        <x14:dataValidation type="list" allowBlank="1" showInputMessage="1" showErrorMessage="1" xr:uid="{8F68ABC0-48D5-49DE-9AC2-11002188571F}">
          <x14:formula1>
            <xm:f>Data!$G$3:$G$16</xm:f>
          </x14:formula1>
          <xm:sqref>X5:X395</xm:sqref>
        </x14:dataValidation>
        <x14:dataValidation type="list" allowBlank="1" showInputMessage="1" showErrorMessage="1" xr:uid="{B5E58CB5-5968-4572-B18C-6B3E2CA02185}">
          <x14:formula1>
            <xm:f>Data!$A$3:$A$11</xm:f>
          </x14:formula1>
          <xm:sqref>D208:D372 D376:D395</xm:sqref>
        </x14:dataValidation>
        <x14:dataValidation type="list" allowBlank="1" showInputMessage="1" showErrorMessage="1" xr:uid="{8A2E911E-6FEA-4F93-B67B-0E79E9D07191}">
          <x14:formula1>
            <xm:f>Data!$C$3:$C$7</xm:f>
          </x14:formula1>
          <xm:sqref>F208:F395</xm:sqref>
        </x14:dataValidation>
        <x14:dataValidation type="list" allowBlank="1" showInputMessage="1" showErrorMessage="1" xr:uid="{0035AB1B-36A0-49DA-AC36-D83D43BEABBE}">
          <x14:formula1>
            <xm:f>Data!$E$3:$E$18</xm:f>
          </x14:formula1>
          <xm:sqref>G208:G395</xm:sqref>
        </x14:dataValidation>
        <x14:dataValidation type="list" allowBlank="1" showInputMessage="1" showErrorMessage="1" xr:uid="{C682B7BD-96C8-4712-A44E-D2936A454ECF}">
          <x14:formula1>
            <xm:f>Data!$D$3:$D$8</xm:f>
          </x14:formula1>
          <xm:sqref>M271:M275 M277:M281 M284:M288 M290:M300 M208:M269 M332 M334 M336 M338 M340 M342 M302:M318 M320 M322 M324 M326:M328 M357 M330 M344:M346 M353 M349:M351 M355 M359:M395</xm:sqref>
        </x14:dataValidation>
        <x14:dataValidation type="list" allowBlank="1" showInputMessage="1" showErrorMessage="1" xr:uid="{2222B764-1E00-4886-B7A0-A6B2A91EEF90}">
          <x14:formula1>
            <xm:f>Data!$F$3:$F$8</xm:f>
          </x14:formula1>
          <xm:sqref>N5:N395</xm:sqref>
        </x14:dataValidation>
        <x14:dataValidation type="list" showInputMessage="1" showErrorMessage="1" xr:uid="{A6F6F0E2-22C8-4FD8-B388-A8BE26D6FC4A}">
          <x14:formula1>
            <xm:f>Data!$B$3:$B$15</xm:f>
          </x14:formula1>
          <xm:sqref>E373</xm:sqref>
        </x14:dataValidation>
        <x14:dataValidation type="list" allowBlank="1" showInputMessage="1" showErrorMessage="1" xr:uid="{B25C3DC6-6041-4D06-9E4E-EDF665CB9A29}">
          <x14:formula1>
            <xm:f>Data!$A$3:$A$15</xm:f>
          </x14:formula1>
          <xm:sqref>D373:D375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2B782-6A6E-4C1A-8123-86D1F9AE8B46}">
  <dimension ref="A2:I37"/>
  <sheetViews>
    <sheetView workbookViewId="0">
      <selection activeCell="A11" sqref="A11"/>
    </sheetView>
  </sheetViews>
  <sheetFormatPr defaultRowHeight="14.4" x14ac:dyDescent="0.3"/>
  <cols>
    <col min="1" max="4" width="15.44140625" customWidth="1"/>
    <col min="5" max="5" width="16.5546875" customWidth="1"/>
    <col min="6" max="7" width="15.44140625" customWidth="1"/>
    <col min="8" max="8" width="22.44140625" bestFit="1" customWidth="1"/>
    <col min="9" max="9" width="15.44140625" customWidth="1"/>
  </cols>
  <sheetData>
    <row r="2" spans="1:9" x14ac:dyDescent="0.3">
      <c r="A2" s="94" t="s">
        <v>46</v>
      </c>
      <c r="B2" s="94" t="s">
        <v>47</v>
      </c>
      <c r="C2" s="94" t="s">
        <v>48</v>
      </c>
      <c r="D2" s="94" t="s">
        <v>54</v>
      </c>
      <c r="E2" s="94" t="s">
        <v>49</v>
      </c>
      <c r="F2" s="94" t="s">
        <v>1791</v>
      </c>
      <c r="G2" s="94" t="s">
        <v>1792</v>
      </c>
      <c r="H2" s="94" t="s">
        <v>66</v>
      </c>
      <c r="I2" s="94" t="s">
        <v>1793</v>
      </c>
    </row>
    <row r="3" spans="1:9" x14ac:dyDescent="0.3">
      <c r="A3" t="s">
        <v>19</v>
      </c>
      <c r="B3" t="s">
        <v>71</v>
      </c>
      <c r="C3" t="s">
        <v>14</v>
      </c>
      <c r="D3" t="s">
        <v>125</v>
      </c>
      <c r="E3" s="40" t="e" vm="1">
        <v>#VALUE!</v>
      </c>
      <c r="F3" t="s">
        <v>73</v>
      </c>
      <c r="G3" t="s">
        <v>81</v>
      </c>
      <c r="H3" t="s">
        <v>109</v>
      </c>
      <c r="I3" t="s">
        <v>109</v>
      </c>
    </row>
    <row r="4" spans="1:9" x14ac:dyDescent="0.3">
      <c r="A4" t="s">
        <v>20</v>
      </c>
      <c r="B4" t="s">
        <v>124</v>
      </c>
      <c r="C4" t="s">
        <v>15</v>
      </c>
      <c r="D4" t="s">
        <v>176</v>
      </c>
      <c r="E4" s="40" t="e" vm="2">
        <v>#VALUE!</v>
      </c>
      <c r="F4" t="s">
        <v>1346</v>
      </c>
      <c r="G4" t="s">
        <v>1534</v>
      </c>
      <c r="H4" t="s">
        <v>1794</v>
      </c>
      <c r="I4" t="s">
        <v>81</v>
      </c>
    </row>
    <row r="5" spans="1:9" x14ac:dyDescent="0.3">
      <c r="A5" t="s">
        <v>17</v>
      </c>
      <c r="B5" t="s">
        <v>193</v>
      </c>
      <c r="C5" t="s">
        <v>16</v>
      </c>
      <c r="D5" t="s">
        <v>1191</v>
      </c>
      <c r="E5" s="40" t="e" vm="3">
        <v>#VALUE!</v>
      </c>
      <c r="G5" t="s">
        <v>122</v>
      </c>
      <c r="H5" t="s">
        <v>1795</v>
      </c>
      <c r="I5" t="s">
        <v>1534</v>
      </c>
    </row>
    <row r="6" spans="1:9" x14ac:dyDescent="0.3">
      <c r="A6" t="s">
        <v>22</v>
      </c>
      <c r="B6" t="s">
        <v>1796</v>
      </c>
      <c r="E6" s="40" t="e" vm="4">
        <v>#VALUE!</v>
      </c>
      <c r="G6" t="s">
        <v>1797</v>
      </c>
      <c r="H6" t="s">
        <v>1798</v>
      </c>
      <c r="I6" t="s">
        <v>965</v>
      </c>
    </row>
    <row r="7" spans="1:9" x14ac:dyDescent="0.3">
      <c r="A7" t="s">
        <v>21</v>
      </c>
      <c r="B7" t="s">
        <v>206</v>
      </c>
      <c r="E7" s="40" t="e" vm="5">
        <v>#VALUE!</v>
      </c>
      <c r="G7" t="s">
        <v>80</v>
      </c>
      <c r="H7" t="s">
        <v>204</v>
      </c>
      <c r="I7" t="s">
        <v>1797</v>
      </c>
    </row>
    <row r="8" spans="1:9" x14ac:dyDescent="0.3">
      <c r="A8" t="s">
        <v>23</v>
      </c>
      <c r="E8" s="40" t="e" vm="6">
        <v>#VALUE!</v>
      </c>
      <c r="G8" t="s">
        <v>1799</v>
      </c>
      <c r="H8" t="s">
        <v>1800</v>
      </c>
      <c r="I8" t="s">
        <v>80</v>
      </c>
    </row>
    <row r="9" spans="1:9" x14ac:dyDescent="0.3">
      <c r="E9" s="40" t="e" vm="7">
        <v>#VALUE!</v>
      </c>
      <c r="G9" t="s">
        <v>1801</v>
      </c>
      <c r="H9" t="s">
        <v>563</v>
      </c>
      <c r="I9" t="s">
        <v>1799</v>
      </c>
    </row>
    <row r="10" spans="1:9" x14ac:dyDescent="0.3">
      <c r="E10" s="40" t="e" vm="8">
        <v>#VALUE!</v>
      </c>
      <c r="G10" t="s">
        <v>1802</v>
      </c>
      <c r="H10" t="s">
        <v>1803</v>
      </c>
      <c r="I10" t="s">
        <v>1801</v>
      </c>
    </row>
    <row r="11" spans="1:9" x14ac:dyDescent="0.3">
      <c r="E11" s="40" t="e" vm="9">
        <v>#VALUE!</v>
      </c>
      <c r="G11" t="s">
        <v>1804</v>
      </c>
      <c r="H11" t="s">
        <v>1805</v>
      </c>
      <c r="I11" t="s">
        <v>1802</v>
      </c>
    </row>
    <row r="12" spans="1:9" x14ac:dyDescent="0.3">
      <c r="E12" s="40" t="e" vm="10">
        <v>#VALUE!</v>
      </c>
      <c r="G12" t="s">
        <v>1806</v>
      </c>
      <c r="H12" t="s">
        <v>1807</v>
      </c>
      <c r="I12" t="s">
        <v>1804</v>
      </c>
    </row>
    <row r="13" spans="1:9" x14ac:dyDescent="0.3">
      <c r="E13" s="40" t="e" vm="11">
        <v>#VALUE!</v>
      </c>
      <c r="H13" t="s">
        <v>1808</v>
      </c>
      <c r="I13" t="s">
        <v>1806</v>
      </c>
    </row>
    <row r="14" spans="1:9" x14ac:dyDescent="0.3">
      <c r="E14" s="40" t="e" vm="12">
        <v>#VALUE!</v>
      </c>
      <c r="H14" t="s">
        <v>1809</v>
      </c>
    </row>
    <row r="15" spans="1:9" x14ac:dyDescent="0.3">
      <c r="E15" s="15" t="e" vm="13">
        <v>#VALUE!</v>
      </c>
      <c r="H15" t="s">
        <v>1810</v>
      </c>
    </row>
    <row r="16" spans="1:9" x14ac:dyDescent="0.3">
      <c r="E16" s="15" t="e" vm="14">
        <v>#VALUE!</v>
      </c>
      <c r="H16" t="s">
        <v>1811</v>
      </c>
    </row>
    <row r="17" spans="1:8" x14ac:dyDescent="0.3">
      <c r="H17" t="s">
        <v>199</v>
      </c>
    </row>
    <row r="26" spans="1:8" x14ac:dyDescent="0.3">
      <c r="A26" t="s">
        <v>1812</v>
      </c>
    </row>
    <row r="27" spans="1:8" x14ac:dyDescent="0.3">
      <c r="A27" t="s">
        <v>1813</v>
      </c>
    </row>
    <row r="28" spans="1:8" x14ac:dyDescent="0.3">
      <c r="A28" t="s">
        <v>1814</v>
      </c>
    </row>
    <row r="29" spans="1:8" x14ac:dyDescent="0.3">
      <c r="A29" t="s">
        <v>1815</v>
      </c>
    </row>
    <row r="30" spans="1:8" x14ac:dyDescent="0.3">
      <c r="A30" t="s">
        <v>1816</v>
      </c>
    </row>
    <row r="31" spans="1:8" x14ac:dyDescent="0.3">
      <c r="A31" t="s">
        <v>1817</v>
      </c>
    </row>
    <row r="32" spans="1:8" x14ac:dyDescent="0.3">
      <c r="A32" t="s">
        <v>1818</v>
      </c>
    </row>
    <row r="33" spans="1:1" x14ac:dyDescent="0.3">
      <c r="A33" t="s">
        <v>1819</v>
      </c>
    </row>
    <row r="34" spans="1:1" x14ac:dyDescent="0.3">
      <c r="A34" t="s">
        <v>1820</v>
      </c>
    </row>
    <row r="35" spans="1:1" x14ac:dyDescent="0.3">
      <c r="A35" t="s">
        <v>1821</v>
      </c>
    </row>
    <row r="36" spans="1:1" x14ac:dyDescent="0.3">
      <c r="A36" t="s">
        <v>1822</v>
      </c>
    </row>
    <row r="37" spans="1:1" x14ac:dyDescent="0.3">
      <c r="A37" t="s">
        <v>1823</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42E5D-A908-452D-94CE-8187A50EF3AE}">
  <sheetPr codeName="Sheet2"/>
  <dimension ref="A1:AQ372"/>
  <sheetViews>
    <sheetView zoomScale="90" zoomScaleNormal="90" workbookViewId="0">
      <pane xSplit="3" ySplit="4" topLeftCell="D5" activePane="bottomRight" state="frozen"/>
      <selection pane="topRight" activeCell="D1" sqref="D1"/>
      <selection pane="bottomLeft" activeCell="A5" sqref="A5"/>
      <selection pane="bottomRight" activeCell="F16" sqref="F16"/>
    </sheetView>
  </sheetViews>
  <sheetFormatPr defaultColWidth="8.5546875" defaultRowHeight="18.75" customHeight="1" outlineLevelCol="1" x14ac:dyDescent="0.3"/>
  <cols>
    <col min="1" max="1" width="15.5546875" style="5" customWidth="1"/>
    <col min="2" max="2" width="53.44140625" style="15" bestFit="1" customWidth="1"/>
    <col min="3" max="3" width="16.44140625" style="5" bestFit="1" customWidth="1"/>
    <col min="4" max="4" width="16.44140625" style="5" customWidth="1"/>
    <col min="5" max="7" width="12.5546875" style="5" customWidth="1" outlineLevel="1"/>
    <col min="8" max="8" width="17.44140625" style="5" customWidth="1" outlineLevel="1"/>
    <col min="9" max="9" width="12.88671875" style="5" customWidth="1" outlineLevel="1"/>
    <col min="10" max="10" width="20.109375" style="14" customWidth="1" outlineLevel="1"/>
    <col min="11" max="11" width="1" style="14" customWidth="1"/>
    <col min="12" max="12" width="27" style="14" customWidth="1" outlineLevel="1"/>
    <col min="13" max="13" width="20.5546875" style="14" customWidth="1" outlineLevel="1"/>
    <col min="14" max="14" width="1.44140625" style="14" customWidth="1"/>
    <col min="15" max="15" width="21" style="14" customWidth="1" outlineLevel="1" collapsed="1"/>
    <col min="16" max="16" width="18.44140625" style="14" customWidth="1" outlineLevel="1"/>
    <col min="17" max="17" width="1.44140625" style="14" customWidth="1"/>
    <col min="18" max="18" width="17" style="111" customWidth="1" outlineLevel="1"/>
    <col min="19" max="19" width="17.44140625" style="111" customWidth="1" outlineLevel="1"/>
    <col min="20" max="20" width="27.5546875" style="14" customWidth="1" outlineLevel="1"/>
    <col min="21" max="21" width="17.44140625" style="5" customWidth="1" outlineLevel="1"/>
    <col min="22" max="27" width="17.44140625" style="5" customWidth="1"/>
    <col min="28" max="30" width="18.5546875" style="14" customWidth="1"/>
    <col min="31" max="32" width="17.44140625" style="14" customWidth="1"/>
    <col min="33" max="34" width="17.44140625" style="5" customWidth="1"/>
    <col min="35" max="35" width="1.5546875" customWidth="1"/>
    <col min="36" max="39" width="17.44140625" style="5" customWidth="1"/>
    <col min="40" max="40" width="19.44140625" style="5" customWidth="1"/>
    <col min="41" max="41" width="18.44140625" style="5" customWidth="1"/>
    <col min="42" max="42" width="17.44140625" style="111" customWidth="1"/>
    <col min="43" max="43" width="18.44140625" style="38" customWidth="1"/>
    <col min="44" max="16384" width="8.5546875" style="5"/>
  </cols>
  <sheetData>
    <row r="1" spans="1:43" ht="18.75" customHeight="1" x14ac:dyDescent="0.3">
      <c r="B1" s="14"/>
      <c r="C1" s="14"/>
      <c r="D1" s="14"/>
      <c r="E1" s="112"/>
      <c r="R1" s="14"/>
      <c r="S1" s="14"/>
      <c r="AP1" s="14"/>
    </row>
    <row r="2" spans="1:43" ht="18.75" customHeight="1" x14ac:dyDescent="0.3">
      <c r="B2" s="14"/>
      <c r="C2" s="14"/>
      <c r="D2" s="14"/>
      <c r="E2" s="38"/>
      <c r="R2" s="14"/>
      <c r="S2" s="14"/>
      <c r="AP2" s="14"/>
    </row>
    <row r="3" spans="1:43" ht="20.100000000000001" customHeight="1" x14ac:dyDescent="0.3">
      <c r="O3" s="263" t="s">
        <v>1824</v>
      </c>
      <c r="P3" s="263"/>
      <c r="R3" s="263" t="s">
        <v>1825</v>
      </c>
      <c r="S3" s="263"/>
      <c r="T3" s="263"/>
      <c r="U3" s="263"/>
      <c r="AB3" s="263" t="s">
        <v>1826</v>
      </c>
      <c r="AC3" s="263"/>
      <c r="AD3" s="263"/>
      <c r="AE3" s="263"/>
      <c r="AF3" s="263"/>
      <c r="AG3" s="263"/>
      <c r="AH3" s="263"/>
      <c r="AP3" s="14"/>
    </row>
    <row r="4" spans="1:43" ht="46.8" x14ac:dyDescent="0.3">
      <c r="A4" s="61" t="s">
        <v>43</v>
      </c>
      <c r="B4" s="61" t="s">
        <v>44</v>
      </c>
      <c r="C4" s="61" t="s">
        <v>49</v>
      </c>
      <c r="D4" s="61" t="s">
        <v>46</v>
      </c>
      <c r="E4" s="61" t="s">
        <v>47</v>
      </c>
      <c r="F4" s="61" t="s">
        <v>48</v>
      </c>
      <c r="G4" s="61" t="s">
        <v>2</v>
      </c>
      <c r="H4" s="61" t="s">
        <v>56</v>
      </c>
      <c r="I4" s="61" t="s">
        <v>57</v>
      </c>
      <c r="J4" s="61" t="s">
        <v>58</v>
      </c>
      <c r="K4" s="126"/>
      <c r="L4" s="61" t="s">
        <v>1827</v>
      </c>
      <c r="M4" s="61" t="s">
        <v>1828</v>
      </c>
      <c r="N4" s="126"/>
      <c r="O4" s="61" t="s">
        <v>1829</v>
      </c>
      <c r="P4" s="61" t="s">
        <v>1830</v>
      </c>
      <c r="Q4" s="126"/>
      <c r="R4" s="61" t="s">
        <v>1831</v>
      </c>
      <c r="S4" s="61" t="s">
        <v>1832</v>
      </c>
      <c r="T4" s="61" t="s">
        <v>1833</v>
      </c>
      <c r="U4" s="61" t="s">
        <v>1834</v>
      </c>
      <c r="V4" s="61" t="s">
        <v>1835</v>
      </c>
      <c r="W4" s="61" t="s">
        <v>1836</v>
      </c>
      <c r="X4" s="61" t="s">
        <v>1837</v>
      </c>
      <c r="Y4" s="61" t="s">
        <v>1838</v>
      </c>
      <c r="Z4" s="61" t="s">
        <v>1839</v>
      </c>
      <c r="AA4" s="61" t="s">
        <v>1840</v>
      </c>
      <c r="AB4" s="61" t="s">
        <v>1841</v>
      </c>
      <c r="AC4" s="61" t="s">
        <v>1842</v>
      </c>
      <c r="AD4" s="61" t="s">
        <v>1843</v>
      </c>
      <c r="AE4" s="61" t="s">
        <v>1844</v>
      </c>
      <c r="AF4" s="61" t="s">
        <v>1845</v>
      </c>
      <c r="AG4" s="61" t="s">
        <v>1846</v>
      </c>
      <c r="AH4" s="61" t="s">
        <v>1847</v>
      </c>
      <c r="AJ4" s="61" t="s">
        <v>1848</v>
      </c>
      <c r="AK4" s="61" t="s">
        <v>1849</v>
      </c>
      <c r="AL4" s="61" t="s">
        <v>1850</v>
      </c>
      <c r="AM4" s="61" t="s">
        <v>1851</v>
      </c>
      <c r="AP4" s="61"/>
      <c r="AQ4" s="38" t="s">
        <v>1852</v>
      </c>
    </row>
    <row r="5" spans="1:43" ht="18.75" customHeight="1" x14ac:dyDescent="0.3">
      <c r="A5" s="4">
        <v>2303005</v>
      </c>
      <c r="B5" s="110" t="s">
        <v>70</v>
      </c>
      <c r="C5" s="4" t="e" vm="15">
        <v>#VALUE!</v>
      </c>
      <c r="D5" s="4" t="s">
        <v>20</v>
      </c>
      <c r="E5" s="4" t="s">
        <v>71</v>
      </c>
      <c r="F5" s="4" t="s">
        <v>14</v>
      </c>
      <c r="G5" s="4">
        <v>8.0500000000000007</v>
      </c>
      <c r="H5" s="4" t="s">
        <v>74</v>
      </c>
      <c r="I5" s="4">
        <v>14.000000000000002</v>
      </c>
      <c r="J5" s="1" t="s">
        <v>75</v>
      </c>
      <c r="K5" s="127"/>
      <c r="L5" s="1" t="s">
        <v>1853</v>
      </c>
      <c r="M5" s="1" t="s">
        <v>2236</v>
      </c>
      <c r="N5" s="127"/>
      <c r="O5" s="1" t="s">
        <v>109</v>
      </c>
      <c r="P5" s="1" t="s">
        <v>109</v>
      </c>
      <c r="Q5" s="127"/>
      <c r="R5" s="56">
        <v>45113</v>
      </c>
      <c r="S5" s="56">
        <v>45143</v>
      </c>
      <c r="T5" s="1" t="s">
        <v>1822</v>
      </c>
      <c r="U5" s="56">
        <v>45441</v>
      </c>
      <c r="V5" s="39" t="s">
        <v>1853</v>
      </c>
      <c r="W5" s="1" t="s">
        <v>1853</v>
      </c>
      <c r="X5" s="4" t="s">
        <v>109</v>
      </c>
      <c r="Y5" s="4" t="s">
        <v>1853</v>
      </c>
      <c r="Z5" s="4" t="s">
        <v>1853</v>
      </c>
      <c r="AA5" s="4" t="s">
        <v>1853</v>
      </c>
      <c r="AB5" s="4" t="s">
        <v>1853</v>
      </c>
      <c r="AC5" s="4" t="s">
        <v>1853</v>
      </c>
      <c r="AD5" s="4" t="s">
        <v>1853</v>
      </c>
      <c r="AE5" s="4" t="s">
        <v>1853</v>
      </c>
      <c r="AF5" s="56">
        <v>45175</v>
      </c>
      <c r="AG5" s="56">
        <v>45175</v>
      </c>
      <c r="AH5" s="56">
        <v>48852</v>
      </c>
      <c r="AJ5" s="4" t="s">
        <v>109</v>
      </c>
      <c r="AK5" s="4" t="s">
        <v>109</v>
      </c>
      <c r="AL5" s="4" t="s">
        <v>109</v>
      </c>
      <c r="AM5" s="4" t="s">
        <v>109</v>
      </c>
      <c r="AP5" s="1">
        <v>30</v>
      </c>
      <c r="AQ5" s="38" t="e">
        <v>#VALUE!</v>
      </c>
    </row>
    <row r="6" spans="1:43" ht="18.75" customHeight="1" x14ac:dyDescent="0.3">
      <c r="A6" s="4">
        <v>2303006</v>
      </c>
      <c r="B6" s="110" t="s">
        <v>82</v>
      </c>
      <c r="C6" s="4" t="e" vm="15">
        <v>#VALUE!</v>
      </c>
      <c r="D6" s="4" t="s">
        <v>20</v>
      </c>
      <c r="E6" s="4" t="s">
        <v>71</v>
      </c>
      <c r="F6" s="4" t="s">
        <v>14</v>
      </c>
      <c r="G6" s="4">
        <v>12.65</v>
      </c>
      <c r="H6" s="4" t="s">
        <v>74</v>
      </c>
      <c r="I6" s="4">
        <v>22.000000000000004</v>
      </c>
      <c r="J6" s="1" t="s">
        <v>83</v>
      </c>
      <c r="K6" s="127"/>
      <c r="L6" s="1" t="s">
        <v>1853</v>
      </c>
      <c r="M6" s="1" t="s">
        <v>2237</v>
      </c>
      <c r="N6" s="127"/>
      <c r="O6" s="1" t="s">
        <v>109</v>
      </c>
      <c r="P6" s="1" t="s">
        <v>109</v>
      </c>
      <c r="Q6" s="127"/>
      <c r="R6" s="56">
        <v>45086</v>
      </c>
      <c r="S6" s="56">
        <v>45104</v>
      </c>
      <c r="T6" s="1" t="s">
        <v>1823</v>
      </c>
      <c r="U6" s="56">
        <v>45451</v>
      </c>
      <c r="V6" s="39" t="s">
        <v>1853</v>
      </c>
      <c r="W6" s="1" t="s">
        <v>1853</v>
      </c>
      <c r="X6" s="4" t="s">
        <v>109</v>
      </c>
      <c r="Y6" s="4" t="s">
        <v>1853</v>
      </c>
      <c r="Z6" s="4" t="s">
        <v>1853</v>
      </c>
      <c r="AA6" s="39" t="s">
        <v>1853</v>
      </c>
      <c r="AB6" s="1" t="s">
        <v>1853</v>
      </c>
      <c r="AC6" s="1" t="s">
        <v>1853</v>
      </c>
      <c r="AD6" s="1" t="s">
        <v>1853</v>
      </c>
      <c r="AE6" s="1" t="s">
        <v>1853</v>
      </c>
      <c r="AF6" s="56">
        <v>45226</v>
      </c>
      <c r="AG6" s="56">
        <v>45226</v>
      </c>
      <c r="AH6" s="56">
        <v>48883</v>
      </c>
      <c r="AJ6" s="4" t="s">
        <v>109</v>
      </c>
      <c r="AK6" s="4" t="s">
        <v>109</v>
      </c>
      <c r="AL6" s="4" t="s">
        <v>109</v>
      </c>
      <c r="AM6" s="4" t="s">
        <v>109</v>
      </c>
      <c r="AP6" s="1">
        <v>18</v>
      </c>
      <c r="AQ6" s="38" t="e">
        <v>#VALUE!</v>
      </c>
    </row>
    <row r="7" spans="1:43" ht="18.75" customHeight="1" x14ac:dyDescent="0.3">
      <c r="A7" s="4">
        <v>2304016</v>
      </c>
      <c r="B7" s="110" t="s">
        <v>88</v>
      </c>
      <c r="C7" s="4" t="e" vm="16">
        <v>#VALUE!</v>
      </c>
      <c r="D7" s="4" t="s">
        <v>19</v>
      </c>
      <c r="E7" s="4" t="s">
        <v>71</v>
      </c>
      <c r="F7" s="4" t="s">
        <v>15</v>
      </c>
      <c r="G7" s="4">
        <v>8.0500000000000007</v>
      </c>
      <c r="H7" s="4" t="s">
        <v>74</v>
      </c>
      <c r="I7" s="4">
        <v>14.000000000000002</v>
      </c>
      <c r="J7" s="1" t="s">
        <v>75</v>
      </c>
      <c r="K7" s="127"/>
      <c r="L7" s="1" t="s">
        <v>1853</v>
      </c>
      <c r="M7" s="1" t="s">
        <v>2236</v>
      </c>
      <c r="N7" s="127"/>
      <c r="O7" s="1" t="s">
        <v>109</v>
      </c>
      <c r="P7" s="1" t="s">
        <v>109</v>
      </c>
      <c r="Q7" s="127"/>
      <c r="R7" s="56" t="s">
        <v>109</v>
      </c>
      <c r="S7" s="56" t="s">
        <v>109</v>
      </c>
      <c r="T7" s="56" t="s">
        <v>109</v>
      </c>
      <c r="U7" s="56" t="s">
        <v>109</v>
      </c>
      <c r="V7" s="39" t="s">
        <v>1853</v>
      </c>
      <c r="W7" s="1" t="s">
        <v>1853</v>
      </c>
      <c r="X7" s="4" t="s">
        <v>109</v>
      </c>
      <c r="Y7" s="4" t="s">
        <v>1853</v>
      </c>
      <c r="Z7" s="4" t="s">
        <v>1853</v>
      </c>
      <c r="AA7" s="39" t="s">
        <v>1853</v>
      </c>
      <c r="AB7" s="39" t="s">
        <v>109</v>
      </c>
      <c r="AC7" s="39" t="s">
        <v>109</v>
      </c>
      <c r="AD7" s="39" t="s">
        <v>109</v>
      </c>
      <c r="AE7" s="39" t="s">
        <v>109</v>
      </c>
      <c r="AF7" s="39" t="s">
        <v>109</v>
      </c>
      <c r="AG7" s="39" t="s">
        <v>109</v>
      </c>
      <c r="AH7" s="39" t="s">
        <v>109</v>
      </c>
      <c r="AJ7" s="4" t="s">
        <v>109</v>
      </c>
      <c r="AK7" s="4" t="s">
        <v>109</v>
      </c>
      <c r="AL7" s="4" t="s">
        <v>109</v>
      </c>
      <c r="AM7" s="4" t="s">
        <v>109</v>
      </c>
      <c r="AP7" s="1" t="e">
        <v>#VALUE!</v>
      </c>
      <c r="AQ7" s="38" t="e">
        <v>#VALUE!</v>
      </c>
    </row>
    <row r="8" spans="1:43" ht="18.75" customHeight="1" x14ac:dyDescent="0.3">
      <c r="A8" s="4">
        <v>2305021</v>
      </c>
      <c r="B8" s="110" t="s">
        <v>93</v>
      </c>
      <c r="C8" s="4" t="e" vm="15">
        <v>#VALUE!</v>
      </c>
      <c r="D8" s="4" t="s">
        <v>20</v>
      </c>
      <c r="E8" s="4" t="s">
        <v>71</v>
      </c>
      <c r="F8" s="4" t="s">
        <v>14</v>
      </c>
      <c r="G8" s="4">
        <v>4.6500000000000004</v>
      </c>
      <c r="H8" s="4" t="s">
        <v>74</v>
      </c>
      <c r="I8" s="4">
        <v>8</v>
      </c>
      <c r="J8" s="1" t="s">
        <v>94</v>
      </c>
      <c r="K8" s="127"/>
      <c r="L8" s="1" t="s">
        <v>1853</v>
      </c>
      <c r="M8" s="1" t="s">
        <v>2237</v>
      </c>
      <c r="N8" s="127"/>
      <c r="O8" s="1" t="s">
        <v>109</v>
      </c>
      <c r="P8" s="1" t="s">
        <v>109</v>
      </c>
      <c r="Q8" s="127"/>
      <c r="R8" s="56">
        <v>45083</v>
      </c>
      <c r="S8" s="56">
        <v>45104</v>
      </c>
      <c r="T8" s="1" t="s">
        <v>1823</v>
      </c>
      <c r="U8" s="56">
        <v>45451</v>
      </c>
      <c r="V8" s="39" t="s">
        <v>1853</v>
      </c>
      <c r="W8" s="1" t="s">
        <v>1853</v>
      </c>
      <c r="X8" s="4" t="s">
        <v>109</v>
      </c>
      <c r="Y8" s="4" t="s">
        <v>1853</v>
      </c>
      <c r="Z8" s="4" t="s">
        <v>1853</v>
      </c>
      <c r="AA8" s="39" t="s">
        <v>1853</v>
      </c>
      <c r="AB8" s="1" t="s">
        <v>1853</v>
      </c>
      <c r="AC8" s="1" t="s">
        <v>1853</v>
      </c>
      <c r="AD8" s="1" t="s">
        <v>1853</v>
      </c>
      <c r="AE8" s="1" t="s">
        <v>1853</v>
      </c>
      <c r="AF8" s="56">
        <v>45182</v>
      </c>
      <c r="AG8" s="56">
        <v>45182</v>
      </c>
      <c r="AH8" s="56">
        <v>48852</v>
      </c>
      <c r="AJ8" s="4" t="s">
        <v>109</v>
      </c>
      <c r="AK8" s="4" t="s">
        <v>109</v>
      </c>
      <c r="AL8" s="4" t="s">
        <v>109</v>
      </c>
      <c r="AM8" s="4" t="s">
        <v>109</v>
      </c>
      <c r="AP8" s="1">
        <v>21</v>
      </c>
      <c r="AQ8" s="38" t="e">
        <v>#VALUE!</v>
      </c>
    </row>
    <row r="9" spans="1:43" ht="18.75" customHeight="1" x14ac:dyDescent="0.3">
      <c r="A9" s="4">
        <v>2305026</v>
      </c>
      <c r="B9" s="110" t="s">
        <v>99</v>
      </c>
      <c r="C9" s="4" t="e" vm="15">
        <v>#VALUE!</v>
      </c>
      <c r="D9" s="4" t="s">
        <v>20</v>
      </c>
      <c r="E9" s="4" t="s">
        <v>71</v>
      </c>
      <c r="F9" s="4" t="s">
        <v>14</v>
      </c>
      <c r="G9" s="4">
        <v>12.65</v>
      </c>
      <c r="H9" s="4" t="s">
        <v>74</v>
      </c>
      <c r="I9" s="4">
        <v>22</v>
      </c>
      <c r="J9" s="1" t="s">
        <v>83</v>
      </c>
      <c r="K9" s="127"/>
      <c r="L9" s="1" t="s">
        <v>1853</v>
      </c>
      <c r="M9" s="1" t="s">
        <v>2236</v>
      </c>
      <c r="N9" s="127"/>
      <c r="O9" s="1" t="s">
        <v>109</v>
      </c>
      <c r="P9" s="1" t="s">
        <v>109</v>
      </c>
      <c r="Q9" s="127"/>
      <c r="R9" s="56">
        <v>45115</v>
      </c>
      <c r="S9" s="56">
        <v>45143</v>
      </c>
      <c r="T9" s="1" t="s">
        <v>1823</v>
      </c>
      <c r="U9" s="56">
        <v>45770</v>
      </c>
      <c r="V9" s="39" t="s">
        <v>1853</v>
      </c>
      <c r="W9" s="1" t="s">
        <v>1853</v>
      </c>
      <c r="X9" s="4" t="s">
        <v>109</v>
      </c>
      <c r="Y9" s="4" t="s">
        <v>1853</v>
      </c>
      <c r="Z9" s="4" t="s">
        <v>1853</v>
      </c>
      <c r="AA9" s="39" t="s">
        <v>1853</v>
      </c>
      <c r="AB9" s="1" t="s">
        <v>1853</v>
      </c>
      <c r="AC9" s="1" t="s">
        <v>1853</v>
      </c>
      <c r="AD9" s="1" t="s">
        <v>1853</v>
      </c>
      <c r="AE9" s="1" t="s">
        <v>1853</v>
      </c>
      <c r="AF9" s="56">
        <v>45232</v>
      </c>
      <c r="AG9" s="56">
        <v>45232</v>
      </c>
      <c r="AH9" s="56">
        <v>48913</v>
      </c>
      <c r="AJ9" s="4" t="s">
        <v>109</v>
      </c>
      <c r="AK9" s="4" t="s">
        <v>109</v>
      </c>
      <c r="AL9" s="4" t="s">
        <v>109</v>
      </c>
      <c r="AM9" s="4" t="s">
        <v>109</v>
      </c>
      <c r="AP9" s="1">
        <v>28</v>
      </c>
      <c r="AQ9" s="38" t="e">
        <v>#VALUE!</v>
      </c>
    </row>
    <row r="10" spans="1:43" ht="18.75" customHeight="1" x14ac:dyDescent="0.3">
      <c r="A10" s="4">
        <v>2306033</v>
      </c>
      <c r="B10" s="110" t="s">
        <v>104</v>
      </c>
      <c r="C10" s="4" t="e" vm="17">
        <v>#VALUE!</v>
      </c>
      <c r="D10" s="4" t="s">
        <v>19</v>
      </c>
      <c r="E10" s="4" t="s">
        <v>71</v>
      </c>
      <c r="F10" s="4" t="s">
        <v>14</v>
      </c>
      <c r="G10" s="4">
        <v>4.6500000000000004</v>
      </c>
      <c r="H10" s="4" t="s">
        <v>74</v>
      </c>
      <c r="I10" s="4">
        <v>8</v>
      </c>
      <c r="J10" s="1" t="s">
        <v>94</v>
      </c>
      <c r="K10" s="127"/>
      <c r="L10" s="1" t="s">
        <v>1853</v>
      </c>
      <c r="M10" s="1" t="s">
        <v>2236</v>
      </c>
      <c r="N10" s="127"/>
      <c r="O10" s="1" t="s">
        <v>109</v>
      </c>
      <c r="P10" s="1" t="s">
        <v>109</v>
      </c>
      <c r="Q10" s="127"/>
      <c r="R10" s="56">
        <v>45086</v>
      </c>
      <c r="S10" s="56">
        <v>45104</v>
      </c>
      <c r="T10" s="1" t="s">
        <v>1823</v>
      </c>
      <c r="U10" s="56">
        <v>45451</v>
      </c>
      <c r="V10" s="39" t="s">
        <v>1853</v>
      </c>
      <c r="W10" s="1" t="s">
        <v>1853</v>
      </c>
      <c r="X10" s="4" t="s">
        <v>109</v>
      </c>
      <c r="Y10" s="4" t="s">
        <v>1853</v>
      </c>
      <c r="Z10" s="4" t="s">
        <v>1853</v>
      </c>
      <c r="AA10" s="39" t="s">
        <v>1853</v>
      </c>
      <c r="AB10" s="1" t="s">
        <v>1853</v>
      </c>
      <c r="AC10" s="1" t="s">
        <v>1853</v>
      </c>
      <c r="AD10" s="1" t="s">
        <v>1853</v>
      </c>
      <c r="AE10" s="1" t="s">
        <v>1853</v>
      </c>
      <c r="AF10" s="56">
        <v>45169</v>
      </c>
      <c r="AG10" s="56">
        <v>45169</v>
      </c>
      <c r="AH10" s="56">
        <v>48822</v>
      </c>
      <c r="AJ10" s="4" t="s">
        <v>109</v>
      </c>
      <c r="AK10" s="4" t="s">
        <v>109</v>
      </c>
      <c r="AL10" s="4" t="s">
        <v>109</v>
      </c>
      <c r="AM10" s="4" t="s">
        <v>109</v>
      </c>
      <c r="AP10" s="1">
        <v>18</v>
      </c>
      <c r="AQ10" s="38" t="e">
        <v>#VALUE!</v>
      </c>
    </row>
    <row r="11" spans="1:43" ht="18.75" customHeight="1" x14ac:dyDescent="0.3">
      <c r="A11" s="4">
        <v>2306037</v>
      </c>
      <c r="B11" s="110" t="s">
        <v>110</v>
      </c>
      <c r="C11" s="4" t="e" vm="18">
        <v>#VALUE!</v>
      </c>
      <c r="D11" s="4" t="s">
        <v>20</v>
      </c>
      <c r="E11" s="4" t="s">
        <v>71</v>
      </c>
      <c r="F11" s="4" t="s">
        <v>14</v>
      </c>
      <c r="G11" s="4">
        <v>10.925000000000001</v>
      </c>
      <c r="H11" s="4" t="s">
        <v>74</v>
      </c>
      <c r="I11" s="4">
        <v>19</v>
      </c>
      <c r="J11" s="1" t="s">
        <v>111</v>
      </c>
      <c r="K11" s="127"/>
      <c r="L11" s="1" t="s">
        <v>1853</v>
      </c>
      <c r="M11" s="1" t="s">
        <v>2236</v>
      </c>
      <c r="N11" s="127"/>
      <c r="O11" s="1" t="s">
        <v>109</v>
      </c>
      <c r="P11" s="1" t="s">
        <v>109</v>
      </c>
      <c r="Q11" s="127"/>
      <c r="R11" s="56">
        <v>45146</v>
      </c>
      <c r="S11" s="56">
        <v>45161</v>
      </c>
      <c r="T11" s="1" t="s">
        <v>1823</v>
      </c>
      <c r="U11" s="56">
        <v>45793</v>
      </c>
      <c r="V11" s="39" t="s">
        <v>1853</v>
      </c>
      <c r="W11" s="1" t="s">
        <v>1853</v>
      </c>
      <c r="X11" s="4" t="s">
        <v>109</v>
      </c>
      <c r="Y11" s="4" t="s">
        <v>1853</v>
      </c>
      <c r="Z11" s="4" t="s">
        <v>1853</v>
      </c>
      <c r="AA11" s="39" t="s">
        <v>1853</v>
      </c>
      <c r="AB11" s="1" t="s">
        <v>1853</v>
      </c>
      <c r="AC11" s="1" t="s">
        <v>1853</v>
      </c>
      <c r="AD11" s="1" t="s">
        <v>1853</v>
      </c>
      <c r="AE11" s="1" t="s">
        <v>1853</v>
      </c>
      <c r="AF11" s="56">
        <v>45208</v>
      </c>
      <c r="AG11" s="56">
        <v>45208</v>
      </c>
      <c r="AH11" s="56">
        <v>48883</v>
      </c>
      <c r="AJ11" s="4" t="s">
        <v>109</v>
      </c>
      <c r="AK11" s="4" t="s">
        <v>109</v>
      </c>
      <c r="AL11" s="4" t="s">
        <v>109</v>
      </c>
      <c r="AM11" s="4" t="s">
        <v>109</v>
      </c>
      <c r="AP11" s="1">
        <v>15</v>
      </c>
      <c r="AQ11" s="38" t="e">
        <v>#VALUE!</v>
      </c>
    </row>
    <row r="12" spans="1:43" ht="18.75" customHeight="1" x14ac:dyDescent="0.3">
      <c r="A12" s="4">
        <v>2307040</v>
      </c>
      <c r="B12" s="110" t="s">
        <v>117</v>
      </c>
      <c r="C12" s="4" t="e" vm="15">
        <v>#VALUE!</v>
      </c>
      <c r="D12" s="4" t="s">
        <v>19</v>
      </c>
      <c r="E12" s="4" t="s">
        <v>71</v>
      </c>
      <c r="F12" s="4" t="s">
        <v>14</v>
      </c>
      <c r="G12" s="4">
        <v>12.65</v>
      </c>
      <c r="H12" s="4" t="s">
        <v>74</v>
      </c>
      <c r="I12" s="4">
        <v>22.000000000000004</v>
      </c>
      <c r="J12" s="1" t="s">
        <v>83</v>
      </c>
      <c r="K12" s="127"/>
      <c r="L12" s="1" t="s">
        <v>1853</v>
      </c>
      <c r="M12" s="1" t="s">
        <v>2236</v>
      </c>
      <c r="N12" s="127"/>
      <c r="O12" s="1" t="s">
        <v>109</v>
      </c>
      <c r="P12" s="1" t="s">
        <v>109</v>
      </c>
      <c r="Q12" s="127"/>
      <c r="R12" s="56">
        <v>45125</v>
      </c>
      <c r="S12" s="56">
        <v>45143</v>
      </c>
      <c r="T12" s="1" t="s">
        <v>1823</v>
      </c>
      <c r="U12" s="56">
        <v>45770</v>
      </c>
      <c r="V12" s="39" t="s">
        <v>1853</v>
      </c>
      <c r="W12" s="1" t="s">
        <v>1853</v>
      </c>
      <c r="X12" s="4" t="s">
        <v>109</v>
      </c>
      <c r="Y12" s="4" t="s">
        <v>1853</v>
      </c>
      <c r="Z12" s="4" t="s">
        <v>1853</v>
      </c>
      <c r="AA12" s="39" t="s">
        <v>1853</v>
      </c>
      <c r="AB12" s="1" t="s">
        <v>1853</v>
      </c>
      <c r="AC12" s="1" t="s">
        <v>1853</v>
      </c>
      <c r="AD12" s="1" t="s">
        <v>1853</v>
      </c>
      <c r="AE12" s="1" t="s">
        <v>1853</v>
      </c>
      <c r="AF12" s="56">
        <v>45212</v>
      </c>
      <c r="AG12" s="56">
        <v>45212</v>
      </c>
      <c r="AH12" s="56">
        <v>48883</v>
      </c>
      <c r="AJ12" s="4" t="s">
        <v>109</v>
      </c>
      <c r="AK12" s="4" t="s">
        <v>109</v>
      </c>
      <c r="AL12" s="4" t="s">
        <v>109</v>
      </c>
      <c r="AM12" s="4" t="s">
        <v>109</v>
      </c>
      <c r="AP12" s="1">
        <v>18</v>
      </c>
      <c r="AQ12" s="38" t="e">
        <v>#VALUE!</v>
      </c>
    </row>
    <row r="13" spans="1:43" ht="18.75" customHeight="1" x14ac:dyDescent="0.3">
      <c r="A13" s="4">
        <v>2305011</v>
      </c>
      <c r="B13" s="110" t="s">
        <v>123</v>
      </c>
      <c r="C13" s="4" t="e" vm="15">
        <v>#VALUE!</v>
      </c>
      <c r="D13" s="4" t="s">
        <v>20</v>
      </c>
      <c r="E13" s="4" t="s">
        <v>124</v>
      </c>
      <c r="F13" s="4" t="s">
        <v>14</v>
      </c>
      <c r="G13" s="4">
        <v>283.94499999999999</v>
      </c>
      <c r="H13" s="4" t="s">
        <v>18</v>
      </c>
      <c r="I13" s="4" t="s">
        <v>18</v>
      </c>
      <c r="J13" s="1" t="s">
        <v>18</v>
      </c>
      <c r="K13" s="127"/>
      <c r="L13" s="1" t="s">
        <v>1853</v>
      </c>
      <c r="M13" s="1" t="s">
        <v>2238</v>
      </c>
      <c r="N13" s="127"/>
      <c r="O13" s="1" t="s">
        <v>109</v>
      </c>
      <c r="P13" s="1" t="s">
        <v>109</v>
      </c>
      <c r="Q13" s="127"/>
      <c r="R13" s="56" t="s">
        <v>109</v>
      </c>
      <c r="S13" s="56" t="s">
        <v>109</v>
      </c>
      <c r="T13" s="56" t="s">
        <v>109</v>
      </c>
      <c r="U13" s="56" t="s">
        <v>109</v>
      </c>
      <c r="V13" s="39" t="s">
        <v>1853</v>
      </c>
      <c r="W13" s="1" t="s">
        <v>1853</v>
      </c>
      <c r="X13" s="4" t="s">
        <v>109</v>
      </c>
      <c r="Y13" s="4" t="s">
        <v>1853</v>
      </c>
      <c r="Z13" s="4" t="s">
        <v>1853</v>
      </c>
      <c r="AA13" s="39" t="s">
        <v>1853</v>
      </c>
      <c r="AB13" s="1" t="s">
        <v>1853</v>
      </c>
      <c r="AC13" s="1" t="s">
        <v>1853</v>
      </c>
      <c r="AD13" s="1" t="s">
        <v>1853</v>
      </c>
      <c r="AE13" s="1" t="s">
        <v>1853</v>
      </c>
      <c r="AF13" s="1" t="s">
        <v>1853</v>
      </c>
      <c r="AG13" s="1" t="s">
        <v>1853</v>
      </c>
      <c r="AH13" s="1" t="s">
        <v>1853</v>
      </c>
      <c r="AJ13" s="4" t="s">
        <v>109</v>
      </c>
      <c r="AK13" s="4" t="s">
        <v>109</v>
      </c>
      <c r="AL13" s="4" t="s">
        <v>109</v>
      </c>
      <c r="AM13" s="4" t="s">
        <v>109</v>
      </c>
      <c r="AP13" s="1" t="e">
        <v>#VALUE!</v>
      </c>
      <c r="AQ13" s="38" t="e">
        <v>#VALUE!</v>
      </c>
    </row>
    <row r="14" spans="1:43" ht="18.75" customHeight="1" x14ac:dyDescent="0.3">
      <c r="A14" s="4">
        <v>2304007</v>
      </c>
      <c r="B14" s="110" t="s">
        <v>127</v>
      </c>
      <c r="C14" s="4" t="e" vm="18">
        <v>#VALUE!</v>
      </c>
      <c r="D14" s="4" t="s">
        <v>20</v>
      </c>
      <c r="E14" s="4" t="s">
        <v>124</v>
      </c>
      <c r="F14" s="4" t="s">
        <v>14</v>
      </c>
      <c r="G14" s="4">
        <v>51.75</v>
      </c>
      <c r="H14" s="4" t="s">
        <v>74</v>
      </c>
      <c r="I14" s="4">
        <v>90</v>
      </c>
      <c r="J14" s="1" t="s">
        <v>128</v>
      </c>
      <c r="K14" s="127"/>
      <c r="L14" s="1" t="s">
        <v>1853</v>
      </c>
      <c r="M14" s="1" t="s">
        <v>2239</v>
      </c>
      <c r="N14" s="127"/>
      <c r="O14" s="1" t="s">
        <v>109</v>
      </c>
      <c r="P14" s="1" t="s">
        <v>109</v>
      </c>
      <c r="Q14" s="127"/>
      <c r="R14" s="56">
        <v>45170</v>
      </c>
      <c r="S14" s="56">
        <v>45238</v>
      </c>
      <c r="T14" s="1" t="s">
        <v>1819</v>
      </c>
      <c r="U14" s="56">
        <v>45505</v>
      </c>
      <c r="V14" s="39" t="s">
        <v>1853</v>
      </c>
      <c r="W14" s="1" t="s">
        <v>1853</v>
      </c>
      <c r="X14" s="4" t="s">
        <v>109</v>
      </c>
      <c r="Y14" s="4" t="s">
        <v>1853</v>
      </c>
      <c r="Z14" s="4" t="s">
        <v>1853</v>
      </c>
      <c r="AA14" s="39" t="s">
        <v>1853</v>
      </c>
      <c r="AB14" s="1" t="s">
        <v>1853</v>
      </c>
      <c r="AC14" s="1" t="s">
        <v>1853</v>
      </c>
      <c r="AD14" s="1" t="s">
        <v>1853</v>
      </c>
      <c r="AE14" s="1" t="s">
        <v>1853</v>
      </c>
      <c r="AF14" s="1" t="s">
        <v>1853</v>
      </c>
      <c r="AG14" s="1" t="s">
        <v>1853</v>
      </c>
      <c r="AH14" s="1" t="s">
        <v>1853</v>
      </c>
      <c r="AJ14" s="4" t="s">
        <v>109</v>
      </c>
      <c r="AK14" s="4" t="s">
        <v>109</v>
      </c>
      <c r="AL14" s="4" t="s">
        <v>109</v>
      </c>
      <c r="AM14" s="4" t="s">
        <v>109</v>
      </c>
      <c r="AP14" s="1">
        <v>68</v>
      </c>
      <c r="AQ14" s="38" t="e">
        <v>#VALUE!</v>
      </c>
    </row>
    <row r="15" spans="1:43" ht="18.75" customHeight="1" x14ac:dyDescent="0.3">
      <c r="A15" s="4">
        <v>2307042</v>
      </c>
      <c r="B15" s="110" t="s">
        <v>130</v>
      </c>
      <c r="C15" s="4" t="e" vm="16">
        <v>#VALUE!</v>
      </c>
      <c r="D15" s="4" t="s">
        <v>19</v>
      </c>
      <c r="E15" s="4" t="s">
        <v>71</v>
      </c>
      <c r="F15" s="4" t="s">
        <v>14</v>
      </c>
      <c r="G15" s="4">
        <v>16.100000000000001</v>
      </c>
      <c r="H15" s="4" t="s">
        <v>74</v>
      </c>
      <c r="I15" s="4">
        <v>28.000000000000004</v>
      </c>
      <c r="J15" s="1" t="s">
        <v>131</v>
      </c>
      <c r="K15" s="127"/>
      <c r="L15" s="1" t="s">
        <v>1853</v>
      </c>
      <c r="M15" s="1" t="s">
        <v>2236</v>
      </c>
      <c r="N15" s="127"/>
      <c r="O15" s="1" t="s">
        <v>109</v>
      </c>
      <c r="P15" s="1" t="s">
        <v>109</v>
      </c>
      <c r="Q15" s="127"/>
      <c r="R15" s="56">
        <v>45188</v>
      </c>
      <c r="S15" s="56">
        <v>45205</v>
      </c>
      <c r="T15" s="1" t="s">
        <v>1823</v>
      </c>
      <c r="U15" s="56">
        <v>45863</v>
      </c>
      <c r="V15" s="39" t="s">
        <v>1853</v>
      </c>
      <c r="W15" s="1" t="s">
        <v>1853</v>
      </c>
      <c r="X15" s="4" t="s">
        <v>109</v>
      </c>
      <c r="Y15" s="4" t="s">
        <v>1853</v>
      </c>
      <c r="Z15" s="4" t="s">
        <v>1853</v>
      </c>
      <c r="AA15" s="39" t="s">
        <v>1853</v>
      </c>
      <c r="AB15" s="1" t="s">
        <v>1853</v>
      </c>
      <c r="AC15" s="1" t="s">
        <v>1853</v>
      </c>
      <c r="AD15" s="1" t="s">
        <v>1853</v>
      </c>
      <c r="AE15" s="1" t="s">
        <v>1853</v>
      </c>
      <c r="AF15" s="56">
        <v>45248</v>
      </c>
      <c r="AG15" s="56">
        <v>45248</v>
      </c>
      <c r="AH15" s="56">
        <v>48913</v>
      </c>
      <c r="AJ15" s="4" t="s">
        <v>109</v>
      </c>
      <c r="AK15" s="4" t="s">
        <v>109</v>
      </c>
      <c r="AL15" s="4" t="s">
        <v>109</v>
      </c>
      <c r="AM15" s="4" t="s">
        <v>109</v>
      </c>
      <c r="AP15" s="1">
        <v>17</v>
      </c>
      <c r="AQ15" s="38" t="e">
        <v>#VALUE!</v>
      </c>
    </row>
    <row r="16" spans="1:43" ht="18.75" customHeight="1" x14ac:dyDescent="0.3">
      <c r="A16" s="4">
        <v>2308058</v>
      </c>
      <c r="B16" s="110" t="s">
        <v>136</v>
      </c>
      <c r="C16" s="4" t="e" vm="15">
        <v>#VALUE!</v>
      </c>
      <c r="D16" s="4" t="s">
        <v>20</v>
      </c>
      <c r="E16" s="4" t="s">
        <v>71</v>
      </c>
      <c r="F16" s="4" t="s">
        <v>14</v>
      </c>
      <c r="G16" s="4">
        <v>6.9</v>
      </c>
      <c r="H16" s="4" t="s">
        <v>74</v>
      </c>
      <c r="I16" s="4">
        <v>12.000000000000002</v>
      </c>
      <c r="J16" s="1" t="s">
        <v>137</v>
      </c>
      <c r="K16" s="127"/>
      <c r="L16" s="1" t="s">
        <v>1853</v>
      </c>
      <c r="M16" s="1" t="s">
        <v>2237</v>
      </c>
      <c r="N16" s="127"/>
      <c r="O16" s="1" t="s">
        <v>109</v>
      </c>
      <c r="P16" s="1" t="s">
        <v>109</v>
      </c>
      <c r="Q16" s="127"/>
      <c r="R16" s="56">
        <v>45167</v>
      </c>
      <c r="S16" s="56">
        <v>45182</v>
      </c>
      <c r="T16" s="1" t="s">
        <v>1823</v>
      </c>
      <c r="U16" s="56">
        <v>45813</v>
      </c>
      <c r="V16" s="39" t="s">
        <v>1853</v>
      </c>
      <c r="W16" s="1" t="s">
        <v>1853</v>
      </c>
      <c r="X16" s="4" t="s">
        <v>109</v>
      </c>
      <c r="Y16" s="4" t="s">
        <v>1853</v>
      </c>
      <c r="Z16" s="4" t="s">
        <v>1853</v>
      </c>
      <c r="AA16" s="39" t="s">
        <v>1853</v>
      </c>
      <c r="AB16" s="1" t="s">
        <v>1853</v>
      </c>
      <c r="AC16" s="1" t="s">
        <v>1853</v>
      </c>
      <c r="AD16" s="1" t="s">
        <v>1853</v>
      </c>
      <c r="AE16" s="1" t="s">
        <v>1853</v>
      </c>
      <c r="AF16" s="56">
        <v>45251</v>
      </c>
      <c r="AG16" s="56">
        <v>45251</v>
      </c>
      <c r="AH16" s="56">
        <v>48913</v>
      </c>
      <c r="AJ16" s="4" t="s">
        <v>109</v>
      </c>
      <c r="AK16" s="4" t="s">
        <v>109</v>
      </c>
      <c r="AL16" s="4" t="s">
        <v>109</v>
      </c>
      <c r="AM16" s="4" t="s">
        <v>109</v>
      </c>
      <c r="AP16" s="1">
        <v>15</v>
      </c>
      <c r="AQ16" s="38" t="e">
        <v>#VALUE!</v>
      </c>
    </row>
    <row r="17" spans="1:43" ht="18.75" customHeight="1" x14ac:dyDescent="0.3">
      <c r="A17" s="4">
        <v>2308062</v>
      </c>
      <c r="B17" s="110" t="s">
        <v>142</v>
      </c>
      <c r="C17" s="4" t="e" vm="15">
        <v>#VALUE!</v>
      </c>
      <c r="D17" s="4" t="s">
        <v>20</v>
      </c>
      <c r="E17" s="4" t="s">
        <v>71</v>
      </c>
      <c r="F17" s="4" t="s">
        <v>14</v>
      </c>
      <c r="G17" s="4">
        <v>12.65</v>
      </c>
      <c r="H17" s="4" t="s">
        <v>74</v>
      </c>
      <c r="I17" s="4">
        <v>22.000000000000004</v>
      </c>
      <c r="J17" s="1" t="s">
        <v>143</v>
      </c>
      <c r="K17" s="127"/>
      <c r="L17" s="1" t="s">
        <v>1853</v>
      </c>
      <c r="M17" s="1" t="s">
        <v>2237</v>
      </c>
      <c r="N17" s="127"/>
      <c r="O17" s="1" t="s">
        <v>109</v>
      </c>
      <c r="P17" s="1" t="s">
        <v>109</v>
      </c>
      <c r="Q17" s="127"/>
      <c r="R17" s="56">
        <v>45259</v>
      </c>
      <c r="S17" s="56">
        <v>45328</v>
      </c>
      <c r="T17" s="1" t="s">
        <v>1823</v>
      </c>
      <c r="U17" s="56">
        <v>45910</v>
      </c>
      <c r="V17" s="39" t="s">
        <v>1853</v>
      </c>
      <c r="W17" s="1" t="s">
        <v>1853</v>
      </c>
      <c r="X17" s="4" t="s">
        <v>109</v>
      </c>
      <c r="Y17" s="4" t="s">
        <v>1853</v>
      </c>
      <c r="Z17" s="4" t="s">
        <v>1853</v>
      </c>
      <c r="AA17" s="39" t="s">
        <v>1853</v>
      </c>
      <c r="AB17" s="1" t="s">
        <v>1853</v>
      </c>
      <c r="AC17" s="1" t="s">
        <v>1853</v>
      </c>
      <c r="AD17" s="1" t="s">
        <v>1853</v>
      </c>
      <c r="AE17" s="1" t="s">
        <v>1853</v>
      </c>
      <c r="AF17" s="56">
        <v>45396</v>
      </c>
      <c r="AG17" s="56">
        <v>45396</v>
      </c>
      <c r="AH17" s="56">
        <v>49064</v>
      </c>
      <c r="AJ17" s="4" t="s">
        <v>109</v>
      </c>
      <c r="AK17" s="4" t="s">
        <v>109</v>
      </c>
      <c r="AL17" s="4" t="s">
        <v>109</v>
      </c>
      <c r="AM17" s="4" t="s">
        <v>109</v>
      </c>
      <c r="AP17" s="1">
        <v>69</v>
      </c>
      <c r="AQ17" s="38" t="e">
        <v>#VALUE!</v>
      </c>
    </row>
    <row r="18" spans="1:43" ht="18.75" customHeight="1" x14ac:dyDescent="0.3">
      <c r="A18" s="4">
        <v>2309068</v>
      </c>
      <c r="B18" s="110" t="s">
        <v>148</v>
      </c>
      <c r="C18" s="4" t="e" vm="16">
        <v>#VALUE!</v>
      </c>
      <c r="D18" s="4" t="s">
        <v>19</v>
      </c>
      <c r="E18" s="4" t="s">
        <v>71</v>
      </c>
      <c r="F18" s="4" t="s">
        <v>14</v>
      </c>
      <c r="G18" s="4">
        <v>6.9</v>
      </c>
      <c r="H18" s="4" t="s">
        <v>74</v>
      </c>
      <c r="I18" s="4">
        <v>12.000000000000002</v>
      </c>
      <c r="J18" s="1" t="s">
        <v>137</v>
      </c>
      <c r="K18" s="127"/>
      <c r="L18" s="1" t="s">
        <v>1853</v>
      </c>
      <c r="M18" s="1" t="s">
        <v>2240</v>
      </c>
      <c r="N18" s="127"/>
      <c r="O18" s="1" t="s">
        <v>109</v>
      </c>
      <c r="P18" s="1" t="s">
        <v>109</v>
      </c>
      <c r="Q18" s="127"/>
      <c r="R18" s="56">
        <v>45272</v>
      </c>
      <c r="S18" s="56">
        <v>45321</v>
      </c>
      <c r="T18" s="1" t="s">
        <v>1822</v>
      </c>
      <c r="U18" s="56">
        <v>45939</v>
      </c>
      <c r="V18" s="39" t="s">
        <v>1853</v>
      </c>
      <c r="W18" s="1" t="s">
        <v>1853</v>
      </c>
      <c r="X18" s="4" t="s">
        <v>109</v>
      </c>
      <c r="Y18" s="4" t="s">
        <v>1853</v>
      </c>
      <c r="Z18" s="4" t="s">
        <v>1853</v>
      </c>
      <c r="AA18" s="39" t="s">
        <v>1853</v>
      </c>
      <c r="AB18" s="1" t="s">
        <v>1853</v>
      </c>
      <c r="AC18" s="1" t="s">
        <v>1853</v>
      </c>
      <c r="AD18" s="1" t="s">
        <v>1853</v>
      </c>
      <c r="AE18" s="56">
        <v>45331</v>
      </c>
      <c r="AF18" s="56">
        <v>45341</v>
      </c>
      <c r="AG18" s="56">
        <v>45341</v>
      </c>
      <c r="AH18" s="56">
        <v>49003</v>
      </c>
      <c r="AJ18" s="4" t="s">
        <v>109</v>
      </c>
      <c r="AK18" s="4" t="s">
        <v>109</v>
      </c>
      <c r="AL18" s="4" t="s">
        <v>109</v>
      </c>
      <c r="AM18" s="4" t="s">
        <v>109</v>
      </c>
      <c r="AP18" s="1">
        <v>49</v>
      </c>
      <c r="AQ18" s="38" t="e">
        <v>#VALUE!</v>
      </c>
    </row>
    <row r="19" spans="1:43" ht="18.75" customHeight="1" x14ac:dyDescent="0.3">
      <c r="A19" s="4">
        <v>2310078</v>
      </c>
      <c r="B19" s="110" t="s">
        <v>153</v>
      </c>
      <c r="C19" s="4" t="e" vm="16">
        <v>#VALUE!</v>
      </c>
      <c r="D19" s="4" t="s">
        <v>19</v>
      </c>
      <c r="E19" s="4" t="s">
        <v>71</v>
      </c>
      <c r="F19" s="4" t="s">
        <v>14</v>
      </c>
      <c r="G19" s="4">
        <v>16.100000000000001</v>
      </c>
      <c r="H19" s="4" t="s">
        <v>74</v>
      </c>
      <c r="I19" s="4">
        <v>28.000000000000004</v>
      </c>
      <c r="J19" s="1" t="s">
        <v>131</v>
      </c>
      <c r="K19" s="127"/>
      <c r="L19" s="1" t="s">
        <v>1853</v>
      </c>
      <c r="M19" s="1" t="s">
        <v>2236</v>
      </c>
      <c r="N19" s="127"/>
      <c r="O19" s="1" t="s">
        <v>109</v>
      </c>
      <c r="P19" s="1" t="s">
        <v>109</v>
      </c>
      <c r="Q19" s="127"/>
      <c r="R19" s="56">
        <v>45211</v>
      </c>
      <c r="S19" s="56">
        <v>45224</v>
      </c>
      <c r="T19" s="1" t="s">
        <v>1822</v>
      </c>
      <c r="U19" s="56">
        <v>45478</v>
      </c>
      <c r="V19" s="39" t="s">
        <v>1853</v>
      </c>
      <c r="W19" s="1" t="s">
        <v>1853</v>
      </c>
      <c r="X19" s="4" t="s">
        <v>109</v>
      </c>
      <c r="Y19" s="4" t="s">
        <v>1853</v>
      </c>
      <c r="Z19" s="4" t="s">
        <v>1853</v>
      </c>
      <c r="AA19" s="39" t="s">
        <v>1853</v>
      </c>
      <c r="AB19" s="1" t="s">
        <v>1853</v>
      </c>
      <c r="AC19" s="1" t="s">
        <v>1853</v>
      </c>
      <c r="AD19" s="1" t="s">
        <v>1853</v>
      </c>
      <c r="AE19" s="56" t="s">
        <v>1853</v>
      </c>
      <c r="AF19" s="56">
        <v>45245</v>
      </c>
      <c r="AG19" s="56">
        <v>45245</v>
      </c>
      <c r="AH19" s="56">
        <v>48913</v>
      </c>
      <c r="AJ19" s="4" t="s">
        <v>109</v>
      </c>
      <c r="AK19" s="4" t="s">
        <v>109</v>
      </c>
      <c r="AL19" s="4" t="s">
        <v>109</v>
      </c>
      <c r="AM19" s="4" t="s">
        <v>109</v>
      </c>
      <c r="AP19" s="1">
        <v>13</v>
      </c>
      <c r="AQ19" s="38" t="e">
        <v>#VALUE!</v>
      </c>
    </row>
    <row r="20" spans="1:43" ht="18.75" customHeight="1" x14ac:dyDescent="0.3">
      <c r="A20" s="4">
        <v>2310083</v>
      </c>
      <c r="B20" s="110" t="s">
        <v>158</v>
      </c>
      <c r="C20" s="4" t="e" vm="16">
        <v>#VALUE!</v>
      </c>
      <c r="D20" s="4" t="s">
        <v>19</v>
      </c>
      <c r="E20" s="4" t="s">
        <v>71</v>
      </c>
      <c r="F20" s="4" t="s">
        <v>14</v>
      </c>
      <c r="G20" s="4">
        <v>8.0500000000000007</v>
      </c>
      <c r="H20" s="4" t="s">
        <v>74</v>
      </c>
      <c r="I20" s="4">
        <v>14.000000000000002</v>
      </c>
      <c r="J20" s="1" t="s">
        <v>75</v>
      </c>
      <c r="K20" s="127"/>
      <c r="L20" s="1" t="s">
        <v>1853</v>
      </c>
      <c r="M20" s="1" t="s">
        <v>2238</v>
      </c>
      <c r="N20" s="127"/>
      <c r="O20" s="1" t="s">
        <v>109</v>
      </c>
      <c r="P20" s="1" t="s">
        <v>109</v>
      </c>
      <c r="Q20" s="127"/>
      <c r="R20" s="56">
        <v>45230</v>
      </c>
      <c r="S20" s="56">
        <v>45259</v>
      </c>
      <c r="T20" s="1" t="s">
        <v>1823</v>
      </c>
      <c r="U20" s="56">
        <v>45875</v>
      </c>
      <c r="V20" s="39" t="s">
        <v>1853</v>
      </c>
      <c r="W20" s="1" t="s">
        <v>1853</v>
      </c>
      <c r="X20" s="4" t="s">
        <v>109</v>
      </c>
      <c r="Y20" s="4" t="s">
        <v>1853</v>
      </c>
      <c r="Z20" s="4" t="s">
        <v>1853</v>
      </c>
      <c r="AA20" s="39" t="s">
        <v>1853</v>
      </c>
      <c r="AB20" s="1" t="s">
        <v>1853</v>
      </c>
      <c r="AC20" s="1" t="s">
        <v>1853</v>
      </c>
      <c r="AD20" s="1" t="s">
        <v>1853</v>
      </c>
      <c r="AE20" s="56" t="s">
        <v>1853</v>
      </c>
      <c r="AF20" s="56">
        <v>45341</v>
      </c>
      <c r="AG20" s="56">
        <v>45341</v>
      </c>
      <c r="AH20" s="56">
        <v>49003</v>
      </c>
      <c r="AJ20" s="4" t="s">
        <v>109</v>
      </c>
      <c r="AK20" s="4" t="s">
        <v>109</v>
      </c>
      <c r="AL20" s="4" t="s">
        <v>109</v>
      </c>
      <c r="AM20" s="4" t="s">
        <v>109</v>
      </c>
      <c r="AP20" s="1">
        <v>29</v>
      </c>
      <c r="AQ20" s="38" t="e">
        <v>#VALUE!</v>
      </c>
    </row>
    <row r="21" spans="1:43" ht="18.75" customHeight="1" x14ac:dyDescent="0.3">
      <c r="A21" s="4">
        <v>2310084</v>
      </c>
      <c r="B21" s="110" t="s">
        <v>163</v>
      </c>
      <c r="C21" s="4" t="e" vm="16">
        <v>#VALUE!</v>
      </c>
      <c r="D21" s="4" t="s">
        <v>19</v>
      </c>
      <c r="E21" s="4" t="s">
        <v>71</v>
      </c>
      <c r="F21" s="4" t="s">
        <v>14</v>
      </c>
      <c r="G21" s="4">
        <v>8.0500000000000007</v>
      </c>
      <c r="H21" s="4" t="s">
        <v>74</v>
      </c>
      <c r="I21" s="4">
        <v>14.000000000000002</v>
      </c>
      <c r="J21" s="1" t="s">
        <v>75</v>
      </c>
      <c r="K21" s="127"/>
      <c r="L21" s="1" t="s">
        <v>1853</v>
      </c>
      <c r="M21" s="1" t="s">
        <v>2236</v>
      </c>
      <c r="N21" s="127"/>
      <c r="O21" s="1" t="s">
        <v>109</v>
      </c>
      <c r="P21" s="1" t="s">
        <v>109</v>
      </c>
      <c r="Q21" s="127"/>
      <c r="R21" s="56">
        <v>45231</v>
      </c>
      <c r="S21" s="56">
        <v>45259</v>
      </c>
      <c r="T21" s="1" t="s">
        <v>1823</v>
      </c>
      <c r="U21" s="56">
        <v>45875</v>
      </c>
      <c r="V21" s="39" t="s">
        <v>1853</v>
      </c>
      <c r="W21" s="1" t="s">
        <v>1853</v>
      </c>
      <c r="X21" s="4" t="s">
        <v>109</v>
      </c>
      <c r="Y21" s="4" t="s">
        <v>1853</v>
      </c>
      <c r="Z21" s="4" t="s">
        <v>1853</v>
      </c>
      <c r="AA21" s="39" t="s">
        <v>1853</v>
      </c>
      <c r="AB21" s="1" t="s">
        <v>1853</v>
      </c>
      <c r="AC21" s="1" t="s">
        <v>1853</v>
      </c>
      <c r="AD21" s="1" t="s">
        <v>1853</v>
      </c>
      <c r="AE21" s="56">
        <v>45331</v>
      </c>
      <c r="AF21" s="56">
        <v>45341</v>
      </c>
      <c r="AG21" s="56">
        <v>45341</v>
      </c>
      <c r="AH21" s="56">
        <v>49003</v>
      </c>
      <c r="AJ21" s="4" t="s">
        <v>109</v>
      </c>
      <c r="AK21" s="4" t="s">
        <v>109</v>
      </c>
      <c r="AL21" s="4" t="s">
        <v>109</v>
      </c>
      <c r="AM21" s="4" t="s">
        <v>109</v>
      </c>
      <c r="AP21" s="1">
        <v>28</v>
      </c>
      <c r="AQ21" s="38" t="e">
        <v>#VALUE!</v>
      </c>
    </row>
    <row r="22" spans="1:43" ht="18.75" customHeight="1" x14ac:dyDescent="0.3">
      <c r="A22" s="4">
        <v>2305024</v>
      </c>
      <c r="B22" s="110" t="s">
        <v>169</v>
      </c>
      <c r="C22" s="4" t="e" vm="16">
        <v>#VALUE!</v>
      </c>
      <c r="D22" s="4" t="s">
        <v>19</v>
      </c>
      <c r="E22" s="4" t="s">
        <v>71</v>
      </c>
      <c r="F22" s="4" t="s">
        <v>14</v>
      </c>
      <c r="G22" s="4">
        <v>12.65</v>
      </c>
      <c r="H22" s="4" t="s">
        <v>74</v>
      </c>
      <c r="I22" s="4">
        <v>22.000000000000004</v>
      </c>
      <c r="J22" s="1" t="s">
        <v>170</v>
      </c>
      <c r="K22" s="127"/>
      <c r="L22" s="1" t="s">
        <v>1853</v>
      </c>
      <c r="M22" s="1" t="s">
        <v>2237</v>
      </c>
      <c r="N22" s="127"/>
      <c r="O22" s="1" t="s">
        <v>109</v>
      </c>
      <c r="P22" s="1" t="s">
        <v>109</v>
      </c>
      <c r="Q22" s="127"/>
      <c r="R22" s="56">
        <v>45113</v>
      </c>
      <c r="S22" s="56">
        <v>45127</v>
      </c>
      <c r="T22" s="1" t="s">
        <v>1822</v>
      </c>
      <c r="U22" s="56">
        <v>45939</v>
      </c>
      <c r="V22" s="39" t="s">
        <v>1853</v>
      </c>
      <c r="W22" s="1" t="s">
        <v>1853</v>
      </c>
      <c r="X22" s="4" t="s">
        <v>109</v>
      </c>
      <c r="Y22" s="4" t="s">
        <v>1853</v>
      </c>
      <c r="Z22" s="4" t="s">
        <v>1853</v>
      </c>
      <c r="AA22" s="39" t="s">
        <v>1853</v>
      </c>
      <c r="AB22" s="1" t="s">
        <v>1853</v>
      </c>
      <c r="AC22" s="1" t="s">
        <v>1853</v>
      </c>
      <c r="AD22" s="1" t="s">
        <v>1853</v>
      </c>
      <c r="AE22" s="56">
        <v>45449</v>
      </c>
      <c r="AF22" s="56">
        <v>45463</v>
      </c>
      <c r="AG22" s="56">
        <v>45463</v>
      </c>
      <c r="AH22" s="56">
        <v>49125</v>
      </c>
      <c r="AJ22" s="4" t="s">
        <v>109</v>
      </c>
      <c r="AK22" s="4" t="s">
        <v>109</v>
      </c>
      <c r="AL22" s="4" t="s">
        <v>109</v>
      </c>
      <c r="AM22" s="4" t="s">
        <v>109</v>
      </c>
      <c r="AP22" s="1">
        <v>14</v>
      </c>
      <c r="AQ22" s="38" t="e">
        <v>#VALUE!</v>
      </c>
    </row>
    <row r="23" spans="1:43" s="142" customFormat="1" ht="18.75" customHeight="1" x14ac:dyDescent="0.3">
      <c r="A23" s="116">
        <v>2307052</v>
      </c>
      <c r="B23" s="125" t="s">
        <v>175</v>
      </c>
      <c r="C23" s="116" t="e" vm="16">
        <v>#VALUE!</v>
      </c>
      <c r="D23" s="4" t="s">
        <v>19</v>
      </c>
      <c r="E23" s="116" t="s">
        <v>71</v>
      </c>
      <c r="F23" s="116" t="s">
        <v>14</v>
      </c>
      <c r="G23" s="116">
        <v>4.5999999999999996</v>
      </c>
      <c r="H23" s="116" t="s">
        <v>74</v>
      </c>
      <c r="I23" s="116">
        <v>8</v>
      </c>
      <c r="J23" s="139" t="s">
        <v>94</v>
      </c>
      <c r="K23" s="140"/>
      <c r="L23" s="1" t="s">
        <v>1853</v>
      </c>
      <c r="M23" s="139" t="s">
        <v>2240</v>
      </c>
      <c r="N23" s="140"/>
      <c r="O23" s="139" t="s">
        <v>109</v>
      </c>
      <c r="P23" s="139" t="s">
        <v>109</v>
      </c>
      <c r="Q23" s="140"/>
      <c r="R23" s="141">
        <v>45162</v>
      </c>
      <c r="S23" s="141">
        <v>45182</v>
      </c>
      <c r="T23" s="139" t="s">
        <v>1819</v>
      </c>
      <c r="U23" s="141">
        <v>45505</v>
      </c>
      <c r="V23" s="120" t="s">
        <v>1853</v>
      </c>
      <c r="W23" s="139" t="s">
        <v>1853</v>
      </c>
      <c r="X23" s="116" t="s">
        <v>109</v>
      </c>
      <c r="Y23" s="116" t="s">
        <v>1853</v>
      </c>
      <c r="Z23" s="116" t="s">
        <v>109</v>
      </c>
      <c r="AA23" s="116" t="s">
        <v>109</v>
      </c>
      <c r="AB23" s="116" t="s">
        <v>109</v>
      </c>
      <c r="AC23" s="116" t="s">
        <v>109</v>
      </c>
      <c r="AD23" s="116" t="s">
        <v>109</v>
      </c>
      <c r="AE23" s="116" t="s">
        <v>109</v>
      </c>
      <c r="AF23" s="116" t="s">
        <v>109</v>
      </c>
      <c r="AG23" s="116" t="s">
        <v>109</v>
      </c>
      <c r="AH23" s="116" t="s">
        <v>109</v>
      </c>
      <c r="AI23" s="123"/>
      <c r="AJ23" s="116" t="s">
        <v>109</v>
      </c>
      <c r="AK23" s="116" t="s">
        <v>109</v>
      </c>
      <c r="AL23" s="116" t="s">
        <v>109</v>
      </c>
      <c r="AM23" s="116" t="s">
        <v>109</v>
      </c>
      <c r="AP23" s="1">
        <v>20</v>
      </c>
      <c r="AQ23" s="143" t="e">
        <v>#VALUE!</v>
      </c>
    </row>
    <row r="24" spans="1:43" s="142" customFormat="1" ht="18.75" customHeight="1" x14ac:dyDescent="0.3">
      <c r="A24" s="116">
        <v>2304010</v>
      </c>
      <c r="B24" s="125" t="s">
        <v>181</v>
      </c>
      <c r="C24" s="116" t="e" vm="15">
        <v>#VALUE!</v>
      </c>
      <c r="D24" s="4" t="s">
        <v>20</v>
      </c>
      <c r="E24" s="116" t="s">
        <v>71</v>
      </c>
      <c r="F24" s="116" t="s">
        <v>14</v>
      </c>
      <c r="G24" s="116">
        <v>13.625</v>
      </c>
      <c r="H24" s="116" t="s">
        <v>18</v>
      </c>
      <c r="I24" s="116" t="s">
        <v>18</v>
      </c>
      <c r="J24" s="139" t="s">
        <v>182</v>
      </c>
      <c r="K24" s="140"/>
      <c r="L24" s="1" t="s">
        <v>1853</v>
      </c>
      <c r="M24" s="139" t="s">
        <v>2240</v>
      </c>
      <c r="N24" s="140"/>
      <c r="O24" s="139" t="s">
        <v>109</v>
      </c>
      <c r="P24" s="139" t="s">
        <v>109</v>
      </c>
      <c r="Q24" s="140"/>
      <c r="R24" s="141">
        <v>45107</v>
      </c>
      <c r="S24" s="141">
        <v>45120</v>
      </c>
      <c r="T24" s="139" t="s">
        <v>1819</v>
      </c>
      <c r="U24" s="141">
        <v>45474</v>
      </c>
      <c r="V24" s="120" t="s">
        <v>1853</v>
      </c>
      <c r="W24" s="139" t="s">
        <v>1853</v>
      </c>
      <c r="X24" s="116" t="s">
        <v>109</v>
      </c>
      <c r="Y24" s="116" t="s">
        <v>1853</v>
      </c>
      <c r="Z24" s="116" t="s">
        <v>109</v>
      </c>
      <c r="AA24" s="116" t="s">
        <v>109</v>
      </c>
      <c r="AB24" s="116" t="s">
        <v>109</v>
      </c>
      <c r="AC24" s="116" t="s">
        <v>109</v>
      </c>
      <c r="AD24" s="116" t="s">
        <v>109</v>
      </c>
      <c r="AE24" s="116" t="s">
        <v>109</v>
      </c>
      <c r="AF24" s="116" t="s">
        <v>109</v>
      </c>
      <c r="AG24" s="116" t="s">
        <v>109</v>
      </c>
      <c r="AH24" s="116" t="s">
        <v>109</v>
      </c>
      <c r="AI24" s="123"/>
      <c r="AJ24" s="116" t="s">
        <v>109</v>
      </c>
      <c r="AK24" s="116" t="s">
        <v>109</v>
      </c>
      <c r="AL24" s="116" t="s">
        <v>109</v>
      </c>
      <c r="AM24" s="116" t="s">
        <v>109</v>
      </c>
      <c r="AP24" s="1">
        <v>13</v>
      </c>
      <c r="AQ24" s="143" t="e">
        <v>#VALUE!</v>
      </c>
    </row>
    <row r="25" spans="1:43" ht="18.75" customHeight="1" x14ac:dyDescent="0.3">
      <c r="A25" s="4">
        <v>2308065</v>
      </c>
      <c r="B25" s="110" t="s">
        <v>187</v>
      </c>
      <c r="C25" s="4" t="e" vm="16">
        <v>#VALUE!</v>
      </c>
      <c r="D25" s="4" t="s">
        <v>19</v>
      </c>
      <c r="E25" s="4" t="s">
        <v>71</v>
      </c>
      <c r="F25" s="4" t="s">
        <v>14</v>
      </c>
      <c r="G25" s="4">
        <v>8.625</v>
      </c>
      <c r="H25" s="4" t="s">
        <v>74</v>
      </c>
      <c r="I25" s="4">
        <v>15.000000000000002</v>
      </c>
      <c r="J25" s="1" t="s">
        <v>75</v>
      </c>
      <c r="K25" s="127"/>
      <c r="L25" s="1" t="s">
        <v>1853</v>
      </c>
      <c r="M25" s="1" t="s">
        <v>2239</v>
      </c>
      <c r="N25" s="127"/>
      <c r="O25" s="1" t="s">
        <v>109</v>
      </c>
      <c r="P25" s="1" t="s">
        <v>109</v>
      </c>
      <c r="Q25" s="127"/>
      <c r="R25" s="56">
        <v>45190</v>
      </c>
      <c r="S25" s="56">
        <v>45211</v>
      </c>
      <c r="T25" s="1" t="s">
        <v>1823</v>
      </c>
      <c r="U25" s="56">
        <v>45632</v>
      </c>
      <c r="V25" s="39" t="s">
        <v>1853</v>
      </c>
      <c r="W25" s="1" t="s">
        <v>1853</v>
      </c>
      <c r="X25" s="4" t="s">
        <v>109</v>
      </c>
      <c r="Y25" s="4" t="s">
        <v>1853</v>
      </c>
      <c r="Z25" s="4" t="s">
        <v>1854</v>
      </c>
      <c r="AA25" s="39">
        <v>45566</v>
      </c>
      <c r="AB25" s="1" t="s">
        <v>1853</v>
      </c>
      <c r="AC25" s="1" t="s">
        <v>1853</v>
      </c>
      <c r="AD25" s="1" t="s">
        <v>1853</v>
      </c>
      <c r="AE25" s="56">
        <v>45600</v>
      </c>
      <c r="AF25" s="56">
        <v>45601</v>
      </c>
      <c r="AG25" s="56">
        <v>45601</v>
      </c>
      <c r="AH25" s="56">
        <v>49278</v>
      </c>
      <c r="AJ25" s="4" t="s">
        <v>109</v>
      </c>
      <c r="AK25" s="4" t="s">
        <v>109</v>
      </c>
      <c r="AL25" s="4" t="s">
        <v>109</v>
      </c>
      <c r="AM25" s="4" t="s">
        <v>109</v>
      </c>
      <c r="AP25" s="1">
        <v>21</v>
      </c>
      <c r="AQ25" s="38">
        <v>390</v>
      </c>
    </row>
    <row r="26" spans="1:43" ht="18.75" customHeight="1" x14ac:dyDescent="0.3">
      <c r="A26" s="4">
        <v>2306009</v>
      </c>
      <c r="B26" s="110" t="s">
        <v>192</v>
      </c>
      <c r="C26" s="4" t="e" vm="15">
        <v>#VALUE!</v>
      </c>
      <c r="D26" s="4" t="s">
        <v>20</v>
      </c>
      <c r="E26" s="4" t="s">
        <v>193</v>
      </c>
      <c r="F26" s="4" t="s">
        <v>15</v>
      </c>
      <c r="G26" s="4">
        <v>85.1</v>
      </c>
      <c r="H26" s="4" t="s">
        <v>74</v>
      </c>
      <c r="I26" s="4">
        <v>148</v>
      </c>
      <c r="J26" s="1" t="s">
        <v>194</v>
      </c>
      <c r="K26" s="127"/>
      <c r="L26" s="1" t="s">
        <v>1853</v>
      </c>
      <c r="M26" s="1" t="s">
        <v>2236</v>
      </c>
      <c r="N26" s="127"/>
      <c r="O26" s="1" t="s">
        <v>109</v>
      </c>
      <c r="P26" s="1" t="s">
        <v>109</v>
      </c>
      <c r="Q26" s="127"/>
      <c r="R26" s="56" t="s">
        <v>109</v>
      </c>
      <c r="S26" s="56" t="s">
        <v>109</v>
      </c>
      <c r="T26" s="56" t="s">
        <v>109</v>
      </c>
      <c r="U26" s="56" t="s">
        <v>109</v>
      </c>
      <c r="V26" s="39" t="s">
        <v>1853</v>
      </c>
      <c r="W26" s="1" t="s">
        <v>1853</v>
      </c>
      <c r="X26" s="4" t="s">
        <v>109</v>
      </c>
      <c r="Y26" s="4" t="s">
        <v>1853</v>
      </c>
      <c r="Z26" s="4" t="s">
        <v>1853</v>
      </c>
      <c r="AA26" s="39" t="s">
        <v>1853</v>
      </c>
      <c r="AB26" s="1" t="s">
        <v>109</v>
      </c>
      <c r="AC26" s="1" t="s">
        <v>109</v>
      </c>
      <c r="AD26" s="1" t="s">
        <v>109</v>
      </c>
      <c r="AE26" s="1" t="s">
        <v>109</v>
      </c>
      <c r="AF26" s="1" t="s">
        <v>109</v>
      </c>
      <c r="AG26" s="1" t="s">
        <v>109</v>
      </c>
      <c r="AH26" s="1" t="s">
        <v>109</v>
      </c>
      <c r="AJ26" s="4" t="s">
        <v>109</v>
      </c>
      <c r="AK26" s="4" t="s">
        <v>109</v>
      </c>
      <c r="AL26" s="4" t="s">
        <v>109</v>
      </c>
      <c r="AM26" s="4" t="s">
        <v>109</v>
      </c>
      <c r="AP26" s="1" t="e">
        <v>#VALUE!</v>
      </c>
      <c r="AQ26" s="38" t="e">
        <v>#VALUE!</v>
      </c>
    </row>
    <row r="27" spans="1:43" ht="18.75" customHeight="1" x14ac:dyDescent="0.3">
      <c r="A27" s="4">
        <v>2303003</v>
      </c>
      <c r="B27" s="110" t="s">
        <v>196</v>
      </c>
      <c r="C27" s="4" t="e" vm="16">
        <v>#VALUE!</v>
      </c>
      <c r="D27" s="4" t="s">
        <v>19</v>
      </c>
      <c r="E27" s="4" t="s">
        <v>124</v>
      </c>
      <c r="F27" s="4" t="s">
        <v>14</v>
      </c>
      <c r="G27" s="4">
        <v>23</v>
      </c>
      <c r="H27" s="4" t="s">
        <v>74</v>
      </c>
      <c r="I27" s="4">
        <v>40</v>
      </c>
      <c r="J27" s="1" t="s">
        <v>197</v>
      </c>
      <c r="K27" s="127"/>
      <c r="L27" s="1" t="s">
        <v>1853</v>
      </c>
      <c r="M27" s="1" t="s">
        <v>2236</v>
      </c>
      <c r="N27" s="127"/>
      <c r="O27" s="1" t="s">
        <v>109</v>
      </c>
      <c r="P27" s="1" t="s">
        <v>109</v>
      </c>
      <c r="Q27" s="127"/>
      <c r="R27" s="56">
        <v>45275</v>
      </c>
      <c r="S27" s="56">
        <v>45321</v>
      </c>
      <c r="T27" s="1" t="s">
        <v>1823</v>
      </c>
      <c r="U27" s="56">
        <v>45654</v>
      </c>
      <c r="V27" s="39" t="s">
        <v>1853</v>
      </c>
      <c r="W27" s="1" t="s">
        <v>1853</v>
      </c>
      <c r="X27" s="4" t="s">
        <v>109</v>
      </c>
      <c r="Y27" s="4" t="s">
        <v>1853</v>
      </c>
      <c r="Z27" s="4" t="s">
        <v>1853</v>
      </c>
      <c r="AA27" s="39" t="s">
        <v>1853</v>
      </c>
      <c r="AB27" s="1" t="s">
        <v>1853</v>
      </c>
      <c r="AC27" s="1" t="s">
        <v>1853</v>
      </c>
      <c r="AD27" s="1" t="s">
        <v>1853</v>
      </c>
      <c r="AE27" s="1" t="s">
        <v>1853</v>
      </c>
      <c r="AF27" s="56">
        <v>45464</v>
      </c>
      <c r="AG27" s="56">
        <v>45464</v>
      </c>
      <c r="AH27" s="56">
        <v>49125</v>
      </c>
      <c r="AJ27" s="4" t="s">
        <v>109</v>
      </c>
      <c r="AK27" s="4" t="s">
        <v>109</v>
      </c>
      <c r="AL27" s="4" t="s">
        <v>1853</v>
      </c>
      <c r="AM27" s="4" t="s">
        <v>1853</v>
      </c>
      <c r="AP27" s="1">
        <v>46</v>
      </c>
      <c r="AQ27" s="38" t="e">
        <v>#VALUE!</v>
      </c>
    </row>
    <row r="28" spans="1:43" ht="18.75" customHeight="1" x14ac:dyDescent="0.3">
      <c r="A28" s="4">
        <v>2311040</v>
      </c>
      <c r="B28" s="110" t="s">
        <v>201</v>
      </c>
      <c r="C28" s="4" t="e" vm="15">
        <v>#VALUE!</v>
      </c>
      <c r="D28" s="4" t="s">
        <v>202</v>
      </c>
      <c r="E28" s="4" t="s">
        <v>124</v>
      </c>
      <c r="F28" s="4" t="s">
        <v>14</v>
      </c>
      <c r="G28" s="4">
        <v>93</v>
      </c>
      <c r="H28" s="4" t="s">
        <v>18</v>
      </c>
      <c r="I28" s="4" t="s">
        <v>18</v>
      </c>
      <c r="J28" s="1" t="s">
        <v>18</v>
      </c>
      <c r="K28" s="127"/>
      <c r="L28" s="1" t="s">
        <v>1853</v>
      </c>
      <c r="M28" s="1" t="s">
        <v>2240</v>
      </c>
      <c r="N28" s="127"/>
      <c r="O28" s="1" t="s">
        <v>109</v>
      </c>
      <c r="P28" s="1" t="s">
        <v>109</v>
      </c>
      <c r="Q28" s="127"/>
      <c r="R28" s="56" t="s">
        <v>109</v>
      </c>
      <c r="S28" s="56" t="s">
        <v>109</v>
      </c>
      <c r="T28" s="56" t="s">
        <v>109</v>
      </c>
      <c r="U28" s="56" t="s">
        <v>109</v>
      </c>
      <c r="V28" s="39" t="s">
        <v>1853</v>
      </c>
      <c r="W28" s="1" t="s">
        <v>1853</v>
      </c>
      <c r="X28" s="4" t="s">
        <v>109</v>
      </c>
      <c r="Y28" s="4" t="s">
        <v>1853</v>
      </c>
      <c r="Z28" s="4" t="s">
        <v>1853</v>
      </c>
      <c r="AA28" s="39" t="s">
        <v>1853</v>
      </c>
      <c r="AB28" s="1" t="s">
        <v>1853</v>
      </c>
      <c r="AC28" s="1" t="s">
        <v>1853</v>
      </c>
      <c r="AD28" s="1" t="s">
        <v>1853</v>
      </c>
      <c r="AE28" s="1" t="s">
        <v>1853</v>
      </c>
      <c r="AF28" s="1" t="s">
        <v>1853</v>
      </c>
      <c r="AG28" s="1" t="s">
        <v>1853</v>
      </c>
      <c r="AH28" s="1" t="s">
        <v>1853</v>
      </c>
      <c r="AJ28" s="4" t="s">
        <v>109</v>
      </c>
      <c r="AK28" s="4" t="s">
        <v>109</v>
      </c>
      <c r="AL28" s="4" t="s">
        <v>109</v>
      </c>
      <c r="AM28" s="4" t="s">
        <v>109</v>
      </c>
      <c r="AP28" s="1" t="e">
        <v>#VALUE!</v>
      </c>
      <c r="AQ28" s="38" t="e">
        <v>#VALUE!</v>
      </c>
    </row>
    <row r="29" spans="1:43" ht="18.75" customHeight="1" x14ac:dyDescent="0.3">
      <c r="A29" s="4">
        <v>2308007</v>
      </c>
      <c r="B29" s="110" t="s">
        <v>205</v>
      </c>
      <c r="C29" s="4" t="e" vm="19">
        <v>#VALUE!</v>
      </c>
      <c r="D29" s="4" t="s">
        <v>20</v>
      </c>
      <c r="E29" s="4" t="s">
        <v>206</v>
      </c>
      <c r="F29" s="4" t="s">
        <v>18</v>
      </c>
      <c r="G29" s="4">
        <v>0</v>
      </c>
      <c r="H29" s="4" t="s">
        <v>18</v>
      </c>
      <c r="I29" s="4" t="s">
        <v>18</v>
      </c>
      <c r="J29" s="1" t="s">
        <v>18</v>
      </c>
      <c r="K29" s="127"/>
      <c r="L29" s="1" t="s">
        <v>1853</v>
      </c>
      <c r="M29" s="1" t="s">
        <v>2236</v>
      </c>
      <c r="N29" s="127"/>
      <c r="O29" s="1" t="s">
        <v>109</v>
      </c>
      <c r="P29" s="1" t="s">
        <v>109</v>
      </c>
      <c r="Q29" s="127"/>
      <c r="R29" s="56" t="s">
        <v>109</v>
      </c>
      <c r="S29" s="56" t="s">
        <v>109</v>
      </c>
      <c r="T29" s="56" t="s">
        <v>109</v>
      </c>
      <c r="U29" s="56" t="s">
        <v>109</v>
      </c>
      <c r="V29" s="39" t="s">
        <v>1853</v>
      </c>
      <c r="W29" s="1" t="s">
        <v>1853</v>
      </c>
      <c r="X29" s="4" t="s">
        <v>109</v>
      </c>
      <c r="Y29" s="4" t="s">
        <v>1853</v>
      </c>
      <c r="Z29" s="4" t="s">
        <v>1853</v>
      </c>
      <c r="AA29" s="39" t="s">
        <v>1853</v>
      </c>
      <c r="AB29" s="1" t="s">
        <v>109</v>
      </c>
      <c r="AC29" s="1" t="s">
        <v>109</v>
      </c>
      <c r="AD29" s="1" t="s">
        <v>109</v>
      </c>
      <c r="AE29" s="1" t="s">
        <v>109</v>
      </c>
      <c r="AF29" s="1" t="s">
        <v>109</v>
      </c>
      <c r="AG29" s="1" t="s">
        <v>109</v>
      </c>
      <c r="AH29" s="1" t="s">
        <v>109</v>
      </c>
      <c r="AJ29" s="4" t="s">
        <v>109</v>
      </c>
      <c r="AK29" s="4" t="s">
        <v>109</v>
      </c>
      <c r="AL29" s="4" t="s">
        <v>109</v>
      </c>
      <c r="AM29" s="4" t="s">
        <v>109</v>
      </c>
      <c r="AP29" s="1" t="e">
        <v>#VALUE!</v>
      </c>
      <c r="AQ29" s="38" t="e">
        <v>#VALUE!</v>
      </c>
    </row>
    <row r="30" spans="1:43" ht="18.75" customHeight="1" x14ac:dyDescent="0.3">
      <c r="A30" s="4">
        <v>2311094</v>
      </c>
      <c r="B30" s="110" t="s">
        <v>208</v>
      </c>
      <c r="C30" s="4" t="e" vm="20">
        <v>#VALUE!</v>
      </c>
      <c r="D30" s="4" t="s">
        <v>19</v>
      </c>
      <c r="E30" s="4" t="s">
        <v>71</v>
      </c>
      <c r="F30" s="4" t="s">
        <v>14</v>
      </c>
      <c r="G30" s="4">
        <v>9.7750000000000004</v>
      </c>
      <c r="H30" s="4" t="s">
        <v>74</v>
      </c>
      <c r="I30" s="4">
        <v>17.000000000000004</v>
      </c>
      <c r="J30" s="1" t="s">
        <v>75</v>
      </c>
      <c r="K30" s="127"/>
      <c r="L30" s="1" t="s">
        <v>1853</v>
      </c>
      <c r="M30" s="1" t="s">
        <v>2236</v>
      </c>
      <c r="N30" s="127"/>
      <c r="O30" s="1" t="s">
        <v>109</v>
      </c>
      <c r="P30" s="1" t="s">
        <v>109</v>
      </c>
      <c r="Q30" s="127"/>
      <c r="R30" s="56">
        <v>45259</v>
      </c>
      <c r="S30" s="56">
        <v>45321</v>
      </c>
      <c r="T30" s="1" t="s">
        <v>1822</v>
      </c>
      <c r="U30" s="56">
        <v>45939</v>
      </c>
      <c r="V30" s="39" t="s">
        <v>1853</v>
      </c>
      <c r="W30" s="1" t="s">
        <v>1853</v>
      </c>
      <c r="X30" s="4" t="s">
        <v>109</v>
      </c>
      <c r="Y30" s="4" t="s">
        <v>1853</v>
      </c>
      <c r="Z30" s="4" t="s">
        <v>1853</v>
      </c>
      <c r="AA30" s="39" t="s">
        <v>1853</v>
      </c>
      <c r="AB30" s="1" t="s">
        <v>1853</v>
      </c>
      <c r="AC30" s="1" t="s">
        <v>1853</v>
      </c>
      <c r="AD30" s="1" t="s">
        <v>1853</v>
      </c>
      <c r="AE30" s="56">
        <v>45854</v>
      </c>
      <c r="AF30" s="56">
        <v>45497</v>
      </c>
      <c r="AG30" s="56">
        <v>45497</v>
      </c>
      <c r="AH30" s="56">
        <v>49156</v>
      </c>
      <c r="AJ30" s="4" t="s">
        <v>109</v>
      </c>
      <c r="AK30" s="4" t="s">
        <v>109</v>
      </c>
      <c r="AL30" s="4" t="s">
        <v>109</v>
      </c>
      <c r="AM30" s="4" t="s">
        <v>109</v>
      </c>
      <c r="AP30" s="1">
        <v>62</v>
      </c>
      <c r="AQ30" s="38" t="e">
        <v>#VALUE!</v>
      </c>
    </row>
    <row r="31" spans="1:43" ht="18.75" customHeight="1" x14ac:dyDescent="0.3">
      <c r="A31" s="4">
        <v>2311095</v>
      </c>
      <c r="B31" s="110" t="s">
        <v>213</v>
      </c>
      <c r="C31" s="4" t="e" vm="20">
        <v>#VALUE!</v>
      </c>
      <c r="D31" s="4" t="s">
        <v>19</v>
      </c>
      <c r="E31" s="4" t="s">
        <v>71</v>
      </c>
      <c r="F31" s="4" t="s">
        <v>14</v>
      </c>
      <c r="G31" s="4">
        <v>12.65</v>
      </c>
      <c r="H31" s="4" t="s">
        <v>74</v>
      </c>
      <c r="I31" s="4">
        <v>22.000000000000004</v>
      </c>
      <c r="J31" s="1" t="s">
        <v>83</v>
      </c>
      <c r="K31" s="127"/>
      <c r="L31" s="1" t="s">
        <v>1853</v>
      </c>
      <c r="M31" s="1" t="s">
        <v>2236</v>
      </c>
      <c r="N31" s="127"/>
      <c r="O31" s="1" t="s">
        <v>109</v>
      </c>
      <c r="P31" s="1" t="s">
        <v>109</v>
      </c>
      <c r="Q31" s="127"/>
      <c r="R31" s="56">
        <v>45258</v>
      </c>
      <c r="S31" s="56">
        <v>45328</v>
      </c>
      <c r="T31" s="1" t="s">
        <v>1823</v>
      </c>
      <c r="U31" s="56">
        <v>45910</v>
      </c>
      <c r="V31" s="39" t="s">
        <v>1853</v>
      </c>
      <c r="W31" s="1" t="s">
        <v>1853</v>
      </c>
      <c r="X31" s="4" t="s">
        <v>109</v>
      </c>
      <c r="Y31" s="4" t="s">
        <v>1853</v>
      </c>
      <c r="Z31" s="4" t="s">
        <v>1853</v>
      </c>
      <c r="AA31" s="39" t="s">
        <v>1853</v>
      </c>
      <c r="AB31" s="1" t="s">
        <v>1853</v>
      </c>
      <c r="AC31" s="1" t="s">
        <v>1853</v>
      </c>
      <c r="AD31" s="1" t="s">
        <v>1853</v>
      </c>
      <c r="AE31" s="135" t="s">
        <v>1853</v>
      </c>
      <c r="AF31" s="56">
        <v>45481</v>
      </c>
      <c r="AG31" s="56">
        <v>45481</v>
      </c>
      <c r="AH31" s="56">
        <v>49156</v>
      </c>
      <c r="AJ31" s="4" t="s">
        <v>109</v>
      </c>
      <c r="AK31" s="4" t="s">
        <v>109</v>
      </c>
      <c r="AL31" s="4" t="s">
        <v>109</v>
      </c>
      <c r="AM31" s="4" t="s">
        <v>109</v>
      </c>
      <c r="AP31" s="1">
        <v>70</v>
      </c>
      <c r="AQ31" s="38" t="e">
        <v>#VALUE!</v>
      </c>
    </row>
    <row r="32" spans="1:43" ht="18.75" customHeight="1" x14ac:dyDescent="0.3">
      <c r="A32" s="4">
        <v>2311039</v>
      </c>
      <c r="B32" s="110" t="s">
        <v>218</v>
      </c>
      <c r="C32" s="4" t="e" vm="17">
        <v>#VALUE!</v>
      </c>
      <c r="D32" s="4" t="s">
        <v>20</v>
      </c>
      <c r="E32" s="4" t="s">
        <v>124</v>
      </c>
      <c r="F32" s="4" t="s">
        <v>15</v>
      </c>
      <c r="G32" s="4">
        <v>370.05500000000001</v>
      </c>
      <c r="H32" s="4" t="s">
        <v>18</v>
      </c>
      <c r="I32" s="4" t="s">
        <v>18</v>
      </c>
      <c r="J32" s="1" t="s">
        <v>18</v>
      </c>
      <c r="K32" s="127"/>
      <c r="L32" s="1" t="s">
        <v>1853</v>
      </c>
      <c r="M32" s="1" t="s">
        <v>2236</v>
      </c>
      <c r="N32" s="127"/>
      <c r="O32" s="1" t="s">
        <v>109</v>
      </c>
      <c r="P32" s="1" t="s">
        <v>109</v>
      </c>
      <c r="Q32" s="127"/>
      <c r="R32" s="56" t="s">
        <v>109</v>
      </c>
      <c r="S32" s="56" t="s">
        <v>109</v>
      </c>
      <c r="T32" s="56" t="s">
        <v>109</v>
      </c>
      <c r="U32" s="56" t="s">
        <v>109</v>
      </c>
      <c r="V32" s="39" t="s">
        <v>1853</v>
      </c>
      <c r="W32" s="1" t="s">
        <v>1853</v>
      </c>
      <c r="X32" s="4" t="s">
        <v>109</v>
      </c>
      <c r="Y32" s="4" t="s">
        <v>1853</v>
      </c>
      <c r="Z32" s="4" t="s">
        <v>1853</v>
      </c>
      <c r="AA32" s="39" t="s">
        <v>1853</v>
      </c>
      <c r="AB32" s="1" t="s">
        <v>109</v>
      </c>
      <c r="AC32" s="1" t="s">
        <v>109</v>
      </c>
      <c r="AD32" s="1" t="s">
        <v>109</v>
      </c>
      <c r="AE32" s="1" t="s">
        <v>109</v>
      </c>
      <c r="AF32" s="1" t="s">
        <v>109</v>
      </c>
      <c r="AG32" s="1" t="s">
        <v>109</v>
      </c>
      <c r="AH32" s="1" t="s">
        <v>109</v>
      </c>
      <c r="AJ32" s="4" t="s">
        <v>109</v>
      </c>
      <c r="AK32" s="4" t="s">
        <v>109</v>
      </c>
      <c r="AL32" s="4" t="s">
        <v>109</v>
      </c>
      <c r="AM32" s="4" t="s">
        <v>109</v>
      </c>
      <c r="AP32" s="1" t="e">
        <v>#VALUE!</v>
      </c>
      <c r="AQ32" s="38" t="e">
        <v>#VALUE!</v>
      </c>
    </row>
    <row r="33" spans="1:43" ht="18.75" customHeight="1" x14ac:dyDescent="0.3">
      <c r="A33" s="4">
        <v>2311012</v>
      </c>
      <c r="B33" s="110" t="s">
        <v>219</v>
      </c>
      <c r="C33" s="4" t="e" vm="21">
        <v>#VALUE!</v>
      </c>
      <c r="D33" s="4" t="s">
        <v>20</v>
      </c>
      <c r="E33" s="4" t="s">
        <v>206</v>
      </c>
      <c r="F33" s="4" t="s">
        <v>18</v>
      </c>
      <c r="G33" s="4">
        <v>0</v>
      </c>
      <c r="H33" s="4" t="s">
        <v>18</v>
      </c>
      <c r="I33" s="4" t="s">
        <v>18</v>
      </c>
      <c r="J33" s="1" t="s">
        <v>18</v>
      </c>
      <c r="K33" s="127"/>
      <c r="L33" s="1" t="s">
        <v>1853</v>
      </c>
      <c r="M33" s="1" t="s">
        <v>2236</v>
      </c>
      <c r="N33" s="127"/>
      <c r="O33" s="1" t="s">
        <v>109</v>
      </c>
      <c r="P33" s="1" t="s">
        <v>109</v>
      </c>
      <c r="Q33" s="127"/>
      <c r="R33" s="56" t="s">
        <v>109</v>
      </c>
      <c r="S33" s="56" t="s">
        <v>109</v>
      </c>
      <c r="T33" s="56" t="s">
        <v>109</v>
      </c>
      <c r="U33" s="56" t="s">
        <v>109</v>
      </c>
      <c r="V33" s="39" t="s">
        <v>1853</v>
      </c>
      <c r="W33" s="1" t="s">
        <v>1853</v>
      </c>
      <c r="X33" s="4" t="s">
        <v>109</v>
      </c>
      <c r="Y33" s="4" t="s">
        <v>1853</v>
      </c>
      <c r="Z33" s="4" t="s">
        <v>1853</v>
      </c>
      <c r="AA33" s="39" t="s">
        <v>1853</v>
      </c>
      <c r="AB33" s="1" t="s">
        <v>109</v>
      </c>
      <c r="AC33" s="1" t="s">
        <v>109</v>
      </c>
      <c r="AD33" s="1" t="s">
        <v>109</v>
      </c>
      <c r="AE33" s="1" t="s">
        <v>109</v>
      </c>
      <c r="AF33" s="1" t="s">
        <v>109</v>
      </c>
      <c r="AG33" s="1" t="s">
        <v>109</v>
      </c>
      <c r="AH33" s="1" t="s">
        <v>109</v>
      </c>
      <c r="AJ33" s="4" t="s">
        <v>109</v>
      </c>
      <c r="AK33" s="4" t="s">
        <v>109</v>
      </c>
      <c r="AL33" s="4" t="s">
        <v>109</v>
      </c>
      <c r="AM33" s="4" t="s">
        <v>109</v>
      </c>
      <c r="AP33" s="1" t="e">
        <v>#VALUE!</v>
      </c>
      <c r="AQ33" s="38" t="e">
        <v>#VALUE!</v>
      </c>
    </row>
    <row r="34" spans="1:43" ht="18.75" customHeight="1" x14ac:dyDescent="0.3">
      <c r="A34" s="4">
        <v>2311089</v>
      </c>
      <c r="B34" s="110" t="s">
        <v>220</v>
      </c>
      <c r="C34" s="4" t="e" vm="15">
        <v>#VALUE!</v>
      </c>
      <c r="D34" s="4" t="s">
        <v>20</v>
      </c>
      <c r="E34" s="4" t="s">
        <v>71</v>
      </c>
      <c r="F34" s="4" t="s">
        <v>14</v>
      </c>
      <c r="G34" s="4">
        <v>11.5</v>
      </c>
      <c r="H34" s="4" t="s">
        <v>74</v>
      </c>
      <c r="I34" s="4">
        <v>20</v>
      </c>
      <c r="J34" s="1" t="s">
        <v>221</v>
      </c>
      <c r="K34" s="127"/>
      <c r="L34" s="1" t="s">
        <v>1853</v>
      </c>
      <c r="M34" s="1" t="s">
        <v>2236</v>
      </c>
      <c r="N34" s="127"/>
      <c r="O34" s="1" t="s">
        <v>109</v>
      </c>
      <c r="P34" s="1" t="s">
        <v>109</v>
      </c>
      <c r="Q34" s="127"/>
      <c r="R34" s="56">
        <v>45415</v>
      </c>
      <c r="S34" s="56">
        <v>45432</v>
      </c>
      <c r="T34" s="1" t="s">
        <v>1822</v>
      </c>
      <c r="U34" s="56">
        <v>45775</v>
      </c>
      <c r="V34" s="39" t="s">
        <v>1853</v>
      </c>
      <c r="W34" s="1" t="s">
        <v>1853</v>
      </c>
      <c r="X34" s="4" t="s">
        <v>109</v>
      </c>
      <c r="Y34" s="4" t="s">
        <v>1853</v>
      </c>
      <c r="Z34" s="4" t="s">
        <v>1853</v>
      </c>
      <c r="AA34" s="39" t="s">
        <v>1853</v>
      </c>
      <c r="AB34" s="1" t="s">
        <v>1853</v>
      </c>
      <c r="AC34" s="1" t="s">
        <v>1853</v>
      </c>
      <c r="AD34" s="1" t="s">
        <v>1853</v>
      </c>
      <c r="AE34" s="56">
        <v>45475</v>
      </c>
      <c r="AF34" s="56">
        <v>45479</v>
      </c>
      <c r="AG34" s="56">
        <v>45479</v>
      </c>
      <c r="AH34" s="56">
        <v>49156</v>
      </c>
      <c r="AJ34" s="4" t="s">
        <v>109</v>
      </c>
      <c r="AK34" s="4" t="s">
        <v>109</v>
      </c>
      <c r="AL34" s="4" t="s">
        <v>109</v>
      </c>
      <c r="AM34" s="4" t="s">
        <v>109</v>
      </c>
      <c r="AP34" s="1">
        <v>17</v>
      </c>
      <c r="AQ34" s="38" t="e">
        <v>#VALUE!</v>
      </c>
    </row>
    <row r="35" spans="1:43" ht="18.75" customHeight="1" x14ac:dyDescent="0.3">
      <c r="A35" s="4">
        <v>2312118</v>
      </c>
      <c r="B35" s="110" t="s">
        <v>226</v>
      </c>
      <c r="C35" s="4" t="e" vm="15">
        <v>#VALUE!</v>
      </c>
      <c r="D35" s="4" t="s">
        <v>21</v>
      </c>
      <c r="E35" s="4" t="s">
        <v>71</v>
      </c>
      <c r="F35" s="4" t="s">
        <v>14</v>
      </c>
      <c r="G35" s="4">
        <v>13.8</v>
      </c>
      <c r="H35" s="4" t="s">
        <v>74</v>
      </c>
      <c r="I35" s="4">
        <v>24.000000000000004</v>
      </c>
      <c r="J35" s="1" t="s">
        <v>131</v>
      </c>
      <c r="K35" s="127"/>
      <c r="L35" s="1" t="s">
        <v>1853</v>
      </c>
      <c r="M35" s="1" t="s">
        <v>2236</v>
      </c>
      <c r="N35" s="127"/>
      <c r="O35" s="1" t="s">
        <v>109</v>
      </c>
      <c r="P35" s="1" t="s">
        <v>109</v>
      </c>
      <c r="Q35" s="127"/>
      <c r="R35" s="56">
        <v>45331</v>
      </c>
      <c r="S35" s="56">
        <v>45385</v>
      </c>
      <c r="T35" s="1" t="s">
        <v>1822</v>
      </c>
      <c r="U35" s="56">
        <v>45769</v>
      </c>
      <c r="V35" s="39" t="s">
        <v>1853</v>
      </c>
      <c r="W35" s="1" t="s">
        <v>1853</v>
      </c>
      <c r="X35" s="4" t="s">
        <v>109</v>
      </c>
      <c r="Y35" s="4" t="s">
        <v>1853</v>
      </c>
      <c r="Z35" s="4" t="s">
        <v>1853</v>
      </c>
      <c r="AA35" s="39" t="s">
        <v>1853</v>
      </c>
      <c r="AB35" s="1" t="s">
        <v>1853</v>
      </c>
      <c r="AC35" s="1" t="s">
        <v>1853</v>
      </c>
      <c r="AD35" s="1" t="s">
        <v>1853</v>
      </c>
      <c r="AE35" s="56" t="s">
        <v>1853</v>
      </c>
      <c r="AF35" s="56">
        <v>45423</v>
      </c>
      <c r="AG35" s="56">
        <v>45423</v>
      </c>
      <c r="AH35" s="56">
        <v>49095</v>
      </c>
      <c r="AJ35" s="4" t="s">
        <v>109</v>
      </c>
      <c r="AK35" s="4" t="s">
        <v>109</v>
      </c>
      <c r="AL35" s="4" t="s">
        <v>109</v>
      </c>
      <c r="AM35" s="4" t="s">
        <v>109</v>
      </c>
      <c r="AP35" s="1">
        <v>54</v>
      </c>
      <c r="AQ35" s="38" t="e">
        <v>#VALUE!</v>
      </c>
    </row>
    <row r="36" spans="1:43" ht="18.75" customHeight="1" x14ac:dyDescent="0.3">
      <c r="A36" s="4">
        <v>2309070</v>
      </c>
      <c r="B36" s="110" t="s">
        <v>231</v>
      </c>
      <c r="C36" s="4" t="e" vm="15">
        <v>#VALUE!</v>
      </c>
      <c r="D36" s="4" t="s">
        <v>20</v>
      </c>
      <c r="E36" s="4" t="s">
        <v>71</v>
      </c>
      <c r="F36" s="4" t="s">
        <v>14</v>
      </c>
      <c r="G36" s="4">
        <v>13.8</v>
      </c>
      <c r="H36" s="4" t="s">
        <v>74</v>
      </c>
      <c r="I36" s="4">
        <v>24.000000000000004</v>
      </c>
      <c r="J36" s="1" t="s">
        <v>131</v>
      </c>
      <c r="K36" s="127"/>
      <c r="L36" s="1" t="s">
        <v>1853</v>
      </c>
      <c r="M36" s="1" t="s">
        <v>2236</v>
      </c>
      <c r="N36" s="127"/>
      <c r="O36" s="1" t="s">
        <v>109</v>
      </c>
      <c r="P36" s="1" t="s">
        <v>109</v>
      </c>
      <c r="Q36" s="127"/>
      <c r="R36" s="56">
        <v>45486</v>
      </c>
      <c r="S36" s="56">
        <v>45497</v>
      </c>
      <c r="T36" s="1" t="s">
        <v>1822</v>
      </c>
      <c r="U36" s="56">
        <v>45792</v>
      </c>
      <c r="V36" s="39" t="s">
        <v>1853</v>
      </c>
      <c r="W36" s="1" t="s">
        <v>1853</v>
      </c>
      <c r="X36" s="4" t="s">
        <v>109</v>
      </c>
      <c r="Y36" s="4" t="s">
        <v>1853</v>
      </c>
      <c r="Z36" s="4" t="s">
        <v>1853</v>
      </c>
      <c r="AA36" s="39" t="s">
        <v>1853</v>
      </c>
      <c r="AB36" s="1" t="s">
        <v>1853</v>
      </c>
      <c r="AC36" s="1" t="s">
        <v>1853</v>
      </c>
      <c r="AD36" s="1" t="s">
        <v>1853</v>
      </c>
      <c r="AE36" s="56" t="s">
        <v>1853</v>
      </c>
      <c r="AF36" s="56">
        <v>45551</v>
      </c>
      <c r="AG36" s="56">
        <v>45551</v>
      </c>
      <c r="AH36" s="56">
        <v>49217</v>
      </c>
      <c r="AJ36" s="4" t="s">
        <v>109</v>
      </c>
      <c r="AK36" s="4" t="s">
        <v>109</v>
      </c>
      <c r="AL36" s="4" t="s">
        <v>109</v>
      </c>
      <c r="AM36" s="4" t="s">
        <v>109</v>
      </c>
      <c r="AP36" s="1">
        <v>11</v>
      </c>
      <c r="AQ36" s="38" t="e">
        <v>#VALUE!</v>
      </c>
    </row>
    <row r="37" spans="1:43" s="142" customFormat="1" ht="18.75" customHeight="1" x14ac:dyDescent="0.3">
      <c r="A37" s="116">
        <v>2310075</v>
      </c>
      <c r="B37" s="125" t="s">
        <v>236</v>
      </c>
      <c r="C37" s="116" t="e" vm="16">
        <v>#VALUE!</v>
      </c>
      <c r="D37" s="4" t="s">
        <v>19</v>
      </c>
      <c r="E37" s="116" t="s">
        <v>71</v>
      </c>
      <c r="F37" s="116" t="s">
        <v>14</v>
      </c>
      <c r="G37" s="116">
        <v>14.625</v>
      </c>
      <c r="H37" s="116" t="s">
        <v>237</v>
      </c>
      <c r="I37" s="116">
        <v>25</v>
      </c>
      <c r="J37" s="139" t="s">
        <v>131</v>
      </c>
      <c r="K37" s="140"/>
      <c r="L37" s="1" t="s">
        <v>1853</v>
      </c>
      <c r="M37" s="139" t="s">
        <v>2237</v>
      </c>
      <c r="N37" s="140"/>
      <c r="O37" s="139" t="s">
        <v>109</v>
      </c>
      <c r="P37" s="139" t="s">
        <v>109</v>
      </c>
      <c r="Q37" s="140"/>
      <c r="R37" s="141">
        <v>45383</v>
      </c>
      <c r="S37" s="141">
        <v>45412</v>
      </c>
      <c r="T37" s="139" t="s">
        <v>1819</v>
      </c>
      <c r="U37" s="141">
        <v>45717</v>
      </c>
      <c r="V37" s="120" t="s">
        <v>1853</v>
      </c>
      <c r="W37" s="139" t="s">
        <v>1853</v>
      </c>
      <c r="X37" s="116" t="s">
        <v>109</v>
      </c>
      <c r="Y37" s="116" t="s">
        <v>1853</v>
      </c>
      <c r="Z37" s="116" t="s">
        <v>109</v>
      </c>
      <c r="AA37" s="116" t="s">
        <v>109</v>
      </c>
      <c r="AB37" s="116" t="s">
        <v>109</v>
      </c>
      <c r="AC37" s="116" t="s">
        <v>109</v>
      </c>
      <c r="AD37" s="116" t="s">
        <v>109</v>
      </c>
      <c r="AE37" s="116" t="s">
        <v>109</v>
      </c>
      <c r="AF37" s="116" t="s">
        <v>109</v>
      </c>
      <c r="AG37" s="116" t="s">
        <v>109</v>
      </c>
      <c r="AH37" s="116" t="s">
        <v>109</v>
      </c>
      <c r="AI37" s="123"/>
      <c r="AJ37" s="116" t="s">
        <v>109</v>
      </c>
      <c r="AK37" s="116" t="s">
        <v>109</v>
      </c>
      <c r="AL37" s="116" t="s">
        <v>109</v>
      </c>
      <c r="AM37" s="116" t="s">
        <v>109</v>
      </c>
      <c r="AP37" s="1">
        <v>29</v>
      </c>
      <c r="AQ37" s="143" t="e">
        <v>#VALUE!</v>
      </c>
    </row>
    <row r="38" spans="1:43" s="217" customFormat="1" ht="18.75" customHeight="1" x14ac:dyDescent="0.3">
      <c r="A38" s="210">
        <v>2310076</v>
      </c>
      <c r="B38" s="211" t="s">
        <v>242</v>
      </c>
      <c r="C38" s="210" t="e" vm="18">
        <v>#VALUE!</v>
      </c>
      <c r="D38" s="210" t="s">
        <v>17</v>
      </c>
      <c r="E38" s="210" t="s">
        <v>71</v>
      </c>
      <c r="F38" s="210" t="s">
        <v>14</v>
      </c>
      <c r="G38" s="210">
        <v>8.26</v>
      </c>
      <c r="H38" s="210" t="s">
        <v>243</v>
      </c>
      <c r="I38" s="210">
        <v>14</v>
      </c>
      <c r="J38" s="212" t="s">
        <v>244</v>
      </c>
      <c r="K38" s="213"/>
      <c r="L38" s="212" t="s">
        <v>2241</v>
      </c>
      <c r="M38" s="212" t="s">
        <v>2236</v>
      </c>
      <c r="N38" s="213"/>
      <c r="O38" s="212" t="s">
        <v>109</v>
      </c>
      <c r="P38" s="212" t="s">
        <v>109</v>
      </c>
      <c r="Q38" s="213"/>
      <c r="R38" s="214">
        <v>45722</v>
      </c>
      <c r="S38" s="214">
        <v>45727</v>
      </c>
      <c r="T38" s="212" t="s">
        <v>1819</v>
      </c>
      <c r="U38" s="214">
        <v>46086</v>
      </c>
      <c r="V38" s="215" t="s">
        <v>1853</v>
      </c>
      <c r="W38" s="212" t="s">
        <v>1853</v>
      </c>
      <c r="X38" s="210" t="s">
        <v>109</v>
      </c>
      <c r="Y38" s="210" t="s">
        <v>1853</v>
      </c>
      <c r="Z38" s="210" t="s">
        <v>1853</v>
      </c>
      <c r="AA38" s="215">
        <v>45762</v>
      </c>
      <c r="AB38" s="215">
        <v>45764</v>
      </c>
      <c r="AC38" s="215" t="s">
        <v>1853</v>
      </c>
      <c r="AD38" s="215">
        <v>45775</v>
      </c>
      <c r="AE38" s="214">
        <v>45772</v>
      </c>
      <c r="AF38" s="214">
        <v>45775</v>
      </c>
      <c r="AG38" s="214"/>
      <c r="AH38" s="214"/>
      <c r="AI38" s="216"/>
      <c r="AJ38" s="210" t="s">
        <v>109</v>
      </c>
      <c r="AK38" s="210" t="s">
        <v>109</v>
      </c>
      <c r="AL38" s="210" t="s">
        <v>109</v>
      </c>
      <c r="AM38" s="210" t="s">
        <v>109</v>
      </c>
      <c r="AP38" s="212">
        <v>5</v>
      </c>
      <c r="AQ38" s="218">
        <v>55</v>
      </c>
    </row>
    <row r="39" spans="1:43" ht="18.75" customHeight="1" x14ac:dyDescent="0.3">
      <c r="A39" s="4">
        <v>2310085</v>
      </c>
      <c r="B39" s="110" t="s">
        <v>249</v>
      </c>
      <c r="C39" s="4" t="e" vm="15">
        <v>#VALUE!</v>
      </c>
      <c r="D39" s="4" t="s">
        <v>20</v>
      </c>
      <c r="E39" s="4" t="s">
        <v>71</v>
      </c>
      <c r="F39" s="4" t="s">
        <v>14</v>
      </c>
      <c r="G39" s="4">
        <v>12.074999999999999</v>
      </c>
      <c r="H39" s="4" t="s">
        <v>74</v>
      </c>
      <c r="I39" s="4">
        <v>21</v>
      </c>
      <c r="J39" s="1" t="s">
        <v>83</v>
      </c>
      <c r="K39" s="127"/>
      <c r="L39" s="1" t="s">
        <v>1853</v>
      </c>
      <c r="M39" s="1" t="s">
        <v>2236</v>
      </c>
      <c r="N39" s="127"/>
      <c r="O39" s="1" t="s">
        <v>109</v>
      </c>
      <c r="P39" s="1" t="s">
        <v>109</v>
      </c>
      <c r="Q39" s="127"/>
      <c r="R39" s="56">
        <v>45374</v>
      </c>
      <c r="S39" s="56">
        <v>45384</v>
      </c>
      <c r="T39" s="1" t="s">
        <v>1822</v>
      </c>
      <c r="U39" s="56">
        <v>45891</v>
      </c>
      <c r="V39" s="39" t="s">
        <v>1853</v>
      </c>
      <c r="W39" s="1" t="s">
        <v>1853</v>
      </c>
      <c r="X39" s="4" t="s">
        <v>109</v>
      </c>
      <c r="Y39" s="4" t="s">
        <v>1853</v>
      </c>
      <c r="Z39" s="4" t="s">
        <v>1853</v>
      </c>
      <c r="AA39" s="4" t="s">
        <v>1853</v>
      </c>
      <c r="AB39" s="4" t="s">
        <v>1853</v>
      </c>
      <c r="AC39" s="4" t="s">
        <v>1853</v>
      </c>
      <c r="AD39" s="4" t="s">
        <v>1853</v>
      </c>
      <c r="AE39" s="56">
        <v>45441</v>
      </c>
      <c r="AF39" s="56">
        <v>45455</v>
      </c>
      <c r="AG39" s="56">
        <v>45455</v>
      </c>
      <c r="AH39" s="56">
        <v>49125</v>
      </c>
      <c r="AJ39" s="4" t="s">
        <v>109</v>
      </c>
      <c r="AK39" s="4" t="s">
        <v>109</v>
      </c>
      <c r="AL39" s="4" t="s">
        <v>109</v>
      </c>
      <c r="AM39" s="4" t="s">
        <v>109</v>
      </c>
      <c r="AP39" s="1">
        <v>10</v>
      </c>
      <c r="AQ39" s="38" t="e">
        <v>#VALUE!</v>
      </c>
    </row>
    <row r="40" spans="1:43" s="217" customFormat="1" ht="18.75" customHeight="1" x14ac:dyDescent="0.3">
      <c r="A40" s="210">
        <v>2312113</v>
      </c>
      <c r="B40" s="211" t="s">
        <v>254</v>
      </c>
      <c r="C40" s="210" t="e" vm="15">
        <v>#VALUE!</v>
      </c>
      <c r="D40" s="210" t="s">
        <v>20</v>
      </c>
      <c r="E40" s="210" t="s">
        <v>71</v>
      </c>
      <c r="F40" s="210" t="s">
        <v>14</v>
      </c>
      <c r="G40" s="210">
        <v>13.8</v>
      </c>
      <c r="H40" s="210" t="s">
        <v>74</v>
      </c>
      <c r="I40" s="210">
        <v>24.000000000000004</v>
      </c>
      <c r="J40" s="212" t="s">
        <v>143</v>
      </c>
      <c r="K40" s="213"/>
      <c r="L40" s="212" t="s">
        <v>2241</v>
      </c>
      <c r="M40" s="212" t="s">
        <v>2238</v>
      </c>
      <c r="N40" s="213"/>
      <c r="O40" s="212" t="s">
        <v>109</v>
      </c>
      <c r="P40" s="212" t="s">
        <v>109</v>
      </c>
      <c r="Q40" s="213"/>
      <c r="R40" s="214">
        <v>45601</v>
      </c>
      <c r="S40" s="214">
        <v>45617</v>
      </c>
      <c r="T40" s="212" t="s">
        <v>1819</v>
      </c>
      <c r="U40" s="214">
        <v>45965</v>
      </c>
      <c r="V40" s="215" t="s">
        <v>1853</v>
      </c>
      <c r="W40" s="212" t="s">
        <v>1853</v>
      </c>
      <c r="X40" s="210" t="s">
        <v>109</v>
      </c>
      <c r="Y40" s="210" t="s">
        <v>1853</v>
      </c>
      <c r="Z40" s="210" t="s">
        <v>1855</v>
      </c>
      <c r="AA40" s="215">
        <v>45700</v>
      </c>
      <c r="AB40" s="215" t="s">
        <v>1853</v>
      </c>
      <c r="AC40" s="215" t="s">
        <v>1853</v>
      </c>
      <c r="AD40" s="215">
        <v>45891</v>
      </c>
      <c r="AE40" s="214" t="s">
        <v>1853</v>
      </c>
      <c r="AF40" s="214" t="s">
        <v>1853</v>
      </c>
      <c r="AG40" s="214"/>
      <c r="AH40" s="214"/>
      <c r="AI40" s="216"/>
      <c r="AJ40" s="210" t="s">
        <v>109</v>
      </c>
      <c r="AK40" s="210" t="s">
        <v>109</v>
      </c>
      <c r="AL40" s="210" t="s">
        <v>109</v>
      </c>
      <c r="AM40" s="210" t="s">
        <v>109</v>
      </c>
      <c r="AP40" s="212">
        <v>16</v>
      </c>
      <c r="AQ40" s="218">
        <v>387</v>
      </c>
    </row>
    <row r="41" spans="1:43" ht="18.75" customHeight="1" x14ac:dyDescent="0.3">
      <c r="A41" s="4">
        <v>2401121</v>
      </c>
      <c r="B41" s="110" t="s">
        <v>259</v>
      </c>
      <c r="C41" s="4" t="e" vm="18">
        <v>#VALUE!</v>
      </c>
      <c r="D41" s="4" t="s">
        <v>17</v>
      </c>
      <c r="E41" s="4" t="s">
        <v>71</v>
      </c>
      <c r="F41" s="4" t="s">
        <v>14</v>
      </c>
      <c r="G41" s="4">
        <v>11.7</v>
      </c>
      <c r="H41" s="4" t="s">
        <v>237</v>
      </c>
      <c r="I41" s="4">
        <v>20</v>
      </c>
      <c r="J41" s="1" t="s">
        <v>83</v>
      </c>
      <c r="K41" s="127"/>
      <c r="L41" s="1" t="s">
        <v>1853</v>
      </c>
      <c r="M41" s="1" t="s">
        <v>2236</v>
      </c>
      <c r="N41" s="127"/>
      <c r="O41" s="1" t="s">
        <v>109</v>
      </c>
      <c r="P41" s="1" t="s">
        <v>109</v>
      </c>
      <c r="Q41" s="127"/>
      <c r="R41" s="56">
        <v>45399</v>
      </c>
      <c r="S41" s="56">
        <v>45407</v>
      </c>
      <c r="T41" s="1" t="s">
        <v>1822</v>
      </c>
      <c r="U41" s="56">
        <v>45769</v>
      </c>
      <c r="V41" s="39" t="s">
        <v>1853</v>
      </c>
      <c r="W41" s="1" t="s">
        <v>1853</v>
      </c>
      <c r="X41" s="4" t="s">
        <v>109</v>
      </c>
      <c r="Y41" s="4" t="s">
        <v>1853</v>
      </c>
      <c r="Z41" s="4" t="s">
        <v>1855</v>
      </c>
      <c r="AA41" s="4" t="s">
        <v>1853</v>
      </c>
      <c r="AB41" s="4" t="s">
        <v>1853</v>
      </c>
      <c r="AC41" s="4" t="s">
        <v>1853</v>
      </c>
      <c r="AD41" s="4" t="s">
        <v>1853</v>
      </c>
      <c r="AE41" s="56">
        <v>45449</v>
      </c>
      <c r="AF41" s="56">
        <v>45451</v>
      </c>
      <c r="AG41" s="56">
        <v>45451</v>
      </c>
      <c r="AH41" s="56">
        <v>49125</v>
      </c>
      <c r="AJ41" s="4" t="s">
        <v>109</v>
      </c>
      <c r="AK41" s="4" t="s">
        <v>109</v>
      </c>
      <c r="AL41" s="4" t="s">
        <v>109</v>
      </c>
      <c r="AM41" s="4" t="s">
        <v>109</v>
      </c>
      <c r="AP41" s="1">
        <v>8</v>
      </c>
      <c r="AQ41" s="38" t="e">
        <v>#VALUE!</v>
      </c>
    </row>
    <row r="42" spans="1:43" ht="18.75" customHeight="1" x14ac:dyDescent="0.3">
      <c r="A42" s="4">
        <v>2401124</v>
      </c>
      <c r="B42" s="110" t="s">
        <v>264</v>
      </c>
      <c r="C42" s="4" t="e" vm="15">
        <v>#VALUE!</v>
      </c>
      <c r="D42" s="4" t="s">
        <v>17</v>
      </c>
      <c r="E42" s="4" t="s">
        <v>71</v>
      </c>
      <c r="F42" s="4" t="s">
        <v>14</v>
      </c>
      <c r="G42" s="4">
        <v>17.55</v>
      </c>
      <c r="H42" s="4" t="s">
        <v>237</v>
      </c>
      <c r="I42" s="4">
        <v>30.000000000000004</v>
      </c>
      <c r="J42" s="1" t="s">
        <v>143</v>
      </c>
      <c r="K42" s="127"/>
      <c r="L42" s="1" t="s">
        <v>1853</v>
      </c>
      <c r="M42" s="1" t="s">
        <v>2236</v>
      </c>
      <c r="N42" s="127"/>
      <c r="O42" s="1" t="s">
        <v>109</v>
      </c>
      <c r="P42" s="1" t="s">
        <v>109</v>
      </c>
      <c r="Q42" s="127"/>
      <c r="R42" s="56">
        <v>45400</v>
      </c>
      <c r="S42" s="56">
        <v>45407</v>
      </c>
      <c r="T42" s="1" t="s">
        <v>1822</v>
      </c>
      <c r="U42" s="56">
        <v>45768</v>
      </c>
      <c r="V42" s="39" t="s">
        <v>1853</v>
      </c>
      <c r="W42" s="1" t="s">
        <v>1853</v>
      </c>
      <c r="X42" s="4" t="s">
        <v>109</v>
      </c>
      <c r="Y42" s="4" t="s">
        <v>1853</v>
      </c>
      <c r="Z42" s="4" t="s">
        <v>1853</v>
      </c>
      <c r="AA42" s="4" t="s">
        <v>1853</v>
      </c>
      <c r="AB42" s="4" t="s">
        <v>1853</v>
      </c>
      <c r="AC42" s="4" t="s">
        <v>1853</v>
      </c>
      <c r="AD42" s="4" t="s">
        <v>1853</v>
      </c>
      <c r="AE42" s="56">
        <v>45468</v>
      </c>
      <c r="AF42" s="56">
        <v>45470</v>
      </c>
      <c r="AG42" s="56">
        <v>45470</v>
      </c>
      <c r="AH42" s="56">
        <v>49125</v>
      </c>
      <c r="AJ42" s="4" t="s">
        <v>109</v>
      </c>
      <c r="AK42" s="4" t="s">
        <v>109</v>
      </c>
      <c r="AL42" s="4" t="s">
        <v>109</v>
      </c>
      <c r="AM42" s="4" t="s">
        <v>109</v>
      </c>
      <c r="AP42" s="1">
        <v>7</v>
      </c>
      <c r="AQ42" s="38" t="e">
        <v>#VALUE!</v>
      </c>
    </row>
    <row r="43" spans="1:43" ht="18" customHeight="1" x14ac:dyDescent="0.3">
      <c r="A43" s="4">
        <v>2401131</v>
      </c>
      <c r="B43" s="110" t="s">
        <v>270</v>
      </c>
      <c r="C43" s="4" t="e" vm="15">
        <v>#VALUE!</v>
      </c>
      <c r="D43" s="4" t="s">
        <v>17</v>
      </c>
      <c r="E43" s="4" t="s">
        <v>71</v>
      </c>
      <c r="F43" s="4" t="s">
        <v>14</v>
      </c>
      <c r="G43" s="4">
        <v>8.19</v>
      </c>
      <c r="H43" s="4" t="s">
        <v>237</v>
      </c>
      <c r="I43" s="4">
        <v>14</v>
      </c>
      <c r="J43" s="1" t="s">
        <v>244</v>
      </c>
      <c r="K43" s="127"/>
      <c r="L43" s="1" t="s">
        <v>1853</v>
      </c>
      <c r="M43" s="1" t="s">
        <v>2236</v>
      </c>
      <c r="N43" s="127"/>
      <c r="O43" s="1" t="s">
        <v>109</v>
      </c>
      <c r="P43" s="1" t="s">
        <v>109</v>
      </c>
      <c r="Q43" s="127"/>
      <c r="R43" s="56">
        <v>45401</v>
      </c>
      <c r="S43" s="56">
        <v>45427</v>
      </c>
      <c r="T43" s="1" t="s">
        <v>1822</v>
      </c>
      <c r="U43" s="56">
        <v>45777</v>
      </c>
      <c r="V43" s="39" t="s">
        <v>1853</v>
      </c>
      <c r="W43" s="1" t="s">
        <v>1853</v>
      </c>
      <c r="X43" s="4" t="s">
        <v>109</v>
      </c>
      <c r="Y43" s="4" t="s">
        <v>1853</v>
      </c>
      <c r="Z43" s="4" t="s">
        <v>1853</v>
      </c>
      <c r="AA43" s="4" t="s">
        <v>1853</v>
      </c>
      <c r="AB43" s="4" t="s">
        <v>1853</v>
      </c>
      <c r="AC43" s="4" t="s">
        <v>1853</v>
      </c>
      <c r="AD43" s="4" t="s">
        <v>1853</v>
      </c>
      <c r="AE43" s="56">
        <v>45475</v>
      </c>
      <c r="AF43" s="56">
        <v>45477</v>
      </c>
      <c r="AG43" s="56">
        <v>45477</v>
      </c>
      <c r="AH43" s="56">
        <v>49156</v>
      </c>
      <c r="AJ43" s="4" t="s">
        <v>109</v>
      </c>
      <c r="AK43" s="4" t="s">
        <v>109</v>
      </c>
      <c r="AL43" s="4" t="s">
        <v>109</v>
      </c>
      <c r="AM43" s="4" t="s">
        <v>109</v>
      </c>
      <c r="AP43" s="1">
        <v>26</v>
      </c>
      <c r="AQ43" s="38" t="e">
        <v>#VALUE!</v>
      </c>
    </row>
    <row r="44" spans="1:43" ht="18.75" customHeight="1" x14ac:dyDescent="0.3">
      <c r="A44" s="4">
        <v>2401137</v>
      </c>
      <c r="B44" s="110" t="s">
        <v>275</v>
      </c>
      <c r="C44" s="4" t="e" vm="15">
        <v>#VALUE!</v>
      </c>
      <c r="D44" s="4" t="s">
        <v>17</v>
      </c>
      <c r="E44" s="4" t="s">
        <v>71</v>
      </c>
      <c r="F44" s="4" t="s">
        <v>14</v>
      </c>
      <c r="G44" s="4">
        <v>11.7</v>
      </c>
      <c r="H44" s="4" t="s">
        <v>237</v>
      </c>
      <c r="I44" s="4">
        <v>20</v>
      </c>
      <c r="J44" s="1" t="s">
        <v>111</v>
      </c>
      <c r="K44" s="127"/>
      <c r="L44" s="1" t="s">
        <v>1853</v>
      </c>
      <c r="M44" s="1" t="s">
        <v>2236</v>
      </c>
      <c r="N44" s="127"/>
      <c r="O44" s="1" t="s">
        <v>109</v>
      </c>
      <c r="P44" s="1" t="s">
        <v>109</v>
      </c>
      <c r="Q44" s="127"/>
      <c r="R44" s="56">
        <v>45391</v>
      </c>
      <c r="S44" s="56">
        <v>45427</v>
      </c>
      <c r="T44" s="1" t="s">
        <v>1822</v>
      </c>
      <c r="U44" s="56">
        <v>45775</v>
      </c>
      <c r="V44" s="39" t="s">
        <v>1853</v>
      </c>
      <c r="W44" s="1" t="s">
        <v>1853</v>
      </c>
      <c r="X44" s="4" t="s">
        <v>109</v>
      </c>
      <c r="Y44" s="4" t="s">
        <v>1853</v>
      </c>
      <c r="Z44" s="4" t="s">
        <v>1853</v>
      </c>
      <c r="AA44" s="4" t="s">
        <v>1853</v>
      </c>
      <c r="AB44" s="4" t="s">
        <v>1853</v>
      </c>
      <c r="AC44" s="4" t="s">
        <v>1853</v>
      </c>
      <c r="AD44" s="4" t="s">
        <v>1853</v>
      </c>
      <c r="AE44" s="4" t="s">
        <v>1853</v>
      </c>
      <c r="AF44" s="56">
        <v>45463</v>
      </c>
      <c r="AG44" s="56">
        <v>45463</v>
      </c>
      <c r="AH44" s="56">
        <v>45473</v>
      </c>
      <c r="AJ44" s="4" t="s">
        <v>109</v>
      </c>
      <c r="AK44" s="4" t="s">
        <v>109</v>
      </c>
      <c r="AL44" s="4" t="s">
        <v>109</v>
      </c>
      <c r="AM44" s="4" t="s">
        <v>109</v>
      </c>
      <c r="AP44" s="1">
        <v>36</v>
      </c>
      <c r="AQ44" s="38" t="e">
        <v>#VALUE!</v>
      </c>
    </row>
    <row r="45" spans="1:43" ht="18.75" customHeight="1" x14ac:dyDescent="0.3">
      <c r="A45" s="4">
        <v>2401147</v>
      </c>
      <c r="B45" s="110" t="s">
        <v>280</v>
      </c>
      <c r="C45" s="4" t="e" vm="18">
        <v>#VALUE!</v>
      </c>
      <c r="D45" s="4" t="s">
        <v>17</v>
      </c>
      <c r="E45" s="4" t="s">
        <v>71</v>
      </c>
      <c r="F45" s="4" t="s">
        <v>14</v>
      </c>
      <c r="G45" s="4">
        <v>11.7</v>
      </c>
      <c r="H45" s="4" t="s">
        <v>237</v>
      </c>
      <c r="I45" s="4">
        <v>20</v>
      </c>
      <c r="J45" s="1" t="s">
        <v>111</v>
      </c>
      <c r="K45" s="127"/>
      <c r="L45" s="1" t="s">
        <v>1853</v>
      </c>
      <c r="M45" s="1" t="s">
        <v>2236</v>
      </c>
      <c r="N45" s="127"/>
      <c r="O45" s="1" t="s">
        <v>109</v>
      </c>
      <c r="P45" s="1" t="s">
        <v>109</v>
      </c>
      <c r="Q45" s="127"/>
      <c r="R45" s="56">
        <v>45386</v>
      </c>
      <c r="S45" s="56">
        <v>45420</v>
      </c>
      <c r="T45" s="1" t="s">
        <v>1822</v>
      </c>
      <c r="U45" s="56">
        <v>45792</v>
      </c>
      <c r="V45" s="39" t="s">
        <v>1853</v>
      </c>
      <c r="W45" s="1" t="s">
        <v>1853</v>
      </c>
      <c r="X45" s="4" t="s">
        <v>109</v>
      </c>
      <c r="Y45" s="4" t="s">
        <v>1853</v>
      </c>
      <c r="Z45" s="4" t="s">
        <v>1853</v>
      </c>
      <c r="AA45" s="4" t="s">
        <v>1853</v>
      </c>
      <c r="AB45" s="4" t="s">
        <v>1853</v>
      </c>
      <c r="AC45" s="4" t="s">
        <v>1853</v>
      </c>
      <c r="AD45" s="4" t="s">
        <v>1853</v>
      </c>
      <c r="AE45" s="56">
        <v>45468</v>
      </c>
      <c r="AF45" s="56">
        <v>45474</v>
      </c>
      <c r="AG45" s="56">
        <v>45474</v>
      </c>
      <c r="AH45" s="56">
        <v>49156</v>
      </c>
      <c r="AJ45" s="4" t="s">
        <v>109</v>
      </c>
      <c r="AK45" s="4" t="s">
        <v>109</v>
      </c>
      <c r="AL45" s="4" t="s">
        <v>109</v>
      </c>
      <c r="AM45" s="4" t="s">
        <v>109</v>
      </c>
      <c r="AP45" s="1">
        <v>34</v>
      </c>
      <c r="AQ45" s="38" t="e">
        <v>#VALUE!</v>
      </c>
    </row>
    <row r="46" spans="1:43" ht="18.75" customHeight="1" x14ac:dyDescent="0.3">
      <c r="A46" s="4">
        <v>2403165</v>
      </c>
      <c r="B46" s="110" t="s">
        <v>285</v>
      </c>
      <c r="C46" s="4" t="e" vm="15">
        <v>#VALUE!</v>
      </c>
      <c r="D46" s="4" t="s">
        <v>17</v>
      </c>
      <c r="E46" s="4" t="s">
        <v>71</v>
      </c>
      <c r="F46" s="4" t="s">
        <v>14</v>
      </c>
      <c r="G46" s="4">
        <v>7.02</v>
      </c>
      <c r="H46" s="4" t="s">
        <v>237</v>
      </c>
      <c r="I46" s="4">
        <v>12</v>
      </c>
      <c r="J46" s="1" t="s">
        <v>286</v>
      </c>
      <c r="K46" s="127"/>
      <c r="L46" s="1" t="s">
        <v>1853</v>
      </c>
      <c r="M46" s="1" t="s">
        <v>2236</v>
      </c>
      <c r="N46" s="127"/>
      <c r="O46" s="1" t="s">
        <v>109</v>
      </c>
      <c r="P46" s="1" t="s">
        <v>109</v>
      </c>
      <c r="Q46" s="127"/>
      <c r="R46" s="56">
        <v>45398</v>
      </c>
      <c r="S46" s="56">
        <v>45407</v>
      </c>
      <c r="T46" s="1" t="s">
        <v>1822</v>
      </c>
      <c r="U46" s="56">
        <v>45768</v>
      </c>
      <c r="V46" s="39" t="s">
        <v>1853</v>
      </c>
      <c r="W46" s="1" t="s">
        <v>1853</v>
      </c>
      <c r="X46" s="4" t="s">
        <v>109</v>
      </c>
      <c r="Y46" s="4" t="s">
        <v>1853</v>
      </c>
      <c r="Z46" s="4" t="s">
        <v>1853</v>
      </c>
      <c r="AA46" s="4" t="s">
        <v>1853</v>
      </c>
      <c r="AB46" s="4" t="s">
        <v>1853</v>
      </c>
      <c r="AC46" s="4" t="s">
        <v>1853</v>
      </c>
      <c r="AD46" s="4" t="s">
        <v>1853</v>
      </c>
      <c r="AE46" s="56" t="s">
        <v>1853</v>
      </c>
      <c r="AF46" s="56">
        <v>45462</v>
      </c>
      <c r="AG46" s="56">
        <v>45462</v>
      </c>
      <c r="AH46" s="56">
        <v>49125</v>
      </c>
      <c r="AJ46" s="4" t="s">
        <v>109</v>
      </c>
      <c r="AK46" s="4" t="s">
        <v>109</v>
      </c>
      <c r="AL46" s="4" t="s">
        <v>109</v>
      </c>
      <c r="AM46" s="4" t="s">
        <v>109</v>
      </c>
      <c r="AP46" s="1">
        <v>9</v>
      </c>
      <c r="AQ46" s="38" t="e">
        <v>#VALUE!</v>
      </c>
    </row>
    <row r="47" spans="1:43" ht="18.75" customHeight="1" x14ac:dyDescent="0.3">
      <c r="A47" s="4">
        <v>2403167</v>
      </c>
      <c r="B47" s="110" t="s">
        <v>291</v>
      </c>
      <c r="C47" s="4" t="e" vm="22">
        <v>#VALUE!</v>
      </c>
      <c r="D47" s="4" t="s">
        <v>17</v>
      </c>
      <c r="E47" s="4" t="s">
        <v>71</v>
      </c>
      <c r="F47" s="4" t="s">
        <v>14</v>
      </c>
      <c r="G47" s="4">
        <v>17.55</v>
      </c>
      <c r="H47" s="4" t="s">
        <v>237</v>
      </c>
      <c r="I47" s="4">
        <v>30.000000000000004</v>
      </c>
      <c r="J47" s="1" t="s">
        <v>143</v>
      </c>
      <c r="K47" s="127"/>
      <c r="L47" s="1" t="s">
        <v>1853</v>
      </c>
      <c r="M47" s="1" t="s">
        <v>2236</v>
      </c>
      <c r="N47" s="127"/>
      <c r="O47" s="1" t="s">
        <v>109</v>
      </c>
      <c r="P47" s="1" t="s">
        <v>109</v>
      </c>
      <c r="Q47" s="127"/>
      <c r="R47" s="56">
        <v>45384</v>
      </c>
      <c r="S47" s="56">
        <v>45407</v>
      </c>
      <c r="T47" s="1" t="s">
        <v>1822</v>
      </c>
      <c r="U47" s="56">
        <v>45775</v>
      </c>
      <c r="V47" s="39" t="s">
        <v>1853</v>
      </c>
      <c r="W47" s="1" t="s">
        <v>1853</v>
      </c>
      <c r="X47" s="4" t="s">
        <v>109</v>
      </c>
      <c r="Y47" s="4" t="s">
        <v>1853</v>
      </c>
      <c r="Z47" s="4" t="s">
        <v>1853</v>
      </c>
      <c r="AA47" s="4" t="s">
        <v>1853</v>
      </c>
      <c r="AB47" s="4" t="s">
        <v>1853</v>
      </c>
      <c r="AC47" s="4" t="s">
        <v>1853</v>
      </c>
      <c r="AD47" s="4" t="s">
        <v>1853</v>
      </c>
      <c r="AE47" s="56">
        <v>45441</v>
      </c>
      <c r="AF47" s="56">
        <v>45457</v>
      </c>
      <c r="AG47" s="56">
        <v>45457</v>
      </c>
      <c r="AH47" s="56">
        <v>49125</v>
      </c>
      <c r="AJ47" s="4" t="s">
        <v>109</v>
      </c>
      <c r="AK47" s="4" t="s">
        <v>109</v>
      </c>
      <c r="AL47" s="4" t="s">
        <v>109</v>
      </c>
      <c r="AM47" s="4" t="s">
        <v>109</v>
      </c>
      <c r="AP47" s="1">
        <v>23</v>
      </c>
      <c r="AQ47" s="38" t="e">
        <v>#VALUE!</v>
      </c>
    </row>
    <row r="48" spans="1:43" ht="18.75" customHeight="1" x14ac:dyDescent="0.3">
      <c r="A48" s="4">
        <v>2403170</v>
      </c>
      <c r="B48" s="110" t="s">
        <v>296</v>
      </c>
      <c r="C48" s="4" t="e" vm="15">
        <v>#VALUE!</v>
      </c>
      <c r="D48" s="4" t="s">
        <v>17</v>
      </c>
      <c r="E48" s="4" t="s">
        <v>71</v>
      </c>
      <c r="F48" s="4" t="s">
        <v>14</v>
      </c>
      <c r="G48" s="4">
        <v>10.53</v>
      </c>
      <c r="H48" s="4" t="s">
        <v>237</v>
      </c>
      <c r="I48" s="4">
        <v>18</v>
      </c>
      <c r="J48" s="1" t="s">
        <v>75</v>
      </c>
      <c r="K48" s="127"/>
      <c r="L48" s="1" t="s">
        <v>1853</v>
      </c>
      <c r="M48" s="1" t="s">
        <v>2236</v>
      </c>
      <c r="N48" s="127"/>
      <c r="O48" s="1" t="s">
        <v>109</v>
      </c>
      <c r="P48" s="1" t="s">
        <v>109</v>
      </c>
      <c r="Q48" s="127"/>
      <c r="R48" s="56">
        <v>45383</v>
      </c>
      <c r="S48" s="56">
        <v>45447</v>
      </c>
      <c r="T48" s="1" t="s">
        <v>1822</v>
      </c>
      <c r="U48" s="56">
        <v>45891</v>
      </c>
      <c r="V48" s="39" t="s">
        <v>1853</v>
      </c>
      <c r="W48" s="1" t="s">
        <v>1853</v>
      </c>
      <c r="X48" s="4" t="s">
        <v>109</v>
      </c>
      <c r="Y48" s="4" t="s">
        <v>1853</v>
      </c>
      <c r="Z48" s="4" t="s">
        <v>1853</v>
      </c>
      <c r="AA48" s="4" t="s">
        <v>1853</v>
      </c>
      <c r="AB48" s="4" t="s">
        <v>1853</v>
      </c>
      <c r="AC48" s="4" t="s">
        <v>1853</v>
      </c>
      <c r="AD48" s="4" t="s">
        <v>1853</v>
      </c>
      <c r="AE48" s="56" t="s">
        <v>1853</v>
      </c>
      <c r="AF48" s="56">
        <v>45478</v>
      </c>
      <c r="AG48" s="56">
        <v>45478</v>
      </c>
      <c r="AH48" s="56">
        <v>49156</v>
      </c>
      <c r="AJ48" s="4" t="s">
        <v>109</v>
      </c>
      <c r="AK48" s="4" t="s">
        <v>109</v>
      </c>
      <c r="AL48" s="4" t="s">
        <v>109</v>
      </c>
      <c r="AM48" s="4" t="s">
        <v>109</v>
      </c>
      <c r="AP48" s="1">
        <v>64</v>
      </c>
      <c r="AQ48" s="38" t="e">
        <v>#VALUE!</v>
      </c>
    </row>
    <row r="49" spans="1:43" ht="18.75" customHeight="1" x14ac:dyDescent="0.3">
      <c r="A49" s="4">
        <v>2403177</v>
      </c>
      <c r="B49" s="110" t="s">
        <v>301</v>
      </c>
      <c r="C49" s="4" t="e" vm="15">
        <v>#VALUE!</v>
      </c>
      <c r="D49" s="4" t="s">
        <v>17</v>
      </c>
      <c r="E49" s="4" t="s">
        <v>71</v>
      </c>
      <c r="F49" s="4" t="s">
        <v>14</v>
      </c>
      <c r="G49" s="4">
        <v>4.68</v>
      </c>
      <c r="H49" s="4" t="s">
        <v>237</v>
      </c>
      <c r="I49" s="4">
        <v>8</v>
      </c>
      <c r="J49" s="1" t="s">
        <v>302</v>
      </c>
      <c r="K49" s="127"/>
      <c r="L49" s="1" t="s">
        <v>1853</v>
      </c>
      <c r="M49" s="1" t="s">
        <v>2236</v>
      </c>
      <c r="N49" s="127"/>
      <c r="O49" s="1" t="s">
        <v>109</v>
      </c>
      <c r="P49" s="1" t="s">
        <v>109</v>
      </c>
      <c r="Q49" s="127"/>
      <c r="R49" s="56">
        <v>45440</v>
      </c>
      <c r="S49" s="56">
        <v>45456</v>
      </c>
      <c r="T49" s="1" t="s">
        <v>1822</v>
      </c>
      <c r="U49" s="56">
        <v>45775</v>
      </c>
      <c r="V49" s="39" t="s">
        <v>1853</v>
      </c>
      <c r="W49" s="1" t="s">
        <v>1853</v>
      </c>
      <c r="X49" s="4" t="s">
        <v>109</v>
      </c>
      <c r="Y49" s="4" t="s">
        <v>1853</v>
      </c>
      <c r="Z49" s="4" t="s">
        <v>1853</v>
      </c>
      <c r="AA49" s="39">
        <v>45484</v>
      </c>
      <c r="AB49" s="39" t="s">
        <v>1853</v>
      </c>
      <c r="AC49" s="39" t="s">
        <v>1853</v>
      </c>
      <c r="AD49" s="39" t="s">
        <v>1853</v>
      </c>
      <c r="AE49" s="56">
        <v>45561</v>
      </c>
      <c r="AF49" s="56">
        <v>45606</v>
      </c>
      <c r="AG49" s="56">
        <v>45606</v>
      </c>
      <c r="AH49" s="56">
        <v>49278</v>
      </c>
      <c r="AJ49" s="4" t="s">
        <v>109</v>
      </c>
      <c r="AK49" s="4" t="s">
        <v>109</v>
      </c>
      <c r="AL49" s="4" t="s">
        <v>109</v>
      </c>
      <c r="AM49" s="4" t="s">
        <v>109</v>
      </c>
      <c r="AP49" s="1">
        <v>16</v>
      </c>
      <c r="AQ49" s="38">
        <v>108</v>
      </c>
    </row>
    <row r="50" spans="1:43" ht="18.75" customHeight="1" x14ac:dyDescent="0.3">
      <c r="A50" s="4">
        <v>2403189</v>
      </c>
      <c r="B50" s="110" t="s">
        <v>308</v>
      </c>
      <c r="C50" s="4" t="e" vm="16">
        <v>#VALUE!</v>
      </c>
      <c r="D50" s="4" t="s">
        <v>19</v>
      </c>
      <c r="E50" s="4" t="s">
        <v>71</v>
      </c>
      <c r="F50" s="4" t="s">
        <v>14</v>
      </c>
      <c r="G50" s="4">
        <v>7.02</v>
      </c>
      <c r="H50" s="4" t="s">
        <v>237</v>
      </c>
      <c r="I50" s="4">
        <v>12</v>
      </c>
      <c r="J50" s="1" t="s">
        <v>309</v>
      </c>
      <c r="K50" s="127"/>
      <c r="L50" s="1" t="s">
        <v>1853</v>
      </c>
      <c r="M50" s="1" t="s">
        <v>2236</v>
      </c>
      <c r="N50" s="127"/>
      <c r="O50" s="1" t="s">
        <v>109</v>
      </c>
      <c r="P50" s="1" t="s">
        <v>109</v>
      </c>
      <c r="Q50" s="127"/>
      <c r="R50" s="56">
        <v>45386</v>
      </c>
      <c r="S50" s="56">
        <v>45407</v>
      </c>
      <c r="T50" s="1" t="s">
        <v>1822</v>
      </c>
      <c r="U50" s="56">
        <v>45891</v>
      </c>
      <c r="V50" s="39" t="s">
        <v>1853</v>
      </c>
      <c r="W50" s="1" t="s">
        <v>1853</v>
      </c>
      <c r="X50" s="4" t="s">
        <v>109</v>
      </c>
      <c r="Y50" s="4" t="s">
        <v>1853</v>
      </c>
      <c r="Z50" s="4" t="s">
        <v>1853</v>
      </c>
      <c r="AA50" s="39" t="s">
        <v>1853</v>
      </c>
      <c r="AB50" s="39" t="s">
        <v>1853</v>
      </c>
      <c r="AC50" s="39" t="s">
        <v>1853</v>
      </c>
      <c r="AD50" s="39" t="s">
        <v>1853</v>
      </c>
      <c r="AE50" s="56">
        <v>45468</v>
      </c>
      <c r="AF50" s="56">
        <v>45482</v>
      </c>
      <c r="AG50" s="56">
        <v>45482</v>
      </c>
      <c r="AH50" s="56">
        <v>49156</v>
      </c>
      <c r="AJ50" s="4" t="s">
        <v>109</v>
      </c>
      <c r="AK50" s="4" t="s">
        <v>109</v>
      </c>
      <c r="AL50" s="4" t="s">
        <v>109</v>
      </c>
      <c r="AM50" s="4" t="s">
        <v>109</v>
      </c>
      <c r="AP50" s="1">
        <v>21</v>
      </c>
      <c r="AQ50" s="38" t="e">
        <v>#VALUE!</v>
      </c>
    </row>
    <row r="51" spans="1:43" ht="18.75" customHeight="1" x14ac:dyDescent="0.3">
      <c r="A51" s="4">
        <v>2403190</v>
      </c>
      <c r="B51" s="110" t="s">
        <v>314</v>
      </c>
      <c r="C51" s="4" t="e" vm="16">
        <v>#VALUE!</v>
      </c>
      <c r="D51" s="4" t="s">
        <v>19</v>
      </c>
      <c r="E51" s="4" t="s">
        <v>71</v>
      </c>
      <c r="F51" s="4" t="s">
        <v>14</v>
      </c>
      <c r="G51" s="4">
        <v>7.02</v>
      </c>
      <c r="H51" s="4" t="s">
        <v>237</v>
      </c>
      <c r="I51" s="4">
        <v>12</v>
      </c>
      <c r="J51" s="1" t="s">
        <v>309</v>
      </c>
      <c r="K51" s="127"/>
      <c r="L51" s="1" t="s">
        <v>1853</v>
      </c>
      <c r="M51" s="1" t="s">
        <v>2236</v>
      </c>
      <c r="N51" s="127"/>
      <c r="O51" s="1" t="s">
        <v>109</v>
      </c>
      <c r="P51" s="1" t="s">
        <v>109</v>
      </c>
      <c r="Q51" s="127"/>
      <c r="R51" s="56">
        <v>45386</v>
      </c>
      <c r="S51" s="56">
        <v>45407</v>
      </c>
      <c r="T51" s="1" t="s">
        <v>1822</v>
      </c>
      <c r="U51" s="56">
        <v>45775</v>
      </c>
      <c r="V51" s="39" t="s">
        <v>1853</v>
      </c>
      <c r="W51" s="1" t="s">
        <v>1853</v>
      </c>
      <c r="X51" s="4" t="s">
        <v>109</v>
      </c>
      <c r="Y51" s="4" t="s">
        <v>1853</v>
      </c>
      <c r="Z51" s="4" t="s">
        <v>1853</v>
      </c>
      <c r="AA51" s="39" t="s">
        <v>1853</v>
      </c>
      <c r="AB51" s="39" t="s">
        <v>1853</v>
      </c>
      <c r="AC51" s="39" t="s">
        <v>1853</v>
      </c>
      <c r="AD51" s="39" t="s">
        <v>1853</v>
      </c>
      <c r="AE51" s="56">
        <v>45449</v>
      </c>
      <c r="AF51" s="56">
        <v>45460</v>
      </c>
      <c r="AG51" s="56">
        <v>45460</v>
      </c>
      <c r="AH51" s="56">
        <v>49125</v>
      </c>
      <c r="AJ51" s="4" t="s">
        <v>109</v>
      </c>
      <c r="AK51" s="4" t="s">
        <v>109</v>
      </c>
      <c r="AL51" s="4" t="s">
        <v>109</v>
      </c>
      <c r="AM51" s="4" t="s">
        <v>109</v>
      </c>
      <c r="AP51" s="1">
        <v>21</v>
      </c>
      <c r="AQ51" s="38" t="e">
        <v>#VALUE!</v>
      </c>
    </row>
    <row r="52" spans="1:43" s="142" customFormat="1" ht="18.75" customHeight="1" x14ac:dyDescent="0.3">
      <c r="A52" s="116">
        <v>2403197</v>
      </c>
      <c r="B52" s="125" t="s">
        <v>319</v>
      </c>
      <c r="C52" s="116" t="e" vm="16">
        <v>#VALUE!</v>
      </c>
      <c r="D52" s="4" t="s">
        <v>19</v>
      </c>
      <c r="E52" s="116" t="s">
        <v>71</v>
      </c>
      <c r="F52" s="116" t="s">
        <v>14</v>
      </c>
      <c r="G52" s="116">
        <v>16.38</v>
      </c>
      <c r="H52" s="116" t="s">
        <v>237</v>
      </c>
      <c r="I52" s="116">
        <v>28</v>
      </c>
      <c r="J52" s="139" t="s">
        <v>131</v>
      </c>
      <c r="K52" s="140"/>
      <c r="L52" s="1" t="s">
        <v>1853</v>
      </c>
      <c r="M52" s="139" t="s">
        <v>2240</v>
      </c>
      <c r="N52" s="140"/>
      <c r="O52" s="139" t="s">
        <v>109</v>
      </c>
      <c r="P52" s="139" t="s">
        <v>109</v>
      </c>
      <c r="Q52" s="140"/>
      <c r="R52" s="141">
        <v>45404</v>
      </c>
      <c r="S52" s="141">
        <v>45427</v>
      </c>
      <c r="T52" s="139" t="s">
        <v>1819</v>
      </c>
      <c r="U52" s="141">
        <v>45748</v>
      </c>
      <c r="V52" s="120" t="s">
        <v>1853</v>
      </c>
      <c r="W52" s="139" t="s">
        <v>1853</v>
      </c>
      <c r="X52" s="116" t="s">
        <v>109</v>
      </c>
      <c r="Y52" s="116" t="s">
        <v>1853</v>
      </c>
      <c r="Z52" s="116" t="s">
        <v>109</v>
      </c>
      <c r="AA52" s="116" t="s">
        <v>109</v>
      </c>
      <c r="AB52" s="116" t="s">
        <v>109</v>
      </c>
      <c r="AC52" s="116" t="s">
        <v>109</v>
      </c>
      <c r="AD52" s="116" t="s">
        <v>109</v>
      </c>
      <c r="AE52" s="116" t="s">
        <v>109</v>
      </c>
      <c r="AF52" s="116" t="s">
        <v>109</v>
      </c>
      <c r="AG52" s="116" t="s">
        <v>109</v>
      </c>
      <c r="AH52" s="116" t="s">
        <v>109</v>
      </c>
      <c r="AI52" s="123"/>
      <c r="AJ52" s="116" t="s">
        <v>109</v>
      </c>
      <c r="AK52" s="116" t="s">
        <v>109</v>
      </c>
      <c r="AL52" s="116" t="s">
        <v>109</v>
      </c>
      <c r="AM52" s="116" t="s">
        <v>109</v>
      </c>
      <c r="AP52" s="1">
        <v>23</v>
      </c>
      <c r="AQ52" s="143" t="e">
        <v>#VALUE!</v>
      </c>
    </row>
    <row r="53" spans="1:43" ht="18.75" customHeight="1" x14ac:dyDescent="0.3">
      <c r="A53" s="4" t="s">
        <v>324</v>
      </c>
      <c r="B53" s="110" t="s">
        <v>325</v>
      </c>
      <c r="C53" s="4" t="e" vm="15">
        <v>#VALUE!</v>
      </c>
      <c r="D53" s="4" t="s">
        <v>17</v>
      </c>
      <c r="E53" s="4" t="s">
        <v>71</v>
      </c>
      <c r="F53" s="4" t="s">
        <v>14</v>
      </c>
      <c r="G53" s="4">
        <v>7.02</v>
      </c>
      <c r="H53" s="4" t="s">
        <v>237</v>
      </c>
      <c r="I53" s="4">
        <v>12</v>
      </c>
      <c r="J53" s="1" t="s">
        <v>286</v>
      </c>
      <c r="K53" s="127"/>
      <c r="L53" s="1" t="s">
        <v>1853</v>
      </c>
      <c r="M53" s="1" t="s">
        <v>2236</v>
      </c>
      <c r="N53" s="127"/>
      <c r="O53" s="1" t="s">
        <v>109</v>
      </c>
      <c r="P53" s="1" t="s">
        <v>109</v>
      </c>
      <c r="Q53" s="127"/>
      <c r="R53" s="56">
        <v>45386</v>
      </c>
      <c r="S53" s="56">
        <v>45407</v>
      </c>
      <c r="T53" s="1" t="s">
        <v>1822</v>
      </c>
      <c r="U53" s="56">
        <v>45768</v>
      </c>
      <c r="V53" s="39" t="s">
        <v>1853</v>
      </c>
      <c r="W53" s="1" t="s">
        <v>1853</v>
      </c>
      <c r="X53" s="4" t="s">
        <v>109</v>
      </c>
      <c r="Y53" s="4" t="s">
        <v>1853</v>
      </c>
      <c r="Z53" s="4" t="s">
        <v>1853</v>
      </c>
      <c r="AA53" s="39" t="s">
        <v>1853</v>
      </c>
      <c r="AB53" s="39">
        <v>45428</v>
      </c>
      <c r="AC53" s="39" t="s">
        <v>1853</v>
      </c>
      <c r="AD53" s="39" t="s">
        <v>1853</v>
      </c>
      <c r="AE53" s="56">
        <v>45441</v>
      </c>
      <c r="AF53" s="56">
        <v>45448</v>
      </c>
      <c r="AG53" s="56">
        <v>45448</v>
      </c>
      <c r="AH53" s="56">
        <v>49125</v>
      </c>
      <c r="AJ53" s="4" t="s">
        <v>109</v>
      </c>
      <c r="AK53" s="4" t="s">
        <v>109</v>
      </c>
      <c r="AL53" s="4" t="s">
        <v>109</v>
      </c>
      <c r="AM53" s="4" t="s">
        <v>109</v>
      </c>
      <c r="AP53" s="1">
        <v>21</v>
      </c>
      <c r="AQ53" s="38" t="e">
        <v>#VALUE!</v>
      </c>
    </row>
    <row r="54" spans="1:43" ht="18.75" customHeight="1" x14ac:dyDescent="0.3">
      <c r="A54" s="4">
        <v>2404206</v>
      </c>
      <c r="B54" s="110" t="s">
        <v>330</v>
      </c>
      <c r="C54" s="4" t="e" vm="16">
        <v>#VALUE!</v>
      </c>
      <c r="D54" s="4" t="s">
        <v>19</v>
      </c>
      <c r="E54" s="4" t="s">
        <v>71</v>
      </c>
      <c r="F54" s="4" t="s">
        <v>14</v>
      </c>
      <c r="G54" s="4">
        <v>8.19</v>
      </c>
      <c r="H54" s="4" t="s">
        <v>237</v>
      </c>
      <c r="I54" s="4">
        <v>14</v>
      </c>
      <c r="J54" s="1" t="s">
        <v>244</v>
      </c>
      <c r="K54" s="127"/>
      <c r="L54" s="1" t="s">
        <v>1853</v>
      </c>
      <c r="M54" s="1" t="s">
        <v>2236</v>
      </c>
      <c r="N54" s="127"/>
      <c r="O54" s="1" t="s">
        <v>109</v>
      </c>
      <c r="P54" s="1" t="s">
        <v>109</v>
      </c>
      <c r="Q54" s="127"/>
      <c r="R54" s="56">
        <v>45397</v>
      </c>
      <c r="S54" s="56">
        <v>45407</v>
      </c>
      <c r="T54" s="1" t="s">
        <v>1822</v>
      </c>
      <c r="U54" s="56">
        <v>45891</v>
      </c>
      <c r="V54" s="39" t="s">
        <v>1853</v>
      </c>
      <c r="W54" s="1" t="s">
        <v>1853</v>
      </c>
      <c r="X54" s="4" t="s">
        <v>109</v>
      </c>
      <c r="Y54" s="4" t="s">
        <v>1853</v>
      </c>
      <c r="Z54" s="4" t="s">
        <v>1853</v>
      </c>
      <c r="AA54" s="39" t="s">
        <v>1853</v>
      </c>
      <c r="AB54" s="39" t="s">
        <v>1853</v>
      </c>
      <c r="AC54" s="39" t="s">
        <v>1853</v>
      </c>
      <c r="AD54" s="39" t="s">
        <v>1853</v>
      </c>
      <c r="AE54" s="56" t="s">
        <v>1853</v>
      </c>
      <c r="AF54" s="56">
        <v>45454</v>
      </c>
      <c r="AG54" s="56">
        <v>45454</v>
      </c>
      <c r="AH54" s="56">
        <v>49125</v>
      </c>
      <c r="AJ54" s="4" t="s">
        <v>109</v>
      </c>
      <c r="AK54" s="4" t="s">
        <v>109</v>
      </c>
      <c r="AL54" s="4" t="s">
        <v>109</v>
      </c>
      <c r="AM54" s="4" t="s">
        <v>109</v>
      </c>
      <c r="AP54" s="1">
        <v>10</v>
      </c>
      <c r="AQ54" s="38" t="e">
        <v>#VALUE!</v>
      </c>
    </row>
    <row r="55" spans="1:43" ht="18.75" customHeight="1" x14ac:dyDescent="0.3">
      <c r="A55" s="4">
        <v>2404226</v>
      </c>
      <c r="B55" s="110" t="s">
        <v>335</v>
      </c>
      <c r="C55" s="4" t="e" vm="18">
        <v>#VALUE!</v>
      </c>
      <c r="D55" s="4" t="s">
        <v>17</v>
      </c>
      <c r="E55" s="4" t="s">
        <v>71</v>
      </c>
      <c r="F55" s="4" t="s">
        <v>14</v>
      </c>
      <c r="G55" s="4">
        <v>7.02</v>
      </c>
      <c r="H55" s="4" t="s">
        <v>237</v>
      </c>
      <c r="I55" s="4">
        <v>12</v>
      </c>
      <c r="J55" s="1" t="s">
        <v>286</v>
      </c>
      <c r="K55" s="127"/>
      <c r="L55" s="1" t="s">
        <v>1853</v>
      </c>
      <c r="M55" s="1" t="s">
        <v>2236</v>
      </c>
      <c r="N55" s="127"/>
      <c r="O55" s="1" t="s">
        <v>109</v>
      </c>
      <c r="P55" s="1" t="s">
        <v>109</v>
      </c>
      <c r="Q55" s="127"/>
      <c r="R55" s="56">
        <v>45404</v>
      </c>
      <c r="S55" s="56">
        <v>45427</v>
      </c>
      <c r="T55" s="1" t="s">
        <v>1822</v>
      </c>
      <c r="U55" s="56">
        <v>45768</v>
      </c>
      <c r="V55" s="39" t="s">
        <v>1853</v>
      </c>
      <c r="W55" s="1" t="s">
        <v>1853</v>
      </c>
      <c r="X55" s="4" t="s">
        <v>109</v>
      </c>
      <c r="Y55" s="4" t="s">
        <v>1853</v>
      </c>
      <c r="Z55" s="4" t="s">
        <v>1853</v>
      </c>
      <c r="AA55" s="39" t="s">
        <v>1853</v>
      </c>
      <c r="AB55" s="39">
        <v>45470</v>
      </c>
      <c r="AC55" s="39" t="s">
        <v>1853</v>
      </c>
      <c r="AD55" s="39" t="s">
        <v>1853</v>
      </c>
      <c r="AE55" s="56">
        <v>45482</v>
      </c>
      <c r="AF55" s="56">
        <v>45483</v>
      </c>
      <c r="AG55" s="56">
        <v>45483</v>
      </c>
      <c r="AH55" s="56">
        <v>49156</v>
      </c>
      <c r="AJ55" s="4" t="s">
        <v>109</v>
      </c>
      <c r="AK55" s="4" t="s">
        <v>109</v>
      </c>
      <c r="AL55" s="4" t="s">
        <v>109</v>
      </c>
      <c r="AM55" s="4" t="s">
        <v>109</v>
      </c>
      <c r="AP55" s="1">
        <v>23</v>
      </c>
      <c r="AQ55" s="38" t="e">
        <v>#VALUE!</v>
      </c>
    </row>
    <row r="56" spans="1:43" s="190" customFormat="1" ht="18.75" customHeight="1" x14ac:dyDescent="0.3">
      <c r="A56" s="183">
        <v>2401063</v>
      </c>
      <c r="B56" s="184" t="s">
        <v>340</v>
      </c>
      <c r="C56" s="183" t="e" vm="15">
        <v>#VALUE!</v>
      </c>
      <c r="D56" s="183" t="s">
        <v>17</v>
      </c>
      <c r="E56" s="183" t="s">
        <v>124</v>
      </c>
      <c r="F56" s="183" t="s">
        <v>14</v>
      </c>
      <c r="G56" s="183">
        <v>26.91</v>
      </c>
      <c r="H56" s="183" t="s">
        <v>237</v>
      </c>
      <c r="I56" s="183">
        <v>46</v>
      </c>
      <c r="J56" s="185" t="s">
        <v>341</v>
      </c>
      <c r="K56" s="186"/>
      <c r="L56" s="185" t="s">
        <v>2242</v>
      </c>
      <c r="M56" s="185" t="s">
        <v>2236</v>
      </c>
      <c r="N56" s="186"/>
      <c r="O56" s="185" t="s">
        <v>109</v>
      </c>
      <c r="P56" s="185" t="s">
        <v>109</v>
      </c>
      <c r="Q56" s="186"/>
      <c r="R56" s="187">
        <v>45434</v>
      </c>
      <c r="S56" s="187">
        <v>45449</v>
      </c>
      <c r="T56" s="185" t="s">
        <v>1823</v>
      </c>
      <c r="U56" s="187">
        <v>45816</v>
      </c>
      <c r="V56" s="188" t="s">
        <v>1853</v>
      </c>
      <c r="W56" s="185" t="s">
        <v>1853</v>
      </c>
      <c r="X56" s="183" t="s">
        <v>1853</v>
      </c>
      <c r="Y56" s="183" t="s">
        <v>1853</v>
      </c>
      <c r="Z56" s="183" t="s">
        <v>1853</v>
      </c>
      <c r="AA56" s="188">
        <v>45509</v>
      </c>
      <c r="AB56" s="188" t="s">
        <v>1853</v>
      </c>
      <c r="AC56" s="188" t="s">
        <v>1853</v>
      </c>
      <c r="AD56" s="188" t="s">
        <v>1853</v>
      </c>
      <c r="AE56" s="187">
        <v>45561</v>
      </c>
      <c r="AF56" s="187">
        <v>45579</v>
      </c>
      <c r="AG56" s="187">
        <v>45579</v>
      </c>
      <c r="AH56" s="187">
        <v>49248</v>
      </c>
      <c r="AI56" s="189"/>
      <c r="AJ56" s="183" t="s">
        <v>109</v>
      </c>
      <c r="AK56" s="183" t="s">
        <v>109</v>
      </c>
      <c r="AL56" s="183"/>
      <c r="AM56" s="183"/>
      <c r="AP56" s="185">
        <v>15</v>
      </c>
      <c r="AQ56" s="191">
        <v>146</v>
      </c>
    </row>
    <row r="57" spans="1:43" ht="57.6" x14ac:dyDescent="0.3">
      <c r="A57" s="4">
        <v>2401069</v>
      </c>
      <c r="B57" s="110" t="s">
        <v>343</v>
      </c>
      <c r="C57" s="4" t="e" vm="15">
        <v>#VALUE!</v>
      </c>
      <c r="D57" s="4" t="s">
        <v>17</v>
      </c>
      <c r="E57" s="4" t="s">
        <v>124</v>
      </c>
      <c r="F57" s="4" t="s">
        <v>14</v>
      </c>
      <c r="G57" s="4">
        <v>290.39999999999998</v>
      </c>
      <c r="H57" s="4" t="s">
        <v>344</v>
      </c>
      <c r="I57" s="4">
        <v>505.00000000000006</v>
      </c>
      <c r="J57" s="1" t="s">
        <v>345</v>
      </c>
      <c r="K57" s="127"/>
      <c r="L57" s="1" t="s">
        <v>1853</v>
      </c>
      <c r="M57" s="1" t="s">
        <v>2236</v>
      </c>
      <c r="N57" s="127"/>
      <c r="O57" s="1" t="s">
        <v>1853</v>
      </c>
      <c r="P57" s="1" t="s">
        <v>1853</v>
      </c>
      <c r="Q57" s="127"/>
      <c r="R57" s="56">
        <v>45423</v>
      </c>
      <c r="S57" s="56">
        <v>45492</v>
      </c>
      <c r="T57" s="1" t="s">
        <v>1822</v>
      </c>
      <c r="U57" s="56">
        <v>45807</v>
      </c>
      <c r="V57" s="39" t="s">
        <v>1853</v>
      </c>
      <c r="W57" s="1" t="s">
        <v>1853</v>
      </c>
      <c r="X57" s="4" t="s">
        <v>1853</v>
      </c>
      <c r="Y57" s="4" t="s">
        <v>1853</v>
      </c>
      <c r="Z57" s="4" t="s">
        <v>1853</v>
      </c>
      <c r="AA57" s="39" t="s">
        <v>1853</v>
      </c>
      <c r="AB57" s="39" t="s">
        <v>1853</v>
      </c>
      <c r="AC57" s="39" t="s">
        <v>1853</v>
      </c>
      <c r="AD57" s="39" t="s">
        <v>1853</v>
      </c>
      <c r="AE57" s="56">
        <v>45635</v>
      </c>
      <c r="AF57" s="56">
        <v>45657</v>
      </c>
      <c r="AG57" s="56">
        <v>45657</v>
      </c>
      <c r="AH57" s="56">
        <v>49309</v>
      </c>
      <c r="AJ57" s="4" t="s">
        <v>1853</v>
      </c>
      <c r="AK57" s="4" t="s">
        <v>1853</v>
      </c>
      <c r="AL57" s="4" t="s">
        <v>1853</v>
      </c>
      <c r="AM57" s="56">
        <v>45880</v>
      </c>
      <c r="AP57" s="1">
        <v>69</v>
      </c>
      <c r="AQ57" s="38" t="e">
        <v>#VALUE!</v>
      </c>
    </row>
    <row r="58" spans="1:43" s="190" customFormat="1" ht="18.75" customHeight="1" x14ac:dyDescent="0.3">
      <c r="A58" s="183">
        <v>2402079</v>
      </c>
      <c r="B58" s="184" t="s">
        <v>347</v>
      </c>
      <c r="C58" s="183" t="e" vm="15">
        <v>#VALUE!</v>
      </c>
      <c r="D58" s="183" t="s">
        <v>17</v>
      </c>
      <c r="E58" s="183" t="s">
        <v>124</v>
      </c>
      <c r="F58" s="183" t="s">
        <v>14</v>
      </c>
      <c r="G58" s="183">
        <v>46.8</v>
      </c>
      <c r="H58" s="183" t="s">
        <v>237</v>
      </c>
      <c r="I58" s="183">
        <v>80</v>
      </c>
      <c r="J58" s="185" t="s">
        <v>348</v>
      </c>
      <c r="K58" s="186"/>
      <c r="L58" s="185" t="s">
        <v>2242</v>
      </c>
      <c r="M58" s="185" t="s">
        <v>2236</v>
      </c>
      <c r="N58" s="186"/>
      <c r="O58" s="185" t="s">
        <v>109</v>
      </c>
      <c r="P58" s="185" t="s">
        <v>109</v>
      </c>
      <c r="Q58" s="186"/>
      <c r="R58" s="187">
        <v>45425</v>
      </c>
      <c r="S58" s="187">
        <v>45441</v>
      </c>
      <c r="T58" s="185" t="s">
        <v>1823</v>
      </c>
      <c r="U58" s="187">
        <v>45816</v>
      </c>
      <c r="V58" s="188" t="s">
        <v>1853</v>
      </c>
      <c r="W58" s="185" t="s">
        <v>1853</v>
      </c>
      <c r="X58" s="183" t="s">
        <v>1853</v>
      </c>
      <c r="Y58" s="183" t="s">
        <v>1853</v>
      </c>
      <c r="Z58" s="183" t="s">
        <v>1853</v>
      </c>
      <c r="AA58" s="188" t="s">
        <v>1853</v>
      </c>
      <c r="AB58" s="188" t="s">
        <v>1853</v>
      </c>
      <c r="AC58" s="188" t="s">
        <v>1853</v>
      </c>
      <c r="AD58" s="188" t="s">
        <v>1853</v>
      </c>
      <c r="AE58" s="187">
        <v>45584</v>
      </c>
      <c r="AF58" s="187">
        <v>45590</v>
      </c>
      <c r="AG58" s="187">
        <v>45590</v>
      </c>
      <c r="AH58" s="187">
        <v>49248</v>
      </c>
      <c r="AI58" s="189"/>
      <c r="AJ58" s="183" t="s">
        <v>109</v>
      </c>
      <c r="AK58" s="183" t="s">
        <v>109</v>
      </c>
      <c r="AL58" s="183"/>
      <c r="AM58" s="183"/>
      <c r="AP58" s="185">
        <v>16</v>
      </c>
      <c r="AQ58" s="191" t="e">
        <v>#VALUE!</v>
      </c>
    </row>
    <row r="59" spans="1:43" s="190" customFormat="1" ht="18.75" customHeight="1" x14ac:dyDescent="0.3">
      <c r="A59" s="183">
        <v>2402080</v>
      </c>
      <c r="B59" s="184" t="s">
        <v>350</v>
      </c>
      <c r="C59" s="183" t="e" vm="17">
        <v>#VALUE!</v>
      </c>
      <c r="D59" s="183" t="s">
        <v>17</v>
      </c>
      <c r="E59" s="183" t="s">
        <v>124</v>
      </c>
      <c r="F59" s="183" t="s">
        <v>15</v>
      </c>
      <c r="G59" s="183">
        <v>43.29</v>
      </c>
      <c r="H59" s="183" t="s">
        <v>237</v>
      </c>
      <c r="I59" s="183">
        <v>74</v>
      </c>
      <c r="J59" s="185" t="s">
        <v>351</v>
      </c>
      <c r="K59" s="186"/>
      <c r="L59" s="185" t="s">
        <v>2242</v>
      </c>
      <c r="M59" s="185" t="s">
        <v>2236</v>
      </c>
      <c r="N59" s="186"/>
      <c r="O59" s="185" t="s">
        <v>109</v>
      </c>
      <c r="P59" s="185" t="s">
        <v>109</v>
      </c>
      <c r="Q59" s="186"/>
      <c r="R59" s="187" t="s">
        <v>109</v>
      </c>
      <c r="S59" s="187" t="s">
        <v>109</v>
      </c>
      <c r="T59" s="187" t="s">
        <v>109</v>
      </c>
      <c r="U59" s="187" t="s">
        <v>109</v>
      </c>
      <c r="V59" s="188" t="s">
        <v>1853</v>
      </c>
      <c r="W59" s="185" t="s">
        <v>1853</v>
      </c>
      <c r="X59" s="183" t="s">
        <v>1853</v>
      </c>
      <c r="Y59" s="183" t="s">
        <v>1853</v>
      </c>
      <c r="Z59" s="183" t="s">
        <v>1853</v>
      </c>
      <c r="AA59" s="188" t="s">
        <v>1853</v>
      </c>
      <c r="AB59" s="188" t="s">
        <v>109</v>
      </c>
      <c r="AC59" s="188" t="s">
        <v>109</v>
      </c>
      <c r="AD59" s="188" t="s">
        <v>109</v>
      </c>
      <c r="AE59" s="188" t="s">
        <v>109</v>
      </c>
      <c r="AF59" s="188" t="s">
        <v>109</v>
      </c>
      <c r="AG59" s="188" t="s">
        <v>109</v>
      </c>
      <c r="AH59" s="188" t="s">
        <v>109</v>
      </c>
      <c r="AI59" s="189"/>
      <c r="AJ59" s="183" t="s">
        <v>109</v>
      </c>
      <c r="AK59" s="183" t="s">
        <v>109</v>
      </c>
      <c r="AL59" s="183"/>
      <c r="AM59" s="183"/>
      <c r="AP59" s="185" t="e">
        <v>#VALUE!</v>
      </c>
      <c r="AQ59" s="191" t="e">
        <v>#VALUE!</v>
      </c>
    </row>
    <row r="60" spans="1:43" ht="18.75" customHeight="1" x14ac:dyDescent="0.3">
      <c r="A60" s="4">
        <v>2312120</v>
      </c>
      <c r="B60" s="110" t="s">
        <v>353</v>
      </c>
      <c r="C60" s="4" t="e" vm="15">
        <v>#VALUE!</v>
      </c>
      <c r="D60" s="4" t="s">
        <v>17</v>
      </c>
      <c r="E60" s="4" t="s">
        <v>71</v>
      </c>
      <c r="F60" s="4" t="s">
        <v>14</v>
      </c>
      <c r="G60" s="4">
        <v>7.6050000000000004</v>
      </c>
      <c r="H60" s="4" t="s">
        <v>237</v>
      </c>
      <c r="I60" s="4">
        <v>13.000000000000002</v>
      </c>
      <c r="J60" s="1" t="s">
        <v>244</v>
      </c>
      <c r="K60" s="127"/>
      <c r="L60" s="1" t="s">
        <v>1853</v>
      </c>
      <c r="M60" s="1" t="s">
        <v>2236</v>
      </c>
      <c r="N60" s="127"/>
      <c r="O60" s="1" t="s">
        <v>109</v>
      </c>
      <c r="P60" s="1" t="s">
        <v>109</v>
      </c>
      <c r="Q60" s="127"/>
      <c r="R60" s="56">
        <v>45400</v>
      </c>
      <c r="S60" s="56">
        <v>45407</v>
      </c>
      <c r="T60" s="1" t="s">
        <v>1822</v>
      </c>
      <c r="U60" s="56">
        <v>45768</v>
      </c>
      <c r="V60" s="39" t="s">
        <v>1853</v>
      </c>
      <c r="W60" s="1" t="s">
        <v>1853</v>
      </c>
      <c r="X60" s="4" t="s">
        <v>109</v>
      </c>
      <c r="Y60" s="4" t="s">
        <v>1853</v>
      </c>
      <c r="Z60" s="4" t="s">
        <v>1853</v>
      </c>
      <c r="AA60" s="39" t="s">
        <v>1853</v>
      </c>
      <c r="AB60" s="39" t="s">
        <v>1853</v>
      </c>
      <c r="AC60" s="39" t="s">
        <v>1853</v>
      </c>
      <c r="AD60" s="39" t="s">
        <v>1853</v>
      </c>
      <c r="AE60" s="56" t="s">
        <v>1853</v>
      </c>
      <c r="AF60" s="56">
        <v>45435</v>
      </c>
      <c r="AG60" s="56">
        <v>45435</v>
      </c>
      <c r="AH60" s="56">
        <v>49095</v>
      </c>
      <c r="AJ60" s="4" t="s">
        <v>109</v>
      </c>
      <c r="AK60" s="4" t="s">
        <v>109</v>
      </c>
      <c r="AL60" s="4" t="s">
        <v>109</v>
      </c>
      <c r="AM60" s="4" t="s">
        <v>109</v>
      </c>
      <c r="AP60" s="1">
        <v>7</v>
      </c>
      <c r="AQ60" s="38" t="e">
        <v>#VALUE!</v>
      </c>
    </row>
    <row r="61" spans="1:43" ht="18.75" customHeight="1" x14ac:dyDescent="0.3">
      <c r="A61" s="4">
        <v>2311092</v>
      </c>
      <c r="B61" s="110" t="s">
        <v>358</v>
      </c>
      <c r="C61" s="4" t="e" vm="15">
        <v>#VALUE!</v>
      </c>
      <c r="D61" s="4" t="s">
        <v>17</v>
      </c>
      <c r="E61" s="4" t="s">
        <v>71</v>
      </c>
      <c r="F61" s="4" t="s">
        <v>14</v>
      </c>
      <c r="G61" s="4">
        <v>5.75</v>
      </c>
      <c r="H61" s="4" t="s">
        <v>74</v>
      </c>
      <c r="I61" s="4">
        <v>10</v>
      </c>
      <c r="J61" s="1" t="s">
        <v>309</v>
      </c>
      <c r="K61" s="127"/>
      <c r="L61" s="1" t="s">
        <v>1853</v>
      </c>
      <c r="M61" s="1" t="s">
        <v>2240</v>
      </c>
      <c r="N61" s="127"/>
      <c r="O61" s="1" t="s">
        <v>109</v>
      </c>
      <c r="P61" s="1" t="s">
        <v>109</v>
      </c>
      <c r="Q61" s="127"/>
      <c r="R61" s="56">
        <v>45257</v>
      </c>
      <c r="S61" s="56">
        <v>45307</v>
      </c>
      <c r="T61" s="1" t="s">
        <v>1823</v>
      </c>
      <c r="U61" s="56">
        <v>45874</v>
      </c>
      <c r="V61" s="39" t="s">
        <v>1853</v>
      </c>
      <c r="W61" s="1" t="s">
        <v>1853</v>
      </c>
      <c r="X61" s="4" t="s">
        <v>109</v>
      </c>
      <c r="Y61" s="4" t="s">
        <v>1853</v>
      </c>
      <c r="Z61" s="4" t="s">
        <v>1853</v>
      </c>
      <c r="AA61" s="39" t="s">
        <v>1853</v>
      </c>
      <c r="AB61" s="39" t="s">
        <v>1853</v>
      </c>
      <c r="AC61" s="39" t="s">
        <v>1853</v>
      </c>
      <c r="AD61" s="39" t="s">
        <v>1853</v>
      </c>
      <c r="AE61" s="56">
        <v>45425</v>
      </c>
      <c r="AF61" s="56">
        <v>45426</v>
      </c>
      <c r="AG61" s="56">
        <v>45426</v>
      </c>
      <c r="AH61" s="56">
        <v>49095</v>
      </c>
      <c r="AJ61" s="4" t="s">
        <v>109</v>
      </c>
      <c r="AK61" s="4" t="s">
        <v>109</v>
      </c>
      <c r="AL61" s="4" t="s">
        <v>109</v>
      </c>
      <c r="AM61" s="4" t="s">
        <v>109</v>
      </c>
      <c r="AP61" s="1">
        <v>50</v>
      </c>
      <c r="AQ61" s="38" t="e">
        <v>#VALUE!</v>
      </c>
    </row>
    <row r="62" spans="1:43" ht="18.75" customHeight="1" x14ac:dyDescent="0.3">
      <c r="A62" s="4">
        <v>2404230</v>
      </c>
      <c r="B62" s="110" t="s">
        <v>363</v>
      </c>
      <c r="C62" s="4" t="e" vm="15">
        <v>#VALUE!</v>
      </c>
      <c r="D62" s="4" t="s">
        <v>17</v>
      </c>
      <c r="E62" s="4" t="s">
        <v>71</v>
      </c>
      <c r="F62" s="4" t="s">
        <v>14</v>
      </c>
      <c r="G62" s="4">
        <v>8.7750000000000004</v>
      </c>
      <c r="H62" s="4" t="s">
        <v>237</v>
      </c>
      <c r="I62" s="4">
        <v>15.000000000000002</v>
      </c>
      <c r="J62" s="1" t="s">
        <v>364</v>
      </c>
      <c r="K62" s="127"/>
      <c r="L62" s="1" t="s">
        <v>1853</v>
      </c>
      <c r="M62" s="1" t="s">
        <v>2236</v>
      </c>
      <c r="N62" s="127"/>
      <c r="O62" s="1" t="s">
        <v>109</v>
      </c>
      <c r="P62" s="1" t="s">
        <v>109</v>
      </c>
      <c r="Q62" s="127"/>
      <c r="R62" s="56">
        <v>45415</v>
      </c>
      <c r="S62" s="56">
        <v>45432</v>
      </c>
      <c r="T62" s="1" t="s">
        <v>1823</v>
      </c>
      <c r="U62" s="56">
        <v>45769</v>
      </c>
      <c r="V62" s="39" t="s">
        <v>1853</v>
      </c>
      <c r="W62" s="1" t="s">
        <v>1853</v>
      </c>
      <c r="X62" s="4" t="s">
        <v>109</v>
      </c>
      <c r="Y62" s="4" t="s">
        <v>1853</v>
      </c>
      <c r="Z62" s="4" t="s">
        <v>1853</v>
      </c>
      <c r="AA62" s="39" t="s">
        <v>1853</v>
      </c>
      <c r="AB62" s="39" t="s">
        <v>1853</v>
      </c>
      <c r="AC62" s="39" t="s">
        <v>1853</v>
      </c>
      <c r="AD62" s="39" t="s">
        <v>1853</v>
      </c>
      <c r="AE62" s="56">
        <v>45475</v>
      </c>
      <c r="AF62" s="56">
        <v>45477</v>
      </c>
      <c r="AG62" s="56">
        <v>45477</v>
      </c>
      <c r="AH62" s="56">
        <v>49156</v>
      </c>
      <c r="AJ62" s="4" t="s">
        <v>109</v>
      </c>
      <c r="AK62" s="4" t="s">
        <v>109</v>
      </c>
      <c r="AL62" s="4" t="s">
        <v>109</v>
      </c>
      <c r="AM62" s="4" t="s">
        <v>109</v>
      </c>
      <c r="AP62" s="1">
        <v>17</v>
      </c>
      <c r="AQ62" s="38" t="e">
        <v>#VALUE!</v>
      </c>
    </row>
    <row r="63" spans="1:43" ht="18.75" customHeight="1" x14ac:dyDescent="0.3">
      <c r="A63" s="4">
        <v>2401133</v>
      </c>
      <c r="B63" s="110" t="s">
        <v>369</v>
      </c>
      <c r="C63" s="4" t="e" vm="15">
        <v>#VALUE!</v>
      </c>
      <c r="D63" s="4" t="s">
        <v>17</v>
      </c>
      <c r="E63" s="4" t="s">
        <v>71</v>
      </c>
      <c r="F63" s="4" t="s">
        <v>14</v>
      </c>
      <c r="G63" s="4">
        <v>8.7750000000000004</v>
      </c>
      <c r="H63" s="4" t="s">
        <v>237</v>
      </c>
      <c r="I63" s="4">
        <v>15.000000000000002</v>
      </c>
      <c r="J63" s="1" t="s">
        <v>364</v>
      </c>
      <c r="K63" s="127"/>
      <c r="L63" s="1" t="s">
        <v>1853</v>
      </c>
      <c r="M63" s="1" t="s">
        <v>2236</v>
      </c>
      <c r="N63" s="127"/>
      <c r="O63" s="1" t="s">
        <v>109</v>
      </c>
      <c r="P63" s="1" t="s">
        <v>109</v>
      </c>
      <c r="Q63" s="127"/>
      <c r="R63" s="56">
        <v>45415</v>
      </c>
      <c r="S63" s="56">
        <v>45432</v>
      </c>
      <c r="T63" s="1" t="s">
        <v>1822</v>
      </c>
      <c r="U63" s="56">
        <v>45793</v>
      </c>
      <c r="V63" s="39" t="s">
        <v>1853</v>
      </c>
      <c r="W63" s="1" t="s">
        <v>1853</v>
      </c>
      <c r="X63" s="4" t="s">
        <v>109</v>
      </c>
      <c r="Y63" s="4" t="s">
        <v>1853</v>
      </c>
      <c r="Z63" s="4" t="s">
        <v>1853</v>
      </c>
      <c r="AA63" s="39">
        <v>45582</v>
      </c>
      <c r="AB63" s="39" t="s">
        <v>1853</v>
      </c>
      <c r="AC63" s="39" t="s">
        <v>1853</v>
      </c>
      <c r="AD63" s="39" t="s">
        <v>1853</v>
      </c>
      <c r="AE63" s="56">
        <v>45610</v>
      </c>
      <c r="AF63" s="56">
        <v>45614</v>
      </c>
      <c r="AG63" s="56">
        <v>45614</v>
      </c>
      <c r="AH63" s="56">
        <v>49278</v>
      </c>
      <c r="AJ63" s="4" t="s">
        <v>109</v>
      </c>
      <c r="AK63" s="4" t="s">
        <v>109</v>
      </c>
      <c r="AL63" s="4" t="s">
        <v>109</v>
      </c>
      <c r="AM63" s="4" t="s">
        <v>109</v>
      </c>
      <c r="AP63" s="1">
        <v>17</v>
      </c>
      <c r="AQ63" s="38">
        <v>178</v>
      </c>
    </row>
    <row r="64" spans="1:43" ht="18.75" customHeight="1" x14ac:dyDescent="0.3">
      <c r="A64" s="4">
        <v>2403171</v>
      </c>
      <c r="B64" s="110" t="s">
        <v>374</v>
      </c>
      <c r="C64" s="4" t="e" vm="18">
        <v>#VALUE!</v>
      </c>
      <c r="D64" s="4" t="s">
        <v>17</v>
      </c>
      <c r="E64" s="4" t="s">
        <v>71</v>
      </c>
      <c r="F64" s="4" t="s">
        <v>14</v>
      </c>
      <c r="G64" s="4">
        <v>17.55</v>
      </c>
      <c r="H64" s="4" t="s">
        <v>237</v>
      </c>
      <c r="I64" s="4">
        <v>30.000000000000004</v>
      </c>
      <c r="J64" s="1" t="s">
        <v>143</v>
      </c>
      <c r="K64" s="127"/>
      <c r="L64" s="1" t="s">
        <v>1853</v>
      </c>
      <c r="M64" s="1" t="s">
        <v>2236</v>
      </c>
      <c r="N64" s="127"/>
      <c r="O64" s="1" t="s">
        <v>109</v>
      </c>
      <c r="P64" s="1" t="s">
        <v>109</v>
      </c>
      <c r="Q64" s="127"/>
      <c r="R64" s="56">
        <v>45427</v>
      </c>
      <c r="S64" s="56">
        <v>45447</v>
      </c>
      <c r="T64" s="1" t="s">
        <v>1822</v>
      </c>
      <c r="U64" s="56">
        <v>45769</v>
      </c>
      <c r="V64" s="39" t="s">
        <v>1853</v>
      </c>
      <c r="W64" s="1" t="s">
        <v>1853</v>
      </c>
      <c r="X64" s="4" t="s">
        <v>109</v>
      </c>
      <c r="Y64" s="4" t="s">
        <v>1853</v>
      </c>
      <c r="Z64" s="4" t="s">
        <v>1853</v>
      </c>
      <c r="AA64" s="39" t="s">
        <v>1853</v>
      </c>
      <c r="AB64" s="39" t="s">
        <v>1853</v>
      </c>
      <c r="AC64" s="39" t="s">
        <v>1853</v>
      </c>
      <c r="AD64" s="39" t="s">
        <v>1853</v>
      </c>
      <c r="AE64" s="56">
        <v>45504</v>
      </c>
      <c r="AF64" s="56">
        <v>45511</v>
      </c>
      <c r="AG64" s="56">
        <v>45511</v>
      </c>
      <c r="AH64" s="56">
        <v>49187</v>
      </c>
      <c r="AJ64" s="4" t="s">
        <v>109</v>
      </c>
      <c r="AK64" s="4" t="s">
        <v>109</v>
      </c>
      <c r="AL64" s="4" t="s">
        <v>109</v>
      </c>
      <c r="AM64" s="4" t="s">
        <v>109</v>
      </c>
      <c r="AP64" s="1">
        <v>20</v>
      </c>
      <c r="AQ64" s="38" t="e">
        <v>#VALUE!</v>
      </c>
    </row>
    <row r="65" spans="1:43" ht="28.8" x14ac:dyDescent="0.3">
      <c r="A65" s="4">
        <v>2403176</v>
      </c>
      <c r="B65" s="110" t="s">
        <v>379</v>
      </c>
      <c r="C65" s="4" t="e" vm="15">
        <v>#VALUE!</v>
      </c>
      <c r="D65" s="4" t="s">
        <v>17</v>
      </c>
      <c r="E65" s="4" t="s">
        <v>71</v>
      </c>
      <c r="F65" s="4" t="s">
        <v>14</v>
      </c>
      <c r="G65" s="4">
        <v>6.4349999999999996</v>
      </c>
      <c r="H65" s="4" t="s">
        <v>237</v>
      </c>
      <c r="I65" s="4">
        <v>11</v>
      </c>
      <c r="J65" s="1" t="s">
        <v>380</v>
      </c>
      <c r="K65" s="127"/>
      <c r="L65" s="1" t="s">
        <v>1853</v>
      </c>
      <c r="M65" s="1" t="s">
        <v>2236</v>
      </c>
      <c r="N65" s="127"/>
      <c r="O65" s="1" t="s">
        <v>109</v>
      </c>
      <c r="P65" s="1" t="s">
        <v>109</v>
      </c>
      <c r="Q65" s="127"/>
      <c r="R65" s="56">
        <v>45417</v>
      </c>
      <c r="S65" s="56">
        <v>45432</v>
      </c>
      <c r="T65" s="1" t="s">
        <v>1822</v>
      </c>
      <c r="U65" s="56">
        <v>45769</v>
      </c>
      <c r="V65" s="39" t="s">
        <v>1853</v>
      </c>
      <c r="W65" s="1" t="s">
        <v>1853</v>
      </c>
      <c r="X65" s="4" t="s">
        <v>109</v>
      </c>
      <c r="Y65" s="4" t="s">
        <v>1853</v>
      </c>
      <c r="Z65" s="4" t="s">
        <v>1853</v>
      </c>
      <c r="AA65" s="39">
        <v>45520</v>
      </c>
      <c r="AB65" s="39" t="s">
        <v>1853</v>
      </c>
      <c r="AC65" s="39" t="s">
        <v>1853</v>
      </c>
      <c r="AD65" s="39" t="s">
        <v>1853</v>
      </c>
      <c r="AE65" s="1" t="s">
        <v>1853</v>
      </c>
      <c r="AF65" s="56">
        <v>45554</v>
      </c>
      <c r="AG65" s="56">
        <v>45554</v>
      </c>
      <c r="AH65" s="56">
        <v>49217</v>
      </c>
      <c r="AJ65" s="4" t="s">
        <v>109</v>
      </c>
      <c r="AK65" s="4" t="s">
        <v>109</v>
      </c>
      <c r="AL65" s="4" t="s">
        <v>109</v>
      </c>
      <c r="AM65" s="4" t="s">
        <v>109</v>
      </c>
      <c r="AP65" s="1">
        <v>15</v>
      </c>
      <c r="AQ65" s="38">
        <v>114</v>
      </c>
    </row>
    <row r="66" spans="1:43" ht="18.75" customHeight="1" x14ac:dyDescent="0.3">
      <c r="A66" s="4">
        <v>2404229</v>
      </c>
      <c r="B66" s="110" t="s">
        <v>385</v>
      </c>
      <c r="C66" s="4" t="e" vm="15">
        <v>#VALUE!</v>
      </c>
      <c r="D66" s="4" t="s">
        <v>17</v>
      </c>
      <c r="E66" s="4" t="s">
        <v>71</v>
      </c>
      <c r="F66" s="4" t="s">
        <v>14</v>
      </c>
      <c r="G66" s="4">
        <v>14.625</v>
      </c>
      <c r="H66" s="4" t="s">
        <v>237</v>
      </c>
      <c r="I66" s="4">
        <v>25</v>
      </c>
      <c r="J66" s="1" t="s">
        <v>143</v>
      </c>
      <c r="K66" s="127"/>
      <c r="L66" s="1" t="s">
        <v>1853</v>
      </c>
      <c r="M66" s="1" t="s">
        <v>2236</v>
      </c>
      <c r="N66" s="127"/>
      <c r="O66" s="1" t="s">
        <v>109</v>
      </c>
      <c r="P66" s="1" t="s">
        <v>109</v>
      </c>
      <c r="Q66" s="127"/>
      <c r="R66" s="56">
        <v>45415</v>
      </c>
      <c r="S66" s="56">
        <v>45432</v>
      </c>
      <c r="T66" s="1" t="s">
        <v>1822</v>
      </c>
      <c r="U66" s="56">
        <v>45769</v>
      </c>
      <c r="V66" s="39" t="s">
        <v>1853</v>
      </c>
      <c r="W66" s="1" t="s">
        <v>1853</v>
      </c>
      <c r="X66" s="4" t="s">
        <v>109</v>
      </c>
      <c r="Y66" s="4" t="s">
        <v>1853</v>
      </c>
      <c r="Z66" s="4" t="s">
        <v>1853</v>
      </c>
      <c r="AA66" s="39" t="s">
        <v>1853</v>
      </c>
      <c r="AB66" s="39" t="s">
        <v>1853</v>
      </c>
      <c r="AC66" s="39" t="s">
        <v>1853</v>
      </c>
      <c r="AD66" s="39" t="s">
        <v>1853</v>
      </c>
      <c r="AE66" s="56">
        <v>45468</v>
      </c>
      <c r="AF66" s="56">
        <v>45470</v>
      </c>
      <c r="AG66" s="56">
        <v>45470</v>
      </c>
      <c r="AH66" s="56">
        <v>49125</v>
      </c>
      <c r="AJ66" s="4" t="s">
        <v>109</v>
      </c>
      <c r="AK66" s="4" t="s">
        <v>109</v>
      </c>
      <c r="AL66" s="4" t="s">
        <v>109</v>
      </c>
      <c r="AM66" s="4" t="s">
        <v>109</v>
      </c>
      <c r="AP66" s="1">
        <v>17</v>
      </c>
      <c r="AQ66" s="38" t="e">
        <v>#VALUE!</v>
      </c>
    </row>
    <row r="67" spans="1:43" s="217" customFormat="1" ht="18.75" customHeight="1" x14ac:dyDescent="0.3">
      <c r="A67" s="210">
        <v>2404211</v>
      </c>
      <c r="B67" s="211" t="s">
        <v>392</v>
      </c>
      <c r="C67" s="210" t="e" vm="23">
        <v>#VALUE!</v>
      </c>
      <c r="D67" s="210" t="s">
        <v>17</v>
      </c>
      <c r="E67" s="210" t="s">
        <v>71</v>
      </c>
      <c r="F67" s="210" t="s">
        <v>14</v>
      </c>
      <c r="G67" s="210">
        <v>17.55</v>
      </c>
      <c r="H67" s="210" t="s">
        <v>237</v>
      </c>
      <c r="I67" s="210">
        <v>30.000000000000004</v>
      </c>
      <c r="J67" s="212" t="s">
        <v>143</v>
      </c>
      <c r="K67" s="213"/>
      <c r="L67" s="212" t="s">
        <v>2241</v>
      </c>
      <c r="M67" s="212" t="s">
        <v>2236</v>
      </c>
      <c r="N67" s="213"/>
      <c r="O67" s="212" t="s">
        <v>109</v>
      </c>
      <c r="P67" s="212" t="s">
        <v>109</v>
      </c>
      <c r="Q67" s="213"/>
      <c r="R67" s="214" t="s">
        <v>1853</v>
      </c>
      <c r="S67" s="214" t="s">
        <v>1853</v>
      </c>
      <c r="T67" s="212"/>
      <c r="U67" s="214"/>
      <c r="V67" s="215" t="s">
        <v>1853</v>
      </c>
      <c r="W67" s="212" t="s">
        <v>1853</v>
      </c>
      <c r="X67" s="210" t="s">
        <v>109</v>
      </c>
      <c r="Y67" s="210" t="s">
        <v>1853</v>
      </c>
      <c r="Z67" s="210" t="s">
        <v>1853</v>
      </c>
      <c r="AA67" s="215" t="s">
        <v>1853</v>
      </c>
      <c r="AB67" s="215" t="s">
        <v>1853</v>
      </c>
      <c r="AC67" s="215" t="s">
        <v>1853</v>
      </c>
      <c r="AD67" s="215" t="s">
        <v>1853</v>
      </c>
      <c r="AE67" s="214">
        <v>45482</v>
      </c>
      <c r="AF67" s="214" t="s">
        <v>1853</v>
      </c>
      <c r="AG67" s="214"/>
      <c r="AH67" s="214"/>
      <c r="AI67" s="216"/>
      <c r="AJ67" s="210" t="s">
        <v>109</v>
      </c>
      <c r="AK67" s="210" t="s">
        <v>109</v>
      </c>
      <c r="AL67" s="210" t="s">
        <v>109</v>
      </c>
      <c r="AM67" s="210" t="s">
        <v>109</v>
      </c>
      <c r="AP67" s="212" t="e">
        <v>#VALUE!</v>
      </c>
      <c r="AQ67" s="218" t="e">
        <v>#VALUE!</v>
      </c>
    </row>
    <row r="68" spans="1:43" s="190" customFormat="1" ht="18.75" customHeight="1" x14ac:dyDescent="0.3">
      <c r="A68" s="183">
        <v>2404111</v>
      </c>
      <c r="B68" s="184" t="s">
        <v>397</v>
      </c>
      <c r="C68" s="183" t="e" vm="16">
        <v>#VALUE!</v>
      </c>
      <c r="D68" s="183" t="s">
        <v>17</v>
      </c>
      <c r="E68" s="183" t="s">
        <v>124</v>
      </c>
      <c r="F68" s="183" t="s">
        <v>14</v>
      </c>
      <c r="G68" s="183">
        <v>26.91</v>
      </c>
      <c r="H68" s="183" t="s">
        <v>237</v>
      </c>
      <c r="I68" s="183">
        <v>46</v>
      </c>
      <c r="J68" s="185" t="s">
        <v>341</v>
      </c>
      <c r="K68" s="186"/>
      <c r="L68" s="185" t="s">
        <v>2242</v>
      </c>
      <c r="M68" s="185" t="s">
        <v>2236</v>
      </c>
      <c r="N68" s="186"/>
      <c r="O68" s="185" t="s">
        <v>109</v>
      </c>
      <c r="P68" s="185" t="s">
        <v>109</v>
      </c>
      <c r="Q68" s="186"/>
      <c r="R68" s="187">
        <v>45453</v>
      </c>
      <c r="S68" s="187">
        <v>45531</v>
      </c>
      <c r="T68" s="185" t="s">
        <v>1823</v>
      </c>
      <c r="U68" s="187">
        <v>45816</v>
      </c>
      <c r="V68" s="188" t="s">
        <v>1853</v>
      </c>
      <c r="W68" s="185" t="s">
        <v>1853</v>
      </c>
      <c r="X68" s="183" t="s">
        <v>109</v>
      </c>
      <c r="Y68" s="183" t="s">
        <v>1853</v>
      </c>
      <c r="Z68" s="183" t="s">
        <v>307</v>
      </c>
      <c r="AA68" s="188">
        <v>45636</v>
      </c>
      <c r="AB68" s="188" t="s">
        <v>1853</v>
      </c>
      <c r="AC68" s="188" t="s">
        <v>1853</v>
      </c>
      <c r="AD68" s="188" t="s">
        <v>1853</v>
      </c>
      <c r="AE68" s="187" t="s">
        <v>1853</v>
      </c>
      <c r="AF68" s="187">
        <v>45707</v>
      </c>
      <c r="AG68" s="187">
        <v>45707</v>
      </c>
      <c r="AH68" s="187">
        <v>49368</v>
      </c>
      <c r="AI68" s="189"/>
      <c r="AJ68" s="183" t="s">
        <v>109</v>
      </c>
      <c r="AK68" s="183" t="s">
        <v>109</v>
      </c>
      <c r="AL68" s="183"/>
      <c r="AM68" s="183"/>
      <c r="AP68" s="185">
        <v>78</v>
      </c>
      <c r="AQ68" s="191">
        <v>229</v>
      </c>
    </row>
    <row r="69" spans="1:43" ht="18.75" customHeight="1" x14ac:dyDescent="0.3">
      <c r="A69" s="4">
        <v>2404219</v>
      </c>
      <c r="B69" s="110" t="s">
        <v>399</v>
      </c>
      <c r="C69" s="4" t="e" vm="24">
        <v>#VALUE!</v>
      </c>
      <c r="D69" s="4" t="s">
        <v>17</v>
      </c>
      <c r="E69" s="4" t="s">
        <v>71</v>
      </c>
      <c r="F69" s="4" t="s">
        <v>14</v>
      </c>
      <c r="G69" s="4">
        <v>17.55</v>
      </c>
      <c r="H69" s="4" t="s">
        <v>237</v>
      </c>
      <c r="I69" s="4">
        <v>30.000000000000004</v>
      </c>
      <c r="J69" s="1" t="s">
        <v>143</v>
      </c>
      <c r="K69" s="127"/>
      <c r="L69" s="1" t="s">
        <v>1853</v>
      </c>
      <c r="M69" s="1" t="s">
        <v>2236</v>
      </c>
      <c r="N69" s="127"/>
      <c r="O69" s="1" t="s">
        <v>109</v>
      </c>
      <c r="P69" s="1" t="s">
        <v>109</v>
      </c>
      <c r="Q69" s="127"/>
      <c r="R69" s="56">
        <v>45486</v>
      </c>
      <c r="S69" s="56">
        <v>45497</v>
      </c>
      <c r="T69" s="1" t="s">
        <v>1822</v>
      </c>
      <c r="U69" s="56">
        <v>45769</v>
      </c>
      <c r="V69" s="39" t="s">
        <v>1853</v>
      </c>
      <c r="W69" s="1" t="s">
        <v>1853</v>
      </c>
      <c r="X69" s="4" t="s">
        <v>109</v>
      </c>
      <c r="Y69" s="4" t="s">
        <v>1853</v>
      </c>
      <c r="Z69" s="4" t="s">
        <v>1853</v>
      </c>
      <c r="AA69" s="39" t="s">
        <v>1853</v>
      </c>
      <c r="AB69" s="39" t="s">
        <v>1853</v>
      </c>
      <c r="AC69" s="39" t="s">
        <v>1853</v>
      </c>
      <c r="AD69" s="39" t="s">
        <v>1853</v>
      </c>
      <c r="AE69" s="56" t="s">
        <v>1853</v>
      </c>
      <c r="AF69" s="56">
        <v>45532</v>
      </c>
      <c r="AG69" s="56">
        <v>45532</v>
      </c>
      <c r="AH69" s="56">
        <v>49187</v>
      </c>
      <c r="AJ69" s="4" t="s">
        <v>109</v>
      </c>
      <c r="AK69" s="4" t="s">
        <v>109</v>
      </c>
      <c r="AL69" s="4" t="s">
        <v>109</v>
      </c>
      <c r="AM69" s="4" t="s">
        <v>109</v>
      </c>
      <c r="AP69" s="1">
        <v>11</v>
      </c>
      <c r="AQ69" s="38" t="e">
        <v>#VALUE!</v>
      </c>
    </row>
    <row r="70" spans="1:43" ht="18.75" customHeight="1" x14ac:dyDescent="0.3">
      <c r="A70" s="4">
        <v>2404214</v>
      </c>
      <c r="B70" s="110" t="s">
        <v>404</v>
      </c>
      <c r="C70" s="4" t="e" vm="17">
        <v>#VALUE!</v>
      </c>
      <c r="D70" s="4" t="s">
        <v>17</v>
      </c>
      <c r="E70" s="4" t="s">
        <v>71</v>
      </c>
      <c r="F70" s="4" t="s">
        <v>14</v>
      </c>
      <c r="G70" s="4">
        <v>15.795</v>
      </c>
      <c r="H70" s="4" t="s">
        <v>237</v>
      </c>
      <c r="I70" s="4">
        <v>27</v>
      </c>
      <c r="J70" s="1" t="s">
        <v>143</v>
      </c>
      <c r="K70" s="127"/>
      <c r="L70" s="1" t="s">
        <v>1853</v>
      </c>
      <c r="M70" s="1" t="s">
        <v>2236</v>
      </c>
      <c r="N70" s="127"/>
      <c r="O70" s="1" t="s">
        <v>109</v>
      </c>
      <c r="P70" s="1" t="s">
        <v>109</v>
      </c>
      <c r="Q70" s="127"/>
      <c r="R70" s="56">
        <v>45437</v>
      </c>
      <c r="S70" s="56">
        <v>45449</v>
      </c>
      <c r="T70" s="1" t="s">
        <v>1822</v>
      </c>
      <c r="U70" s="56">
        <v>45891</v>
      </c>
      <c r="V70" s="39" t="s">
        <v>1853</v>
      </c>
      <c r="W70" s="1" t="s">
        <v>1853</v>
      </c>
      <c r="X70" s="4" t="s">
        <v>109</v>
      </c>
      <c r="Y70" s="4" t="s">
        <v>1853</v>
      </c>
      <c r="Z70" s="4" t="s">
        <v>1853</v>
      </c>
      <c r="AA70" s="39">
        <v>45483</v>
      </c>
      <c r="AB70" s="39" t="s">
        <v>1853</v>
      </c>
      <c r="AC70" s="39" t="s">
        <v>1853</v>
      </c>
      <c r="AD70" s="39" t="s">
        <v>1853</v>
      </c>
      <c r="AE70" s="56">
        <v>45510</v>
      </c>
      <c r="AF70" s="56">
        <v>45517</v>
      </c>
      <c r="AG70" s="56">
        <v>45517</v>
      </c>
      <c r="AH70" s="56">
        <v>49187</v>
      </c>
      <c r="AJ70" s="4" t="s">
        <v>109</v>
      </c>
      <c r="AK70" s="4" t="s">
        <v>109</v>
      </c>
      <c r="AL70" s="4" t="s">
        <v>109</v>
      </c>
      <c r="AM70" s="4" t="s">
        <v>109</v>
      </c>
      <c r="AP70" s="1">
        <v>12</v>
      </c>
      <c r="AQ70" s="38">
        <v>69</v>
      </c>
    </row>
    <row r="71" spans="1:43" s="163" customFormat="1" ht="57.6" x14ac:dyDescent="0.3">
      <c r="A71" s="156">
        <v>2403102</v>
      </c>
      <c r="B71" s="157" t="s">
        <v>409</v>
      </c>
      <c r="C71" s="156" t="e" vm="15">
        <v>#VALUE!</v>
      </c>
      <c r="D71" s="156" t="s">
        <v>17</v>
      </c>
      <c r="E71" s="156" t="s">
        <v>124</v>
      </c>
      <c r="F71" s="156" t="s">
        <v>14</v>
      </c>
      <c r="G71" s="156">
        <v>374.4</v>
      </c>
      <c r="H71" s="156" t="s">
        <v>237</v>
      </c>
      <c r="I71" s="156">
        <v>640</v>
      </c>
      <c r="J71" s="158" t="s">
        <v>410</v>
      </c>
      <c r="K71" s="159"/>
      <c r="L71" s="158" t="s">
        <v>2243</v>
      </c>
      <c r="M71" s="158" t="s">
        <v>2244</v>
      </c>
      <c r="N71" s="159"/>
      <c r="O71" s="158" t="s">
        <v>1853</v>
      </c>
      <c r="P71" s="158" t="s">
        <v>1853</v>
      </c>
      <c r="Q71" s="159"/>
      <c r="R71" s="160">
        <v>45833</v>
      </c>
      <c r="S71" s="160">
        <v>45888</v>
      </c>
      <c r="T71" s="158" t="s">
        <v>1819</v>
      </c>
      <c r="U71" s="160">
        <v>46197</v>
      </c>
      <c r="V71" s="161" t="s">
        <v>1853</v>
      </c>
      <c r="W71" s="158" t="s">
        <v>1853</v>
      </c>
      <c r="X71" s="158" t="s">
        <v>1853</v>
      </c>
      <c r="Y71" s="156" t="s">
        <v>1853</v>
      </c>
      <c r="Z71" s="156" t="s">
        <v>1856</v>
      </c>
      <c r="AA71" s="161">
        <v>45937</v>
      </c>
      <c r="AB71" s="161"/>
      <c r="AC71" s="161"/>
      <c r="AD71" s="161"/>
      <c r="AE71" s="160"/>
      <c r="AF71" s="160"/>
      <c r="AG71" s="160"/>
      <c r="AH71" s="160"/>
      <c r="AI71" s="162"/>
      <c r="AJ71" s="156"/>
      <c r="AK71" s="156"/>
      <c r="AL71" s="156"/>
      <c r="AM71" s="156"/>
      <c r="AP71" s="158">
        <v>55</v>
      </c>
      <c r="AQ71" s="164">
        <v>522</v>
      </c>
    </row>
    <row r="72" spans="1:43" s="190" customFormat="1" ht="57.6" x14ac:dyDescent="0.3">
      <c r="A72" s="183">
        <v>2312059</v>
      </c>
      <c r="B72" s="184" t="s">
        <v>412</v>
      </c>
      <c r="C72" s="183" t="e" vm="15">
        <v>#VALUE!</v>
      </c>
      <c r="D72" s="183" t="s">
        <v>17</v>
      </c>
      <c r="E72" s="183" t="s">
        <v>124</v>
      </c>
      <c r="F72" s="183" t="s">
        <v>14</v>
      </c>
      <c r="G72" s="183">
        <v>345.15</v>
      </c>
      <c r="H72" s="183" t="s">
        <v>237</v>
      </c>
      <c r="I72" s="183">
        <v>590</v>
      </c>
      <c r="J72" s="185" t="s">
        <v>413</v>
      </c>
      <c r="K72" s="186"/>
      <c r="L72" s="185" t="s">
        <v>2242</v>
      </c>
      <c r="M72" s="185" t="s">
        <v>2236</v>
      </c>
      <c r="N72" s="186"/>
      <c r="O72" s="185" t="s">
        <v>1853</v>
      </c>
      <c r="P72" s="185" t="s">
        <v>1853</v>
      </c>
      <c r="Q72" s="186"/>
      <c r="R72" s="187">
        <v>45510</v>
      </c>
      <c r="S72" s="187">
        <v>45642</v>
      </c>
      <c r="T72" s="185" t="s">
        <v>1819</v>
      </c>
      <c r="U72" s="187">
        <v>45987</v>
      </c>
      <c r="V72" s="188" t="s">
        <v>1853</v>
      </c>
      <c r="W72" s="185" t="s">
        <v>1853</v>
      </c>
      <c r="X72" s="185" t="s">
        <v>1853</v>
      </c>
      <c r="Y72" s="183" t="s">
        <v>1853</v>
      </c>
      <c r="Z72" s="183" t="s">
        <v>1856</v>
      </c>
      <c r="AA72" s="188">
        <v>45691</v>
      </c>
      <c r="AB72" s="188" t="s">
        <v>1853</v>
      </c>
      <c r="AC72" s="188" t="s">
        <v>1853</v>
      </c>
      <c r="AD72" s="188" t="s">
        <v>1853</v>
      </c>
      <c r="AE72" s="187">
        <v>45890</v>
      </c>
      <c r="AF72" s="187">
        <v>45912</v>
      </c>
      <c r="AG72" s="187">
        <v>45912</v>
      </c>
      <c r="AH72" s="187">
        <v>49582</v>
      </c>
      <c r="AI72" s="189"/>
      <c r="AJ72" s="183" t="s">
        <v>1853</v>
      </c>
      <c r="AK72" s="183" t="s">
        <v>1853</v>
      </c>
      <c r="AL72" s="183"/>
      <c r="AM72" s="183"/>
      <c r="AP72" s="185">
        <v>132</v>
      </c>
      <c r="AQ72" s="191">
        <v>276</v>
      </c>
    </row>
    <row r="73" spans="1:43" ht="18.75" customHeight="1" x14ac:dyDescent="0.3">
      <c r="A73" s="4">
        <v>2404255</v>
      </c>
      <c r="B73" s="110" t="s">
        <v>415</v>
      </c>
      <c r="C73" s="4" t="e" vm="15">
        <v>#VALUE!</v>
      </c>
      <c r="D73" s="4" t="s">
        <v>17</v>
      </c>
      <c r="E73" s="4" t="s">
        <v>71</v>
      </c>
      <c r="F73" s="4" t="s">
        <v>14</v>
      </c>
      <c r="G73" s="4">
        <v>7.6050000000000004</v>
      </c>
      <c r="H73" s="4" t="s">
        <v>237</v>
      </c>
      <c r="I73" s="4">
        <v>13.000000000000002</v>
      </c>
      <c r="J73" s="1" t="s">
        <v>244</v>
      </c>
      <c r="K73" s="127"/>
      <c r="L73" s="1" t="s">
        <v>1853</v>
      </c>
      <c r="M73" s="1" t="s">
        <v>2236</v>
      </c>
      <c r="N73" s="127"/>
      <c r="O73" s="1" t="s">
        <v>109</v>
      </c>
      <c r="P73" s="1" t="s">
        <v>109</v>
      </c>
      <c r="Q73" s="127"/>
      <c r="R73" s="56">
        <v>45485</v>
      </c>
      <c r="S73" s="56">
        <v>45515</v>
      </c>
      <c r="T73" s="1" t="s">
        <v>1822</v>
      </c>
      <c r="U73" s="56">
        <v>45891</v>
      </c>
      <c r="V73" s="39" t="s">
        <v>1853</v>
      </c>
      <c r="W73" s="1" t="s">
        <v>1853</v>
      </c>
      <c r="X73" s="4" t="s">
        <v>109</v>
      </c>
      <c r="Y73" s="4" t="s">
        <v>1853</v>
      </c>
      <c r="Z73" s="4" t="s">
        <v>1855</v>
      </c>
      <c r="AA73" s="39">
        <v>45530</v>
      </c>
      <c r="AB73" s="39" t="s">
        <v>1853</v>
      </c>
      <c r="AC73" s="39" t="s">
        <v>1853</v>
      </c>
      <c r="AD73" s="39" t="s">
        <v>1853</v>
      </c>
      <c r="AE73" s="56">
        <v>45561</v>
      </c>
      <c r="AF73" s="56">
        <v>45568</v>
      </c>
      <c r="AG73" s="56">
        <v>45568</v>
      </c>
      <c r="AH73" s="56">
        <v>49248</v>
      </c>
      <c r="AJ73" s="4" t="s">
        <v>109</v>
      </c>
      <c r="AK73" s="4" t="s">
        <v>109</v>
      </c>
      <c r="AL73" s="4" t="s">
        <v>109</v>
      </c>
      <c r="AM73" s="4" t="s">
        <v>109</v>
      </c>
      <c r="AP73" s="1">
        <v>30</v>
      </c>
      <c r="AQ73" s="38">
        <v>106</v>
      </c>
    </row>
    <row r="74" spans="1:43" ht="18.75" customHeight="1" x14ac:dyDescent="0.3">
      <c r="A74" s="4">
        <v>2404242</v>
      </c>
      <c r="B74" s="110" t="s">
        <v>420</v>
      </c>
      <c r="C74" s="4" t="e" vm="16">
        <v>#VALUE!</v>
      </c>
      <c r="D74" s="4" t="s">
        <v>421</v>
      </c>
      <c r="E74" s="4" t="s">
        <v>71</v>
      </c>
      <c r="F74" s="4" t="s">
        <v>14</v>
      </c>
      <c r="G74" s="4">
        <v>10.53</v>
      </c>
      <c r="H74" s="4" t="s">
        <v>237</v>
      </c>
      <c r="I74" s="4">
        <v>21</v>
      </c>
      <c r="J74" s="1" t="s">
        <v>364</v>
      </c>
      <c r="K74" s="127"/>
      <c r="L74" s="1" t="s">
        <v>1853</v>
      </c>
      <c r="M74" s="1" t="s">
        <v>2236</v>
      </c>
      <c r="N74" s="127"/>
      <c r="O74" s="1" t="s">
        <v>109</v>
      </c>
      <c r="P74" s="1" t="s">
        <v>109</v>
      </c>
      <c r="Q74" s="127"/>
      <c r="R74" s="56">
        <v>45486</v>
      </c>
      <c r="S74" s="56">
        <v>45497</v>
      </c>
      <c r="T74" s="1" t="s">
        <v>1822</v>
      </c>
      <c r="U74" s="56">
        <v>45769</v>
      </c>
      <c r="V74" s="39" t="s">
        <v>1853</v>
      </c>
      <c r="W74" s="1" t="s">
        <v>1853</v>
      </c>
      <c r="X74" s="4" t="s">
        <v>109</v>
      </c>
      <c r="Y74" s="4" t="s">
        <v>1853</v>
      </c>
      <c r="Z74" s="4" t="s">
        <v>1854</v>
      </c>
      <c r="AA74" s="39">
        <v>45530</v>
      </c>
      <c r="AB74" s="39" t="s">
        <v>1853</v>
      </c>
      <c r="AC74" s="39" t="s">
        <v>1853</v>
      </c>
      <c r="AD74" s="39" t="s">
        <v>1853</v>
      </c>
      <c r="AE74" s="56">
        <v>45559</v>
      </c>
      <c r="AF74" s="56">
        <v>45565</v>
      </c>
      <c r="AG74" s="56">
        <v>45565</v>
      </c>
      <c r="AH74" s="56">
        <v>49217</v>
      </c>
      <c r="AJ74" s="4" t="s">
        <v>109</v>
      </c>
      <c r="AK74" s="4" t="s">
        <v>109</v>
      </c>
      <c r="AL74" s="4" t="s">
        <v>109</v>
      </c>
      <c r="AM74" s="4" t="s">
        <v>109</v>
      </c>
      <c r="AP74" s="1">
        <v>11</v>
      </c>
      <c r="AQ74" s="38">
        <v>122</v>
      </c>
    </row>
    <row r="75" spans="1:43" ht="18.75" customHeight="1" x14ac:dyDescent="0.3">
      <c r="A75" s="4">
        <v>2405272</v>
      </c>
      <c r="B75" s="110" t="s">
        <v>426</v>
      </c>
      <c r="C75" s="4" t="e" vm="16">
        <v>#VALUE!</v>
      </c>
      <c r="D75" s="4" t="s">
        <v>17</v>
      </c>
      <c r="E75" s="4" t="s">
        <v>71</v>
      </c>
      <c r="F75" s="4" t="s">
        <v>14</v>
      </c>
      <c r="G75" s="4">
        <v>9.36</v>
      </c>
      <c r="H75" s="4" t="s">
        <v>237</v>
      </c>
      <c r="I75" s="4">
        <v>16</v>
      </c>
      <c r="J75" s="1" t="s">
        <v>364</v>
      </c>
      <c r="K75" s="127"/>
      <c r="L75" s="1" t="s">
        <v>1853</v>
      </c>
      <c r="M75" s="1" t="s">
        <v>2236</v>
      </c>
      <c r="N75" s="127"/>
      <c r="O75" s="1" t="s">
        <v>109</v>
      </c>
      <c r="P75" s="1" t="s">
        <v>109</v>
      </c>
      <c r="Q75" s="127"/>
      <c r="R75" s="56">
        <v>45440</v>
      </c>
      <c r="S75" s="56">
        <v>45456</v>
      </c>
      <c r="T75" s="1" t="s">
        <v>1822</v>
      </c>
      <c r="U75" s="56">
        <v>45776</v>
      </c>
      <c r="V75" s="39" t="s">
        <v>1853</v>
      </c>
      <c r="W75" s="1" t="s">
        <v>1853</v>
      </c>
      <c r="X75" s="4" t="s">
        <v>109</v>
      </c>
      <c r="Y75" s="4" t="s">
        <v>1853</v>
      </c>
      <c r="Z75" s="4" t="s">
        <v>1854</v>
      </c>
      <c r="AA75" s="39">
        <v>45527</v>
      </c>
      <c r="AB75" s="39" t="s">
        <v>1853</v>
      </c>
      <c r="AC75" s="39" t="s">
        <v>1853</v>
      </c>
      <c r="AD75" s="39" t="s">
        <v>1853</v>
      </c>
      <c r="AE75" s="56">
        <v>45538</v>
      </c>
      <c r="AF75" s="56">
        <v>45546</v>
      </c>
      <c r="AG75" s="56">
        <v>45546</v>
      </c>
      <c r="AH75" s="56">
        <v>49217</v>
      </c>
      <c r="AJ75" s="4" t="s">
        <v>109</v>
      </c>
      <c r="AK75" s="4" t="s">
        <v>109</v>
      </c>
      <c r="AL75" s="4" t="s">
        <v>109</v>
      </c>
      <c r="AM75" s="4" t="s">
        <v>109</v>
      </c>
      <c r="AP75" s="1">
        <v>16</v>
      </c>
      <c r="AQ75" s="38">
        <v>100</v>
      </c>
    </row>
    <row r="76" spans="1:43" ht="18.75" customHeight="1" x14ac:dyDescent="0.3">
      <c r="A76" s="4">
        <v>2405266</v>
      </c>
      <c r="B76" s="110" t="s">
        <v>431</v>
      </c>
      <c r="C76" s="4" t="e" vm="15">
        <v>#VALUE!</v>
      </c>
      <c r="D76" s="4" t="s">
        <v>17</v>
      </c>
      <c r="E76" s="4" t="s">
        <v>71</v>
      </c>
      <c r="F76" s="4" t="s">
        <v>14</v>
      </c>
      <c r="G76" s="4">
        <v>13.455</v>
      </c>
      <c r="H76" s="4" t="s">
        <v>237</v>
      </c>
      <c r="I76" s="4">
        <v>23</v>
      </c>
      <c r="J76" s="1" t="s">
        <v>111</v>
      </c>
      <c r="K76" s="127"/>
      <c r="L76" s="1" t="s">
        <v>1853</v>
      </c>
      <c r="M76" s="1" t="s">
        <v>2236</v>
      </c>
      <c r="N76" s="127"/>
      <c r="O76" s="1" t="s">
        <v>109</v>
      </c>
      <c r="P76" s="1" t="s">
        <v>109</v>
      </c>
      <c r="Q76" s="127"/>
      <c r="R76" s="56">
        <v>45437</v>
      </c>
      <c r="S76" s="56">
        <v>45449</v>
      </c>
      <c r="T76" s="1" t="s">
        <v>1822</v>
      </c>
      <c r="U76" s="56">
        <v>45769</v>
      </c>
      <c r="V76" s="39" t="s">
        <v>1853</v>
      </c>
      <c r="W76" s="1" t="s">
        <v>1853</v>
      </c>
      <c r="X76" s="4" t="s">
        <v>109</v>
      </c>
      <c r="Y76" s="4" t="s">
        <v>1853</v>
      </c>
      <c r="Z76" s="4" t="s">
        <v>1855</v>
      </c>
      <c r="AA76" s="39">
        <v>45489</v>
      </c>
      <c r="AB76" s="39" t="s">
        <v>1853</v>
      </c>
      <c r="AC76" s="39" t="s">
        <v>1853</v>
      </c>
      <c r="AD76" s="39" t="s">
        <v>1853</v>
      </c>
      <c r="AE76" s="56">
        <v>45504</v>
      </c>
      <c r="AF76" s="56">
        <v>45508</v>
      </c>
      <c r="AG76" s="56">
        <v>45508</v>
      </c>
      <c r="AH76" s="56">
        <v>49187</v>
      </c>
      <c r="AJ76" s="4" t="s">
        <v>109</v>
      </c>
      <c r="AK76" s="4" t="s">
        <v>109</v>
      </c>
      <c r="AL76" s="4" t="s">
        <v>109</v>
      </c>
      <c r="AM76" s="4" t="s">
        <v>109</v>
      </c>
      <c r="AP76" s="1">
        <v>12</v>
      </c>
      <c r="AQ76" s="38">
        <v>57</v>
      </c>
    </row>
    <row r="77" spans="1:43" ht="18.75" customHeight="1" x14ac:dyDescent="0.3">
      <c r="A77" s="4">
        <v>2405280</v>
      </c>
      <c r="B77" s="110" t="s">
        <v>436</v>
      </c>
      <c r="C77" s="4" t="e" vm="15">
        <v>#VALUE!</v>
      </c>
      <c r="D77" s="4" t="s">
        <v>17</v>
      </c>
      <c r="E77" s="4" t="s">
        <v>71</v>
      </c>
      <c r="F77" s="4" t="s">
        <v>14</v>
      </c>
      <c r="G77" s="4">
        <v>9.36</v>
      </c>
      <c r="H77" s="4" t="s">
        <v>237</v>
      </c>
      <c r="I77" s="4">
        <v>16</v>
      </c>
      <c r="J77" s="1" t="s">
        <v>364</v>
      </c>
      <c r="K77" s="127"/>
      <c r="L77" s="1" t="s">
        <v>1853</v>
      </c>
      <c r="M77" s="1" t="s">
        <v>2236</v>
      </c>
      <c r="N77" s="127"/>
      <c r="O77" s="1" t="s">
        <v>109</v>
      </c>
      <c r="P77" s="1" t="s">
        <v>109</v>
      </c>
      <c r="Q77" s="127"/>
      <c r="R77" s="56">
        <v>45431</v>
      </c>
      <c r="S77" s="56">
        <v>45463</v>
      </c>
      <c r="T77" s="1" t="s">
        <v>1822</v>
      </c>
      <c r="U77" s="56">
        <v>45775</v>
      </c>
      <c r="V77" s="39" t="s">
        <v>1853</v>
      </c>
      <c r="W77" s="1" t="s">
        <v>1853</v>
      </c>
      <c r="X77" s="4" t="s">
        <v>109</v>
      </c>
      <c r="Y77" s="4" t="s">
        <v>1853</v>
      </c>
      <c r="Z77" s="4" t="s">
        <v>1855</v>
      </c>
      <c r="AA77" s="39">
        <v>45511</v>
      </c>
      <c r="AB77" s="39" t="s">
        <v>1853</v>
      </c>
      <c r="AC77" s="39" t="s">
        <v>1853</v>
      </c>
      <c r="AD77" s="39" t="s">
        <v>1853</v>
      </c>
      <c r="AE77" s="56" t="s">
        <v>1853</v>
      </c>
      <c r="AF77" s="56">
        <v>45531</v>
      </c>
      <c r="AG77" s="56">
        <v>45531</v>
      </c>
      <c r="AH77" s="56">
        <v>49187</v>
      </c>
      <c r="AJ77" s="4" t="s">
        <v>109</v>
      </c>
      <c r="AK77" s="4" t="s">
        <v>109</v>
      </c>
      <c r="AL77" s="4" t="s">
        <v>109</v>
      </c>
      <c r="AM77" s="4" t="s">
        <v>109</v>
      </c>
      <c r="AP77" s="1">
        <v>32</v>
      </c>
      <c r="AQ77" s="38">
        <v>89</v>
      </c>
    </row>
    <row r="78" spans="1:43" s="142" customFormat="1" ht="18.75" customHeight="1" x14ac:dyDescent="0.3">
      <c r="A78" s="116">
        <v>2405294</v>
      </c>
      <c r="B78" s="125" t="s">
        <v>441</v>
      </c>
      <c r="C78" s="116">
        <v>0</v>
      </c>
      <c r="D78" s="4" t="s">
        <v>17</v>
      </c>
      <c r="E78" s="116">
        <v>0</v>
      </c>
      <c r="F78" s="116">
        <v>0</v>
      </c>
      <c r="G78" s="116">
        <v>7.02</v>
      </c>
      <c r="H78" s="116" t="s">
        <v>237</v>
      </c>
      <c r="I78" s="116">
        <v>12</v>
      </c>
      <c r="J78" s="139" t="s">
        <v>286</v>
      </c>
      <c r="K78" s="140"/>
      <c r="L78" s="1" t="s">
        <v>1853</v>
      </c>
      <c r="M78" s="139" t="s">
        <v>2237</v>
      </c>
      <c r="N78" s="140"/>
      <c r="O78" s="139" t="s">
        <v>109</v>
      </c>
      <c r="P78" s="139" t="s">
        <v>109</v>
      </c>
      <c r="Q78" s="140"/>
      <c r="R78" s="141">
        <v>45486</v>
      </c>
      <c r="S78" s="141">
        <v>45497</v>
      </c>
      <c r="T78" s="139" t="s">
        <v>1820</v>
      </c>
      <c r="U78" s="141">
        <v>45839</v>
      </c>
      <c r="V78" s="120" t="s">
        <v>1853</v>
      </c>
      <c r="W78" s="139" t="s">
        <v>1853</v>
      </c>
      <c r="X78" s="116" t="s">
        <v>109</v>
      </c>
      <c r="Y78" s="116" t="s">
        <v>1853</v>
      </c>
      <c r="Z78" s="116" t="s">
        <v>109</v>
      </c>
      <c r="AA78" s="116" t="s">
        <v>109</v>
      </c>
      <c r="AB78" s="116" t="s">
        <v>109</v>
      </c>
      <c r="AC78" s="116" t="s">
        <v>109</v>
      </c>
      <c r="AD78" s="116" t="s">
        <v>109</v>
      </c>
      <c r="AE78" s="116" t="s">
        <v>109</v>
      </c>
      <c r="AF78" s="116" t="s">
        <v>109</v>
      </c>
      <c r="AG78" s="116" t="s">
        <v>109</v>
      </c>
      <c r="AH78" s="116" t="s">
        <v>109</v>
      </c>
      <c r="AI78" s="123"/>
      <c r="AJ78" s="116" t="s">
        <v>109</v>
      </c>
      <c r="AK78" s="116" t="s">
        <v>109</v>
      </c>
      <c r="AL78" s="116" t="s">
        <v>109</v>
      </c>
      <c r="AM78" s="116" t="s">
        <v>109</v>
      </c>
      <c r="AP78" s="1">
        <v>11</v>
      </c>
      <c r="AQ78" s="143" t="e">
        <v>#VALUE!</v>
      </c>
    </row>
    <row r="79" spans="1:43" ht="18.75" customHeight="1" x14ac:dyDescent="0.3">
      <c r="A79" s="4">
        <v>2405296</v>
      </c>
      <c r="B79" s="110" t="s">
        <v>443</v>
      </c>
      <c r="C79" s="4" t="e" vm="18">
        <v>#VALUE!</v>
      </c>
      <c r="D79" s="4" t="s">
        <v>17</v>
      </c>
      <c r="E79" s="4" t="s">
        <v>71</v>
      </c>
      <c r="F79" s="4" t="s">
        <v>14</v>
      </c>
      <c r="G79" s="4">
        <v>8.7750000000000004</v>
      </c>
      <c r="H79" s="4" t="s">
        <v>237</v>
      </c>
      <c r="I79" s="4">
        <v>15.000000000000002</v>
      </c>
      <c r="J79" s="1" t="s">
        <v>364</v>
      </c>
      <c r="K79" s="127"/>
      <c r="L79" s="1" t="s">
        <v>1853</v>
      </c>
      <c r="M79" s="1" t="s">
        <v>2236</v>
      </c>
      <c r="N79" s="127"/>
      <c r="O79" s="1" t="s">
        <v>109</v>
      </c>
      <c r="P79" s="1" t="s">
        <v>109</v>
      </c>
      <c r="Q79" s="127"/>
      <c r="R79" s="56">
        <v>45443</v>
      </c>
      <c r="S79" s="56">
        <v>45456</v>
      </c>
      <c r="T79" s="1" t="s">
        <v>1822</v>
      </c>
      <c r="U79" s="56">
        <v>45768</v>
      </c>
      <c r="V79" s="39" t="s">
        <v>1853</v>
      </c>
      <c r="W79" s="1" t="s">
        <v>1853</v>
      </c>
      <c r="X79" s="4" t="s">
        <v>109</v>
      </c>
      <c r="Y79" s="4" t="s">
        <v>1853</v>
      </c>
      <c r="Z79" s="4" t="s">
        <v>1855</v>
      </c>
      <c r="AA79" s="39">
        <v>45597</v>
      </c>
      <c r="AB79" s="39" t="s">
        <v>1853</v>
      </c>
      <c r="AC79" s="39" t="s">
        <v>1853</v>
      </c>
      <c r="AD79" s="39" t="s">
        <v>1853</v>
      </c>
      <c r="AE79" s="56">
        <v>45611</v>
      </c>
      <c r="AF79" s="56">
        <v>45614</v>
      </c>
      <c r="AG79" s="56">
        <v>45614</v>
      </c>
      <c r="AH79" s="56">
        <v>49278</v>
      </c>
      <c r="AJ79" s="4" t="s">
        <v>109</v>
      </c>
      <c r="AK79" s="4" t="s">
        <v>109</v>
      </c>
      <c r="AL79" s="4" t="s">
        <v>109</v>
      </c>
      <c r="AM79" s="4" t="s">
        <v>109</v>
      </c>
      <c r="AP79" s="1">
        <v>13</v>
      </c>
      <c r="AQ79" s="38">
        <v>183</v>
      </c>
    </row>
    <row r="80" spans="1:43" ht="18.75" customHeight="1" x14ac:dyDescent="0.3">
      <c r="A80" s="4">
        <v>2405307</v>
      </c>
      <c r="B80" s="110" t="s">
        <v>448</v>
      </c>
      <c r="C80" s="4" t="e" vm="18">
        <v>#VALUE!</v>
      </c>
      <c r="D80" s="4" t="s">
        <v>17</v>
      </c>
      <c r="E80" s="4" t="s">
        <v>71</v>
      </c>
      <c r="F80" s="4" t="s">
        <v>14</v>
      </c>
      <c r="G80" s="4">
        <v>8.19</v>
      </c>
      <c r="H80" s="4" t="s">
        <v>237</v>
      </c>
      <c r="I80" s="4">
        <v>14</v>
      </c>
      <c r="J80" s="1" t="s">
        <v>244</v>
      </c>
      <c r="K80" s="127"/>
      <c r="L80" s="1" t="s">
        <v>1853</v>
      </c>
      <c r="M80" s="1" t="s">
        <v>2236</v>
      </c>
      <c r="N80" s="127"/>
      <c r="O80" s="1" t="s">
        <v>109</v>
      </c>
      <c r="P80" s="1" t="s">
        <v>109</v>
      </c>
      <c r="Q80" s="127"/>
      <c r="R80" s="56">
        <v>45440</v>
      </c>
      <c r="S80" s="56">
        <v>45456</v>
      </c>
      <c r="T80" s="1" t="s">
        <v>1822</v>
      </c>
      <c r="U80" s="56">
        <v>45793</v>
      </c>
      <c r="V80" s="39" t="s">
        <v>1853</v>
      </c>
      <c r="W80" s="1" t="s">
        <v>1853</v>
      </c>
      <c r="X80" s="4" t="s">
        <v>109</v>
      </c>
      <c r="Y80" s="4" t="s">
        <v>1853</v>
      </c>
      <c r="Z80" s="4" t="s">
        <v>1855</v>
      </c>
      <c r="AA80" s="39">
        <v>45538</v>
      </c>
      <c r="AB80" s="39" t="s">
        <v>1853</v>
      </c>
      <c r="AC80" s="39" t="s">
        <v>1853</v>
      </c>
      <c r="AD80" s="39" t="s">
        <v>1853</v>
      </c>
      <c r="AE80" s="56">
        <v>45559</v>
      </c>
      <c r="AF80" s="56">
        <v>45560</v>
      </c>
      <c r="AG80" s="56">
        <v>45560</v>
      </c>
      <c r="AH80" s="56">
        <v>49217</v>
      </c>
      <c r="AJ80" s="4" t="s">
        <v>109</v>
      </c>
      <c r="AK80" s="4" t="s">
        <v>109</v>
      </c>
      <c r="AL80" s="4" t="s">
        <v>109</v>
      </c>
      <c r="AM80" s="4" t="s">
        <v>109</v>
      </c>
      <c r="AP80" s="1">
        <v>16</v>
      </c>
      <c r="AQ80" s="38">
        <v>104</v>
      </c>
    </row>
    <row r="81" spans="1:43" ht="18.75" customHeight="1" x14ac:dyDescent="0.3">
      <c r="A81" s="4">
        <v>2404227</v>
      </c>
      <c r="B81" s="110" t="s">
        <v>453</v>
      </c>
      <c r="C81" s="4" t="e" vm="17">
        <v>#VALUE!</v>
      </c>
      <c r="D81" s="4" t="s">
        <v>17</v>
      </c>
      <c r="E81" s="4" t="s">
        <v>71</v>
      </c>
      <c r="F81" s="4" t="s">
        <v>14</v>
      </c>
      <c r="G81" s="4">
        <v>17.55</v>
      </c>
      <c r="H81" s="4" t="s">
        <v>237</v>
      </c>
      <c r="I81" s="4">
        <v>30.000000000000004</v>
      </c>
      <c r="J81" s="1" t="s">
        <v>143</v>
      </c>
      <c r="K81" s="127"/>
      <c r="L81" s="1" t="s">
        <v>1853</v>
      </c>
      <c r="M81" s="1" t="s">
        <v>2236</v>
      </c>
      <c r="N81" s="127"/>
      <c r="O81" s="1" t="s">
        <v>109</v>
      </c>
      <c r="P81" s="1" t="s">
        <v>109</v>
      </c>
      <c r="Q81" s="127"/>
      <c r="R81" s="56">
        <v>45486</v>
      </c>
      <c r="S81" s="56">
        <v>45497</v>
      </c>
      <c r="T81" s="1" t="s">
        <v>1822</v>
      </c>
      <c r="U81" s="56">
        <v>45895</v>
      </c>
      <c r="V81" s="39" t="s">
        <v>1853</v>
      </c>
      <c r="W81" s="1" t="s">
        <v>1853</v>
      </c>
      <c r="X81" s="4" t="s">
        <v>109</v>
      </c>
      <c r="Y81" s="4" t="s">
        <v>1853</v>
      </c>
      <c r="Z81" s="39" t="s">
        <v>1853</v>
      </c>
      <c r="AA81" s="39" t="s">
        <v>1853</v>
      </c>
      <c r="AB81" s="39" t="s">
        <v>1853</v>
      </c>
      <c r="AC81" s="39" t="s">
        <v>1853</v>
      </c>
      <c r="AD81" s="39" t="s">
        <v>1853</v>
      </c>
      <c r="AE81" s="56" t="s">
        <v>1853</v>
      </c>
      <c r="AF81" s="56">
        <v>45595</v>
      </c>
      <c r="AG81" s="56">
        <v>45595</v>
      </c>
      <c r="AH81" s="56">
        <v>49248</v>
      </c>
      <c r="AJ81" s="4" t="s">
        <v>109</v>
      </c>
      <c r="AK81" s="4" t="s">
        <v>109</v>
      </c>
      <c r="AL81" s="4" t="s">
        <v>109</v>
      </c>
      <c r="AM81" s="4" t="s">
        <v>109</v>
      </c>
      <c r="AP81" s="1">
        <v>11</v>
      </c>
      <c r="AQ81" s="38" t="e">
        <v>#VALUE!</v>
      </c>
    </row>
    <row r="82" spans="1:43" ht="18.75" customHeight="1" x14ac:dyDescent="0.3">
      <c r="A82" s="4">
        <v>2405315</v>
      </c>
      <c r="B82" s="110" t="s">
        <v>458</v>
      </c>
      <c r="C82" s="4" t="e" vm="24">
        <v>#VALUE!</v>
      </c>
      <c r="D82" s="4" t="s">
        <v>17</v>
      </c>
      <c r="E82" s="4" t="s">
        <v>71</v>
      </c>
      <c r="F82" s="4" t="s">
        <v>14</v>
      </c>
      <c r="G82" s="4">
        <v>13.455</v>
      </c>
      <c r="H82" s="4" t="s">
        <v>237</v>
      </c>
      <c r="I82" s="4">
        <v>23</v>
      </c>
      <c r="J82" s="1" t="s">
        <v>111</v>
      </c>
      <c r="K82" s="127"/>
      <c r="L82" s="1" t="s">
        <v>1853</v>
      </c>
      <c r="M82" s="1" t="s">
        <v>2236</v>
      </c>
      <c r="N82" s="127"/>
      <c r="O82" s="1" t="s">
        <v>109</v>
      </c>
      <c r="P82" s="1" t="s">
        <v>109</v>
      </c>
      <c r="Q82" s="127"/>
      <c r="R82" s="56">
        <v>45486</v>
      </c>
      <c r="S82" s="56">
        <v>45497</v>
      </c>
      <c r="T82" s="1" t="s">
        <v>1822</v>
      </c>
      <c r="U82" s="56">
        <v>45792</v>
      </c>
      <c r="V82" s="39" t="s">
        <v>1853</v>
      </c>
      <c r="W82" s="1" t="s">
        <v>1853</v>
      </c>
      <c r="X82" s="4" t="s">
        <v>109</v>
      </c>
      <c r="Y82" s="4" t="s">
        <v>1853</v>
      </c>
      <c r="Z82" s="39" t="s">
        <v>1853</v>
      </c>
      <c r="AA82" s="39" t="s">
        <v>1853</v>
      </c>
      <c r="AB82" s="39" t="s">
        <v>1853</v>
      </c>
      <c r="AC82" s="39" t="s">
        <v>1853</v>
      </c>
      <c r="AD82" s="39" t="s">
        <v>1853</v>
      </c>
      <c r="AE82" s="39">
        <v>45538</v>
      </c>
      <c r="AF82" s="56">
        <v>45536</v>
      </c>
      <c r="AG82" s="56">
        <v>45536</v>
      </c>
      <c r="AH82" s="56">
        <v>49217</v>
      </c>
      <c r="AJ82" s="4" t="s">
        <v>109</v>
      </c>
      <c r="AK82" s="4" t="s">
        <v>109</v>
      </c>
      <c r="AL82" s="4" t="s">
        <v>109</v>
      </c>
      <c r="AM82" s="4" t="s">
        <v>109</v>
      </c>
      <c r="AP82" s="1">
        <v>11</v>
      </c>
      <c r="AQ82" s="38" t="e">
        <v>#VALUE!</v>
      </c>
    </row>
    <row r="83" spans="1:43" ht="18.75" customHeight="1" x14ac:dyDescent="0.3">
      <c r="A83" s="4">
        <v>2405319</v>
      </c>
      <c r="B83" s="110" t="s">
        <v>463</v>
      </c>
      <c r="C83" s="4" t="e" vm="15">
        <v>#VALUE!</v>
      </c>
      <c r="D83" s="4" t="s">
        <v>17</v>
      </c>
      <c r="E83" s="4" t="s">
        <v>71</v>
      </c>
      <c r="F83" s="4" t="s">
        <v>14</v>
      </c>
      <c r="G83" s="4">
        <v>7.02</v>
      </c>
      <c r="H83" s="4" t="s">
        <v>237</v>
      </c>
      <c r="I83" s="4">
        <v>12</v>
      </c>
      <c r="J83" s="1" t="s">
        <v>286</v>
      </c>
      <c r="K83" s="127"/>
      <c r="L83" s="1" t="s">
        <v>1853</v>
      </c>
      <c r="M83" s="1" t="s">
        <v>2236</v>
      </c>
      <c r="N83" s="127"/>
      <c r="O83" s="1" t="s">
        <v>109</v>
      </c>
      <c r="P83" s="1" t="s">
        <v>109</v>
      </c>
      <c r="Q83" s="127"/>
      <c r="R83" s="56">
        <v>45486</v>
      </c>
      <c r="S83" s="56">
        <v>45497</v>
      </c>
      <c r="T83" s="1" t="s">
        <v>1822</v>
      </c>
      <c r="U83" s="56">
        <v>45775</v>
      </c>
      <c r="V83" s="39" t="s">
        <v>1853</v>
      </c>
      <c r="W83" s="1" t="s">
        <v>1853</v>
      </c>
      <c r="X83" s="4" t="s">
        <v>109</v>
      </c>
      <c r="Y83" s="4" t="s">
        <v>1853</v>
      </c>
      <c r="Z83" s="4" t="s">
        <v>1855</v>
      </c>
      <c r="AA83" s="39">
        <v>45523</v>
      </c>
      <c r="AB83" s="39" t="s">
        <v>1853</v>
      </c>
      <c r="AC83" s="39" t="s">
        <v>1853</v>
      </c>
      <c r="AD83" s="39" t="s">
        <v>1853</v>
      </c>
      <c r="AE83" s="39">
        <v>45539</v>
      </c>
      <c r="AF83" s="56">
        <v>45541</v>
      </c>
      <c r="AG83" s="56">
        <v>45541</v>
      </c>
      <c r="AH83" s="56">
        <v>49217</v>
      </c>
      <c r="AJ83" s="4" t="s">
        <v>109</v>
      </c>
      <c r="AK83" s="4" t="s">
        <v>109</v>
      </c>
      <c r="AL83" s="4" t="s">
        <v>109</v>
      </c>
      <c r="AM83" s="4" t="s">
        <v>109</v>
      </c>
      <c r="AP83" s="1">
        <v>11</v>
      </c>
      <c r="AQ83" s="38">
        <v>78</v>
      </c>
    </row>
    <row r="84" spans="1:43" ht="18.75" customHeight="1" x14ac:dyDescent="0.3">
      <c r="A84" s="4">
        <v>2405288</v>
      </c>
      <c r="B84" s="110" t="s">
        <v>468</v>
      </c>
      <c r="C84" s="4" t="e" vm="18">
        <v>#VALUE!</v>
      </c>
      <c r="D84" s="4" t="s">
        <v>17</v>
      </c>
      <c r="E84" s="4" t="s">
        <v>71</v>
      </c>
      <c r="F84" s="4" t="s">
        <v>14</v>
      </c>
      <c r="G84" s="4">
        <v>12.285</v>
      </c>
      <c r="H84" s="4" t="s">
        <v>237</v>
      </c>
      <c r="I84" s="4">
        <v>21</v>
      </c>
      <c r="J84" s="1" t="s">
        <v>111</v>
      </c>
      <c r="K84" s="127"/>
      <c r="L84" s="1" t="s">
        <v>1853</v>
      </c>
      <c r="M84" s="1" t="s">
        <v>2236</v>
      </c>
      <c r="N84" s="127"/>
      <c r="O84" s="1" t="s">
        <v>109</v>
      </c>
      <c r="P84" s="1" t="s">
        <v>109</v>
      </c>
      <c r="Q84" s="127"/>
      <c r="R84" s="56">
        <v>45496</v>
      </c>
      <c r="S84" s="56">
        <v>45505</v>
      </c>
      <c r="T84" s="1" t="s">
        <v>1822</v>
      </c>
      <c r="U84" s="56">
        <v>45775</v>
      </c>
      <c r="V84" s="39" t="s">
        <v>1853</v>
      </c>
      <c r="W84" s="1" t="s">
        <v>1853</v>
      </c>
      <c r="X84" s="4" t="s">
        <v>109</v>
      </c>
      <c r="Y84" s="4" t="s">
        <v>1853</v>
      </c>
      <c r="Z84" s="4" t="s">
        <v>1855</v>
      </c>
      <c r="AA84" s="39">
        <v>45532</v>
      </c>
      <c r="AB84" s="39" t="s">
        <v>1853</v>
      </c>
      <c r="AC84" s="39" t="s">
        <v>1853</v>
      </c>
      <c r="AD84" s="39" t="s">
        <v>1853</v>
      </c>
      <c r="AE84" s="39" t="s">
        <v>1853</v>
      </c>
      <c r="AF84" s="56">
        <v>45558</v>
      </c>
      <c r="AG84" s="56">
        <v>45558</v>
      </c>
      <c r="AH84" s="56">
        <v>49217</v>
      </c>
      <c r="AJ84" s="4" t="s">
        <v>109</v>
      </c>
      <c r="AK84" s="4" t="s">
        <v>109</v>
      </c>
      <c r="AL84" s="4" t="s">
        <v>109</v>
      </c>
      <c r="AM84" s="4" t="s">
        <v>109</v>
      </c>
      <c r="AP84" s="1">
        <v>9</v>
      </c>
      <c r="AQ84" s="38">
        <v>92</v>
      </c>
    </row>
    <row r="85" spans="1:43" ht="18.75" customHeight="1" x14ac:dyDescent="0.3">
      <c r="A85" s="4">
        <v>2404256</v>
      </c>
      <c r="B85" s="110" t="s">
        <v>473</v>
      </c>
      <c r="C85" s="4" t="e" vm="16">
        <v>#VALUE!</v>
      </c>
      <c r="D85" s="4" t="s">
        <v>421</v>
      </c>
      <c r="E85" s="4" t="s">
        <v>71</v>
      </c>
      <c r="F85" s="4" t="s">
        <v>14</v>
      </c>
      <c r="G85" s="4">
        <v>8.7750000000000004</v>
      </c>
      <c r="H85" s="4" t="s">
        <v>237</v>
      </c>
      <c r="I85" s="4">
        <v>14</v>
      </c>
      <c r="J85" s="1" t="s">
        <v>75</v>
      </c>
      <c r="K85" s="127"/>
      <c r="L85" s="1" t="s">
        <v>1853</v>
      </c>
      <c r="M85" s="1" t="s">
        <v>2236</v>
      </c>
      <c r="N85" s="127"/>
      <c r="O85" s="1" t="s">
        <v>109</v>
      </c>
      <c r="P85" s="1" t="s">
        <v>109</v>
      </c>
      <c r="Q85" s="127"/>
      <c r="R85" s="56">
        <v>45500</v>
      </c>
      <c r="S85" s="56">
        <v>45557</v>
      </c>
      <c r="T85" s="1" t="s">
        <v>1823</v>
      </c>
      <c r="U85" s="56">
        <v>45884</v>
      </c>
      <c r="V85" s="39" t="s">
        <v>1853</v>
      </c>
      <c r="W85" s="1" t="s">
        <v>1853</v>
      </c>
      <c r="X85" s="4" t="s">
        <v>109</v>
      </c>
      <c r="Y85" s="4" t="s">
        <v>1853</v>
      </c>
      <c r="Z85" s="4" t="s">
        <v>1855</v>
      </c>
      <c r="AA85" s="39">
        <v>45563</v>
      </c>
      <c r="AB85" s="39" t="s">
        <v>1853</v>
      </c>
      <c r="AC85" s="39" t="s">
        <v>1853</v>
      </c>
      <c r="AD85" s="39" t="s">
        <v>1853</v>
      </c>
      <c r="AE85" s="39" t="s">
        <v>1853</v>
      </c>
      <c r="AF85" s="56">
        <v>45585</v>
      </c>
      <c r="AG85" s="56">
        <v>45585</v>
      </c>
      <c r="AH85" s="56">
        <v>49248</v>
      </c>
      <c r="AJ85" s="4" t="s">
        <v>109</v>
      </c>
      <c r="AK85" s="4" t="s">
        <v>109</v>
      </c>
      <c r="AL85" s="4" t="s">
        <v>109</v>
      </c>
      <c r="AM85" s="4" t="s">
        <v>109</v>
      </c>
      <c r="AP85" s="1">
        <v>57</v>
      </c>
      <c r="AQ85" s="38">
        <v>99</v>
      </c>
    </row>
    <row r="86" spans="1:43" ht="18.75" customHeight="1" x14ac:dyDescent="0.3">
      <c r="A86" s="4">
        <v>2406323</v>
      </c>
      <c r="B86" s="110" t="s">
        <v>478</v>
      </c>
      <c r="C86" s="4" t="e" vm="23">
        <v>#VALUE!</v>
      </c>
      <c r="D86" s="4" t="s">
        <v>17</v>
      </c>
      <c r="E86" s="4" t="s">
        <v>71</v>
      </c>
      <c r="F86" s="4" t="s">
        <v>14</v>
      </c>
      <c r="G86" s="4">
        <v>14.04</v>
      </c>
      <c r="H86" s="4" t="s">
        <v>237</v>
      </c>
      <c r="I86" s="4">
        <v>24</v>
      </c>
      <c r="J86" s="1" t="s">
        <v>143</v>
      </c>
      <c r="K86" s="127"/>
      <c r="L86" s="1" t="s">
        <v>1853</v>
      </c>
      <c r="M86" s="1" t="s">
        <v>2236</v>
      </c>
      <c r="N86" s="127"/>
      <c r="O86" s="1" t="s">
        <v>109</v>
      </c>
      <c r="P86" s="1" t="s">
        <v>109</v>
      </c>
      <c r="Q86" s="127"/>
      <c r="R86" s="56">
        <v>45486</v>
      </c>
      <c r="S86" s="56">
        <v>45497</v>
      </c>
      <c r="T86" s="1" t="s">
        <v>1822</v>
      </c>
      <c r="U86" s="56">
        <v>45792</v>
      </c>
      <c r="V86" s="39" t="s">
        <v>1853</v>
      </c>
      <c r="W86" s="1" t="s">
        <v>1853</v>
      </c>
      <c r="X86" s="4" t="s">
        <v>109</v>
      </c>
      <c r="Y86" s="4" t="s">
        <v>1853</v>
      </c>
      <c r="Z86" s="4" t="s">
        <v>1855</v>
      </c>
      <c r="AA86" s="39">
        <v>45509</v>
      </c>
      <c r="AB86" s="39" t="s">
        <v>1853</v>
      </c>
      <c r="AC86" s="39" t="s">
        <v>1853</v>
      </c>
      <c r="AD86" s="39" t="s">
        <v>1853</v>
      </c>
      <c r="AE86" s="39">
        <v>45539</v>
      </c>
      <c r="AF86" s="56">
        <v>45541</v>
      </c>
      <c r="AG86" s="56">
        <v>45541</v>
      </c>
      <c r="AH86" s="56">
        <v>49217</v>
      </c>
      <c r="AJ86" s="4" t="s">
        <v>109</v>
      </c>
      <c r="AK86" s="4" t="s">
        <v>109</v>
      </c>
      <c r="AL86" s="4" t="s">
        <v>109</v>
      </c>
      <c r="AM86" s="4" t="s">
        <v>109</v>
      </c>
      <c r="AP86" s="1">
        <v>11</v>
      </c>
      <c r="AQ86" s="38">
        <v>52</v>
      </c>
    </row>
    <row r="87" spans="1:43" ht="18.75" customHeight="1" x14ac:dyDescent="0.3">
      <c r="A87" s="4">
        <v>2406336</v>
      </c>
      <c r="B87" s="110" t="s">
        <v>483</v>
      </c>
      <c r="C87" s="4" t="e" vm="18">
        <v>#VALUE!</v>
      </c>
      <c r="D87" s="4" t="s">
        <v>17</v>
      </c>
      <c r="E87" s="4" t="s">
        <v>71</v>
      </c>
      <c r="F87" s="4" t="s">
        <v>14</v>
      </c>
      <c r="G87" s="4">
        <v>11.7</v>
      </c>
      <c r="H87" s="4" t="s">
        <v>237</v>
      </c>
      <c r="I87" s="4">
        <v>20</v>
      </c>
      <c r="J87" s="1" t="s">
        <v>111</v>
      </c>
      <c r="K87" s="127"/>
      <c r="L87" s="1" t="s">
        <v>1853</v>
      </c>
      <c r="M87" s="1" t="s">
        <v>2236</v>
      </c>
      <c r="N87" s="127"/>
      <c r="O87" s="1" t="s">
        <v>109</v>
      </c>
      <c r="P87" s="1" t="s">
        <v>109</v>
      </c>
      <c r="Q87" s="127"/>
      <c r="R87" s="56">
        <v>45486</v>
      </c>
      <c r="S87" s="56">
        <v>45497</v>
      </c>
      <c r="T87" s="1" t="s">
        <v>1822</v>
      </c>
      <c r="U87" s="56">
        <v>45769</v>
      </c>
      <c r="V87" s="39" t="s">
        <v>1853</v>
      </c>
      <c r="W87" s="1" t="s">
        <v>1853</v>
      </c>
      <c r="X87" s="4" t="s">
        <v>109</v>
      </c>
      <c r="Y87" s="4" t="s">
        <v>1853</v>
      </c>
      <c r="Z87" s="4" t="s">
        <v>1855</v>
      </c>
      <c r="AA87" s="39">
        <v>45524</v>
      </c>
      <c r="AB87" s="39">
        <v>45541</v>
      </c>
      <c r="AC87" s="39" t="s">
        <v>1853</v>
      </c>
      <c r="AD87" s="39" t="s">
        <v>1853</v>
      </c>
      <c r="AE87" s="39">
        <v>45559</v>
      </c>
      <c r="AF87" s="56">
        <v>45551</v>
      </c>
      <c r="AG87" s="56">
        <v>45551</v>
      </c>
      <c r="AH87" s="56">
        <v>49217</v>
      </c>
      <c r="AJ87" s="4" t="s">
        <v>109</v>
      </c>
      <c r="AK87" s="4" t="s">
        <v>109</v>
      </c>
      <c r="AL87" s="4" t="s">
        <v>109</v>
      </c>
      <c r="AM87" s="4" t="s">
        <v>109</v>
      </c>
      <c r="AP87" s="1">
        <v>11</v>
      </c>
      <c r="AQ87" s="38">
        <v>62</v>
      </c>
    </row>
    <row r="88" spans="1:43" ht="18.75" customHeight="1" x14ac:dyDescent="0.3">
      <c r="A88" s="4">
        <v>2406340</v>
      </c>
      <c r="B88" s="110" t="s">
        <v>488</v>
      </c>
      <c r="C88" s="4" t="e" vm="18">
        <v>#VALUE!</v>
      </c>
      <c r="D88" s="4" t="s">
        <v>17</v>
      </c>
      <c r="E88" s="4" t="s">
        <v>71</v>
      </c>
      <c r="F88" s="4" t="s">
        <v>14</v>
      </c>
      <c r="G88" s="4">
        <v>7.02</v>
      </c>
      <c r="H88" s="4" t="s">
        <v>237</v>
      </c>
      <c r="I88" s="4">
        <v>12</v>
      </c>
      <c r="J88" s="1" t="s">
        <v>286</v>
      </c>
      <c r="K88" s="127"/>
      <c r="L88" s="1" t="s">
        <v>1853</v>
      </c>
      <c r="M88" s="1" t="s">
        <v>2236</v>
      </c>
      <c r="N88" s="127"/>
      <c r="O88" s="1" t="s">
        <v>109</v>
      </c>
      <c r="P88" s="1" t="s">
        <v>109</v>
      </c>
      <c r="Q88" s="127"/>
      <c r="R88" s="56">
        <v>45486</v>
      </c>
      <c r="S88" s="56">
        <v>45497</v>
      </c>
      <c r="T88" s="1" t="s">
        <v>1822</v>
      </c>
      <c r="U88" s="56">
        <v>45768</v>
      </c>
      <c r="V88" s="39" t="s">
        <v>1853</v>
      </c>
      <c r="W88" s="1" t="s">
        <v>1853</v>
      </c>
      <c r="X88" s="4" t="s">
        <v>109</v>
      </c>
      <c r="Y88" s="4" t="s">
        <v>1853</v>
      </c>
      <c r="Z88" s="4" t="s">
        <v>1855</v>
      </c>
      <c r="AA88" s="39">
        <v>45528</v>
      </c>
      <c r="AB88" s="39" t="s">
        <v>1853</v>
      </c>
      <c r="AC88" s="39" t="s">
        <v>1853</v>
      </c>
      <c r="AD88" s="39" t="s">
        <v>1853</v>
      </c>
      <c r="AE88" s="39">
        <v>45559</v>
      </c>
      <c r="AF88" s="56">
        <v>45559</v>
      </c>
      <c r="AG88" s="56">
        <v>45559</v>
      </c>
      <c r="AH88" s="56">
        <v>49217</v>
      </c>
      <c r="AJ88" s="4" t="s">
        <v>109</v>
      </c>
      <c r="AK88" s="4" t="s">
        <v>109</v>
      </c>
      <c r="AL88" s="4" t="s">
        <v>109</v>
      </c>
      <c r="AM88" s="4" t="s">
        <v>109</v>
      </c>
      <c r="AP88" s="1">
        <v>11</v>
      </c>
      <c r="AQ88" s="38">
        <v>64</v>
      </c>
    </row>
    <row r="89" spans="1:43" ht="18.75" customHeight="1" x14ac:dyDescent="0.3">
      <c r="A89" s="4">
        <v>2406355</v>
      </c>
      <c r="B89" s="110" t="s">
        <v>493</v>
      </c>
      <c r="C89" s="4" t="e" vm="15">
        <v>#VALUE!</v>
      </c>
      <c r="D89" s="4" t="s">
        <v>17</v>
      </c>
      <c r="E89" s="4" t="s">
        <v>71</v>
      </c>
      <c r="F89" s="4" t="s">
        <v>14</v>
      </c>
      <c r="G89" s="4">
        <v>9.36</v>
      </c>
      <c r="H89" s="4" t="s">
        <v>237</v>
      </c>
      <c r="I89" s="4">
        <v>16</v>
      </c>
      <c r="J89" s="1" t="s">
        <v>364</v>
      </c>
      <c r="K89" s="127"/>
      <c r="L89" s="1" t="s">
        <v>1853</v>
      </c>
      <c r="M89" s="1" t="s">
        <v>2236</v>
      </c>
      <c r="N89" s="127"/>
      <c r="O89" s="1" t="s">
        <v>109</v>
      </c>
      <c r="P89" s="1" t="s">
        <v>109</v>
      </c>
      <c r="Q89" s="127"/>
      <c r="R89" s="56">
        <v>45496</v>
      </c>
      <c r="S89" s="56">
        <v>45505</v>
      </c>
      <c r="T89" s="1" t="s">
        <v>1822</v>
      </c>
      <c r="U89" s="56">
        <v>45792</v>
      </c>
      <c r="V89" s="39" t="s">
        <v>1853</v>
      </c>
      <c r="W89" s="1" t="s">
        <v>1853</v>
      </c>
      <c r="X89" s="4" t="s">
        <v>109</v>
      </c>
      <c r="Y89" s="4" t="s">
        <v>1853</v>
      </c>
      <c r="Z89" s="4" t="s">
        <v>1855</v>
      </c>
      <c r="AA89" s="39">
        <v>45575</v>
      </c>
      <c r="AB89" s="39" t="s">
        <v>1853</v>
      </c>
      <c r="AC89" s="39" t="s">
        <v>1853</v>
      </c>
      <c r="AD89" s="39" t="s">
        <v>1853</v>
      </c>
      <c r="AE89" s="1" t="s">
        <v>1853</v>
      </c>
      <c r="AF89" s="56">
        <v>45592</v>
      </c>
      <c r="AG89" s="56">
        <v>45592</v>
      </c>
      <c r="AH89" s="56">
        <v>49248</v>
      </c>
      <c r="AJ89" s="4" t="s">
        <v>109</v>
      </c>
      <c r="AK89" s="4" t="s">
        <v>109</v>
      </c>
      <c r="AL89" s="4" t="s">
        <v>109</v>
      </c>
      <c r="AM89" s="4" t="s">
        <v>109</v>
      </c>
      <c r="AP89" s="1">
        <v>9</v>
      </c>
      <c r="AQ89" s="38">
        <v>104</v>
      </c>
    </row>
    <row r="90" spans="1:43" ht="18.75" customHeight="1" x14ac:dyDescent="0.3">
      <c r="A90" s="4">
        <v>2406357</v>
      </c>
      <c r="B90" s="110" t="s">
        <v>498</v>
      </c>
      <c r="C90" s="4" t="e" vm="16">
        <v>#VALUE!</v>
      </c>
      <c r="D90" s="4" t="s">
        <v>22</v>
      </c>
      <c r="E90" s="4" t="s">
        <v>71</v>
      </c>
      <c r="F90" s="4" t="s">
        <v>14</v>
      </c>
      <c r="G90" s="4">
        <v>12.285</v>
      </c>
      <c r="H90" s="4" t="s">
        <v>237</v>
      </c>
      <c r="I90" s="4">
        <v>21</v>
      </c>
      <c r="J90" s="1" t="s">
        <v>111</v>
      </c>
      <c r="K90" s="127"/>
      <c r="L90" s="1" t="s">
        <v>1853</v>
      </c>
      <c r="M90" s="1" t="s">
        <v>2236</v>
      </c>
      <c r="N90" s="127"/>
      <c r="O90" s="1" t="s">
        <v>109</v>
      </c>
      <c r="P90" s="1" t="s">
        <v>109</v>
      </c>
      <c r="Q90" s="127"/>
      <c r="R90" s="56">
        <v>45498</v>
      </c>
      <c r="S90" s="56">
        <v>45504</v>
      </c>
      <c r="T90" s="1" t="s">
        <v>1822</v>
      </c>
      <c r="U90" s="56">
        <v>45891</v>
      </c>
      <c r="V90" s="39" t="s">
        <v>1853</v>
      </c>
      <c r="W90" s="1" t="s">
        <v>1853</v>
      </c>
      <c r="X90" s="4" t="s">
        <v>109</v>
      </c>
      <c r="Y90" s="4" t="s">
        <v>1853</v>
      </c>
      <c r="Z90" s="4" t="s">
        <v>1854</v>
      </c>
      <c r="AA90" s="39">
        <v>45533</v>
      </c>
      <c r="AB90" s="39" t="s">
        <v>1853</v>
      </c>
      <c r="AC90" s="39" t="s">
        <v>1853</v>
      </c>
      <c r="AD90" s="39" t="s">
        <v>1853</v>
      </c>
      <c r="AE90" s="39">
        <v>45572</v>
      </c>
      <c r="AF90" s="56">
        <v>45585</v>
      </c>
      <c r="AG90" s="56">
        <v>45585</v>
      </c>
      <c r="AH90" s="56">
        <v>49248</v>
      </c>
      <c r="AJ90" s="4" t="s">
        <v>109</v>
      </c>
      <c r="AK90" s="4" t="s">
        <v>109</v>
      </c>
      <c r="AL90" s="4" t="s">
        <v>109</v>
      </c>
      <c r="AM90" s="4" t="s">
        <v>109</v>
      </c>
      <c r="AP90" s="1">
        <v>6</v>
      </c>
      <c r="AQ90" s="38">
        <v>62</v>
      </c>
    </row>
    <row r="91" spans="1:43" ht="18.75" customHeight="1" x14ac:dyDescent="0.3">
      <c r="A91" s="4">
        <v>2405019</v>
      </c>
      <c r="B91" s="110" t="s">
        <v>503</v>
      </c>
      <c r="C91" s="4" t="e" vm="19">
        <v>#VALUE!</v>
      </c>
      <c r="D91" s="4" t="s">
        <v>20</v>
      </c>
      <c r="E91" s="4" t="s">
        <v>206</v>
      </c>
      <c r="F91" s="4" t="s">
        <v>18</v>
      </c>
      <c r="G91" s="4">
        <v>0</v>
      </c>
      <c r="H91" s="4" t="s">
        <v>18</v>
      </c>
      <c r="I91" s="4" t="s">
        <v>18</v>
      </c>
      <c r="J91" s="1" t="s">
        <v>18</v>
      </c>
      <c r="K91" s="127"/>
      <c r="L91" s="1" t="s">
        <v>1853</v>
      </c>
      <c r="M91" s="1" t="s">
        <v>2236</v>
      </c>
      <c r="N91" s="127"/>
      <c r="O91" s="1" t="s">
        <v>109</v>
      </c>
      <c r="P91" s="1" t="s">
        <v>109</v>
      </c>
      <c r="Q91" s="127"/>
      <c r="R91" s="56" t="s">
        <v>109</v>
      </c>
      <c r="S91" s="56" t="s">
        <v>109</v>
      </c>
      <c r="T91" s="56" t="s">
        <v>109</v>
      </c>
      <c r="U91" s="56" t="s">
        <v>109</v>
      </c>
      <c r="V91" s="39" t="s">
        <v>1853</v>
      </c>
      <c r="W91" s="1" t="s">
        <v>1853</v>
      </c>
      <c r="X91" s="4" t="s">
        <v>109</v>
      </c>
      <c r="Y91" s="4" t="s">
        <v>1853</v>
      </c>
      <c r="Z91" s="4" t="s">
        <v>1853</v>
      </c>
      <c r="AA91" s="4" t="s">
        <v>1853</v>
      </c>
      <c r="AB91" s="4" t="s">
        <v>109</v>
      </c>
      <c r="AC91" s="4" t="s">
        <v>109</v>
      </c>
      <c r="AD91" s="4" t="s">
        <v>109</v>
      </c>
      <c r="AE91" s="4" t="s">
        <v>109</v>
      </c>
      <c r="AF91" s="4" t="s">
        <v>109</v>
      </c>
      <c r="AG91" s="4" t="s">
        <v>109</v>
      </c>
      <c r="AH91" s="4" t="s">
        <v>109</v>
      </c>
      <c r="AJ91" s="4" t="s">
        <v>109</v>
      </c>
      <c r="AK91" s="4" t="s">
        <v>109</v>
      </c>
      <c r="AL91" s="4" t="s">
        <v>109</v>
      </c>
      <c r="AM91" s="4" t="s">
        <v>109</v>
      </c>
      <c r="AP91" s="1" t="e">
        <v>#VALUE!</v>
      </c>
      <c r="AQ91" s="38" t="e">
        <v>#VALUE!</v>
      </c>
    </row>
    <row r="92" spans="1:43" ht="18.75" customHeight="1" x14ac:dyDescent="0.3">
      <c r="A92" s="4">
        <v>2406358</v>
      </c>
      <c r="B92" s="110" t="s">
        <v>505</v>
      </c>
      <c r="C92" s="4" t="e" vm="22">
        <v>#VALUE!</v>
      </c>
      <c r="D92" s="4" t="s">
        <v>17</v>
      </c>
      <c r="E92" s="4" t="s">
        <v>71</v>
      </c>
      <c r="F92" s="4" t="s">
        <v>14</v>
      </c>
      <c r="G92" s="4">
        <v>9.36</v>
      </c>
      <c r="H92" s="4" t="s">
        <v>237</v>
      </c>
      <c r="I92" s="4">
        <v>16</v>
      </c>
      <c r="J92" s="1" t="s">
        <v>364</v>
      </c>
      <c r="K92" s="127"/>
      <c r="L92" s="1" t="s">
        <v>1853</v>
      </c>
      <c r="M92" s="1" t="s">
        <v>2236</v>
      </c>
      <c r="N92" s="127"/>
      <c r="O92" s="1" t="s">
        <v>109</v>
      </c>
      <c r="P92" s="1" t="s">
        <v>109</v>
      </c>
      <c r="Q92" s="127"/>
      <c r="R92" s="56">
        <v>45495</v>
      </c>
      <c r="S92" s="56">
        <v>45503</v>
      </c>
      <c r="T92" s="1" t="s">
        <v>1822</v>
      </c>
      <c r="U92" s="56">
        <v>45776</v>
      </c>
      <c r="V92" s="39" t="s">
        <v>1853</v>
      </c>
      <c r="W92" s="1" t="s">
        <v>1853</v>
      </c>
      <c r="X92" s="4" t="s">
        <v>109</v>
      </c>
      <c r="Y92" s="4" t="s">
        <v>1853</v>
      </c>
      <c r="Z92" s="4" t="s">
        <v>1855</v>
      </c>
      <c r="AA92" s="39">
        <v>45549</v>
      </c>
      <c r="AB92" s="39">
        <v>45558</v>
      </c>
      <c r="AC92" s="39" t="s">
        <v>1853</v>
      </c>
      <c r="AD92" s="39" t="s">
        <v>1853</v>
      </c>
      <c r="AE92" s="39" t="s">
        <v>1853</v>
      </c>
      <c r="AF92" s="56">
        <v>45571</v>
      </c>
      <c r="AG92" s="56">
        <v>45571</v>
      </c>
      <c r="AH92" s="56">
        <v>49248</v>
      </c>
      <c r="AJ92" s="4" t="s">
        <v>109</v>
      </c>
      <c r="AK92" s="4" t="s">
        <v>109</v>
      </c>
      <c r="AL92" s="4" t="s">
        <v>109</v>
      </c>
      <c r="AM92" s="4" t="s">
        <v>109</v>
      </c>
      <c r="AP92" s="1">
        <v>8</v>
      </c>
      <c r="AQ92" s="38">
        <v>75</v>
      </c>
    </row>
    <row r="93" spans="1:43" ht="18.75" customHeight="1" x14ac:dyDescent="0.3">
      <c r="A93" s="4">
        <v>2407360</v>
      </c>
      <c r="B93" s="110" t="s">
        <v>510</v>
      </c>
      <c r="C93" s="4" t="e" vm="15">
        <v>#VALUE!</v>
      </c>
      <c r="D93" s="4" t="s">
        <v>17</v>
      </c>
      <c r="E93" s="4" t="s">
        <v>71</v>
      </c>
      <c r="F93" s="4" t="s">
        <v>14</v>
      </c>
      <c r="G93" s="4">
        <v>14.04</v>
      </c>
      <c r="H93" s="4" t="s">
        <v>237</v>
      </c>
      <c r="I93" s="4">
        <v>24</v>
      </c>
      <c r="J93" s="1" t="s">
        <v>143</v>
      </c>
      <c r="K93" s="127"/>
      <c r="L93" s="1" t="s">
        <v>1853</v>
      </c>
      <c r="M93" s="1" t="s">
        <v>2236</v>
      </c>
      <c r="N93" s="127"/>
      <c r="O93" s="1" t="s">
        <v>109</v>
      </c>
      <c r="P93" s="1" t="s">
        <v>109</v>
      </c>
      <c r="Q93" s="127"/>
      <c r="R93" s="56">
        <v>45505</v>
      </c>
      <c r="S93" s="56">
        <v>45515</v>
      </c>
      <c r="T93" s="1" t="s">
        <v>1822</v>
      </c>
      <c r="U93" s="56">
        <v>45768</v>
      </c>
      <c r="V93" s="39" t="s">
        <v>1853</v>
      </c>
      <c r="W93" s="1" t="s">
        <v>1853</v>
      </c>
      <c r="X93" s="4" t="s">
        <v>109</v>
      </c>
      <c r="Y93" s="4" t="s">
        <v>1853</v>
      </c>
      <c r="Z93" s="4" t="s">
        <v>1855</v>
      </c>
      <c r="AA93" s="39">
        <v>45537</v>
      </c>
      <c r="AB93" s="39" t="s">
        <v>1853</v>
      </c>
      <c r="AC93" s="39" t="s">
        <v>1853</v>
      </c>
      <c r="AD93" s="39" t="s">
        <v>1853</v>
      </c>
      <c r="AE93" s="1" t="s">
        <v>1853</v>
      </c>
      <c r="AF93" s="56">
        <v>45555</v>
      </c>
      <c r="AG93" s="56">
        <v>45555</v>
      </c>
      <c r="AH93" s="56">
        <v>49217</v>
      </c>
      <c r="AJ93" s="4" t="s">
        <v>109</v>
      </c>
      <c r="AK93" s="4" t="s">
        <v>109</v>
      </c>
      <c r="AL93" s="4" t="s">
        <v>109</v>
      </c>
      <c r="AM93" s="4" t="s">
        <v>109</v>
      </c>
      <c r="AP93" s="1">
        <v>10</v>
      </c>
      <c r="AQ93" s="38">
        <v>46</v>
      </c>
    </row>
    <row r="94" spans="1:43" ht="18.75" customHeight="1" x14ac:dyDescent="0.3">
      <c r="A94" s="4">
        <v>2407364</v>
      </c>
      <c r="B94" s="110" t="s">
        <v>515</v>
      </c>
      <c r="C94" s="4" t="e" vm="16">
        <v>#VALUE!</v>
      </c>
      <c r="D94" s="4" t="s">
        <v>22</v>
      </c>
      <c r="E94" s="4" t="s">
        <v>71</v>
      </c>
      <c r="F94" s="4" t="s">
        <v>14</v>
      </c>
      <c r="G94" s="4">
        <v>8.19</v>
      </c>
      <c r="H94" s="4" t="s">
        <v>237</v>
      </c>
      <c r="I94" s="4">
        <v>14</v>
      </c>
      <c r="J94" s="1" t="s">
        <v>244</v>
      </c>
      <c r="K94" s="127"/>
      <c r="L94" s="1" t="s">
        <v>1853</v>
      </c>
      <c r="M94" s="1" t="s">
        <v>2236</v>
      </c>
      <c r="N94" s="127"/>
      <c r="O94" s="1" t="s">
        <v>109</v>
      </c>
      <c r="P94" s="1" t="s">
        <v>109</v>
      </c>
      <c r="Q94" s="127"/>
      <c r="R94" s="56">
        <v>45498</v>
      </c>
      <c r="S94" s="56">
        <v>45504</v>
      </c>
      <c r="T94" s="1" t="s">
        <v>1822</v>
      </c>
      <c r="U94" s="56">
        <v>45891</v>
      </c>
      <c r="V94" s="39" t="s">
        <v>1853</v>
      </c>
      <c r="W94" s="1" t="s">
        <v>1853</v>
      </c>
      <c r="X94" s="4" t="s">
        <v>109</v>
      </c>
      <c r="Y94" s="4" t="s">
        <v>1853</v>
      </c>
      <c r="Z94" s="4" t="s">
        <v>1854</v>
      </c>
      <c r="AA94" s="39">
        <v>45538</v>
      </c>
      <c r="AB94" s="39" t="s">
        <v>1853</v>
      </c>
      <c r="AC94" s="39" t="s">
        <v>1853</v>
      </c>
      <c r="AD94" s="39" t="s">
        <v>1853</v>
      </c>
      <c r="AE94" s="39">
        <v>45561</v>
      </c>
      <c r="AF94" s="56">
        <v>45585</v>
      </c>
      <c r="AG94" s="56">
        <v>45585</v>
      </c>
      <c r="AH94" s="56">
        <v>49248</v>
      </c>
      <c r="AJ94" s="4" t="s">
        <v>109</v>
      </c>
      <c r="AK94" s="4" t="s">
        <v>109</v>
      </c>
      <c r="AL94" s="4" t="s">
        <v>109</v>
      </c>
      <c r="AM94" s="4" t="s">
        <v>109</v>
      </c>
      <c r="AP94" s="1">
        <v>6</v>
      </c>
      <c r="AQ94" s="38">
        <v>57</v>
      </c>
    </row>
    <row r="95" spans="1:43" ht="18.75" customHeight="1" x14ac:dyDescent="0.3">
      <c r="A95" s="4">
        <v>2407375</v>
      </c>
      <c r="B95" s="110" t="s">
        <v>520</v>
      </c>
      <c r="C95" s="4" t="e" vm="15">
        <v>#VALUE!</v>
      </c>
      <c r="D95" s="4" t="s">
        <v>17</v>
      </c>
      <c r="E95" s="4" t="s">
        <v>71</v>
      </c>
      <c r="F95" s="4" t="s">
        <v>14</v>
      </c>
      <c r="G95" s="4">
        <v>14.04</v>
      </c>
      <c r="H95" s="4" t="s">
        <v>237</v>
      </c>
      <c r="I95" s="4">
        <v>24</v>
      </c>
      <c r="J95" s="1" t="s">
        <v>143</v>
      </c>
      <c r="K95" s="127"/>
      <c r="L95" s="1" t="s">
        <v>1853</v>
      </c>
      <c r="M95" s="1" t="s">
        <v>2236</v>
      </c>
      <c r="N95" s="127"/>
      <c r="O95" s="1" t="s">
        <v>109</v>
      </c>
      <c r="P95" s="1" t="s">
        <v>109</v>
      </c>
      <c r="Q95" s="127"/>
      <c r="R95" s="56">
        <v>45495</v>
      </c>
      <c r="S95" s="56">
        <v>45503</v>
      </c>
      <c r="T95" s="1" t="s">
        <v>1822</v>
      </c>
      <c r="U95" s="56">
        <v>45775</v>
      </c>
      <c r="V95" s="39" t="s">
        <v>1853</v>
      </c>
      <c r="W95" s="1" t="s">
        <v>1853</v>
      </c>
      <c r="X95" s="4" t="s">
        <v>109</v>
      </c>
      <c r="Y95" s="4" t="s">
        <v>1853</v>
      </c>
      <c r="Z95" s="4" t="s">
        <v>1855</v>
      </c>
      <c r="AA95" s="39">
        <v>45545</v>
      </c>
      <c r="AB95" s="39" t="s">
        <v>1853</v>
      </c>
      <c r="AC95" s="39" t="s">
        <v>1853</v>
      </c>
      <c r="AD95" s="39" t="s">
        <v>1853</v>
      </c>
      <c r="AE95" s="39">
        <v>45561</v>
      </c>
      <c r="AF95" s="56">
        <v>45565</v>
      </c>
      <c r="AG95" s="56">
        <v>45565</v>
      </c>
      <c r="AH95" s="56">
        <v>49217</v>
      </c>
      <c r="AJ95" s="4" t="s">
        <v>109</v>
      </c>
      <c r="AK95" s="4" t="s">
        <v>109</v>
      </c>
      <c r="AL95" s="4" t="s">
        <v>109</v>
      </c>
      <c r="AM95" s="4" t="s">
        <v>109</v>
      </c>
      <c r="AP95" s="1">
        <v>8</v>
      </c>
      <c r="AQ95" s="38">
        <v>60</v>
      </c>
    </row>
    <row r="96" spans="1:43" ht="18.75" customHeight="1" x14ac:dyDescent="0.3">
      <c r="A96" s="4">
        <v>2407379</v>
      </c>
      <c r="B96" s="110" t="s">
        <v>525</v>
      </c>
      <c r="C96" s="4" t="e" vm="16">
        <v>#VALUE!</v>
      </c>
      <c r="D96" s="4" t="s">
        <v>19</v>
      </c>
      <c r="E96" s="4" t="s">
        <v>71</v>
      </c>
      <c r="F96" s="4" t="s">
        <v>14</v>
      </c>
      <c r="G96" s="4">
        <v>5.2649999999999997</v>
      </c>
      <c r="H96" s="4" t="s">
        <v>237</v>
      </c>
      <c r="I96" s="4">
        <v>9</v>
      </c>
      <c r="J96" s="1" t="s">
        <v>309</v>
      </c>
      <c r="K96" s="127"/>
      <c r="L96" s="1" t="s">
        <v>1853</v>
      </c>
      <c r="M96" s="1" t="s">
        <v>2236</v>
      </c>
      <c r="N96" s="127"/>
      <c r="O96" s="1" t="s">
        <v>109</v>
      </c>
      <c r="P96" s="1" t="s">
        <v>109</v>
      </c>
      <c r="Q96" s="127"/>
      <c r="R96" s="56">
        <v>45495</v>
      </c>
      <c r="S96" s="56">
        <v>45503</v>
      </c>
      <c r="T96" s="1" t="s">
        <v>1822</v>
      </c>
      <c r="U96" s="56">
        <v>45891</v>
      </c>
      <c r="V96" s="39" t="s">
        <v>1853</v>
      </c>
      <c r="W96" s="1" t="s">
        <v>1853</v>
      </c>
      <c r="X96" s="4" t="s">
        <v>109</v>
      </c>
      <c r="Y96" s="4" t="s">
        <v>1853</v>
      </c>
      <c r="Z96" s="4" t="s">
        <v>1854</v>
      </c>
      <c r="AA96" s="39">
        <v>45524</v>
      </c>
      <c r="AB96" s="39" t="s">
        <v>1853</v>
      </c>
      <c r="AC96" s="39" t="s">
        <v>1853</v>
      </c>
      <c r="AD96" s="39" t="s">
        <v>1853</v>
      </c>
      <c r="AE96" s="39" t="s">
        <v>1853</v>
      </c>
      <c r="AF96" s="56">
        <v>45551</v>
      </c>
      <c r="AG96" s="56">
        <v>45551</v>
      </c>
      <c r="AH96" s="56">
        <v>49217</v>
      </c>
      <c r="AJ96" s="4" t="s">
        <v>109</v>
      </c>
      <c r="AK96" s="4" t="s">
        <v>109</v>
      </c>
      <c r="AL96" s="4" t="s">
        <v>109</v>
      </c>
      <c r="AM96" s="4" t="s">
        <v>109</v>
      </c>
      <c r="AP96" s="1">
        <v>8</v>
      </c>
      <c r="AQ96" s="38">
        <v>40</v>
      </c>
    </row>
    <row r="97" spans="1:43" ht="18.75" customHeight="1" x14ac:dyDescent="0.3">
      <c r="A97" s="4">
        <v>2407380</v>
      </c>
      <c r="B97" s="110" t="s">
        <v>531</v>
      </c>
      <c r="C97" s="4" t="e" vm="15">
        <v>#VALUE!</v>
      </c>
      <c r="D97" s="4" t="s">
        <v>17</v>
      </c>
      <c r="E97" s="4" t="s">
        <v>71</v>
      </c>
      <c r="F97" s="4" t="s">
        <v>14</v>
      </c>
      <c r="G97" s="4">
        <v>12.87</v>
      </c>
      <c r="H97" s="4" t="s">
        <v>237</v>
      </c>
      <c r="I97" s="4">
        <v>22</v>
      </c>
      <c r="J97" s="1" t="s">
        <v>111</v>
      </c>
      <c r="K97" s="127"/>
      <c r="L97" s="1" t="s">
        <v>1853</v>
      </c>
      <c r="M97" s="1" t="s">
        <v>2236</v>
      </c>
      <c r="N97" s="127"/>
      <c r="O97" s="1" t="s">
        <v>109</v>
      </c>
      <c r="P97" s="1" t="s">
        <v>109</v>
      </c>
      <c r="Q97" s="127"/>
      <c r="R97" s="56">
        <v>45500</v>
      </c>
      <c r="S97" s="56">
        <v>45505</v>
      </c>
      <c r="T97" s="1" t="s">
        <v>1822</v>
      </c>
      <c r="U97" s="56">
        <v>45768</v>
      </c>
      <c r="V97" s="39" t="s">
        <v>1853</v>
      </c>
      <c r="W97" s="1" t="s">
        <v>1853</v>
      </c>
      <c r="X97" s="4" t="s">
        <v>109</v>
      </c>
      <c r="Y97" s="4" t="s">
        <v>1853</v>
      </c>
      <c r="Z97" s="4" t="s">
        <v>1855</v>
      </c>
      <c r="AA97" s="39">
        <v>45533</v>
      </c>
      <c r="AB97" s="39" t="s">
        <v>1853</v>
      </c>
      <c r="AC97" s="39" t="s">
        <v>1853</v>
      </c>
      <c r="AD97" s="39" t="s">
        <v>1853</v>
      </c>
      <c r="AE97" s="39">
        <v>45539</v>
      </c>
      <c r="AF97" s="56">
        <v>45548</v>
      </c>
      <c r="AG97" s="56">
        <v>45548</v>
      </c>
      <c r="AH97" s="56">
        <v>49217</v>
      </c>
      <c r="AJ97" s="4" t="s">
        <v>109</v>
      </c>
      <c r="AK97" s="4" t="s">
        <v>109</v>
      </c>
      <c r="AL97" s="4" t="s">
        <v>109</v>
      </c>
      <c r="AM97" s="4" t="s">
        <v>109</v>
      </c>
      <c r="AP97" s="1">
        <v>5</v>
      </c>
      <c r="AQ97" s="38">
        <v>47</v>
      </c>
    </row>
    <row r="98" spans="1:43" ht="18.75" customHeight="1" x14ac:dyDescent="0.3">
      <c r="A98" s="4">
        <v>2407381</v>
      </c>
      <c r="B98" s="110" t="s">
        <v>536</v>
      </c>
      <c r="C98" s="4" t="e" vm="15">
        <v>#VALUE!</v>
      </c>
      <c r="D98" s="4" t="s">
        <v>17</v>
      </c>
      <c r="E98" s="4" t="s">
        <v>71</v>
      </c>
      <c r="F98" s="4" t="s">
        <v>14</v>
      </c>
      <c r="G98" s="4">
        <v>12.285</v>
      </c>
      <c r="H98" s="4" t="s">
        <v>237</v>
      </c>
      <c r="I98" s="4">
        <v>21</v>
      </c>
      <c r="J98" s="1" t="s">
        <v>111</v>
      </c>
      <c r="K98" s="127"/>
      <c r="L98" s="1" t="s">
        <v>1853</v>
      </c>
      <c r="M98" s="1" t="s">
        <v>2236</v>
      </c>
      <c r="N98" s="127"/>
      <c r="O98" s="1" t="s">
        <v>109</v>
      </c>
      <c r="P98" s="1" t="s">
        <v>109</v>
      </c>
      <c r="Q98" s="127"/>
      <c r="R98" s="56">
        <v>45500</v>
      </c>
      <c r="S98" s="56">
        <v>45505</v>
      </c>
      <c r="T98" s="1" t="s">
        <v>1822</v>
      </c>
      <c r="U98" s="56">
        <v>45775</v>
      </c>
      <c r="V98" s="39" t="s">
        <v>1853</v>
      </c>
      <c r="W98" s="1" t="s">
        <v>1853</v>
      </c>
      <c r="X98" s="4" t="s">
        <v>109</v>
      </c>
      <c r="Y98" s="4" t="s">
        <v>1853</v>
      </c>
      <c r="Z98" s="4" t="s">
        <v>1855</v>
      </c>
      <c r="AA98" s="39">
        <v>45567</v>
      </c>
      <c r="AB98" s="39" t="s">
        <v>1853</v>
      </c>
      <c r="AC98" s="39" t="s">
        <v>1853</v>
      </c>
      <c r="AD98" s="39" t="s">
        <v>1853</v>
      </c>
      <c r="AE98" s="56">
        <v>45581</v>
      </c>
      <c r="AF98" s="56">
        <v>45586</v>
      </c>
      <c r="AG98" s="56">
        <v>45586</v>
      </c>
      <c r="AH98" s="56">
        <v>49248</v>
      </c>
      <c r="AJ98" s="4" t="s">
        <v>109</v>
      </c>
      <c r="AK98" s="4" t="s">
        <v>109</v>
      </c>
      <c r="AL98" s="4" t="s">
        <v>109</v>
      </c>
      <c r="AM98" s="4" t="s">
        <v>109</v>
      </c>
      <c r="AP98" s="1">
        <v>5</v>
      </c>
      <c r="AQ98" s="38">
        <v>81</v>
      </c>
    </row>
    <row r="99" spans="1:43" ht="18.75" customHeight="1" x14ac:dyDescent="0.3">
      <c r="A99" s="4">
        <v>2407382</v>
      </c>
      <c r="B99" s="110" t="s">
        <v>541</v>
      </c>
      <c r="C99" s="4" t="e" vm="15">
        <v>#VALUE!</v>
      </c>
      <c r="D99" s="4" t="s">
        <v>17</v>
      </c>
      <c r="E99" s="4" t="s">
        <v>71</v>
      </c>
      <c r="F99" s="4" t="s">
        <v>14</v>
      </c>
      <c r="G99" s="4">
        <v>8.7750000000000004</v>
      </c>
      <c r="H99" s="4" t="s">
        <v>237</v>
      </c>
      <c r="I99" s="4">
        <v>15.000000000000002</v>
      </c>
      <c r="J99" s="1" t="s">
        <v>364</v>
      </c>
      <c r="K99" s="127"/>
      <c r="L99" s="1" t="s">
        <v>1853</v>
      </c>
      <c r="M99" s="1" t="s">
        <v>2236</v>
      </c>
      <c r="N99" s="127"/>
      <c r="O99" s="1" t="s">
        <v>109</v>
      </c>
      <c r="P99" s="1" t="s">
        <v>109</v>
      </c>
      <c r="Q99" s="127"/>
      <c r="R99" s="56">
        <v>45505</v>
      </c>
      <c r="S99" s="56">
        <v>45515</v>
      </c>
      <c r="T99" s="1" t="s">
        <v>1822</v>
      </c>
      <c r="U99" s="56">
        <v>45775</v>
      </c>
      <c r="V99" s="39" t="s">
        <v>1853</v>
      </c>
      <c r="W99" s="1" t="s">
        <v>1853</v>
      </c>
      <c r="X99" s="4" t="s">
        <v>109</v>
      </c>
      <c r="Y99" s="4" t="s">
        <v>1853</v>
      </c>
      <c r="Z99" s="4" t="s">
        <v>1855</v>
      </c>
      <c r="AA99" s="39">
        <v>45665</v>
      </c>
      <c r="AB99" s="39">
        <v>45614</v>
      </c>
      <c r="AC99" s="39" t="s">
        <v>1853</v>
      </c>
      <c r="AD99" s="39">
        <v>45979</v>
      </c>
      <c r="AE99" s="56">
        <v>45981</v>
      </c>
      <c r="AF99" s="56">
        <v>45617</v>
      </c>
      <c r="AG99" s="56">
        <v>45617</v>
      </c>
      <c r="AH99" s="56">
        <v>49278</v>
      </c>
      <c r="AJ99" s="4" t="s">
        <v>109</v>
      </c>
      <c r="AK99" s="4" t="s">
        <v>109</v>
      </c>
      <c r="AL99" s="4" t="s">
        <v>109</v>
      </c>
      <c r="AM99" s="4" t="s">
        <v>109</v>
      </c>
      <c r="AP99" s="1">
        <v>10</v>
      </c>
      <c r="AQ99" s="38">
        <v>177</v>
      </c>
    </row>
    <row r="100" spans="1:43" ht="18.75" customHeight="1" x14ac:dyDescent="0.3">
      <c r="A100" s="4">
        <v>2407383</v>
      </c>
      <c r="B100" s="110" t="s">
        <v>545</v>
      </c>
      <c r="C100" s="4" t="e" vm="15">
        <v>#VALUE!</v>
      </c>
      <c r="D100" s="4" t="s">
        <v>17</v>
      </c>
      <c r="E100" s="4" t="s">
        <v>71</v>
      </c>
      <c r="F100" s="4" t="s">
        <v>14</v>
      </c>
      <c r="G100" s="4">
        <v>14.04</v>
      </c>
      <c r="H100" s="4" t="s">
        <v>237</v>
      </c>
      <c r="I100" s="4">
        <v>24</v>
      </c>
      <c r="J100" s="1" t="s">
        <v>143</v>
      </c>
      <c r="K100" s="127"/>
      <c r="L100" s="1" t="s">
        <v>1853</v>
      </c>
      <c r="M100" s="1" t="s">
        <v>2236</v>
      </c>
      <c r="N100" s="127"/>
      <c r="O100" s="1" t="s">
        <v>109</v>
      </c>
      <c r="P100" s="1" t="s">
        <v>109</v>
      </c>
      <c r="Q100" s="127"/>
      <c r="R100" s="56">
        <v>45497</v>
      </c>
      <c r="S100" s="56">
        <v>45505</v>
      </c>
      <c r="T100" s="1" t="s">
        <v>1822</v>
      </c>
      <c r="U100" s="56">
        <v>45768</v>
      </c>
      <c r="V100" s="39" t="s">
        <v>1853</v>
      </c>
      <c r="W100" s="1" t="s">
        <v>1853</v>
      </c>
      <c r="X100" s="4" t="s">
        <v>109</v>
      </c>
      <c r="Y100" s="4" t="s">
        <v>1853</v>
      </c>
      <c r="Z100" s="4" t="s">
        <v>1855</v>
      </c>
      <c r="AA100" s="39">
        <v>45544</v>
      </c>
      <c r="AB100" s="39" t="s">
        <v>1853</v>
      </c>
      <c r="AC100" s="39" t="s">
        <v>1853</v>
      </c>
      <c r="AD100" s="39" t="s">
        <v>1853</v>
      </c>
      <c r="AE100" s="56">
        <v>45559</v>
      </c>
      <c r="AF100" s="56">
        <v>45560</v>
      </c>
      <c r="AG100" s="56">
        <v>45560</v>
      </c>
      <c r="AH100" s="56">
        <v>49217</v>
      </c>
      <c r="AJ100" s="4" t="s">
        <v>109</v>
      </c>
      <c r="AK100" s="4" t="s">
        <v>109</v>
      </c>
      <c r="AL100" s="4" t="s">
        <v>109</v>
      </c>
      <c r="AM100" s="4" t="s">
        <v>109</v>
      </c>
      <c r="AP100" s="1">
        <v>8</v>
      </c>
      <c r="AQ100" s="38">
        <v>56</v>
      </c>
    </row>
    <row r="101" spans="1:43" ht="18.75" customHeight="1" x14ac:dyDescent="0.3">
      <c r="A101" s="4">
        <v>2407384</v>
      </c>
      <c r="B101" s="110" t="s">
        <v>550</v>
      </c>
      <c r="C101" s="4" t="e" vm="15">
        <v>#VALUE!</v>
      </c>
      <c r="D101" s="4" t="s">
        <v>17</v>
      </c>
      <c r="E101" s="4" t="s">
        <v>71</v>
      </c>
      <c r="F101" s="4" t="s">
        <v>14</v>
      </c>
      <c r="G101" s="4">
        <v>12.285</v>
      </c>
      <c r="H101" s="4" t="s">
        <v>237</v>
      </c>
      <c r="I101" s="4">
        <v>21</v>
      </c>
      <c r="J101" s="1" t="s">
        <v>111</v>
      </c>
      <c r="K101" s="127"/>
      <c r="L101" s="1" t="s">
        <v>1853</v>
      </c>
      <c r="M101" s="1" t="s">
        <v>2236</v>
      </c>
      <c r="N101" s="127"/>
      <c r="O101" s="1" t="s">
        <v>109</v>
      </c>
      <c r="P101" s="1" t="s">
        <v>109</v>
      </c>
      <c r="Q101" s="127"/>
      <c r="R101" s="56">
        <v>45499</v>
      </c>
      <c r="S101" s="56">
        <v>45505</v>
      </c>
      <c r="T101" s="1" t="s">
        <v>1822</v>
      </c>
      <c r="U101" s="56">
        <v>45768</v>
      </c>
      <c r="V101" s="39" t="s">
        <v>1853</v>
      </c>
      <c r="W101" s="1" t="s">
        <v>1853</v>
      </c>
      <c r="X101" s="4" t="s">
        <v>109</v>
      </c>
      <c r="Y101" s="4" t="s">
        <v>1853</v>
      </c>
      <c r="Z101" s="4" t="s">
        <v>1855</v>
      </c>
      <c r="AA101" s="39">
        <v>45547</v>
      </c>
      <c r="AB101" s="39" t="s">
        <v>1853</v>
      </c>
      <c r="AC101" s="39" t="s">
        <v>1853</v>
      </c>
      <c r="AD101" s="39" t="s">
        <v>1853</v>
      </c>
      <c r="AE101" s="56">
        <v>45561</v>
      </c>
      <c r="AF101" s="56">
        <v>45565</v>
      </c>
      <c r="AG101" s="56">
        <v>45565</v>
      </c>
      <c r="AH101" s="56">
        <v>49217</v>
      </c>
      <c r="AJ101" s="4" t="s">
        <v>109</v>
      </c>
      <c r="AK101" s="4" t="s">
        <v>109</v>
      </c>
      <c r="AL101" s="4" t="s">
        <v>109</v>
      </c>
      <c r="AM101" s="4" t="s">
        <v>109</v>
      </c>
      <c r="AP101" s="1">
        <v>6</v>
      </c>
      <c r="AQ101" s="38">
        <v>59</v>
      </c>
    </row>
    <row r="102" spans="1:43" ht="18.75" customHeight="1" x14ac:dyDescent="0.3">
      <c r="A102" s="4">
        <v>2407385</v>
      </c>
      <c r="B102" s="110" t="s">
        <v>555</v>
      </c>
      <c r="C102" s="4" t="e" vm="16">
        <v>#VALUE!</v>
      </c>
      <c r="D102" s="4" t="s">
        <v>19</v>
      </c>
      <c r="E102" s="4" t="s">
        <v>71</v>
      </c>
      <c r="F102" s="4" t="s">
        <v>14</v>
      </c>
      <c r="G102" s="4">
        <v>15.21</v>
      </c>
      <c r="H102" s="4" t="s">
        <v>237</v>
      </c>
      <c r="I102" s="4">
        <v>26.000000000000004</v>
      </c>
      <c r="J102" s="1" t="s">
        <v>131</v>
      </c>
      <c r="K102" s="127"/>
      <c r="L102" s="1" t="s">
        <v>1853</v>
      </c>
      <c r="M102" s="1" t="s">
        <v>2236</v>
      </c>
      <c r="N102" s="127"/>
      <c r="O102" s="1" t="s">
        <v>109</v>
      </c>
      <c r="P102" s="1" t="s">
        <v>109</v>
      </c>
      <c r="Q102" s="127"/>
      <c r="R102" s="56">
        <v>45498</v>
      </c>
      <c r="S102" s="56">
        <v>45504</v>
      </c>
      <c r="T102" s="1" t="s">
        <v>1822</v>
      </c>
      <c r="U102" s="56">
        <v>45776</v>
      </c>
      <c r="V102" s="39" t="s">
        <v>1853</v>
      </c>
      <c r="W102" s="1" t="s">
        <v>1853</v>
      </c>
      <c r="X102" s="4" t="s">
        <v>109</v>
      </c>
      <c r="Y102" s="4" t="s">
        <v>1853</v>
      </c>
      <c r="Z102" s="4" t="s">
        <v>1854</v>
      </c>
      <c r="AA102" s="39">
        <v>45545</v>
      </c>
      <c r="AB102" s="39" t="s">
        <v>1853</v>
      </c>
      <c r="AC102" s="39" t="s">
        <v>1853</v>
      </c>
      <c r="AD102" s="39" t="s">
        <v>1853</v>
      </c>
      <c r="AE102" s="56">
        <v>45572</v>
      </c>
      <c r="AF102" s="56">
        <v>45585</v>
      </c>
      <c r="AG102" s="56">
        <v>45585</v>
      </c>
      <c r="AH102" s="56">
        <v>49248</v>
      </c>
      <c r="AJ102" s="4" t="s">
        <v>109</v>
      </c>
      <c r="AK102" s="4" t="s">
        <v>109</v>
      </c>
      <c r="AL102" s="4" t="s">
        <v>109</v>
      </c>
      <c r="AM102" s="4" t="s">
        <v>109</v>
      </c>
      <c r="AP102" s="1">
        <v>6</v>
      </c>
      <c r="AQ102" s="38">
        <v>57</v>
      </c>
    </row>
    <row r="103" spans="1:43" s="190" customFormat="1" ht="18.75" customHeight="1" x14ac:dyDescent="0.3">
      <c r="A103" s="183">
        <v>2310035</v>
      </c>
      <c r="B103" s="184" t="s">
        <v>560</v>
      </c>
      <c r="C103" s="183" t="e" vm="5">
        <v>#VALUE!</v>
      </c>
      <c r="D103" s="183" t="s">
        <v>17</v>
      </c>
      <c r="E103" s="183" t="s">
        <v>124</v>
      </c>
      <c r="F103" s="183" t="s">
        <v>14</v>
      </c>
      <c r="G103" s="183">
        <v>87.84</v>
      </c>
      <c r="H103" s="183" t="s">
        <v>561</v>
      </c>
      <c r="I103" s="183">
        <v>144</v>
      </c>
      <c r="J103" s="185" t="s">
        <v>562</v>
      </c>
      <c r="K103" s="186"/>
      <c r="L103" s="185" t="s">
        <v>2242</v>
      </c>
      <c r="M103" s="185" t="s">
        <v>2236</v>
      </c>
      <c r="N103" s="186"/>
      <c r="O103" s="185" t="s">
        <v>109</v>
      </c>
      <c r="P103" s="185" t="s">
        <v>109</v>
      </c>
      <c r="Q103" s="186"/>
      <c r="R103" s="187">
        <v>45834</v>
      </c>
      <c r="S103" s="187">
        <v>45875</v>
      </c>
      <c r="T103" s="185" t="s">
        <v>1822</v>
      </c>
      <c r="U103" s="187">
        <v>46198</v>
      </c>
      <c r="V103" s="188" t="s">
        <v>1853</v>
      </c>
      <c r="W103" s="185" t="s">
        <v>1853</v>
      </c>
      <c r="X103" s="185" t="s">
        <v>1853</v>
      </c>
      <c r="Y103" s="183" t="s">
        <v>1853</v>
      </c>
      <c r="Z103" s="183" t="s">
        <v>1855</v>
      </c>
      <c r="AA103" s="188">
        <v>45817</v>
      </c>
      <c r="AB103" s="188" t="s">
        <v>1853</v>
      </c>
      <c r="AC103" s="188" t="s">
        <v>1853</v>
      </c>
      <c r="AD103" s="188" t="s">
        <v>1853</v>
      </c>
      <c r="AE103" s="188" t="s">
        <v>1853</v>
      </c>
      <c r="AF103" s="187">
        <v>45909</v>
      </c>
      <c r="AG103" s="187">
        <v>45909</v>
      </c>
      <c r="AH103" s="187">
        <v>49582</v>
      </c>
      <c r="AI103" s="189"/>
      <c r="AJ103" s="183" t="s">
        <v>109</v>
      </c>
      <c r="AK103" s="183" t="s">
        <v>109</v>
      </c>
      <c r="AL103" s="183"/>
      <c r="AM103" s="183"/>
      <c r="AP103" s="185">
        <v>41</v>
      </c>
      <c r="AQ103" s="191">
        <v>24</v>
      </c>
    </row>
    <row r="104" spans="1:43" s="190" customFormat="1" ht="18.75" customHeight="1" x14ac:dyDescent="0.3">
      <c r="A104" s="183">
        <v>2403088</v>
      </c>
      <c r="B104" s="184" t="s">
        <v>564</v>
      </c>
      <c r="C104" s="183" t="e" vm="5">
        <v>#VALUE!</v>
      </c>
      <c r="D104" s="183" t="s">
        <v>17</v>
      </c>
      <c r="E104" s="183" t="s">
        <v>124</v>
      </c>
      <c r="F104" s="183" t="s">
        <v>14</v>
      </c>
      <c r="G104" s="183">
        <v>37.44</v>
      </c>
      <c r="H104" s="183" t="s">
        <v>237</v>
      </c>
      <c r="I104" s="183">
        <v>64</v>
      </c>
      <c r="J104" s="185" t="s">
        <v>351</v>
      </c>
      <c r="K104" s="186"/>
      <c r="L104" s="185" t="s">
        <v>2242</v>
      </c>
      <c r="M104" s="185" t="s">
        <v>2236</v>
      </c>
      <c r="N104" s="186"/>
      <c r="O104" s="185" t="s">
        <v>109</v>
      </c>
      <c r="P104" s="185" t="s">
        <v>109</v>
      </c>
      <c r="Q104" s="186"/>
      <c r="R104" s="187">
        <v>45608</v>
      </c>
      <c r="S104" s="187">
        <v>45623</v>
      </c>
      <c r="T104" s="185" t="s">
        <v>1823</v>
      </c>
      <c r="U104" s="187">
        <v>45816</v>
      </c>
      <c r="V104" s="188" t="s">
        <v>1853</v>
      </c>
      <c r="W104" s="185" t="s">
        <v>1853</v>
      </c>
      <c r="X104" s="183" t="s">
        <v>1853</v>
      </c>
      <c r="Y104" s="183" t="s">
        <v>1853</v>
      </c>
      <c r="Z104" s="183" t="s">
        <v>307</v>
      </c>
      <c r="AA104" s="188">
        <v>45653</v>
      </c>
      <c r="AB104" s="188" t="s">
        <v>1853</v>
      </c>
      <c r="AC104" s="188" t="s">
        <v>1853</v>
      </c>
      <c r="AD104" s="188" t="s">
        <v>1853</v>
      </c>
      <c r="AE104" s="187" t="s">
        <v>1853</v>
      </c>
      <c r="AF104" s="187">
        <v>45723</v>
      </c>
      <c r="AG104" s="187">
        <v>45723</v>
      </c>
      <c r="AH104" s="187">
        <v>49399</v>
      </c>
      <c r="AI104" s="189"/>
      <c r="AJ104" s="183" t="s">
        <v>109</v>
      </c>
      <c r="AK104" s="183" t="s">
        <v>109</v>
      </c>
      <c r="AL104" s="183"/>
      <c r="AM104" s="183"/>
      <c r="AP104" s="185">
        <v>15</v>
      </c>
      <c r="AQ104" s="191">
        <v>163</v>
      </c>
    </row>
    <row r="105" spans="1:43" ht="18.75" customHeight="1" x14ac:dyDescent="0.3">
      <c r="A105" s="4">
        <v>2407157</v>
      </c>
      <c r="B105" s="110" t="s">
        <v>566</v>
      </c>
      <c r="C105" s="4" t="e" vm="11">
        <v>#VALUE!</v>
      </c>
      <c r="D105" s="4" t="s">
        <v>22</v>
      </c>
      <c r="E105" s="4" t="s">
        <v>124</v>
      </c>
      <c r="F105" s="4" t="s">
        <v>14</v>
      </c>
      <c r="G105" s="4">
        <v>18.72</v>
      </c>
      <c r="H105" s="4" t="s">
        <v>237</v>
      </c>
      <c r="I105" s="4">
        <v>32</v>
      </c>
      <c r="J105" s="1" t="s">
        <v>567</v>
      </c>
      <c r="K105" s="127"/>
      <c r="L105" s="1" t="s">
        <v>1853</v>
      </c>
      <c r="M105" s="1" t="s">
        <v>2236</v>
      </c>
      <c r="N105" s="127"/>
      <c r="O105" s="1" t="s">
        <v>109</v>
      </c>
      <c r="P105" s="1" t="s">
        <v>109</v>
      </c>
      <c r="Q105" s="127"/>
      <c r="R105" s="56">
        <v>45510</v>
      </c>
      <c r="S105" s="56">
        <v>45545</v>
      </c>
      <c r="T105" s="1" t="s">
        <v>1823</v>
      </c>
      <c r="U105" s="56">
        <v>45932</v>
      </c>
      <c r="V105" s="39" t="s">
        <v>1853</v>
      </c>
      <c r="W105" s="1" t="s">
        <v>1853</v>
      </c>
      <c r="X105" s="4" t="s">
        <v>1853</v>
      </c>
      <c r="Y105" s="4" t="s">
        <v>1853</v>
      </c>
      <c r="Z105" s="4" t="s">
        <v>1854</v>
      </c>
      <c r="AA105" s="39">
        <v>45547</v>
      </c>
      <c r="AB105" s="39" t="s">
        <v>1853</v>
      </c>
      <c r="AC105" s="39" t="s">
        <v>1853</v>
      </c>
      <c r="AD105" s="39" t="s">
        <v>1853</v>
      </c>
      <c r="AE105" s="56">
        <v>45561</v>
      </c>
      <c r="AF105" s="56">
        <v>45575</v>
      </c>
      <c r="AG105" s="56">
        <v>45575</v>
      </c>
      <c r="AH105" s="56">
        <v>49248</v>
      </c>
      <c r="AJ105" s="4" t="s">
        <v>109</v>
      </c>
      <c r="AK105" s="4" t="s">
        <v>109</v>
      </c>
      <c r="AL105" s="4" t="s">
        <v>109</v>
      </c>
      <c r="AM105" s="4" t="s">
        <v>109</v>
      </c>
      <c r="AP105" s="1">
        <v>35</v>
      </c>
      <c r="AQ105" s="38">
        <v>66</v>
      </c>
    </row>
    <row r="106" spans="1:43" ht="18.75" customHeight="1" x14ac:dyDescent="0.3">
      <c r="A106" s="4">
        <v>2312116</v>
      </c>
      <c r="B106" s="110" t="s">
        <v>569</v>
      </c>
      <c r="C106" s="4" t="e" vm="12">
        <v>#VALUE!</v>
      </c>
      <c r="D106" s="4" t="s">
        <v>17</v>
      </c>
      <c r="E106" s="4" t="s">
        <v>71</v>
      </c>
      <c r="F106" s="4" t="s">
        <v>14</v>
      </c>
      <c r="G106" s="4">
        <v>11.7</v>
      </c>
      <c r="H106" s="4" t="s">
        <v>237</v>
      </c>
      <c r="I106" s="4">
        <v>20</v>
      </c>
      <c r="J106" s="1" t="s">
        <v>111</v>
      </c>
      <c r="K106" s="127"/>
      <c r="L106" s="1" t="s">
        <v>1853</v>
      </c>
      <c r="M106" s="1" t="s">
        <v>2236</v>
      </c>
      <c r="N106" s="127"/>
      <c r="O106" s="1" t="s">
        <v>109</v>
      </c>
      <c r="P106" s="1" t="s">
        <v>109</v>
      </c>
      <c r="Q106" s="127"/>
      <c r="R106" s="56">
        <v>45518</v>
      </c>
      <c r="S106" s="56">
        <v>45535</v>
      </c>
      <c r="T106" s="1" t="s">
        <v>1822</v>
      </c>
      <c r="U106" s="56">
        <v>45769</v>
      </c>
      <c r="V106" s="39" t="s">
        <v>1853</v>
      </c>
      <c r="W106" s="1" t="s">
        <v>1853</v>
      </c>
      <c r="X106" s="4" t="s">
        <v>109</v>
      </c>
      <c r="Y106" s="4" t="s">
        <v>1853</v>
      </c>
      <c r="Z106" s="4" t="s">
        <v>1855</v>
      </c>
      <c r="AA106" s="39">
        <v>45555</v>
      </c>
      <c r="AB106" s="39" t="s">
        <v>1853</v>
      </c>
      <c r="AC106" s="39" t="s">
        <v>1853</v>
      </c>
      <c r="AD106" s="39" t="s">
        <v>1853</v>
      </c>
      <c r="AE106" s="56">
        <v>45600</v>
      </c>
      <c r="AF106" s="56">
        <v>45607</v>
      </c>
      <c r="AG106" s="56">
        <v>45607</v>
      </c>
      <c r="AH106" s="56">
        <v>49278</v>
      </c>
      <c r="AJ106" s="4" t="s">
        <v>109</v>
      </c>
      <c r="AK106" s="4" t="s">
        <v>109</v>
      </c>
      <c r="AL106" s="4" t="s">
        <v>109</v>
      </c>
      <c r="AM106" s="4" t="s">
        <v>109</v>
      </c>
      <c r="AP106" s="1">
        <v>17</v>
      </c>
      <c r="AQ106" s="38">
        <v>94</v>
      </c>
    </row>
    <row r="107" spans="1:43" ht="18.75" customHeight="1" x14ac:dyDescent="0.3">
      <c r="A107" s="4">
        <v>2407388</v>
      </c>
      <c r="B107" s="110" t="s">
        <v>574</v>
      </c>
      <c r="C107" s="4" t="e" vm="12">
        <v>#VALUE!</v>
      </c>
      <c r="D107" s="4" t="s">
        <v>17</v>
      </c>
      <c r="E107" s="4" t="s">
        <v>71</v>
      </c>
      <c r="F107" s="4" t="s">
        <v>14</v>
      </c>
      <c r="G107" s="4">
        <v>12.285</v>
      </c>
      <c r="H107" s="4" t="s">
        <v>237</v>
      </c>
      <c r="I107" s="4">
        <v>21</v>
      </c>
      <c r="J107" s="1" t="s">
        <v>111</v>
      </c>
      <c r="K107" s="127"/>
      <c r="L107" s="1" t="s">
        <v>1853</v>
      </c>
      <c r="M107" s="1" t="s">
        <v>2236</v>
      </c>
      <c r="N107" s="127"/>
      <c r="O107" s="1" t="s">
        <v>109</v>
      </c>
      <c r="P107" s="1" t="s">
        <v>109</v>
      </c>
      <c r="Q107" s="127"/>
      <c r="R107" s="56">
        <v>45505</v>
      </c>
      <c r="S107" s="56">
        <v>45515</v>
      </c>
      <c r="T107" s="1" t="s">
        <v>1822</v>
      </c>
      <c r="U107" s="56">
        <v>45775</v>
      </c>
      <c r="V107" s="39" t="s">
        <v>1853</v>
      </c>
      <c r="W107" s="1" t="s">
        <v>1853</v>
      </c>
      <c r="X107" s="4" t="s">
        <v>109</v>
      </c>
      <c r="Y107" s="4" t="s">
        <v>1853</v>
      </c>
      <c r="Z107" s="4" t="s">
        <v>1855</v>
      </c>
      <c r="AA107" s="39">
        <v>45562</v>
      </c>
      <c r="AB107" s="39" t="s">
        <v>1853</v>
      </c>
      <c r="AC107" s="39" t="s">
        <v>1853</v>
      </c>
      <c r="AD107" s="39" t="s">
        <v>1853</v>
      </c>
      <c r="AE107" s="39" t="s">
        <v>1853</v>
      </c>
      <c r="AF107" s="56">
        <v>45569</v>
      </c>
      <c r="AG107" s="56">
        <v>45569</v>
      </c>
      <c r="AH107" s="56">
        <v>49248</v>
      </c>
      <c r="AJ107" s="4" t="s">
        <v>109</v>
      </c>
      <c r="AK107" s="4" t="s">
        <v>109</v>
      </c>
      <c r="AL107" s="4" t="s">
        <v>109</v>
      </c>
      <c r="AM107" s="4" t="s">
        <v>109</v>
      </c>
      <c r="AP107" s="1">
        <v>10</v>
      </c>
      <c r="AQ107" s="38">
        <v>70</v>
      </c>
    </row>
    <row r="108" spans="1:43" ht="18.75" customHeight="1" x14ac:dyDescent="0.3">
      <c r="A108" s="4">
        <v>2407386</v>
      </c>
      <c r="B108" s="110" t="s">
        <v>579</v>
      </c>
      <c r="C108" s="4" t="e" vm="16">
        <v>#VALUE!</v>
      </c>
      <c r="D108" s="4" t="s">
        <v>19</v>
      </c>
      <c r="E108" s="4" t="s">
        <v>71</v>
      </c>
      <c r="F108" s="4" t="s">
        <v>14</v>
      </c>
      <c r="G108" s="4">
        <v>12.285</v>
      </c>
      <c r="H108" s="4" t="s">
        <v>237</v>
      </c>
      <c r="I108" s="4">
        <v>21</v>
      </c>
      <c r="J108" s="1" t="s">
        <v>83</v>
      </c>
      <c r="K108" s="127"/>
      <c r="L108" s="1" t="s">
        <v>1853</v>
      </c>
      <c r="M108" s="1" t="s">
        <v>2236</v>
      </c>
      <c r="N108" s="127"/>
      <c r="O108" s="1" t="s">
        <v>109</v>
      </c>
      <c r="P108" s="1" t="s">
        <v>109</v>
      </c>
      <c r="Q108" s="127"/>
      <c r="R108" s="56">
        <v>45508</v>
      </c>
      <c r="S108" s="56">
        <v>45518</v>
      </c>
      <c r="T108" s="1" t="s">
        <v>1822</v>
      </c>
      <c r="U108" s="56">
        <v>45776</v>
      </c>
      <c r="V108" s="39" t="s">
        <v>1853</v>
      </c>
      <c r="W108" s="1" t="s">
        <v>1853</v>
      </c>
      <c r="X108" s="4" t="s">
        <v>109</v>
      </c>
      <c r="Y108" s="4" t="s">
        <v>1853</v>
      </c>
      <c r="Z108" s="4" t="s">
        <v>1854</v>
      </c>
      <c r="AA108" s="39">
        <v>45559</v>
      </c>
      <c r="AB108" s="39" t="s">
        <v>1853</v>
      </c>
      <c r="AC108" s="39" t="s">
        <v>1853</v>
      </c>
      <c r="AD108" s="39" t="s">
        <v>1853</v>
      </c>
      <c r="AE108" s="56">
        <v>45572</v>
      </c>
      <c r="AF108" s="56">
        <v>45576</v>
      </c>
      <c r="AG108" s="56">
        <v>45576</v>
      </c>
      <c r="AH108" s="56">
        <v>49248</v>
      </c>
      <c r="AJ108" s="4" t="s">
        <v>109</v>
      </c>
      <c r="AK108" s="4" t="s">
        <v>109</v>
      </c>
      <c r="AL108" s="4" t="s">
        <v>109</v>
      </c>
      <c r="AM108" s="4" t="s">
        <v>109</v>
      </c>
      <c r="AP108" s="1">
        <v>10</v>
      </c>
      <c r="AQ108" s="38">
        <v>65</v>
      </c>
    </row>
    <row r="109" spans="1:43" ht="18.75" customHeight="1" x14ac:dyDescent="0.3">
      <c r="A109" s="4">
        <v>2403158</v>
      </c>
      <c r="B109" s="110" t="s">
        <v>584</v>
      </c>
      <c r="C109" s="4" t="e" vm="5">
        <v>#VALUE!</v>
      </c>
      <c r="D109" s="4" t="s">
        <v>17</v>
      </c>
      <c r="E109" s="4" t="s">
        <v>71</v>
      </c>
      <c r="F109" s="4" t="s">
        <v>14</v>
      </c>
      <c r="G109" s="4">
        <v>7.02</v>
      </c>
      <c r="H109" s="4" t="s">
        <v>237</v>
      </c>
      <c r="I109" s="4">
        <v>12</v>
      </c>
      <c r="J109" s="1" t="s">
        <v>286</v>
      </c>
      <c r="K109" s="127"/>
      <c r="L109" s="1" t="s">
        <v>1853</v>
      </c>
      <c r="M109" s="1" t="s">
        <v>2236</v>
      </c>
      <c r="N109" s="127"/>
      <c r="O109" s="1" t="s">
        <v>109</v>
      </c>
      <c r="P109" s="1" t="s">
        <v>109</v>
      </c>
      <c r="Q109" s="127"/>
      <c r="R109" s="56">
        <v>45505</v>
      </c>
      <c r="S109" s="56">
        <v>45554</v>
      </c>
      <c r="T109" s="1" t="s">
        <v>1822</v>
      </c>
      <c r="U109" s="56">
        <v>45792</v>
      </c>
      <c r="V109" s="39" t="s">
        <v>1853</v>
      </c>
      <c r="W109" s="1" t="s">
        <v>1853</v>
      </c>
      <c r="X109" s="4" t="s">
        <v>109</v>
      </c>
      <c r="Y109" s="4" t="s">
        <v>1853</v>
      </c>
      <c r="Z109" s="4" t="s">
        <v>1853</v>
      </c>
      <c r="AA109" s="39">
        <v>45574</v>
      </c>
      <c r="AB109" s="39" t="s">
        <v>1853</v>
      </c>
      <c r="AC109" s="39" t="s">
        <v>1853</v>
      </c>
      <c r="AD109" s="39" t="s">
        <v>1853</v>
      </c>
      <c r="AE109" s="56" t="s">
        <v>1853</v>
      </c>
      <c r="AF109" s="56">
        <v>45593</v>
      </c>
      <c r="AG109" s="56">
        <v>41940</v>
      </c>
      <c r="AH109" s="56">
        <v>49248</v>
      </c>
      <c r="AJ109" s="4" t="s">
        <v>109</v>
      </c>
      <c r="AK109" s="4" t="s">
        <v>109</v>
      </c>
      <c r="AL109" s="4" t="s">
        <v>109</v>
      </c>
      <c r="AM109" s="4" t="s">
        <v>109</v>
      </c>
      <c r="AP109" s="1">
        <v>49</v>
      </c>
      <c r="AQ109" s="38">
        <v>79</v>
      </c>
    </row>
    <row r="110" spans="1:43" ht="18.75" customHeight="1" x14ac:dyDescent="0.3">
      <c r="A110" s="4">
        <v>2404220</v>
      </c>
      <c r="B110" s="110" t="s">
        <v>589</v>
      </c>
      <c r="C110" s="4" t="e" vm="5">
        <v>#VALUE!</v>
      </c>
      <c r="D110" s="4" t="s">
        <v>17</v>
      </c>
      <c r="E110" s="4" t="s">
        <v>71</v>
      </c>
      <c r="F110" s="4" t="s">
        <v>14</v>
      </c>
      <c r="G110" s="4">
        <v>7.02</v>
      </c>
      <c r="H110" s="4" t="s">
        <v>237</v>
      </c>
      <c r="I110" s="4">
        <v>12</v>
      </c>
      <c r="J110" s="1" t="s">
        <v>286</v>
      </c>
      <c r="K110" s="127"/>
      <c r="L110" s="1" t="s">
        <v>1853</v>
      </c>
      <c r="M110" s="1" t="s">
        <v>2236</v>
      </c>
      <c r="N110" s="127"/>
      <c r="O110" s="1" t="s">
        <v>109</v>
      </c>
      <c r="P110" s="1" t="s">
        <v>109</v>
      </c>
      <c r="Q110" s="127"/>
      <c r="R110" s="56">
        <v>45505</v>
      </c>
      <c r="S110" s="56">
        <v>45547</v>
      </c>
      <c r="T110" s="1" t="s">
        <v>1822</v>
      </c>
      <c r="U110" s="56">
        <v>45792</v>
      </c>
      <c r="V110" s="39" t="s">
        <v>1853</v>
      </c>
      <c r="W110" s="1" t="s">
        <v>1853</v>
      </c>
      <c r="X110" s="4" t="s">
        <v>109</v>
      </c>
      <c r="Y110" s="4" t="s">
        <v>1853</v>
      </c>
      <c r="Z110" s="4" t="s">
        <v>1855</v>
      </c>
      <c r="AA110" s="39">
        <v>45572</v>
      </c>
      <c r="AB110" s="39" t="s">
        <v>1853</v>
      </c>
      <c r="AC110" s="39" t="s">
        <v>1853</v>
      </c>
      <c r="AD110" s="39" t="s">
        <v>1853</v>
      </c>
      <c r="AE110" s="56">
        <v>45581</v>
      </c>
      <c r="AF110" s="56">
        <v>45580</v>
      </c>
      <c r="AG110" s="56">
        <v>45580</v>
      </c>
      <c r="AH110" s="56">
        <v>49248</v>
      </c>
      <c r="AJ110" s="4" t="s">
        <v>109</v>
      </c>
      <c r="AK110" s="4" t="s">
        <v>109</v>
      </c>
      <c r="AL110" s="4" t="s">
        <v>109</v>
      </c>
      <c r="AM110" s="4" t="s">
        <v>109</v>
      </c>
      <c r="AP110" s="1">
        <v>42</v>
      </c>
      <c r="AQ110" s="38">
        <v>81</v>
      </c>
    </row>
    <row r="111" spans="1:43" ht="18.75" customHeight="1" x14ac:dyDescent="0.3">
      <c r="A111" s="4">
        <v>2403202</v>
      </c>
      <c r="B111" s="110" t="s">
        <v>594</v>
      </c>
      <c r="C111" s="4" t="e" vm="11">
        <v>#VALUE!</v>
      </c>
      <c r="D111" s="4" t="s">
        <v>17</v>
      </c>
      <c r="E111" s="4" t="s">
        <v>71</v>
      </c>
      <c r="F111" s="4" t="s">
        <v>14</v>
      </c>
      <c r="G111" s="4">
        <v>10.53</v>
      </c>
      <c r="H111" s="4" t="s">
        <v>237</v>
      </c>
      <c r="I111" s="4">
        <v>18</v>
      </c>
      <c r="J111" s="1" t="s">
        <v>364</v>
      </c>
      <c r="K111" s="127"/>
      <c r="L111" s="1" t="s">
        <v>1853</v>
      </c>
      <c r="M111" s="1" t="s">
        <v>2236</v>
      </c>
      <c r="N111" s="127"/>
      <c r="O111" s="1" t="s">
        <v>109</v>
      </c>
      <c r="P111" s="1" t="s">
        <v>109</v>
      </c>
      <c r="Q111" s="127"/>
      <c r="R111" s="56">
        <v>45509</v>
      </c>
      <c r="S111" s="56">
        <v>45517</v>
      </c>
      <c r="T111" s="1" t="s">
        <v>1822</v>
      </c>
      <c r="U111" s="56">
        <v>45769</v>
      </c>
      <c r="V111" s="39" t="s">
        <v>1853</v>
      </c>
      <c r="W111" s="1" t="s">
        <v>1853</v>
      </c>
      <c r="X111" s="4" t="s">
        <v>109</v>
      </c>
      <c r="Y111" s="4" t="s">
        <v>1853</v>
      </c>
      <c r="Z111" s="4" t="s">
        <v>1853</v>
      </c>
      <c r="AA111" s="39">
        <v>45536</v>
      </c>
      <c r="AB111" s="39" t="s">
        <v>1853</v>
      </c>
      <c r="AC111" s="39" t="s">
        <v>1853</v>
      </c>
      <c r="AD111" s="39" t="s">
        <v>1853</v>
      </c>
      <c r="AE111" s="39" t="s">
        <v>1853</v>
      </c>
      <c r="AF111" s="56">
        <v>45558</v>
      </c>
      <c r="AG111" s="56">
        <v>45558</v>
      </c>
      <c r="AH111" s="56">
        <v>49217</v>
      </c>
      <c r="AJ111" s="4" t="s">
        <v>109</v>
      </c>
      <c r="AK111" s="4" t="s">
        <v>109</v>
      </c>
      <c r="AL111" s="4" t="s">
        <v>109</v>
      </c>
      <c r="AM111" s="4" t="s">
        <v>109</v>
      </c>
      <c r="AP111" s="1">
        <v>8</v>
      </c>
      <c r="AQ111" s="38">
        <v>39</v>
      </c>
    </row>
    <row r="112" spans="1:43" ht="18.75" customHeight="1" x14ac:dyDescent="0.3">
      <c r="A112" s="4">
        <v>2407392</v>
      </c>
      <c r="B112" s="110" t="s">
        <v>599</v>
      </c>
      <c r="C112" s="4" t="e" vm="5">
        <v>#VALUE!</v>
      </c>
      <c r="D112" s="4" t="s">
        <v>17</v>
      </c>
      <c r="E112" s="4" t="s">
        <v>71</v>
      </c>
      <c r="F112" s="4" t="s">
        <v>14</v>
      </c>
      <c r="G112" s="4">
        <v>11.7</v>
      </c>
      <c r="H112" s="4" t="s">
        <v>237</v>
      </c>
      <c r="I112" s="4">
        <v>20</v>
      </c>
      <c r="J112" s="1" t="s">
        <v>111</v>
      </c>
      <c r="K112" s="127"/>
      <c r="L112" s="1" t="s">
        <v>1853</v>
      </c>
      <c r="M112" s="1" t="s">
        <v>2236</v>
      </c>
      <c r="N112" s="127"/>
      <c r="O112" s="1" t="s">
        <v>109</v>
      </c>
      <c r="P112" s="1" t="s">
        <v>109</v>
      </c>
      <c r="Q112" s="127"/>
      <c r="R112" s="56">
        <v>45509</v>
      </c>
      <c r="S112" s="56">
        <v>45547</v>
      </c>
      <c r="T112" s="1" t="s">
        <v>1822</v>
      </c>
      <c r="U112" s="56">
        <v>45792</v>
      </c>
      <c r="V112" s="39" t="s">
        <v>1853</v>
      </c>
      <c r="W112" s="1" t="s">
        <v>1853</v>
      </c>
      <c r="X112" s="4" t="s">
        <v>109</v>
      </c>
      <c r="Y112" s="4" t="s">
        <v>1853</v>
      </c>
      <c r="Z112" s="4" t="s">
        <v>1855</v>
      </c>
      <c r="AA112" s="39">
        <v>45580</v>
      </c>
      <c r="AB112" s="39" t="s">
        <v>1853</v>
      </c>
      <c r="AC112" s="39" t="s">
        <v>1853</v>
      </c>
      <c r="AD112" s="39" t="s">
        <v>1853</v>
      </c>
      <c r="AE112" s="39">
        <v>45588</v>
      </c>
      <c r="AF112" s="56">
        <v>45589</v>
      </c>
      <c r="AG112" s="56">
        <v>45589</v>
      </c>
      <c r="AH112" s="56">
        <v>49248</v>
      </c>
      <c r="AJ112" s="4" t="s">
        <v>109</v>
      </c>
      <c r="AK112" s="4" t="s">
        <v>109</v>
      </c>
      <c r="AL112" s="4" t="s">
        <v>109</v>
      </c>
      <c r="AM112" s="4" t="s">
        <v>109</v>
      </c>
      <c r="AP112" s="1">
        <v>38</v>
      </c>
      <c r="AQ112" s="38">
        <v>83</v>
      </c>
    </row>
    <row r="113" spans="1:43" ht="18.75" customHeight="1" x14ac:dyDescent="0.3">
      <c r="A113" s="4">
        <v>2404232</v>
      </c>
      <c r="B113" s="110" t="s">
        <v>604</v>
      </c>
      <c r="C113" s="4" t="e" vm="5">
        <v>#VALUE!</v>
      </c>
      <c r="D113" s="4" t="s">
        <v>17</v>
      </c>
      <c r="E113" s="4" t="s">
        <v>71</v>
      </c>
      <c r="F113" s="4" t="s">
        <v>14</v>
      </c>
      <c r="G113" s="4">
        <v>7.02</v>
      </c>
      <c r="H113" s="4" t="s">
        <v>237</v>
      </c>
      <c r="I113" s="4">
        <v>12</v>
      </c>
      <c r="J113" s="1" t="s">
        <v>286</v>
      </c>
      <c r="K113" s="127"/>
      <c r="L113" s="1" t="s">
        <v>1853</v>
      </c>
      <c r="M113" s="1" t="s">
        <v>2236</v>
      </c>
      <c r="N113" s="127"/>
      <c r="O113" s="1" t="s">
        <v>109</v>
      </c>
      <c r="P113" s="1" t="s">
        <v>109</v>
      </c>
      <c r="Q113" s="127"/>
      <c r="R113" s="56">
        <v>45510</v>
      </c>
      <c r="S113" s="56">
        <v>45522</v>
      </c>
      <c r="T113" s="1" t="s">
        <v>1822</v>
      </c>
      <c r="U113" s="56">
        <v>45891</v>
      </c>
      <c r="V113" s="39" t="s">
        <v>1853</v>
      </c>
      <c r="W113" s="1" t="s">
        <v>1853</v>
      </c>
      <c r="X113" s="4" t="s">
        <v>109</v>
      </c>
      <c r="Y113" s="4" t="s">
        <v>1853</v>
      </c>
      <c r="Z113" s="4" t="s">
        <v>1855</v>
      </c>
      <c r="AA113" s="39">
        <v>45565</v>
      </c>
      <c r="AB113" s="39" t="s">
        <v>1853</v>
      </c>
      <c r="AC113" s="39" t="s">
        <v>1853</v>
      </c>
      <c r="AD113" s="39" t="s">
        <v>1853</v>
      </c>
      <c r="AE113" s="39">
        <v>45581</v>
      </c>
      <c r="AF113" s="56">
        <v>45589</v>
      </c>
      <c r="AG113" s="56">
        <v>45589</v>
      </c>
      <c r="AH113" s="56">
        <v>49248</v>
      </c>
      <c r="AJ113" s="4" t="s">
        <v>109</v>
      </c>
      <c r="AK113" s="4" t="s">
        <v>109</v>
      </c>
      <c r="AL113" s="4" t="s">
        <v>109</v>
      </c>
      <c r="AM113" s="4" t="s">
        <v>109</v>
      </c>
      <c r="AP113" s="1">
        <v>12</v>
      </c>
      <c r="AQ113" s="38">
        <v>97</v>
      </c>
    </row>
    <row r="114" spans="1:43" ht="18.75" customHeight="1" x14ac:dyDescent="0.3">
      <c r="A114" s="4">
        <v>2407397</v>
      </c>
      <c r="B114" s="110" t="s">
        <v>609</v>
      </c>
      <c r="C114" s="4" t="e" vm="5">
        <v>#VALUE!</v>
      </c>
      <c r="D114" s="4" t="s">
        <v>17</v>
      </c>
      <c r="E114" s="4" t="s">
        <v>71</v>
      </c>
      <c r="F114" s="4" t="s">
        <v>14</v>
      </c>
      <c r="G114" s="4">
        <v>15.21</v>
      </c>
      <c r="H114" s="4" t="s">
        <v>237</v>
      </c>
      <c r="I114" s="4">
        <v>26.000000000000004</v>
      </c>
      <c r="J114" s="1" t="s">
        <v>143</v>
      </c>
      <c r="K114" s="127"/>
      <c r="L114" s="1" t="s">
        <v>1853</v>
      </c>
      <c r="M114" s="1" t="s">
        <v>2236</v>
      </c>
      <c r="N114" s="127"/>
      <c r="O114" s="1" t="s">
        <v>109</v>
      </c>
      <c r="P114" s="1" t="s">
        <v>109</v>
      </c>
      <c r="Q114" s="127"/>
      <c r="R114" s="56">
        <v>45512</v>
      </c>
      <c r="S114" s="56">
        <v>45531</v>
      </c>
      <c r="T114" s="1" t="s">
        <v>1822</v>
      </c>
      <c r="U114" s="56">
        <v>45769</v>
      </c>
      <c r="V114" s="39" t="s">
        <v>1853</v>
      </c>
      <c r="W114" s="1" t="s">
        <v>1853</v>
      </c>
      <c r="X114" s="4" t="s">
        <v>109</v>
      </c>
      <c r="Y114" s="4" t="s">
        <v>1853</v>
      </c>
      <c r="Z114" s="4" t="s">
        <v>1855</v>
      </c>
      <c r="AA114" s="39">
        <v>45558</v>
      </c>
      <c r="AB114" s="39" t="s">
        <v>1853</v>
      </c>
      <c r="AC114" s="39" t="s">
        <v>1853</v>
      </c>
      <c r="AD114" s="39" t="s">
        <v>1853</v>
      </c>
      <c r="AE114" s="39">
        <v>45568</v>
      </c>
      <c r="AF114" s="56">
        <v>45936</v>
      </c>
      <c r="AG114" s="56">
        <v>45571</v>
      </c>
      <c r="AH114" s="56">
        <v>49248</v>
      </c>
      <c r="AJ114" s="4" t="s">
        <v>109</v>
      </c>
      <c r="AK114" s="4" t="s">
        <v>109</v>
      </c>
      <c r="AL114" s="4" t="s">
        <v>109</v>
      </c>
      <c r="AM114" s="4" t="s">
        <v>109</v>
      </c>
      <c r="AP114" s="1">
        <v>19</v>
      </c>
      <c r="AQ114" s="38">
        <v>60</v>
      </c>
    </row>
    <row r="115" spans="1:43" ht="18.75" customHeight="1" x14ac:dyDescent="0.3">
      <c r="A115" s="4">
        <v>2404250</v>
      </c>
      <c r="B115" s="110" t="s">
        <v>614</v>
      </c>
      <c r="C115" s="4" t="e" vm="5">
        <v>#VALUE!</v>
      </c>
      <c r="D115" s="4" t="s">
        <v>17</v>
      </c>
      <c r="E115" s="4" t="s">
        <v>71</v>
      </c>
      <c r="F115" s="4" t="s">
        <v>14</v>
      </c>
      <c r="G115" s="4">
        <v>17.55</v>
      </c>
      <c r="H115" s="4" t="s">
        <v>237</v>
      </c>
      <c r="I115" s="4">
        <v>30.000000000000004</v>
      </c>
      <c r="J115" s="1" t="s">
        <v>143</v>
      </c>
      <c r="K115" s="127"/>
      <c r="L115" s="1" t="s">
        <v>1853</v>
      </c>
      <c r="M115" s="1" t="s">
        <v>2236</v>
      </c>
      <c r="N115" s="127"/>
      <c r="O115" s="1" t="s">
        <v>109</v>
      </c>
      <c r="P115" s="1" t="s">
        <v>109</v>
      </c>
      <c r="Q115" s="127"/>
      <c r="R115" s="56">
        <v>45511</v>
      </c>
      <c r="S115" s="56">
        <v>45530</v>
      </c>
      <c r="T115" s="1" t="s">
        <v>1822</v>
      </c>
      <c r="U115" s="56">
        <v>45775</v>
      </c>
      <c r="V115" s="39" t="s">
        <v>1853</v>
      </c>
      <c r="W115" s="1" t="s">
        <v>1853</v>
      </c>
      <c r="X115" s="4" t="s">
        <v>109</v>
      </c>
      <c r="Y115" s="4" t="s">
        <v>1853</v>
      </c>
      <c r="Z115" s="4" t="s">
        <v>1855</v>
      </c>
      <c r="AA115" s="39">
        <v>45579</v>
      </c>
      <c r="AB115" s="39" t="s">
        <v>1853</v>
      </c>
      <c r="AC115" s="39" t="s">
        <v>1853</v>
      </c>
      <c r="AD115" s="39" t="s">
        <v>1853</v>
      </c>
      <c r="AE115" s="39">
        <v>45617</v>
      </c>
      <c r="AF115" s="56">
        <v>45618</v>
      </c>
      <c r="AG115" s="56">
        <v>45618</v>
      </c>
      <c r="AH115" s="56">
        <v>45626</v>
      </c>
      <c r="AJ115" s="4" t="s">
        <v>109</v>
      </c>
      <c r="AK115" s="4" t="s">
        <v>109</v>
      </c>
      <c r="AL115" s="4" t="s">
        <v>109</v>
      </c>
      <c r="AM115" s="4" t="s">
        <v>109</v>
      </c>
      <c r="AP115" s="1">
        <v>19</v>
      </c>
      <c r="AQ115" s="38">
        <v>77</v>
      </c>
    </row>
    <row r="116" spans="1:43" ht="18.75" customHeight="1" x14ac:dyDescent="0.3">
      <c r="A116" s="4">
        <v>2407399</v>
      </c>
      <c r="B116" s="110" t="s">
        <v>619</v>
      </c>
      <c r="C116" s="4" t="e" vm="5">
        <v>#VALUE!</v>
      </c>
      <c r="D116" s="4" t="s">
        <v>17</v>
      </c>
      <c r="E116" s="4" t="s">
        <v>71</v>
      </c>
      <c r="F116" s="4" t="s">
        <v>14</v>
      </c>
      <c r="G116" s="4">
        <v>10.53</v>
      </c>
      <c r="H116" s="4" t="s">
        <v>237</v>
      </c>
      <c r="I116" s="4">
        <v>18</v>
      </c>
      <c r="J116" s="1" t="s">
        <v>364</v>
      </c>
      <c r="K116" s="127"/>
      <c r="L116" s="1" t="s">
        <v>1853</v>
      </c>
      <c r="M116" s="1" t="s">
        <v>2236</v>
      </c>
      <c r="N116" s="127"/>
      <c r="O116" s="1" t="s">
        <v>109</v>
      </c>
      <c r="P116" s="1" t="s">
        <v>109</v>
      </c>
      <c r="Q116" s="127"/>
      <c r="R116" s="56">
        <v>45517</v>
      </c>
      <c r="S116" s="56">
        <v>45534</v>
      </c>
      <c r="T116" s="1" t="s">
        <v>1822</v>
      </c>
      <c r="U116" s="56">
        <v>45768</v>
      </c>
      <c r="V116" s="39" t="s">
        <v>1853</v>
      </c>
      <c r="W116" s="1" t="s">
        <v>1853</v>
      </c>
      <c r="X116" s="4" t="s">
        <v>109</v>
      </c>
      <c r="Y116" s="4" t="s">
        <v>1853</v>
      </c>
      <c r="Z116" s="4" t="s">
        <v>1855</v>
      </c>
      <c r="AA116" s="39">
        <v>45573</v>
      </c>
      <c r="AB116" s="39">
        <v>45568</v>
      </c>
      <c r="AC116" s="39" t="s">
        <v>1853</v>
      </c>
      <c r="AD116" s="39" t="s">
        <v>1853</v>
      </c>
      <c r="AE116" s="39">
        <v>45581</v>
      </c>
      <c r="AF116" s="39">
        <v>45583</v>
      </c>
      <c r="AG116" s="56">
        <v>45583</v>
      </c>
      <c r="AH116" s="56">
        <v>49248</v>
      </c>
      <c r="AJ116" s="4" t="s">
        <v>109</v>
      </c>
      <c r="AK116" s="4" t="s">
        <v>109</v>
      </c>
      <c r="AL116" s="4" t="s">
        <v>109</v>
      </c>
      <c r="AM116" s="4" t="s">
        <v>109</v>
      </c>
      <c r="AP116" s="1">
        <v>17</v>
      </c>
      <c r="AQ116" s="38">
        <v>74</v>
      </c>
    </row>
    <row r="117" spans="1:43" ht="18.75" customHeight="1" x14ac:dyDescent="0.3">
      <c r="A117" s="4">
        <v>2407394</v>
      </c>
      <c r="B117" s="110" t="s">
        <v>625</v>
      </c>
      <c r="C117" s="4" t="e" vm="11">
        <v>#VALUE!</v>
      </c>
      <c r="D117" s="4" t="s">
        <v>22</v>
      </c>
      <c r="E117" s="4" t="s">
        <v>71</v>
      </c>
      <c r="F117" s="4" t="s">
        <v>14</v>
      </c>
      <c r="G117" s="4">
        <v>7.02</v>
      </c>
      <c r="H117" s="4" t="s">
        <v>237</v>
      </c>
      <c r="I117" s="4">
        <v>12</v>
      </c>
      <c r="J117" s="1" t="s">
        <v>286</v>
      </c>
      <c r="K117" s="127"/>
      <c r="L117" s="1" t="s">
        <v>1853</v>
      </c>
      <c r="M117" s="1" t="s">
        <v>2236</v>
      </c>
      <c r="N117" s="127"/>
      <c r="O117" s="1" t="s">
        <v>109</v>
      </c>
      <c r="P117" s="1" t="s">
        <v>109</v>
      </c>
      <c r="Q117" s="127"/>
      <c r="R117" s="56">
        <v>45509</v>
      </c>
      <c r="S117" s="56">
        <v>45517</v>
      </c>
      <c r="T117" s="1" t="s">
        <v>1822</v>
      </c>
      <c r="U117" s="56">
        <v>45891</v>
      </c>
      <c r="V117" s="39" t="s">
        <v>1853</v>
      </c>
      <c r="W117" s="1" t="s">
        <v>1853</v>
      </c>
      <c r="X117" s="4" t="s">
        <v>109</v>
      </c>
      <c r="Y117" s="4" t="s">
        <v>1853</v>
      </c>
      <c r="Z117" s="4" t="s">
        <v>1854</v>
      </c>
      <c r="AA117" s="39">
        <v>45554</v>
      </c>
      <c r="AB117" s="39" t="s">
        <v>1853</v>
      </c>
      <c r="AC117" s="39" t="s">
        <v>1853</v>
      </c>
      <c r="AD117" s="39" t="s">
        <v>1853</v>
      </c>
      <c r="AE117" s="39">
        <v>45569</v>
      </c>
      <c r="AF117" s="39">
        <v>45583</v>
      </c>
      <c r="AG117" s="56">
        <v>45583</v>
      </c>
      <c r="AH117" s="56">
        <v>49248</v>
      </c>
      <c r="AJ117" s="4" t="s">
        <v>109</v>
      </c>
      <c r="AK117" s="4" t="s">
        <v>109</v>
      </c>
      <c r="AL117" s="4" t="s">
        <v>109</v>
      </c>
      <c r="AM117" s="4" t="s">
        <v>109</v>
      </c>
      <c r="AP117" s="1">
        <v>8</v>
      </c>
      <c r="AQ117" s="38">
        <v>50</v>
      </c>
    </row>
    <row r="118" spans="1:43" ht="18.75" customHeight="1" x14ac:dyDescent="0.3">
      <c r="A118" s="4" t="s">
        <v>629</v>
      </c>
      <c r="B118" s="110" t="s">
        <v>630</v>
      </c>
      <c r="C118" s="4" t="e" vm="6">
        <v>#VALUE!</v>
      </c>
      <c r="D118" s="4" t="s">
        <v>17</v>
      </c>
      <c r="E118" s="4" t="s">
        <v>71</v>
      </c>
      <c r="F118" s="4" t="s">
        <v>14</v>
      </c>
      <c r="G118" s="4">
        <v>15.21</v>
      </c>
      <c r="H118" s="4" t="s">
        <v>237</v>
      </c>
      <c r="I118" s="4">
        <v>26.000000000000004</v>
      </c>
      <c r="J118" s="1" t="s">
        <v>143</v>
      </c>
      <c r="K118" s="127"/>
      <c r="L118" s="1" t="s">
        <v>1853</v>
      </c>
      <c r="M118" s="1" t="s">
        <v>2236</v>
      </c>
      <c r="N118" s="127"/>
      <c r="O118" s="1" t="s">
        <v>109</v>
      </c>
      <c r="P118" s="1" t="s">
        <v>109</v>
      </c>
      <c r="Q118" s="127"/>
      <c r="R118" s="56">
        <v>45498</v>
      </c>
      <c r="S118" s="56">
        <v>45607</v>
      </c>
      <c r="T118" s="1" t="s">
        <v>1822</v>
      </c>
      <c r="U118" s="56">
        <v>45898</v>
      </c>
      <c r="V118" s="39" t="s">
        <v>1853</v>
      </c>
      <c r="W118" s="1" t="s">
        <v>1853</v>
      </c>
      <c r="X118" s="4" t="s">
        <v>109</v>
      </c>
      <c r="Y118" s="4" t="s">
        <v>1853</v>
      </c>
      <c r="Z118" s="4" t="s">
        <v>1855</v>
      </c>
      <c r="AA118" s="39">
        <v>45610</v>
      </c>
      <c r="AB118" s="39" t="s">
        <v>1853</v>
      </c>
      <c r="AC118" s="39" t="s">
        <v>1853</v>
      </c>
      <c r="AD118" s="39">
        <v>46003</v>
      </c>
      <c r="AE118" s="39">
        <v>45622</v>
      </c>
      <c r="AF118" s="39">
        <v>45638</v>
      </c>
      <c r="AG118" s="39">
        <v>45638</v>
      </c>
      <c r="AH118" s="39">
        <v>49309</v>
      </c>
      <c r="AJ118" s="4" t="s">
        <v>109</v>
      </c>
      <c r="AK118" s="4" t="s">
        <v>109</v>
      </c>
      <c r="AL118" s="4" t="s">
        <v>109</v>
      </c>
      <c r="AM118" s="4" t="s">
        <v>109</v>
      </c>
      <c r="AP118" s="1">
        <v>109</v>
      </c>
      <c r="AQ118" s="38">
        <v>104</v>
      </c>
    </row>
    <row r="119" spans="1:43" ht="18.75" customHeight="1" x14ac:dyDescent="0.3">
      <c r="A119" s="4">
        <v>2312114</v>
      </c>
      <c r="B119" s="110" t="s">
        <v>635</v>
      </c>
      <c r="C119" s="4" t="e" vm="12">
        <v>#VALUE!</v>
      </c>
      <c r="D119" s="4" t="s">
        <v>17</v>
      </c>
      <c r="E119" s="4" t="s">
        <v>71</v>
      </c>
      <c r="F119" s="4" t="s">
        <v>14</v>
      </c>
      <c r="G119" s="4">
        <v>11.7</v>
      </c>
      <c r="H119" s="4" t="s">
        <v>237</v>
      </c>
      <c r="I119" s="4">
        <v>20</v>
      </c>
      <c r="J119" s="1" t="s">
        <v>111</v>
      </c>
      <c r="K119" s="127"/>
      <c r="L119" s="1" t="s">
        <v>1853</v>
      </c>
      <c r="M119" s="1" t="s">
        <v>2236</v>
      </c>
      <c r="N119" s="127"/>
      <c r="O119" s="1" t="s">
        <v>109</v>
      </c>
      <c r="P119" s="1" t="s">
        <v>109</v>
      </c>
      <c r="Q119" s="127"/>
      <c r="R119" s="56">
        <v>45489</v>
      </c>
      <c r="S119" s="56">
        <v>45513</v>
      </c>
      <c r="T119" s="1" t="s">
        <v>1822</v>
      </c>
      <c r="U119" s="56">
        <v>45769</v>
      </c>
      <c r="V119" s="39" t="s">
        <v>1853</v>
      </c>
      <c r="W119" s="1" t="s">
        <v>1853</v>
      </c>
      <c r="X119" s="4" t="s">
        <v>109</v>
      </c>
      <c r="Y119" s="4" t="s">
        <v>1853</v>
      </c>
      <c r="Z119" s="4" t="s">
        <v>1855</v>
      </c>
      <c r="AA119" s="39">
        <v>45518</v>
      </c>
      <c r="AB119" s="39" t="s">
        <v>1853</v>
      </c>
      <c r="AC119" s="39" t="s">
        <v>1853</v>
      </c>
      <c r="AD119" s="39" t="s">
        <v>1853</v>
      </c>
      <c r="AE119" s="1" t="s">
        <v>1853</v>
      </c>
      <c r="AF119" s="56">
        <v>45583</v>
      </c>
      <c r="AG119" s="56">
        <v>45583</v>
      </c>
      <c r="AH119" s="56">
        <v>49248</v>
      </c>
      <c r="AJ119" s="4" t="s">
        <v>109</v>
      </c>
      <c r="AK119" s="4" t="s">
        <v>109</v>
      </c>
      <c r="AL119" s="4" t="s">
        <v>109</v>
      </c>
      <c r="AM119" s="4" t="s">
        <v>109</v>
      </c>
      <c r="AP119" s="1">
        <v>24</v>
      </c>
      <c r="AQ119" s="38">
        <v>57</v>
      </c>
    </row>
    <row r="120" spans="1:43" ht="18.75" customHeight="1" x14ac:dyDescent="0.3">
      <c r="A120" s="4">
        <v>2401123</v>
      </c>
      <c r="B120" s="110" t="s">
        <v>640</v>
      </c>
      <c r="C120" s="4" t="e" vm="12">
        <v>#VALUE!</v>
      </c>
      <c r="D120" s="4" t="s">
        <v>17</v>
      </c>
      <c r="E120" s="4" t="s">
        <v>71</v>
      </c>
      <c r="F120" s="4" t="s">
        <v>14</v>
      </c>
      <c r="G120" s="4">
        <v>12.285</v>
      </c>
      <c r="H120" s="4" t="s">
        <v>237</v>
      </c>
      <c r="I120" s="4">
        <v>21</v>
      </c>
      <c r="J120" s="1" t="s">
        <v>111</v>
      </c>
      <c r="K120" s="127"/>
      <c r="L120" s="1" t="s">
        <v>1853</v>
      </c>
      <c r="M120" s="1" t="s">
        <v>2236</v>
      </c>
      <c r="N120" s="127"/>
      <c r="O120" s="1" t="s">
        <v>109</v>
      </c>
      <c r="P120" s="1" t="s">
        <v>109</v>
      </c>
      <c r="Q120" s="127"/>
      <c r="R120" s="56">
        <v>45505</v>
      </c>
      <c r="S120" s="56">
        <v>45515</v>
      </c>
      <c r="T120" s="1" t="s">
        <v>1822</v>
      </c>
      <c r="U120" s="56">
        <v>45775</v>
      </c>
      <c r="V120" s="39" t="s">
        <v>1853</v>
      </c>
      <c r="W120" s="1" t="s">
        <v>1853</v>
      </c>
      <c r="X120" s="4" t="s">
        <v>109</v>
      </c>
      <c r="Y120" s="4" t="s">
        <v>1853</v>
      </c>
      <c r="Z120" s="4" t="s">
        <v>1855</v>
      </c>
      <c r="AA120" s="39">
        <v>45553</v>
      </c>
      <c r="AB120" s="39" t="s">
        <v>1853</v>
      </c>
      <c r="AC120" s="39" t="s">
        <v>1853</v>
      </c>
      <c r="AD120" s="39" t="s">
        <v>1853</v>
      </c>
      <c r="AE120" s="1" t="s">
        <v>1853</v>
      </c>
      <c r="AF120" s="56">
        <v>45567</v>
      </c>
      <c r="AG120" s="56">
        <v>45567</v>
      </c>
      <c r="AH120" s="56">
        <v>49248</v>
      </c>
      <c r="AJ120" s="4" t="s">
        <v>109</v>
      </c>
      <c r="AK120" s="4" t="s">
        <v>109</v>
      </c>
      <c r="AL120" s="4" t="s">
        <v>109</v>
      </c>
      <c r="AM120" s="4" t="s">
        <v>109</v>
      </c>
      <c r="AP120" s="1">
        <v>10</v>
      </c>
      <c r="AQ120" s="38">
        <v>75</v>
      </c>
    </row>
    <row r="121" spans="1:43" ht="18.75" customHeight="1" x14ac:dyDescent="0.3">
      <c r="A121" s="4">
        <v>2404207</v>
      </c>
      <c r="B121" s="110" t="s">
        <v>645</v>
      </c>
      <c r="C121" s="4" t="e" vm="2">
        <v>#VALUE!</v>
      </c>
      <c r="D121" s="4" t="s">
        <v>17</v>
      </c>
      <c r="E121" s="4" t="s">
        <v>71</v>
      </c>
      <c r="F121" s="4" t="s">
        <v>14</v>
      </c>
      <c r="G121" s="4">
        <v>7.02</v>
      </c>
      <c r="H121" s="4" t="s">
        <v>237</v>
      </c>
      <c r="I121" s="4">
        <v>12</v>
      </c>
      <c r="J121" s="1" t="s">
        <v>286</v>
      </c>
      <c r="K121" s="127"/>
      <c r="L121" s="1" t="s">
        <v>1853</v>
      </c>
      <c r="M121" s="1" t="s">
        <v>2236</v>
      </c>
      <c r="N121" s="127"/>
      <c r="O121" s="1" t="s">
        <v>109</v>
      </c>
      <c r="P121" s="1" t="s">
        <v>109</v>
      </c>
      <c r="Q121" s="127"/>
      <c r="R121" s="56">
        <v>45443</v>
      </c>
      <c r="S121" s="56">
        <v>45457</v>
      </c>
      <c r="T121" s="1" t="s">
        <v>1822</v>
      </c>
      <c r="U121" s="56">
        <v>45891</v>
      </c>
      <c r="V121" s="39" t="s">
        <v>1853</v>
      </c>
      <c r="W121" s="1" t="s">
        <v>1853</v>
      </c>
      <c r="X121" s="4" t="s">
        <v>109</v>
      </c>
      <c r="Y121" s="4" t="s">
        <v>1853</v>
      </c>
      <c r="Z121" s="4" t="s">
        <v>1855</v>
      </c>
      <c r="AA121" s="39">
        <v>45516</v>
      </c>
      <c r="AB121" s="39" t="s">
        <v>1853</v>
      </c>
      <c r="AC121" s="39" t="s">
        <v>1853</v>
      </c>
      <c r="AD121" s="39" t="s">
        <v>1853</v>
      </c>
      <c r="AE121" s="56">
        <v>45532</v>
      </c>
      <c r="AF121" s="56">
        <v>45529</v>
      </c>
      <c r="AG121" s="56">
        <v>45529</v>
      </c>
      <c r="AH121" s="56">
        <v>49187</v>
      </c>
      <c r="AJ121" s="4" t="s">
        <v>109</v>
      </c>
      <c r="AK121" s="4" t="s">
        <v>109</v>
      </c>
      <c r="AL121" s="4" t="s">
        <v>109</v>
      </c>
      <c r="AM121" s="4" t="s">
        <v>109</v>
      </c>
      <c r="AP121" s="1">
        <v>14</v>
      </c>
      <c r="AQ121" s="38">
        <v>84</v>
      </c>
    </row>
    <row r="122" spans="1:43" ht="18.75" customHeight="1" x14ac:dyDescent="0.3">
      <c r="A122" s="4">
        <v>2408402</v>
      </c>
      <c r="B122" s="110" t="s">
        <v>650</v>
      </c>
      <c r="C122" s="4" t="e" vm="5">
        <v>#VALUE!</v>
      </c>
      <c r="D122" s="4" t="s">
        <v>17</v>
      </c>
      <c r="E122" s="4" t="s">
        <v>71</v>
      </c>
      <c r="F122" s="4" t="s">
        <v>14</v>
      </c>
      <c r="G122" s="4">
        <v>12.87</v>
      </c>
      <c r="H122" s="4" t="s">
        <v>237</v>
      </c>
      <c r="I122" s="4">
        <v>22</v>
      </c>
      <c r="J122" s="1" t="s">
        <v>111</v>
      </c>
      <c r="K122" s="127"/>
      <c r="L122" s="1" t="s">
        <v>1853</v>
      </c>
      <c r="M122" s="1" t="s">
        <v>2236</v>
      </c>
      <c r="N122" s="127"/>
      <c r="O122" s="1" t="s">
        <v>109</v>
      </c>
      <c r="P122" s="1" t="s">
        <v>109</v>
      </c>
      <c r="Q122" s="127"/>
      <c r="R122" s="56">
        <v>45517</v>
      </c>
      <c r="S122" s="56">
        <v>45534</v>
      </c>
      <c r="T122" s="1" t="s">
        <v>1822</v>
      </c>
      <c r="U122" s="56">
        <v>45775</v>
      </c>
      <c r="V122" s="39" t="s">
        <v>1853</v>
      </c>
      <c r="W122" s="1" t="s">
        <v>1853</v>
      </c>
      <c r="X122" s="4" t="s">
        <v>109</v>
      </c>
      <c r="Y122" s="4" t="s">
        <v>1853</v>
      </c>
      <c r="Z122" s="4" t="s">
        <v>1855</v>
      </c>
      <c r="AA122" s="39">
        <v>45593</v>
      </c>
      <c r="AB122" s="39" t="s">
        <v>1853</v>
      </c>
      <c r="AC122" s="39" t="s">
        <v>1853</v>
      </c>
      <c r="AD122" s="39" t="s">
        <v>1853</v>
      </c>
      <c r="AE122" s="56">
        <v>45607</v>
      </c>
      <c r="AF122" s="56">
        <v>45608</v>
      </c>
      <c r="AG122" s="56">
        <v>45608</v>
      </c>
      <c r="AH122" s="56">
        <v>49278</v>
      </c>
      <c r="AJ122" s="4" t="s">
        <v>109</v>
      </c>
      <c r="AK122" s="4" t="s">
        <v>109</v>
      </c>
      <c r="AL122" s="4" t="s">
        <v>109</v>
      </c>
      <c r="AM122" s="4" t="s">
        <v>109</v>
      </c>
      <c r="AP122" s="1">
        <v>17</v>
      </c>
      <c r="AQ122" s="38">
        <v>84</v>
      </c>
    </row>
    <row r="123" spans="1:43" ht="18.75" customHeight="1" x14ac:dyDescent="0.3">
      <c r="A123" s="4">
        <v>2407372</v>
      </c>
      <c r="B123" s="110" t="s">
        <v>655</v>
      </c>
      <c r="C123" s="4" t="e" vm="8">
        <v>#VALUE!</v>
      </c>
      <c r="D123" s="4" t="s">
        <v>17</v>
      </c>
      <c r="E123" s="4" t="s">
        <v>71</v>
      </c>
      <c r="F123" s="4" t="s">
        <v>14</v>
      </c>
      <c r="G123" s="4">
        <v>14.04</v>
      </c>
      <c r="H123" s="4" t="s">
        <v>237</v>
      </c>
      <c r="I123" s="4">
        <v>24</v>
      </c>
      <c r="J123" s="1" t="s">
        <v>143</v>
      </c>
      <c r="K123" s="127"/>
      <c r="L123" s="1" t="s">
        <v>1853</v>
      </c>
      <c r="M123" s="1" t="s">
        <v>2236</v>
      </c>
      <c r="N123" s="127"/>
      <c r="O123" s="1" t="s">
        <v>109</v>
      </c>
      <c r="P123" s="1" t="s">
        <v>109</v>
      </c>
      <c r="Q123" s="127"/>
      <c r="R123" s="56">
        <v>45517</v>
      </c>
      <c r="S123" s="56">
        <v>45534</v>
      </c>
      <c r="T123" s="1" t="s">
        <v>1822</v>
      </c>
      <c r="U123" s="56">
        <v>45775</v>
      </c>
      <c r="V123" s="39" t="s">
        <v>1853</v>
      </c>
      <c r="W123" s="1" t="s">
        <v>1853</v>
      </c>
      <c r="X123" s="4" t="s">
        <v>109</v>
      </c>
      <c r="Y123" s="4" t="s">
        <v>1853</v>
      </c>
      <c r="Z123" s="4" t="s">
        <v>1855</v>
      </c>
      <c r="AA123" s="39">
        <v>45560</v>
      </c>
      <c r="AB123" s="39" t="s">
        <v>1853</v>
      </c>
      <c r="AC123" s="39" t="s">
        <v>1853</v>
      </c>
      <c r="AD123" s="39" t="s">
        <v>1853</v>
      </c>
      <c r="AE123" s="1" t="s">
        <v>1853</v>
      </c>
      <c r="AF123" s="56">
        <v>45581</v>
      </c>
      <c r="AG123" s="56">
        <v>45581</v>
      </c>
      <c r="AH123" s="56">
        <v>49248</v>
      </c>
      <c r="AJ123" s="4" t="s">
        <v>109</v>
      </c>
      <c r="AK123" s="4" t="s">
        <v>109</v>
      </c>
      <c r="AL123" s="4" t="s">
        <v>109</v>
      </c>
      <c r="AM123" s="4" t="s">
        <v>109</v>
      </c>
      <c r="AP123" s="1">
        <v>17</v>
      </c>
      <c r="AQ123" s="38">
        <v>50</v>
      </c>
    </row>
    <row r="124" spans="1:43" ht="18.75" customHeight="1" x14ac:dyDescent="0.3">
      <c r="A124" s="4">
        <v>2405298</v>
      </c>
      <c r="B124" s="110" t="s">
        <v>660</v>
      </c>
      <c r="C124" s="4" t="e" vm="8">
        <v>#VALUE!</v>
      </c>
      <c r="D124" s="4" t="s">
        <v>17</v>
      </c>
      <c r="E124" s="4" t="s">
        <v>71</v>
      </c>
      <c r="F124" s="4" t="s">
        <v>14</v>
      </c>
      <c r="G124" s="4">
        <v>11.7</v>
      </c>
      <c r="H124" s="4" t="s">
        <v>237</v>
      </c>
      <c r="I124" s="4">
        <v>20</v>
      </c>
      <c r="J124" s="1" t="s">
        <v>111</v>
      </c>
      <c r="K124" s="127"/>
      <c r="L124" s="1" t="s">
        <v>1853</v>
      </c>
      <c r="M124" s="1" t="s">
        <v>2236</v>
      </c>
      <c r="N124" s="127"/>
      <c r="O124" s="1" t="s">
        <v>109</v>
      </c>
      <c r="P124" s="1" t="s">
        <v>109</v>
      </c>
      <c r="Q124" s="127"/>
      <c r="R124" s="56">
        <v>45517</v>
      </c>
      <c r="S124" s="56">
        <v>45534</v>
      </c>
      <c r="T124" s="1" t="s">
        <v>1822</v>
      </c>
      <c r="U124" s="56">
        <v>45768</v>
      </c>
      <c r="V124" s="39" t="s">
        <v>1853</v>
      </c>
      <c r="W124" s="1" t="s">
        <v>1853</v>
      </c>
      <c r="X124" s="4" t="s">
        <v>109</v>
      </c>
      <c r="Y124" s="4" t="s">
        <v>1853</v>
      </c>
      <c r="Z124" s="4" t="s">
        <v>1855</v>
      </c>
      <c r="AA124" s="39">
        <v>45559</v>
      </c>
      <c r="AB124" s="39" t="s">
        <v>1853</v>
      </c>
      <c r="AC124" s="39" t="s">
        <v>1853</v>
      </c>
      <c r="AD124" s="39" t="s">
        <v>1853</v>
      </c>
      <c r="AE124" s="39">
        <v>45572</v>
      </c>
      <c r="AF124" s="56">
        <v>45581</v>
      </c>
      <c r="AG124" s="56">
        <v>45581</v>
      </c>
      <c r="AH124" s="56">
        <v>49248</v>
      </c>
      <c r="AJ124" s="4" t="s">
        <v>109</v>
      </c>
      <c r="AK124" s="4" t="s">
        <v>109</v>
      </c>
      <c r="AL124" s="4" t="s">
        <v>109</v>
      </c>
      <c r="AM124" s="4" t="s">
        <v>109</v>
      </c>
      <c r="AP124" s="1">
        <v>17</v>
      </c>
      <c r="AQ124" s="38">
        <v>60</v>
      </c>
    </row>
    <row r="125" spans="1:43" ht="18.75" customHeight="1" x14ac:dyDescent="0.3">
      <c r="A125" s="4">
        <v>2408404</v>
      </c>
      <c r="B125" s="110" t="s">
        <v>665</v>
      </c>
      <c r="C125" s="4" t="e" vm="8">
        <v>#VALUE!</v>
      </c>
      <c r="D125" s="4" t="s">
        <v>17</v>
      </c>
      <c r="E125" s="4" t="s">
        <v>71</v>
      </c>
      <c r="F125" s="4" t="s">
        <v>14</v>
      </c>
      <c r="G125" s="4">
        <v>7.02</v>
      </c>
      <c r="H125" s="4" t="s">
        <v>237</v>
      </c>
      <c r="I125" s="4">
        <v>12</v>
      </c>
      <c r="J125" s="1" t="s">
        <v>286</v>
      </c>
      <c r="K125" s="127"/>
      <c r="L125" s="1" t="s">
        <v>1853</v>
      </c>
      <c r="M125" s="1" t="s">
        <v>2236</v>
      </c>
      <c r="N125" s="127"/>
      <c r="O125" s="1" t="s">
        <v>109</v>
      </c>
      <c r="P125" s="1" t="s">
        <v>109</v>
      </c>
      <c r="Q125" s="127"/>
      <c r="R125" s="56">
        <v>45517</v>
      </c>
      <c r="S125" s="56">
        <v>45534</v>
      </c>
      <c r="T125" s="1" t="s">
        <v>1822</v>
      </c>
      <c r="U125" s="56">
        <v>45775</v>
      </c>
      <c r="V125" s="39" t="s">
        <v>1853</v>
      </c>
      <c r="W125" s="1" t="s">
        <v>1853</v>
      </c>
      <c r="X125" s="4" t="s">
        <v>109</v>
      </c>
      <c r="Y125" s="4" t="s">
        <v>1853</v>
      </c>
      <c r="Z125" s="4" t="s">
        <v>1854</v>
      </c>
      <c r="AA125" s="39">
        <v>45589</v>
      </c>
      <c r="AB125" s="39">
        <v>45617</v>
      </c>
      <c r="AC125" s="39" t="s">
        <v>1853</v>
      </c>
      <c r="AD125" s="39">
        <v>45621</v>
      </c>
      <c r="AE125" s="39">
        <v>45618</v>
      </c>
      <c r="AF125" s="56">
        <v>45621</v>
      </c>
      <c r="AG125" s="56">
        <v>45621</v>
      </c>
      <c r="AH125" s="56">
        <v>49278</v>
      </c>
      <c r="AJ125" s="4" t="s">
        <v>109</v>
      </c>
      <c r="AK125" s="4" t="s">
        <v>109</v>
      </c>
      <c r="AL125" s="4" t="s">
        <v>109</v>
      </c>
      <c r="AM125" s="4" t="s">
        <v>109</v>
      </c>
      <c r="AP125" s="1">
        <v>17</v>
      </c>
      <c r="AQ125" s="38">
        <v>74</v>
      </c>
    </row>
    <row r="126" spans="1:43" ht="18.75" customHeight="1" x14ac:dyDescent="0.3">
      <c r="A126" s="4">
        <v>2408401</v>
      </c>
      <c r="B126" s="110" t="s">
        <v>670</v>
      </c>
      <c r="C126" s="4" t="e" vm="12">
        <v>#VALUE!</v>
      </c>
      <c r="D126" s="4" t="s">
        <v>17</v>
      </c>
      <c r="E126" s="4" t="s">
        <v>71</v>
      </c>
      <c r="F126" s="4" t="s">
        <v>14</v>
      </c>
      <c r="G126" s="4">
        <v>7.02</v>
      </c>
      <c r="H126" s="4" t="s">
        <v>237</v>
      </c>
      <c r="I126" s="4">
        <v>12</v>
      </c>
      <c r="J126" s="1" t="s">
        <v>286</v>
      </c>
      <c r="K126" s="127"/>
      <c r="L126" s="1" t="s">
        <v>1853</v>
      </c>
      <c r="M126" s="1" t="s">
        <v>2236</v>
      </c>
      <c r="N126" s="127"/>
      <c r="O126" s="1" t="s">
        <v>109</v>
      </c>
      <c r="P126" s="1" t="s">
        <v>109</v>
      </c>
      <c r="Q126" s="127"/>
      <c r="R126" s="56">
        <v>45518</v>
      </c>
      <c r="S126" s="56">
        <v>45535</v>
      </c>
      <c r="T126" s="1" t="s">
        <v>1822</v>
      </c>
      <c r="U126" s="56">
        <v>45768</v>
      </c>
      <c r="V126" s="39" t="s">
        <v>1853</v>
      </c>
      <c r="W126" s="1" t="s">
        <v>1853</v>
      </c>
      <c r="X126" s="4" t="s">
        <v>109</v>
      </c>
      <c r="Y126" s="4" t="s">
        <v>1853</v>
      </c>
      <c r="Z126" s="4" t="s">
        <v>1855</v>
      </c>
      <c r="AA126" s="39">
        <v>45581</v>
      </c>
      <c r="AB126" s="39">
        <v>45581</v>
      </c>
      <c r="AC126" s="39" t="s">
        <v>1853</v>
      </c>
      <c r="AD126" s="39" t="s">
        <v>1853</v>
      </c>
      <c r="AE126" s="39">
        <v>45600</v>
      </c>
      <c r="AF126" s="56">
        <v>45601</v>
      </c>
      <c r="AG126" s="56">
        <v>45601</v>
      </c>
      <c r="AH126" s="56">
        <v>49278</v>
      </c>
      <c r="AJ126" s="4" t="s">
        <v>109</v>
      </c>
      <c r="AK126" s="4" t="s">
        <v>109</v>
      </c>
      <c r="AL126" s="4" t="s">
        <v>109</v>
      </c>
      <c r="AM126" s="4" t="s">
        <v>109</v>
      </c>
      <c r="AP126" s="1">
        <v>17</v>
      </c>
      <c r="AQ126" s="38">
        <v>69</v>
      </c>
    </row>
    <row r="127" spans="1:43" ht="18.75" customHeight="1" x14ac:dyDescent="0.3">
      <c r="A127" s="4">
        <v>2408398</v>
      </c>
      <c r="B127" s="110" t="s">
        <v>675</v>
      </c>
      <c r="C127" s="4" t="e" vm="12">
        <v>#VALUE!</v>
      </c>
      <c r="D127" s="4" t="s">
        <v>17</v>
      </c>
      <c r="E127" s="4" t="s">
        <v>71</v>
      </c>
      <c r="F127" s="4" t="s">
        <v>14</v>
      </c>
      <c r="G127" s="4">
        <v>11.7</v>
      </c>
      <c r="H127" s="4" t="s">
        <v>237</v>
      </c>
      <c r="I127" s="4">
        <v>20</v>
      </c>
      <c r="J127" s="1" t="s">
        <v>111</v>
      </c>
      <c r="K127" s="127"/>
      <c r="L127" s="1" t="s">
        <v>1853</v>
      </c>
      <c r="M127" s="1" t="s">
        <v>2236</v>
      </c>
      <c r="N127" s="127"/>
      <c r="O127" s="1" t="s">
        <v>109</v>
      </c>
      <c r="P127" s="1" t="s">
        <v>109</v>
      </c>
      <c r="Q127" s="127"/>
      <c r="R127" s="56">
        <v>45529</v>
      </c>
      <c r="S127" s="56">
        <v>45547</v>
      </c>
      <c r="T127" s="1" t="s">
        <v>1822</v>
      </c>
      <c r="U127" s="56">
        <v>45792</v>
      </c>
      <c r="V127" s="39" t="s">
        <v>1853</v>
      </c>
      <c r="W127" s="1" t="s">
        <v>1853</v>
      </c>
      <c r="X127" s="4" t="s">
        <v>109</v>
      </c>
      <c r="Y127" s="4" t="s">
        <v>1853</v>
      </c>
      <c r="Z127" s="4" t="s">
        <v>1855</v>
      </c>
      <c r="AA127" s="39">
        <v>45583</v>
      </c>
      <c r="AB127" s="39" t="s">
        <v>1853</v>
      </c>
      <c r="AC127" s="39" t="s">
        <v>1853</v>
      </c>
      <c r="AD127" s="39" t="s">
        <v>1853</v>
      </c>
      <c r="AE127" s="1" t="s">
        <v>1853</v>
      </c>
      <c r="AF127" s="56">
        <v>45593</v>
      </c>
      <c r="AG127" s="56">
        <v>45593</v>
      </c>
      <c r="AH127" s="56">
        <v>49248</v>
      </c>
      <c r="AJ127" s="4" t="s">
        <v>109</v>
      </c>
      <c r="AK127" s="4" t="s">
        <v>109</v>
      </c>
      <c r="AL127" s="4" t="s">
        <v>109</v>
      </c>
      <c r="AM127" s="4" t="s">
        <v>109</v>
      </c>
      <c r="AP127" s="1">
        <v>18</v>
      </c>
      <c r="AQ127" s="38">
        <v>64</v>
      </c>
    </row>
    <row r="128" spans="1:43" ht="18.75" customHeight="1" x14ac:dyDescent="0.3">
      <c r="A128" s="4">
        <v>2408415</v>
      </c>
      <c r="B128" s="110" t="s">
        <v>680</v>
      </c>
      <c r="C128" s="4" t="e" vm="12">
        <v>#VALUE!</v>
      </c>
      <c r="D128" s="4" t="s">
        <v>17</v>
      </c>
      <c r="E128" s="4" t="s">
        <v>71</v>
      </c>
      <c r="F128" s="4" t="s">
        <v>14</v>
      </c>
      <c r="G128" s="4">
        <v>17.55</v>
      </c>
      <c r="H128" s="4" t="s">
        <v>237</v>
      </c>
      <c r="I128" s="4">
        <v>30</v>
      </c>
      <c r="J128" s="1" t="s">
        <v>143</v>
      </c>
      <c r="K128" s="127"/>
      <c r="L128" s="1" t="s">
        <v>1853</v>
      </c>
      <c r="M128" s="1" t="s">
        <v>2236</v>
      </c>
      <c r="N128" s="127"/>
      <c r="O128" s="1" t="s">
        <v>109</v>
      </c>
      <c r="P128" s="1" t="s">
        <v>109</v>
      </c>
      <c r="Q128" s="127"/>
      <c r="R128" s="56">
        <v>45533</v>
      </c>
      <c r="S128" s="56">
        <v>45566</v>
      </c>
      <c r="T128" s="1" t="s">
        <v>1822</v>
      </c>
      <c r="U128" s="56">
        <v>45792</v>
      </c>
      <c r="V128" s="39" t="s">
        <v>1853</v>
      </c>
      <c r="W128" s="1" t="s">
        <v>1853</v>
      </c>
      <c r="X128" s="4" t="s">
        <v>109</v>
      </c>
      <c r="Y128" s="4" t="s">
        <v>1853</v>
      </c>
      <c r="Z128" s="4" t="s">
        <v>1855</v>
      </c>
      <c r="AA128" s="39">
        <v>45588</v>
      </c>
      <c r="AB128" s="39" t="s">
        <v>1853</v>
      </c>
      <c r="AC128" s="39" t="s">
        <v>1853</v>
      </c>
      <c r="AD128" s="39" t="s">
        <v>1853</v>
      </c>
      <c r="AE128" s="1" t="s">
        <v>1853</v>
      </c>
      <c r="AF128" s="56">
        <v>45597</v>
      </c>
      <c r="AG128" s="56">
        <v>45597</v>
      </c>
      <c r="AH128" s="56">
        <v>45626</v>
      </c>
      <c r="AJ128" s="4" t="s">
        <v>109</v>
      </c>
      <c r="AK128" s="4" t="s">
        <v>109</v>
      </c>
      <c r="AL128" s="4" t="s">
        <v>109</v>
      </c>
      <c r="AM128" s="4" t="s">
        <v>109</v>
      </c>
      <c r="AP128" s="1">
        <v>33</v>
      </c>
      <c r="AQ128" s="38">
        <v>63</v>
      </c>
    </row>
    <row r="129" spans="1:43" ht="18.75" customHeight="1" x14ac:dyDescent="0.3">
      <c r="A129" s="4">
        <v>2408425</v>
      </c>
      <c r="B129" s="110" t="s">
        <v>685</v>
      </c>
      <c r="C129" s="4" t="e" vm="5">
        <v>#VALUE!</v>
      </c>
      <c r="D129" s="4" t="s">
        <v>17</v>
      </c>
      <c r="E129" s="4" t="s">
        <v>71</v>
      </c>
      <c r="F129" s="4" t="s">
        <v>14</v>
      </c>
      <c r="G129" s="4">
        <v>14.04</v>
      </c>
      <c r="H129" s="4" t="s">
        <v>237</v>
      </c>
      <c r="I129" s="4">
        <v>24</v>
      </c>
      <c r="J129" s="1" t="s">
        <v>143</v>
      </c>
      <c r="K129" s="127"/>
      <c r="L129" s="1" t="s">
        <v>1853</v>
      </c>
      <c r="M129" s="1" t="s">
        <v>2236</v>
      </c>
      <c r="N129" s="127"/>
      <c r="O129" s="1" t="s">
        <v>109</v>
      </c>
      <c r="P129" s="1" t="s">
        <v>109</v>
      </c>
      <c r="Q129" s="127"/>
      <c r="R129" s="56">
        <v>45537</v>
      </c>
      <c r="S129" s="56">
        <v>45561</v>
      </c>
      <c r="T129" s="1" t="s">
        <v>1822</v>
      </c>
      <c r="U129" s="56">
        <v>45776</v>
      </c>
      <c r="V129" s="39" t="s">
        <v>1853</v>
      </c>
      <c r="W129" s="1" t="s">
        <v>1853</v>
      </c>
      <c r="X129" s="4" t="s">
        <v>109</v>
      </c>
      <c r="Y129" s="4" t="s">
        <v>1853</v>
      </c>
      <c r="Z129" s="4" t="s">
        <v>1855</v>
      </c>
      <c r="AA129" s="39">
        <v>45586</v>
      </c>
      <c r="AB129" s="39" t="s">
        <v>1853</v>
      </c>
      <c r="AC129" s="39" t="s">
        <v>1853</v>
      </c>
      <c r="AD129" s="39" t="s">
        <v>1853</v>
      </c>
      <c r="AE129" s="1" t="s">
        <v>1853</v>
      </c>
      <c r="AF129" s="56">
        <v>45604</v>
      </c>
      <c r="AG129" s="56">
        <v>45604</v>
      </c>
      <c r="AH129" s="56">
        <v>49278</v>
      </c>
      <c r="AJ129" s="4" t="s">
        <v>109</v>
      </c>
      <c r="AK129" s="4" t="s">
        <v>109</v>
      </c>
      <c r="AL129" s="4" t="s">
        <v>109</v>
      </c>
      <c r="AM129" s="4" t="s">
        <v>109</v>
      </c>
      <c r="AP129" s="1">
        <v>24</v>
      </c>
      <c r="AQ129" s="38">
        <v>55</v>
      </c>
    </row>
    <row r="130" spans="1:43" ht="18.75" customHeight="1" x14ac:dyDescent="0.3">
      <c r="A130" s="4">
        <v>2406334</v>
      </c>
      <c r="B130" s="110" t="s">
        <v>690</v>
      </c>
      <c r="C130" s="4" t="e" vm="5">
        <v>#VALUE!</v>
      </c>
      <c r="D130" s="4" t="s">
        <v>17</v>
      </c>
      <c r="E130" s="4" t="s">
        <v>71</v>
      </c>
      <c r="F130" s="4" t="s">
        <v>14</v>
      </c>
      <c r="G130" s="4">
        <v>14.04</v>
      </c>
      <c r="H130" s="4" t="s">
        <v>237</v>
      </c>
      <c r="I130" s="4">
        <v>24</v>
      </c>
      <c r="J130" s="1" t="s">
        <v>143</v>
      </c>
      <c r="K130" s="127"/>
      <c r="L130" s="1" t="s">
        <v>1853</v>
      </c>
      <c r="M130" s="1" t="s">
        <v>2236</v>
      </c>
      <c r="N130" s="127"/>
      <c r="O130" s="1" t="s">
        <v>109</v>
      </c>
      <c r="P130" s="1" t="s">
        <v>109</v>
      </c>
      <c r="Q130" s="127"/>
      <c r="R130" s="56">
        <v>45538</v>
      </c>
      <c r="S130" s="56">
        <v>45567</v>
      </c>
      <c r="T130" s="1" t="s">
        <v>1822</v>
      </c>
      <c r="U130" s="56">
        <v>45891</v>
      </c>
      <c r="V130" s="39" t="s">
        <v>1853</v>
      </c>
      <c r="W130" s="1" t="s">
        <v>1853</v>
      </c>
      <c r="X130" s="4" t="s">
        <v>109</v>
      </c>
      <c r="Y130" s="4" t="s">
        <v>1853</v>
      </c>
      <c r="Z130" s="4" t="s">
        <v>1855</v>
      </c>
      <c r="AA130" s="39">
        <v>45595</v>
      </c>
      <c r="AB130" s="39" t="s">
        <v>1853</v>
      </c>
      <c r="AC130" s="39" t="s">
        <v>1853</v>
      </c>
      <c r="AD130" s="39" t="s">
        <v>1853</v>
      </c>
      <c r="AE130" s="39">
        <v>45611</v>
      </c>
      <c r="AF130" s="56">
        <v>45627</v>
      </c>
      <c r="AG130" s="56">
        <v>45627</v>
      </c>
      <c r="AH130" s="56">
        <v>49309</v>
      </c>
      <c r="AJ130" s="4" t="s">
        <v>109</v>
      </c>
      <c r="AK130" s="4" t="s">
        <v>109</v>
      </c>
      <c r="AL130" s="4" t="s">
        <v>109</v>
      </c>
      <c r="AM130" s="4" t="s">
        <v>109</v>
      </c>
      <c r="AP130" s="1">
        <v>29</v>
      </c>
      <c r="AQ130" s="38">
        <v>64</v>
      </c>
    </row>
    <row r="131" spans="1:43" ht="18.75" customHeight="1" x14ac:dyDescent="0.3">
      <c r="A131" s="4">
        <v>2407371</v>
      </c>
      <c r="B131" s="110" t="s">
        <v>695</v>
      </c>
      <c r="C131" s="4" t="e" vm="11">
        <v>#VALUE!</v>
      </c>
      <c r="D131" s="4" t="s">
        <v>19</v>
      </c>
      <c r="E131" s="4" t="s">
        <v>71</v>
      </c>
      <c r="F131" s="4" t="s">
        <v>14</v>
      </c>
      <c r="G131" s="4">
        <v>10.53</v>
      </c>
      <c r="H131" s="4" t="s">
        <v>237</v>
      </c>
      <c r="I131" s="4">
        <v>18</v>
      </c>
      <c r="J131" s="1" t="s">
        <v>364</v>
      </c>
      <c r="K131" s="127"/>
      <c r="L131" s="1" t="s">
        <v>1853</v>
      </c>
      <c r="M131" s="1" t="s">
        <v>2236</v>
      </c>
      <c r="N131" s="127"/>
      <c r="O131" s="1" t="s">
        <v>109</v>
      </c>
      <c r="P131" s="1" t="s">
        <v>109</v>
      </c>
      <c r="Q131" s="127"/>
      <c r="R131" s="56">
        <v>45545</v>
      </c>
      <c r="S131" s="56">
        <v>45586</v>
      </c>
      <c r="T131" s="1" t="s">
        <v>1822</v>
      </c>
      <c r="U131" s="56">
        <v>45891</v>
      </c>
      <c r="V131" s="39" t="s">
        <v>1853</v>
      </c>
      <c r="W131" s="1" t="s">
        <v>1853</v>
      </c>
      <c r="X131" s="4" t="s">
        <v>109</v>
      </c>
      <c r="Y131" s="4" t="s">
        <v>1853</v>
      </c>
      <c r="Z131" s="4" t="s">
        <v>1854</v>
      </c>
      <c r="AA131" s="39">
        <v>45588</v>
      </c>
      <c r="AB131" s="39" t="s">
        <v>1853</v>
      </c>
      <c r="AC131" s="39" t="s">
        <v>1853</v>
      </c>
      <c r="AD131" s="39" t="s">
        <v>1853</v>
      </c>
      <c r="AE131" s="39">
        <v>45617</v>
      </c>
      <c r="AF131" s="56">
        <v>45634</v>
      </c>
      <c r="AG131" s="56">
        <v>45634</v>
      </c>
      <c r="AH131" s="56">
        <v>49309</v>
      </c>
      <c r="AJ131" s="4" t="s">
        <v>109</v>
      </c>
      <c r="AK131" s="4" t="s">
        <v>109</v>
      </c>
      <c r="AL131" s="4" t="s">
        <v>109</v>
      </c>
      <c r="AM131" s="4" t="s">
        <v>109</v>
      </c>
      <c r="AP131" s="1">
        <v>41</v>
      </c>
      <c r="AQ131" s="38">
        <v>56</v>
      </c>
    </row>
    <row r="132" spans="1:43" ht="18.75" customHeight="1" x14ac:dyDescent="0.3">
      <c r="A132" s="4">
        <v>2408409</v>
      </c>
      <c r="B132" s="110" t="s">
        <v>700</v>
      </c>
      <c r="C132" s="4" t="e" vm="11">
        <v>#VALUE!</v>
      </c>
      <c r="D132" s="4" t="s">
        <v>22</v>
      </c>
      <c r="E132" s="4" t="s">
        <v>71</v>
      </c>
      <c r="F132" s="4" t="s">
        <v>14</v>
      </c>
      <c r="G132" s="4">
        <v>9.9450000000000003</v>
      </c>
      <c r="H132" s="4" t="s">
        <v>237</v>
      </c>
      <c r="I132" s="4">
        <v>17</v>
      </c>
      <c r="J132" s="1" t="s">
        <v>364</v>
      </c>
      <c r="K132" s="127"/>
      <c r="L132" s="1" t="s">
        <v>1853</v>
      </c>
      <c r="M132" s="1" t="s">
        <v>2236</v>
      </c>
      <c r="N132" s="127"/>
      <c r="O132" s="1" t="s">
        <v>109</v>
      </c>
      <c r="P132" s="1" t="s">
        <v>109</v>
      </c>
      <c r="Q132" s="127"/>
      <c r="R132" s="56">
        <v>45544</v>
      </c>
      <c r="S132" s="56">
        <v>45582</v>
      </c>
      <c r="T132" s="1" t="s">
        <v>1822</v>
      </c>
      <c r="U132" s="56">
        <v>45891</v>
      </c>
      <c r="V132" s="39" t="s">
        <v>1853</v>
      </c>
      <c r="W132" s="1" t="s">
        <v>1853</v>
      </c>
      <c r="X132" s="4" t="s">
        <v>109</v>
      </c>
      <c r="Y132" s="4" t="s">
        <v>1853</v>
      </c>
      <c r="Z132" s="4" t="s">
        <v>1854</v>
      </c>
      <c r="AA132" s="39">
        <v>45573</v>
      </c>
      <c r="AB132" s="39" t="s">
        <v>1853</v>
      </c>
      <c r="AC132" s="39" t="s">
        <v>1853</v>
      </c>
      <c r="AD132" s="39" t="s">
        <v>1853</v>
      </c>
      <c r="AE132" s="39">
        <v>45617</v>
      </c>
      <c r="AF132" s="56">
        <v>45701</v>
      </c>
      <c r="AG132" s="56">
        <v>45701</v>
      </c>
      <c r="AH132" s="56">
        <v>49368</v>
      </c>
      <c r="AJ132" s="4" t="s">
        <v>109</v>
      </c>
      <c r="AK132" s="4" t="s">
        <v>109</v>
      </c>
      <c r="AL132" s="4" t="s">
        <v>109</v>
      </c>
      <c r="AM132" s="4" t="s">
        <v>109</v>
      </c>
      <c r="AP132" s="1">
        <v>38</v>
      </c>
      <c r="AQ132" s="38">
        <v>39</v>
      </c>
    </row>
    <row r="133" spans="1:43" ht="18.75" customHeight="1" x14ac:dyDescent="0.3">
      <c r="A133" s="4">
        <v>2408411</v>
      </c>
      <c r="B133" s="110" t="s">
        <v>705</v>
      </c>
      <c r="C133" s="4" t="e" vm="11">
        <v>#VALUE!</v>
      </c>
      <c r="D133" s="4" t="s">
        <v>22</v>
      </c>
      <c r="E133" s="4" t="s">
        <v>71</v>
      </c>
      <c r="F133" s="4" t="s">
        <v>14</v>
      </c>
      <c r="G133" s="4">
        <v>7.02</v>
      </c>
      <c r="H133" s="4" t="s">
        <v>237</v>
      </c>
      <c r="I133" s="4">
        <v>12</v>
      </c>
      <c r="J133" s="1" t="s">
        <v>286</v>
      </c>
      <c r="K133" s="127"/>
      <c r="L133" s="1" t="s">
        <v>1853</v>
      </c>
      <c r="M133" s="1" t="s">
        <v>2236</v>
      </c>
      <c r="N133" s="127"/>
      <c r="O133" s="1" t="s">
        <v>109</v>
      </c>
      <c r="P133" s="1" t="s">
        <v>109</v>
      </c>
      <c r="Q133" s="127"/>
      <c r="R133" s="56">
        <v>45529</v>
      </c>
      <c r="S133" s="56">
        <v>45547</v>
      </c>
      <c r="T133" s="1" t="s">
        <v>1822</v>
      </c>
      <c r="U133" s="56">
        <v>45776</v>
      </c>
      <c r="V133" s="39" t="s">
        <v>1853</v>
      </c>
      <c r="W133" s="1" t="s">
        <v>1853</v>
      </c>
      <c r="X133" s="4" t="s">
        <v>109</v>
      </c>
      <c r="Y133" s="4" t="s">
        <v>1853</v>
      </c>
      <c r="Z133" s="4" t="s">
        <v>1854</v>
      </c>
      <c r="AA133" s="39">
        <v>45568</v>
      </c>
      <c r="AB133" s="39" t="s">
        <v>1853</v>
      </c>
      <c r="AC133" s="39" t="s">
        <v>1853</v>
      </c>
      <c r="AD133" s="39" t="s">
        <v>1853</v>
      </c>
      <c r="AE133" s="1" t="s">
        <v>1853</v>
      </c>
      <c r="AF133" s="56">
        <v>45581</v>
      </c>
      <c r="AG133" s="56">
        <v>45581</v>
      </c>
      <c r="AH133" s="56">
        <v>49248</v>
      </c>
      <c r="AJ133" s="4" t="s">
        <v>109</v>
      </c>
      <c r="AK133" s="4" t="s">
        <v>109</v>
      </c>
      <c r="AL133" s="4" t="s">
        <v>109</v>
      </c>
      <c r="AM133" s="4" t="s">
        <v>109</v>
      </c>
      <c r="AP133" s="1">
        <v>18</v>
      </c>
      <c r="AQ133" s="38">
        <v>49</v>
      </c>
    </row>
    <row r="134" spans="1:43" ht="18.75" customHeight="1" x14ac:dyDescent="0.3">
      <c r="A134" s="4">
        <v>2408408</v>
      </c>
      <c r="B134" s="110" t="s">
        <v>710</v>
      </c>
      <c r="C134" s="4" t="e" vm="11">
        <v>#VALUE!</v>
      </c>
      <c r="D134" s="4" t="s">
        <v>22</v>
      </c>
      <c r="E134" s="4" t="s">
        <v>71</v>
      </c>
      <c r="F134" s="4" t="s">
        <v>14</v>
      </c>
      <c r="G134" s="4">
        <v>17.55</v>
      </c>
      <c r="H134" s="4" t="s">
        <v>237</v>
      </c>
      <c r="I134" s="4">
        <v>30</v>
      </c>
      <c r="J134" s="1" t="s">
        <v>143</v>
      </c>
      <c r="K134" s="127"/>
      <c r="L134" s="1" t="s">
        <v>1853</v>
      </c>
      <c r="M134" s="1" t="s">
        <v>2236</v>
      </c>
      <c r="N134" s="127"/>
      <c r="O134" s="1" t="s">
        <v>109</v>
      </c>
      <c r="P134" s="1" t="s">
        <v>109</v>
      </c>
      <c r="Q134" s="127"/>
      <c r="R134" s="56">
        <v>45529</v>
      </c>
      <c r="S134" s="56">
        <v>45547</v>
      </c>
      <c r="T134" s="1" t="s">
        <v>1822</v>
      </c>
      <c r="U134" s="56">
        <v>45776</v>
      </c>
      <c r="V134" s="39" t="s">
        <v>1853</v>
      </c>
      <c r="W134" s="1" t="s">
        <v>1853</v>
      </c>
      <c r="X134" s="4" t="s">
        <v>109</v>
      </c>
      <c r="Y134" s="4" t="s">
        <v>1853</v>
      </c>
      <c r="Z134" s="4" t="s">
        <v>1854</v>
      </c>
      <c r="AA134" s="39">
        <v>45575</v>
      </c>
      <c r="AB134" s="39" t="s">
        <v>1853</v>
      </c>
      <c r="AC134" s="39" t="s">
        <v>1853</v>
      </c>
      <c r="AD134" s="39" t="s">
        <v>1853</v>
      </c>
      <c r="AE134" s="39">
        <v>45600</v>
      </c>
      <c r="AF134" s="56">
        <v>45609</v>
      </c>
      <c r="AG134" s="56">
        <v>45609</v>
      </c>
      <c r="AH134" s="56">
        <v>49278</v>
      </c>
      <c r="AJ134" s="4" t="s">
        <v>109</v>
      </c>
      <c r="AK134" s="4" t="s">
        <v>109</v>
      </c>
      <c r="AL134" s="4" t="s">
        <v>109</v>
      </c>
      <c r="AM134" s="4" t="s">
        <v>109</v>
      </c>
      <c r="AP134" s="1">
        <v>18</v>
      </c>
      <c r="AQ134" s="38">
        <v>56</v>
      </c>
    </row>
    <row r="135" spans="1:43" ht="18.75" customHeight="1" x14ac:dyDescent="0.3">
      <c r="A135" s="4">
        <v>2408025</v>
      </c>
      <c r="B135" s="110" t="s">
        <v>715</v>
      </c>
      <c r="C135" s="4" t="e" vm="12">
        <v>#VALUE!</v>
      </c>
      <c r="D135" s="4" t="s">
        <v>20</v>
      </c>
      <c r="E135" s="4" t="s">
        <v>206</v>
      </c>
      <c r="F135" s="4" t="s">
        <v>18</v>
      </c>
      <c r="G135" s="4">
        <v>0</v>
      </c>
      <c r="H135" s="4" t="s">
        <v>18</v>
      </c>
      <c r="I135" s="4" t="s">
        <v>18</v>
      </c>
      <c r="J135" s="1" t="s">
        <v>18</v>
      </c>
      <c r="K135" s="127"/>
      <c r="L135" s="1" t="s">
        <v>1853</v>
      </c>
      <c r="M135" s="1" t="s">
        <v>2236</v>
      </c>
      <c r="N135" s="127"/>
      <c r="O135" s="1" t="s">
        <v>109</v>
      </c>
      <c r="P135" s="1" t="s">
        <v>109</v>
      </c>
      <c r="Q135" s="127"/>
      <c r="R135" s="56" t="s">
        <v>109</v>
      </c>
      <c r="S135" s="56" t="s">
        <v>109</v>
      </c>
      <c r="T135" s="56" t="s">
        <v>109</v>
      </c>
      <c r="U135" s="56" t="s">
        <v>109</v>
      </c>
      <c r="V135" s="39" t="s">
        <v>1853</v>
      </c>
      <c r="W135" s="1" t="s">
        <v>1853</v>
      </c>
      <c r="X135" s="4" t="s">
        <v>109</v>
      </c>
      <c r="Y135" s="4" t="s">
        <v>1853</v>
      </c>
      <c r="Z135" s="4" t="s">
        <v>1855</v>
      </c>
      <c r="AA135" s="39">
        <v>45580</v>
      </c>
      <c r="AB135" s="39" t="s">
        <v>109</v>
      </c>
      <c r="AC135" s="39" t="s">
        <v>109</v>
      </c>
      <c r="AD135" s="39" t="s">
        <v>109</v>
      </c>
      <c r="AE135" s="39" t="s">
        <v>109</v>
      </c>
      <c r="AF135" s="39" t="s">
        <v>109</v>
      </c>
      <c r="AG135" s="39" t="s">
        <v>109</v>
      </c>
      <c r="AH135" s="39" t="s">
        <v>109</v>
      </c>
      <c r="AJ135" s="4" t="s">
        <v>109</v>
      </c>
      <c r="AK135" s="4" t="s">
        <v>109</v>
      </c>
      <c r="AL135" s="4" t="s">
        <v>109</v>
      </c>
      <c r="AM135" s="4" t="s">
        <v>109</v>
      </c>
      <c r="AP135" s="1" t="e">
        <v>#VALUE!</v>
      </c>
      <c r="AQ135" s="38">
        <v>47</v>
      </c>
    </row>
    <row r="136" spans="1:43" ht="18.75" customHeight="1" x14ac:dyDescent="0.3">
      <c r="A136" s="4">
        <v>2408431</v>
      </c>
      <c r="B136" s="110" t="s">
        <v>717</v>
      </c>
      <c r="C136" s="4" t="e" vm="10">
        <v>#VALUE!</v>
      </c>
      <c r="D136" s="4" t="s">
        <v>17</v>
      </c>
      <c r="E136" s="4" t="s">
        <v>71</v>
      </c>
      <c r="F136" s="4" t="s">
        <v>14</v>
      </c>
      <c r="G136" s="4">
        <v>9.36</v>
      </c>
      <c r="H136" s="4" t="s">
        <v>237</v>
      </c>
      <c r="I136" s="4">
        <v>16</v>
      </c>
      <c r="J136" s="1" t="s">
        <v>364</v>
      </c>
      <c r="K136" s="127"/>
      <c r="L136" s="1" t="s">
        <v>1853</v>
      </c>
      <c r="M136" s="1" t="s">
        <v>2236</v>
      </c>
      <c r="N136" s="127"/>
      <c r="O136" s="1" t="s">
        <v>109</v>
      </c>
      <c r="P136" s="1" t="s">
        <v>109</v>
      </c>
      <c r="Q136" s="127"/>
      <c r="R136" s="56">
        <v>45546</v>
      </c>
      <c r="S136" s="56">
        <v>45606</v>
      </c>
      <c r="T136" s="1" t="s">
        <v>1819</v>
      </c>
      <c r="U136" s="56">
        <v>45958</v>
      </c>
      <c r="V136" s="39" t="s">
        <v>1853</v>
      </c>
      <c r="W136" s="1" t="s">
        <v>1853</v>
      </c>
      <c r="X136" s="4" t="s">
        <v>109</v>
      </c>
      <c r="Y136" s="4" t="s">
        <v>1853</v>
      </c>
      <c r="Z136" s="4" t="s">
        <v>1854</v>
      </c>
      <c r="AA136" s="39">
        <v>45680</v>
      </c>
      <c r="AB136" s="39">
        <v>45698</v>
      </c>
      <c r="AC136" s="39" t="s">
        <v>1853</v>
      </c>
      <c r="AD136" s="56">
        <v>45714</v>
      </c>
      <c r="AE136" s="56">
        <v>45706</v>
      </c>
      <c r="AF136" s="56">
        <v>45714</v>
      </c>
      <c r="AG136" s="56">
        <v>45714</v>
      </c>
      <c r="AH136" s="56">
        <v>49368</v>
      </c>
      <c r="AJ136" s="4" t="s">
        <v>109</v>
      </c>
      <c r="AK136" s="4" t="s">
        <v>109</v>
      </c>
      <c r="AL136" s="4" t="s">
        <v>109</v>
      </c>
      <c r="AM136" s="4" t="s">
        <v>109</v>
      </c>
      <c r="AP136" s="1">
        <v>60</v>
      </c>
      <c r="AQ136" s="38">
        <v>136</v>
      </c>
    </row>
    <row r="137" spans="1:43" ht="18.75" customHeight="1" x14ac:dyDescent="0.3">
      <c r="A137" s="4">
        <v>2408432</v>
      </c>
      <c r="B137" s="110" t="s">
        <v>722</v>
      </c>
      <c r="C137" s="4" t="e" vm="11">
        <v>#VALUE!</v>
      </c>
      <c r="D137" s="4" t="s">
        <v>19</v>
      </c>
      <c r="E137" s="4" t="s">
        <v>71</v>
      </c>
      <c r="F137" s="4" t="s">
        <v>14</v>
      </c>
      <c r="G137" s="4">
        <v>8.19</v>
      </c>
      <c r="H137" s="4" t="s">
        <v>237</v>
      </c>
      <c r="I137" s="4">
        <v>14</v>
      </c>
      <c r="J137" s="1" t="s">
        <v>244</v>
      </c>
      <c r="K137" s="127"/>
      <c r="L137" s="1" t="s">
        <v>1853</v>
      </c>
      <c r="M137" s="1" t="s">
        <v>2236</v>
      </c>
      <c r="N137" s="127"/>
      <c r="O137" s="1" t="s">
        <v>109</v>
      </c>
      <c r="P137" s="1" t="s">
        <v>109</v>
      </c>
      <c r="Q137" s="127"/>
      <c r="R137" s="56">
        <v>45564</v>
      </c>
      <c r="S137" s="56">
        <v>45605</v>
      </c>
      <c r="T137" s="1" t="s">
        <v>1822</v>
      </c>
      <c r="U137" s="56">
        <v>45775</v>
      </c>
      <c r="V137" s="39" t="s">
        <v>1853</v>
      </c>
      <c r="W137" s="1" t="s">
        <v>1853</v>
      </c>
      <c r="X137" s="4" t="s">
        <v>109</v>
      </c>
      <c r="Y137" s="4" t="s">
        <v>1853</v>
      </c>
      <c r="Z137" s="4" t="s">
        <v>1854</v>
      </c>
      <c r="AA137" s="39">
        <v>45624</v>
      </c>
      <c r="AB137" s="39" t="s">
        <v>1853</v>
      </c>
      <c r="AC137" s="39" t="s">
        <v>1853</v>
      </c>
      <c r="AD137" s="56" t="s">
        <v>1853</v>
      </c>
      <c r="AE137" s="56" t="s">
        <v>1853</v>
      </c>
      <c r="AF137" s="56">
        <v>45755</v>
      </c>
      <c r="AG137" s="56">
        <v>45755</v>
      </c>
      <c r="AH137" s="56">
        <v>49429</v>
      </c>
      <c r="AJ137" s="4" t="s">
        <v>109</v>
      </c>
      <c r="AK137" s="4" t="s">
        <v>109</v>
      </c>
      <c r="AL137" s="4" t="s">
        <v>109</v>
      </c>
      <c r="AM137" s="4" t="s">
        <v>109</v>
      </c>
      <c r="AP137" s="1">
        <v>41</v>
      </c>
      <c r="AQ137" s="38">
        <v>90</v>
      </c>
    </row>
    <row r="138" spans="1:43" ht="18.75" customHeight="1" x14ac:dyDescent="0.3">
      <c r="A138" s="4">
        <v>2408407</v>
      </c>
      <c r="B138" s="110" t="s">
        <v>727</v>
      </c>
      <c r="C138" s="4" t="e" vm="11">
        <v>#VALUE!</v>
      </c>
      <c r="D138" s="4" t="s">
        <v>22</v>
      </c>
      <c r="E138" s="4" t="s">
        <v>71</v>
      </c>
      <c r="F138" s="4" t="s">
        <v>14</v>
      </c>
      <c r="G138" s="4">
        <v>9.36</v>
      </c>
      <c r="H138" s="4" t="s">
        <v>237</v>
      </c>
      <c r="I138" s="4">
        <v>16</v>
      </c>
      <c r="J138" s="1" t="s">
        <v>364</v>
      </c>
      <c r="K138" s="127"/>
      <c r="L138" s="1" t="s">
        <v>1853</v>
      </c>
      <c r="M138" s="1" t="s">
        <v>2236</v>
      </c>
      <c r="N138" s="127"/>
      <c r="O138" s="1" t="s">
        <v>109</v>
      </c>
      <c r="P138" s="1" t="s">
        <v>109</v>
      </c>
      <c r="Q138" s="127"/>
      <c r="R138" s="56">
        <v>45544</v>
      </c>
      <c r="S138" s="56">
        <v>45582</v>
      </c>
      <c r="T138" s="1" t="s">
        <v>1822</v>
      </c>
      <c r="U138" s="56">
        <v>45776</v>
      </c>
      <c r="V138" s="39" t="s">
        <v>1853</v>
      </c>
      <c r="W138" s="1" t="s">
        <v>1853</v>
      </c>
      <c r="X138" s="4" t="s">
        <v>109</v>
      </c>
      <c r="Y138" s="4" t="s">
        <v>1853</v>
      </c>
      <c r="Z138" s="4" t="s">
        <v>1854</v>
      </c>
      <c r="AA138" s="39">
        <v>45595</v>
      </c>
      <c r="AB138" s="39" t="s">
        <v>1853</v>
      </c>
      <c r="AC138" s="39" t="s">
        <v>1853</v>
      </c>
      <c r="AD138" s="56" t="s">
        <v>1853</v>
      </c>
      <c r="AE138" s="56">
        <v>45617</v>
      </c>
      <c r="AF138" s="56">
        <v>45663</v>
      </c>
      <c r="AG138" s="56">
        <v>45663</v>
      </c>
      <c r="AH138" s="56">
        <v>49340</v>
      </c>
      <c r="AJ138" s="4" t="s">
        <v>109</v>
      </c>
      <c r="AK138" s="4" t="s">
        <v>109</v>
      </c>
      <c r="AL138" s="4" t="s">
        <v>109</v>
      </c>
      <c r="AM138" s="4" t="s">
        <v>109</v>
      </c>
      <c r="AP138" s="1">
        <v>38</v>
      </c>
      <c r="AQ138" s="38">
        <v>55</v>
      </c>
    </row>
    <row r="139" spans="1:43" ht="18.75" customHeight="1" x14ac:dyDescent="0.3">
      <c r="A139" s="4">
        <v>2409441</v>
      </c>
      <c r="B139" s="110" t="s">
        <v>732</v>
      </c>
      <c r="C139" s="4" t="e" vm="10">
        <v>#VALUE!</v>
      </c>
      <c r="D139" s="4" t="s">
        <v>19</v>
      </c>
      <c r="E139" s="4" t="s">
        <v>71</v>
      </c>
      <c r="F139" s="4" t="s">
        <v>14</v>
      </c>
      <c r="G139" s="4">
        <v>12.87</v>
      </c>
      <c r="H139" s="4" t="s">
        <v>237</v>
      </c>
      <c r="I139" s="4">
        <v>22</v>
      </c>
      <c r="J139" s="1" t="s">
        <v>111</v>
      </c>
      <c r="K139" s="127"/>
      <c r="L139" s="1" t="s">
        <v>1853</v>
      </c>
      <c r="M139" s="1" t="s">
        <v>2236</v>
      </c>
      <c r="N139" s="127"/>
      <c r="O139" s="1" t="s">
        <v>109</v>
      </c>
      <c r="P139" s="1" t="s">
        <v>109</v>
      </c>
      <c r="Q139" s="127"/>
      <c r="R139" s="56">
        <v>45544</v>
      </c>
      <c r="S139" s="56">
        <v>45582</v>
      </c>
      <c r="T139" s="1" t="s">
        <v>1822</v>
      </c>
      <c r="U139" s="56">
        <v>45776</v>
      </c>
      <c r="V139" s="39" t="s">
        <v>1853</v>
      </c>
      <c r="W139" s="1" t="s">
        <v>1853</v>
      </c>
      <c r="X139" s="4" t="s">
        <v>109</v>
      </c>
      <c r="Y139" s="4" t="s">
        <v>1853</v>
      </c>
      <c r="Z139" s="4" t="s">
        <v>1854</v>
      </c>
      <c r="AA139" s="39">
        <v>45601</v>
      </c>
      <c r="AB139" s="39">
        <v>45611</v>
      </c>
      <c r="AC139" s="39" t="s">
        <v>1853</v>
      </c>
      <c r="AD139" s="56">
        <v>45623</v>
      </c>
      <c r="AE139" s="56" t="s">
        <v>1853</v>
      </c>
      <c r="AF139" s="56">
        <v>45623</v>
      </c>
      <c r="AG139" s="56">
        <v>45623</v>
      </c>
      <c r="AH139" s="56">
        <v>49278</v>
      </c>
      <c r="AJ139" s="4" t="s">
        <v>109</v>
      </c>
      <c r="AK139" s="4" t="s">
        <v>109</v>
      </c>
      <c r="AL139" s="4" t="s">
        <v>109</v>
      </c>
      <c r="AM139" s="4" t="s">
        <v>109</v>
      </c>
      <c r="AP139" s="1">
        <v>38</v>
      </c>
      <c r="AQ139" s="38">
        <v>61</v>
      </c>
    </row>
    <row r="140" spans="1:43" ht="18.75" customHeight="1" x14ac:dyDescent="0.3">
      <c r="A140" s="4">
        <v>2408433</v>
      </c>
      <c r="B140" s="110" t="s">
        <v>738</v>
      </c>
      <c r="C140" s="4" t="e" vm="11">
        <v>#VALUE!</v>
      </c>
      <c r="D140" s="4" t="s">
        <v>19</v>
      </c>
      <c r="E140" s="4" t="s">
        <v>71</v>
      </c>
      <c r="F140" s="4" t="s">
        <v>14</v>
      </c>
      <c r="G140" s="4">
        <v>5.85</v>
      </c>
      <c r="H140" s="4" t="s">
        <v>237</v>
      </c>
      <c r="I140" s="4">
        <v>10</v>
      </c>
      <c r="J140" s="1" t="s">
        <v>380</v>
      </c>
      <c r="K140" s="127"/>
      <c r="L140" s="1" t="s">
        <v>1853</v>
      </c>
      <c r="M140" s="1" t="s">
        <v>2236</v>
      </c>
      <c r="N140" s="127"/>
      <c r="O140" s="1" t="s">
        <v>109</v>
      </c>
      <c r="P140" s="1" t="s">
        <v>109</v>
      </c>
      <c r="Q140" s="127"/>
      <c r="R140" s="56">
        <v>45546</v>
      </c>
      <c r="S140" s="56">
        <v>45606</v>
      </c>
      <c r="T140" s="1" t="s">
        <v>1819</v>
      </c>
      <c r="U140" s="56"/>
      <c r="V140" s="39" t="s">
        <v>1853</v>
      </c>
      <c r="W140" s="1" t="s">
        <v>1853</v>
      </c>
      <c r="X140" s="4" t="s">
        <v>109</v>
      </c>
      <c r="Y140" s="4" t="s">
        <v>1853</v>
      </c>
      <c r="Z140" s="4" t="s">
        <v>1854</v>
      </c>
      <c r="AA140" s="39">
        <v>45626</v>
      </c>
      <c r="AB140" s="39">
        <v>45623</v>
      </c>
      <c r="AC140" s="39" t="s">
        <v>1853</v>
      </c>
      <c r="AD140" s="56">
        <v>45645</v>
      </c>
      <c r="AE140" s="56">
        <v>45631</v>
      </c>
      <c r="AF140" s="56">
        <v>45645</v>
      </c>
      <c r="AG140" s="56">
        <v>45645</v>
      </c>
      <c r="AH140" s="56">
        <v>49309</v>
      </c>
      <c r="AJ140" s="4" t="s">
        <v>109</v>
      </c>
      <c r="AK140" s="4" t="s">
        <v>109</v>
      </c>
      <c r="AL140" s="4" t="s">
        <v>109</v>
      </c>
      <c r="AM140" s="4" t="s">
        <v>109</v>
      </c>
      <c r="AP140" s="1">
        <v>60</v>
      </c>
      <c r="AQ140" s="38">
        <v>89</v>
      </c>
    </row>
    <row r="141" spans="1:43" s="217" customFormat="1" ht="18.75" customHeight="1" x14ac:dyDescent="0.3">
      <c r="A141" s="210">
        <v>2409445</v>
      </c>
      <c r="B141" s="211" t="s">
        <v>743</v>
      </c>
      <c r="C141" s="210" t="e" vm="11">
        <v>#VALUE!</v>
      </c>
      <c r="D141" s="210" t="s">
        <v>22</v>
      </c>
      <c r="E141" s="210" t="s">
        <v>71</v>
      </c>
      <c r="F141" s="210" t="s">
        <v>14</v>
      </c>
      <c r="G141" s="210">
        <v>7.02</v>
      </c>
      <c r="H141" s="210" t="s">
        <v>237</v>
      </c>
      <c r="I141" s="210">
        <v>12</v>
      </c>
      <c r="J141" s="212" t="s">
        <v>286</v>
      </c>
      <c r="K141" s="213"/>
      <c r="L141" s="212" t="s">
        <v>2241</v>
      </c>
      <c r="M141" s="212" t="s">
        <v>2236</v>
      </c>
      <c r="N141" s="213"/>
      <c r="O141" s="212" t="s">
        <v>109</v>
      </c>
      <c r="P141" s="212" t="s">
        <v>109</v>
      </c>
      <c r="Q141" s="213"/>
      <c r="R141" s="214">
        <v>45546</v>
      </c>
      <c r="S141" s="214">
        <v>45606</v>
      </c>
      <c r="T141" s="212" t="s">
        <v>1819</v>
      </c>
      <c r="U141" s="214"/>
      <c r="V141" s="215" t="s">
        <v>1853</v>
      </c>
      <c r="W141" s="212" t="s">
        <v>1853</v>
      </c>
      <c r="X141" s="210" t="s">
        <v>109</v>
      </c>
      <c r="Y141" s="210" t="s">
        <v>1853</v>
      </c>
      <c r="Z141" s="210" t="s">
        <v>1854</v>
      </c>
      <c r="AA141" s="215">
        <v>45757</v>
      </c>
      <c r="AB141" s="215" t="s">
        <v>1853</v>
      </c>
      <c r="AC141" s="215" t="s">
        <v>1853</v>
      </c>
      <c r="AD141" s="215" t="s">
        <v>1853</v>
      </c>
      <c r="AE141" s="214" t="s">
        <v>1853</v>
      </c>
      <c r="AF141" s="214" t="s">
        <v>1853</v>
      </c>
      <c r="AG141" s="214"/>
      <c r="AH141" s="214"/>
      <c r="AI141" s="216"/>
      <c r="AJ141" s="210" t="s">
        <v>109</v>
      </c>
      <c r="AK141" s="210" t="s">
        <v>109</v>
      </c>
      <c r="AL141" s="210" t="s">
        <v>109</v>
      </c>
      <c r="AM141" s="210" t="s">
        <v>109</v>
      </c>
      <c r="AP141" s="212">
        <v>60</v>
      </c>
      <c r="AQ141" s="218">
        <v>213</v>
      </c>
    </row>
    <row r="142" spans="1:43" ht="18.75" customHeight="1" x14ac:dyDescent="0.3">
      <c r="A142" s="4">
        <v>2408434</v>
      </c>
      <c r="B142" s="110" t="s">
        <v>748</v>
      </c>
      <c r="C142" s="4" t="e" vm="11">
        <v>#VALUE!</v>
      </c>
      <c r="D142" s="4" t="s">
        <v>19</v>
      </c>
      <c r="E142" s="4" t="s">
        <v>71</v>
      </c>
      <c r="F142" s="4" t="s">
        <v>14</v>
      </c>
      <c r="G142" s="4">
        <v>14.04</v>
      </c>
      <c r="H142" s="4" t="s">
        <v>237</v>
      </c>
      <c r="I142" s="4">
        <v>24</v>
      </c>
      <c r="J142" s="1" t="s">
        <v>143</v>
      </c>
      <c r="K142" s="127"/>
      <c r="L142" s="1" t="s">
        <v>1853</v>
      </c>
      <c r="M142" s="1" t="s">
        <v>2236</v>
      </c>
      <c r="N142" s="127"/>
      <c r="O142" s="1" t="s">
        <v>109</v>
      </c>
      <c r="P142" s="1" t="s">
        <v>109</v>
      </c>
      <c r="Q142" s="127"/>
      <c r="R142" s="56">
        <v>45546</v>
      </c>
      <c r="S142" s="56">
        <v>45586</v>
      </c>
      <c r="T142" s="1" t="s">
        <v>1822</v>
      </c>
      <c r="U142" s="56">
        <v>45891</v>
      </c>
      <c r="V142" s="39" t="s">
        <v>1853</v>
      </c>
      <c r="W142" s="1" t="s">
        <v>1853</v>
      </c>
      <c r="X142" s="4" t="s">
        <v>109</v>
      </c>
      <c r="Y142" s="4" t="s">
        <v>1853</v>
      </c>
      <c r="Z142" s="4" t="s">
        <v>1854</v>
      </c>
      <c r="AA142" s="39">
        <v>45603</v>
      </c>
      <c r="AB142" s="39" t="s">
        <v>1853</v>
      </c>
      <c r="AC142" s="39" t="s">
        <v>1853</v>
      </c>
      <c r="AD142" s="39" t="s">
        <v>1853</v>
      </c>
      <c r="AE142" s="56">
        <v>45631</v>
      </c>
      <c r="AF142" s="39">
        <v>45633</v>
      </c>
      <c r="AG142" s="56">
        <v>45633</v>
      </c>
      <c r="AH142" s="56">
        <v>49309</v>
      </c>
      <c r="AJ142" s="4" t="s">
        <v>109</v>
      </c>
      <c r="AK142" s="4" t="s">
        <v>109</v>
      </c>
      <c r="AL142" s="4" t="s">
        <v>109</v>
      </c>
      <c r="AM142" s="4" t="s">
        <v>109</v>
      </c>
      <c r="AP142" s="1">
        <v>40</v>
      </c>
      <c r="AQ142" s="38">
        <v>59</v>
      </c>
    </row>
    <row r="143" spans="1:43" s="217" customFormat="1" ht="18.75" customHeight="1" x14ac:dyDescent="0.3">
      <c r="A143" s="210">
        <v>2409442</v>
      </c>
      <c r="B143" s="211" t="s">
        <v>753</v>
      </c>
      <c r="C143" s="210" t="e" vm="12">
        <v>#VALUE!</v>
      </c>
      <c r="D143" s="210" t="s">
        <v>17</v>
      </c>
      <c r="E143" s="210" t="s">
        <v>71</v>
      </c>
      <c r="F143" s="210" t="s">
        <v>14</v>
      </c>
      <c r="G143" s="210">
        <v>9.44</v>
      </c>
      <c r="H143" s="210" t="s">
        <v>243</v>
      </c>
      <c r="I143" s="210">
        <v>16</v>
      </c>
      <c r="J143" s="212" t="s">
        <v>364</v>
      </c>
      <c r="K143" s="213"/>
      <c r="L143" s="212" t="s">
        <v>2241</v>
      </c>
      <c r="M143" s="212" t="s">
        <v>2236</v>
      </c>
      <c r="N143" s="213"/>
      <c r="O143" s="212" t="s">
        <v>109</v>
      </c>
      <c r="P143" s="212" t="s">
        <v>109</v>
      </c>
      <c r="Q143" s="213"/>
      <c r="R143" s="214">
        <v>45545</v>
      </c>
      <c r="S143" s="214">
        <v>45606</v>
      </c>
      <c r="T143" s="212" t="s">
        <v>1819</v>
      </c>
      <c r="U143" s="214">
        <v>45948</v>
      </c>
      <c r="V143" s="215" t="s">
        <v>1853</v>
      </c>
      <c r="W143" s="212" t="s">
        <v>1853</v>
      </c>
      <c r="X143" s="210" t="s">
        <v>109</v>
      </c>
      <c r="Y143" s="210" t="s">
        <v>1853</v>
      </c>
      <c r="Z143" s="210" t="s">
        <v>1855</v>
      </c>
      <c r="AA143" s="215">
        <v>45758</v>
      </c>
      <c r="AB143" s="215">
        <v>45737</v>
      </c>
      <c r="AC143" s="215" t="s">
        <v>1853</v>
      </c>
      <c r="AD143" s="215" t="s">
        <v>1853</v>
      </c>
      <c r="AE143" s="214" t="s">
        <v>1853</v>
      </c>
      <c r="AF143" s="212" t="s">
        <v>1853</v>
      </c>
      <c r="AG143" s="214"/>
      <c r="AH143" s="214"/>
      <c r="AI143" s="216"/>
      <c r="AJ143" s="210" t="s">
        <v>109</v>
      </c>
      <c r="AK143" s="210" t="s">
        <v>109</v>
      </c>
      <c r="AL143" s="210" t="s">
        <v>109</v>
      </c>
      <c r="AM143" s="210" t="s">
        <v>109</v>
      </c>
      <c r="AP143" s="212">
        <v>61</v>
      </c>
      <c r="AQ143" s="218">
        <v>215</v>
      </c>
    </row>
    <row r="144" spans="1:43" ht="18.75" customHeight="1" x14ac:dyDescent="0.3">
      <c r="A144" s="4">
        <v>2409443</v>
      </c>
      <c r="B144" s="110" t="s">
        <v>759</v>
      </c>
      <c r="C144" s="4" t="e" vm="8">
        <v>#VALUE!</v>
      </c>
      <c r="D144" s="4" t="s">
        <v>17</v>
      </c>
      <c r="E144" s="4" t="s">
        <v>71</v>
      </c>
      <c r="F144" s="4" t="s">
        <v>14</v>
      </c>
      <c r="G144" s="4">
        <v>17.55</v>
      </c>
      <c r="H144" s="4" t="s">
        <v>237</v>
      </c>
      <c r="I144" s="4">
        <v>30</v>
      </c>
      <c r="J144" s="1" t="s">
        <v>143</v>
      </c>
      <c r="K144" s="127"/>
      <c r="L144" s="1" t="s">
        <v>1853</v>
      </c>
      <c r="M144" s="1" t="s">
        <v>2236</v>
      </c>
      <c r="N144" s="127"/>
      <c r="O144" s="1" t="s">
        <v>109</v>
      </c>
      <c r="P144" s="1" t="s">
        <v>109</v>
      </c>
      <c r="Q144" s="127"/>
      <c r="R144" s="56">
        <v>45545</v>
      </c>
      <c r="S144" s="56">
        <v>45606</v>
      </c>
      <c r="T144" s="1" t="s">
        <v>1819</v>
      </c>
      <c r="U144" s="56"/>
      <c r="V144" s="39" t="s">
        <v>1853</v>
      </c>
      <c r="W144" s="1" t="s">
        <v>1853</v>
      </c>
      <c r="X144" s="4" t="s">
        <v>109</v>
      </c>
      <c r="Y144" s="4" t="s">
        <v>1853</v>
      </c>
      <c r="Z144" s="4" t="s">
        <v>1855</v>
      </c>
      <c r="AA144" s="39">
        <v>45592</v>
      </c>
      <c r="AB144" s="39">
        <v>46007</v>
      </c>
      <c r="AC144" s="39" t="s">
        <v>1853</v>
      </c>
      <c r="AD144" s="56">
        <v>45644</v>
      </c>
      <c r="AE144" s="56">
        <v>45643</v>
      </c>
      <c r="AF144" s="56">
        <v>45644</v>
      </c>
      <c r="AG144" s="56">
        <v>45644</v>
      </c>
      <c r="AH144" s="56">
        <v>49309</v>
      </c>
      <c r="AJ144" s="4" t="s">
        <v>109</v>
      </c>
      <c r="AK144" s="4" t="s">
        <v>109</v>
      </c>
      <c r="AL144" s="4" t="s">
        <v>109</v>
      </c>
      <c r="AM144" s="4" t="s">
        <v>109</v>
      </c>
      <c r="AP144" s="1">
        <v>61</v>
      </c>
      <c r="AQ144" s="38">
        <v>48</v>
      </c>
    </row>
    <row r="145" spans="1:43" s="199" customFormat="1" ht="18.75" customHeight="1" x14ac:dyDescent="0.3">
      <c r="A145" s="192">
        <v>2408417</v>
      </c>
      <c r="B145" s="193" t="s">
        <v>764</v>
      </c>
      <c r="C145" s="192" t="e" vm="5">
        <v>#VALUE!</v>
      </c>
      <c r="D145" s="192" t="s">
        <v>17</v>
      </c>
      <c r="E145" s="192" t="s">
        <v>71</v>
      </c>
      <c r="F145" s="192" t="s">
        <v>14</v>
      </c>
      <c r="G145" s="192">
        <v>17.55</v>
      </c>
      <c r="H145" s="192" t="s">
        <v>243</v>
      </c>
      <c r="I145" s="192">
        <v>30</v>
      </c>
      <c r="J145" s="194" t="s">
        <v>143</v>
      </c>
      <c r="K145" s="195"/>
      <c r="L145" s="194" t="s">
        <v>2245</v>
      </c>
      <c r="M145" s="194" t="s">
        <v>2236</v>
      </c>
      <c r="N145" s="195"/>
      <c r="O145" s="194" t="s">
        <v>109</v>
      </c>
      <c r="P145" s="194" t="s">
        <v>109</v>
      </c>
      <c r="Q145" s="195"/>
      <c r="R145" s="196">
        <v>45546</v>
      </c>
      <c r="S145" s="196">
        <v>45596</v>
      </c>
      <c r="T145" s="194" t="s">
        <v>1819</v>
      </c>
      <c r="U145" s="196">
        <v>45959</v>
      </c>
      <c r="V145" s="197" t="s">
        <v>1853</v>
      </c>
      <c r="W145" s="194" t="s">
        <v>1853</v>
      </c>
      <c r="X145" s="192" t="s">
        <v>109</v>
      </c>
      <c r="Y145" s="192" t="s">
        <v>1853</v>
      </c>
      <c r="Z145" s="192" t="s">
        <v>1855</v>
      </c>
      <c r="AA145" s="197">
        <v>45745</v>
      </c>
      <c r="AB145" s="197" t="s">
        <v>1853</v>
      </c>
      <c r="AC145" s="197" t="s">
        <v>1853</v>
      </c>
      <c r="AD145" s="197" t="s">
        <v>1853</v>
      </c>
      <c r="AE145" s="196" t="s">
        <v>1853</v>
      </c>
      <c r="AF145" s="196"/>
      <c r="AG145" s="196"/>
      <c r="AH145" s="196"/>
      <c r="AI145" s="198"/>
      <c r="AJ145" s="192" t="s">
        <v>109</v>
      </c>
      <c r="AK145" s="192" t="s">
        <v>109</v>
      </c>
      <c r="AL145" s="192" t="s">
        <v>109</v>
      </c>
      <c r="AM145" s="192" t="s">
        <v>109</v>
      </c>
      <c r="AP145" s="194">
        <v>50</v>
      </c>
      <c r="AQ145" s="200">
        <v>202</v>
      </c>
    </row>
    <row r="146" spans="1:43" ht="18.75" customHeight="1" x14ac:dyDescent="0.3">
      <c r="A146" s="4">
        <v>2409440</v>
      </c>
      <c r="B146" s="110" t="s">
        <v>768</v>
      </c>
      <c r="C146" s="4" t="e" vm="5">
        <v>#VALUE!</v>
      </c>
      <c r="D146" s="4" t="s">
        <v>17</v>
      </c>
      <c r="E146" s="4" t="s">
        <v>71</v>
      </c>
      <c r="F146" s="4" t="s">
        <v>14</v>
      </c>
      <c r="G146" s="4">
        <v>7.02</v>
      </c>
      <c r="H146" s="4" t="s">
        <v>237</v>
      </c>
      <c r="I146" s="4">
        <v>12</v>
      </c>
      <c r="J146" s="1" t="s">
        <v>286</v>
      </c>
      <c r="K146" s="127"/>
      <c r="L146" s="1" t="s">
        <v>1853</v>
      </c>
      <c r="M146" s="1" t="s">
        <v>2236</v>
      </c>
      <c r="N146" s="127"/>
      <c r="O146" s="1" t="s">
        <v>109</v>
      </c>
      <c r="P146" s="1" t="s">
        <v>109</v>
      </c>
      <c r="Q146" s="127"/>
      <c r="R146" s="56">
        <v>45544</v>
      </c>
      <c r="S146" s="56">
        <v>45582</v>
      </c>
      <c r="T146" s="1" t="s">
        <v>1822</v>
      </c>
      <c r="U146" s="56">
        <v>45792</v>
      </c>
      <c r="V146" s="39" t="s">
        <v>1853</v>
      </c>
      <c r="W146" s="1" t="s">
        <v>1853</v>
      </c>
      <c r="X146" s="4" t="s">
        <v>109</v>
      </c>
      <c r="Y146" s="4" t="s">
        <v>1853</v>
      </c>
      <c r="Z146" s="4" t="s">
        <v>1855</v>
      </c>
      <c r="AA146" s="39">
        <v>45604</v>
      </c>
      <c r="AB146" s="39" t="s">
        <v>1853</v>
      </c>
      <c r="AC146" s="39" t="s">
        <v>1853</v>
      </c>
      <c r="AD146" s="39" t="s">
        <v>1853</v>
      </c>
      <c r="AE146" s="56">
        <v>45615</v>
      </c>
      <c r="AF146" s="56">
        <v>45622</v>
      </c>
      <c r="AG146" s="56">
        <v>45622</v>
      </c>
      <c r="AH146" s="56">
        <v>49278</v>
      </c>
      <c r="AJ146" s="4" t="s">
        <v>109</v>
      </c>
      <c r="AK146" s="4" t="s">
        <v>109</v>
      </c>
      <c r="AL146" s="4" t="s">
        <v>109</v>
      </c>
      <c r="AM146" s="4" t="s">
        <v>109</v>
      </c>
      <c r="AP146" s="1">
        <v>38</v>
      </c>
      <c r="AQ146" s="38">
        <v>65</v>
      </c>
    </row>
    <row r="147" spans="1:43" ht="18.75" customHeight="1" x14ac:dyDescent="0.3">
      <c r="A147" s="4">
        <v>2405273</v>
      </c>
      <c r="B147" s="110" t="s">
        <v>773</v>
      </c>
      <c r="C147" s="4" t="e" vm="5">
        <v>#VALUE!</v>
      </c>
      <c r="D147" s="4" t="s">
        <v>17</v>
      </c>
      <c r="E147" s="4" t="s">
        <v>71</v>
      </c>
      <c r="F147" s="4" t="s">
        <v>14</v>
      </c>
      <c r="G147" s="4">
        <v>17.55</v>
      </c>
      <c r="H147" s="4" t="s">
        <v>237</v>
      </c>
      <c r="I147" s="4">
        <v>30</v>
      </c>
      <c r="J147" s="1" t="s">
        <v>143</v>
      </c>
      <c r="K147" s="127"/>
      <c r="L147" s="1" t="s">
        <v>1853</v>
      </c>
      <c r="M147" s="1" t="s">
        <v>2236</v>
      </c>
      <c r="N147" s="127"/>
      <c r="O147" s="1" t="s">
        <v>109</v>
      </c>
      <c r="P147" s="1" t="s">
        <v>109</v>
      </c>
      <c r="Q147" s="127"/>
      <c r="R147" s="56">
        <v>45545</v>
      </c>
      <c r="S147" s="56">
        <v>45582</v>
      </c>
      <c r="T147" s="1" t="s">
        <v>1822</v>
      </c>
      <c r="U147" s="56">
        <v>45768</v>
      </c>
      <c r="V147" s="39" t="s">
        <v>1853</v>
      </c>
      <c r="W147" s="1" t="s">
        <v>1853</v>
      </c>
      <c r="X147" s="4" t="s">
        <v>109</v>
      </c>
      <c r="Y147" s="4" t="s">
        <v>1853</v>
      </c>
      <c r="Z147" s="4" t="s">
        <v>1855</v>
      </c>
      <c r="AA147" s="39">
        <v>45664</v>
      </c>
      <c r="AB147" s="39">
        <v>45695</v>
      </c>
      <c r="AC147" s="39" t="s">
        <v>1853</v>
      </c>
      <c r="AD147" s="39">
        <v>45700</v>
      </c>
      <c r="AE147" s="56">
        <v>45698</v>
      </c>
      <c r="AF147" s="56">
        <v>45700</v>
      </c>
      <c r="AG147" s="39">
        <v>45700</v>
      </c>
      <c r="AH147" s="39">
        <v>49368</v>
      </c>
      <c r="AJ147" s="4" t="s">
        <v>109</v>
      </c>
      <c r="AK147" s="4" t="s">
        <v>109</v>
      </c>
      <c r="AL147" s="4" t="s">
        <v>109</v>
      </c>
      <c r="AM147" s="4" t="s">
        <v>109</v>
      </c>
      <c r="AP147" s="1">
        <v>37</v>
      </c>
      <c r="AQ147" s="38">
        <v>131</v>
      </c>
    </row>
    <row r="148" spans="1:43" s="217" customFormat="1" ht="18.75" customHeight="1" x14ac:dyDescent="0.3">
      <c r="A148" s="210">
        <v>2308064</v>
      </c>
      <c r="B148" s="211" t="s">
        <v>778</v>
      </c>
      <c r="C148" s="210" t="e" vm="15">
        <v>#VALUE!</v>
      </c>
      <c r="D148" s="210" t="s">
        <v>20</v>
      </c>
      <c r="E148" s="210" t="s">
        <v>71</v>
      </c>
      <c r="F148" s="210" t="s">
        <v>14</v>
      </c>
      <c r="G148" s="210">
        <v>11.7</v>
      </c>
      <c r="H148" s="210" t="s">
        <v>237</v>
      </c>
      <c r="I148" s="210">
        <v>20</v>
      </c>
      <c r="J148" s="212" t="s">
        <v>83</v>
      </c>
      <c r="K148" s="213"/>
      <c r="L148" s="212" t="s">
        <v>2241</v>
      </c>
      <c r="M148" s="212" t="s">
        <v>2236</v>
      </c>
      <c r="N148" s="213"/>
      <c r="O148" s="212" t="s">
        <v>109</v>
      </c>
      <c r="P148" s="212" t="s">
        <v>109</v>
      </c>
      <c r="Q148" s="213"/>
      <c r="R148" s="214">
        <v>45512</v>
      </c>
      <c r="S148" s="214">
        <v>45521</v>
      </c>
      <c r="T148" s="212" t="s">
        <v>1819</v>
      </c>
      <c r="U148" s="214"/>
      <c r="V148" s="215" t="s">
        <v>1853</v>
      </c>
      <c r="W148" s="212" t="s">
        <v>1853</v>
      </c>
      <c r="X148" s="210" t="s">
        <v>109</v>
      </c>
      <c r="Y148" s="210" t="s">
        <v>1853</v>
      </c>
      <c r="Z148" s="210" t="s">
        <v>1853</v>
      </c>
      <c r="AA148" s="215">
        <v>45770</v>
      </c>
      <c r="AB148" s="215">
        <v>45771</v>
      </c>
      <c r="AC148" s="215" t="s">
        <v>1853</v>
      </c>
      <c r="AD148" s="215">
        <v>45775</v>
      </c>
      <c r="AE148" s="214">
        <v>45772</v>
      </c>
      <c r="AF148" s="214">
        <v>45775</v>
      </c>
      <c r="AG148" s="214"/>
      <c r="AH148" s="214"/>
      <c r="AI148" s="216"/>
      <c r="AJ148" s="210" t="s">
        <v>109</v>
      </c>
      <c r="AK148" s="210" t="s">
        <v>109</v>
      </c>
      <c r="AL148" s="210" t="s">
        <v>109</v>
      </c>
      <c r="AM148" s="210" t="s">
        <v>109</v>
      </c>
      <c r="AP148" s="212">
        <v>9</v>
      </c>
      <c r="AQ148" s="218">
        <v>99</v>
      </c>
    </row>
    <row r="149" spans="1:43" ht="18.75" customHeight="1" x14ac:dyDescent="0.3">
      <c r="A149" s="4">
        <v>2409447</v>
      </c>
      <c r="B149" s="110" t="s">
        <v>783</v>
      </c>
      <c r="C149" s="4" t="e" vm="11">
        <v>#VALUE!</v>
      </c>
      <c r="D149" s="4" t="s">
        <v>19</v>
      </c>
      <c r="E149" s="4" t="s">
        <v>71</v>
      </c>
      <c r="F149" s="4" t="s">
        <v>14</v>
      </c>
      <c r="G149" s="4">
        <v>7.02</v>
      </c>
      <c r="H149" s="4" t="s">
        <v>237</v>
      </c>
      <c r="I149" s="4">
        <v>12</v>
      </c>
      <c r="J149" s="1" t="s">
        <v>286</v>
      </c>
      <c r="K149" s="127"/>
      <c r="L149" s="1" t="s">
        <v>1853</v>
      </c>
      <c r="M149" s="1" t="s">
        <v>2236</v>
      </c>
      <c r="N149" s="127"/>
      <c r="O149" s="1" t="s">
        <v>109</v>
      </c>
      <c r="P149" s="1" t="s">
        <v>109</v>
      </c>
      <c r="Q149" s="127"/>
      <c r="R149" s="56">
        <v>45546</v>
      </c>
      <c r="S149" s="56">
        <v>45606</v>
      </c>
      <c r="T149" s="1" t="s">
        <v>1819</v>
      </c>
      <c r="U149" s="56">
        <v>45950</v>
      </c>
      <c r="V149" s="39" t="s">
        <v>1853</v>
      </c>
      <c r="W149" s="1" t="s">
        <v>1853</v>
      </c>
      <c r="X149" s="4" t="s">
        <v>109</v>
      </c>
      <c r="Y149" s="4" t="s">
        <v>1853</v>
      </c>
      <c r="Z149" s="4" t="s">
        <v>1854</v>
      </c>
      <c r="AA149" s="39">
        <v>45631</v>
      </c>
      <c r="AB149" s="39" t="s">
        <v>1853</v>
      </c>
      <c r="AC149" s="39" t="s">
        <v>1853</v>
      </c>
      <c r="AD149" s="39" t="s">
        <v>1853</v>
      </c>
      <c r="AE149" s="56">
        <v>45650</v>
      </c>
      <c r="AF149" s="56">
        <v>45648</v>
      </c>
      <c r="AG149" s="56">
        <v>45648</v>
      </c>
      <c r="AH149" s="56">
        <v>45657</v>
      </c>
      <c r="AJ149" s="4" t="s">
        <v>109</v>
      </c>
      <c r="AK149" s="4" t="s">
        <v>109</v>
      </c>
      <c r="AL149" s="4" t="s">
        <v>109</v>
      </c>
      <c r="AM149" s="4" t="s">
        <v>109</v>
      </c>
      <c r="AP149" s="1">
        <v>60</v>
      </c>
      <c r="AQ149" s="38">
        <v>134</v>
      </c>
    </row>
    <row r="150" spans="1:43" ht="18.75" customHeight="1" x14ac:dyDescent="0.3">
      <c r="A150" s="4">
        <v>2409444</v>
      </c>
      <c r="B150" s="110" t="s">
        <v>788</v>
      </c>
      <c r="C150" s="4" t="e" vm="10">
        <v>#VALUE!</v>
      </c>
      <c r="D150" s="4" t="s">
        <v>19</v>
      </c>
      <c r="E150" s="4" t="s">
        <v>71</v>
      </c>
      <c r="F150" s="4" t="s">
        <v>14</v>
      </c>
      <c r="G150" s="4">
        <v>9.36</v>
      </c>
      <c r="H150" s="4" t="s">
        <v>237</v>
      </c>
      <c r="I150" s="4">
        <v>16</v>
      </c>
      <c r="J150" s="1" t="s">
        <v>364</v>
      </c>
      <c r="K150" s="127"/>
      <c r="L150" s="1" t="s">
        <v>1853</v>
      </c>
      <c r="M150" s="1" t="s">
        <v>2236</v>
      </c>
      <c r="N150" s="127"/>
      <c r="O150" s="1" t="s">
        <v>109</v>
      </c>
      <c r="P150" s="1" t="s">
        <v>109</v>
      </c>
      <c r="Q150" s="127"/>
      <c r="R150" s="56">
        <v>45546</v>
      </c>
      <c r="S150" s="56">
        <v>45606</v>
      </c>
      <c r="T150" s="1" t="s">
        <v>1819</v>
      </c>
      <c r="U150" s="56">
        <v>45961</v>
      </c>
      <c r="V150" s="39" t="s">
        <v>1853</v>
      </c>
      <c r="W150" s="1" t="s">
        <v>1853</v>
      </c>
      <c r="X150" s="4" t="s">
        <v>109</v>
      </c>
      <c r="Y150" s="4" t="s">
        <v>1853</v>
      </c>
      <c r="Z150" s="4" t="s">
        <v>1854</v>
      </c>
      <c r="AA150" s="39">
        <v>45679</v>
      </c>
      <c r="AB150" s="39" t="s">
        <v>1853</v>
      </c>
      <c r="AC150" s="39" t="s">
        <v>1853</v>
      </c>
      <c r="AD150" s="39" t="s">
        <v>1853</v>
      </c>
      <c r="AE150" s="56" t="s">
        <v>1853</v>
      </c>
      <c r="AF150" s="56">
        <v>45720</v>
      </c>
      <c r="AG150" s="56">
        <v>45720</v>
      </c>
      <c r="AH150" s="56">
        <v>49399</v>
      </c>
      <c r="AJ150" s="4" t="s">
        <v>109</v>
      </c>
      <c r="AK150" s="4" t="s">
        <v>109</v>
      </c>
      <c r="AL150" s="4" t="s">
        <v>109</v>
      </c>
      <c r="AM150" s="4" t="s">
        <v>109</v>
      </c>
      <c r="AP150" s="1">
        <v>60</v>
      </c>
      <c r="AQ150" s="38">
        <v>71</v>
      </c>
    </row>
    <row r="151" spans="1:43" ht="18.75" customHeight="1" x14ac:dyDescent="0.3">
      <c r="A151" s="4">
        <v>2407368</v>
      </c>
      <c r="B151" s="110" t="s">
        <v>793</v>
      </c>
      <c r="C151" s="4" t="e" vm="11">
        <v>#VALUE!</v>
      </c>
      <c r="D151" s="4" t="s">
        <v>19</v>
      </c>
      <c r="E151" s="4" t="s">
        <v>71</v>
      </c>
      <c r="F151" s="4" t="s">
        <v>14</v>
      </c>
      <c r="G151" s="4">
        <v>12.87</v>
      </c>
      <c r="H151" s="4" t="s">
        <v>237</v>
      </c>
      <c r="I151" s="4">
        <v>22</v>
      </c>
      <c r="J151" s="1" t="s">
        <v>111</v>
      </c>
      <c r="K151" s="127"/>
      <c r="L151" s="1" t="s">
        <v>1853</v>
      </c>
      <c r="M151" s="1" t="s">
        <v>2236</v>
      </c>
      <c r="N151" s="127"/>
      <c r="O151" s="1" t="s">
        <v>109</v>
      </c>
      <c r="P151" s="1" t="s">
        <v>109</v>
      </c>
      <c r="Q151" s="127"/>
      <c r="R151" s="56">
        <v>45546</v>
      </c>
      <c r="S151" s="56">
        <v>45606</v>
      </c>
      <c r="T151" s="1" t="s">
        <v>1819</v>
      </c>
      <c r="U151" s="56"/>
      <c r="V151" s="39" t="s">
        <v>1853</v>
      </c>
      <c r="W151" s="1" t="s">
        <v>1853</v>
      </c>
      <c r="X151" s="4" t="s">
        <v>109</v>
      </c>
      <c r="Y151" s="4" t="s">
        <v>1853</v>
      </c>
      <c r="Z151" s="4" t="s">
        <v>1854</v>
      </c>
      <c r="AA151" s="39">
        <v>45617</v>
      </c>
      <c r="AB151" s="39">
        <v>45638</v>
      </c>
      <c r="AC151" s="39" t="s">
        <v>1853</v>
      </c>
      <c r="AD151" s="39">
        <v>45651</v>
      </c>
      <c r="AE151" s="56" t="s">
        <v>1853</v>
      </c>
      <c r="AF151" s="56">
        <v>45651</v>
      </c>
      <c r="AG151" s="56">
        <v>45651</v>
      </c>
      <c r="AH151" s="56">
        <v>49309</v>
      </c>
      <c r="AJ151" s="4" t="s">
        <v>109</v>
      </c>
      <c r="AK151" s="4" t="s">
        <v>109</v>
      </c>
      <c r="AL151" s="4" t="s">
        <v>109</v>
      </c>
      <c r="AM151" s="4" t="s">
        <v>109</v>
      </c>
      <c r="AP151" s="1">
        <v>60</v>
      </c>
      <c r="AQ151" s="38">
        <v>38</v>
      </c>
    </row>
    <row r="152" spans="1:43" ht="18.75" customHeight="1" x14ac:dyDescent="0.3">
      <c r="A152" s="4">
        <v>2409446</v>
      </c>
      <c r="B152" s="110" t="s">
        <v>798</v>
      </c>
      <c r="C152" s="4" t="e" vm="5">
        <v>#VALUE!</v>
      </c>
      <c r="D152" s="4" t="s">
        <v>17</v>
      </c>
      <c r="E152" s="4" t="s">
        <v>71</v>
      </c>
      <c r="F152" s="4" t="s">
        <v>14</v>
      </c>
      <c r="G152" s="4">
        <v>9.36</v>
      </c>
      <c r="H152" s="4" t="s">
        <v>237</v>
      </c>
      <c r="I152" s="4">
        <v>16</v>
      </c>
      <c r="J152" s="1" t="s">
        <v>364</v>
      </c>
      <c r="K152" s="127"/>
      <c r="L152" s="1" t="s">
        <v>1853</v>
      </c>
      <c r="M152" s="1" t="s">
        <v>2236</v>
      </c>
      <c r="N152" s="127"/>
      <c r="O152" s="1" t="s">
        <v>109</v>
      </c>
      <c r="P152" s="1" t="s">
        <v>109</v>
      </c>
      <c r="Q152" s="127"/>
      <c r="R152" s="56">
        <v>45546</v>
      </c>
      <c r="S152" s="56">
        <v>45606</v>
      </c>
      <c r="T152" s="1" t="s">
        <v>1819</v>
      </c>
      <c r="U152" s="56"/>
      <c r="V152" s="39" t="s">
        <v>1853</v>
      </c>
      <c r="W152" s="1" t="s">
        <v>1853</v>
      </c>
      <c r="X152" s="4" t="s">
        <v>109</v>
      </c>
      <c r="Y152" s="4" t="s">
        <v>1853</v>
      </c>
      <c r="Z152" s="4" t="s">
        <v>1855</v>
      </c>
      <c r="AA152" s="39">
        <v>45583</v>
      </c>
      <c r="AB152" s="39">
        <v>45622</v>
      </c>
      <c r="AC152" s="39" t="s">
        <v>1853</v>
      </c>
      <c r="AD152" s="56">
        <v>45624</v>
      </c>
      <c r="AE152" s="56">
        <v>45622</v>
      </c>
      <c r="AF152" s="56">
        <v>45624</v>
      </c>
      <c r="AG152" s="56">
        <v>45624</v>
      </c>
      <c r="AH152" s="56">
        <v>49278</v>
      </c>
      <c r="AJ152" s="4" t="s">
        <v>109</v>
      </c>
      <c r="AK152" s="4" t="s">
        <v>109</v>
      </c>
      <c r="AL152" s="4" t="s">
        <v>109</v>
      </c>
      <c r="AM152" s="4" t="s">
        <v>109</v>
      </c>
      <c r="AP152" s="1">
        <v>60</v>
      </c>
      <c r="AQ152" s="38">
        <v>-45544</v>
      </c>
    </row>
    <row r="153" spans="1:43" s="172" customFormat="1" ht="18.75" customHeight="1" x14ac:dyDescent="0.3">
      <c r="A153" s="165">
        <v>2404249</v>
      </c>
      <c r="B153" s="166" t="s">
        <v>803</v>
      </c>
      <c r="C153" s="165" t="e" vm="10">
        <v>#VALUE!</v>
      </c>
      <c r="D153" s="165" t="s">
        <v>17</v>
      </c>
      <c r="E153" s="165" t="s">
        <v>71</v>
      </c>
      <c r="F153" s="165" t="s">
        <v>14</v>
      </c>
      <c r="G153" s="165">
        <v>17.55</v>
      </c>
      <c r="H153" s="165" t="s">
        <v>237</v>
      </c>
      <c r="I153" s="165">
        <v>30</v>
      </c>
      <c r="J153" s="167" t="s">
        <v>143</v>
      </c>
      <c r="K153" s="168"/>
      <c r="L153" s="167" t="s">
        <v>2246</v>
      </c>
      <c r="M153" s="167" t="s">
        <v>2240</v>
      </c>
      <c r="N153" s="168"/>
      <c r="O153" s="167" t="s">
        <v>109</v>
      </c>
      <c r="P153" s="167" t="s">
        <v>109</v>
      </c>
      <c r="Q153" s="168"/>
      <c r="R153" s="169">
        <v>45546</v>
      </c>
      <c r="S153" s="169">
        <v>45594</v>
      </c>
      <c r="T153" s="167" t="s">
        <v>1819</v>
      </c>
      <c r="U153" s="169">
        <v>45957</v>
      </c>
      <c r="V153" s="170" t="s">
        <v>1853</v>
      </c>
      <c r="W153" s="167" t="s">
        <v>1853</v>
      </c>
      <c r="X153" s="165" t="s">
        <v>109</v>
      </c>
      <c r="Y153" s="165" t="s">
        <v>1853</v>
      </c>
      <c r="Z153" s="165"/>
      <c r="AA153" s="170"/>
      <c r="AB153" s="170">
        <v>45771</v>
      </c>
      <c r="AC153" s="170"/>
      <c r="AD153" s="170"/>
      <c r="AE153" s="169"/>
      <c r="AF153" s="169"/>
      <c r="AG153" s="169"/>
      <c r="AH153" s="169"/>
      <c r="AI153" s="171"/>
      <c r="AJ153" s="165" t="s">
        <v>109</v>
      </c>
      <c r="AK153" s="165" t="s">
        <v>109</v>
      </c>
      <c r="AL153" s="165" t="s">
        <v>109</v>
      </c>
      <c r="AM153" s="165" t="s">
        <v>109</v>
      </c>
      <c r="AP153" s="167">
        <v>48</v>
      </c>
      <c r="AQ153" s="173">
        <v>97</v>
      </c>
    </row>
    <row r="154" spans="1:43" ht="18.75" customHeight="1" x14ac:dyDescent="0.3">
      <c r="A154" s="4" t="s">
        <v>808</v>
      </c>
      <c r="B154" s="110" t="s">
        <v>809</v>
      </c>
      <c r="C154" s="4" t="e" vm="4">
        <v>#VALUE!</v>
      </c>
      <c r="D154" s="4" t="s">
        <v>17</v>
      </c>
      <c r="E154" s="4" t="s">
        <v>71</v>
      </c>
      <c r="F154" s="4" t="s">
        <v>14</v>
      </c>
      <c r="G154" s="4">
        <v>17.55</v>
      </c>
      <c r="H154" s="4" t="s">
        <v>237</v>
      </c>
      <c r="I154" s="4">
        <v>30</v>
      </c>
      <c r="J154" s="1" t="s">
        <v>143</v>
      </c>
      <c r="K154" s="127"/>
      <c r="L154" s="1" t="s">
        <v>1853</v>
      </c>
      <c r="M154" s="1" t="s">
        <v>2236</v>
      </c>
      <c r="N154" s="127"/>
      <c r="O154" s="1" t="s">
        <v>109</v>
      </c>
      <c r="P154" s="1" t="s">
        <v>109</v>
      </c>
      <c r="Q154" s="127"/>
      <c r="R154" s="56">
        <v>45546</v>
      </c>
      <c r="S154" s="56">
        <v>45600</v>
      </c>
      <c r="T154" s="1" t="s">
        <v>1819</v>
      </c>
      <c r="U154" s="56">
        <v>45961</v>
      </c>
      <c r="V154" s="39" t="s">
        <v>1853</v>
      </c>
      <c r="W154" s="1" t="s">
        <v>1853</v>
      </c>
      <c r="X154" s="4" t="s">
        <v>109</v>
      </c>
      <c r="Y154" s="4" t="s">
        <v>1853</v>
      </c>
      <c r="Z154" s="4" t="s">
        <v>1855</v>
      </c>
      <c r="AA154" s="39">
        <v>45643</v>
      </c>
      <c r="AB154" s="39" t="s">
        <v>1853</v>
      </c>
      <c r="AC154" s="39" t="s">
        <v>1853</v>
      </c>
      <c r="AD154" s="56" t="s">
        <v>1853</v>
      </c>
      <c r="AE154" s="56" t="s">
        <v>1853</v>
      </c>
      <c r="AF154" s="56">
        <v>45659</v>
      </c>
      <c r="AG154" s="56">
        <v>45659</v>
      </c>
      <c r="AH154" s="56">
        <v>49340</v>
      </c>
      <c r="AJ154" s="4" t="s">
        <v>109</v>
      </c>
      <c r="AK154" s="4" t="s">
        <v>109</v>
      </c>
      <c r="AL154" s="4" t="s">
        <v>109</v>
      </c>
      <c r="AM154" s="4" t="s">
        <v>109</v>
      </c>
      <c r="AP154" s="1">
        <v>54</v>
      </c>
      <c r="AQ154" s="38">
        <v>97</v>
      </c>
    </row>
    <row r="155" spans="1:43" ht="18.75" customHeight="1" x14ac:dyDescent="0.3">
      <c r="A155" s="4" t="s">
        <v>814</v>
      </c>
      <c r="B155" s="110" t="s">
        <v>809</v>
      </c>
      <c r="C155" s="4" t="e" vm="4">
        <v>#VALUE!</v>
      </c>
      <c r="D155" s="4" t="s">
        <v>17</v>
      </c>
      <c r="E155" s="4" t="s">
        <v>71</v>
      </c>
      <c r="F155" s="4" t="s">
        <v>14</v>
      </c>
      <c r="G155" s="4">
        <v>17.55</v>
      </c>
      <c r="H155" s="4" t="s">
        <v>237</v>
      </c>
      <c r="I155" s="4">
        <v>30</v>
      </c>
      <c r="J155" s="1" t="s">
        <v>143</v>
      </c>
      <c r="K155" s="127"/>
      <c r="L155" s="1" t="s">
        <v>1853</v>
      </c>
      <c r="M155" s="1" t="s">
        <v>2236</v>
      </c>
      <c r="N155" s="127"/>
      <c r="O155" s="1" t="s">
        <v>109</v>
      </c>
      <c r="P155" s="1" t="s">
        <v>109</v>
      </c>
      <c r="Q155" s="127"/>
      <c r="R155" s="56">
        <v>45546</v>
      </c>
      <c r="S155" s="56">
        <v>45596</v>
      </c>
      <c r="T155" s="1" t="s">
        <v>1819</v>
      </c>
      <c r="U155" s="56">
        <v>45959</v>
      </c>
      <c r="V155" s="39" t="s">
        <v>1853</v>
      </c>
      <c r="W155" s="1" t="s">
        <v>1853</v>
      </c>
      <c r="X155" s="4" t="s">
        <v>109</v>
      </c>
      <c r="Y155" s="4" t="s">
        <v>1853</v>
      </c>
      <c r="Z155" s="4" t="s">
        <v>1855</v>
      </c>
      <c r="AA155" s="39">
        <v>45643</v>
      </c>
      <c r="AB155" s="39" t="s">
        <v>1853</v>
      </c>
      <c r="AC155" s="39" t="s">
        <v>1853</v>
      </c>
      <c r="AD155" s="56" t="s">
        <v>1853</v>
      </c>
      <c r="AE155" s="56" t="s">
        <v>1853</v>
      </c>
      <c r="AF155" s="56">
        <v>45659</v>
      </c>
      <c r="AG155" s="56">
        <v>45659</v>
      </c>
      <c r="AH155" s="56">
        <v>49340</v>
      </c>
      <c r="AJ155" s="4" t="s">
        <v>109</v>
      </c>
      <c r="AK155" s="4" t="s">
        <v>109</v>
      </c>
      <c r="AL155" s="4" t="s">
        <v>109</v>
      </c>
      <c r="AM155" s="4" t="s">
        <v>109</v>
      </c>
      <c r="AP155" s="1">
        <v>50</v>
      </c>
      <c r="AQ155" s="38">
        <v>169</v>
      </c>
    </row>
    <row r="156" spans="1:43" s="217" customFormat="1" ht="18.75" customHeight="1" x14ac:dyDescent="0.3">
      <c r="A156" s="210">
        <v>2405284</v>
      </c>
      <c r="B156" s="211" t="s">
        <v>816</v>
      </c>
      <c r="C156" s="210" t="e" vm="5">
        <v>#VALUE!</v>
      </c>
      <c r="D156" s="210" t="s">
        <v>17</v>
      </c>
      <c r="E156" s="210" t="s">
        <v>71</v>
      </c>
      <c r="F156" s="210" t="s">
        <v>14</v>
      </c>
      <c r="G156" s="210">
        <v>7.02</v>
      </c>
      <c r="H156" s="210" t="s">
        <v>237</v>
      </c>
      <c r="I156" s="210">
        <v>12</v>
      </c>
      <c r="J156" s="212" t="s">
        <v>286</v>
      </c>
      <c r="K156" s="213"/>
      <c r="L156" s="212" t="s">
        <v>2241</v>
      </c>
      <c r="M156" s="212" t="s">
        <v>2236</v>
      </c>
      <c r="N156" s="213"/>
      <c r="O156" s="212" t="s">
        <v>109</v>
      </c>
      <c r="P156" s="212" t="s">
        <v>109</v>
      </c>
      <c r="Q156" s="213"/>
      <c r="R156" s="214">
        <v>45546</v>
      </c>
      <c r="S156" s="214">
        <v>45600</v>
      </c>
      <c r="T156" s="212" t="s">
        <v>1819</v>
      </c>
      <c r="U156" s="214">
        <v>45961</v>
      </c>
      <c r="V156" s="215" t="s">
        <v>1853</v>
      </c>
      <c r="W156" s="212" t="s">
        <v>1853</v>
      </c>
      <c r="X156" s="210" t="s">
        <v>109</v>
      </c>
      <c r="Y156" s="210" t="s">
        <v>1853</v>
      </c>
      <c r="Z156" s="210" t="s">
        <v>1855</v>
      </c>
      <c r="AA156" s="215">
        <v>45715</v>
      </c>
      <c r="AB156" s="215" t="s">
        <v>1853</v>
      </c>
      <c r="AC156" s="215" t="s">
        <v>1853</v>
      </c>
      <c r="AD156" s="214" t="s">
        <v>1853</v>
      </c>
      <c r="AE156" s="214">
        <v>45719</v>
      </c>
      <c r="AF156" s="214" t="s">
        <v>1853</v>
      </c>
      <c r="AG156" s="214"/>
      <c r="AH156" s="214"/>
      <c r="AI156" s="216"/>
      <c r="AJ156" s="210" t="s">
        <v>109</v>
      </c>
      <c r="AK156" s="210" t="s">
        <v>109</v>
      </c>
      <c r="AL156" s="210" t="s">
        <v>109</v>
      </c>
      <c r="AM156" s="210" t="s">
        <v>109</v>
      </c>
      <c r="AP156" s="212">
        <v>54</v>
      </c>
      <c r="AQ156" s="218">
        <v>184</v>
      </c>
    </row>
    <row r="157" spans="1:43" s="217" customFormat="1" ht="18.75" customHeight="1" x14ac:dyDescent="0.3">
      <c r="A157" s="210">
        <v>2409448</v>
      </c>
      <c r="B157" s="211" t="s">
        <v>821</v>
      </c>
      <c r="C157" s="210" t="e" vm="5">
        <v>#VALUE!</v>
      </c>
      <c r="D157" s="210" t="s">
        <v>20</v>
      </c>
      <c r="E157" s="210" t="s">
        <v>71</v>
      </c>
      <c r="F157" s="210" t="s">
        <v>14</v>
      </c>
      <c r="G157" s="210">
        <v>8.26</v>
      </c>
      <c r="H157" s="210" t="s">
        <v>243</v>
      </c>
      <c r="I157" s="210">
        <v>14</v>
      </c>
      <c r="J157" s="212" t="s">
        <v>822</v>
      </c>
      <c r="K157" s="213"/>
      <c r="L157" s="212" t="s">
        <v>2241</v>
      </c>
      <c r="M157" s="212" t="s">
        <v>2236</v>
      </c>
      <c r="N157" s="213"/>
      <c r="O157" s="212" t="s">
        <v>109</v>
      </c>
      <c r="P157" s="212" t="s">
        <v>109</v>
      </c>
      <c r="Q157" s="213"/>
      <c r="R157" s="214">
        <v>45546</v>
      </c>
      <c r="S157" s="214">
        <v>45594</v>
      </c>
      <c r="T157" s="212" t="s">
        <v>1819</v>
      </c>
      <c r="U157" s="214">
        <v>45957</v>
      </c>
      <c r="V157" s="215" t="s">
        <v>1853</v>
      </c>
      <c r="W157" s="212" t="s">
        <v>1853</v>
      </c>
      <c r="X157" s="210" t="s">
        <v>109</v>
      </c>
      <c r="Y157" s="210" t="s">
        <v>1853</v>
      </c>
      <c r="Z157" s="210" t="s">
        <v>1855</v>
      </c>
      <c r="AA157" s="215">
        <v>45730</v>
      </c>
      <c r="AB157" s="215">
        <v>45735</v>
      </c>
      <c r="AC157" s="215" t="s">
        <v>1853</v>
      </c>
      <c r="AD157" s="215">
        <v>45736</v>
      </c>
      <c r="AE157" s="214">
        <v>45735</v>
      </c>
      <c r="AF157" s="214" t="s">
        <v>1853</v>
      </c>
      <c r="AG157" s="214"/>
      <c r="AH157" s="214"/>
      <c r="AI157" s="216"/>
      <c r="AJ157" s="210" t="s">
        <v>109</v>
      </c>
      <c r="AK157" s="210" t="s">
        <v>109</v>
      </c>
      <c r="AL157" s="210" t="s">
        <v>109</v>
      </c>
      <c r="AM157" s="210" t="s">
        <v>109</v>
      </c>
      <c r="AP157" s="212">
        <v>48</v>
      </c>
      <c r="AQ157" s="218">
        <v>170</v>
      </c>
    </row>
    <row r="158" spans="1:43" ht="18.75" customHeight="1" x14ac:dyDescent="0.3">
      <c r="A158" s="4">
        <v>2408400</v>
      </c>
      <c r="B158" s="110" t="s">
        <v>827</v>
      </c>
      <c r="C158" s="4" t="e" vm="11">
        <v>#VALUE!</v>
      </c>
      <c r="D158" s="4" t="s">
        <v>19</v>
      </c>
      <c r="E158" s="4" t="s">
        <v>71</v>
      </c>
      <c r="F158" s="4" t="s">
        <v>14</v>
      </c>
      <c r="G158" s="4">
        <v>17.55</v>
      </c>
      <c r="H158" s="4" t="s">
        <v>237</v>
      </c>
      <c r="I158" s="4">
        <v>30</v>
      </c>
      <c r="J158" s="1" t="s">
        <v>143</v>
      </c>
      <c r="K158" s="127"/>
      <c r="L158" s="1" t="s">
        <v>1853</v>
      </c>
      <c r="M158" s="1" t="s">
        <v>2236</v>
      </c>
      <c r="N158" s="127"/>
      <c r="O158" s="1" t="s">
        <v>109</v>
      </c>
      <c r="P158" s="1" t="s">
        <v>109</v>
      </c>
      <c r="Q158" s="127"/>
      <c r="R158" s="56">
        <v>45546</v>
      </c>
      <c r="S158" s="56">
        <v>45600</v>
      </c>
      <c r="T158" s="1" t="s">
        <v>1819</v>
      </c>
      <c r="U158" s="56">
        <v>45961</v>
      </c>
      <c r="V158" s="39" t="s">
        <v>1853</v>
      </c>
      <c r="W158" s="1" t="s">
        <v>1853</v>
      </c>
      <c r="X158" s="4" t="s">
        <v>109</v>
      </c>
      <c r="Y158" s="4" t="s">
        <v>1853</v>
      </c>
      <c r="Z158" s="4" t="s">
        <v>1854</v>
      </c>
      <c r="AA158" s="39">
        <v>45715</v>
      </c>
      <c r="AB158" s="39" t="s">
        <v>1853</v>
      </c>
      <c r="AC158" s="39" t="s">
        <v>1853</v>
      </c>
      <c r="AD158" s="39" t="s">
        <v>1853</v>
      </c>
      <c r="AE158" s="56">
        <v>45743</v>
      </c>
      <c r="AF158" s="56">
        <v>45770</v>
      </c>
      <c r="AG158" s="56">
        <v>45770</v>
      </c>
      <c r="AH158" s="56">
        <v>49429</v>
      </c>
      <c r="AJ158" s="4" t="s">
        <v>109</v>
      </c>
      <c r="AK158" s="4" t="s">
        <v>109</v>
      </c>
      <c r="AL158" s="4" t="s">
        <v>109</v>
      </c>
      <c r="AM158" s="4" t="s">
        <v>109</v>
      </c>
      <c r="AP158" s="1">
        <v>54</v>
      </c>
      <c r="AQ158" s="38">
        <v>107</v>
      </c>
    </row>
    <row r="159" spans="1:43" ht="18.75" customHeight="1" x14ac:dyDescent="0.3">
      <c r="A159" s="4" t="s">
        <v>832</v>
      </c>
      <c r="B159" s="110" t="s">
        <v>833</v>
      </c>
      <c r="C159" s="4" t="e" vm="11">
        <v>#VALUE!</v>
      </c>
      <c r="D159" s="4" t="s">
        <v>19</v>
      </c>
      <c r="E159" s="4" t="s">
        <v>71</v>
      </c>
      <c r="F159" s="4" t="s">
        <v>14</v>
      </c>
      <c r="G159" s="4">
        <v>9.36</v>
      </c>
      <c r="H159" s="4" t="s">
        <v>237</v>
      </c>
      <c r="I159" s="4">
        <v>16</v>
      </c>
      <c r="J159" s="1" t="s">
        <v>364</v>
      </c>
      <c r="K159" s="127"/>
      <c r="L159" s="1" t="s">
        <v>1853</v>
      </c>
      <c r="M159" s="1" t="s">
        <v>2236</v>
      </c>
      <c r="N159" s="127"/>
      <c r="O159" s="1" t="s">
        <v>109</v>
      </c>
      <c r="P159" s="1" t="s">
        <v>109</v>
      </c>
      <c r="Q159" s="127"/>
      <c r="R159" s="56">
        <v>45546</v>
      </c>
      <c r="S159" s="56">
        <v>45600</v>
      </c>
      <c r="T159" s="1" t="s">
        <v>1819</v>
      </c>
      <c r="U159" s="56">
        <v>45961</v>
      </c>
      <c r="V159" s="39" t="s">
        <v>1853</v>
      </c>
      <c r="W159" s="1" t="s">
        <v>1853</v>
      </c>
      <c r="X159" s="4" t="s">
        <v>109</v>
      </c>
      <c r="Y159" s="4" t="s">
        <v>1853</v>
      </c>
      <c r="Z159" s="4" t="s">
        <v>1854</v>
      </c>
      <c r="AA159" s="39">
        <v>45653</v>
      </c>
      <c r="AB159" s="39" t="s">
        <v>1853</v>
      </c>
      <c r="AC159" s="39" t="s">
        <v>1853</v>
      </c>
      <c r="AD159" s="39" t="s">
        <v>1853</v>
      </c>
      <c r="AE159" s="56" t="s">
        <v>1853</v>
      </c>
      <c r="AF159" s="56">
        <v>45716</v>
      </c>
      <c r="AG159" s="56">
        <v>45716</v>
      </c>
      <c r="AH159" s="56">
        <v>49368</v>
      </c>
      <c r="AJ159" s="4" t="s">
        <v>109</v>
      </c>
      <c r="AK159" s="4" t="s">
        <v>109</v>
      </c>
      <c r="AL159" s="4" t="s">
        <v>109</v>
      </c>
      <c r="AM159" s="4" t="s">
        <v>109</v>
      </c>
      <c r="AP159" s="1">
        <v>54</v>
      </c>
      <c r="AQ159" s="38">
        <v>63</v>
      </c>
    </row>
    <row r="160" spans="1:43" ht="18.75" customHeight="1" x14ac:dyDescent="0.3">
      <c r="A160" s="4">
        <v>2409452</v>
      </c>
      <c r="B160" s="110" t="s">
        <v>839</v>
      </c>
      <c r="C160" s="4" t="e" vm="11">
        <v>#VALUE!</v>
      </c>
      <c r="D160" s="4" t="s">
        <v>19</v>
      </c>
      <c r="E160" s="4" t="s">
        <v>71</v>
      </c>
      <c r="F160" s="4" t="s">
        <v>14</v>
      </c>
      <c r="G160" s="4">
        <v>10.53</v>
      </c>
      <c r="H160" s="4" t="s">
        <v>237</v>
      </c>
      <c r="I160" s="4">
        <v>18</v>
      </c>
      <c r="J160" s="1" t="s">
        <v>364</v>
      </c>
      <c r="K160" s="127"/>
      <c r="L160" s="1" t="s">
        <v>1853</v>
      </c>
      <c r="M160" s="1" t="s">
        <v>2236</v>
      </c>
      <c r="N160" s="127"/>
      <c r="O160" s="1" t="s">
        <v>109</v>
      </c>
      <c r="P160" s="1" t="s">
        <v>109</v>
      </c>
      <c r="Q160" s="127"/>
      <c r="R160" s="56">
        <v>45559</v>
      </c>
      <c r="S160" s="56">
        <v>45603</v>
      </c>
      <c r="T160" s="1" t="s">
        <v>1822</v>
      </c>
      <c r="U160" s="56">
        <v>45891</v>
      </c>
      <c r="V160" s="39" t="s">
        <v>1853</v>
      </c>
      <c r="W160" s="1" t="s">
        <v>1853</v>
      </c>
      <c r="X160" s="4" t="s">
        <v>109</v>
      </c>
      <c r="Y160" s="4" t="s">
        <v>1853</v>
      </c>
      <c r="Z160" s="4" t="s">
        <v>1854</v>
      </c>
      <c r="AA160" s="39">
        <v>45609</v>
      </c>
      <c r="AB160" s="39" t="s">
        <v>1853</v>
      </c>
      <c r="AC160" s="39" t="s">
        <v>1853</v>
      </c>
      <c r="AD160" s="39" t="s">
        <v>1853</v>
      </c>
      <c r="AE160" s="56" t="s">
        <v>1853</v>
      </c>
      <c r="AF160" s="56">
        <v>45630</v>
      </c>
      <c r="AG160" s="56">
        <v>45630</v>
      </c>
      <c r="AH160" s="56">
        <v>49309</v>
      </c>
      <c r="AJ160" s="4" t="s">
        <v>109</v>
      </c>
      <c r="AK160" s="4" t="s">
        <v>109</v>
      </c>
      <c r="AL160" s="4" t="s">
        <v>109</v>
      </c>
      <c r="AM160" s="4" t="s">
        <v>109</v>
      </c>
      <c r="AP160" s="1">
        <v>44</v>
      </c>
      <c r="AQ160" s="38">
        <v>51</v>
      </c>
    </row>
    <row r="161" spans="1:43" ht="18.75" customHeight="1" x14ac:dyDescent="0.3">
      <c r="A161" s="4">
        <v>2409449</v>
      </c>
      <c r="B161" s="110" t="s">
        <v>844</v>
      </c>
      <c r="C161" s="4" t="e" vm="12">
        <v>#VALUE!</v>
      </c>
      <c r="D161" s="4" t="s">
        <v>17</v>
      </c>
      <c r="E161" s="4" t="s">
        <v>71</v>
      </c>
      <c r="F161" s="4" t="s">
        <v>14</v>
      </c>
      <c r="G161" s="4">
        <v>7.02</v>
      </c>
      <c r="H161" s="4" t="s">
        <v>237</v>
      </c>
      <c r="I161" s="4">
        <v>12</v>
      </c>
      <c r="J161" s="1" t="s">
        <v>286</v>
      </c>
      <c r="K161" s="127"/>
      <c r="L161" s="1" t="s">
        <v>1853</v>
      </c>
      <c r="M161" s="1" t="s">
        <v>2236</v>
      </c>
      <c r="N161" s="127"/>
      <c r="O161" s="1" t="s">
        <v>109</v>
      </c>
      <c r="P161" s="1" t="s">
        <v>109</v>
      </c>
      <c r="Q161" s="127"/>
      <c r="R161" s="56">
        <v>45567</v>
      </c>
      <c r="S161" s="56">
        <v>45604</v>
      </c>
      <c r="T161" s="1" t="s">
        <v>1822</v>
      </c>
      <c r="U161" s="56">
        <v>45792</v>
      </c>
      <c r="V161" s="39" t="s">
        <v>1853</v>
      </c>
      <c r="W161" s="1" t="s">
        <v>1853</v>
      </c>
      <c r="X161" s="4" t="s">
        <v>109</v>
      </c>
      <c r="Y161" s="4" t="s">
        <v>1853</v>
      </c>
      <c r="Z161" s="93" t="s">
        <v>1855</v>
      </c>
      <c r="AA161" s="39">
        <v>45607</v>
      </c>
      <c r="AB161" s="39" t="s">
        <v>1853</v>
      </c>
      <c r="AC161" s="39" t="s">
        <v>1853</v>
      </c>
      <c r="AD161" s="39" t="s">
        <v>1853</v>
      </c>
      <c r="AE161" s="56">
        <v>45628</v>
      </c>
      <c r="AF161" s="56">
        <v>45630</v>
      </c>
      <c r="AG161" s="56">
        <v>45630</v>
      </c>
      <c r="AH161" s="56">
        <v>49309</v>
      </c>
      <c r="AJ161" s="4" t="s">
        <v>109</v>
      </c>
      <c r="AK161" s="4" t="s">
        <v>109</v>
      </c>
      <c r="AL161" s="4" t="s">
        <v>109</v>
      </c>
      <c r="AM161" s="4" t="s">
        <v>109</v>
      </c>
      <c r="AP161" s="1">
        <v>37</v>
      </c>
      <c r="AQ161" s="38">
        <v>33</v>
      </c>
    </row>
    <row r="162" spans="1:43" ht="18.75" customHeight="1" x14ac:dyDescent="0.3">
      <c r="A162" s="4" t="s">
        <v>849</v>
      </c>
      <c r="B162" s="110" t="s">
        <v>850</v>
      </c>
      <c r="C162" s="4" t="e" vm="5">
        <v>#VALUE!</v>
      </c>
      <c r="D162" s="4" t="s">
        <v>17</v>
      </c>
      <c r="E162" s="4" t="s">
        <v>71</v>
      </c>
      <c r="F162" s="4" t="s">
        <v>14</v>
      </c>
      <c r="G162" s="4">
        <v>11.7</v>
      </c>
      <c r="H162" s="4" t="s">
        <v>237</v>
      </c>
      <c r="I162" s="4">
        <v>20</v>
      </c>
      <c r="J162" s="1" t="s">
        <v>111</v>
      </c>
      <c r="K162" s="127"/>
      <c r="L162" s="1" t="s">
        <v>1853</v>
      </c>
      <c r="M162" s="1" t="s">
        <v>2236</v>
      </c>
      <c r="N162" s="127"/>
      <c r="O162" s="1" t="s">
        <v>109</v>
      </c>
      <c r="P162" s="1" t="s">
        <v>109</v>
      </c>
      <c r="Q162" s="127"/>
      <c r="R162" s="56">
        <v>45568</v>
      </c>
      <c r="S162" s="56">
        <v>45604</v>
      </c>
      <c r="T162" s="1" t="s">
        <v>1822</v>
      </c>
      <c r="U162" s="56">
        <v>45891</v>
      </c>
      <c r="V162" s="39" t="s">
        <v>1853</v>
      </c>
      <c r="W162" s="1" t="s">
        <v>1853</v>
      </c>
      <c r="X162" s="4" t="s">
        <v>109</v>
      </c>
      <c r="Y162" s="4" t="s">
        <v>1853</v>
      </c>
      <c r="Z162" s="4" t="s">
        <v>1855</v>
      </c>
      <c r="AA162" s="39">
        <v>45594</v>
      </c>
      <c r="AB162" s="39" t="s">
        <v>1853</v>
      </c>
      <c r="AC162" s="39" t="s">
        <v>1853</v>
      </c>
      <c r="AD162" s="39" t="s">
        <v>1853</v>
      </c>
      <c r="AE162" s="56">
        <v>45657</v>
      </c>
      <c r="AF162" s="56">
        <v>45663</v>
      </c>
      <c r="AG162" s="56">
        <v>45663</v>
      </c>
      <c r="AH162" s="56">
        <v>49340</v>
      </c>
      <c r="AJ162" s="4" t="s">
        <v>109</v>
      </c>
      <c r="AK162" s="4" t="s">
        <v>109</v>
      </c>
      <c r="AL162" s="4" t="s">
        <v>109</v>
      </c>
      <c r="AM162" s="4" t="s">
        <v>109</v>
      </c>
      <c r="AP162" s="1">
        <v>36</v>
      </c>
      <c r="AQ162" s="38">
        <v>28</v>
      </c>
    </row>
    <row r="163" spans="1:43" ht="18.75" customHeight="1" x14ac:dyDescent="0.3">
      <c r="A163" s="4">
        <v>2406343</v>
      </c>
      <c r="B163" s="110" t="s">
        <v>855</v>
      </c>
      <c r="C163" s="4" t="e" vm="6">
        <v>#VALUE!</v>
      </c>
      <c r="D163" s="4" t="s">
        <v>17</v>
      </c>
      <c r="E163" s="4" t="s">
        <v>71</v>
      </c>
      <c r="F163" s="4" t="s">
        <v>14</v>
      </c>
      <c r="G163" s="4">
        <v>9.36</v>
      </c>
      <c r="H163" s="4" t="s">
        <v>237</v>
      </c>
      <c r="I163" s="4">
        <v>16</v>
      </c>
      <c r="J163" s="1" t="s">
        <v>364</v>
      </c>
      <c r="K163" s="127"/>
      <c r="L163" s="1" t="s">
        <v>1853</v>
      </c>
      <c r="M163" s="1" t="s">
        <v>2236</v>
      </c>
      <c r="N163" s="127"/>
      <c r="O163" s="1" t="s">
        <v>109</v>
      </c>
      <c r="P163" s="1" t="s">
        <v>109</v>
      </c>
      <c r="Q163" s="127"/>
      <c r="R163" s="56">
        <v>45567</v>
      </c>
      <c r="S163" s="56">
        <v>45604</v>
      </c>
      <c r="T163" s="1" t="s">
        <v>1822</v>
      </c>
      <c r="U163" s="56">
        <v>45792</v>
      </c>
      <c r="V163" s="39" t="s">
        <v>1853</v>
      </c>
      <c r="W163" s="1" t="s">
        <v>1853</v>
      </c>
      <c r="X163" s="4" t="s">
        <v>109</v>
      </c>
      <c r="Y163" s="4" t="s">
        <v>1853</v>
      </c>
      <c r="Z163" s="4" t="s">
        <v>1855</v>
      </c>
      <c r="AA163" s="39">
        <v>45584</v>
      </c>
      <c r="AB163" s="39" t="s">
        <v>1853</v>
      </c>
      <c r="AC163" s="39" t="s">
        <v>1853</v>
      </c>
      <c r="AD163" s="39" t="s">
        <v>1853</v>
      </c>
      <c r="AE163" s="56">
        <v>45625</v>
      </c>
      <c r="AF163" s="56">
        <v>45627</v>
      </c>
      <c r="AG163" s="56">
        <v>45627</v>
      </c>
      <c r="AH163" s="56">
        <v>49309</v>
      </c>
      <c r="AJ163" s="4" t="s">
        <v>109</v>
      </c>
      <c r="AK163" s="4" t="s">
        <v>109</v>
      </c>
      <c r="AL163" s="4" t="s">
        <v>109</v>
      </c>
      <c r="AM163" s="4" t="s">
        <v>109</v>
      </c>
      <c r="AP163" s="1">
        <v>37</v>
      </c>
      <c r="AQ163" s="38">
        <v>45</v>
      </c>
    </row>
    <row r="164" spans="1:43" ht="18.75" customHeight="1" x14ac:dyDescent="0.3">
      <c r="A164" s="4">
        <v>2409455</v>
      </c>
      <c r="B164" s="110" t="s">
        <v>860</v>
      </c>
      <c r="C164" s="4" t="e" vm="11">
        <v>#VALUE!</v>
      </c>
      <c r="D164" s="4" t="s">
        <v>17</v>
      </c>
      <c r="E164" s="4" t="s">
        <v>71</v>
      </c>
      <c r="F164" s="4" t="s">
        <v>14</v>
      </c>
      <c r="G164" s="4">
        <v>7.02</v>
      </c>
      <c r="H164" s="4" t="s">
        <v>237</v>
      </c>
      <c r="I164" s="4">
        <v>12</v>
      </c>
      <c r="J164" s="1" t="s">
        <v>286</v>
      </c>
      <c r="K164" s="127"/>
      <c r="L164" s="1" t="s">
        <v>1853</v>
      </c>
      <c r="M164" s="1" t="s">
        <v>2236</v>
      </c>
      <c r="N164" s="127"/>
      <c r="O164" s="1" t="s">
        <v>109</v>
      </c>
      <c r="P164" s="1" t="s">
        <v>109</v>
      </c>
      <c r="Q164" s="127"/>
      <c r="R164" s="56">
        <v>45568</v>
      </c>
      <c r="S164" s="56">
        <v>45604</v>
      </c>
      <c r="T164" s="1" t="s">
        <v>1822</v>
      </c>
      <c r="U164" s="56">
        <v>45891</v>
      </c>
      <c r="V164" s="39" t="s">
        <v>1853</v>
      </c>
      <c r="W164" s="1" t="s">
        <v>1853</v>
      </c>
      <c r="X164" s="4" t="s">
        <v>109</v>
      </c>
      <c r="Y164" s="4" t="s">
        <v>1853</v>
      </c>
      <c r="Z164" s="4" t="s">
        <v>1854</v>
      </c>
      <c r="AA164" s="39">
        <v>45607</v>
      </c>
      <c r="AB164" s="39" t="s">
        <v>1853</v>
      </c>
      <c r="AC164" s="39" t="s">
        <v>1853</v>
      </c>
      <c r="AD164" s="39" t="s">
        <v>1853</v>
      </c>
      <c r="AE164" s="56">
        <v>45617</v>
      </c>
      <c r="AF164" s="56">
        <v>45632</v>
      </c>
      <c r="AG164" s="56">
        <v>45632</v>
      </c>
      <c r="AH164" s="56">
        <v>49309</v>
      </c>
      <c r="AJ164" s="4" t="s">
        <v>109</v>
      </c>
      <c r="AK164" s="4" t="s">
        <v>109</v>
      </c>
      <c r="AL164" s="4" t="s">
        <v>109</v>
      </c>
      <c r="AM164" s="4" t="s">
        <v>109</v>
      </c>
      <c r="AP164" s="1">
        <v>36</v>
      </c>
      <c r="AQ164" s="38">
        <v>91</v>
      </c>
    </row>
    <row r="165" spans="1:43" ht="18.75" customHeight="1" x14ac:dyDescent="0.3">
      <c r="A165" s="4">
        <v>2410064</v>
      </c>
      <c r="B165" s="110" t="s">
        <v>865</v>
      </c>
      <c r="C165" s="4" t="e" vm="5">
        <v>#VALUE!</v>
      </c>
      <c r="D165" s="4" t="s">
        <v>17</v>
      </c>
      <c r="E165" s="4" t="s">
        <v>71</v>
      </c>
      <c r="F165" s="4" t="s">
        <v>14</v>
      </c>
      <c r="G165" s="4">
        <v>7.6050000000000004</v>
      </c>
      <c r="H165" s="4" t="s">
        <v>237</v>
      </c>
      <c r="I165" s="4">
        <v>13</v>
      </c>
      <c r="J165" s="1" t="s">
        <v>309</v>
      </c>
      <c r="K165" s="127"/>
      <c r="L165" s="1" t="s">
        <v>1853</v>
      </c>
      <c r="M165" s="1" t="s">
        <v>2236</v>
      </c>
      <c r="N165" s="127"/>
      <c r="O165" s="1" t="s">
        <v>109</v>
      </c>
      <c r="P165" s="1" t="s">
        <v>109</v>
      </c>
      <c r="Q165" s="127"/>
      <c r="R165" s="56">
        <v>45575</v>
      </c>
      <c r="S165" s="56">
        <v>45607</v>
      </c>
      <c r="T165" s="1" t="s">
        <v>1822</v>
      </c>
      <c r="U165" s="56">
        <v>45792</v>
      </c>
      <c r="V165" s="39" t="s">
        <v>1853</v>
      </c>
      <c r="W165" s="1" t="s">
        <v>1853</v>
      </c>
      <c r="X165" s="4" t="s">
        <v>109</v>
      </c>
      <c r="Y165" s="4" t="s">
        <v>1853</v>
      </c>
      <c r="Z165" s="4" t="s">
        <v>1855</v>
      </c>
      <c r="AA165" s="39">
        <v>45629</v>
      </c>
      <c r="AB165" s="39" t="s">
        <v>1853</v>
      </c>
      <c r="AC165" s="39" t="s">
        <v>1853</v>
      </c>
      <c r="AD165" s="39" t="s">
        <v>1853</v>
      </c>
      <c r="AE165" s="56">
        <v>45650</v>
      </c>
      <c r="AF165" s="56">
        <v>45648</v>
      </c>
      <c r="AG165" s="56">
        <v>45648</v>
      </c>
      <c r="AH165" s="56">
        <v>49309</v>
      </c>
      <c r="AJ165" s="4" t="s">
        <v>109</v>
      </c>
      <c r="AK165" s="4" t="s">
        <v>109</v>
      </c>
      <c r="AL165" s="4" t="s">
        <v>109</v>
      </c>
      <c r="AM165" s="4" t="s">
        <v>109</v>
      </c>
      <c r="AP165" s="1">
        <v>32</v>
      </c>
      <c r="AQ165" s="38">
        <v>126</v>
      </c>
    </row>
    <row r="166" spans="1:43" s="217" customFormat="1" ht="18.75" customHeight="1" x14ac:dyDescent="0.3">
      <c r="A166" s="210">
        <v>2405305</v>
      </c>
      <c r="B166" s="211" t="s">
        <v>870</v>
      </c>
      <c r="C166" s="210" t="e" vm="5">
        <v>#VALUE!</v>
      </c>
      <c r="D166" s="210" t="s">
        <v>17</v>
      </c>
      <c r="E166" s="210" t="s">
        <v>71</v>
      </c>
      <c r="F166" s="210" t="s">
        <v>14</v>
      </c>
      <c r="G166" s="210">
        <v>10.53</v>
      </c>
      <c r="H166" s="210" t="s">
        <v>237</v>
      </c>
      <c r="I166" s="210">
        <v>18</v>
      </c>
      <c r="J166" s="212" t="s">
        <v>364</v>
      </c>
      <c r="K166" s="213"/>
      <c r="L166" s="212" t="s">
        <v>2241</v>
      </c>
      <c r="M166" s="212" t="s">
        <v>2236</v>
      </c>
      <c r="N166" s="213"/>
      <c r="O166" s="212" t="s">
        <v>109</v>
      </c>
      <c r="P166" s="212" t="s">
        <v>109</v>
      </c>
      <c r="Q166" s="213"/>
      <c r="R166" s="214">
        <v>45588</v>
      </c>
      <c r="S166" s="214">
        <v>45611</v>
      </c>
      <c r="T166" s="212" t="s">
        <v>1819</v>
      </c>
      <c r="U166" s="214">
        <v>45952</v>
      </c>
      <c r="V166" s="215" t="s">
        <v>1853</v>
      </c>
      <c r="W166" s="212" t="s">
        <v>1853</v>
      </c>
      <c r="X166" s="210" t="s">
        <v>109</v>
      </c>
      <c r="Y166" s="210" t="s">
        <v>1853</v>
      </c>
      <c r="Z166" s="210" t="s">
        <v>1855</v>
      </c>
      <c r="AA166" s="215">
        <v>45699</v>
      </c>
      <c r="AB166" s="215">
        <v>45697</v>
      </c>
      <c r="AC166" s="215" t="s">
        <v>1853</v>
      </c>
      <c r="AD166" s="215" t="s">
        <v>1853</v>
      </c>
      <c r="AE166" s="215" t="s">
        <v>1853</v>
      </c>
      <c r="AF166" s="215" t="s">
        <v>1853</v>
      </c>
      <c r="AG166" s="214"/>
      <c r="AH166" s="214"/>
      <c r="AI166" s="216"/>
      <c r="AJ166" s="210" t="s">
        <v>109</v>
      </c>
      <c r="AK166" s="210" t="s">
        <v>109</v>
      </c>
      <c r="AL166" s="210" t="s">
        <v>109</v>
      </c>
      <c r="AM166" s="210" t="s">
        <v>109</v>
      </c>
      <c r="AP166" s="212">
        <v>23</v>
      </c>
      <c r="AQ166" s="218">
        <v>74</v>
      </c>
    </row>
    <row r="167" spans="1:43" ht="18.75" customHeight="1" x14ac:dyDescent="0.3">
      <c r="A167" s="4">
        <v>2409456</v>
      </c>
      <c r="B167" s="110" t="s">
        <v>875</v>
      </c>
      <c r="C167" s="4" t="e" vm="8">
        <v>#VALUE!</v>
      </c>
      <c r="D167" s="4" t="s">
        <v>17</v>
      </c>
      <c r="E167" s="4" t="s">
        <v>71</v>
      </c>
      <c r="F167" s="4" t="s">
        <v>14</v>
      </c>
      <c r="G167" s="4">
        <v>11.115</v>
      </c>
      <c r="H167" s="4" t="s">
        <v>237</v>
      </c>
      <c r="I167" s="4">
        <v>19</v>
      </c>
      <c r="J167" s="1" t="s">
        <v>111</v>
      </c>
      <c r="K167" s="127"/>
      <c r="L167" s="1" t="s">
        <v>1853</v>
      </c>
      <c r="M167" s="1" t="s">
        <v>2236</v>
      </c>
      <c r="N167" s="127"/>
      <c r="O167" s="1" t="s">
        <v>109</v>
      </c>
      <c r="P167" s="1" t="s">
        <v>109</v>
      </c>
      <c r="Q167" s="127"/>
      <c r="R167" s="56">
        <v>45628</v>
      </c>
      <c r="S167" s="56">
        <v>45635</v>
      </c>
      <c r="T167" s="1" t="s">
        <v>1822</v>
      </c>
      <c r="U167" s="56">
        <v>45768</v>
      </c>
      <c r="V167" s="39" t="s">
        <v>1853</v>
      </c>
      <c r="W167" s="1" t="s">
        <v>1853</v>
      </c>
      <c r="X167" s="4" t="s">
        <v>109</v>
      </c>
      <c r="Y167" s="4" t="s">
        <v>1853</v>
      </c>
      <c r="Z167" s="4" t="s">
        <v>1855</v>
      </c>
      <c r="AA167" s="39">
        <v>45657</v>
      </c>
      <c r="AB167" s="39">
        <v>45671</v>
      </c>
      <c r="AC167" s="39" t="s">
        <v>1853</v>
      </c>
      <c r="AD167" s="39">
        <v>45678</v>
      </c>
      <c r="AE167" s="39">
        <v>45674</v>
      </c>
      <c r="AF167" s="56">
        <v>45678</v>
      </c>
      <c r="AG167" s="56">
        <v>45678</v>
      </c>
      <c r="AH167" s="56">
        <v>49340</v>
      </c>
      <c r="AJ167" s="4" t="s">
        <v>109</v>
      </c>
      <c r="AK167" s="4" t="s">
        <v>109</v>
      </c>
      <c r="AL167" s="4" t="s">
        <v>109</v>
      </c>
      <c r="AM167" s="4" t="s">
        <v>109</v>
      </c>
      <c r="AP167" s="1">
        <v>7</v>
      </c>
      <c r="AQ167" s="38">
        <v>70</v>
      </c>
    </row>
    <row r="168" spans="1:43" ht="18.75" customHeight="1" x14ac:dyDescent="0.3">
      <c r="A168" s="4">
        <v>2410461</v>
      </c>
      <c r="B168" s="110" t="s">
        <v>880</v>
      </c>
      <c r="C168" s="4" t="e" vm="8">
        <v>#VALUE!</v>
      </c>
      <c r="D168" s="4" t="s">
        <v>17</v>
      </c>
      <c r="E168" s="4" t="s">
        <v>71</v>
      </c>
      <c r="F168" s="4" t="s">
        <v>14</v>
      </c>
      <c r="G168" s="4">
        <v>7.02</v>
      </c>
      <c r="H168" s="4" t="s">
        <v>237</v>
      </c>
      <c r="I168" s="4">
        <v>12</v>
      </c>
      <c r="J168" s="1" t="s">
        <v>286</v>
      </c>
      <c r="K168" s="127"/>
      <c r="L168" s="1" t="s">
        <v>1853</v>
      </c>
      <c r="M168" s="1" t="s">
        <v>2236</v>
      </c>
      <c r="N168" s="127"/>
      <c r="O168" s="1" t="s">
        <v>109</v>
      </c>
      <c r="P168" s="1" t="s">
        <v>109</v>
      </c>
      <c r="Q168" s="127"/>
      <c r="R168" s="56">
        <v>45660</v>
      </c>
      <c r="S168" s="56">
        <v>45666</v>
      </c>
      <c r="T168" s="1" t="s">
        <v>1819</v>
      </c>
      <c r="U168" s="56"/>
      <c r="V168" s="39" t="s">
        <v>1853</v>
      </c>
      <c r="W168" s="1" t="s">
        <v>1853</v>
      </c>
      <c r="X168" s="4" t="s">
        <v>109</v>
      </c>
      <c r="Y168" s="4" t="s">
        <v>1853</v>
      </c>
      <c r="Z168" s="4" t="s">
        <v>1855</v>
      </c>
      <c r="AA168" s="39">
        <v>45656</v>
      </c>
      <c r="AB168" s="39">
        <v>45672</v>
      </c>
      <c r="AC168" s="39" t="s">
        <v>1853</v>
      </c>
      <c r="AD168" s="39">
        <v>45703</v>
      </c>
      <c r="AE168" s="39">
        <v>45674</v>
      </c>
      <c r="AF168" s="56">
        <v>45703</v>
      </c>
      <c r="AG168" s="56">
        <v>45703</v>
      </c>
      <c r="AH168" s="56">
        <v>49368</v>
      </c>
      <c r="AJ168" s="4" t="s">
        <v>109</v>
      </c>
      <c r="AK168" s="4" t="s">
        <v>109</v>
      </c>
      <c r="AL168" s="4" t="s">
        <v>109</v>
      </c>
      <c r="AM168" s="4" t="s">
        <v>109</v>
      </c>
      <c r="AP168" s="1">
        <v>6</v>
      </c>
      <c r="AQ168" s="38" t="e">
        <v>#VALUE!</v>
      </c>
    </row>
    <row r="169" spans="1:43" ht="18.75" customHeight="1" x14ac:dyDescent="0.3">
      <c r="A169" s="4">
        <v>2409029</v>
      </c>
      <c r="B169" s="110" t="s">
        <v>884</v>
      </c>
      <c r="C169" s="4" t="e" vm="11">
        <v>#VALUE!</v>
      </c>
      <c r="D169" s="4" t="s">
        <v>20</v>
      </c>
      <c r="E169" s="4" t="s">
        <v>206</v>
      </c>
      <c r="F169" s="4" t="s">
        <v>18</v>
      </c>
      <c r="G169" s="4">
        <v>0</v>
      </c>
      <c r="H169" s="4" t="s">
        <v>18</v>
      </c>
      <c r="I169" s="4" t="s">
        <v>18</v>
      </c>
      <c r="J169" s="1" t="s">
        <v>18</v>
      </c>
      <c r="K169" s="127"/>
      <c r="L169" s="1" t="s">
        <v>1853</v>
      </c>
      <c r="M169" s="1" t="s">
        <v>2236</v>
      </c>
      <c r="N169" s="127"/>
      <c r="O169" s="1" t="s">
        <v>109</v>
      </c>
      <c r="P169" s="1" t="s">
        <v>109</v>
      </c>
      <c r="Q169" s="127"/>
      <c r="R169" s="56" t="s">
        <v>109</v>
      </c>
      <c r="S169" s="56" t="s">
        <v>109</v>
      </c>
      <c r="T169" s="56" t="s">
        <v>109</v>
      </c>
      <c r="U169" s="56" t="s">
        <v>109</v>
      </c>
      <c r="V169" s="39" t="s">
        <v>1853</v>
      </c>
      <c r="W169" s="1" t="s">
        <v>1853</v>
      </c>
      <c r="X169" s="4" t="s">
        <v>109</v>
      </c>
      <c r="Y169" s="4" t="s">
        <v>1853</v>
      </c>
      <c r="Z169" s="4" t="s">
        <v>1853</v>
      </c>
      <c r="AA169" s="4" t="s">
        <v>1853</v>
      </c>
      <c r="AB169" s="39" t="s">
        <v>109</v>
      </c>
      <c r="AC169" s="39" t="s">
        <v>109</v>
      </c>
      <c r="AD169" s="39" t="s">
        <v>109</v>
      </c>
      <c r="AE169" s="39" t="s">
        <v>109</v>
      </c>
      <c r="AF169" s="39" t="s">
        <v>109</v>
      </c>
      <c r="AG169" s="39" t="s">
        <v>109</v>
      </c>
      <c r="AH169" s="39" t="s">
        <v>109</v>
      </c>
      <c r="AJ169" s="4" t="s">
        <v>109</v>
      </c>
      <c r="AK169" s="4" t="s">
        <v>109</v>
      </c>
      <c r="AL169" s="4" t="s">
        <v>109</v>
      </c>
      <c r="AM169" s="4" t="s">
        <v>109</v>
      </c>
      <c r="AP169" s="1" t="e">
        <v>#VALUE!</v>
      </c>
      <c r="AQ169" s="38" t="e">
        <v>#VALUE!</v>
      </c>
    </row>
    <row r="170" spans="1:43" ht="18.75" customHeight="1" x14ac:dyDescent="0.3">
      <c r="A170" s="4">
        <v>2410032</v>
      </c>
      <c r="B170" s="110" t="s">
        <v>886</v>
      </c>
      <c r="C170" s="4" t="e" vm="12">
        <v>#VALUE!</v>
      </c>
      <c r="D170" s="4" t="s">
        <v>20</v>
      </c>
      <c r="E170" s="4" t="s">
        <v>206</v>
      </c>
      <c r="F170" s="4" t="s">
        <v>18</v>
      </c>
      <c r="G170" s="4">
        <v>0</v>
      </c>
      <c r="H170" s="4" t="s">
        <v>18</v>
      </c>
      <c r="I170" s="4" t="s">
        <v>18</v>
      </c>
      <c r="J170" s="1" t="s">
        <v>18</v>
      </c>
      <c r="K170" s="127"/>
      <c r="L170" s="1" t="s">
        <v>1853</v>
      </c>
      <c r="M170" s="1" t="s">
        <v>2236</v>
      </c>
      <c r="N170" s="127"/>
      <c r="O170" s="1" t="s">
        <v>109</v>
      </c>
      <c r="P170" s="1" t="s">
        <v>109</v>
      </c>
      <c r="Q170" s="127"/>
      <c r="R170" s="56" t="s">
        <v>109</v>
      </c>
      <c r="S170" s="56" t="s">
        <v>109</v>
      </c>
      <c r="T170" s="56" t="s">
        <v>109</v>
      </c>
      <c r="U170" s="56" t="s">
        <v>109</v>
      </c>
      <c r="V170" s="39" t="s">
        <v>1853</v>
      </c>
      <c r="W170" s="1" t="s">
        <v>1853</v>
      </c>
      <c r="X170" s="4" t="s">
        <v>109</v>
      </c>
      <c r="Y170" s="4" t="s">
        <v>1853</v>
      </c>
      <c r="Z170" s="4" t="s">
        <v>1853</v>
      </c>
      <c r="AA170" s="4" t="s">
        <v>1853</v>
      </c>
      <c r="AB170" s="39" t="s">
        <v>109</v>
      </c>
      <c r="AC170" s="39" t="s">
        <v>109</v>
      </c>
      <c r="AD170" s="39" t="s">
        <v>109</v>
      </c>
      <c r="AE170" s="39" t="s">
        <v>109</v>
      </c>
      <c r="AF170" s="39" t="s">
        <v>109</v>
      </c>
      <c r="AG170" s="39" t="s">
        <v>109</v>
      </c>
      <c r="AH170" s="39" t="s">
        <v>109</v>
      </c>
      <c r="AJ170" s="4" t="s">
        <v>109</v>
      </c>
      <c r="AK170" s="4" t="s">
        <v>109</v>
      </c>
      <c r="AL170" s="4" t="s">
        <v>109</v>
      </c>
      <c r="AM170" s="4" t="s">
        <v>109</v>
      </c>
      <c r="AP170" s="1" t="e">
        <v>#VALUE!</v>
      </c>
      <c r="AQ170" s="38" t="e">
        <v>#VALUE!</v>
      </c>
    </row>
    <row r="171" spans="1:43" s="190" customFormat="1" ht="18.75" customHeight="1" x14ac:dyDescent="0.3">
      <c r="A171" s="183" t="s">
        <v>888</v>
      </c>
      <c r="B171" s="184" t="s">
        <v>889</v>
      </c>
      <c r="C171" s="183" t="e" vm="5">
        <v>#VALUE!</v>
      </c>
      <c r="D171" s="183" t="s">
        <v>17</v>
      </c>
      <c r="E171" s="183" t="s">
        <v>124</v>
      </c>
      <c r="F171" s="183" t="s">
        <v>14</v>
      </c>
      <c r="G171" s="183">
        <v>109.395</v>
      </c>
      <c r="H171" s="183" t="s">
        <v>890</v>
      </c>
      <c r="I171" s="183">
        <v>187</v>
      </c>
      <c r="J171" s="185" t="s">
        <v>891</v>
      </c>
      <c r="K171" s="186"/>
      <c r="L171" s="185" t="s">
        <v>2242</v>
      </c>
      <c r="M171" s="185" t="s">
        <v>2236</v>
      </c>
      <c r="N171" s="186"/>
      <c r="O171" s="185" t="s">
        <v>109</v>
      </c>
      <c r="P171" s="185" t="s">
        <v>109</v>
      </c>
      <c r="Q171" s="186"/>
      <c r="R171" s="187">
        <v>45560</v>
      </c>
      <c r="S171" s="187">
        <v>45582</v>
      </c>
      <c r="T171" s="185" t="s">
        <v>1823</v>
      </c>
      <c r="U171" s="187">
        <v>45932</v>
      </c>
      <c r="V171" s="188">
        <v>45588</v>
      </c>
      <c r="W171" s="185" t="s">
        <v>1853</v>
      </c>
      <c r="X171" s="183" t="s">
        <v>1853</v>
      </c>
      <c r="Y171" s="183" t="s">
        <v>1853</v>
      </c>
      <c r="Z171" s="183" t="s">
        <v>307</v>
      </c>
      <c r="AA171" s="183" t="s">
        <v>1853</v>
      </c>
      <c r="AB171" s="188" t="s">
        <v>1853</v>
      </c>
      <c r="AC171" s="188" t="s">
        <v>1853</v>
      </c>
      <c r="AD171" s="188" t="s">
        <v>1853</v>
      </c>
      <c r="AE171" s="187">
        <v>45719</v>
      </c>
      <c r="AF171" s="187">
        <v>45728</v>
      </c>
      <c r="AG171" s="187">
        <v>45728</v>
      </c>
      <c r="AH171" s="187">
        <v>49399</v>
      </c>
      <c r="AI171" s="189"/>
      <c r="AJ171" s="183" t="s">
        <v>109</v>
      </c>
      <c r="AK171" s="183" t="s">
        <v>109</v>
      </c>
      <c r="AL171" s="183"/>
      <c r="AM171" s="183"/>
      <c r="AP171" s="185">
        <v>22</v>
      </c>
      <c r="AQ171" s="191" t="e">
        <v>#VALUE!</v>
      </c>
    </row>
    <row r="172" spans="1:43" s="190" customFormat="1" ht="18.75" customHeight="1" x14ac:dyDescent="0.3">
      <c r="A172" s="183" t="s">
        <v>893</v>
      </c>
      <c r="B172" s="184" t="s">
        <v>894</v>
      </c>
      <c r="C172" s="183" t="e" vm="5">
        <v>#VALUE!</v>
      </c>
      <c r="D172" s="183" t="s">
        <v>17</v>
      </c>
      <c r="E172" s="183" t="s">
        <v>124</v>
      </c>
      <c r="F172" s="183" t="s">
        <v>14</v>
      </c>
      <c r="G172" s="183">
        <v>26.91</v>
      </c>
      <c r="H172" s="183" t="s">
        <v>890</v>
      </c>
      <c r="I172" s="183">
        <v>46</v>
      </c>
      <c r="J172" s="185" t="s">
        <v>341</v>
      </c>
      <c r="K172" s="186"/>
      <c r="L172" s="185" t="s">
        <v>2242</v>
      </c>
      <c r="M172" s="185" t="s">
        <v>2236</v>
      </c>
      <c r="N172" s="186"/>
      <c r="O172" s="185" t="s">
        <v>109</v>
      </c>
      <c r="P172" s="185" t="s">
        <v>109</v>
      </c>
      <c r="Q172" s="186"/>
      <c r="R172" s="187">
        <v>45560</v>
      </c>
      <c r="S172" s="187">
        <v>45582</v>
      </c>
      <c r="T172" s="185" t="s">
        <v>1823</v>
      </c>
      <c r="U172" s="187">
        <v>45932</v>
      </c>
      <c r="V172" s="188">
        <v>45588</v>
      </c>
      <c r="W172" s="185" t="s">
        <v>1853</v>
      </c>
      <c r="X172" s="183" t="s">
        <v>1853</v>
      </c>
      <c r="Y172" s="183" t="s">
        <v>1853</v>
      </c>
      <c r="Z172" s="183" t="s">
        <v>307</v>
      </c>
      <c r="AA172" s="183" t="s">
        <v>1853</v>
      </c>
      <c r="AB172" s="188" t="s">
        <v>1853</v>
      </c>
      <c r="AC172" s="188" t="s">
        <v>1853</v>
      </c>
      <c r="AD172" s="188" t="s">
        <v>1853</v>
      </c>
      <c r="AE172" s="187">
        <v>45708</v>
      </c>
      <c r="AF172" s="187">
        <v>45710</v>
      </c>
      <c r="AG172" s="187">
        <v>45710</v>
      </c>
      <c r="AH172" s="187">
        <v>49368</v>
      </c>
      <c r="AI172" s="189"/>
      <c r="AJ172" s="183" t="s">
        <v>109</v>
      </c>
      <c r="AK172" s="183" t="s">
        <v>109</v>
      </c>
      <c r="AL172" s="183"/>
      <c r="AM172" s="183"/>
      <c r="AP172" s="185">
        <v>22</v>
      </c>
      <c r="AQ172" s="191" t="e">
        <v>#VALUE!</v>
      </c>
    </row>
    <row r="173" spans="1:43" s="190" customFormat="1" ht="18.75" customHeight="1" x14ac:dyDescent="0.3">
      <c r="A173" s="183" t="s">
        <v>896</v>
      </c>
      <c r="B173" s="184" t="s">
        <v>897</v>
      </c>
      <c r="C173" s="183" t="e" vm="5">
        <v>#VALUE!</v>
      </c>
      <c r="D173" s="183" t="s">
        <v>17</v>
      </c>
      <c r="E173" s="183" t="s">
        <v>124</v>
      </c>
      <c r="F173" s="183" t="s">
        <v>14</v>
      </c>
      <c r="G173" s="183">
        <v>67.275000000000006</v>
      </c>
      <c r="H173" s="183" t="s">
        <v>890</v>
      </c>
      <c r="I173" s="183">
        <v>115</v>
      </c>
      <c r="J173" s="185" t="s">
        <v>898</v>
      </c>
      <c r="K173" s="186"/>
      <c r="L173" s="185" t="s">
        <v>2242</v>
      </c>
      <c r="M173" s="185" t="s">
        <v>2236</v>
      </c>
      <c r="N173" s="186"/>
      <c r="O173" s="185" t="s">
        <v>109</v>
      </c>
      <c r="P173" s="185" t="s">
        <v>109</v>
      </c>
      <c r="Q173" s="186"/>
      <c r="R173" s="187">
        <v>45560</v>
      </c>
      <c r="S173" s="187">
        <v>45574</v>
      </c>
      <c r="T173" s="185" t="s">
        <v>1823</v>
      </c>
      <c r="U173" s="187">
        <v>45932</v>
      </c>
      <c r="V173" s="188">
        <v>45588</v>
      </c>
      <c r="W173" s="185" t="s">
        <v>1853</v>
      </c>
      <c r="X173" s="183" t="s">
        <v>1853</v>
      </c>
      <c r="Y173" s="183" t="s">
        <v>1853</v>
      </c>
      <c r="Z173" s="183" t="s">
        <v>307</v>
      </c>
      <c r="AA173" s="183" t="s">
        <v>1853</v>
      </c>
      <c r="AB173" s="188" t="s">
        <v>1853</v>
      </c>
      <c r="AC173" s="188" t="s">
        <v>1853</v>
      </c>
      <c r="AD173" s="188" t="s">
        <v>1853</v>
      </c>
      <c r="AE173" s="187">
        <v>45719</v>
      </c>
      <c r="AF173" s="187">
        <v>45728</v>
      </c>
      <c r="AG173" s="187">
        <v>45728</v>
      </c>
      <c r="AH173" s="187">
        <v>49399</v>
      </c>
      <c r="AI173" s="189"/>
      <c r="AJ173" s="183" t="s">
        <v>109</v>
      </c>
      <c r="AK173" s="183" t="s">
        <v>109</v>
      </c>
      <c r="AL173" s="183"/>
      <c r="AM173" s="183"/>
      <c r="AP173" s="185">
        <v>14</v>
      </c>
      <c r="AQ173" s="191" t="e">
        <v>#VALUE!</v>
      </c>
    </row>
    <row r="174" spans="1:43" s="217" customFormat="1" ht="48" customHeight="1" x14ac:dyDescent="0.3">
      <c r="A174" s="210">
        <v>2408174</v>
      </c>
      <c r="B174" s="211" t="s">
        <v>900</v>
      </c>
      <c r="C174" s="210" t="e" vm="8">
        <v>#VALUE!</v>
      </c>
      <c r="D174" s="210" t="s">
        <v>17</v>
      </c>
      <c r="E174" s="210" t="s">
        <v>124</v>
      </c>
      <c r="F174" s="210" t="s">
        <v>14</v>
      </c>
      <c r="G174" s="210">
        <v>120.95</v>
      </c>
      <c r="H174" s="210" t="s">
        <v>243</v>
      </c>
      <c r="I174" s="210">
        <v>205</v>
      </c>
      <c r="J174" s="212" t="s">
        <v>901</v>
      </c>
      <c r="K174" s="213"/>
      <c r="L174" s="212" t="s">
        <v>2241</v>
      </c>
      <c r="M174" s="212" t="s">
        <v>2236</v>
      </c>
      <c r="N174" s="213"/>
      <c r="O174" s="212" t="s">
        <v>109</v>
      </c>
      <c r="P174" s="212" t="s">
        <v>109</v>
      </c>
      <c r="Q174" s="213"/>
      <c r="R174" s="214">
        <v>45737</v>
      </c>
      <c r="S174" s="214">
        <v>45798</v>
      </c>
      <c r="T174" s="212" t="s">
        <v>1819</v>
      </c>
      <c r="U174" s="214">
        <v>46104</v>
      </c>
      <c r="V174" s="215">
        <v>45827</v>
      </c>
      <c r="W174" s="212" t="s">
        <v>1853</v>
      </c>
      <c r="X174" s="210" t="s">
        <v>1853</v>
      </c>
      <c r="Y174" s="210" t="s">
        <v>1853</v>
      </c>
      <c r="Z174" s="210" t="s">
        <v>1854</v>
      </c>
      <c r="AA174" s="210" t="s">
        <v>1853</v>
      </c>
      <c r="AB174" s="215">
        <v>45717</v>
      </c>
      <c r="AC174" s="215" t="s">
        <v>1853</v>
      </c>
      <c r="AD174" s="215">
        <v>45955</v>
      </c>
      <c r="AE174" s="212" t="s">
        <v>1853</v>
      </c>
      <c r="AF174" s="214">
        <v>45955</v>
      </c>
      <c r="AG174" s="214"/>
      <c r="AH174" s="214"/>
      <c r="AI174" s="216"/>
      <c r="AJ174" s="210" t="s">
        <v>109</v>
      </c>
      <c r="AK174" s="210" t="s">
        <v>109</v>
      </c>
      <c r="AL174" s="210"/>
      <c r="AM174" s="210"/>
      <c r="AP174" s="212">
        <v>61</v>
      </c>
      <c r="AQ174" s="218">
        <v>87</v>
      </c>
    </row>
    <row r="175" spans="1:43" s="190" customFormat="1" ht="18.75" customHeight="1" x14ac:dyDescent="0.3">
      <c r="A175" s="183">
        <v>2408179</v>
      </c>
      <c r="B175" s="184" t="s">
        <v>902</v>
      </c>
      <c r="C175" s="183" t="e" vm="5">
        <v>#VALUE!</v>
      </c>
      <c r="D175" s="183" t="s">
        <v>17</v>
      </c>
      <c r="E175" s="183" t="s">
        <v>124</v>
      </c>
      <c r="F175" s="183" t="s">
        <v>14</v>
      </c>
      <c r="G175" s="183">
        <v>107.64</v>
      </c>
      <c r="H175" s="183" t="s">
        <v>237</v>
      </c>
      <c r="I175" s="183">
        <v>184</v>
      </c>
      <c r="J175" s="185" t="s">
        <v>903</v>
      </c>
      <c r="K175" s="186"/>
      <c r="L175" s="185" t="s">
        <v>2242</v>
      </c>
      <c r="M175" s="185" t="s">
        <v>2236</v>
      </c>
      <c r="N175" s="186"/>
      <c r="O175" s="185" t="s">
        <v>109</v>
      </c>
      <c r="P175" s="185" t="s">
        <v>109</v>
      </c>
      <c r="Q175" s="186"/>
      <c r="R175" s="187">
        <v>45620</v>
      </c>
      <c r="S175" s="187">
        <v>45666</v>
      </c>
      <c r="T175" s="185" t="s">
        <v>1823</v>
      </c>
      <c r="U175" s="187">
        <v>45816</v>
      </c>
      <c r="V175" s="188" t="s">
        <v>1853</v>
      </c>
      <c r="W175" s="185" t="s">
        <v>1853</v>
      </c>
      <c r="X175" s="183" t="s">
        <v>1853</v>
      </c>
      <c r="Y175" s="183" t="s">
        <v>1853</v>
      </c>
      <c r="Z175" s="183"/>
      <c r="AA175" s="188">
        <v>45670</v>
      </c>
      <c r="AB175" s="185" t="s">
        <v>1853</v>
      </c>
      <c r="AC175" s="185" t="s">
        <v>1853</v>
      </c>
      <c r="AD175" s="185" t="s">
        <v>1853</v>
      </c>
      <c r="AE175" s="185" t="s">
        <v>1853</v>
      </c>
      <c r="AF175" s="187">
        <v>45729</v>
      </c>
      <c r="AG175" s="187">
        <v>45729</v>
      </c>
      <c r="AH175" s="187">
        <v>49399</v>
      </c>
      <c r="AI175" s="189"/>
      <c r="AJ175" s="183" t="s">
        <v>109</v>
      </c>
      <c r="AK175" s="183" t="s">
        <v>109</v>
      </c>
      <c r="AL175" s="183"/>
      <c r="AM175" s="183"/>
      <c r="AP175" s="185">
        <v>46</v>
      </c>
      <c r="AQ175" s="191">
        <v>87</v>
      </c>
    </row>
    <row r="176" spans="1:43" s="190" customFormat="1" ht="18.75" customHeight="1" x14ac:dyDescent="0.3">
      <c r="A176" s="183">
        <v>2409185</v>
      </c>
      <c r="B176" s="184" t="s">
        <v>906</v>
      </c>
      <c r="C176" s="183" t="e" vm="5">
        <v>#VALUE!</v>
      </c>
      <c r="D176" s="183" t="s">
        <v>17</v>
      </c>
      <c r="E176" s="183" t="s">
        <v>124</v>
      </c>
      <c r="F176" s="183" t="s">
        <v>14</v>
      </c>
      <c r="G176" s="183">
        <v>26.55</v>
      </c>
      <c r="H176" s="183" t="s">
        <v>243</v>
      </c>
      <c r="I176" s="183">
        <v>45</v>
      </c>
      <c r="J176" s="185" t="s">
        <v>341</v>
      </c>
      <c r="K176" s="186"/>
      <c r="L176" s="185" t="s">
        <v>2242</v>
      </c>
      <c r="M176" s="185" t="s">
        <v>2236</v>
      </c>
      <c r="N176" s="186"/>
      <c r="O176" s="185" t="s">
        <v>109</v>
      </c>
      <c r="P176" s="185" t="s">
        <v>109</v>
      </c>
      <c r="Q176" s="186"/>
      <c r="R176" s="187">
        <v>45569</v>
      </c>
      <c r="S176" s="187">
        <v>45617</v>
      </c>
      <c r="T176" s="185" t="s">
        <v>1823</v>
      </c>
      <c r="U176" s="187">
        <v>45816</v>
      </c>
      <c r="V176" s="188">
        <v>45588</v>
      </c>
      <c r="W176" s="185" t="s">
        <v>1853</v>
      </c>
      <c r="X176" s="183" t="s">
        <v>1853</v>
      </c>
      <c r="Y176" s="183" t="s">
        <v>1853</v>
      </c>
      <c r="Z176" s="183" t="s">
        <v>307</v>
      </c>
      <c r="AA176" s="188">
        <v>45649</v>
      </c>
      <c r="AB176" s="185" t="s">
        <v>1853</v>
      </c>
      <c r="AC176" s="185" t="s">
        <v>1853</v>
      </c>
      <c r="AD176" s="185" t="s">
        <v>1853</v>
      </c>
      <c r="AE176" s="185" t="s">
        <v>1853</v>
      </c>
      <c r="AF176" s="187">
        <v>45673</v>
      </c>
      <c r="AG176" s="187">
        <v>45673</v>
      </c>
      <c r="AH176" s="187">
        <v>49340</v>
      </c>
      <c r="AI176" s="189"/>
      <c r="AJ176" s="183" t="s">
        <v>109</v>
      </c>
      <c r="AK176" s="183" t="s">
        <v>109</v>
      </c>
      <c r="AL176" s="183"/>
      <c r="AM176" s="183"/>
      <c r="AP176" s="185">
        <v>48</v>
      </c>
      <c r="AQ176" s="191">
        <v>115</v>
      </c>
    </row>
    <row r="177" spans="1:43" s="190" customFormat="1" ht="18.75" customHeight="1" x14ac:dyDescent="0.3">
      <c r="A177" s="183">
        <v>2410196</v>
      </c>
      <c r="B177" s="184" t="s">
        <v>908</v>
      </c>
      <c r="C177" s="183" t="e" vm="5">
        <v>#VALUE!</v>
      </c>
      <c r="D177" s="183" t="s">
        <v>17</v>
      </c>
      <c r="E177" s="183" t="s">
        <v>124</v>
      </c>
      <c r="F177" s="183" t="s">
        <v>14</v>
      </c>
      <c r="G177" s="183">
        <v>26.55</v>
      </c>
      <c r="H177" s="183" t="s">
        <v>243</v>
      </c>
      <c r="I177" s="183">
        <v>45</v>
      </c>
      <c r="J177" s="185" t="s">
        <v>341</v>
      </c>
      <c r="K177" s="186"/>
      <c r="L177" s="185" t="s">
        <v>2242</v>
      </c>
      <c r="M177" s="185" t="s">
        <v>2236</v>
      </c>
      <c r="N177" s="186"/>
      <c r="O177" s="185" t="s">
        <v>109</v>
      </c>
      <c r="P177" s="185" t="s">
        <v>109</v>
      </c>
      <c r="Q177" s="186"/>
      <c r="R177" s="187">
        <v>45607</v>
      </c>
      <c r="S177" s="187">
        <v>45623</v>
      </c>
      <c r="T177" s="185" t="s">
        <v>1823</v>
      </c>
      <c r="U177" s="187">
        <v>45816</v>
      </c>
      <c r="V177" s="188" t="s">
        <v>1853</v>
      </c>
      <c r="W177" s="185" t="s">
        <v>1853</v>
      </c>
      <c r="X177" s="183" t="s">
        <v>1853</v>
      </c>
      <c r="Y177" s="183" t="s">
        <v>1853</v>
      </c>
      <c r="Z177" s="183"/>
      <c r="AA177" s="188">
        <v>45680</v>
      </c>
      <c r="AB177" s="185" t="s">
        <v>1853</v>
      </c>
      <c r="AC177" s="185" t="s">
        <v>1853</v>
      </c>
      <c r="AD177" s="185" t="s">
        <v>1853</v>
      </c>
      <c r="AE177" s="185" t="s">
        <v>1853</v>
      </c>
      <c r="AF177" s="187">
        <v>45715</v>
      </c>
      <c r="AG177" s="187">
        <v>45715</v>
      </c>
      <c r="AH177" s="187">
        <v>49368</v>
      </c>
      <c r="AI177" s="189"/>
      <c r="AJ177" s="183" t="s">
        <v>109</v>
      </c>
      <c r="AK177" s="183" t="s">
        <v>109</v>
      </c>
      <c r="AL177" s="183"/>
      <c r="AM177" s="183"/>
      <c r="AP177" s="185">
        <v>16</v>
      </c>
      <c r="AQ177" s="191">
        <v>43</v>
      </c>
    </row>
    <row r="178" spans="1:43" ht="18.75" customHeight="1" x14ac:dyDescent="0.3">
      <c r="A178" s="4">
        <v>2410474</v>
      </c>
      <c r="B178" s="110" t="s">
        <v>910</v>
      </c>
      <c r="C178" s="4" t="e" vm="5">
        <v>#VALUE!</v>
      </c>
      <c r="D178" s="4" t="s">
        <v>17</v>
      </c>
      <c r="E178" s="4" t="s">
        <v>71</v>
      </c>
      <c r="F178" s="4" t="s">
        <v>14</v>
      </c>
      <c r="G178" s="4">
        <v>14.04</v>
      </c>
      <c r="H178" s="4" t="s">
        <v>237</v>
      </c>
      <c r="I178" s="4">
        <v>24</v>
      </c>
      <c r="J178" s="1" t="s">
        <v>143</v>
      </c>
      <c r="K178" s="127"/>
      <c r="L178" s="1" t="s">
        <v>1853</v>
      </c>
      <c r="M178" s="1" t="s">
        <v>2236</v>
      </c>
      <c r="N178" s="127"/>
      <c r="O178" s="1" t="s">
        <v>109</v>
      </c>
      <c r="P178" s="1" t="s">
        <v>109</v>
      </c>
      <c r="Q178" s="127"/>
      <c r="R178" s="56">
        <v>45601</v>
      </c>
      <c r="S178" s="56">
        <v>45617</v>
      </c>
      <c r="T178" s="1" t="s">
        <v>1822</v>
      </c>
      <c r="U178" s="56">
        <v>45768</v>
      </c>
      <c r="V178" s="39" t="s">
        <v>1853</v>
      </c>
      <c r="W178" s="1" t="s">
        <v>1853</v>
      </c>
      <c r="X178" s="4" t="s">
        <v>109</v>
      </c>
      <c r="Y178" s="4" t="s">
        <v>1853</v>
      </c>
      <c r="Z178" s="4" t="s">
        <v>1855</v>
      </c>
      <c r="AA178" s="56">
        <v>45632</v>
      </c>
      <c r="AB178" s="39">
        <v>46009</v>
      </c>
      <c r="AC178" s="39" t="s">
        <v>1853</v>
      </c>
      <c r="AD178" s="39">
        <v>45650</v>
      </c>
      <c r="AE178" s="39">
        <v>45650</v>
      </c>
      <c r="AF178" s="39">
        <v>45650</v>
      </c>
      <c r="AG178" s="56">
        <v>45650</v>
      </c>
      <c r="AH178" s="56">
        <v>49309</v>
      </c>
      <c r="AJ178" s="4" t="s">
        <v>109</v>
      </c>
      <c r="AK178" s="4" t="s">
        <v>109</v>
      </c>
      <c r="AL178" s="4" t="s">
        <v>109</v>
      </c>
      <c r="AM178" s="4" t="s">
        <v>109</v>
      </c>
      <c r="AP178" s="1">
        <v>16</v>
      </c>
      <c r="AQ178" s="38">
        <v>228</v>
      </c>
    </row>
    <row r="179" spans="1:43" s="217" customFormat="1" ht="18.75" customHeight="1" x14ac:dyDescent="0.3">
      <c r="A179" s="210">
        <v>2410468</v>
      </c>
      <c r="B179" s="211" t="s">
        <v>915</v>
      </c>
      <c r="C179" s="210" t="e" vm="12">
        <v>#VALUE!</v>
      </c>
      <c r="D179" s="210" t="s">
        <v>17</v>
      </c>
      <c r="E179" s="210" t="s">
        <v>71</v>
      </c>
      <c r="F179" s="210" t="s">
        <v>14</v>
      </c>
      <c r="G179" s="210">
        <v>11.7</v>
      </c>
      <c r="H179" s="210" t="s">
        <v>237</v>
      </c>
      <c r="I179" s="210">
        <v>20</v>
      </c>
      <c r="J179" s="212" t="s">
        <v>111</v>
      </c>
      <c r="K179" s="213"/>
      <c r="L179" s="212" t="s">
        <v>2241</v>
      </c>
      <c r="M179" s="212" t="s">
        <v>2236</v>
      </c>
      <c r="N179" s="213"/>
      <c r="O179" s="212" t="s">
        <v>109</v>
      </c>
      <c r="P179" s="212" t="s">
        <v>109</v>
      </c>
      <c r="Q179" s="213"/>
      <c r="R179" s="214">
        <v>45621</v>
      </c>
      <c r="S179" s="214">
        <v>45628</v>
      </c>
      <c r="T179" s="212" t="s">
        <v>1819</v>
      </c>
      <c r="U179" s="214"/>
      <c r="V179" s="215" t="s">
        <v>1853</v>
      </c>
      <c r="W179" s="212" t="s">
        <v>1853</v>
      </c>
      <c r="X179" s="210" t="s">
        <v>109</v>
      </c>
      <c r="Y179" s="210" t="s">
        <v>1853</v>
      </c>
      <c r="Z179" s="210" t="s">
        <v>1855</v>
      </c>
      <c r="AA179" s="215">
        <v>45825</v>
      </c>
      <c r="AB179" s="215" t="s">
        <v>1853</v>
      </c>
      <c r="AC179" s="215" t="s">
        <v>1853</v>
      </c>
      <c r="AD179" s="215" t="s">
        <v>1853</v>
      </c>
      <c r="AE179" s="215">
        <v>45768</v>
      </c>
      <c r="AF179" s="215" t="s">
        <v>1853</v>
      </c>
      <c r="AG179" s="210"/>
      <c r="AH179" s="210"/>
      <c r="AI179" s="216"/>
      <c r="AJ179" s="210" t="s">
        <v>109</v>
      </c>
      <c r="AK179" s="210" t="s">
        <v>109</v>
      </c>
      <c r="AL179" s="210" t="s">
        <v>109</v>
      </c>
      <c r="AM179" s="210" t="s">
        <v>109</v>
      </c>
      <c r="AP179" s="212">
        <v>7</v>
      </c>
      <c r="AQ179" s="218">
        <v>49</v>
      </c>
    </row>
    <row r="180" spans="1:43" ht="18.75" customHeight="1" x14ac:dyDescent="0.3">
      <c r="A180" s="4">
        <v>2409450</v>
      </c>
      <c r="B180" s="110" t="s">
        <v>920</v>
      </c>
      <c r="C180" s="4" t="e" vm="5">
        <v>#VALUE!</v>
      </c>
      <c r="D180" s="4" t="s">
        <v>17</v>
      </c>
      <c r="E180" s="4" t="s">
        <v>71</v>
      </c>
      <c r="F180" s="4" t="s">
        <v>14</v>
      </c>
      <c r="G180" s="4">
        <v>7.02</v>
      </c>
      <c r="H180" s="4" t="s">
        <v>237</v>
      </c>
      <c r="I180" s="4">
        <v>12</v>
      </c>
      <c r="J180" s="1" t="s">
        <v>286</v>
      </c>
      <c r="K180" s="127"/>
      <c r="L180" s="1" t="s">
        <v>1853</v>
      </c>
      <c r="M180" s="1" t="s">
        <v>2236</v>
      </c>
      <c r="N180" s="127"/>
      <c r="O180" s="1" t="s">
        <v>109</v>
      </c>
      <c r="P180" s="1" t="s">
        <v>109</v>
      </c>
      <c r="Q180" s="127"/>
      <c r="R180" s="56">
        <v>45601</v>
      </c>
      <c r="S180" s="56">
        <v>45617</v>
      </c>
      <c r="T180" s="1" t="s">
        <v>1822</v>
      </c>
      <c r="U180" s="56">
        <v>45769</v>
      </c>
      <c r="V180" s="39" t="s">
        <v>1853</v>
      </c>
      <c r="W180" s="1" t="s">
        <v>1853</v>
      </c>
      <c r="X180" s="4" t="s">
        <v>109</v>
      </c>
      <c r="Y180" s="4" t="s">
        <v>1853</v>
      </c>
      <c r="Z180" s="4" t="s">
        <v>1855</v>
      </c>
      <c r="AA180" s="39">
        <v>45639</v>
      </c>
      <c r="AB180" s="39">
        <v>45650</v>
      </c>
      <c r="AC180" s="39" t="s">
        <v>1853</v>
      </c>
      <c r="AD180" s="39">
        <v>45661</v>
      </c>
      <c r="AE180" s="39" t="s">
        <v>1853</v>
      </c>
      <c r="AF180" s="39">
        <v>45661</v>
      </c>
      <c r="AG180" s="56">
        <v>45661</v>
      </c>
      <c r="AH180" s="56">
        <v>49340</v>
      </c>
      <c r="AJ180" s="4" t="s">
        <v>109</v>
      </c>
      <c r="AK180" s="4" t="s">
        <v>109</v>
      </c>
      <c r="AL180" s="4" t="s">
        <v>109</v>
      </c>
      <c r="AM180" s="4" t="s">
        <v>109</v>
      </c>
      <c r="AP180" s="1">
        <v>16</v>
      </c>
      <c r="AQ180" s="38">
        <v>49</v>
      </c>
    </row>
    <row r="181" spans="1:43" ht="18.75" customHeight="1" x14ac:dyDescent="0.3">
      <c r="A181" s="4">
        <v>2411488</v>
      </c>
      <c r="B181" s="110" t="s">
        <v>925</v>
      </c>
      <c r="C181" s="4" t="e" vm="5">
        <v>#VALUE!</v>
      </c>
      <c r="D181" s="4" t="s">
        <v>19</v>
      </c>
      <c r="E181" s="4" t="s">
        <v>71</v>
      </c>
      <c r="F181" s="4" t="s">
        <v>14</v>
      </c>
      <c r="G181" s="4">
        <v>10.53</v>
      </c>
      <c r="H181" s="4" t="s">
        <v>237</v>
      </c>
      <c r="I181" s="4">
        <v>18</v>
      </c>
      <c r="J181" s="1" t="s">
        <v>364</v>
      </c>
      <c r="K181" s="127"/>
      <c r="L181" s="1" t="s">
        <v>1853</v>
      </c>
      <c r="M181" s="1" t="s">
        <v>2236</v>
      </c>
      <c r="N181" s="127"/>
      <c r="O181" s="1" t="s">
        <v>109</v>
      </c>
      <c r="P181" s="1" t="s">
        <v>109</v>
      </c>
      <c r="Q181" s="127"/>
      <c r="R181" s="56">
        <v>45602</v>
      </c>
      <c r="S181" s="56">
        <v>45617</v>
      </c>
      <c r="T181" s="1" t="s">
        <v>1819</v>
      </c>
      <c r="U181" s="56">
        <v>45966</v>
      </c>
      <c r="V181" s="39" t="s">
        <v>1853</v>
      </c>
      <c r="W181" s="1" t="s">
        <v>1853</v>
      </c>
      <c r="X181" s="4" t="s">
        <v>109</v>
      </c>
      <c r="Y181" s="4" t="s">
        <v>1853</v>
      </c>
      <c r="Z181" s="4" t="s">
        <v>1854</v>
      </c>
      <c r="AA181" s="39">
        <v>45640</v>
      </c>
      <c r="AB181" s="39">
        <v>45654</v>
      </c>
      <c r="AC181" s="39" t="s">
        <v>1853</v>
      </c>
      <c r="AD181" s="39">
        <v>45667</v>
      </c>
      <c r="AE181" s="39" t="s">
        <v>1853</v>
      </c>
      <c r="AF181" s="39">
        <v>45667</v>
      </c>
      <c r="AG181" s="56">
        <v>45667</v>
      </c>
      <c r="AH181" s="56">
        <v>49340</v>
      </c>
      <c r="AJ181" s="4" t="s">
        <v>109</v>
      </c>
      <c r="AK181" s="4" t="s">
        <v>109</v>
      </c>
      <c r="AL181" s="4" t="s">
        <v>109</v>
      </c>
      <c r="AM181" s="4" t="s">
        <v>109</v>
      </c>
      <c r="AP181" s="1">
        <v>15</v>
      </c>
      <c r="AQ181" s="38">
        <v>49</v>
      </c>
    </row>
    <row r="182" spans="1:43" ht="18.75" customHeight="1" x14ac:dyDescent="0.3">
      <c r="A182" s="4">
        <v>2411487</v>
      </c>
      <c r="B182" s="110" t="s">
        <v>930</v>
      </c>
      <c r="C182" s="4" t="e" vm="5">
        <v>#VALUE!</v>
      </c>
      <c r="D182" s="4" t="s">
        <v>17</v>
      </c>
      <c r="E182" s="4" t="s">
        <v>71</v>
      </c>
      <c r="F182" s="4" t="s">
        <v>14</v>
      </c>
      <c r="G182" s="4">
        <v>15.21</v>
      </c>
      <c r="H182" s="4" t="s">
        <v>237</v>
      </c>
      <c r="I182" s="4">
        <v>26</v>
      </c>
      <c r="J182" s="1" t="s">
        <v>143</v>
      </c>
      <c r="K182" s="127"/>
      <c r="L182" s="1" t="s">
        <v>1853</v>
      </c>
      <c r="M182" s="1" t="s">
        <v>2236</v>
      </c>
      <c r="N182" s="127"/>
      <c r="O182" s="1" t="s">
        <v>109</v>
      </c>
      <c r="P182" s="1" t="s">
        <v>109</v>
      </c>
      <c r="Q182" s="127"/>
      <c r="R182" s="56">
        <v>45621</v>
      </c>
      <c r="S182" s="56">
        <v>45628</v>
      </c>
      <c r="T182" s="1" t="s">
        <v>1819</v>
      </c>
      <c r="U182" s="56">
        <v>45985</v>
      </c>
      <c r="V182" s="39" t="s">
        <v>1853</v>
      </c>
      <c r="W182" s="1" t="s">
        <v>1853</v>
      </c>
      <c r="X182" s="4" t="s">
        <v>109</v>
      </c>
      <c r="Y182" s="4" t="s">
        <v>1853</v>
      </c>
      <c r="Z182" s="4" t="s">
        <v>1855</v>
      </c>
      <c r="AA182" s="39">
        <v>45649</v>
      </c>
      <c r="AB182" s="39">
        <v>45661</v>
      </c>
      <c r="AC182" s="39" t="s">
        <v>1853</v>
      </c>
      <c r="AD182" s="39">
        <v>45666</v>
      </c>
      <c r="AE182" s="39">
        <v>45663</v>
      </c>
      <c r="AF182" s="56">
        <v>45666</v>
      </c>
      <c r="AG182" s="56">
        <v>45666</v>
      </c>
      <c r="AH182" s="56">
        <v>49340</v>
      </c>
      <c r="AJ182" s="4" t="s">
        <v>109</v>
      </c>
      <c r="AK182" s="4" t="s">
        <v>109</v>
      </c>
      <c r="AL182" s="4" t="s">
        <v>109</v>
      </c>
      <c r="AM182" s="4" t="s">
        <v>109</v>
      </c>
      <c r="AP182" s="1">
        <v>7</v>
      </c>
      <c r="AQ182" s="38">
        <v>60</v>
      </c>
    </row>
    <row r="183" spans="1:43" ht="18.75" customHeight="1" x14ac:dyDescent="0.3">
      <c r="A183" s="4">
        <v>2410476</v>
      </c>
      <c r="B183" s="110" t="s">
        <v>935</v>
      </c>
      <c r="C183" s="4" t="e" vm="8">
        <v>#VALUE!</v>
      </c>
      <c r="D183" s="4" t="s">
        <v>17</v>
      </c>
      <c r="E183" s="4" t="s">
        <v>71</v>
      </c>
      <c r="F183" s="4" t="s">
        <v>14</v>
      </c>
      <c r="G183" s="4">
        <v>7.02</v>
      </c>
      <c r="H183" s="4" t="s">
        <v>237</v>
      </c>
      <c r="I183" s="4">
        <v>12</v>
      </c>
      <c r="J183" s="1" t="s">
        <v>286</v>
      </c>
      <c r="K183" s="127"/>
      <c r="L183" s="1" t="s">
        <v>1853</v>
      </c>
      <c r="M183" s="1" t="s">
        <v>2236</v>
      </c>
      <c r="N183" s="127"/>
      <c r="O183" s="1" t="s">
        <v>109</v>
      </c>
      <c r="P183" s="1" t="s">
        <v>109</v>
      </c>
      <c r="Q183" s="127"/>
      <c r="R183" s="56">
        <v>45602</v>
      </c>
      <c r="S183" s="56">
        <v>45637</v>
      </c>
      <c r="T183" s="1" t="s">
        <v>1819</v>
      </c>
      <c r="U183" s="56"/>
      <c r="V183" s="39" t="s">
        <v>1853</v>
      </c>
      <c r="W183" s="1" t="s">
        <v>1853</v>
      </c>
      <c r="X183" s="4" t="s">
        <v>109</v>
      </c>
      <c r="Y183" s="4" t="s">
        <v>1853</v>
      </c>
      <c r="Z183" s="4" t="s">
        <v>1855</v>
      </c>
      <c r="AA183" s="39">
        <v>45660</v>
      </c>
      <c r="AB183" s="39" t="s">
        <v>1853</v>
      </c>
      <c r="AC183" s="39" t="s">
        <v>1853</v>
      </c>
      <c r="AD183" s="39" t="s">
        <v>1853</v>
      </c>
      <c r="AE183" s="39" t="s">
        <v>1853</v>
      </c>
      <c r="AF183" s="39">
        <v>45685</v>
      </c>
      <c r="AG183" s="56">
        <v>45685</v>
      </c>
      <c r="AH183" s="56">
        <v>49340</v>
      </c>
      <c r="AJ183" s="4" t="s">
        <v>109</v>
      </c>
      <c r="AK183" s="4" t="s">
        <v>109</v>
      </c>
      <c r="AL183" s="4" t="s">
        <v>109</v>
      </c>
      <c r="AM183" s="4" t="s">
        <v>109</v>
      </c>
      <c r="AP183" s="1">
        <v>35</v>
      </c>
      <c r="AQ183" s="38">
        <v>-57</v>
      </c>
    </row>
    <row r="184" spans="1:43" ht="18.75" customHeight="1" x14ac:dyDescent="0.3">
      <c r="A184" s="4">
        <v>2407376</v>
      </c>
      <c r="B184" s="110" t="s">
        <v>940</v>
      </c>
      <c r="C184" s="4" t="e" vm="11">
        <v>#VALUE!</v>
      </c>
      <c r="D184" s="4" t="s">
        <v>19</v>
      </c>
      <c r="E184" s="4" t="s">
        <v>71</v>
      </c>
      <c r="F184" s="4" t="s">
        <v>14</v>
      </c>
      <c r="G184" s="4">
        <v>10.53</v>
      </c>
      <c r="H184" s="4" t="s">
        <v>237</v>
      </c>
      <c r="I184" s="4">
        <v>18</v>
      </c>
      <c r="J184" s="1" t="s">
        <v>364</v>
      </c>
      <c r="K184" s="127"/>
      <c r="L184" s="1" t="s">
        <v>1853</v>
      </c>
      <c r="M184" s="1" t="s">
        <v>2236</v>
      </c>
      <c r="N184" s="127"/>
      <c r="O184" s="1" t="s">
        <v>109</v>
      </c>
      <c r="P184" s="1" t="s">
        <v>109</v>
      </c>
      <c r="Q184" s="127"/>
      <c r="R184" s="56">
        <v>45511</v>
      </c>
      <c r="S184" s="56">
        <v>45530</v>
      </c>
      <c r="T184" s="1" t="s">
        <v>1822</v>
      </c>
      <c r="U184" s="56">
        <v>45891</v>
      </c>
      <c r="V184" s="39" t="s">
        <v>1853</v>
      </c>
      <c r="W184" s="1" t="s">
        <v>1853</v>
      </c>
      <c r="X184" s="4" t="s">
        <v>109</v>
      </c>
      <c r="Y184" s="4" t="s">
        <v>1853</v>
      </c>
      <c r="Z184" s="4" t="s">
        <v>1853</v>
      </c>
      <c r="AA184" s="39">
        <v>45542</v>
      </c>
      <c r="AB184" s="39" t="s">
        <v>1853</v>
      </c>
      <c r="AC184" s="39" t="s">
        <v>1853</v>
      </c>
      <c r="AD184" s="39" t="s">
        <v>1853</v>
      </c>
      <c r="AE184" s="39">
        <v>45561</v>
      </c>
      <c r="AF184" s="39">
        <v>45564</v>
      </c>
      <c r="AG184" s="56">
        <v>45564</v>
      </c>
      <c r="AH184" s="56">
        <v>49217</v>
      </c>
      <c r="AJ184" s="4" t="s">
        <v>109</v>
      </c>
      <c r="AK184" s="4" t="s">
        <v>109</v>
      </c>
      <c r="AL184" s="4" t="s">
        <v>109</v>
      </c>
      <c r="AM184" s="4" t="s">
        <v>109</v>
      </c>
      <c r="AP184" s="1">
        <v>19</v>
      </c>
      <c r="AQ184" s="38">
        <v>166</v>
      </c>
    </row>
    <row r="185" spans="1:43" ht="18.75" customHeight="1" x14ac:dyDescent="0.3">
      <c r="A185" s="4">
        <v>2410482</v>
      </c>
      <c r="B185" s="110" t="s">
        <v>945</v>
      </c>
      <c r="C185" s="4" t="e" vm="5">
        <v>#VALUE!</v>
      </c>
      <c r="D185" s="4" t="s">
        <v>17</v>
      </c>
      <c r="E185" s="4" t="s">
        <v>71</v>
      </c>
      <c r="F185" s="4" t="s">
        <v>14</v>
      </c>
      <c r="G185" s="4">
        <v>8.7750000000000004</v>
      </c>
      <c r="H185" s="4" t="s">
        <v>237</v>
      </c>
      <c r="I185" s="4">
        <v>15</v>
      </c>
      <c r="J185" s="1" t="s">
        <v>364</v>
      </c>
      <c r="K185" s="127"/>
      <c r="L185" s="1" t="s">
        <v>1853</v>
      </c>
      <c r="M185" s="1" t="s">
        <v>2236</v>
      </c>
      <c r="N185" s="127"/>
      <c r="O185" s="1" t="s">
        <v>109</v>
      </c>
      <c r="P185" s="1" t="s">
        <v>109</v>
      </c>
      <c r="Q185" s="127"/>
      <c r="R185" s="56">
        <v>45621</v>
      </c>
      <c r="S185" s="56">
        <v>45632</v>
      </c>
      <c r="T185" s="1" t="s">
        <v>1819</v>
      </c>
      <c r="U185" s="56"/>
      <c r="V185" s="39" t="s">
        <v>1853</v>
      </c>
      <c r="W185" s="1" t="s">
        <v>1853</v>
      </c>
      <c r="X185" s="4" t="s">
        <v>109</v>
      </c>
      <c r="Y185" s="4" t="s">
        <v>1853</v>
      </c>
      <c r="Z185" s="4" t="s">
        <v>1853</v>
      </c>
      <c r="AA185" s="39">
        <v>45666</v>
      </c>
      <c r="AB185" s="39">
        <v>45685</v>
      </c>
      <c r="AC185" s="39" t="s">
        <v>1853</v>
      </c>
      <c r="AD185" s="39">
        <v>45693</v>
      </c>
      <c r="AE185" s="39">
        <v>45691</v>
      </c>
      <c r="AF185" s="39">
        <v>45693</v>
      </c>
      <c r="AG185" s="56">
        <v>45693</v>
      </c>
      <c r="AH185" s="56">
        <v>45716</v>
      </c>
      <c r="AJ185" s="4" t="s">
        <v>109</v>
      </c>
      <c r="AK185" s="4" t="s">
        <v>109</v>
      </c>
      <c r="AL185" s="4" t="s">
        <v>109</v>
      </c>
      <c r="AM185" s="4" t="s">
        <v>109</v>
      </c>
      <c r="AP185" s="1">
        <v>11</v>
      </c>
      <c r="AQ185" s="38">
        <v>-45596</v>
      </c>
    </row>
    <row r="186" spans="1:43" s="172" customFormat="1" ht="18.75" customHeight="1" x14ac:dyDescent="0.3">
      <c r="A186" s="165">
        <v>2410471</v>
      </c>
      <c r="B186" s="166" t="s">
        <v>950</v>
      </c>
      <c r="C186" s="165" t="e" vm="11">
        <v>#VALUE!</v>
      </c>
      <c r="D186" s="165" t="s">
        <v>19</v>
      </c>
      <c r="E186" s="165" t="s">
        <v>71</v>
      </c>
      <c r="F186" s="165" t="s">
        <v>14</v>
      </c>
      <c r="G186" s="165">
        <v>17.55</v>
      </c>
      <c r="H186" s="165" t="s">
        <v>237</v>
      </c>
      <c r="I186" s="165">
        <v>30</v>
      </c>
      <c r="J186" s="167" t="s">
        <v>143</v>
      </c>
      <c r="K186" s="168"/>
      <c r="L186" s="167" t="s">
        <v>2246</v>
      </c>
      <c r="M186" s="167" t="s">
        <v>2240</v>
      </c>
      <c r="N186" s="168"/>
      <c r="O186" s="167" t="s">
        <v>109</v>
      </c>
      <c r="P186" s="167" t="s">
        <v>109</v>
      </c>
      <c r="Q186" s="168"/>
      <c r="R186" s="169">
        <v>45580</v>
      </c>
      <c r="S186" s="169">
        <v>45608</v>
      </c>
      <c r="T186" s="167" t="s">
        <v>1819</v>
      </c>
      <c r="U186" s="169">
        <v>45944</v>
      </c>
      <c r="V186" s="170" t="s">
        <v>1853</v>
      </c>
      <c r="W186" s="167" t="s">
        <v>1853</v>
      </c>
      <c r="X186" s="165" t="s">
        <v>109</v>
      </c>
      <c r="Y186" s="165" t="s">
        <v>1853</v>
      </c>
      <c r="Z186" s="165"/>
      <c r="AA186" s="170"/>
      <c r="AB186" s="170"/>
      <c r="AC186" s="170"/>
      <c r="AD186" s="170"/>
      <c r="AE186" s="170"/>
      <c r="AF186" s="170"/>
      <c r="AG186" s="169"/>
      <c r="AH186" s="169"/>
      <c r="AI186" s="171"/>
      <c r="AJ186" s="165" t="s">
        <v>109</v>
      </c>
      <c r="AK186" s="165" t="s">
        <v>109</v>
      </c>
      <c r="AL186" s="165" t="s">
        <v>109</v>
      </c>
      <c r="AM186" s="165" t="s">
        <v>109</v>
      </c>
      <c r="AP186" s="167">
        <v>28</v>
      </c>
      <c r="AQ186" s="173">
        <v>74</v>
      </c>
    </row>
    <row r="187" spans="1:43" ht="18.75" customHeight="1" x14ac:dyDescent="0.3">
      <c r="A187" s="4">
        <v>2411489</v>
      </c>
      <c r="B187" s="110" t="s">
        <v>955</v>
      </c>
      <c r="C187" s="4" t="e" vm="5">
        <v>#VALUE!</v>
      </c>
      <c r="D187" s="4" t="s">
        <v>17</v>
      </c>
      <c r="E187" s="4" t="s">
        <v>71</v>
      </c>
      <c r="F187" s="4" t="s">
        <v>14</v>
      </c>
      <c r="G187" s="4">
        <v>14.04</v>
      </c>
      <c r="H187" s="4" t="s">
        <v>237</v>
      </c>
      <c r="I187" s="4">
        <v>24</v>
      </c>
      <c r="J187" s="1" t="s">
        <v>143</v>
      </c>
      <c r="K187" s="127"/>
      <c r="L187" s="1" t="s">
        <v>1853</v>
      </c>
      <c r="M187" s="1" t="s">
        <v>2236</v>
      </c>
      <c r="N187" s="127"/>
      <c r="O187" s="1" t="s">
        <v>109</v>
      </c>
      <c r="P187" s="1" t="s">
        <v>109</v>
      </c>
      <c r="Q187" s="127"/>
      <c r="R187" s="56">
        <v>45624</v>
      </c>
      <c r="S187" s="56">
        <v>45629</v>
      </c>
      <c r="T187" s="1" t="s">
        <v>1822</v>
      </c>
      <c r="U187" s="56">
        <v>45775</v>
      </c>
      <c r="V187" s="39" t="s">
        <v>1853</v>
      </c>
      <c r="W187" s="1" t="s">
        <v>1853</v>
      </c>
      <c r="X187" s="4" t="s">
        <v>109</v>
      </c>
      <c r="Y187" s="4" t="s">
        <v>1853</v>
      </c>
      <c r="Z187" s="4" t="s">
        <v>1853</v>
      </c>
      <c r="AA187" s="39">
        <v>45650</v>
      </c>
      <c r="AB187" s="39">
        <v>45661</v>
      </c>
      <c r="AC187" s="39" t="s">
        <v>1853</v>
      </c>
      <c r="AD187" s="39">
        <v>45666</v>
      </c>
      <c r="AE187" s="39">
        <v>45663</v>
      </c>
      <c r="AF187" s="39">
        <v>45666</v>
      </c>
      <c r="AG187" s="56">
        <v>45666</v>
      </c>
      <c r="AH187" s="56">
        <v>49340</v>
      </c>
      <c r="AJ187" s="4" t="s">
        <v>109</v>
      </c>
      <c r="AK187" s="4" t="s">
        <v>109</v>
      </c>
      <c r="AL187" s="4" t="s">
        <v>109</v>
      </c>
      <c r="AM187" s="4" t="s">
        <v>109</v>
      </c>
      <c r="AP187" s="1">
        <v>5</v>
      </c>
      <c r="AQ187" s="38">
        <v>56</v>
      </c>
    </row>
    <row r="188" spans="1:43" ht="18.75" customHeight="1" x14ac:dyDescent="0.3">
      <c r="A188" s="4">
        <v>2411486</v>
      </c>
      <c r="B188" s="110" t="s">
        <v>960</v>
      </c>
      <c r="C188" s="4" t="e" vm="5">
        <v>#VALUE!</v>
      </c>
      <c r="D188" s="4" t="s">
        <v>17</v>
      </c>
      <c r="E188" s="4" t="s">
        <v>71</v>
      </c>
      <c r="F188" s="4" t="s">
        <v>14</v>
      </c>
      <c r="G188" s="4">
        <v>13.455</v>
      </c>
      <c r="H188" s="4" t="s">
        <v>237</v>
      </c>
      <c r="I188" s="4">
        <v>23</v>
      </c>
      <c r="J188" s="1" t="s">
        <v>111</v>
      </c>
      <c r="K188" s="127"/>
      <c r="L188" s="1" t="s">
        <v>1853</v>
      </c>
      <c r="M188" s="1" t="s">
        <v>2236</v>
      </c>
      <c r="N188" s="127"/>
      <c r="O188" s="1" t="s">
        <v>109</v>
      </c>
      <c r="P188" s="1" t="s">
        <v>109</v>
      </c>
      <c r="Q188" s="127"/>
      <c r="R188" s="56">
        <v>45635</v>
      </c>
      <c r="S188" s="56">
        <v>45643</v>
      </c>
      <c r="T188" s="1" t="s">
        <v>1822</v>
      </c>
      <c r="U188" s="56">
        <v>45768</v>
      </c>
      <c r="V188" s="39" t="s">
        <v>1853</v>
      </c>
      <c r="W188" s="1" t="s">
        <v>1853</v>
      </c>
      <c r="X188" s="4" t="s">
        <v>109</v>
      </c>
      <c r="Y188" s="4" t="s">
        <v>1853</v>
      </c>
      <c r="Z188" s="4" t="s">
        <v>1853</v>
      </c>
      <c r="AA188" s="39">
        <v>45678</v>
      </c>
      <c r="AB188" s="39">
        <v>45684</v>
      </c>
      <c r="AC188" s="39" t="s">
        <v>1853</v>
      </c>
      <c r="AD188" s="39">
        <v>45688</v>
      </c>
      <c r="AE188" s="56">
        <v>45685</v>
      </c>
      <c r="AF188" s="56">
        <v>45688</v>
      </c>
      <c r="AG188" s="56">
        <v>45688</v>
      </c>
      <c r="AH188" s="56">
        <v>49340</v>
      </c>
      <c r="AJ188" s="4" t="s">
        <v>109</v>
      </c>
      <c r="AK188" s="4" t="s">
        <v>109</v>
      </c>
      <c r="AL188" s="4" t="s">
        <v>109</v>
      </c>
      <c r="AM188" s="4" t="s">
        <v>109</v>
      </c>
      <c r="AP188" s="1">
        <v>8</v>
      </c>
      <c r="AQ188" s="38">
        <v>42</v>
      </c>
    </row>
    <row r="189" spans="1:43" ht="18.75" customHeight="1" x14ac:dyDescent="0.3">
      <c r="A189" s="4">
        <v>2411500</v>
      </c>
      <c r="B189" s="110" t="s">
        <v>966</v>
      </c>
      <c r="C189" s="4" t="e" vm="5">
        <v>#VALUE!</v>
      </c>
      <c r="D189" s="4" t="s">
        <v>17</v>
      </c>
      <c r="E189" s="4" t="s">
        <v>71</v>
      </c>
      <c r="F189" s="4" t="s">
        <v>14</v>
      </c>
      <c r="G189" s="4">
        <v>14.16</v>
      </c>
      <c r="H189" s="4" t="s">
        <v>243</v>
      </c>
      <c r="I189" s="4">
        <v>24</v>
      </c>
      <c r="J189" s="1" t="s">
        <v>143</v>
      </c>
      <c r="K189" s="127"/>
      <c r="L189" s="1" t="s">
        <v>1853</v>
      </c>
      <c r="M189" s="1" t="s">
        <v>2236</v>
      </c>
      <c r="N189" s="127"/>
      <c r="O189" s="1" t="s">
        <v>109</v>
      </c>
      <c r="P189" s="1" t="s">
        <v>109</v>
      </c>
      <c r="Q189" s="127"/>
      <c r="R189" s="56">
        <v>45636</v>
      </c>
      <c r="S189" s="56">
        <v>45643</v>
      </c>
      <c r="T189" s="1" t="s">
        <v>1822</v>
      </c>
      <c r="U189" s="56">
        <v>45768</v>
      </c>
      <c r="V189" s="39" t="s">
        <v>1853</v>
      </c>
      <c r="W189" s="1" t="s">
        <v>1853</v>
      </c>
      <c r="X189" s="4" t="s">
        <v>109</v>
      </c>
      <c r="Y189" s="4" t="s">
        <v>1853</v>
      </c>
      <c r="Z189" s="4" t="s">
        <v>1853</v>
      </c>
      <c r="AA189" s="39">
        <v>45670</v>
      </c>
      <c r="AB189" s="39">
        <v>45683</v>
      </c>
      <c r="AC189" s="39" t="s">
        <v>1853</v>
      </c>
      <c r="AD189" s="39">
        <v>45694</v>
      </c>
      <c r="AE189" s="56">
        <v>45693</v>
      </c>
      <c r="AF189" s="56">
        <v>45694</v>
      </c>
      <c r="AG189" s="56">
        <v>45694</v>
      </c>
      <c r="AH189" s="56">
        <v>49368</v>
      </c>
      <c r="AJ189" s="4" t="s">
        <v>109</v>
      </c>
      <c r="AK189" s="4" t="s">
        <v>109</v>
      </c>
      <c r="AL189" s="4" t="s">
        <v>109</v>
      </c>
      <c r="AM189" s="4" t="s">
        <v>109</v>
      </c>
      <c r="AP189" s="1">
        <v>7</v>
      </c>
      <c r="AQ189" s="38" t="e">
        <v>#VALUE!</v>
      </c>
    </row>
    <row r="190" spans="1:43" ht="18.75" customHeight="1" x14ac:dyDescent="0.3">
      <c r="A190" s="4">
        <v>2410034</v>
      </c>
      <c r="B190" s="110" t="s">
        <v>971</v>
      </c>
      <c r="C190" s="4" t="e" vm="5">
        <v>#VALUE!</v>
      </c>
      <c r="D190" s="4" t="s">
        <v>19</v>
      </c>
      <c r="E190" s="4" t="s">
        <v>206</v>
      </c>
      <c r="F190" s="4" t="s">
        <v>18</v>
      </c>
      <c r="G190" s="4">
        <v>0</v>
      </c>
      <c r="H190" s="4" t="s">
        <v>18</v>
      </c>
      <c r="I190" s="4" t="s">
        <v>18</v>
      </c>
      <c r="J190" s="1" t="s">
        <v>18</v>
      </c>
      <c r="K190" s="127"/>
      <c r="L190" s="1" t="s">
        <v>1853</v>
      </c>
      <c r="M190" s="1" t="s">
        <v>2236</v>
      </c>
      <c r="N190" s="127"/>
      <c r="O190" s="1" t="s">
        <v>109</v>
      </c>
      <c r="P190" s="1" t="s">
        <v>109</v>
      </c>
      <c r="Q190" s="127"/>
      <c r="R190" s="56" t="s">
        <v>109</v>
      </c>
      <c r="S190" s="56" t="s">
        <v>109</v>
      </c>
      <c r="T190" s="56" t="s">
        <v>109</v>
      </c>
      <c r="U190" s="56" t="s">
        <v>109</v>
      </c>
      <c r="V190" s="39" t="s">
        <v>1853</v>
      </c>
      <c r="W190" s="1" t="s">
        <v>1853</v>
      </c>
      <c r="X190" s="4" t="s">
        <v>109</v>
      </c>
      <c r="Y190" s="4" t="s">
        <v>1853</v>
      </c>
      <c r="Z190" s="4" t="s">
        <v>1853</v>
      </c>
      <c r="AA190" s="39" t="s">
        <v>1853</v>
      </c>
      <c r="AB190" s="39" t="s">
        <v>109</v>
      </c>
      <c r="AC190" s="39" t="s">
        <v>109</v>
      </c>
      <c r="AD190" s="39" t="s">
        <v>109</v>
      </c>
      <c r="AE190" s="39" t="s">
        <v>109</v>
      </c>
      <c r="AF190" s="39" t="s">
        <v>109</v>
      </c>
      <c r="AG190" s="39" t="s">
        <v>109</v>
      </c>
      <c r="AH190" s="39" t="s">
        <v>109</v>
      </c>
      <c r="AJ190" s="4" t="s">
        <v>109</v>
      </c>
      <c r="AK190" s="4" t="s">
        <v>109</v>
      </c>
      <c r="AL190" s="4" t="s">
        <v>109</v>
      </c>
      <c r="AM190" s="4" t="s">
        <v>109</v>
      </c>
      <c r="AP190" s="1" t="e">
        <v>#VALUE!</v>
      </c>
      <c r="AQ190" s="38">
        <v>101</v>
      </c>
    </row>
    <row r="191" spans="1:43" s="217" customFormat="1" ht="18.75" customHeight="1" x14ac:dyDescent="0.3">
      <c r="A191" s="210">
        <v>2411494</v>
      </c>
      <c r="B191" s="211" t="s">
        <v>973</v>
      </c>
      <c r="C191" s="210" t="e" vm="11">
        <v>#VALUE!</v>
      </c>
      <c r="D191" s="210" t="s">
        <v>19</v>
      </c>
      <c r="E191" s="210" t="s">
        <v>71</v>
      </c>
      <c r="F191" s="210" t="s">
        <v>14</v>
      </c>
      <c r="G191" s="210">
        <v>17.55</v>
      </c>
      <c r="H191" s="210" t="s">
        <v>237</v>
      </c>
      <c r="I191" s="210">
        <v>30</v>
      </c>
      <c r="J191" s="212" t="s">
        <v>143</v>
      </c>
      <c r="K191" s="213"/>
      <c r="L191" s="212" t="s">
        <v>2241</v>
      </c>
      <c r="M191" s="212" t="s">
        <v>2236</v>
      </c>
      <c r="N191" s="213"/>
      <c r="O191" s="212" t="s">
        <v>109</v>
      </c>
      <c r="P191" s="212" t="s">
        <v>109</v>
      </c>
      <c r="Q191" s="213"/>
      <c r="R191" s="214">
        <v>45635</v>
      </c>
      <c r="S191" s="214">
        <v>45643</v>
      </c>
      <c r="T191" s="212" t="s">
        <v>1819</v>
      </c>
      <c r="U191" s="214"/>
      <c r="V191" s="215" t="s">
        <v>1853</v>
      </c>
      <c r="W191" s="212" t="s">
        <v>1853</v>
      </c>
      <c r="X191" s="210" t="s">
        <v>109</v>
      </c>
      <c r="Y191" s="210" t="s">
        <v>1853</v>
      </c>
      <c r="Z191" s="210" t="s">
        <v>1853</v>
      </c>
      <c r="AA191" s="215">
        <v>45722</v>
      </c>
      <c r="AB191" s="215">
        <v>45741</v>
      </c>
      <c r="AC191" s="215" t="s">
        <v>1857</v>
      </c>
      <c r="AD191" s="215">
        <v>45755</v>
      </c>
      <c r="AE191" s="214">
        <v>45755</v>
      </c>
      <c r="AF191" s="214" t="s">
        <v>1853</v>
      </c>
      <c r="AG191" s="214"/>
      <c r="AH191" s="214"/>
      <c r="AI191" s="216"/>
      <c r="AJ191" s="210" t="s">
        <v>109</v>
      </c>
      <c r="AK191" s="210" t="s">
        <v>109</v>
      </c>
      <c r="AL191" s="210" t="s">
        <v>109</v>
      </c>
      <c r="AM191" s="210" t="s">
        <v>109</v>
      </c>
      <c r="AP191" s="212">
        <v>8</v>
      </c>
      <c r="AQ191" s="218">
        <v>50</v>
      </c>
    </row>
    <row r="192" spans="1:43" ht="18.75" customHeight="1" x14ac:dyDescent="0.3">
      <c r="A192" s="4">
        <v>2411496</v>
      </c>
      <c r="B192" s="110" t="s">
        <v>978</v>
      </c>
      <c r="C192" s="4" t="e" vm="4">
        <v>#VALUE!</v>
      </c>
      <c r="D192" s="4" t="s">
        <v>17</v>
      </c>
      <c r="E192" s="4" t="s">
        <v>71</v>
      </c>
      <c r="F192" s="4" t="s">
        <v>14</v>
      </c>
      <c r="G192" s="4">
        <v>9.36</v>
      </c>
      <c r="H192" s="4" t="s">
        <v>237</v>
      </c>
      <c r="I192" s="4">
        <v>16</v>
      </c>
      <c r="J192" s="1" t="s">
        <v>364</v>
      </c>
      <c r="K192" s="127"/>
      <c r="L192" s="1" t="s">
        <v>1853</v>
      </c>
      <c r="M192" s="1" t="s">
        <v>2236</v>
      </c>
      <c r="N192" s="127"/>
      <c r="O192" s="1" t="s">
        <v>109</v>
      </c>
      <c r="P192" s="1" t="s">
        <v>109</v>
      </c>
      <c r="Q192" s="127"/>
      <c r="R192" s="56">
        <v>45654</v>
      </c>
      <c r="S192" s="56">
        <v>45657</v>
      </c>
      <c r="T192" s="1" t="s">
        <v>1822</v>
      </c>
      <c r="U192" s="56">
        <v>45792</v>
      </c>
      <c r="V192" s="39" t="s">
        <v>1853</v>
      </c>
      <c r="W192" s="1" t="s">
        <v>1853</v>
      </c>
      <c r="X192" s="4" t="s">
        <v>109</v>
      </c>
      <c r="Y192" s="4" t="s">
        <v>1853</v>
      </c>
      <c r="Z192" s="4" t="s">
        <v>1855</v>
      </c>
      <c r="AA192" s="39">
        <v>45672</v>
      </c>
      <c r="AB192" s="39">
        <v>45685</v>
      </c>
      <c r="AC192" s="39" t="s">
        <v>1853</v>
      </c>
      <c r="AD192" s="39">
        <v>45690</v>
      </c>
      <c r="AE192" s="56">
        <v>45685</v>
      </c>
      <c r="AF192" s="56">
        <v>45690</v>
      </c>
      <c r="AG192" s="56">
        <v>45690</v>
      </c>
      <c r="AH192" s="56">
        <v>49368</v>
      </c>
      <c r="AJ192" s="4" t="s">
        <v>109</v>
      </c>
      <c r="AK192" s="4" t="s">
        <v>109</v>
      </c>
      <c r="AL192" s="4" t="s">
        <v>109</v>
      </c>
      <c r="AM192" s="4" t="s">
        <v>109</v>
      </c>
      <c r="AP192" s="1">
        <v>3</v>
      </c>
      <c r="AQ192" s="38">
        <v>71</v>
      </c>
    </row>
    <row r="193" spans="1:43" s="217" customFormat="1" ht="18.75" customHeight="1" x14ac:dyDescent="0.3">
      <c r="A193" s="210">
        <v>2404224</v>
      </c>
      <c r="B193" s="211" t="s">
        <v>983</v>
      </c>
      <c r="C193" s="210" t="e" vm="5">
        <v>#VALUE!</v>
      </c>
      <c r="D193" s="210" t="s">
        <v>17</v>
      </c>
      <c r="E193" s="210" t="s">
        <v>71</v>
      </c>
      <c r="F193" s="210" t="s">
        <v>14</v>
      </c>
      <c r="G193" s="210">
        <v>17.7</v>
      </c>
      <c r="H193" s="210" t="s">
        <v>243</v>
      </c>
      <c r="I193" s="210">
        <v>30</v>
      </c>
      <c r="J193" s="212" t="s">
        <v>143</v>
      </c>
      <c r="K193" s="213"/>
      <c r="L193" s="212" t="s">
        <v>2241</v>
      </c>
      <c r="M193" s="212" t="s">
        <v>2236</v>
      </c>
      <c r="N193" s="213"/>
      <c r="O193" s="212" t="s">
        <v>109</v>
      </c>
      <c r="P193" s="212" t="s">
        <v>109</v>
      </c>
      <c r="Q193" s="213"/>
      <c r="R193" s="214">
        <v>45656</v>
      </c>
      <c r="S193" s="214">
        <v>45660</v>
      </c>
      <c r="T193" s="212" t="s">
        <v>1819</v>
      </c>
      <c r="U193" s="214"/>
      <c r="V193" s="215" t="s">
        <v>1853</v>
      </c>
      <c r="W193" s="212" t="s">
        <v>1853</v>
      </c>
      <c r="X193" s="210" t="s">
        <v>109</v>
      </c>
      <c r="Y193" s="210" t="s">
        <v>1853</v>
      </c>
      <c r="Z193" s="210" t="s">
        <v>1855</v>
      </c>
      <c r="AA193" s="215">
        <v>45693</v>
      </c>
      <c r="AB193" s="215">
        <v>45697</v>
      </c>
      <c r="AC193" s="215" t="s">
        <v>1853</v>
      </c>
      <c r="AD193" s="215">
        <v>45701</v>
      </c>
      <c r="AE193" s="214">
        <v>45700</v>
      </c>
      <c r="AF193" s="214">
        <v>45701</v>
      </c>
      <c r="AG193" s="214"/>
      <c r="AH193" s="214"/>
      <c r="AI193" s="216"/>
      <c r="AJ193" s="210" t="s">
        <v>109</v>
      </c>
      <c r="AK193" s="210" t="s">
        <v>109</v>
      </c>
      <c r="AL193" s="210" t="s">
        <v>109</v>
      </c>
      <c r="AM193" s="210" t="s">
        <v>109</v>
      </c>
      <c r="AP193" s="212">
        <v>4</v>
      </c>
      <c r="AQ193" s="218">
        <v>93</v>
      </c>
    </row>
    <row r="194" spans="1:43" s="217" customFormat="1" ht="18.75" customHeight="1" x14ac:dyDescent="0.3">
      <c r="A194" s="210">
        <v>2411491</v>
      </c>
      <c r="B194" s="211" t="s">
        <v>990</v>
      </c>
      <c r="C194" s="210" t="e" vm="11">
        <v>#VALUE!</v>
      </c>
      <c r="D194" s="210" t="s">
        <v>19</v>
      </c>
      <c r="E194" s="210" t="s">
        <v>71</v>
      </c>
      <c r="F194" s="210" t="s">
        <v>14</v>
      </c>
      <c r="G194" s="210">
        <v>11.7</v>
      </c>
      <c r="H194" s="210" t="s">
        <v>237</v>
      </c>
      <c r="I194" s="210">
        <v>20</v>
      </c>
      <c r="J194" s="212" t="s">
        <v>111</v>
      </c>
      <c r="K194" s="213"/>
      <c r="L194" s="212" t="s">
        <v>2241</v>
      </c>
      <c r="M194" s="212" t="s">
        <v>2236</v>
      </c>
      <c r="N194" s="213"/>
      <c r="O194" s="212" t="s">
        <v>109</v>
      </c>
      <c r="P194" s="212" t="s">
        <v>109</v>
      </c>
      <c r="Q194" s="213"/>
      <c r="R194" s="214">
        <v>45656</v>
      </c>
      <c r="S194" s="214">
        <v>45679</v>
      </c>
      <c r="T194" s="212" t="s">
        <v>1819</v>
      </c>
      <c r="U194" s="214"/>
      <c r="V194" s="215" t="s">
        <v>1853</v>
      </c>
      <c r="W194" s="212" t="s">
        <v>1853</v>
      </c>
      <c r="X194" s="210" t="s">
        <v>109</v>
      </c>
      <c r="Y194" s="210" t="s">
        <v>1853</v>
      </c>
      <c r="Z194" s="210" t="s">
        <v>1854</v>
      </c>
      <c r="AA194" s="215">
        <v>45717</v>
      </c>
      <c r="AB194" s="215">
        <v>45743</v>
      </c>
      <c r="AC194" s="215" t="s">
        <v>1853</v>
      </c>
      <c r="AD194" s="215">
        <v>45760</v>
      </c>
      <c r="AE194" s="214">
        <v>45750</v>
      </c>
      <c r="AF194" s="212" t="s">
        <v>1853</v>
      </c>
      <c r="AG194" s="214"/>
      <c r="AH194" s="214"/>
      <c r="AI194" s="216"/>
      <c r="AJ194" s="210" t="s">
        <v>109</v>
      </c>
      <c r="AK194" s="210" t="s">
        <v>109</v>
      </c>
      <c r="AL194" s="210" t="s">
        <v>109</v>
      </c>
      <c r="AM194" s="210" t="s">
        <v>109</v>
      </c>
      <c r="AP194" s="212">
        <v>23</v>
      </c>
      <c r="AQ194" s="218">
        <v>28</v>
      </c>
    </row>
    <row r="195" spans="1:43" ht="18.75" customHeight="1" x14ac:dyDescent="0.3">
      <c r="A195" s="4">
        <v>2411490</v>
      </c>
      <c r="B195" s="110" t="s">
        <v>995</v>
      </c>
      <c r="C195" s="4" t="e" vm="8">
        <v>#VALUE!</v>
      </c>
      <c r="D195" s="4" t="s">
        <v>19</v>
      </c>
      <c r="E195" s="4" t="s">
        <v>71</v>
      </c>
      <c r="F195" s="4" t="s">
        <v>14</v>
      </c>
      <c r="G195" s="4">
        <v>7.02</v>
      </c>
      <c r="H195" s="4" t="s">
        <v>237</v>
      </c>
      <c r="I195" s="4">
        <v>12</v>
      </c>
      <c r="J195" s="1" t="s">
        <v>286</v>
      </c>
      <c r="K195" s="127"/>
      <c r="L195" s="1" t="s">
        <v>1853</v>
      </c>
      <c r="M195" s="1" t="s">
        <v>2238</v>
      </c>
      <c r="N195" s="127"/>
      <c r="O195" s="1" t="s">
        <v>109</v>
      </c>
      <c r="P195" s="1" t="s">
        <v>109</v>
      </c>
      <c r="Q195" s="127"/>
      <c r="R195" s="56">
        <v>45640</v>
      </c>
      <c r="S195" s="56">
        <v>45643</v>
      </c>
      <c r="T195" s="1" t="s">
        <v>1822</v>
      </c>
      <c r="U195" s="56">
        <v>45776</v>
      </c>
      <c r="V195" s="39" t="s">
        <v>1853</v>
      </c>
      <c r="W195" s="1" t="s">
        <v>1853</v>
      </c>
      <c r="X195" s="4" t="s">
        <v>109</v>
      </c>
      <c r="Y195" s="4" t="s">
        <v>1853</v>
      </c>
      <c r="Z195" s="4" t="s">
        <v>1855</v>
      </c>
      <c r="AA195" s="39">
        <v>45659</v>
      </c>
      <c r="AB195" s="39">
        <v>45673</v>
      </c>
      <c r="AC195" s="39" t="s">
        <v>1853</v>
      </c>
      <c r="AD195" s="39">
        <v>45691</v>
      </c>
      <c r="AE195" s="56">
        <v>45674</v>
      </c>
      <c r="AF195" s="56">
        <v>45691</v>
      </c>
      <c r="AG195" s="56">
        <v>45691</v>
      </c>
      <c r="AH195" s="56">
        <v>49368</v>
      </c>
      <c r="AJ195" s="4" t="s">
        <v>109</v>
      </c>
      <c r="AK195" s="4" t="s">
        <v>109</v>
      </c>
      <c r="AL195" s="4" t="s">
        <v>109</v>
      </c>
      <c r="AM195" s="4" t="s">
        <v>109</v>
      </c>
      <c r="AP195" s="1">
        <v>3</v>
      </c>
      <c r="AQ195" s="38">
        <v>37</v>
      </c>
    </row>
    <row r="196" spans="1:43" ht="18.75" customHeight="1" x14ac:dyDescent="0.3">
      <c r="A196" s="4">
        <v>2412504</v>
      </c>
      <c r="B196" s="110" t="s">
        <v>1001</v>
      </c>
      <c r="C196" s="4" t="e" vm="11">
        <v>#VALUE!</v>
      </c>
      <c r="D196" s="4" t="s">
        <v>22</v>
      </c>
      <c r="E196" s="4" t="s">
        <v>71</v>
      </c>
      <c r="F196" s="4" t="s">
        <v>14</v>
      </c>
      <c r="G196" s="4">
        <v>9.36</v>
      </c>
      <c r="H196" s="4" t="s">
        <v>237</v>
      </c>
      <c r="I196" s="4">
        <v>16</v>
      </c>
      <c r="J196" s="1" t="s">
        <v>364</v>
      </c>
      <c r="K196" s="127"/>
      <c r="L196" s="1" t="s">
        <v>1853</v>
      </c>
      <c r="M196" s="1" t="s">
        <v>2236</v>
      </c>
      <c r="N196" s="127"/>
      <c r="O196" s="1" t="s">
        <v>109</v>
      </c>
      <c r="P196" s="1" t="s">
        <v>109</v>
      </c>
      <c r="Q196" s="127"/>
      <c r="R196" s="56">
        <v>45654</v>
      </c>
      <c r="S196" s="56">
        <v>45657</v>
      </c>
      <c r="T196" s="1" t="s">
        <v>1822</v>
      </c>
      <c r="U196" s="56">
        <v>45891</v>
      </c>
      <c r="V196" s="39" t="s">
        <v>1853</v>
      </c>
      <c r="W196" s="1" t="s">
        <v>1853</v>
      </c>
      <c r="X196" s="4" t="s">
        <v>109</v>
      </c>
      <c r="Y196" s="4" t="s">
        <v>1853</v>
      </c>
      <c r="Z196" s="4" t="s">
        <v>1854</v>
      </c>
      <c r="AA196" s="39">
        <v>45668</v>
      </c>
      <c r="AB196" s="39">
        <v>45693</v>
      </c>
      <c r="AC196" s="39" t="s">
        <v>1853</v>
      </c>
      <c r="AD196" s="39">
        <v>45705</v>
      </c>
      <c r="AE196" s="56">
        <v>45692</v>
      </c>
      <c r="AF196" s="56">
        <v>45705</v>
      </c>
      <c r="AG196" s="56">
        <v>45705</v>
      </c>
      <c r="AH196" s="56">
        <v>49368</v>
      </c>
      <c r="AJ196" s="4" t="s">
        <v>109</v>
      </c>
      <c r="AK196" s="4" t="s">
        <v>109</v>
      </c>
      <c r="AL196" s="4" t="s">
        <v>109</v>
      </c>
      <c r="AM196" s="4" t="s">
        <v>109</v>
      </c>
      <c r="AP196" s="1">
        <v>3</v>
      </c>
      <c r="AQ196" s="38">
        <v>33</v>
      </c>
    </row>
    <row r="197" spans="1:43" s="217" customFormat="1" ht="18.75" customHeight="1" x14ac:dyDescent="0.3">
      <c r="A197" s="210">
        <v>2412503</v>
      </c>
      <c r="B197" s="211" t="s">
        <v>1006</v>
      </c>
      <c r="C197" s="210" t="e" vm="11">
        <v>#VALUE!</v>
      </c>
      <c r="D197" s="210" t="s">
        <v>19</v>
      </c>
      <c r="E197" s="210" t="s">
        <v>71</v>
      </c>
      <c r="F197" s="210" t="s">
        <v>14</v>
      </c>
      <c r="G197" s="210">
        <v>14.04</v>
      </c>
      <c r="H197" s="210" t="s">
        <v>237</v>
      </c>
      <c r="I197" s="210">
        <v>24</v>
      </c>
      <c r="J197" s="212" t="s">
        <v>143</v>
      </c>
      <c r="K197" s="213"/>
      <c r="L197" s="212" t="s">
        <v>2241</v>
      </c>
      <c r="M197" s="212" t="s">
        <v>2236</v>
      </c>
      <c r="N197" s="213"/>
      <c r="O197" s="212" t="s">
        <v>109</v>
      </c>
      <c r="P197" s="212" t="s">
        <v>109</v>
      </c>
      <c r="Q197" s="213"/>
      <c r="R197" s="214">
        <v>45654</v>
      </c>
      <c r="S197" s="214">
        <v>45657</v>
      </c>
      <c r="T197" s="212" t="s">
        <v>1819</v>
      </c>
      <c r="U197" s="214"/>
      <c r="V197" s="215" t="s">
        <v>1853</v>
      </c>
      <c r="W197" s="212" t="s">
        <v>1853</v>
      </c>
      <c r="X197" s="210" t="s">
        <v>109</v>
      </c>
      <c r="Y197" s="210" t="s">
        <v>1853</v>
      </c>
      <c r="Z197" s="210" t="s">
        <v>1854</v>
      </c>
      <c r="AA197" s="215">
        <v>45666</v>
      </c>
      <c r="AB197" s="215">
        <v>45707</v>
      </c>
      <c r="AC197" s="215" t="s">
        <v>1853</v>
      </c>
      <c r="AD197" s="215">
        <v>45712</v>
      </c>
      <c r="AE197" s="214">
        <v>45707</v>
      </c>
      <c r="AF197" s="214" t="s">
        <v>1853</v>
      </c>
      <c r="AG197" s="214"/>
      <c r="AH197" s="214"/>
      <c r="AI197" s="216"/>
      <c r="AJ197" s="210" t="s">
        <v>109</v>
      </c>
      <c r="AK197" s="210" t="s">
        <v>109</v>
      </c>
      <c r="AL197" s="210" t="s">
        <v>109</v>
      </c>
      <c r="AM197" s="210" t="s">
        <v>109</v>
      </c>
      <c r="AP197" s="212">
        <v>3</v>
      </c>
      <c r="AQ197" s="218">
        <v>58</v>
      </c>
    </row>
    <row r="198" spans="1:43" ht="18.75" customHeight="1" x14ac:dyDescent="0.3">
      <c r="A198" s="4">
        <v>2410033</v>
      </c>
      <c r="B198" s="110" t="s">
        <v>1011</v>
      </c>
      <c r="C198" s="4" t="e" vm="11">
        <v>#VALUE!</v>
      </c>
      <c r="D198" s="4" t="s">
        <v>19</v>
      </c>
      <c r="E198" s="4" t="s">
        <v>206</v>
      </c>
      <c r="F198" s="4" t="s">
        <v>18</v>
      </c>
      <c r="G198" s="4">
        <v>0</v>
      </c>
      <c r="H198" s="4" t="s">
        <v>18</v>
      </c>
      <c r="I198" s="4" t="s">
        <v>18</v>
      </c>
      <c r="J198" s="1" t="s">
        <v>18</v>
      </c>
      <c r="K198" s="127"/>
      <c r="L198" s="1" t="s">
        <v>1853</v>
      </c>
      <c r="M198" s="1" t="s">
        <v>2236</v>
      </c>
      <c r="N198" s="127"/>
      <c r="O198" s="1" t="s">
        <v>109</v>
      </c>
      <c r="P198" s="1" t="s">
        <v>109</v>
      </c>
      <c r="Q198" s="127"/>
      <c r="R198" s="56" t="s">
        <v>109</v>
      </c>
      <c r="S198" s="56" t="s">
        <v>109</v>
      </c>
      <c r="T198" s="56" t="s">
        <v>109</v>
      </c>
      <c r="U198" s="56" t="s">
        <v>109</v>
      </c>
      <c r="V198" s="39" t="s">
        <v>1853</v>
      </c>
      <c r="W198" s="1" t="s">
        <v>1853</v>
      </c>
      <c r="X198" s="4" t="s">
        <v>109</v>
      </c>
      <c r="Y198" s="4" t="s">
        <v>1853</v>
      </c>
      <c r="Z198" s="4" t="s">
        <v>1853</v>
      </c>
      <c r="AA198" s="39">
        <v>45691</v>
      </c>
      <c r="AB198" s="39" t="s">
        <v>109</v>
      </c>
      <c r="AC198" s="39" t="s">
        <v>109</v>
      </c>
      <c r="AD198" s="39" t="s">
        <v>109</v>
      </c>
      <c r="AE198" s="39" t="s">
        <v>109</v>
      </c>
      <c r="AF198" s="39" t="s">
        <v>109</v>
      </c>
      <c r="AG198" s="39" t="s">
        <v>109</v>
      </c>
      <c r="AH198" s="39" t="s">
        <v>109</v>
      </c>
      <c r="AJ198" s="4" t="s">
        <v>109</v>
      </c>
      <c r="AK198" s="4" t="s">
        <v>109</v>
      </c>
      <c r="AL198" s="4" t="s">
        <v>109</v>
      </c>
      <c r="AM198" s="4" t="s">
        <v>109</v>
      </c>
      <c r="AP198" s="1" t="e">
        <v>#VALUE!</v>
      </c>
      <c r="AQ198" s="38">
        <v>52</v>
      </c>
    </row>
    <row r="199" spans="1:43" s="217" customFormat="1" ht="18.75" customHeight="1" x14ac:dyDescent="0.3">
      <c r="A199" s="210">
        <v>2412505</v>
      </c>
      <c r="B199" s="211" t="s">
        <v>1013</v>
      </c>
      <c r="C199" s="210" t="e" vm="11">
        <v>#VALUE!</v>
      </c>
      <c r="D199" s="210" t="s">
        <v>22</v>
      </c>
      <c r="E199" s="210" t="s">
        <v>71</v>
      </c>
      <c r="F199" s="210" t="s">
        <v>14</v>
      </c>
      <c r="G199" s="210">
        <v>14.04</v>
      </c>
      <c r="H199" s="210" t="s">
        <v>237</v>
      </c>
      <c r="I199" s="210">
        <v>24</v>
      </c>
      <c r="J199" s="212" t="s">
        <v>143</v>
      </c>
      <c r="K199" s="213"/>
      <c r="L199" s="212" t="s">
        <v>2241</v>
      </c>
      <c r="M199" s="212" t="s">
        <v>2236</v>
      </c>
      <c r="N199" s="213"/>
      <c r="O199" s="212" t="s">
        <v>109</v>
      </c>
      <c r="P199" s="212" t="s">
        <v>109</v>
      </c>
      <c r="Q199" s="213"/>
      <c r="R199" s="214">
        <v>45656</v>
      </c>
      <c r="S199" s="214">
        <v>45677</v>
      </c>
      <c r="T199" s="212" t="s">
        <v>1819</v>
      </c>
      <c r="U199" s="214">
        <v>46039</v>
      </c>
      <c r="V199" s="215" t="s">
        <v>1853</v>
      </c>
      <c r="W199" s="212" t="s">
        <v>1853</v>
      </c>
      <c r="X199" s="210" t="s">
        <v>109</v>
      </c>
      <c r="Y199" s="210" t="s">
        <v>1853</v>
      </c>
      <c r="Z199" s="210" t="s">
        <v>1854</v>
      </c>
      <c r="AA199" s="215">
        <v>45688</v>
      </c>
      <c r="AB199" s="215">
        <v>45695</v>
      </c>
      <c r="AC199" s="215" t="s">
        <v>1853</v>
      </c>
      <c r="AD199" s="215">
        <v>45707</v>
      </c>
      <c r="AE199" s="214">
        <v>45706</v>
      </c>
      <c r="AF199" s="214" t="s">
        <v>1853</v>
      </c>
      <c r="AG199" s="214"/>
      <c r="AH199" s="214"/>
      <c r="AI199" s="216"/>
      <c r="AJ199" s="210" t="s">
        <v>109</v>
      </c>
      <c r="AK199" s="210" t="s">
        <v>109</v>
      </c>
      <c r="AL199" s="210" t="s">
        <v>109</v>
      </c>
      <c r="AM199" s="210" t="s">
        <v>109</v>
      </c>
      <c r="AP199" s="212">
        <v>21</v>
      </c>
      <c r="AQ199" s="218">
        <v>38</v>
      </c>
    </row>
    <row r="200" spans="1:43" ht="18.75" customHeight="1" x14ac:dyDescent="0.3">
      <c r="A200" s="4">
        <v>2412509</v>
      </c>
      <c r="B200" s="110" t="s">
        <v>1017</v>
      </c>
      <c r="C200" s="4" t="e" vm="11">
        <v>#VALUE!</v>
      </c>
      <c r="D200" s="4" t="s">
        <v>19</v>
      </c>
      <c r="E200" s="4" t="s">
        <v>71</v>
      </c>
      <c r="F200" s="4" t="s">
        <v>14</v>
      </c>
      <c r="G200" s="4">
        <v>17.7</v>
      </c>
      <c r="H200" s="4" t="s">
        <v>243</v>
      </c>
      <c r="I200" s="4">
        <v>30</v>
      </c>
      <c r="J200" s="1" t="s">
        <v>143</v>
      </c>
      <c r="K200" s="127"/>
      <c r="L200" s="1" t="s">
        <v>1853</v>
      </c>
      <c r="M200" s="1" t="s">
        <v>2236</v>
      </c>
      <c r="N200" s="127"/>
      <c r="O200" s="1" t="s">
        <v>109</v>
      </c>
      <c r="P200" s="1" t="s">
        <v>109</v>
      </c>
      <c r="Q200" s="127"/>
      <c r="R200" s="56">
        <v>45660</v>
      </c>
      <c r="S200" s="56">
        <v>45671</v>
      </c>
      <c r="T200" s="1" t="s">
        <v>1819</v>
      </c>
      <c r="U200" s="56">
        <v>46030</v>
      </c>
      <c r="V200" s="39" t="s">
        <v>1853</v>
      </c>
      <c r="W200" s="1" t="s">
        <v>1853</v>
      </c>
      <c r="X200" s="4" t="s">
        <v>109</v>
      </c>
      <c r="Y200" s="4" t="s">
        <v>1853</v>
      </c>
      <c r="Z200" s="4" t="s">
        <v>1854</v>
      </c>
      <c r="AA200" s="56">
        <v>45677</v>
      </c>
      <c r="AB200" s="39">
        <v>45701</v>
      </c>
      <c r="AC200" s="39" t="s">
        <v>1853</v>
      </c>
      <c r="AD200" s="39">
        <v>45716</v>
      </c>
      <c r="AE200" s="56">
        <v>45706</v>
      </c>
      <c r="AF200" s="56">
        <v>45716</v>
      </c>
      <c r="AG200" s="56">
        <v>45716</v>
      </c>
      <c r="AH200" s="56">
        <v>49368</v>
      </c>
      <c r="AJ200" s="4" t="s">
        <v>109</v>
      </c>
      <c r="AK200" s="4" t="s">
        <v>109</v>
      </c>
      <c r="AL200" s="4" t="s">
        <v>109</v>
      </c>
      <c r="AM200" s="4" t="s">
        <v>109</v>
      </c>
      <c r="AP200" s="1">
        <v>11</v>
      </c>
      <c r="AQ200" s="38">
        <v>44</v>
      </c>
    </row>
    <row r="201" spans="1:43" s="217" customFormat="1" ht="18.75" customHeight="1" x14ac:dyDescent="0.3">
      <c r="A201" s="210">
        <v>2412515</v>
      </c>
      <c r="B201" s="211" t="s">
        <v>1023</v>
      </c>
      <c r="C201" s="210" t="e" vm="5">
        <v>#VALUE!</v>
      </c>
      <c r="D201" s="210" t="s">
        <v>17</v>
      </c>
      <c r="E201" s="210" t="s">
        <v>71</v>
      </c>
      <c r="F201" s="210" t="s">
        <v>14</v>
      </c>
      <c r="G201" s="210">
        <v>17.55</v>
      </c>
      <c r="H201" s="210" t="s">
        <v>237</v>
      </c>
      <c r="I201" s="210">
        <v>30</v>
      </c>
      <c r="J201" s="212" t="s">
        <v>143</v>
      </c>
      <c r="K201" s="213"/>
      <c r="L201" s="212" t="s">
        <v>2241</v>
      </c>
      <c r="M201" s="212" t="s">
        <v>2236</v>
      </c>
      <c r="N201" s="213"/>
      <c r="O201" s="212" t="s">
        <v>109</v>
      </c>
      <c r="P201" s="212" t="s">
        <v>109</v>
      </c>
      <c r="Q201" s="213"/>
      <c r="R201" s="214">
        <v>45656</v>
      </c>
      <c r="S201" s="214">
        <v>45677</v>
      </c>
      <c r="T201" s="212" t="s">
        <v>1819</v>
      </c>
      <c r="U201" s="214">
        <v>46039</v>
      </c>
      <c r="V201" s="215" t="s">
        <v>1853</v>
      </c>
      <c r="W201" s="212" t="s">
        <v>1853</v>
      </c>
      <c r="X201" s="210" t="s">
        <v>109</v>
      </c>
      <c r="Y201" s="210" t="s">
        <v>1853</v>
      </c>
      <c r="Z201" s="210" t="s">
        <v>1855</v>
      </c>
      <c r="AA201" s="215">
        <v>45701</v>
      </c>
      <c r="AB201" s="215">
        <v>45706</v>
      </c>
      <c r="AC201" s="215" t="s">
        <v>1853</v>
      </c>
      <c r="AD201" s="215">
        <v>45721</v>
      </c>
      <c r="AE201" s="214">
        <v>45707</v>
      </c>
      <c r="AF201" s="214">
        <v>45721</v>
      </c>
      <c r="AG201" s="210"/>
      <c r="AH201" s="210"/>
      <c r="AI201" s="216"/>
      <c r="AJ201" s="210" t="s">
        <v>109</v>
      </c>
      <c r="AK201" s="210" t="s">
        <v>109</v>
      </c>
      <c r="AL201" s="210" t="s">
        <v>109</v>
      </c>
      <c r="AM201" s="210" t="s">
        <v>109</v>
      </c>
      <c r="AP201" s="212">
        <v>21</v>
      </c>
      <c r="AQ201" s="218">
        <v>67</v>
      </c>
    </row>
    <row r="202" spans="1:43" s="217" customFormat="1" ht="18.75" customHeight="1" x14ac:dyDescent="0.3">
      <c r="A202" s="210">
        <v>2410462</v>
      </c>
      <c r="B202" s="211" t="s">
        <v>1028</v>
      </c>
      <c r="C202" s="210" t="e" vm="5">
        <v>#VALUE!</v>
      </c>
      <c r="D202" s="210" t="s">
        <v>17</v>
      </c>
      <c r="E202" s="210" t="s">
        <v>71</v>
      </c>
      <c r="F202" s="210" t="s">
        <v>14</v>
      </c>
      <c r="G202" s="210">
        <v>7.02</v>
      </c>
      <c r="H202" s="210" t="s">
        <v>237</v>
      </c>
      <c r="I202" s="210">
        <v>12</v>
      </c>
      <c r="J202" s="212" t="s">
        <v>286</v>
      </c>
      <c r="K202" s="213"/>
      <c r="L202" s="212" t="s">
        <v>2241</v>
      </c>
      <c r="M202" s="212" t="s">
        <v>2236</v>
      </c>
      <c r="N202" s="213"/>
      <c r="O202" s="212" t="s">
        <v>109</v>
      </c>
      <c r="P202" s="212" t="s">
        <v>109</v>
      </c>
      <c r="Q202" s="213"/>
      <c r="R202" s="214">
        <v>45657</v>
      </c>
      <c r="S202" s="214">
        <v>45660</v>
      </c>
      <c r="T202" s="212" t="s">
        <v>1819</v>
      </c>
      <c r="U202" s="214">
        <v>46021</v>
      </c>
      <c r="V202" s="215" t="s">
        <v>1853</v>
      </c>
      <c r="W202" s="212" t="s">
        <v>1853</v>
      </c>
      <c r="X202" s="210" t="s">
        <v>109</v>
      </c>
      <c r="Y202" s="210" t="s">
        <v>1853</v>
      </c>
      <c r="Z202" s="210" t="s">
        <v>1855</v>
      </c>
      <c r="AA202" s="215">
        <v>45714</v>
      </c>
      <c r="AB202" s="215">
        <v>45733</v>
      </c>
      <c r="AC202" s="215" t="s">
        <v>1853</v>
      </c>
      <c r="AD202" s="215">
        <v>45735</v>
      </c>
      <c r="AE202" s="214">
        <v>45733</v>
      </c>
      <c r="AF202" s="214">
        <v>45735</v>
      </c>
      <c r="AG202" s="210"/>
      <c r="AH202" s="210"/>
      <c r="AI202" s="216"/>
      <c r="AJ202" s="210" t="s">
        <v>109</v>
      </c>
      <c r="AK202" s="210" t="s">
        <v>109</v>
      </c>
      <c r="AL202" s="210" t="s">
        <v>109</v>
      </c>
      <c r="AM202" s="210" t="s">
        <v>109</v>
      </c>
      <c r="AP202" s="212">
        <v>3</v>
      </c>
      <c r="AQ202" s="218">
        <v>56</v>
      </c>
    </row>
    <row r="203" spans="1:43" ht="18.75" customHeight="1" x14ac:dyDescent="0.3">
      <c r="A203" s="4">
        <v>2412516</v>
      </c>
      <c r="B203" s="110" t="s">
        <v>1033</v>
      </c>
      <c r="C203" s="4" t="e" vm="5">
        <v>#VALUE!</v>
      </c>
      <c r="D203" s="4" t="s">
        <v>17</v>
      </c>
      <c r="E203" s="4" t="s">
        <v>71</v>
      </c>
      <c r="F203" s="4" t="s">
        <v>14</v>
      </c>
      <c r="G203" s="4">
        <v>12.98</v>
      </c>
      <c r="H203" s="4" t="s">
        <v>243</v>
      </c>
      <c r="I203" s="4">
        <v>22</v>
      </c>
      <c r="J203" s="1" t="s">
        <v>111</v>
      </c>
      <c r="K203" s="127"/>
      <c r="L203" s="1" t="s">
        <v>1853</v>
      </c>
      <c r="M203" s="1" t="s">
        <v>2236</v>
      </c>
      <c r="N203" s="127"/>
      <c r="O203" s="1" t="s">
        <v>109</v>
      </c>
      <c r="P203" s="1" t="s">
        <v>109</v>
      </c>
      <c r="Q203" s="127"/>
      <c r="R203" s="56">
        <v>45657</v>
      </c>
      <c r="S203" s="56">
        <v>45660</v>
      </c>
      <c r="T203" s="1" t="s">
        <v>1819</v>
      </c>
      <c r="U203" s="56">
        <v>46021</v>
      </c>
      <c r="V203" s="39" t="s">
        <v>1853</v>
      </c>
      <c r="W203" s="1" t="s">
        <v>1853</v>
      </c>
      <c r="X203" s="4" t="s">
        <v>109</v>
      </c>
      <c r="Y203" s="4" t="s">
        <v>1853</v>
      </c>
      <c r="Z203" s="4" t="s">
        <v>1855</v>
      </c>
      <c r="AA203" s="39">
        <v>45705</v>
      </c>
      <c r="AB203" s="39">
        <v>45716</v>
      </c>
      <c r="AC203" s="39" t="s">
        <v>1853</v>
      </c>
      <c r="AD203" s="39">
        <v>45720</v>
      </c>
      <c r="AE203" s="56">
        <v>45719</v>
      </c>
      <c r="AF203" s="56">
        <v>45720</v>
      </c>
      <c r="AG203" s="56">
        <v>45720</v>
      </c>
      <c r="AH203" s="56">
        <v>49399</v>
      </c>
      <c r="AJ203" s="4" t="s">
        <v>109</v>
      </c>
      <c r="AK203" s="4" t="s">
        <v>109</v>
      </c>
      <c r="AL203" s="4" t="s">
        <v>109</v>
      </c>
      <c r="AM203" s="4" t="s">
        <v>109</v>
      </c>
      <c r="AP203" s="1">
        <v>3</v>
      </c>
      <c r="AQ203" s="38">
        <v>56</v>
      </c>
    </row>
    <row r="204" spans="1:43" ht="18.75" customHeight="1" x14ac:dyDescent="0.3">
      <c r="A204" s="4">
        <v>2412521</v>
      </c>
      <c r="B204" s="110" t="s">
        <v>1038</v>
      </c>
      <c r="C204" s="4" t="e" vm="5">
        <v>#VALUE!</v>
      </c>
      <c r="D204" s="4" t="s">
        <v>17</v>
      </c>
      <c r="E204" s="4" t="s">
        <v>71</v>
      </c>
      <c r="F204" s="4" t="s">
        <v>14</v>
      </c>
      <c r="G204" s="4">
        <v>15.34</v>
      </c>
      <c r="H204" s="4" t="s">
        <v>243</v>
      </c>
      <c r="I204" s="4">
        <v>26</v>
      </c>
      <c r="J204" s="1" t="s">
        <v>143</v>
      </c>
      <c r="K204" s="127"/>
      <c r="L204" s="1" t="s">
        <v>1853</v>
      </c>
      <c r="M204" s="1" t="s">
        <v>2236</v>
      </c>
      <c r="N204" s="127"/>
      <c r="O204" s="1" t="s">
        <v>109</v>
      </c>
      <c r="P204" s="1" t="s">
        <v>109</v>
      </c>
      <c r="Q204" s="127"/>
      <c r="R204" s="56">
        <v>45660</v>
      </c>
      <c r="S204" s="56">
        <v>45671</v>
      </c>
      <c r="T204" s="1" t="s">
        <v>1819</v>
      </c>
      <c r="U204" s="56">
        <v>46030</v>
      </c>
      <c r="V204" s="39" t="s">
        <v>1853</v>
      </c>
      <c r="W204" s="1" t="s">
        <v>1853</v>
      </c>
      <c r="X204" s="4" t="s">
        <v>109</v>
      </c>
      <c r="Y204" s="4" t="s">
        <v>1853</v>
      </c>
      <c r="Z204" s="4" t="s">
        <v>1855</v>
      </c>
      <c r="AA204" s="39">
        <v>45706</v>
      </c>
      <c r="AB204" s="39">
        <v>45716</v>
      </c>
      <c r="AC204" s="39" t="s">
        <v>1853</v>
      </c>
      <c r="AD204" s="39">
        <v>45720</v>
      </c>
      <c r="AE204" s="56">
        <v>45719</v>
      </c>
      <c r="AF204" s="56">
        <v>45720</v>
      </c>
      <c r="AG204" s="56">
        <v>45720</v>
      </c>
      <c r="AH204" s="56">
        <v>49399</v>
      </c>
      <c r="AJ204" s="4" t="s">
        <v>109</v>
      </c>
      <c r="AK204" s="4" t="s">
        <v>109</v>
      </c>
      <c r="AL204" s="4" t="s">
        <v>109</v>
      </c>
      <c r="AM204" s="4" t="s">
        <v>109</v>
      </c>
      <c r="AP204" s="1">
        <v>11</v>
      </c>
      <c r="AQ204" s="38">
        <v>86</v>
      </c>
    </row>
    <row r="205" spans="1:43" s="217" customFormat="1" ht="18.75" customHeight="1" x14ac:dyDescent="0.3">
      <c r="A205" s="210">
        <v>2412524</v>
      </c>
      <c r="B205" s="211" t="s">
        <v>1043</v>
      </c>
      <c r="C205" s="210" t="e" vm="11">
        <v>#VALUE!</v>
      </c>
      <c r="D205" s="210" t="s">
        <v>19</v>
      </c>
      <c r="E205" s="210" t="s">
        <v>71</v>
      </c>
      <c r="F205" s="210" t="s">
        <v>14</v>
      </c>
      <c r="G205" s="210">
        <v>14.16</v>
      </c>
      <c r="H205" s="210" t="s">
        <v>243</v>
      </c>
      <c r="I205" s="210">
        <v>24</v>
      </c>
      <c r="J205" s="212" t="s">
        <v>143</v>
      </c>
      <c r="K205" s="213"/>
      <c r="L205" s="212" t="s">
        <v>2241</v>
      </c>
      <c r="M205" s="212" t="s">
        <v>2236</v>
      </c>
      <c r="N205" s="213"/>
      <c r="O205" s="212" t="s">
        <v>109</v>
      </c>
      <c r="P205" s="212" t="s">
        <v>109</v>
      </c>
      <c r="Q205" s="213"/>
      <c r="R205" s="214">
        <v>45666</v>
      </c>
      <c r="S205" s="214">
        <v>45674</v>
      </c>
      <c r="T205" s="212" t="s">
        <v>1819</v>
      </c>
      <c r="U205" s="214">
        <v>46038</v>
      </c>
      <c r="V205" s="215" t="s">
        <v>1853</v>
      </c>
      <c r="W205" s="212" t="s">
        <v>1853</v>
      </c>
      <c r="X205" s="210" t="s">
        <v>109</v>
      </c>
      <c r="Y205" s="210" t="s">
        <v>1853</v>
      </c>
      <c r="Z205" s="210" t="s">
        <v>1854</v>
      </c>
      <c r="AA205" s="215">
        <v>45745</v>
      </c>
      <c r="AB205" s="215">
        <v>45693</v>
      </c>
      <c r="AC205" s="215" t="s">
        <v>1857</v>
      </c>
      <c r="AD205" s="215">
        <v>45695</v>
      </c>
      <c r="AE205" s="214" t="s">
        <v>1853</v>
      </c>
      <c r="AF205" s="214" t="s">
        <v>1853</v>
      </c>
      <c r="AG205" s="210"/>
      <c r="AH205" s="210"/>
      <c r="AI205" s="216"/>
      <c r="AJ205" s="210" t="s">
        <v>109</v>
      </c>
      <c r="AK205" s="210" t="s">
        <v>109</v>
      </c>
      <c r="AL205" s="210" t="s">
        <v>109</v>
      </c>
      <c r="AM205" s="210" t="s">
        <v>109</v>
      </c>
      <c r="AP205" s="212">
        <v>8</v>
      </c>
      <c r="AQ205" s="218">
        <v>22</v>
      </c>
    </row>
    <row r="206" spans="1:43" s="217" customFormat="1" ht="18.75" customHeight="1" x14ac:dyDescent="0.3">
      <c r="A206" s="210">
        <v>2412513</v>
      </c>
      <c r="B206" s="211" t="s">
        <v>1048</v>
      </c>
      <c r="C206" s="210" t="e" vm="12">
        <v>#VALUE!</v>
      </c>
      <c r="D206" s="210" t="s">
        <v>17</v>
      </c>
      <c r="E206" s="210" t="s">
        <v>71</v>
      </c>
      <c r="F206" s="210" t="s">
        <v>14</v>
      </c>
      <c r="G206" s="210">
        <v>10.029999999999999</v>
      </c>
      <c r="H206" s="210" t="s">
        <v>243</v>
      </c>
      <c r="I206" s="210">
        <v>17</v>
      </c>
      <c r="J206" s="212" t="s">
        <v>364</v>
      </c>
      <c r="K206" s="213"/>
      <c r="L206" s="212" t="s">
        <v>2241</v>
      </c>
      <c r="M206" s="212" t="s">
        <v>2238</v>
      </c>
      <c r="N206" s="213"/>
      <c r="O206" s="212" t="s">
        <v>109</v>
      </c>
      <c r="P206" s="212" t="s">
        <v>109</v>
      </c>
      <c r="Q206" s="213"/>
      <c r="R206" s="214">
        <v>45745</v>
      </c>
      <c r="S206" s="214">
        <v>45796</v>
      </c>
      <c r="T206" s="212" t="s">
        <v>1819</v>
      </c>
      <c r="U206" s="214"/>
      <c r="V206" s="215" t="s">
        <v>1853</v>
      </c>
      <c r="W206" s="212" t="s">
        <v>1853</v>
      </c>
      <c r="X206" s="210" t="s">
        <v>109</v>
      </c>
      <c r="Y206" s="210" t="s">
        <v>1853</v>
      </c>
      <c r="Z206" s="210" t="s">
        <v>1853</v>
      </c>
      <c r="AA206" s="215">
        <v>45912</v>
      </c>
      <c r="AB206" s="215" t="s">
        <v>1853</v>
      </c>
      <c r="AC206" s="215" t="s">
        <v>1853</v>
      </c>
      <c r="AD206" s="215" t="s">
        <v>1853</v>
      </c>
      <c r="AE206" s="215" t="s">
        <v>1853</v>
      </c>
      <c r="AF206" s="215" t="s">
        <v>1853</v>
      </c>
      <c r="AG206" s="210"/>
      <c r="AH206" s="210"/>
      <c r="AI206" s="216"/>
      <c r="AJ206" s="210" t="s">
        <v>109</v>
      </c>
      <c r="AK206" s="210" t="s">
        <v>109</v>
      </c>
      <c r="AL206" s="210" t="s">
        <v>109</v>
      </c>
      <c r="AM206" s="210" t="s">
        <v>109</v>
      </c>
      <c r="AP206" s="212">
        <v>51</v>
      </c>
      <c r="AQ206" s="218">
        <v>55</v>
      </c>
    </row>
    <row r="207" spans="1:43" ht="18.75" customHeight="1" x14ac:dyDescent="0.3">
      <c r="A207" s="4">
        <v>2501038</v>
      </c>
      <c r="B207" s="110" t="s">
        <v>1053</v>
      </c>
      <c r="C207" s="4" t="e" vm="5">
        <v>#VALUE!</v>
      </c>
      <c r="D207" s="4" t="s">
        <v>20</v>
      </c>
      <c r="E207" s="4" t="s">
        <v>206</v>
      </c>
      <c r="F207" s="4" t="s">
        <v>18</v>
      </c>
      <c r="G207" s="4">
        <v>0</v>
      </c>
      <c r="H207" s="4">
        <v>0</v>
      </c>
      <c r="I207" s="4" t="s">
        <v>18</v>
      </c>
      <c r="J207" s="1" t="s">
        <v>18</v>
      </c>
      <c r="K207" s="127"/>
      <c r="L207" s="1" t="s">
        <v>1853</v>
      </c>
      <c r="M207" s="1" t="s">
        <v>2236</v>
      </c>
      <c r="N207" s="127"/>
      <c r="O207" s="1" t="s">
        <v>109</v>
      </c>
      <c r="P207" s="1" t="s">
        <v>109</v>
      </c>
      <c r="Q207" s="127"/>
      <c r="R207" s="56" t="s">
        <v>109</v>
      </c>
      <c r="S207" s="56" t="s">
        <v>109</v>
      </c>
      <c r="T207" s="56" t="s">
        <v>109</v>
      </c>
      <c r="U207" s="56" t="s">
        <v>109</v>
      </c>
      <c r="V207" s="39" t="s">
        <v>1853</v>
      </c>
      <c r="W207" s="1" t="s">
        <v>1853</v>
      </c>
      <c r="X207" s="4" t="s">
        <v>109</v>
      </c>
      <c r="Y207" s="4" t="s">
        <v>1853</v>
      </c>
      <c r="Z207" s="4" t="s">
        <v>1853</v>
      </c>
      <c r="AA207" s="39">
        <v>45681</v>
      </c>
      <c r="AB207" s="39" t="s">
        <v>109</v>
      </c>
      <c r="AC207" s="39" t="s">
        <v>109</v>
      </c>
      <c r="AD207" s="39" t="s">
        <v>109</v>
      </c>
      <c r="AE207" s="39" t="s">
        <v>109</v>
      </c>
      <c r="AF207" s="39" t="s">
        <v>109</v>
      </c>
      <c r="AG207" s="39" t="s">
        <v>109</v>
      </c>
      <c r="AH207" s="39" t="s">
        <v>109</v>
      </c>
      <c r="AJ207" s="4" t="s">
        <v>109</v>
      </c>
      <c r="AK207" s="4" t="s">
        <v>109</v>
      </c>
      <c r="AL207" s="4" t="s">
        <v>109</v>
      </c>
      <c r="AM207" s="4" t="s">
        <v>109</v>
      </c>
      <c r="AP207" s="1" t="e">
        <v>#VALUE!</v>
      </c>
      <c r="AQ207" s="38">
        <v>51</v>
      </c>
    </row>
    <row r="208" spans="1:43" s="217" customFormat="1" ht="18.75" customHeight="1" x14ac:dyDescent="0.3">
      <c r="A208" s="210">
        <v>2501532</v>
      </c>
      <c r="B208" s="211" t="s">
        <v>1055</v>
      </c>
      <c r="C208" s="210" t="e" vm="5">
        <v>#VALUE!</v>
      </c>
      <c r="D208" s="210" t="s">
        <v>17</v>
      </c>
      <c r="E208" s="210" t="s">
        <v>71</v>
      </c>
      <c r="F208" s="210" t="s">
        <v>14</v>
      </c>
      <c r="G208" s="210">
        <v>9.44</v>
      </c>
      <c r="H208" s="210" t="s">
        <v>243</v>
      </c>
      <c r="I208" s="210">
        <v>16</v>
      </c>
      <c r="J208" s="212" t="s">
        <v>364</v>
      </c>
      <c r="K208" s="213"/>
      <c r="L208" s="212" t="s">
        <v>2241</v>
      </c>
      <c r="M208" s="212" t="s">
        <v>2236</v>
      </c>
      <c r="N208" s="213"/>
      <c r="O208" s="212" t="s">
        <v>109</v>
      </c>
      <c r="P208" s="212" t="s">
        <v>109</v>
      </c>
      <c r="Q208" s="213"/>
      <c r="R208" s="214">
        <v>45695</v>
      </c>
      <c r="S208" s="214">
        <v>45701</v>
      </c>
      <c r="T208" s="212" t="s">
        <v>1819</v>
      </c>
      <c r="U208" s="214">
        <v>45989</v>
      </c>
      <c r="V208" s="215" t="s">
        <v>1853</v>
      </c>
      <c r="W208" s="212" t="s">
        <v>1853</v>
      </c>
      <c r="X208" s="210" t="s">
        <v>109</v>
      </c>
      <c r="Y208" s="210" t="s">
        <v>1853</v>
      </c>
      <c r="Z208" s="210" t="s">
        <v>1855</v>
      </c>
      <c r="AA208" s="215">
        <v>45721</v>
      </c>
      <c r="AB208" s="215">
        <v>45705</v>
      </c>
      <c r="AC208" s="212" t="s">
        <v>1853</v>
      </c>
      <c r="AD208" s="215">
        <v>45710</v>
      </c>
      <c r="AE208" s="214">
        <v>45708</v>
      </c>
      <c r="AF208" s="215">
        <v>45710</v>
      </c>
      <c r="AG208" s="210"/>
      <c r="AH208" s="210"/>
      <c r="AI208" s="216"/>
      <c r="AJ208" s="210" t="s">
        <v>109</v>
      </c>
      <c r="AK208" s="210" t="s">
        <v>109</v>
      </c>
      <c r="AL208" s="210" t="s">
        <v>109</v>
      </c>
      <c r="AM208" s="210" t="s">
        <v>109</v>
      </c>
      <c r="AP208" s="212">
        <v>6</v>
      </c>
      <c r="AQ208" s="218">
        <v>42</v>
      </c>
    </row>
    <row r="209" spans="1:43" s="217" customFormat="1" ht="18.75" customHeight="1" x14ac:dyDescent="0.3">
      <c r="A209" s="210">
        <v>2501544</v>
      </c>
      <c r="B209" s="211" t="s">
        <v>1060</v>
      </c>
      <c r="C209" s="210" t="e" vm="11">
        <v>#VALUE!</v>
      </c>
      <c r="D209" s="210" t="s">
        <v>22</v>
      </c>
      <c r="E209" s="210" t="s">
        <v>71</v>
      </c>
      <c r="F209" s="210" t="s">
        <v>14</v>
      </c>
      <c r="G209" s="210">
        <v>17.7</v>
      </c>
      <c r="H209" s="210" t="s">
        <v>243</v>
      </c>
      <c r="I209" s="210">
        <v>30</v>
      </c>
      <c r="J209" s="212" t="s">
        <v>143</v>
      </c>
      <c r="K209" s="213"/>
      <c r="L209" s="212" t="s">
        <v>2241</v>
      </c>
      <c r="M209" s="212" t="s">
        <v>2236</v>
      </c>
      <c r="N209" s="213"/>
      <c r="O209" s="212" t="s">
        <v>109</v>
      </c>
      <c r="P209" s="212" t="s">
        <v>109</v>
      </c>
      <c r="Q209" s="213"/>
      <c r="R209" s="214">
        <v>45701</v>
      </c>
      <c r="S209" s="214">
        <v>45706</v>
      </c>
      <c r="T209" s="212" t="s">
        <v>1819</v>
      </c>
      <c r="U209" s="214"/>
      <c r="V209" s="215" t="s">
        <v>1853</v>
      </c>
      <c r="W209" s="212" t="s">
        <v>1853</v>
      </c>
      <c r="X209" s="210" t="s">
        <v>109</v>
      </c>
      <c r="Y209" s="210" t="s">
        <v>1853</v>
      </c>
      <c r="Z209" s="210" t="s">
        <v>1854</v>
      </c>
      <c r="AA209" s="215">
        <v>45729</v>
      </c>
      <c r="AB209" s="215">
        <v>45740</v>
      </c>
      <c r="AC209" s="212" t="s">
        <v>1853</v>
      </c>
      <c r="AD209" s="215">
        <v>45755</v>
      </c>
      <c r="AE209" s="215">
        <v>45743</v>
      </c>
      <c r="AF209" s="215">
        <v>45755</v>
      </c>
      <c r="AG209" s="210"/>
      <c r="AH209" s="210"/>
      <c r="AI209" s="216"/>
      <c r="AJ209" s="210" t="s">
        <v>109</v>
      </c>
      <c r="AK209" s="210" t="s">
        <v>109</v>
      </c>
      <c r="AL209" s="210" t="s">
        <v>109</v>
      </c>
      <c r="AM209" s="210" t="s">
        <v>109</v>
      </c>
      <c r="AP209" s="212">
        <v>5</v>
      </c>
      <c r="AQ209" s="218">
        <v>44</v>
      </c>
    </row>
    <row r="210" spans="1:43" s="217" customFormat="1" ht="18.75" customHeight="1" x14ac:dyDescent="0.3">
      <c r="A210" s="210">
        <v>2502548</v>
      </c>
      <c r="B210" s="211" t="s">
        <v>1066</v>
      </c>
      <c r="C210" s="210" t="e" vm="11">
        <v>#VALUE!</v>
      </c>
      <c r="D210" s="210" t="s">
        <v>19</v>
      </c>
      <c r="E210" s="210" t="s">
        <v>71</v>
      </c>
      <c r="F210" s="210" t="s">
        <v>14</v>
      </c>
      <c r="G210" s="210">
        <v>17.7</v>
      </c>
      <c r="H210" s="210" t="s">
        <v>243</v>
      </c>
      <c r="I210" s="210">
        <v>30</v>
      </c>
      <c r="J210" s="212" t="s">
        <v>143</v>
      </c>
      <c r="K210" s="213"/>
      <c r="L210" s="212" t="s">
        <v>2241</v>
      </c>
      <c r="M210" s="212" t="s">
        <v>2236</v>
      </c>
      <c r="N210" s="213"/>
      <c r="O210" s="212" t="s">
        <v>109</v>
      </c>
      <c r="P210" s="212" t="s">
        <v>109</v>
      </c>
      <c r="Q210" s="213"/>
      <c r="R210" s="214">
        <v>45705</v>
      </c>
      <c r="S210" s="214">
        <v>45713</v>
      </c>
      <c r="T210" s="212" t="s">
        <v>1819</v>
      </c>
      <c r="U210" s="214"/>
      <c r="V210" s="215" t="s">
        <v>1853</v>
      </c>
      <c r="W210" s="212" t="s">
        <v>1853</v>
      </c>
      <c r="X210" s="210" t="s">
        <v>109</v>
      </c>
      <c r="Y210" s="210" t="s">
        <v>1853</v>
      </c>
      <c r="Z210" s="210" t="s">
        <v>1853</v>
      </c>
      <c r="AA210" s="215">
        <v>45724</v>
      </c>
      <c r="AB210" s="215">
        <v>45737</v>
      </c>
      <c r="AC210" s="212" t="s">
        <v>1853</v>
      </c>
      <c r="AD210" s="215">
        <v>45760</v>
      </c>
      <c r="AE210" s="215">
        <v>45744</v>
      </c>
      <c r="AF210" s="215">
        <v>45760</v>
      </c>
      <c r="AG210" s="210"/>
      <c r="AH210" s="210"/>
      <c r="AI210" s="216"/>
      <c r="AJ210" s="210" t="s">
        <v>109</v>
      </c>
      <c r="AK210" s="210" t="s">
        <v>109</v>
      </c>
      <c r="AL210" s="210" t="s">
        <v>109</v>
      </c>
      <c r="AM210" s="210" t="s">
        <v>109</v>
      </c>
      <c r="AP210" s="212">
        <v>8</v>
      </c>
      <c r="AQ210" s="218">
        <v>237</v>
      </c>
    </row>
    <row r="211" spans="1:43" s="217" customFormat="1" ht="18.75" customHeight="1" x14ac:dyDescent="0.3">
      <c r="A211" s="210">
        <v>2501545</v>
      </c>
      <c r="B211" s="211" t="s">
        <v>1071</v>
      </c>
      <c r="C211" s="210" t="e" vm="11">
        <v>#VALUE!</v>
      </c>
      <c r="D211" s="210" t="s">
        <v>19</v>
      </c>
      <c r="E211" s="210" t="s">
        <v>71</v>
      </c>
      <c r="F211" s="210" t="s">
        <v>14</v>
      </c>
      <c r="G211" s="210">
        <v>7.08</v>
      </c>
      <c r="H211" s="210" t="s">
        <v>243</v>
      </c>
      <c r="I211" s="210">
        <v>12</v>
      </c>
      <c r="J211" s="212" t="s">
        <v>286</v>
      </c>
      <c r="K211" s="213"/>
      <c r="L211" s="212" t="s">
        <v>2241</v>
      </c>
      <c r="M211" s="212" t="s">
        <v>2236</v>
      </c>
      <c r="N211" s="213"/>
      <c r="O211" s="212" t="s">
        <v>109</v>
      </c>
      <c r="P211" s="212" t="s">
        <v>109</v>
      </c>
      <c r="Q211" s="213"/>
      <c r="R211" s="214">
        <v>45709</v>
      </c>
      <c r="S211" s="214">
        <v>45725</v>
      </c>
      <c r="T211" s="212" t="s">
        <v>1819</v>
      </c>
      <c r="U211" s="214">
        <v>46073</v>
      </c>
      <c r="V211" s="215" t="s">
        <v>1853</v>
      </c>
      <c r="W211" s="212" t="s">
        <v>1853</v>
      </c>
      <c r="X211" s="210" t="s">
        <v>109</v>
      </c>
      <c r="Y211" s="210" t="s">
        <v>1853</v>
      </c>
      <c r="Z211" s="210" t="s">
        <v>1853</v>
      </c>
      <c r="AA211" s="215">
        <v>45738</v>
      </c>
      <c r="AB211" s="215">
        <v>45740</v>
      </c>
      <c r="AC211" s="212" t="s">
        <v>1853</v>
      </c>
      <c r="AD211" s="215">
        <v>45763</v>
      </c>
      <c r="AE211" s="215" t="s">
        <v>1853</v>
      </c>
      <c r="AF211" s="215">
        <v>45763</v>
      </c>
      <c r="AG211" s="210"/>
      <c r="AH211" s="210"/>
      <c r="AI211" s="216"/>
      <c r="AJ211" s="210" t="s">
        <v>109</v>
      </c>
      <c r="AK211" s="210" t="s">
        <v>109</v>
      </c>
      <c r="AL211" s="210" t="s">
        <v>109</v>
      </c>
      <c r="AM211" s="210" t="s">
        <v>109</v>
      </c>
      <c r="AP211" s="212">
        <v>16</v>
      </c>
      <c r="AQ211" s="218">
        <v>131</v>
      </c>
    </row>
    <row r="212" spans="1:43" s="217" customFormat="1" ht="18.75" customHeight="1" x14ac:dyDescent="0.3">
      <c r="A212" s="210">
        <v>2311088</v>
      </c>
      <c r="B212" s="211" t="s">
        <v>1076</v>
      </c>
      <c r="C212" s="210" t="e" vm="11">
        <v>#VALUE!</v>
      </c>
      <c r="D212" s="210" t="s">
        <v>19</v>
      </c>
      <c r="E212" s="210" t="s">
        <v>71</v>
      </c>
      <c r="F212" s="210" t="s">
        <v>14</v>
      </c>
      <c r="G212" s="210">
        <v>10.62</v>
      </c>
      <c r="H212" s="210" t="s">
        <v>243</v>
      </c>
      <c r="I212" s="210">
        <v>18</v>
      </c>
      <c r="J212" s="212" t="s">
        <v>111</v>
      </c>
      <c r="K212" s="213"/>
      <c r="L212" s="212" t="s">
        <v>2241</v>
      </c>
      <c r="M212" s="212" t="s">
        <v>2240</v>
      </c>
      <c r="N212" s="213"/>
      <c r="O212" s="212" t="s">
        <v>109</v>
      </c>
      <c r="P212" s="212" t="s">
        <v>109</v>
      </c>
      <c r="Q212" s="213"/>
      <c r="R212" s="214">
        <v>45709</v>
      </c>
      <c r="S212" s="214">
        <v>45725</v>
      </c>
      <c r="T212" s="212" t="s">
        <v>1819</v>
      </c>
      <c r="U212" s="214">
        <v>46072</v>
      </c>
      <c r="V212" s="215" t="s">
        <v>1853</v>
      </c>
      <c r="W212" s="212" t="s">
        <v>1853</v>
      </c>
      <c r="X212" s="210" t="s">
        <v>109</v>
      </c>
      <c r="Y212" s="210" t="s">
        <v>1853</v>
      </c>
      <c r="Z212" s="210" t="s">
        <v>1855</v>
      </c>
      <c r="AA212" s="215">
        <v>45937</v>
      </c>
      <c r="AB212" s="215">
        <v>45761</v>
      </c>
      <c r="AC212" s="212"/>
      <c r="AD212" s="215"/>
      <c r="AE212" s="215">
        <v>45783</v>
      </c>
      <c r="AF212" s="215" t="s">
        <v>1853</v>
      </c>
      <c r="AG212" s="210"/>
      <c r="AH212" s="210"/>
      <c r="AI212" s="216"/>
      <c r="AJ212" s="210" t="s">
        <v>109</v>
      </c>
      <c r="AK212" s="210" t="s">
        <v>109</v>
      </c>
      <c r="AL212" s="210" t="s">
        <v>109</v>
      </c>
      <c r="AM212" s="210" t="s">
        <v>109</v>
      </c>
      <c r="AP212" s="212">
        <v>16</v>
      </c>
      <c r="AQ212" s="218">
        <v>19</v>
      </c>
    </row>
    <row r="213" spans="1:43" s="217" customFormat="1" ht="18.600000000000001" customHeight="1" x14ac:dyDescent="0.3">
      <c r="A213" s="210">
        <v>2502216</v>
      </c>
      <c r="B213" s="211" t="s">
        <v>1081</v>
      </c>
      <c r="C213" s="210" t="e" vm="11">
        <v>#VALUE!</v>
      </c>
      <c r="D213" s="210" t="s">
        <v>19</v>
      </c>
      <c r="E213" s="210" t="s">
        <v>124</v>
      </c>
      <c r="F213" s="210" t="s">
        <v>14</v>
      </c>
      <c r="G213" s="210">
        <v>14.16</v>
      </c>
      <c r="H213" s="210" t="s">
        <v>243</v>
      </c>
      <c r="I213" s="210">
        <v>24</v>
      </c>
      <c r="J213" s="212" t="s">
        <v>143</v>
      </c>
      <c r="K213" s="213"/>
      <c r="L213" s="212" t="s">
        <v>2241</v>
      </c>
      <c r="M213" s="212" t="s">
        <v>2236</v>
      </c>
      <c r="N213" s="213"/>
      <c r="O213" s="212" t="s">
        <v>109</v>
      </c>
      <c r="P213" s="212" t="s">
        <v>109</v>
      </c>
      <c r="Q213" s="213"/>
      <c r="R213" s="214">
        <v>45709</v>
      </c>
      <c r="S213" s="214">
        <v>45719</v>
      </c>
      <c r="T213" s="212" t="s">
        <v>1819</v>
      </c>
      <c r="U213" s="214">
        <v>46073</v>
      </c>
      <c r="V213" s="215" t="s">
        <v>1853</v>
      </c>
      <c r="W213" s="212" t="s">
        <v>1853</v>
      </c>
      <c r="X213" s="210" t="s">
        <v>109</v>
      </c>
      <c r="Y213" s="210" t="s">
        <v>1853</v>
      </c>
      <c r="Z213" s="210" t="s">
        <v>1854</v>
      </c>
      <c r="AA213" s="215">
        <v>45832</v>
      </c>
      <c r="AB213" s="215">
        <v>45842</v>
      </c>
      <c r="AC213" s="212" t="s">
        <v>1853</v>
      </c>
      <c r="AD213" s="215">
        <v>45854</v>
      </c>
      <c r="AE213" s="215">
        <v>45845</v>
      </c>
      <c r="AF213" s="215">
        <v>45854</v>
      </c>
      <c r="AG213" s="210"/>
      <c r="AH213" s="210"/>
      <c r="AI213" s="216"/>
      <c r="AJ213" s="210" t="s">
        <v>109</v>
      </c>
      <c r="AK213" s="210" t="s">
        <v>109</v>
      </c>
      <c r="AL213" s="210" t="s">
        <v>109</v>
      </c>
      <c r="AM213" s="210" t="s">
        <v>109</v>
      </c>
      <c r="AP213" s="212">
        <v>10</v>
      </c>
      <c r="AQ213" s="218">
        <v>28</v>
      </c>
    </row>
    <row r="214" spans="1:43" s="217" customFormat="1" ht="18.75" customHeight="1" x14ac:dyDescent="0.3">
      <c r="A214" s="210">
        <v>2502553</v>
      </c>
      <c r="B214" s="211" t="s">
        <v>1086</v>
      </c>
      <c r="C214" s="210" t="e" vm="5">
        <v>#VALUE!</v>
      </c>
      <c r="D214" s="210" t="s">
        <v>17</v>
      </c>
      <c r="E214" s="210" t="s">
        <v>71</v>
      </c>
      <c r="F214" s="210" t="s">
        <v>14</v>
      </c>
      <c r="G214" s="210">
        <v>17.7</v>
      </c>
      <c r="H214" s="210" t="s">
        <v>243</v>
      </c>
      <c r="I214" s="210">
        <v>30</v>
      </c>
      <c r="J214" s="212" t="s">
        <v>143</v>
      </c>
      <c r="K214" s="213"/>
      <c r="L214" s="212" t="s">
        <v>2241</v>
      </c>
      <c r="M214" s="212" t="s">
        <v>2236</v>
      </c>
      <c r="N214" s="213"/>
      <c r="O214" s="212" t="s">
        <v>109</v>
      </c>
      <c r="P214" s="212" t="s">
        <v>109</v>
      </c>
      <c r="Q214" s="213"/>
      <c r="R214" s="214">
        <v>45706</v>
      </c>
      <c r="S214" s="214">
        <v>45713</v>
      </c>
      <c r="T214" s="212" t="s">
        <v>1819</v>
      </c>
      <c r="U214" s="214">
        <v>46070</v>
      </c>
      <c r="V214" s="215" t="s">
        <v>1853</v>
      </c>
      <c r="W214" s="212" t="s">
        <v>1853</v>
      </c>
      <c r="X214" s="210" t="s">
        <v>109</v>
      </c>
      <c r="Y214" s="210" t="s">
        <v>1853</v>
      </c>
      <c r="Z214" s="210" t="s">
        <v>1855</v>
      </c>
      <c r="AA214" s="215">
        <v>45719</v>
      </c>
      <c r="AB214" s="215">
        <v>45726</v>
      </c>
      <c r="AC214" s="212" t="s">
        <v>1853</v>
      </c>
      <c r="AD214" s="215">
        <v>45733</v>
      </c>
      <c r="AE214" s="215">
        <v>45728</v>
      </c>
      <c r="AF214" s="215">
        <v>45733</v>
      </c>
      <c r="AG214" s="210"/>
      <c r="AH214" s="210"/>
      <c r="AI214" s="216"/>
      <c r="AJ214" s="210" t="s">
        <v>109</v>
      </c>
      <c r="AK214" s="210" t="s">
        <v>109</v>
      </c>
      <c r="AL214" s="210" t="s">
        <v>109</v>
      </c>
      <c r="AM214" s="210" t="s">
        <v>109</v>
      </c>
      <c r="AP214" s="212">
        <v>7</v>
      </c>
      <c r="AQ214" s="218">
        <v>62</v>
      </c>
    </row>
    <row r="215" spans="1:43" ht="18.75" customHeight="1" x14ac:dyDescent="0.3">
      <c r="A215" s="4">
        <v>2502552</v>
      </c>
      <c r="B215" s="110" t="s">
        <v>1091</v>
      </c>
      <c r="C215" s="4" t="e" vm="5">
        <v>#VALUE!</v>
      </c>
      <c r="D215" s="4" t="s">
        <v>17</v>
      </c>
      <c r="E215" s="4" t="s">
        <v>71</v>
      </c>
      <c r="F215" s="4" t="s">
        <v>14</v>
      </c>
      <c r="G215" s="4">
        <v>11.8</v>
      </c>
      <c r="H215" s="4" t="s">
        <v>243</v>
      </c>
      <c r="I215" s="4">
        <v>20</v>
      </c>
      <c r="J215" s="1" t="s">
        <v>111</v>
      </c>
      <c r="K215" s="127"/>
      <c r="L215" s="1" t="s">
        <v>1853</v>
      </c>
      <c r="M215" s="1" t="s">
        <v>2236</v>
      </c>
      <c r="N215" s="127"/>
      <c r="O215" s="1" t="s">
        <v>109</v>
      </c>
      <c r="P215" s="1" t="s">
        <v>109</v>
      </c>
      <c r="Q215" s="127"/>
      <c r="R215" s="56">
        <v>45709</v>
      </c>
      <c r="S215" s="56">
        <v>45725</v>
      </c>
      <c r="T215" s="1" t="s">
        <v>1819</v>
      </c>
      <c r="U215" s="56">
        <v>46073</v>
      </c>
      <c r="V215" s="39" t="s">
        <v>1853</v>
      </c>
      <c r="W215" s="1" t="s">
        <v>1853</v>
      </c>
      <c r="X215" s="4" t="s">
        <v>109</v>
      </c>
      <c r="Y215" s="4" t="s">
        <v>1853</v>
      </c>
      <c r="Z215" s="4" t="s">
        <v>1855</v>
      </c>
      <c r="AA215" s="39">
        <v>45729</v>
      </c>
      <c r="AB215" s="39">
        <v>45736</v>
      </c>
      <c r="AC215" s="1" t="s">
        <v>1853</v>
      </c>
      <c r="AD215" s="39">
        <v>45751</v>
      </c>
      <c r="AE215" s="39">
        <v>45742</v>
      </c>
      <c r="AF215" s="39">
        <v>45751</v>
      </c>
      <c r="AG215" s="39">
        <v>45751</v>
      </c>
      <c r="AH215" s="39">
        <v>49429</v>
      </c>
      <c r="AJ215" s="4" t="s">
        <v>109</v>
      </c>
      <c r="AK215" s="4" t="s">
        <v>109</v>
      </c>
      <c r="AL215" s="4" t="s">
        <v>109</v>
      </c>
      <c r="AM215" s="4" t="s">
        <v>109</v>
      </c>
      <c r="AP215" s="1">
        <v>16</v>
      </c>
      <c r="AQ215" s="38">
        <v>32</v>
      </c>
    </row>
    <row r="216" spans="1:43" ht="18.75" customHeight="1" x14ac:dyDescent="0.3">
      <c r="A216" s="4">
        <v>2412519</v>
      </c>
      <c r="B216" s="110" t="s">
        <v>1096</v>
      </c>
      <c r="C216" s="4" t="e" vm="11">
        <v>#VALUE!</v>
      </c>
      <c r="D216" s="4" t="s">
        <v>17</v>
      </c>
      <c r="E216" s="4" t="s">
        <v>71</v>
      </c>
      <c r="F216" s="4" t="s">
        <v>14</v>
      </c>
      <c r="G216" s="4">
        <v>7.08</v>
      </c>
      <c r="H216" s="4" t="s">
        <v>243</v>
      </c>
      <c r="I216" s="4">
        <v>12</v>
      </c>
      <c r="J216" s="1" t="s">
        <v>286</v>
      </c>
      <c r="K216" s="127"/>
      <c r="L216" s="1" t="s">
        <v>1853</v>
      </c>
      <c r="M216" s="1" t="s">
        <v>2236</v>
      </c>
      <c r="N216" s="127"/>
      <c r="O216" s="1" t="s">
        <v>109</v>
      </c>
      <c r="P216" s="1" t="s">
        <v>109</v>
      </c>
      <c r="Q216" s="127"/>
      <c r="R216" s="56">
        <v>45709</v>
      </c>
      <c r="S216" s="56">
        <v>45725</v>
      </c>
      <c r="T216" s="1" t="s">
        <v>1819</v>
      </c>
      <c r="U216" s="56">
        <v>46073</v>
      </c>
      <c r="V216" s="39" t="s">
        <v>1853</v>
      </c>
      <c r="W216" s="1" t="s">
        <v>1853</v>
      </c>
      <c r="X216" s="4" t="s">
        <v>109</v>
      </c>
      <c r="Y216" s="4" t="s">
        <v>1853</v>
      </c>
      <c r="Z216" s="4" t="s">
        <v>1854</v>
      </c>
      <c r="AA216" s="39">
        <v>45764</v>
      </c>
      <c r="AB216" s="39">
        <v>45755</v>
      </c>
      <c r="AC216" s="1" t="s">
        <v>1853</v>
      </c>
      <c r="AD216" s="39">
        <v>45797</v>
      </c>
      <c r="AE216" s="39">
        <v>45757</v>
      </c>
      <c r="AF216" s="39">
        <v>45797</v>
      </c>
      <c r="AG216" s="39">
        <v>45797</v>
      </c>
      <c r="AH216" s="39">
        <v>49460</v>
      </c>
      <c r="AJ216" s="4" t="s">
        <v>109</v>
      </c>
      <c r="AK216" s="4" t="s">
        <v>109</v>
      </c>
      <c r="AL216" s="4" t="s">
        <v>109</v>
      </c>
      <c r="AM216" s="4" t="s">
        <v>109</v>
      </c>
      <c r="AP216" s="1">
        <v>16</v>
      </c>
      <c r="AQ216" s="38">
        <v>33</v>
      </c>
    </row>
    <row r="217" spans="1:43" s="217" customFormat="1" ht="18.75" customHeight="1" x14ac:dyDescent="0.3">
      <c r="A217" s="210">
        <v>2502547</v>
      </c>
      <c r="B217" s="211" t="s">
        <v>1101</v>
      </c>
      <c r="C217" s="210" t="e" vm="8">
        <v>#VALUE!</v>
      </c>
      <c r="D217" s="210" t="s">
        <v>17</v>
      </c>
      <c r="E217" s="210" t="s">
        <v>71</v>
      </c>
      <c r="F217" s="210" t="s">
        <v>14</v>
      </c>
      <c r="G217" s="210">
        <v>11.8</v>
      </c>
      <c r="H217" s="210" t="s">
        <v>243</v>
      </c>
      <c r="I217" s="210">
        <v>20</v>
      </c>
      <c r="J217" s="212" t="s">
        <v>111</v>
      </c>
      <c r="K217" s="213"/>
      <c r="L217" s="212" t="s">
        <v>2241</v>
      </c>
      <c r="M217" s="212" t="s">
        <v>2236</v>
      </c>
      <c r="N217" s="213"/>
      <c r="O217" s="212" t="s">
        <v>109</v>
      </c>
      <c r="P217" s="212" t="s">
        <v>109</v>
      </c>
      <c r="Q217" s="213"/>
      <c r="R217" s="214">
        <v>45722</v>
      </c>
      <c r="S217" s="214">
        <v>45730</v>
      </c>
      <c r="T217" s="212" t="s">
        <v>1819</v>
      </c>
      <c r="U217" s="214">
        <v>46086</v>
      </c>
      <c r="V217" s="215" t="s">
        <v>1853</v>
      </c>
      <c r="W217" s="212" t="s">
        <v>1853</v>
      </c>
      <c r="X217" s="210" t="s">
        <v>109</v>
      </c>
      <c r="Y217" s="210" t="s">
        <v>1853</v>
      </c>
      <c r="Z217" s="210" t="s">
        <v>1855</v>
      </c>
      <c r="AA217" s="215">
        <v>45734</v>
      </c>
      <c r="AB217" s="215">
        <v>45742</v>
      </c>
      <c r="AC217" s="212" t="s">
        <v>1853</v>
      </c>
      <c r="AD217" s="215">
        <v>45745</v>
      </c>
      <c r="AE217" s="215">
        <v>45743</v>
      </c>
      <c r="AF217" s="215">
        <v>45745</v>
      </c>
      <c r="AG217" s="215"/>
      <c r="AH217" s="215"/>
      <c r="AI217" s="216"/>
      <c r="AJ217" s="210" t="s">
        <v>109</v>
      </c>
      <c r="AK217" s="210" t="s">
        <v>109</v>
      </c>
      <c r="AL217" s="210" t="s">
        <v>109</v>
      </c>
      <c r="AM217" s="210" t="s">
        <v>109</v>
      </c>
      <c r="AP217" s="212">
        <v>8</v>
      </c>
      <c r="AQ217" s="218">
        <v>25</v>
      </c>
    </row>
    <row r="218" spans="1:43" s="217" customFormat="1" ht="18.75" customHeight="1" x14ac:dyDescent="0.3">
      <c r="A218" s="210">
        <v>2502541</v>
      </c>
      <c r="B218" s="211" t="s">
        <v>1106</v>
      </c>
      <c r="C218" s="210" t="e" vm="8">
        <v>#VALUE!</v>
      </c>
      <c r="D218" s="210" t="s">
        <v>17</v>
      </c>
      <c r="E218" s="210" t="s">
        <v>71</v>
      </c>
      <c r="F218" s="210" t="s">
        <v>14</v>
      </c>
      <c r="G218" s="210">
        <v>7.08</v>
      </c>
      <c r="H218" s="210" t="s">
        <v>243</v>
      </c>
      <c r="I218" s="210">
        <v>12</v>
      </c>
      <c r="J218" s="212" t="s">
        <v>286</v>
      </c>
      <c r="K218" s="213"/>
      <c r="L218" s="212" t="s">
        <v>2241</v>
      </c>
      <c r="M218" s="212" t="s">
        <v>2236</v>
      </c>
      <c r="N218" s="213"/>
      <c r="O218" s="212" t="s">
        <v>109</v>
      </c>
      <c r="P218" s="212" t="s">
        <v>109</v>
      </c>
      <c r="Q218" s="213"/>
      <c r="R218" s="214">
        <v>45709</v>
      </c>
      <c r="S218" s="214">
        <v>45713</v>
      </c>
      <c r="T218" s="212" t="s">
        <v>1819</v>
      </c>
      <c r="U218" s="214">
        <v>46073</v>
      </c>
      <c r="V218" s="215" t="s">
        <v>1853</v>
      </c>
      <c r="W218" s="212" t="s">
        <v>1853</v>
      </c>
      <c r="X218" s="210" t="s">
        <v>109</v>
      </c>
      <c r="Y218" s="210" t="s">
        <v>1853</v>
      </c>
      <c r="Z218" s="210" t="s">
        <v>1855</v>
      </c>
      <c r="AA218" s="215">
        <v>45733</v>
      </c>
      <c r="AB218" s="215">
        <v>45762</v>
      </c>
      <c r="AC218" s="212"/>
      <c r="AD218" s="215"/>
      <c r="AE218" s="215">
        <v>45768</v>
      </c>
      <c r="AF218" s="215" t="s">
        <v>1853</v>
      </c>
      <c r="AG218" s="215"/>
      <c r="AH218" s="215"/>
      <c r="AI218" s="216"/>
      <c r="AJ218" s="210" t="s">
        <v>109</v>
      </c>
      <c r="AK218" s="210" t="s">
        <v>109</v>
      </c>
      <c r="AL218" s="210" t="s">
        <v>109</v>
      </c>
      <c r="AM218" s="210" t="s">
        <v>109</v>
      </c>
      <c r="AP218" s="212">
        <v>4</v>
      </c>
      <c r="AQ218" s="218">
        <v>21</v>
      </c>
    </row>
    <row r="219" spans="1:43" s="217" customFormat="1" ht="18.75" customHeight="1" x14ac:dyDescent="0.3">
      <c r="A219" s="210">
        <v>2502556</v>
      </c>
      <c r="B219" s="211" t="s">
        <v>1111</v>
      </c>
      <c r="C219" s="210" t="e" vm="11">
        <v>#VALUE!</v>
      </c>
      <c r="D219" s="210" t="s">
        <v>22</v>
      </c>
      <c r="E219" s="210" t="s">
        <v>71</v>
      </c>
      <c r="F219" s="210" t="s">
        <v>14</v>
      </c>
      <c r="G219" s="210">
        <v>7.08</v>
      </c>
      <c r="H219" s="210" t="s">
        <v>243</v>
      </c>
      <c r="I219" s="210">
        <v>12</v>
      </c>
      <c r="J219" s="212" t="s">
        <v>286</v>
      </c>
      <c r="K219" s="213"/>
      <c r="L219" s="212" t="s">
        <v>2241</v>
      </c>
      <c r="M219" s="212" t="s">
        <v>2236</v>
      </c>
      <c r="N219" s="213"/>
      <c r="O219" s="212" t="s">
        <v>109</v>
      </c>
      <c r="P219" s="212" t="s">
        <v>109</v>
      </c>
      <c r="Q219" s="213"/>
      <c r="R219" s="214">
        <v>45709</v>
      </c>
      <c r="S219" s="214">
        <v>45725</v>
      </c>
      <c r="T219" s="212" t="s">
        <v>1819</v>
      </c>
      <c r="U219" s="214">
        <v>46073</v>
      </c>
      <c r="V219" s="215" t="s">
        <v>1853</v>
      </c>
      <c r="W219" s="212" t="s">
        <v>1853</v>
      </c>
      <c r="X219" s="210" t="s">
        <v>109</v>
      </c>
      <c r="Y219" s="210" t="s">
        <v>1853</v>
      </c>
      <c r="Z219" s="210" t="s">
        <v>1854</v>
      </c>
      <c r="AA219" s="215">
        <v>45730</v>
      </c>
      <c r="AB219" s="215">
        <v>45735</v>
      </c>
      <c r="AC219" s="212" t="s">
        <v>1853</v>
      </c>
      <c r="AD219" s="215">
        <v>45755</v>
      </c>
      <c r="AE219" s="215">
        <v>45743</v>
      </c>
      <c r="AF219" s="215">
        <v>45755</v>
      </c>
      <c r="AG219" s="215"/>
      <c r="AH219" s="215"/>
      <c r="AI219" s="216"/>
      <c r="AJ219" s="210" t="s">
        <v>109</v>
      </c>
      <c r="AK219" s="210" t="s">
        <v>109</v>
      </c>
      <c r="AL219" s="210" t="s">
        <v>109</v>
      </c>
      <c r="AM219" s="210" t="s">
        <v>109</v>
      </c>
      <c r="AP219" s="212">
        <v>16</v>
      </c>
      <c r="AQ219" s="218">
        <v>17</v>
      </c>
    </row>
    <row r="220" spans="1:43" s="217" customFormat="1" ht="18.75" customHeight="1" x14ac:dyDescent="0.3">
      <c r="A220" s="210">
        <v>2502551</v>
      </c>
      <c r="B220" s="211" t="s">
        <v>1116</v>
      </c>
      <c r="C220" s="210" t="e" vm="5">
        <v>#VALUE!</v>
      </c>
      <c r="D220" s="210" t="s">
        <v>17</v>
      </c>
      <c r="E220" s="210" t="s">
        <v>71</v>
      </c>
      <c r="F220" s="210" t="s">
        <v>14</v>
      </c>
      <c r="G220" s="210">
        <v>14.16</v>
      </c>
      <c r="H220" s="210" t="s">
        <v>243</v>
      </c>
      <c r="I220" s="210">
        <v>24</v>
      </c>
      <c r="J220" s="212" t="s">
        <v>143</v>
      </c>
      <c r="K220" s="213"/>
      <c r="L220" s="212" t="s">
        <v>2241</v>
      </c>
      <c r="M220" s="212" t="s">
        <v>2236</v>
      </c>
      <c r="N220" s="213"/>
      <c r="O220" s="212" t="s">
        <v>109</v>
      </c>
      <c r="P220" s="212" t="s">
        <v>109</v>
      </c>
      <c r="Q220" s="213"/>
      <c r="R220" s="214">
        <v>45709</v>
      </c>
      <c r="S220" s="214">
        <v>45713</v>
      </c>
      <c r="T220" s="212" t="s">
        <v>1819</v>
      </c>
      <c r="U220" s="214">
        <v>46073</v>
      </c>
      <c r="V220" s="215" t="s">
        <v>1853</v>
      </c>
      <c r="W220" s="212" t="s">
        <v>1853</v>
      </c>
      <c r="X220" s="210" t="s">
        <v>109</v>
      </c>
      <c r="Y220" s="210" t="s">
        <v>1853</v>
      </c>
      <c r="Z220" s="210" t="s">
        <v>1855</v>
      </c>
      <c r="AA220" s="215">
        <v>45726</v>
      </c>
      <c r="AB220" s="215">
        <v>45736</v>
      </c>
      <c r="AC220" s="212" t="s">
        <v>1853</v>
      </c>
      <c r="AD220" s="215">
        <v>45744</v>
      </c>
      <c r="AE220" s="215" t="s">
        <v>1853</v>
      </c>
      <c r="AF220" s="215" t="s">
        <v>1853</v>
      </c>
      <c r="AG220" s="215"/>
      <c r="AH220" s="215"/>
      <c r="AI220" s="216"/>
      <c r="AJ220" s="210" t="s">
        <v>109</v>
      </c>
      <c r="AK220" s="210" t="s">
        <v>109</v>
      </c>
      <c r="AL220" s="210" t="s">
        <v>109</v>
      </c>
      <c r="AM220" s="210" t="s">
        <v>109</v>
      </c>
      <c r="AP220" s="212">
        <v>4</v>
      </c>
      <c r="AQ220" s="218">
        <v>31</v>
      </c>
    </row>
    <row r="221" spans="1:43" s="217" customFormat="1" ht="18.75" customHeight="1" x14ac:dyDescent="0.3">
      <c r="A221" s="210">
        <v>2502546</v>
      </c>
      <c r="B221" s="211" t="s">
        <v>1121</v>
      </c>
      <c r="C221" s="210" t="e" vm="5">
        <v>#VALUE!</v>
      </c>
      <c r="D221" s="210" t="s">
        <v>17</v>
      </c>
      <c r="E221" s="210" t="s">
        <v>71</v>
      </c>
      <c r="F221" s="210" t="s">
        <v>14</v>
      </c>
      <c r="G221" s="210">
        <v>7.08</v>
      </c>
      <c r="H221" s="210" t="s">
        <v>243</v>
      </c>
      <c r="I221" s="210">
        <v>12</v>
      </c>
      <c r="J221" s="212" t="s">
        <v>244</v>
      </c>
      <c r="K221" s="213"/>
      <c r="L221" s="212" t="s">
        <v>2241</v>
      </c>
      <c r="M221" s="212" t="s">
        <v>2236</v>
      </c>
      <c r="N221" s="213"/>
      <c r="O221" s="212" t="s">
        <v>109</v>
      </c>
      <c r="P221" s="212" t="s">
        <v>109</v>
      </c>
      <c r="Q221" s="213"/>
      <c r="R221" s="214">
        <v>45709</v>
      </c>
      <c r="S221" s="214">
        <v>45713</v>
      </c>
      <c r="T221" s="212" t="s">
        <v>1819</v>
      </c>
      <c r="U221" s="214">
        <v>46073</v>
      </c>
      <c r="V221" s="215" t="s">
        <v>1853</v>
      </c>
      <c r="W221" s="212" t="s">
        <v>1853</v>
      </c>
      <c r="X221" s="210" t="s">
        <v>109</v>
      </c>
      <c r="Y221" s="210" t="s">
        <v>1853</v>
      </c>
      <c r="Z221" s="210" t="s">
        <v>1855</v>
      </c>
      <c r="AA221" s="215">
        <v>45722</v>
      </c>
      <c r="AB221" s="215">
        <v>45744</v>
      </c>
      <c r="AC221" s="212" t="s">
        <v>1853</v>
      </c>
      <c r="AD221" s="215">
        <v>45761</v>
      </c>
      <c r="AE221" s="215">
        <v>45755</v>
      </c>
      <c r="AF221" s="215">
        <v>45761</v>
      </c>
      <c r="AG221" s="215"/>
      <c r="AH221" s="215"/>
      <c r="AI221" s="216"/>
      <c r="AJ221" s="210" t="s">
        <v>109</v>
      </c>
      <c r="AK221" s="210" t="s">
        <v>109</v>
      </c>
      <c r="AL221" s="210" t="s">
        <v>109</v>
      </c>
      <c r="AM221" s="210" t="s">
        <v>109</v>
      </c>
      <c r="AP221" s="212">
        <v>4</v>
      </c>
      <c r="AQ221" s="218">
        <v>18</v>
      </c>
    </row>
    <row r="222" spans="1:43" s="217" customFormat="1" ht="18.75" customHeight="1" x14ac:dyDescent="0.3">
      <c r="A222" s="210">
        <v>2502559</v>
      </c>
      <c r="B222" s="211" t="s">
        <v>1126</v>
      </c>
      <c r="C222" s="210" t="e" vm="11">
        <v>#VALUE!</v>
      </c>
      <c r="D222" s="210" t="s">
        <v>19</v>
      </c>
      <c r="E222" s="210" t="s">
        <v>71</v>
      </c>
      <c r="F222" s="210" t="s">
        <v>14</v>
      </c>
      <c r="G222" s="210">
        <v>9.44</v>
      </c>
      <c r="H222" s="210" t="s">
        <v>243</v>
      </c>
      <c r="I222" s="210">
        <v>16</v>
      </c>
      <c r="J222" s="212" t="s">
        <v>364</v>
      </c>
      <c r="K222" s="213"/>
      <c r="L222" s="212" t="s">
        <v>2241</v>
      </c>
      <c r="M222" s="212" t="s">
        <v>2236</v>
      </c>
      <c r="N222" s="213"/>
      <c r="O222" s="212" t="s">
        <v>109</v>
      </c>
      <c r="P222" s="212" t="s">
        <v>109</v>
      </c>
      <c r="Q222" s="213"/>
      <c r="R222" s="214">
        <v>45709</v>
      </c>
      <c r="S222" s="214">
        <v>45725</v>
      </c>
      <c r="T222" s="212" t="s">
        <v>1819</v>
      </c>
      <c r="U222" s="214">
        <v>46072</v>
      </c>
      <c r="V222" s="215" t="s">
        <v>1853</v>
      </c>
      <c r="W222" s="212" t="s">
        <v>1853</v>
      </c>
      <c r="X222" s="210" t="s">
        <v>109</v>
      </c>
      <c r="Y222" s="210" t="s">
        <v>1853</v>
      </c>
      <c r="Z222" s="210" t="s">
        <v>1854</v>
      </c>
      <c r="AA222" s="215">
        <v>45736</v>
      </c>
      <c r="AB222" s="215">
        <v>45737</v>
      </c>
      <c r="AC222" s="212" t="s">
        <v>1853</v>
      </c>
      <c r="AD222" s="215">
        <v>45745</v>
      </c>
      <c r="AE222" s="215">
        <v>45742</v>
      </c>
      <c r="AF222" s="215">
        <v>45745</v>
      </c>
      <c r="AG222" s="215"/>
      <c r="AH222" s="215"/>
      <c r="AI222" s="216"/>
      <c r="AJ222" s="210" t="s">
        <v>109</v>
      </c>
      <c r="AK222" s="210" t="s">
        <v>109</v>
      </c>
      <c r="AL222" s="210" t="s">
        <v>109</v>
      </c>
      <c r="AM222" s="210" t="s">
        <v>109</v>
      </c>
      <c r="AP222" s="212">
        <v>16</v>
      </c>
      <c r="AQ222" s="218">
        <v>217</v>
      </c>
    </row>
    <row r="223" spans="1:43" ht="18.75" customHeight="1" x14ac:dyDescent="0.3">
      <c r="A223" s="4">
        <v>2501537</v>
      </c>
      <c r="B223" s="110" t="s">
        <v>1131</v>
      </c>
      <c r="C223" s="4" t="e" vm="12">
        <v>#VALUE!</v>
      </c>
      <c r="D223" s="4" t="s">
        <v>17</v>
      </c>
      <c r="E223" s="4" t="s">
        <v>71</v>
      </c>
      <c r="F223" s="4" t="s">
        <v>14</v>
      </c>
      <c r="G223" s="4">
        <v>12.39</v>
      </c>
      <c r="H223" s="4" t="s">
        <v>243</v>
      </c>
      <c r="I223" s="4">
        <v>21</v>
      </c>
      <c r="J223" s="1" t="s">
        <v>111</v>
      </c>
      <c r="K223" s="127"/>
      <c r="L223" s="1" t="s">
        <v>1853</v>
      </c>
      <c r="M223" s="1" t="s">
        <v>2236</v>
      </c>
      <c r="N223" s="127"/>
      <c r="O223" s="1" t="s">
        <v>109</v>
      </c>
      <c r="P223" s="1" t="s">
        <v>109</v>
      </c>
      <c r="Q223" s="127"/>
      <c r="R223" s="56">
        <v>45706</v>
      </c>
      <c r="S223" s="56">
        <v>45713</v>
      </c>
      <c r="T223" s="1" t="s">
        <v>1819</v>
      </c>
      <c r="U223" s="56">
        <v>46070</v>
      </c>
      <c r="V223" s="39" t="s">
        <v>1853</v>
      </c>
      <c r="W223" s="1" t="s">
        <v>1853</v>
      </c>
      <c r="X223" s="4" t="s">
        <v>109</v>
      </c>
      <c r="Y223" s="4" t="s">
        <v>1853</v>
      </c>
      <c r="Z223" s="4" t="s">
        <v>1855</v>
      </c>
      <c r="AA223" s="39">
        <v>45723</v>
      </c>
      <c r="AB223" s="39">
        <v>45727</v>
      </c>
      <c r="AC223" s="1" t="s">
        <v>1853</v>
      </c>
      <c r="AD223" s="39">
        <v>45729</v>
      </c>
      <c r="AE223" s="39" t="s">
        <v>1853</v>
      </c>
      <c r="AF223" s="39">
        <v>45729</v>
      </c>
      <c r="AG223" s="39">
        <v>45729</v>
      </c>
      <c r="AH223" s="39">
        <v>49399</v>
      </c>
      <c r="AJ223" s="4" t="s">
        <v>109</v>
      </c>
      <c r="AK223" s="4" t="s">
        <v>109</v>
      </c>
      <c r="AL223" s="4" t="s">
        <v>109</v>
      </c>
      <c r="AM223" s="4" t="s">
        <v>109</v>
      </c>
      <c r="AP223" s="1">
        <v>7</v>
      </c>
      <c r="AQ223" s="38">
        <v>35</v>
      </c>
    </row>
    <row r="224" spans="1:43" s="217" customFormat="1" ht="18.75" customHeight="1" x14ac:dyDescent="0.3">
      <c r="A224" s="210">
        <v>2502550</v>
      </c>
      <c r="B224" s="211" t="s">
        <v>1136</v>
      </c>
      <c r="C224" s="210" t="e" vm="4">
        <v>#VALUE!</v>
      </c>
      <c r="D224" s="210" t="s">
        <v>19</v>
      </c>
      <c r="E224" s="210" t="s">
        <v>71</v>
      </c>
      <c r="F224" s="210" t="s">
        <v>14</v>
      </c>
      <c r="G224" s="210">
        <v>14.75</v>
      </c>
      <c r="H224" s="210" t="s">
        <v>243</v>
      </c>
      <c r="I224" s="210">
        <v>25</v>
      </c>
      <c r="J224" s="212" t="s">
        <v>143</v>
      </c>
      <c r="K224" s="213"/>
      <c r="L224" s="212" t="s">
        <v>2241</v>
      </c>
      <c r="M224" s="212" t="s">
        <v>2240</v>
      </c>
      <c r="N224" s="213"/>
      <c r="O224" s="212" t="s">
        <v>109</v>
      </c>
      <c r="P224" s="212" t="s">
        <v>109</v>
      </c>
      <c r="Q224" s="213"/>
      <c r="R224" s="214">
        <v>45709</v>
      </c>
      <c r="S224" s="214">
        <v>45725</v>
      </c>
      <c r="T224" s="212" t="s">
        <v>1819</v>
      </c>
      <c r="U224" s="214">
        <v>46073</v>
      </c>
      <c r="V224" s="215" t="s">
        <v>1853</v>
      </c>
      <c r="W224" s="212" t="s">
        <v>1853</v>
      </c>
      <c r="X224" s="210" t="s">
        <v>109</v>
      </c>
      <c r="Y224" s="210" t="s">
        <v>1853</v>
      </c>
      <c r="Z224" s="210" t="s">
        <v>1853</v>
      </c>
      <c r="AA224" s="215">
        <v>45923</v>
      </c>
      <c r="AB224" s="215" t="s">
        <v>1853</v>
      </c>
      <c r="AC224" s="212" t="s">
        <v>1853</v>
      </c>
      <c r="AD224" s="215" t="s">
        <v>1853</v>
      </c>
      <c r="AE224" s="215">
        <v>45930</v>
      </c>
      <c r="AF224" s="215" t="s">
        <v>1853</v>
      </c>
      <c r="AG224" s="215"/>
      <c r="AH224" s="215"/>
      <c r="AI224" s="216"/>
      <c r="AJ224" s="210" t="s">
        <v>109</v>
      </c>
      <c r="AK224" s="210" t="s">
        <v>109</v>
      </c>
      <c r="AL224" s="210" t="s">
        <v>109</v>
      </c>
      <c r="AM224" s="210" t="s">
        <v>109</v>
      </c>
      <c r="AP224" s="212">
        <v>16</v>
      </c>
      <c r="AQ224" s="218">
        <v>49</v>
      </c>
    </row>
    <row r="225" spans="1:43" ht="18.75" customHeight="1" x14ac:dyDescent="0.3">
      <c r="A225" s="4">
        <v>2502543</v>
      </c>
      <c r="B225" s="110" t="s">
        <v>1141</v>
      </c>
      <c r="C225" s="4" t="e" vm="5">
        <v>#VALUE!</v>
      </c>
      <c r="D225" s="4" t="s">
        <v>21</v>
      </c>
      <c r="E225" s="4" t="s">
        <v>71</v>
      </c>
      <c r="F225" s="4" t="s">
        <v>14</v>
      </c>
      <c r="G225" s="4">
        <v>7.08</v>
      </c>
      <c r="H225" s="4" t="s">
        <v>243</v>
      </c>
      <c r="I225" s="4">
        <v>12</v>
      </c>
      <c r="J225" s="1" t="s">
        <v>286</v>
      </c>
      <c r="K225" s="127"/>
      <c r="L225" s="1" t="s">
        <v>1853</v>
      </c>
      <c r="M225" s="1" t="s">
        <v>2236</v>
      </c>
      <c r="N225" s="127"/>
      <c r="O225" s="1" t="s">
        <v>109</v>
      </c>
      <c r="P225" s="1" t="s">
        <v>109</v>
      </c>
      <c r="Q225" s="127"/>
      <c r="R225" s="56">
        <v>45715</v>
      </c>
      <c r="S225" s="56">
        <v>45725</v>
      </c>
      <c r="T225" s="1" t="s">
        <v>1819</v>
      </c>
      <c r="U225" s="56">
        <v>46079</v>
      </c>
      <c r="V225" s="39" t="s">
        <v>1853</v>
      </c>
      <c r="W225" s="1" t="s">
        <v>1853</v>
      </c>
      <c r="X225" s="4" t="s">
        <v>109</v>
      </c>
      <c r="Y225" s="4" t="s">
        <v>1853</v>
      </c>
      <c r="Z225" s="4" t="s">
        <v>1855</v>
      </c>
      <c r="AA225" s="39">
        <v>45740</v>
      </c>
      <c r="AB225" s="39">
        <v>45742</v>
      </c>
      <c r="AC225" s="1" t="s">
        <v>1853</v>
      </c>
      <c r="AD225" s="39">
        <v>45743</v>
      </c>
      <c r="AE225" s="39">
        <v>45742</v>
      </c>
      <c r="AF225" s="39">
        <v>45743</v>
      </c>
      <c r="AG225" s="39">
        <v>45743</v>
      </c>
      <c r="AH225" s="39">
        <v>49399</v>
      </c>
      <c r="AJ225" s="4" t="s">
        <v>109</v>
      </c>
      <c r="AK225" s="4" t="s">
        <v>109</v>
      </c>
      <c r="AL225" s="4" t="s">
        <v>109</v>
      </c>
      <c r="AM225" s="4" t="s">
        <v>109</v>
      </c>
      <c r="AP225" s="1">
        <v>10</v>
      </c>
      <c r="AQ225" s="38">
        <v>35</v>
      </c>
    </row>
    <row r="226" spans="1:43" s="217" customFormat="1" ht="18.75" customHeight="1" x14ac:dyDescent="0.3">
      <c r="A226" s="210">
        <v>2502560</v>
      </c>
      <c r="B226" s="211" t="s">
        <v>1146</v>
      </c>
      <c r="C226" s="210" t="e" vm="8">
        <v>#VALUE!</v>
      </c>
      <c r="D226" s="210" t="s">
        <v>17</v>
      </c>
      <c r="E226" s="210" t="s">
        <v>71</v>
      </c>
      <c r="F226" s="210" t="s">
        <v>14</v>
      </c>
      <c r="G226" s="210">
        <v>14.16</v>
      </c>
      <c r="H226" s="210" t="s">
        <v>243</v>
      </c>
      <c r="I226" s="210">
        <v>24</v>
      </c>
      <c r="J226" s="212" t="s">
        <v>143</v>
      </c>
      <c r="K226" s="213"/>
      <c r="L226" s="212" t="s">
        <v>2241</v>
      </c>
      <c r="M226" s="212" t="s">
        <v>2236</v>
      </c>
      <c r="N226" s="213"/>
      <c r="O226" s="212" t="s">
        <v>109</v>
      </c>
      <c r="P226" s="212" t="s">
        <v>109</v>
      </c>
      <c r="Q226" s="213"/>
      <c r="R226" s="214">
        <v>45715</v>
      </c>
      <c r="S226" s="214">
        <v>45725</v>
      </c>
      <c r="T226" s="212" t="s">
        <v>1819</v>
      </c>
      <c r="U226" s="214">
        <v>46079</v>
      </c>
      <c r="V226" s="215" t="s">
        <v>1853</v>
      </c>
      <c r="W226" s="212" t="s">
        <v>1853</v>
      </c>
      <c r="X226" s="210" t="s">
        <v>109</v>
      </c>
      <c r="Y226" s="210" t="s">
        <v>1853</v>
      </c>
      <c r="Z226" s="210" t="s">
        <v>1855</v>
      </c>
      <c r="AA226" s="215">
        <v>45755</v>
      </c>
      <c r="AB226" s="215">
        <v>45744</v>
      </c>
      <c r="AC226" s="212" t="s">
        <v>1853</v>
      </c>
      <c r="AD226" s="215">
        <v>45761</v>
      </c>
      <c r="AE226" s="215">
        <v>45757</v>
      </c>
      <c r="AF226" s="215">
        <v>45761</v>
      </c>
      <c r="AG226" s="215"/>
      <c r="AH226" s="215"/>
      <c r="AI226" s="216"/>
      <c r="AJ226" s="210" t="s">
        <v>109</v>
      </c>
      <c r="AK226" s="210" t="s">
        <v>109</v>
      </c>
      <c r="AL226" s="210" t="s">
        <v>109</v>
      </c>
      <c r="AM226" s="210" t="s">
        <v>109</v>
      </c>
      <c r="AP226" s="212">
        <v>10</v>
      </c>
      <c r="AQ226" s="218">
        <v>43</v>
      </c>
    </row>
    <row r="227" spans="1:43" s="217" customFormat="1" ht="18.75" customHeight="1" x14ac:dyDescent="0.3">
      <c r="A227" s="210" t="s">
        <v>1151</v>
      </c>
      <c r="B227" s="211" t="s">
        <v>1152</v>
      </c>
      <c r="C227" s="210" t="e" vm="12">
        <v>#VALUE!</v>
      </c>
      <c r="D227" s="210" t="s">
        <v>17</v>
      </c>
      <c r="E227" s="210" t="s">
        <v>71</v>
      </c>
      <c r="F227" s="210" t="s">
        <v>14</v>
      </c>
      <c r="G227" s="210">
        <v>17.7</v>
      </c>
      <c r="H227" s="210" t="s">
        <v>243</v>
      </c>
      <c r="I227" s="210">
        <v>30</v>
      </c>
      <c r="J227" s="212" t="s">
        <v>143</v>
      </c>
      <c r="K227" s="213"/>
      <c r="L227" s="212" t="s">
        <v>2241</v>
      </c>
      <c r="M227" s="212" t="s">
        <v>2236</v>
      </c>
      <c r="N227" s="213"/>
      <c r="O227" s="212" t="s">
        <v>109</v>
      </c>
      <c r="P227" s="212" t="s">
        <v>109</v>
      </c>
      <c r="Q227" s="213"/>
      <c r="R227" s="214">
        <v>45722</v>
      </c>
      <c r="S227" s="214">
        <v>45730</v>
      </c>
      <c r="T227" s="212" t="s">
        <v>1819</v>
      </c>
      <c r="U227" s="214">
        <v>46086</v>
      </c>
      <c r="V227" s="215" t="s">
        <v>1853</v>
      </c>
      <c r="W227" s="212" t="s">
        <v>1853</v>
      </c>
      <c r="X227" s="210" t="s">
        <v>109</v>
      </c>
      <c r="Y227" s="210" t="s">
        <v>1853</v>
      </c>
      <c r="Z227" s="210" t="s">
        <v>1855</v>
      </c>
      <c r="AA227" s="215">
        <v>45736</v>
      </c>
      <c r="AB227" s="215">
        <v>45756</v>
      </c>
      <c r="AC227" s="212" t="s">
        <v>1853</v>
      </c>
      <c r="AD227" s="215">
        <v>45758</v>
      </c>
      <c r="AE227" s="215">
        <v>45757</v>
      </c>
      <c r="AF227" s="215">
        <v>45758</v>
      </c>
      <c r="AG227" s="215"/>
      <c r="AH227" s="215"/>
      <c r="AI227" s="216"/>
      <c r="AJ227" s="210" t="s">
        <v>109</v>
      </c>
      <c r="AK227" s="210" t="s">
        <v>109</v>
      </c>
      <c r="AL227" s="210" t="s">
        <v>109</v>
      </c>
      <c r="AM227" s="210" t="s">
        <v>109</v>
      </c>
      <c r="AP227" s="212">
        <v>8</v>
      </c>
      <c r="AQ227" s="218">
        <v>-45713</v>
      </c>
    </row>
    <row r="228" spans="1:43" ht="18.75" customHeight="1" x14ac:dyDescent="0.3">
      <c r="A228" s="4">
        <v>2502569</v>
      </c>
      <c r="B228" s="110" t="s">
        <v>1157</v>
      </c>
      <c r="C228" s="4" t="e" vm="5">
        <v>#VALUE!</v>
      </c>
      <c r="D228" s="4" t="s">
        <v>21</v>
      </c>
      <c r="E228" s="4" t="s">
        <v>71</v>
      </c>
      <c r="F228" s="4" t="s">
        <v>14</v>
      </c>
      <c r="G228" s="4">
        <v>8.85</v>
      </c>
      <c r="H228" s="4" t="s">
        <v>243</v>
      </c>
      <c r="I228" s="4">
        <v>15</v>
      </c>
      <c r="J228" s="1" t="s">
        <v>364</v>
      </c>
      <c r="K228" s="127"/>
      <c r="L228" s="1" t="s">
        <v>1853</v>
      </c>
      <c r="M228" s="1" t="s">
        <v>2236</v>
      </c>
      <c r="N228" s="127"/>
      <c r="O228" s="1" t="s">
        <v>109</v>
      </c>
      <c r="P228" s="1" t="s">
        <v>109</v>
      </c>
      <c r="Q228" s="127"/>
      <c r="R228" s="56">
        <v>45715</v>
      </c>
      <c r="S228" s="56">
        <v>45734</v>
      </c>
      <c r="T228" s="1" t="s">
        <v>1819</v>
      </c>
      <c r="U228" s="56">
        <v>46079</v>
      </c>
      <c r="V228" s="39" t="s">
        <v>1853</v>
      </c>
      <c r="W228" s="1" t="s">
        <v>1853</v>
      </c>
      <c r="X228" s="4" t="s">
        <v>109</v>
      </c>
      <c r="Y228" s="4" t="s">
        <v>1853</v>
      </c>
      <c r="Z228" s="4" t="s">
        <v>1855</v>
      </c>
      <c r="AA228" s="39">
        <v>45751</v>
      </c>
      <c r="AB228" s="39" t="s">
        <v>1853</v>
      </c>
      <c r="AC228" s="1" t="s">
        <v>1853</v>
      </c>
      <c r="AD228" s="39">
        <v>45770</v>
      </c>
      <c r="AE228" s="39">
        <v>45769</v>
      </c>
      <c r="AF228" s="39">
        <v>45770</v>
      </c>
      <c r="AG228" s="39">
        <v>45770</v>
      </c>
      <c r="AH228" s="39">
        <v>49429</v>
      </c>
      <c r="AJ228" s="4" t="s">
        <v>109</v>
      </c>
      <c r="AK228" s="4" t="s">
        <v>109</v>
      </c>
      <c r="AL228" s="4" t="s">
        <v>109</v>
      </c>
      <c r="AM228" s="4" t="s">
        <v>109</v>
      </c>
      <c r="AP228" s="1">
        <v>19</v>
      </c>
      <c r="AQ228" s="38">
        <v>113</v>
      </c>
    </row>
    <row r="229" spans="1:43" s="172" customFormat="1" ht="18.75" customHeight="1" x14ac:dyDescent="0.3">
      <c r="A229" s="165">
        <v>2502565</v>
      </c>
      <c r="B229" s="166" t="s">
        <v>1162</v>
      </c>
      <c r="C229" s="165" t="e" vm="5">
        <v>#VALUE!</v>
      </c>
      <c r="D229" s="165" t="s">
        <v>20</v>
      </c>
      <c r="E229" s="165" t="s">
        <v>71</v>
      </c>
      <c r="F229" s="165" t="s">
        <v>14</v>
      </c>
      <c r="G229" s="165">
        <v>7.67</v>
      </c>
      <c r="H229" s="165" t="s">
        <v>243</v>
      </c>
      <c r="I229" s="165">
        <v>13</v>
      </c>
      <c r="J229" s="167" t="s">
        <v>244</v>
      </c>
      <c r="K229" s="168"/>
      <c r="L229" s="167" t="s">
        <v>2246</v>
      </c>
      <c r="M229" s="167" t="s">
        <v>2240</v>
      </c>
      <c r="N229" s="168"/>
      <c r="O229" s="167" t="s">
        <v>109</v>
      </c>
      <c r="P229" s="167" t="s">
        <v>109</v>
      </c>
      <c r="Q229" s="168"/>
      <c r="R229" s="169">
        <v>45722</v>
      </c>
      <c r="S229" s="169">
        <v>45730</v>
      </c>
      <c r="T229" s="167" t="s">
        <v>1819</v>
      </c>
      <c r="U229" s="169">
        <v>46086</v>
      </c>
      <c r="V229" s="170" t="s">
        <v>1853</v>
      </c>
      <c r="W229" s="167" t="s">
        <v>1853</v>
      </c>
      <c r="X229" s="165" t="s">
        <v>109</v>
      </c>
      <c r="Y229" s="165" t="s">
        <v>1853</v>
      </c>
      <c r="Z229" s="165"/>
      <c r="AA229" s="170"/>
      <c r="AB229" s="170" t="s">
        <v>1853</v>
      </c>
      <c r="AC229" s="170" t="s">
        <v>1853</v>
      </c>
      <c r="AD229" s="170" t="s">
        <v>1853</v>
      </c>
      <c r="AE229" s="170">
        <v>45765</v>
      </c>
      <c r="AF229" s="170" t="s">
        <v>1853</v>
      </c>
      <c r="AG229" s="170"/>
      <c r="AH229" s="170"/>
      <c r="AI229" s="171"/>
      <c r="AJ229" s="165" t="s">
        <v>109</v>
      </c>
      <c r="AK229" s="165" t="s">
        <v>109</v>
      </c>
      <c r="AL229" s="165" t="s">
        <v>109</v>
      </c>
      <c r="AM229" s="165" t="s">
        <v>109</v>
      </c>
      <c r="AP229" s="167">
        <v>8</v>
      </c>
      <c r="AQ229" s="173">
        <v>30</v>
      </c>
    </row>
    <row r="230" spans="1:43" s="217" customFormat="1" ht="18.75" customHeight="1" x14ac:dyDescent="0.3">
      <c r="A230" s="210">
        <v>2502549</v>
      </c>
      <c r="B230" s="211" t="s">
        <v>1167</v>
      </c>
      <c r="C230" s="210" t="e" vm="11">
        <v>#VALUE!</v>
      </c>
      <c r="D230" s="210" t="s">
        <v>22</v>
      </c>
      <c r="E230" s="210" t="s">
        <v>71</v>
      </c>
      <c r="F230" s="210" t="s">
        <v>14</v>
      </c>
      <c r="G230" s="210">
        <v>14.16</v>
      </c>
      <c r="H230" s="210" t="s">
        <v>243</v>
      </c>
      <c r="I230" s="210">
        <v>24</v>
      </c>
      <c r="J230" s="212" t="s">
        <v>143</v>
      </c>
      <c r="K230" s="213"/>
      <c r="L230" s="212" t="s">
        <v>2241</v>
      </c>
      <c r="M230" s="212" t="s">
        <v>2238</v>
      </c>
      <c r="N230" s="213"/>
      <c r="O230" s="212" t="s">
        <v>109</v>
      </c>
      <c r="P230" s="212" t="s">
        <v>109</v>
      </c>
      <c r="Q230" s="213"/>
      <c r="R230" s="214">
        <v>45728</v>
      </c>
      <c r="S230" s="214">
        <v>45740</v>
      </c>
      <c r="T230" s="212" t="s">
        <v>1819</v>
      </c>
      <c r="U230" s="214">
        <v>46095</v>
      </c>
      <c r="V230" s="215" t="s">
        <v>1853</v>
      </c>
      <c r="W230" s="212" t="s">
        <v>1853</v>
      </c>
      <c r="X230" s="210" t="s">
        <v>109</v>
      </c>
      <c r="Y230" s="210" t="s">
        <v>1853</v>
      </c>
      <c r="Z230" s="210" t="s">
        <v>1854</v>
      </c>
      <c r="AA230" s="215">
        <v>45825</v>
      </c>
      <c r="AB230" s="215">
        <v>45756</v>
      </c>
      <c r="AC230" s="212" t="s">
        <v>1857</v>
      </c>
      <c r="AD230" s="215">
        <v>45761</v>
      </c>
      <c r="AE230" s="215">
        <v>45761</v>
      </c>
      <c r="AF230" s="215" t="s">
        <v>1853</v>
      </c>
      <c r="AG230" s="215"/>
      <c r="AH230" s="215"/>
      <c r="AI230" s="216"/>
      <c r="AJ230" s="210" t="s">
        <v>109</v>
      </c>
      <c r="AK230" s="210" t="s">
        <v>109</v>
      </c>
      <c r="AL230" s="210" t="s">
        <v>109</v>
      </c>
      <c r="AM230" s="210" t="s">
        <v>109</v>
      </c>
      <c r="AP230" s="212">
        <v>12</v>
      </c>
      <c r="AQ230" s="218">
        <v>46</v>
      </c>
    </row>
    <row r="231" spans="1:43" s="217" customFormat="1" ht="18.75" customHeight="1" x14ac:dyDescent="0.3">
      <c r="A231" s="210">
        <v>2405286</v>
      </c>
      <c r="B231" s="211" t="s">
        <v>1172</v>
      </c>
      <c r="C231" s="210" t="e" vm="5">
        <v>#VALUE!</v>
      </c>
      <c r="D231" s="210" t="s">
        <v>17</v>
      </c>
      <c r="E231" s="210" t="s">
        <v>71</v>
      </c>
      <c r="F231" s="210" t="s">
        <v>14</v>
      </c>
      <c r="G231" s="210">
        <v>17.7</v>
      </c>
      <c r="H231" s="210" t="s">
        <v>243</v>
      </c>
      <c r="I231" s="210">
        <v>30</v>
      </c>
      <c r="J231" s="212" t="s">
        <v>143</v>
      </c>
      <c r="K231" s="213"/>
      <c r="L231" s="212" t="s">
        <v>2241</v>
      </c>
      <c r="M231" s="212" t="s">
        <v>2236</v>
      </c>
      <c r="N231" s="213"/>
      <c r="O231" s="212" t="s">
        <v>109</v>
      </c>
      <c r="P231" s="212" t="s">
        <v>109</v>
      </c>
      <c r="Q231" s="213"/>
      <c r="R231" s="214">
        <v>45722</v>
      </c>
      <c r="S231" s="214">
        <v>45741</v>
      </c>
      <c r="T231" s="212" t="s">
        <v>1819</v>
      </c>
      <c r="U231" s="214">
        <v>46086</v>
      </c>
      <c r="V231" s="215" t="s">
        <v>1853</v>
      </c>
      <c r="W231" s="212" t="s">
        <v>1853</v>
      </c>
      <c r="X231" s="210" t="s">
        <v>109</v>
      </c>
      <c r="Y231" s="210" t="s">
        <v>1853</v>
      </c>
      <c r="Z231" s="210" t="s">
        <v>1855</v>
      </c>
      <c r="AA231" s="215">
        <v>45743</v>
      </c>
      <c r="AB231" s="215">
        <v>45754</v>
      </c>
      <c r="AC231" s="212" t="s">
        <v>1853</v>
      </c>
      <c r="AD231" s="215">
        <v>45757</v>
      </c>
      <c r="AE231" s="215">
        <v>45755</v>
      </c>
      <c r="AF231" s="215">
        <v>45757</v>
      </c>
      <c r="AG231" s="215"/>
      <c r="AH231" s="215"/>
      <c r="AI231" s="216"/>
      <c r="AJ231" s="210" t="s">
        <v>109</v>
      </c>
      <c r="AK231" s="210" t="s">
        <v>109</v>
      </c>
      <c r="AL231" s="210" t="s">
        <v>109</v>
      </c>
      <c r="AM231" s="210" t="s">
        <v>109</v>
      </c>
      <c r="AP231" s="212">
        <v>19</v>
      </c>
      <c r="AQ231" s="218">
        <v>46</v>
      </c>
    </row>
    <row r="232" spans="1:43" s="217" customFormat="1" ht="18.75" customHeight="1" x14ac:dyDescent="0.3">
      <c r="A232" s="210">
        <v>2501527</v>
      </c>
      <c r="B232" s="211" t="s">
        <v>1177</v>
      </c>
      <c r="C232" s="210" t="e" vm="11">
        <v>#VALUE!</v>
      </c>
      <c r="D232" s="210" t="s">
        <v>17</v>
      </c>
      <c r="E232" s="210" t="s">
        <v>71</v>
      </c>
      <c r="F232" s="210" t="s">
        <v>14</v>
      </c>
      <c r="G232" s="210">
        <v>11.8</v>
      </c>
      <c r="H232" s="210" t="s">
        <v>243</v>
      </c>
      <c r="I232" s="210">
        <v>20</v>
      </c>
      <c r="J232" s="212" t="s">
        <v>111</v>
      </c>
      <c r="K232" s="213"/>
      <c r="L232" s="212" t="s">
        <v>2241</v>
      </c>
      <c r="M232" s="212" t="s">
        <v>2236</v>
      </c>
      <c r="N232" s="213"/>
      <c r="O232" s="212" t="s">
        <v>109</v>
      </c>
      <c r="P232" s="212" t="s">
        <v>109</v>
      </c>
      <c r="Q232" s="213"/>
      <c r="R232" s="214">
        <v>45727</v>
      </c>
      <c r="S232" s="214">
        <v>45734</v>
      </c>
      <c r="T232" s="212" t="s">
        <v>1819</v>
      </c>
      <c r="U232" s="214">
        <v>46091</v>
      </c>
      <c r="V232" s="215" t="s">
        <v>1853</v>
      </c>
      <c r="W232" s="212" t="s">
        <v>1853</v>
      </c>
      <c r="X232" s="210" t="s">
        <v>109</v>
      </c>
      <c r="Y232" s="210" t="s">
        <v>1853</v>
      </c>
      <c r="Z232" s="210" t="s">
        <v>1854</v>
      </c>
      <c r="AA232" s="215">
        <v>45761</v>
      </c>
      <c r="AB232" s="215">
        <v>45756</v>
      </c>
      <c r="AC232" s="212" t="s">
        <v>1853</v>
      </c>
      <c r="AD232" s="215" t="s">
        <v>1853</v>
      </c>
      <c r="AE232" s="215">
        <v>45757</v>
      </c>
      <c r="AF232" s="215" t="s">
        <v>1853</v>
      </c>
      <c r="AG232" s="215"/>
      <c r="AH232" s="215"/>
      <c r="AI232" s="216"/>
      <c r="AJ232" s="210" t="s">
        <v>109</v>
      </c>
      <c r="AK232" s="210" t="s">
        <v>109</v>
      </c>
      <c r="AL232" s="210" t="s">
        <v>109</v>
      </c>
      <c r="AM232" s="210" t="s">
        <v>109</v>
      </c>
      <c r="AP232" s="212">
        <v>7</v>
      </c>
      <c r="AQ232" s="218">
        <v>22</v>
      </c>
    </row>
    <row r="233" spans="1:43" s="217" customFormat="1" ht="18.75" customHeight="1" x14ac:dyDescent="0.3">
      <c r="A233" s="210">
        <v>2501529</v>
      </c>
      <c r="B233" s="211" t="s">
        <v>1182</v>
      </c>
      <c r="C233" s="210" t="e" vm="11">
        <v>#VALUE!</v>
      </c>
      <c r="D233" s="210" t="s">
        <v>17</v>
      </c>
      <c r="E233" s="210" t="s">
        <v>71</v>
      </c>
      <c r="F233" s="210" t="s">
        <v>14</v>
      </c>
      <c r="G233" s="210">
        <v>10.62</v>
      </c>
      <c r="H233" s="210" t="s">
        <v>243</v>
      </c>
      <c r="I233" s="210">
        <v>18</v>
      </c>
      <c r="J233" s="212" t="s">
        <v>364</v>
      </c>
      <c r="K233" s="213"/>
      <c r="L233" s="212" t="s">
        <v>2241</v>
      </c>
      <c r="M233" s="212" t="s">
        <v>2236</v>
      </c>
      <c r="N233" s="213"/>
      <c r="O233" s="212" t="s">
        <v>109</v>
      </c>
      <c r="P233" s="212" t="s">
        <v>109</v>
      </c>
      <c r="Q233" s="213"/>
      <c r="R233" s="214">
        <v>45727</v>
      </c>
      <c r="S233" s="214">
        <v>45734</v>
      </c>
      <c r="T233" s="212" t="s">
        <v>1819</v>
      </c>
      <c r="U233" s="214">
        <v>46091</v>
      </c>
      <c r="V233" s="215" t="s">
        <v>1853</v>
      </c>
      <c r="W233" s="212" t="s">
        <v>1853</v>
      </c>
      <c r="X233" s="210" t="s">
        <v>109</v>
      </c>
      <c r="Y233" s="210" t="s">
        <v>1853</v>
      </c>
      <c r="Z233" s="210" t="s">
        <v>1854</v>
      </c>
      <c r="AA233" s="215">
        <v>45762</v>
      </c>
      <c r="AB233" s="215">
        <v>45754</v>
      </c>
      <c r="AC233" s="212" t="s">
        <v>1853</v>
      </c>
      <c r="AD233" s="215" t="s">
        <v>1853</v>
      </c>
      <c r="AE233" s="215">
        <v>45757</v>
      </c>
      <c r="AF233" s="215" t="s">
        <v>1853</v>
      </c>
      <c r="AG233" s="215"/>
      <c r="AH233" s="215"/>
      <c r="AI233" s="216"/>
      <c r="AJ233" s="210" t="s">
        <v>109</v>
      </c>
      <c r="AK233" s="210" t="s">
        <v>109</v>
      </c>
      <c r="AL233" s="210" t="s">
        <v>109</v>
      </c>
      <c r="AM233" s="210" t="s">
        <v>109</v>
      </c>
      <c r="AP233" s="212">
        <v>7</v>
      </c>
      <c r="AQ233" s="218">
        <v>41</v>
      </c>
    </row>
    <row r="234" spans="1:43" s="217" customFormat="1" ht="18.75" customHeight="1" x14ac:dyDescent="0.3">
      <c r="A234" s="210">
        <v>2502581</v>
      </c>
      <c r="B234" s="211" t="s">
        <v>1185</v>
      </c>
      <c r="C234" s="210" t="e" vm="5">
        <v>#VALUE!</v>
      </c>
      <c r="D234" s="210" t="s">
        <v>17</v>
      </c>
      <c r="E234" s="210" t="s">
        <v>71</v>
      </c>
      <c r="F234" s="210" t="s">
        <v>14</v>
      </c>
      <c r="G234" s="210">
        <v>7.08</v>
      </c>
      <c r="H234" s="210" t="s">
        <v>243</v>
      </c>
      <c r="I234" s="210">
        <v>12</v>
      </c>
      <c r="J234" s="212" t="s">
        <v>286</v>
      </c>
      <c r="K234" s="213"/>
      <c r="L234" s="212" t="s">
        <v>2241</v>
      </c>
      <c r="M234" s="212" t="s">
        <v>2236</v>
      </c>
      <c r="N234" s="213"/>
      <c r="O234" s="212" t="s">
        <v>109</v>
      </c>
      <c r="P234" s="212" t="s">
        <v>109</v>
      </c>
      <c r="Q234" s="213"/>
      <c r="R234" s="214">
        <v>45728</v>
      </c>
      <c r="S234" s="214">
        <v>45734</v>
      </c>
      <c r="T234" s="212" t="s">
        <v>1819</v>
      </c>
      <c r="U234" s="214">
        <v>46092</v>
      </c>
      <c r="V234" s="215" t="s">
        <v>1853</v>
      </c>
      <c r="W234" s="212" t="s">
        <v>1853</v>
      </c>
      <c r="X234" s="210" t="s">
        <v>109</v>
      </c>
      <c r="Y234" s="210" t="s">
        <v>1853</v>
      </c>
      <c r="Z234" s="210" t="s">
        <v>1855</v>
      </c>
      <c r="AA234" s="215">
        <v>45740</v>
      </c>
      <c r="AB234" s="215">
        <v>45752</v>
      </c>
      <c r="AC234" s="212" t="s">
        <v>1853</v>
      </c>
      <c r="AD234" s="215">
        <v>45754</v>
      </c>
      <c r="AE234" s="215" t="s">
        <v>1853</v>
      </c>
      <c r="AF234" s="215">
        <v>45754</v>
      </c>
      <c r="AG234" s="215"/>
      <c r="AH234" s="215"/>
      <c r="AI234" s="216"/>
      <c r="AJ234" s="210" t="s">
        <v>109</v>
      </c>
      <c r="AK234" s="210" t="s">
        <v>109</v>
      </c>
      <c r="AL234" s="210" t="s">
        <v>109</v>
      </c>
      <c r="AM234" s="210" t="s">
        <v>109</v>
      </c>
      <c r="AP234" s="212">
        <v>6</v>
      </c>
      <c r="AQ234" s="218">
        <v>24</v>
      </c>
    </row>
    <row r="235" spans="1:43" s="217" customFormat="1" ht="18.75" customHeight="1" x14ac:dyDescent="0.3">
      <c r="A235" s="210">
        <v>2501540</v>
      </c>
      <c r="B235" s="211" t="s">
        <v>1190</v>
      </c>
      <c r="C235" s="210" t="e" vm="11">
        <v>#VALUE!</v>
      </c>
      <c r="D235" s="210" t="s">
        <v>22</v>
      </c>
      <c r="E235" s="210" t="s">
        <v>71</v>
      </c>
      <c r="F235" s="210" t="s">
        <v>14</v>
      </c>
      <c r="G235" s="210">
        <v>7.08</v>
      </c>
      <c r="H235" s="210" t="s">
        <v>243</v>
      </c>
      <c r="I235" s="210">
        <v>12</v>
      </c>
      <c r="J235" s="212" t="s">
        <v>286</v>
      </c>
      <c r="K235" s="213"/>
      <c r="L235" s="212" t="s">
        <v>2241</v>
      </c>
      <c r="M235" s="212" t="s">
        <v>2236</v>
      </c>
      <c r="N235" s="213"/>
      <c r="O235" s="212" t="s">
        <v>109</v>
      </c>
      <c r="P235" s="212" t="s">
        <v>109</v>
      </c>
      <c r="Q235" s="213"/>
      <c r="R235" s="214">
        <v>45727</v>
      </c>
      <c r="S235" s="214">
        <v>45734</v>
      </c>
      <c r="T235" s="212" t="s">
        <v>1819</v>
      </c>
      <c r="U235" s="214">
        <v>46091</v>
      </c>
      <c r="V235" s="215" t="s">
        <v>1853</v>
      </c>
      <c r="W235" s="212" t="s">
        <v>1853</v>
      </c>
      <c r="X235" s="210" t="s">
        <v>109</v>
      </c>
      <c r="Y235" s="210" t="s">
        <v>1853</v>
      </c>
      <c r="Z235" s="210" t="s">
        <v>1854</v>
      </c>
      <c r="AA235" s="215">
        <v>45759</v>
      </c>
      <c r="AB235" s="215">
        <v>45751</v>
      </c>
      <c r="AC235" s="212" t="s">
        <v>1853</v>
      </c>
      <c r="AD235" s="215">
        <v>45760</v>
      </c>
      <c r="AE235" s="215" t="s">
        <v>1853</v>
      </c>
      <c r="AF235" s="215">
        <v>45760</v>
      </c>
      <c r="AG235" s="215"/>
      <c r="AH235" s="215"/>
      <c r="AI235" s="216"/>
      <c r="AJ235" s="210" t="s">
        <v>109</v>
      </c>
      <c r="AK235" s="210" t="s">
        <v>109</v>
      </c>
      <c r="AL235" s="210" t="s">
        <v>109</v>
      </c>
      <c r="AM235" s="210" t="s">
        <v>109</v>
      </c>
      <c r="AP235" s="212">
        <v>7</v>
      </c>
      <c r="AQ235" s="218">
        <v>102</v>
      </c>
    </row>
    <row r="236" spans="1:43" s="217" customFormat="1" ht="18.75" customHeight="1" x14ac:dyDescent="0.3">
      <c r="A236" s="210">
        <v>2502571</v>
      </c>
      <c r="B236" s="211" t="s">
        <v>1196</v>
      </c>
      <c r="C236" s="210" t="e" vm="12">
        <v>#VALUE!</v>
      </c>
      <c r="D236" s="210" t="s">
        <v>17</v>
      </c>
      <c r="E236" s="210" t="s">
        <v>71</v>
      </c>
      <c r="F236" s="210" t="s">
        <v>14</v>
      </c>
      <c r="G236" s="210">
        <v>11.8</v>
      </c>
      <c r="H236" s="210" t="s">
        <v>243</v>
      </c>
      <c r="I236" s="210">
        <v>20</v>
      </c>
      <c r="J236" s="212" t="s">
        <v>111</v>
      </c>
      <c r="K236" s="213"/>
      <c r="L236" s="212" t="s">
        <v>2241</v>
      </c>
      <c r="M236" s="212" t="s">
        <v>2236</v>
      </c>
      <c r="N236" s="213"/>
      <c r="O236" s="212" t="s">
        <v>109</v>
      </c>
      <c r="P236" s="212" t="s">
        <v>109</v>
      </c>
      <c r="Q236" s="213"/>
      <c r="R236" s="214">
        <v>45723</v>
      </c>
      <c r="S236" s="214">
        <v>45734</v>
      </c>
      <c r="T236" s="212" t="s">
        <v>1819</v>
      </c>
      <c r="U236" s="214">
        <v>46087</v>
      </c>
      <c r="V236" s="215" t="s">
        <v>1853</v>
      </c>
      <c r="W236" s="212" t="s">
        <v>1853</v>
      </c>
      <c r="X236" s="210" t="s">
        <v>109</v>
      </c>
      <c r="Y236" s="210" t="s">
        <v>1853</v>
      </c>
      <c r="Z236" s="210" t="s">
        <v>1855</v>
      </c>
      <c r="AA236" s="215">
        <v>45741</v>
      </c>
      <c r="AB236" s="215">
        <v>45741</v>
      </c>
      <c r="AC236" s="212" t="s">
        <v>1853</v>
      </c>
      <c r="AD236" s="215">
        <v>45750</v>
      </c>
      <c r="AE236" s="215">
        <v>45743</v>
      </c>
      <c r="AF236" s="215" t="s">
        <v>1853</v>
      </c>
      <c r="AG236" s="215"/>
      <c r="AH236" s="215"/>
      <c r="AI236" s="216"/>
      <c r="AJ236" s="210" t="s">
        <v>109</v>
      </c>
      <c r="AK236" s="210" t="s">
        <v>109</v>
      </c>
      <c r="AL236" s="210" t="s">
        <v>109</v>
      </c>
      <c r="AM236" s="210" t="s">
        <v>109</v>
      </c>
      <c r="AP236" s="212">
        <v>11</v>
      </c>
      <c r="AQ236" s="218">
        <v>23</v>
      </c>
    </row>
    <row r="237" spans="1:43" s="217" customFormat="1" ht="18.75" customHeight="1" x14ac:dyDescent="0.3">
      <c r="A237" s="210">
        <v>2502568</v>
      </c>
      <c r="B237" s="211" t="s">
        <v>1201</v>
      </c>
      <c r="C237" s="210" t="e" vm="5">
        <v>#VALUE!</v>
      </c>
      <c r="D237" s="210" t="s">
        <v>17</v>
      </c>
      <c r="E237" s="210" t="s">
        <v>71</v>
      </c>
      <c r="F237" s="210" t="s">
        <v>14</v>
      </c>
      <c r="G237" s="210">
        <v>7.08</v>
      </c>
      <c r="H237" s="210" t="s">
        <v>243</v>
      </c>
      <c r="I237" s="210">
        <v>12</v>
      </c>
      <c r="J237" s="212" t="s">
        <v>1202</v>
      </c>
      <c r="K237" s="213"/>
      <c r="L237" s="212" t="s">
        <v>2241</v>
      </c>
      <c r="M237" s="212" t="s">
        <v>2236</v>
      </c>
      <c r="N237" s="213"/>
      <c r="O237" s="212" t="s">
        <v>109</v>
      </c>
      <c r="P237" s="212" t="s">
        <v>109</v>
      </c>
      <c r="Q237" s="213"/>
      <c r="R237" s="214">
        <v>45729</v>
      </c>
      <c r="S237" s="214">
        <v>45735</v>
      </c>
      <c r="T237" s="212" t="s">
        <v>1819</v>
      </c>
      <c r="U237" s="214">
        <v>46093</v>
      </c>
      <c r="V237" s="215" t="s">
        <v>1853</v>
      </c>
      <c r="W237" s="212" t="s">
        <v>1853</v>
      </c>
      <c r="X237" s="210" t="s">
        <v>109</v>
      </c>
      <c r="Y237" s="210" t="s">
        <v>1853</v>
      </c>
      <c r="Z237" s="210" t="s">
        <v>1855</v>
      </c>
      <c r="AA237" s="215">
        <v>45818</v>
      </c>
      <c r="AB237" s="215">
        <v>45758</v>
      </c>
      <c r="AC237" s="212" t="s">
        <v>1858</v>
      </c>
      <c r="AD237" s="215">
        <v>45761</v>
      </c>
      <c r="AE237" s="215">
        <v>45762</v>
      </c>
      <c r="AF237" s="215" t="s">
        <v>1853</v>
      </c>
      <c r="AG237" s="215"/>
      <c r="AH237" s="215"/>
      <c r="AI237" s="216"/>
      <c r="AJ237" s="210" t="s">
        <v>109</v>
      </c>
      <c r="AK237" s="210" t="s">
        <v>109</v>
      </c>
      <c r="AL237" s="210" t="s">
        <v>109</v>
      </c>
      <c r="AM237" s="210" t="s">
        <v>109</v>
      </c>
      <c r="AP237" s="212">
        <v>6</v>
      </c>
      <c r="AQ237" s="218">
        <v>52</v>
      </c>
    </row>
    <row r="238" spans="1:43" ht="18.75" customHeight="1" x14ac:dyDescent="0.3">
      <c r="A238" s="4">
        <v>2404258</v>
      </c>
      <c r="B238" s="110" t="s">
        <v>1208</v>
      </c>
      <c r="C238" s="4" t="e" vm="5">
        <v>#VALUE!</v>
      </c>
      <c r="D238" s="4" t="s">
        <v>17</v>
      </c>
      <c r="E238" s="4" t="s">
        <v>71</v>
      </c>
      <c r="F238" s="4" t="s">
        <v>14</v>
      </c>
      <c r="G238" s="4">
        <v>9.44</v>
      </c>
      <c r="H238" s="4" t="s">
        <v>243</v>
      </c>
      <c r="I238" s="4">
        <v>16</v>
      </c>
      <c r="J238" s="1" t="s">
        <v>364</v>
      </c>
      <c r="K238" s="127"/>
      <c r="L238" s="1" t="s">
        <v>1853</v>
      </c>
      <c r="M238" s="1" t="s">
        <v>2236</v>
      </c>
      <c r="N238" s="127"/>
      <c r="O238" s="1" t="s">
        <v>109</v>
      </c>
      <c r="P238" s="1" t="s">
        <v>109</v>
      </c>
      <c r="Q238" s="127"/>
      <c r="R238" s="56">
        <v>45728</v>
      </c>
      <c r="S238" s="56">
        <v>45734</v>
      </c>
      <c r="T238" s="1" t="s">
        <v>1819</v>
      </c>
      <c r="U238" s="56">
        <v>46092</v>
      </c>
      <c r="V238" s="39" t="s">
        <v>1853</v>
      </c>
      <c r="W238" s="1" t="s">
        <v>1853</v>
      </c>
      <c r="X238" s="4" t="s">
        <v>109</v>
      </c>
      <c r="Y238" s="4" t="s">
        <v>1853</v>
      </c>
      <c r="Z238" s="4" t="s">
        <v>1855</v>
      </c>
      <c r="AA238" s="39">
        <v>45741</v>
      </c>
      <c r="AB238" s="39" t="s">
        <v>1853</v>
      </c>
      <c r="AC238" s="1" t="s">
        <v>1853</v>
      </c>
      <c r="AD238" s="39">
        <v>45761</v>
      </c>
      <c r="AE238" s="39">
        <v>45750</v>
      </c>
      <c r="AF238" s="39">
        <v>45761</v>
      </c>
      <c r="AG238" s="39">
        <v>45761</v>
      </c>
      <c r="AH238" s="39">
        <v>49429</v>
      </c>
      <c r="AJ238" s="4" t="s">
        <v>109</v>
      </c>
      <c r="AK238" s="4" t="s">
        <v>109</v>
      </c>
      <c r="AL238" s="4" t="s">
        <v>109</v>
      </c>
      <c r="AM238" s="4" t="s">
        <v>109</v>
      </c>
      <c r="AP238" s="1">
        <v>6</v>
      </c>
      <c r="AQ238" s="38">
        <v>35</v>
      </c>
    </row>
    <row r="239" spans="1:43" s="217" customFormat="1" ht="18.75" customHeight="1" x14ac:dyDescent="0.3">
      <c r="A239" s="210">
        <v>2503588</v>
      </c>
      <c r="B239" s="211" t="s">
        <v>1213</v>
      </c>
      <c r="C239" s="210" t="e" vm="8">
        <v>#VALUE!</v>
      </c>
      <c r="D239" s="210" t="s">
        <v>17</v>
      </c>
      <c r="E239" s="210" t="s">
        <v>71</v>
      </c>
      <c r="F239" s="210" t="s">
        <v>14</v>
      </c>
      <c r="G239" s="210">
        <v>7.08</v>
      </c>
      <c r="H239" s="210" t="s">
        <v>243</v>
      </c>
      <c r="I239" s="210">
        <v>12</v>
      </c>
      <c r="J239" s="212" t="s">
        <v>286</v>
      </c>
      <c r="K239" s="213"/>
      <c r="L239" s="212" t="s">
        <v>2241</v>
      </c>
      <c r="M239" s="212" t="s">
        <v>2236</v>
      </c>
      <c r="N239" s="213"/>
      <c r="O239" s="212" t="s">
        <v>109</v>
      </c>
      <c r="P239" s="212" t="s">
        <v>109</v>
      </c>
      <c r="Q239" s="213"/>
      <c r="R239" s="214">
        <v>45728</v>
      </c>
      <c r="S239" s="214">
        <v>45734</v>
      </c>
      <c r="T239" s="212" t="s">
        <v>1819</v>
      </c>
      <c r="U239" s="214">
        <v>46092</v>
      </c>
      <c r="V239" s="215" t="s">
        <v>1853</v>
      </c>
      <c r="W239" s="212" t="s">
        <v>1853</v>
      </c>
      <c r="X239" s="210" t="s">
        <v>109</v>
      </c>
      <c r="Y239" s="210" t="s">
        <v>1853</v>
      </c>
      <c r="Z239" s="210" t="s">
        <v>1855</v>
      </c>
      <c r="AA239" s="215">
        <v>45768</v>
      </c>
      <c r="AB239" s="215">
        <v>45758</v>
      </c>
      <c r="AC239" s="212" t="s">
        <v>1853</v>
      </c>
      <c r="AD239" s="215">
        <v>45768</v>
      </c>
      <c r="AE239" s="215">
        <v>45765</v>
      </c>
      <c r="AF239" s="215">
        <v>45768</v>
      </c>
      <c r="AG239" s="215"/>
      <c r="AH239" s="215"/>
      <c r="AI239" s="216"/>
      <c r="AJ239" s="210" t="s">
        <v>109</v>
      </c>
      <c r="AK239" s="210" t="s">
        <v>109</v>
      </c>
      <c r="AL239" s="210" t="s">
        <v>109</v>
      </c>
      <c r="AM239" s="210" t="s">
        <v>109</v>
      </c>
      <c r="AP239" s="212">
        <v>6</v>
      </c>
      <c r="AQ239" s="218">
        <v>33</v>
      </c>
    </row>
    <row r="240" spans="1:43" ht="18.75" customHeight="1" x14ac:dyDescent="0.3">
      <c r="A240" s="4">
        <v>2502561</v>
      </c>
      <c r="B240" s="110" t="s">
        <v>1218</v>
      </c>
      <c r="C240" s="4" t="e" vm="8">
        <v>#VALUE!</v>
      </c>
      <c r="D240" s="4" t="s">
        <v>17</v>
      </c>
      <c r="E240" s="4" t="s">
        <v>71</v>
      </c>
      <c r="F240" s="4" t="s">
        <v>14</v>
      </c>
      <c r="G240" s="4">
        <v>15.93</v>
      </c>
      <c r="H240" s="4" t="s">
        <v>243</v>
      </c>
      <c r="I240" s="4">
        <v>27</v>
      </c>
      <c r="J240" s="1" t="s">
        <v>143</v>
      </c>
      <c r="K240" s="127"/>
      <c r="L240" s="1" t="s">
        <v>1853</v>
      </c>
      <c r="M240" s="1" t="s">
        <v>2236</v>
      </c>
      <c r="N240" s="127"/>
      <c r="O240" s="1" t="s">
        <v>109</v>
      </c>
      <c r="P240" s="1" t="s">
        <v>109</v>
      </c>
      <c r="Q240" s="127"/>
      <c r="R240" s="56">
        <v>45728</v>
      </c>
      <c r="S240" s="56">
        <v>45734</v>
      </c>
      <c r="T240" s="1" t="s">
        <v>1819</v>
      </c>
      <c r="U240" s="56">
        <v>46092</v>
      </c>
      <c r="V240" s="39" t="s">
        <v>1853</v>
      </c>
      <c r="W240" s="1" t="s">
        <v>1853</v>
      </c>
      <c r="X240" s="4" t="s">
        <v>109</v>
      </c>
      <c r="Y240" s="4" t="s">
        <v>1853</v>
      </c>
      <c r="Z240" s="4" t="s">
        <v>1855</v>
      </c>
      <c r="AA240" s="39">
        <v>45757</v>
      </c>
      <c r="AB240" s="39" t="s">
        <v>1853</v>
      </c>
      <c r="AC240" s="1" t="s">
        <v>1853</v>
      </c>
      <c r="AD240" s="39">
        <v>45777</v>
      </c>
      <c r="AE240" s="39">
        <v>45771</v>
      </c>
      <c r="AF240" s="39">
        <v>45777</v>
      </c>
      <c r="AG240" s="39">
        <v>45777</v>
      </c>
      <c r="AH240" s="39">
        <v>49429</v>
      </c>
      <c r="AJ240" s="4" t="s">
        <v>109</v>
      </c>
      <c r="AK240" s="4" t="s">
        <v>109</v>
      </c>
      <c r="AL240" s="4" t="s">
        <v>109</v>
      </c>
      <c r="AM240" s="4" t="s">
        <v>109</v>
      </c>
      <c r="AP240" s="1">
        <v>6</v>
      </c>
      <c r="AQ240" s="38">
        <v>101</v>
      </c>
    </row>
    <row r="241" spans="1:43" s="217" customFormat="1" ht="18.75" customHeight="1" x14ac:dyDescent="0.3">
      <c r="A241" s="210">
        <v>2503590</v>
      </c>
      <c r="B241" s="211" t="s">
        <v>1223</v>
      </c>
      <c r="C241" s="210" t="e" vm="5">
        <v>#VALUE!</v>
      </c>
      <c r="D241" s="210" t="s">
        <v>17</v>
      </c>
      <c r="E241" s="210" t="s">
        <v>71</v>
      </c>
      <c r="F241" s="210" t="s">
        <v>14</v>
      </c>
      <c r="G241" s="210">
        <v>14.16</v>
      </c>
      <c r="H241" s="210" t="s">
        <v>243</v>
      </c>
      <c r="I241" s="210">
        <v>24</v>
      </c>
      <c r="J241" s="212" t="s">
        <v>143</v>
      </c>
      <c r="K241" s="213"/>
      <c r="L241" s="212" t="s">
        <v>2241</v>
      </c>
      <c r="M241" s="212" t="s">
        <v>2236</v>
      </c>
      <c r="N241" s="213"/>
      <c r="O241" s="212" t="s">
        <v>109</v>
      </c>
      <c r="P241" s="212" t="s">
        <v>109</v>
      </c>
      <c r="Q241" s="213"/>
      <c r="R241" s="214">
        <v>45729</v>
      </c>
      <c r="S241" s="214">
        <v>45735</v>
      </c>
      <c r="T241" s="212" t="s">
        <v>1819</v>
      </c>
      <c r="U241" s="214">
        <v>46093</v>
      </c>
      <c r="V241" s="215" t="s">
        <v>1853</v>
      </c>
      <c r="W241" s="212" t="s">
        <v>1853</v>
      </c>
      <c r="X241" s="210" t="s">
        <v>109</v>
      </c>
      <c r="Y241" s="210" t="s">
        <v>1853</v>
      </c>
      <c r="Z241" s="210" t="s">
        <v>1855</v>
      </c>
      <c r="AA241" s="215">
        <v>45755</v>
      </c>
      <c r="AB241" s="215">
        <v>45756</v>
      </c>
      <c r="AC241" s="212" t="s">
        <v>1853</v>
      </c>
      <c r="AD241" s="215">
        <v>45763</v>
      </c>
      <c r="AE241" s="215">
        <v>45762</v>
      </c>
      <c r="AF241" s="215">
        <v>45763</v>
      </c>
      <c r="AG241" s="215"/>
      <c r="AH241" s="215"/>
      <c r="AI241" s="216"/>
      <c r="AJ241" s="210" t="s">
        <v>109</v>
      </c>
      <c r="AK241" s="210" t="s">
        <v>109</v>
      </c>
      <c r="AL241" s="210" t="s">
        <v>109</v>
      </c>
      <c r="AM241" s="210" t="s">
        <v>109</v>
      </c>
      <c r="AP241" s="212">
        <v>6</v>
      </c>
      <c r="AQ241" s="218">
        <v>56</v>
      </c>
    </row>
    <row r="242" spans="1:43" s="217" customFormat="1" ht="18.75" customHeight="1" x14ac:dyDescent="0.3">
      <c r="A242" s="210">
        <v>2502570</v>
      </c>
      <c r="B242" s="211" t="s">
        <v>1228</v>
      </c>
      <c r="C242" s="210" t="e" vm="5">
        <v>#VALUE!</v>
      </c>
      <c r="D242" s="210" t="s">
        <v>17</v>
      </c>
      <c r="E242" s="210" t="s">
        <v>71</v>
      </c>
      <c r="F242" s="210" t="s">
        <v>14</v>
      </c>
      <c r="G242" s="210">
        <v>9.44</v>
      </c>
      <c r="H242" s="210" t="s">
        <v>243</v>
      </c>
      <c r="I242" s="210">
        <v>16</v>
      </c>
      <c r="J242" s="212" t="s">
        <v>364</v>
      </c>
      <c r="K242" s="213"/>
      <c r="L242" s="212" t="s">
        <v>2241</v>
      </c>
      <c r="M242" s="212" t="s">
        <v>2236</v>
      </c>
      <c r="N242" s="213"/>
      <c r="O242" s="212" t="s">
        <v>109</v>
      </c>
      <c r="P242" s="212" t="s">
        <v>109</v>
      </c>
      <c r="Q242" s="213"/>
      <c r="R242" s="214">
        <v>45729</v>
      </c>
      <c r="S242" s="214">
        <v>45735</v>
      </c>
      <c r="T242" s="212" t="s">
        <v>1819</v>
      </c>
      <c r="U242" s="214">
        <v>46093</v>
      </c>
      <c r="V242" s="215" t="s">
        <v>1853</v>
      </c>
      <c r="W242" s="212" t="s">
        <v>1853</v>
      </c>
      <c r="X242" s="210" t="s">
        <v>109</v>
      </c>
      <c r="Y242" s="210" t="s">
        <v>1853</v>
      </c>
      <c r="Z242" s="210" t="s">
        <v>1855</v>
      </c>
      <c r="AA242" s="215">
        <v>45824</v>
      </c>
      <c r="AB242" s="215" t="s">
        <v>1853</v>
      </c>
      <c r="AC242" s="212" t="s">
        <v>1853</v>
      </c>
      <c r="AD242" s="215" t="s">
        <v>1853</v>
      </c>
      <c r="AE242" s="215">
        <v>45763</v>
      </c>
      <c r="AF242" s="215" t="s">
        <v>1853</v>
      </c>
      <c r="AG242" s="215"/>
      <c r="AH242" s="215"/>
      <c r="AI242" s="216"/>
      <c r="AJ242" s="210" t="s">
        <v>109</v>
      </c>
      <c r="AK242" s="210" t="s">
        <v>109</v>
      </c>
      <c r="AL242" s="210" t="s">
        <v>109</v>
      </c>
      <c r="AM242" s="210" t="s">
        <v>109</v>
      </c>
      <c r="AP242" s="212">
        <v>6</v>
      </c>
      <c r="AQ242" s="218">
        <v>56</v>
      </c>
    </row>
    <row r="243" spans="1:43" s="217" customFormat="1" ht="18.75" customHeight="1" x14ac:dyDescent="0.3">
      <c r="A243" s="210">
        <v>2502573</v>
      </c>
      <c r="B243" s="211" t="s">
        <v>1233</v>
      </c>
      <c r="C243" s="210" t="e" vm="5">
        <v>#VALUE!</v>
      </c>
      <c r="D243" s="210" t="s">
        <v>20</v>
      </c>
      <c r="E243" s="210" t="s">
        <v>71</v>
      </c>
      <c r="F243" s="210" t="s">
        <v>14</v>
      </c>
      <c r="G243" s="210">
        <v>6.49</v>
      </c>
      <c r="H243" s="210" t="s">
        <v>243</v>
      </c>
      <c r="I243" s="210">
        <v>11</v>
      </c>
      <c r="J243" s="212" t="s">
        <v>380</v>
      </c>
      <c r="K243" s="213"/>
      <c r="L243" s="212" t="s">
        <v>2241</v>
      </c>
      <c r="M243" s="212" t="s">
        <v>2236</v>
      </c>
      <c r="N243" s="213"/>
      <c r="O243" s="212" t="s">
        <v>109</v>
      </c>
      <c r="P243" s="212" t="s">
        <v>109</v>
      </c>
      <c r="Q243" s="213"/>
      <c r="R243" s="214">
        <v>45728</v>
      </c>
      <c r="S243" s="214">
        <v>45734</v>
      </c>
      <c r="T243" s="212" t="s">
        <v>1819</v>
      </c>
      <c r="U243" s="214">
        <v>46092</v>
      </c>
      <c r="V243" s="215" t="s">
        <v>1853</v>
      </c>
      <c r="W243" s="212" t="s">
        <v>1853</v>
      </c>
      <c r="X243" s="210" t="s">
        <v>109</v>
      </c>
      <c r="Y243" s="210" t="s">
        <v>1853</v>
      </c>
      <c r="Z243" s="210" t="s">
        <v>1855</v>
      </c>
      <c r="AA243" s="215">
        <v>45779</v>
      </c>
      <c r="AB243" s="215">
        <v>45756</v>
      </c>
      <c r="AC243" s="212" t="s">
        <v>1853</v>
      </c>
      <c r="AD243" s="215">
        <v>45763</v>
      </c>
      <c r="AE243" s="215">
        <v>45761</v>
      </c>
      <c r="AF243" s="215">
        <v>45763</v>
      </c>
      <c r="AG243" s="215"/>
      <c r="AH243" s="215"/>
      <c r="AI243" s="216"/>
      <c r="AJ243" s="210" t="s">
        <v>109</v>
      </c>
      <c r="AK243" s="210" t="s">
        <v>109</v>
      </c>
      <c r="AL243" s="210" t="s">
        <v>109</v>
      </c>
      <c r="AM243" s="210" t="s">
        <v>109</v>
      </c>
      <c r="AP243" s="212">
        <v>6</v>
      </c>
      <c r="AQ243" s="218">
        <v>-45722</v>
      </c>
    </row>
    <row r="244" spans="1:43" s="217" customFormat="1" ht="18.75" customHeight="1" x14ac:dyDescent="0.3">
      <c r="A244" s="210">
        <v>2503593</v>
      </c>
      <c r="B244" s="211" t="s">
        <v>1238</v>
      </c>
      <c r="C244" s="210" t="e" vm="11">
        <v>#VALUE!</v>
      </c>
      <c r="D244" s="210" t="s">
        <v>22</v>
      </c>
      <c r="E244" s="210" t="s">
        <v>71</v>
      </c>
      <c r="F244" s="210" t="s">
        <v>14</v>
      </c>
      <c r="G244" s="210">
        <v>7.08</v>
      </c>
      <c r="H244" s="210" t="s">
        <v>243</v>
      </c>
      <c r="I244" s="210">
        <v>12</v>
      </c>
      <c r="J244" s="212" t="s">
        <v>286</v>
      </c>
      <c r="K244" s="213"/>
      <c r="L244" s="212" t="s">
        <v>2241</v>
      </c>
      <c r="M244" s="212" t="s">
        <v>2236</v>
      </c>
      <c r="N244" s="213"/>
      <c r="O244" s="212" t="s">
        <v>109</v>
      </c>
      <c r="P244" s="212" t="s">
        <v>109</v>
      </c>
      <c r="Q244" s="213"/>
      <c r="R244" s="214">
        <v>45728</v>
      </c>
      <c r="S244" s="214">
        <v>45734</v>
      </c>
      <c r="T244" s="212" t="s">
        <v>1819</v>
      </c>
      <c r="U244" s="214">
        <v>46092</v>
      </c>
      <c r="V244" s="215" t="s">
        <v>1853</v>
      </c>
      <c r="W244" s="212" t="s">
        <v>1853</v>
      </c>
      <c r="X244" s="210" t="s">
        <v>109</v>
      </c>
      <c r="Y244" s="210" t="s">
        <v>1853</v>
      </c>
      <c r="Z244" s="210" t="s">
        <v>1854</v>
      </c>
      <c r="AA244" s="215">
        <v>45779</v>
      </c>
      <c r="AB244" s="215">
        <v>45741</v>
      </c>
      <c r="AC244" s="212" t="s">
        <v>1853</v>
      </c>
      <c r="AD244" s="215">
        <v>45761</v>
      </c>
      <c r="AE244" s="215">
        <v>45742</v>
      </c>
      <c r="AF244" s="215">
        <v>45761</v>
      </c>
      <c r="AG244" s="215"/>
      <c r="AH244" s="215"/>
      <c r="AI244" s="216"/>
      <c r="AJ244" s="210" t="s">
        <v>109</v>
      </c>
      <c r="AK244" s="210" t="s">
        <v>109</v>
      </c>
      <c r="AL244" s="210" t="s">
        <v>109</v>
      </c>
      <c r="AM244" s="210" t="s">
        <v>109</v>
      </c>
      <c r="AP244" s="212">
        <v>6</v>
      </c>
      <c r="AQ244" s="218">
        <v>16</v>
      </c>
    </row>
    <row r="245" spans="1:43" s="172" customFormat="1" ht="18.75" customHeight="1" x14ac:dyDescent="0.3">
      <c r="A245" s="165">
        <v>2501211</v>
      </c>
      <c r="B245" s="166" t="s">
        <v>1243</v>
      </c>
      <c r="C245" s="165" t="e" vm="11">
        <v>#VALUE!</v>
      </c>
      <c r="D245" s="165" t="s">
        <v>19</v>
      </c>
      <c r="E245" s="165" t="s">
        <v>124</v>
      </c>
      <c r="F245" s="165" t="s">
        <v>14</v>
      </c>
      <c r="G245" s="165">
        <v>26.55</v>
      </c>
      <c r="H245" s="165" t="s">
        <v>243</v>
      </c>
      <c r="I245" s="165">
        <v>45</v>
      </c>
      <c r="J245" s="167" t="s">
        <v>341</v>
      </c>
      <c r="K245" s="168"/>
      <c r="L245" s="167" t="s">
        <v>2246</v>
      </c>
      <c r="M245" s="167" t="s">
        <v>2240</v>
      </c>
      <c r="N245" s="168"/>
      <c r="O245" s="167" t="s">
        <v>109</v>
      </c>
      <c r="P245" s="167" t="s">
        <v>109</v>
      </c>
      <c r="Q245" s="168"/>
      <c r="R245" s="169">
        <v>45782</v>
      </c>
      <c r="S245" s="169">
        <v>45797</v>
      </c>
      <c r="T245" s="167" t="s">
        <v>1819</v>
      </c>
      <c r="U245" s="169">
        <v>46146</v>
      </c>
      <c r="V245" s="170" t="s">
        <v>1853</v>
      </c>
      <c r="W245" s="167" t="s">
        <v>1853</v>
      </c>
      <c r="X245" s="165" t="s">
        <v>1853</v>
      </c>
      <c r="Y245" s="165" t="s">
        <v>1853</v>
      </c>
      <c r="Z245" s="165"/>
      <c r="AA245" s="170"/>
      <c r="AB245" s="170"/>
      <c r="AC245" s="167"/>
      <c r="AD245" s="170"/>
      <c r="AE245" s="170"/>
      <c r="AF245" s="170"/>
      <c r="AG245" s="170"/>
      <c r="AH245" s="170"/>
      <c r="AI245" s="171"/>
      <c r="AJ245" s="165" t="s">
        <v>109</v>
      </c>
      <c r="AK245" s="165" t="s">
        <v>109</v>
      </c>
      <c r="AL245" s="165" t="s">
        <v>109</v>
      </c>
      <c r="AM245" s="165" t="s">
        <v>109</v>
      </c>
      <c r="AP245" s="167">
        <v>15</v>
      </c>
      <c r="AQ245" s="173">
        <v>150</v>
      </c>
    </row>
    <row r="246" spans="1:43" s="217" customFormat="1" ht="18.75" customHeight="1" x14ac:dyDescent="0.3">
      <c r="A246" s="210">
        <v>2502589</v>
      </c>
      <c r="B246" s="211" t="s">
        <v>1246</v>
      </c>
      <c r="C246" s="210" t="e" vm="11">
        <v>#VALUE!</v>
      </c>
      <c r="D246" s="210" t="s">
        <v>22</v>
      </c>
      <c r="E246" s="210" t="s">
        <v>71</v>
      </c>
      <c r="F246" s="210" t="s">
        <v>14</v>
      </c>
      <c r="G246" s="210">
        <v>8.85</v>
      </c>
      <c r="H246" s="210" t="s">
        <v>243</v>
      </c>
      <c r="I246" s="210">
        <v>15</v>
      </c>
      <c r="J246" s="212" t="s">
        <v>364</v>
      </c>
      <c r="K246" s="213"/>
      <c r="L246" s="212" t="s">
        <v>2241</v>
      </c>
      <c r="M246" s="212" t="s">
        <v>2236</v>
      </c>
      <c r="N246" s="213"/>
      <c r="O246" s="212" t="s">
        <v>109</v>
      </c>
      <c r="P246" s="212" t="s">
        <v>109</v>
      </c>
      <c r="Q246" s="213"/>
      <c r="R246" s="214">
        <v>45726</v>
      </c>
      <c r="S246" s="214">
        <v>45734</v>
      </c>
      <c r="T246" s="212" t="s">
        <v>1819</v>
      </c>
      <c r="U246" s="214">
        <v>46090</v>
      </c>
      <c r="V246" s="215" t="s">
        <v>1853</v>
      </c>
      <c r="W246" s="212" t="s">
        <v>1853</v>
      </c>
      <c r="X246" s="210" t="s">
        <v>109</v>
      </c>
      <c r="Y246" s="210" t="s">
        <v>1853</v>
      </c>
      <c r="Z246" s="210" t="s">
        <v>1854</v>
      </c>
      <c r="AA246" s="215">
        <v>45742</v>
      </c>
      <c r="AB246" s="215" t="s">
        <v>1853</v>
      </c>
      <c r="AC246" s="215" t="s">
        <v>1853</v>
      </c>
      <c r="AD246" s="215" t="s">
        <v>1853</v>
      </c>
      <c r="AE246" s="215">
        <v>45742</v>
      </c>
      <c r="AF246" s="215" t="s">
        <v>1853</v>
      </c>
      <c r="AG246" s="215"/>
      <c r="AH246" s="215"/>
      <c r="AI246" s="216"/>
      <c r="AJ246" s="210" t="s">
        <v>109</v>
      </c>
      <c r="AK246" s="210" t="s">
        <v>109</v>
      </c>
      <c r="AL246" s="210" t="s">
        <v>109</v>
      </c>
      <c r="AM246" s="210" t="s">
        <v>109</v>
      </c>
      <c r="AP246" s="212">
        <v>8</v>
      </c>
      <c r="AQ246" s="218">
        <v>60</v>
      </c>
    </row>
    <row r="247" spans="1:43" s="229" customFormat="1" ht="18.75" customHeight="1" x14ac:dyDescent="0.3">
      <c r="A247" s="221">
        <v>2403090</v>
      </c>
      <c r="B247" s="222" t="s">
        <v>1251</v>
      </c>
      <c r="C247" s="221" t="e" vm="8">
        <v>#VALUE!</v>
      </c>
      <c r="D247" s="221" t="s">
        <v>17</v>
      </c>
      <c r="E247" s="221" t="s">
        <v>124</v>
      </c>
      <c r="F247" s="221" t="s">
        <v>14</v>
      </c>
      <c r="G247" s="221">
        <v>476.13</v>
      </c>
      <c r="H247" s="221" t="s">
        <v>243</v>
      </c>
      <c r="I247" s="221">
        <v>807</v>
      </c>
      <c r="J247" s="223">
        <v>0</v>
      </c>
      <c r="K247" s="224"/>
      <c r="L247" s="223" t="s">
        <v>2247</v>
      </c>
      <c r="M247" s="223" t="s">
        <v>2248</v>
      </c>
      <c r="N247" s="224"/>
      <c r="O247" s="225">
        <v>45782</v>
      </c>
      <c r="P247" s="225">
        <v>45797</v>
      </c>
      <c r="Q247" s="224"/>
      <c r="R247" s="226">
        <v>45807</v>
      </c>
      <c r="S247" s="226">
        <v>45859</v>
      </c>
      <c r="T247" s="223" t="s">
        <v>1819</v>
      </c>
      <c r="U247" s="226"/>
      <c r="V247" s="225" t="s">
        <v>1853</v>
      </c>
      <c r="W247" s="223" t="s">
        <v>1853</v>
      </c>
      <c r="X247" s="221" t="s">
        <v>1853</v>
      </c>
      <c r="Y247" s="221"/>
      <c r="Z247" s="221" t="s">
        <v>1855</v>
      </c>
      <c r="AA247" s="225">
        <v>45873</v>
      </c>
      <c r="AB247" s="225"/>
      <c r="AC247" s="223"/>
      <c r="AD247" s="225"/>
      <c r="AE247" s="225"/>
      <c r="AF247" s="225"/>
      <c r="AG247" s="221"/>
      <c r="AH247" s="221"/>
      <c r="AI247" s="227"/>
      <c r="AJ247" s="228">
        <v>45953</v>
      </c>
      <c r="AK247" s="221"/>
      <c r="AL247" s="221"/>
      <c r="AM247" s="221"/>
      <c r="AP247" s="223">
        <v>52</v>
      </c>
      <c r="AQ247" s="230">
        <v>61</v>
      </c>
    </row>
    <row r="248" spans="1:43" ht="18.75" customHeight="1" x14ac:dyDescent="0.3">
      <c r="A248" s="4">
        <v>2502557</v>
      </c>
      <c r="B248" s="110" t="s">
        <v>1252</v>
      </c>
      <c r="C248" s="4" t="e" vm="11">
        <v>#VALUE!</v>
      </c>
      <c r="D248" s="4" t="s">
        <v>22</v>
      </c>
      <c r="E248" s="4" t="s">
        <v>71</v>
      </c>
      <c r="F248" s="4" t="s">
        <v>14</v>
      </c>
      <c r="G248" s="4">
        <v>9.44</v>
      </c>
      <c r="H248" s="4" t="s">
        <v>243</v>
      </c>
      <c r="I248" s="4">
        <v>16</v>
      </c>
      <c r="J248" s="1" t="s">
        <v>364</v>
      </c>
      <c r="K248" s="127"/>
      <c r="L248" s="1" t="s">
        <v>1853</v>
      </c>
      <c r="M248" s="1" t="s">
        <v>2236</v>
      </c>
      <c r="N248" s="127"/>
      <c r="O248" s="39" t="s">
        <v>109</v>
      </c>
      <c r="P248" s="39" t="s">
        <v>109</v>
      </c>
      <c r="Q248" s="127"/>
      <c r="R248" s="56">
        <v>45729</v>
      </c>
      <c r="S248" s="56">
        <v>45735</v>
      </c>
      <c r="T248" s="1" t="s">
        <v>1819</v>
      </c>
      <c r="U248" s="56">
        <v>45728</v>
      </c>
      <c r="V248" s="39" t="s">
        <v>1853</v>
      </c>
      <c r="W248" s="1" t="s">
        <v>1853</v>
      </c>
      <c r="X248" s="4" t="s">
        <v>109</v>
      </c>
      <c r="Y248" s="4" t="s">
        <v>1853</v>
      </c>
      <c r="Z248" s="4" t="s">
        <v>1854</v>
      </c>
      <c r="AA248" s="39">
        <v>45783</v>
      </c>
      <c r="AB248" s="39" t="s">
        <v>1853</v>
      </c>
      <c r="AC248" s="1" t="s">
        <v>1853</v>
      </c>
      <c r="AD248" s="39">
        <v>45770</v>
      </c>
      <c r="AE248" s="39" t="s">
        <v>1853</v>
      </c>
      <c r="AF248" s="39">
        <v>45770</v>
      </c>
      <c r="AG248" s="39">
        <v>45770</v>
      </c>
      <c r="AH248" s="39">
        <v>49429</v>
      </c>
      <c r="AJ248" s="4" t="s">
        <v>109</v>
      </c>
      <c r="AK248" s="4" t="s">
        <v>109</v>
      </c>
      <c r="AL248" s="4" t="s">
        <v>109</v>
      </c>
      <c r="AM248" s="4" t="s">
        <v>109</v>
      </c>
      <c r="AP248" s="1">
        <v>6</v>
      </c>
      <c r="AQ248" s="38">
        <v>50</v>
      </c>
    </row>
    <row r="249" spans="1:43" s="217" customFormat="1" ht="18.75" customHeight="1" x14ac:dyDescent="0.3">
      <c r="A249" s="210">
        <v>2503594</v>
      </c>
      <c r="B249" s="211" t="s">
        <v>1257</v>
      </c>
      <c r="C249" s="210" t="e" vm="5">
        <v>#VALUE!</v>
      </c>
      <c r="D249" s="210" t="s">
        <v>22</v>
      </c>
      <c r="E249" s="210" t="s">
        <v>71</v>
      </c>
      <c r="F249" s="210" t="s">
        <v>14</v>
      </c>
      <c r="G249" s="210">
        <v>7.08</v>
      </c>
      <c r="H249" s="210" t="s">
        <v>243</v>
      </c>
      <c r="I249" s="210">
        <v>12</v>
      </c>
      <c r="J249" s="212" t="s">
        <v>286</v>
      </c>
      <c r="K249" s="213"/>
      <c r="L249" s="212" t="s">
        <v>2241</v>
      </c>
      <c r="M249" s="212" t="s">
        <v>2238</v>
      </c>
      <c r="N249" s="213"/>
      <c r="O249" s="215" t="s">
        <v>109</v>
      </c>
      <c r="P249" s="215" t="s">
        <v>109</v>
      </c>
      <c r="Q249" s="213"/>
      <c r="R249" s="214">
        <v>45729</v>
      </c>
      <c r="S249" s="214">
        <v>45733</v>
      </c>
      <c r="T249" s="212" t="s">
        <v>1819</v>
      </c>
      <c r="U249" s="214"/>
      <c r="V249" s="215" t="s">
        <v>1853</v>
      </c>
      <c r="W249" s="212" t="s">
        <v>1853</v>
      </c>
      <c r="X249" s="210" t="s">
        <v>109</v>
      </c>
      <c r="Y249" s="210" t="s">
        <v>1853</v>
      </c>
      <c r="Z249" s="210" t="s">
        <v>1855</v>
      </c>
      <c r="AA249" s="215">
        <v>45776</v>
      </c>
      <c r="AB249" s="215" t="s">
        <v>1853</v>
      </c>
      <c r="AC249" s="212" t="s">
        <v>1853</v>
      </c>
      <c r="AD249" s="215">
        <v>45754</v>
      </c>
      <c r="AE249" s="215" t="s">
        <v>1853</v>
      </c>
      <c r="AF249" s="215">
        <v>45754</v>
      </c>
      <c r="AG249" s="210"/>
      <c r="AH249" s="210"/>
      <c r="AI249" s="216"/>
      <c r="AJ249" s="210" t="s">
        <v>109</v>
      </c>
      <c r="AK249" s="210" t="s">
        <v>109</v>
      </c>
      <c r="AL249" s="210" t="s">
        <v>109</v>
      </c>
      <c r="AM249" s="210" t="s">
        <v>109</v>
      </c>
      <c r="AP249" s="212">
        <v>4</v>
      </c>
      <c r="AQ249" s="218" t="e">
        <v>#REF!</v>
      </c>
    </row>
    <row r="250" spans="1:43" ht="18.75" customHeight="1" x14ac:dyDescent="0.3">
      <c r="A250" s="4">
        <v>2503597</v>
      </c>
      <c r="B250" s="110" t="s">
        <v>1263</v>
      </c>
      <c r="C250" s="4" t="e" vm="11">
        <v>#VALUE!</v>
      </c>
      <c r="D250" s="4" t="s">
        <v>19</v>
      </c>
      <c r="E250" s="4" t="s">
        <v>71</v>
      </c>
      <c r="F250" s="4" t="s">
        <v>14</v>
      </c>
      <c r="G250" s="4">
        <v>10.62</v>
      </c>
      <c r="H250" s="4" t="s">
        <v>243</v>
      </c>
      <c r="I250" s="4">
        <v>18</v>
      </c>
      <c r="J250" s="1" t="s">
        <v>364</v>
      </c>
      <c r="K250" s="127"/>
      <c r="L250" s="1" t="s">
        <v>1853</v>
      </c>
      <c r="M250" s="1" t="s">
        <v>2236</v>
      </c>
      <c r="N250" s="127"/>
      <c r="O250" s="39" t="s">
        <v>109</v>
      </c>
      <c r="P250" s="39" t="s">
        <v>109</v>
      </c>
      <c r="Q250" s="127"/>
      <c r="R250" s="56">
        <v>45729</v>
      </c>
      <c r="S250" s="56">
        <v>45770</v>
      </c>
      <c r="T250" s="1" t="s">
        <v>1819</v>
      </c>
      <c r="U250" s="56"/>
      <c r="V250" s="39" t="s">
        <v>1853</v>
      </c>
      <c r="W250" s="1" t="s">
        <v>1853</v>
      </c>
      <c r="X250" s="4" t="s">
        <v>109</v>
      </c>
      <c r="Y250" s="4" t="s">
        <v>1853</v>
      </c>
      <c r="Z250" s="4" t="s">
        <v>1854</v>
      </c>
      <c r="AA250" s="39">
        <v>45777</v>
      </c>
      <c r="AB250" s="39">
        <v>45772</v>
      </c>
      <c r="AC250" s="1" t="s">
        <v>1853</v>
      </c>
      <c r="AD250" s="39">
        <v>45787</v>
      </c>
      <c r="AE250" s="39">
        <v>45777</v>
      </c>
      <c r="AF250" s="39">
        <v>45787</v>
      </c>
      <c r="AG250" s="39">
        <v>45787</v>
      </c>
      <c r="AH250" s="39">
        <v>49460</v>
      </c>
      <c r="AJ250" s="4" t="s">
        <v>109</v>
      </c>
      <c r="AK250" s="4" t="s">
        <v>109</v>
      </c>
      <c r="AL250" s="4" t="s">
        <v>109</v>
      </c>
      <c r="AM250" s="4" t="s">
        <v>109</v>
      </c>
      <c r="AP250" s="1">
        <v>41</v>
      </c>
      <c r="AQ250" s="38" t="e">
        <v>#REF!</v>
      </c>
    </row>
    <row r="251" spans="1:43" s="217" customFormat="1" ht="18.75" customHeight="1" x14ac:dyDescent="0.3">
      <c r="A251" s="210">
        <v>2502588</v>
      </c>
      <c r="B251" s="211" t="s">
        <v>1268</v>
      </c>
      <c r="C251" s="210" t="e" vm="11">
        <v>#VALUE!</v>
      </c>
      <c r="D251" s="210" t="s">
        <v>22</v>
      </c>
      <c r="E251" s="210" t="s">
        <v>71</v>
      </c>
      <c r="F251" s="210" t="s">
        <v>14</v>
      </c>
      <c r="G251" s="210">
        <v>8.85</v>
      </c>
      <c r="H251" s="210" t="s">
        <v>243</v>
      </c>
      <c r="I251" s="210">
        <v>15</v>
      </c>
      <c r="J251" s="212" t="s">
        <v>364</v>
      </c>
      <c r="K251" s="213"/>
      <c r="L251" s="212" t="s">
        <v>2241</v>
      </c>
      <c r="M251" s="212" t="s">
        <v>2236</v>
      </c>
      <c r="N251" s="213"/>
      <c r="O251" s="215" t="s">
        <v>109</v>
      </c>
      <c r="P251" s="215" t="s">
        <v>109</v>
      </c>
      <c r="Q251" s="213"/>
      <c r="R251" s="214">
        <v>45729</v>
      </c>
      <c r="S251" s="214">
        <v>45733</v>
      </c>
      <c r="T251" s="212" t="s">
        <v>1819</v>
      </c>
      <c r="U251" s="214"/>
      <c r="V251" s="215" t="s">
        <v>1853</v>
      </c>
      <c r="W251" s="212" t="s">
        <v>1853</v>
      </c>
      <c r="X251" s="210" t="s">
        <v>109</v>
      </c>
      <c r="Y251" s="210" t="s">
        <v>1853</v>
      </c>
      <c r="Z251" s="210" t="s">
        <v>1854</v>
      </c>
      <c r="AA251" s="215">
        <v>45775</v>
      </c>
      <c r="AB251" s="215" t="s">
        <v>1853</v>
      </c>
      <c r="AC251" s="212" t="s">
        <v>1853</v>
      </c>
      <c r="AD251" s="215">
        <v>45769</v>
      </c>
      <c r="AE251" s="215" t="s">
        <v>1853</v>
      </c>
      <c r="AF251" s="215">
        <v>45769</v>
      </c>
      <c r="AG251" s="210"/>
      <c r="AH251" s="210"/>
      <c r="AI251" s="216"/>
      <c r="AJ251" s="210" t="s">
        <v>109</v>
      </c>
      <c r="AK251" s="210" t="s">
        <v>109</v>
      </c>
      <c r="AL251" s="210" t="s">
        <v>109</v>
      </c>
      <c r="AM251" s="210" t="s">
        <v>109</v>
      </c>
      <c r="AP251" s="212">
        <v>4</v>
      </c>
      <c r="AQ251" s="218"/>
    </row>
    <row r="252" spans="1:43" ht="18.75" customHeight="1" x14ac:dyDescent="0.3">
      <c r="A252" s="4">
        <v>2502040</v>
      </c>
      <c r="B252" s="110" t="s">
        <v>1273</v>
      </c>
      <c r="C252" s="4" t="e" vm="5">
        <v>#VALUE!</v>
      </c>
      <c r="D252" s="4" t="s">
        <v>20</v>
      </c>
      <c r="E252" s="4" t="s">
        <v>206</v>
      </c>
      <c r="F252" s="4">
        <v>0</v>
      </c>
      <c r="G252" s="4">
        <v>0</v>
      </c>
      <c r="H252" s="4" t="s">
        <v>18</v>
      </c>
      <c r="I252" s="4" t="s">
        <v>18</v>
      </c>
      <c r="J252" s="1" t="s">
        <v>18</v>
      </c>
      <c r="K252" s="127"/>
      <c r="L252" s="1" t="s">
        <v>1853</v>
      </c>
      <c r="M252" s="1" t="s">
        <v>2236</v>
      </c>
      <c r="N252" s="127"/>
      <c r="O252" s="39" t="s">
        <v>109</v>
      </c>
      <c r="P252" s="39" t="s">
        <v>109</v>
      </c>
      <c r="Q252" s="127"/>
      <c r="R252" s="56" t="s">
        <v>109</v>
      </c>
      <c r="S252" s="56" t="s">
        <v>109</v>
      </c>
      <c r="T252" s="56" t="s">
        <v>109</v>
      </c>
      <c r="U252" s="56" t="s">
        <v>109</v>
      </c>
      <c r="V252" s="39" t="s">
        <v>1853</v>
      </c>
      <c r="W252" s="1" t="s">
        <v>1853</v>
      </c>
      <c r="X252" s="4" t="s">
        <v>109</v>
      </c>
      <c r="Y252" s="4" t="s">
        <v>1853</v>
      </c>
      <c r="Z252" s="4" t="s">
        <v>1853</v>
      </c>
      <c r="AA252" s="39" t="s">
        <v>1853</v>
      </c>
      <c r="AB252" s="39" t="s">
        <v>109</v>
      </c>
      <c r="AC252" s="39" t="s">
        <v>109</v>
      </c>
      <c r="AD252" s="39" t="s">
        <v>109</v>
      </c>
      <c r="AE252" s="39" t="s">
        <v>109</v>
      </c>
      <c r="AF252" s="39" t="s">
        <v>109</v>
      </c>
      <c r="AG252" s="39" t="s">
        <v>109</v>
      </c>
      <c r="AH252" s="39" t="s">
        <v>109</v>
      </c>
      <c r="AJ252" s="4" t="s">
        <v>109</v>
      </c>
      <c r="AK252" s="4" t="s">
        <v>109</v>
      </c>
      <c r="AL252" s="4" t="s">
        <v>109</v>
      </c>
      <c r="AM252" s="4" t="s">
        <v>109</v>
      </c>
      <c r="AP252" s="1" t="e">
        <v>#VALUE!</v>
      </c>
    </row>
    <row r="253" spans="1:43" s="217" customFormat="1" ht="18.75" customHeight="1" x14ac:dyDescent="0.3">
      <c r="A253" s="210">
        <v>2503595</v>
      </c>
      <c r="B253" s="211" t="s">
        <v>1274</v>
      </c>
      <c r="C253" s="210" t="e" vm="8">
        <v>#VALUE!</v>
      </c>
      <c r="D253" s="210" t="s">
        <v>17</v>
      </c>
      <c r="E253" s="210" t="s">
        <v>71</v>
      </c>
      <c r="F253" s="210" t="s">
        <v>14</v>
      </c>
      <c r="G253" s="210">
        <v>14.16</v>
      </c>
      <c r="H253" s="210" t="s">
        <v>243</v>
      </c>
      <c r="I253" s="210">
        <v>24</v>
      </c>
      <c r="J253" s="212" t="s">
        <v>143</v>
      </c>
      <c r="K253" s="213"/>
      <c r="L253" s="212" t="s">
        <v>2241</v>
      </c>
      <c r="M253" s="212" t="s">
        <v>2236</v>
      </c>
      <c r="N253" s="213"/>
      <c r="O253" s="215" t="s">
        <v>109</v>
      </c>
      <c r="P253" s="215" t="s">
        <v>109</v>
      </c>
      <c r="Q253" s="213"/>
      <c r="R253" s="214">
        <v>45730</v>
      </c>
      <c r="S253" s="214">
        <v>45736</v>
      </c>
      <c r="T253" s="212" t="s">
        <v>1819</v>
      </c>
      <c r="U253" s="214"/>
      <c r="V253" s="215" t="s">
        <v>1853</v>
      </c>
      <c r="W253" s="212" t="s">
        <v>1853</v>
      </c>
      <c r="X253" s="210" t="s">
        <v>109</v>
      </c>
      <c r="Y253" s="210" t="s">
        <v>1853</v>
      </c>
      <c r="Z253" s="210" t="s">
        <v>1855</v>
      </c>
      <c r="AA253" s="215">
        <v>45756</v>
      </c>
      <c r="AB253" s="215">
        <v>45756</v>
      </c>
      <c r="AC253" s="212" t="s">
        <v>1853</v>
      </c>
      <c r="AD253" s="215">
        <v>45765</v>
      </c>
      <c r="AE253" s="215">
        <v>45762</v>
      </c>
      <c r="AF253" s="215">
        <v>45765</v>
      </c>
      <c r="AG253" s="210"/>
      <c r="AH253" s="210"/>
      <c r="AI253" s="216"/>
      <c r="AJ253" s="210" t="s">
        <v>109</v>
      </c>
      <c r="AK253" s="210" t="s">
        <v>109</v>
      </c>
      <c r="AL253" s="210" t="s">
        <v>109</v>
      </c>
      <c r="AM253" s="210" t="s">
        <v>109</v>
      </c>
      <c r="AP253" s="212">
        <v>6</v>
      </c>
      <c r="AQ253" s="218"/>
    </row>
    <row r="254" spans="1:43" s="217" customFormat="1" ht="18.75" customHeight="1" x14ac:dyDescent="0.3">
      <c r="A254" s="210">
        <v>2503586</v>
      </c>
      <c r="B254" s="211" t="s">
        <v>1279</v>
      </c>
      <c r="C254" s="210" t="e" vm="11">
        <v>#VALUE!</v>
      </c>
      <c r="D254" s="210" t="s">
        <v>22</v>
      </c>
      <c r="E254" s="210" t="s">
        <v>71</v>
      </c>
      <c r="F254" s="210" t="s">
        <v>14</v>
      </c>
      <c r="G254" s="210">
        <v>6.49</v>
      </c>
      <c r="H254" s="210" t="s">
        <v>243</v>
      </c>
      <c r="I254" s="210">
        <v>11</v>
      </c>
      <c r="J254" s="212" t="s">
        <v>286</v>
      </c>
      <c r="K254" s="213"/>
      <c r="L254" s="212" t="s">
        <v>2241</v>
      </c>
      <c r="M254" s="212" t="s">
        <v>2236</v>
      </c>
      <c r="N254" s="213"/>
      <c r="O254" s="215" t="s">
        <v>109</v>
      </c>
      <c r="P254" s="215" t="s">
        <v>109</v>
      </c>
      <c r="Q254" s="213"/>
      <c r="R254" s="214">
        <v>45741</v>
      </c>
      <c r="S254" s="214">
        <v>45742</v>
      </c>
      <c r="T254" s="212" t="s">
        <v>1819</v>
      </c>
      <c r="U254" s="214"/>
      <c r="V254" s="215" t="s">
        <v>1853</v>
      </c>
      <c r="W254" s="212" t="s">
        <v>1853</v>
      </c>
      <c r="X254" s="210" t="s">
        <v>109</v>
      </c>
      <c r="Y254" s="210" t="s">
        <v>1853</v>
      </c>
      <c r="Z254" s="210" t="s">
        <v>1854</v>
      </c>
      <c r="AA254" s="215">
        <v>45791</v>
      </c>
      <c r="AB254" s="215" t="s">
        <v>1853</v>
      </c>
      <c r="AC254" s="212" t="s">
        <v>1853</v>
      </c>
      <c r="AD254" s="215" t="s">
        <v>1853</v>
      </c>
      <c r="AE254" s="215" t="s">
        <v>1853</v>
      </c>
      <c r="AF254" s="215" t="s">
        <v>1853</v>
      </c>
      <c r="AG254" s="210"/>
      <c r="AH254" s="210"/>
      <c r="AI254" s="216"/>
      <c r="AJ254" s="210" t="s">
        <v>109</v>
      </c>
      <c r="AK254" s="210" t="s">
        <v>109</v>
      </c>
      <c r="AL254" s="210" t="s">
        <v>109</v>
      </c>
      <c r="AM254" s="210" t="s">
        <v>109</v>
      </c>
      <c r="AP254" s="212">
        <v>1</v>
      </c>
      <c r="AQ254" s="218"/>
    </row>
    <row r="255" spans="1:43" s="217" customFormat="1" ht="18.75" customHeight="1" x14ac:dyDescent="0.3">
      <c r="A255" s="210">
        <v>2503604</v>
      </c>
      <c r="B255" s="211" t="s">
        <v>1284</v>
      </c>
      <c r="C255" s="210" t="e" vm="11">
        <v>#VALUE!</v>
      </c>
      <c r="D255" s="210" t="s">
        <v>17</v>
      </c>
      <c r="E255" s="210" t="s">
        <v>71</v>
      </c>
      <c r="F255" s="210" t="s">
        <v>14</v>
      </c>
      <c r="G255" s="210">
        <v>9.44</v>
      </c>
      <c r="H255" s="210" t="s">
        <v>243</v>
      </c>
      <c r="I255" s="210">
        <v>16</v>
      </c>
      <c r="J255" s="212" t="s">
        <v>364</v>
      </c>
      <c r="K255" s="213"/>
      <c r="L255" s="212" t="s">
        <v>2241</v>
      </c>
      <c r="M255" s="212" t="s">
        <v>2236</v>
      </c>
      <c r="N255" s="213"/>
      <c r="O255" s="215" t="s">
        <v>109</v>
      </c>
      <c r="P255" s="215" t="s">
        <v>109</v>
      </c>
      <c r="Q255" s="213"/>
      <c r="R255" s="214">
        <v>45741</v>
      </c>
      <c r="S255" s="214">
        <v>45742</v>
      </c>
      <c r="T255" s="212" t="s">
        <v>1819</v>
      </c>
      <c r="U255" s="214"/>
      <c r="V255" s="215" t="s">
        <v>1853</v>
      </c>
      <c r="W255" s="212" t="s">
        <v>1853</v>
      </c>
      <c r="X255" s="210" t="s">
        <v>109</v>
      </c>
      <c r="Y255" s="210" t="s">
        <v>1853</v>
      </c>
      <c r="Z255" s="210" t="s">
        <v>1854</v>
      </c>
      <c r="AA255" s="215">
        <v>45765</v>
      </c>
      <c r="AB255" s="215">
        <v>45763</v>
      </c>
      <c r="AC255" s="212" t="s">
        <v>1853</v>
      </c>
      <c r="AD255" s="215">
        <v>45770</v>
      </c>
      <c r="AE255" s="215">
        <v>45765</v>
      </c>
      <c r="AF255" s="215">
        <v>45770</v>
      </c>
      <c r="AG255" s="210"/>
      <c r="AH255" s="210"/>
      <c r="AI255" s="216"/>
      <c r="AJ255" s="210" t="s">
        <v>109</v>
      </c>
      <c r="AK255" s="210" t="s">
        <v>109</v>
      </c>
      <c r="AL255" s="210" t="s">
        <v>109</v>
      </c>
      <c r="AM255" s="210" t="s">
        <v>109</v>
      </c>
      <c r="AP255" s="212">
        <v>1</v>
      </c>
      <c r="AQ255" s="218"/>
    </row>
    <row r="256" spans="1:43" s="217" customFormat="1" ht="18.75" customHeight="1" x14ac:dyDescent="0.3">
      <c r="A256" s="210">
        <v>2503598</v>
      </c>
      <c r="B256" s="211" t="s">
        <v>1289</v>
      </c>
      <c r="C256" s="210" t="e" vm="5">
        <v>#VALUE!</v>
      </c>
      <c r="D256" s="210" t="s">
        <v>17</v>
      </c>
      <c r="E256" s="210" t="s">
        <v>71</v>
      </c>
      <c r="F256" s="210" t="s">
        <v>14</v>
      </c>
      <c r="G256" s="210">
        <v>9.44</v>
      </c>
      <c r="H256" s="210" t="s">
        <v>243</v>
      </c>
      <c r="I256" s="210">
        <v>16</v>
      </c>
      <c r="J256" s="212" t="s">
        <v>364</v>
      </c>
      <c r="K256" s="213"/>
      <c r="L256" s="212" t="s">
        <v>2241</v>
      </c>
      <c r="M256" s="212" t="s">
        <v>2236</v>
      </c>
      <c r="N256" s="213"/>
      <c r="O256" s="215" t="s">
        <v>109</v>
      </c>
      <c r="P256" s="215" t="s">
        <v>109</v>
      </c>
      <c r="Q256" s="213"/>
      <c r="R256" s="214">
        <v>45750</v>
      </c>
      <c r="S256" s="214">
        <v>45751</v>
      </c>
      <c r="T256" s="212" t="s">
        <v>1819</v>
      </c>
      <c r="U256" s="214"/>
      <c r="V256" s="215" t="s">
        <v>1853</v>
      </c>
      <c r="W256" s="212" t="s">
        <v>1853</v>
      </c>
      <c r="X256" s="210" t="s">
        <v>109</v>
      </c>
      <c r="Y256" s="210" t="s">
        <v>1853</v>
      </c>
      <c r="Z256" s="210" t="s">
        <v>1855</v>
      </c>
      <c r="AA256" s="215">
        <v>45772</v>
      </c>
      <c r="AB256" s="215">
        <v>45763</v>
      </c>
      <c r="AC256" s="212" t="s">
        <v>1853</v>
      </c>
      <c r="AD256" s="215">
        <v>45769</v>
      </c>
      <c r="AE256" s="215">
        <v>45768</v>
      </c>
      <c r="AF256" s="215">
        <v>45769</v>
      </c>
      <c r="AG256" s="210"/>
      <c r="AH256" s="210"/>
      <c r="AI256" s="216"/>
      <c r="AJ256" s="210" t="s">
        <v>109</v>
      </c>
      <c r="AK256" s="210" t="s">
        <v>109</v>
      </c>
      <c r="AL256" s="210" t="s">
        <v>109</v>
      </c>
      <c r="AM256" s="210" t="s">
        <v>109</v>
      </c>
      <c r="AP256" s="212">
        <v>1</v>
      </c>
      <c r="AQ256" s="218"/>
    </row>
    <row r="257" spans="1:43" s="217" customFormat="1" ht="18.75" customHeight="1" x14ac:dyDescent="0.3">
      <c r="A257" s="210">
        <v>2503609</v>
      </c>
      <c r="B257" s="211" t="s">
        <v>1294</v>
      </c>
      <c r="C257" s="210" t="e" vm="8">
        <v>#VALUE!</v>
      </c>
      <c r="D257" s="210" t="s">
        <v>17</v>
      </c>
      <c r="E257" s="210" t="s">
        <v>71</v>
      </c>
      <c r="F257" s="210" t="s">
        <v>14</v>
      </c>
      <c r="G257" s="210">
        <v>14.16</v>
      </c>
      <c r="H257" s="210" t="s">
        <v>243</v>
      </c>
      <c r="I257" s="210">
        <v>24</v>
      </c>
      <c r="J257" s="212" t="s">
        <v>143</v>
      </c>
      <c r="K257" s="213"/>
      <c r="L257" s="212" t="s">
        <v>2241</v>
      </c>
      <c r="M257" s="212" t="s">
        <v>2236</v>
      </c>
      <c r="N257" s="213"/>
      <c r="O257" s="215" t="s">
        <v>109</v>
      </c>
      <c r="P257" s="215" t="s">
        <v>109</v>
      </c>
      <c r="Q257" s="213"/>
      <c r="R257" s="214">
        <v>45741</v>
      </c>
      <c r="S257" s="214">
        <v>45796</v>
      </c>
      <c r="T257" s="212" t="s">
        <v>1819</v>
      </c>
      <c r="U257" s="214"/>
      <c r="V257" s="215" t="s">
        <v>1853</v>
      </c>
      <c r="W257" s="212" t="s">
        <v>1853</v>
      </c>
      <c r="X257" s="210" t="s">
        <v>109</v>
      </c>
      <c r="Y257" s="210" t="s">
        <v>1853</v>
      </c>
      <c r="Z257" s="210" t="s">
        <v>1855</v>
      </c>
      <c r="AA257" s="215">
        <v>45799</v>
      </c>
      <c r="AB257" s="215">
        <v>45804</v>
      </c>
      <c r="AC257" s="212" t="s">
        <v>1853</v>
      </c>
      <c r="AD257" s="215">
        <v>45828</v>
      </c>
      <c r="AE257" s="215" t="s">
        <v>1853</v>
      </c>
      <c r="AF257" s="215">
        <v>45828</v>
      </c>
      <c r="AG257" s="210"/>
      <c r="AH257" s="210"/>
      <c r="AI257" s="216"/>
      <c r="AJ257" s="210" t="s">
        <v>109</v>
      </c>
      <c r="AK257" s="210" t="s">
        <v>109</v>
      </c>
      <c r="AL257" s="210" t="s">
        <v>109</v>
      </c>
      <c r="AM257" s="210" t="s">
        <v>109</v>
      </c>
      <c r="AP257" s="212">
        <v>55</v>
      </c>
      <c r="AQ257" s="218"/>
    </row>
    <row r="258" spans="1:43" ht="18.75" customHeight="1" x14ac:dyDescent="0.3">
      <c r="A258" s="4">
        <v>2503610</v>
      </c>
      <c r="B258" s="110" t="s">
        <v>1299</v>
      </c>
      <c r="C258" s="4" t="e" vm="5">
        <v>#VALUE!</v>
      </c>
      <c r="D258" s="4" t="s">
        <v>17</v>
      </c>
      <c r="E258" s="4" t="s">
        <v>71</v>
      </c>
      <c r="F258" s="4" t="s">
        <v>14</v>
      </c>
      <c r="G258" s="4">
        <v>17.7</v>
      </c>
      <c r="H258" s="4" t="s">
        <v>243</v>
      </c>
      <c r="I258" s="4">
        <v>30</v>
      </c>
      <c r="J258" s="1" t="s">
        <v>143</v>
      </c>
      <c r="K258" s="127"/>
      <c r="L258" s="1" t="s">
        <v>1853</v>
      </c>
      <c r="M258" s="1" t="s">
        <v>2236</v>
      </c>
      <c r="N258" s="127"/>
      <c r="O258" s="39" t="s">
        <v>109</v>
      </c>
      <c r="P258" s="39" t="s">
        <v>109</v>
      </c>
      <c r="Q258" s="127"/>
      <c r="R258" s="56">
        <v>45744</v>
      </c>
      <c r="S258" s="56">
        <v>45751</v>
      </c>
      <c r="T258" s="1" t="s">
        <v>1819</v>
      </c>
      <c r="U258" s="56"/>
      <c r="V258" s="39" t="s">
        <v>1853</v>
      </c>
      <c r="W258" s="1" t="s">
        <v>1853</v>
      </c>
      <c r="X258" s="4" t="s">
        <v>109</v>
      </c>
      <c r="Y258" s="4" t="s">
        <v>1853</v>
      </c>
      <c r="Z258" s="4" t="s">
        <v>1855</v>
      </c>
      <c r="AA258" s="39">
        <v>45763</v>
      </c>
      <c r="AB258" s="39">
        <v>45756</v>
      </c>
      <c r="AC258" s="1" t="s">
        <v>1853</v>
      </c>
      <c r="AD258" s="39">
        <v>45764</v>
      </c>
      <c r="AE258" s="39">
        <v>45761</v>
      </c>
      <c r="AF258" s="39">
        <v>45764</v>
      </c>
      <c r="AG258" s="39">
        <v>45764</v>
      </c>
      <c r="AH258" s="39">
        <v>49429</v>
      </c>
      <c r="AJ258" s="4" t="s">
        <v>109</v>
      </c>
      <c r="AK258" s="4" t="s">
        <v>109</v>
      </c>
      <c r="AL258" s="4" t="s">
        <v>109</v>
      </c>
      <c r="AM258" s="4" t="s">
        <v>109</v>
      </c>
      <c r="AP258" s="1">
        <v>7</v>
      </c>
    </row>
    <row r="259" spans="1:43" ht="18.75" customHeight="1" x14ac:dyDescent="0.3">
      <c r="A259" s="4">
        <v>2503611</v>
      </c>
      <c r="B259" s="110" t="s">
        <v>1304</v>
      </c>
      <c r="C259" s="4" t="e" vm="5">
        <v>#VALUE!</v>
      </c>
      <c r="D259" s="4" t="s">
        <v>17</v>
      </c>
      <c r="E259" s="4" t="s">
        <v>71</v>
      </c>
      <c r="F259" s="4" t="s">
        <v>14</v>
      </c>
      <c r="G259" s="4">
        <v>7.67</v>
      </c>
      <c r="H259" s="4" t="s">
        <v>243</v>
      </c>
      <c r="I259" s="4">
        <v>13</v>
      </c>
      <c r="J259" s="1" t="s">
        <v>244</v>
      </c>
      <c r="K259" s="127"/>
      <c r="L259" s="1" t="s">
        <v>1853</v>
      </c>
      <c r="M259" s="1" t="s">
        <v>2236</v>
      </c>
      <c r="N259" s="127"/>
      <c r="O259" s="39" t="s">
        <v>109</v>
      </c>
      <c r="P259" s="39" t="s">
        <v>109</v>
      </c>
      <c r="Q259" s="127"/>
      <c r="R259" s="56">
        <v>45744</v>
      </c>
      <c r="S259" s="56">
        <v>45751</v>
      </c>
      <c r="T259" s="1" t="s">
        <v>1819</v>
      </c>
      <c r="U259" s="56"/>
      <c r="V259" s="39" t="s">
        <v>1853</v>
      </c>
      <c r="W259" s="1" t="s">
        <v>1853</v>
      </c>
      <c r="X259" s="4" t="s">
        <v>109</v>
      </c>
      <c r="Y259" s="4" t="s">
        <v>1853</v>
      </c>
      <c r="Z259" s="4" t="s">
        <v>1855</v>
      </c>
      <c r="AA259" s="39">
        <v>45756</v>
      </c>
      <c r="AB259" s="39">
        <v>45763</v>
      </c>
      <c r="AC259" s="1" t="s">
        <v>1853</v>
      </c>
      <c r="AD259" s="39">
        <v>45769</v>
      </c>
      <c r="AE259" s="39">
        <v>45768</v>
      </c>
      <c r="AF259" s="39">
        <v>45769</v>
      </c>
      <c r="AG259" s="39">
        <v>45769</v>
      </c>
      <c r="AH259" s="39">
        <v>49429</v>
      </c>
      <c r="AJ259" s="4" t="s">
        <v>109</v>
      </c>
      <c r="AK259" s="4" t="s">
        <v>109</v>
      </c>
      <c r="AL259" s="4" t="s">
        <v>109</v>
      </c>
      <c r="AM259" s="4" t="s">
        <v>109</v>
      </c>
      <c r="AP259" s="1">
        <v>7</v>
      </c>
    </row>
    <row r="260" spans="1:43" s="217" customFormat="1" ht="18.75" customHeight="1" x14ac:dyDescent="0.3">
      <c r="A260" s="210">
        <v>2501524</v>
      </c>
      <c r="B260" s="211" t="s">
        <v>1309</v>
      </c>
      <c r="C260" s="210" t="e" vm="5">
        <v>#VALUE!</v>
      </c>
      <c r="D260" s="210" t="s">
        <v>17</v>
      </c>
      <c r="E260" s="210" t="s">
        <v>71</v>
      </c>
      <c r="F260" s="210" t="s">
        <v>14</v>
      </c>
      <c r="G260" s="210">
        <v>9.44</v>
      </c>
      <c r="H260" s="210" t="s">
        <v>243</v>
      </c>
      <c r="I260" s="210">
        <v>16</v>
      </c>
      <c r="J260" s="212" t="s">
        <v>364</v>
      </c>
      <c r="K260" s="213"/>
      <c r="L260" s="212" t="s">
        <v>2241</v>
      </c>
      <c r="M260" s="212" t="s">
        <v>2236</v>
      </c>
      <c r="N260" s="213"/>
      <c r="O260" s="215" t="s">
        <v>109</v>
      </c>
      <c r="P260" s="215" t="s">
        <v>109</v>
      </c>
      <c r="Q260" s="213"/>
      <c r="R260" s="214">
        <v>45744</v>
      </c>
      <c r="S260" s="214">
        <v>45751</v>
      </c>
      <c r="T260" s="212" t="s">
        <v>1819</v>
      </c>
      <c r="U260" s="214"/>
      <c r="V260" s="215" t="s">
        <v>1853</v>
      </c>
      <c r="W260" s="212" t="s">
        <v>1853</v>
      </c>
      <c r="X260" s="210" t="s">
        <v>109</v>
      </c>
      <c r="Y260" s="210" t="s">
        <v>1853</v>
      </c>
      <c r="Z260" s="210" t="s">
        <v>1855</v>
      </c>
      <c r="AA260" s="215">
        <v>45761</v>
      </c>
      <c r="AB260" s="215" t="s">
        <v>1853</v>
      </c>
      <c r="AC260" s="212" t="s">
        <v>1853</v>
      </c>
      <c r="AD260" s="212" t="s">
        <v>1853</v>
      </c>
      <c r="AE260" s="215">
        <v>45763</v>
      </c>
      <c r="AF260" s="215" t="s">
        <v>1853</v>
      </c>
      <c r="AG260" s="210"/>
      <c r="AH260" s="210"/>
      <c r="AI260" s="216"/>
      <c r="AJ260" s="210" t="s">
        <v>109</v>
      </c>
      <c r="AK260" s="210" t="s">
        <v>109</v>
      </c>
      <c r="AL260" s="210" t="s">
        <v>109</v>
      </c>
      <c r="AM260" s="210" t="s">
        <v>109</v>
      </c>
      <c r="AP260" s="212">
        <v>7</v>
      </c>
      <c r="AQ260" s="218"/>
    </row>
    <row r="261" spans="1:43" s="217" customFormat="1" ht="18.75" customHeight="1" x14ac:dyDescent="0.3">
      <c r="A261" s="210">
        <v>2503617</v>
      </c>
      <c r="B261" s="211" t="s">
        <v>1314</v>
      </c>
      <c r="C261" s="210" t="e" vm="11">
        <v>#VALUE!</v>
      </c>
      <c r="D261" s="210" t="s">
        <v>22</v>
      </c>
      <c r="E261" s="210" t="s">
        <v>71</v>
      </c>
      <c r="F261" s="210" t="s">
        <v>14</v>
      </c>
      <c r="G261" s="210">
        <v>17.7</v>
      </c>
      <c r="H261" s="210" t="s">
        <v>243</v>
      </c>
      <c r="I261" s="210">
        <v>30</v>
      </c>
      <c r="J261" s="212" t="s">
        <v>143</v>
      </c>
      <c r="K261" s="213"/>
      <c r="L261" s="212" t="s">
        <v>2241</v>
      </c>
      <c r="M261" s="212" t="s">
        <v>2236</v>
      </c>
      <c r="N261" s="213"/>
      <c r="O261" s="215" t="s">
        <v>109</v>
      </c>
      <c r="P261" s="215" t="s">
        <v>109</v>
      </c>
      <c r="Q261" s="213"/>
      <c r="R261" s="214">
        <v>45744</v>
      </c>
      <c r="S261" s="214">
        <v>45751</v>
      </c>
      <c r="T261" s="212" t="s">
        <v>1819</v>
      </c>
      <c r="U261" s="214"/>
      <c r="V261" s="215" t="s">
        <v>1853</v>
      </c>
      <c r="W261" s="212" t="s">
        <v>1853</v>
      </c>
      <c r="X261" s="210" t="s">
        <v>109</v>
      </c>
      <c r="Y261" s="210" t="s">
        <v>1853</v>
      </c>
      <c r="Z261" s="210" t="s">
        <v>1854</v>
      </c>
      <c r="AA261" s="215">
        <v>45772</v>
      </c>
      <c r="AB261" s="215">
        <v>45763</v>
      </c>
      <c r="AC261" s="212" t="s">
        <v>1853</v>
      </c>
      <c r="AD261" s="215">
        <v>45774</v>
      </c>
      <c r="AE261" s="215">
        <v>45771</v>
      </c>
      <c r="AF261" s="215">
        <v>45774</v>
      </c>
      <c r="AG261" s="210"/>
      <c r="AH261" s="210"/>
      <c r="AI261" s="216"/>
      <c r="AJ261" s="210" t="s">
        <v>109</v>
      </c>
      <c r="AK261" s="210" t="s">
        <v>109</v>
      </c>
      <c r="AL261" s="210" t="s">
        <v>109</v>
      </c>
      <c r="AM261" s="210" t="s">
        <v>109</v>
      </c>
      <c r="AP261" s="212">
        <v>7</v>
      </c>
      <c r="AQ261" s="218"/>
    </row>
    <row r="262" spans="1:43" s="172" customFormat="1" ht="18.75" customHeight="1" x14ac:dyDescent="0.3">
      <c r="A262" s="165">
        <v>2503601</v>
      </c>
      <c r="B262" s="166" t="s">
        <v>1319</v>
      </c>
      <c r="C262" s="165" t="e" vm="5">
        <v>#VALUE!</v>
      </c>
      <c r="D262" s="165" t="s">
        <v>17</v>
      </c>
      <c r="E262" s="165" t="s">
        <v>71</v>
      </c>
      <c r="F262" s="165" t="s">
        <v>14</v>
      </c>
      <c r="G262" s="165">
        <v>9.44</v>
      </c>
      <c r="H262" s="165" t="s">
        <v>243</v>
      </c>
      <c r="I262" s="165">
        <v>16</v>
      </c>
      <c r="J262" s="167" t="s">
        <v>364</v>
      </c>
      <c r="K262" s="168"/>
      <c r="L262" s="167" t="s">
        <v>2246</v>
      </c>
      <c r="M262" s="167" t="s">
        <v>2240</v>
      </c>
      <c r="N262" s="168"/>
      <c r="O262" s="170" t="s">
        <v>109</v>
      </c>
      <c r="P262" s="170" t="s">
        <v>109</v>
      </c>
      <c r="Q262" s="168"/>
      <c r="R262" s="169">
        <v>45771</v>
      </c>
      <c r="S262" s="169">
        <v>45796</v>
      </c>
      <c r="T262" s="167" t="s">
        <v>1819</v>
      </c>
      <c r="U262" s="169">
        <v>46135</v>
      </c>
      <c r="V262" s="170" t="s">
        <v>1853</v>
      </c>
      <c r="W262" s="167" t="s">
        <v>1853</v>
      </c>
      <c r="X262" s="165" t="s">
        <v>109</v>
      </c>
      <c r="Y262" s="165" t="s">
        <v>1853</v>
      </c>
      <c r="Z262" s="165"/>
      <c r="AA262" s="170"/>
      <c r="AB262" s="170" t="s">
        <v>1859</v>
      </c>
      <c r="AC262" s="167"/>
      <c r="AD262" s="167"/>
      <c r="AE262" s="170"/>
      <c r="AF262" s="170"/>
      <c r="AG262" s="165"/>
      <c r="AH262" s="165"/>
      <c r="AI262" s="171"/>
      <c r="AJ262" s="165" t="s">
        <v>109</v>
      </c>
      <c r="AK262" s="165" t="s">
        <v>109</v>
      </c>
      <c r="AL262" s="165" t="s">
        <v>109</v>
      </c>
      <c r="AM262" s="165" t="s">
        <v>109</v>
      </c>
      <c r="AP262" s="167">
        <v>25</v>
      </c>
      <c r="AQ262" s="173"/>
    </row>
    <row r="263" spans="1:43" s="181" customFormat="1" ht="18.75" customHeight="1" x14ac:dyDescent="0.3">
      <c r="A263" s="174">
        <v>2503619</v>
      </c>
      <c r="B263" s="175" t="s">
        <v>1320</v>
      </c>
      <c r="C263" s="174">
        <v>0</v>
      </c>
      <c r="D263" s="165" t="s">
        <v>22</v>
      </c>
      <c r="E263" s="174">
        <v>0</v>
      </c>
      <c r="F263" s="174">
        <v>0</v>
      </c>
      <c r="G263" s="174">
        <v>7.08</v>
      </c>
      <c r="H263" s="174" t="s">
        <v>243</v>
      </c>
      <c r="I263" s="174">
        <v>12</v>
      </c>
      <c r="J263" s="176" t="s">
        <v>286</v>
      </c>
      <c r="K263" s="177"/>
      <c r="L263" s="176" t="s">
        <v>2246</v>
      </c>
      <c r="M263" s="176" t="s">
        <v>2240</v>
      </c>
      <c r="N263" s="177"/>
      <c r="O263" s="170" t="s">
        <v>109</v>
      </c>
      <c r="P263" s="170" t="s">
        <v>109</v>
      </c>
      <c r="Q263" s="177"/>
      <c r="R263" s="178">
        <v>45751</v>
      </c>
      <c r="S263" s="178">
        <v>45761</v>
      </c>
      <c r="T263" s="176" t="s">
        <v>1819</v>
      </c>
      <c r="U263" s="178">
        <v>46115</v>
      </c>
      <c r="V263" s="179" t="s">
        <v>1853</v>
      </c>
      <c r="W263" s="176" t="s">
        <v>1853</v>
      </c>
      <c r="X263" s="174" t="s">
        <v>109</v>
      </c>
      <c r="Y263" s="174" t="s">
        <v>1853</v>
      </c>
      <c r="Z263" s="174"/>
      <c r="AA263" s="179"/>
      <c r="AB263" s="179">
        <v>45765</v>
      </c>
      <c r="AC263" s="176"/>
      <c r="AD263" s="176"/>
      <c r="AE263" s="179"/>
      <c r="AF263" s="179"/>
      <c r="AG263" s="174"/>
      <c r="AH263" s="174"/>
      <c r="AI263" s="180"/>
      <c r="AJ263" s="174" t="s">
        <v>109</v>
      </c>
      <c r="AK263" s="174" t="s">
        <v>109</v>
      </c>
      <c r="AL263" s="174" t="s">
        <v>109</v>
      </c>
      <c r="AM263" s="174" t="s">
        <v>109</v>
      </c>
      <c r="AP263" s="176">
        <v>10</v>
      </c>
      <c r="AQ263" s="182"/>
    </row>
    <row r="264" spans="1:43" ht="18.75" customHeight="1" x14ac:dyDescent="0.3">
      <c r="A264" s="4">
        <v>2504623</v>
      </c>
      <c r="B264" s="110" t="s">
        <v>1325</v>
      </c>
      <c r="C264" s="4" t="e" vm="11">
        <v>#VALUE!</v>
      </c>
      <c r="D264" s="4" t="s">
        <v>22</v>
      </c>
      <c r="E264" s="4" t="s">
        <v>71</v>
      </c>
      <c r="F264" s="4" t="s">
        <v>14</v>
      </c>
      <c r="G264" s="4">
        <v>7.08</v>
      </c>
      <c r="H264" s="4" t="s">
        <v>243</v>
      </c>
      <c r="I264" s="4">
        <v>12</v>
      </c>
      <c r="J264" s="1" t="s">
        <v>286</v>
      </c>
      <c r="K264" s="127"/>
      <c r="L264" s="1" t="s">
        <v>1853</v>
      </c>
      <c r="M264" s="1" t="s">
        <v>2236</v>
      </c>
      <c r="N264" s="127"/>
      <c r="O264" s="39" t="s">
        <v>109</v>
      </c>
      <c r="P264" s="39" t="s">
        <v>109</v>
      </c>
      <c r="Q264" s="127"/>
      <c r="R264" s="56">
        <v>45756</v>
      </c>
      <c r="S264" s="56">
        <v>45757</v>
      </c>
      <c r="T264" s="1" t="s">
        <v>1819</v>
      </c>
      <c r="U264" s="56"/>
      <c r="V264" s="39" t="s">
        <v>1853</v>
      </c>
      <c r="W264" s="1" t="s">
        <v>1853</v>
      </c>
      <c r="X264" s="4" t="s">
        <v>109</v>
      </c>
      <c r="Y264" s="4" t="s">
        <v>1853</v>
      </c>
      <c r="Z264" s="4" t="s">
        <v>1854</v>
      </c>
      <c r="AA264" s="39">
        <v>45769</v>
      </c>
      <c r="AB264" s="39">
        <v>45765</v>
      </c>
      <c r="AC264" s="1" t="s">
        <v>1853</v>
      </c>
      <c r="AD264" s="39">
        <v>45853</v>
      </c>
      <c r="AE264" s="39">
        <v>45768</v>
      </c>
      <c r="AF264" s="39">
        <v>45796</v>
      </c>
      <c r="AG264" s="39">
        <v>45796</v>
      </c>
      <c r="AH264" s="39">
        <v>49460</v>
      </c>
      <c r="AJ264" s="4" t="s">
        <v>109</v>
      </c>
      <c r="AK264" s="4" t="s">
        <v>109</v>
      </c>
      <c r="AL264" s="4" t="s">
        <v>109</v>
      </c>
      <c r="AM264" s="4" t="s">
        <v>109</v>
      </c>
      <c r="AP264" s="1">
        <v>1</v>
      </c>
    </row>
    <row r="265" spans="1:43" s="217" customFormat="1" ht="18.75" customHeight="1" x14ac:dyDescent="0.3">
      <c r="A265" s="210">
        <v>2503589</v>
      </c>
      <c r="B265" s="211" t="s">
        <v>1330</v>
      </c>
      <c r="C265" s="210" t="e" vm="5">
        <v>#VALUE!</v>
      </c>
      <c r="D265" s="210" t="s">
        <v>17</v>
      </c>
      <c r="E265" s="210" t="s">
        <v>71</v>
      </c>
      <c r="F265" s="210" t="s">
        <v>14</v>
      </c>
      <c r="G265" s="210">
        <v>7.08</v>
      </c>
      <c r="H265" s="210" t="s">
        <v>243</v>
      </c>
      <c r="I265" s="210">
        <v>12</v>
      </c>
      <c r="J265" s="212" t="s">
        <v>286</v>
      </c>
      <c r="K265" s="213"/>
      <c r="L265" s="212" t="s">
        <v>2241</v>
      </c>
      <c r="M265" s="212" t="s">
        <v>2236</v>
      </c>
      <c r="N265" s="213"/>
      <c r="O265" s="215" t="s">
        <v>109</v>
      </c>
      <c r="P265" s="215" t="s">
        <v>109</v>
      </c>
      <c r="Q265" s="213"/>
      <c r="R265" s="214">
        <v>45756</v>
      </c>
      <c r="S265" s="214">
        <v>45762</v>
      </c>
      <c r="T265" s="212" t="s">
        <v>1819</v>
      </c>
      <c r="U265" s="214"/>
      <c r="V265" s="215" t="s">
        <v>1853</v>
      </c>
      <c r="W265" s="212" t="s">
        <v>1853</v>
      </c>
      <c r="X265" s="210" t="s">
        <v>109</v>
      </c>
      <c r="Y265" s="210" t="s">
        <v>1853</v>
      </c>
      <c r="Z265" s="210" t="s">
        <v>1855</v>
      </c>
      <c r="AA265" s="215">
        <v>45771</v>
      </c>
      <c r="AB265" s="215">
        <v>45765</v>
      </c>
      <c r="AC265" s="212" t="s">
        <v>1853</v>
      </c>
      <c r="AD265" s="215">
        <v>45784</v>
      </c>
      <c r="AE265" s="215" t="s">
        <v>1853</v>
      </c>
      <c r="AF265" s="215">
        <v>45784</v>
      </c>
      <c r="AG265" s="210"/>
      <c r="AH265" s="210"/>
      <c r="AI265" s="216"/>
      <c r="AJ265" s="210" t="s">
        <v>109</v>
      </c>
      <c r="AK265" s="210" t="s">
        <v>109</v>
      </c>
      <c r="AL265" s="210" t="s">
        <v>109</v>
      </c>
      <c r="AM265" s="210" t="s">
        <v>109</v>
      </c>
      <c r="AP265" s="212">
        <v>6</v>
      </c>
      <c r="AQ265" s="218"/>
    </row>
    <row r="266" spans="1:43" s="217" customFormat="1" ht="18.75" customHeight="1" x14ac:dyDescent="0.3">
      <c r="A266" s="210">
        <v>2504633</v>
      </c>
      <c r="B266" s="211" t="s">
        <v>1335</v>
      </c>
      <c r="C266" s="210" t="e" vm="5">
        <v>#VALUE!</v>
      </c>
      <c r="D266" s="210" t="s">
        <v>17</v>
      </c>
      <c r="E266" s="210" t="s">
        <v>71</v>
      </c>
      <c r="F266" s="210" t="s">
        <v>14</v>
      </c>
      <c r="G266" s="210">
        <v>7.08</v>
      </c>
      <c r="H266" s="210" t="s">
        <v>243</v>
      </c>
      <c r="I266" s="210">
        <v>12</v>
      </c>
      <c r="J266" s="212" t="s">
        <v>286</v>
      </c>
      <c r="K266" s="213"/>
      <c r="L266" s="212" t="s">
        <v>2241</v>
      </c>
      <c r="M266" s="212" t="s">
        <v>2236</v>
      </c>
      <c r="N266" s="213"/>
      <c r="O266" s="215" t="s">
        <v>109</v>
      </c>
      <c r="P266" s="215" t="s">
        <v>109</v>
      </c>
      <c r="Q266" s="213"/>
      <c r="R266" s="214">
        <v>45758</v>
      </c>
      <c r="S266" s="214">
        <v>45762</v>
      </c>
      <c r="T266" s="212" t="s">
        <v>1819</v>
      </c>
      <c r="U266" s="214"/>
      <c r="V266" s="215" t="s">
        <v>1853</v>
      </c>
      <c r="W266" s="212" t="s">
        <v>1853</v>
      </c>
      <c r="X266" s="210" t="s">
        <v>109</v>
      </c>
      <c r="Y266" s="210" t="s">
        <v>1853</v>
      </c>
      <c r="Z266" s="210" t="s">
        <v>1855</v>
      </c>
      <c r="AA266" s="215">
        <v>45819</v>
      </c>
      <c r="AB266" s="215">
        <v>45764</v>
      </c>
      <c r="AC266" s="212" t="s">
        <v>1853</v>
      </c>
      <c r="AD266" s="212" t="s">
        <v>1853</v>
      </c>
      <c r="AE266" s="215" t="s">
        <v>1853</v>
      </c>
      <c r="AF266" s="215" t="s">
        <v>1853</v>
      </c>
      <c r="AG266" s="210"/>
      <c r="AH266" s="210"/>
      <c r="AI266" s="216"/>
      <c r="AJ266" s="210" t="s">
        <v>109</v>
      </c>
      <c r="AK266" s="210" t="s">
        <v>109</v>
      </c>
      <c r="AL266" s="210" t="s">
        <v>109</v>
      </c>
      <c r="AM266" s="210" t="s">
        <v>109</v>
      </c>
      <c r="AP266" s="212">
        <v>4</v>
      </c>
      <c r="AQ266" s="218"/>
    </row>
    <row r="267" spans="1:43" s="217" customFormat="1" ht="18.75" customHeight="1" x14ac:dyDescent="0.3">
      <c r="A267" s="210">
        <v>2504636</v>
      </c>
      <c r="B267" s="211" t="s">
        <v>1340</v>
      </c>
      <c r="C267" s="210" t="e" vm="11">
        <v>#VALUE!</v>
      </c>
      <c r="D267" s="210" t="s">
        <v>22</v>
      </c>
      <c r="E267" s="210" t="s">
        <v>71</v>
      </c>
      <c r="F267" s="210" t="s">
        <v>14</v>
      </c>
      <c r="G267" s="210">
        <v>17.7</v>
      </c>
      <c r="H267" s="210" t="s">
        <v>243</v>
      </c>
      <c r="I267" s="210">
        <v>30</v>
      </c>
      <c r="J267" s="212" t="s">
        <v>143</v>
      </c>
      <c r="K267" s="213"/>
      <c r="L267" s="212" t="s">
        <v>2241</v>
      </c>
      <c r="M267" s="212" t="s">
        <v>2236</v>
      </c>
      <c r="N267" s="213"/>
      <c r="O267" s="215" t="s">
        <v>109</v>
      </c>
      <c r="P267" s="215" t="s">
        <v>109</v>
      </c>
      <c r="Q267" s="213"/>
      <c r="R267" s="214">
        <v>45758</v>
      </c>
      <c r="S267" s="214">
        <v>45762</v>
      </c>
      <c r="T267" s="212" t="s">
        <v>1819</v>
      </c>
      <c r="U267" s="214"/>
      <c r="V267" s="215" t="s">
        <v>1853</v>
      </c>
      <c r="W267" s="212" t="s">
        <v>1853</v>
      </c>
      <c r="X267" s="210" t="s">
        <v>109</v>
      </c>
      <c r="Y267" s="210" t="s">
        <v>1853</v>
      </c>
      <c r="Z267" s="210" t="s">
        <v>1854</v>
      </c>
      <c r="AA267" s="215">
        <v>45787</v>
      </c>
      <c r="AB267" s="215">
        <v>45765</v>
      </c>
      <c r="AC267" s="212" t="s">
        <v>1853</v>
      </c>
      <c r="AD267" s="215">
        <v>45775</v>
      </c>
      <c r="AE267" s="215">
        <v>45769</v>
      </c>
      <c r="AF267" s="215">
        <v>45775</v>
      </c>
      <c r="AG267" s="210"/>
      <c r="AH267" s="210"/>
      <c r="AI267" s="216"/>
      <c r="AJ267" s="210" t="s">
        <v>109</v>
      </c>
      <c r="AK267" s="210" t="s">
        <v>109</v>
      </c>
      <c r="AL267" s="210" t="s">
        <v>109</v>
      </c>
      <c r="AM267" s="210" t="s">
        <v>109</v>
      </c>
      <c r="AP267" s="212">
        <v>4</v>
      </c>
      <c r="AQ267" s="218"/>
    </row>
    <row r="268" spans="1:43" s="217" customFormat="1" ht="18.75" customHeight="1" x14ac:dyDescent="0.3">
      <c r="A268" s="210">
        <v>2406152</v>
      </c>
      <c r="B268" s="211" t="s">
        <v>1345</v>
      </c>
      <c r="C268" s="210" t="e" vm="5">
        <v>#VALUE!</v>
      </c>
      <c r="D268" s="210" t="s">
        <v>20</v>
      </c>
      <c r="E268" s="210" t="s">
        <v>124</v>
      </c>
      <c r="F268" s="210" t="s">
        <v>14</v>
      </c>
      <c r="G268" s="210">
        <v>93.17</v>
      </c>
      <c r="H268" s="210" t="s">
        <v>1347</v>
      </c>
      <c r="I268" s="210">
        <v>154</v>
      </c>
      <c r="J268" s="212" t="s">
        <v>1348</v>
      </c>
      <c r="K268" s="213"/>
      <c r="L268" s="212" t="s">
        <v>2241</v>
      </c>
      <c r="M268" s="212" t="s">
        <v>2236</v>
      </c>
      <c r="N268" s="213"/>
      <c r="O268" s="215" t="s">
        <v>109</v>
      </c>
      <c r="P268" s="215" t="s">
        <v>109</v>
      </c>
      <c r="Q268" s="213"/>
      <c r="R268" s="214">
        <v>45783</v>
      </c>
      <c r="S268" s="214">
        <v>45794</v>
      </c>
      <c r="T268" s="212" t="s">
        <v>1819</v>
      </c>
      <c r="U268" s="214"/>
      <c r="V268" s="215" t="s">
        <v>1853</v>
      </c>
      <c r="W268" s="212" t="s">
        <v>1853</v>
      </c>
      <c r="X268" s="210" t="s">
        <v>1853</v>
      </c>
      <c r="Y268" s="210" t="s">
        <v>1853</v>
      </c>
      <c r="Z268" s="210" t="s">
        <v>1860</v>
      </c>
      <c r="AA268" s="215">
        <v>45824</v>
      </c>
      <c r="AB268" s="215">
        <v>45838</v>
      </c>
      <c r="AC268" s="212" t="s">
        <v>1853</v>
      </c>
      <c r="AD268" s="215">
        <v>45859</v>
      </c>
      <c r="AE268" s="215">
        <v>45859</v>
      </c>
      <c r="AF268" s="215" t="s">
        <v>1853</v>
      </c>
      <c r="AG268" s="210"/>
      <c r="AH268" s="210"/>
      <c r="AI268" s="216"/>
      <c r="AJ268" s="210" t="s">
        <v>109</v>
      </c>
      <c r="AK268" s="210" t="s">
        <v>109</v>
      </c>
      <c r="AL268" s="210" t="s">
        <v>109</v>
      </c>
      <c r="AM268" s="210" t="s">
        <v>109</v>
      </c>
      <c r="AP268" s="212">
        <v>11</v>
      </c>
      <c r="AQ268" s="218"/>
    </row>
    <row r="269" spans="1:43" s="217" customFormat="1" ht="18.75" customHeight="1" x14ac:dyDescent="0.3">
      <c r="A269" s="210">
        <v>2504640</v>
      </c>
      <c r="B269" s="211" t="s">
        <v>1350</v>
      </c>
      <c r="C269" s="210" t="e" vm="8">
        <v>#VALUE!</v>
      </c>
      <c r="D269" s="210" t="s">
        <v>17</v>
      </c>
      <c r="E269" s="210" t="s">
        <v>71</v>
      </c>
      <c r="F269" s="210" t="s">
        <v>14</v>
      </c>
      <c r="G269" s="210">
        <v>9.44</v>
      </c>
      <c r="H269" s="210" t="s">
        <v>243</v>
      </c>
      <c r="I269" s="210">
        <v>16</v>
      </c>
      <c r="J269" s="212" t="s">
        <v>364</v>
      </c>
      <c r="K269" s="213"/>
      <c r="L269" s="212" t="s">
        <v>2241</v>
      </c>
      <c r="M269" s="212" t="s">
        <v>2236</v>
      </c>
      <c r="N269" s="213"/>
      <c r="O269" s="215" t="s">
        <v>109</v>
      </c>
      <c r="P269" s="215" t="s">
        <v>109</v>
      </c>
      <c r="Q269" s="213"/>
      <c r="R269" s="214">
        <v>45765</v>
      </c>
      <c r="S269" s="214">
        <v>45768</v>
      </c>
      <c r="T269" s="212" t="s">
        <v>1819</v>
      </c>
      <c r="U269" s="214"/>
      <c r="V269" s="215" t="s">
        <v>1853</v>
      </c>
      <c r="W269" s="212" t="s">
        <v>1853</v>
      </c>
      <c r="X269" s="210" t="s">
        <v>109</v>
      </c>
      <c r="Y269" s="210" t="s">
        <v>1853</v>
      </c>
      <c r="Z269" s="210" t="s">
        <v>1855</v>
      </c>
      <c r="AA269" s="215">
        <v>45786</v>
      </c>
      <c r="AB269" s="215">
        <v>45771</v>
      </c>
      <c r="AC269" s="212" t="s">
        <v>1853</v>
      </c>
      <c r="AD269" s="212" t="s">
        <v>1853</v>
      </c>
      <c r="AE269" s="215" t="s">
        <v>1853</v>
      </c>
      <c r="AF269" s="215" t="s">
        <v>1853</v>
      </c>
      <c r="AG269" s="210"/>
      <c r="AH269" s="210"/>
      <c r="AI269" s="216"/>
      <c r="AJ269" s="210" t="s">
        <v>109</v>
      </c>
      <c r="AK269" s="210" t="s">
        <v>109</v>
      </c>
      <c r="AL269" s="210" t="s">
        <v>109</v>
      </c>
      <c r="AM269" s="210" t="s">
        <v>109</v>
      </c>
      <c r="AP269" s="212"/>
      <c r="AQ269" s="218"/>
    </row>
    <row r="270" spans="1:43" s="217" customFormat="1" ht="18.75" customHeight="1" x14ac:dyDescent="0.3">
      <c r="A270" s="210">
        <v>2504638</v>
      </c>
      <c r="B270" s="211" t="s">
        <v>1355</v>
      </c>
      <c r="C270" s="210" t="e" vm="8">
        <v>#VALUE!</v>
      </c>
      <c r="D270" s="210" t="s">
        <v>17</v>
      </c>
      <c r="E270" s="210" t="s">
        <v>71</v>
      </c>
      <c r="F270" s="210" t="s">
        <v>14</v>
      </c>
      <c r="G270" s="210">
        <v>9.44</v>
      </c>
      <c r="H270" s="210" t="s">
        <v>243</v>
      </c>
      <c r="I270" s="210">
        <v>16</v>
      </c>
      <c r="J270" s="212" t="s">
        <v>364</v>
      </c>
      <c r="K270" s="213"/>
      <c r="L270" s="212" t="s">
        <v>2241</v>
      </c>
      <c r="M270" s="212" t="s">
        <v>2236</v>
      </c>
      <c r="N270" s="213"/>
      <c r="O270" s="215" t="s">
        <v>109</v>
      </c>
      <c r="P270" s="215" t="s">
        <v>109</v>
      </c>
      <c r="Q270" s="213"/>
      <c r="R270" s="214">
        <v>45764</v>
      </c>
      <c r="S270" s="214">
        <v>45768</v>
      </c>
      <c r="T270" s="212" t="s">
        <v>1819</v>
      </c>
      <c r="U270" s="214"/>
      <c r="V270" s="215" t="s">
        <v>1853</v>
      </c>
      <c r="W270" s="212" t="s">
        <v>1853</v>
      </c>
      <c r="X270" s="210" t="s">
        <v>109</v>
      </c>
      <c r="Y270" s="210" t="s">
        <v>1853</v>
      </c>
      <c r="Z270" s="210" t="s">
        <v>1855</v>
      </c>
      <c r="AA270" s="215">
        <v>45785</v>
      </c>
      <c r="AB270" s="215">
        <v>45771</v>
      </c>
      <c r="AC270" s="212" t="s">
        <v>1853</v>
      </c>
      <c r="AD270" s="215">
        <v>45793</v>
      </c>
      <c r="AE270" s="215">
        <v>45783</v>
      </c>
      <c r="AF270" s="215">
        <v>45793</v>
      </c>
      <c r="AG270" s="210"/>
      <c r="AH270" s="210"/>
      <c r="AI270" s="216"/>
      <c r="AJ270" s="210" t="s">
        <v>109</v>
      </c>
      <c r="AK270" s="210" t="s">
        <v>109</v>
      </c>
      <c r="AL270" s="210" t="s">
        <v>109</v>
      </c>
      <c r="AM270" s="210" t="s">
        <v>109</v>
      </c>
      <c r="AP270" s="212">
        <v>4</v>
      </c>
      <c r="AQ270" s="218"/>
    </row>
    <row r="271" spans="1:43" ht="18.75" customHeight="1" x14ac:dyDescent="0.3">
      <c r="A271" s="4">
        <v>2504652</v>
      </c>
      <c r="B271" s="110" t="s">
        <v>1360</v>
      </c>
      <c r="C271" s="4" t="e" vm="11">
        <v>#VALUE!</v>
      </c>
      <c r="D271" s="4" t="s">
        <v>22</v>
      </c>
      <c r="E271" s="4" t="s">
        <v>71</v>
      </c>
      <c r="F271" s="4" t="s">
        <v>14</v>
      </c>
      <c r="G271" s="4">
        <v>9.44</v>
      </c>
      <c r="H271" s="4" t="s">
        <v>243</v>
      </c>
      <c r="I271" s="4">
        <v>16</v>
      </c>
      <c r="J271" s="1" t="s">
        <v>364</v>
      </c>
      <c r="K271" s="127"/>
      <c r="L271" s="1" t="s">
        <v>1853</v>
      </c>
      <c r="M271" s="1" t="s">
        <v>2236</v>
      </c>
      <c r="N271" s="127"/>
      <c r="O271" s="39" t="s">
        <v>109</v>
      </c>
      <c r="P271" s="39" t="s">
        <v>109</v>
      </c>
      <c r="Q271" s="127"/>
      <c r="R271" s="56">
        <v>45770</v>
      </c>
      <c r="S271" s="56">
        <v>45775</v>
      </c>
      <c r="T271" s="1" t="s">
        <v>1819</v>
      </c>
      <c r="U271" s="56"/>
      <c r="V271" s="39" t="s">
        <v>1853</v>
      </c>
      <c r="W271" s="1" t="s">
        <v>1853</v>
      </c>
      <c r="X271" s="4" t="s">
        <v>109</v>
      </c>
      <c r="Y271" s="4" t="s">
        <v>1853</v>
      </c>
      <c r="Z271" s="4" t="s">
        <v>1854</v>
      </c>
      <c r="AA271" s="39">
        <v>45792</v>
      </c>
      <c r="AB271" s="39">
        <v>45777</v>
      </c>
      <c r="AC271" s="1" t="s">
        <v>1853</v>
      </c>
      <c r="AD271" s="39">
        <v>45810</v>
      </c>
      <c r="AE271" s="39">
        <v>45806</v>
      </c>
      <c r="AF271" s="39">
        <v>45810</v>
      </c>
      <c r="AG271" s="39">
        <v>45810</v>
      </c>
      <c r="AH271" s="4"/>
      <c r="AJ271" s="4" t="s">
        <v>109</v>
      </c>
      <c r="AK271" s="4" t="s">
        <v>109</v>
      </c>
      <c r="AL271" s="4" t="s">
        <v>109</v>
      </c>
      <c r="AM271" s="4" t="s">
        <v>109</v>
      </c>
      <c r="AP271" s="1">
        <v>5</v>
      </c>
    </row>
    <row r="272" spans="1:43" s="217" customFormat="1" ht="18.75" customHeight="1" x14ac:dyDescent="0.3">
      <c r="A272" s="210">
        <v>2504647</v>
      </c>
      <c r="B272" s="211" t="s">
        <v>1365</v>
      </c>
      <c r="C272" s="210" t="e" vm="11">
        <v>#VALUE!</v>
      </c>
      <c r="D272" s="210" t="s">
        <v>22</v>
      </c>
      <c r="E272" s="210" t="s">
        <v>71</v>
      </c>
      <c r="F272" s="210" t="s">
        <v>14</v>
      </c>
      <c r="G272" s="210">
        <v>7.08</v>
      </c>
      <c r="H272" s="210" t="s">
        <v>243</v>
      </c>
      <c r="I272" s="210">
        <v>12</v>
      </c>
      <c r="J272" s="212" t="s">
        <v>286</v>
      </c>
      <c r="K272" s="213"/>
      <c r="L272" s="212" t="s">
        <v>2241</v>
      </c>
      <c r="M272" s="212" t="s">
        <v>2236</v>
      </c>
      <c r="N272" s="213"/>
      <c r="O272" s="215" t="s">
        <v>109</v>
      </c>
      <c r="P272" s="215" t="s">
        <v>109</v>
      </c>
      <c r="Q272" s="213"/>
      <c r="R272" s="214">
        <v>45770</v>
      </c>
      <c r="S272" s="214">
        <v>45775</v>
      </c>
      <c r="T272" s="212" t="s">
        <v>1819</v>
      </c>
      <c r="U272" s="214"/>
      <c r="V272" s="215" t="s">
        <v>1853</v>
      </c>
      <c r="W272" s="212" t="s">
        <v>1853</v>
      </c>
      <c r="X272" s="210" t="s">
        <v>109</v>
      </c>
      <c r="Y272" s="210" t="s">
        <v>1853</v>
      </c>
      <c r="Z272" s="210" t="s">
        <v>1854</v>
      </c>
      <c r="AA272" s="215">
        <v>45806</v>
      </c>
      <c r="AB272" s="215">
        <v>45777</v>
      </c>
      <c r="AC272" s="212" t="s">
        <v>1853</v>
      </c>
      <c r="AD272" s="212" t="s">
        <v>1853</v>
      </c>
      <c r="AE272" s="215">
        <v>45785</v>
      </c>
      <c r="AF272" s="215" t="s">
        <v>1853</v>
      </c>
      <c r="AG272" s="210"/>
      <c r="AH272" s="210"/>
      <c r="AI272" s="216"/>
      <c r="AJ272" s="210" t="s">
        <v>109</v>
      </c>
      <c r="AK272" s="210" t="s">
        <v>109</v>
      </c>
      <c r="AL272" s="210" t="s">
        <v>109</v>
      </c>
      <c r="AM272" s="210" t="s">
        <v>109</v>
      </c>
      <c r="AP272" s="212">
        <v>5</v>
      </c>
      <c r="AQ272" s="218"/>
    </row>
    <row r="273" spans="1:43" s="217" customFormat="1" ht="18.75" customHeight="1" x14ac:dyDescent="0.3">
      <c r="A273" s="210">
        <v>2504658</v>
      </c>
      <c r="B273" s="211" t="s">
        <v>1370</v>
      </c>
      <c r="C273" s="210" t="e" vm="5">
        <v>#VALUE!</v>
      </c>
      <c r="D273" s="210" t="s">
        <v>21</v>
      </c>
      <c r="E273" s="210" t="s">
        <v>71</v>
      </c>
      <c r="F273" s="210" t="s">
        <v>14</v>
      </c>
      <c r="G273" s="210">
        <v>7.08</v>
      </c>
      <c r="H273" s="210" t="s">
        <v>243</v>
      </c>
      <c r="I273" s="210">
        <v>12</v>
      </c>
      <c r="J273" s="212" t="s">
        <v>286</v>
      </c>
      <c r="K273" s="213"/>
      <c r="L273" s="212" t="s">
        <v>2241</v>
      </c>
      <c r="M273" s="212" t="s">
        <v>2238</v>
      </c>
      <c r="N273" s="213"/>
      <c r="O273" s="215" t="s">
        <v>109</v>
      </c>
      <c r="P273" s="215" t="s">
        <v>109</v>
      </c>
      <c r="Q273" s="213"/>
      <c r="R273" s="214">
        <v>45771</v>
      </c>
      <c r="S273" s="214">
        <v>45775</v>
      </c>
      <c r="T273" s="212" t="s">
        <v>1819</v>
      </c>
      <c r="U273" s="214"/>
      <c r="V273" s="215" t="s">
        <v>1853</v>
      </c>
      <c r="W273" s="212" t="s">
        <v>1853</v>
      </c>
      <c r="X273" s="210" t="s">
        <v>109</v>
      </c>
      <c r="Y273" s="210" t="s">
        <v>1853</v>
      </c>
      <c r="Z273" s="210" t="s">
        <v>1855</v>
      </c>
      <c r="AA273" s="215">
        <v>45812</v>
      </c>
      <c r="AB273" s="215">
        <v>45777</v>
      </c>
      <c r="AC273" s="212" t="s">
        <v>1853</v>
      </c>
      <c r="AD273" s="212" t="s">
        <v>1853</v>
      </c>
      <c r="AE273" s="215">
        <v>45790</v>
      </c>
      <c r="AF273" s="215" t="s">
        <v>1853</v>
      </c>
      <c r="AG273" s="210"/>
      <c r="AH273" s="210"/>
      <c r="AI273" s="216"/>
      <c r="AJ273" s="210" t="s">
        <v>109</v>
      </c>
      <c r="AK273" s="210" t="s">
        <v>109</v>
      </c>
      <c r="AL273" s="210" t="s">
        <v>109</v>
      </c>
      <c r="AM273" s="210" t="s">
        <v>109</v>
      </c>
      <c r="AP273" s="212">
        <v>4</v>
      </c>
      <c r="AQ273" s="218"/>
    </row>
    <row r="274" spans="1:43" s="181" customFormat="1" ht="18.75" customHeight="1" x14ac:dyDescent="0.3">
      <c r="A274" s="174">
        <v>2503614</v>
      </c>
      <c r="B274" s="175" t="s">
        <v>1375</v>
      </c>
      <c r="C274" s="174">
        <v>0</v>
      </c>
      <c r="D274" s="165" t="s">
        <v>20</v>
      </c>
      <c r="E274" s="174">
        <v>0</v>
      </c>
      <c r="F274" s="174">
        <v>0</v>
      </c>
      <c r="G274" s="174">
        <v>0</v>
      </c>
      <c r="H274" s="174" t="s">
        <v>243</v>
      </c>
      <c r="I274" s="174">
        <v>15</v>
      </c>
      <c r="J274" s="176" t="s">
        <v>1376</v>
      </c>
      <c r="K274" s="177"/>
      <c r="L274" s="176" t="s">
        <v>2246</v>
      </c>
      <c r="M274" s="176" t="s">
        <v>2240</v>
      </c>
      <c r="N274" s="177"/>
      <c r="O274" s="179" t="s">
        <v>109</v>
      </c>
      <c r="P274" s="179" t="s">
        <v>109</v>
      </c>
      <c r="Q274" s="177"/>
      <c r="R274" s="178">
        <v>45773</v>
      </c>
      <c r="S274" s="178">
        <v>45776</v>
      </c>
      <c r="T274" s="176" t="s">
        <v>1819</v>
      </c>
      <c r="U274" s="178">
        <v>46137</v>
      </c>
      <c r="V274" s="179" t="s">
        <v>1853</v>
      </c>
      <c r="W274" s="176" t="s">
        <v>1853</v>
      </c>
      <c r="X274" s="174" t="s">
        <v>109</v>
      </c>
      <c r="Y274" s="174" t="s">
        <v>1853</v>
      </c>
      <c r="Z274" s="174"/>
      <c r="AA274" s="179"/>
      <c r="AB274" s="179">
        <v>45777</v>
      </c>
      <c r="AC274" s="176"/>
      <c r="AD274" s="176"/>
      <c r="AE274" s="179"/>
      <c r="AF274" s="179"/>
      <c r="AG274" s="174"/>
      <c r="AH274" s="174"/>
      <c r="AI274" s="180"/>
      <c r="AJ274" s="174" t="s">
        <v>109</v>
      </c>
      <c r="AK274" s="174" t="s">
        <v>109</v>
      </c>
      <c r="AL274" s="174" t="s">
        <v>109</v>
      </c>
      <c r="AM274" s="174" t="s">
        <v>109</v>
      </c>
      <c r="AP274" s="176">
        <v>3</v>
      </c>
      <c r="AQ274" s="182"/>
    </row>
    <row r="275" spans="1:43" s="217" customFormat="1" ht="18.75" customHeight="1" x14ac:dyDescent="0.3">
      <c r="A275" s="210">
        <v>2504643</v>
      </c>
      <c r="B275" s="211" t="s">
        <v>1381</v>
      </c>
      <c r="C275" s="210" t="e" vm="11">
        <v>#VALUE!</v>
      </c>
      <c r="D275" s="210" t="s">
        <v>22</v>
      </c>
      <c r="E275" s="210" t="s">
        <v>71</v>
      </c>
      <c r="F275" s="210" t="s">
        <v>14</v>
      </c>
      <c r="G275" s="210">
        <v>17.7</v>
      </c>
      <c r="H275" s="210" t="s">
        <v>243</v>
      </c>
      <c r="I275" s="210">
        <v>30</v>
      </c>
      <c r="J275" s="212" t="s">
        <v>143</v>
      </c>
      <c r="K275" s="213"/>
      <c r="L275" s="212" t="s">
        <v>2241</v>
      </c>
      <c r="M275" s="212" t="s">
        <v>2236</v>
      </c>
      <c r="N275" s="213"/>
      <c r="O275" s="215" t="s">
        <v>109</v>
      </c>
      <c r="P275" s="215" t="s">
        <v>109</v>
      </c>
      <c r="Q275" s="213"/>
      <c r="R275" s="214">
        <v>45773</v>
      </c>
      <c r="S275" s="214">
        <v>45784</v>
      </c>
      <c r="T275" s="212" t="s">
        <v>1819</v>
      </c>
      <c r="U275" s="214"/>
      <c r="V275" s="215" t="s">
        <v>1853</v>
      </c>
      <c r="W275" s="212" t="s">
        <v>1853</v>
      </c>
      <c r="X275" s="210" t="s">
        <v>109</v>
      </c>
      <c r="Y275" s="210" t="s">
        <v>1853</v>
      </c>
      <c r="Z275" s="210" t="s">
        <v>1854</v>
      </c>
      <c r="AA275" s="215">
        <v>45798</v>
      </c>
      <c r="AB275" s="215">
        <v>45804</v>
      </c>
      <c r="AC275" s="212" t="s">
        <v>1853</v>
      </c>
      <c r="AD275" s="212" t="s">
        <v>1853</v>
      </c>
      <c r="AE275" s="215">
        <v>45832</v>
      </c>
      <c r="AF275" s="215" t="s">
        <v>1853</v>
      </c>
      <c r="AG275" s="210"/>
      <c r="AH275" s="210"/>
      <c r="AI275" s="216"/>
      <c r="AJ275" s="210" t="s">
        <v>109</v>
      </c>
      <c r="AK275" s="210" t="s">
        <v>109</v>
      </c>
      <c r="AL275" s="210" t="s">
        <v>109</v>
      </c>
      <c r="AM275" s="210" t="s">
        <v>109</v>
      </c>
      <c r="AP275" s="212">
        <v>11</v>
      </c>
      <c r="AQ275" s="218"/>
    </row>
    <row r="276" spans="1:43" s="217" customFormat="1" ht="18.75" customHeight="1" x14ac:dyDescent="0.3">
      <c r="A276" s="210">
        <v>2504663</v>
      </c>
      <c r="B276" s="211" t="s">
        <v>1386</v>
      </c>
      <c r="C276" s="210" t="e" vm="11">
        <v>#VALUE!</v>
      </c>
      <c r="D276" s="210" t="s">
        <v>22</v>
      </c>
      <c r="E276" s="210" t="s">
        <v>71</v>
      </c>
      <c r="F276" s="210" t="s">
        <v>14</v>
      </c>
      <c r="G276" s="210">
        <v>7.08</v>
      </c>
      <c r="H276" s="210" t="s">
        <v>243</v>
      </c>
      <c r="I276" s="210">
        <v>12</v>
      </c>
      <c r="J276" s="212" t="s">
        <v>1202</v>
      </c>
      <c r="K276" s="213"/>
      <c r="L276" s="212" t="s">
        <v>2241</v>
      </c>
      <c r="M276" s="212" t="s">
        <v>2236</v>
      </c>
      <c r="N276" s="213"/>
      <c r="O276" s="215" t="s">
        <v>109</v>
      </c>
      <c r="P276" s="215" t="s">
        <v>109</v>
      </c>
      <c r="Q276" s="213"/>
      <c r="R276" s="214">
        <v>45773</v>
      </c>
      <c r="S276" s="214">
        <v>45775</v>
      </c>
      <c r="T276" s="212" t="s">
        <v>1819</v>
      </c>
      <c r="U276" s="214"/>
      <c r="V276" s="215" t="s">
        <v>1853</v>
      </c>
      <c r="W276" s="212" t="s">
        <v>1853</v>
      </c>
      <c r="X276" s="210" t="s">
        <v>109</v>
      </c>
      <c r="Y276" s="210" t="s">
        <v>1853</v>
      </c>
      <c r="Z276" s="210" t="s">
        <v>1854</v>
      </c>
      <c r="AA276" s="215">
        <v>45805</v>
      </c>
      <c r="AB276" s="215">
        <v>45777</v>
      </c>
      <c r="AC276" s="212" t="s">
        <v>1853</v>
      </c>
      <c r="AD276" s="212" t="s">
        <v>1853</v>
      </c>
      <c r="AE276" s="215">
        <v>45806</v>
      </c>
      <c r="AF276" s="215" t="s">
        <v>1853</v>
      </c>
      <c r="AG276" s="210"/>
      <c r="AH276" s="210"/>
      <c r="AI276" s="216"/>
      <c r="AJ276" s="210" t="s">
        <v>109</v>
      </c>
      <c r="AK276" s="210" t="s">
        <v>109</v>
      </c>
      <c r="AL276" s="210" t="s">
        <v>109</v>
      </c>
      <c r="AM276" s="210" t="s">
        <v>109</v>
      </c>
      <c r="AP276" s="212">
        <v>2</v>
      </c>
      <c r="AQ276" s="218"/>
    </row>
    <row r="277" spans="1:43" s="172" customFormat="1" ht="18.75" customHeight="1" x14ac:dyDescent="0.3">
      <c r="A277" s="165">
        <v>2504671</v>
      </c>
      <c r="B277" s="166" t="s">
        <v>1391</v>
      </c>
      <c r="C277" s="165" t="e" vm="11">
        <v>#VALUE!</v>
      </c>
      <c r="D277" s="165" t="s">
        <v>22</v>
      </c>
      <c r="E277" s="165" t="s">
        <v>71</v>
      </c>
      <c r="F277" s="165" t="s">
        <v>14</v>
      </c>
      <c r="G277" s="165">
        <v>17.7</v>
      </c>
      <c r="H277" s="165" t="s">
        <v>243</v>
      </c>
      <c r="I277" s="165">
        <v>30</v>
      </c>
      <c r="J277" s="167" t="s">
        <v>143</v>
      </c>
      <c r="K277" s="168"/>
      <c r="L277" s="167" t="s">
        <v>2246</v>
      </c>
      <c r="M277" s="167" t="s">
        <v>2240</v>
      </c>
      <c r="N277" s="168"/>
      <c r="O277" s="170" t="s">
        <v>109</v>
      </c>
      <c r="P277" s="170" t="s">
        <v>109</v>
      </c>
      <c r="Q277" s="168"/>
      <c r="R277" s="169">
        <v>45783</v>
      </c>
      <c r="S277" s="169">
        <v>45845</v>
      </c>
      <c r="T277" s="167" t="s">
        <v>1819</v>
      </c>
      <c r="U277" s="169">
        <v>46147</v>
      </c>
      <c r="V277" s="170" t="s">
        <v>1853</v>
      </c>
      <c r="W277" s="167" t="s">
        <v>1853</v>
      </c>
      <c r="X277" s="165" t="s">
        <v>109</v>
      </c>
      <c r="Y277" s="165" t="s">
        <v>1853</v>
      </c>
      <c r="Z277" s="165"/>
      <c r="AA277" s="170"/>
      <c r="AB277" s="170">
        <v>45795</v>
      </c>
      <c r="AC277" s="167" t="s">
        <v>1853</v>
      </c>
      <c r="AD277" s="170">
        <v>45810</v>
      </c>
      <c r="AE277" s="170" t="s">
        <v>1853</v>
      </c>
      <c r="AF277" s="170">
        <v>45810</v>
      </c>
      <c r="AG277" s="165"/>
      <c r="AH277" s="165"/>
      <c r="AI277" s="171"/>
      <c r="AJ277" s="165" t="s">
        <v>109</v>
      </c>
      <c r="AK277" s="165" t="s">
        <v>109</v>
      </c>
      <c r="AL277" s="165" t="s">
        <v>109</v>
      </c>
      <c r="AM277" s="165" t="s">
        <v>109</v>
      </c>
      <c r="AP277" s="167">
        <v>62</v>
      </c>
      <c r="AQ277" s="173"/>
    </row>
    <row r="278" spans="1:43" ht="18.75" customHeight="1" x14ac:dyDescent="0.3">
      <c r="A278" s="4">
        <v>2506644</v>
      </c>
      <c r="B278" s="110" t="s">
        <v>1396</v>
      </c>
      <c r="C278" s="4" t="e" vm="5">
        <v>#VALUE!</v>
      </c>
      <c r="D278" s="4" t="s">
        <v>17</v>
      </c>
      <c r="E278" s="4" t="s">
        <v>71</v>
      </c>
      <c r="F278" s="4" t="s">
        <v>14</v>
      </c>
      <c r="G278" s="4">
        <v>7.08</v>
      </c>
      <c r="H278" s="4" t="s">
        <v>243</v>
      </c>
      <c r="I278" s="4">
        <v>12</v>
      </c>
      <c r="J278" s="1" t="s">
        <v>286</v>
      </c>
      <c r="K278" s="127"/>
      <c r="L278" s="1" t="s">
        <v>1853</v>
      </c>
      <c r="M278" s="1" t="s">
        <v>2236</v>
      </c>
      <c r="N278" s="127"/>
      <c r="O278" s="39" t="s">
        <v>109</v>
      </c>
      <c r="P278" s="39" t="s">
        <v>109</v>
      </c>
      <c r="Q278" s="127"/>
      <c r="R278" s="56">
        <v>45783</v>
      </c>
      <c r="S278" s="56">
        <v>45811</v>
      </c>
      <c r="T278" s="1" t="s">
        <v>1819</v>
      </c>
      <c r="U278" s="56"/>
      <c r="V278" s="39" t="s">
        <v>1853</v>
      </c>
      <c r="W278" s="1" t="s">
        <v>1853</v>
      </c>
      <c r="X278" s="4" t="s">
        <v>109</v>
      </c>
      <c r="Y278" s="4" t="s">
        <v>1853</v>
      </c>
      <c r="Z278" s="4" t="s">
        <v>1855</v>
      </c>
      <c r="AA278" s="39">
        <v>45811</v>
      </c>
      <c r="AB278" s="39">
        <v>45825</v>
      </c>
      <c r="AC278" s="1" t="s">
        <v>1853</v>
      </c>
      <c r="AD278" s="39">
        <v>45827</v>
      </c>
      <c r="AE278" s="39" t="s">
        <v>1853</v>
      </c>
      <c r="AF278" s="39">
        <v>45827</v>
      </c>
      <c r="AG278" s="39">
        <v>45827</v>
      </c>
      <c r="AH278" s="39">
        <v>49490</v>
      </c>
      <c r="AJ278" s="4" t="s">
        <v>109</v>
      </c>
      <c r="AK278" s="4" t="s">
        <v>109</v>
      </c>
      <c r="AL278" s="4" t="s">
        <v>109</v>
      </c>
      <c r="AM278" s="4" t="s">
        <v>109</v>
      </c>
      <c r="AP278" s="1">
        <v>28</v>
      </c>
    </row>
    <row r="279" spans="1:43" s="172" customFormat="1" ht="18.75" customHeight="1" x14ac:dyDescent="0.3">
      <c r="A279" s="165">
        <v>2505675</v>
      </c>
      <c r="B279" s="166" t="s">
        <v>1401</v>
      </c>
      <c r="C279" s="165" t="e" vm="11">
        <v>#VALUE!</v>
      </c>
      <c r="D279" s="165" t="s">
        <v>22</v>
      </c>
      <c r="E279" s="165" t="s">
        <v>71</v>
      </c>
      <c r="F279" s="165" t="s">
        <v>14</v>
      </c>
      <c r="G279" s="165">
        <v>15.34</v>
      </c>
      <c r="H279" s="165" t="s">
        <v>243</v>
      </c>
      <c r="I279" s="165">
        <v>26</v>
      </c>
      <c r="J279" s="167" t="s">
        <v>143</v>
      </c>
      <c r="K279" s="168"/>
      <c r="L279" s="167" t="s">
        <v>2246</v>
      </c>
      <c r="M279" s="167" t="s">
        <v>2240</v>
      </c>
      <c r="N279" s="168"/>
      <c r="O279" s="170" t="s">
        <v>109</v>
      </c>
      <c r="P279" s="170" t="s">
        <v>109</v>
      </c>
      <c r="Q279" s="168"/>
      <c r="R279" s="169">
        <v>45783</v>
      </c>
      <c r="S279" s="169">
        <v>45869</v>
      </c>
      <c r="T279" s="167" t="s">
        <v>1819</v>
      </c>
      <c r="U279" s="169">
        <v>46147</v>
      </c>
      <c r="V279" s="170" t="s">
        <v>1853</v>
      </c>
      <c r="W279" s="167" t="s">
        <v>1853</v>
      </c>
      <c r="X279" s="165" t="s">
        <v>109</v>
      </c>
      <c r="Y279" s="165" t="s">
        <v>1853</v>
      </c>
      <c r="Z279" s="165"/>
      <c r="AA279" s="170"/>
      <c r="AB279" s="170"/>
      <c r="AC279" s="167"/>
      <c r="AD279" s="167"/>
      <c r="AE279" s="170"/>
      <c r="AF279" s="170"/>
      <c r="AG279" s="165"/>
      <c r="AH279" s="165"/>
      <c r="AI279" s="171"/>
      <c r="AJ279" s="165" t="s">
        <v>109</v>
      </c>
      <c r="AK279" s="165" t="s">
        <v>109</v>
      </c>
      <c r="AL279" s="165" t="s">
        <v>109</v>
      </c>
      <c r="AM279" s="165" t="s">
        <v>109</v>
      </c>
      <c r="AP279" s="167">
        <v>86</v>
      </c>
      <c r="AQ279" s="173"/>
    </row>
    <row r="280" spans="1:43" s="217" customFormat="1" ht="18.75" customHeight="1" x14ac:dyDescent="0.3">
      <c r="A280" s="210">
        <v>2502564</v>
      </c>
      <c r="B280" s="211" t="s">
        <v>1407</v>
      </c>
      <c r="C280" s="210" t="e" vm="5">
        <v>#VALUE!</v>
      </c>
      <c r="D280" s="210" t="s">
        <v>20</v>
      </c>
      <c r="E280" s="210" t="s">
        <v>71</v>
      </c>
      <c r="F280" s="210" t="s">
        <v>14</v>
      </c>
      <c r="G280" s="210">
        <v>17.7</v>
      </c>
      <c r="H280" s="210" t="s">
        <v>243</v>
      </c>
      <c r="I280" s="210">
        <v>30</v>
      </c>
      <c r="J280" s="212" t="s">
        <v>131</v>
      </c>
      <c r="K280" s="213"/>
      <c r="L280" s="212" t="s">
        <v>2241</v>
      </c>
      <c r="M280" s="212" t="s">
        <v>2240</v>
      </c>
      <c r="N280" s="213"/>
      <c r="O280" s="215" t="s">
        <v>109</v>
      </c>
      <c r="P280" s="215" t="s">
        <v>109</v>
      </c>
      <c r="Q280" s="213"/>
      <c r="R280" s="214">
        <v>45790</v>
      </c>
      <c r="S280" s="214">
        <v>45797</v>
      </c>
      <c r="T280" s="212" t="s">
        <v>1819</v>
      </c>
      <c r="U280" s="214">
        <v>46154</v>
      </c>
      <c r="V280" s="215" t="s">
        <v>1853</v>
      </c>
      <c r="W280" s="212" t="s">
        <v>1853</v>
      </c>
      <c r="X280" s="210" t="s">
        <v>109</v>
      </c>
      <c r="Y280" s="210" t="s">
        <v>1853</v>
      </c>
      <c r="Z280" s="210" t="s">
        <v>1855</v>
      </c>
      <c r="AA280" s="215">
        <v>45800</v>
      </c>
      <c r="AB280" s="215">
        <v>45807</v>
      </c>
      <c r="AC280" s="212" t="s">
        <v>1853</v>
      </c>
      <c r="AD280" s="219">
        <v>45817</v>
      </c>
      <c r="AE280" s="215">
        <v>45826</v>
      </c>
      <c r="AF280" s="215" t="s">
        <v>1853</v>
      </c>
      <c r="AG280" s="210"/>
      <c r="AH280" s="210"/>
      <c r="AI280" s="216"/>
      <c r="AJ280" s="210" t="s">
        <v>109</v>
      </c>
      <c r="AK280" s="210" t="s">
        <v>109</v>
      </c>
      <c r="AL280" s="210" t="s">
        <v>109</v>
      </c>
      <c r="AM280" s="210" t="s">
        <v>109</v>
      </c>
      <c r="AP280" s="212">
        <v>7</v>
      </c>
      <c r="AQ280" s="218"/>
    </row>
    <row r="281" spans="1:43" s="154" customFormat="1" ht="18.75" customHeight="1" x14ac:dyDescent="0.3">
      <c r="A281" s="147">
        <v>2504664</v>
      </c>
      <c r="B281" s="148" t="s">
        <v>1410</v>
      </c>
      <c r="C281" s="147" t="e" vm="11">
        <v>#VALUE!</v>
      </c>
      <c r="D281" s="147" t="s">
        <v>22</v>
      </c>
      <c r="E281" s="147" t="s">
        <v>71</v>
      </c>
      <c r="F281" s="147" t="s">
        <v>14</v>
      </c>
      <c r="G281" s="147">
        <v>17.7</v>
      </c>
      <c r="H281" s="147" t="s">
        <v>243</v>
      </c>
      <c r="I281" s="147">
        <v>30</v>
      </c>
      <c r="J281" s="149" t="s">
        <v>143</v>
      </c>
      <c r="K281" s="150"/>
      <c r="L281" s="149" t="s">
        <v>2249</v>
      </c>
      <c r="M281" s="149" t="s">
        <v>2240</v>
      </c>
      <c r="N281" s="150"/>
      <c r="O281" s="152" t="s">
        <v>109</v>
      </c>
      <c r="P281" s="152" t="s">
        <v>109</v>
      </c>
      <c r="Q281" s="150"/>
      <c r="R281" s="151">
        <v>45790</v>
      </c>
      <c r="S281" s="151"/>
      <c r="T281" s="149" t="s">
        <v>1815</v>
      </c>
      <c r="U281" s="151"/>
      <c r="V281" s="152" t="s">
        <v>1853</v>
      </c>
      <c r="W281" s="149" t="s">
        <v>1853</v>
      </c>
      <c r="X281" s="147" t="s">
        <v>109</v>
      </c>
      <c r="Y281" s="147" t="s">
        <v>1853</v>
      </c>
      <c r="Z281" s="147"/>
      <c r="AA281" s="152"/>
      <c r="AB281" s="152"/>
      <c r="AC281" s="149"/>
      <c r="AD281" s="149"/>
      <c r="AE281" s="152"/>
      <c r="AF281" s="152"/>
      <c r="AG281" s="147"/>
      <c r="AH281" s="147"/>
      <c r="AI281" s="153"/>
      <c r="AJ281" s="147" t="s">
        <v>109</v>
      </c>
      <c r="AK281" s="147" t="s">
        <v>109</v>
      </c>
      <c r="AL281" s="147" t="s">
        <v>109</v>
      </c>
      <c r="AM281" s="147" t="s">
        <v>109</v>
      </c>
      <c r="AP281" s="149">
        <v>-45790</v>
      </c>
      <c r="AQ281" s="155"/>
    </row>
    <row r="282" spans="1:43" ht="18.75" customHeight="1" x14ac:dyDescent="0.3">
      <c r="A282" s="4">
        <v>2504651</v>
      </c>
      <c r="B282" s="110" t="s">
        <v>1415</v>
      </c>
      <c r="C282" s="4" t="e" vm="4">
        <v>#VALUE!</v>
      </c>
      <c r="D282" s="4" t="s">
        <v>17</v>
      </c>
      <c r="E282" s="4" t="s">
        <v>71</v>
      </c>
      <c r="F282" s="4" t="s">
        <v>14</v>
      </c>
      <c r="G282" s="4">
        <v>14.16</v>
      </c>
      <c r="H282" s="4" t="s">
        <v>243</v>
      </c>
      <c r="I282" s="4">
        <v>24</v>
      </c>
      <c r="J282" s="1" t="s">
        <v>143</v>
      </c>
      <c r="K282" s="127"/>
      <c r="L282" s="1" t="s">
        <v>1853</v>
      </c>
      <c r="M282" s="1" t="s">
        <v>2236</v>
      </c>
      <c r="N282" s="127"/>
      <c r="O282" s="39" t="s">
        <v>109</v>
      </c>
      <c r="P282" s="39" t="s">
        <v>109</v>
      </c>
      <c r="Q282" s="127"/>
      <c r="R282" s="56">
        <v>45791</v>
      </c>
      <c r="S282" s="56">
        <v>45797</v>
      </c>
      <c r="T282" s="1" t="s">
        <v>1819</v>
      </c>
      <c r="U282" s="56"/>
      <c r="V282" s="39" t="s">
        <v>1853</v>
      </c>
      <c r="W282" s="1" t="s">
        <v>1853</v>
      </c>
      <c r="X282" s="4" t="s">
        <v>109</v>
      </c>
      <c r="Y282" s="4" t="s">
        <v>1853</v>
      </c>
      <c r="Z282" s="4" t="s">
        <v>1853</v>
      </c>
      <c r="AA282" s="39">
        <v>45821</v>
      </c>
      <c r="AB282" s="39" t="s">
        <v>1853</v>
      </c>
      <c r="AC282" s="1" t="s">
        <v>1853</v>
      </c>
      <c r="AD282" s="1" t="s">
        <v>1853</v>
      </c>
      <c r="AE282" s="39">
        <v>45842</v>
      </c>
      <c r="AF282" s="39">
        <v>45848</v>
      </c>
      <c r="AG282" s="39">
        <v>45848</v>
      </c>
      <c r="AH282" s="39">
        <v>49521</v>
      </c>
      <c r="AJ282" s="4" t="s">
        <v>109</v>
      </c>
      <c r="AK282" s="4" t="s">
        <v>109</v>
      </c>
      <c r="AL282" s="4" t="s">
        <v>109</v>
      </c>
      <c r="AM282" s="4" t="s">
        <v>109</v>
      </c>
      <c r="AP282" s="1">
        <v>6</v>
      </c>
    </row>
    <row r="283" spans="1:43" ht="18.75" customHeight="1" x14ac:dyDescent="0.3">
      <c r="A283" s="4">
        <v>2504049</v>
      </c>
      <c r="B283" s="110" t="s">
        <v>1420</v>
      </c>
      <c r="C283" s="4" t="e" vm="7">
        <v>#VALUE!</v>
      </c>
      <c r="D283" s="4" t="s">
        <v>20</v>
      </c>
      <c r="E283" s="4" t="s">
        <v>206</v>
      </c>
      <c r="F283" s="4">
        <v>0</v>
      </c>
      <c r="G283" s="4">
        <v>0</v>
      </c>
      <c r="H283" s="4" t="s">
        <v>18</v>
      </c>
      <c r="I283" s="4" t="s">
        <v>18</v>
      </c>
      <c r="J283" s="1" t="s">
        <v>18</v>
      </c>
      <c r="K283" s="127"/>
      <c r="L283" s="1" t="s">
        <v>1853</v>
      </c>
      <c r="M283" s="1" t="s">
        <v>2240</v>
      </c>
      <c r="N283" s="127"/>
      <c r="O283" s="39" t="s">
        <v>109</v>
      </c>
      <c r="P283" s="39" t="s">
        <v>109</v>
      </c>
      <c r="Q283" s="127"/>
      <c r="R283" s="56" t="s">
        <v>109</v>
      </c>
      <c r="S283" s="56" t="s">
        <v>109</v>
      </c>
      <c r="T283" s="56" t="s">
        <v>109</v>
      </c>
      <c r="U283" s="56" t="s">
        <v>109</v>
      </c>
      <c r="V283" s="39" t="s">
        <v>1853</v>
      </c>
      <c r="W283" s="1" t="s">
        <v>1853</v>
      </c>
      <c r="X283" s="4" t="s">
        <v>109</v>
      </c>
      <c r="Y283" s="4" t="s">
        <v>1853</v>
      </c>
      <c r="Z283" s="4" t="s">
        <v>1855</v>
      </c>
      <c r="AA283" s="39" t="s">
        <v>1853</v>
      </c>
      <c r="AB283" s="39" t="s">
        <v>109</v>
      </c>
      <c r="AC283" s="39" t="s">
        <v>109</v>
      </c>
      <c r="AD283" s="39" t="s">
        <v>109</v>
      </c>
      <c r="AE283" s="39" t="s">
        <v>109</v>
      </c>
      <c r="AF283" s="39" t="s">
        <v>109</v>
      </c>
      <c r="AG283" s="39" t="s">
        <v>109</v>
      </c>
      <c r="AH283" s="39" t="s">
        <v>109</v>
      </c>
      <c r="AJ283" s="4" t="s">
        <v>109</v>
      </c>
      <c r="AK283" s="4" t="s">
        <v>109</v>
      </c>
      <c r="AL283" s="4" t="s">
        <v>109</v>
      </c>
      <c r="AM283" s="4" t="s">
        <v>109</v>
      </c>
      <c r="AP283" s="1" t="e">
        <v>#VALUE!</v>
      </c>
    </row>
    <row r="284" spans="1:43" s="217" customFormat="1" ht="18.75" customHeight="1" x14ac:dyDescent="0.3">
      <c r="A284" s="210">
        <v>2505686</v>
      </c>
      <c r="B284" s="211" t="s">
        <v>1421</v>
      </c>
      <c r="C284" s="210" t="e" vm="11">
        <v>#VALUE!</v>
      </c>
      <c r="D284" s="210" t="s">
        <v>22</v>
      </c>
      <c r="E284" s="210" t="s">
        <v>71</v>
      </c>
      <c r="F284" s="210" t="s">
        <v>14</v>
      </c>
      <c r="G284" s="210">
        <v>7.08</v>
      </c>
      <c r="H284" s="210" t="s">
        <v>243</v>
      </c>
      <c r="I284" s="210">
        <v>12</v>
      </c>
      <c r="J284" s="212" t="s">
        <v>286</v>
      </c>
      <c r="K284" s="213"/>
      <c r="L284" s="212" t="s">
        <v>2241</v>
      </c>
      <c r="M284" s="212" t="s">
        <v>2236</v>
      </c>
      <c r="N284" s="213"/>
      <c r="O284" s="215" t="s">
        <v>109</v>
      </c>
      <c r="P284" s="215" t="s">
        <v>109</v>
      </c>
      <c r="Q284" s="213"/>
      <c r="R284" s="214">
        <v>45791</v>
      </c>
      <c r="S284" s="214">
        <v>45811</v>
      </c>
      <c r="T284" s="212" t="s">
        <v>1819</v>
      </c>
      <c r="U284" s="214"/>
      <c r="V284" s="215" t="s">
        <v>1853</v>
      </c>
      <c r="W284" s="212" t="s">
        <v>1853</v>
      </c>
      <c r="X284" s="210" t="s">
        <v>109</v>
      </c>
      <c r="Y284" s="210" t="s">
        <v>1853</v>
      </c>
      <c r="Z284" s="210" t="s">
        <v>1854</v>
      </c>
      <c r="AA284" s="215">
        <v>45814</v>
      </c>
      <c r="AB284" s="215">
        <v>45818</v>
      </c>
      <c r="AC284" s="212" t="s">
        <v>1853</v>
      </c>
      <c r="AD284" s="215">
        <v>45827</v>
      </c>
      <c r="AE284" s="215" t="s">
        <v>1853</v>
      </c>
      <c r="AF284" s="215">
        <v>45827</v>
      </c>
      <c r="AG284" s="210"/>
      <c r="AH284" s="210"/>
      <c r="AI284" s="216"/>
      <c r="AJ284" s="210" t="s">
        <v>109</v>
      </c>
      <c r="AK284" s="210" t="s">
        <v>109</v>
      </c>
      <c r="AL284" s="210" t="s">
        <v>109</v>
      </c>
      <c r="AM284" s="210" t="s">
        <v>109</v>
      </c>
      <c r="AP284" s="212">
        <v>20</v>
      </c>
      <c r="AQ284" s="218"/>
    </row>
    <row r="285" spans="1:43" s="217" customFormat="1" ht="18.75" customHeight="1" x14ac:dyDescent="0.3">
      <c r="A285" s="210">
        <v>2503603</v>
      </c>
      <c r="B285" s="211" t="s">
        <v>1426</v>
      </c>
      <c r="C285" s="210" t="e" vm="12">
        <v>#VALUE!</v>
      </c>
      <c r="D285" s="210" t="s">
        <v>17</v>
      </c>
      <c r="E285" s="210" t="s">
        <v>71</v>
      </c>
      <c r="F285" s="210" t="s">
        <v>14</v>
      </c>
      <c r="G285" s="210">
        <v>17.7</v>
      </c>
      <c r="H285" s="210" t="s">
        <v>243</v>
      </c>
      <c r="I285" s="210">
        <v>30</v>
      </c>
      <c r="J285" s="212" t="s">
        <v>143</v>
      </c>
      <c r="K285" s="213"/>
      <c r="L285" s="212" t="s">
        <v>2241</v>
      </c>
      <c r="M285" s="212" t="s">
        <v>2236</v>
      </c>
      <c r="N285" s="213"/>
      <c r="O285" s="215" t="s">
        <v>109</v>
      </c>
      <c r="P285" s="215" t="s">
        <v>109</v>
      </c>
      <c r="Q285" s="213"/>
      <c r="R285" s="214">
        <v>45793</v>
      </c>
      <c r="S285" s="214">
        <v>45797</v>
      </c>
      <c r="T285" s="212" t="s">
        <v>1819</v>
      </c>
      <c r="U285" s="214"/>
      <c r="V285" s="215" t="s">
        <v>1853</v>
      </c>
      <c r="W285" s="212" t="s">
        <v>1853</v>
      </c>
      <c r="X285" s="210" t="s">
        <v>109</v>
      </c>
      <c r="Y285" s="210" t="s">
        <v>1853</v>
      </c>
      <c r="Z285" s="210" t="s">
        <v>1855</v>
      </c>
      <c r="AA285" s="215">
        <v>45813</v>
      </c>
      <c r="AB285" s="215">
        <v>45819</v>
      </c>
      <c r="AC285" s="212" t="s">
        <v>1853</v>
      </c>
      <c r="AD285" s="215">
        <v>45842</v>
      </c>
      <c r="AE285" s="215">
        <v>45840</v>
      </c>
      <c r="AF285" s="215">
        <v>45842</v>
      </c>
      <c r="AG285" s="210"/>
      <c r="AH285" s="210"/>
      <c r="AI285" s="216"/>
      <c r="AJ285" s="210" t="s">
        <v>109</v>
      </c>
      <c r="AK285" s="210" t="s">
        <v>109</v>
      </c>
      <c r="AL285" s="210" t="s">
        <v>109</v>
      </c>
      <c r="AM285" s="210" t="s">
        <v>109</v>
      </c>
      <c r="AP285" s="212">
        <v>4</v>
      </c>
      <c r="AQ285" s="218"/>
    </row>
    <row r="286" spans="1:43" s="217" customFormat="1" ht="18.75" customHeight="1" x14ac:dyDescent="0.3">
      <c r="A286" s="210">
        <v>2302004</v>
      </c>
      <c r="B286" s="211" t="s">
        <v>1431</v>
      </c>
      <c r="C286" s="210" t="e" vm="11">
        <v>#VALUE!</v>
      </c>
      <c r="D286" s="210" t="s">
        <v>19</v>
      </c>
      <c r="E286" s="210" t="s">
        <v>71</v>
      </c>
      <c r="F286" s="210" t="s">
        <v>14</v>
      </c>
      <c r="G286" s="210">
        <v>8.85</v>
      </c>
      <c r="H286" s="210" t="s">
        <v>243</v>
      </c>
      <c r="I286" s="210">
        <v>15</v>
      </c>
      <c r="J286" s="212" t="s">
        <v>364</v>
      </c>
      <c r="K286" s="213"/>
      <c r="L286" s="212" t="s">
        <v>2241</v>
      </c>
      <c r="M286" s="212" t="s">
        <v>2236</v>
      </c>
      <c r="N286" s="213"/>
      <c r="O286" s="215" t="s">
        <v>109</v>
      </c>
      <c r="P286" s="215" t="s">
        <v>109</v>
      </c>
      <c r="Q286" s="213"/>
      <c r="R286" s="214">
        <v>45792</v>
      </c>
      <c r="S286" s="214">
        <v>45797</v>
      </c>
      <c r="T286" s="212" t="s">
        <v>1819</v>
      </c>
      <c r="U286" s="214"/>
      <c r="V286" s="215" t="s">
        <v>1853</v>
      </c>
      <c r="W286" s="212" t="s">
        <v>1853</v>
      </c>
      <c r="X286" s="210" t="s">
        <v>109</v>
      </c>
      <c r="Y286" s="210" t="s">
        <v>1853</v>
      </c>
      <c r="Z286" s="210" t="s">
        <v>1854</v>
      </c>
      <c r="AA286" s="215">
        <v>45818</v>
      </c>
      <c r="AB286" s="215">
        <v>45840</v>
      </c>
      <c r="AC286" s="212" t="s">
        <v>1853</v>
      </c>
      <c r="AD286" s="215">
        <v>45844</v>
      </c>
      <c r="AE286" s="215">
        <v>45841</v>
      </c>
      <c r="AF286" s="215">
        <v>45844</v>
      </c>
      <c r="AG286" s="210"/>
      <c r="AH286" s="210"/>
      <c r="AI286" s="216"/>
      <c r="AJ286" s="210" t="s">
        <v>109</v>
      </c>
      <c r="AK286" s="210" t="s">
        <v>109</v>
      </c>
      <c r="AL286" s="210" t="s">
        <v>109</v>
      </c>
      <c r="AM286" s="210" t="s">
        <v>109</v>
      </c>
      <c r="AP286" s="212">
        <v>5</v>
      </c>
      <c r="AQ286" s="218"/>
    </row>
    <row r="287" spans="1:43" s="217" customFormat="1" ht="18.75" customHeight="1" x14ac:dyDescent="0.3">
      <c r="A287" s="210">
        <v>2503225</v>
      </c>
      <c r="B287" s="211" t="s">
        <v>340</v>
      </c>
      <c r="C287" s="210" t="e" vm="5">
        <v>#VALUE!</v>
      </c>
      <c r="D287" s="210" t="s">
        <v>17</v>
      </c>
      <c r="E287" s="210" t="s">
        <v>124</v>
      </c>
      <c r="F287" s="210" t="s">
        <v>14</v>
      </c>
      <c r="G287" s="210">
        <v>97.6</v>
      </c>
      <c r="H287" s="210" t="s">
        <v>561</v>
      </c>
      <c r="I287" s="210">
        <v>160</v>
      </c>
      <c r="J287" s="212" t="s">
        <v>1433</v>
      </c>
      <c r="K287" s="213"/>
      <c r="L287" s="212" t="s">
        <v>2241</v>
      </c>
      <c r="M287" s="212" t="s">
        <v>2236</v>
      </c>
      <c r="N287" s="213"/>
      <c r="O287" s="215" t="s">
        <v>109</v>
      </c>
      <c r="P287" s="215" t="s">
        <v>109</v>
      </c>
      <c r="Q287" s="213"/>
      <c r="R287" s="214">
        <v>45798</v>
      </c>
      <c r="S287" s="214">
        <v>45818</v>
      </c>
      <c r="T287" s="212" t="s">
        <v>1819</v>
      </c>
      <c r="U287" s="214"/>
      <c r="V287" s="215" t="s">
        <v>1853</v>
      </c>
      <c r="W287" s="215" t="s">
        <v>1853</v>
      </c>
      <c r="X287" s="215" t="s">
        <v>1853</v>
      </c>
      <c r="Y287" s="215" t="s">
        <v>1853</v>
      </c>
      <c r="Z287" s="210" t="s">
        <v>1856</v>
      </c>
      <c r="AA287" s="215">
        <v>45870</v>
      </c>
      <c r="AB287" s="215">
        <v>45876</v>
      </c>
      <c r="AC287" s="212" t="s">
        <v>1853</v>
      </c>
      <c r="AD287" s="215">
        <v>45902</v>
      </c>
      <c r="AE287" s="215">
        <v>45891</v>
      </c>
      <c r="AF287" s="215">
        <v>45902</v>
      </c>
      <c r="AG287" s="210"/>
      <c r="AH287" s="210"/>
      <c r="AI287" s="216"/>
      <c r="AJ287" s="210" t="s">
        <v>109</v>
      </c>
      <c r="AK287" s="210" t="s">
        <v>109</v>
      </c>
      <c r="AL287" s="210"/>
      <c r="AM287" s="210"/>
      <c r="AP287" s="212">
        <v>20</v>
      </c>
      <c r="AQ287" s="218"/>
    </row>
    <row r="288" spans="1:43" s="217" customFormat="1" ht="28.8" x14ac:dyDescent="0.3">
      <c r="A288" s="210">
        <v>2403185</v>
      </c>
      <c r="B288" s="211" t="s">
        <v>1434</v>
      </c>
      <c r="C288" s="210" t="e" vm="5">
        <v>#VALUE!</v>
      </c>
      <c r="D288" s="210" t="s">
        <v>17</v>
      </c>
      <c r="E288" s="210" t="s">
        <v>71</v>
      </c>
      <c r="F288" s="210" t="s">
        <v>14</v>
      </c>
      <c r="G288" s="210">
        <v>7.08</v>
      </c>
      <c r="H288" s="210" t="s">
        <v>243</v>
      </c>
      <c r="I288" s="210">
        <v>12</v>
      </c>
      <c r="J288" s="212" t="s">
        <v>286</v>
      </c>
      <c r="K288" s="213"/>
      <c r="L288" s="212" t="s">
        <v>2241</v>
      </c>
      <c r="M288" s="212" t="s">
        <v>2236</v>
      </c>
      <c r="N288" s="213"/>
      <c r="O288" s="215" t="s">
        <v>109</v>
      </c>
      <c r="P288" s="215" t="s">
        <v>109</v>
      </c>
      <c r="Q288" s="213"/>
      <c r="R288" s="214">
        <v>45793</v>
      </c>
      <c r="S288" s="214">
        <v>45797</v>
      </c>
      <c r="T288" s="212" t="s">
        <v>1819</v>
      </c>
      <c r="U288" s="214"/>
      <c r="V288" s="215" t="s">
        <v>1853</v>
      </c>
      <c r="W288" s="212" t="s">
        <v>1853</v>
      </c>
      <c r="X288" s="210" t="s">
        <v>109</v>
      </c>
      <c r="Y288" s="210" t="s">
        <v>1853</v>
      </c>
      <c r="Z288" s="210" t="s">
        <v>1855</v>
      </c>
      <c r="AA288" s="215">
        <v>45814</v>
      </c>
      <c r="AB288" s="215">
        <v>45829</v>
      </c>
      <c r="AC288" s="212" t="s">
        <v>1853</v>
      </c>
      <c r="AD288" s="215">
        <v>45833</v>
      </c>
      <c r="AE288" s="215">
        <v>45832</v>
      </c>
      <c r="AF288" s="215">
        <v>45833</v>
      </c>
      <c r="AG288" s="210"/>
      <c r="AH288" s="210"/>
      <c r="AI288" s="216"/>
      <c r="AJ288" s="210" t="s">
        <v>109</v>
      </c>
      <c r="AK288" s="210" t="s">
        <v>109</v>
      </c>
      <c r="AL288" s="210" t="s">
        <v>109</v>
      </c>
      <c r="AM288" s="210" t="s">
        <v>109</v>
      </c>
      <c r="AP288" s="212">
        <v>4</v>
      </c>
      <c r="AQ288" s="218"/>
    </row>
    <row r="289" spans="1:43" s="172" customFormat="1" ht="18.75" customHeight="1" x14ac:dyDescent="0.3">
      <c r="A289" s="165">
        <v>2410194</v>
      </c>
      <c r="B289" s="166" t="s">
        <v>1439</v>
      </c>
      <c r="C289" s="165" t="e" vm="3">
        <v>#VALUE!</v>
      </c>
      <c r="D289" s="165" t="s">
        <v>17</v>
      </c>
      <c r="E289" s="165" t="s">
        <v>124</v>
      </c>
      <c r="F289" s="165" t="s">
        <v>14</v>
      </c>
      <c r="G289" s="165">
        <v>207.08</v>
      </c>
      <c r="H289" s="165" t="s">
        <v>1440</v>
      </c>
      <c r="I289" s="165">
        <v>334</v>
      </c>
      <c r="J289" s="167" t="s">
        <v>1433</v>
      </c>
      <c r="K289" s="168"/>
      <c r="L289" s="167" t="s">
        <v>2246</v>
      </c>
      <c r="M289" s="167" t="s">
        <v>2244</v>
      </c>
      <c r="N289" s="168"/>
      <c r="O289" s="170" t="s">
        <v>109</v>
      </c>
      <c r="P289" s="170" t="s">
        <v>109</v>
      </c>
      <c r="Q289" s="168"/>
      <c r="R289" s="169">
        <v>45800</v>
      </c>
      <c r="S289" s="169">
        <v>45818</v>
      </c>
      <c r="T289" s="167" t="s">
        <v>1819</v>
      </c>
      <c r="U289" s="169"/>
      <c r="V289" s="170" t="s">
        <v>1853</v>
      </c>
      <c r="W289" s="170" t="s">
        <v>1853</v>
      </c>
      <c r="X289" s="170" t="s">
        <v>1853</v>
      </c>
      <c r="Y289" s="170" t="s">
        <v>1853</v>
      </c>
      <c r="Z289" s="165"/>
      <c r="AA289" s="170"/>
      <c r="AB289" s="170"/>
      <c r="AC289" s="167"/>
      <c r="AD289" s="170"/>
      <c r="AE289" s="170"/>
      <c r="AF289" s="170"/>
      <c r="AG289" s="165"/>
      <c r="AH289" s="165"/>
      <c r="AI289" s="171"/>
      <c r="AJ289" s="165" t="s">
        <v>109</v>
      </c>
      <c r="AK289" s="165" t="s">
        <v>109</v>
      </c>
      <c r="AL289" s="165"/>
      <c r="AM289" s="165"/>
      <c r="AP289" s="167">
        <v>18</v>
      </c>
      <c r="AQ289" s="173"/>
    </row>
    <row r="290" spans="1:43" s="217" customFormat="1" ht="18.75" customHeight="1" x14ac:dyDescent="0.3">
      <c r="A290" s="210">
        <v>2504669</v>
      </c>
      <c r="B290" s="211" t="s">
        <v>1441</v>
      </c>
      <c r="C290" s="210" t="e" vm="5">
        <v>#VALUE!</v>
      </c>
      <c r="D290" s="210" t="s">
        <v>17</v>
      </c>
      <c r="E290" s="210" t="s">
        <v>71</v>
      </c>
      <c r="F290" s="210" t="s">
        <v>14</v>
      </c>
      <c r="G290" s="210">
        <v>10.62</v>
      </c>
      <c r="H290" s="210" t="s">
        <v>243</v>
      </c>
      <c r="I290" s="210">
        <v>18</v>
      </c>
      <c r="J290" s="212" t="s">
        <v>364</v>
      </c>
      <c r="K290" s="213"/>
      <c r="L290" s="212" t="s">
        <v>2241</v>
      </c>
      <c r="M290" s="212" t="s">
        <v>2236</v>
      </c>
      <c r="N290" s="213"/>
      <c r="O290" s="215" t="s">
        <v>109</v>
      </c>
      <c r="P290" s="215" t="s">
        <v>109</v>
      </c>
      <c r="Q290" s="213"/>
      <c r="R290" s="214">
        <v>45797</v>
      </c>
      <c r="S290" s="214">
        <v>45804</v>
      </c>
      <c r="T290" s="212" t="s">
        <v>1819</v>
      </c>
      <c r="U290" s="214"/>
      <c r="V290" s="215" t="s">
        <v>1853</v>
      </c>
      <c r="W290" s="212" t="s">
        <v>1853</v>
      </c>
      <c r="X290" s="210" t="s">
        <v>109</v>
      </c>
      <c r="Y290" s="210" t="s">
        <v>1853</v>
      </c>
      <c r="Z290" s="210" t="s">
        <v>1855</v>
      </c>
      <c r="AA290" s="215">
        <v>45911</v>
      </c>
      <c r="AB290" s="215">
        <v>45912</v>
      </c>
      <c r="AC290" s="212" t="s">
        <v>1853</v>
      </c>
      <c r="AD290" s="215">
        <v>45921</v>
      </c>
      <c r="AE290" s="215">
        <v>45922</v>
      </c>
      <c r="AF290" s="215">
        <v>45921</v>
      </c>
      <c r="AG290" s="215"/>
      <c r="AH290" s="215"/>
      <c r="AI290" s="216"/>
      <c r="AJ290" s="210" t="s">
        <v>109</v>
      </c>
      <c r="AK290" s="210" t="s">
        <v>109</v>
      </c>
      <c r="AL290" s="210" t="s">
        <v>109</v>
      </c>
      <c r="AM290" s="210" t="s">
        <v>109</v>
      </c>
      <c r="AP290" s="212">
        <v>7</v>
      </c>
      <c r="AQ290" s="218"/>
    </row>
    <row r="291" spans="1:43" s="217" customFormat="1" ht="18.75" customHeight="1" x14ac:dyDescent="0.3">
      <c r="A291" s="210">
        <v>2504660</v>
      </c>
      <c r="B291" s="211" t="s">
        <v>1447</v>
      </c>
      <c r="C291" s="210" t="e" vm="11">
        <v>#VALUE!</v>
      </c>
      <c r="D291" s="210" t="s">
        <v>19</v>
      </c>
      <c r="E291" s="210" t="s">
        <v>71</v>
      </c>
      <c r="F291" s="210" t="s">
        <v>14</v>
      </c>
      <c r="G291" s="210">
        <v>14.75</v>
      </c>
      <c r="H291" s="210" t="s">
        <v>243</v>
      </c>
      <c r="I291" s="210">
        <v>25</v>
      </c>
      <c r="J291" s="212" t="s">
        <v>143</v>
      </c>
      <c r="K291" s="213"/>
      <c r="L291" s="212" t="s">
        <v>2241</v>
      </c>
      <c r="M291" s="212" t="s">
        <v>2236</v>
      </c>
      <c r="N291" s="213"/>
      <c r="O291" s="215" t="s">
        <v>109</v>
      </c>
      <c r="P291" s="215" t="s">
        <v>109</v>
      </c>
      <c r="Q291" s="213"/>
      <c r="R291" s="214">
        <v>45797</v>
      </c>
      <c r="S291" s="214">
        <v>45923</v>
      </c>
      <c r="T291" s="212" t="s">
        <v>1819</v>
      </c>
      <c r="U291" s="214"/>
      <c r="V291" s="215" t="s">
        <v>1853</v>
      </c>
      <c r="W291" s="212" t="s">
        <v>1853</v>
      </c>
      <c r="X291" s="210" t="s">
        <v>109</v>
      </c>
      <c r="Y291" s="210" t="s">
        <v>1853</v>
      </c>
      <c r="Z291" s="210" t="s">
        <v>1854</v>
      </c>
      <c r="AA291" s="215">
        <v>45931</v>
      </c>
      <c r="AB291" s="215">
        <v>45925</v>
      </c>
      <c r="AC291" s="212" t="s">
        <v>1853</v>
      </c>
      <c r="AD291" s="215">
        <v>45933</v>
      </c>
      <c r="AE291" s="215" t="s">
        <v>1853</v>
      </c>
      <c r="AF291" s="215">
        <v>45933</v>
      </c>
      <c r="AG291" s="210"/>
      <c r="AH291" s="210"/>
      <c r="AI291" s="216"/>
      <c r="AJ291" s="210" t="s">
        <v>109</v>
      </c>
      <c r="AK291" s="210" t="s">
        <v>109</v>
      </c>
      <c r="AL291" s="210" t="s">
        <v>109</v>
      </c>
      <c r="AM291" s="210" t="s">
        <v>109</v>
      </c>
      <c r="AP291" s="212">
        <v>126</v>
      </c>
      <c r="AQ291" s="218"/>
    </row>
    <row r="292" spans="1:43" s="217" customFormat="1" ht="18.75" customHeight="1" x14ac:dyDescent="0.3">
      <c r="A292" s="210">
        <v>2410191</v>
      </c>
      <c r="B292" s="211" t="s">
        <v>1452</v>
      </c>
      <c r="C292" s="210" t="e" vm="8">
        <v>#VALUE!</v>
      </c>
      <c r="D292" s="210" t="s">
        <v>17</v>
      </c>
      <c r="E292" s="210" t="s">
        <v>124</v>
      </c>
      <c r="F292" s="210" t="s">
        <v>14</v>
      </c>
      <c r="G292" s="210">
        <v>53.68</v>
      </c>
      <c r="H292" s="210" t="s">
        <v>1453</v>
      </c>
      <c r="I292" s="210">
        <v>88</v>
      </c>
      <c r="J292" s="212" t="s">
        <v>1454</v>
      </c>
      <c r="K292" s="213"/>
      <c r="L292" s="212" t="s">
        <v>2241</v>
      </c>
      <c r="M292" s="212" t="s">
        <v>2236</v>
      </c>
      <c r="N292" s="213"/>
      <c r="O292" s="215" t="s">
        <v>109</v>
      </c>
      <c r="P292" s="215" t="s">
        <v>109</v>
      </c>
      <c r="Q292" s="213"/>
      <c r="R292" s="214">
        <v>45834</v>
      </c>
      <c r="S292" s="214">
        <v>45856</v>
      </c>
      <c r="T292" s="212" t="s">
        <v>1819</v>
      </c>
      <c r="U292" s="214"/>
      <c r="V292" s="215" t="s">
        <v>1853</v>
      </c>
      <c r="W292" s="212" t="s">
        <v>1853</v>
      </c>
      <c r="X292" s="210" t="s">
        <v>1853</v>
      </c>
      <c r="Y292" s="210" t="s">
        <v>1853</v>
      </c>
      <c r="Z292" s="210" t="s">
        <v>1854</v>
      </c>
      <c r="AA292" s="215">
        <v>45876</v>
      </c>
      <c r="AB292" s="215">
        <v>45884</v>
      </c>
      <c r="AC292" s="212" t="s">
        <v>1853</v>
      </c>
      <c r="AD292" s="215">
        <v>45921</v>
      </c>
      <c r="AE292" s="215">
        <v>45897</v>
      </c>
      <c r="AF292" s="215">
        <v>45921</v>
      </c>
      <c r="AG292" s="210"/>
      <c r="AH292" s="210"/>
      <c r="AI292" s="216"/>
      <c r="AJ292" s="210" t="s">
        <v>109</v>
      </c>
      <c r="AK292" s="210" t="s">
        <v>109</v>
      </c>
      <c r="AL292" s="210"/>
      <c r="AM292" s="210"/>
      <c r="AP292" s="212">
        <v>22</v>
      </c>
      <c r="AQ292" s="218"/>
    </row>
    <row r="293" spans="1:43" s="172" customFormat="1" ht="18.75" customHeight="1" x14ac:dyDescent="0.3">
      <c r="A293" s="165">
        <v>2505695</v>
      </c>
      <c r="B293" s="166" t="s">
        <v>1455</v>
      </c>
      <c r="C293" s="165" t="e" vm="11">
        <v>#VALUE!</v>
      </c>
      <c r="D293" s="165" t="s">
        <v>22</v>
      </c>
      <c r="E293" s="165" t="s">
        <v>71</v>
      </c>
      <c r="F293" s="165" t="s">
        <v>14</v>
      </c>
      <c r="G293" s="165">
        <v>9.44</v>
      </c>
      <c r="H293" s="165" t="s">
        <v>243</v>
      </c>
      <c r="I293" s="165">
        <v>16</v>
      </c>
      <c r="J293" s="167" t="s">
        <v>364</v>
      </c>
      <c r="K293" s="168"/>
      <c r="L293" s="167" t="s">
        <v>2246</v>
      </c>
      <c r="M293" s="167" t="s">
        <v>2240</v>
      </c>
      <c r="N293" s="168"/>
      <c r="O293" s="170" t="s">
        <v>109</v>
      </c>
      <c r="P293" s="170" t="s">
        <v>109</v>
      </c>
      <c r="Q293" s="168"/>
      <c r="R293" s="169">
        <v>45797</v>
      </c>
      <c r="S293" s="169">
        <v>45801</v>
      </c>
      <c r="T293" s="167" t="s">
        <v>1819</v>
      </c>
      <c r="U293" s="169">
        <v>46122</v>
      </c>
      <c r="V293" s="170" t="s">
        <v>1853</v>
      </c>
      <c r="W293" s="167" t="s">
        <v>1853</v>
      </c>
      <c r="X293" s="165" t="s">
        <v>109</v>
      </c>
      <c r="Y293" s="165" t="s">
        <v>1853</v>
      </c>
      <c r="Z293" s="165"/>
      <c r="AA293" s="170"/>
      <c r="AB293" s="170"/>
      <c r="AC293" s="167"/>
      <c r="AD293" s="170"/>
      <c r="AE293" s="170"/>
      <c r="AF293" s="170"/>
      <c r="AG293" s="165"/>
      <c r="AH293" s="165"/>
      <c r="AI293" s="171"/>
      <c r="AJ293" s="165" t="s">
        <v>109</v>
      </c>
      <c r="AK293" s="165" t="s">
        <v>109</v>
      </c>
      <c r="AL293" s="165" t="s">
        <v>109</v>
      </c>
      <c r="AM293" s="165" t="s">
        <v>109</v>
      </c>
      <c r="AP293" s="167">
        <v>4</v>
      </c>
      <c r="AQ293" s="173"/>
    </row>
    <row r="294" spans="1:43" s="217" customFormat="1" ht="18.75" customHeight="1" x14ac:dyDescent="0.3">
      <c r="A294" s="210">
        <v>2505672</v>
      </c>
      <c r="B294" s="211" t="s">
        <v>1460</v>
      </c>
      <c r="C294" s="210" t="e" vm="11">
        <v>#VALUE!</v>
      </c>
      <c r="D294" s="210" t="s">
        <v>22</v>
      </c>
      <c r="E294" s="210" t="s">
        <v>71</v>
      </c>
      <c r="F294" s="210" t="s">
        <v>14</v>
      </c>
      <c r="G294" s="210">
        <v>8.85</v>
      </c>
      <c r="H294" s="210" t="s">
        <v>243</v>
      </c>
      <c r="I294" s="210">
        <v>15</v>
      </c>
      <c r="J294" s="212" t="s">
        <v>364</v>
      </c>
      <c r="K294" s="213"/>
      <c r="L294" s="212" t="s">
        <v>2241</v>
      </c>
      <c r="M294" s="212" t="s">
        <v>2236</v>
      </c>
      <c r="N294" s="213"/>
      <c r="O294" s="215" t="s">
        <v>109</v>
      </c>
      <c r="P294" s="215" t="s">
        <v>109</v>
      </c>
      <c r="Q294" s="213"/>
      <c r="R294" s="214">
        <v>45798</v>
      </c>
      <c r="S294" s="214">
        <v>45801</v>
      </c>
      <c r="T294" s="212" t="s">
        <v>1819</v>
      </c>
      <c r="U294" s="214"/>
      <c r="V294" s="215" t="s">
        <v>1853</v>
      </c>
      <c r="W294" s="212" t="s">
        <v>1853</v>
      </c>
      <c r="X294" s="210" t="s">
        <v>109</v>
      </c>
      <c r="Y294" s="210" t="s">
        <v>1853</v>
      </c>
      <c r="Z294" s="210" t="s">
        <v>1854</v>
      </c>
      <c r="AA294" s="215">
        <v>45812</v>
      </c>
      <c r="AB294" s="215">
        <v>45806</v>
      </c>
      <c r="AC294" s="212" t="s">
        <v>1853</v>
      </c>
      <c r="AD294" s="215">
        <v>45827</v>
      </c>
      <c r="AE294" s="215">
        <v>45811</v>
      </c>
      <c r="AF294" s="215">
        <v>45827</v>
      </c>
      <c r="AG294" s="210"/>
      <c r="AH294" s="210"/>
      <c r="AI294" s="216"/>
      <c r="AJ294" s="210" t="s">
        <v>109</v>
      </c>
      <c r="AK294" s="210" t="s">
        <v>109</v>
      </c>
      <c r="AL294" s="210" t="s">
        <v>109</v>
      </c>
      <c r="AM294" s="210" t="s">
        <v>109</v>
      </c>
      <c r="AP294" s="212">
        <v>3</v>
      </c>
      <c r="AQ294" s="218"/>
    </row>
    <row r="295" spans="1:43" s="217" customFormat="1" ht="18.75" customHeight="1" x14ac:dyDescent="0.3">
      <c r="A295" s="210">
        <v>2505684</v>
      </c>
      <c r="B295" s="211" t="s">
        <v>1465</v>
      </c>
      <c r="C295" s="210" t="e" vm="11">
        <v>#VALUE!</v>
      </c>
      <c r="D295" s="210" t="s">
        <v>22</v>
      </c>
      <c r="E295" s="210" t="s">
        <v>71</v>
      </c>
      <c r="F295" s="210" t="s">
        <v>14</v>
      </c>
      <c r="G295" s="210">
        <v>11.21</v>
      </c>
      <c r="H295" s="210" t="s">
        <v>243</v>
      </c>
      <c r="I295" s="210">
        <v>19</v>
      </c>
      <c r="J295" s="212" t="s">
        <v>111</v>
      </c>
      <c r="K295" s="213"/>
      <c r="L295" s="212" t="s">
        <v>2241</v>
      </c>
      <c r="M295" s="212" t="s">
        <v>2236</v>
      </c>
      <c r="N295" s="213"/>
      <c r="O295" s="215" t="s">
        <v>109</v>
      </c>
      <c r="P295" s="215" t="s">
        <v>109</v>
      </c>
      <c r="Q295" s="213"/>
      <c r="R295" s="214">
        <v>45798</v>
      </c>
      <c r="S295" s="214">
        <v>45801</v>
      </c>
      <c r="T295" s="212" t="s">
        <v>1819</v>
      </c>
      <c r="U295" s="214"/>
      <c r="V295" s="215" t="s">
        <v>1853</v>
      </c>
      <c r="W295" s="212" t="s">
        <v>1853</v>
      </c>
      <c r="X295" s="210" t="s">
        <v>109</v>
      </c>
      <c r="Y295" s="210" t="s">
        <v>1853</v>
      </c>
      <c r="Z295" s="210" t="s">
        <v>1854</v>
      </c>
      <c r="AA295" s="215">
        <v>45820</v>
      </c>
      <c r="AB295" s="215" t="s">
        <v>1853</v>
      </c>
      <c r="AC295" s="212" t="s">
        <v>1853</v>
      </c>
      <c r="AD295" s="215">
        <v>45849</v>
      </c>
      <c r="AE295" s="215">
        <v>45846</v>
      </c>
      <c r="AF295" s="215">
        <v>45849</v>
      </c>
      <c r="AG295" s="210"/>
      <c r="AH295" s="210"/>
      <c r="AI295" s="216"/>
      <c r="AJ295" s="210" t="s">
        <v>109</v>
      </c>
      <c r="AK295" s="210" t="s">
        <v>109</v>
      </c>
      <c r="AL295" s="210" t="s">
        <v>109</v>
      </c>
      <c r="AM295" s="210" t="s">
        <v>109</v>
      </c>
      <c r="AP295" s="212">
        <v>3</v>
      </c>
      <c r="AQ295" s="218"/>
    </row>
    <row r="296" spans="1:43" s="172" customFormat="1" ht="18.75" customHeight="1" x14ac:dyDescent="0.3">
      <c r="A296" s="165">
        <v>2505697</v>
      </c>
      <c r="B296" s="166" t="s">
        <v>1470</v>
      </c>
      <c r="C296" s="165" t="e" vm="11">
        <v>#VALUE!</v>
      </c>
      <c r="D296" s="165" t="s">
        <v>22</v>
      </c>
      <c r="E296" s="165" t="s">
        <v>71</v>
      </c>
      <c r="F296" s="165" t="s">
        <v>14</v>
      </c>
      <c r="G296" s="165">
        <v>7.08</v>
      </c>
      <c r="H296" s="165" t="s">
        <v>243</v>
      </c>
      <c r="I296" s="165">
        <v>12</v>
      </c>
      <c r="J296" s="167" t="s">
        <v>286</v>
      </c>
      <c r="K296" s="168"/>
      <c r="L296" s="167" t="s">
        <v>2246</v>
      </c>
      <c r="M296" s="167" t="s">
        <v>2240</v>
      </c>
      <c r="N296" s="168"/>
      <c r="O296" s="170" t="s">
        <v>109</v>
      </c>
      <c r="P296" s="170" t="s">
        <v>109</v>
      </c>
      <c r="Q296" s="168"/>
      <c r="R296" s="169">
        <v>45798</v>
      </c>
      <c r="S296" s="169">
        <v>45801</v>
      </c>
      <c r="T296" s="167" t="s">
        <v>1819</v>
      </c>
      <c r="U296" s="169">
        <v>46162</v>
      </c>
      <c r="V296" s="170" t="s">
        <v>1853</v>
      </c>
      <c r="W296" s="167" t="s">
        <v>1853</v>
      </c>
      <c r="X296" s="165" t="s">
        <v>109</v>
      </c>
      <c r="Y296" s="165" t="s">
        <v>1853</v>
      </c>
      <c r="Z296" s="165"/>
      <c r="AA296" s="170"/>
      <c r="AB296" s="170"/>
      <c r="AC296" s="167"/>
      <c r="AD296" s="170"/>
      <c r="AE296" s="170"/>
      <c r="AF296" s="170"/>
      <c r="AG296" s="165"/>
      <c r="AH296" s="165"/>
      <c r="AI296" s="171"/>
      <c r="AJ296" s="165" t="s">
        <v>109</v>
      </c>
      <c r="AK296" s="165" t="s">
        <v>109</v>
      </c>
      <c r="AL296" s="165" t="s">
        <v>109</v>
      </c>
      <c r="AM296" s="165" t="s">
        <v>109</v>
      </c>
      <c r="AP296" s="167">
        <v>3</v>
      </c>
      <c r="AQ296" s="173"/>
    </row>
    <row r="297" spans="1:43" ht="18.75" customHeight="1" x14ac:dyDescent="0.3">
      <c r="A297" s="4">
        <v>2505688</v>
      </c>
      <c r="B297" s="110" t="s">
        <v>1475</v>
      </c>
      <c r="C297" s="4" t="e" vm="5">
        <v>#VALUE!</v>
      </c>
      <c r="D297" s="4" t="s">
        <v>17</v>
      </c>
      <c r="E297" s="4" t="s">
        <v>71</v>
      </c>
      <c r="F297" s="4" t="s">
        <v>14</v>
      </c>
      <c r="G297" s="4">
        <v>16.52</v>
      </c>
      <c r="H297" s="4" t="s">
        <v>243</v>
      </c>
      <c r="I297" s="4">
        <v>28</v>
      </c>
      <c r="J297" s="1" t="s">
        <v>143</v>
      </c>
      <c r="K297" s="127"/>
      <c r="L297" s="1" t="s">
        <v>1853</v>
      </c>
      <c r="M297" s="1" t="s">
        <v>2236</v>
      </c>
      <c r="N297" s="127"/>
      <c r="O297" s="39" t="s">
        <v>109</v>
      </c>
      <c r="P297" s="39" t="s">
        <v>109</v>
      </c>
      <c r="Q297" s="127"/>
      <c r="R297" s="56">
        <v>45798</v>
      </c>
      <c r="S297" s="56">
        <v>45801</v>
      </c>
      <c r="T297" s="1" t="s">
        <v>1819</v>
      </c>
      <c r="U297" s="56"/>
      <c r="V297" s="39" t="s">
        <v>1853</v>
      </c>
      <c r="W297" s="1" t="s">
        <v>1853</v>
      </c>
      <c r="X297" s="4" t="s">
        <v>109</v>
      </c>
      <c r="Y297" s="4" t="s">
        <v>1853</v>
      </c>
      <c r="Z297" s="4" t="s">
        <v>1855</v>
      </c>
      <c r="AA297" s="39">
        <v>45833</v>
      </c>
      <c r="AB297" s="39">
        <v>45846</v>
      </c>
      <c r="AC297" s="1" t="s">
        <v>1853</v>
      </c>
      <c r="AD297" s="39">
        <v>45855</v>
      </c>
      <c r="AE297" s="39" t="s">
        <v>1853</v>
      </c>
      <c r="AF297" s="39">
        <v>45855</v>
      </c>
      <c r="AG297" s="39">
        <v>45855</v>
      </c>
      <c r="AH297" s="39">
        <v>49521</v>
      </c>
      <c r="AJ297" s="4" t="s">
        <v>109</v>
      </c>
      <c r="AK297" s="4" t="s">
        <v>109</v>
      </c>
      <c r="AL297" s="4" t="s">
        <v>109</v>
      </c>
      <c r="AM297" s="4" t="s">
        <v>109</v>
      </c>
      <c r="AP297" s="1">
        <v>3</v>
      </c>
    </row>
    <row r="298" spans="1:43" s="217" customFormat="1" ht="18.75" customHeight="1" x14ac:dyDescent="0.3">
      <c r="A298" s="210">
        <v>2505682</v>
      </c>
      <c r="B298" s="211" t="s">
        <v>1480</v>
      </c>
      <c r="C298" s="210" t="e" vm="11">
        <v>#VALUE!</v>
      </c>
      <c r="D298" s="210" t="s">
        <v>22</v>
      </c>
      <c r="E298" s="210" t="s">
        <v>71</v>
      </c>
      <c r="F298" s="210" t="s">
        <v>14</v>
      </c>
      <c r="G298" s="210">
        <v>13.42</v>
      </c>
      <c r="H298" s="210" t="s">
        <v>561</v>
      </c>
      <c r="I298" s="210">
        <v>22</v>
      </c>
      <c r="J298" s="212" t="s">
        <v>111</v>
      </c>
      <c r="K298" s="213"/>
      <c r="L298" s="212" t="s">
        <v>2241</v>
      </c>
      <c r="M298" s="212" t="s">
        <v>2236</v>
      </c>
      <c r="N298" s="213"/>
      <c r="O298" s="215" t="s">
        <v>109</v>
      </c>
      <c r="P298" s="215" t="s">
        <v>109</v>
      </c>
      <c r="Q298" s="213"/>
      <c r="R298" s="214">
        <v>45798</v>
      </c>
      <c r="S298" s="214">
        <v>45845</v>
      </c>
      <c r="T298" s="212" t="s">
        <v>1819</v>
      </c>
      <c r="U298" s="214"/>
      <c r="V298" s="215" t="s">
        <v>1853</v>
      </c>
      <c r="W298" s="212" t="s">
        <v>1853</v>
      </c>
      <c r="X298" s="210" t="s">
        <v>109</v>
      </c>
      <c r="Y298" s="210" t="s">
        <v>1853</v>
      </c>
      <c r="Z298" s="210" t="s">
        <v>1854</v>
      </c>
      <c r="AA298" s="215">
        <v>45850</v>
      </c>
      <c r="AB298" s="215">
        <v>45847</v>
      </c>
      <c r="AC298" s="212" t="s">
        <v>1853</v>
      </c>
      <c r="AD298" s="215">
        <v>45868</v>
      </c>
      <c r="AE298" s="215">
        <v>45865</v>
      </c>
      <c r="AF298" s="215">
        <v>45868</v>
      </c>
      <c r="AG298" s="220"/>
      <c r="AH298" s="210"/>
      <c r="AI298" s="216"/>
      <c r="AJ298" s="210" t="s">
        <v>109</v>
      </c>
      <c r="AK298" s="210" t="s">
        <v>109</v>
      </c>
      <c r="AL298" s="210" t="s">
        <v>109</v>
      </c>
      <c r="AM298" s="210" t="s">
        <v>109</v>
      </c>
      <c r="AP298" s="212">
        <v>47</v>
      </c>
      <c r="AQ298" s="218"/>
    </row>
    <row r="299" spans="1:43" s="172" customFormat="1" ht="18.75" customHeight="1" x14ac:dyDescent="0.3">
      <c r="A299" s="165">
        <v>2505699</v>
      </c>
      <c r="B299" s="166" t="s">
        <v>1485</v>
      </c>
      <c r="C299" s="165" t="e" vm="11">
        <v>#VALUE!</v>
      </c>
      <c r="D299" s="165" t="s">
        <v>19</v>
      </c>
      <c r="E299" s="165" t="s">
        <v>71</v>
      </c>
      <c r="F299" s="165" t="s">
        <v>14</v>
      </c>
      <c r="G299" s="165">
        <v>11.8</v>
      </c>
      <c r="H299" s="165" t="s">
        <v>243</v>
      </c>
      <c r="I299" s="165">
        <v>20</v>
      </c>
      <c r="J299" s="167" t="s">
        <v>111</v>
      </c>
      <c r="K299" s="168"/>
      <c r="L299" s="167" t="s">
        <v>2246</v>
      </c>
      <c r="M299" s="167" t="s">
        <v>2240</v>
      </c>
      <c r="N299" s="168"/>
      <c r="O299" s="170" t="s">
        <v>109</v>
      </c>
      <c r="P299" s="170" t="s">
        <v>109</v>
      </c>
      <c r="Q299" s="168"/>
      <c r="R299" s="169">
        <v>45798</v>
      </c>
      <c r="S299" s="169">
        <v>45814</v>
      </c>
      <c r="T299" s="167" t="s">
        <v>1819</v>
      </c>
      <c r="U299" s="169">
        <v>46162</v>
      </c>
      <c r="V299" s="170" t="s">
        <v>1853</v>
      </c>
      <c r="W299" s="167" t="s">
        <v>1853</v>
      </c>
      <c r="X299" s="165" t="s">
        <v>109</v>
      </c>
      <c r="Y299" s="165" t="s">
        <v>1853</v>
      </c>
      <c r="Z299" s="165"/>
      <c r="AA299" s="170"/>
      <c r="AB299" s="170"/>
      <c r="AC299" s="167"/>
      <c r="AD299" s="170"/>
      <c r="AE299" s="170"/>
      <c r="AF299" s="170"/>
      <c r="AG299" s="165"/>
      <c r="AH299" s="165"/>
      <c r="AI299" s="171"/>
      <c r="AJ299" s="165" t="s">
        <v>109</v>
      </c>
      <c r="AK299" s="165" t="s">
        <v>109</v>
      </c>
      <c r="AL299" s="165" t="s">
        <v>109</v>
      </c>
      <c r="AM299" s="165" t="s">
        <v>109</v>
      </c>
      <c r="AP299" s="167">
        <v>16</v>
      </c>
      <c r="AQ299" s="173"/>
    </row>
    <row r="300" spans="1:43" s="172" customFormat="1" ht="18.75" customHeight="1" x14ac:dyDescent="0.3">
      <c r="A300" s="165">
        <v>2503612</v>
      </c>
      <c r="B300" s="166" t="s">
        <v>809</v>
      </c>
      <c r="C300" s="165" t="e" vm="5">
        <v>#VALUE!</v>
      </c>
      <c r="D300" s="165" t="s">
        <v>17</v>
      </c>
      <c r="E300" s="165" t="s">
        <v>71</v>
      </c>
      <c r="F300" s="165" t="s">
        <v>14</v>
      </c>
      <c r="G300" s="165">
        <v>17.7</v>
      </c>
      <c r="H300" s="165" t="s">
        <v>243</v>
      </c>
      <c r="I300" s="165">
        <v>30</v>
      </c>
      <c r="J300" s="167" t="s">
        <v>143</v>
      </c>
      <c r="K300" s="168"/>
      <c r="L300" s="167" t="s">
        <v>2246</v>
      </c>
      <c r="M300" s="167" t="s">
        <v>2236</v>
      </c>
      <c r="N300" s="168"/>
      <c r="O300" s="170" t="s">
        <v>109</v>
      </c>
      <c r="P300" s="170" t="s">
        <v>109</v>
      </c>
      <c r="Q300" s="168"/>
      <c r="R300" s="169">
        <v>46528</v>
      </c>
      <c r="S300" s="169">
        <v>45801</v>
      </c>
      <c r="T300" s="167" t="s">
        <v>1819</v>
      </c>
      <c r="U300" s="169">
        <v>46162</v>
      </c>
      <c r="V300" s="170" t="s">
        <v>1853</v>
      </c>
      <c r="W300" s="167" t="s">
        <v>1853</v>
      </c>
      <c r="X300" s="165" t="s">
        <v>109</v>
      </c>
      <c r="Y300" s="165" t="s">
        <v>1853</v>
      </c>
      <c r="Z300" s="165"/>
      <c r="AA300" s="170"/>
      <c r="AB300" s="170"/>
      <c r="AC300" s="167"/>
      <c r="AD300" s="170"/>
      <c r="AE300" s="170"/>
      <c r="AF300" s="170"/>
      <c r="AG300" s="165"/>
      <c r="AH300" s="165"/>
      <c r="AI300" s="171"/>
      <c r="AJ300" s="165" t="s">
        <v>109</v>
      </c>
      <c r="AK300" s="165" t="s">
        <v>109</v>
      </c>
      <c r="AL300" s="165" t="s">
        <v>109</v>
      </c>
      <c r="AM300" s="165" t="s">
        <v>109</v>
      </c>
      <c r="AP300" s="167">
        <v>-727</v>
      </c>
      <c r="AQ300" s="173"/>
    </row>
    <row r="301" spans="1:43" s="172" customFormat="1" ht="18.75" customHeight="1" x14ac:dyDescent="0.3">
      <c r="A301" s="165">
        <v>2505680</v>
      </c>
      <c r="B301" s="166" t="s">
        <v>1491</v>
      </c>
      <c r="C301" s="165" t="e" vm="11">
        <v>#VALUE!</v>
      </c>
      <c r="D301" s="165" t="s">
        <v>22</v>
      </c>
      <c r="E301" s="165" t="s">
        <v>71</v>
      </c>
      <c r="F301" s="165" t="s">
        <v>14</v>
      </c>
      <c r="G301" s="165">
        <v>17.7</v>
      </c>
      <c r="H301" s="165" t="s">
        <v>243</v>
      </c>
      <c r="I301" s="165">
        <v>30</v>
      </c>
      <c r="J301" s="167" t="s">
        <v>143</v>
      </c>
      <c r="K301" s="168"/>
      <c r="L301" s="167" t="s">
        <v>2246</v>
      </c>
      <c r="M301" s="167" t="s">
        <v>2240</v>
      </c>
      <c r="N301" s="168"/>
      <c r="O301" s="170" t="s">
        <v>109</v>
      </c>
      <c r="P301" s="170" t="s">
        <v>109</v>
      </c>
      <c r="Q301" s="168"/>
      <c r="R301" s="169">
        <v>46528</v>
      </c>
      <c r="S301" s="169">
        <v>45806</v>
      </c>
      <c r="T301" s="167" t="s">
        <v>1819</v>
      </c>
      <c r="U301" s="169">
        <v>46162</v>
      </c>
      <c r="V301" s="170" t="s">
        <v>1853</v>
      </c>
      <c r="W301" s="167" t="s">
        <v>1853</v>
      </c>
      <c r="X301" s="165" t="s">
        <v>109</v>
      </c>
      <c r="Y301" s="165" t="s">
        <v>1853</v>
      </c>
      <c r="Z301" s="165"/>
      <c r="AA301" s="170"/>
      <c r="AB301" s="170"/>
      <c r="AC301" s="167"/>
      <c r="AD301" s="170"/>
      <c r="AE301" s="170"/>
      <c r="AF301" s="170"/>
      <c r="AG301" s="165"/>
      <c r="AH301" s="165"/>
      <c r="AI301" s="171"/>
      <c r="AJ301" s="165" t="s">
        <v>109</v>
      </c>
      <c r="AK301" s="165" t="s">
        <v>109</v>
      </c>
      <c r="AL301" s="165" t="s">
        <v>109</v>
      </c>
      <c r="AM301" s="165" t="s">
        <v>109</v>
      </c>
      <c r="AP301" s="167">
        <v>-722</v>
      </c>
      <c r="AQ301" s="173"/>
    </row>
    <row r="302" spans="1:43" s="217" customFormat="1" ht="18.75" customHeight="1" x14ac:dyDescent="0.3">
      <c r="A302" s="210">
        <v>2503607</v>
      </c>
      <c r="B302" s="211" t="s">
        <v>1496</v>
      </c>
      <c r="C302" s="210" t="e" vm="5">
        <v>#VALUE!</v>
      </c>
      <c r="D302" s="210" t="s">
        <v>17</v>
      </c>
      <c r="E302" s="210" t="s">
        <v>71</v>
      </c>
      <c r="F302" s="210" t="s">
        <v>14</v>
      </c>
      <c r="G302" s="210">
        <v>10.62</v>
      </c>
      <c r="H302" s="210" t="s">
        <v>243</v>
      </c>
      <c r="I302" s="210">
        <v>18</v>
      </c>
      <c r="J302" s="212" t="s">
        <v>364</v>
      </c>
      <c r="K302" s="213"/>
      <c r="L302" s="212" t="s">
        <v>2241</v>
      </c>
      <c r="M302" s="212" t="s">
        <v>2236</v>
      </c>
      <c r="N302" s="213"/>
      <c r="O302" s="215" t="s">
        <v>109</v>
      </c>
      <c r="P302" s="215" t="s">
        <v>109</v>
      </c>
      <c r="Q302" s="213"/>
      <c r="R302" s="214">
        <v>45828</v>
      </c>
      <c r="S302" s="214">
        <v>45832</v>
      </c>
      <c r="T302" s="212" t="s">
        <v>1819</v>
      </c>
      <c r="U302" s="214"/>
      <c r="V302" s="215" t="s">
        <v>1853</v>
      </c>
      <c r="W302" s="212" t="s">
        <v>1853</v>
      </c>
      <c r="X302" s="210" t="s">
        <v>109</v>
      </c>
      <c r="Y302" s="210" t="s">
        <v>1853</v>
      </c>
      <c r="Z302" s="210" t="s">
        <v>1855</v>
      </c>
      <c r="AA302" s="215">
        <v>45867</v>
      </c>
      <c r="AB302" s="215">
        <v>45867</v>
      </c>
      <c r="AC302" s="212" t="s">
        <v>1853</v>
      </c>
      <c r="AD302" s="215">
        <v>45878</v>
      </c>
      <c r="AE302" s="215">
        <v>45877</v>
      </c>
      <c r="AF302" s="215">
        <v>45878</v>
      </c>
      <c r="AG302" s="210"/>
      <c r="AH302" s="210"/>
      <c r="AI302" s="216"/>
      <c r="AJ302" s="210" t="s">
        <v>109</v>
      </c>
      <c r="AK302" s="210" t="s">
        <v>109</v>
      </c>
      <c r="AL302" s="210" t="s">
        <v>109</v>
      </c>
      <c r="AM302" s="210" t="s">
        <v>109</v>
      </c>
      <c r="AP302" s="212">
        <v>4</v>
      </c>
      <c r="AQ302" s="218"/>
    </row>
    <row r="303" spans="1:43" s="154" customFormat="1" ht="18.75" customHeight="1" x14ac:dyDescent="0.3">
      <c r="A303" s="147">
        <v>2505711</v>
      </c>
      <c r="B303" s="148" t="s">
        <v>1501</v>
      </c>
      <c r="C303" s="147" t="e" vm="11">
        <v>#VALUE!</v>
      </c>
      <c r="D303" s="147" t="s">
        <v>19</v>
      </c>
      <c r="E303" s="147" t="s">
        <v>71</v>
      </c>
      <c r="F303" s="147" t="s">
        <v>14</v>
      </c>
      <c r="G303" s="147">
        <v>8.26</v>
      </c>
      <c r="H303" s="147" t="s">
        <v>243</v>
      </c>
      <c r="I303" s="147">
        <v>14</v>
      </c>
      <c r="J303" s="149" t="s">
        <v>244</v>
      </c>
      <c r="K303" s="150"/>
      <c r="L303" s="149" t="s">
        <v>2249</v>
      </c>
      <c r="M303" s="149" t="s">
        <v>2240</v>
      </c>
      <c r="N303" s="150"/>
      <c r="O303" s="152" t="s">
        <v>109</v>
      </c>
      <c r="P303" s="152" t="s">
        <v>109</v>
      </c>
      <c r="Q303" s="150"/>
      <c r="R303" s="151">
        <v>45806</v>
      </c>
      <c r="S303" s="151"/>
      <c r="T303" s="149" t="s">
        <v>1815</v>
      </c>
      <c r="U303" s="151"/>
      <c r="V303" s="152" t="s">
        <v>1853</v>
      </c>
      <c r="W303" s="149" t="s">
        <v>1853</v>
      </c>
      <c r="X303" s="147" t="s">
        <v>109</v>
      </c>
      <c r="Y303" s="147" t="s">
        <v>1853</v>
      </c>
      <c r="Z303" s="147"/>
      <c r="AA303" s="152"/>
      <c r="AB303" s="152"/>
      <c r="AC303" s="149"/>
      <c r="AD303" s="152"/>
      <c r="AE303" s="152"/>
      <c r="AF303" s="152"/>
      <c r="AG303" s="147"/>
      <c r="AH303" s="147"/>
      <c r="AI303" s="153"/>
      <c r="AJ303" s="147" t="s">
        <v>109</v>
      </c>
      <c r="AK303" s="147" t="s">
        <v>109</v>
      </c>
      <c r="AL303" s="147" t="s">
        <v>109</v>
      </c>
      <c r="AM303" s="147" t="s">
        <v>109</v>
      </c>
      <c r="AP303" s="149">
        <v>-45806</v>
      </c>
      <c r="AQ303" s="155"/>
    </row>
    <row r="304" spans="1:43" s="217" customFormat="1" ht="18.75" customHeight="1" x14ac:dyDescent="0.3">
      <c r="A304" s="210">
        <v>2505713</v>
      </c>
      <c r="B304" s="211" t="s">
        <v>1506</v>
      </c>
      <c r="C304" s="210" t="e" vm="11">
        <v>#VALUE!</v>
      </c>
      <c r="D304" s="210" t="s">
        <v>22</v>
      </c>
      <c r="E304" s="210" t="s">
        <v>71</v>
      </c>
      <c r="F304" s="210" t="s">
        <v>14</v>
      </c>
      <c r="G304" s="210">
        <v>17.7</v>
      </c>
      <c r="H304" s="210" t="s">
        <v>243</v>
      </c>
      <c r="I304" s="210">
        <v>30</v>
      </c>
      <c r="J304" s="212" t="s">
        <v>143</v>
      </c>
      <c r="K304" s="213"/>
      <c r="L304" s="212" t="s">
        <v>2241</v>
      </c>
      <c r="M304" s="212" t="s">
        <v>2236</v>
      </c>
      <c r="N304" s="213"/>
      <c r="O304" s="215" t="s">
        <v>109</v>
      </c>
      <c r="P304" s="215" t="s">
        <v>109</v>
      </c>
      <c r="Q304" s="213"/>
      <c r="R304" s="214">
        <v>45821</v>
      </c>
      <c r="S304" s="214">
        <v>45833</v>
      </c>
      <c r="T304" s="212" t="s">
        <v>1819</v>
      </c>
      <c r="U304" s="214"/>
      <c r="V304" s="215" t="s">
        <v>1853</v>
      </c>
      <c r="W304" s="212" t="s">
        <v>1853</v>
      </c>
      <c r="X304" s="210" t="s">
        <v>109</v>
      </c>
      <c r="Y304" s="210" t="s">
        <v>1853</v>
      </c>
      <c r="Z304" s="210" t="s">
        <v>1854</v>
      </c>
      <c r="AA304" s="215">
        <v>45840</v>
      </c>
      <c r="AB304" s="215" t="s">
        <v>1853</v>
      </c>
      <c r="AC304" s="212" t="s">
        <v>1853</v>
      </c>
      <c r="AD304" s="215">
        <v>45869</v>
      </c>
      <c r="AE304" s="215">
        <v>45861</v>
      </c>
      <c r="AF304" s="215">
        <v>45869</v>
      </c>
      <c r="AG304" s="210"/>
      <c r="AH304" s="210"/>
      <c r="AI304" s="216"/>
      <c r="AJ304" s="210" t="s">
        <v>109</v>
      </c>
      <c r="AK304" s="210" t="s">
        <v>109</v>
      </c>
      <c r="AL304" s="210" t="s">
        <v>109</v>
      </c>
      <c r="AM304" s="210" t="s">
        <v>109</v>
      </c>
      <c r="AP304" s="212">
        <v>12</v>
      </c>
      <c r="AQ304" s="218"/>
    </row>
    <row r="305" spans="1:43" s="172" customFormat="1" ht="18.75" customHeight="1" x14ac:dyDescent="0.3">
      <c r="A305" s="165">
        <v>2505714</v>
      </c>
      <c r="B305" s="166" t="s">
        <v>1511</v>
      </c>
      <c r="C305" s="165" t="e" vm="5">
        <v>#VALUE!</v>
      </c>
      <c r="D305" s="165" t="s">
        <v>17</v>
      </c>
      <c r="E305" s="165" t="s">
        <v>71</v>
      </c>
      <c r="F305" s="165" t="s">
        <v>14</v>
      </c>
      <c r="G305" s="165">
        <v>7.08</v>
      </c>
      <c r="H305" s="165" t="s">
        <v>243</v>
      </c>
      <c r="I305" s="165">
        <v>12</v>
      </c>
      <c r="J305" s="167" t="s">
        <v>286</v>
      </c>
      <c r="K305" s="168"/>
      <c r="L305" s="167" t="s">
        <v>2246</v>
      </c>
      <c r="M305" s="167" t="s">
        <v>2240</v>
      </c>
      <c r="N305" s="168"/>
      <c r="O305" s="170" t="s">
        <v>109</v>
      </c>
      <c r="P305" s="170" t="s">
        <v>109</v>
      </c>
      <c r="Q305" s="168"/>
      <c r="R305" s="169">
        <v>45812</v>
      </c>
      <c r="S305" s="169">
        <v>45824</v>
      </c>
      <c r="T305" s="167" t="s">
        <v>1819</v>
      </c>
      <c r="U305" s="169">
        <v>45824</v>
      </c>
      <c r="V305" s="170" t="s">
        <v>1853</v>
      </c>
      <c r="W305" s="167" t="s">
        <v>1853</v>
      </c>
      <c r="X305" s="165" t="s">
        <v>109</v>
      </c>
      <c r="Y305" s="165" t="s">
        <v>1853</v>
      </c>
      <c r="Z305" s="165"/>
      <c r="AA305" s="170"/>
      <c r="AB305" s="170"/>
      <c r="AC305" s="167"/>
      <c r="AD305" s="170"/>
      <c r="AE305" s="170"/>
      <c r="AF305" s="170"/>
      <c r="AG305" s="165"/>
      <c r="AH305" s="165"/>
      <c r="AI305" s="171"/>
      <c r="AJ305" s="165" t="s">
        <v>109</v>
      </c>
      <c r="AK305" s="165" t="s">
        <v>109</v>
      </c>
      <c r="AL305" s="165" t="s">
        <v>109</v>
      </c>
      <c r="AM305" s="165" t="s">
        <v>109</v>
      </c>
      <c r="AP305" s="167">
        <v>12</v>
      </c>
      <c r="AQ305" s="173"/>
    </row>
    <row r="306" spans="1:43" ht="18.75" customHeight="1" x14ac:dyDescent="0.3">
      <c r="A306" s="4">
        <v>2405306</v>
      </c>
      <c r="B306" s="110" t="s">
        <v>773</v>
      </c>
      <c r="C306" s="4" t="e" vm="5">
        <v>#VALUE!</v>
      </c>
      <c r="D306" s="4" t="s">
        <v>17</v>
      </c>
      <c r="E306" s="4" t="s">
        <v>71</v>
      </c>
      <c r="F306" s="4" t="s">
        <v>14</v>
      </c>
      <c r="G306" s="4">
        <v>17.7</v>
      </c>
      <c r="H306" s="4" t="s">
        <v>243</v>
      </c>
      <c r="I306" s="4">
        <v>30</v>
      </c>
      <c r="J306" s="1" t="s">
        <v>143</v>
      </c>
      <c r="K306" s="127"/>
      <c r="L306" s="1" t="s">
        <v>1853</v>
      </c>
      <c r="M306" s="1" t="s">
        <v>2236</v>
      </c>
      <c r="N306" s="127"/>
      <c r="O306" s="39" t="s">
        <v>109</v>
      </c>
      <c r="P306" s="39" t="s">
        <v>109</v>
      </c>
      <c r="Q306" s="127"/>
      <c r="R306" s="56">
        <v>45798</v>
      </c>
      <c r="S306" s="56">
        <v>45817</v>
      </c>
      <c r="T306" s="1" t="s">
        <v>1819</v>
      </c>
      <c r="U306" s="56"/>
      <c r="V306" s="39" t="s">
        <v>1853</v>
      </c>
      <c r="W306" s="1" t="s">
        <v>1853</v>
      </c>
      <c r="X306" s="4" t="s">
        <v>109</v>
      </c>
      <c r="Y306" s="4" t="s">
        <v>1853</v>
      </c>
      <c r="Z306" s="4" t="s">
        <v>1855</v>
      </c>
      <c r="AA306" s="39">
        <v>45834</v>
      </c>
      <c r="AB306" s="39">
        <v>45845</v>
      </c>
      <c r="AC306" s="1" t="s">
        <v>1853</v>
      </c>
      <c r="AD306" s="39">
        <v>45854</v>
      </c>
      <c r="AE306" s="39">
        <v>45853</v>
      </c>
      <c r="AF306" s="39">
        <v>45854</v>
      </c>
      <c r="AG306" s="39">
        <v>45854</v>
      </c>
      <c r="AH306" s="39">
        <v>45869</v>
      </c>
      <c r="AJ306" s="4" t="s">
        <v>109</v>
      </c>
      <c r="AK306" s="4" t="s">
        <v>109</v>
      </c>
      <c r="AL306" s="4" t="s">
        <v>109</v>
      </c>
      <c r="AM306" s="4" t="s">
        <v>109</v>
      </c>
      <c r="AP306" s="1">
        <v>19</v>
      </c>
    </row>
    <row r="307" spans="1:43" ht="18.75" customHeight="1" x14ac:dyDescent="0.3">
      <c r="A307" s="4">
        <v>2505705</v>
      </c>
      <c r="B307" s="110" t="s">
        <v>1517</v>
      </c>
      <c r="C307" s="4" t="e" vm="5">
        <v>#VALUE!</v>
      </c>
      <c r="D307" s="4" t="s">
        <v>17</v>
      </c>
      <c r="E307" s="4" t="s">
        <v>71</v>
      </c>
      <c r="F307" s="4" t="s">
        <v>14</v>
      </c>
      <c r="G307" s="4">
        <v>7.08</v>
      </c>
      <c r="H307" s="4" t="s">
        <v>243</v>
      </c>
      <c r="I307" s="4">
        <v>12</v>
      </c>
      <c r="J307" s="1" t="s">
        <v>286</v>
      </c>
      <c r="K307" s="127"/>
      <c r="L307" s="1" t="s">
        <v>1853</v>
      </c>
      <c r="M307" s="1" t="s">
        <v>2236</v>
      </c>
      <c r="N307" s="127"/>
      <c r="O307" s="39" t="s">
        <v>109</v>
      </c>
      <c r="P307" s="39" t="s">
        <v>109</v>
      </c>
      <c r="Q307" s="127"/>
      <c r="R307" s="56">
        <v>45811</v>
      </c>
      <c r="S307" s="56">
        <v>45824</v>
      </c>
      <c r="T307" s="1" t="s">
        <v>1819</v>
      </c>
      <c r="U307" s="56"/>
      <c r="V307" s="39" t="s">
        <v>1853</v>
      </c>
      <c r="W307" s="1" t="s">
        <v>1853</v>
      </c>
      <c r="X307" s="4" t="s">
        <v>109</v>
      </c>
      <c r="Y307" s="4" t="s">
        <v>1853</v>
      </c>
      <c r="Z307" s="4" t="s">
        <v>1855</v>
      </c>
      <c r="AA307" s="39">
        <v>45832</v>
      </c>
      <c r="AB307" s="39" t="s">
        <v>1853</v>
      </c>
      <c r="AC307" s="1" t="s">
        <v>1853</v>
      </c>
      <c r="AD307" s="39">
        <v>45864</v>
      </c>
      <c r="AE307" s="39">
        <v>45853</v>
      </c>
      <c r="AF307" s="39">
        <v>45864</v>
      </c>
      <c r="AG307" s="39">
        <v>45853</v>
      </c>
      <c r="AH307" s="39">
        <v>49521</v>
      </c>
      <c r="AJ307" s="4" t="s">
        <v>109</v>
      </c>
      <c r="AK307" s="4" t="s">
        <v>109</v>
      </c>
      <c r="AL307" s="4" t="s">
        <v>109</v>
      </c>
      <c r="AM307" s="4" t="s">
        <v>109</v>
      </c>
      <c r="AP307" s="1">
        <v>13</v>
      </c>
    </row>
    <row r="308" spans="1:43" s="217" customFormat="1" ht="18.75" customHeight="1" x14ac:dyDescent="0.3">
      <c r="A308" s="210">
        <v>2505717</v>
      </c>
      <c r="B308" s="211" t="s">
        <v>1522</v>
      </c>
      <c r="C308" s="210" t="e" vm="12">
        <v>#VALUE!</v>
      </c>
      <c r="D308" s="210" t="s">
        <v>17</v>
      </c>
      <c r="E308" s="210" t="s">
        <v>71</v>
      </c>
      <c r="F308" s="210" t="s">
        <v>14</v>
      </c>
      <c r="G308" s="210">
        <v>16.52</v>
      </c>
      <c r="H308" s="210" t="s">
        <v>243</v>
      </c>
      <c r="I308" s="210">
        <v>28</v>
      </c>
      <c r="J308" s="212" t="s">
        <v>143</v>
      </c>
      <c r="K308" s="213"/>
      <c r="L308" s="212" t="s">
        <v>2241</v>
      </c>
      <c r="M308" s="212" t="s">
        <v>2236</v>
      </c>
      <c r="N308" s="213"/>
      <c r="O308" s="215" t="s">
        <v>109</v>
      </c>
      <c r="P308" s="215" t="s">
        <v>109</v>
      </c>
      <c r="Q308" s="213"/>
      <c r="R308" s="214">
        <v>45814</v>
      </c>
      <c r="S308" s="214">
        <v>45830</v>
      </c>
      <c r="T308" s="212" t="s">
        <v>1819</v>
      </c>
      <c r="U308" s="214"/>
      <c r="V308" s="215" t="s">
        <v>1853</v>
      </c>
      <c r="W308" s="212" t="s">
        <v>1853</v>
      </c>
      <c r="X308" s="210" t="s">
        <v>109</v>
      </c>
      <c r="Y308" s="210" t="s">
        <v>1853</v>
      </c>
      <c r="Z308" s="210" t="s">
        <v>1855</v>
      </c>
      <c r="AA308" s="215">
        <v>45841</v>
      </c>
      <c r="AB308" s="215">
        <v>45846</v>
      </c>
      <c r="AC308" s="212" t="s">
        <v>1853</v>
      </c>
      <c r="AD308" s="215">
        <v>45854</v>
      </c>
      <c r="AE308" s="215">
        <v>45849</v>
      </c>
      <c r="AF308" s="215">
        <v>45854</v>
      </c>
      <c r="AG308" s="215"/>
      <c r="AH308" s="215"/>
      <c r="AI308" s="216"/>
      <c r="AJ308" s="210" t="s">
        <v>109</v>
      </c>
      <c r="AK308" s="210" t="s">
        <v>109</v>
      </c>
      <c r="AL308" s="210" t="s">
        <v>109</v>
      </c>
      <c r="AM308" s="210" t="s">
        <v>109</v>
      </c>
      <c r="AP308" s="212">
        <v>16</v>
      </c>
      <c r="AQ308" s="218"/>
    </row>
    <row r="309" spans="1:43" s="208" customFormat="1" ht="18.75" customHeight="1" x14ac:dyDescent="0.3">
      <c r="A309" s="201" t="s">
        <v>1527</v>
      </c>
      <c r="B309" s="202" t="s">
        <v>1528</v>
      </c>
      <c r="C309" s="201" t="e" vm="5">
        <v>#VALUE!</v>
      </c>
      <c r="D309" s="201" t="s">
        <v>17</v>
      </c>
      <c r="E309" s="201" t="s">
        <v>71</v>
      </c>
      <c r="F309" s="201" t="s">
        <v>14</v>
      </c>
      <c r="G309" s="201">
        <v>11.8</v>
      </c>
      <c r="H309" s="201" t="s">
        <v>243</v>
      </c>
      <c r="I309" s="201">
        <v>20</v>
      </c>
      <c r="J309" s="203" t="s">
        <v>111</v>
      </c>
      <c r="K309" s="204"/>
      <c r="L309" s="203" t="s">
        <v>2250</v>
      </c>
      <c r="M309" s="203" t="s">
        <v>2240</v>
      </c>
      <c r="N309" s="204"/>
      <c r="O309" s="205" t="s">
        <v>109</v>
      </c>
      <c r="P309" s="205" t="s">
        <v>109</v>
      </c>
      <c r="Q309" s="204"/>
      <c r="R309" s="206"/>
      <c r="S309" s="206"/>
      <c r="T309" s="203"/>
      <c r="U309" s="206"/>
      <c r="V309" s="205" t="s">
        <v>1853</v>
      </c>
      <c r="W309" s="203" t="s">
        <v>1853</v>
      </c>
      <c r="X309" s="201" t="s">
        <v>109</v>
      </c>
      <c r="Y309" s="201" t="s">
        <v>1853</v>
      </c>
      <c r="Z309" s="201"/>
      <c r="AA309" s="205"/>
      <c r="AB309" s="205"/>
      <c r="AC309" s="203"/>
      <c r="AD309" s="205"/>
      <c r="AE309" s="205"/>
      <c r="AF309" s="205"/>
      <c r="AG309" s="205"/>
      <c r="AH309" s="205"/>
      <c r="AI309" s="207"/>
      <c r="AJ309" s="201" t="s">
        <v>109</v>
      </c>
      <c r="AK309" s="201" t="s">
        <v>109</v>
      </c>
      <c r="AL309" s="201" t="s">
        <v>109</v>
      </c>
      <c r="AM309" s="201" t="s">
        <v>109</v>
      </c>
      <c r="AP309" s="203">
        <v>0</v>
      </c>
      <c r="AQ309" s="209"/>
    </row>
    <row r="310" spans="1:43" s="217" customFormat="1" ht="18.75" customHeight="1" x14ac:dyDescent="0.3">
      <c r="A310" s="210">
        <v>2505719</v>
      </c>
      <c r="B310" s="211" t="s">
        <v>1529</v>
      </c>
      <c r="C310" s="210" t="e" vm="5">
        <v>#VALUE!</v>
      </c>
      <c r="D310" s="210" t="s">
        <v>17</v>
      </c>
      <c r="E310" s="210" t="s">
        <v>71</v>
      </c>
      <c r="F310" s="210" t="s">
        <v>14</v>
      </c>
      <c r="G310" s="210">
        <v>11.78</v>
      </c>
      <c r="H310" s="210" t="s">
        <v>1453</v>
      </c>
      <c r="I310" s="210">
        <v>19</v>
      </c>
      <c r="J310" s="212" t="s">
        <v>111</v>
      </c>
      <c r="K310" s="213"/>
      <c r="L310" s="212" t="s">
        <v>2241</v>
      </c>
      <c r="M310" s="212" t="s">
        <v>2238</v>
      </c>
      <c r="N310" s="213"/>
      <c r="O310" s="215" t="s">
        <v>109</v>
      </c>
      <c r="P310" s="215" t="s">
        <v>109</v>
      </c>
      <c r="Q310" s="213"/>
      <c r="R310" s="214">
        <v>45814</v>
      </c>
      <c r="S310" s="214">
        <v>45872</v>
      </c>
      <c r="T310" s="212" t="s">
        <v>1819</v>
      </c>
      <c r="U310" s="214"/>
      <c r="V310" s="215" t="s">
        <v>1853</v>
      </c>
      <c r="W310" s="212" t="s">
        <v>1853</v>
      </c>
      <c r="X310" s="210" t="s">
        <v>109</v>
      </c>
      <c r="Y310" s="210" t="s">
        <v>1853</v>
      </c>
      <c r="Z310" s="210" t="s">
        <v>1855</v>
      </c>
      <c r="AA310" s="215">
        <v>45870</v>
      </c>
      <c r="AB310" s="215" t="s">
        <v>1853</v>
      </c>
      <c r="AC310" s="212" t="s">
        <v>1853</v>
      </c>
      <c r="AD310" s="215">
        <v>45878</v>
      </c>
      <c r="AE310" s="215" t="s">
        <v>1853</v>
      </c>
      <c r="AF310" s="215">
        <v>45878</v>
      </c>
      <c r="AG310" s="215"/>
      <c r="AH310" s="215"/>
      <c r="AI310" s="216"/>
      <c r="AJ310" s="210" t="s">
        <v>109</v>
      </c>
      <c r="AK310" s="210" t="s">
        <v>109</v>
      </c>
      <c r="AL310" s="210" t="s">
        <v>109</v>
      </c>
      <c r="AM310" s="210" t="s">
        <v>109</v>
      </c>
      <c r="AP310" s="212">
        <v>58</v>
      </c>
      <c r="AQ310" s="218"/>
    </row>
    <row r="311" spans="1:43" s="154" customFormat="1" ht="18.75" customHeight="1" x14ac:dyDescent="0.3">
      <c r="A311" s="147">
        <v>2505687</v>
      </c>
      <c r="B311" s="148" t="s">
        <v>1535</v>
      </c>
      <c r="C311" s="147" t="e" vm="11">
        <v>#VALUE!</v>
      </c>
      <c r="D311" s="147" t="s">
        <v>22</v>
      </c>
      <c r="E311" s="147" t="s">
        <v>71</v>
      </c>
      <c r="F311" s="147" t="s">
        <v>14</v>
      </c>
      <c r="G311" s="147">
        <v>10.029999999999999</v>
      </c>
      <c r="H311" s="147" t="s">
        <v>243</v>
      </c>
      <c r="I311" s="147">
        <v>17</v>
      </c>
      <c r="J311" s="149" t="s">
        <v>364</v>
      </c>
      <c r="K311" s="150"/>
      <c r="L311" s="149" t="s">
        <v>2249</v>
      </c>
      <c r="M311" s="149" t="s">
        <v>2238</v>
      </c>
      <c r="N311" s="150"/>
      <c r="O311" s="152" t="s">
        <v>109</v>
      </c>
      <c r="P311" s="152" t="s">
        <v>109</v>
      </c>
      <c r="Q311" s="150"/>
      <c r="R311" s="151">
        <v>45833</v>
      </c>
      <c r="S311" s="151"/>
      <c r="T311" s="149" t="s">
        <v>1815</v>
      </c>
      <c r="U311" s="151"/>
      <c r="V311" s="152" t="s">
        <v>1853</v>
      </c>
      <c r="W311" s="149" t="s">
        <v>1853</v>
      </c>
      <c r="X311" s="147" t="s">
        <v>109</v>
      </c>
      <c r="Y311" s="147" t="s">
        <v>1853</v>
      </c>
      <c r="Z311" s="147"/>
      <c r="AA311" s="152"/>
      <c r="AB311" s="152"/>
      <c r="AC311" s="149"/>
      <c r="AD311" s="152"/>
      <c r="AE311" s="152"/>
      <c r="AF311" s="152"/>
      <c r="AG311" s="147"/>
      <c r="AH311" s="147"/>
      <c r="AI311" s="153"/>
      <c r="AJ311" s="147" t="s">
        <v>109</v>
      </c>
      <c r="AK311" s="147" t="s">
        <v>109</v>
      </c>
      <c r="AL311" s="147" t="s">
        <v>109</v>
      </c>
      <c r="AM311" s="147" t="s">
        <v>109</v>
      </c>
      <c r="AP311" s="149">
        <v>-45833</v>
      </c>
      <c r="AQ311" s="155"/>
    </row>
    <row r="312" spans="1:43" s="217" customFormat="1" ht="18.75" customHeight="1" x14ac:dyDescent="0.3">
      <c r="A312" s="210">
        <v>2505718</v>
      </c>
      <c r="B312" s="211" t="s">
        <v>1540</v>
      </c>
      <c r="C312" s="210" t="e" vm="11">
        <v>#VALUE!</v>
      </c>
      <c r="D312" s="210" t="s">
        <v>19</v>
      </c>
      <c r="E312" s="210" t="s">
        <v>71</v>
      </c>
      <c r="F312" s="210" t="s">
        <v>14</v>
      </c>
      <c r="G312" s="210">
        <v>7.44</v>
      </c>
      <c r="H312" s="210" t="s">
        <v>1453</v>
      </c>
      <c r="I312" s="210">
        <v>12</v>
      </c>
      <c r="J312" s="212" t="s">
        <v>380</v>
      </c>
      <c r="K312" s="213"/>
      <c r="L312" s="212" t="s">
        <v>2241</v>
      </c>
      <c r="M312" s="212" t="s">
        <v>2236</v>
      </c>
      <c r="N312" s="213"/>
      <c r="O312" s="215" t="s">
        <v>109</v>
      </c>
      <c r="P312" s="215" t="s">
        <v>109</v>
      </c>
      <c r="Q312" s="213"/>
      <c r="R312" s="214">
        <v>45820</v>
      </c>
      <c r="S312" s="214">
        <v>45836</v>
      </c>
      <c r="T312" s="212" t="s">
        <v>1819</v>
      </c>
      <c r="U312" s="214"/>
      <c r="V312" s="215" t="s">
        <v>1853</v>
      </c>
      <c r="W312" s="212" t="s">
        <v>1853</v>
      </c>
      <c r="X312" s="210" t="s">
        <v>109</v>
      </c>
      <c r="Y312" s="210" t="s">
        <v>1853</v>
      </c>
      <c r="Z312" s="210" t="s">
        <v>1854</v>
      </c>
      <c r="AA312" s="215">
        <v>45870</v>
      </c>
      <c r="AB312" s="215" t="s">
        <v>1853</v>
      </c>
      <c r="AC312" s="212" t="s">
        <v>1853</v>
      </c>
      <c r="AD312" s="215">
        <v>45888</v>
      </c>
      <c r="AE312" s="215" t="s">
        <v>1853</v>
      </c>
      <c r="AF312" s="215">
        <v>45888</v>
      </c>
      <c r="AG312" s="210"/>
      <c r="AH312" s="210"/>
      <c r="AI312" s="216"/>
      <c r="AJ312" s="210" t="s">
        <v>109</v>
      </c>
      <c r="AK312" s="210" t="s">
        <v>109</v>
      </c>
      <c r="AL312" s="210" t="s">
        <v>109</v>
      </c>
      <c r="AM312" s="210" t="s">
        <v>109</v>
      </c>
      <c r="AP312" s="212">
        <v>16</v>
      </c>
      <c r="AQ312" s="218"/>
    </row>
    <row r="313" spans="1:43" s="217" customFormat="1" ht="18.75" customHeight="1" x14ac:dyDescent="0.3">
      <c r="A313" s="210">
        <v>2506726</v>
      </c>
      <c r="B313" s="211" t="s">
        <v>1545</v>
      </c>
      <c r="C313" s="210" t="e" vm="5">
        <v>#VALUE!</v>
      </c>
      <c r="D313" s="210" t="s">
        <v>21</v>
      </c>
      <c r="E313" s="210" t="s">
        <v>71</v>
      </c>
      <c r="F313" s="210" t="s">
        <v>14</v>
      </c>
      <c r="G313" s="210">
        <v>7.44</v>
      </c>
      <c r="H313" s="210" t="s">
        <v>1453</v>
      </c>
      <c r="I313" s="210">
        <v>12</v>
      </c>
      <c r="J313" s="212" t="s">
        <v>286</v>
      </c>
      <c r="K313" s="213"/>
      <c r="L313" s="212" t="s">
        <v>2241</v>
      </c>
      <c r="M313" s="212" t="s">
        <v>2236</v>
      </c>
      <c r="N313" s="213"/>
      <c r="O313" s="215" t="s">
        <v>109</v>
      </c>
      <c r="P313" s="215" t="s">
        <v>109</v>
      </c>
      <c r="Q313" s="213"/>
      <c r="R313" s="214">
        <v>45820</v>
      </c>
      <c r="S313" s="214">
        <v>45836</v>
      </c>
      <c r="T313" s="212" t="s">
        <v>1819</v>
      </c>
      <c r="U313" s="214"/>
      <c r="V313" s="215" t="s">
        <v>1853</v>
      </c>
      <c r="W313" s="212" t="s">
        <v>1853</v>
      </c>
      <c r="X313" s="210" t="s">
        <v>109</v>
      </c>
      <c r="Y313" s="210" t="s">
        <v>1853</v>
      </c>
      <c r="Z313" s="210" t="s">
        <v>1855</v>
      </c>
      <c r="AA313" s="215">
        <v>45868</v>
      </c>
      <c r="AB313" s="215">
        <v>45866</v>
      </c>
      <c r="AC313" s="212" t="s">
        <v>1853</v>
      </c>
      <c r="AD313" s="215">
        <v>45876</v>
      </c>
      <c r="AE313" s="215" t="s">
        <v>1853</v>
      </c>
      <c r="AF313" s="215">
        <v>45876</v>
      </c>
      <c r="AG313" s="210"/>
      <c r="AH313" s="210"/>
      <c r="AI313" s="216"/>
      <c r="AJ313" s="210" t="s">
        <v>109</v>
      </c>
      <c r="AK313" s="210" t="s">
        <v>109</v>
      </c>
      <c r="AL313" s="210" t="s">
        <v>109</v>
      </c>
      <c r="AM313" s="210" t="s">
        <v>109</v>
      </c>
      <c r="AP313" s="212">
        <v>16</v>
      </c>
      <c r="AQ313" s="218"/>
    </row>
    <row r="314" spans="1:43" s="217" customFormat="1" ht="18.75" customHeight="1" x14ac:dyDescent="0.3">
      <c r="A314" s="210">
        <v>2506735</v>
      </c>
      <c r="B314" s="211" t="s">
        <v>1550</v>
      </c>
      <c r="C314" s="210" t="e" vm="11">
        <v>#VALUE!</v>
      </c>
      <c r="D314" s="210" t="s">
        <v>22</v>
      </c>
      <c r="E314" s="210" t="s">
        <v>71</v>
      </c>
      <c r="F314" s="210" t="s">
        <v>14</v>
      </c>
      <c r="G314" s="210">
        <v>7.44</v>
      </c>
      <c r="H314" s="210" t="s">
        <v>561</v>
      </c>
      <c r="I314" s="210">
        <v>12</v>
      </c>
      <c r="J314" s="212" t="s">
        <v>286</v>
      </c>
      <c r="K314" s="213"/>
      <c r="L314" s="212" t="s">
        <v>2241</v>
      </c>
      <c r="M314" s="212" t="s">
        <v>2236</v>
      </c>
      <c r="N314" s="213"/>
      <c r="O314" s="215" t="s">
        <v>109</v>
      </c>
      <c r="P314" s="215" t="s">
        <v>109</v>
      </c>
      <c r="Q314" s="213"/>
      <c r="R314" s="214">
        <v>45821</v>
      </c>
      <c r="S314" s="214">
        <v>45836</v>
      </c>
      <c r="T314" s="212" t="s">
        <v>1819</v>
      </c>
      <c r="U314" s="214"/>
      <c r="V314" s="215" t="s">
        <v>1853</v>
      </c>
      <c r="W314" s="212" t="s">
        <v>1853</v>
      </c>
      <c r="X314" s="210" t="s">
        <v>109</v>
      </c>
      <c r="Y314" s="210" t="s">
        <v>1853</v>
      </c>
      <c r="Z314" s="210" t="s">
        <v>1854</v>
      </c>
      <c r="AA314" s="215">
        <v>45848</v>
      </c>
      <c r="AB314" s="215">
        <v>45842</v>
      </c>
      <c r="AC314" s="212" t="s">
        <v>1853</v>
      </c>
      <c r="AD314" s="215">
        <v>45846</v>
      </c>
      <c r="AE314" s="215">
        <v>45845</v>
      </c>
      <c r="AF314" s="215">
        <v>45846</v>
      </c>
      <c r="AG314" s="210"/>
      <c r="AH314" s="210"/>
      <c r="AI314" s="216"/>
      <c r="AJ314" s="210" t="s">
        <v>109</v>
      </c>
      <c r="AK314" s="210" t="s">
        <v>109</v>
      </c>
      <c r="AL314" s="210" t="s">
        <v>109</v>
      </c>
      <c r="AM314" s="210" t="s">
        <v>109</v>
      </c>
      <c r="AP314" s="212">
        <v>15</v>
      </c>
      <c r="AQ314" s="218"/>
    </row>
    <row r="315" spans="1:43" s="217" customFormat="1" ht="18.75" customHeight="1" x14ac:dyDescent="0.3">
      <c r="A315" s="210">
        <v>2506734</v>
      </c>
      <c r="B315" s="211" t="s">
        <v>1555</v>
      </c>
      <c r="C315" s="210" t="e" vm="11">
        <v>#VALUE!</v>
      </c>
      <c r="D315" s="210" t="s">
        <v>22</v>
      </c>
      <c r="E315" s="210" t="s">
        <v>71</v>
      </c>
      <c r="F315" s="210" t="s">
        <v>14</v>
      </c>
      <c r="G315" s="210">
        <v>11.16</v>
      </c>
      <c r="H315" s="210" t="s">
        <v>561</v>
      </c>
      <c r="I315" s="210">
        <v>18</v>
      </c>
      <c r="J315" s="212" t="s">
        <v>364</v>
      </c>
      <c r="K315" s="213"/>
      <c r="L315" s="212" t="s">
        <v>2241</v>
      </c>
      <c r="M315" s="212" t="s">
        <v>2236</v>
      </c>
      <c r="N315" s="213"/>
      <c r="O315" s="215" t="s">
        <v>109</v>
      </c>
      <c r="P315" s="215" t="s">
        <v>109</v>
      </c>
      <c r="Q315" s="213"/>
      <c r="R315" s="214">
        <v>45821</v>
      </c>
      <c r="S315" s="214">
        <v>45836</v>
      </c>
      <c r="T315" s="212" t="s">
        <v>1819</v>
      </c>
      <c r="U315" s="214"/>
      <c r="V315" s="215" t="s">
        <v>1853</v>
      </c>
      <c r="W315" s="212" t="s">
        <v>1853</v>
      </c>
      <c r="X315" s="210" t="s">
        <v>109</v>
      </c>
      <c r="Y315" s="210" t="s">
        <v>1853</v>
      </c>
      <c r="Z315" s="210" t="s">
        <v>1854</v>
      </c>
      <c r="AA315" s="215">
        <v>45849</v>
      </c>
      <c r="AB315" s="215">
        <v>45840</v>
      </c>
      <c r="AC315" s="212" t="s">
        <v>1853</v>
      </c>
      <c r="AD315" s="215">
        <v>45849</v>
      </c>
      <c r="AE315" s="215">
        <v>45842</v>
      </c>
      <c r="AF315" s="215">
        <v>45849</v>
      </c>
      <c r="AG315" s="210"/>
      <c r="AH315" s="210"/>
      <c r="AI315" s="216"/>
      <c r="AJ315" s="210" t="s">
        <v>109</v>
      </c>
      <c r="AK315" s="210" t="s">
        <v>109</v>
      </c>
      <c r="AL315" s="210" t="s">
        <v>109</v>
      </c>
      <c r="AM315" s="210" t="s">
        <v>109</v>
      </c>
      <c r="AP315" s="212">
        <v>15</v>
      </c>
      <c r="AQ315" s="218"/>
    </row>
    <row r="316" spans="1:43" s="208" customFormat="1" ht="18.75" customHeight="1" x14ac:dyDescent="0.3">
      <c r="A316" s="201">
        <v>2505708</v>
      </c>
      <c r="B316" s="202" t="s">
        <v>1560</v>
      </c>
      <c r="C316" s="201" t="e" vm="5">
        <v>#VALUE!</v>
      </c>
      <c r="D316" s="201" t="s">
        <v>17</v>
      </c>
      <c r="E316" s="201" t="s">
        <v>71</v>
      </c>
      <c r="F316" s="201" t="s">
        <v>14</v>
      </c>
      <c r="G316" s="201">
        <v>7.44</v>
      </c>
      <c r="H316" s="201" t="s">
        <v>1453</v>
      </c>
      <c r="I316" s="201">
        <v>12</v>
      </c>
      <c r="J316" s="203" t="s">
        <v>286</v>
      </c>
      <c r="K316" s="204"/>
      <c r="L316" s="203" t="s">
        <v>2250</v>
      </c>
      <c r="M316" s="203" t="s">
        <v>2240</v>
      </c>
      <c r="N316" s="204"/>
      <c r="O316" s="205" t="s">
        <v>109</v>
      </c>
      <c r="P316" s="205" t="s">
        <v>109</v>
      </c>
      <c r="Q316" s="204"/>
      <c r="R316" s="206"/>
      <c r="S316" s="206"/>
      <c r="T316" s="203"/>
      <c r="U316" s="206"/>
      <c r="V316" s="205" t="s">
        <v>1853</v>
      </c>
      <c r="W316" s="203" t="s">
        <v>1853</v>
      </c>
      <c r="X316" s="201" t="s">
        <v>109</v>
      </c>
      <c r="Y316" s="201" t="s">
        <v>1853</v>
      </c>
      <c r="Z316" s="201"/>
      <c r="AA316" s="205"/>
      <c r="AB316" s="205"/>
      <c r="AC316" s="203"/>
      <c r="AD316" s="205"/>
      <c r="AE316" s="205"/>
      <c r="AF316" s="205"/>
      <c r="AG316" s="201"/>
      <c r="AH316" s="201"/>
      <c r="AI316" s="207"/>
      <c r="AJ316" s="201" t="s">
        <v>109</v>
      </c>
      <c r="AK316" s="201" t="s">
        <v>109</v>
      </c>
      <c r="AL316" s="201" t="s">
        <v>109</v>
      </c>
      <c r="AM316" s="201" t="s">
        <v>109</v>
      </c>
      <c r="AP316" s="203">
        <v>0</v>
      </c>
      <c r="AQ316" s="209"/>
    </row>
    <row r="317" spans="1:43" s="217" customFormat="1" ht="18.75" customHeight="1" x14ac:dyDescent="0.3">
      <c r="A317" s="210">
        <v>2506744</v>
      </c>
      <c r="B317" s="211" t="s">
        <v>1561</v>
      </c>
      <c r="C317" s="210" t="e" vm="5">
        <v>#VALUE!</v>
      </c>
      <c r="D317" s="210" t="s">
        <v>17</v>
      </c>
      <c r="E317" s="210" t="s">
        <v>71</v>
      </c>
      <c r="F317" s="210" t="s">
        <v>14</v>
      </c>
      <c r="G317" s="210">
        <v>14.88</v>
      </c>
      <c r="H317" s="210" t="s">
        <v>1453</v>
      </c>
      <c r="I317" s="210">
        <v>24</v>
      </c>
      <c r="J317" s="212" t="s">
        <v>143</v>
      </c>
      <c r="K317" s="213"/>
      <c r="L317" s="212" t="s">
        <v>2241</v>
      </c>
      <c r="M317" s="212" t="s">
        <v>2238</v>
      </c>
      <c r="N317" s="213"/>
      <c r="O317" s="215" t="s">
        <v>109</v>
      </c>
      <c r="P317" s="215" t="s">
        <v>109</v>
      </c>
      <c r="Q317" s="213"/>
      <c r="R317" s="214">
        <v>45821</v>
      </c>
      <c r="S317" s="214">
        <v>45854</v>
      </c>
      <c r="T317" s="212" t="s">
        <v>1819</v>
      </c>
      <c r="U317" s="214"/>
      <c r="V317" s="215" t="s">
        <v>1853</v>
      </c>
      <c r="W317" s="212" t="s">
        <v>1853</v>
      </c>
      <c r="X317" s="210" t="s">
        <v>109</v>
      </c>
      <c r="Y317" s="210" t="s">
        <v>1853</v>
      </c>
      <c r="Z317" s="210" t="s">
        <v>1855</v>
      </c>
      <c r="AA317" s="215">
        <v>45876</v>
      </c>
      <c r="AB317" s="215">
        <v>45883</v>
      </c>
      <c r="AC317" s="212" t="s">
        <v>1853</v>
      </c>
      <c r="AD317" s="215">
        <v>45894</v>
      </c>
      <c r="AE317" s="215">
        <v>45888</v>
      </c>
      <c r="AF317" s="215">
        <v>45894</v>
      </c>
      <c r="AG317" s="210"/>
      <c r="AH317" s="210"/>
      <c r="AI317" s="216"/>
      <c r="AJ317" s="210" t="s">
        <v>109</v>
      </c>
      <c r="AK317" s="210" t="s">
        <v>109</v>
      </c>
      <c r="AL317" s="210" t="s">
        <v>109</v>
      </c>
      <c r="AM317" s="210" t="s">
        <v>109</v>
      </c>
      <c r="AP317" s="212">
        <v>33</v>
      </c>
      <c r="AQ317" s="218"/>
    </row>
    <row r="318" spans="1:43" s="217" customFormat="1" ht="18.75" customHeight="1" x14ac:dyDescent="0.3">
      <c r="A318" s="210">
        <v>2506727</v>
      </c>
      <c r="B318" s="211" t="s">
        <v>1566</v>
      </c>
      <c r="C318" s="210" t="e" vm="11">
        <v>#VALUE!</v>
      </c>
      <c r="D318" s="210" t="s">
        <v>22</v>
      </c>
      <c r="E318" s="210" t="s">
        <v>71</v>
      </c>
      <c r="F318" s="210" t="s">
        <v>14</v>
      </c>
      <c r="G318" s="210">
        <v>12.4</v>
      </c>
      <c r="H318" s="210" t="s">
        <v>1453</v>
      </c>
      <c r="I318" s="210">
        <v>20</v>
      </c>
      <c r="J318" s="212" t="s">
        <v>111</v>
      </c>
      <c r="K318" s="213"/>
      <c r="L318" s="212" t="s">
        <v>2241</v>
      </c>
      <c r="M318" s="212" t="s">
        <v>2236</v>
      </c>
      <c r="N318" s="213"/>
      <c r="O318" s="215" t="s">
        <v>109</v>
      </c>
      <c r="P318" s="215" t="s">
        <v>109</v>
      </c>
      <c r="Q318" s="213"/>
      <c r="R318" s="214">
        <v>45824</v>
      </c>
      <c r="S318" s="214">
        <v>45836</v>
      </c>
      <c r="T318" s="212" t="s">
        <v>1819</v>
      </c>
      <c r="U318" s="214"/>
      <c r="V318" s="215" t="s">
        <v>1853</v>
      </c>
      <c r="W318" s="212" t="s">
        <v>1853</v>
      </c>
      <c r="X318" s="210" t="s">
        <v>109</v>
      </c>
      <c r="Y318" s="210" t="s">
        <v>1853</v>
      </c>
      <c r="Z318" s="210" t="s">
        <v>1854</v>
      </c>
      <c r="AA318" s="215">
        <v>45869</v>
      </c>
      <c r="AB318" s="215">
        <v>45870</v>
      </c>
      <c r="AC318" s="212" t="s">
        <v>1853</v>
      </c>
      <c r="AD318" s="215">
        <v>45888</v>
      </c>
      <c r="AE318" s="215">
        <v>45877</v>
      </c>
      <c r="AF318" s="215">
        <v>45888</v>
      </c>
      <c r="AG318" s="210"/>
      <c r="AH318" s="210"/>
      <c r="AI318" s="216"/>
      <c r="AJ318" s="210" t="s">
        <v>109</v>
      </c>
      <c r="AK318" s="210" t="s">
        <v>109</v>
      </c>
      <c r="AL318" s="210" t="s">
        <v>109</v>
      </c>
      <c r="AM318" s="210" t="s">
        <v>109</v>
      </c>
      <c r="AP318" s="212">
        <v>12</v>
      </c>
      <c r="AQ318" s="218"/>
    </row>
    <row r="319" spans="1:43" ht="18.75" customHeight="1" x14ac:dyDescent="0.3">
      <c r="A319" s="4">
        <v>2505054</v>
      </c>
      <c r="B319" s="110" t="s">
        <v>1571</v>
      </c>
      <c r="C319" s="4" t="e" vm="5">
        <v>#VALUE!</v>
      </c>
      <c r="D319" s="4" t="s">
        <v>20</v>
      </c>
      <c r="E319" s="4" t="s">
        <v>206</v>
      </c>
      <c r="F319" s="4">
        <v>0</v>
      </c>
      <c r="G319" s="4">
        <v>0</v>
      </c>
      <c r="H319" s="4" t="s">
        <v>18</v>
      </c>
      <c r="I319" s="4" t="s">
        <v>18</v>
      </c>
      <c r="J319" s="1" t="s">
        <v>18</v>
      </c>
      <c r="K319" s="127"/>
      <c r="L319" s="1" t="s">
        <v>1853</v>
      </c>
      <c r="M319" s="1" t="s">
        <v>2240</v>
      </c>
      <c r="N319" s="127"/>
      <c r="O319" s="39" t="s">
        <v>109</v>
      </c>
      <c r="P319" s="39" t="s">
        <v>109</v>
      </c>
      <c r="Q319" s="127"/>
      <c r="R319" s="56" t="s">
        <v>109</v>
      </c>
      <c r="S319" s="56" t="s">
        <v>109</v>
      </c>
      <c r="T319" s="56" t="s">
        <v>109</v>
      </c>
      <c r="U319" s="56" t="s">
        <v>109</v>
      </c>
      <c r="V319" s="39" t="s">
        <v>1853</v>
      </c>
      <c r="W319" s="1" t="s">
        <v>1853</v>
      </c>
      <c r="X319" s="4" t="s">
        <v>109</v>
      </c>
      <c r="Y319" s="4" t="s">
        <v>1853</v>
      </c>
      <c r="Z319" s="4" t="s">
        <v>1855</v>
      </c>
      <c r="AA319" s="39" t="s">
        <v>1853</v>
      </c>
      <c r="AB319" s="39" t="s">
        <v>109</v>
      </c>
      <c r="AC319" s="39" t="s">
        <v>109</v>
      </c>
      <c r="AD319" s="39" t="s">
        <v>109</v>
      </c>
      <c r="AE319" s="39" t="s">
        <v>109</v>
      </c>
      <c r="AF319" s="39" t="s">
        <v>109</v>
      </c>
      <c r="AG319" s="39" t="s">
        <v>109</v>
      </c>
      <c r="AH319" s="39" t="s">
        <v>109</v>
      </c>
      <c r="AJ319" s="4" t="s">
        <v>109</v>
      </c>
      <c r="AK319" s="4" t="s">
        <v>109</v>
      </c>
      <c r="AL319" s="4" t="s">
        <v>109</v>
      </c>
      <c r="AM319" s="4" t="s">
        <v>109</v>
      </c>
      <c r="AP319" s="1" t="e">
        <v>#VALUE!</v>
      </c>
    </row>
    <row r="320" spans="1:43" s="217" customFormat="1" ht="18.75" customHeight="1" x14ac:dyDescent="0.3">
      <c r="A320" s="210">
        <v>2506752</v>
      </c>
      <c r="B320" s="211" t="s">
        <v>1572</v>
      </c>
      <c r="C320" s="210" t="e" vm="5">
        <v>#VALUE!</v>
      </c>
      <c r="D320" s="210" t="s">
        <v>17</v>
      </c>
      <c r="E320" s="210" t="s">
        <v>71</v>
      </c>
      <c r="F320" s="210" t="s">
        <v>14</v>
      </c>
      <c r="G320" s="210">
        <v>7.44</v>
      </c>
      <c r="H320" s="210" t="s">
        <v>1453</v>
      </c>
      <c r="I320" s="210">
        <v>12</v>
      </c>
      <c r="J320" s="212" t="s">
        <v>286</v>
      </c>
      <c r="K320" s="213"/>
      <c r="L320" s="212" t="s">
        <v>2241</v>
      </c>
      <c r="M320" s="212" t="s">
        <v>2236</v>
      </c>
      <c r="N320" s="213"/>
      <c r="O320" s="215" t="s">
        <v>109</v>
      </c>
      <c r="P320" s="215" t="s">
        <v>109</v>
      </c>
      <c r="Q320" s="213"/>
      <c r="R320" s="214">
        <v>45828</v>
      </c>
      <c r="S320" s="214">
        <v>45836</v>
      </c>
      <c r="T320" s="212" t="s">
        <v>1819</v>
      </c>
      <c r="U320" s="214"/>
      <c r="V320" s="215" t="s">
        <v>1853</v>
      </c>
      <c r="W320" s="212" t="s">
        <v>1853</v>
      </c>
      <c r="X320" s="210" t="s">
        <v>109</v>
      </c>
      <c r="Y320" s="210" t="s">
        <v>1853</v>
      </c>
      <c r="Z320" s="210" t="s">
        <v>1861</v>
      </c>
      <c r="AA320" s="215">
        <v>45869</v>
      </c>
      <c r="AB320" s="215">
        <v>45867</v>
      </c>
      <c r="AC320" s="212" t="s">
        <v>1853</v>
      </c>
      <c r="AD320" s="215">
        <v>45875</v>
      </c>
      <c r="AE320" s="215">
        <v>45875</v>
      </c>
      <c r="AF320" s="215">
        <v>45875</v>
      </c>
      <c r="AG320" s="210"/>
      <c r="AH320" s="210"/>
      <c r="AI320" s="216"/>
      <c r="AJ320" s="210" t="s">
        <v>109</v>
      </c>
      <c r="AK320" s="210" t="s">
        <v>109</v>
      </c>
      <c r="AL320" s="210" t="s">
        <v>109</v>
      </c>
      <c r="AM320" s="210" t="s">
        <v>109</v>
      </c>
      <c r="AP320" s="212">
        <v>8</v>
      </c>
      <c r="AQ320" s="218"/>
    </row>
    <row r="321" spans="1:43" s="199" customFormat="1" ht="18.75" customHeight="1" x14ac:dyDescent="0.3">
      <c r="A321" s="192">
        <v>2501523</v>
      </c>
      <c r="B321" s="193" t="s">
        <v>1577</v>
      </c>
      <c r="C321" s="192" t="e" vm="8">
        <v>#VALUE!</v>
      </c>
      <c r="D321" s="192" t="s">
        <v>17</v>
      </c>
      <c r="E321" s="192" t="s">
        <v>71</v>
      </c>
      <c r="F321" s="192" t="s">
        <v>14</v>
      </c>
      <c r="G321" s="192">
        <v>17.7</v>
      </c>
      <c r="H321" s="192" t="s">
        <v>243</v>
      </c>
      <c r="I321" s="192">
        <v>30</v>
      </c>
      <c r="J321" s="194" t="s">
        <v>143</v>
      </c>
      <c r="K321" s="195"/>
      <c r="L321" s="194" t="s">
        <v>2245</v>
      </c>
      <c r="M321" s="194" t="s">
        <v>2240</v>
      </c>
      <c r="N321" s="195"/>
      <c r="O321" s="197" t="s">
        <v>109</v>
      </c>
      <c r="P321" s="197" t="s">
        <v>109</v>
      </c>
      <c r="Q321" s="195"/>
      <c r="R321" s="196">
        <v>45831</v>
      </c>
      <c r="S321" s="196">
        <v>45871</v>
      </c>
      <c r="T321" s="194" t="s">
        <v>1819</v>
      </c>
      <c r="U321" s="196"/>
      <c r="V321" s="197" t="s">
        <v>1853</v>
      </c>
      <c r="W321" s="194" t="s">
        <v>1853</v>
      </c>
      <c r="X321" s="192" t="s">
        <v>109</v>
      </c>
      <c r="Y321" s="192" t="s">
        <v>1853</v>
      </c>
      <c r="Z321" s="192" t="s">
        <v>1855</v>
      </c>
      <c r="AA321" s="197">
        <v>45923</v>
      </c>
      <c r="AB321" s="197">
        <v>45937</v>
      </c>
      <c r="AC321" s="194" t="s">
        <v>1857</v>
      </c>
      <c r="AD321" s="197">
        <v>45954</v>
      </c>
      <c r="AE321" s="197"/>
      <c r="AF321" s="197"/>
      <c r="AG321" s="192"/>
      <c r="AH321" s="192"/>
      <c r="AI321" s="198"/>
      <c r="AJ321" s="192" t="s">
        <v>109</v>
      </c>
      <c r="AK321" s="192" t="s">
        <v>109</v>
      </c>
      <c r="AL321" s="192" t="s">
        <v>109</v>
      </c>
      <c r="AM321" s="192" t="s">
        <v>109</v>
      </c>
      <c r="AP321" s="194">
        <v>40</v>
      </c>
      <c r="AQ321" s="200"/>
    </row>
    <row r="322" spans="1:43" s="217" customFormat="1" ht="18.75" customHeight="1" x14ac:dyDescent="0.3">
      <c r="A322" s="210">
        <v>2506748</v>
      </c>
      <c r="B322" s="211" t="s">
        <v>1582</v>
      </c>
      <c r="C322" s="210" t="e" vm="11">
        <v>#VALUE!</v>
      </c>
      <c r="D322" s="210" t="s">
        <v>22</v>
      </c>
      <c r="E322" s="210" t="s">
        <v>71</v>
      </c>
      <c r="F322" s="210" t="s">
        <v>14</v>
      </c>
      <c r="G322" s="210">
        <v>8.68</v>
      </c>
      <c r="H322" s="210" t="s">
        <v>1453</v>
      </c>
      <c r="I322" s="210">
        <v>14</v>
      </c>
      <c r="J322" s="212" t="s">
        <v>364</v>
      </c>
      <c r="K322" s="213"/>
      <c r="L322" s="212" t="s">
        <v>2241</v>
      </c>
      <c r="M322" s="212" t="s">
        <v>2240</v>
      </c>
      <c r="N322" s="213"/>
      <c r="O322" s="215" t="s">
        <v>109</v>
      </c>
      <c r="P322" s="215" t="s">
        <v>109</v>
      </c>
      <c r="Q322" s="213"/>
      <c r="R322" s="214">
        <v>45828</v>
      </c>
      <c r="S322" s="214">
        <v>45836</v>
      </c>
      <c r="T322" s="212" t="s">
        <v>1819</v>
      </c>
      <c r="U322" s="214"/>
      <c r="V322" s="215" t="s">
        <v>1853</v>
      </c>
      <c r="W322" s="212" t="s">
        <v>1853</v>
      </c>
      <c r="X322" s="210" t="s">
        <v>109</v>
      </c>
      <c r="Y322" s="210" t="s">
        <v>1853</v>
      </c>
      <c r="Z322" s="210" t="s">
        <v>1854</v>
      </c>
      <c r="AA322" s="215">
        <v>45888</v>
      </c>
      <c r="AB322" s="215">
        <v>45896</v>
      </c>
      <c r="AC322" s="212" t="s">
        <v>1853</v>
      </c>
      <c r="AD322" s="215">
        <v>45905</v>
      </c>
      <c r="AE322" s="215" t="s">
        <v>1853</v>
      </c>
      <c r="AF322" s="215">
        <v>45905</v>
      </c>
      <c r="AG322" s="210"/>
      <c r="AH322" s="210"/>
      <c r="AI322" s="216"/>
      <c r="AJ322" s="210" t="s">
        <v>109</v>
      </c>
      <c r="AK322" s="210" t="s">
        <v>109</v>
      </c>
      <c r="AL322" s="210" t="s">
        <v>109</v>
      </c>
      <c r="AM322" s="210" t="s">
        <v>109</v>
      </c>
      <c r="AP322" s="212">
        <v>8</v>
      </c>
      <c r="AQ322" s="218"/>
    </row>
    <row r="323" spans="1:43" s="217" customFormat="1" ht="18.75" customHeight="1" x14ac:dyDescent="0.3">
      <c r="A323" s="210">
        <v>2505709</v>
      </c>
      <c r="B323" s="211" t="s">
        <v>1586</v>
      </c>
      <c r="C323" s="210" t="e" vm="11">
        <v>#VALUE!</v>
      </c>
      <c r="D323" s="210" t="s">
        <v>22</v>
      </c>
      <c r="E323" s="210" t="s">
        <v>71</v>
      </c>
      <c r="F323" s="210" t="s">
        <v>14</v>
      </c>
      <c r="G323" s="210">
        <v>17.98</v>
      </c>
      <c r="H323" s="210" t="s">
        <v>1453</v>
      </c>
      <c r="I323" s="210">
        <v>29</v>
      </c>
      <c r="J323" s="212" t="s">
        <v>143</v>
      </c>
      <c r="K323" s="213"/>
      <c r="L323" s="212" t="s">
        <v>2241</v>
      </c>
      <c r="M323" s="212" t="s">
        <v>2236</v>
      </c>
      <c r="N323" s="213"/>
      <c r="O323" s="215" t="s">
        <v>109</v>
      </c>
      <c r="P323" s="215" t="s">
        <v>109</v>
      </c>
      <c r="Q323" s="213"/>
      <c r="R323" s="214">
        <v>45826</v>
      </c>
      <c r="S323" s="214">
        <v>45836</v>
      </c>
      <c r="T323" s="212" t="s">
        <v>1819</v>
      </c>
      <c r="U323" s="214"/>
      <c r="V323" s="215" t="s">
        <v>1853</v>
      </c>
      <c r="W323" s="212" t="s">
        <v>1853</v>
      </c>
      <c r="X323" s="210" t="s">
        <v>109</v>
      </c>
      <c r="Y323" s="210" t="s">
        <v>1853</v>
      </c>
      <c r="Z323" s="210" t="s">
        <v>1854</v>
      </c>
      <c r="AA323" s="215">
        <v>45871</v>
      </c>
      <c r="AB323" s="215">
        <v>45873</v>
      </c>
      <c r="AC323" s="212" t="s">
        <v>1853</v>
      </c>
      <c r="AD323" s="215">
        <v>45876</v>
      </c>
      <c r="AE323" s="215">
        <v>45875</v>
      </c>
      <c r="AF323" s="215">
        <v>45876</v>
      </c>
      <c r="AG323" s="210"/>
      <c r="AH323" s="210"/>
      <c r="AI323" s="216"/>
      <c r="AJ323" s="210" t="s">
        <v>109</v>
      </c>
      <c r="AK323" s="210" t="s">
        <v>109</v>
      </c>
      <c r="AL323" s="210" t="s">
        <v>109</v>
      </c>
      <c r="AM323" s="210" t="s">
        <v>109</v>
      </c>
      <c r="AP323" s="212">
        <v>10</v>
      </c>
      <c r="AQ323" s="218"/>
    </row>
    <row r="324" spans="1:43" s="172" customFormat="1" ht="18.75" customHeight="1" x14ac:dyDescent="0.3">
      <c r="A324" s="165">
        <v>2501531</v>
      </c>
      <c r="B324" s="166" t="s">
        <v>1591</v>
      </c>
      <c r="C324" s="165" t="e" vm="11">
        <v>#VALUE!</v>
      </c>
      <c r="D324" s="165" t="s">
        <v>22</v>
      </c>
      <c r="E324" s="165" t="s">
        <v>71</v>
      </c>
      <c r="F324" s="165" t="s">
        <v>14</v>
      </c>
      <c r="G324" s="165">
        <v>13.64</v>
      </c>
      <c r="H324" s="165" t="s">
        <v>1453</v>
      </c>
      <c r="I324" s="165">
        <v>22</v>
      </c>
      <c r="J324" s="167" t="s">
        <v>111</v>
      </c>
      <c r="K324" s="168"/>
      <c r="L324" s="167" t="s">
        <v>2246</v>
      </c>
      <c r="M324" s="167" t="s">
        <v>2240</v>
      </c>
      <c r="N324" s="168"/>
      <c r="O324" s="170" t="s">
        <v>109</v>
      </c>
      <c r="P324" s="170" t="s">
        <v>109</v>
      </c>
      <c r="Q324" s="168"/>
      <c r="R324" s="169">
        <v>45826</v>
      </c>
      <c r="S324" s="169">
        <v>45836</v>
      </c>
      <c r="T324" s="167" t="s">
        <v>1819</v>
      </c>
      <c r="U324" s="169">
        <v>46190</v>
      </c>
      <c r="V324" s="170" t="s">
        <v>1853</v>
      </c>
      <c r="W324" s="167" t="s">
        <v>1853</v>
      </c>
      <c r="X324" s="165" t="s">
        <v>109</v>
      </c>
      <c r="Y324" s="165" t="s">
        <v>1853</v>
      </c>
      <c r="Z324" s="165"/>
      <c r="AA324" s="170"/>
      <c r="AB324" s="170"/>
      <c r="AC324" s="167"/>
      <c r="AD324" s="167"/>
      <c r="AE324" s="170"/>
      <c r="AF324" s="170"/>
      <c r="AG324" s="165"/>
      <c r="AH324" s="165"/>
      <c r="AI324" s="171"/>
      <c r="AJ324" s="165" t="s">
        <v>109</v>
      </c>
      <c r="AK324" s="165" t="s">
        <v>109</v>
      </c>
      <c r="AL324" s="165" t="s">
        <v>109</v>
      </c>
      <c r="AM324" s="165" t="s">
        <v>109</v>
      </c>
      <c r="AP324" s="167">
        <v>10</v>
      </c>
      <c r="AQ324" s="173"/>
    </row>
    <row r="325" spans="1:43" ht="18.75" customHeight="1" x14ac:dyDescent="0.3">
      <c r="A325" s="4">
        <v>2506757</v>
      </c>
      <c r="B325" s="110" t="s">
        <v>1596</v>
      </c>
      <c r="C325" s="4" t="e" vm="11">
        <v>#VALUE!</v>
      </c>
      <c r="D325" s="4" t="s">
        <v>22</v>
      </c>
      <c r="E325" s="4" t="s">
        <v>71</v>
      </c>
      <c r="F325" s="4" t="s">
        <v>14</v>
      </c>
      <c r="G325" s="4">
        <v>7.44</v>
      </c>
      <c r="H325" s="4" t="s">
        <v>1453</v>
      </c>
      <c r="I325" s="4">
        <v>12</v>
      </c>
      <c r="J325" s="1" t="s">
        <v>1202</v>
      </c>
      <c r="K325" s="127"/>
      <c r="L325" s="1" t="s">
        <v>1853</v>
      </c>
      <c r="M325" s="1" t="s">
        <v>2236</v>
      </c>
      <c r="N325" s="127"/>
      <c r="O325" s="39" t="s">
        <v>109</v>
      </c>
      <c r="P325" s="39" t="s">
        <v>109</v>
      </c>
      <c r="Q325" s="127"/>
      <c r="R325" s="56">
        <v>45832</v>
      </c>
      <c r="S325" s="56">
        <v>45855</v>
      </c>
      <c r="T325" s="1" t="s">
        <v>1819</v>
      </c>
      <c r="U325" s="56"/>
      <c r="V325" s="39" t="s">
        <v>1853</v>
      </c>
      <c r="W325" s="1" t="s">
        <v>1853</v>
      </c>
      <c r="X325" s="4" t="s">
        <v>109</v>
      </c>
      <c r="Y325" s="4" t="s">
        <v>1853</v>
      </c>
      <c r="Z325" s="4" t="s">
        <v>1854</v>
      </c>
      <c r="AA325" s="39">
        <v>45881</v>
      </c>
      <c r="AB325" s="39">
        <v>45895</v>
      </c>
      <c r="AC325" s="1" t="s">
        <v>1853</v>
      </c>
      <c r="AD325" s="39">
        <v>45910</v>
      </c>
      <c r="AE325" s="39" t="s">
        <v>1853</v>
      </c>
      <c r="AF325" s="39">
        <v>45910</v>
      </c>
      <c r="AG325" s="39">
        <v>45910</v>
      </c>
      <c r="AH325" s="39">
        <v>49582</v>
      </c>
      <c r="AJ325" s="4" t="s">
        <v>109</v>
      </c>
      <c r="AK325" s="4" t="s">
        <v>109</v>
      </c>
      <c r="AL325" s="4" t="s">
        <v>109</v>
      </c>
      <c r="AM325" s="4" t="s">
        <v>109</v>
      </c>
      <c r="AP325" s="1">
        <v>23</v>
      </c>
    </row>
    <row r="326" spans="1:43" s="217" customFormat="1" ht="18.75" customHeight="1" x14ac:dyDescent="0.3">
      <c r="A326" s="210">
        <v>2505259</v>
      </c>
      <c r="B326" s="211" t="s">
        <v>1601</v>
      </c>
      <c r="C326" s="210" t="e" vm="11">
        <v>#VALUE!</v>
      </c>
      <c r="D326" s="210" t="s">
        <v>22</v>
      </c>
      <c r="E326" s="210" t="s">
        <v>124</v>
      </c>
      <c r="F326" s="210" t="s">
        <v>14</v>
      </c>
      <c r="G326" s="210">
        <v>19.52</v>
      </c>
      <c r="H326" s="210" t="s">
        <v>561</v>
      </c>
      <c r="I326" s="210">
        <v>32</v>
      </c>
      <c r="J326" s="212" t="s">
        <v>567</v>
      </c>
      <c r="K326" s="213"/>
      <c r="L326" s="212" t="s">
        <v>2241</v>
      </c>
      <c r="M326" s="212" t="s">
        <v>2236</v>
      </c>
      <c r="N326" s="213"/>
      <c r="O326" s="215" t="s">
        <v>109</v>
      </c>
      <c r="P326" s="215" t="s">
        <v>109</v>
      </c>
      <c r="Q326" s="213"/>
      <c r="R326" s="214">
        <v>45834</v>
      </c>
      <c r="S326" s="214">
        <v>45860</v>
      </c>
      <c r="T326" s="212" t="s">
        <v>1819</v>
      </c>
      <c r="U326" s="214"/>
      <c r="V326" s="215" t="s">
        <v>1853</v>
      </c>
      <c r="W326" s="212" t="s">
        <v>1853</v>
      </c>
      <c r="X326" s="210" t="s">
        <v>109</v>
      </c>
      <c r="Y326" s="210" t="s">
        <v>1853</v>
      </c>
      <c r="Z326" s="210" t="s">
        <v>1854</v>
      </c>
      <c r="AA326" s="215">
        <v>45864</v>
      </c>
      <c r="AB326" s="215">
        <v>45866</v>
      </c>
      <c r="AC326" s="212" t="s">
        <v>1853</v>
      </c>
      <c r="AD326" s="212" t="s">
        <v>1853</v>
      </c>
      <c r="AE326" s="215">
        <v>45870</v>
      </c>
      <c r="AF326" s="215" t="s">
        <v>1853</v>
      </c>
      <c r="AG326" s="210"/>
      <c r="AH326" s="210"/>
      <c r="AI326" s="216"/>
      <c r="AJ326" s="210" t="s">
        <v>109</v>
      </c>
      <c r="AK326" s="210" t="s">
        <v>109</v>
      </c>
      <c r="AL326" s="210" t="s">
        <v>109</v>
      </c>
      <c r="AM326" s="210" t="s">
        <v>109</v>
      </c>
      <c r="AP326" s="212">
        <v>26</v>
      </c>
      <c r="AQ326" s="218"/>
    </row>
    <row r="327" spans="1:43" s="217" customFormat="1" ht="18.75" customHeight="1" x14ac:dyDescent="0.3">
      <c r="A327" s="210">
        <v>2506758</v>
      </c>
      <c r="B327" s="211" t="s">
        <v>1605</v>
      </c>
      <c r="C327" s="210" t="e" vm="11">
        <v>#VALUE!</v>
      </c>
      <c r="D327" s="210" t="s">
        <v>22</v>
      </c>
      <c r="E327" s="210" t="s">
        <v>71</v>
      </c>
      <c r="F327" s="210" t="s">
        <v>14</v>
      </c>
      <c r="G327" s="210">
        <v>17.98</v>
      </c>
      <c r="H327" s="210" t="s">
        <v>1453</v>
      </c>
      <c r="I327" s="210">
        <v>29</v>
      </c>
      <c r="J327" s="212" t="s">
        <v>143</v>
      </c>
      <c r="K327" s="213"/>
      <c r="L327" s="212" t="s">
        <v>2241</v>
      </c>
      <c r="M327" s="212" t="s">
        <v>2236</v>
      </c>
      <c r="N327" s="213"/>
      <c r="O327" s="215" t="s">
        <v>109</v>
      </c>
      <c r="P327" s="215" t="s">
        <v>109</v>
      </c>
      <c r="Q327" s="213"/>
      <c r="R327" s="214">
        <v>45828</v>
      </c>
      <c r="S327" s="214">
        <v>45910</v>
      </c>
      <c r="T327" s="212" t="s">
        <v>1819</v>
      </c>
      <c r="U327" s="214"/>
      <c r="V327" s="215" t="s">
        <v>1853</v>
      </c>
      <c r="W327" s="212" t="s">
        <v>1853</v>
      </c>
      <c r="X327" s="210" t="s">
        <v>109</v>
      </c>
      <c r="Y327" s="210" t="s">
        <v>1853</v>
      </c>
      <c r="Z327" s="210" t="s">
        <v>1854</v>
      </c>
      <c r="AA327" s="215">
        <v>45933</v>
      </c>
      <c r="AB327" s="215">
        <v>45937</v>
      </c>
      <c r="AC327" s="212" t="s">
        <v>1853</v>
      </c>
      <c r="AD327" s="212" t="s">
        <v>1853</v>
      </c>
      <c r="AE327" s="215" t="s">
        <v>1853</v>
      </c>
      <c r="AF327" s="215" t="s">
        <v>1853</v>
      </c>
      <c r="AG327" s="210"/>
      <c r="AH327" s="210"/>
      <c r="AI327" s="216"/>
      <c r="AJ327" s="210" t="s">
        <v>109</v>
      </c>
      <c r="AK327" s="210" t="s">
        <v>109</v>
      </c>
      <c r="AL327" s="210" t="s">
        <v>109</v>
      </c>
      <c r="AM327" s="210" t="s">
        <v>109</v>
      </c>
      <c r="AP327" s="212">
        <v>82</v>
      </c>
      <c r="AQ327" s="218"/>
    </row>
    <row r="328" spans="1:43" s="208" customFormat="1" ht="18.75" customHeight="1" x14ac:dyDescent="0.3">
      <c r="A328" s="201">
        <v>2506762</v>
      </c>
      <c r="B328" s="202" t="s">
        <v>1610</v>
      </c>
      <c r="C328" s="201" t="e" vm="11">
        <v>#VALUE!</v>
      </c>
      <c r="D328" s="201" t="s">
        <v>22</v>
      </c>
      <c r="E328" s="201" t="s">
        <v>71</v>
      </c>
      <c r="F328" s="201" t="s">
        <v>14</v>
      </c>
      <c r="G328" s="201">
        <v>12.4</v>
      </c>
      <c r="H328" s="201" t="s">
        <v>1453</v>
      </c>
      <c r="I328" s="201">
        <v>20</v>
      </c>
      <c r="J328" s="203" t="s">
        <v>111</v>
      </c>
      <c r="K328" s="204"/>
      <c r="L328" s="203" t="s">
        <v>2250</v>
      </c>
      <c r="M328" s="203" t="s">
        <v>2240</v>
      </c>
      <c r="N328" s="204"/>
      <c r="O328" s="205" t="s">
        <v>109</v>
      </c>
      <c r="P328" s="205" t="s">
        <v>109</v>
      </c>
      <c r="Q328" s="204"/>
      <c r="R328" s="206"/>
      <c r="S328" s="206"/>
      <c r="T328" s="203"/>
      <c r="U328" s="206"/>
      <c r="V328" s="205" t="s">
        <v>1853</v>
      </c>
      <c r="W328" s="203" t="s">
        <v>1853</v>
      </c>
      <c r="X328" s="201" t="s">
        <v>109</v>
      </c>
      <c r="Y328" s="201" t="s">
        <v>1853</v>
      </c>
      <c r="Z328" s="201"/>
      <c r="AA328" s="205"/>
      <c r="AB328" s="205"/>
      <c r="AC328" s="203"/>
      <c r="AD328" s="203"/>
      <c r="AE328" s="205"/>
      <c r="AF328" s="205"/>
      <c r="AG328" s="201"/>
      <c r="AH328" s="201"/>
      <c r="AI328" s="207"/>
      <c r="AJ328" s="201" t="s">
        <v>109</v>
      </c>
      <c r="AK328" s="201" t="s">
        <v>109</v>
      </c>
      <c r="AL328" s="201" t="s">
        <v>109</v>
      </c>
      <c r="AM328" s="201" t="s">
        <v>109</v>
      </c>
      <c r="AP328" s="203">
        <v>0</v>
      </c>
      <c r="AQ328" s="209"/>
    </row>
    <row r="329" spans="1:43" s="217" customFormat="1" ht="18.75" customHeight="1" x14ac:dyDescent="0.3">
      <c r="A329" s="210">
        <v>2506753</v>
      </c>
      <c r="B329" s="211" t="s">
        <v>1615</v>
      </c>
      <c r="C329" s="210" t="e" vm="11">
        <v>#VALUE!</v>
      </c>
      <c r="D329" s="210" t="s">
        <v>22</v>
      </c>
      <c r="E329" s="210" t="s">
        <v>71</v>
      </c>
      <c r="F329" s="210" t="s">
        <v>14</v>
      </c>
      <c r="G329" s="210">
        <v>11.78</v>
      </c>
      <c r="H329" s="210" t="s">
        <v>1453</v>
      </c>
      <c r="I329" s="210">
        <v>19</v>
      </c>
      <c r="J329" s="212" t="s">
        <v>111</v>
      </c>
      <c r="K329" s="213"/>
      <c r="L329" s="212" t="s">
        <v>2241</v>
      </c>
      <c r="M329" s="212" t="s">
        <v>2236</v>
      </c>
      <c r="N329" s="213"/>
      <c r="O329" s="215" t="s">
        <v>109</v>
      </c>
      <c r="P329" s="215" t="s">
        <v>109</v>
      </c>
      <c r="Q329" s="213"/>
      <c r="R329" s="214">
        <v>45833</v>
      </c>
      <c r="S329" s="214">
        <v>111596</v>
      </c>
      <c r="T329" s="212" t="s">
        <v>1819</v>
      </c>
      <c r="U329" s="214"/>
      <c r="V329" s="215" t="s">
        <v>1853</v>
      </c>
      <c r="W329" s="212" t="s">
        <v>1853</v>
      </c>
      <c r="X329" s="210" t="s">
        <v>109</v>
      </c>
      <c r="Y329" s="210" t="s">
        <v>1853</v>
      </c>
      <c r="Z329" s="210" t="s">
        <v>1854</v>
      </c>
      <c r="AA329" s="215">
        <v>45868</v>
      </c>
      <c r="AB329" s="215">
        <v>45869</v>
      </c>
      <c r="AC329" s="212" t="s">
        <v>1853</v>
      </c>
      <c r="AD329" s="215">
        <v>45874</v>
      </c>
      <c r="AE329" s="215">
        <v>45870</v>
      </c>
      <c r="AF329" s="215">
        <v>45874</v>
      </c>
      <c r="AG329" s="210"/>
      <c r="AH329" s="210"/>
      <c r="AI329" s="216"/>
      <c r="AJ329" s="210" t="s">
        <v>109</v>
      </c>
      <c r="AK329" s="210" t="s">
        <v>109</v>
      </c>
      <c r="AL329" s="210" t="s">
        <v>109</v>
      </c>
      <c r="AM329" s="210" t="s">
        <v>109</v>
      </c>
      <c r="AP329" s="212">
        <v>65763</v>
      </c>
      <c r="AQ329" s="218"/>
    </row>
    <row r="330" spans="1:43" s="217" customFormat="1" ht="18.75" customHeight="1" x14ac:dyDescent="0.3">
      <c r="A330" s="210">
        <v>2506768</v>
      </c>
      <c r="B330" s="211" t="s">
        <v>1620</v>
      </c>
      <c r="C330" s="210" t="e" vm="11">
        <v>#VALUE!</v>
      </c>
      <c r="D330" s="210" t="s">
        <v>22</v>
      </c>
      <c r="E330" s="210" t="s">
        <v>71</v>
      </c>
      <c r="F330" s="210" t="s">
        <v>14</v>
      </c>
      <c r="G330" s="210">
        <v>11.16</v>
      </c>
      <c r="H330" s="210" t="s">
        <v>1453</v>
      </c>
      <c r="I330" s="210">
        <v>18</v>
      </c>
      <c r="J330" s="212" t="s">
        <v>111</v>
      </c>
      <c r="K330" s="213"/>
      <c r="L330" s="212" t="s">
        <v>2241</v>
      </c>
      <c r="M330" s="212" t="s">
        <v>2238</v>
      </c>
      <c r="N330" s="213"/>
      <c r="O330" s="215" t="s">
        <v>109</v>
      </c>
      <c r="P330" s="215" t="s">
        <v>109</v>
      </c>
      <c r="Q330" s="213"/>
      <c r="R330" s="214">
        <v>45833</v>
      </c>
      <c r="S330" s="214">
        <v>45854</v>
      </c>
      <c r="T330" s="212" t="s">
        <v>1819</v>
      </c>
      <c r="U330" s="214"/>
      <c r="V330" s="215" t="s">
        <v>1853</v>
      </c>
      <c r="W330" s="212" t="s">
        <v>1853</v>
      </c>
      <c r="X330" s="210" t="s">
        <v>109</v>
      </c>
      <c r="Y330" s="210" t="s">
        <v>1853</v>
      </c>
      <c r="Z330" s="210" t="s">
        <v>1854</v>
      </c>
      <c r="AA330" s="215">
        <v>45885</v>
      </c>
      <c r="AB330" s="215">
        <v>45891</v>
      </c>
      <c r="AC330" s="212" t="s">
        <v>1853</v>
      </c>
      <c r="AD330" s="215">
        <v>45932</v>
      </c>
      <c r="AE330" s="215">
        <v>45897</v>
      </c>
      <c r="AF330" s="215">
        <v>45932</v>
      </c>
      <c r="AG330" s="210"/>
      <c r="AH330" s="210"/>
      <c r="AI330" s="216"/>
      <c r="AJ330" s="210" t="s">
        <v>109</v>
      </c>
      <c r="AK330" s="210" t="s">
        <v>109</v>
      </c>
      <c r="AL330" s="210" t="s">
        <v>109</v>
      </c>
      <c r="AM330" s="210" t="s">
        <v>109</v>
      </c>
      <c r="AP330" s="212">
        <v>21</v>
      </c>
      <c r="AQ330" s="218"/>
    </row>
    <row r="331" spans="1:43" s="217" customFormat="1" ht="18.75" customHeight="1" x14ac:dyDescent="0.3">
      <c r="A331" s="210">
        <v>2506761</v>
      </c>
      <c r="B331" s="211" t="s">
        <v>1625</v>
      </c>
      <c r="C331" s="210" t="e" vm="11">
        <v>#VALUE!</v>
      </c>
      <c r="D331" s="210" t="s">
        <v>22</v>
      </c>
      <c r="E331" s="210" t="s">
        <v>71</v>
      </c>
      <c r="F331" s="210" t="s">
        <v>14</v>
      </c>
      <c r="G331" s="210">
        <v>13.64</v>
      </c>
      <c r="H331" s="210" t="s">
        <v>1453</v>
      </c>
      <c r="I331" s="210">
        <v>22</v>
      </c>
      <c r="J331" s="212" t="s">
        <v>143</v>
      </c>
      <c r="K331" s="213"/>
      <c r="L331" s="212" t="s">
        <v>2241</v>
      </c>
      <c r="M331" s="212" t="s">
        <v>2236</v>
      </c>
      <c r="N331" s="213"/>
      <c r="O331" s="215" t="s">
        <v>109</v>
      </c>
      <c r="P331" s="215" t="s">
        <v>109</v>
      </c>
      <c r="Q331" s="213"/>
      <c r="R331" s="214">
        <v>45833</v>
      </c>
      <c r="S331" s="214">
        <v>45908</v>
      </c>
      <c r="T331" s="212" t="s">
        <v>1819</v>
      </c>
      <c r="U331" s="214"/>
      <c r="V331" s="210" t="s">
        <v>1853</v>
      </c>
      <c r="W331" s="210" t="s">
        <v>1853</v>
      </c>
      <c r="X331" s="210" t="s">
        <v>109</v>
      </c>
      <c r="Y331" s="210" t="s">
        <v>1853</v>
      </c>
      <c r="Z331" s="210" t="s">
        <v>1854</v>
      </c>
      <c r="AA331" s="215">
        <v>45917</v>
      </c>
      <c r="AB331" s="215" t="s">
        <v>1853</v>
      </c>
      <c r="AC331" s="212" t="s">
        <v>1853</v>
      </c>
      <c r="AD331" s="212" t="s">
        <v>1853</v>
      </c>
      <c r="AE331" s="215">
        <v>45922</v>
      </c>
      <c r="AF331" s="215" t="s">
        <v>1853</v>
      </c>
      <c r="AG331" s="210"/>
      <c r="AH331" s="210"/>
      <c r="AI331" s="216"/>
      <c r="AJ331" s="210" t="s">
        <v>109</v>
      </c>
      <c r="AK331" s="210" t="s">
        <v>109</v>
      </c>
      <c r="AL331" s="210" t="s">
        <v>109</v>
      </c>
      <c r="AM331" s="210" t="s">
        <v>109</v>
      </c>
      <c r="AP331" s="212">
        <v>75</v>
      </c>
      <c r="AQ331" s="218"/>
    </row>
    <row r="332" spans="1:43" s="217" customFormat="1" ht="18.75" customHeight="1" x14ac:dyDescent="0.3">
      <c r="A332" s="210">
        <v>2506779</v>
      </c>
      <c r="B332" s="211" t="s">
        <v>1630</v>
      </c>
      <c r="C332" s="210" t="e" vm="11">
        <v>#VALUE!</v>
      </c>
      <c r="D332" s="210" t="s">
        <v>22</v>
      </c>
      <c r="E332" s="210" t="s">
        <v>71</v>
      </c>
      <c r="F332" s="210" t="s">
        <v>14</v>
      </c>
      <c r="G332" s="210">
        <v>7.44</v>
      </c>
      <c r="H332" s="210" t="s">
        <v>1453</v>
      </c>
      <c r="I332" s="210">
        <v>12</v>
      </c>
      <c r="J332" s="212" t="s">
        <v>286</v>
      </c>
      <c r="K332" s="213"/>
      <c r="L332" s="212" t="s">
        <v>2241</v>
      </c>
      <c r="M332" s="212" t="s">
        <v>2236</v>
      </c>
      <c r="N332" s="213"/>
      <c r="O332" s="215" t="s">
        <v>109</v>
      </c>
      <c r="P332" s="215" t="s">
        <v>109</v>
      </c>
      <c r="Q332" s="213"/>
      <c r="R332" s="214">
        <v>45833</v>
      </c>
      <c r="S332" s="214">
        <v>45854</v>
      </c>
      <c r="T332" s="212" t="s">
        <v>1819</v>
      </c>
      <c r="U332" s="214"/>
      <c r="V332" s="210" t="s">
        <v>1853</v>
      </c>
      <c r="W332" s="210" t="s">
        <v>1853</v>
      </c>
      <c r="X332" s="210" t="s">
        <v>109</v>
      </c>
      <c r="Y332" s="210" t="s">
        <v>1853</v>
      </c>
      <c r="Z332" s="210" t="s">
        <v>1854</v>
      </c>
      <c r="AA332" s="215">
        <v>45882</v>
      </c>
      <c r="AB332" s="215">
        <v>45888</v>
      </c>
      <c r="AC332" s="212" t="s">
        <v>1853</v>
      </c>
      <c r="AD332" s="212" t="s">
        <v>1853</v>
      </c>
      <c r="AE332" s="215">
        <v>45891</v>
      </c>
      <c r="AF332" s="215" t="s">
        <v>1853</v>
      </c>
      <c r="AG332" s="210"/>
      <c r="AH332" s="210"/>
      <c r="AI332" s="216"/>
      <c r="AJ332" s="210" t="s">
        <v>109</v>
      </c>
      <c r="AK332" s="210" t="s">
        <v>109</v>
      </c>
      <c r="AL332" s="210" t="s">
        <v>109</v>
      </c>
      <c r="AM332" s="210" t="s">
        <v>109</v>
      </c>
      <c r="AP332" s="212">
        <v>21</v>
      </c>
      <c r="AQ332" s="218"/>
    </row>
    <row r="333" spans="1:43" s="217" customFormat="1" ht="18.75" customHeight="1" x14ac:dyDescent="0.3">
      <c r="A333" s="210">
        <v>2506781</v>
      </c>
      <c r="B333" s="211" t="s">
        <v>1635</v>
      </c>
      <c r="C333" s="210" t="e" vm="11">
        <v>#VALUE!</v>
      </c>
      <c r="D333" s="210" t="s">
        <v>22</v>
      </c>
      <c r="E333" s="210" t="s">
        <v>71</v>
      </c>
      <c r="F333" s="210" t="s">
        <v>14</v>
      </c>
      <c r="G333" s="210">
        <v>7.44</v>
      </c>
      <c r="H333" s="210" t="s">
        <v>1453</v>
      </c>
      <c r="I333" s="210">
        <v>12</v>
      </c>
      <c r="J333" s="212" t="s">
        <v>286</v>
      </c>
      <c r="K333" s="213"/>
      <c r="L333" s="212" t="s">
        <v>2241</v>
      </c>
      <c r="M333" s="212" t="s">
        <v>2238</v>
      </c>
      <c r="N333" s="213"/>
      <c r="O333" s="215" t="s">
        <v>109</v>
      </c>
      <c r="P333" s="215" t="s">
        <v>109</v>
      </c>
      <c r="Q333" s="213"/>
      <c r="R333" s="214">
        <v>45833</v>
      </c>
      <c r="S333" s="214">
        <v>45854</v>
      </c>
      <c r="T333" s="212" t="s">
        <v>1819</v>
      </c>
      <c r="U333" s="214"/>
      <c r="V333" s="210" t="s">
        <v>1853</v>
      </c>
      <c r="W333" s="210" t="s">
        <v>1853</v>
      </c>
      <c r="X333" s="210" t="s">
        <v>109</v>
      </c>
      <c r="Y333" s="210" t="s">
        <v>1853</v>
      </c>
      <c r="Z333" s="210" t="s">
        <v>1854</v>
      </c>
      <c r="AA333" s="215">
        <v>45894</v>
      </c>
      <c r="AB333" s="215">
        <v>45910</v>
      </c>
      <c r="AC333" s="212" t="s">
        <v>1853</v>
      </c>
      <c r="AD333" s="215">
        <v>45939</v>
      </c>
      <c r="AE333" s="215">
        <v>45938</v>
      </c>
      <c r="AF333" s="215">
        <v>45939</v>
      </c>
      <c r="AG333" s="210"/>
      <c r="AH333" s="210"/>
      <c r="AI333" s="216"/>
      <c r="AJ333" s="210" t="s">
        <v>109</v>
      </c>
      <c r="AK333" s="210" t="s">
        <v>109</v>
      </c>
      <c r="AL333" s="210" t="s">
        <v>109</v>
      </c>
      <c r="AM333" s="210" t="s">
        <v>109</v>
      </c>
      <c r="AP333" s="212">
        <v>21</v>
      </c>
      <c r="AQ333" s="218"/>
    </row>
    <row r="334" spans="1:43" s="217" customFormat="1" ht="18.75" customHeight="1" x14ac:dyDescent="0.3">
      <c r="A334" s="210">
        <v>2506782</v>
      </c>
      <c r="B334" s="211" t="s">
        <v>1640</v>
      </c>
      <c r="C334" s="210" t="e" vm="11">
        <v>#VALUE!</v>
      </c>
      <c r="D334" s="210" t="s">
        <v>22</v>
      </c>
      <c r="E334" s="210" t="s">
        <v>71</v>
      </c>
      <c r="F334" s="210" t="s">
        <v>14</v>
      </c>
      <c r="G334" s="210">
        <v>14.88</v>
      </c>
      <c r="H334" s="210" t="s">
        <v>1453</v>
      </c>
      <c r="I334" s="210">
        <v>24</v>
      </c>
      <c r="J334" s="212" t="s">
        <v>143</v>
      </c>
      <c r="K334" s="213"/>
      <c r="L334" s="212" t="s">
        <v>2241</v>
      </c>
      <c r="M334" s="212" t="s">
        <v>2236</v>
      </c>
      <c r="N334" s="213"/>
      <c r="O334" s="215" t="s">
        <v>109</v>
      </c>
      <c r="P334" s="215" t="s">
        <v>109</v>
      </c>
      <c r="Q334" s="213"/>
      <c r="R334" s="214">
        <v>45833</v>
      </c>
      <c r="S334" s="214">
        <v>45854</v>
      </c>
      <c r="T334" s="212" t="s">
        <v>1819</v>
      </c>
      <c r="U334" s="214"/>
      <c r="V334" s="210" t="s">
        <v>1853</v>
      </c>
      <c r="W334" s="210" t="s">
        <v>1853</v>
      </c>
      <c r="X334" s="210" t="s">
        <v>109</v>
      </c>
      <c r="Y334" s="210" t="s">
        <v>1853</v>
      </c>
      <c r="Z334" s="210" t="s">
        <v>1854</v>
      </c>
      <c r="AA334" s="215">
        <v>45896</v>
      </c>
      <c r="AB334" s="215">
        <v>45896</v>
      </c>
      <c r="AC334" s="212" t="s">
        <v>1853</v>
      </c>
      <c r="AD334" s="215">
        <v>45913</v>
      </c>
      <c r="AE334" s="215" t="s">
        <v>1853</v>
      </c>
      <c r="AF334" s="215">
        <v>45913</v>
      </c>
      <c r="AG334" s="210"/>
      <c r="AH334" s="210"/>
      <c r="AI334" s="216"/>
      <c r="AJ334" s="210" t="s">
        <v>109</v>
      </c>
      <c r="AK334" s="210" t="s">
        <v>109</v>
      </c>
      <c r="AL334" s="210" t="s">
        <v>109</v>
      </c>
      <c r="AM334" s="210" t="s">
        <v>109</v>
      </c>
      <c r="AP334" s="212">
        <v>21</v>
      </c>
      <c r="AQ334" s="218"/>
    </row>
    <row r="335" spans="1:43" s="172" customFormat="1" ht="18.75" customHeight="1" x14ac:dyDescent="0.3">
      <c r="A335" s="165">
        <v>2506746</v>
      </c>
      <c r="B335" s="166" t="s">
        <v>1645</v>
      </c>
      <c r="C335" s="165" t="e" vm="11">
        <v>#VALUE!</v>
      </c>
      <c r="D335" s="165" t="s">
        <v>22</v>
      </c>
      <c r="E335" s="165" t="s">
        <v>71</v>
      </c>
      <c r="F335" s="165" t="s">
        <v>14</v>
      </c>
      <c r="G335" s="165">
        <v>9.92</v>
      </c>
      <c r="H335" s="165" t="s">
        <v>1453</v>
      </c>
      <c r="I335" s="165">
        <v>16</v>
      </c>
      <c r="J335" s="167" t="s">
        <v>364</v>
      </c>
      <c r="K335" s="168"/>
      <c r="L335" s="167" t="s">
        <v>2246</v>
      </c>
      <c r="M335" s="167" t="s">
        <v>2240</v>
      </c>
      <c r="N335" s="168"/>
      <c r="O335" s="170" t="s">
        <v>109</v>
      </c>
      <c r="P335" s="170" t="s">
        <v>109</v>
      </c>
      <c r="Q335" s="168"/>
      <c r="R335" s="169">
        <v>45833</v>
      </c>
      <c r="S335" s="169">
        <v>45855</v>
      </c>
      <c r="T335" s="167" t="s">
        <v>1819</v>
      </c>
      <c r="U335" s="169">
        <v>46197</v>
      </c>
      <c r="V335" s="165" t="s">
        <v>1853</v>
      </c>
      <c r="W335" s="165" t="s">
        <v>1853</v>
      </c>
      <c r="X335" s="165" t="s">
        <v>109</v>
      </c>
      <c r="Y335" s="165" t="s">
        <v>1853</v>
      </c>
      <c r="Z335" s="165"/>
      <c r="AA335" s="170"/>
      <c r="AB335" s="170"/>
      <c r="AC335" s="167"/>
      <c r="AD335" s="167"/>
      <c r="AE335" s="170"/>
      <c r="AF335" s="170"/>
      <c r="AG335" s="165"/>
      <c r="AH335" s="165"/>
      <c r="AI335" s="171"/>
      <c r="AJ335" s="165" t="s">
        <v>109</v>
      </c>
      <c r="AK335" s="165" t="s">
        <v>109</v>
      </c>
      <c r="AL335" s="165" t="s">
        <v>109</v>
      </c>
      <c r="AM335" s="165" t="s">
        <v>109</v>
      </c>
      <c r="AP335" s="167">
        <v>22</v>
      </c>
      <c r="AQ335" s="173"/>
    </row>
    <row r="336" spans="1:43" s="172" customFormat="1" ht="18.75" customHeight="1" x14ac:dyDescent="0.3">
      <c r="A336" s="165">
        <v>2506780</v>
      </c>
      <c r="B336" s="166" t="s">
        <v>1649</v>
      </c>
      <c r="C336" s="165" t="e" vm="11">
        <v>#VALUE!</v>
      </c>
      <c r="D336" s="165" t="s">
        <v>22</v>
      </c>
      <c r="E336" s="165" t="s">
        <v>71</v>
      </c>
      <c r="F336" s="165" t="s">
        <v>14</v>
      </c>
      <c r="G336" s="165">
        <v>9.92</v>
      </c>
      <c r="H336" s="165" t="s">
        <v>1453</v>
      </c>
      <c r="I336" s="165">
        <v>16</v>
      </c>
      <c r="J336" s="167" t="s">
        <v>364</v>
      </c>
      <c r="K336" s="168"/>
      <c r="L336" s="167" t="s">
        <v>2246</v>
      </c>
      <c r="M336" s="167" t="s">
        <v>2238</v>
      </c>
      <c r="N336" s="168"/>
      <c r="O336" s="170" t="s">
        <v>109</v>
      </c>
      <c r="P336" s="170" t="s">
        <v>109</v>
      </c>
      <c r="Q336" s="168"/>
      <c r="R336" s="169">
        <v>45833</v>
      </c>
      <c r="S336" s="169">
        <v>45908</v>
      </c>
      <c r="T336" s="167" t="s">
        <v>1819</v>
      </c>
      <c r="U336" s="169">
        <v>46197</v>
      </c>
      <c r="V336" s="165" t="s">
        <v>1853</v>
      </c>
      <c r="W336" s="165" t="s">
        <v>1853</v>
      </c>
      <c r="X336" s="165" t="s">
        <v>109</v>
      </c>
      <c r="Y336" s="165" t="s">
        <v>1853</v>
      </c>
      <c r="Z336" s="165"/>
      <c r="AA336" s="170"/>
      <c r="AB336" s="170"/>
      <c r="AC336" s="167"/>
      <c r="AD336" s="167"/>
      <c r="AE336" s="170"/>
      <c r="AF336" s="170"/>
      <c r="AG336" s="165"/>
      <c r="AH336" s="165"/>
      <c r="AI336" s="171"/>
      <c r="AJ336" s="165" t="s">
        <v>109</v>
      </c>
      <c r="AK336" s="165" t="s">
        <v>109</v>
      </c>
      <c r="AL336" s="165" t="s">
        <v>109</v>
      </c>
      <c r="AM336" s="165" t="s">
        <v>109</v>
      </c>
      <c r="AP336" s="167">
        <v>75</v>
      </c>
      <c r="AQ336" s="173"/>
    </row>
    <row r="337" spans="1:43" s="172" customFormat="1" ht="18.75" customHeight="1" x14ac:dyDescent="0.3">
      <c r="A337" s="165">
        <v>2506778</v>
      </c>
      <c r="B337" s="166" t="s">
        <v>1654</v>
      </c>
      <c r="C337" s="165" t="e" vm="11">
        <v>#VALUE!</v>
      </c>
      <c r="D337" s="165" t="s">
        <v>22</v>
      </c>
      <c r="E337" s="165" t="s">
        <v>71</v>
      </c>
      <c r="F337" s="165" t="s">
        <v>14</v>
      </c>
      <c r="G337" s="165">
        <v>7.44</v>
      </c>
      <c r="H337" s="165" t="s">
        <v>1453</v>
      </c>
      <c r="I337" s="165">
        <v>12</v>
      </c>
      <c r="J337" s="167" t="s">
        <v>286</v>
      </c>
      <c r="K337" s="168"/>
      <c r="L337" s="167" t="s">
        <v>2246</v>
      </c>
      <c r="M337" s="167" t="s">
        <v>2240</v>
      </c>
      <c r="N337" s="168"/>
      <c r="O337" s="170" t="s">
        <v>109</v>
      </c>
      <c r="P337" s="170" t="s">
        <v>109</v>
      </c>
      <c r="Q337" s="168"/>
      <c r="R337" s="169">
        <v>45833</v>
      </c>
      <c r="S337" s="169">
        <v>45854</v>
      </c>
      <c r="T337" s="167" t="s">
        <v>1819</v>
      </c>
      <c r="U337" s="169">
        <v>46197</v>
      </c>
      <c r="V337" s="165" t="s">
        <v>1853</v>
      </c>
      <c r="W337" s="165" t="s">
        <v>1853</v>
      </c>
      <c r="X337" s="165" t="s">
        <v>109</v>
      </c>
      <c r="Y337" s="165" t="s">
        <v>1853</v>
      </c>
      <c r="Z337" s="165"/>
      <c r="AA337" s="170"/>
      <c r="AB337" s="170"/>
      <c r="AC337" s="167"/>
      <c r="AD337" s="167"/>
      <c r="AE337" s="170"/>
      <c r="AF337" s="170"/>
      <c r="AG337" s="165"/>
      <c r="AH337" s="165"/>
      <c r="AI337" s="171"/>
      <c r="AJ337" s="165" t="s">
        <v>109</v>
      </c>
      <c r="AK337" s="165" t="s">
        <v>109</v>
      </c>
      <c r="AL337" s="165" t="s">
        <v>109</v>
      </c>
      <c r="AM337" s="165" t="s">
        <v>109</v>
      </c>
      <c r="AP337" s="167">
        <v>21</v>
      </c>
      <c r="AQ337" s="173"/>
    </row>
    <row r="338" spans="1:43" s="217" customFormat="1" ht="18.75" customHeight="1" x14ac:dyDescent="0.3">
      <c r="A338" s="210">
        <v>2506745</v>
      </c>
      <c r="B338" s="211" t="s">
        <v>1658</v>
      </c>
      <c r="C338" s="210" t="e" vm="5">
        <v>#VALUE!</v>
      </c>
      <c r="D338" s="210" t="s">
        <v>17</v>
      </c>
      <c r="E338" s="210" t="s">
        <v>71</v>
      </c>
      <c r="F338" s="210" t="s">
        <v>14</v>
      </c>
      <c r="G338" s="210">
        <v>14.88</v>
      </c>
      <c r="H338" s="210" t="s">
        <v>1453</v>
      </c>
      <c r="I338" s="210">
        <v>24</v>
      </c>
      <c r="J338" s="212" t="s">
        <v>143</v>
      </c>
      <c r="K338" s="213"/>
      <c r="L338" s="212" t="s">
        <v>2241</v>
      </c>
      <c r="M338" s="212" t="s">
        <v>2236</v>
      </c>
      <c r="N338" s="213"/>
      <c r="O338" s="215" t="s">
        <v>109</v>
      </c>
      <c r="P338" s="215" t="s">
        <v>109</v>
      </c>
      <c r="Q338" s="213"/>
      <c r="R338" s="214">
        <v>45828</v>
      </c>
      <c r="S338" s="214">
        <v>45871</v>
      </c>
      <c r="T338" s="212" t="s">
        <v>1819</v>
      </c>
      <c r="U338" s="214"/>
      <c r="V338" s="210" t="s">
        <v>1853</v>
      </c>
      <c r="W338" s="210" t="s">
        <v>1853</v>
      </c>
      <c r="X338" s="210" t="s">
        <v>109</v>
      </c>
      <c r="Y338" s="210" t="s">
        <v>1853</v>
      </c>
      <c r="Z338" s="210" t="s">
        <v>1855</v>
      </c>
      <c r="AA338" s="215">
        <v>45873</v>
      </c>
      <c r="AB338" s="215">
        <v>45873</v>
      </c>
      <c r="AC338" s="212" t="s">
        <v>1853</v>
      </c>
      <c r="AD338" s="215">
        <v>45883</v>
      </c>
      <c r="AE338" s="215">
        <v>45883</v>
      </c>
      <c r="AF338" s="215">
        <v>45883</v>
      </c>
      <c r="AG338" s="210"/>
      <c r="AH338" s="210"/>
      <c r="AI338" s="216"/>
      <c r="AJ338" s="210" t="s">
        <v>109</v>
      </c>
      <c r="AK338" s="210" t="s">
        <v>109</v>
      </c>
      <c r="AL338" s="210" t="s">
        <v>109</v>
      </c>
      <c r="AM338" s="210" t="s">
        <v>109</v>
      </c>
      <c r="AP338" s="212">
        <v>43</v>
      </c>
      <c r="AQ338" s="218"/>
    </row>
    <row r="339" spans="1:43" s="217" customFormat="1" ht="18.75" customHeight="1" x14ac:dyDescent="0.3">
      <c r="A339" s="210">
        <v>2506789</v>
      </c>
      <c r="B339" s="211" t="s">
        <v>1663</v>
      </c>
      <c r="C339" s="210" t="e" vm="11">
        <v>#VALUE!</v>
      </c>
      <c r="D339" s="210" t="s">
        <v>22</v>
      </c>
      <c r="E339" s="210" t="s">
        <v>71</v>
      </c>
      <c r="F339" s="210" t="s">
        <v>14</v>
      </c>
      <c r="G339" s="210">
        <v>9.92</v>
      </c>
      <c r="H339" s="210" t="s">
        <v>1453</v>
      </c>
      <c r="I339" s="210">
        <v>16</v>
      </c>
      <c r="J339" s="212" t="s">
        <v>364</v>
      </c>
      <c r="K339" s="213"/>
      <c r="L339" s="212" t="s">
        <v>2241</v>
      </c>
      <c r="M339" s="212" t="s">
        <v>2236</v>
      </c>
      <c r="N339" s="213"/>
      <c r="O339" s="215" t="s">
        <v>109</v>
      </c>
      <c r="P339" s="215" t="s">
        <v>109</v>
      </c>
      <c r="Q339" s="213"/>
      <c r="R339" s="214">
        <v>45834</v>
      </c>
      <c r="S339" s="214">
        <v>45855</v>
      </c>
      <c r="T339" s="212" t="s">
        <v>1819</v>
      </c>
      <c r="U339" s="214"/>
      <c r="V339" s="210" t="s">
        <v>1853</v>
      </c>
      <c r="W339" s="210" t="s">
        <v>1853</v>
      </c>
      <c r="X339" s="210" t="s">
        <v>109</v>
      </c>
      <c r="Y339" s="210" t="s">
        <v>1853</v>
      </c>
      <c r="Z339" s="210" t="s">
        <v>1854</v>
      </c>
      <c r="AA339" s="215">
        <v>45889</v>
      </c>
      <c r="AB339" s="215">
        <v>45891</v>
      </c>
      <c r="AC339" s="212" t="s">
        <v>1853</v>
      </c>
      <c r="AD339" s="215">
        <v>45925</v>
      </c>
      <c r="AE339" s="215">
        <v>45897</v>
      </c>
      <c r="AF339" s="215">
        <v>45925</v>
      </c>
      <c r="AG339" s="210"/>
      <c r="AH339" s="210"/>
      <c r="AI339" s="216"/>
      <c r="AJ339" s="210" t="s">
        <v>109</v>
      </c>
      <c r="AK339" s="210" t="s">
        <v>109</v>
      </c>
      <c r="AL339" s="210" t="s">
        <v>109</v>
      </c>
      <c r="AM339" s="210" t="s">
        <v>109</v>
      </c>
      <c r="AP339" s="212">
        <v>21</v>
      </c>
      <c r="AQ339" s="218"/>
    </row>
    <row r="340" spans="1:43" ht="18.75" customHeight="1" x14ac:dyDescent="0.3">
      <c r="A340" s="4">
        <v>2404254</v>
      </c>
      <c r="B340" s="110" t="s">
        <v>1668</v>
      </c>
      <c r="C340" s="4" t="e" vm="11">
        <v>#VALUE!</v>
      </c>
      <c r="D340" s="4" t="s">
        <v>19</v>
      </c>
      <c r="E340" s="4" t="s">
        <v>71</v>
      </c>
      <c r="F340" s="4" t="s">
        <v>15</v>
      </c>
      <c r="G340" s="4">
        <v>5.58</v>
      </c>
      <c r="H340" s="4" t="s">
        <v>1453</v>
      </c>
      <c r="I340" s="4">
        <v>9</v>
      </c>
      <c r="J340" s="1" t="s">
        <v>286</v>
      </c>
      <c r="K340" s="127"/>
      <c r="L340" s="1" t="s">
        <v>1853</v>
      </c>
      <c r="M340" s="1" t="s">
        <v>2236</v>
      </c>
      <c r="N340" s="127"/>
      <c r="O340" s="39" t="s">
        <v>109</v>
      </c>
      <c r="P340" s="39" t="s">
        <v>109</v>
      </c>
      <c r="Q340" s="127"/>
      <c r="R340" s="56" t="s">
        <v>109</v>
      </c>
      <c r="S340" s="56" t="s">
        <v>109</v>
      </c>
      <c r="T340" s="56" t="s">
        <v>109</v>
      </c>
      <c r="U340" s="56" t="s">
        <v>109</v>
      </c>
      <c r="V340" s="4" t="s">
        <v>1853</v>
      </c>
      <c r="W340" s="4" t="s">
        <v>1853</v>
      </c>
      <c r="X340" s="4" t="s">
        <v>109</v>
      </c>
      <c r="Y340" s="4" t="s">
        <v>1853</v>
      </c>
      <c r="Z340" s="4" t="s">
        <v>1854</v>
      </c>
      <c r="AA340" s="39">
        <v>45887</v>
      </c>
      <c r="AB340" s="39" t="s">
        <v>109</v>
      </c>
      <c r="AC340" s="39" t="s">
        <v>109</v>
      </c>
      <c r="AD340" s="39" t="s">
        <v>109</v>
      </c>
      <c r="AE340" s="39" t="s">
        <v>109</v>
      </c>
      <c r="AF340" s="39" t="s">
        <v>109</v>
      </c>
      <c r="AG340" s="39" t="s">
        <v>109</v>
      </c>
      <c r="AH340" s="39" t="s">
        <v>109</v>
      </c>
      <c r="AJ340" s="4" t="s">
        <v>109</v>
      </c>
      <c r="AK340" s="4" t="s">
        <v>109</v>
      </c>
      <c r="AL340" s="4" t="s">
        <v>109</v>
      </c>
      <c r="AM340" s="4" t="s">
        <v>109</v>
      </c>
      <c r="AP340" s="1" t="e">
        <v>#VALUE!</v>
      </c>
    </row>
    <row r="341" spans="1:43" s="217" customFormat="1" ht="18.75" customHeight="1" x14ac:dyDescent="0.3">
      <c r="A341" s="210">
        <v>2506732</v>
      </c>
      <c r="B341" s="211" t="s">
        <v>1673</v>
      </c>
      <c r="C341" s="210" t="e" vm="11">
        <v>#VALUE!</v>
      </c>
      <c r="D341" s="210" t="s">
        <v>20</v>
      </c>
      <c r="E341" s="210" t="s">
        <v>71</v>
      </c>
      <c r="F341" s="210" t="s">
        <v>14</v>
      </c>
      <c r="G341" s="210">
        <v>7.44</v>
      </c>
      <c r="H341" s="210" t="s">
        <v>1453</v>
      </c>
      <c r="I341" s="210">
        <v>12</v>
      </c>
      <c r="J341" s="212" t="s">
        <v>286</v>
      </c>
      <c r="K341" s="213"/>
      <c r="L341" s="212" t="s">
        <v>2241</v>
      </c>
      <c r="M341" s="212" t="s">
        <v>2238</v>
      </c>
      <c r="N341" s="213"/>
      <c r="O341" s="215" t="s">
        <v>109</v>
      </c>
      <c r="P341" s="215" t="s">
        <v>109</v>
      </c>
      <c r="Q341" s="213"/>
      <c r="R341" s="214">
        <v>45834</v>
      </c>
      <c r="S341" s="214">
        <v>45855</v>
      </c>
      <c r="T341" s="212" t="s">
        <v>1819</v>
      </c>
      <c r="U341" s="214"/>
      <c r="V341" s="210" t="s">
        <v>1853</v>
      </c>
      <c r="W341" s="210" t="s">
        <v>1853</v>
      </c>
      <c r="X341" s="210" t="s">
        <v>109</v>
      </c>
      <c r="Y341" s="210" t="s">
        <v>1853</v>
      </c>
      <c r="Z341" s="210" t="s">
        <v>1855</v>
      </c>
      <c r="AA341" s="215">
        <v>45889</v>
      </c>
      <c r="AB341" s="215">
        <v>45889</v>
      </c>
      <c r="AC341" s="212" t="s">
        <v>1853</v>
      </c>
      <c r="AD341" s="215">
        <v>45905</v>
      </c>
      <c r="AE341" s="215" t="s">
        <v>1853</v>
      </c>
      <c r="AF341" s="215">
        <v>45905</v>
      </c>
      <c r="AG341" s="210"/>
      <c r="AH341" s="210"/>
      <c r="AI341" s="216"/>
      <c r="AJ341" s="210" t="s">
        <v>109</v>
      </c>
      <c r="AK341" s="210" t="s">
        <v>109</v>
      </c>
      <c r="AL341" s="210" t="s">
        <v>109</v>
      </c>
      <c r="AM341" s="210" t="s">
        <v>109</v>
      </c>
      <c r="AP341" s="212">
        <v>21</v>
      </c>
      <c r="AQ341" s="218"/>
    </row>
    <row r="342" spans="1:43" ht="18.75" customHeight="1" x14ac:dyDescent="0.3">
      <c r="A342" s="4">
        <v>2506767</v>
      </c>
      <c r="B342" s="110" t="s">
        <v>1678</v>
      </c>
      <c r="C342" s="4" t="e" vm="5">
        <v>#VALUE!</v>
      </c>
      <c r="D342" s="4" t="s">
        <v>17</v>
      </c>
      <c r="E342" s="4" t="s">
        <v>71</v>
      </c>
      <c r="F342" s="4" t="s">
        <v>14</v>
      </c>
      <c r="G342" s="4">
        <v>7.44</v>
      </c>
      <c r="H342" s="4" t="s">
        <v>1453</v>
      </c>
      <c r="I342" s="4">
        <v>12</v>
      </c>
      <c r="J342" s="1" t="s">
        <v>286</v>
      </c>
      <c r="K342" s="127"/>
      <c r="L342" s="1" t="s">
        <v>1853</v>
      </c>
      <c r="M342" s="1" t="s">
        <v>2236</v>
      </c>
      <c r="N342" s="127"/>
      <c r="O342" s="39" t="s">
        <v>109</v>
      </c>
      <c r="P342" s="39" t="s">
        <v>109</v>
      </c>
      <c r="Q342" s="127"/>
      <c r="R342" s="56">
        <v>45834</v>
      </c>
      <c r="S342" s="56">
        <v>45854</v>
      </c>
      <c r="T342" s="1" t="s">
        <v>1819</v>
      </c>
      <c r="U342" s="56"/>
      <c r="V342" s="4" t="s">
        <v>1853</v>
      </c>
      <c r="W342" s="4" t="s">
        <v>1853</v>
      </c>
      <c r="X342" s="4" t="s">
        <v>109</v>
      </c>
      <c r="Y342" s="4" t="s">
        <v>1853</v>
      </c>
      <c r="Z342" s="4" t="s">
        <v>1855</v>
      </c>
      <c r="AA342" s="39">
        <v>45895</v>
      </c>
      <c r="AB342" s="39">
        <v>45896</v>
      </c>
      <c r="AC342" s="1" t="s">
        <v>1853</v>
      </c>
      <c r="AD342" s="39">
        <v>45910</v>
      </c>
      <c r="AE342" s="39">
        <v>45922</v>
      </c>
      <c r="AF342" s="39">
        <v>45910</v>
      </c>
      <c r="AG342" s="39">
        <v>45910</v>
      </c>
      <c r="AH342" s="39">
        <v>49582</v>
      </c>
      <c r="AJ342" s="4" t="s">
        <v>109</v>
      </c>
      <c r="AK342" s="4" t="s">
        <v>109</v>
      </c>
      <c r="AL342" s="4" t="s">
        <v>109</v>
      </c>
      <c r="AM342" s="4" t="s">
        <v>109</v>
      </c>
      <c r="AP342" s="1">
        <v>20</v>
      </c>
    </row>
    <row r="343" spans="1:43" s="217" customFormat="1" ht="18.75" customHeight="1" x14ac:dyDescent="0.3">
      <c r="A343" s="210">
        <v>2506759</v>
      </c>
      <c r="B343" s="211" t="s">
        <v>1683</v>
      </c>
      <c r="C343" s="210" t="e" vm="11">
        <v>#VALUE!</v>
      </c>
      <c r="D343" s="210" t="s">
        <v>22</v>
      </c>
      <c r="E343" s="210" t="s">
        <v>71</v>
      </c>
      <c r="F343" s="210" t="s">
        <v>14</v>
      </c>
      <c r="G343" s="210">
        <v>10.54</v>
      </c>
      <c r="H343" s="210" t="s">
        <v>1453</v>
      </c>
      <c r="I343" s="210">
        <v>17</v>
      </c>
      <c r="J343" s="212" t="s">
        <v>364</v>
      </c>
      <c r="K343" s="213"/>
      <c r="L343" s="212" t="s">
        <v>2241</v>
      </c>
      <c r="M343" s="212" t="s">
        <v>2238</v>
      </c>
      <c r="N343" s="213"/>
      <c r="O343" s="215" t="s">
        <v>109</v>
      </c>
      <c r="P343" s="215" t="s">
        <v>109</v>
      </c>
      <c r="Q343" s="213"/>
      <c r="R343" s="214">
        <v>45834</v>
      </c>
      <c r="S343" s="214">
        <v>45855</v>
      </c>
      <c r="T343" s="212" t="s">
        <v>1819</v>
      </c>
      <c r="U343" s="214"/>
      <c r="V343" s="210" t="s">
        <v>1853</v>
      </c>
      <c r="W343" s="210" t="s">
        <v>1853</v>
      </c>
      <c r="X343" s="210" t="s">
        <v>109</v>
      </c>
      <c r="Y343" s="210" t="s">
        <v>1853</v>
      </c>
      <c r="Z343" s="210" t="s">
        <v>1854</v>
      </c>
      <c r="AA343" s="215">
        <v>45874</v>
      </c>
      <c r="AB343" s="215">
        <v>45870</v>
      </c>
      <c r="AC343" s="215" t="s">
        <v>1853</v>
      </c>
      <c r="AD343" s="215">
        <v>45876</v>
      </c>
      <c r="AE343" s="215">
        <v>45873</v>
      </c>
      <c r="AF343" s="215">
        <v>45876</v>
      </c>
      <c r="AG343" s="215"/>
      <c r="AH343" s="215"/>
      <c r="AI343" s="216"/>
      <c r="AJ343" s="210" t="s">
        <v>109</v>
      </c>
      <c r="AK343" s="210" t="s">
        <v>109</v>
      </c>
      <c r="AL343" s="210" t="s">
        <v>109</v>
      </c>
      <c r="AM343" s="210" t="s">
        <v>109</v>
      </c>
      <c r="AP343" s="212">
        <v>21</v>
      </c>
      <c r="AQ343" s="218"/>
    </row>
    <row r="344" spans="1:43" s="217" customFormat="1" ht="18.75" customHeight="1" x14ac:dyDescent="0.3">
      <c r="A344" s="210">
        <v>2506794</v>
      </c>
      <c r="B344" s="211" t="s">
        <v>1688</v>
      </c>
      <c r="C344" s="210" t="e" vm="11">
        <v>#VALUE!</v>
      </c>
      <c r="D344" s="210" t="s">
        <v>22</v>
      </c>
      <c r="E344" s="210" t="s">
        <v>71</v>
      </c>
      <c r="F344" s="210" t="s">
        <v>14</v>
      </c>
      <c r="G344" s="210">
        <v>9.92</v>
      </c>
      <c r="H344" s="210" t="s">
        <v>1453</v>
      </c>
      <c r="I344" s="210">
        <v>16</v>
      </c>
      <c r="J344" s="212" t="s">
        <v>364</v>
      </c>
      <c r="K344" s="213"/>
      <c r="L344" s="212" t="s">
        <v>2241</v>
      </c>
      <c r="M344" s="212" t="s">
        <v>2238</v>
      </c>
      <c r="N344" s="213"/>
      <c r="O344" s="215" t="s">
        <v>109</v>
      </c>
      <c r="P344" s="215" t="s">
        <v>109</v>
      </c>
      <c r="Q344" s="213"/>
      <c r="R344" s="214">
        <v>45835</v>
      </c>
      <c r="S344" s="214">
        <v>45925</v>
      </c>
      <c r="T344" s="212" t="s">
        <v>1819</v>
      </c>
      <c r="U344" s="214"/>
      <c r="V344" s="210" t="s">
        <v>1853</v>
      </c>
      <c r="W344" s="210" t="s">
        <v>1853</v>
      </c>
      <c r="X344" s="210" t="s">
        <v>109</v>
      </c>
      <c r="Y344" s="210" t="s">
        <v>1853</v>
      </c>
      <c r="Z344" s="210" t="s">
        <v>1854</v>
      </c>
      <c r="AA344" s="215">
        <v>45937</v>
      </c>
      <c r="AB344" s="215">
        <v>45938</v>
      </c>
      <c r="AC344" s="215" t="s">
        <v>1853</v>
      </c>
      <c r="AD344" s="215">
        <v>45956</v>
      </c>
      <c r="AE344" s="215" t="s">
        <v>1853</v>
      </c>
      <c r="AF344" s="215">
        <v>45956</v>
      </c>
      <c r="AG344" s="215"/>
      <c r="AH344" s="215"/>
      <c r="AI344" s="216"/>
      <c r="AJ344" s="210" t="s">
        <v>109</v>
      </c>
      <c r="AK344" s="210" t="s">
        <v>109</v>
      </c>
      <c r="AL344" s="210" t="s">
        <v>109</v>
      </c>
      <c r="AM344" s="210" t="s">
        <v>109</v>
      </c>
      <c r="AP344" s="212">
        <v>90</v>
      </c>
      <c r="AQ344" s="218"/>
    </row>
    <row r="345" spans="1:43" s="172" customFormat="1" ht="18.75" customHeight="1" x14ac:dyDescent="0.3">
      <c r="A345" s="165">
        <v>2506798</v>
      </c>
      <c r="B345" s="166" t="s">
        <v>1692</v>
      </c>
      <c r="C345" s="165" t="e" vm="11">
        <v>#VALUE!</v>
      </c>
      <c r="D345" s="165" t="s">
        <v>22</v>
      </c>
      <c r="E345" s="165" t="s">
        <v>71</v>
      </c>
      <c r="F345" s="165" t="s">
        <v>14</v>
      </c>
      <c r="G345" s="165">
        <v>7.44</v>
      </c>
      <c r="H345" s="165" t="s">
        <v>1453</v>
      </c>
      <c r="I345" s="165">
        <v>12</v>
      </c>
      <c r="J345" s="167" t="s">
        <v>286</v>
      </c>
      <c r="K345" s="168"/>
      <c r="L345" s="167" t="s">
        <v>2246</v>
      </c>
      <c r="M345" s="167" t="s">
        <v>2240</v>
      </c>
      <c r="N345" s="168"/>
      <c r="O345" s="170" t="s">
        <v>109</v>
      </c>
      <c r="P345" s="170" t="s">
        <v>109</v>
      </c>
      <c r="Q345" s="168"/>
      <c r="R345" s="169">
        <v>45835</v>
      </c>
      <c r="S345" s="169">
        <v>45855</v>
      </c>
      <c r="T345" s="167" t="s">
        <v>1819</v>
      </c>
      <c r="U345" s="169">
        <v>46199</v>
      </c>
      <c r="V345" s="165" t="s">
        <v>1853</v>
      </c>
      <c r="W345" s="165" t="s">
        <v>1853</v>
      </c>
      <c r="X345" s="165" t="s">
        <v>109</v>
      </c>
      <c r="Y345" s="165" t="s">
        <v>1853</v>
      </c>
      <c r="Z345" s="165"/>
      <c r="AA345" s="170"/>
      <c r="AB345" s="170"/>
      <c r="AC345" s="170"/>
      <c r="AD345" s="170"/>
      <c r="AE345" s="170"/>
      <c r="AF345" s="170"/>
      <c r="AG345" s="170"/>
      <c r="AH345" s="170"/>
      <c r="AI345" s="171"/>
      <c r="AJ345" s="165" t="s">
        <v>109</v>
      </c>
      <c r="AK345" s="165" t="s">
        <v>109</v>
      </c>
      <c r="AL345" s="165" t="s">
        <v>109</v>
      </c>
      <c r="AM345" s="165" t="s">
        <v>109</v>
      </c>
      <c r="AP345" s="167">
        <v>20</v>
      </c>
      <c r="AQ345" s="173"/>
    </row>
    <row r="346" spans="1:43" s="172" customFormat="1" ht="18.75" customHeight="1" x14ac:dyDescent="0.3">
      <c r="A346" s="165">
        <v>2506773</v>
      </c>
      <c r="B346" s="166" t="s">
        <v>1696</v>
      </c>
      <c r="C346" s="165" t="e" vm="11">
        <v>#VALUE!</v>
      </c>
      <c r="D346" s="165" t="s">
        <v>22</v>
      </c>
      <c r="E346" s="165" t="s">
        <v>71</v>
      </c>
      <c r="F346" s="165" t="s">
        <v>14</v>
      </c>
      <c r="G346" s="165">
        <v>14.88</v>
      </c>
      <c r="H346" s="165" t="s">
        <v>1453</v>
      </c>
      <c r="I346" s="165">
        <v>24</v>
      </c>
      <c r="J346" s="167" t="s">
        <v>143</v>
      </c>
      <c r="K346" s="168"/>
      <c r="L346" s="167" t="s">
        <v>2246</v>
      </c>
      <c r="M346" s="167" t="s">
        <v>2240</v>
      </c>
      <c r="N346" s="168"/>
      <c r="O346" s="170" t="s">
        <v>109</v>
      </c>
      <c r="P346" s="170" t="s">
        <v>109</v>
      </c>
      <c r="Q346" s="168"/>
      <c r="R346" s="169">
        <v>45835</v>
      </c>
      <c r="S346" s="169">
        <v>45854</v>
      </c>
      <c r="T346" s="167" t="s">
        <v>1819</v>
      </c>
      <c r="U346" s="169">
        <v>46199</v>
      </c>
      <c r="V346" s="165" t="s">
        <v>1853</v>
      </c>
      <c r="W346" s="165" t="s">
        <v>1853</v>
      </c>
      <c r="X346" s="165" t="s">
        <v>109</v>
      </c>
      <c r="Y346" s="165" t="s">
        <v>1853</v>
      </c>
      <c r="Z346" s="165"/>
      <c r="AA346" s="170"/>
      <c r="AB346" s="170"/>
      <c r="AC346" s="170"/>
      <c r="AD346" s="170"/>
      <c r="AE346" s="170"/>
      <c r="AF346" s="170"/>
      <c r="AG346" s="170"/>
      <c r="AH346" s="170"/>
      <c r="AI346" s="171"/>
      <c r="AJ346" s="165" t="s">
        <v>109</v>
      </c>
      <c r="AK346" s="165" t="s">
        <v>109</v>
      </c>
      <c r="AL346" s="165" t="s">
        <v>109</v>
      </c>
      <c r="AM346" s="165" t="s">
        <v>109</v>
      </c>
      <c r="AP346" s="167">
        <v>19</v>
      </c>
      <c r="AQ346" s="173"/>
    </row>
    <row r="347" spans="1:43" s="217" customFormat="1" ht="18.75" customHeight="1" x14ac:dyDescent="0.3">
      <c r="A347" s="210" t="s">
        <v>1700</v>
      </c>
      <c r="B347" s="211" t="s">
        <v>1701</v>
      </c>
      <c r="C347" s="210" t="e" vm="11">
        <v>#VALUE!</v>
      </c>
      <c r="D347" s="210" t="s">
        <v>19</v>
      </c>
      <c r="E347" s="210" t="s">
        <v>71</v>
      </c>
      <c r="F347" s="210" t="s">
        <v>14</v>
      </c>
      <c r="G347" s="210">
        <v>7.44</v>
      </c>
      <c r="H347" s="210" t="s">
        <v>1453</v>
      </c>
      <c r="I347" s="210">
        <v>12</v>
      </c>
      <c r="J347" s="212" t="s">
        <v>286</v>
      </c>
      <c r="K347" s="213"/>
      <c r="L347" s="212" t="s">
        <v>2241</v>
      </c>
      <c r="M347" s="212" t="s">
        <v>2236</v>
      </c>
      <c r="N347" s="213"/>
      <c r="O347" s="215" t="s">
        <v>109</v>
      </c>
      <c r="P347" s="215" t="s">
        <v>109</v>
      </c>
      <c r="Q347" s="213"/>
      <c r="R347" s="214">
        <v>45834</v>
      </c>
      <c r="S347" s="214">
        <v>45855</v>
      </c>
      <c r="T347" s="212" t="s">
        <v>1819</v>
      </c>
      <c r="U347" s="214"/>
      <c r="V347" s="210" t="s">
        <v>1853</v>
      </c>
      <c r="W347" s="210" t="s">
        <v>1853</v>
      </c>
      <c r="X347" s="210" t="s">
        <v>109</v>
      </c>
      <c r="Y347" s="210" t="s">
        <v>1853</v>
      </c>
      <c r="Z347" s="210" t="s">
        <v>1854</v>
      </c>
      <c r="AA347" s="215">
        <v>45814</v>
      </c>
      <c r="AB347" s="215">
        <v>45880</v>
      </c>
      <c r="AC347" s="215" t="s">
        <v>1853</v>
      </c>
      <c r="AD347" s="215" t="s">
        <v>1853</v>
      </c>
      <c r="AE347" s="215">
        <v>45883</v>
      </c>
      <c r="AF347" s="215" t="s">
        <v>1853</v>
      </c>
      <c r="AG347" s="215"/>
      <c r="AH347" s="215"/>
      <c r="AI347" s="216"/>
      <c r="AJ347" s="210" t="s">
        <v>109</v>
      </c>
      <c r="AK347" s="210" t="s">
        <v>109</v>
      </c>
      <c r="AL347" s="210" t="s">
        <v>109</v>
      </c>
      <c r="AM347" s="210" t="s">
        <v>109</v>
      </c>
      <c r="AP347" s="212">
        <v>21</v>
      </c>
      <c r="AQ347" s="218"/>
    </row>
    <row r="348" spans="1:43" s="217" customFormat="1" ht="18.75" customHeight="1" x14ac:dyDescent="0.3">
      <c r="A348" s="210">
        <v>2506786</v>
      </c>
      <c r="B348" s="211" t="s">
        <v>1706</v>
      </c>
      <c r="C348" s="210" t="e" vm="12">
        <v>#VALUE!</v>
      </c>
      <c r="D348" s="210" t="s">
        <v>17</v>
      </c>
      <c r="E348" s="210" t="s">
        <v>71</v>
      </c>
      <c r="F348" s="210" t="s">
        <v>14</v>
      </c>
      <c r="G348" s="210">
        <v>13.64</v>
      </c>
      <c r="H348" s="210" t="s">
        <v>1453</v>
      </c>
      <c r="I348" s="210">
        <v>22</v>
      </c>
      <c r="J348" s="212" t="s">
        <v>143</v>
      </c>
      <c r="K348" s="213"/>
      <c r="L348" s="212" t="s">
        <v>2241</v>
      </c>
      <c r="M348" s="212" t="s">
        <v>2236</v>
      </c>
      <c r="N348" s="213"/>
      <c r="O348" s="215" t="s">
        <v>109</v>
      </c>
      <c r="P348" s="215" t="s">
        <v>109</v>
      </c>
      <c r="Q348" s="213"/>
      <c r="R348" s="214">
        <v>45838</v>
      </c>
      <c r="S348" s="214">
        <v>45870</v>
      </c>
      <c r="T348" s="212" t="s">
        <v>1819</v>
      </c>
      <c r="U348" s="214"/>
      <c r="V348" s="210" t="s">
        <v>1853</v>
      </c>
      <c r="W348" s="210" t="s">
        <v>1853</v>
      </c>
      <c r="X348" s="210" t="s">
        <v>109</v>
      </c>
      <c r="Y348" s="210" t="s">
        <v>1853</v>
      </c>
      <c r="Z348" s="210" t="s">
        <v>1855</v>
      </c>
      <c r="AA348" s="215">
        <v>45882</v>
      </c>
      <c r="AB348" s="215">
        <v>45882</v>
      </c>
      <c r="AC348" s="215" t="s">
        <v>1853</v>
      </c>
      <c r="AD348" s="215">
        <v>45887</v>
      </c>
      <c r="AE348" s="215">
        <v>45888</v>
      </c>
      <c r="AF348" s="215">
        <v>45887</v>
      </c>
      <c r="AG348" s="215"/>
      <c r="AH348" s="215"/>
      <c r="AI348" s="216"/>
      <c r="AJ348" s="210" t="s">
        <v>109</v>
      </c>
      <c r="AK348" s="210" t="s">
        <v>109</v>
      </c>
      <c r="AL348" s="210" t="s">
        <v>109</v>
      </c>
      <c r="AM348" s="210" t="s">
        <v>109</v>
      </c>
      <c r="AP348" s="212">
        <v>32</v>
      </c>
      <c r="AQ348" s="218"/>
    </row>
    <row r="349" spans="1:43" s="199" customFormat="1" ht="18.600000000000001" customHeight="1" x14ac:dyDescent="0.3">
      <c r="A349" s="192">
        <v>2505260</v>
      </c>
      <c r="B349" s="193" t="s">
        <v>1711</v>
      </c>
      <c r="C349" s="192" t="e" vm="4">
        <v>#VALUE!</v>
      </c>
      <c r="D349" s="192" t="s">
        <v>22</v>
      </c>
      <c r="E349" s="192" t="s">
        <v>124</v>
      </c>
      <c r="F349" s="192" t="s">
        <v>14</v>
      </c>
      <c r="G349" s="192">
        <v>48.36</v>
      </c>
      <c r="H349" s="192" t="s">
        <v>1453</v>
      </c>
      <c r="I349" s="192">
        <v>78</v>
      </c>
      <c r="J349" s="194" t="s">
        <v>1712</v>
      </c>
      <c r="K349" s="195"/>
      <c r="L349" s="194" t="s">
        <v>2245</v>
      </c>
      <c r="M349" s="194" t="s">
        <v>2238</v>
      </c>
      <c r="N349" s="195"/>
      <c r="O349" s="197" t="s">
        <v>109</v>
      </c>
      <c r="P349" s="197" t="s">
        <v>109</v>
      </c>
      <c r="Q349" s="195"/>
      <c r="R349" s="196">
        <v>45834</v>
      </c>
      <c r="S349" s="196">
        <v>45876</v>
      </c>
      <c r="T349" s="194" t="s">
        <v>1819</v>
      </c>
      <c r="U349" s="196"/>
      <c r="V349" s="192" t="s">
        <v>1853</v>
      </c>
      <c r="W349" s="192" t="s">
        <v>1853</v>
      </c>
      <c r="X349" s="192" t="s">
        <v>109</v>
      </c>
      <c r="Y349" s="192" t="s">
        <v>1853</v>
      </c>
      <c r="Z349" s="192" t="s">
        <v>1855</v>
      </c>
      <c r="AA349" s="197">
        <v>45943</v>
      </c>
      <c r="AB349" s="197">
        <v>45951</v>
      </c>
      <c r="AC349" s="197" t="s">
        <v>1858</v>
      </c>
      <c r="AD349" s="197">
        <v>45954</v>
      </c>
      <c r="AE349" s="197"/>
      <c r="AF349" s="197"/>
      <c r="AG349" s="197"/>
      <c r="AH349" s="197"/>
      <c r="AI349" s="198"/>
      <c r="AJ349" s="192" t="s">
        <v>109</v>
      </c>
      <c r="AK349" s="192" t="s">
        <v>109</v>
      </c>
      <c r="AL349" s="192" t="s">
        <v>109</v>
      </c>
      <c r="AM349" s="192" t="s">
        <v>109</v>
      </c>
      <c r="AP349" s="194">
        <v>42</v>
      </c>
      <c r="AQ349" s="200"/>
    </row>
    <row r="350" spans="1:43" s="217" customFormat="1" ht="18.75" customHeight="1" x14ac:dyDescent="0.3">
      <c r="A350" s="210">
        <v>2506799</v>
      </c>
      <c r="B350" s="211" t="s">
        <v>1716</v>
      </c>
      <c r="C350" s="210" t="e" vm="11">
        <v>#VALUE!</v>
      </c>
      <c r="D350" s="210" t="s">
        <v>22</v>
      </c>
      <c r="E350" s="210" t="s">
        <v>71</v>
      </c>
      <c r="F350" s="210" t="s">
        <v>14</v>
      </c>
      <c r="G350" s="210">
        <v>13.64</v>
      </c>
      <c r="H350" s="210" t="s">
        <v>1453</v>
      </c>
      <c r="I350" s="210">
        <v>22</v>
      </c>
      <c r="J350" s="212" t="s">
        <v>143</v>
      </c>
      <c r="K350" s="213"/>
      <c r="L350" s="212" t="s">
        <v>2241</v>
      </c>
      <c r="M350" s="212" t="s">
        <v>2236</v>
      </c>
      <c r="N350" s="213"/>
      <c r="O350" s="215" t="s">
        <v>109</v>
      </c>
      <c r="P350" s="215" t="s">
        <v>109</v>
      </c>
      <c r="Q350" s="213"/>
      <c r="R350" s="214">
        <v>45835</v>
      </c>
      <c r="S350" s="214">
        <v>45854</v>
      </c>
      <c r="T350" s="212" t="s">
        <v>1819</v>
      </c>
      <c r="U350" s="214"/>
      <c r="V350" s="210" t="s">
        <v>1853</v>
      </c>
      <c r="W350" s="210" t="s">
        <v>1853</v>
      </c>
      <c r="X350" s="210" t="s">
        <v>109</v>
      </c>
      <c r="Y350" s="210" t="s">
        <v>1853</v>
      </c>
      <c r="Z350" s="210" t="s">
        <v>1854</v>
      </c>
      <c r="AA350" s="215">
        <v>45876</v>
      </c>
      <c r="AB350" s="215">
        <v>45880</v>
      </c>
      <c r="AC350" s="215" t="s">
        <v>1853</v>
      </c>
      <c r="AD350" s="215">
        <v>45896</v>
      </c>
      <c r="AE350" s="215">
        <v>45883</v>
      </c>
      <c r="AF350" s="215">
        <v>45896</v>
      </c>
      <c r="AG350" s="215"/>
      <c r="AH350" s="215"/>
      <c r="AI350" s="216"/>
      <c r="AJ350" s="210" t="s">
        <v>109</v>
      </c>
      <c r="AK350" s="210" t="s">
        <v>109</v>
      </c>
      <c r="AL350" s="210" t="s">
        <v>109</v>
      </c>
      <c r="AM350" s="210" t="s">
        <v>109</v>
      </c>
      <c r="AP350" s="212">
        <v>19</v>
      </c>
      <c r="AQ350" s="218"/>
    </row>
    <row r="351" spans="1:43" s="217" customFormat="1" ht="18.75" customHeight="1" x14ac:dyDescent="0.3">
      <c r="A351" s="210">
        <v>2506276</v>
      </c>
      <c r="B351" s="211" t="s">
        <v>1720</v>
      </c>
      <c r="C351" s="210" t="e" vm="11">
        <v>#VALUE!</v>
      </c>
      <c r="D351" s="210" t="s">
        <v>19</v>
      </c>
      <c r="E351" s="210" t="s">
        <v>71</v>
      </c>
      <c r="F351" s="210" t="s">
        <v>14</v>
      </c>
      <c r="G351" s="210">
        <v>19.84</v>
      </c>
      <c r="H351" s="210" t="s">
        <v>1453</v>
      </c>
      <c r="I351" s="210">
        <v>32</v>
      </c>
      <c r="J351" s="212" t="s">
        <v>567</v>
      </c>
      <c r="K351" s="213"/>
      <c r="L351" s="212" t="s">
        <v>2241</v>
      </c>
      <c r="M351" s="212" t="s">
        <v>2236</v>
      </c>
      <c r="N351" s="213"/>
      <c r="O351" s="215" t="s">
        <v>109</v>
      </c>
      <c r="P351" s="215" t="s">
        <v>109</v>
      </c>
      <c r="Q351" s="213"/>
      <c r="R351" s="214">
        <v>45838</v>
      </c>
      <c r="S351" s="214">
        <v>45872</v>
      </c>
      <c r="T351" s="212" t="s">
        <v>1819</v>
      </c>
      <c r="U351" s="214"/>
      <c r="V351" s="210" t="s">
        <v>1853</v>
      </c>
      <c r="W351" s="210" t="s">
        <v>1853</v>
      </c>
      <c r="X351" s="210" t="s">
        <v>109</v>
      </c>
      <c r="Y351" s="210" t="s">
        <v>1853</v>
      </c>
      <c r="Z351" s="210" t="s">
        <v>1854</v>
      </c>
      <c r="AA351" s="215">
        <v>45902</v>
      </c>
      <c r="AB351" s="215" t="s">
        <v>1853</v>
      </c>
      <c r="AC351" s="215" t="s">
        <v>1853</v>
      </c>
      <c r="AD351" s="215">
        <v>45924</v>
      </c>
      <c r="AE351" s="215">
        <v>45922</v>
      </c>
      <c r="AF351" s="215">
        <v>45924</v>
      </c>
      <c r="AG351" s="215"/>
      <c r="AH351" s="215"/>
      <c r="AI351" s="216"/>
      <c r="AJ351" s="210" t="s">
        <v>109</v>
      </c>
      <c r="AK351" s="210" t="s">
        <v>109</v>
      </c>
      <c r="AL351" s="210" t="s">
        <v>109</v>
      </c>
      <c r="AM351" s="210" t="s">
        <v>109</v>
      </c>
      <c r="AP351" s="212">
        <v>34</v>
      </c>
      <c r="AQ351" s="218"/>
    </row>
    <row r="352" spans="1:43" s="154" customFormat="1" ht="18.75" customHeight="1" x14ac:dyDescent="0.3">
      <c r="A352" s="147">
        <v>2506785</v>
      </c>
      <c r="B352" s="148" t="s">
        <v>1721</v>
      </c>
      <c r="C352" s="147" t="e" vm="11">
        <v>#VALUE!</v>
      </c>
      <c r="D352" s="147" t="s">
        <v>22</v>
      </c>
      <c r="E352" s="147" t="s">
        <v>71</v>
      </c>
      <c r="F352" s="147" t="s">
        <v>14</v>
      </c>
      <c r="G352" s="147">
        <v>13.64</v>
      </c>
      <c r="H352" s="147" t="s">
        <v>1453</v>
      </c>
      <c r="I352" s="147">
        <v>22</v>
      </c>
      <c r="J352" s="149" t="s">
        <v>143</v>
      </c>
      <c r="K352" s="150"/>
      <c r="L352" s="149" t="s">
        <v>2249</v>
      </c>
      <c r="M352" s="149" t="s">
        <v>2240</v>
      </c>
      <c r="N352" s="150"/>
      <c r="O352" s="152" t="s">
        <v>109</v>
      </c>
      <c r="P352" s="152" t="s">
        <v>109</v>
      </c>
      <c r="Q352" s="150"/>
      <c r="R352" s="151">
        <v>45838</v>
      </c>
      <c r="S352" s="151"/>
      <c r="T352" s="149" t="s">
        <v>1815</v>
      </c>
      <c r="U352" s="151"/>
      <c r="V352" s="147" t="s">
        <v>1853</v>
      </c>
      <c r="W352" s="147" t="s">
        <v>1853</v>
      </c>
      <c r="X352" s="147" t="s">
        <v>109</v>
      </c>
      <c r="Y352" s="147" t="s">
        <v>1853</v>
      </c>
      <c r="Z352" s="147"/>
      <c r="AA352" s="152"/>
      <c r="AB352" s="152"/>
      <c r="AC352" s="152"/>
      <c r="AD352" s="152"/>
      <c r="AE352" s="152"/>
      <c r="AF352" s="152"/>
      <c r="AG352" s="152"/>
      <c r="AH352" s="152"/>
      <c r="AI352" s="153"/>
      <c r="AJ352" s="147" t="s">
        <v>109</v>
      </c>
      <c r="AK352" s="147" t="s">
        <v>109</v>
      </c>
      <c r="AL352" s="147" t="s">
        <v>109</v>
      </c>
      <c r="AM352" s="147" t="s">
        <v>109</v>
      </c>
      <c r="AP352" s="149">
        <v>-45838</v>
      </c>
      <c r="AQ352" s="155"/>
    </row>
    <row r="353" spans="1:43" s="172" customFormat="1" ht="18.75" customHeight="1" x14ac:dyDescent="0.3">
      <c r="A353" s="165">
        <v>2506801</v>
      </c>
      <c r="B353" s="166" t="s">
        <v>1726</v>
      </c>
      <c r="C353" s="165" t="e" vm="11">
        <v>#VALUE!</v>
      </c>
      <c r="D353" s="165" t="s">
        <v>22</v>
      </c>
      <c r="E353" s="165" t="s">
        <v>71</v>
      </c>
      <c r="F353" s="165" t="s">
        <v>14</v>
      </c>
      <c r="G353" s="165">
        <v>17.98</v>
      </c>
      <c r="H353" s="165" t="s">
        <v>1453</v>
      </c>
      <c r="I353" s="165">
        <v>29</v>
      </c>
      <c r="J353" s="167" t="s">
        <v>143</v>
      </c>
      <c r="K353" s="168"/>
      <c r="L353" s="167" t="s">
        <v>2246</v>
      </c>
      <c r="M353" s="167" t="s">
        <v>2240</v>
      </c>
      <c r="N353" s="168"/>
      <c r="O353" s="170" t="s">
        <v>109</v>
      </c>
      <c r="P353" s="170" t="s">
        <v>109</v>
      </c>
      <c r="Q353" s="168"/>
      <c r="R353" s="169">
        <v>45838</v>
      </c>
      <c r="S353" s="169">
        <v>45870</v>
      </c>
      <c r="T353" s="167" t="s">
        <v>1819</v>
      </c>
      <c r="U353" s="169">
        <v>46202</v>
      </c>
      <c r="V353" s="165" t="s">
        <v>1853</v>
      </c>
      <c r="W353" s="165" t="s">
        <v>1853</v>
      </c>
      <c r="X353" s="165" t="s">
        <v>109</v>
      </c>
      <c r="Y353" s="165" t="s">
        <v>1853</v>
      </c>
      <c r="Z353" s="165"/>
      <c r="AA353" s="170"/>
      <c r="AB353" s="170"/>
      <c r="AC353" s="170"/>
      <c r="AD353" s="170"/>
      <c r="AE353" s="170"/>
      <c r="AF353" s="170"/>
      <c r="AG353" s="170"/>
      <c r="AH353" s="170"/>
      <c r="AI353" s="171"/>
      <c r="AJ353" s="165" t="s">
        <v>109</v>
      </c>
      <c r="AK353" s="165" t="s">
        <v>109</v>
      </c>
      <c r="AL353" s="165" t="s">
        <v>109</v>
      </c>
      <c r="AM353" s="165" t="s">
        <v>109</v>
      </c>
      <c r="AP353" s="167">
        <v>32</v>
      </c>
      <c r="AQ353" s="173"/>
    </row>
    <row r="354" spans="1:43" s="172" customFormat="1" ht="18.75" customHeight="1" x14ac:dyDescent="0.3">
      <c r="A354" s="165">
        <v>2503223</v>
      </c>
      <c r="B354" s="166" t="s">
        <v>1731</v>
      </c>
      <c r="C354" s="165" t="e" vm="8">
        <v>#VALUE!</v>
      </c>
      <c r="D354" s="165" t="s">
        <v>17</v>
      </c>
      <c r="E354" s="165" t="s">
        <v>124</v>
      </c>
      <c r="F354" s="165" t="s">
        <v>14</v>
      </c>
      <c r="G354" s="165">
        <v>58.9</v>
      </c>
      <c r="H354" s="165" t="s">
        <v>1440</v>
      </c>
      <c r="I354" s="165">
        <v>95</v>
      </c>
      <c r="J354" s="167" t="s">
        <v>898</v>
      </c>
      <c r="K354" s="168"/>
      <c r="L354" s="167" t="s">
        <v>2246</v>
      </c>
      <c r="M354" s="167" t="s">
        <v>2238</v>
      </c>
      <c r="N354" s="168"/>
      <c r="O354" s="170" t="s">
        <v>109</v>
      </c>
      <c r="P354" s="170" t="s">
        <v>109</v>
      </c>
      <c r="Q354" s="168"/>
      <c r="R354" s="169">
        <v>45834</v>
      </c>
      <c r="S354" s="169">
        <v>45875</v>
      </c>
      <c r="T354" s="167" t="s">
        <v>1819</v>
      </c>
      <c r="U354" s="169"/>
      <c r="V354" s="165" t="s">
        <v>1853</v>
      </c>
      <c r="W354" s="165" t="s">
        <v>1853</v>
      </c>
      <c r="X354" s="165" t="s">
        <v>109</v>
      </c>
      <c r="Y354" s="165" t="s">
        <v>1853</v>
      </c>
      <c r="Z354" s="165"/>
      <c r="AA354" s="170"/>
      <c r="AB354" s="170"/>
      <c r="AC354" s="170"/>
      <c r="AD354" s="170"/>
      <c r="AE354" s="170"/>
      <c r="AF354" s="170"/>
      <c r="AG354" s="170"/>
      <c r="AH354" s="170"/>
      <c r="AI354" s="171"/>
      <c r="AJ354" s="165" t="s">
        <v>109</v>
      </c>
      <c r="AK354" s="165" t="s">
        <v>109</v>
      </c>
      <c r="AL354" s="165"/>
      <c r="AM354" s="165"/>
      <c r="AP354" s="167">
        <v>41</v>
      </c>
      <c r="AQ354" s="173"/>
    </row>
    <row r="355" spans="1:43" s="154" customFormat="1" ht="18.75" customHeight="1" x14ac:dyDescent="0.3">
      <c r="A355" s="147">
        <v>2506802</v>
      </c>
      <c r="B355" s="148" t="s">
        <v>1733</v>
      </c>
      <c r="C355" s="147" t="e" vm="11">
        <v>#VALUE!</v>
      </c>
      <c r="D355" s="147" t="s">
        <v>22</v>
      </c>
      <c r="E355" s="147" t="s">
        <v>71</v>
      </c>
      <c r="F355" s="147" t="s">
        <v>14</v>
      </c>
      <c r="G355" s="147">
        <v>13.64</v>
      </c>
      <c r="H355" s="147" t="s">
        <v>1453</v>
      </c>
      <c r="I355" s="147">
        <v>22</v>
      </c>
      <c r="J355" s="149" t="s">
        <v>143</v>
      </c>
      <c r="K355" s="150"/>
      <c r="L355" s="149" t="s">
        <v>2249</v>
      </c>
      <c r="M355" s="149" t="s">
        <v>2237</v>
      </c>
      <c r="N355" s="150"/>
      <c r="O355" s="152" t="s">
        <v>109</v>
      </c>
      <c r="P355" s="152" t="s">
        <v>109</v>
      </c>
      <c r="Q355" s="150"/>
      <c r="R355" s="151">
        <v>45838</v>
      </c>
      <c r="S355" s="151"/>
      <c r="T355" s="149" t="s">
        <v>1815</v>
      </c>
      <c r="U355" s="151"/>
      <c r="V355" s="147" t="s">
        <v>1853</v>
      </c>
      <c r="W355" s="147" t="s">
        <v>1853</v>
      </c>
      <c r="X355" s="147" t="s">
        <v>109</v>
      </c>
      <c r="Y355" s="147" t="s">
        <v>1853</v>
      </c>
      <c r="Z355" s="147"/>
      <c r="AA355" s="152"/>
      <c r="AB355" s="152"/>
      <c r="AC355" s="152"/>
      <c r="AD355" s="152"/>
      <c r="AE355" s="152"/>
      <c r="AF355" s="152"/>
      <c r="AG355" s="152"/>
      <c r="AH355" s="152"/>
      <c r="AI355" s="153"/>
      <c r="AJ355" s="147" t="s">
        <v>109</v>
      </c>
      <c r="AK355" s="147" t="s">
        <v>109</v>
      </c>
      <c r="AL355" s="147" t="s">
        <v>109</v>
      </c>
      <c r="AM355" s="147" t="s">
        <v>109</v>
      </c>
      <c r="AP355" s="149">
        <v>-45838</v>
      </c>
      <c r="AQ355" s="155"/>
    </row>
    <row r="356" spans="1:43" s="217" customFormat="1" ht="18.75" customHeight="1" x14ac:dyDescent="0.3">
      <c r="A356" s="210">
        <v>2412510</v>
      </c>
      <c r="B356" s="211" t="s">
        <v>1737</v>
      </c>
      <c r="C356" s="210" t="e" vm="11">
        <v>#VALUE!</v>
      </c>
      <c r="D356" s="210" t="s">
        <v>19</v>
      </c>
      <c r="E356" s="210" t="s">
        <v>71</v>
      </c>
      <c r="F356" s="210" t="s">
        <v>14</v>
      </c>
      <c r="G356" s="210">
        <v>14.88</v>
      </c>
      <c r="H356" s="210" t="s">
        <v>1453</v>
      </c>
      <c r="I356" s="210">
        <v>24</v>
      </c>
      <c r="J356" s="212" t="s">
        <v>143</v>
      </c>
      <c r="K356" s="213"/>
      <c r="L356" s="212" t="s">
        <v>2241</v>
      </c>
      <c r="M356" s="212" t="s">
        <v>2236</v>
      </c>
      <c r="N356" s="213"/>
      <c r="O356" s="215" t="s">
        <v>109</v>
      </c>
      <c r="P356" s="215" t="s">
        <v>109</v>
      </c>
      <c r="Q356" s="213"/>
      <c r="R356" s="214">
        <v>45833</v>
      </c>
      <c r="S356" s="214">
        <v>45872</v>
      </c>
      <c r="T356" s="212" t="s">
        <v>1819</v>
      </c>
      <c r="U356" s="214"/>
      <c r="V356" s="210" t="s">
        <v>1853</v>
      </c>
      <c r="W356" s="210" t="s">
        <v>1853</v>
      </c>
      <c r="X356" s="210" t="s">
        <v>109</v>
      </c>
      <c r="Y356" s="210" t="s">
        <v>1853</v>
      </c>
      <c r="Z356" s="210" t="s">
        <v>1854</v>
      </c>
      <c r="AA356" s="215">
        <v>45890</v>
      </c>
      <c r="AB356" s="215" t="s">
        <v>1853</v>
      </c>
      <c r="AC356" s="215" t="s">
        <v>1853</v>
      </c>
      <c r="AD356" s="215">
        <v>45908</v>
      </c>
      <c r="AE356" s="215">
        <v>45903</v>
      </c>
      <c r="AF356" s="215">
        <v>45908</v>
      </c>
      <c r="AG356" s="215"/>
      <c r="AH356" s="215"/>
      <c r="AI356" s="216"/>
      <c r="AJ356" s="210" t="s">
        <v>109</v>
      </c>
      <c r="AK356" s="210" t="s">
        <v>109</v>
      </c>
      <c r="AL356" s="210" t="s">
        <v>109</v>
      </c>
      <c r="AM356" s="210" t="s">
        <v>109</v>
      </c>
      <c r="AP356" s="212">
        <v>39</v>
      </c>
      <c r="AQ356" s="218"/>
    </row>
    <row r="357" spans="1:43" s="163" customFormat="1" ht="18.75" customHeight="1" x14ac:dyDescent="0.3">
      <c r="A357" s="156">
        <v>2504051</v>
      </c>
      <c r="B357" s="157" t="s">
        <v>1742</v>
      </c>
      <c r="C357" s="156" t="e" vm="4">
        <v>#VALUE!</v>
      </c>
      <c r="D357" s="156" t="s">
        <v>20</v>
      </c>
      <c r="E357" s="156" t="s">
        <v>206</v>
      </c>
      <c r="F357" s="156">
        <v>0</v>
      </c>
      <c r="G357" s="156">
        <v>0</v>
      </c>
      <c r="H357" s="156">
        <v>0</v>
      </c>
      <c r="I357" s="156">
        <v>0</v>
      </c>
      <c r="J357" s="158">
        <v>0</v>
      </c>
      <c r="K357" s="159"/>
      <c r="L357" s="158" t="s">
        <v>2243</v>
      </c>
      <c r="M357" s="158" t="s">
        <v>2237</v>
      </c>
      <c r="N357" s="159"/>
      <c r="O357" s="161" t="s">
        <v>109</v>
      </c>
      <c r="P357" s="161" t="s">
        <v>109</v>
      </c>
      <c r="Q357" s="159"/>
      <c r="R357" s="160" t="s">
        <v>109</v>
      </c>
      <c r="S357" s="160" t="s">
        <v>109</v>
      </c>
      <c r="T357" s="160" t="s">
        <v>109</v>
      </c>
      <c r="U357" s="160" t="s">
        <v>109</v>
      </c>
      <c r="V357" s="160" t="s">
        <v>109</v>
      </c>
      <c r="W357" s="160" t="s">
        <v>109</v>
      </c>
      <c r="X357" s="160" t="s">
        <v>109</v>
      </c>
      <c r="Y357" s="160" t="s">
        <v>109</v>
      </c>
      <c r="Z357" s="156" t="s">
        <v>1853</v>
      </c>
      <c r="AA357" s="156" t="s">
        <v>1853</v>
      </c>
      <c r="AB357" s="161" t="s">
        <v>109</v>
      </c>
      <c r="AC357" s="161" t="s">
        <v>109</v>
      </c>
      <c r="AD357" s="161" t="s">
        <v>109</v>
      </c>
      <c r="AE357" s="161" t="s">
        <v>109</v>
      </c>
      <c r="AF357" s="161" t="s">
        <v>109</v>
      </c>
      <c r="AG357" s="161" t="s">
        <v>109</v>
      </c>
      <c r="AH357" s="161" t="s">
        <v>109</v>
      </c>
      <c r="AI357" s="162"/>
      <c r="AJ357" s="156"/>
      <c r="AK357" s="156"/>
      <c r="AL357" s="156" t="s">
        <v>109</v>
      </c>
      <c r="AM357" s="156" t="s">
        <v>109</v>
      </c>
      <c r="AP357" s="158" t="e">
        <v>#VALUE!</v>
      </c>
      <c r="AQ357" s="164"/>
    </row>
    <row r="358" spans="1:43" s="163" customFormat="1" ht="18.75" customHeight="1" x14ac:dyDescent="0.3">
      <c r="A358" s="156">
        <v>2505056</v>
      </c>
      <c r="B358" s="157" t="s">
        <v>1743</v>
      </c>
      <c r="C358" s="156" t="e" vm="11">
        <v>#VALUE!</v>
      </c>
      <c r="D358" s="156" t="s">
        <v>19</v>
      </c>
      <c r="E358" s="156" t="s">
        <v>206</v>
      </c>
      <c r="F358" s="156">
        <v>0</v>
      </c>
      <c r="G358" s="156">
        <v>0</v>
      </c>
      <c r="H358" s="156">
        <v>0</v>
      </c>
      <c r="I358" s="156">
        <v>0</v>
      </c>
      <c r="J358" s="158">
        <v>0</v>
      </c>
      <c r="K358" s="159"/>
      <c r="L358" s="158" t="s">
        <v>2243</v>
      </c>
      <c r="M358" s="158" t="s">
        <v>2236</v>
      </c>
      <c r="N358" s="159"/>
      <c r="O358" s="161" t="s">
        <v>109</v>
      </c>
      <c r="P358" s="161" t="s">
        <v>109</v>
      </c>
      <c r="Q358" s="159"/>
      <c r="R358" s="160" t="s">
        <v>109</v>
      </c>
      <c r="S358" s="160" t="s">
        <v>109</v>
      </c>
      <c r="T358" s="160" t="s">
        <v>109</v>
      </c>
      <c r="U358" s="160" t="s">
        <v>109</v>
      </c>
      <c r="V358" s="160" t="s">
        <v>109</v>
      </c>
      <c r="W358" s="160" t="s">
        <v>109</v>
      </c>
      <c r="X358" s="160" t="s">
        <v>109</v>
      </c>
      <c r="Y358" s="160" t="s">
        <v>109</v>
      </c>
      <c r="Z358" s="156" t="s">
        <v>1853</v>
      </c>
      <c r="AA358" s="156" t="s">
        <v>1853</v>
      </c>
      <c r="AB358" s="161" t="s">
        <v>109</v>
      </c>
      <c r="AC358" s="161" t="s">
        <v>109</v>
      </c>
      <c r="AD358" s="161" t="s">
        <v>109</v>
      </c>
      <c r="AE358" s="161" t="s">
        <v>109</v>
      </c>
      <c r="AF358" s="161" t="s">
        <v>109</v>
      </c>
      <c r="AG358" s="161" t="s">
        <v>109</v>
      </c>
      <c r="AH358" s="161" t="s">
        <v>109</v>
      </c>
      <c r="AI358" s="162"/>
      <c r="AJ358" s="156"/>
      <c r="AK358" s="156"/>
      <c r="AL358" s="156" t="s">
        <v>109</v>
      </c>
      <c r="AM358" s="156" t="s">
        <v>109</v>
      </c>
      <c r="AP358" s="158" t="e">
        <v>#VALUE!</v>
      </c>
      <c r="AQ358" s="164"/>
    </row>
    <row r="359" spans="1:43" s="172" customFormat="1" ht="18.75" customHeight="1" x14ac:dyDescent="0.3">
      <c r="A359" s="165">
        <v>2507833</v>
      </c>
      <c r="B359" s="166" t="s">
        <v>1744</v>
      </c>
      <c r="C359" s="165" t="e" vm="11">
        <v>#VALUE!</v>
      </c>
      <c r="D359" s="165" t="s">
        <v>22</v>
      </c>
      <c r="E359" s="165" t="s">
        <v>71</v>
      </c>
      <c r="F359" s="165" t="s">
        <v>15</v>
      </c>
      <c r="G359" s="165">
        <v>12.4</v>
      </c>
      <c r="H359" s="165" t="s">
        <v>1453</v>
      </c>
      <c r="I359" s="165">
        <v>20</v>
      </c>
      <c r="J359" s="167" t="s">
        <v>1745</v>
      </c>
      <c r="K359" s="168"/>
      <c r="L359" s="167" t="s">
        <v>2246</v>
      </c>
      <c r="M359" s="167" t="s">
        <v>2236</v>
      </c>
      <c r="N359" s="168"/>
      <c r="O359" s="170" t="s">
        <v>109</v>
      </c>
      <c r="P359" s="170" t="s">
        <v>109</v>
      </c>
      <c r="Q359" s="168"/>
      <c r="R359" s="169" t="s">
        <v>109</v>
      </c>
      <c r="S359" s="169" t="s">
        <v>109</v>
      </c>
      <c r="T359" s="169" t="s">
        <v>109</v>
      </c>
      <c r="U359" s="169" t="s">
        <v>109</v>
      </c>
      <c r="V359" s="169" t="s">
        <v>109</v>
      </c>
      <c r="W359" s="169" t="s">
        <v>109</v>
      </c>
      <c r="X359" s="169" t="s">
        <v>109</v>
      </c>
      <c r="Y359" s="169" t="s">
        <v>109</v>
      </c>
      <c r="Z359" s="165"/>
      <c r="AA359" s="170"/>
      <c r="AB359" s="170"/>
      <c r="AC359" s="170"/>
      <c r="AD359" s="170"/>
      <c r="AE359" s="170"/>
      <c r="AF359" s="170"/>
      <c r="AG359" s="170"/>
      <c r="AH359" s="170"/>
      <c r="AI359" s="171"/>
      <c r="AJ359" s="165" t="s">
        <v>109</v>
      </c>
      <c r="AK359" s="165" t="s">
        <v>109</v>
      </c>
      <c r="AL359" s="165" t="s">
        <v>109</v>
      </c>
      <c r="AM359" s="165" t="s">
        <v>109</v>
      </c>
      <c r="AP359" s="167" t="e">
        <v>#VALUE!</v>
      </c>
      <c r="AQ359" s="173"/>
    </row>
    <row r="360" spans="1:43" s="172" customFormat="1" ht="18.75" customHeight="1" x14ac:dyDescent="0.3">
      <c r="A360" s="165">
        <v>2409030</v>
      </c>
      <c r="B360" s="166" t="s">
        <v>1749</v>
      </c>
      <c r="C360" s="165" t="e" vm="11">
        <v>#VALUE!</v>
      </c>
      <c r="D360" s="165" t="s">
        <v>19</v>
      </c>
      <c r="E360" s="165" t="s">
        <v>206</v>
      </c>
      <c r="F360" s="165">
        <v>0</v>
      </c>
      <c r="G360" s="165">
        <v>0</v>
      </c>
      <c r="H360" s="165">
        <v>0</v>
      </c>
      <c r="I360" s="165">
        <v>0</v>
      </c>
      <c r="J360" s="167">
        <v>0</v>
      </c>
      <c r="K360" s="168"/>
      <c r="L360" s="167" t="s">
        <v>2246</v>
      </c>
      <c r="M360" s="167" t="s">
        <v>2236</v>
      </c>
      <c r="N360" s="168"/>
      <c r="O360" s="170" t="s">
        <v>109</v>
      </c>
      <c r="P360" s="170" t="s">
        <v>109</v>
      </c>
      <c r="Q360" s="168"/>
      <c r="R360" s="169" t="s">
        <v>109</v>
      </c>
      <c r="S360" s="169" t="s">
        <v>109</v>
      </c>
      <c r="T360" s="169" t="s">
        <v>109</v>
      </c>
      <c r="U360" s="169" t="s">
        <v>109</v>
      </c>
      <c r="V360" s="169" t="s">
        <v>109</v>
      </c>
      <c r="W360" s="169" t="s">
        <v>109</v>
      </c>
      <c r="X360" s="169" t="s">
        <v>109</v>
      </c>
      <c r="Y360" s="169" t="s">
        <v>109</v>
      </c>
      <c r="Z360" s="165"/>
      <c r="AA360" s="170"/>
      <c r="AB360" s="170"/>
      <c r="AC360" s="170"/>
      <c r="AD360" s="170"/>
      <c r="AE360" s="170"/>
      <c r="AF360" s="170"/>
      <c r="AG360" s="170"/>
      <c r="AH360" s="170"/>
      <c r="AI360" s="171"/>
      <c r="AJ360" s="165" t="s">
        <v>109</v>
      </c>
      <c r="AK360" s="165" t="s">
        <v>109</v>
      </c>
      <c r="AL360" s="165" t="s">
        <v>109</v>
      </c>
      <c r="AM360" s="165" t="s">
        <v>109</v>
      </c>
      <c r="AP360" s="167" t="e">
        <v>#VALUE!</v>
      </c>
      <c r="AQ360" s="173"/>
    </row>
    <row r="361" spans="1:43" s="172" customFormat="1" ht="18.75" customHeight="1" x14ac:dyDescent="0.3">
      <c r="A361" s="165">
        <v>2507059</v>
      </c>
      <c r="B361" s="166" t="s">
        <v>1750</v>
      </c>
      <c r="C361" s="165" t="e" vm="11">
        <v>#VALUE!</v>
      </c>
      <c r="D361" s="165" t="s">
        <v>19</v>
      </c>
      <c r="E361" s="165" t="s">
        <v>206</v>
      </c>
      <c r="F361" s="165">
        <v>0</v>
      </c>
      <c r="G361" s="165">
        <v>0</v>
      </c>
      <c r="H361" s="165">
        <v>0</v>
      </c>
      <c r="I361" s="165">
        <v>0</v>
      </c>
      <c r="J361" s="167">
        <v>0</v>
      </c>
      <c r="K361" s="168"/>
      <c r="L361" s="167" t="s">
        <v>2246</v>
      </c>
      <c r="M361" s="167" t="s">
        <v>2236</v>
      </c>
      <c r="N361" s="168"/>
      <c r="O361" s="170" t="s">
        <v>109</v>
      </c>
      <c r="P361" s="170" t="s">
        <v>109</v>
      </c>
      <c r="Q361" s="168"/>
      <c r="R361" s="169" t="s">
        <v>109</v>
      </c>
      <c r="S361" s="169" t="s">
        <v>109</v>
      </c>
      <c r="T361" s="169" t="s">
        <v>109</v>
      </c>
      <c r="U361" s="169" t="s">
        <v>109</v>
      </c>
      <c r="V361" s="169" t="s">
        <v>109</v>
      </c>
      <c r="W361" s="169" t="s">
        <v>109</v>
      </c>
      <c r="X361" s="169" t="s">
        <v>109</v>
      </c>
      <c r="Y361" s="169" t="s">
        <v>109</v>
      </c>
      <c r="Z361" s="165"/>
      <c r="AA361" s="170"/>
      <c r="AB361" s="170"/>
      <c r="AC361" s="170"/>
      <c r="AD361" s="170"/>
      <c r="AE361" s="170"/>
      <c r="AF361" s="170"/>
      <c r="AG361" s="170"/>
      <c r="AH361" s="170"/>
      <c r="AI361" s="171"/>
      <c r="AJ361" s="165" t="s">
        <v>109</v>
      </c>
      <c r="AK361" s="165" t="s">
        <v>109</v>
      </c>
      <c r="AL361" s="165" t="s">
        <v>109</v>
      </c>
      <c r="AM361" s="165" t="s">
        <v>109</v>
      </c>
      <c r="AP361" s="167" t="e">
        <v>#VALUE!</v>
      </c>
      <c r="AQ361" s="173"/>
    </row>
    <row r="362" spans="1:43" s="172" customFormat="1" ht="18.75" customHeight="1" x14ac:dyDescent="0.3">
      <c r="A362" s="165">
        <v>2507060</v>
      </c>
      <c r="B362" s="166" t="s">
        <v>1751</v>
      </c>
      <c r="C362" s="165" t="e" vm="11">
        <v>#VALUE!</v>
      </c>
      <c r="D362" s="165" t="s">
        <v>19</v>
      </c>
      <c r="E362" s="165" t="s">
        <v>206</v>
      </c>
      <c r="F362" s="165">
        <v>0</v>
      </c>
      <c r="G362" s="165">
        <v>0</v>
      </c>
      <c r="H362" s="165">
        <v>0</v>
      </c>
      <c r="I362" s="165">
        <v>0</v>
      </c>
      <c r="J362" s="167">
        <v>0</v>
      </c>
      <c r="K362" s="168"/>
      <c r="L362" s="167" t="s">
        <v>2246</v>
      </c>
      <c r="M362" s="167" t="s">
        <v>2236</v>
      </c>
      <c r="N362" s="168"/>
      <c r="O362" s="170" t="s">
        <v>109</v>
      </c>
      <c r="P362" s="170" t="s">
        <v>109</v>
      </c>
      <c r="Q362" s="168"/>
      <c r="R362" s="169" t="s">
        <v>109</v>
      </c>
      <c r="S362" s="169" t="s">
        <v>109</v>
      </c>
      <c r="T362" s="169" t="s">
        <v>109</v>
      </c>
      <c r="U362" s="169" t="s">
        <v>109</v>
      </c>
      <c r="V362" s="169" t="s">
        <v>109</v>
      </c>
      <c r="W362" s="169" t="s">
        <v>109</v>
      </c>
      <c r="X362" s="169" t="s">
        <v>109</v>
      </c>
      <c r="Y362" s="169" t="s">
        <v>109</v>
      </c>
      <c r="Z362" s="165"/>
      <c r="AA362" s="170"/>
      <c r="AB362" s="170"/>
      <c r="AC362" s="170"/>
      <c r="AD362" s="170"/>
      <c r="AE362" s="170"/>
      <c r="AF362" s="170"/>
      <c r="AG362" s="170"/>
      <c r="AH362" s="170"/>
      <c r="AI362" s="171"/>
      <c r="AJ362" s="165" t="s">
        <v>109</v>
      </c>
      <c r="AK362" s="165" t="s">
        <v>109</v>
      </c>
      <c r="AL362" s="165" t="s">
        <v>109</v>
      </c>
      <c r="AM362" s="165" t="s">
        <v>109</v>
      </c>
      <c r="AP362" s="167" t="e">
        <v>#VALUE!</v>
      </c>
      <c r="AQ362" s="173"/>
    </row>
    <row r="363" spans="1:43" ht="18.75" customHeight="1" x14ac:dyDescent="0.3">
      <c r="A363" s="4">
        <v>2508858</v>
      </c>
      <c r="B363" s="110" t="s">
        <v>1752</v>
      </c>
      <c r="C363" s="4" t="e" vm="5">
        <v>#VALUE!</v>
      </c>
      <c r="D363" s="4" t="s">
        <v>22</v>
      </c>
      <c r="E363" s="4" t="s">
        <v>71</v>
      </c>
      <c r="F363" s="4" t="s">
        <v>15</v>
      </c>
      <c r="G363" s="4">
        <v>16.12</v>
      </c>
      <c r="H363" s="4" t="s">
        <v>1453</v>
      </c>
      <c r="I363" s="4">
        <v>26</v>
      </c>
      <c r="J363" s="1" t="s">
        <v>1753</v>
      </c>
      <c r="K363" s="127"/>
      <c r="L363" s="1" t="s">
        <v>1853</v>
      </c>
      <c r="M363" s="1" t="s">
        <v>2236</v>
      </c>
      <c r="N363" s="127"/>
      <c r="O363" s="39" t="s">
        <v>109</v>
      </c>
      <c r="P363" s="39" t="s">
        <v>109</v>
      </c>
      <c r="Q363" s="127"/>
      <c r="R363" s="56" t="s">
        <v>109</v>
      </c>
      <c r="S363" s="56" t="s">
        <v>109</v>
      </c>
      <c r="T363" s="56" t="s">
        <v>109</v>
      </c>
      <c r="U363" s="56" t="s">
        <v>109</v>
      </c>
      <c r="V363" s="56" t="s">
        <v>109</v>
      </c>
      <c r="W363" s="56" t="s">
        <v>109</v>
      </c>
      <c r="X363" s="56" t="s">
        <v>109</v>
      </c>
      <c r="Y363" s="56" t="s">
        <v>109</v>
      </c>
      <c r="Z363" s="4" t="s">
        <v>1853</v>
      </c>
      <c r="AA363" s="39" t="s">
        <v>1853</v>
      </c>
      <c r="AB363" s="39" t="s">
        <v>109</v>
      </c>
      <c r="AC363" s="39" t="s">
        <v>109</v>
      </c>
      <c r="AD363" s="39" t="s">
        <v>109</v>
      </c>
      <c r="AE363" s="39" t="s">
        <v>109</v>
      </c>
      <c r="AF363" s="39" t="s">
        <v>109</v>
      </c>
      <c r="AG363" s="39" t="s">
        <v>109</v>
      </c>
      <c r="AH363" s="39" t="s">
        <v>109</v>
      </c>
      <c r="AJ363" s="4" t="s">
        <v>109</v>
      </c>
      <c r="AK363" s="4" t="s">
        <v>109</v>
      </c>
      <c r="AL363" s="4" t="s">
        <v>109</v>
      </c>
      <c r="AM363" s="4" t="s">
        <v>109</v>
      </c>
      <c r="AP363" s="1" t="e">
        <v>#VALUE!</v>
      </c>
    </row>
    <row r="364" spans="1:43" s="172" customFormat="1" ht="18.75" customHeight="1" x14ac:dyDescent="0.3">
      <c r="A364" s="165">
        <v>2507062</v>
      </c>
      <c r="B364" s="166" t="s">
        <v>1757</v>
      </c>
      <c r="C364" s="165" t="e" vm="4">
        <v>#VALUE!</v>
      </c>
      <c r="D364" s="165" t="s">
        <v>20</v>
      </c>
      <c r="E364" s="165" t="s">
        <v>206</v>
      </c>
      <c r="F364" s="165">
        <v>0</v>
      </c>
      <c r="G364" s="165">
        <v>0</v>
      </c>
      <c r="H364" s="165">
        <v>0</v>
      </c>
      <c r="I364" s="165">
        <v>0</v>
      </c>
      <c r="J364" s="167">
        <v>0</v>
      </c>
      <c r="K364" s="168"/>
      <c r="L364" s="167" t="s">
        <v>2246</v>
      </c>
      <c r="M364" s="167" t="s">
        <v>2240</v>
      </c>
      <c r="N364" s="168"/>
      <c r="O364" s="170" t="s">
        <v>109</v>
      </c>
      <c r="P364" s="170" t="s">
        <v>109</v>
      </c>
      <c r="Q364" s="168"/>
      <c r="R364" s="169" t="s">
        <v>109</v>
      </c>
      <c r="S364" s="169" t="s">
        <v>109</v>
      </c>
      <c r="T364" s="169" t="s">
        <v>109</v>
      </c>
      <c r="U364" s="169" t="s">
        <v>109</v>
      </c>
      <c r="V364" s="169" t="s">
        <v>109</v>
      </c>
      <c r="W364" s="169" t="s">
        <v>109</v>
      </c>
      <c r="X364" s="169" t="s">
        <v>109</v>
      </c>
      <c r="Y364" s="169" t="s">
        <v>109</v>
      </c>
      <c r="Z364" s="165"/>
      <c r="AA364" s="170"/>
      <c r="AB364" s="170"/>
      <c r="AC364" s="170"/>
      <c r="AD364" s="170"/>
      <c r="AE364" s="170"/>
      <c r="AF364" s="170"/>
      <c r="AG364" s="170"/>
      <c r="AH364" s="170"/>
      <c r="AI364" s="171"/>
      <c r="AJ364" s="165" t="s">
        <v>109</v>
      </c>
      <c r="AK364" s="165" t="s">
        <v>109</v>
      </c>
      <c r="AL364" s="165" t="s">
        <v>109</v>
      </c>
      <c r="AM364" s="165" t="s">
        <v>109</v>
      </c>
      <c r="AP364" s="167" t="e">
        <v>#VALUE!</v>
      </c>
      <c r="AQ364" s="173"/>
    </row>
    <row r="365" spans="1:43" s="172" customFormat="1" ht="18.75" customHeight="1" x14ac:dyDescent="0.3">
      <c r="A365" s="165">
        <v>2509863</v>
      </c>
      <c r="B365" s="166" t="s">
        <v>1758</v>
      </c>
      <c r="C365" s="165" t="e" vm="11">
        <v>#VALUE!</v>
      </c>
      <c r="D365" s="165" t="s">
        <v>22</v>
      </c>
      <c r="E365" s="165" t="s">
        <v>71</v>
      </c>
      <c r="F365" s="165" t="s">
        <v>15</v>
      </c>
      <c r="G365" s="165">
        <v>9.92</v>
      </c>
      <c r="H365" s="165" t="s">
        <v>1453</v>
      </c>
      <c r="I365" s="165">
        <v>16</v>
      </c>
      <c r="J365" s="167" t="s">
        <v>1759</v>
      </c>
      <c r="K365" s="168"/>
      <c r="L365" s="167" t="s">
        <v>2246</v>
      </c>
      <c r="M365" s="167" t="s">
        <v>2240</v>
      </c>
      <c r="N365" s="168"/>
      <c r="O365" s="170" t="s">
        <v>109</v>
      </c>
      <c r="P365" s="170" t="s">
        <v>109</v>
      </c>
      <c r="Q365" s="168"/>
      <c r="R365" s="169" t="s">
        <v>109</v>
      </c>
      <c r="S365" s="169" t="s">
        <v>109</v>
      </c>
      <c r="T365" s="169" t="s">
        <v>109</v>
      </c>
      <c r="U365" s="169" t="s">
        <v>109</v>
      </c>
      <c r="V365" s="169" t="s">
        <v>109</v>
      </c>
      <c r="W365" s="169" t="s">
        <v>109</v>
      </c>
      <c r="X365" s="169" t="s">
        <v>109</v>
      </c>
      <c r="Y365" s="169" t="s">
        <v>109</v>
      </c>
      <c r="Z365" s="165"/>
      <c r="AA365" s="170"/>
      <c r="AB365" s="167"/>
      <c r="AC365" s="167"/>
      <c r="AD365" s="167"/>
      <c r="AE365" s="170"/>
      <c r="AF365" s="170"/>
      <c r="AG365" s="165"/>
      <c r="AH365" s="165"/>
      <c r="AI365" s="171"/>
      <c r="AJ365" s="165"/>
      <c r="AK365" s="165"/>
      <c r="AL365" s="165"/>
      <c r="AM365" s="165"/>
      <c r="AP365" s="167" t="e">
        <v>#VALUE!</v>
      </c>
      <c r="AQ365" s="173"/>
    </row>
    <row r="366" spans="1:43" s="172" customFormat="1" ht="18.75" customHeight="1" x14ac:dyDescent="0.3">
      <c r="A366" s="165">
        <v>2507840</v>
      </c>
      <c r="B366" s="166" t="s">
        <v>1763</v>
      </c>
      <c r="C366" s="165" t="e" vm="11">
        <v>#VALUE!</v>
      </c>
      <c r="D366" s="165" t="s">
        <v>22</v>
      </c>
      <c r="E366" s="165" t="s">
        <v>71</v>
      </c>
      <c r="F366" s="165" t="s">
        <v>15</v>
      </c>
      <c r="G366" s="165">
        <v>15.5</v>
      </c>
      <c r="H366" s="165" t="s">
        <v>1453</v>
      </c>
      <c r="I366" s="165">
        <v>25</v>
      </c>
      <c r="J366" s="167" t="s">
        <v>1753</v>
      </c>
      <c r="K366" s="168"/>
      <c r="L366" s="167" t="s">
        <v>2246</v>
      </c>
      <c r="M366" s="167" t="s">
        <v>2240</v>
      </c>
      <c r="N366" s="168"/>
      <c r="O366" s="170" t="s">
        <v>109</v>
      </c>
      <c r="P366" s="170" t="s">
        <v>109</v>
      </c>
      <c r="Q366" s="168"/>
      <c r="R366" s="169" t="s">
        <v>109</v>
      </c>
      <c r="S366" s="169" t="s">
        <v>109</v>
      </c>
      <c r="T366" s="169" t="s">
        <v>109</v>
      </c>
      <c r="U366" s="169" t="s">
        <v>109</v>
      </c>
      <c r="V366" s="169" t="s">
        <v>109</v>
      </c>
      <c r="W366" s="169" t="s">
        <v>109</v>
      </c>
      <c r="X366" s="169" t="s">
        <v>109</v>
      </c>
      <c r="Y366" s="169" t="s">
        <v>109</v>
      </c>
      <c r="Z366" s="165"/>
      <c r="AA366" s="170"/>
      <c r="AB366" s="167"/>
      <c r="AC366" s="167"/>
      <c r="AD366" s="167"/>
      <c r="AE366" s="170"/>
      <c r="AF366" s="170"/>
      <c r="AG366" s="165"/>
      <c r="AH366" s="165"/>
      <c r="AI366" s="171"/>
      <c r="AJ366" s="165"/>
      <c r="AK366" s="165"/>
      <c r="AL366" s="165"/>
      <c r="AM366" s="165"/>
      <c r="AP366" s="167" t="e">
        <v>#VALUE!</v>
      </c>
      <c r="AQ366" s="173"/>
    </row>
    <row r="367" spans="1:43" s="172" customFormat="1" ht="18.75" customHeight="1" x14ac:dyDescent="0.3">
      <c r="A367" s="165">
        <v>2508857</v>
      </c>
      <c r="B367" s="166" t="s">
        <v>1765</v>
      </c>
      <c r="C367" s="165" t="e" vm="5">
        <v>#VALUE!</v>
      </c>
      <c r="D367" s="165" t="s">
        <v>21</v>
      </c>
      <c r="E367" s="165" t="s">
        <v>71</v>
      </c>
      <c r="F367" s="165" t="s">
        <v>15</v>
      </c>
      <c r="G367" s="165">
        <v>8.68</v>
      </c>
      <c r="H367" s="165" t="s">
        <v>1453</v>
      </c>
      <c r="I367" s="165">
        <v>14</v>
      </c>
      <c r="J367" s="167" t="s">
        <v>1376</v>
      </c>
      <c r="K367" s="168"/>
      <c r="L367" s="167" t="s">
        <v>2246</v>
      </c>
      <c r="M367" s="167" t="s">
        <v>2238</v>
      </c>
      <c r="N367" s="168"/>
      <c r="O367" s="170" t="s">
        <v>109</v>
      </c>
      <c r="P367" s="170" t="s">
        <v>109</v>
      </c>
      <c r="Q367" s="168"/>
      <c r="R367" s="169" t="s">
        <v>109</v>
      </c>
      <c r="S367" s="169" t="s">
        <v>109</v>
      </c>
      <c r="T367" s="169" t="s">
        <v>109</v>
      </c>
      <c r="U367" s="169" t="s">
        <v>109</v>
      </c>
      <c r="V367" s="169" t="s">
        <v>109</v>
      </c>
      <c r="W367" s="169" t="s">
        <v>109</v>
      </c>
      <c r="X367" s="169" t="s">
        <v>109</v>
      </c>
      <c r="Y367" s="169" t="s">
        <v>109</v>
      </c>
      <c r="Z367" s="165"/>
      <c r="AA367" s="170"/>
      <c r="AB367" s="167"/>
      <c r="AC367" s="167"/>
      <c r="AD367" s="167"/>
      <c r="AE367" s="170"/>
      <c r="AF367" s="170"/>
      <c r="AG367" s="165"/>
      <c r="AH367" s="165"/>
      <c r="AI367" s="171"/>
      <c r="AJ367" s="165"/>
      <c r="AK367" s="165"/>
      <c r="AL367" s="165"/>
      <c r="AM367" s="165"/>
      <c r="AP367" s="167" t="e">
        <v>#VALUE!</v>
      </c>
      <c r="AQ367" s="173"/>
    </row>
    <row r="368" spans="1:43" s="172" customFormat="1" ht="18.75" customHeight="1" x14ac:dyDescent="0.3">
      <c r="A368" s="165">
        <v>2305008</v>
      </c>
      <c r="B368" s="166" t="s">
        <v>1769</v>
      </c>
      <c r="C368" s="165" t="e" vm="11">
        <v>#VALUE!</v>
      </c>
      <c r="D368" s="165" t="s">
        <v>22</v>
      </c>
      <c r="E368" s="165" t="s">
        <v>124</v>
      </c>
      <c r="F368" s="165" t="s">
        <v>15</v>
      </c>
      <c r="G368" s="165">
        <v>17.98</v>
      </c>
      <c r="H368" s="165" t="s">
        <v>1453</v>
      </c>
      <c r="I368" s="165">
        <v>29</v>
      </c>
      <c r="J368" s="167" t="s">
        <v>1770</v>
      </c>
      <c r="K368" s="168"/>
      <c r="L368" s="167" t="s">
        <v>2246</v>
      </c>
      <c r="M368" s="167" t="s">
        <v>2240</v>
      </c>
      <c r="N368" s="168"/>
      <c r="O368" s="170" t="s">
        <v>109</v>
      </c>
      <c r="P368" s="170" t="s">
        <v>109</v>
      </c>
      <c r="Q368" s="168"/>
      <c r="R368" s="169" t="s">
        <v>109</v>
      </c>
      <c r="S368" s="169" t="s">
        <v>109</v>
      </c>
      <c r="T368" s="169" t="s">
        <v>109</v>
      </c>
      <c r="U368" s="169" t="s">
        <v>109</v>
      </c>
      <c r="V368" s="169" t="s">
        <v>109</v>
      </c>
      <c r="W368" s="169" t="s">
        <v>109</v>
      </c>
      <c r="X368" s="169" t="s">
        <v>109</v>
      </c>
      <c r="Y368" s="169" t="s">
        <v>109</v>
      </c>
      <c r="Z368" s="165"/>
      <c r="AA368" s="170"/>
      <c r="AB368" s="167"/>
      <c r="AC368" s="167"/>
      <c r="AD368" s="167"/>
      <c r="AE368" s="170"/>
      <c r="AF368" s="170"/>
      <c r="AG368" s="165"/>
      <c r="AH368" s="165"/>
      <c r="AI368" s="171"/>
      <c r="AJ368" s="165"/>
      <c r="AK368" s="165"/>
      <c r="AL368" s="165"/>
      <c r="AM368" s="165"/>
      <c r="AP368" s="167" t="e">
        <v>#VALUE!</v>
      </c>
      <c r="AQ368" s="173"/>
    </row>
    <row r="369" spans="1:43" s="172" customFormat="1" ht="18.75" customHeight="1" x14ac:dyDescent="0.3">
      <c r="A369" s="165">
        <v>2508856</v>
      </c>
      <c r="B369" s="166" t="s">
        <v>1773</v>
      </c>
      <c r="C369" s="165" t="e" vm="11">
        <v>#VALUE!</v>
      </c>
      <c r="D369" s="165" t="s">
        <v>21</v>
      </c>
      <c r="E369" s="165" t="s">
        <v>71</v>
      </c>
      <c r="F369" s="165" t="s">
        <v>15</v>
      </c>
      <c r="G369" s="165">
        <v>18.600000000000001</v>
      </c>
      <c r="H369" s="165" t="s">
        <v>1453</v>
      </c>
      <c r="I369" s="165">
        <v>30</v>
      </c>
      <c r="J369" s="167" t="s">
        <v>1774</v>
      </c>
      <c r="K369" s="168"/>
      <c r="L369" s="167" t="s">
        <v>2246</v>
      </c>
      <c r="M369" s="167" t="s">
        <v>2240</v>
      </c>
      <c r="N369" s="168"/>
      <c r="O369" s="170" t="s">
        <v>109</v>
      </c>
      <c r="P369" s="170" t="s">
        <v>109</v>
      </c>
      <c r="Q369" s="168"/>
      <c r="R369" s="169" t="s">
        <v>109</v>
      </c>
      <c r="S369" s="169" t="s">
        <v>109</v>
      </c>
      <c r="T369" s="169" t="s">
        <v>109</v>
      </c>
      <c r="U369" s="169" t="s">
        <v>109</v>
      </c>
      <c r="V369" s="169" t="s">
        <v>109</v>
      </c>
      <c r="W369" s="169" t="s">
        <v>109</v>
      </c>
      <c r="X369" s="169" t="s">
        <v>109</v>
      </c>
      <c r="Y369" s="169" t="s">
        <v>109</v>
      </c>
      <c r="Z369" s="165"/>
      <c r="AA369" s="170"/>
      <c r="AB369" s="167"/>
      <c r="AC369" s="167"/>
      <c r="AD369" s="167"/>
      <c r="AE369" s="170"/>
      <c r="AF369" s="170"/>
      <c r="AG369" s="165"/>
      <c r="AH369" s="165"/>
      <c r="AI369" s="171"/>
      <c r="AJ369" s="165"/>
      <c r="AK369" s="165"/>
      <c r="AL369" s="165"/>
      <c r="AM369" s="165"/>
      <c r="AP369" s="167" t="e">
        <v>#VALUE!</v>
      </c>
      <c r="AQ369" s="173"/>
    </row>
    <row r="370" spans="1:43" s="172" customFormat="1" ht="18.75" customHeight="1" x14ac:dyDescent="0.3">
      <c r="A370" s="165">
        <v>2510877</v>
      </c>
      <c r="B370" s="166" t="s">
        <v>1778</v>
      </c>
      <c r="C370" s="165" t="e" vm="10">
        <v>#VALUE!</v>
      </c>
      <c r="D370" s="165" t="s">
        <v>22</v>
      </c>
      <c r="E370" s="165" t="s">
        <v>71</v>
      </c>
      <c r="F370" s="165" t="s">
        <v>15</v>
      </c>
      <c r="G370" s="165">
        <v>9.92</v>
      </c>
      <c r="H370" s="165" t="s">
        <v>1453</v>
      </c>
      <c r="I370" s="165">
        <v>16</v>
      </c>
      <c r="J370" s="167" t="s">
        <v>1376</v>
      </c>
      <c r="K370" s="168"/>
      <c r="L370" s="167" t="s">
        <v>2246</v>
      </c>
      <c r="M370" s="167" t="s">
        <v>2240</v>
      </c>
      <c r="N370" s="168"/>
      <c r="O370" s="170" t="s">
        <v>109</v>
      </c>
      <c r="P370" s="170" t="s">
        <v>109</v>
      </c>
      <c r="Q370" s="168"/>
      <c r="R370" s="169" t="s">
        <v>109</v>
      </c>
      <c r="S370" s="169" t="s">
        <v>109</v>
      </c>
      <c r="T370" s="169" t="s">
        <v>109</v>
      </c>
      <c r="U370" s="169" t="s">
        <v>109</v>
      </c>
      <c r="V370" s="169" t="s">
        <v>109</v>
      </c>
      <c r="W370" s="169" t="s">
        <v>109</v>
      </c>
      <c r="X370" s="169" t="s">
        <v>109</v>
      </c>
      <c r="Y370" s="169" t="s">
        <v>109</v>
      </c>
      <c r="Z370" s="165"/>
      <c r="AA370" s="170"/>
      <c r="AB370" s="167"/>
      <c r="AC370" s="167"/>
      <c r="AD370" s="167"/>
      <c r="AE370" s="170"/>
      <c r="AF370" s="170"/>
      <c r="AG370" s="165"/>
      <c r="AH370" s="165"/>
      <c r="AI370" s="171"/>
      <c r="AJ370" s="165"/>
      <c r="AK370" s="165"/>
      <c r="AL370" s="165"/>
      <c r="AM370" s="165"/>
      <c r="AP370" s="167" t="e">
        <v>#VALUE!</v>
      </c>
      <c r="AQ370" s="173"/>
    </row>
    <row r="371" spans="1:43" s="172" customFormat="1" ht="18.75" customHeight="1" x14ac:dyDescent="0.3">
      <c r="A371" s="165">
        <v>2511887</v>
      </c>
      <c r="B371" s="166" t="s">
        <v>1782</v>
      </c>
      <c r="C371" s="165" t="e" vm="11">
        <v>#VALUE!</v>
      </c>
      <c r="D371" s="165" t="s">
        <v>22</v>
      </c>
      <c r="E371" s="165" t="s">
        <v>71</v>
      </c>
      <c r="F371" s="165" t="s">
        <v>15</v>
      </c>
      <c r="G371" s="165">
        <v>12.4</v>
      </c>
      <c r="H371" s="165" t="s">
        <v>1453</v>
      </c>
      <c r="I371" s="165">
        <v>19</v>
      </c>
      <c r="J371" s="167" t="s">
        <v>1783</v>
      </c>
      <c r="K371" s="168"/>
      <c r="L371" s="167" t="s">
        <v>2246</v>
      </c>
      <c r="M371" s="167" t="s">
        <v>2240</v>
      </c>
      <c r="N371" s="168"/>
      <c r="O371" s="170" t="s">
        <v>109</v>
      </c>
      <c r="P371" s="170" t="s">
        <v>109</v>
      </c>
      <c r="Q371" s="168"/>
      <c r="R371" s="169" t="s">
        <v>109</v>
      </c>
      <c r="S371" s="169" t="s">
        <v>109</v>
      </c>
      <c r="T371" s="169" t="s">
        <v>109</v>
      </c>
      <c r="U371" s="169" t="s">
        <v>109</v>
      </c>
      <c r="V371" s="169" t="s">
        <v>109</v>
      </c>
      <c r="W371" s="169" t="s">
        <v>109</v>
      </c>
      <c r="X371" s="169" t="s">
        <v>109</v>
      </c>
      <c r="Y371" s="169" t="s">
        <v>109</v>
      </c>
      <c r="Z371" s="165"/>
      <c r="AA371" s="170"/>
      <c r="AB371" s="167"/>
      <c r="AC371" s="167"/>
      <c r="AD371" s="167"/>
      <c r="AE371" s="170"/>
      <c r="AF371" s="170"/>
      <c r="AG371" s="165"/>
      <c r="AH371" s="165"/>
      <c r="AI371" s="171"/>
      <c r="AJ371" s="165"/>
      <c r="AK371" s="165"/>
      <c r="AL371" s="165"/>
      <c r="AM371" s="165"/>
      <c r="AP371" s="167" t="e">
        <v>#VALUE!</v>
      </c>
      <c r="AQ371" s="173"/>
    </row>
    <row r="372" spans="1:43" s="172" customFormat="1" ht="18.75" customHeight="1" x14ac:dyDescent="0.3">
      <c r="A372" s="165">
        <v>2305019</v>
      </c>
      <c r="B372" s="166" t="s">
        <v>1787</v>
      </c>
      <c r="C372" s="165" t="e" vm="5">
        <v>#VALUE!</v>
      </c>
      <c r="D372" s="165" t="s">
        <v>20</v>
      </c>
      <c r="E372" s="165" t="s">
        <v>71</v>
      </c>
      <c r="F372" s="165" t="s">
        <v>15</v>
      </c>
      <c r="G372" s="165">
        <v>15.5</v>
      </c>
      <c r="H372" s="165" t="s">
        <v>1453</v>
      </c>
      <c r="I372" s="165">
        <v>25</v>
      </c>
      <c r="J372" s="167" t="s">
        <v>1774</v>
      </c>
      <c r="K372" s="168"/>
      <c r="L372" s="167" t="s">
        <v>2246</v>
      </c>
      <c r="M372" s="167" t="s">
        <v>2240</v>
      </c>
      <c r="N372" s="168"/>
      <c r="O372" s="170" t="s">
        <v>109</v>
      </c>
      <c r="P372" s="170" t="s">
        <v>109</v>
      </c>
      <c r="Q372" s="168"/>
      <c r="R372" s="169" t="s">
        <v>109</v>
      </c>
      <c r="S372" s="169" t="s">
        <v>109</v>
      </c>
      <c r="T372" s="169" t="s">
        <v>109</v>
      </c>
      <c r="U372" s="169" t="s">
        <v>109</v>
      </c>
      <c r="V372" s="169" t="s">
        <v>109</v>
      </c>
      <c r="W372" s="169" t="s">
        <v>109</v>
      </c>
      <c r="X372" s="169" t="s">
        <v>109</v>
      </c>
      <c r="Y372" s="169" t="s">
        <v>109</v>
      </c>
      <c r="Z372" s="165"/>
      <c r="AA372" s="170"/>
      <c r="AB372" s="167"/>
      <c r="AC372" s="167"/>
      <c r="AD372" s="167"/>
      <c r="AE372" s="170"/>
      <c r="AF372" s="170"/>
      <c r="AG372" s="165"/>
      <c r="AH372" s="165"/>
      <c r="AI372" s="171"/>
      <c r="AJ372" s="165"/>
      <c r="AK372" s="165"/>
      <c r="AL372" s="165"/>
      <c r="AM372" s="165"/>
      <c r="AP372" s="167" t="e">
        <v>#VALUE!</v>
      </c>
      <c r="AQ372" s="173"/>
    </row>
  </sheetData>
  <autoFilter ref="A4:AK372" xr:uid="{A7C42E5D-A908-452D-94CE-8187A50EF3AE}"/>
  <mergeCells count="3">
    <mergeCell ref="R3:U3"/>
    <mergeCell ref="AB3:AH3"/>
    <mergeCell ref="O3:P3"/>
  </mergeCells>
  <conditionalFormatting sqref="O5:P372 AJ5:AM372 AP5:AP372">
    <cfRule type="containsText" dxfId="5" priority="2" operator="containsText" text="N/A">
      <formula>NOT(ISERROR(SEARCH("N/A",O5)))</formula>
    </cfRule>
  </conditionalFormatting>
  <conditionalFormatting sqref="R5:AH372">
    <cfRule type="containsText" dxfId="4" priority="1" operator="containsText" text="N/A">
      <formula>NOT(ISERROR(SEARCH("N/A",R5)))</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11A1309-CF2A-4DC8-A411-8B573983E124}">
          <x14:formula1>
            <xm:f>Data!$A$27:$A$38</xm:f>
          </x14:formula1>
          <xm:sqref>T5:T6 T14:T25 T8:T12 T27 T30:T31 T34:T58 T60:T90 T92:T134 T136:T168 T171:T189 T191:T197 T199:T206 T253:T282 T284:T318 T320:T339 T341:T356 T208:T251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EF05B-ECD8-4840-8969-0E9FC6373438}">
  <dimension ref="B2:O188"/>
  <sheetViews>
    <sheetView workbookViewId="0">
      <selection activeCell="F7" sqref="F7"/>
    </sheetView>
  </sheetViews>
  <sheetFormatPr defaultRowHeight="14.4" x14ac:dyDescent="0.3"/>
  <cols>
    <col min="2" max="2" width="14.88671875" customWidth="1"/>
    <col min="3" max="3" width="21.109375" customWidth="1"/>
    <col min="4" max="4" width="18.109375" customWidth="1"/>
    <col min="5" max="5" width="18.88671875" customWidth="1"/>
    <col min="8" max="8" width="19.44140625" customWidth="1"/>
    <col min="9" max="9" width="16.6640625" customWidth="1"/>
    <col min="10" max="10" width="16.88671875" customWidth="1"/>
    <col min="11" max="11" width="29.33203125" customWidth="1"/>
    <col min="13" max="13" width="33.109375" customWidth="1"/>
  </cols>
  <sheetData>
    <row r="2" spans="2:15" ht="15" thickBot="1" x14ac:dyDescent="0.35"/>
    <row r="3" spans="2:15" ht="42" thickBot="1" x14ac:dyDescent="0.35">
      <c r="B3" s="231" t="s">
        <v>2228</v>
      </c>
      <c r="C3" s="231" t="s">
        <v>2229</v>
      </c>
      <c r="D3" s="231" t="s">
        <v>2230</v>
      </c>
      <c r="E3" s="231" t="s">
        <v>2231</v>
      </c>
    </row>
    <row r="4" spans="2:15" ht="42" thickBot="1" x14ac:dyDescent="0.35">
      <c r="B4" s="231" t="s">
        <v>2232</v>
      </c>
      <c r="C4" s="232">
        <f>(COUNTA('ECN Project Tracker'!A:A)-1) - (C2 + D2)</f>
        <v>368</v>
      </c>
      <c r="D4" s="232" cm="1">
        <f t="array" ref="D4">SUMPRODUCT(--('ECN Project Tracker'!U:U=""), --(('ECN Project Tracker'!R:R&lt;&gt;"") + ISNUMBER(SEARCH("NEM", 'ECN Project Tracker'!L:L)) + ISNUMBER(SEARCH("Quota", 'ECN Project Tracker'!L:L)) &gt; 0))</f>
        <v>105</v>
      </c>
      <c r="E4" s="232">
        <f>COUNTIFS('ECN Project Tracker'!U:U, "&lt;&gt;", 'ECN Project Tracker'!U:U, "&lt;&gt;N/A") - 1</f>
        <v>229</v>
      </c>
    </row>
    <row r="5" spans="2:15" ht="15" thickBot="1" x14ac:dyDescent="0.35">
      <c r="B5" s="231" t="s">
        <v>2233</v>
      </c>
      <c r="C5" s="232">
        <f>COUNTIF('ECN Project Tracker'!L:L, "*Pending ST License Application*")</f>
        <v>3</v>
      </c>
      <c r="D5" s="232" t="e">
        <f>COUNTIFS('ECN Project Tracker'!AJ:AJ, "&lt;&gt;", 'ECN Project Tracker'!AJ:AJ, "&lt;&gt;N/A") - D3 - 1</f>
        <v>#VALUE!</v>
      </c>
      <c r="E5" s="232">
        <f>COUNTIFS('ECN Project Tracker'!AK:AK, "&lt;&gt;", 'ECN Project Tracker'!AK:AK, "&lt;&gt;N/A") - 1</f>
        <v>2</v>
      </c>
    </row>
    <row r="6" spans="2:15" ht="42" thickBot="1" x14ac:dyDescent="0.35">
      <c r="B6" s="231" t="s">
        <v>2234</v>
      </c>
      <c r="C6" s="232">
        <f>(COUNTA('ECN Project Tracker'!A:A)-1) - (C4 + D4)</f>
        <v>-105</v>
      </c>
      <c r="D6" s="232" cm="1">
        <f t="array" ref="D6">SUMPRODUCT(--('ECN Project Tracker'!AB:AB=""), --(('ECN Project Tracker'!AA:AA&lt;&gt;"") + ISNUMBER(SEARCH("Pending Meter Change", 'ECN Project Tracker'!L:L)) &gt; 0))</f>
        <v>2</v>
      </c>
      <c r="E6" s="232">
        <f>COUNTIFS('ECN Project Tracker'!AB:AB, "&lt;&gt;", 'ECN Project Tracker'!AB:AB, "&lt;&gt;N/A") - 1</f>
        <v>303</v>
      </c>
    </row>
    <row r="7" spans="2:15" ht="28.2" thickBot="1" x14ac:dyDescent="0.35">
      <c r="B7" s="231" t="s">
        <v>2235</v>
      </c>
      <c r="C7" s="232">
        <f>COUNTIF('ECN Project Tracker'!L:L, "*Pending GITA Application*")</f>
        <v>13</v>
      </c>
      <c r="D7" s="232" t="e">
        <f>COUNTIFS('ECN Project Tracker'!AL:AL, "&lt;&gt;", 'ECN Project Tracker'!AL:AL, "&lt;&gt;N/A") - D5 - 1</f>
        <v>#VALUE!</v>
      </c>
      <c r="E7" s="232">
        <f>COUNTIFS('ECN Project Tracker'!AM:AM, "&lt;&gt;", 'ECN Project Tracker'!AM:AM, "&lt;&gt;N/A") - 1</f>
        <v>2</v>
      </c>
    </row>
    <row r="11" spans="2:15" x14ac:dyDescent="0.3">
      <c r="B11" s="233" t="s">
        <v>43</v>
      </c>
      <c r="C11" s="233" t="s">
        <v>44</v>
      </c>
      <c r="D11" s="233" t="s">
        <v>49</v>
      </c>
      <c r="E11" s="233" t="s">
        <v>46</v>
      </c>
      <c r="F11" s="233" t="s">
        <v>47</v>
      </c>
      <c r="G11" s="233" t="s">
        <v>48</v>
      </c>
      <c r="H11" s="233" t="s">
        <v>2</v>
      </c>
      <c r="I11" s="233" t="s">
        <v>56</v>
      </c>
      <c r="J11" s="233" t="s">
        <v>57</v>
      </c>
      <c r="K11" s="233" t="s">
        <v>58</v>
      </c>
      <c r="L11" s="233">
        <v>0</v>
      </c>
      <c r="M11" s="233" t="s">
        <v>1827</v>
      </c>
      <c r="N11" s="233"/>
      <c r="O11" s="233"/>
    </row>
    <row r="12" spans="2:15" s="242" customFormat="1" x14ac:dyDescent="0.3">
      <c r="B12" s="241">
        <v>2310076</v>
      </c>
      <c r="C12" s="241" t="s">
        <v>242</v>
      </c>
      <c r="D12" s="241" t="e" vm="18">
        <v>#VALUE!</v>
      </c>
      <c r="E12" s="241" t="s">
        <v>17</v>
      </c>
      <c r="F12" s="241" t="s">
        <v>71</v>
      </c>
      <c r="G12" s="241" t="s">
        <v>14</v>
      </c>
      <c r="H12" s="241">
        <v>8.26</v>
      </c>
      <c r="I12" s="241" t="s">
        <v>243</v>
      </c>
      <c r="J12" s="241">
        <v>14</v>
      </c>
      <c r="K12" s="241" t="s">
        <v>244</v>
      </c>
      <c r="L12" s="241">
        <v>0</v>
      </c>
      <c r="M12" s="241" t="s">
        <v>2241</v>
      </c>
      <c r="N12" s="241"/>
      <c r="O12" s="241"/>
    </row>
    <row r="13" spans="2:15" s="242" customFormat="1" x14ac:dyDescent="0.3">
      <c r="B13" s="241">
        <v>2312113</v>
      </c>
      <c r="C13" s="241" t="s">
        <v>254</v>
      </c>
      <c r="D13" s="241" t="e" vm="15">
        <v>#VALUE!</v>
      </c>
      <c r="E13" s="241" t="s">
        <v>20</v>
      </c>
      <c r="F13" s="241" t="s">
        <v>71</v>
      </c>
      <c r="G13" s="241" t="s">
        <v>14</v>
      </c>
      <c r="H13" s="241">
        <v>13.8</v>
      </c>
      <c r="I13" s="241" t="s">
        <v>74</v>
      </c>
      <c r="J13" s="241">
        <v>24.000000000000004</v>
      </c>
      <c r="K13" s="241" t="s">
        <v>143</v>
      </c>
      <c r="L13" s="241">
        <v>0</v>
      </c>
      <c r="M13" s="241" t="s">
        <v>2241</v>
      </c>
      <c r="N13" s="241"/>
      <c r="O13" s="241"/>
    </row>
    <row r="14" spans="2:15" s="235" customFormat="1" x14ac:dyDescent="0.3">
      <c r="B14" s="234">
        <v>2401063</v>
      </c>
      <c r="C14" s="234" t="s">
        <v>340</v>
      </c>
      <c r="D14" s="234" t="e" vm="15">
        <v>#VALUE!</v>
      </c>
      <c r="E14" s="234" t="s">
        <v>17</v>
      </c>
      <c r="F14" s="234" t="s">
        <v>124</v>
      </c>
      <c r="G14" s="234" t="s">
        <v>14</v>
      </c>
      <c r="H14" s="234">
        <v>26.91</v>
      </c>
      <c r="I14" s="234" t="s">
        <v>237</v>
      </c>
      <c r="J14" s="234">
        <v>46</v>
      </c>
      <c r="K14" s="234" t="s">
        <v>341</v>
      </c>
      <c r="L14" s="234">
        <v>0</v>
      </c>
      <c r="M14" s="234" t="s">
        <v>2242</v>
      </c>
      <c r="N14" s="234"/>
      <c r="O14" s="234"/>
    </row>
    <row r="15" spans="2:15" s="235" customFormat="1" x14ac:dyDescent="0.3">
      <c r="B15" s="234">
        <v>2402079</v>
      </c>
      <c r="C15" s="234" t="s">
        <v>347</v>
      </c>
      <c r="D15" s="234" t="e" vm="15">
        <v>#VALUE!</v>
      </c>
      <c r="E15" s="234" t="s">
        <v>17</v>
      </c>
      <c r="F15" s="234" t="s">
        <v>124</v>
      </c>
      <c r="G15" s="234" t="s">
        <v>14</v>
      </c>
      <c r="H15" s="234">
        <v>46.8</v>
      </c>
      <c r="I15" s="234" t="s">
        <v>237</v>
      </c>
      <c r="J15" s="234">
        <v>80</v>
      </c>
      <c r="K15" s="234" t="s">
        <v>348</v>
      </c>
      <c r="L15" s="234">
        <v>0</v>
      </c>
      <c r="M15" s="234" t="s">
        <v>2242</v>
      </c>
      <c r="N15" s="234"/>
      <c r="O15" s="234"/>
    </row>
    <row r="16" spans="2:15" s="235" customFormat="1" x14ac:dyDescent="0.3">
      <c r="B16" s="234">
        <v>2402080</v>
      </c>
      <c r="C16" s="234" t="s">
        <v>350</v>
      </c>
      <c r="D16" s="234" t="e" vm="17">
        <v>#VALUE!</v>
      </c>
      <c r="E16" s="234" t="s">
        <v>17</v>
      </c>
      <c r="F16" s="234" t="s">
        <v>124</v>
      </c>
      <c r="G16" s="234" t="s">
        <v>15</v>
      </c>
      <c r="H16" s="234">
        <v>43.29</v>
      </c>
      <c r="I16" s="234" t="s">
        <v>237</v>
      </c>
      <c r="J16" s="234">
        <v>74</v>
      </c>
      <c r="K16" s="234" t="s">
        <v>351</v>
      </c>
      <c r="L16" s="234">
        <v>0</v>
      </c>
      <c r="M16" s="234" t="s">
        <v>2242</v>
      </c>
      <c r="N16" s="234"/>
      <c r="O16" s="234"/>
    </row>
    <row r="17" spans="2:15" s="242" customFormat="1" x14ac:dyDescent="0.3">
      <c r="B17" s="241">
        <v>2404211</v>
      </c>
      <c r="C17" s="241" t="s">
        <v>392</v>
      </c>
      <c r="D17" s="241" t="e" vm="23">
        <v>#VALUE!</v>
      </c>
      <c r="E17" s="241" t="s">
        <v>17</v>
      </c>
      <c r="F17" s="241" t="s">
        <v>71</v>
      </c>
      <c r="G17" s="241" t="s">
        <v>14</v>
      </c>
      <c r="H17" s="241">
        <v>17.55</v>
      </c>
      <c r="I17" s="241" t="s">
        <v>237</v>
      </c>
      <c r="J17" s="241">
        <v>30.000000000000004</v>
      </c>
      <c r="K17" s="241" t="s">
        <v>143</v>
      </c>
      <c r="L17" s="241">
        <v>0</v>
      </c>
      <c r="M17" s="241" t="s">
        <v>2241</v>
      </c>
      <c r="N17" s="241"/>
      <c r="O17" s="241"/>
    </row>
    <row r="18" spans="2:15" s="235" customFormat="1" x14ac:dyDescent="0.3">
      <c r="B18" s="234">
        <v>2404111</v>
      </c>
      <c r="C18" s="234" t="s">
        <v>397</v>
      </c>
      <c r="D18" s="234" t="e" vm="16">
        <v>#VALUE!</v>
      </c>
      <c r="E18" s="234" t="s">
        <v>17</v>
      </c>
      <c r="F18" s="234" t="s">
        <v>124</v>
      </c>
      <c r="G18" s="234" t="s">
        <v>14</v>
      </c>
      <c r="H18" s="234">
        <v>26.91</v>
      </c>
      <c r="I18" s="234" t="s">
        <v>237</v>
      </c>
      <c r="J18" s="234">
        <v>46</v>
      </c>
      <c r="K18" s="234" t="s">
        <v>341</v>
      </c>
      <c r="L18" s="234">
        <v>0</v>
      </c>
      <c r="M18" s="234" t="s">
        <v>2242</v>
      </c>
      <c r="N18" s="234"/>
      <c r="O18" s="234"/>
    </row>
    <row r="19" spans="2:15" s="244" customFormat="1" x14ac:dyDescent="0.3">
      <c r="B19" s="243">
        <v>2403102</v>
      </c>
      <c r="C19" s="243" t="s">
        <v>409</v>
      </c>
      <c r="D19" s="243" t="e" vm="15">
        <v>#VALUE!</v>
      </c>
      <c r="E19" s="243" t="s">
        <v>17</v>
      </c>
      <c r="F19" s="243" t="s">
        <v>124</v>
      </c>
      <c r="G19" s="243" t="s">
        <v>14</v>
      </c>
      <c r="H19" s="243">
        <v>374.4</v>
      </c>
      <c r="I19" s="243" t="s">
        <v>237</v>
      </c>
      <c r="J19" s="243">
        <v>640</v>
      </c>
      <c r="K19" s="243" t="s">
        <v>410</v>
      </c>
      <c r="L19" s="243">
        <v>0</v>
      </c>
      <c r="M19" s="243" t="s">
        <v>2243</v>
      </c>
      <c r="N19" s="243"/>
      <c r="O19" s="243"/>
    </row>
    <row r="20" spans="2:15" s="235" customFormat="1" x14ac:dyDescent="0.3">
      <c r="B20" s="234">
        <v>2312059</v>
      </c>
      <c r="C20" s="234" t="s">
        <v>412</v>
      </c>
      <c r="D20" s="234" t="e" vm="15">
        <v>#VALUE!</v>
      </c>
      <c r="E20" s="234" t="s">
        <v>17</v>
      </c>
      <c r="F20" s="234" t="s">
        <v>124</v>
      </c>
      <c r="G20" s="234" t="s">
        <v>14</v>
      </c>
      <c r="H20" s="234">
        <v>345.15</v>
      </c>
      <c r="I20" s="234" t="s">
        <v>237</v>
      </c>
      <c r="J20" s="234">
        <v>590</v>
      </c>
      <c r="K20" s="234" t="s">
        <v>413</v>
      </c>
      <c r="L20" s="234">
        <v>0</v>
      </c>
      <c r="M20" s="234" t="s">
        <v>2242</v>
      </c>
      <c r="N20" s="234"/>
      <c r="O20" s="234"/>
    </row>
    <row r="21" spans="2:15" s="235" customFormat="1" x14ac:dyDescent="0.3">
      <c r="B21" s="234">
        <v>2310035</v>
      </c>
      <c r="C21" s="234" t="s">
        <v>560</v>
      </c>
      <c r="D21" s="234" t="e" vm="5">
        <v>#VALUE!</v>
      </c>
      <c r="E21" s="234" t="s">
        <v>17</v>
      </c>
      <c r="F21" s="234" t="s">
        <v>124</v>
      </c>
      <c r="G21" s="234" t="s">
        <v>14</v>
      </c>
      <c r="H21" s="234">
        <v>87.84</v>
      </c>
      <c r="I21" s="234" t="s">
        <v>561</v>
      </c>
      <c r="J21" s="234">
        <v>144</v>
      </c>
      <c r="K21" s="234" t="s">
        <v>562</v>
      </c>
      <c r="L21" s="234">
        <v>0</v>
      </c>
      <c r="M21" s="234" t="s">
        <v>2242</v>
      </c>
      <c r="N21" s="234"/>
      <c r="O21" s="234"/>
    </row>
    <row r="22" spans="2:15" s="235" customFormat="1" x14ac:dyDescent="0.3">
      <c r="B22" s="234">
        <v>2403088</v>
      </c>
      <c r="C22" s="234" t="s">
        <v>564</v>
      </c>
      <c r="D22" s="234" t="e" vm="5">
        <v>#VALUE!</v>
      </c>
      <c r="E22" s="234" t="s">
        <v>17</v>
      </c>
      <c r="F22" s="234" t="s">
        <v>124</v>
      </c>
      <c r="G22" s="234" t="s">
        <v>14</v>
      </c>
      <c r="H22" s="234">
        <v>37.44</v>
      </c>
      <c r="I22" s="234" t="s">
        <v>237</v>
      </c>
      <c r="J22" s="234">
        <v>64</v>
      </c>
      <c r="K22" s="234" t="s">
        <v>351</v>
      </c>
      <c r="L22" s="234">
        <v>0</v>
      </c>
      <c r="M22" s="234" t="s">
        <v>2242</v>
      </c>
      <c r="N22" s="234"/>
      <c r="O22" s="234"/>
    </row>
    <row r="23" spans="2:15" s="242" customFormat="1" x14ac:dyDescent="0.3">
      <c r="B23" s="241">
        <v>2409445</v>
      </c>
      <c r="C23" s="241" t="s">
        <v>743</v>
      </c>
      <c r="D23" s="241" t="e" vm="11">
        <v>#VALUE!</v>
      </c>
      <c r="E23" s="241" t="s">
        <v>22</v>
      </c>
      <c r="F23" s="241" t="s">
        <v>71</v>
      </c>
      <c r="G23" s="241" t="s">
        <v>14</v>
      </c>
      <c r="H23" s="241">
        <v>7.02</v>
      </c>
      <c r="I23" s="241" t="s">
        <v>237</v>
      </c>
      <c r="J23" s="241">
        <v>12</v>
      </c>
      <c r="K23" s="241" t="s">
        <v>286</v>
      </c>
      <c r="L23" s="241">
        <v>0</v>
      </c>
      <c r="M23" s="241" t="s">
        <v>2241</v>
      </c>
      <c r="N23" s="241"/>
      <c r="O23" s="241"/>
    </row>
    <row r="24" spans="2:15" s="242" customFormat="1" x14ac:dyDescent="0.3">
      <c r="B24" s="241">
        <v>2409442</v>
      </c>
      <c r="C24" s="241" t="s">
        <v>753</v>
      </c>
      <c r="D24" s="241" t="e" vm="12">
        <v>#VALUE!</v>
      </c>
      <c r="E24" s="241" t="s">
        <v>17</v>
      </c>
      <c r="F24" s="241" t="s">
        <v>71</v>
      </c>
      <c r="G24" s="241" t="s">
        <v>14</v>
      </c>
      <c r="H24" s="241">
        <v>9.44</v>
      </c>
      <c r="I24" s="241" t="s">
        <v>243</v>
      </c>
      <c r="J24" s="241">
        <v>16</v>
      </c>
      <c r="K24" s="241" t="s">
        <v>364</v>
      </c>
      <c r="L24" s="241">
        <v>0</v>
      </c>
      <c r="M24" s="241" t="s">
        <v>2241</v>
      </c>
      <c r="N24" s="241"/>
      <c r="O24" s="241"/>
    </row>
    <row r="25" spans="2:15" s="198" customFormat="1" x14ac:dyDescent="0.3">
      <c r="B25" s="236">
        <v>2408417</v>
      </c>
      <c r="C25" s="236" t="s">
        <v>764</v>
      </c>
      <c r="D25" s="236" t="e" vm="5">
        <v>#VALUE!</v>
      </c>
      <c r="E25" s="236" t="s">
        <v>17</v>
      </c>
      <c r="F25" s="236" t="s">
        <v>71</v>
      </c>
      <c r="G25" s="236" t="s">
        <v>14</v>
      </c>
      <c r="H25" s="236">
        <v>17.55</v>
      </c>
      <c r="I25" s="236" t="s">
        <v>243</v>
      </c>
      <c r="J25" s="236">
        <v>30</v>
      </c>
      <c r="K25" s="236" t="s">
        <v>143</v>
      </c>
      <c r="L25" s="236">
        <v>0</v>
      </c>
      <c r="M25" s="236" t="s">
        <v>2245</v>
      </c>
      <c r="N25" s="236"/>
      <c r="O25" s="236"/>
    </row>
    <row r="26" spans="2:15" s="242" customFormat="1" x14ac:dyDescent="0.3">
      <c r="B26" s="241">
        <v>2308064</v>
      </c>
      <c r="C26" s="241" t="s">
        <v>778</v>
      </c>
      <c r="D26" s="241" t="e" vm="15">
        <v>#VALUE!</v>
      </c>
      <c r="E26" s="241" t="s">
        <v>20</v>
      </c>
      <c r="F26" s="241" t="s">
        <v>71</v>
      </c>
      <c r="G26" s="241" t="s">
        <v>14</v>
      </c>
      <c r="H26" s="241">
        <v>11.7</v>
      </c>
      <c r="I26" s="241" t="s">
        <v>237</v>
      </c>
      <c r="J26" s="241">
        <v>20</v>
      </c>
      <c r="K26" s="241" t="s">
        <v>83</v>
      </c>
      <c r="L26" s="241">
        <v>0</v>
      </c>
      <c r="M26" s="241" t="s">
        <v>2241</v>
      </c>
      <c r="N26" s="241"/>
      <c r="O26" s="241"/>
    </row>
    <row r="27" spans="2:15" s="248" customFormat="1" x14ac:dyDescent="0.3">
      <c r="B27" s="247">
        <v>2404249</v>
      </c>
      <c r="C27" s="247" t="s">
        <v>803</v>
      </c>
      <c r="D27" s="247" t="e" vm="10">
        <v>#VALUE!</v>
      </c>
      <c r="E27" s="247" t="s">
        <v>17</v>
      </c>
      <c r="F27" s="247" t="s">
        <v>71</v>
      </c>
      <c r="G27" s="247" t="s">
        <v>14</v>
      </c>
      <c r="H27" s="247">
        <v>17.55</v>
      </c>
      <c r="I27" s="247" t="s">
        <v>237</v>
      </c>
      <c r="J27" s="247">
        <v>30</v>
      </c>
      <c r="K27" s="247" t="s">
        <v>143</v>
      </c>
      <c r="L27" s="247">
        <v>0</v>
      </c>
      <c r="M27" s="247" t="s">
        <v>2246</v>
      </c>
      <c r="N27" s="247"/>
      <c r="O27" s="247"/>
    </row>
    <row r="28" spans="2:15" s="242" customFormat="1" x14ac:dyDescent="0.3">
      <c r="B28" s="241">
        <v>2405284</v>
      </c>
      <c r="C28" s="241" t="s">
        <v>816</v>
      </c>
      <c r="D28" s="241" t="e" vm="5">
        <v>#VALUE!</v>
      </c>
      <c r="E28" s="241" t="s">
        <v>17</v>
      </c>
      <c r="F28" s="241" t="s">
        <v>71</v>
      </c>
      <c r="G28" s="241" t="s">
        <v>14</v>
      </c>
      <c r="H28" s="241">
        <v>7.02</v>
      </c>
      <c r="I28" s="241" t="s">
        <v>237</v>
      </c>
      <c r="J28" s="241">
        <v>12</v>
      </c>
      <c r="K28" s="241" t="s">
        <v>286</v>
      </c>
      <c r="L28" s="241">
        <v>0</v>
      </c>
      <c r="M28" s="241" t="s">
        <v>2241</v>
      </c>
      <c r="N28" s="241"/>
      <c r="O28" s="241"/>
    </row>
    <row r="29" spans="2:15" s="242" customFormat="1" x14ac:dyDescent="0.3">
      <c r="B29" s="241">
        <v>2409448</v>
      </c>
      <c r="C29" s="241" t="s">
        <v>821</v>
      </c>
      <c r="D29" s="241" t="e" vm="5">
        <v>#VALUE!</v>
      </c>
      <c r="E29" s="241" t="s">
        <v>20</v>
      </c>
      <c r="F29" s="241" t="s">
        <v>71</v>
      </c>
      <c r="G29" s="241" t="s">
        <v>14</v>
      </c>
      <c r="H29" s="241">
        <v>8.26</v>
      </c>
      <c r="I29" s="241" t="s">
        <v>243</v>
      </c>
      <c r="J29" s="241">
        <v>14</v>
      </c>
      <c r="K29" s="241" t="s">
        <v>822</v>
      </c>
      <c r="L29" s="241">
        <v>0</v>
      </c>
      <c r="M29" s="241" t="s">
        <v>2241</v>
      </c>
      <c r="N29" s="241"/>
      <c r="O29" s="241"/>
    </row>
    <row r="30" spans="2:15" s="242" customFormat="1" x14ac:dyDescent="0.3">
      <c r="B30" s="241">
        <v>2405305</v>
      </c>
      <c r="C30" s="241" t="s">
        <v>870</v>
      </c>
      <c r="D30" s="241" t="e" vm="5">
        <v>#VALUE!</v>
      </c>
      <c r="E30" s="241" t="s">
        <v>17</v>
      </c>
      <c r="F30" s="241" t="s">
        <v>71</v>
      </c>
      <c r="G30" s="241" t="s">
        <v>14</v>
      </c>
      <c r="H30" s="241">
        <v>10.53</v>
      </c>
      <c r="I30" s="241" t="s">
        <v>237</v>
      </c>
      <c r="J30" s="241">
        <v>18</v>
      </c>
      <c r="K30" s="241" t="s">
        <v>364</v>
      </c>
      <c r="L30" s="241">
        <v>0</v>
      </c>
      <c r="M30" s="241" t="s">
        <v>2241</v>
      </c>
      <c r="N30" s="241"/>
      <c r="O30" s="241"/>
    </row>
    <row r="31" spans="2:15" s="235" customFormat="1" x14ac:dyDescent="0.3">
      <c r="B31" s="234" t="s">
        <v>888</v>
      </c>
      <c r="C31" s="234" t="s">
        <v>889</v>
      </c>
      <c r="D31" s="234" t="e" vm="5">
        <v>#VALUE!</v>
      </c>
      <c r="E31" s="234" t="s">
        <v>17</v>
      </c>
      <c r="F31" s="234" t="s">
        <v>124</v>
      </c>
      <c r="G31" s="234" t="s">
        <v>14</v>
      </c>
      <c r="H31" s="234">
        <v>109.395</v>
      </c>
      <c r="I31" s="234" t="s">
        <v>890</v>
      </c>
      <c r="J31" s="234">
        <v>187</v>
      </c>
      <c r="K31" s="234" t="s">
        <v>891</v>
      </c>
      <c r="L31" s="234">
        <v>0</v>
      </c>
      <c r="M31" s="234" t="s">
        <v>2242</v>
      </c>
      <c r="N31" s="234"/>
      <c r="O31" s="234"/>
    </row>
    <row r="32" spans="2:15" s="235" customFormat="1" x14ac:dyDescent="0.3">
      <c r="B32" s="234" t="s">
        <v>893</v>
      </c>
      <c r="C32" s="234" t="s">
        <v>894</v>
      </c>
      <c r="D32" s="234" t="e" vm="5">
        <v>#VALUE!</v>
      </c>
      <c r="E32" s="234" t="s">
        <v>17</v>
      </c>
      <c r="F32" s="234" t="s">
        <v>124</v>
      </c>
      <c r="G32" s="234" t="s">
        <v>14</v>
      </c>
      <c r="H32" s="234">
        <v>26.91</v>
      </c>
      <c r="I32" s="234" t="s">
        <v>890</v>
      </c>
      <c r="J32" s="234">
        <v>46</v>
      </c>
      <c r="K32" s="234" t="s">
        <v>341</v>
      </c>
      <c r="L32" s="234">
        <v>0</v>
      </c>
      <c r="M32" s="234" t="s">
        <v>2242</v>
      </c>
      <c r="N32" s="234"/>
      <c r="O32" s="234"/>
    </row>
    <row r="33" spans="2:15" s="235" customFormat="1" x14ac:dyDescent="0.3">
      <c r="B33" s="234" t="s">
        <v>896</v>
      </c>
      <c r="C33" s="234" t="s">
        <v>897</v>
      </c>
      <c r="D33" s="234" t="e" vm="5">
        <v>#VALUE!</v>
      </c>
      <c r="E33" s="234" t="s">
        <v>17</v>
      </c>
      <c r="F33" s="234" t="s">
        <v>124</v>
      </c>
      <c r="G33" s="234" t="s">
        <v>14</v>
      </c>
      <c r="H33" s="234">
        <v>67.275000000000006</v>
      </c>
      <c r="I33" s="234" t="s">
        <v>890</v>
      </c>
      <c r="J33" s="234">
        <v>115</v>
      </c>
      <c r="K33" s="234" t="s">
        <v>898</v>
      </c>
      <c r="L33" s="234">
        <v>0</v>
      </c>
      <c r="M33" s="234" t="s">
        <v>2242</v>
      </c>
      <c r="N33" s="234"/>
      <c r="O33" s="234"/>
    </row>
    <row r="34" spans="2:15" s="242" customFormat="1" x14ac:dyDescent="0.3">
      <c r="B34" s="241">
        <v>2408174</v>
      </c>
      <c r="C34" s="241" t="s">
        <v>900</v>
      </c>
      <c r="D34" s="241" t="e" vm="8">
        <v>#VALUE!</v>
      </c>
      <c r="E34" s="241" t="s">
        <v>17</v>
      </c>
      <c r="F34" s="241" t="s">
        <v>124</v>
      </c>
      <c r="G34" s="241" t="s">
        <v>14</v>
      </c>
      <c r="H34" s="241">
        <v>120.95</v>
      </c>
      <c r="I34" s="241" t="s">
        <v>243</v>
      </c>
      <c r="J34" s="241">
        <v>205</v>
      </c>
      <c r="K34" s="241" t="s">
        <v>901</v>
      </c>
      <c r="L34" s="241">
        <v>0</v>
      </c>
      <c r="M34" s="241" t="s">
        <v>2241</v>
      </c>
      <c r="N34" s="241"/>
      <c r="O34" s="241"/>
    </row>
    <row r="35" spans="2:15" s="235" customFormat="1" x14ac:dyDescent="0.3">
      <c r="B35" s="234">
        <v>2408179</v>
      </c>
      <c r="C35" s="234" t="s">
        <v>902</v>
      </c>
      <c r="D35" s="234" t="e" vm="5">
        <v>#VALUE!</v>
      </c>
      <c r="E35" s="234" t="s">
        <v>17</v>
      </c>
      <c r="F35" s="234" t="s">
        <v>124</v>
      </c>
      <c r="G35" s="234" t="s">
        <v>14</v>
      </c>
      <c r="H35" s="234">
        <v>107.64</v>
      </c>
      <c r="I35" s="234" t="s">
        <v>237</v>
      </c>
      <c r="J35" s="234">
        <v>184</v>
      </c>
      <c r="K35" s="234" t="s">
        <v>903</v>
      </c>
      <c r="L35" s="234">
        <v>0</v>
      </c>
      <c r="M35" s="234" t="s">
        <v>2242</v>
      </c>
      <c r="N35" s="234"/>
      <c r="O35" s="234"/>
    </row>
    <row r="36" spans="2:15" s="235" customFormat="1" x14ac:dyDescent="0.3">
      <c r="B36" s="234">
        <v>2409185</v>
      </c>
      <c r="C36" s="234" t="s">
        <v>906</v>
      </c>
      <c r="D36" s="234" t="e" vm="5">
        <v>#VALUE!</v>
      </c>
      <c r="E36" s="234" t="s">
        <v>17</v>
      </c>
      <c r="F36" s="234" t="s">
        <v>124</v>
      </c>
      <c r="G36" s="234" t="s">
        <v>14</v>
      </c>
      <c r="H36" s="234">
        <v>26.55</v>
      </c>
      <c r="I36" s="234" t="s">
        <v>243</v>
      </c>
      <c r="J36" s="234">
        <v>45</v>
      </c>
      <c r="K36" s="234" t="s">
        <v>341</v>
      </c>
      <c r="L36" s="234">
        <v>0</v>
      </c>
      <c r="M36" s="234" t="s">
        <v>2242</v>
      </c>
      <c r="N36" s="234"/>
      <c r="O36" s="234"/>
    </row>
    <row r="37" spans="2:15" s="235" customFormat="1" x14ac:dyDescent="0.3">
      <c r="B37" s="234">
        <v>2410196</v>
      </c>
      <c r="C37" s="234" t="s">
        <v>908</v>
      </c>
      <c r="D37" s="234" t="e" vm="5">
        <v>#VALUE!</v>
      </c>
      <c r="E37" s="234" t="s">
        <v>17</v>
      </c>
      <c r="F37" s="234" t="s">
        <v>124</v>
      </c>
      <c r="G37" s="234" t="s">
        <v>14</v>
      </c>
      <c r="H37" s="234">
        <v>26.55</v>
      </c>
      <c r="I37" s="234" t="s">
        <v>243</v>
      </c>
      <c r="J37" s="234">
        <v>45</v>
      </c>
      <c r="K37" s="234" t="s">
        <v>341</v>
      </c>
      <c r="L37" s="234">
        <v>0</v>
      </c>
      <c r="M37" s="234" t="s">
        <v>2242</v>
      </c>
      <c r="N37" s="234"/>
      <c r="O37" s="234"/>
    </row>
    <row r="38" spans="2:15" s="242" customFormat="1" x14ac:dyDescent="0.3">
      <c r="B38" s="241">
        <v>2410468</v>
      </c>
      <c r="C38" s="241" t="s">
        <v>915</v>
      </c>
      <c r="D38" s="241" t="e" vm="12">
        <v>#VALUE!</v>
      </c>
      <c r="E38" s="241" t="s">
        <v>17</v>
      </c>
      <c r="F38" s="241" t="s">
        <v>71</v>
      </c>
      <c r="G38" s="241" t="s">
        <v>14</v>
      </c>
      <c r="H38" s="241">
        <v>11.7</v>
      </c>
      <c r="I38" s="241" t="s">
        <v>237</v>
      </c>
      <c r="J38" s="241">
        <v>20</v>
      </c>
      <c r="K38" s="241" t="s">
        <v>111</v>
      </c>
      <c r="L38" s="241">
        <v>0</v>
      </c>
      <c r="M38" s="241" t="s">
        <v>2241</v>
      </c>
      <c r="N38" s="241"/>
      <c r="O38" s="241"/>
    </row>
    <row r="39" spans="2:15" s="248" customFormat="1" x14ac:dyDescent="0.3">
      <c r="B39" s="247">
        <v>2410471</v>
      </c>
      <c r="C39" s="247" t="s">
        <v>950</v>
      </c>
      <c r="D39" s="247" t="e" vm="11">
        <v>#VALUE!</v>
      </c>
      <c r="E39" s="247" t="s">
        <v>19</v>
      </c>
      <c r="F39" s="247" t="s">
        <v>71</v>
      </c>
      <c r="G39" s="247" t="s">
        <v>14</v>
      </c>
      <c r="H39" s="247">
        <v>17.55</v>
      </c>
      <c r="I39" s="247" t="s">
        <v>237</v>
      </c>
      <c r="J39" s="247">
        <v>30</v>
      </c>
      <c r="K39" s="247" t="s">
        <v>143</v>
      </c>
      <c r="L39" s="247">
        <v>0</v>
      </c>
      <c r="M39" s="247" t="s">
        <v>2246</v>
      </c>
      <c r="N39" s="247"/>
      <c r="O39" s="247"/>
    </row>
    <row r="40" spans="2:15" s="242" customFormat="1" x14ac:dyDescent="0.3">
      <c r="B40" s="241">
        <v>2411494</v>
      </c>
      <c r="C40" s="241" t="s">
        <v>973</v>
      </c>
      <c r="D40" s="241" t="e" vm="11">
        <v>#VALUE!</v>
      </c>
      <c r="E40" s="241" t="s">
        <v>19</v>
      </c>
      <c r="F40" s="241" t="s">
        <v>71</v>
      </c>
      <c r="G40" s="241" t="s">
        <v>14</v>
      </c>
      <c r="H40" s="241">
        <v>17.55</v>
      </c>
      <c r="I40" s="241" t="s">
        <v>237</v>
      </c>
      <c r="J40" s="241">
        <v>30</v>
      </c>
      <c r="K40" s="241" t="s">
        <v>143</v>
      </c>
      <c r="L40" s="241">
        <v>0</v>
      </c>
      <c r="M40" s="241" t="s">
        <v>2241</v>
      </c>
      <c r="N40" s="241"/>
      <c r="O40" s="241"/>
    </row>
    <row r="41" spans="2:15" s="242" customFormat="1" x14ac:dyDescent="0.3">
      <c r="B41" s="241">
        <v>2404224</v>
      </c>
      <c r="C41" s="241" t="s">
        <v>983</v>
      </c>
      <c r="D41" s="241" t="e" vm="5">
        <v>#VALUE!</v>
      </c>
      <c r="E41" s="241" t="s">
        <v>17</v>
      </c>
      <c r="F41" s="241" t="s">
        <v>71</v>
      </c>
      <c r="G41" s="241" t="s">
        <v>14</v>
      </c>
      <c r="H41" s="241">
        <v>17.7</v>
      </c>
      <c r="I41" s="241" t="s">
        <v>243</v>
      </c>
      <c r="J41" s="241">
        <v>30</v>
      </c>
      <c r="K41" s="241" t="s">
        <v>143</v>
      </c>
      <c r="L41" s="241">
        <v>0</v>
      </c>
      <c r="M41" s="241" t="s">
        <v>2241</v>
      </c>
      <c r="N41" s="241"/>
      <c r="O41" s="241"/>
    </row>
    <row r="42" spans="2:15" s="242" customFormat="1" x14ac:dyDescent="0.3">
      <c r="B42" s="241">
        <v>2411491</v>
      </c>
      <c r="C42" s="241" t="s">
        <v>990</v>
      </c>
      <c r="D42" s="241" t="e" vm="11">
        <v>#VALUE!</v>
      </c>
      <c r="E42" s="241" t="s">
        <v>19</v>
      </c>
      <c r="F42" s="241" t="s">
        <v>71</v>
      </c>
      <c r="G42" s="241" t="s">
        <v>14</v>
      </c>
      <c r="H42" s="241">
        <v>11.7</v>
      </c>
      <c r="I42" s="241" t="s">
        <v>237</v>
      </c>
      <c r="J42" s="241">
        <v>20</v>
      </c>
      <c r="K42" s="241" t="s">
        <v>111</v>
      </c>
      <c r="L42" s="241">
        <v>0</v>
      </c>
      <c r="M42" s="241" t="s">
        <v>2241</v>
      </c>
      <c r="N42" s="241"/>
      <c r="O42" s="241"/>
    </row>
    <row r="43" spans="2:15" s="242" customFormat="1" x14ac:dyDescent="0.3">
      <c r="B43" s="241">
        <v>2412503</v>
      </c>
      <c r="C43" s="241" t="s">
        <v>1006</v>
      </c>
      <c r="D43" s="241" t="e" vm="11">
        <v>#VALUE!</v>
      </c>
      <c r="E43" s="241" t="s">
        <v>19</v>
      </c>
      <c r="F43" s="241" t="s">
        <v>71</v>
      </c>
      <c r="G43" s="241" t="s">
        <v>14</v>
      </c>
      <c r="H43" s="241">
        <v>14.04</v>
      </c>
      <c r="I43" s="241" t="s">
        <v>237</v>
      </c>
      <c r="J43" s="241">
        <v>24</v>
      </c>
      <c r="K43" s="241" t="s">
        <v>143</v>
      </c>
      <c r="L43" s="241">
        <v>0</v>
      </c>
      <c r="M43" s="241" t="s">
        <v>2241</v>
      </c>
      <c r="N43" s="241"/>
      <c r="O43" s="241"/>
    </row>
    <row r="44" spans="2:15" s="242" customFormat="1" x14ac:dyDescent="0.3">
      <c r="B44" s="241">
        <v>2412505</v>
      </c>
      <c r="C44" s="241" t="s">
        <v>1013</v>
      </c>
      <c r="D44" s="241" t="e" vm="11">
        <v>#VALUE!</v>
      </c>
      <c r="E44" s="241" t="s">
        <v>22</v>
      </c>
      <c r="F44" s="241" t="s">
        <v>71</v>
      </c>
      <c r="G44" s="241" t="s">
        <v>14</v>
      </c>
      <c r="H44" s="241">
        <v>14.04</v>
      </c>
      <c r="I44" s="241" t="s">
        <v>237</v>
      </c>
      <c r="J44" s="241">
        <v>24</v>
      </c>
      <c r="K44" s="241" t="s">
        <v>143</v>
      </c>
      <c r="L44" s="241">
        <v>0</v>
      </c>
      <c r="M44" s="241" t="s">
        <v>2241</v>
      </c>
      <c r="N44" s="241"/>
      <c r="O44" s="241"/>
    </row>
    <row r="45" spans="2:15" s="242" customFormat="1" x14ac:dyDescent="0.3">
      <c r="B45" s="241">
        <v>2412515</v>
      </c>
      <c r="C45" s="241" t="s">
        <v>1023</v>
      </c>
      <c r="D45" s="241" t="e" vm="5">
        <v>#VALUE!</v>
      </c>
      <c r="E45" s="241" t="s">
        <v>17</v>
      </c>
      <c r="F45" s="241" t="s">
        <v>71</v>
      </c>
      <c r="G45" s="241" t="s">
        <v>14</v>
      </c>
      <c r="H45" s="241">
        <v>17.55</v>
      </c>
      <c r="I45" s="241" t="s">
        <v>237</v>
      </c>
      <c r="J45" s="241">
        <v>30</v>
      </c>
      <c r="K45" s="241" t="s">
        <v>143</v>
      </c>
      <c r="L45" s="241">
        <v>0</v>
      </c>
      <c r="M45" s="241" t="s">
        <v>2241</v>
      </c>
      <c r="N45" s="241"/>
      <c r="O45" s="241"/>
    </row>
    <row r="46" spans="2:15" s="242" customFormat="1" x14ac:dyDescent="0.3">
      <c r="B46" s="241">
        <v>2410462</v>
      </c>
      <c r="C46" s="241" t="s">
        <v>1028</v>
      </c>
      <c r="D46" s="241" t="e" vm="5">
        <v>#VALUE!</v>
      </c>
      <c r="E46" s="241" t="s">
        <v>17</v>
      </c>
      <c r="F46" s="241" t="s">
        <v>71</v>
      </c>
      <c r="G46" s="241" t="s">
        <v>14</v>
      </c>
      <c r="H46" s="241">
        <v>7.02</v>
      </c>
      <c r="I46" s="241" t="s">
        <v>237</v>
      </c>
      <c r="J46" s="241">
        <v>12</v>
      </c>
      <c r="K46" s="241" t="s">
        <v>286</v>
      </c>
      <c r="L46" s="241">
        <v>0</v>
      </c>
      <c r="M46" s="241" t="s">
        <v>2241</v>
      </c>
      <c r="N46" s="241"/>
      <c r="O46" s="241"/>
    </row>
    <row r="47" spans="2:15" s="242" customFormat="1" x14ac:dyDescent="0.3">
      <c r="B47" s="241">
        <v>2412524</v>
      </c>
      <c r="C47" s="241" t="s">
        <v>1043</v>
      </c>
      <c r="D47" s="241" t="e" vm="11">
        <v>#VALUE!</v>
      </c>
      <c r="E47" s="241" t="s">
        <v>19</v>
      </c>
      <c r="F47" s="241" t="s">
        <v>71</v>
      </c>
      <c r="G47" s="241" t="s">
        <v>14</v>
      </c>
      <c r="H47" s="241">
        <v>14.16</v>
      </c>
      <c r="I47" s="241" t="s">
        <v>243</v>
      </c>
      <c r="J47" s="241">
        <v>24</v>
      </c>
      <c r="K47" s="241" t="s">
        <v>143</v>
      </c>
      <c r="L47" s="241">
        <v>0</v>
      </c>
      <c r="M47" s="241" t="s">
        <v>2241</v>
      </c>
      <c r="N47" s="241"/>
      <c r="O47" s="241"/>
    </row>
    <row r="48" spans="2:15" s="242" customFormat="1" x14ac:dyDescent="0.3">
      <c r="B48" s="241">
        <v>2412513</v>
      </c>
      <c r="C48" s="241" t="s">
        <v>1048</v>
      </c>
      <c r="D48" s="241" t="e" vm="12">
        <v>#VALUE!</v>
      </c>
      <c r="E48" s="241" t="s">
        <v>17</v>
      </c>
      <c r="F48" s="241" t="s">
        <v>71</v>
      </c>
      <c r="G48" s="241" t="s">
        <v>14</v>
      </c>
      <c r="H48" s="241">
        <v>10.029999999999999</v>
      </c>
      <c r="I48" s="241" t="s">
        <v>243</v>
      </c>
      <c r="J48" s="241">
        <v>17</v>
      </c>
      <c r="K48" s="241" t="s">
        <v>364</v>
      </c>
      <c r="L48" s="241">
        <v>0</v>
      </c>
      <c r="M48" s="241" t="s">
        <v>2241</v>
      </c>
      <c r="N48" s="241"/>
      <c r="O48" s="241"/>
    </row>
    <row r="49" spans="2:15" s="242" customFormat="1" x14ac:dyDescent="0.3">
      <c r="B49" s="241">
        <v>2501532</v>
      </c>
      <c r="C49" s="241" t="s">
        <v>1055</v>
      </c>
      <c r="D49" s="241" t="e" vm="5">
        <v>#VALUE!</v>
      </c>
      <c r="E49" s="241" t="s">
        <v>17</v>
      </c>
      <c r="F49" s="241" t="s">
        <v>71</v>
      </c>
      <c r="G49" s="241" t="s">
        <v>14</v>
      </c>
      <c r="H49" s="241">
        <v>9.44</v>
      </c>
      <c r="I49" s="241" t="s">
        <v>243</v>
      </c>
      <c r="J49" s="241">
        <v>16</v>
      </c>
      <c r="K49" s="241" t="s">
        <v>364</v>
      </c>
      <c r="L49" s="241">
        <v>0</v>
      </c>
      <c r="M49" s="241" t="s">
        <v>2241</v>
      </c>
      <c r="N49" s="241"/>
      <c r="O49" s="241"/>
    </row>
    <row r="50" spans="2:15" s="242" customFormat="1" x14ac:dyDescent="0.3">
      <c r="B50" s="241">
        <v>2501544</v>
      </c>
      <c r="C50" s="241" t="s">
        <v>1060</v>
      </c>
      <c r="D50" s="241" t="e" vm="11">
        <v>#VALUE!</v>
      </c>
      <c r="E50" s="241" t="s">
        <v>22</v>
      </c>
      <c r="F50" s="241" t="s">
        <v>71</v>
      </c>
      <c r="G50" s="241" t="s">
        <v>14</v>
      </c>
      <c r="H50" s="241">
        <v>17.7</v>
      </c>
      <c r="I50" s="241" t="s">
        <v>243</v>
      </c>
      <c r="J50" s="241">
        <v>30</v>
      </c>
      <c r="K50" s="241" t="s">
        <v>143</v>
      </c>
      <c r="L50" s="241">
        <v>0</v>
      </c>
      <c r="M50" s="241" t="s">
        <v>2241</v>
      </c>
      <c r="N50" s="241"/>
      <c r="O50" s="241"/>
    </row>
    <row r="51" spans="2:15" s="242" customFormat="1" x14ac:dyDescent="0.3">
      <c r="B51" s="241">
        <v>2502548</v>
      </c>
      <c r="C51" s="241" t="s">
        <v>1066</v>
      </c>
      <c r="D51" s="241" t="e" vm="11">
        <v>#VALUE!</v>
      </c>
      <c r="E51" s="241" t="s">
        <v>19</v>
      </c>
      <c r="F51" s="241" t="s">
        <v>71</v>
      </c>
      <c r="G51" s="241" t="s">
        <v>14</v>
      </c>
      <c r="H51" s="241">
        <v>17.7</v>
      </c>
      <c r="I51" s="241" t="s">
        <v>243</v>
      </c>
      <c r="J51" s="241">
        <v>30</v>
      </c>
      <c r="K51" s="241" t="s">
        <v>143</v>
      </c>
      <c r="L51" s="241">
        <v>0</v>
      </c>
      <c r="M51" s="241" t="s">
        <v>2241</v>
      </c>
      <c r="N51" s="241"/>
      <c r="O51" s="241"/>
    </row>
    <row r="52" spans="2:15" s="242" customFormat="1" x14ac:dyDescent="0.3">
      <c r="B52" s="241">
        <v>2501545</v>
      </c>
      <c r="C52" s="241" t="s">
        <v>1071</v>
      </c>
      <c r="D52" s="241" t="e" vm="11">
        <v>#VALUE!</v>
      </c>
      <c r="E52" s="241" t="s">
        <v>19</v>
      </c>
      <c r="F52" s="241" t="s">
        <v>71</v>
      </c>
      <c r="G52" s="241" t="s">
        <v>14</v>
      </c>
      <c r="H52" s="241">
        <v>7.08</v>
      </c>
      <c r="I52" s="241" t="s">
        <v>243</v>
      </c>
      <c r="J52" s="241">
        <v>12</v>
      </c>
      <c r="K52" s="241" t="s">
        <v>286</v>
      </c>
      <c r="L52" s="241">
        <v>0</v>
      </c>
      <c r="M52" s="241" t="s">
        <v>2241</v>
      </c>
      <c r="N52" s="241"/>
      <c r="O52" s="241"/>
    </row>
    <row r="53" spans="2:15" s="242" customFormat="1" x14ac:dyDescent="0.3">
      <c r="B53" s="241">
        <v>2311088</v>
      </c>
      <c r="C53" s="241" t="s">
        <v>1076</v>
      </c>
      <c r="D53" s="241" t="e" vm="11">
        <v>#VALUE!</v>
      </c>
      <c r="E53" s="241" t="s">
        <v>19</v>
      </c>
      <c r="F53" s="241" t="s">
        <v>71</v>
      </c>
      <c r="G53" s="241" t="s">
        <v>14</v>
      </c>
      <c r="H53" s="241">
        <v>10.62</v>
      </c>
      <c r="I53" s="241" t="s">
        <v>243</v>
      </c>
      <c r="J53" s="241">
        <v>18</v>
      </c>
      <c r="K53" s="241" t="s">
        <v>111</v>
      </c>
      <c r="L53" s="241">
        <v>0</v>
      </c>
      <c r="M53" s="241" t="s">
        <v>2241</v>
      </c>
      <c r="N53" s="241"/>
      <c r="O53" s="241"/>
    </row>
    <row r="54" spans="2:15" s="242" customFormat="1" x14ac:dyDescent="0.3">
      <c r="B54" s="241">
        <v>2502216</v>
      </c>
      <c r="C54" s="241" t="s">
        <v>1081</v>
      </c>
      <c r="D54" s="241" t="e" vm="11">
        <v>#VALUE!</v>
      </c>
      <c r="E54" s="241" t="s">
        <v>19</v>
      </c>
      <c r="F54" s="241" t="s">
        <v>124</v>
      </c>
      <c r="G54" s="241" t="s">
        <v>14</v>
      </c>
      <c r="H54" s="241">
        <v>14.16</v>
      </c>
      <c r="I54" s="241" t="s">
        <v>243</v>
      </c>
      <c r="J54" s="241">
        <v>24</v>
      </c>
      <c r="K54" s="241" t="s">
        <v>143</v>
      </c>
      <c r="L54" s="241">
        <v>0</v>
      </c>
      <c r="M54" s="241" t="s">
        <v>2241</v>
      </c>
      <c r="N54" s="241"/>
      <c r="O54" s="241"/>
    </row>
    <row r="55" spans="2:15" s="242" customFormat="1" x14ac:dyDescent="0.3">
      <c r="B55" s="241">
        <v>2502553</v>
      </c>
      <c r="C55" s="241" t="s">
        <v>1086</v>
      </c>
      <c r="D55" s="241" t="e" vm="5">
        <v>#VALUE!</v>
      </c>
      <c r="E55" s="241" t="s">
        <v>17</v>
      </c>
      <c r="F55" s="241" t="s">
        <v>71</v>
      </c>
      <c r="G55" s="241" t="s">
        <v>14</v>
      </c>
      <c r="H55" s="241">
        <v>17.7</v>
      </c>
      <c r="I55" s="241" t="s">
        <v>243</v>
      </c>
      <c r="J55" s="241">
        <v>30</v>
      </c>
      <c r="K55" s="241" t="s">
        <v>143</v>
      </c>
      <c r="L55" s="241">
        <v>0</v>
      </c>
      <c r="M55" s="241" t="s">
        <v>2241</v>
      </c>
      <c r="N55" s="241"/>
      <c r="O55" s="241"/>
    </row>
    <row r="56" spans="2:15" s="242" customFormat="1" x14ac:dyDescent="0.3">
      <c r="B56" s="241">
        <v>2502547</v>
      </c>
      <c r="C56" s="241" t="s">
        <v>1101</v>
      </c>
      <c r="D56" s="241" t="e" vm="8">
        <v>#VALUE!</v>
      </c>
      <c r="E56" s="241" t="s">
        <v>17</v>
      </c>
      <c r="F56" s="241" t="s">
        <v>71</v>
      </c>
      <c r="G56" s="241" t="s">
        <v>14</v>
      </c>
      <c r="H56" s="241">
        <v>11.8</v>
      </c>
      <c r="I56" s="241" t="s">
        <v>243</v>
      </c>
      <c r="J56" s="241">
        <v>20</v>
      </c>
      <c r="K56" s="241" t="s">
        <v>111</v>
      </c>
      <c r="L56" s="241">
        <v>0</v>
      </c>
      <c r="M56" s="241" t="s">
        <v>2241</v>
      </c>
      <c r="N56" s="241"/>
      <c r="O56" s="241"/>
    </row>
    <row r="57" spans="2:15" s="242" customFormat="1" x14ac:dyDescent="0.3">
      <c r="B57" s="241">
        <v>2502541</v>
      </c>
      <c r="C57" s="241" t="s">
        <v>1106</v>
      </c>
      <c r="D57" s="241" t="e" vm="8">
        <v>#VALUE!</v>
      </c>
      <c r="E57" s="241" t="s">
        <v>17</v>
      </c>
      <c r="F57" s="241" t="s">
        <v>71</v>
      </c>
      <c r="G57" s="241" t="s">
        <v>14</v>
      </c>
      <c r="H57" s="241">
        <v>7.08</v>
      </c>
      <c r="I57" s="241" t="s">
        <v>243</v>
      </c>
      <c r="J57" s="241">
        <v>12</v>
      </c>
      <c r="K57" s="241" t="s">
        <v>286</v>
      </c>
      <c r="L57" s="241">
        <v>0</v>
      </c>
      <c r="M57" s="241" t="s">
        <v>2241</v>
      </c>
      <c r="N57" s="241"/>
      <c r="O57" s="241"/>
    </row>
    <row r="58" spans="2:15" s="242" customFormat="1" x14ac:dyDescent="0.3">
      <c r="B58" s="241">
        <v>2502556</v>
      </c>
      <c r="C58" s="241" t="s">
        <v>1111</v>
      </c>
      <c r="D58" s="241" t="e" vm="11">
        <v>#VALUE!</v>
      </c>
      <c r="E58" s="241" t="s">
        <v>22</v>
      </c>
      <c r="F58" s="241" t="s">
        <v>71</v>
      </c>
      <c r="G58" s="241" t="s">
        <v>14</v>
      </c>
      <c r="H58" s="241">
        <v>7.08</v>
      </c>
      <c r="I58" s="241" t="s">
        <v>243</v>
      </c>
      <c r="J58" s="241">
        <v>12</v>
      </c>
      <c r="K58" s="241" t="s">
        <v>286</v>
      </c>
      <c r="L58" s="241">
        <v>0</v>
      </c>
      <c r="M58" s="241" t="s">
        <v>2241</v>
      </c>
      <c r="N58" s="241"/>
      <c r="O58" s="241"/>
    </row>
    <row r="59" spans="2:15" s="242" customFormat="1" x14ac:dyDescent="0.3">
      <c r="B59" s="241">
        <v>2502551</v>
      </c>
      <c r="C59" s="241" t="s">
        <v>1116</v>
      </c>
      <c r="D59" s="241" t="e" vm="5">
        <v>#VALUE!</v>
      </c>
      <c r="E59" s="241" t="s">
        <v>17</v>
      </c>
      <c r="F59" s="241" t="s">
        <v>71</v>
      </c>
      <c r="G59" s="241" t="s">
        <v>14</v>
      </c>
      <c r="H59" s="241">
        <v>14.16</v>
      </c>
      <c r="I59" s="241" t="s">
        <v>243</v>
      </c>
      <c r="J59" s="241">
        <v>24</v>
      </c>
      <c r="K59" s="241" t="s">
        <v>143</v>
      </c>
      <c r="L59" s="241">
        <v>0</v>
      </c>
      <c r="M59" s="241" t="s">
        <v>2241</v>
      </c>
      <c r="N59" s="241"/>
      <c r="O59" s="241"/>
    </row>
    <row r="60" spans="2:15" s="242" customFormat="1" x14ac:dyDescent="0.3">
      <c r="B60" s="241">
        <v>2502546</v>
      </c>
      <c r="C60" s="241" t="s">
        <v>1121</v>
      </c>
      <c r="D60" s="241" t="e" vm="5">
        <v>#VALUE!</v>
      </c>
      <c r="E60" s="241" t="s">
        <v>17</v>
      </c>
      <c r="F60" s="241" t="s">
        <v>71</v>
      </c>
      <c r="G60" s="241" t="s">
        <v>14</v>
      </c>
      <c r="H60" s="241">
        <v>7.08</v>
      </c>
      <c r="I60" s="241" t="s">
        <v>243</v>
      </c>
      <c r="J60" s="241">
        <v>12</v>
      </c>
      <c r="K60" s="241" t="s">
        <v>244</v>
      </c>
      <c r="L60" s="241">
        <v>0</v>
      </c>
      <c r="M60" s="241" t="s">
        <v>2241</v>
      </c>
      <c r="N60" s="241"/>
      <c r="O60" s="241"/>
    </row>
    <row r="61" spans="2:15" s="242" customFormat="1" x14ac:dyDescent="0.3">
      <c r="B61" s="241">
        <v>2502559</v>
      </c>
      <c r="C61" s="241" t="s">
        <v>1126</v>
      </c>
      <c r="D61" s="241" t="e" vm="11">
        <v>#VALUE!</v>
      </c>
      <c r="E61" s="241" t="s">
        <v>19</v>
      </c>
      <c r="F61" s="241" t="s">
        <v>71</v>
      </c>
      <c r="G61" s="241" t="s">
        <v>14</v>
      </c>
      <c r="H61" s="241">
        <v>9.44</v>
      </c>
      <c r="I61" s="241" t="s">
        <v>243</v>
      </c>
      <c r="J61" s="241">
        <v>16</v>
      </c>
      <c r="K61" s="241" t="s">
        <v>364</v>
      </c>
      <c r="L61" s="241">
        <v>0</v>
      </c>
      <c r="M61" s="241" t="s">
        <v>2241</v>
      </c>
      <c r="N61" s="241"/>
      <c r="O61" s="241"/>
    </row>
    <row r="62" spans="2:15" s="242" customFormat="1" x14ac:dyDescent="0.3">
      <c r="B62" s="241">
        <v>2502550</v>
      </c>
      <c r="C62" s="241" t="s">
        <v>1136</v>
      </c>
      <c r="D62" s="241" t="e" vm="4">
        <v>#VALUE!</v>
      </c>
      <c r="E62" s="241" t="s">
        <v>19</v>
      </c>
      <c r="F62" s="241" t="s">
        <v>71</v>
      </c>
      <c r="G62" s="241" t="s">
        <v>14</v>
      </c>
      <c r="H62" s="241">
        <v>14.75</v>
      </c>
      <c r="I62" s="241" t="s">
        <v>243</v>
      </c>
      <c r="J62" s="241">
        <v>25</v>
      </c>
      <c r="K62" s="241" t="s">
        <v>143</v>
      </c>
      <c r="L62" s="241">
        <v>0</v>
      </c>
      <c r="M62" s="241" t="s">
        <v>2241</v>
      </c>
      <c r="N62" s="241"/>
      <c r="O62" s="241"/>
    </row>
    <row r="63" spans="2:15" s="242" customFormat="1" x14ac:dyDescent="0.3">
      <c r="B63" s="241">
        <v>2502560</v>
      </c>
      <c r="C63" s="241" t="s">
        <v>1146</v>
      </c>
      <c r="D63" s="241" t="e" vm="8">
        <v>#VALUE!</v>
      </c>
      <c r="E63" s="241" t="s">
        <v>17</v>
      </c>
      <c r="F63" s="241" t="s">
        <v>71</v>
      </c>
      <c r="G63" s="241" t="s">
        <v>14</v>
      </c>
      <c r="H63" s="241">
        <v>14.16</v>
      </c>
      <c r="I63" s="241" t="s">
        <v>243</v>
      </c>
      <c r="J63" s="241">
        <v>24</v>
      </c>
      <c r="K63" s="241" t="s">
        <v>143</v>
      </c>
      <c r="L63" s="241">
        <v>0</v>
      </c>
      <c r="M63" s="241" t="s">
        <v>2241</v>
      </c>
      <c r="N63" s="241"/>
      <c r="O63" s="241"/>
    </row>
    <row r="64" spans="2:15" s="242" customFormat="1" x14ac:dyDescent="0.3">
      <c r="B64" s="241" t="s">
        <v>1151</v>
      </c>
      <c r="C64" s="241" t="s">
        <v>1152</v>
      </c>
      <c r="D64" s="241" t="e" vm="12">
        <v>#VALUE!</v>
      </c>
      <c r="E64" s="241" t="s">
        <v>17</v>
      </c>
      <c r="F64" s="241" t="s">
        <v>71</v>
      </c>
      <c r="G64" s="241" t="s">
        <v>14</v>
      </c>
      <c r="H64" s="241">
        <v>17.7</v>
      </c>
      <c r="I64" s="241" t="s">
        <v>243</v>
      </c>
      <c r="J64" s="241">
        <v>30</v>
      </c>
      <c r="K64" s="241" t="s">
        <v>143</v>
      </c>
      <c r="L64" s="241">
        <v>0</v>
      </c>
      <c r="M64" s="241" t="s">
        <v>2241</v>
      </c>
      <c r="N64" s="241"/>
      <c r="O64" s="241"/>
    </row>
    <row r="65" spans="2:15" s="248" customFormat="1" x14ac:dyDescent="0.3">
      <c r="B65" s="247">
        <v>2502565</v>
      </c>
      <c r="C65" s="247" t="s">
        <v>1162</v>
      </c>
      <c r="D65" s="247" t="e" vm="5">
        <v>#VALUE!</v>
      </c>
      <c r="E65" s="247" t="s">
        <v>20</v>
      </c>
      <c r="F65" s="247" t="s">
        <v>71</v>
      </c>
      <c r="G65" s="247" t="s">
        <v>14</v>
      </c>
      <c r="H65" s="247">
        <v>7.67</v>
      </c>
      <c r="I65" s="247" t="s">
        <v>243</v>
      </c>
      <c r="J65" s="247">
        <v>13</v>
      </c>
      <c r="K65" s="247" t="s">
        <v>244</v>
      </c>
      <c r="L65" s="247">
        <v>0</v>
      </c>
      <c r="M65" s="247" t="s">
        <v>2246</v>
      </c>
      <c r="N65" s="247"/>
      <c r="O65" s="247"/>
    </row>
    <row r="66" spans="2:15" s="242" customFormat="1" x14ac:dyDescent="0.3">
      <c r="B66" s="241">
        <v>2502549</v>
      </c>
      <c r="C66" s="241" t="s">
        <v>1167</v>
      </c>
      <c r="D66" s="241" t="e" vm="11">
        <v>#VALUE!</v>
      </c>
      <c r="E66" s="241" t="s">
        <v>22</v>
      </c>
      <c r="F66" s="241" t="s">
        <v>71</v>
      </c>
      <c r="G66" s="241" t="s">
        <v>14</v>
      </c>
      <c r="H66" s="241">
        <v>14.16</v>
      </c>
      <c r="I66" s="241" t="s">
        <v>243</v>
      </c>
      <c r="J66" s="241">
        <v>24</v>
      </c>
      <c r="K66" s="241" t="s">
        <v>143</v>
      </c>
      <c r="L66" s="241">
        <v>0</v>
      </c>
      <c r="M66" s="241" t="s">
        <v>2241</v>
      </c>
      <c r="N66" s="241"/>
      <c r="O66" s="241"/>
    </row>
    <row r="67" spans="2:15" s="242" customFormat="1" x14ac:dyDescent="0.3">
      <c r="B67" s="241">
        <v>2405286</v>
      </c>
      <c r="C67" s="241" t="s">
        <v>1172</v>
      </c>
      <c r="D67" s="241" t="e" vm="5">
        <v>#VALUE!</v>
      </c>
      <c r="E67" s="241" t="s">
        <v>17</v>
      </c>
      <c r="F67" s="241" t="s">
        <v>71</v>
      </c>
      <c r="G67" s="241" t="s">
        <v>14</v>
      </c>
      <c r="H67" s="241">
        <v>17.7</v>
      </c>
      <c r="I67" s="241" t="s">
        <v>243</v>
      </c>
      <c r="J67" s="241">
        <v>30</v>
      </c>
      <c r="K67" s="241" t="s">
        <v>143</v>
      </c>
      <c r="L67" s="241">
        <v>0</v>
      </c>
      <c r="M67" s="241" t="s">
        <v>2241</v>
      </c>
      <c r="N67" s="241"/>
      <c r="O67" s="241"/>
    </row>
    <row r="68" spans="2:15" s="242" customFormat="1" x14ac:dyDescent="0.3">
      <c r="B68" s="241">
        <v>2501527</v>
      </c>
      <c r="C68" s="241" t="s">
        <v>1177</v>
      </c>
      <c r="D68" s="241" t="e" vm="11">
        <v>#VALUE!</v>
      </c>
      <c r="E68" s="241" t="s">
        <v>17</v>
      </c>
      <c r="F68" s="241" t="s">
        <v>71</v>
      </c>
      <c r="G68" s="241" t="s">
        <v>14</v>
      </c>
      <c r="H68" s="241">
        <v>11.8</v>
      </c>
      <c r="I68" s="241" t="s">
        <v>243</v>
      </c>
      <c r="J68" s="241">
        <v>20</v>
      </c>
      <c r="K68" s="241" t="s">
        <v>111</v>
      </c>
      <c r="L68" s="241">
        <v>0</v>
      </c>
      <c r="M68" s="241" t="s">
        <v>2241</v>
      </c>
      <c r="N68" s="241"/>
      <c r="O68" s="241"/>
    </row>
    <row r="69" spans="2:15" s="242" customFormat="1" x14ac:dyDescent="0.3">
      <c r="B69" s="241">
        <v>2501529</v>
      </c>
      <c r="C69" s="241" t="s">
        <v>1182</v>
      </c>
      <c r="D69" s="241" t="e" vm="11">
        <v>#VALUE!</v>
      </c>
      <c r="E69" s="241" t="s">
        <v>17</v>
      </c>
      <c r="F69" s="241" t="s">
        <v>71</v>
      </c>
      <c r="G69" s="241" t="s">
        <v>14</v>
      </c>
      <c r="H69" s="241">
        <v>10.62</v>
      </c>
      <c r="I69" s="241" t="s">
        <v>243</v>
      </c>
      <c r="J69" s="241">
        <v>18</v>
      </c>
      <c r="K69" s="241" t="s">
        <v>364</v>
      </c>
      <c r="L69" s="241">
        <v>0</v>
      </c>
      <c r="M69" s="241" t="s">
        <v>2241</v>
      </c>
      <c r="N69" s="241"/>
      <c r="O69" s="241"/>
    </row>
    <row r="70" spans="2:15" s="242" customFormat="1" x14ac:dyDescent="0.3">
      <c r="B70" s="241">
        <v>2502581</v>
      </c>
      <c r="C70" s="241" t="s">
        <v>1185</v>
      </c>
      <c r="D70" s="241" t="e" vm="5">
        <v>#VALUE!</v>
      </c>
      <c r="E70" s="241" t="s">
        <v>17</v>
      </c>
      <c r="F70" s="241" t="s">
        <v>71</v>
      </c>
      <c r="G70" s="241" t="s">
        <v>14</v>
      </c>
      <c r="H70" s="241">
        <v>7.08</v>
      </c>
      <c r="I70" s="241" t="s">
        <v>243</v>
      </c>
      <c r="J70" s="241">
        <v>12</v>
      </c>
      <c r="K70" s="241" t="s">
        <v>286</v>
      </c>
      <c r="L70" s="241">
        <v>0</v>
      </c>
      <c r="M70" s="241" t="s">
        <v>2241</v>
      </c>
      <c r="N70" s="241"/>
      <c r="O70" s="241"/>
    </row>
    <row r="71" spans="2:15" s="242" customFormat="1" x14ac:dyDescent="0.3">
      <c r="B71" s="241">
        <v>2501540</v>
      </c>
      <c r="C71" s="241" t="s">
        <v>1190</v>
      </c>
      <c r="D71" s="241" t="e" vm="11">
        <v>#VALUE!</v>
      </c>
      <c r="E71" s="241" t="s">
        <v>22</v>
      </c>
      <c r="F71" s="241" t="s">
        <v>71</v>
      </c>
      <c r="G71" s="241" t="s">
        <v>14</v>
      </c>
      <c r="H71" s="241">
        <v>7.08</v>
      </c>
      <c r="I71" s="241" t="s">
        <v>243</v>
      </c>
      <c r="J71" s="241">
        <v>12</v>
      </c>
      <c r="K71" s="241" t="s">
        <v>286</v>
      </c>
      <c r="L71" s="241">
        <v>0</v>
      </c>
      <c r="M71" s="241" t="s">
        <v>2241</v>
      </c>
      <c r="N71" s="241"/>
      <c r="O71" s="241"/>
    </row>
    <row r="72" spans="2:15" s="242" customFormat="1" x14ac:dyDescent="0.3">
      <c r="B72" s="241">
        <v>2502571</v>
      </c>
      <c r="C72" s="241" t="s">
        <v>1196</v>
      </c>
      <c r="D72" s="241" t="e" vm="12">
        <v>#VALUE!</v>
      </c>
      <c r="E72" s="241" t="s">
        <v>17</v>
      </c>
      <c r="F72" s="241" t="s">
        <v>71</v>
      </c>
      <c r="G72" s="241" t="s">
        <v>14</v>
      </c>
      <c r="H72" s="241">
        <v>11.8</v>
      </c>
      <c r="I72" s="241" t="s">
        <v>243</v>
      </c>
      <c r="J72" s="241">
        <v>20</v>
      </c>
      <c r="K72" s="241" t="s">
        <v>111</v>
      </c>
      <c r="L72" s="241">
        <v>0</v>
      </c>
      <c r="M72" s="241" t="s">
        <v>2241</v>
      </c>
      <c r="N72" s="241"/>
      <c r="O72" s="241"/>
    </row>
    <row r="73" spans="2:15" s="242" customFormat="1" x14ac:dyDescent="0.3">
      <c r="B73" s="241">
        <v>2502568</v>
      </c>
      <c r="C73" s="241" t="s">
        <v>1201</v>
      </c>
      <c r="D73" s="241" t="e" vm="5">
        <v>#VALUE!</v>
      </c>
      <c r="E73" s="241" t="s">
        <v>17</v>
      </c>
      <c r="F73" s="241" t="s">
        <v>71</v>
      </c>
      <c r="G73" s="241" t="s">
        <v>14</v>
      </c>
      <c r="H73" s="241">
        <v>7.08</v>
      </c>
      <c r="I73" s="241" t="s">
        <v>243</v>
      </c>
      <c r="J73" s="241">
        <v>12</v>
      </c>
      <c r="K73" s="241" t="s">
        <v>1202</v>
      </c>
      <c r="L73" s="241">
        <v>0</v>
      </c>
      <c r="M73" s="241" t="s">
        <v>2241</v>
      </c>
      <c r="N73" s="241"/>
      <c r="O73" s="241"/>
    </row>
    <row r="74" spans="2:15" s="242" customFormat="1" x14ac:dyDescent="0.3">
      <c r="B74" s="241">
        <v>2503588</v>
      </c>
      <c r="C74" s="241" t="s">
        <v>1213</v>
      </c>
      <c r="D74" s="241" t="e" vm="8">
        <v>#VALUE!</v>
      </c>
      <c r="E74" s="241" t="s">
        <v>17</v>
      </c>
      <c r="F74" s="241" t="s">
        <v>71</v>
      </c>
      <c r="G74" s="241" t="s">
        <v>14</v>
      </c>
      <c r="H74" s="241">
        <v>7.08</v>
      </c>
      <c r="I74" s="241" t="s">
        <v>243</v>
      </c>
      <c r="J74" s="241">
        <v>12</v>
      </c>
      <c r="K74" s="241" t="s">
        <v>286</v>
      </c>
      <c r="L74" s="241">
        <v>0</v>
      </c>
      <c r="M74" s="241" t="s">
        <v>2241</v>
      </c>
      <c r="N74" s="241"/>
      <c r="O74" s="241"/>
    </row>
    <row r="75" spans="2:15" s="242" customFormat="1" x14ac:dyDescent="0.3">
      <c r="B75" s="241">
        <v>2503590</v>
      </c>
      <c r="C75" s="241" t="s">
        <v>1223</v>
      </c>
      <c r="D75" s="241" t="e" vm="5">
        <v>#VALUE!</v>
      </c>
      <c r="E75" s="241" t="s">
        <v>17</v>
      </c>
      <c r="F75" s="241" t="s">
        <v>71</v>
      </c>
      <c r="G75" s="241" t="s">
        <v>14</v>
      </c>
      <c r="H75" s="241">
        <v>14.16</v>
      </c>
      <c r="I75" s="241" t="s">
        <v>243</v>
      </c>
      <c r="J75" s="241">
        <v>24</v>
      </c>
      <c r="K75" s="241" t="s">
        <v>143</v>
      </c>
      <c r="L75" s="241">
        <v>0</v>
      </c>
      <c r="M75" s="241" t="s">
        <v>2241</v>
      </c>
      <c r="N75" s="241"/>
      <c r="O75" s="241"/>
    </row>
    <row r="76" spans="2:15" s="242" customFormat="1" x14ac:dyDescent="0.3">
      <c r="B76" s="241">
        <v>2502570</v>
      </c>
      <c r="C76" s="241" t="s">
        <v>1228</v>
      </c>
      <c r="D76" s="241" t="e" vm="5">
        <v>#VALUE!</v>
      </c>
      <c r="E76" s="241" t="s">
        <v>17</v>
      </c>
      <c r="F76" s="241" t="s">
        <v>71</v>
      </c>
      <c r="G76" s="241" t="s">
        <v>14</v>
      </c>
      <c r="H76" s="241">
        <v>9.44</v>
      </c>
      <c r="I76" s="241" t="s">
        <v>243</v>
      </c>
      <c r="J76" s="241">
        <v>16</v>
      </c>
      <c r="K76" s="241" t="s">
        <v>364</v>
      </c>
      <c r="L76" s="241">
        <v>0</v>
      </c>
      <c r="M76" s="241" t="s">
        <v>2241</v>
      </c>
      <c r="N76" s="241"/>
      <c r="O76" s="241"/>
    </row>
    <row r="77" spans="2:15" s="242" customFormat="1" x14ac:dyDescent="0.3">
      <c r="B77" s="241">
        <v>2502573</v>
      </c>
      <c r="C77" s="241" t="s">
        <v>1233</v>
      </c>
      <c r="D77" s="241" t="e" vm="5">
        <v>#VALUE!</v>
      </c>
      <c r="E77" s="241" t="s">
        <v>20</v>
      </c>
      <c r="F77" s="241" t="s">
        <v>71</v>
      </c>
      <c r="G77" s="241" t="s">
        <v>14</v>
      </c>
      <c r="H77" s="241">
        <v>6.49</v>
      </c>
      <c r="I77" s="241" t="s">
        <v>243</v>
      </c>
      <c r="J77" s="241">
        <v>11</v>
      </c>
      <c r="K77" s="241" t="s">
        <v>380</v>
      </c>
      <c r="L77" s="241">
        <v>0</v>
      </c>
      <c r="M77" s="241" t="s">
        <v>2241</v>
      </c>
      <c r="N77" s="241"/>
      <c r="O77" s="241"/>
    </row>
    <row r="78" spans="2:15" s="242" customFormat="1" x14ac:dyDescent="0.3">
      <c r="B78" s="241">
        <v>2503593</v>
      </c>
      <c r="C78" s="241" t="s">
        <v>1238</v>
      </c>
      <c r="D78" s="241" t="e" vm="11">
        <v>#VALUE!</v>
      </c>
      <c r="E78" s="241" t="s">
        <v>22</v>
      </c>
      <c r="F78" s="241" t="s">
        <v>71</v>
      </c>
      <c r="G78" s="241" t="s">
        <v>14</v>
      </c>
      <c r="H78" s="241">
        <v>7.08</v>
      </c>
      <c r="I78" s="241" t="s">
        <v>243</v>
      </c>
      <c r="J78" s="241">
        <v>12</v>
      </c>
      <c r="K78" s="241" t="s">
        <v>286</v>
      </c>
      <c r="L78" s="241">
        <v>0</v>
      </c>
      <c r="M78" s="241" t="s">
        <v>2241</v>
      </c>
      <c r="N78" s="241"/>
      <c r="O78" s="241"/>
    </row>
    <row r="79" spans="2:15" s="248" customFormat="1" x14ac:dyDescent="0.3">
      <c r="B79" s="247">
        <v>2501211</v>
      </c>
      <c r="C79" s="247" t="s">
        <v>1243</v>
      </c>
      <c r="D79" s="247" t="e" vm="11">
        <v>#VALUE!</v>
      </c>
      <c r="E79" s="247" t="s">
        <v>19</v>
      </c>
      <c r="F79" s="247" t="s">
        <v>124</v>
      </c>
      <c r="G79" s="247" t="s">
        <v>14</v>
      </c>
      <c r="H79" s="247">
        <v>26.55</v>
      </c>
      <c r="I79" s="247" t="s">
        <v>243</v>
      </c>
      <c r="J79" s="247">
        <v>45</v>
      </c>
      <c r="K79" s="247" t="s">
        <v>341</v>
      </c>
      <c r="L79" s="247">
        <v>0</v>
      </c>
      <c r="M79" s="247" t="s">
        <v>2246</v>
      </c>
      <c r="N79" s="247"/>
      <c r="O79" s="247"/>
    </row>
    <row r="80" spans="2:15" s="242" customFormat="1" x14ac:dyDescent="0.3">
      <c r="B80" s="241">
        <v>2502589</v>
      </c>
      <c r="C80" s="241" t="s">
        <v>1246</v>
      </c>
      <c r="D80" s="241" t="e" vm="11">
        <v>#VALUE!</v>
      </c>
      <c r="E80" s="241" t="s">
        <v>22</v>
      </c>
      <c r="F80" s="241" t="s">
        <v>71</v>
      </c>
      <c r="G80" s="241" t="s">
        <v>14</v>
      </c>
      <c r="H80" s="241">
        <v>8.85</v>
      </c>
      <c r="I80" s="241" t="s">
        <v>243</v>
      </c>
      <c r="J80" s="241">
        <v>15</v>
      </c>
      <c r="K80" s="241" t="s">
        <v>364</v>
      </c>
      <c r="L80" s="241">
        <v>0</v>
      </c>
      <c r="M80" s="241" t="s">
        <v>2241</v>
      </c>
      <c r="N80" s="241"/>
      <c r="O80" s="241"/>
    </row>
    <row r="81" spans="2:15" s="246" customFormat="1" x14ac:dyDescent="0.3">
      <c r="B81" s="245">
        <v>2403090</v>
      </c>
      <c r="C81" s="245" t="s">
        <v>1251</v>
      </c>
      <c r="D81" s="245" t="e" vm="8">
        <v>#VALUE!</v>
      </c>
      <c r="E81" s="245" t="s">
        <v>17</v>
      </c>
      <c r="F81" s="245" t="s">
        <v>124</v>
      </c>
      <c r="G81" s="245" t="s">
        <v>14</v>
      </c>
      <c r="H81" s="245">
        <v>476.13</v>
      </c>
      <c r="I81" s="245" t="s">
        <v>243</v>
      </c>
      <c r="J81" s="245">
        <v>807</v>
      </c>
      <c r="K81" s="245">
        <v>0</v>
      </c>
      <c r="L81" s="245">
        <v>0</v>
      </c>
      <c r="M81" s="245" t="s">
        <v>2247</v>
      </c>
      <c r="N81" s="245"/>
      <c r="O81" s="245"/>
    </row>
    <row r="82" spans="2:15" s="242" customFormat="1" x14ac:dyDescent="0.3">
      <c r="B82" s="241">
        <v>2503594</v>
      </c>
      <c r="C82" s="241" t="s">
        <v>1257</v>
      </c>
      <c r="D82" s="241" t="e" vm="5">
        <v>#VALUE!</v>
      </c>
      <c r="E82" s="241" t="s">
        <v>22</v>
      </c>
      <c r="F82" s="241" t="s">
        <v>71</v>
      </c>
      <c r="G82" s="241" t="s">
        <v>14</v>
      </c>
      <c r="H82" s="241">
        <v>7.08</v>
      </c>
      <c r="I82" s="241" t="s">
        <v>243</v>
      </c>
      <c r="J82" s="241">
        <v>12</v>
      </c>
      <c r="K82" s="241" t="s">
        <v>286</v>
      </c>
      <c r="L82" s="241">
        <v>0</v>
      </c>
      <c r="M82" s="241" t="s">
        <v>2241</v>
      </c>
      <c r="N82" s="241"/>
      <c r="O82" s="241"/>
    </row>
    <row r="83" spans="2:15" s="242" customFormat="1" x14ac:dyDescent="0.3">
      <c r="B83" s="241">
        <v>2502588</v>
      </c>
      <c r="C83" s="241" t="s">
        <v>1268</v>
      </c>
      <c r="D83" s="241" t="e" vm="11">
        <v>#VALUE!</v>
      </c>
      <c r="E83" s="241" t="s">
        <v>22</v>
      </c>
      <c r="F83" s="241" t="s">
        <v>71</v>
      </c>
      <c r="G83" s="241" t="s">
        <v>14</v>
      </c>
      <c r="H83" s="241">
        <v>8.85</v>
      </c>
      <c r="I83" s="241" t="s">
        <v>243</v>
      </c>
      <c r="J83" s="241">
        <v>15</v>
      </c>
      <c r="K83" s="241" t="s">
        <v>364</v>
      </c>
      <c r="L83" s="241">
        <v>0</v>
      </c>
      <c r="M83" s="241" t="s">
        <v>2241</v>
      </c>
      <c r="N83" s="241"/>
      <c r="O83" s="241"/>
    </row>
    <row r="84" spans="2:15" s="242" customFormat="1" x14ac:dyDescent="0.3">
      <c r="B84" s="241">
        <v>2503595</v>
      </c>
      <c r="C84" s="241" t="s">
        <v>1274</v>
      </c>
      <c r="D84" s="241" t="e" vm="8">
        <v>#VALUE!</v>
      </c>
      <c r="E84" s="241" t="s">
        <v>17</v>
      </c>
      <c r="F84" s="241" t="s">
        <v>71</v>
      </c>
      <c r="G84" s="241" t="s">
        <v>14</v>
      </c>
      <c r="H84" s="241">
        <v>14.16</v>
      </c>
      <c r="I84" s="241" t="s">
        <v>243</v>
      </c>
      <c r="J84" s="241">
        <v>24</v>
      </c>
      <c r="K84" s="241" t="s">
        <v>143</v>
      </c>
      <c r="L84" s="241">
        <v>0</v>
      </c>
      <c r="M84" s="241" t="s">
        <v>2241</v>
      </c>
      <c r="N84" s="241"/>
      <c r="O84" s="241"/>
    </row>
    <row r="85" spans="2:15" s="242" customFormat="1" x14ac:dyDescent="0.3">
      <c r="B85" s="241">
        <v>2503586</v>
      </c>
      <c r="C85" s="241" t="s">
        <v>1279</v>
      </c>
      <c r="D85" s="241" t="e" vm="11">
        <v>#VALUE!</v>
      </c>
      <c r="E85" s="241" t="s">
        <v>22</v>
      </c>
      <c r="F85" s="241" t="s">
        <v>71</v>
      </c>
      <c r="G85" s="241" t="s">
        <v>14</v>
      </c>
      <c r="H85" s="241">
        <v>6.49</v>
      </c>
      <c r="I85" s="241" t="s">
        <v>243</v>
      </c>
      <c r="J85" s="241">
        <v>11</v>
      </c>
      <c r="K85" s="241" t="s">
        <v>286</v>
      </c>
      <c r="L85" s="241">
        <v>0</v>
      </c>
      <c r="M85" s="241" t="s">
        <v>2241</v>
      </c>
      <c r="N85" s="241"/>
      <c r="O85" s="241"/>
    </row>
    <row r="86" spans="2:15" s="242" customFormat="1" x14ac:dyDescent="0.3">
      <c r="B86" s="241">
        <v>2503604</v>
      </c>
      <c r="C86" s="241" t="s">
        <v>1284</v>
      </c>
      <c r="D86" s="241" t="e" vm="11">
        <v>#VALUE!</v>
      </c>
      <c r="E86" s="241" t="s">
        <v>17</v>
      </c>
      <c r="F86" s="241" t="s">
        <v>71</v>
      </c>
      <c r="G86" s="241" t="s">
        <v>14</v>
      </c>
      <c r="H86" s="241">
        <v>9.44</v>
      </c>
      <c r="I86" s="241" t="s">
        <v>243</v>
      </c>
      <c r="J86" s="241">
        <v>16</v>
      </c>
      <c r="K86" s="241" t="s">
        <v>364</v>
      </c>
      <c r="L86" s="241">
        <v>0</v>
      </c>
      <c r="M86" s="241" t="s">
        <v>2241</v>
      </c>
      <c r="N86" s="241"/>
      <c r="O86" s="241"/>
    </row>
    <row r="87" spans="2:15" s="242" customFormat="1" x14ac:dyDescent="0.3">
      <c r="B87" s="241">
        <v>2503598</v>
      </c>
      <c r="C87" s="241" t="s">
        <v>1289</v>
      </c>
      <c r="D87" s="241" t="e" vm="5">
        <v>#VALUE!</v>
      </c>
      <c r="E87" s="241" t="s">
        <v>17</v>
      </c>
      <c r="F87" s="241" t="s">
        <v>71</v>
      </c>
      <c r="G87" s="241" t="s">
        <v>14</v>
      </c>
      <c r="H87" s="241">
        <v>9.44</v>
      </c>
      <c r="I87" s="241" t="s">
        <v>243</v>
      </c>
      <c r="J87" s="241">
        <v>16</v>
      </c>
      <c r="K87" s="241" t="s">
        <v>364</v>
      </c>
      <c r="L87" s="241">
        <v>0</v>
      </c>
      <c r="M87" s="241" t="s">
        <v>2241</v>
      </c>
      <c r="N87" s="241"/>
      <c r="O87" s="241"/>
    </row>
    <row r="88" spans="2:15" s="242" customFormat="1" x14ac:dyDescent="0.3">
      <c r="B88" s="241">
        <v>2503609</v>
      </c>
      <c r="C88" s="241" t="s">
        <v>1294</v>
      </c>
      <c r="D88" s="241" t="e" vm="8">
        <v>#VALUE!</v>
      </c>
      <c r="E88" s="241" t="s">
        <v>17</v>
      </c>
      <c r="F88" s="241" t="s">
        <v>71</v>
      </c>
      <c r="G88" s="241" t="s">
        <v>14</v>
      </c>
      <c r="H88" s="241">
        <v>14.16</v>
      </c>
      <c r="I88" s="241" t="s">
        <v>243</v>
      </c>
      <c r="J88" s="241">
        <v>24</v>
      </c>
      <c r="K88" s="241" t="s">
        <v>143</v>
      </c>
      <c r="L88" s="241">
        <v>0</v>
      </c>
      <c r="M88" s="241" t="s">
        <v>2241</v>
      </c>
      <c r="N88" s="241"/>
      <c r="O88" s="241"/>
    </row>
    <row r="89" spans="2:15" s="242" customFormat="1" x14ac:dyDescent="0.3">
      <c r="B89" s="241">
        <v>2501524</v>
      </c>
      <c r="C89" s="241" t="s">
        <v>1309</v>
      </c>
      <c r="D89" s="241" t="e" vm="5">
        <v>#VALUE!</v>
      </c>
      <c r="E89" s="241" t="s">
        <v>17</v>
      </c>
      <c r="F89" s="241" t="s">
        <v>71</v>
      </c>
      <c r="G89" s="241" t="s">
        <v>14</v>
      </c>
      <c r="H89" s="241">
        <v>9.44</v>
      </c>
      <c r="I89" s="241" t="s">
        <v>243</v>
      </c>
      <c r="J89" s="241">
        <v>16</v>
      </c>
      <c r="K89" s="241" t="s">
        <v>364</v>
      </c>
      <c r="L89" s="241">
        <v>0</v>
      </c>
      <c r="M89" s="241" t="s">
        <v>2241</v>
      </c>
      <c r="N89" s="241"/>
      <c r="O89" s="241"/>
    </row>
    <row r="90" spans="2:15" s="242" customFormat="1" x14ac:dyDescent="0.3">
      <c r="B90" s="241">
        <v>2503617</v>
      </c>
      <c r="C90" s="241" t="s">
        <v>1314</v>
      </c>
      <c r="D90" s="241" t="e" vm="11">
        <v>#VALUE!</v>
      </c>
      <c r="E90" s="241" t="s">
        <v>22</v>
      </c>
      <c r="F90" s="241" t="s">
        <v>71</v>
      </c>
      <c r="G90" s="241" t="s">
        <v>14</v>
      </c>
      <c r="H90" s="241">
        <v>17.7</v>
      </c>
      <c r="I90" s="241" t="s">
        <v>243</v>
      </c>
      <c r="J90" s="241">
        <v>30</v>
      </c>
      <c r="K90" s="241" t="s">
        <v>143</v>
      </c>
      <c r="L90" s="241">
        <v>0</v>
      </c>
      <c r="M90" s="241" t="s">
        <v>2241</v>
      </c>
      <c r="N90" s="241"/>
      <c r="O90" s="241"/>
    </row>
    <row r="91" spans="2:15" s="248" customFormat="1" x14ac:dyDescent="0.3">
      <c r="B91" s="247">
        <v>2503601</v>
      </c>
      <c r="C91" s="247" t="s">
        <v>1319</v>
      </c>
      <c r="D91" s="247" t="e" vm="5">
        <v>#VALUE!</v>
      </c>
      <c r="E91" s="247" t="s">
        <v>17</v>
      </c>
      <c r="F91" s="247" t="s">
        <v>71</v>
      </c>
      <c r="G91" s="247" t="s">
        <v>14</v>
      </c>
      <c r="H91" s="247">
        <v>9.44</v>
      </c>
      <c r="I91" s="247" t="s">
        <v>243</v>
      </c>
      <c r="J91" s="247">
        <v>16</v>
      </c>
      <c r="K91" s="247" t="s">
        <v>364</v>
      </c>
      <c r="L91" s="247">
        <v>0</v>
      </c>
      <c r="M91" s="247" t="s">
        <v>2246</v>
      </c>
      <c r="N91" s="247"/>
      <c r="O91" s="247"/>
    </row>
    <row r="92" spans="2:15" s="248" customFormat="1" x14ac:dyDescent="0.3">
      <c r="B92" s="247">
        <v>2503619</v>
      </c>
      <c r="C92" s="247" t="s">
        <v>1320</v>
      </c>
      <c r="D92" s="247">
        <v>0</v>
      </c>
      <c r="E92" s="247" t="s">
        <v>22</v>
      </c>
      <c r="F92" s="247">
        <v>0</v>
      </c>
      <c r="G92" s="247">
        <v>0</v>
      </c>
      <c r="H92" s="247">
        <v>7.08</v>
      </c>
      <c r="I92" s="247" t="s">
        <v>243</v>
      </c>
      <c r="J92" s="247">
        <v>12</v>
      </c>
      <c r="K92" s="247" t="s">
        <v>286</v>
      </c>
      <c r="L92" s="247">
        <v>0</v>
      </c>
      <c r="M92" s="247" t="s">
        <v>2246</v>
      </c>
      <c r="N92" s="247"/>
      <c r="O92" s="247"/>
    </row>
    <row r="93" spans="2:15" s="242" customFormat="1" x14ac:dyDescent="0.3">
      <c r="B93" s="241">
        <v>2503589</v>
      </c>
      <c r="C93" s="241" t="s">
        <v>1330</v>
      </c>
      <c r="D93" s="241" t="e" vm="5">
        <v>#VALUE!</v>
      </c>
      <c r="E93" s="241" t="s">
        <v>17</v>
      </c>
      <c r="F93" s="241" t="s">
        <v>71</v>
      </c>
      <c r="G93" s="241" t="s">
        <v>14</v>
      </c>
      <c r="H93" s="241">
        <v>7.08</v>
      </c>
      <c r="I93" s="241" t="s">
        <v>243</v>
      </c>
      <c r="J93" s="241">
        <v>12</v>
      </c>
      <c r="K93" s="241" t="s">
        <v>286</v>
      </c>
      <c r="L93" s="241">
        <v>0</v>
      </c>
      <c r="M93" s="241" t="s">
        <v>2241</v>
      </c>
      <c r="N93" s="241"/>
      <c r="O93" s="241"/>
    </row>
    <row r="94" spans="2:15" s="242" customFormat="1" x14ac:dyDescent="0.3">
      <c r="B94" s="241">
        <v>2504633</v>
      </c>
      <c r="C94" s="241" t="s">
        <v>1335</v>
      </c>
      <c r="D94" s="241" t="e" vm="5">
        <v>#VALUE!</v>
      </c>
      <c r="E94" s="241" t="s">
        <v>17</v>
      </c>
      <c r="F94" s="241" t="s">
        <v>71</v>
      </c>
      <c r="G94" s="241" t="s">
        <v>14</v>
      </c>
      <c r="H94" s="241">
        <v>7.08</v>
      </c>
      <c r="I94" s="241" t="s">
        <v>243</v>
      </c>
      <c r="J94" s="241">
        <v>12</v>
      </c>
      <c r="K94" s="241" t="s">
        <v>286</v>
      </c>
      <c r="L94" s="241">
        <v>0</v>
      </c>
      <c r="M94" s="241" t="s">
        <v>2241</v>
      </c>
      <c r="N94" s="241"/>
      <c r="O94" s="241"/>
    </row>
    <row r="95" spans="2:15" s="242" customFormat="1" x14ac:dyDescent="0.3">
      <c r="B95" s="241">
        <v>2504636</v>
      </c>
      <c r="C95" s="241" t="s">
        <v>1340</v>
      </c>
      <c r="D95" s="241" t="e" vm="11">
        <v>#VALUE!</v>
      </c>
      <c r="E95" s="241" t="s">
        <v>22</v>
      </c>
      <c r="F95" s="241" t="s">
        <v>71</v>
      </c>
      <c r="G95" s="241" t="s">
        <v>14</v>
      </c>
      <c r="H95" s="241">
        <v>17.7</v>
      </c>
      <c r="I95" s="241" t="s">
        <v>243</v>
      </c>
      <c r="J95" s="241">
        <v>30</v>
      </c>
      <c r="K95" s="241" t="s">
        <v>143</v>
      </c>
      <c r="L95" s="241">
        <v>0</v>
      </c>
      <c r="M95" s="241" t="s">
        <v>2241</v>
      </c>
      <c r="N95" s="241"/>
      <c r="O95" s="241"/>
    </row>
    <row r="96" spans="2:15" s="242" customFormat="1" x14ac:dyDescent="0.3">
      <c r="B96" s="241">
        <v>2406152</v>
      </c>
      <c r="C96" s="241" t="s">
        <v>1345</v>
      </c>
      <c r="D96" s="241" t="e" vm="5">
        <v>#VALUE!</v>
      </c>
      <c r="E96" s="241" t="s">
        <v>20</v>
      </c>
      <c r="F96" s="241" t="s">
        <v>124</v>
      </c>
      <c r="G96" s="241" t="s">
        <v>14</v>
      </c>
      <c r="H96" s="241">
        <v>93.17</v>
      </c>
      <c r="I96" s="241" t="s">
        <v>1347</v>
      </c>
      <c r="J96" s="241">
        <v>154</v>
      </c>
      <c r="K96" s="241" t="s">
        <v>1348</v>
      </c>
      <c r="L96" s="241">
        <v>0</v>
      </c>
      <c r="M96" s="241" t="s">
        <v>2241</v>
      </c>
      <c r="N96" s="241"/>
      <c r="O96" s="241"/>
    </row>
    <row r="97" spans="2:15" s="242" customFormat="1" x14ac:dyDescent="0.3">
      <c r="B97" s="241">
        <v>2504640</v>
      </c>
      <c r="C97" s="241" t="s">
        <v>1350</v>
      </c>
      <c r="D97" s="241" t="e" vm="8">
        <v>#VALUE!</v>
      </c>
      <c r="E97" s="241" t="s">
        <v>17</v>
      </c>
      <c r="F97" s="241" t="s">
        <v>71</v>
      </c>
      <c r="G97" s="241" t="s">
        <v>14</v>
      </c>
      <c r="H97" s="241">
        <v>9.44</v>
      </c>
      <c r="I97" s="241" t="s">
        <v>243</v>
      </c>
      <c r="J97" s="241">
        <v>16</v>
      </c>
      <c r="K97" s="241" t="s">
        <v>364</v>
      </c>
      <c r="L97" s="241">
        <v>0</v>
      </c>
      <c r="M97" s="241" t="s">
        <v>2241</v>
      </c>
      <c r="N97" s="241"/>
      <c r="O97" s="241"/>
    </row>
    <row r="98" spans="2:15" s="242" customFormat="1" x14ac:dyDescent="0.3">
      <c r="B98" s="241">
        <v>2504638</v>
      </c>
      <c r="C98" s="241" t="s">
        <v>1355</v>
      </c>
      <c r="D98" s="241" t="e" vm="8">
        <v>#VALUE!</v>
      </c>
      <c r="E98" s="241" t="s">
        <v>17</v>
      </c>
      <c r="F98" s="241" t="s">
        <v>71</v>
      </c>
      <c r="G98" s="241" t="s">
        <v>14</v>
      </c>
      <c r="H98" s="241">
        <v>9.44</v>
      </c>
      <c r="I98" s="241" t="s">
        <v>243</v>
      </c>
      <c r="J98" s="241">
        <v>16</v>
      </c>
      <c r="K98" s="241" t="s">
        <v>364</v>
      </c>
      <c r="L98" s="241">
        <v>0</v>
      </c>
      <c r="M98" s="241" t="s">
        <v>2241</v>
      </c>
      <c r="N98" s="241"/>
      <c r="O98" s="241"/>
    </row>
    <row r="99" spans="2:15" s="242" customFormat="1" x14ac:dyDescent="0.3">
      <c r="B99" s="241">
        <v>2504647</v>
      </c>
      <c r="C99" s="241" t="s">
        <v>1365</v>
      </c>
      <c r="D99" s="241" t="e" vm="11">
        <v>#VALUE!</v>
      </c>
      <c r="E99" s="241" t="s">
        <v>22</v>
      </c>
      <c r="F99" s="241" t="s">
        <v>71</v>
      </c>
      <c r="G99" s="241" t="s">
        <v>14</v>
      </c>
      <c r="H99" s="241">
        <v>7.08</v>
      </c>
      <c r="I99" s="241" t="s">
        <v>243</v>
      </c>
      <c r="J99" s="241">
        <v>12</v>
      </c>
      <c r="K99" s="241" t="s">
        <v>286</v>
      </c>
      <c r="L99" s="241">
        <v>0</v>
      </c>
      <c r="M99" s="241" t="s">
        <v>2241</v>
      </c>
      <c r="N99" s="241"/>
      <c r="O99" s="241"/>
    </row>
    <row r="100" spans="2:15" s="242" customFormat="1" x14ac:dyDescent="0.3">
      <c r="B100" s="241">
        <v>2504658</v>
      </c>
      <c r="C100" s="241" t="s">
        <v>1370</v>
      </c>
      <c r="D100" s="241" t="e" vm="5">
        <v>#VALUE!</v>
      </c>
      <c r="E100" s="241" t="s">
        <v>21</v>
      </c>
      <c r="F100" s="241" t="s">
        <v>71</v>
      </c>
      <c r="G100" s="241" t="s">
        <v>14</v>
      </c>
      <c r="H100" s="241">
        <v>7.08</v>
      </c>
      <c r="I100" s="241" t="s">
        <v>243</v>
      </c>
      <c r="J100" s="241">
        <v>12</v>
      </c>
      <c r="K100" s="241" t="s">
        <v>286</v>
      </c>
      <c r="L100" s="241">
        <v>0</v>
      </c>
      <c r="M100" s="241" t="s">
        <v>2241</v>
      </c>
      <c r="N100" s="241"/>
      <c r="O100" s="241"/>
    </row>
    <row r="101" spans="2:15" s="248" customFormat="1" x14ac:dyDescent="0.3">
      <c r="B101" s="247">
        <v>2503614</v>
      </c>
      <c r="C101" s="247" t="s">
        <v>1375</v>
      </c>
      <c r="D101" s="247">
        <v>0</v>
      </c>
      <c r="E101" s="247" t="s">
        <v>20</v>
      </c>
      <c r="F101" s="247">
        <v>0</v>
      </c>
      <c r="G101" s="247">
        <v>0</v>
      </c>
      <c r="H101" s="247">
        <v>0</v>
      </c>
      <c r="I101" s="247" t="s">
        <v>243</v>
      </c>
      <c r="J101" s="247">
        <v>15</v>
      </c>
      <c r="K101" s="247" t="s">
        <v>1376</v>
      </c>
      <c r="L101" s="247">
        <v>0</v>
      </c>
      <c r="M101" s="247" t="s">
        <v>2246</v>
      </c>
      <c r="N101" s="247"/>
      <c r="O101" s="247"/>
    </row>
    <row r="102" spans="2:15" s="242" customFormat="1" x14ac:dyDescent="0.3">
      <c r="B102" s="241">
        <v>2504643</v>
      </c>
      <c r="C102" s="241" t="s">
        <v>1381</v>
      </c>
      <c r="D102" s="241" t="e" vm="11">
        <v>#VALUE!</v>
      </c>
      <c r="E102" s="241" t="s">
        <v>22</v>
      </c>
      <c r="F102" s="241" t="s">
        <v>71</v>
      </c>
      <c r="G102" s="241" t="s">
        <v>14</v>
      </c>
      <c r="H102" s="241">
        <v>17.7</v>
      </c>
      <c r="I102" s="241" t="s">
        <v>243</v>
      </c>
      <c r="J102" s="241">
        <v>30</v>
      </c>
      <c r="K102" s="241" t="s">
        <v>143</v>
      </c>
      <c r="L102" s="241">
        <v>0</v>
      </c>
      <c r="M102" s="241" t="s">
        <v>2241</v>
      </c>
      <c r="N102" s="241"/>
      <c r="O102" s="241"/>
    </row>
    <row r="103" spans="2:15" s="242" customFormat="1" x14ac:dyDescent="0.3">
      <c r="B103" s="241">
        <v>2504663</v>
      </c>
      <c r="C103" s="241" t="s">
        <v>1386</v>
      </c>
      <c r="D103" s="241" t="e" vm="11">
        <v>#VALUE!</v>
      </c>
      <c r="E103" s="241" t="s">
        <v>22</v>
      </c>
      <c r="F103" s="241" t="s">
        <v>71</v>
      </c>
      <c r="G103" s="241" t="s">
        <v>14</v>
      </c>
      <c r="H103" s="241">
        <v>7.08</v>
      </c>
      <c r="I103" s="241" t="s">
        <v>243</v>
      </c>
      <c r="J103" s="241">
        <v>12</v>
      </c>
      <c r="K103" s="241" t="s">
        <v>1202</v>
      </c>
      <c r="L103" s="241">
        <v>0</v>
      </c>
      <c r="M103" s="241" t="s">
        <v>2241</v>
      </c>
      <c r="N103" s="241"/>
      <c r="O103" s="241"/>
    </row>
    <row r="104" spans="2:15" s="248" customFormat="1" x14ac:dyDescent="0.3">
      <c r="B104" s="247">
        <v>2504671</v>
      </c>
      <c r="C104" s="247" t="s">
        <v>1391</v>
      </c>
      <c r="D104" s="247" t="e" vm="11">
        <v>#VALUE!</v>
      </c>
      <c r="E104" s="247" t="s">
        <v>22</v>
      </c>
      <c r="F104" s="247" t="s">
        <v>71</v>
      </c>
      <c r="G104" s="247" t="s">
        <v>14</v>
      </c>
      <c r="H104" s="247">
        <v>17.7</v>
      </c>
      <c r="I104" s="247" t="s">
        <v>243</v>
      </c>
      <c r="J104" s="247">
        <v>30</v>
      </c>
      <c r="K104" s="247" t="s">
        <v>143</v>
      </c>
      <c r="L104" s="247">
        <v>0</v>
      </c>
      <c r="M104" s="247" t="s">
        <v>2246</v>
      </c>
      <c r="N104" s="247"/>
      <c r="O104" s="247"/>
    </row>
    <row r="105" spans="2:15" s="248" customFormat="1" x14ac:dyDescent="0.3">
      <c r="B105" s="247">
        <v>2505675</v>
      </c>
      <c r="C105" s="247" t="s">
        <v>1401</v>
      </c>
      <c r="D105" s="247" t="e" vm="11">
        <v>#VALUE!</v>
      </c>
      <c r="E105" s="247" t="s">
        <v>22</v>
      </c>
      <c r="F105" s="247" t="s">
        <v>71</v>
      </c>
      <c r="G105" s="247" t="s">
        <v>14</v>
      </c>
      <c r="H105" s="247">
        <v>15.34</v>
      </c>
      <c r="I105" s="247" t="s">
        <v>243</v>
      </c>
      <c r="J105" s="247">
        <v>26</v>
      </c>
      <c r="K105" s="247" t="s">
        <v>143</v>
      </c>
      <c r="L105" s="247">
        <v>0</v>
      </c>
      <c r="M105" s="247" t="s">
        <v>2246</v>
      </c>
      <c r="N105" s="247"/>
      <c r="O105" s="247"/>
    </row>
    <row r="106" spans="2:15" s="242" customFormat="1" x14ac:dyDescent="0.3">
      <c r="B106" s="241">
        <v>2502564</v>
      </c>
      <c r="C106" s="241" t="s">
        <v>1407</v>
      </c>
      <c r="D106" s="241" t="e" vm="5">
        <v>#VALUE!</v>
      </c>
      <c r="E106" s="241" t="s">
        <v>20</v>
      </c>
      <c r="F106" s="241" t="s">
        <v>71</v>
      </c>
      <c r="G106" s="241" t="s">
        <v>14</v>
      </c>
      <c r="H106" s="241">
        <v>17.7</v>
      </c>
      <c r="I106" s="241" t="s">
        <v>243</v>
      </c>
      <c r="J106" s="241">
        <v>30</v>
      </c>
      <c r="K106" s="241" t="s">
        <v>131</v>
      </c>
      <c r="L106" s="241">
        <v>0</v>
      </c>
      <c r="M106" s="241" t="s">
        <v>2241</v>
      </c>
      <c r="N106" s="241"/>
      <c r="O106" s="241"/>
    </row>
    <row r="107" spans="2:15" s="238" customFormat="1" x14ac:dyDescent="0.3">
      <c r="B107" s="237">
        <v>2504664</v>
      </c>
      <c r="C107" s="237" t="s">
        <v>1410</v>
      </c>
      <c r="D107" s="237" t="e" vm="11">
        <v>#VALUE!</v>
      </c>
      <c r="E107" s="237" t="s">
        <v>22</v>
      </c>
      <c r="F107" s="237" t="s">
        <v>71</v>
      </c>
      <c r="G107" s="237" t="s">
        <v>14</v>
      </c>
      <c r="H107" s="237">
        <v>17.7</v>
      </c>
      <c r="I107" s="237" t="s">
        <v>243</v>
      </c>
      <c r="J107" s="237">
        <v>30</v>
      </c>
      <c r="K107" s="237" t="s">
        <v>143</v>
      </c>
      <c r="L107" s="237">
        <v>0</v>
      </c>
      <c r="M107" s="237" t="s">
        <v>2249</v>
      </c>
      <c r="N107" s="237"/>
      <c r="O107" s="237"/>
    </row>
    <row r="108" spans="2:15" s="242" customFormat="1" x14ac:dyDescent="0.3">
      <c r="B108" s="241">
        <v>2505686</v>
      </c>
      <c r="C108" s="241" t="s">
        <v>1421</v>
      </c>
      <c r="D108" s="241" t="e" vm="11">
        <v>#VALUE!</v>
      </c>
      <c r="E108" s="241" t="s">
        <v>22</v>
      </c>
      <c r="F108" s="241" t="s">
        <v>71</v>
      </c>
      <c r="G108" s="241" t="s">
        <v>14</v>
      </c>
      <c r="H108" s="241">
        <v>7.08</v>
      </c>
      <c r="I108" s="241" t="s">
        <v>243</v>
      </c>
      <c r="J108" s="241">
        <v>12</v>
      </c>
      <c r="K108" s="241" t="s">
        <v>286</v>
      </c>
      <c r="L108" s="241">
        <v>0</v>
      </c>
      <c r="M108" s="241" t="s">
        <v>2241</v>
      </c>
      <c r="N108" s="241"/>
      <c r="O108" s="241"/>
    </row>
    <row r="109" spans="2:15" s="242" customFormat="1" x14ac:dyDescent="0.3">
      <c r="B109" s="241">
        <v>2503603</v>
      </c>
      <c r="C109" s="241" t="s">
        <v>1426</v>
      </c>
      <c r="D109" s="241" t="e" vm="12">
        <v>#VALUE!</v>
      </c>
      <c r="E109" s="241" t="s">
        <v>17</v>
      </c>
      <c r="F109" s="241" t="s">
        <v>71</v>
      </c>
      <c r="G109" s="241" t="s">
        <v>14</v>
      </c>
      <c r="H109" s="241">
        <v>17.7</v>
      </c>
      <c r="I109" s="241" t="s">
        <v>243</v>
      </c>
      <c r="J109" s="241">
        <v>30</v>
      </c>
      <c r="K109" s="241" t="s">
        <v>143</v>
      </c>
      <c r="L109" s="241">
        <v>0</v>
      </c>
      <c r="M109" s="241" t="s">
        <v>2241</v>
      </c>
      <c r="N109" s="241"/>
      <c r="O109" s="241"/>
    </row>
    <row r="110" spans="2:15" s="242" customFormat="1" x14ac:dyDescent="0.3">
      <c r="B110" s="241">
        <v>2302004</v>
      </c>
      <c r="C110" s="241" t="s">
        <v>1431</v>
      </c>
      <c r="D110" s="241" t="e" vm="11">
        <v>#VALUE!</v>
      </c>
      <c r="E110" s="241" t="s">
        <v>19</v>
      </c>
      <c r="F110" s="241" t="s">
        <v>71</v>
      </c>
      <c r="G110" s="241" t="s">
        <v>14</v>
      </c>
      <c r="H110" s="241">
        <v>8.85</v>
      </c>
      <c r="I110" s="241" t="s">
        <v>243</v>
      </c>
      <c r="J110" s="241">
        <v>15</v>
      </c>
      <c r="K110" s="241" t="s">
        <v>364</v>
      </c>
      <c r="L110" s="241">
        <v>0</v>
      </c>
      <c r="M110" s="241" t="s">
        <v>2241</v>
      </c>
      <c r="N110" s="241"/>
      <c r="O110" s="241"/>
    </row>
    <row r="111" spans="2:15" s="242" customFormat="1" x14ac:dyDescent="0.3">
      <c r="B111" s="241">
        <v>2503225</v>
      </c>
      <c r="C111" s="241" t="s">
        <v>340</v>
      </c>
      <c r="D111" s="241" t="e" vm="5">
        <v>#VALUE!</v>
      </c>
      <c r="E111" s="241" t="s">
        <v>17</v>
      </c>
      <c r="F111" s="241" t="s">
        <v>124</v>
      </c>
      <c r="G111" s="241" t="s">
        <v>14</v>
      </c>
      <c r="H111" s="241">
        <v>97.6</v>
      </c>
      <c r="I111" s="241" t="s">
        <v>561</v>
      </c>
      <c r="J111" s="241">
        <v>160</v>
      </c>
      <c r="K111" s="241" t="s">
        <v>1433</v>
      </c>
      <c r="L111" s="241">
        <v>0</v>
      </c>
      <c r="M111" s="241" t="s">
        <v>2241</v>
      </c>
      <c r="N111" s="241"/>
      <c r="O111" s="241"/>
    </row>
    <row r="112" spans="2:15" s="242" customFormat="1" x14ac:dyDescent="0.3">
      <c r="B112" s="241">
        <v>2403185</v>
      </c>
      <c r="C112" s="241" t="s">
        <v>1434</v>
      </c>
      <c r="D112" s="241" t="e" vm="5">
        <v>#VALUE!</v>
      </c>
      <c r="E112" s="241" t="s">
        <v>17</v>
      </c>
      <c r="F112" s="241" t="s">
        <v>71</v>
      </c>
      <c r="G112" s="241" t="s">
        <v>14</v>
      </c>
      <c r="H112" s="241">
        <v>7.08</v>
      </c>
      <c r="I112" s="241" t="s">
        <v>243</v>
      </c>
      <c r="J112" s="241">
        <v>12</v>
      </c>
      <c r="K112" s="241" t="s">
        <v>286</v>
      </c>
      <c r="L112" s="241">
        <v>0</v>
      </c>
      <c r="M112" s="241" t="s">
        <v>2241</v>
      </c>
      <c r="N112" s="241"/>
      <c r="O112" s="241"/>
    </row>
    <row r="113" spans="2:15" s="248" customFormat="1" x14ac:dyDescent="0.3">
      <c r="B113" s="247">
        <v>2410194</v>
      </c>
      <c r="C113" s="247" t="s">
        <v>1439</v>
      </c>
      <c r="D113" s="247" t="e" vm="3">
        <v>#VALUE!</v>
      </c>
      <c r="E113" s="247" t="s">
        <v>17</v>
      </c>
      <c r="F113" s="247" t="s">
        <v>124</v>
      </c>
      <c r="G113" s="247" t="s">
        <v>14</v>
      </c>
      <c r="H113" s="247">
        <v>207.08</v>
      </c>
      <c r="I113" s="247" t="s">
        <v>1440</v>
      </c>
      <c r="J113" s="247">
        <v>334</v>
      </c>
      <c r="K113" s="247" t="s">
        <v>1433</v>
      </c>
      <c r="L113" s="247">
        <v>0</v>
      </c>
      <c r="M113" s="247" t="s">
        <v>2246</v>
      </c>
      <c r="N113" s="247"/>
      <c r="O113" s="247"/>
    </row>
    <row r="114" spans="2:15" s="242" customFormat="1" x14ac:dyDescent="0.3">
      <c r="B114" s="241">
        <v>2504669</v>
      </c>
      <c r="C114" s="241" t="s">
        <v>1441</v>
      </c>
      <c r="D114" s="241" t="e" vm="5">
        <v>#VALUE!</v>
      </c>
      <c r="E114" s="241" t="s">
        <v>17</v>
      </c>
      <c r="F114" s="241" t="s">
        <v>71</v>
      </c>
      <c r="G114" s="241" t="s">
        <v>14</v>
      </c>
      <c r="H114" s="241">
        <v>10.62</v>
      </c>
      <c r="I114" s="241" t="s">
        <v>243</v>
      </c>
      <c r="J114" s="241">
        <v>18</v>
      </c>
      <c r="K114" s="241" t="s">
        <v>364</v>
      </c>
      <c r="L114" s="241">
        <v>0</v>
      </c>
      <c r="M114" s="241" t="s">
        <v>2241</v>
      </c>
      <c r="N114" s="241"/>
      <c r="O114" s="241"/>
    </row>
    <row r="115" spans="2:15" s="242" customFormat="1" x14ac:dyDescent="0.3">
      <c r="B115" s="241">
        <v>2504660</v>
      </c>
      <c r="C115" s="241" t="s">
        <v>1447</v>
      </c>
      <c r="D115" s="241" t="e" vm="11">
        <v>#VALUE!</v>
      </c>
      <c r="E115" s="241" t="s">
        <v>19</v>
      </c>
      <c r="F115" s="241" t="s">
        <v>71</v>
      </c>
      <c r="G115" s="241" t="s">
        <v>14</v>
      </c>
      <c r="H115" s="241">
        <v>14.75</v>
      </c>
      <c r="I115" s="241" t="s">
        <v>243</v>
      </c>
      <c r="J115" s="241">
        <v>25</v>
      </c>
      <c r="K115" s="241" t="s">
        <v>143</v>
      </c>
      <c r="L115" s="241">
        <v>0</v>
      </c>
      <c r="M115" s="241" t="s">
        <v>2241</v>
      </c>
      <c r="N115" s="241"/>
      <c r="O115" s="241"/>
    </row>
    <row r="116" spans="2:15" s="242" customFormat="1" x14ac:dyDescent="0.3">
      <c r="B116" s="241">
        <v>2410191</v>
      </c>
      <c r="C116" s="241" t="s">
        <v>1452</v>
      </c>
      <c r="D116" s="241" t="e" vm="8">
        <v>#VALUE!</v>
      </c>
      <c r="E116" s="241" t="s">
        <v>17</v>
      </c>
      <c r="F116" s="241" t="s">
        <v>124</v>
      </c>
      <c r="G116" s="241" t="s">
        <v>14</v>
      </c>
      <c r="H116" s="241">
        <v>53.68</v>
      </c>
      <c r="I116" s="241" t="s">
        <v>1453</v>
      </c>
      <c r="J116" s="241">
        <v>88</v>
      </c>
      <c r="K116" s="241" t="s">
        <v>1454</v>
      </c>
      <c r="L116" s="241">
        <v>0</v>
      </c>
      <c r="M116" s="241" t="s">
        <v>2241</v>
      </c>
      <c r="N116" s="241"/>
      <c r="O116" s="241"/>
    </row>
    <row r="117" spans="2:15" s="248" customFormat="1" x14ac:dyDescent="0.3">
      <c r="B117" s="247">
        <v>2505695</v>
      </c>
      <c r="C117" s="247" t="s">
        <v>1455</v>
      </c>
      <c r="D117" s="247" t="e" vm="11">
        <v>#VALUE!</v>
      </c>
      <c r="E117" s="247" t="s">
        <v>22</v>
      </c>
      <c r="F117" s="247" t="s">
        <v>71</v>
      </c>
      <c r="G117" s="247" t="s">
        <v>14</v>
      </c>
      <c r="H117" s="247">
        <v>9.44</v>
      </c>
      <c r="I117" s="247" t="s">
        <v>243</v>
      </c>
      <c r="J117" s="247">
        <v>16</v>
      </c>
      <c r="K117" s="247" t="s">
        <v>364</v>
      </c>
      <c r="L117" s="247">
        <v>0</v>
      </c>
      <c r="M117" s="247" t="s">
        <v>2246</v>
      </c>
      <c r="N117" s="247"/>
      <c r="O117" s="247"/>
    </row>
    <row r="118" spans="2:15" s="242" customFormat="1" x14ac:dyDescent="0.3">
      <c r="B118" s="241">
        <v>2505672</v>
      </c>
      <c r="C118" s="241" t="s">
        <v>1460</v>
      </c>
      <c r="D118" s="241" t="e" vm="11">
        <v>#VALUE!</v>
      </c>
      <c r="E118" s="241" t="s">
        <v>22</v>
      </c>
      <c r="F118" s="241" t="s">
        <v>71</v>
      </c>
      <c r="G118" s="241" t="s">
        <v>14</v>
      </c>
      <c r="H118" s="241">
        <v>8.85</v>
      </c>
      <c r="I118" s="241" t="s">
        <v>243</v>
      </c>
      <c r="J118" s="241">
        <v>15</v>
      </c>
      <c r="K118" s="241" t="s">
        <v>364</v>
      </c>
      <c r="L118" s="241">
        <v>0</v>
      </c>
      <c r="M118" s="241" t="s">
        <v>2241</v>
      </c>
      <c r="N118" s="241"/>
      <c r="O118" s="241"/>
    </row>
    <row r="119" spans="2:15" s="242" customFormat="1" x14ac:dyDescent="0.3">
      <c r="B119" s="241">
        <v>2505684</v>
      </c>
      <c r="C119" s="241" t="s">
        <v>1465</v>
      </c>
      <c r="D119" s="241" t="e" vm="11">
        <v>#VALUE!</v>
      </c>
      <c r="E119" s="241" t="s">
        <v>22</v>
      </c>
      <c r="F119" s="241" t="s">
        <v>71</v>
      </c>
      <c r="G119" s="241" t="s">
        <v>14</v>
      </c>
      <c r="H119" s="241">
        <v>11.21</v>
      </c>
      <c r="I119" s="241" t="s">
        <v>243</v>
      </c>
      <c r="J119" s="241">
        <v>19</v>
      </c>
      <c r="K119" s="241" t="s">
        <v>111</v>
      </c>
      <c r="L119" s="241">
        <v>0</v>
      </c>
      <c r="M119" s="241" t="s">
        <v>2241</v>
      </c>
      <c r="N119" s="241"/>
      <c r="O119" s="241"/>
    </row>
    <row r="120" spans="2:15" s="248" customFormat="1" x14ac:dyDescent="0.3">
      <c r="B120" s="247">
        <v>2505697</v>
      </c>
      <c r="C120" s="247" t="s">
        <v>1470</v>
      </c>
      <c r="D120" s="247" t="e" vm="11">
        <v>#VALUE!</v>
      </c>
      <c r="E120" s="247" t="s">
        <v>22</v>
      </c>
      <c r="F120" s="247" t="s">
        <v>71</v>
      </c>
      <c r="G120" s="247" t="s">
        <v>14</v>
      </c>
      <c r="H120" s="247">
        <v>7.08</v>
      </c>
      <c r="I120" s="247" t="s">
        <v>243</v>
      </c>
      <c r="J120" s="247">
        <v>12</v>
      </c>
      <c r="K120" s="247" t="s">
        <v>286</v>
      </c>
      <c r="L120" s="247">
        <v>0</v>
      </c>
      <c r="M120" s="247" t="s">
        <v>2246</v>
      </c>
      <c r="N120" s="247"/>
      <c r="O120" s="247"/>
    </row>
    <row r="121" spans="2:15" s="242" customFormat="1" x14ac:dyDescent="0.3">
      <c r="B121" s="241">
        <v>2505682</v>
      </c>
      <c r="C121" s="241" t="s">
        <v>1480</v>
      </c>
      <c r="D121" s="241" t="e" vm="11">
        <v>#VALUE!</v>
      </c>
      <c r="E121" s="241" t="s">
        <v>22</v>
      </c>
      <c r="F121" s="241" t="s">
        <v>71</v>
      </c>
      <c r="G121" s="241" t="s">
        <v>14</v>
      </c>
      <c r="H121" s="241">
        <v>13.42</v>
      </c>
      <c r="I121" s="241" t="s">
        <v>561</v>
      </c>
      <c r="J121" s="241">
        <v>22</v>
      </c>
      <c r="K121" s="241" t="s">
        <v>111</v>
      </c>
      <c r="L121" s="241">
        <v>0</v>
      </c>
      <c r="M121" s="241" t="s">
        <v>2241</v>
      </c>
      <c r="N121" s="241"/>
      <c r="O121" s="241"/>
    </row>
    <row r="122" spans="2:15" s="248" customFormat="1" x14ac:dyDescent="0.3">
      <c r="B122" s="247">
        <v>2505699</v>
      </c>
      <c r="C122" s="247" t="s">
        <v>1485</v>
      </c>
      <c r="D122" s="247" t="e" vm="11">
        <v>#VALUE!</v>
      </c>
      <c r="E122" s="247" t="s">
        <v>19</v>
      </c>
      <c r="F122" s="247" t="s">
        <v>71</v>
      </c>
      <c r="G122" s="247" t="s">
        <v>14</v>
      </c>
      <c r="H122" s="247">
        <v>11.8</v>
      </c>
      <c r="I122" s="247" t="s">
        <v>243</v>
      </c>
      <c r="J122" s="247">
        <v>20</v>
      </c>
      <c r="K122" s="247" t="s">
        <v>111</v>
      </c>
      <c r="L122" s="247">
        <v>0</v>
      </c>
      <c r="M122" s="247" t="s">
        <v>2246</v>
      </c>
      <c r="N122" s="247"/>
      <c r="O122" s="247"/>
    </row>
    <row r="123" spans="2:15" s="248" customFormat="1" x14ac:dyDescent="0.3">
      <c r="B123" s="247">
        <v>2503612</v>
      </c>
      <c r="C123" s="247" t="s">
        <v>809</v>
      </c>
      <c r="D123" s="247" t="e" vm="5">
        <v>#VALUE!</v>
      </c>
      <c r="E123" s="247" t="s">
        <v>17</v>
      </c>
      <c r="F123" s="247" t="s">
        <v>71</v>
      </c>
      <c r="G123" s="247" t="s">
        <v>14</v>
      </c>
      <c r="H123" s="247">
        <v>17.7</v>
      </c>
      <c r="I123" s="247" t="s">
        <v>243</v>
      </c>
      <c r="J123" s="247">
        <v>30</v>
      </c>
      <c r="K123" s="247" t="s">
        <v>143</v>
      </c>
      <c r="L123" s="247">
        <v>0</v>
      </c>
      <c r="M123" s="247" t="s">
        <v>2246</v>
      </c>
      <c r="N123" s="247"/>
      <c r="O123" s="247"/>
    </row>
    <row r="124" spans="2:15" s="248" customFormat="1" x14ac:dyDescent="0.3">
      <c r="B124" s="247">
        <v>2505680</v>
      </c>
      <c r="C124" s="247" t="s">
        <v>1491</v>
      </c>
      <c r="D124" s="247" t="e" vm="11">
        <v>#VALUE!</v>
      </c>
      <c r="E124" s="247" t="s">
        <v>22</v>
      </c>
      <c r="F124" s="247" t="s">
        <v>71</v>
      </c>
      <c r="G124" s="247" t="s">
        <v>14</v>
      </c>
      <c r="H124" s="247">
        <v>17.7</v>
      </c>
      <c r="I124" s="247" t="s">
        <v>243</v>
      </c>
      <c r="J124" s="247">
        <v>30</v>
      </c>
      <c r="K124" s="247" t="s">
        <v>143</v>
      </c>
      <c r="L124" s="247">
        <v>0</v>
      </c>
      <c r="M124" s="247" t="s">
        <v>2246</v>
      </c>
      <c r="N124" s="247"/>
      <c r="O124" s="247"/>
    </row>
    <row r="125" spans="2:15" s="242" customFormat="1" x14ac:dyDescent="0.3">
      <c r="B125" s="241">
        <v>2503607</v>
      </c>
      <c r="C125" s="241" t="s">
        <v>1496</v>
      </c>
      <c r="D125" s="241" t="e" vm="5">
        <v>#VALUE!</v>
      </c>
      <c r="E125" s="241" t="s">
        <v>17</v>
      </c>
      <c r="F125" s="241" t="s">
        <v>71</v>
      </c>
      <c r="G125" s="241" t="s">
        <v>14</v>
      </c>
      <c r="H125" s="241">
        <v>10.62</v>
      </c>
      <c r="I125" s="241" t="s">
        <v>243</v>
      </c>
      <c r="J125" s="241">
        <v>18</v>
      </c>
      <c r="K125" s="241" t="s">
        <v>364</v>
      </c>
      <c r="L125" s="241">
        <v>0</v>
      </c>
      <c r="M125" s="241" t="s">
        <v>2241</v>
      </c>
      <c r="N125" s="241"/>
      <c r="O125" s="241"/>
    </row>
    <row r="126" spans="2:15" s="238" customFormat="1" x14ac:dyDescent="0.3">
      <c r="B126" s="237">
        <v>2505711</v>
      </c>
      <c r="C126" s="237" t="s">
        <v>1501</v>
      </c>
      <c r="D126" s="237" t="e" vm="11">
        <v>#VALUE!</v>
      </c>
      <c r="E126" s="237" t="s">
        <v>19</v>
      </c>
      <c r="F126" s="237" t="s">
        <v>71</v>
      </c>
      <c r="G126" s="237" t="s">
        <v>14</v>
      </c>
      <c r="H126" s="237">
        <v>8.26</v>
      </c>
      <c r="I126" s="237" t="s">
        <v>243</v>
      </c>
      <c r="J126" s="237">
        <v>14</v>
      </c>
      <c r="K126" s="237" t="s">
        <v>244</v>
      </c>
      <c r="L126" s="237">
        <v>0</v>
      </c>
      <c r="M126" s="237" t="s">
        <v>2249</v>
      </c>
      <c r="N126" s="237"/>
      <c r="O126" s="237"/>
    </row>
    <row r="127" spans="2:15" s="242" customFormat="1" x14ac:dyDescent="0.3">
      <c r="B127" s="241">
        <v>2505713</v>
      </c>
      <c r="C127" s="241" t="s">
        <v>1506</v>
      </c>
      <c r="D127" s="241" t="e" vm="11">
        <v>#VALUE!</v>
      </c>
      <c r="E127" s="241" t="s">
        <v>22</v>
      </c>
      <c r="F127" s="241" t="s">
        <v>71</v>
      </c>
      <c r="G127" s="241" t="s">
        <v>14</v>
      </c>
      <c r="H127" s="241">
        <v>17.7</v>
      </c>
      <c r="I127" s="241" t="s">
        <v>243</v>
      </c>
      <c r="J127" s="241">
        <v>30</v>
      </c>
      <c r="K127" s="241" t="s">
        <v>143</v>
      </c>
      <c r="L127" s="241">
        <v>0</v>
      </c>
      <c r="M127" s="241" t="s">
        <v>2241</v>
      </c>
      <c r="N127" s="241"/>
      <c r="O127" s="241"/>
    </row>
    <row r="128" spans="2:15" s="248" customFormat="1" x14ac:dyDescent="0.3">
      <c r="B128" s="247">
        <v>2505714</v>
      </c>
      <c r="C128" s="247" t="s">
        <v>1511</v>
      </c>
      <c r="D128" s="247" t="e" vm="5">
        <v>#VALUE!</v>
      </c>
      <c r="E128" s="247" t="s">
        <v>17</v>
      </c>
      <c r="F128" s="247" t="s">
        <v>71</v>
      </c>
      <c r="G128" s="247" t="s">
        <v>14</v>
      </c>
      <c r="H128" s="247">
        <v>7.08</v>
      </c>
      <c r="I128" s="247" t="s">
        <v>243</v>
      </c>
      <c r="J128" s="247">
        <v>12</v>
      </c>
      <c r="K128" s="247" t="s">
        <v>286</v>
      </c>
      <c r="L128" s="247">
        <v>0</v>
      </c>
      <c r="M128" s="247" t="s">
        <v>2246</v>
      </c>
      <c r="N128" s="247"/>
      <c r="O128" s="247"/>
    </row>
    <row r="129" spans="2:15" s="242" customFormat="1" x14ac:dyDescent="0.3">
      <c r="B129" s="241">
        <v>2505717</v>
      </c>
      <c r="C129" s="241" t="s">
        <v>1522</v>
      </c>
      <c r="D129" s="241" t="e" vm="12">
        <v>#VALUE!</v>
      </c>
      <c r="E129" s="241" t="s">
        <v>17</v>
      </c>
      <c r="F129" s="241" t="s">
        <v>71</v>
      </c>
      <c r="G129" s="241" t="s">
        <v>14</v>
      </c>
      <c r="H129" s="241">
        <v>16.52</v>
      </c>
      <c r="I129" s="241" t="s">
        <v>243</v>
      </c>
      <c r="J129" s="241">
        <v>28</v>
      </c>
      <c r="K129" s="241" t="s">
        <v>143</v>
      </c>
      <c r="L129" s="241">
        <v>0</v>
      </c>
      <c r="M129" s="241" t="s">
        <v>2241</v>
      </c>
      <c r="N129" s="241"/>
      <c r="O129" s="241"/>
    </row>
    <row r="130" spans="2:15" s="240" customFormat="1" x14ac:dyDescent="0.3">
      <c r="B130" s="239" t="s">
        <v>1527</v>
      </c>
      <c r="C130" s="239" t="s">
        <v>1528</v>
      </c>
      <c r="D130" s="239" t="e" vm="5">
        <v>#VALUE!</v>
      </c>
      <c r="E130" s="239" t="s">
        <v>17</v>
      </c>
      <c r="F130" s="239" t="s">
        <v>71</v>
      </c>
      <c r="G130" s="239" t="s">
        <v>14</v>
      </c>
      <c r="H130" s="239">
        <v>11.8</v>
      </c>
      <c r="I130" s="239" t="s">
        <v>243</v>
      </c>
      <c r="J130" s="239">
        <v>20</v>
      </c>
      <c r="K130" s="239" t="s">
        <v>111</v>
      </c>
      <c r="L130" s="239">
        <v>0</v>
      </c>
      <c r="M130" s="239" t="s">
        <v>2250</v>
      </c>
      <c r="N130" s="239"/>
      <c r="O130" s="239"/>
    </row>
    <row r="131" spans="2:15" s="242" customFormat="1" x14ac:dyDescent="0.3">
      <c r="B131" s="241">
        <v>2505719</v>
      </c>
      <c r="C131" s="241" t="s">
        <v>1529</v>
      </c>
      <c r="D131" s="241" t="e" vm="5">
        <v>#VALUE!</v>
      </c>
      <c r="E131" s="241" t="s">
        <v>17</v>
      </c>
      <c r="F131" s="241" t="s">
        <v>71</v>
      </c>
      <c r="G131" s="241" t="s">
        <v>14</v>
      </c>
      <c r="H131" s="241">
        <v>11.78</v>
      </c>
      <c r="I131" s="241" t="s">
        <v>1453</v>
      </c>
      <c r="J131" s="241">
        <v>19</v>
      </c>
      <c r="K131" s="241" t="s">
        <v>111</v>
      </c>
      <c r="L131" s="241">
        <v>0</v>
      </c>
      <c r="M131" s="241" t="s">
        <v>2241</v>
      </c>
      <c r="N131" s="241"/>
      <c r="O131" s="241"/>
    </row>
    <row r="132" spans="2:15" s="238" customFormat="1" x14ac:dyDescent="0.3">
      <c r="B132" s="237">
        <v>2505687</v>
      </c>
      <c r="C132" s="237" t="s">
        <v>1535</v>
      </c>
      <c r="D132" s="237" t="e" vm="11">
        <v>#VALUE!</v>
      </c>
      <c r="E132" s="237" t="s">
        <v>22</v>
      </c>
      <c r="F132" s="237" t="s">
        <v>71</v>
      </c>
      <c r="G132" s="237" t="s">
        <v>14</v>
      </c>
      <c r="H132" s="237">
        <v>10.029999999999999</v>
      </c>
      <c r="I132" s="237" t="s">
        <v>243</v>
      </c>
      <c r="J132" s="237">
        <v>17</v>
      </c>
      <c r="K132" s="237" t="s">
        <v>364</v>
      </c>
      <c r="L132" s="237">
        <v>0</v>
      </c>
      <c r="M132" s="237" t="s">
        <v>2249</v>
      </c>
      <c r="N132" s="237"/>
      <c r="O132" s="237"/>
    </row>
    <row r="133" spans="2:15" s="242" customFormat="1" x14ac:dyDescent="0.3">
      <c r="B133" s="241">
        <v>2505718</v>
      </c>
      <c r="C133" s="241" t="s">
        <v>1540</v>
      </c>
      <c r="D133" s="241" t="e" vm="11">
        <v>#VALUE!</v>
      </c>
      <c r="E133" s="241" t="s">
        <v>19</v>
      </c>
      <c r="F133" s="241" t="s">
        <v>71</v>
      </c>
      <c r="G133" s="241" t="s">
        <v>14</v>
      </c>
      <c r="H133" s="241">
        <v>7.44</v>
      </c>
      <c r="I133" s="241" t="s">
        <v>1453</v>
      </c>
      <c r="J133" s="241">
        <v>12</v>
      </c>
      <c r="K133" s="241" t="s">
        <v>380</v>
      </c>
      <c r="L133" s="241">
        <v>0</v>
      </c>
      <c r="M133" s="241" t="s">
        <v>2241</v>
      </c>
      <c r="N133" s="241"/>
      <c r="O133" s="241"/>
    </row>
    <row r="134" spans="2:15" s="242" customFormat="1" x14ac:dyDescent="0.3">
      <c r="B134" s="241">
        <v>2506726</v>
      </c>
      <c r="C134" s="241" t="s">
        <v>1545</v>
      </c>
      <c r="D134" s="241" t="e" vm="5">
        <v>#VALUE!</v>
      </c>
      <c r="E134" s="241" t="s">
        <v>21</v>
      </c>
      <c r="F134" s="241" t="s">
        <v>71</v>
      </c>
      <c r="G134" s="241" t="s">
        <v>14</v>
      </c>
      <c r="H134" s="241">
        <v>7.44</v>
      </c>
      <c r="I134" s="241" t="s">
        <v>1453</v>
      </c>
      <c r="J134" s="241">
        <v>12</v>
      </c>
      <c r="K134" s="241" t="s">
        <v>286</v>
      </c>
      <c r="L134" s="241">
        <v>0</v>
      </c>
      <c r="M134" s="241" t="s">
        <v>2241</v>
      </c>
      <c r="N134" s="241"/>
      <c r="O134" s="241"/>
    </row>
    <row r="135" spans="2:15" s="242" customFormat="1" x14ac:dyDescent="0.3">
      <c r="B135" s="241">
        <v>2506735</v>
      </c>
      <c r="C135" s="241" t="s">
        <v>1550</v>
      </c>
      <c r="D135" s="241" t="e" vm="11">
        <v>#VALUE!</v>
      </c>
      <c r="E135" s="241" t="s">
        <v>22</v>
      </c>
      <c r="F135" s="241" t="s">
        <v>71</v>
      </c>
      <c r="G135" s="241" t="s">
        <v>14</v>
      </c>
      <c r="H135" s="241">
        <v>7.44</v>
      </c>
      <c r="I135" s="241" t="s">
        <v>561</v>
      </c>
      <c r="J135" s="241">
        <v>12</v>
      </c>
      <c r="K135" s="241" t="s">
        <v>286</v>
      </c>
      <c r="L135" s="241">
        <v>0</v>
      </c>
      <c r="M135" s="241" t="s">
        <v>2241</v>
      </c>
      <c r="N135" s="241"/>
      <c r="O135" s="241"/>
    </row>
    <row r="136" spans="2:15" s="242" customFormat="1" x14ac:dyDescent="0.3">
      <c r="B136" s="241">
        <v>2506734</v>
      </c>
      <c r="C136" s="241" t="s">
        <v>1555</v>
      </c>
      <c r="D136" s="241" t="e" vm="11">
        <v>#VALUE!</v>
      </c>
      <c r="E136" s="241" t="s">
        <v>22</v>
      </c>
      <c r="F136" s="241" t="s">
        <v>71</v>
      </c>
      <c r="G136" s="241" t="s">
        <v>14</v>
      </c>
      <c r="H136" s="241">
        <v>11.16</v>
      </c>
      <c r="I136" s="241" t="s">
        <v>561</v>
      </c>
      <c r="J136" s="241">
        <v>18</v>
      </c>
      <c r="K136" s="241" t="s">
        <v>364</v>
      </c>
      <c r="L136" s="241">
        <v>0</v>
      </c>
      <c r="M136" s="241" t="s">
        <v>2241</v>
      </c>
      <c r="N136" s="241"/>
      <c r="O136" s="241"/>
    </row>
    <row r="137" spans="2:15" s="240" customFormat="1" x14ac:dyDescent="0.3">
      <c r="B137" s="239">
        <v>2505708</v>
      </c>
      <c r="C137" s="239" t="s">
        <v>1560</v>
      </c>
      <c r="D137" s="239" t="e" vm="5">
        <v>#VALUE!</v>
      </c>
      <c r="E137" s="239" t="s">
        <v>17</v>
      </c>
      <c r="F137" s="239" t="s">
        <v>71</v>
      </c>
      <c r="G137" s="239" t="s">
        <v>14</v>
      </c>
      <c r="H137" s="239">
        <v>7.44</v>
      </c>
      <c r="I137" s="239" t="s">
        <v>1453</v>
      </c>
      <c r="J137" s="239">
        <v>12</v>
      </c>
      <c r="K137" s="239" t="s">
        <v>286</v>
      </c>
      <c r="L137" s="239">
        <v>0</v>
      </c>
      <c r="M137" s="239" t="s">
        <v>2250</v>
      </c>
      <c r="N137" s="239"/>
      <c r="O137" s="239"/>
    </row>
    <row r="138" spans="2:15" s="242" customFormat="1" x14ac:dyDescent="0.3">
      <c r="B138" s="241">
        <v>2506744</v>
      </c>
      <c r="C138" s="241" t="s">
        <v>1561</v>
      </c>
      <c r="D138" s="241" t="e" vm="5">
        <v>#VALUE!</v>
      </c>
      <c r="E138" s="241" t="s">
        <v>17</v>
      </c>
      <c r="F138" s="241" t="s">
        <v>71</v>
      </c>
      <c r="G138" s="241" t="s">
        <v>14</v>
      </c>
      <c r="H138" s="241">
        <v>14.88</v>
      </c>
      <c r="I138" s="241" t="s">
        <v>1453</v>
      </c>
      <c r="J138" s="241">
        <v>24</v>
      </c>
      <c r="K138" s="241" t="s">
        <v>143</v>
      </c>
      <c r="L138" s="241">
        <v>0</v>
      </c>
      <c r="M138" s="241" t="s">
        <v>2241</v>
      </c>
      <c r="N138" s="241"/>
      <c r="O138" s="241"/>
    </row>
    <row r="139" spans="2:15" s="242" customFormat="1" x14ac:dyDescent="0.3">
      <c r="B139" s="241">
        <v>2506727</v>
      </c>
      <c r="C139" s="241" t="s">
        <v>1566</v>
      </c>
      <c r="D139" s="241" t="e" vm="11">
        <v>#VALUE!</v>
      </c>
      <c r="E139" s="241" t="s">
        <v>22</v>
      </c>
      <c r="F139" s="241" t="s">
        <v>71</v>
      </c>
      <c r="G139" s="241" t="s">
        <v>14</v>
      </c>
      <c r="H139" s="241">
        <v>12.4</v>
      </c>
      <c r="I139" s="241" t="s">
        <v>1453</v>
      </c>
      <c r="J139" s="241">
        <v>20</v>
      </c>
      <c r="K139" s="241" t="s">
        <v>111</v>
      </c>
      <c r="L139" s="241">
        <v>0</v>
      </c>
      <c r="M139" s="241" t="s">
        <v>2241</v>
      </c>
      <c r="N139" s="241"/>
      <c r="O139" s="241"/>
    </row>
    <row r="140" spans="2:15" s="242" customFormat="1" x14ac:dyDescent="0.3">
      <c r="B140" s="241">
        <v>2506752</v>
      </c>
      <c r="C140" s="241" t="s">
        <v>1572</v>
      </c>
      <c r="D140" s="241" t="e" vm="5">
        <v>#VALUE!</v>
      </c>
      <c r="E140" s="241" t="s">
        <v>17</v>
      </c>
      <c r="F140" s="241" t="s">
        <v>71</v>
      </c>
      <c r="G140" s="241" t="s">
        <v>14</v>
      </c>
      <c r="H140" s="241">
        <v>7.44</v>
      </c>
      <c r="I140" s="241" t="s">
        <v>1453</v>
      </c>
      <c r="J140" s="241">
        <v>12</v>
      </c>
      <c r="K140" s="241" t="s">
        <v>286</v>
      </c>
      <c r="L140" s="241">
        <v>0</v>
      </c>
      <c r="M140" s="241" t="s">
        <v>2241</v>
      </c>
      <c r="N140" s="241"/>
      <c r="O140" s="241"/>
    </row>
    <row r="141" spans="2:15" s="198" customFormat="1" x14ac:dyDescent="0.3">
      <c r="B141" s="236">
        <v>2501523</v>
      </c>
      <c r="C141" s="236" t="s">
        <v>1577</v>
      </c>
      <c r="D141" s="236" t="e" vm="8">
        <v>#VALUE!</v>
      </c>
      <c r="E141" s="236" t="s">
        <v>17</v>
      </c>
      <c r="F141" s="236" t="s">
        <v>71</v>
      </c>
      <c r="G141" s="236" t="s">
        <v>14</v>
      </c>
      <c r="H141" s="236">
        <v>17.7</v>
      </c>
      <c r="I141" s="236" t="s">
        <v>243</v>
      </c>
      <c r="J141" s="236">
        <v>30</v>
      </c>
      <c r="K141" s="236" t="s">
        <v>143</v>
      </c>
      <c r="L141" s="236">
        <v>0</v>
      </c>
      <c r="M141" s="236" t="s">
        <v>2245</v>
      </c>
      <c r="N141" s="236"/>
      <c r="O141" s="236"/>
    </row>
    <row r="142" spans="2:15" s="242" customFormat="1" x14ac:dyDescent="0.3">
      <c r="B142" s="241">
        <v>2506748</v>
      </c>
      <c r="C142" s="241" t="s">
        <v>1582</v>
      </c>
      <c r="D142" s="241" t="e" vm="11">
        <v>#VALUE!</v>
      </c>
      <c r="E142" s="241" t="s">
        <v>22</v>
      </c>
      <c r="F142" s="241" t="s">
        <v>71</v>
      </c>
      <c r="G142" s="241" t="s">
        <v>14</v>
      </c>
      <c r="H142" s="241">
        <v>8.68</v>
      </c>
      <c r="I142" s="241" t="s">
        <v>1453</v>
      </c>
      <c r="J142" s="241">
        <v>14</v>
      </c>
      <c r="K142" s="241" t="s">
        <v>364</v>
      </c>
      <c r="L142" s="241">
        <v>0</v>
      </c>
      <c r="M142" s="241" t="s">
        <v>2241</v>
      </c>
      <c r="N142" s="241"/>
      <c r="O142" s="241"/>
    </row>
    <row r="143" spans="2:15" s="242" customFormat="1" x14ac:dyDescent="0.3">
      <c r="B143" s="241">
        <v>2505709</v>
      </c>
      <c r="C143" s="241" t="s">
        <v>1586</v>
      </c>
      <c r="D143" s="241" t="e" vm="11">
        <v>#VALUE!</v>
      </c>
      <c r="E143" s="241" t="s">
        <v>22</v>
      </c>
      <c r="F143" s="241" t="s">
        <v>71</v>
      </c>
      <c r="G143" s="241" t="s">
        <v>14</v>
      </c>
      <c r="H143" s="241">
        <v>17.98</v>
      </c>
      <c r="I143" s="241" t="s">
        <v>1453</v>
      </c>
      <c r="J143" s="241">
        <v>29</v>
      </c>
      <c r="K143" s="241" t="s">
        <v>143</v>
      </c>
      <c r="L143" s="241">
        <v>0</v>
      </c>
      <c r="M143" s="241" t="s">
        <v>2241</v>
      </c>
      <c r="N143" s="241"/>
      <c r="O143" s="241"/>
    </row>
    <row r="144" spans="2:15" s="248" customFormat="1" x14ac:dyDescent="0.3">
      <c r="B144" s="247">
        <v>2501531</v>
      </c>
      <c r="C144" s="247" t="s">
        <v>1591</v>
      </c>
      <c r="D144" s="247" t="e" vm="11">
        <v>#VALUE!</v>
      </c>
      <c r="E144" s="247" t="s">
        <v>22</v>
      </c>
      <c r="F144" s="247" t="s">
        <v>71</v>
      </c>
      <c r="G144" s="247" t="s">
        <v>14</v>
      </c>
      <c r="H144" s="247">
        <v>13.64</v>
      </c>
      <c r="I144" s="247" t="s">
        <v>1453</v>
      </c>
      <c r="J144" s="247">
        <v>22</v>
      </c>
      <c r="K144" s="247" t="s">
        <v>111</v>
      </c>
      <c r="L144" s="247">
        <v>0</v>
      </c>
      <c r="M144" s="247" t="s">
        <v>2246</v>
      </c>
      <c r="N144" s="247"/>
      <c r="O144" s="247"/>
    </row>
    <row r="145" spans="2:15" s="242" customFormat="1" x14ac:dyDescent="0.3">
      <c r="B145" s="241">
        <v>2505259</v>
      </c>
      <c r="C145" s="241" t="s">
        <v>1601</v>
      </c>
      <c r="D145" s="241" t="e" vm="11">
        <v>#VALUE!</v>
      </c>
      <c r="E145" s="241" t="s">
        <v>22</v>
      </c>
      <c r="F145" s="241" t="s">
        <v>124</v>
      </c>
      <c r="G145" s="241" t="s">
        <v>14</v>
      </c>
      <c r="H145" s="241">
        <v>19.52</v>
      </c>
      <c r="I145" s="241" t="s">
        <v>561</v>
      </c>
      <c r="J145" s="241">
        <v>32</v>
      </c>
      <c r="K145" s="241" t="s">
        <v>567</v>
      </c>
      <c r="L145" s="241">
        <v>0</v>
      </c>
      <c r="M145" s="241" t="s">
        <v>2241</v>
      </c>
      <c r="N145" s="241"/>
      <c r="O145" s="241"/>
    </row>
    <row r="146" spans="2:15" s="242" customFormat="1" x14ac:dyDescent="0.3">
      <c r="B146" s="241">
        <v>2506758</v>
      </c>
      <c r="C146" s="241" t="s">
        <v>1605</v>
      </c>
      <c r="D146" s="241" t="e" vm="11">
        <v>#VALUE!</v>
      </c>
      <c r="E146" s="241" t="s">
        <v>22</v>
      </c>
      <c r="F146" s="241" t="s">
        <v>71</v>
      </c>
      <c r="G146" s="241" t="s">
        <v>14</v>
      </c>
      <c r="H146" s="241">
        <v>17.98</v>
      </c>
      <c r="I146" s="241" t="s">
        <v>1453</v>
      </c>
      <c r="J146" s="241">
        <v>29</v>
      </c>
      <c r="K146" s="241" t="s">
        <v>143</v>
      </c>
      <c r="L146" s="241">
        <v>0</v>
      </c>
      <c r="M146" s="241" t="s">
        <v>2241</v>
      </c>
      <c r="N146" s="241"/>
      <c r="O146" s="241"/>
    </row>
    <row r="147" spans="2:15" s="240" customFormat="1" x14ac:dyDescent="0.3">
      <c r="B147" s="239">
        <v>2506762</v>
      </c>
      <c r="C147" s="239" t="s">
        <v>1610</v>
      </c>
      <c r="D147" s="239" t="e" vm="11">
        <v>#VALUE!</v>
      </c>
      <c r="E147" s="239" t="s">
        <v>22</v>
      </c>
      <c r="F147" s="239" t="s">
        <v>71</v>
      </c>
      <c r="G147" s="239" t="s">
        <v>14</v>
      </c>
      <c r="H147" s="239">
        <v>12.4</v>
      </c>
      <c r="I147" s="239" t="s">
        <v>1453</v>
      </c>
      <c r="J147" s="239">
        <v>20</v>
      </c>
      <c r="K147" s="239" t="s">
        <v>111</v>
      </c>
      <c r="L147" s="239">
        <v>0</v>
      </c>
      <c r="M147" s="239" t="s">
        <v>2250</v>
      </c>
      <c r="N147" s="239"/>
      <c r="O147" s="239"/>
    </row>
    <row r="148" spans="2:15" s="242" customFormat="1" x14ac:dyDescent="0.3">
      <c r="B148" s="241">
        <v>2506753</v>
      </c>
      <c r="C148" s="241" t="s">
        <v>1615</v>
      </c>
      <c r="D148" s="241" t="e" vm="11">
        <v>#VALUE!</v>
      </c>
      <c r="E148" s="241" t="s">
        <v>22</v>
      </c>
      <c r="F148" s="241" t="s">
        <v>71</v>
      </c>
      <c r="G148" s="241" t="s">
        <v>14</v>
      </c>
      <c r="H148" s="241">
        <v>11.78</v>
      </c>
      <c r="I148" s="241" t="s">
        <v>1453</v>
      </c>
      <c r="J148" s="241">
        <v>19</v>
      </c>
      <c r="K148" s="241" t="s">
        <v>111</v>
      </c>
      <c r="L148" s="241">
        <v>0</v>
      </c>
      <c r="M148" s="241" t="s">
        <v>2241</v>
      </c>
      <c r="N148" s="241"/>
      <c r="O148" s="241"/>
    </row>
    <row r="149" spans="2:15" s="242" customFormat="1" x14ac:dyDescent="0.3">
      <c r="B149" s="241">
        <v>2506768</v>
      </c>
      <c r="C149" s="241" t="s">
        <v>1620</v>
      </c>
      <c r="D149" s="241" t="e" vm="11">
        <v>#VALUE!</v>
      </c>
      <c r="E149" s="241" t="s">
        <v>22</v>
      </c>
      <c r="F149" s="241" t="s">
        <v>71</v>
      </c>
      <c r="G149" s="241" t="s">
        <v>14</v>
      </c>
      <c r="H149" s="241">
        <v>11.16</v>
      </c>
      <c r="I149" s="241" t="s">
        <v>1453</v>
      </c>
      <c r="J149" s="241">
        <v>18</v>
      </c>
      <c r="K149" s="241" t="s">
        <v>111</v>
      </c>
      <c r="L149" s="241">
        <v>0</v>
      </c>
      <c r="M149" s="241" t="s">
        <v>2241</v>
      </c>
      <c r="N149" s="241"/>
      <c r="O149" s="241"/>
    </row>
    <row r="150" spans="2:15" s="242" customFormat="1" x14ac:dyDescent="0.3">
      <c r="B150" s="241">
        <v>2506761</v>
      </c>
      <c r="C150" s="241" t="s">
        <v>1625</v>
      </c>
      <c r="D150" s="241" t="e" vm="11">
        <v>#VALUE!</v>
      </c>
      <c r="E150" s="241" t="s">
        <v>22</v>
      </c>
      <c r="F150" s="241" t="s">
        <v>71</v>
      </c>
      <c r="G150" s="241" t="s">
        <v>14</v>
      </c>
      <c r="H150" s="241">
        <v>13.64</v>
      </c>
      <c r="I150" s="241" t="s">
        <v>1453</v>
      </c>
      <c r="J150" s="241">
        <v>22</v>
      </c>
      <c r="K150" s="241" t="s">
        <v>143</v>
      </c>
      <c r="L150" s="241">
        <v>0</v>
      </c>
      <c r="M150" s="241" t="s">
        <v>2241</v>
      </c>
      <c r="N150" s="241"/>
      <c r="O150" s="241"/>
    </row>
    <row r="151" spans="2:15" s="242" customFormat="1" x14ac:dyDescent="0.3">
      <c r="B151" s="241">
        <v>2506779</v>
      </c>
      <c r="C151" s="241" t="s">
        <v>1630</v>
      </c>
      <c r="D151" s="241" t="e" vm="11">
        <v>#VALUE!</v>
      </c>
      <c r="E151" s="241" t="s">
        <v>22</v>
      </c>
      <c r="F151" s="241" t="s">
        <v>71</v>
      </c>
      <c r="G151" s="241" t="s">
        <v>14</v>
      </c>
      <c r="H151" s="241">
        <v>7.44</v>
      </c>
      <c r="I151" s="241" t="s">
        <v>1453</v>
      </c>
      <c r="J151" s="241">
        <v>12</v>
      </c>
      <c r="K151" s="241" t="s">
        <v>286</v>
      </c>
      <c r="L151" s="241">
        <v>0</v>
      </c>
      <c r="M151" s="241" t="s">
        <v>2241</v>
      </c>
      <c r="N151" s="241"/>
      <c r="O151" s="241"/>
    </row>
    <row r="152" spans="2:15" s="242" customFormat="1" x14ac:dyDescent="0.3">
      <c r="B152" s="241">
        <v>2506781</v>
      </c>
      <c r="C152" s="241" t="s">
        <v>1635</v>
      </c>
      <c r="D152" s="241" t="e" vm="11">
        <v>#VALUE!</v>
      </c>
      <c r="E152" s="241" t="s">
        <v>22</v>
      </c>
      <c r="F152" s="241" t="s">
        <v>71</v>
      </c>
      <c r="G152" s="241" t="s">
        <v>14</v>
      </c>
      <c r="H152" s="241">
        <v>7.44</v>
      </c>
      <c r="I152" s="241" t="s">
        <v>1453</v>
      </c>
      <c r="J152" s="241">
        <v>12</v>
      </c>
      <c r="K152" s="241" t="s">
        <v>286</v>
      </c>
      <c r="L152" s="241">
        <v>0</v>
      </c>
      <c r="M152" s="241" t="s">
        <v>2241</v>
      </c>
      <c r="N152" s="241"/>
      <c r="O152" s="241"/>
    </row>
    <row r="153" spans="2:15" s="242" customFormat="1" x14ac:dyDescent="0.3">
      <c r="B153" s="241">
        <v>2506782</v>
      </c>
      <c r="C153" s="241" t="s">
        <v>1640</v>
      </c>
      <c r="D153" s="241" t="e" vm="11">
        <v>#VALUE!</v>
      </c>
      <c r="E153" s="241" t="s">
        <v>22</v>
      </c>
      <c r="F153" s="241" t="s">
        <v>71</v>
      </c>
      <c r="G153" s="241" t="s">
        <v>14</v>
      </c>
      <c r="H153" s="241">
        <v>14.88</v>
      </c>
      <c r="I153" s="241" t="s">
        <v>1453</v>
      </c>
      <c r="J153" s="241">
        <v>24</v>
      </c>
      <c r="K153" s="241" t="s">
        <v>143</v>
      </c>
      <c r="L153" s="241">
        <v>0</v>
      </c>
      <c r="M153" s="241" t="s">
        <v>2241</v>
      </c>
      <c r="N153" s="241"/>
      <c r="O153" s="241"/>
    </row>
    <row r="154" spans="2:15" s="248" customFormat="1" x14ac:dyDescent="0.3">
      <c r="B154" s="247">
        <v>2506746</v>
      </c>
      <c r="C154" s="247" t="s">
        <v>1645</v>
      </c>
      <c r="D154" s="247" t="e" vm="11">
        <v>#VALUE!</v>
      </c>
      <c r="E154" s="247" t="s">
        <v>22</v>
      </c>
      <c r="F154" s="247" t="s">
        <v>71</v>
      </c>
      <c r="G154" s="247" t="s">
        <v>14</v>
      </c>
      <c r="H154" s="247">
        <v>9.92</v>
      </c>
      <c r="I154" s="247" t="s">
        <v>1453</v>
      </c>
      <c r="J154" s="247">
        <v>16</v>
      </c>
      <c r="K154" s="247" t="s">
        <v>364</v>
      </c>
      <c r="L154" s="247">
        <v>0</v>
      </c>
      <c r="M154" s="247" t="s">
        <v>2246</v>
      </c>
      <c r="N154" s="247"/>
      <c r="O154" s="247"/>
    </row>
    <row r="155" spans="2:15" s="248" customFormat="1" x14ac:dyDescent="0.3">
      <c r="B155" s="247">
        <v>2506780</v>
      </c>
      <c r="C155" s="247" t="s">
        <v>1649</v>
      </c>
      <c r="D155" s="247" t="e" vm="11">
        <v>#VALUE!</v>
      </c>
      <c r="E155" s="247" t="s">
        <v>22</v>
      </c>
      <c r="F155" s="247" t="s">
        <v>71</v>
      </c>
      <c r="G155" s="247" t="s">
        <v>14</v>
      </c>
      <c r="H155" s="247">
        <v>9.92</v>
      </c>
      <c r="I155" s="247" t="s">
        <v>1453</v>
      </c>
      <c r="J155" s="247">
        <v>16</v>
      </c>
      <c r="K155" s="247" t="s">
        <v>364</v>
      </c>
      <c r="L155" s="247">
        <v>0</v>
      </c>
      <c r="M155" s="247" t="s">
        <v>2246</v>
      </c>
      <c r="N155" s="247"/>
      <c r="O155" s="247"/>
    </row>
    <row r="156" spans="2:15" s="248" customFormat="1" x14ac:dyDescent="0.3">
      <c r="B156" s="247">
        <v>2506778</v>
      </c>
      <c r="C156" s="247" t="s">
        <v>1654</v>
      </c>
      <c r="D156" s="247" t="e" vm="11">
        <v>#VALUE!</v>
      </c>
      <c r="E156" s="247" t="s">
        <v>22</v>
      </c>
      <c r="F156" s="247" t="s">
        <v>71</v>
      </c>
      <c r="G156" s="247" t="s">
        <v>14</v>
      </c>
      <c r="H156" s="247">
        <v>7.44</v>
      </c>
      <c r="I156" s="247" t="s">
        <v>1453</v>
      </c>
      <c r="J156" s="247">
        <v>12</v>
      </c>
      <c r="K156" s="247" t="s">
        <v>286</v>
      </c>
      <c r="L156" s="247">
        <v>0</v>
      </c>
      <c r="M156" s="247" t="s">
        <v>2246</v>
      </c>
      <c r="N156" s="247"/>
      <c r="O156" s="247"/>
    </row>
    <row r="157" spans="2:15" s="242" customFormat="1" x14ac:dyDescent="0.3">
      <c r="B157" s="241">
        <v>2506745</v>
      </c>
      <c r="C157" s="241" t="s">
        <v>1658</v>
      </c>
      <c r="D157" s="241" t="e" vm="5">
        <v>#VALUE!</v>
      </c>
      <c r="E157" s="241" t="s">
        <v>17</v>
      </c>
      <c r="F157" s="241" t="s">
        <v>71</v>
      </c>
      <c r="G157" s="241" t="s">
        <v>14</v>
      </c>
      <c r="H157" s="241">
        <v>14.88</v>
      </c>
      <c r="I157" s="241" t="s">
        <v>1453</v>
      </c>
      <c r="J157" s="241">
        <v>24</v>
      </c>
      <c r="K157" s="241" t="s">
        <v>143</v>
      </c>
      <c r="L157" s="241">
        <v>0</v>
      </c>
      <c r="M157" s="241" t="s">
        <v>2241</v>
      </c>
      <c r="N157" s="241"/>
      <c r="O157" s="241"/>
    </row>
    <row r="158" spans="2:15" s="242" customFormat="1" x14ac:dyDescent="0.3">
      <c r="B158" s="241">
        <v>2506789</v>
      </c>
      <c r="C158" s="241" t="s">
        <v>1663</v>
      </c>
      <c r="D158" s="241" t="e" vm="11">
        <v>#VALUE!</v>
      </c>
      <c r="E158" s="241" t="s">
        <v>22</v>
      </c>
      <c r="F158" s="241" t="s">
        <v>71</v>
      </c>
      <c r="G158" s="241" t="s">
        <v>14</v>
      </c>
      <c r="H158" s="241">
        <v>9.92</v>
      </c>
      <c r="I158" s="241" t="s">
        <v>1453</v>
      </c>
      <c r="J158" s="241">
        <v>16</v>
      </c>
      <c r="K158" s="241" t="s">
        <v>364</v>
      </c>
      <c r="L158" s="241">
        <v>0</v>
      </c>
      <c r="M158" s="241" t="s">
        <v>2241</v>
      </c>
      <c r="N158" s="241"/>
      <c r="O158" s="241"/>
    </row>
    <row r="159" spans="2:15" s="242" customFormat="1" x14ac:dyDescent="0.3">
      <c r="B159" s="241">
        <v>2506732</v>
      </c>
      <c r="C159" s="241" t="s">
        <v>1673</v>
      </c>
      <c r="D159" s="241" t="e" vm="11">
        <v>#VALUE!</v>
      </c>
      <c r="E159" s="241" t="s">
        <v>20</v>
      </c>
      <c r="F159" s="241" t="s">
        <v>71</v>
      </c>
      <c r="G159" s="241" t="s">
        <v>14</v>
      </c>
      <c r="H159" s="241">
        <v>7.44</v>
      </c>
      <c r="I159" s="241" t="s">
        <v>1453</v>
      </c>
      <c r="J159" s="241">
        <v>12</v>
      </c>
      <c r="K159" s="241" t="s">
        <v>286</v>
      </c>
      <c r="L159" s="241">
        <v>0</v>
      </c>
      <c r="M159" s="241" t="s">
        <v>2241</v>
      </c>
      <c r="N159" s="241"/>
      <c r="O159" s="241"/>
    </row>
    <row r="160" spans="2:15" s="242" customFormat="1" x14ac:dyDescent="0.3">
      <c r="B160" s="241">
        <v>2506759</v>
      </c>
      <c r="C160" s="241" t="s">
        <v>1683</v>
      </c>
      <c r="D160" s="241" t="e" vm="11">
        <v>#VALUE!</v>
      </c>
      <c r="E160" s="241" t="s">
        <v>22</v>
      </c>
      <c r="F160" s="241" t="s">
        <v>71</v>
      </c>
      <c r="G160" s="241" t="s">
        <v>14</v>
      </c>
      <c r="H160" s="241">
        <v>10.54</v>
      </c>
      <c r="I160" s="241" t="s">
        <v>1453</v>
      </c>
      <c r="J160" s="241">
        <v>17</v>
      </c>
      <c r="K160" s="241" t="s">
        <v>364</v>
      </c>
      <c r="L160" s="241">
        <v>0</v>
      </c>
      <c r="M160" s="241" t="s">
        <v>2241</v>
      </c>
      <c r="N160" s="241"/>
      <c r="O160" s="241"/>
    </row>
    <row r="161" spans="2:15" s="242" customFormat="1" x14ac:dyDescent="0.3">
      <c r="B161" s="241">
        <v>2506794</v>
      </c>
      <c r="C161" s="241" t="s">
        <v>1688</v>
      </c>
      <c r="D161" s="241" t="e" vm="11">
        <v>#VALUE!</v>
      </c>
      <c r="E161" s="241" t="s">
        <v>22</v>
      </c>
      <c r="F161" s="241" t="s">
        <v>71</v>
      </c>
      <c r="G161" s="241" t="s">
        <v>14</v>
      </c>
      <c r="H161" s="241">
        <v>9.92</v>
      </c>
      <c r="I161" s="241" t="s">
        <v>1453</v>
      </c>
      <c r="J161" s="241">
        <v>16</v>
      </c>
      <c r="K161" s="241" t="s">
        <v>364</v>
      </c>
      <c r="L161" s="241">
        <v>0</v>
      </c>
      <c r="M161" s="241" t="s">
        <v>2241</v>
      </c>
      <c r="N161" s="241"/>
      <c r="O161" s="241"/>
    </row>
    <row r="162" spans="2:15" s="248" customFormat="1" x14ac:dyDescent="0.3">
      <c r="B162" s="247">
        <v>2506798</v>
      </c>
      <c r="C162" s="247" t="s">
        <v>1692</v>
      </c>
      <c r="D162" s="247" t="e" vm="11">
        <v>#VALUE!</v>
      </c>
      <c r="E162" s="247" t="s">
        <v>22</v>
      </c>
      <c r="F162" s="247" t="s">
        <v>71</v>
      </c>
      <c r="G162" s="247" t="s">
        <v>14</v>
      </c>
      <c r="H162" s="247">
        <v>7.44</v>
      </c>
      <c r="I162" s="247" t="s">
        <v>1453</v>
      </c>
      <c r="J162" s="247">
        <v>12</v>
      </c>
      <c r="K162" s="247" t="s">
        <v>286</v>
      </c>
      <c r="L162" s="247">
        <v>0</v>
      </c>
      <c r="M162" s="247" t="s">
        <v>2246</v>
      </c>
      <c r="N162" s="247"/>
      <c r="O162" s="247"/>
    </row>
    <row r="163" spans="2:15" s="248" customFormat="1" x14ac:dyDescent="0.3">
      <c r="B163" s="247">
        <v>2506773</v>
      </c>
      <c r="C163" s="247" t="s">
        <v>1696</v>
      </c>
      <c r="D163" s="247" t="e" vm="11">
        <v>#VALUE!</v>
      </c>
      <c r="E163" s="247" t="s">
        <v>22</v>
      </c>
      <c r="F163" s="247" t="s">
        <v>71</v>
      </c>
      <c r="G163" s="247" t="s">
        <v>14</v>
      </c>
      <c r="H163" s="247">
        <v>14.88</v>
      </c>
      <c r="I163" s="247" t="s">
        <v>1453</v>
      </c>
      <c r="J163" s="247">
        <v>24</v>
      </c>
      <c r="K163" s="247" t="s">
        <v>143</v>
      </c>
      <c r="L163" s="247">
        <v>0</v>
      </c>
      <c r="M163" s="247" t="s">
        <v>2246</v>
      </c>
      <c r="N163" s="247"/>
      <c r="O163" s="247"/>
    </row>
    <row r="164" spans="2:15" s="242" customFormat="1" x14ac:dyDescent="0.3">
      <c r="B164" s="241" t="s">
        <v>1700</v>
      </c>
      <c r="C164" s="241" t="s">
        <v>1701</v>
      </c>
      <c r="D164" s="241" t="e" vm="11">
        <v>#VALUE!</v>
      </c>
      <c r="E164" s="241" t="s">
        <v>19</v>
      </c>
      <c r="F164" s="241" t="s">
        <v>71</v>
      </c>
      <c r="G164" s="241" t="s">
        <v>14</v>
      </c>
      <c r="H164" s="241">
        <v>7.44</v>
      </c>
      <c r="I164" s="241" t="s">
        <v>1453</v>
      </c>
      <c r="J164" s="241">
        <v>12</v>
      </c>
      <c r="K164" s="241" t="s">
        <v>286</v>
      </c>
      <c r="L164" s="241">
        <v>0</v>
      </c>
      <c r="M164" s="241" t="s">
        <v>2241</v>
      </c>
      <c r="N164" s="241"/>
      <c r="O164" s="241"/>
    </row>
    <row r="165" spans="2:15" s="242" customFormat="1" x14ac:dyDescent="0.3">
      <c r="B165" s="241">
        <v>2506786</v>
      </c>
      <c r="C165" s="241" t="s">
        <v>1706</v>
      </c>
      <c r="D165" s="241" t="e" vm="12">
        <v>#VALUE!</v>
      </c>
      <c r="E165" s="241" t="s">
        <v>17</v>
      </c>
      <c r="F165" s="241" t="s">
        <v>71</v>
      </c>
      <c r="G165" s="241" t="s">
        <v>14</v>
      </c>
      <c r="H165" s="241">
        <v>13.64</v>
      </c>
      <c r="I165" s="241" t="s">
        <v>1453</v>
      </c>
      <c r="J165" s="241">
        <v>22</v>
      </c>
      <c r="K165" s="241" t="s">
        <v>143</v>
      </c>
      <c r="L165" s="241">
        <v>0</v>
      </c>
      <c r="M165" s="241" t="s">
        <v>2241</v>
      </c>
      <c r="N165" s="241"/>
      <c r="O165" s="241"/>
    </row>
    <row r="166" spans="2:15" s="198" customFormat="1" x14ac:dyDescent="0.3">
      <c r="B166" s="236">
        <v>2505260</v>
      </c>
      <c r="C166" s="236" t="s">
        <v>1711</v>
      </c>
      <c r="D166" s="236" t="e" vm="4">
        <v>#VALUE!</v>
      </c>
      <c r="E166" s="236" t="s">
        <v>22</v>
      </c>
      <c r="F166" s="236" t="s">
        <v>124</v>
      </c>
      <c r="G166" s="236" t="s">
        <v>14</v>
      </c>
      <c r="H166" s="236">
        <v>48.36</v>
      </c>
      <c r="I166" s="236" t="s">
        <v>1453</v>
      </c>
      <c r="J166" s="236">
        <v>78</v>
      </c>
      <c r="K166" s="236" t="s">
        <v>1712</v>
      </c>
      <c r="L166" s="236">
        <v>0</v>
      </c>
      <c r="M166" s="236" t="s">
        <v>2245</v>
      </c>
      <c r="N166" s="236"/>
      <c r="O166" s="236"/>
    </row>
    <row r="167" spans="2:15" s="242" customFormat="1" x14ac:dyDescent="0.3">
      <c r="B167" s="241">
        <v>2506799</v>
      </c>
      <c r="C167" s="241" t="s">
        <v>1716</v>
      </c>
      <c r="D167" s="241" t="e" vm="11">
        <v>#VALUE!</v>
      </c>
      <c r="E167" s="241" t="s">
        <v>22</v>
      </c>
      <c r="F167" s="241" t="s">
        <v>71</v>
      </c>
      <c r="G167" s="241" t="s">
        <v>14</v>
      </c>
      <c r="H167" s="241">
        <v>13.64</v>
      </c>
      <c r="I167" s="241" t="s">
        <v>1453</v>
      </c>
      <c r="J167" s="241">
        <v>22</v>
      </c>
      <c r="K167" s="241" t="s">
        <v>143</v>
      </c>
      <c r="L167" s="241">
        <v>0</v>
      </c>
      <c r="M167" s="241" t="s">
        <v>2241</v>
      </c>
      <c r="N167" s="241"/>
      <c r="O167" s="241"/>
    </row>
    <row r="168" spans="2:15" s="242" customFormat="1" x14ac:dyDescent="0.3">
      <c r="B168" s="241">
        <v>2506276</v>
      </c>
      <c r="C168" s="241" t="s">
        <v>1720</v>
      </c>
      <c r="D168" s="241" t="e" vm="11">
        <v>#VALUE!</v>
      </c>
      <c r="E168" s="241" t="s">
        <v>19</v>
      </c>
      <c r="F168" s="241" t="s">
        <v>71</v>
      </c>
      <c r="G168" s="241" t="s">
        <v>14</v>
      </c>
      <c r="H168" s="241">
        <v>19.84</v>
      </c>
      <c r="I168" s="241" t="s">
        <v>1453</v>
      </c>
      <c r="J168" s="241">
        <v>32</v>
      </c>
      <c r="K168" s="241" t="s">
        <v>567</v>
      </c>
      <c r="L168" s="241">
        <v>0</v>
      </c>
      <c r="M168" s="241" t="s">
        <v>2241</v>
      </c>
      <c r="N168" s="241"/>
      <c r="O168" s="241"/>
    </row>
    <row r="169" spans="2:15" s="238" customFormat="1" x14ac:dyDescent="0.3">
      <c r="B169" s="237">
        <v>2506785</v>
      </c>
      <c r="C169" s="237" t="s">
        <v>1721</v>
      </c>
      <c r="D169" s="237" t="e" vm="11">
        <v>#VALUE!</v>
      </c>
      <c r="E169" s="237" t="s">
        <v>22</v>
      </c>
      <c r="F169" s="237" t="s">
        <v>71</v>
      </c>
      <c r="G169" s="237" t="s">
        <v>14</v>
      </c>
      <c r="H169" s="237">
        <v>13.64</v>
      </c>
      <c r="I169" s="237" t="s">
        <v>1453</v>
      </c>
      <c r="J169" s="237">
        <v>22</v>
      </c>
      <c r="K169" s="237" t="s">
        <v>143</v>
      </c>
      <c r="L169" s="237">
        <v>0</v>
      </c>
      <c r="M169" s="237" t="s">
        <v>2249</v>
      </c>
      <c r="N169" s="237"/>
      <c r="O169" s="237"/>
    </row>
    <row r="170" spans="2:15" s="248" customFormat="1" x14ac:dyDescent="0.3">
      <c r="B170" s="247">
        <v>2506801</v>
      </c>
      <c r="C170" s="247" t="s">
        <v>1726</v>
      </c>
      <c r="D170" s="247" t="e" vm="11">
        <v>#VALUE!</v>
      </c>
      <c r="E170" s="247" t="s">
        <v>22</v>
      </c>
      <c r="F170" s="247" t="s">
        <v>71</v>
      </c>
      <c r="G170" s="247" t="s">
        <v>14</v>
      </c>
      <c r="H170" s="247">
        <v>17.98</v>
      </c>
      <c r="I170" s="247" t="s">
        <v>1453</v>
      </c>
      <c r="J170" s="247">
        <v>29</v>
      </c>
      <c r="K170" s="247" t="s">
        <v>143</v>
      </c>
      <c r="L170" s="247">
        <v>0</v>
      </c>
      <c r="M170" s="247" t="s">
        <v>2246</v>
      </c>
      <c r="N170" s="247"/>
      <c r="O170" s="247"/>
    </row>
    <row r="171" spans="2:15" s="248" customFormat="1" x14ac:dyDescent="0.3">
      <c r="B171" s="247">
        <v>2503223</v>
      </c>
      <c r="C171" s="247" t="s">
        <v>1731</v>
      </c>
      <c r="D171" s="247" t="e" vm="8">
        <v>#VALUE!</v>
      </c>
      <c r="E171" s="247" t="s">
        <v>17</v>
      </c>
      <c r="F171" s="247" t="s">
        <v>124</v>
      </c>
      <c r="G171" s="247" t="s">
        <v>14</v>
      </c>
      <c r="H171" s="247">
        <v>58.9</v>
      </c>
      <c r="I171" s="247" t="s">
        <v>1440</v>
      </c>
      <c r="J171" s="247">
        <v>95</v>
      </c>
      <c r="K171" s="247" t="s">
        <v>898</v>
      </c>
      <c r="L171" s="247">
        <v>0</v>
      </c>
      <c r="M171" s="247" t="s">
        <v>2246</v>
      </c>
      <c r="N171" s="247"/>
      <c r="O171" s="247"/>
    </row>
    <row r="172" spans="2:15" s="238" customFormat="1" x14ac:dyDescent="0.3">
      <c r="B172" s="237">
        <v>2506802</v>
      </c>
      <c r="C172" s="237" t="s">
        <v>1733</v>
      </c>
      <c r="D172" s="237" t="e" vm="11">
        <v>#VALUE!</v>
      </c>
      <c r="E172" s="237" t="s">
        <v>22</v>
      </c>
      <c r="F172" s="237" t="s">
        <v>71</v>
      </c>
      <c r="G172" s="237" t="s">
        <v>14</v>
      </c>
      <c r="H172" s="237">
        <v>13.64</v>
      </c>
      <c r="I172" s="237" t="s">
        <v>1453</v>
      </c>
      <c r="J172" s="237">
        <v>22</v>
      </c>
      <c r="K172" s="237" t="s">
        <v>143</v>
      </c>
      <c r="L172" s="237">
        <v>0</v>
      </c>
      <c r="M172" s="237" t="s">
        <v>2249</v>
      </c>
      <c r="N172" s="237"/>
      <c r="O172" s="237"/>
    </row>
    <row r="173" spans="2:15" s="242" customFormat="1" x14ac:dyDescent="0.3">
      <c r="B173" s="241">
        <v>2412510</v>
      </c>
      <c r="C173" s="241" t="s">
        <v>1737</v>
      </c>
      <c r="D173" s="241" t="e" vm="11">
        <v>#VALUE!</v>
      </c>
      <c r="E173" s="241" t="s">
        <v>19</v>
      </c>
      <c r="F173" s="241" t="s">
        <v>71</v>
      </c>
      <c r="G173" s="241" t="s">
        <v>14</v>
      </c>
      <c r="H173" s="241">
        <v>14.88</v>
      </c>
      <c r="I173" s="241" t="s">
        <v>1453</v>
      </c>
      <c r="J173" s="241">
        <v>24</v>
      </c>
      <c r="K173" s="241" t="s">
        <v>143</v>
      </c>
      <c r="L173" s="241">
        <v>0</v>
      </c>
      <c r="M173" s="241" t="s">
        <v>2241</v>
      </c>
      <c r="N173" s="241"/>
      <c r="O173" s="241"/>
    </row>
    <row r="174" spans="2:15" s="244" customFormat="1" x14ac:dyDescent="0.3">
      <c r="B174" s="243">
        <v>2504051</v>
      </c>
      <c r="C174" s="243" t="s">
        <v>1742</v>
      </c>
      <c r="D174" s="243" t="e" vm="4">
        <v>#VALUE!</v>
      </c>
      <c r="E174" s="243" t="s">
        <v>20</v>
      </c>
      <c r="F174" s="243" t="s">
        <v>206</v>
      </c>
      <c r="G174" s="243">
        <v>0</v>
      </c>
      <c r="H174" s="243">
        <v>0</v>
      </c>
      <c r="I174" s="243">
        <v>0</v>
      </c>
      <c r="J174" s="243">
        <v>0</v>
      </c>
      <c r="K174" s="243">
        <v>0</v>
      </c>
      <c r="L174" s="243">
        <v>0</v>
      </c>
      <c r="M174" s="243" t="s">
        <v>2243</v>
      </c>
      <c r="N174" s="243"/>
      <c r="O174" s="243"/>
    </row>
    <row r="175" spans="2:15" s="244" customFormat="1" x14ac:dyDescent="0.3">
      <c r="B175" s="243">
        <v>2505056</v>
      </c>
      <c r="C175" s="243" t="s">
        <v>1743</v>
      </c>
      <c r="D175" s="243" t="e" vm="11">
        <v>#VALUE!</v>
      </c>
      <c r="E175" s="243" t="s">
        <v>19</v>
      </c>
      <c r="F175" s="243" t="s">
        <v>206</v>
      </c>
      <c r="G175" s="243">
        <v>0</v>
      </c>
      <c r="H175" s="243">
        <v>0</v>
      </c>
      <c r="I175" s="243">
        <v>0</v>
      </c>
      <c r="J175" s="243">
        <v>0</v>
      </c>
      <c r="K175" s="243">
        <v>0</v>
      </c>
      <c r="L175" s="243">
        <v>0</v>
      </c>
      <c r="M175" s="243" t="s">
        <v>2243</v>
      </c>
      <c r="N175" s="243"/>
      <c r="O175" s="243"/>
    </row>
    <row r="176" spans="2:15" s="248" customFormat="1" x14ac:dyDescent="0.3">
      <c r="B176" s="247">
        <v>2507833</v>
      </c>
      <c r="C176" s="247" t="s">
        <v>1744</v>
      </c>
      <c r="D176" s="247" t="e" vm="11">
        <v>#VALUE!</v>
      </c>
      <c r="E176" s="247" t="s">
        <v>22</v>
      </c>
      <c r="F176" s="247" t="s">
        <v>71</v>
      </c>
      <c r="G176" s="247" t="s">
        <v>15</v>
      </c>
      <c r="H176" s="247">
        <v>12.4</v>
      </c>
      <c r="I176" s="247" t="s">
        <v>1453</v>
      </c>
      <c r="J176" s="247">
        <v>20</v>
      </c>
      <c r="K176" s="247" t="s">
        <v>1745</v>
      </c>
      <c r="L176" s="247">
        <v>0</v>
      </c>
      <c r="M176" s="247" t="s">
        <v>2246</v>
      </c>
      <c r="N176" s="247"/>
      <c r="O176" s="247"/>
    </row>
    <row r="177" spans="2:15" s="248" customFormat="1" x14ac:dyDescent="0.3">
      <c r="B177" s="247">
        <v>2409030</v>
      </c>
      <c r="C177" s="247" t="s">
        <v>1749</v>
      </c>
      <c r="D177" s="247" t="e" vm="11">
        <v>#VALUE!</v>
      </c>
      <c r="E177" s="247" t="s">
        <v>19</v>
      </c>
      <c r="F177" s="247" t="s">
        <v>206</v>
      </c>
      <c r="G177" s="247">
        <v>0</v>
      </c>
      <c r="H177" s="247">
        <v>0</v>
      </c>
      <c r="I177" s="247">
        <v>0</v>
      </c>
      <c r="J177" s="247">
        <v>0</v>
      </c>
      <c r="K177" s="247">
        <v>0</v>
      </c>
      <c r="L177" s="247">
        <v>0</v>
      </c>
      <c r="M177" s="247" t="s">
        <v>2246</v>
      </c>
      <c r="N177" s="247"/>
      <c r="O177" s="247"/>
    </row>
    <row r="178" spans="2:15" s="248" customFormat="1" x14ac:dyDescent="0.3">
      <c r="B178" s="247">
        <v>2507059</v>
      </c>
      <c r="C178" s="247" t="s">
        <v>1750</v>
      </c>
      <c r="D178" s="247" t="e" vm="11">
        <v>#VALUE!</v>
      </c>
      <c r="E178" s="247" t="s">
        <v>19</v>
      </c>
      <c r="F178" s="247" t="s">
        <v>206</v>
      </c>
      <c r="G178" s="247">
        <v>0</v>
      </c>
      <c r="H178" s="247">
        <v>0</v>
      </c>
      <c r="I178" s="247">
        <v>0</v>
      </c>
      <c r="J178" s="247">
        <v>0</v>
      </c>
      <c r="K178" s="247">
        <v>0</v>
      </c>
      <c r="L178" s="247">
        <v>0</v>
      </c>
      <c r="M178" s="247" t="s">
        <v>2246</v>
      </c>
      <c r="N178" s="247"/>
      <c r="O178" s="247"/>
    </row>
    <row r="179" spans="2:15" s="248" customFormat="1" x14ac:dyDescent="0.3">
      <c r="B179" s="247">
        <v>2507060</v>
      </c>
      <c r="C179" s="247" t="s">
        <v>1751</v>
      </c>
      <c r="D179" s="247" t="e" vm="11">
        <v>#VALUE!</v>
      </c>
      <c r="E179" s="247" t="s">
        <v>19</v>
      </c>
      <c r="F179" s="247" t="s">
        <v>206</v>
      </c>
      <c r="G179" s="247">
        <v>0</v>
      </c>
      <c r="H179" s="247">
        <v>0</v>
      </c>
      <c r="I179" s="247">
        <v>0</v>
      </c>
      <c r="J179" s="247">
        <v>0</v>
      </c>
      <c r="K179" s="247">
        <v>0</v>
      </c>
      <c r="L179" s="247">
        <v>0</v>
      </c>
      <c r="M179" s="247" t="s">
        <v>2246</v>
      </c>
      <c r="N179" s="247"/>
      <c r="O179" s="247"/>
    </row>
    <row r="180" spans="2:15" s="248" customFormat="1" x14ac:dyDescent="0.3">
      <c r="B180" s="247">
        <v>2507062</v>
      </c>
      <c r="C180" s="247" t="s">
        <v>1757</v>
      </c>
      <c r="D180" s="247" t="e" vm="4">
        <v>#VALUE!</v>
      </c>
      <c r="E180" s="247" t="s">
        <v>20</v>
      </c>
      <c r="F180" s="247" t="s">
        <v>206</v>
      </c>
      <c r="G180" s="247">
        <v>0</v>
      </c>
      <c r="H180" s="247">
        <v>0</v>
      </c>
      <c r="I180" s="247">
        <v>0</v>
      </c>
      <c r="J180" s="247">
        <v>0</v>
      </c>
      <c r="K180" s="247">
        <v>0</v>
      </c>
      <c r="L180" s="247">
        <v>0</v>
      </c>
      <c r="M180" s="247" t="s">
        <v>2246</v>
      </c>
      <c r="N180" s="247"/>
      <c r="O180" s="247"/>
    </row>
    <row r="181" spans="2:15" s="248" customFormat="1" x14ac:dyDescent="0.3">
      <c r="B181" s="247">
        <v>2509863</v>
      </c>
      <c r="C181" s="247" t="s">
        <v>1758</v>
      </c>
      <c r="D181" s="247" t="e" vm="11">
        <v>#VALUE!</v>
      </c>
      <c r="E181" s="247" t="s">
        <v>22</v>
      </c>
      <c r="F181" s="247" t="s">
        <v>71</v>
      </c>
      <c r="G181" s="247" t="s">
        <v>15</v>
      </c>
      <c r="H181" s="247">
        <v>9.92</v>
      </c>
      <c r="I181" s="247" t="s">
        <v>1453</v>
      </c>
      <c r="J181" s="247">
        <v>16</v>
      </c>
      <c r="K181" s="247" t="s">
        <v>1759</v>
      </c>
      <c r="L181" s="247">
        <v>0</v>
      </c>
      <c r="M181" s="247" t="s">
        <v>2246</v>
      </c>
      <c r="N181" s="247"/>
      <c r="O181" s="247"/>
    </row>
    <row r="182" spans="2:15" s="248" customFormat="1" x14ac:dyDescent="0.3">
      <c r="B182" s="247">
        <v>2507840</v>
      </c>
      <c r="C182" s="247" t="s">
        <v>1763</v>
      </c>
      <c r="D182" s="247" t="e" vm="11">
        <v>#VALUE!</v>
      </c>
      <c r="E182" s="247" t="s">
        <v>22</v>
      </c>
      <c r="F182" s="247" t="s">
        <v>71</v>
      </c>
      <c r="G182" s="247" t="s">
        <v>15</v>
      </c>
      <c r="H182" s="247">
        <v>15.5</v>
      </c>
      <c r="I182" s="247" t="s">
        <v>1453</v>
      </c>
      <c r="J182" s="247">
        <v>25</v>
      </c>
      <c r="K182" s="247" t="s">
        <v>1753</v>
      </c>
      <c r="L182" s="247">
        <v>0</v>
      </c>
      <c r="M182" s="247" t="s">
        <v>2246</v>
      </c>
      <c r="N182" s="247"/>
      <c r="O182" s="247"/>
    </row>
    <row r="183" spans="2:15" s="248" customFormat="1" x14ac:dyDescent="0.3">
      <c r="B183" s="247">
        <v>2508857</v>
      </c>
      <c r="C183" s="247" t="s">
        <v>1765</v>
      </c>
      <c r="D183" s="247" t="e" vm="5">
        <v>#VALUE!</v>
      </c>
      <c r="E183" s="247" t="s">
        <v>21</v>
      </c>
      <c r="F183" s="247" t="s">
        <v>71</v>
      </c>
      <c r="G183" s="247" t="s">
        <v>15</v>
      </c>
      <c r="H183" s="247">
        <v>8.68</v>
      </c>
      <c r="I183" s="247" t="s">
        <v>1453</v>
      </c>
      <c r="J183" s="247">
        <v>14</v>
      </c>
      <c r="K183" s="247" t="s">
        <v>1376</v>
      </c>
      <c r="L183" s="247">
        <v>0</v>
      </c>
      <c r="M183" s="247" t="s">
        <v>2246</v>
      </c>
      <c r="N183" s="247"/>
      <c r="O183" s="247"/>
    </row>
    <row r="184" spans="2:15" s="248" customFormat="1" x14ac:dyDescent="0.3">
      <c r="B184" s="247">
        <v>2305008</v>
      </c>
      <c r="C184" s="247" t="s">
        <v>1769</v>
      </c>
      <c r="D184" s="247" t="e" vm="11">
        <v>#VALUE!</v>
      </c>
      <c r="E184" s="247" t="s">
        <v>22</v>
      </c>
      <c r="F184" s="247" t="s">
        <v>124</v>
      </c>
      <c r="G184" s="247" t="s">
        <v>15</v>
      </c>
      <c r="H184" s="247">
        <v>17.98</v>
      </c>
      <c r="I184" s="247" t="s">
        <v>1453</v>
      </c>
      <c r="J184" s="247">
        <v>29</v>
      </c>
      <c r="K184" s="247" t="s">
        <v>1770</v>
      </c>
      <c r="L184" s="247">
        <v>0</v>
      </c>
      <c r="M184" s="247" t="s">
        <v>2246</v>
      </c>
      <c r="N184" s="247"/>
      <c r="O184" s="247"/>
    </row>
    <row r="185" spans="2:15" s="248" customFormat="1" x14ac:dyDescent="0.3">
      <c r="B185" s="247">
        <v>2508856</v>
      </c>
      <c r="C185" s="247" t="s">
        <v>1773</v>
      </c>
      <c r="D185" s="247" t="e" vm="11">
        <v>#VALUE!</v>
      </c>
      <c r="E185" s="247" t="s">
        <v>21</v>
      </c>
      <c r="F185" s="247" t="s">
        <v>71</v>
      </c>
      <c r="G185" s="247" t="s">
        <v>15</v>
      </c>
      <c r="H185" s="247">
        <v>18.600000000000001</v>
      </c>
      <c r="I185" s="247" t="s">
        <v>1453</v>
      </c>
      <c r="J185" s="247">
        <v>30</v>
      </c>
      <c r="K185" s="247" t="s">
        <v>1774</v>
      </c>
      <c r="L185" s="247">
        <v>0</v>
      </c>
      <c r="M185" s="247" t="s">
        <v>2246</v>
      </c>
      <c r="N185" s="247"/>
      <c r="O185" s="247"/>
    </row>
    <row r="186" spans="2:15" s="248" customFormat="1" x14ac:dyDescent="0.3">
      <c r="B186" s="247">
        <v>2510877</v>
      </c>
      <c r="C186" s="247" t="s">
        <v>1778</v>
      </c>
      <c r="D186" s="247" t="e" vm="10">
        <v>#VALUE!</v>
      </c>
      <c r="E186" s="247" t="s">
        <v>22</v>
      </c>
      <c r="F186" s="247" t="s">
        <v>71</v>
      </c>
      <c r="G186" s="247" t="s">
        <v>15</v>
      </c>
      <c r="H186" s="247">
        <v>9.92</v>
      </c>
      <c r="I186" s="247" t="s">
        <v>1453</v>
      </c>
      <c r="J186" s="247">
        <v>16</v>
      </c>
      <c r="K186" s="247" t="s">
        <v>1376</v>
      </c>
      <c r="L186" s="247">
        <v>0</v>
      </c>
      <c r="M186" s="247" t="s">
        <v>2246</v>
      </c>
      <c r="N186" s="247"/>
      <c r="O186" s="247"/>
    </row>
    <row r="187" spans="2:15" s="248" customFormat="1" x14ac:dyDescent="0.3">
      <c r="B187" s="247">
        <v>2511887</v>
      </c>
      <c r="C187" s="247" t="s">
        <v>1782</v>
      </c>
      <c r="D187" s="247" t="e" vm="11">
        <v>#VALUE!</v>
      </c>
      <c r="E187" s="247" t="s">
        <v>22</v>
      </c>
      <c r="F187" s="247" t="s">
        <v>71</v>
      </c>
      <c r="G187" s="247" t="s">
        <v>15</v>
      </c>
      <c r="H187" s="247">
        <v>12.4</v>
      </c>
      <c r="I187" s="247" t="s">
        <v>1453</v>
      </c>
      <c r="J187" s="247">
        <v>19</v>
      </c>
      <c r="K187" s="247" t="s">
        <v>1783</v>
      </c>
      <c r="L187" s="247">
        <v>0</v>
      </c>
      <c r="M187" s="247" t="s">
        <v>2246</v>
      </c>
      <c r="N187" s="247"/>
      <c r="O187" s="247"/>
    </row>
    <row r="188" spans="2:15" s="248" customFormat="1" x14ac:dyDescent="0.3">
      <c r="B188" s="247">
        <v>2305019</v>
      </c>
      <c r="C188" s="247" t="s">
        <v>1787</v>
      </c>
      <c r="D188" s="247" t="e" vm="5">
        <v>#VALUE!</v>
      </c>
      <c r="E188" s="247" t="s">
        <v>20</v>
      </c>
      <c r="F188" s="247" t="s">
        <v>71</v>
      </c>
      <c r="G188" s="247" t="s">
        <v>15</v>
      </c>
      <c r="H188" s="247">
        <v>15.5</v>
      </c>
      <c r="I188" s="247" t="s">
        <v>1453</v>
      </c>
      <c r="J188" s="247">
        <v>25</v>
      </c>
      <c r="K188" s="247" t="s">
        <v>1774</v>
      </c>
      <c r="L188" s="247">
        <v>0</v>
      </c>
      <c r="M188" s="247" t="s">
        <v>2246</v>
      </c>
      <c r="N188" s="247"/>
      <c r="O188" s="247"/>
    </row>
  </sheetData>
  <autoFilter ref="B11:M188" xr:uid="{ECBEF05B-ECD8-4840-8969-0E9FC637343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B55F5-6B84-4FFA-AEC1-73DBDD62950C}">
  <sheetPr codeName="Sheet3"/>
  <dimension ref="A2:AI405"/>
  <sheetViews>
    <sheetView tabSelected="1" zoomScale="90" zoomScaleNormal="90" workbookViewId="0">
      <pane xSplit="4" ySplit="3" topLeftCell="H62" activePane="bottomRight" state="frozen"/>
      <selection pane="topRight" activeCell="F1" sqref="F1"/>
      <selection pane="bottomLeft" activeCell="A4" sqref="A4"/>
      <selection pane="bottomRight" activeCell="B69" sqref="B69"/>
    </sheetView>
  </sheetViews>
  <sheetFormatPr defaultRowHeight="19.5" customHeight="1" outlineLevelCol="2" x14ac:dyDescent="0.3"/>
  <cols>
    <col min="1" max="1" width="16.44140625" style="5" customWidth="1"/>
    <col min="2" max="2" width="51.88671875" style="15" customWidth="1"/>
    <col min="3" max="5" width="16" style="11" customWidth="1"/>
    <col min="6" max="6" width="12.5546875" style="5" customWidth="1" outlineLevel="2"/>
    <col min="7" max="7" width="26.44140625" style="5" customWidth="1" outlineLevel="2"/>
    <col min="8" max="9" width="22.44140625" style="5" customWidth="1" outlineLevel="1"/>
    <col min="10" max="11" width="15.5546875" style="5" customWidth="1" outlineLevel="1"/>
    <col min="12" max="15" width="15.5546875" style="5" customWidth="1"/>
    <col min="16" max="17" width="15.5546875" style="26" customWidth="1"/>
    <col min="18" max="19" width="15.5546875" style="5" customWidth="1"/>
    <col min="20" max="22" width="15.5546875" style="26" customWidth="1"/>
    <col min="23" max="31" width="15.5546875" style="5" customWidth="1"/>
    <col min="32" max="34" width="15.5546875" customWidth="1"/>
    <col min="35" max="35" width="15.5546875" style="5" customWidth="1"/>
  </cols>
  <sheetData>
    <row r="2" spans="1:35" ht="19.5" customHeight="1" x14ac:dyDescent="0.3">
      <c r="A2" s="42"/>
      <c r="B2" s="124"/>
      <c r="C2" s="54"/>
      <c r="D2" s="54"/>
      <c r="E2" s="54"/>
      <c r="F2" s="42"/>
      <c r="G2" s="42"/>
      <c r="H2" s="42"/>
      <c r="I2" s="42"/>
      <c r="J2" s="42"/>
      <c r="K2" s="42"/>
      <c r="L2" s="264" t="s">
        <v>1862</v>
      </c>
      <c r="M2" s="264"/>
      <c r="N2" s="264"/>
      <c r="O2" s="264"/>
      <c r="P2" s="264" t="s">
        <v>1863</v>
      </c>
      <c r="Q2" s="264"/>
      <c r="R2" s="264"/>
      <c r="S2" s="264"/>
      <c r="T2" s="264" t="s">
        <v>1864</v>
      </c>
      <c r="U2" s="264"/>
      <c r="V2" s="264"/>
      <c r="W2" s="264"/>
      <c r="X2" s="264" t="s">
        <v>1865</v>
      </c>
      <c r="Y2" s="264"/>
      <c r="Z2" s="264"/>
      <c r="AA2" s="264"/>
      <c r="AB2" s="264" t="s">
        <v>1866</v>
      </c>
      <c r="AC2" s="264"/>
      <c r="AD2" s="264"/>
      <c r="AE2" s="264"/>
      <c r="AF2" s="264" t="s">
        <v>1867</v>
      </c>
      <c r="AG2" s="264"/>
      <c r="AH2" s="264"/>
      <c r="AI2" s="264"/>
    </row>
    <row r="3" spans="1:35" s="14" customFormat="1" ht="41.85" customHeight="1" x14ac:dyDescent="0.3">
      <c r="A3" s="61" t="s">
        <v>43</v>
      </c>
      <c r="B3" s="61" t="s">
        <v>44</v>
      </c>
      <c r="C3" s="62" t="s">
        <v>39</v>
      </c>
      <c r="D3" s="62" t="s">
        <v>1868</v>
      </c>
      <c r="E3" s="62" t="s">
        <v>46</v>
      </c>
      <c r="F3" s="61" t="s">
        <v>47</v>
      </c>
      <c r="G3" s="61" t="s">
        <v>1869</v>
      </c>
      <c r="H3" s="61" t="s">
        <v>1870</v>
      </c>
      <c r="I3" s="61" t="s">
        <v>1828</v>
      </c>
      <c r="J3" s="61" t="s">
        <v>1871</v>
      </c>
      <c r="K3" s="61" t="s">
        <v>1872</v>
      </c>
      <c r="L3" s="61" t="s">
        <v>1873</v>
      </c>
      <c r="M3" s="61" t="s">
        <v>1874</v>
      </c>
      <c r="N3" s="61" t="s">
        <v>1875</v>
      </c>
      <c r="O3" s="61" t="s">
        <v>1862</v>
      </c>
      <c r="P3" s="63" t="s">
        <v>1876</v>
      </c>
      <c r="Q3" s="63" t="s">
        <v>1877</v>
      </c>
      <c r="R3" s="61" t="s">
        <v>1878</v>
      </c>
      <c r="S3" s="61" t="s">
        <v>1879</v>
      </c>
      <c r="T3" s="63" t="s">
        <v>1880</v>
      </c>
      <c r="U3" s="63" t="s">
        <v>1877</v>
      </c>
      <c r="V3" s="63" t="s">
        <v>1881</v>
      </c>
      <c r="W3" s="61" t="s">
        <v>1879</v>
      </c>
      <c r="X3" s="61" t="s">
        <v>1882</v>
      </c>
      <c r="Y3" s="61" t="s">
        <v>1877</v>
      </c>
      <c r="Z3" s="61" t="s">
        <v>1883</v>
      </c>
      <c r="AA3" s="61" t="s">
        <v>1879</v>
      </c>
      <c r="AB3" s="61" t="s">
        <v>1884</v>
      </c>
      <c r="AC3" s="61" t="s">
        <v>1877</v>
      </c>
      <c r="AD3" s="61" t="s">
        <v>1885</v>
      </c>
      <c r="AE3" s="61" t="s">
        <v>1879</v>
      </c>
      <c r="AF3" s="61" t="s">
        <v>1886</v>
      </c>
      <c r="AG3" s="61" t="s">
        <v>1887</v>
      </c>
      <c r="AH3" s="61" t="s">
        <v>1888</v>
      </c>
      <c r="AI3" s="61" t="s">
        <v>1867</v>
      </c>
    </row>
    <row r="4" spans="1:35" ht="19.5" customHeight="1" x14ac:dyDescent="0.3">
      <c r="A4" s="4">
        <v>2303005</v>
      </c>
      <c r="B4" s="110" t="s">
        <v>70</v>
      </c>
      <c r="C4" s="55">
        <v>32000</v>
      </c>
      <c r="D4" s="55">
        <v>0</v>
      </c>
      <c r="E4" s="55" t="s">
        <v>20</v>
      </c>
      <c r="F4" s="4" t="s">
        <v>71</v>
      </c>
      <c r="G4" s="4" t="s">
        <v>72</v>
      </c>
      <c r="H4" s="4" t="s">
        <v>2236</v>
      </c>
      <c r="I4" s="4" t="s">
        <v>2251</v>
      </c>
      <c r="J4" s="55">
        <v>32000</v>
      </c>
      <c r="K4" s="55">
        <v>32000</v>
      </c>
      <c r="L4" s="65">
        <v>45117</v>
      </c>
      <c r="M4" s="66">
        <v>500</v>
      </c>
      <c r="N4" s="65">
        <v>45117</v>
      </c>
      <c r="O4" s="66">
        <v>500</v>
      </c>
      <c r="P4" s="39">
        <v>45113</v>
      </c>
      <c r="Q4" s="57">
        <v>25600</v>
      </c>
      <c r="R4" s="39">
        <v>45118</v>
      </c>
      <c r="S4" s="57">
        <v>25600</v>
      </c>
      <c r="T4" s="65">
        <v>45195</v>
      </c>
      <c r="U4" s="66">
        <v>5900</v>
      </c>
      <c r="V4" s="65">
        <v>45197</v>
      </c>
      <c r="W4" s="66">
        <v>5900</v>
      </c>
      <c r="X4" s="39"/>
      <c r="Y4" s="57"/>
      <c r="Z4" s="39"/>
      <c r="AA4" s="57"/>
      <c r="AB4" s="65"/>
      <c r="AC4" s="66"/>
      <c r="AD4" s="65"/>
      <c r="AE4" s="66"/>
      <c r="AF4" s="39"/>
      <c r="AG4" s="57"/>
      <c r="AH4" s="39"/>
      <c r="AI4" s="57"/>
    </row>
    <row r="5" spans="1:35" ht="19.5" customHeight="1" x14ac:dyDescent="0.3">
      <c r="A5" s="4">
        <v>2303006</v>
      </c>
      <c r="B5" s="110" t="s">
        <v>82</v>
      </c>
      <c r="C5" s="55">
        <v>40000</v>
      </c>
      <c r="D5" s="55">
        <v>0</v>
      </c>
      <c r="E5" s="55" t="s">
        <v>20</v>
      </c>
      <c r="F5" s="4" t="s">
        <v>71</v>
      </c>
      <c r="G5" s="4" t="s">
        <v>72</v>
      </c>
      <c r="H5" s="4" t="s">
        <v>2237</v>
      </c>
      <c r="I5" s="4" t="s">
        <v>2252</v>
      </c>
      <c r="J5" s="55">
        <v>0</v>
      </c>
      <c r="K5" s="55">
        <v>0</v>
      </c>
      <c r="L5" s="65"/>
      <c r="M5" s="66"/>
      <c r="N5" s="65"/>
      <c r="O5" s="66"/>
      <c r="P5" s="39"/>
      <c r="Q5" s="57"/>
      <c r="R5" s="39"/>
      <c r="S5" s="57"/>
      <c r="T5" s="65"/>
      <c r="U5" s="66"/>
      <c r="V5" s="65"/>
      <c r="W5" s="66"/>
      <c r="X5" s="39"/>
      <c r="Y5" s="57"/>
      <c r="Z5" s="39"/>
      <c r="AA5" s="57"/>
      <c r="AB5" s="65"/>
      <c r="AC5" s="66"/>
      <c r="AD5" s="65"/>
      <c r="AE5" s="66"/>
      <c r="AF5" s="39"/>
      <c r="AG5" s="57"/>
      <c r="AH5" s="39"/>
      <c r="AI5" s="57"/>
    </row>
    <row r="6" spans="1:35" ht="19.5" customHeight="1" x14ac:dyDescent="0.3">
      <c r="A6" s="4">
        <v>2304016</v>
      </c>
      <c r="B6" s="110" t="s">
        <v>88</v>
      </c>
      <c r="C6" s="55">
        <v>31000</v>
      </c>
      <c r="D6" s="55">
        <v>0</v>
      </c>
      <c r="E6" s="55" t="s">
        <v>19</v>
      </c>
      <c r="F6" s="4" t="s">
        <v>71</v>
      </c>
      <c r="G6" s="4" t="s">
        <v>72</v>
      </c>
      <c r="H6" s="4" t="s">
        <v>2236</v>
      </c>
      <c r="I6" s="4" t="s">
        <v>2251</v>
      </c>
      <c r="J6" s="55">
        <v>31000</v>
      </c>
      <c r="K6" s="55">
        <v>31000</v>
      </c>
      <c r="L6" s="65">
        <v>45075</v>
      </c>
      <c r="M6" s="66">
        <v>500</v>
      </c>
      <c r="N6" s="65">
        <v>45075</v>
      </c>
      <c r="O6" s="66">
        <v>500</v>
      </c>
      <c r="P6" s="39">
        <v>45149</v>
      </c>
      <c r="Q6" s="57">
        <v>27000</v>
      </c>
      <c r="R6" s="39">
        <v>45152</v>
      </c>
      <c r="S6" s="57">
        <v>27000</v>
      </c>
      <c r="T6" s="65">
        <v>45175</v>
      </c>
      <c r="U6" s="66">
        <v>3500</v>
      </c>
      <c r="V6" s="65">
        <v>45176</v>
      </c>
      <c r="W6" s="66">
        <v>3500</v>
      </c>
      <c r="X6" s="39"/>
      <c r="Y6" s="57"/>
      <c r="Z6" s="39"/>
      <c r="AA6" s="57"/>
      <c r="AB6" s="65"/>
      <c r="AC6" s="66"/>
      <c r="AD6" s="65"/>
      <c r="AE6" s="66"/>
      <c r="AF6" s="39"/>
      <c r="AG6" s="57"/>
      <c r="AH6" s="39"/>
      <c r="AI6" s="57"/>
    </row>
    <row r="7" spans="1:35" ht="19.5" customHeight="1" x14ac:dyDescent="0.3">
      <c r="A7" s="4">
        <v>2305021</v>
      </c>
      <c r="B7" s="110" t="s">
        <v>93</v>
      </c>
      <c r="C7" s="55">
        <v>20000</v>
      </c>
      <c r="D7" s="55">
        <v>0</v>
      </c>
      <c r="E7" s="55" t="s">
        <v>20</v>
      </c>
      <c r="F7" s="4" t="s">
        <v>71</v>
      </c>
      <c r="G7" s="4" t="s">
        <v>72</v>
      </c>
      <c r="H7" s="4" t="s">
        <v>2237</v>
      </c>
      <c r="I7" s="4" t="s">
        <v>2252</v>
      </c>
      <c r="J7" s="55">
        <v>0</v>
      </c>
      <c r="K7" s="55">
        <v>0</v>
      </c>
      <c r="L7" s="65"/>
      <c r="M7" s="66"/>
      <c r="N7" s="65"/>
      <c r="O7" s="66"/>
      <c r="P7" s="39"/>
      <c r="Q7" s="57"/>
      <c r="R7" s="39"/>
      <c r="S7" s="57"/>
      <c r="T7" s="65"/>
      <c r="U7" s="66"/>
      <c r="V7" s="65"/>
      <c r="W7" s="66"/>
      <c r="X7" s="39"/>
      <c r="Y7" s="57"/>
      <c r="Z7" s="39"/>
      <c r="AA7" s="57"/>
      <c r="AB7" s="65"/>
      <c r="AC7" s="66"/>
      <c r="AD7" s="65"/>
      <c r="AE7" s="66"/>
      <c r="AF7" s="39"/>
      <c r="AG7" s="57"/>
      <c r="AH7" s="39"/>
      <c r="AI7" s="57"/>
    </row>
    <row r="8" spans="1:35" ht="19.5" customHeight="1" x14ac:dyDescent="0.3">
      <c r="A8" s="4">
        <v>2305026</v>
      </c>
      <c r="B8" s="110" t="s">
        <v>99</v>
      </c>
      <c r="C8" s="55">
        <v>40000</v>
      </c>
      <c r="D8" s="55">
        <v>0</v>
      </c>
      <c r="E8" s="55" t="s">
        <v>20</v>
      </c>
      <c r="F8" s="4" t="s">
        <v>71</v>
      </c>
      <c r="G8" s="4" t="s">
        <v>72</v>
      </c>
      <c r="H8" s="4" t="s">
        <v>2236</v>
      </c>
      <c r="I8" s="4" t="s">
        <v>2251</v>
      </c>
      <c r="J8" s="55">
        <v>40000</v>
      </c>
      <c r="K8" s="55">
        <v>40000</v>
      </c>
      <c r="L8" s="65">
        <v>45103</v>
      </c>
      <c r="M8" s="66">
        <v>500</v>
      </c>
      <c r="N8" s="65">
        <v>45103</v>
      </c>
      <c r="O8" s="66">
        <v>500</v>
      </c>
      <c r="P8" s="39">
        <v>45152</v>
      </c>
      <c r="Q8" s="57">
        <v>34500</v>
      </c>
      <c r="R8" s="39">
        <v>45154</v>
      </c>
      <c r="S8" s="57">
        <v>34500</v>
      </c>
      <c r="T8" s="65">
        <v>45244</v>
      </c>
      <c r="U8" s="66">
        <v>5000</v>
      </c>
      <c r="V8" s="65">
        <v>45253</v>
      </c>
      <c r="W8" s="66">
        <v>5000</v>
      </c>
      <c r="X8" s="39"/>
      <c r="Y8" s="57"/>
      <c r="Z8" s="39"/>
      <c r="AA8" s="57"/>
      <c r="AB8" s="65"/>
      <c r="AC8" s="66"/>
      <c r="AD8" s="65"/>
      <c r="AE8" s="66"/>
      <c r="AF8" s="39"/>
      <c r="AG8" s="57"/>
      <c r="AH8" s="39"/>
      <c r="AI8" s="57"/>
    </row>
    <row r="9" spans="1:35" ht="19.5" customHeight="1" x14ac:dyDescent="0.3">
      <c r="A9" s="4">
        <v>2306033</v>
      </c>
      <c r="B9" s="110" t="s">
        <v>104</v>
      </c>
      <c r="C9" s="55">
        <v>16000</v>
      </c>
      <c r="D9" s="55">
        <v>0</v>
      </c>
      <c r="E9" s="55" t="s">
        <v>19</v>
      </c>
      <c r="F9" s="4" t="s">
        <v>71</v>
      </c>
      <c r="G9" s="4" t="s">
        <v>72</v>
      </c>
      <c r="H9" s="4" t="s">
        <v>2236</v>
      </c>
      <c r="I9" s="4" t="s">
        <v>2251</v>
      </c>
      <c r="J9" s="55">
        <v>16000</v>
      </c>
      <c r="K9" s="55">
        <v>16000</v>
      </c>
      <c r="L9" s="65">
        <v>45083</v>
      </c>
      <c r="M9" s="66">
        <v>500</v>
      </c>
      <c r="N9" s="65">
        <v>45083</v>
      </c>
      <c r="O9" s="66">
        <v>500</v>
      </c>
      <c r="P9" s="39">
        <v>45113</v>
      </c>
      <c r="Q9" s="57">
        <v>13000</v>
      </c>
      <c r="R9" s="39">
        <v>45118</v>
      </c>
      <c r="S9" s="57">
        <v>13000</v>
      </c>
      <c r="T9" s="65">
        <v>45113</v>
      </c>
      <c r="U9" s="66">
        <v>2500</v>
      </c>
      <c r="V9" s="65">
        <v>45190</v>
      </c>
      <c r="W9" s="66">
        <v>2500</v>
      </c>
      <c r="X9" s="39"/>
      <c r="Y9" s="57"/>
      <c r="Z9" s="39"/>
      <c r="AA9" s="57"/>
      <c r="AB9" s="65"/>
      <c r="AC9" s="66"/>
      <c r="AD9" s="65"/>
      <c r="AE9" s="66"/>
      <c r="AF9" s="39"/>
      <c r="AG9" s="57"/>
      <c r="AH9" s="39"/>
      <c r="AI9" s="57"/>
    </row>
    <row r="10" spans="1:35" ht="19.5" customHeight="1" x14ac:dyDescent="0.3">
      <c r="A10" s="4">
        <v>2306037</v>
      </c>
      <c r="B10" s="110" t="s">
        <v>110</v>
      </c>
      <c r="C10" s="55">
        <v>36575</v>
      </c>
      <c r="D10" s="55">
        <v>0</v>
      </c>
      <c r="E10" s="55" t="s">
        <v>20</v>
      </c>
      <c r="F10" s="4" t="s">
        <v>71</v>
      </c>
      <c r="G10" s="4" t="s">
        <v>72</v>
      </c>
      <c r="H10" s="4" t="s">
        <v>2236</v>
      </c>
      <c r="I10" s="4" t="s">
        <v>2251</v>
      </c>
      <c r="J10" s="55">
        <v>36575</v>
      </c>
      <c r="K10" s="55">
        <v>36575</v>
      </c>
      <c r="L10" s="65">
        <v>45195</v>
      </c>
      <c r="M10" s="66">
        <v>18287.5</v>
      </c>
      <c r="N10" s="65">
        <v>45195</v>
      </c>
      <c r="O10" s="66">
        <v>18287.5</v>
      </c>
      <c r="P10" s="39">
        <v>45244</v>
      </c>
      <c r="Q10" s="57">
        <v>18287.5</v>
      </c>
      <c r="R10" s="39">
        <v>45275</v>
      </c>
      <c r="S10" s="57">
        <v>18287.5</v>
      </c>
      <c r="T10" s="65"/>
      <c r="U10" s="66"/>
      <c r="V10" s="65"/>
      <c r="W10" s="66"/>
      <c r="X10" s="39"/>
      <c r="Y10" s="57"/>
      <c r="Z10" s="39"/>
      <c r="AA10" s="57"/>
      <c r="AB10" s="65"/>
      <c r="AC10" s="66"/>
      <c r="AD10" s="65"/>
      <c r="AE10" s="66"/>
      <c r="AF10" s="39"/>
      <c r="AG10" s="57"/>
      <c r="AH10" s="39"/>
      <c r="AI10" s="57"/>
    </row>
    <row r="11" spans="1:35" ht="19.5" customHeight="1" x14ac:dyDescent="0.3">
      <c r="A11" s="4">
        <v>2307040</v>
      </c>
      <c r="B11" s="110" t="s">
        <v>117</v>
      </c>
      <c r="C11" s="55">
        <v>40000</v>
      </c>
      <c r="D11" s="55">
        <v>0</v>
      </c>
      <c r="E11" s="55" t="s">
        <v>19</v>
      </c>
      <c r="F11" s="4" t="s">
        <v>71</v>
      </c>
      <c r="G11" s="4" t="s">
        <v>72</v>
      </c>
      <c r="H11" s="4" t="s">
        <v>2236</v>
      </c>
      <c r="I11" s="4" t="s">
        <v>2251</v>
      </c>
      <c r="J11" s="55">
        <v>40000</v>
      </c>
      <c r="K11" s="55">
        <v>40000</v>
      </c>
      <c r="L11" s="65">
        <v>45118</v>
      </c>
      <c r="M11" s="66">
        <v>500</v>
      </c>
      <c r="N11" s="65">
        <v>45118</v>
      </c>
      <c r="O11" s="66">
        <v>500</v>
      </c>
      <c r="P11" s="39">
        <v>45175</v>
      </c>
      <c r="Q11" s="57">
        <v>34500</v>
      </c>
      <c r="R11" s="39">
        <v>45178</v>
      </c>
      <c r="S11" s="57">
        <v>34500</v>
      </c>
      <c r="T11" s="65">
        <v>45244</v>
      </c>
      <c r="U11" s="66">
        <v>5000</v>
      </c>
      <c r="V11" s="65">
        <v>45246</v>
      </c>
      <c r="W11" s="66">
        <v>5000</v>
      </c>
      <c r="X11" s="39"/>
      <c r="Y11" s="57"/>
      <c r="Z11" s="39"/>
      <c r="AA11" s="57"/>
      <c r="AB11" s="65"/>
      <c r="AC11" s="66"/>
      <c r="AD11" s="65"/>
      <c r="AE11" s="66"/>
      <c r="AF11" s="39"/>
      <c r="AG11" s="57"/>
      <c r="AH11" s="39"/>
      <c r="AI11" s="57"/>
    </row>
    <row r="12" spans="1:35" ht="19.5" customHeight="1" x14ac:dyDescent="0.3">
      <c r="A12" s="4">
        <v>2305011</v>
      </c>
      <c r="B12" s="110" t="s">
        <v>123</v>
      </c>
      <c r="C12" s="55">
        <v>242000</v>
      </c>
      <c r="D12" s="55">
        <v>0</v>
      </c>
      <c r="E12" s="55" t="s">
        <v>20</v>
      </c>
      <c r="F12" s="4" t="s">
        <v>124</v>
      </c>
      <c r="G12" s="4" t="s">
        <v>125</v>
      </c>
      <c r="H12" s="4" t="s">
        <v>2238</v>
      </c>
      <c r="I12" s="4" t="s">
        <v>2253</v>
      </c>
      <c r="J12" s="55">
        <v>217800</v>
      </c>
      <c r="K12" s="55">
        <v>217800</v>
      </c>
      <c r="L12" s="65">
        <v>45244</v>
      </c>
      <c r="M12" s="66">
        <v>108900</v>
      </c>
      <c r="N12" s="65">
        <v>45275</v>
      </c>
      <c r="O12" s="66">
        <v>108900</v>
      </c>
      <c r="P12" s="39">
        <v>45408</v>
      </c>
      <c r="Q12" s="57">
        <v>108900</v>
      </c>
      <c r="R12" s="39">
        <v>45408</v>
      </c>
      <c r="S12" s="57">
        <v>108900</v>
      </c>
      <c r="T12" s="65"/>
      <c r="U12" s="66"/>
      <c r="V12" s="65"/>
      <c r="W12" s="66"/>
      <c r="X12" s="39"/>
      <c r="Y12" s="57"/>
      <c r="Z12" s="39"/>
      <c r="AA12" s="57"/>
      <c r="AB12" s="65"/>
      <c r="AC12" s="66"/>
      <c r="AD12" s="65"/>
      <c r="AE12" s="66"/>
      <c r="AF12" s="39"/>
      <c r="AG12" s="57"/>
      <c r="AH12" s="39"/>
      <c r="AI12" s="57"/>
    </row>
    <row r="13" spans="1:35" ht="19.5" customHeight="1" x14ac:dyDescent="0.3">
      <c r="A13" s="4">
        <v>2304007</v>
      </c>
      <c r="B13" s="110" t="s">
        <v>127</v>
      </c>
      <c r="C13" s="55">
        <v>188800</v>
      </c>
      <c r="D13" s="55">
        <v>0</v>
      </c>
      <c r="E13" s="55" t="s">
        <v>20</v>
      </c>
      <c r="F13" s="4" t="s">
        <v>124</v>
      </c>
      <c r="G13" s="4" t="s">
        <v>125</v>
      </c>
      <c r="H13" s="4" t="s">
        <v>2239</v>
      </c>
      <c r="I13" s="4" t="s">
        <v>2254</v>
      </c>
      <c r="J13" s="55">
        <v>182540</v>
      </c>
      <c r="K13" s="55">
        <v>169920</v>
      </c>
      <c r="L13" s="65">
        <v>45120</v>
      </c>
      <c r="M13" s="66">
        <v>18880</v>
      </c>
      <c r="N13" s="65">
        <v>45124</v>
      </c>
      <c r="O13" s="66">
        <v>18880</v>
      </c>
      <c r="P13" s="39">
        <v>45120</v>
      </c>
      <c r="Q13" s="57">
        <v>66080</v>
      </c>
      <c r="R13" s="39">
        <v>45124</v>
      </c>
      <c r="S13" s="57">
        <v>66080</v>
      </c>
      <c r="T13" s="65">
        <v>45244</v>
      </c>
      <c r="U13" s="66">
        <v>84960</v>
      </c>
      <c r="V13" s="65">
        <v>45280</v>
      </c>
      <c r="W13" s="66">
        <v>84960</v>
      </c>
      <c r="X13" s="39">
        <v>45498</v>
      </c>
      <c r="Y13" s="57">
        <v>12620</v>
      </c>
      <c r="Z13" s="39"/>
      <c r="AA13" s="57"/>
      <c r="AB13" s="65"/>
      <c r="AC13" s="66"/>
      <c r="AD13" s="65"/>
      <c r="AE13" s="66"/>
      <c r="AF13" s="39"/>
      <c r="AG13" s="57"/>
      <c r="AH13" s="39"/>
      <c r="AI13" s="57"/>
    </row>
    <row r="14" spans="1:35" ht="19.5" customHeight="1" x14ac:dyDescent="0.3">
      <c r="A14" s="4">
        <v>2307042</v>
      </c>
      <c r="B14" s="110" t="s">
        <v>130</v>
      </c>
      <c r="C14" s="55">
        <v>50000</v>
      </c>
      <c r="D14" s="55">
        <v>0</v>
      </c>
      <c r="E14" s="55" t="s">
        <v>19</v>
      </c>
      <c r="F14" s="4" t="s">
        <v>71</v>
      </c>
      <c r="G14" s="4" t="s">
        <v>72</v>
      </c>
      <c r="H14" s="4" t="s">
        <v>2236</v>
      </c>
      <c r="I14" s="4" t="s">
        <v>2251</v>
      </c>
      <c r="J14" s="55">
        <v>50000</v>
      </c>
      <c r="K14" s="55">
        <v>50000</v>
      </c>
      <c r="L14" s="65">
        <v>45176</v>
      </c>
      <c r="M14" s="66">
        <v>2500</v>
      </c>
      <c r="N14" s="65">
        <v>45176</v>
      </c>
      <c r="O14" s="66">
        <v>2500</v>
      </c>
      <c r="P14" s="39">
        <v>45225</v>
      </c>
      <c r="Q14" s="57">
        <v>15000</v>
      </c>
      <c r="R14" s="39">
        <v>45226</v>
      </c>
      <c r="S14" s="57">
        <v>15000</v>
      </c>
      <c r="T14" s="65">
        <v>45232</v>
      </c>
      <c r="U14" s="66">
        <v>27500</v>
      </c>
      <c r="V14" s="65">
        <v>45233</v>
      </c>
      <c r="W14" s="66">
        <v>27500</v>
      </c>
      <c r="X14" s="39">
        <v>45362</v>
      </c>
      <c r="Y14" s="57">
        <v>5000</v>
      </c>
      <c r="Z14" s="39">
        <v>45363</v>
      </c>
      <c r="AA14" s="57">
        <v>5000</v>
      </c>
      <c r="AB14" s="65"/>
      <c r="AC14" s="66"/>
      <c r="AD14" s="65"/>
      <c r="AE14" s="66"/>
      <c r="AF14" s="39"/>
      <c r="AG14" s="57"/>
      <c r="AH14" s="39"/>
      <c r="AI14" s="57"/>
    </row>
    <row r="15" spans="1:35" ht="19.5" customHeight="1" x14ac:dyDescent="0.3">
      <c r="A15" s="4">
        <v>2308058</v>
      </c>
      <c r="B15" s="110" t="s">
        <v>136</v>
      </c>
      <c r="C15" s="55">
        <v>30000</v>
      </c>
      <c r="D15" s="55">
        <v>0</v>
      </c>
      <c r="E15" s="55" t="s">
        <v>20</v>
      </c>
      <c r="F15" s="4" t="s">
        <v>71</v>
      </c>
      <c r="G15" s="4" t="s">
        <v>72</v>
      </c>
      <c r="H15" s="4" t="s">
        <v>2237</v>
      </c>
      <c r="I15" s="4" t="s">
        <v>2252</v>
      </c>
      <c r="J15" s="55">
        <v>0</v>
      </c>
      <c r="K15" s="55">
        <v>0</v>
      </c>
      <c r="L15" s="65"/>
      <c r="M15" s="66"/>
      <c r="N15" s="65"/>
      <c r="O15" s="66"/>
      <c r="P15" s="39"/>
      <c r="Q15" s="57"/>
      <c r="R15" s="39"/>
      <c r="S15" s="57"/>
      <c r="T15" s="65"/>
      <c r="U15" s="66"/>
      <c r="V15" s="65"/>
      <c r="W15" s="66"/>
      <c r="X15" s="39"/>
      <c r="Y15" s="57"/>
      <c r="Z15" s="39"/>
      <c r="AA15" s="57"/>
      <c r="AB15" s="65"/>
      <c r="AC15" s="66"/>
      <c r="AD15" s="65"/>
      <c r="AE15" s="66"/>
      <c r="AF15" s="39"/>
      <c r="AG15" s="57"/>
      <c r="AH15" s="39"/>
      <c r="AI15" s="57"/>
    </row>
    <row r="16" spans="1:35" ht="19.5" customHeight="1" x14ac:dyDescent="0.3">
      <c r="A16" s="4">
        <v>2308062</v>
      </c>
      <c r="B16" s="110" t="s">
        <v>142</v>
      </c>
      <c r="C16" s="55">
        <v>42300</v>
      </c>
      <c r="D16" s="55">
        <v>0</v>
      </c>
      <c r="E16" s="55" t="s">
        <v>20</v>
      </c>
      <c r="F16" s="4" t="s">
        <v>71</v>
      </c>
      <c r="G16" s="4" t="s">
        <v>72</v>
      </c>
      <c r="H16" s="4" t="s">
        <v>2237</v>
      </c>
      <c r="I16" s="4" t="s">
        <v>2252</v>
      </c>
      <c r="J16" s="55">
        <v>0</v>
      </c>
      <c r="K16" s="55">
        <v>0</v>
      </c>
      <c r="L16" s="65"/>
      <c r="M16" s="66"/>
      <c r="N16" s="65"/>
      <c r="O16" s="66"/>
      <c r="P16" s="39"/>
      <c r="Q16" s="57"/>
      <c r="R16" s="39"/>
      <c r="S16" s="57"/>
      <c r="T16" s="65"/>
      <c r="U16" s="66"/>
      <c r="V16" s="65"/>
      <c r="W16" s="66"/>
      <c r="X16" s="39"/>
      <c r="Y16" s="57"/>
      <c r="Z16" s="39"/>
      <c r="AA16" s="57"/>
      <c r="AB16" s="65"/>
      <c r="AC16" s="66"/>
      <c r="AD16" s="65"/>
      <c r="AE16" s="66"/>
      <c r="AF16" s="39"/>
      <c r="AG16" s="57"/>
      <c r="AH16" s="39"/>
      <c r="AI16" s="57"/>
    </row>
    <row r="17" spans="1:35" ht="19.5" customHeight="1" x14ac:dyDescent="0.3">
      <c r="A17" s="4">
        <v>2309068</v>
      </c>
      <c r="B17" s="110" t="s">
        <v>148</v>
      </c>
      <c r="C17" s="55">
        <v>28500</v>
      </c>
      <c r="D17" s="55">
        <v>0</v>
      </c>
      <c r="E17" s="55" t="s">
        <v>19</v>
      </c>
      <c r="F17" s="4" t="s">
        <v>71</v>
      </c>
      <c r="G17" s="4" t="s">
        <v>72</v>
      </c>
      <c r="H17" s="4" t="s">
        <v>2240</v>
      </c>
      <c r="I17" s="4" t="s">
        <v>2255</v>
      </c>
      <c r="J17" s="55">
        <v>500</v>
      </c>
      <c r="K17" s="55">
        <v>500</v>
      </c>
      <c r="L17" s="65">
        <v>45219</v>
      </c>
      <c r="M17" s="66">
        <v>500</v>
      </c>
      <c r="N17" s="65">
        <v>45219</v>
      </c>
      <c r="O17" s="66">
        <v>500</v>
      </c>
      <c r="P17" s="39"/>
      <c r="Q17" s="57"/>
      <c r="R17" s="39"/>
      <c r="S17" s="57"/>
      <c r="T17" s="65"/>
      <c r="U17" s="66"/>
      <c r="V17" s="65"/>
      <c r="W17" s="66"/>
      <c r="X17" s="39"/>
      <c r="Y17" s="57"/>
      <c r="Z17" s="39"/>
      <c r="AA17" s="57"/>
      <c r="AB17" s="65"/>
      <c r="AC17" s="66"/>
      <c r="AD17" s="65"/>
      <c r="AE17" s="66"/>
      <c r="AF17" s="39"/>
      <c r="AG17" s="57"/>
      <c r="AH17" s="39"/>
      <c r="AI17" s="57"/>
    </row>
    <row r="18" spans="1:35" ht="19.5" customHeight="1" x14ac:dyDescent="0.3">
      <c r="A18" s="4">
        <v>2310078</v>
      </c>
      <c r="B18" s="110" t="s">
        <v>153</v>
      </c>
      <c r="C18" s="55">
        <v>52000</v>
      </c>
      <c r="D18" s="55">
        <v>0</v>
      </c>
      <c r="E18" s="55" t="s">
        <v>19</v>
      </c>
      <c r="F18" s="4" t="s">
        <v>71</v>
      </c>
      <c r="G18" s="4" t="s">
        <v>72</v>
      </c>
      <c r="H18" s="4" t="s">
        <v>2236</v>
      </c>
      <c r="I18" s="4" t="s">
        <v>2251</v>
      </c>
      <c r="J18" s="55">
        <v>52000</v>
      </c>
      <c r="K18" s="55">
        <v>52000</v>
      </c>
      <c r="L18" s="65">
        <v>45208</v>
      </c>
      <c r="M18" s="66">
        <v>1000</v>
      </c>
      <c r="N18" s="65">
        <v>45208</v>
      </c>
      <c r="O18" s="66">
        <v>1000</v>
      </c>
      <c r="P18" s="39">
        <v>45222</v>
      </c>
      <c r="Q18" s="57">
        <v>45000</v>
      </c>
      <c r="R18" s="39">
        <v>45222</v>
      </c>
      <c r="S18" s="57">
        <v>45000</v>
      </c>
      <c r="T18" s="65">
        <v>45247</v>
      </c>
      <c r="U18" s="66">
        <v>6000</v>
      </c>
      <c r="V18" s="65">
        <v>45247</v>
      </c>
      <c r="W18" s="66">
        <v>6000</v>
      </c>
      <c r="X18" s="39"/>
      <c r="Y18" s="57"/>
      <c r="Z18" s="39"/>
      <c r="AA18" s="57"/>
      <c r="AB18" s="65"/>
      <c r="AC18" s="66"/>
      <c r="AD18" s="65"/>
      <c r="AE18" s="66"/>
      <c r="AF18" s="39"/>
      <c r="AG18" s="57"/>
      <c r="AH18" s="39"/>
      <c r="AI18" s="57"/>
    </row>
    <row r="19" spans="1:35" ht="19.5" customHeight="1" x14ac:dyDescent="0.3">
      <c r="A19" s="4">
        <v>2310083</v>
      </c>
      <c r="B19" s="110" t="s">
        <v>158</v>
      </c>
      <c r="C19" s="55">
        <v>31000</v>
      </c>
      <c r="D19" s="55">
        <v>0</v>
      </c>
      <c r="E19" s="55" t="s">
        <v>19</v>
      </c>
      <c r="F19" s="4" t="s">
        <v>71</v>
      </c>
      <c r="G19" s="4" t="s">
        <v>72</v>
      </c>
      <c r="H19" s="4" t="s">
        <v>2238</v>
      </c>
      <c r="I19" s="4" t="s">
        <v>2253</v>
      </c>
      <c r="J19" s="55">
        <v>26000</v>
      </c>
      <c r="K19" s="55">
        <v>26000</v>
      </c>
      <c r="L19" s="65">
        <v>45222</v>
      </c>
      <c r="M19" s="66">
        <v>500</v>
      </c>
      <c r="N19" s="65">
        <v>45222</v>
      </c>
      <c r="O19" s="66">
        <v>500</v>
      </c>
      <c r="P19" s="39">
        <v>45306</v>
      </c>
      <c r="Q19" s="57">
        <v>25500</v>
      </c>
      <c r="R19" s="39">
        <v>45307</v>
      </c>
      <c r="S19" s="57">
        <v>25500</v>
      </c>
      <c r="T19" s="65"/>
      <c r="U19" s="66"/>
      <c r="V19" s="65"/>
      <c r="W19" s="66"/>
      <c r="X19" s="39"/>
      <c r="Y19" s="57"/>
      <c r="Z19" s="39"/>
      <c r="AA19" s="57"/>
      <c r="AB19" s="65"/>
      <c r="AC19" s="66"/>
      <c r="AD19" s="65"/>
      <c r="AE19" s="66"/>
      <c r="AF19" s="39"/>
      <c r="AG19" s="57"/>
      <c r="AH19" s="39"/>
      <c r="AI19" s="57"/>
    </row>
    <row r="20" spans="1:35" ht="19.5" customHeight="1" x14ac:dyDescent="0.3">
      <c r="A20" s="4">
        <v>2310084</v>
      </c>
      <c r="B20" s="110" t="s">
        <v>163</v>
      </c>
      <c r="C20" s="55">
        <v>34000</v>
      </c>
      <c r="D20" s="55">
        <v>0</v>
      </c>
      <c r="E20" s="55" t="s">
        <v>19</v>
      </c>
      <c r="F20" s="4" t="s">
        <v>71</v>
      </c>
      <c r="G20" s="4" t="s">
        <v>164</v>
      </c>
      <c r="H20" s="4" t="s">
        <v>2236</v>
      </c>
      <c r="I20" s="4" t="s">
        <v>2251</v>
      </c>
      <c r="J20" s="55">
        <v>34000</v>
      </c>
      <c r="K20" s="55">
        <v>34000</v>
      </c>
      <c r="L20" s="65">
        <v>45221</v>
      </c>
      <c r="M20" s="66">
        <v>500</v>
      </c>
      <c r="N20" s="65">
        <v>45221</v>
      </c>
      <c r="O20" s="66">
        <v>500</v>
      </c>
      <c r="P20" s="39">
        <v>45310</v>
      </c>
      <c r="Q20" s="57">
        <v>33500</v>
      </c>
      <c r="R20" s="39">
        <v>45315</v>
      </c>
      <c r="S20" s="57">
        <v>33500</v>
      </c>
      <c r="T20" s="65"/>
      <c r="U20" s="66"/>
      <c r="V20" s="65"/>
      <c r="W20" s="66"/>
      <c r="X20" s="39"/>
      <c r="Y20" s="57"/>
      <c r="Z20" s="39"/>
      <c r="AA20" s="57"/>
      <c r="AB20" s="65"/>
      <c r="AC20" s="66"/>
      <c r="AD20" s="65"/>
      <c r="AE20" s="66"/>
      <c r="AF20" s="39"/>
      <c r="AG20" s="57"/>
      <c r="AH20" s="39"/>
      <c r="AI20" s="57"/>
    </row>
    <row r="21" spans="1:35" ht="19.5" customHeight="1" x14ac:dyDescent="0.3">
      <c r="A21" s="4">
        <v>2305024</v>
      </c>
      <c r="B21" s="110" t="s">
        <v>169</v>
      </c>
      <c r="C21" s="55">
        <v>42500</v>
      </c>
      <c r="D21" s="55">
        <v>6000</v>
      </c>
      <c r="E21" s="55" t="s">
        <v>19</v>
      </c>
      <c r="F21" s="4" t="s">
        <v>71</v>
      </c>
      <c r="G21" s="4" t="s">
        <v>72</v>
      </c>
      <c r="H21" s="4" t="s">
        <v>2237</v>
      </c>
      <c r="I21" s="4" t="s">
        <v>2252</v>
      </c>
      <c r="J21" s="55">
        <v>0</v>
      </c>
      <c r="K21" s="55">
        <v>0</v>
      </c>
      <c r="L21" s="65"/>
      <c r="M21" s="66"/>
      <c r="N21" s="65"/>
      <c r="O21" s="66"/>
      <c r="P21" s="39"/>
      <c r="Q21" s="57"/>
      <c r="R21" s="39"/>
      <c r="S21" s="57"/>
      <c r="T21" s="65"/>
      <c r="U21" s="66"/>
      <c r="V21" s="65"/>
      <c r="W21" s="66"/>
      <c r="X21" s="39"/>
      <c r="Y21" s="57"/>
      <c r="Z21" s="39"/>
      <c r="AA21" s="57"/>
      <c r="AB21" s="65"/>
      <c r="AC21" s="66"/>
      <c r="AD21" s="65"/>
      <c r="AE21" s="66"/>
      <c r="AF21" s="39"/>
      <c r="AG21" s="57"/>
      <c r="AH21" s="39"/>
      <c r="AI21" s="57"/>
    </row>
    <row r="22" spans="1:35" s="123" customFormat="1" ht="19.5" customHeight="1" x14ac:dyDescent="0.3">
      <c r="A22" s="116">
        <v>2307052</v>
      </c>
      <c r="B22" s="125" t="s">
        <v>175</v>
      </c>
      <c r="C22" s="117">
        <v>22100</v>
      </c>
      <c r="D22" s="117">
        <v>0</v>
      </c>
      <c r="E22" s="117" t="s">
        <v>19</v>
      </c>
      <c r="F22" s="116" t="s">
        <v>71</v>
      </c>
      <c r="G22" s="116" t="s">
        <v>176</v>
      </c>
      <c r="H22" s="116" t="s">
        <v>2240</v>
      </c>
      <c r="I22" s="116" t="s">
        <v>2255</v>
      </c>
      <c r="J22" s="117">
        <v>500</v>
      </c>
      <c r="K22" s="117">
        <v>500</v>
      </c>
      <c r="L22" s="118">
        <v>45156</v>
      </c>
      <c r="M22" s="119">
        <v>500</v>
      </c>
      <c r="N22" s="118">
        <v>45156</v>
      </c>
      <c r="O22" s="119">
        <v>500</v>
      </c>
      <c r="P22" s="120"/>
      <c r="Q22" s="121"/>
      <c r="R22" s="120"/>
      <c r="S22" s="121"/>
      <c r="T22" s="118"/>
      <c r="U22" s="119"/>
      <c r="V22" s="118"/>
      <c r="W22" s="119"/>
      <c r="X22" s="39"/>
      <c r="Y22" s="121"/>
      <c r="Z22" s="39"/>
      <c r="AA22" s="121"/>
      <c r="AB22" s="118"/>
      <c r="AC22" s="119"/>
      <c r="AD22" s="118"/>
      <c r="AE22" s="119"/>
      <c r="AF22" s="120"/>
      <c r="AG22" s="121"/>
      <c r="AH22" s="120"/>
      <c r="AI22" s="121"/>
    </row>
    <row r="23" spans="1:35" s="123" customFormat="1" ht="19.5" customHeight="1" x14ac:dyDescent="0.3">
      <c r="A23" s="116">
        <v>2304010</v>
      </c>
      <c r="B23" s="125" t="s">
        <v>181</v>
      </c>
      <c r="C23" s="117">
        <v>20650</v>
      </c>
      <c r="D23" s="117">
        <v>0</v>
      </c>
      <c r="E23" s="117" t="s">
        <v>20</v>
      </c>
      <c r="F23" s="116" t="s">
        <v>71</v>
      </c>
      <c r="G23" s="116" t="s">
        <v>125</v>
      </c>
      <c r="H23" s="116" t="s">
        <v>2240</v>
      </c>
      <c r="I23" s="116" t="s">
        <v>2255</v>
      </c>
      <c r="J23" s="117">
        <v>2065</v>
      </c>
      <c r="K23" s="117">
        <v>2065</v>
      </c>
      <c r="L23" s="118">
        <v>45113</v>
      </c>
      <c r="M23" s="119">
        <v>2065</v>
      </c>
      <c r="N23" s="118">
        <v>45120</v>
      </c>
      <c r="O23" s="119">
        <v>2065</v>
      </c>
      <c r="P23" s="120"/>
      <c r="Q23" s="121"/>
      <c r="R23" s="120"/>
      <c r="S23" s="121"/>
      <c r="T23" s="118"/>
      <c r="U23" s="119"/>
      <c r="V23" s="118"/>
      <c r="W23" s="119"/>
      <c r="X23" s="39"/>
      <c r="Y23" s="121"/>
      <c r="Z23" s="39"/>
      <c r="AA23" s="121"/>
      <c r="AB23" s="118"/>
      <c r="AC23" s="119"/>
      <c r="AD23" s="118"/>
      <c r="AE23" s="119"/>
      <c r="AF23" s="120"/>
      <c r="AG23" s="121"/>
      <c r="AH23" s="120"/>
      <c r="AI23" s="121"/>
    </row>
    <row r="24" spans="1:35" ht="19.5" customHeight="1" x14ac:dyDescent="0.3">
      <c r="A24" s="4">
        <v>2308065</v>
      </c>
      <c r="B24" s="110" t="s">
        <v>187</v>
      </c>
      <c r="C24" s="55">
        <v>33000</v>
      </c>
      <c r="D24" s="55">
        <v>2500</v>
      </c>
      <c r="E24" s="55" t="s">
        <v>19</v>
      </c>
      <c r="F24" s="4" t="s">
        <v>71</v>
      </c>
      <c r="G24" s="4" t="s">
        <v>72</v>
      </c>
      <c r="H24" s="4" t="s">
        <v>2239</v>
      </c>
      <c r="I24" s="4" t="s">
        <v>2256</v>
      </c>
      <c r="J24" s="55">
        <v>38000</v>
      </c>
      <c r="K24" s="55">
        <v>38000</v>
      </c>
      <c r="L24" s="65">
        <v>45116</v>
      </c>
      <c r="M24" s="66">
        <v>500</v>
      </c>
      <c r="N24" s="65">
        <v>45116</v>
      </c>
      <c r="O24" s="66">
        <v>500</v>
      </c>
      <c r="P24" s="39">
        <v>45232</v>
      </c>
      <c r="Q24" s="57">
        <v>33000</v>
      </c>
      <c r="R24" s="39">
        <v>45539</v>
      </c>
      <c r="S24" s="57">
        <v>33000</v>
      </c>
      <c r="T24" s="65">
        <v>45232</v>
      </c>
      <c r="U24" s="66">
        <v>2000</v>
      </c>
      <c r="V24" s="65">
        <v>45232</v>
      </c>
      <c r="W24" s="66">
        <v>2000</v>
      </c>
      <c r="X24" s="39">
        <v>45232</v>
      </c>
      <c r="Y24" s="57">
        <v>2500</v>
      </c>
      <c r="Z24" s="39">
        <v>45391</v>
      </c>
      <c r="AA24" s="57">
        <v>2500</v>
      </c>
      <c r="AB24" s="65"/>
      <c r="AC24" s="66"/>
      <c r="AD24" s="65"/>
      <c r="AE24" s="66"/>
      <c r="AF24" s="39"/>
      <c r="AG24" s="57"/>
      <c r="AH24" s="39"/>
      <c r="AI24" s="57"/>
    </row>
    <row r="25" spans="1:35" ht="19.5" customHeight="1" x14ac:dyDescent="0.3">
      <c r="A25" s="4">
        <v>2306009</v>
      </c>
      <c r="B25" s="110" t="s">
        <v>192</v>
      </c>
      <c r="C25" s="55">
        <v>720000</v>
      </c>
      <c r="D25" s="55">
        <v>0</v>
      </c>
      <c r="E25" s="55" t="s">
        <v>20</v>
      </c>
      <c r="F25" s="4" t="s">
        <v>193</v>
      </c>
      <c r="G25" s="4" t="s">
        <v>125</v>
      </c>
      <c r="H25" s="4" t="s">
        <v>2236</v>
      </c>
      <c r="I25" s="4" t="s">
        <v>2251</v>
      </c>
      <c r="J25" s="55">
        <v>720000</v>
      </c>
      <c r="K25" s="55">
        <v>720000</v>
      </c>
      <c r="L25" s="65">
        <v>45194</v>
      </c>
      <c r="M25" s="66">
        <v>432000</v>
      </c>
      <c r="N25" s="65">
        <v>45195</v>
      </c>
      <c r="O25" s="66">
        <v>432000</v>
      </c>
      <c r="P25" s="39">
        <v>45294</v>
      </c>
      <c r="Q25" s="57">
        <v>108000</v>
      </c>
      <c r="R25" s="39">
        <v>45295</v>
      </c>
      <c r="S25" s="57">
        <v>108000</v>
      </c>
      <c r="T25" s="65">
        <v>45362</v>
      </c>
      <c r="U25" s="66">
        <v>180000</v>
      </c>
      <c r="V25" s="65">
        <v>45370</v>
      </c>
      <c r="W25" s="66">
        <v>180000</v>
      </c>
      <c r="X25" s="39"/>
      <c r="Y25" s="57"/>
      <c r="Z25" s="39"/>
      <c r="AA25" s="57"/>
      <c r="AB25" s="65"/>
      <c r="AC25" s="66"/>
      <c r="AD25" s="65"/>
      <c r="AE25" s="66"/>
      <c r="AF25" s="39"/>
      <c r="AG25" s="57"/>
      <c r="AH25" s="39"/>
      <c r="AI25" s="57"/>
    </row>
    <row r="26" spans="1:35" ht="19.5" customHeight="1" x14ac:dyDescent="0.3">
      <c r="A26" s="4">
        <v>2303003</v>
      </c>
      <c r="B26" s="110" t="s">
        <v>196</v>
      </c>
      <c r="C26" s="55">
        <v>80000</v>
      </c>
      <c r="D26" s="55">
        <v>0</v>
      </c>
      <c r="E26" s="55" t="s">
        <v>19</v>
      </c>
      <c r="F26" s="4" t="s">
        <v>124</v>
      </c>
      <c r="G26" s="4" t="s">
        <v>72</v>
      </c>
      <c r="H26" s="4" t="s">
        <v>2236</v>
      </c>
      <c r="I26" s="4" t="s">
        <v>2251</v>
      </c>
      <c r="J26" s="55">
        <v>80000</v>
      </c>
      <c r="K26" s="55">
        <v>80000</v>
      </c>
      <c r="L26" s="65">
        <v>45309</v>
      </c>
      <c r="M26" s="66">
        <v>8000</v>
      </c>
      <c r="N26" s="65">
        <v>45343</v>
      </c>
      <c r="O26" s="66">
        <v>8000</v>
      </c>
      <c r="P26" s="39">
        <v>45410</v>
      </c>
      <c r="Q26" s="57">
        <v>28000</v>
      </c>
      <c r="R26" s="39">
        <v>45411</v>
      </c>
      <c r="S26" s="57">
        <v>28000</v>
      </c>
      <c r="T26" s="65">
        <v>45485</v>
      </c>
      <c r="U26" s="66">
        <v>44000</v>
      </c>
      <c r="V26" s="65">
        <v>45493</v>
      </c>
      <c r="W26" s="66">
        <v>44000</v>
      </c>
      <c r="X26" s="39"/>
      <c r="Y26" s="57"/>
      <c r="Z26" s="39"/>
      <c r="AA26" s="57"/>
      <c r="AB26" s="65"/>
      <c r="AC26" s="66"/>
      <c r="AD26" s="65"/>
      <c r="AE26" s="66"/>
      <c r="AF26" s="39"/>
      <c r="AG26" s="57"/>
      <c r="AH26" s="39"/>
      <c r="AI26" s="57"/>
    </row>
    <row r="27" spans="1:35" ht="19.5" customHeight="1" x14ac:dyDescent="0.3">
      <c r="A27" s="4">
        <v>2311040</v>
      </c>
      <c r="B27" s="110" t="s">
        <v>201</v>
      </c>
      <c r="C27" s="55">
        <v>91000</v>
      </c>
      <c r="D27" s="55">
        <v>0</v>
      </c>
      <c r="E27" s="55" t="s">
        <v>202</v>
      </c>
      <c r="F27" s="4" t="s">
        <v>124</v>
      </c>
      <c r="G27" s="4" t="s">
        <v>125</v>
      </c>
      <c r="H27" s="4" t="s">
        <v>2240</v>
      </c>
      <c r="I27" s="4" t="s">
        <v>2255</v>
      </c>
      <c r="J27" s="55">
        <v>81900</v>
      </c>
      <c r="K27" s="55">
        <v>81900</v>
      </c>
      <c r="L27" s="65">
        <v>45384</v>
      </c>
      <c r="M27" s="66">
        <v>81900</v>
      </c>
      <c r="N27" s="65">
        <v>45408</v>
      </c>
      <c r="O27" s="66">
        <v>81900</v>
      </c>
      <c r="P27" s="39"/>
      <c r="Q27" s="57"/>
      <c r="R27" s="39"/>
      <c r="S27" s="57"/>
      <c r="T27" s="65"/>
      <c r="U27" s="66"/>
      <c r="V27" s="65"/>
      <c r="W27" s="66"/>
      <c r="X27" s="39"/>
      <c r="Y27" s="57"/>
      <c r="Z27" s="39"/>
      <c r="AA27" s="57"/>
      <c r="AB27" s="65"/>
      <c r="AC27" s="66"/>
      <c r="AD27" s="65"/>
      <c r="AE27" s="66"/>
      <c r="AF27" s="39"/>
      <c r="AG27" s="57"/>
      <c r="AH27" s="39"/>
      <c r="AI27" s="57"/>
    </row>
    <row r="28" spans="1:35" ht="19.5" customHeight="1" x14ac:dyDescent="0.3">
      <c r="A28" s="4">
        <v>2308007</v>
      </c>
      <c r="B28" s="110" t="s">
        <v>205</v>
      </c>
      <c r="C28" s="55">
        <v>93380</v>
      </c>
      <c r="D28" s="55">
        <v>0</v>
      </c>
      <c r="E28" s="55" t="s">
        <v>20</v>
      </c>
      <c r="F28" s="4" t="s">
        <v>206</v>
      </c>
      <c r="G28" s="4" t="s">
        <v>125</v>
      </c>
      <c r="H28" s="4" t="s">
        <v>2236</v>
      </c>
      <c r="I28" s="4" t="s">
        <v>2251</v>
      </c>
      <c r="J28" s="55">
        <v>93380</v>
      </c>
      <c r="K28" s="55">
        <v>93380</v>
      </c>
      <c r="L28" s="65">
        <v>45245</v>
      </c>
      <c r="M28" s="66">
        <v>46690</v>
      </c>
      <c r="N28" s="65">
        <v>45250</v>
      </c>
      <c r="O28" s="66">
        <v>46690</v>
      </c>
      <c r="P28" s="39">
        <v>45594</v>
      </c>
      <c r="Q28" s="57">
        <v>46690</v>
      </c>
      <c r="R28" s="39">
        <v>45650</v>
      </c>
      <c r="S28" s="57">
        <v>46690</v>
      </c>
      <c r="T28" s="65"/>
      <c r="U28" s="66"/>
      <c r="V28" s="65"/>
      <c r="W28" s="66"/>
      <c r="X28" s="39"/>
      <c r="Y28" s="57"/>
      <c r="Z28" s="39"/>
      <c r="AA28" s="57"/>
      <c r="AB28" s="65"/>
      <c r="AC28" s="66"/>
      <c r="AD28" s="65"/>
      <c r="AE28" s="66"/>
      <c r="AF28" s="39"/>
      <c r="AG28" s="57"/>
      <c r="AH28" s="39"/>
      <c r="AI28" s="57"/>
    </row>
    <row r="29" spans="1:35" ht="19.5" customHeight="1" x14ac:dyDescent="0.3">
      <c r="A29" s="4">
        <v>2311094</v>
      </c>
      <c r="B29" s="110" t="s">
        <v>208</v>
      </c>
      <c r="C29" s="55">
        <v>37000</v>
      </c>
      <c r="D29" s="55">
        <v>0</v>
      </c>
      <c r="E29" s="55" t="s">
        <v>19</v>
      </c>
      <c r="F29" s="4" t="s">
        <v>71</v>
      </c>
      <c r="G29" s="4" t="s">
        <v>72</v>
      </c>
      <c r="H29" s="4" t="s">
        <v>2236</v>
      </c>
      <c r="I29" s="4" t="s">
        <v>2251</v>
      </c>
      <c r="J29" s="55">
        <v>37000</v>
      </c>
      <c r="K29" s="55">
        <v>37000</v>
      </c>
      <c r="L29" s="65">
        <v>45260</v>
      </c>
      <c r="M29" s="66">
        <v>500</v>
      </c>
      <c r="N29" s="65">
        <v>45260</v>
      </c>
      <c r="O29" s="66">
        <v>500</v>
      </c>
      <c r="P29" s="39">
        <v>45472</v>
      </c>
      <c r="Q29" s="57">
        <v>36500</v>
      </c>
      <c r="R29" s="39">
        <v>45473</v>
      </c>
      <c r="S29" s="57">
        <v>36500</v>
      </c>
      <c r="T29" s="65"/>
      <c r="U29" s="66"/>
      <c r="V29" s="65"/>
      <c r="W29" s="66"/>
      <c r="X29" s="39"/>
      <c r="Y29" s="57"/>
      <c r="Z29" s="39"/>
      <c r="AA29" s="57"/>
      <c r="AB29" s="65"/>
      <c r="AC29" s="66"/>
      <c r="AD29" s="65"/>
      <c r="AE29" s="66"/>
      <c r="AF29" s="39"/>
      <c r="AG29" s="57"/>
      <c r="AH29" s="39"/>
      <c r="AI29" s="57"/>
    </row>
    <row r="30" spans="1:35" ht="19.5" customHeight="1" x14ac:dyDescent="0.3">
      <c r="A30" s="4">
        <v>2311095</v>
      </c>
      <c r="B30" s="110" t="s">
        <v>213</v>
      </c>
      <c r="C30" s="55">
        <v>44600</v>
      </c>
      <c r="D30" s="55">
        <v>0</v>
      </c>
      <c r="E30" s="55" t="s">
        <v>19</v>
      </c>
      <c r="F30" s="4" t="s">
        <v>71</v>
      </c>
      <c r="G30" s="4" t="s">
        <v>72</v>
      </c>
      <c r="H30" s="4" t="s">
        <v>2236</v>
      </c>
      <c r="I30" s="4" t="s">
        <v>2251</v>
      </c>
      <c r="J30" s="55">
        <v>44600</v>
      </c>
      <c r="K30" s="55">
        <v>44600</v>
      </c>
      <c r="L30" s="65">
        <v>45285</v>
      </c>
      <c r="M30" s="66">
        <v>500</v>
      </c>
      <c r="N30" s="65">
        <v>45285</v>
      </c>
      <c r="O30" s="66">
        <v>500</v>
      </c>
      <c r="P30" s="39">
        <v>45062</v>
      </c>
      <c r="Q30" s="57">
        <v>42100</v>
      </c>
      <c r="R30" s="39">
        <v>45432</v>
      </c>
      <c r="S30" s="57">
        <v>42100</v>
      </c>
      <c r="T30" s="65">
        <v>45450</v>
      </c>
      <c r="U30" s="66">
        <v>2000</v>
      </c>
      <c r="V30" s="65">
        <v>45806</v>
      </c>
      <c r="W30" s="66">
        <v>2000</v>
      </c>
      <c r="X30" s="39"/>
      <c r="Y30" s="57"/>
      <c r="Z30" s="39"/>
      <c r="AA30" s="57"/>
      <c r="AB30" s="65"/>
      <c r="AC30" s="66"/>
      <c r="AD30" s="65"/>
      <c r="AE30" s="66"/>
      <c r="AF30" s="39"/>
      <c r="AG30" s="57"/>
      <c r="AH30" s="39"/>
      <c r="AI30" s="57"/>
    </row>
    <row r="31" spans="1:35" ht="19.5" customHeight="1" x14ac:dyDescent="0.3">
      <c r="A31" s="4">
        <v>2311039</v>
      </c>
      <c r="B31" s="110" t="s">
        <v>218</v>
      </c>
      <c r="C31" s="55">
        <v>280080</v>
      </c>
      <c r="D31" s="55">
        <v>46945</v>
      </c>
      <c r="E31" s="55" t="s">
        <v>20</v>
      </c>
      <c r="F31" s="4" t="s">
        <v>124</v>
      </c>
      <c r="G31" s="4" t="s">
        <v>72</v>
      </c>
      <c r="H31" s="4" t="s">
        <v>2236</v>
      </c>
      <c r="I31" s="4" t="s">
        <v>2251</v>
      </c>
      <c r="J31" s="55">
        <v>327025</v>
      </c>
      <c r="K31" s="55">
        <v>327025</v>
      </c>
      <c r="L31" s="65">
        <v>45294</v>
      </c>
      <c r="M31" s="66">
        <v>126036</v>
      </c>
      <c r="N31" s="65">
        <v>45310</v>
      </c>
      <c r="O31" s="66">
        <v>126036</v>
      </c>
      <c r="P31" s="39">
        <v>45594</v>
      </c>
      <c r="Q31" s="57">
        <v>126036</v>
      </c>
      <c r="R31" s="39">
        <v>45650</v>
      </c>
      <c r="S31" s="57">
        <v>126036</v>
      </c>
      <c r="T31" s="65">
        <v>45628</v>
      </c>
      <c r="U31" s="66">
        <v>28008</v>
      </c>
      <c r="V31" s="65">
        <v>45650</v>
      </c>
      <c r="W31" s="66">
        <v>28008</v>
      </c>
      <c r="X31" s="39"/>
      <c r="Y31" s="57"/>
      <c r="Z31" s="39"/>
      <c r="AA31" s="57"/>
      <c r="AB31" s="65"/>
      <c r="AC31" s="66"/>
      <c r="AD31" s="65"/>
      <c r="AE31" s="66"/>
      <c r="AF31" s="39">
        <v>45594</v>
      </c>
      <c r="AG31" s="57">
        <v>46945</v>
      </c>
      <c r="AH31" s="39">
        <v>45650</v>
      </c>
      <c r="AI31" s="57">
        <v>46945</v>
      </c>
    </row>
    <row r="32" spans="1:35" ht="19.5" customHeight="1" x14ac:dyDescent="0.3">
      <c r="A32" s="4">
        <v>2311012</v>
      </c>
      <c r="B32" s="110" t="s">
        <v>219</v>
      </c>
      <c r="C32" s="55">
        <v>109000</v>
      </c>
      <c r="D32" s="55">
        <v>0</v>
      </c>
      <c r="E32" s="55" t="s">
        <v>20</v>
      </c>
      <c r="F32" s="4" t="s">
        <v>206</v>
      </c>
      <c r="G32" s="4" t="s">
        <v>125</v>
      </c>
      <c r="H32" s="4" t="s">
        <v>2236</v>
      </c>
      <c r="I32" s="4" t="s">
        <v>2251</v>
      </c>
      <c r="J32" s="55">
        <v>109000</v>
      </c>
      <c r="K32" s="55">
        <v>109000</v>
      </c>
      <c r="L32" s="65">
        <v>45302</v>
      </c>
      <c r="M32" s="66">
        <v>54500</v>
      </c>
      <c r="N32" s="65">
        <v>45302</v>
      </c>
      <c r="O32" s="66">
        <v>54500</v>
      </c>
      <c r="P32" s="39">
        <v>45594</v>
      </c>
      <c r="Q32" s="57">
        <v>54500</v>
      </c>
      <c r="R32" s="39">
        <v>45650</v>
      </c>
      <c r="S32" s="57">
        <v>54500</v>
      </c>
      <c r="T32" s="65"/>
      <c r="U32" s="66"/>
      <c r="V32" s="65"/>
      <c r="W32" s="66"/>
      <c r="X32" s="39"/>
      <c r="Y32" s="57"/>
      <c r="Z32" s="39"/>
      <c r="AA32" s="57"/>
      <c r="AB32" s="65"/>
      <c r="AC32" s="66"/>
      <c r="AD32" s="65"/>
      <c r="AE32" s="66"/>
      <c r="AF32" s="39"/>
      <c r="AG32" s="57"/>
      <c r="AH32" s="39"/>
      <c r="AI32" s="57"/>
    </row>
    <row r="33" spans="1:35" ht="19.5" customHeight="1" x14ac:dyDescent="0.3">
      <c r="A33" s="4">
        <v>2311089</v>
      </c>
      <c r="B33" s="110" t="s">
        <v>220</v>
      </c>
      <c r="C33" s="55">
        <v>37500</v>
      </c>
      <c r="D33" s="55">
        <v>0</v>
      </c>
      <c r="E33" s="55" t="s">
        <v>20</v>
      </c>
      <c r="F33" s="4" t="s">
        <v>71</v>
      </c>
      <c r="G33" s="4" t="s">
        <v>72</v>
      </c>
      <c r="H33" s="4" t="s">
        <v>2236</v>
      </c>
      <c r="I33" s="4" t="s">
        <v>2253</v>
      </c>
      <c r="J33" s="55">
        <v>37500</v>
      </c>
      <c r="K33" s="55">
        <v>35500</v>
      </c>
      <c r="L33" s="65">
        <v>45260</v>
      </c>
      <c r="M33" s="66">
        <v>500</v>
      </c>
      <c r="N33" s="65">
        <v>45260</v>
      </c>
      <c r="O33" s="66">
        <v>500</v>
      </c>
      <c r="P33" s="39">
        <v>45448</v>
      </c>
      <c r="Q33" s="57">
        <v>35000</v>
      </c>
      <c r="R33" s="39">
        <v>45448</v>
      </c>
      <c r="S33" s="57">
        <v>35000</v>
      </c>
      <c r="T33" s="65">
        <v>45749</v>
      </c>
      <c r="U33" s="66">
        <v>2000</v>
      </c>
      <c r="V33" s="65"/>
      <c r="W33" s="66"/>
      <c r="X33" s="39"/>
      <c r="Y33" s="57"/>
      <c r="Z33" s="39"/>
      <c r="AA33" s="57"/>
      <c r="AB33" s="65"/>
      <c r="AC33" s="66"/>
      <c r="AD33" s="65"/>
      <c r="AE33" s="66"/>
      <c r="AF33" s="39"/>
      <c r="AG33" s="57"/>
      <c r="AH33" s="39"/>
      <c r="AI33" s="57"/>
    </row>
    <row r="34" spans="1:35" ht="19.5" customHeight="1" x14ac:dyDescent="0.3">
      <c r="A34" s="4">
        <v>2312118</v>
      </c>
      <c r="B34" s="110" t="s">
        <v>226</v>
      </c>
      <c r="C34" s="55">
        <v>54930</v>
      </c>
      <c r="D34" s="55">
        <v>0</v>
      </c>
      <c r="E34" s="55" t="s">
        <v>21</v>
      </c>
      <c r="F34" s="4" t="s">
        <v>71</v>
      </c>
      <c r="G34" s="4" t="s">
        <v>72</v>
      </c>
      <c r="H34" s="4" t="s">
        <v>2236</v>
      </c>
      <c r="I34" s="4" t="s">
        <v>2251</v>
      </c>
      <c r="J34" s="55">
        <v>54930</v>
      </c>
      <c r="K34" s="55">
        <v>54930</v>
      </c>
      <c r="L34" s="65">
        <v>45296</v>
      </c>
      <c r="M34" s="66">
        <v>1000</v>
      </c>
      <c r="N34" s="65">
        <v>45296</v>
      </c>
      <c r="O34" s="66">
        <v>1000</v>
      </c>
      <c r="P34" s="39">
        <v>45383</v>
      </c>
      <c r="Q34" s="57">
        <v>51930</v>
      </c>
      <c r="R34" s="39">
        <v>45326</v>
      </c>
      <c r="S34" s="57">
        <v>51930</v>
      </c>
      <c r="T34" s="65">
        <v>45436</v>
      </c>
      <c r="U34" s="66">
        <v>2000</v>
      </c>
      <c r="V34" s="65">
        <v>45436</v>
      </c>
      <c r="W34" s="66">
        <v>2000</v>
      </c>
      <c r="X34" s="39"/>
      <c r="Y34" s="57"/>
      <c r="Z34" s="39"/>
      <c r="AA34" s="57"/>
      <c r="AB34" s="65"/>
      <c r="AC34" s="66"/>
      <c r="AD34" s="65"/>
      <c r="AE34" s="66"/>
      <c r="AF34" s="39"/>
      <c r="AG34" s="57"/>
      <c r="AH34" s="39"/>
      <c r="AI34" s="57"/>
    </row>
    <row r="35" spans="1:35" ht="19.5" customHeight="1" x14ac:dyDescent="0.3">
      <c r="A35" s="4">
        <v>2309070</v>
      </c>
      <c r="B35" s="110" t="s">
        <v>231</v>
      </c>
      <c r="C35" s="55">
        <v>48902</v>
      </c>
      <c r="D35" s="55">
        <v>0</v>
      </c>
      <c r="E35" s="55" t="s">
        <v>20</v>
      </c>
      <c r="F35" s="4" t="s">
        <v>71</v>
      </c>
      <c r="G35" s="4" t="s">
        <v>176</v>
      </c>
      <c r="H35" s="4" t="s">
        <v>2236</v>
      </c>
      <c r="I35" s="4" t="s">
        <v>2251</v>
      </c>
      <c r="J35" s="55">
        <v>48902</v>
      </c>
      <c r="K35" s="55">
        <v>48902</v>
      </c>
      <c r="L35" s="65">
        <v>45303</v>
      </c>
      <c r="M35" s="66">
        <v>500</v>
      </c>
      <c r="N35" s="65">
        <v>45303</v>
      </c>
      <c r="O35" s="66">
        <v>500</v>
      </c>
      <c r="P35" s="39">
        <v>45452</v>
      </c>
      <c r="Q35" s="57">
        <v>48402</v>
      </c>
      <c r="R35" s="64">
        <v>45452</v>
      </c>
      <c r="S35" s="59">
        <v>48402</v>
      </c>
      <c r="T35" s="65"/>
      <c r="U35" s="66"/>
      <c r="V35" s="65"/>
      <c r="W35" s="66"/>
      <c r="X35" s="39"/>
      <c r="Y35" s="57"/>
      <c r="Z35" s="39"/>
      <c r="AA35" s="57"/>
      <c r="AB35" s="65"/>
      <c r="AC35" s="66"/>
      <c r="AD35" s="65"/>
      <c r="AE35" s="66"/>
      <c r="AF35" s="39"/>
      <c r="AG35" s="57"/>
      <c r="AH35" s="39"/>
      <c r="AI35" s="57"/>
    </row>
    <row r="36" spans="1:35" s="123" customFormat="1" ht="19.5" customHeight="1" x14ac:dyDescent="0.3">
      <c r="A36" s="116">
        <v>2310075</v>
      </c>
      <c r="B36" s="125" t="s">
        <v>236</v>
      </c>
      <c r="C36" s="117">
        <v>45600</v>
      </c>
      <c r="D36" s="117">
        <v>0</v>
      </c>
      <c r="E36" s="117" t="s">
        <v>19</v>
      </c>
      <c r="F36" s="116" t="s">
        <v>71</v>
      </c>
      <c r="G36" s="116" t="s">
        <v>72</v>
      </c>
      <c r="H36" s="116" t="s">
        <v>2237</v>
      </c>
      <c r="I36" s="116" t="s">
        <v>2252</v>
      </c>
      <c r="J36" s="117">
        <v>0</v>
      </c>
      <c r="K36" s="117">
        <v>0</v>
      </c>
      <c r="L36" s="118"/>
      <c r="M36" s="119"/>
      <c r="N36" s="118"/>
      <c r="O36" s="119"/>
      <c r="P36" s="120"/>
      <c r="Q36" s="121"/>
      <c r="R36" s="120"/>
      <c r="S36" s="121"/>
      <c r="T36" s="118"/>
      <c r="U36" s="119"/>
      <c r="V36" s="118"/>
      <c r="W36" s="119"/>
      <c r="X36" s="39"/>
      <c r="Y36" s="121"/>
      <c r="Z36" s="39"/>
      <c r="AA36" s="121"/>
      <c r="AB36" s="118"/>
      <c r="AC36" s="119"/>
      <c r="AD36" s="118"/>
      <c r="AE36" s="119"/>
      <c r="AF36" s="120"/>
      <c r="AG36" s="121"/>
      <c r="AH36" s="120"/>
      <c r="AI36" s="121"/>
    </row>
    <row r="37" spans="1:35" ht="19.5" customHeight="1" x14ac:dyDescent="0.3">
      <c r="A37" s="4">
        <v>2310076</v>
      </c>
      <c r="B37" s="110" t="s">
        <v>242</v>
      </c>
      <c r="C37" s="55">
        <v>24000</v>
      </c>
      <c r="D37" s="55">
        <v>0</v>
      </c>
      <c r="E37" s="55" t="s">
        <v>17</v>
      </c>
      <c r="F37" s="4" t="s">
        <v>71</v>
      </c>
      <c r="G37" s="4" t="s">
        <v>125</v>
      </c>
      <c r="H37" s="4" t="s">
        <v>2236</v>
      </c>
      <c r="I37" s="4" t="s">
        <v>2251</v>
      </c>
      <c r="J37" s="55">
        <v>24000</v>
      </c>
      <c r="K37" s="55">
        <v>24000</v>
      </c>
      <c r="L37" s="65">
        <v>45386</v>
      </c>
      <c r="M37" s="66">
        <v>500</v>
      </c>
      <c r="N37" s="65">
        <v>45386</v>
      </c>
      <c r="O37" s="66">
        <v>500</v>
      </c>
      <c r="P37" s="39">
        <v>45805</v>
      </c>
      <c r="Q37" s="57">
        <v>23500</v>
      </c>
      <c r="R37" s="39">
        <v>45805</v>
      </c>
      <c r="S37" s="57">
        <v>23500</v>
      </c>
      <c r="T37" s="65"/>
      <c r="U37" s="66"/>
      <c r="V37" s="65"/>
      <c r="W37" s="66"/>
      <c r="X37" s="39"/>
      <c r="Y37" s="57"/>
      <c r="Z37" s="39"/>
      <c r="AA37" s="57"/>
      <c r="AB37" s="65"/>
      <c r="AC37" s="66"/>
      <c r="AD37" s="65"/>
      <c r="AE37" s="66"/>
      <c r="AF37" s="39"/>
      <c r="AG37" s="57"/>
      <c r="AH37" s="39"/>
      <c r="AI37" s="57"/>
    </row>
    <row r="38" spans="1:35" ht="19.5" customHeight="1" x14ac:dyDescent="0.3">
      <c r="A38" s="4">
        <v>2310085</v>
      </c>
      <c r="B38" s="110" t="s">
        <v>249</v>
      </c>
      <c r="C38" s="55">
        <v>47786</v>
      </c>
      <c r="D38" s="55">
        <v>0</v>
      </c>
      <c r="E38" s="55" t="s">
        <v>20</v>
      </c>
      <c r="F38" s="4" t="s">
        <v>71</v>
      </c>
      <c r="G38" s="4" t="s">
        <v>176</v>
      </c>
      <c r="H38" s="4" t="s">
        <v>2236</v>
      </c>
      <c r="I38" s="4" t="s">
        <v>2251</v>
      </c>
      <c r="J38" s="55">
        <v>47786</v>
      </c>
      <c r="K38" s="55">
        <v>47786</v>
      </c>
      <c r="L38" s="65">
        <v>45259</v>
      </c>
      <c r="M38" s="66">
        <v>500</v>
      </c>
      <c r="N38" s="65">
        <v>45259</v>
      </c>
      <c r="O38" s="66">
        <v>500</v>
      </c>
      <c r="P38" s="39">
        <v>45403</v>
      </c>
      <c r="Q38" s="57">
        <v>47286</v>
      </c>
      <c r="R38" s="39">
        <v>45406</v>
      </c>
      <c r="S38" s="57">
        <v>47286</v>
      </c>
      <c r="T38" s="65"/>
      <c r="U38" s="66"/>
      <c r="V38" s="65"/>
      <c r="W38" s="66"/>
      <c r="X38" s="39"/>
      <c r="Y38" s="57"/>
      <c r="Z38" s="39"/>
      <c r="AA38" s="57"/>
      <c r="AB38" s="65"/>
      <c r="AC38" s="66"/>
      <c r="AD38" s="65"/>
      <c r="AE38" s="66"/>
      <c r="AF38" s="39"/>
      <c r="AG38" s="57"/>
      <c r="AH38" s="39"/>
      <c r="AI38" s="57"/>
    </row>
    <row r="39" spans="1:35" ht="19.5" customHeight="1" x14ac:dyDescent="0.3">
      <c r="A39" s="4">
        <v>2312113</v>
      </c>
      <c r="B39" s="110" t="s">
        <v>254</v>
      </c>
      <c r="C39" s="55">
        <v>44000</v>
      </c>
      <c r="D39" s="55">
        <v>0</v>
      </c>
      <c r="E39" s="55" t="s">
        <v>20</v>
      </c>
      <c r="F39" s="4" t="s">
        <v>71</v>
      </c>
      <c r="G39" s="4" t="s">
        <v>72</v>
      </c>
      <c r="H39" s="4" t="s">
        <v>2238</v>
      </c>
      <c r="I39" s="4" t="s">
        <v>2253</v>
      </c>
      <c r="J39" s="55">
        <v>42000</v>
      </c>
      <c r="K39" s="55">
        <v>17000</v>
      </c>
      <c r="L39" s="65">
        <v>45314</v>
      </c>
      <c r="M39" s="66">
        <v>500</v>
      </c>
      <c r="N39" s="65">
        <v>45314</v>
      </c>
      <c r="O39" s="66">
        <v>500</v>
      </c>
      <c r="P39" s="39">
        <v>45706</v>
      </c>
      <c r="Q39" s="57">
        <v>41500</v>
      </c>
      <c r="R39" s="39">
        <v>45726</v>
      </c>
      <c r="S39" s="115">
        <v>16500</v>
      </c>
      <c r="T39" s="65"/>
      <c r="U39" s="66"/>
      <c r="V39" s="65"/>
      <c r="W39" s="66"/>
      <c r="X39" s="39"/>
      <c r="Y39" s="57"/>
      <c r="Z39" s="39"/>
      <c r="AA39" s="57"/>
      <c r="AB39" s="65"/>
      <c r="AC39" s="66"/>
      <c r="AD39" s="65"/>
      <c r="AE39" s="66"/>
      <c r="AF39" s="39"/>
      <c r="AG39" s="57"/>
      <c r="AH39" s="39"/>
      <c r="AI39" s="57"/>
    </row>
    <row r="40" spans="1:35" ht="19.5" customHeight="1" x14ac:dyDescent="0.3">
      <c r="A40" s="4">
        <v>2401121</v>
      </c>
      <c r="B40" s="110" t="s">
        <v>259</v>
      </c>
      <c r="C40" s="55">
        <v>40000</v>
      </c>
      <c r="D40" s="55">
        <v>0</v>
      </c>
      <c r="E40" s="55" t="s">
        <v>17</v>
      </c>
      <c r="F40" s="4" t="s">
        <v>71</v>
      </c>
      <c r="G40" s="4" t="s">
        <v>72</v>
      </c>
      <c r="H40" s="4" t="s">
        <v>2236</v>
      </c>
      <c r="I40" s="4" t="s">
        <v>2254</v>
      </c>
      <c r="J40" s="55">
        <v>40000</v>
      </c>
      <c r="K40" s="55">
        <v>39800</v>
      </c>
      <c r="L40" s="65">
        <v>45383</v>
      </c>
      <c r="M40" s="66">
        <v>500</v>
      </c>
      <c r="N40" s="65">
        <v>45383</v>
      </c>
      <c r="O40" s="66">
        <v>500</v>
      </c>
      <c r="P40" s="39">
        <v>45427</v>
      </c>
      <c r="Q40" s="57">
        <v>37500</v>
      </c>
      <c r="R40" s="39">
        <v>45427</v>
      </c>
      <c r="S40" s="57">
        <v>37500</v>
      </c>
      <c r="T40" s="65">
        <v>45427</v>
      </c>
      <c r="U40" s="66">
        <v>2000</v>
      </c>
      <c r="V40" s="65" t="s">
        <v>1889</v>
      </c>
      <c r="W40" s="67">
        <v>1800</v>
      </c>
      <c r="X40" s="39"/>
      <c r="Y40" s="57"/>
      <c r="Z40" s="39"/>
      <c r="AA40" s="57"/>
      <c r="AB40" s="65"/>
      <c r="AC40" s="66"/>
      <c r="AD40" s="65"/>
      <c r="AE40" s="66"/>
      <c r="AF40" s="39"/>
      <c r="AG40" s="57"/>
      <c r="AH40" s="39"/>
      <c r="AI40" s="57"/>
    </row>
    <row r="41" spans="1:35" ht="19.5" customHeight="1" x14ac:dyDescent="0.3">
      <c r="A41" s="4">
        <v>2401124</v>
      </c>
      <c r="B41" s="110" t="s">
        <v>264</v>
      </c>
      <c r="C41" s="55">
        <v>53708</v>
      </c>
      <c r="D41" s="55">
        <v>0</v>
      </c>
      <c r="E41" s="55" t="s">
        <v>17</v>
      </c>
      <c r="F41" s="4" t="s">
        <v>71</v>
      </c>
      <c r="G41" s="4" t="s">
        <v>176</v>
      </c>
      <c r="H41" s="4" t="s">
        <v>2236</v>
      </c>
      <c r="I41" s="4" t="s">
        <v>2251</v>
      </c>
      <c r="J41" s="55">
        <v>53708</v>
      </c>
      <c r="K41" s="55">
        <v>53708</v>
      </c>
      <c r="L41" s="65">
        <v>45384</v>
      </c>
      <c r="M41" s="66">
        <v>500</v>
      </c>
      <c r="N41" s="65">
        <v>45384</v>
      </c>
      <c r="O41" s="66">
        <v>500</v>
      </c>
      <c r="P41" s="39">
        <v>45428</v>
      </c>
      <c r="Q41" s="57">
        <v>53208</v>
      </c>
      <c r="R41" s="39">
        <v>45428</v>
      </c>
      <c r="S41" s="57">
        <v>53208</v>
      </c>
      <c r="T41" s="65"/>
      <c r="U41" s="66"/>
      <c r="V41" s="65"/>
      <c r="W41" s="66"/>
      <c r="X41" s="39"/>
      <c r="Y41" s="57"/>
      <c r="Z41" s="39"/>
      <c r="AA41" s="57"/>
      <c r="AB41" s="65"/>
      <c r="AC41" s="66"/>
      <c r="AD41" s="65"/>
      <c r="AE41" s="66"/>
      <c r="AF41" s="39"/>
      <c r="AG41" s="57"/>
      <c r="AH41" s="39"/>
      <c r="AI41" s="57"/>
    </row>
    <row r="42" spans="1:35" ht="19.5" customHeight="1" x14ac:dyDescent="0.3">
      <c r="A42" s="4">
        <v>2401131</v>
      </c>
      <c r="B42" s="110" t="s">
        <v>270</v>
      </c>
      <c r="C42" s="55">
        <v>29500</v>
      </c>
      <c r="D42" s="55">
        <v>0</v>
      </c>
      <c r="E42" s="55" t="s">
        <v>17</v>
      </c>
      <c r="F42" s="4" t="s">
        <v>71</v>
      </c>
      <c r="G42" s="4" t="s">
        <v>72</v>
      </c>
      <c r="H42" s="4" t="s">
        <v>2236</v>
      </c>
      <c r="I42" s="4" t="s">
        <v>2251</v>
      </c>
      <c r="J42" s="55">
        <v>29500</v>
      </c>
      <c r="K42" s="55">
        <v>29500</v>
      </c>
      <c r="L42" s="65">
        <v>45394</v>
      </c>
      <c r="M42" s="66">
        <v>500</v>
      </c>
      <c r="N42" s="65">
        <v>45394</v>
      </c>
      <c r="O42" s="66">
        <v>500</v>
      </c>
      <c r="P42" s="39">
        <v>45447</v>
      </c>
      <c r="Q42" s="57">
        <v>29000</v>
      </c>
      <c r="R42" s="39">
        <v>45447</v>
      </c>
      <c r="S42" s="57">
        <v>29000</v>
      </c>
      <c r="T42" s="65"/>
      <c r="U42" s="66"/>
      <c r="V42" s="65"/>
      <c r="W42" s="66"/>
      <c r="X42" s="39"/>
      <c r="Y42" s="57"/>
      <c r="Z42" s="39"/>
      <c r="AA42" s="57"/>
      <c r="AB42" s="65"/>
      <c r="AC42" s="66"/>
      <c r="AD42" s="65"/>
      <c r="AE42" s="66"/>
      <c r="AF42" s="39"/>
      <c r="AG42" s="57"/>
      <c r="AH42" s="39"/>
      <c r="AI42" s="57"/>
    </row>
    <row r="43" spans="1:35" ht="19.5" customHeight="1" x14ac:dyDescent="0.3">
      <c r="A43" s="4">
        <v>2401137</v>
      </c>
      <c r="B43" s="110" t="s">
        <v>275</v>
      </c>
      <c r="C43" s="55">
        <v>40900</v>
      </c>
      <c r="D43" s="55">
        <v>0</v>
      </c>
      <c r="E43" s="55" t="s">
        <v>17</v>
      </c>
      <c r="F43" s="4" t="s">
        <v>71</v>
      </c>
      <c r="G43" s="4" t="s">
        <v>176</v>
      </c>
      <c r="H43" s="4" t="s">
        <v>2236</v>
      </c>
      <c r="I43" s="4" t="s">
        <v>2251</v>
      </c>
      <c r="J43" s="55">
        <v>40900</v>
      </c>
      <c r="K43" s="55">
        <v>40900</v>
      </c>
      <c r="L43" s="65">
        <v>45378</v>
      </c>
      <c r="M43" s="66">
        <v>500</v>
      </c>
      <c r="N43" s="65">
        <v>45378</v>
      </c>
      <c r="O43" s="66">
        <v>500</v>
      </c>
      <c r="P43" s="39">
        <v>45431</v>
      </c>
      <c r="Q43" s="57">
        <v>40400</v>
      </c>
      <c r="R43" s="39">
        <v>45431</v>
      </c>
      <c r="S43" s="57">
        <v>40400</v>
      </c>
      <c r="T43" s="65"/>
      <c r="U43" s="66"/>
      <c r="V43" s="65"/>
      <c r="W43" s="66"/>
      <c r="X43" s="39"/>
      <c r="Y43" s="57"/>
      <c r="Z43" s="39"/>
      <c r="AA43" s="57"/>
      <c r="AB43" s="65"/>
      <c r="AC43" s="66"/>
      <c r="AD43" s="65"/>
      <c r="AE43" s="66"/>
      <c r="AF43" s="39"/>
      <c r="AG43" s="57"/>
      <c r="AH43" s="39"/>
      <c r="AI43" s="57"/>
    </row>
    <row r="44" spans="1:35" ht="19.5" customHeight="1" x14ac:dyDescent="0.3">
      <c r="A44" s="4">
        <v>2401147</v>
      </c>
      <c r="B44" s="110" t="s">
        <v>280</v>
      </c>
      <c r="C44" s="55">
        <v>40440</v>
      </c>
      <c r="D44" s="55">
        <v>0</v>
      </c>
      <c r="E44" s="55" t="s">
        <v>17</v>
      </c>
      <c r="F44" s="4" t="s">
        <v>71</v>
      </c>
      <c r="G44" s="4" t="s">
        <v>176</v>
      </c>
      <c r="H44" s="4" t="s">
        <v>2236</v>
      </c>
      <c r="I44" s="4" t="s">
        <v>2251</v>
      </c>
      <c r="J44" s="55">
        <v>40440</v>
      </c>
      <c r="K44" s="55">
        <v>40440</v>
      </c>
      <c r="L44" s="65">
        <v>45383</v>
      </c>
      <c r="M44" s="66">
        <v>500</v>
      </c>
      <c r="N44" s="65">
        <v>45383</v>
      </c>
      <c r="O44" s="66">
        <v>500</v>
      </c>
      <c r="P44" s="39">
        <v>45440</v>
      </c>
      <c r="Q44" s="57">
        <v>39940</v>
      </c>
      <c r="R44" s="39">
        <v>45440</v>
      </c>
      <c r="S44" s="57">
        <v>39940</v>
      </c>
      <c r="T44" s="65"/>
      <c r="U44" s="66"/>
      <c r="V44" s="65"/>
      <c r="W44" s="66"/>
      <c r="X44" s="39"/>
      <c r="Y44" s="57"/>
      <c r="Z44" s="39"/>
      <c r="AA44" s="57"/>
      <c r="AB44" s="65"/>
      <c r="AC44" s="66"/>
      <c r="AD44" s="65"/>
      <c r="AE44" s="66"/>
      <c r="AF44" s="39"/>
      <c r="AG44" s="57"/>
      <c r="AH44" s="39"/>
      <c r="AI44" s="57"/>
    </row>
    <row r="45" spans="1:35" ht="19.5" customHeight="1" x14ac:dyDescent="0.3">
      <c r="A45" s="4">
        <v>2403165</v>
      </c>
      <c r="B45" s="110" t="s">
        <v>285</v>
      </c>
      <c r="C45" s="55">
        <v>24600</v>
      </c>
      <c r="D45" s="55">
        <v>0</v>
      </c>
      <c r="E45" s="55" t="s">
        <v>17</v>
      </c>
      <c r="F45" s="4" t="s">
        <v>71</v>
      </c>
      <c r="G45" s="4" t="s">
        <v>125</v>
      </c>
      <c r="H45" s="4" t="s">
        <v>2236</v>
      </c>
      <c r="I45" s="4" t="s">
        <v>2251</v>
      </c>
      <c r="J45" s="55">
        <v>24600</v>
      </c>
      <c r="K45" s="55">
        <v>24600</v>
      </c>
      <c r="L45" s="65">
        <v>45383</v>
      </c>
      <c r="M45" s="66">
        <v>500</v>
      </c>
      <c r="N45" s="65">
        <v>45383</v>
      </c>
      <c r="O45" s="66">
        <v>500</v>
      </c>
      <c r="P45" s="39">
        <v>45440</v>
      </c>
      <c r="Q45" s="57">
        <v>24100</v>
      </c>
      <c r="R45" s="39">
        <v>45440</v>
      </c>
      <c r="S45" s="57">
        <v>24100</v>
      </c>
      <c r="T45" s="65"/>
      <c r="U45" s="66"/>
      <c r="V45" s="65"/>
      <c r="W45" s="66"/>
      <c r="X45" s="39"/>
      <c r="Y45" s="57"/>
      <c r="Z45" s="39"/>
      <c r="AA45" s="57"/>
      <c r="AB45" s="65"/>
      <c r="AC45" s="66"/>
      <c r="AD45" s="65"/>
      <c r="AE45" s="66"/>
      <c r="AF45" s="39"/>
      <c r="AG45" s="57"/>
      <c r="AH45" s="39"/>
      <c r="AI45" s="57"/>
    </row>
    <row r="46" spans="1:35" ht="19.5" customHeight="1" x14ac:dyDescent="0.3">
      <c r="A46" s="4">
        <v>2403167</v>
      </c>
      <c r="B46" s="110" t="s">
        <v>291</v>
      </c>
      <c r="C46" s="55">
        <v>47500</v>
      </c>
      <c r="D46" s="55">
        <v>0</v>
      </c>
      <c r="E46" s="55" t="s">
        <v>17</v>
      </c>
      <c r="F46" s="4" t="s">
        <v>71</v>
      </c>
      <c r="G46" s="4" t="s">
        <v>72</v>
      </c>
      <c r="H46" s="4" t="s">
        <v>2236</v>
      </c>
      <c r="I46" s="4" t="s">
        <v>2251</v>
      </c>
      <c r="J46" s="55">
        <v>47500</v>
      </c>
      <c r="K46" s="55">
        <v>47500</v>
      </c>
      <c r="L46" s="65">
        <v>45375</v>
      </c>
      <c r="M46" s="66">
        <v>500</v>
      </c>
      <c r="N46" s="65">
        <v>45375</v>
      </c>
      <c r="O46" s="66">
        <v>500</v>
      </c>
      <c r="P46" s="39">
        <v>45411</v>
      </c>
      <c r="Q46" s="57">
        <v>45000</v>
      </c>
      <c r="R46" s="39">
        <v>45411</v>
      </c>
      <c r="S46" s="57">
        <v>45000</v>
      </c>
      <c r="T46" s="65">
        <v>45478</v>
      </c>
      <c r="U46" s="66">
        <v>2000</v>
      </c>
      <c r="V46" s="65">
        <v>45478</v>
      </c>
      <c r="W46" s="66">
        <v>2000</v>
      </c>
      <c r="X46" s="39"/>
      <c r="Y46" s="57"/>
      <c r="Z46" s="39"/>
      <c r="AA46" s="57"/>
      <c r="AB46" s="65"/>
      <c r="AC46" s="66"/>
      <c r="AD46" s="65"/>
      <c r="AE46" s="66"/>
      <c r="AF46" s="39"/>
      <c r="AG46" s="57"/>
      <c r="AH46" s="39"/>
      <c r="AI46" s="57"/>
    </row>
    <row r="47" spans="1:35" ht="19.5" customHeight="1" x14ac:dyDescent="0.3">
      <c r="A47" s="4">
        <v>2403170</v>
      </c>
      <c r="B47" s="110" t="s">
        <v>296</v>
      </c>
      <c r="C47" s="55">
        <v>35600</v>
      </c>
      <c r="D47" s="55">
        <v>0</v>
      </c>
      <c r="E47" s="55" t="s">
        <v>17</v>
      </c>
      <c r="F47" s="4" t="s">
        <v>71</v>
      </c>
      <c r="G47" s="4" t="s">
        <v>72</v>
      </c>
      <c r="H47" s="4" t="s">
        <v>2236</v>
      </c>
      <c r="I47" s="4" t="s">
        <v>2251</v>
      </c>
      <c r="J47" s="55">
        <v>35600</v>
      </c>
      <c r="K47" s="55">
        <v>35600</v>
      </c>
      <c r="L47" s="65">
        <v>45366</v>
      </c>
      <c r="M47" s="66">
        <v>500</v>
      </c>
      <c r="N47" s="65">
        <v>45366</v>
      </c>
      <c r="O47" s="66">
        <v>500</v>
      </c>
      <c r="P47" s="39">
        <v>45408</v>
      </c>
      <c r="Q47" s="57">
        <v>33100</v>
      </c>
      <c r="R47" s="39">
        <v>45408</v>
      </c>
      <c r="S47" s="57">
        <v>33100</v>
      </c>
      <c r="T47" s="65">
        <v>45505</v>
      </c>
      <c r="U47" s="66">
        <v>2000</v>
      </c>
      <c r="V47" s="65">
        <v>45505</v>
      </c>
      <c r="W47" s="66">
        <v>2000</v>
      </c>
      <c r="X47" s="39"/>
      <c r="Y47" s="57"/>
      <c r="Z47" s="39"/>
      <c r="AA47" s="57"/>
      <c r="AB47" s="65"/>
      <c r="AC47" s="66"/>
      <c r="AD47" s="65"/>
      <c r="AE47" s="66"/>
      <c r="AF47" s="39"/>
      <c r="AG47" s="57"/>
      <c r="AH47" s="39"/>
      <c r="AI47" s="57"/>
    </row>
    <row r="48" spans="1:35" ht="19.5" customHeight="1" x14ac:dyDescent="0.3">
      <c r="A48" s="4">
        <v>2403177</v>
      </c>
      <c r="B48" s="110" t="s">
        <v>301</v>
      </c>
      <c r="C48" s="55">
        <v>20000</v>
      </c>
      <c r="D48" s="55">
        <v>0</v>
      </c>
      <c r="E48" s="55" t="s">
        <v>17</v>
      </c>
      <c r="F48" s="4" t="s">
        <v>71</v>
      </c>
      <c r="G48" s="4" t="s">
        <v>72</v>
      </c>
      <c r="H48" s="4" t="s">
        <v>2236</v>
      </c>
      <c r="I48" s="4" t="s">
        <v>2253</v>
      </c>
      <c r="J48" s="55">
        <v>20000</v>
      </c>
      <c r="K48" s="55">
        <v>16000</v>
      </c>
      <c r="L48" s="65">
        <v>45376</v>
      </c>
      <c r="M48" s="66">
        <v>500</v>
      </c>
      <c r="N48" s="65">
        <v>45376</v>
      </c>
      <c r="O48" s="66">
        <v>500</v>
      </c>
      <c r="P48" s="39">
        <v>45639</v>
      </c>
      <c r="Q48" s="57">
        <v>19500</v>
      </c>
      <c r="R48" s="39">
        <v>45751</v>
      </c>
      <c r="S48" s="115">
        <v>15500</v>
      </c>
      <c r="T48" s="65"/>
      <c r="U48" s="66"/>
      <c r="V48" s="65"/>
      <c r="W48" s="66"/>
      <c r="X48" s="39"/>
      <c r="Y48" s="57"/>
      <c r="Z48" s="39"/>
      <c r="AA48" s="57"/>
      <c r="AB48" s="65"/>
      <c r="AC48" s="66"/>
      <c r="AD48" s="65"/>
      <c r="AE48" s="66"/>
      <c r="AF48" s="39"/>
      <c r="AG48" s="57"/>
      <c r="AH48" s="39"/>
      <c r="AI48" s="57"/>
    </row>
    <row r="49" spans="1:35" ht="19.5" customHeight="1" x14ac:dyDescent="0.3">
      <c r="A49" s="4">
        <v>2403189</v>
      </c>
      <c r="B49" s="110" t="s">
        <v>308</v>
      </c>
      <c r="C49" s="55">
        <v>27500</v>
      </c>
      <c r="D49" s="55">
        <v>0</v>
      </c>
      <c r="E49" s="55" t="s">
        <v>19</v>
      </c>
      <c r="F49" s="4" t="s">
        <v>71</v>
      </c>
      <c r="G49" s="4" t="s">
        <v>72</v>
      </c>
      <c r="H49" s="4" t="s">
        <v>2236</v>
      </c>
      <c r="I49" s="4" t="s">
        <v>2251</v>
      </c>
      <c r="J49" s="55">
        <v>27500</v>
      </c>
      <c r="K49" s="55">
        <v>27500</v>
      </c>
      <c r="L49" s="65">
        <v>45380</v>
      </c>
      <c r="M49" s="66">
        <v>500</v>
      </c>
      <c r="N49" s="65">
        <v>45380</v>
      </c>
      <c r="O49" s="66">
        <v>500</v>
      </c>
      <c r="P49" s="39">
        <v>45450</v>
      </c>
      <c r="Q49" s="57">
        <v>25000</v>
      </c>
      <c r="R49" s="39">
        <v>45450</v>
      </c>
      <c r="S49" s="57">
        <v>25000</v>
      </c>
      <c r="T49" s="65">
        <v>45475</v>
      </c>
      <c r="U49" s="66">
        <v>2000</v>
      </c>
      <c r="V49" s="65">
        <v>45475</v>
      </c>
      <c r="W49" s="66">
        <v>2000</v>
      </c>
      <c r="X49" s="39"/>
      <c r="Y49" s="57"/>
      <c r="Z49" s="39"/>
      <c r="AA49" s="57"/>
      <c r="AB49" s="65"/>
      <c r="AC49" s="66"/>
      <c r="AD49" s="65"/>
      <c r="AE49" s="66"/>
      <c r="AF49" s="39"/>
      <c r="AG49" s="57"/>
      <c r="AH49" s="39"/>
      <c r="AI49" s="57"/>
    </row>
    <row r="50" spans="1:35" ht="19.5" customHeight="1" x14ac:dyDescent="0.3">
      <c r="A50" s="4">
        <v>2403190</v>
      </c>
      <c r="B50" s="110" t="s">
        <v>314</v>
      </c>
      <c r="C50" s="55">
        <v>21000</v>
      </c>
      <c r="D50" s="55">
        <v>0</v>
      </c>
      <c r="E50" s="55" t="s">
        <v>19</v>
      </c>
      <c r="F50" s="4" t="s">
        <v>71</v>
      </c>
      <c r="G50" s="4" t="s">
        <v>72</v>
      </c>
      <c r="H50" s="4" t="s">
        <v>2236</v>
      </c>
      <c r="I50" s="4" t="s">
        <v>2251</v>
      </c>
      <c r="J50" s="55">
        <v>21000</v>
      </c>
      <c r="K50" s="55">
        <v>21000</v>
      </c>
      <c r="L50" s="65">
        <v>45380</v>
      </c>
      <c r="M50" s="66">
        <v>500</v>
      </c>
      <c r="N50" s="65">
        <v>45380</v>
      </c>
      <c r="O50" s="66">
        <v>500</v>
      </c>
      <c r="P50" s="39">
        <v>45463</v>
      </c>
      <c r="Q50" s="57">
        <v>20500</v>
      </c>
      <c r="R50" s="39">
        <v>45463</v>
      </c>
      <c r="S50" s="57">
        <v>20500</v>
      </c>
      <c r="T50" s="65"/>
      <c r="U50" s="66"/>
      <c r="V50" s="65"/>
      <c r="W50" s="66"/>
      <c r="X50" s="39"/>
      <c r="Y50" s="57"/>
      <c r="Z50" s="39"/>
      <c r="AA50" s="57"/>
      <c r="AB50" s="65"/>
      <c r="AC50" s="66"/>
      <c r="AD50" s="65"/>
      <c r="AE50" s="66"/>
      <c r="AF50" s="39"/>
      <c r="AG50" s="57"/>
      <c r="AH50" s="39"/>
      <c r="AI50" s="57"/>
    </row>
    <row r="51" spans="1:35" s="123" customFormat="1" ht="19.5" customHeight="1" x14ac:dyDescent="0.3">
      <c r="A51" s="116">
        <v>2403197</v>
      </c>
      <c r="B51" s="125" t="s">
        <v>319</v>
      </c>
      <c r="C51" s="117">
        <v>48600</v>
      </c>
      <c r="D51" s="117">
        <v>0</v>
      </c>
      <c r="E51" s="117" t="s">
        <v>19</v>
      </c>
      <c r="F51" s="116" t="s">
        <v>71</v>
      </c>
      <c r="G51" s="116" t="s">
        <v>72</v>
      </c>
      <c r="H51" s="116" t="s">
        <v>2240</v>
      </c>
      <c r="I51" s="116" t="s">
        <v>2255</v>
      </c>
      <c r="J51" s="117">
        <v>500</v>
      </c>
      <c r="K51" s="117">
        <v>500</v>
      </c>
      <c r="L51" s="118">
        <v>45380</v>
      </c>
      <c r="M51" s="119">
        <v>500</v>
      </c>
      <c r="N51" s="118">
        <v>45380</v>
      </c>
      <c r="O51" s="119">
        <v>500</v>
      </c>
      <c r="P51" s="120"/>
      <c r="Q51" s="121"/>
      <c r="R51" s="116"/>
      <c r="S51" s="121"/>
      <c r="T51" s="118"/>
      <c r="U51" s="119"/>
      <c r="V51" s="118"/>
      <c r="W51" s="119"/>
      <c r="X51" s="39"/>
      <c r="Y51" s="121"/>
      <c r="Z51" s="39"/>
      <c r="AA51" s="121"/>
      <c r="AB51" s="118"/>
      <c r="AC51" s="119"/>
      <c r="AD51" s="118"/>
      <c r="AE51" s="119"/>
      <c r="AF51" s="120"/>
      <c r="AG51" s="121"/>
      <c r="AH51" s="120"/>
      <c r="AI51" s="121"/>
    </row>
    <row r="52" spans="1:35" ht="19.5" customHeight="1" x14ac:dyDescent="0.3">
      <c r="A52" s="4" t="s">
        <v>324</v>
      </c>
      <c r="B52" s="110" t="s">
        <v>325</v>
      </c>
      <c r="C52" s="55">
        <v>27237.200000000001</v>
      </c>
      <c r="D52" s="55">
        <v>0</v>
      </c>
      <c r="E52" s="55" t="s">
        <v>17</v>
      </c>
      <c r="F52" s="4" t="s">
        <v>71</v>
      </c>
      <c r="G52" s="4" t="s">
        <v>176</v>
      </c>
      <c r="H52" s="4" t="s">
        <v>2236</v>
      </c>
      <c r="I52" s="4" t="s">
        <v>2251</v>
      </c>
      <c r="J52" s="55">
        <v>27237.200000000001</v>
      </c>
      <c r="K52" s="55">
        <v>27237.200000000001</v>
      </c>
      <c r="L52" s="65">
        <v>45383</v>
      </c>
      <c r="M52" s="66">
        <v>500</v>
      </c>
      <c r="N52" s="65">
        <v>45383</v>
      </c>
      <c r="O52" s="66">
        <v>500</v>
      </c>
      <c r="P52" s="39">
        <v>45423</v>
      </c>
      <c r="Q52" s="57">
        <v>26737.200000000001</v>
      </c>
      <c r="R52" s="39">
        <v>45427</v>
      </c>
      <c r="S52" s="57">
        <v>26737.200000000001</v>
      </c>
      <c r="T52" s="65"/>
      <c r="U52" s="66"/>
      <c r="V52" s="65"/>
      <c r="W52" s="66"/>
      <c r="X52" s="39"/>
      <c r="Y52" s="57"/>
      <c r="Z52" s="39"/>
      <c r="AA52" s="57"/>
      <c r="AB52" s="65"/>
      <c r="AC52" s="66"/>
      <c r="AD52" s="65"/>
      <c r="AE52" s="66"/>
      <c r="AF52" s="39"/>
      <c r="AG52" s="57"/>
      <c r="AH52" s="39"/>
      <c r="AI52" s="57"/>
    </row>
    <row r="53" spans="1:35" ht="19.5" customHeight="1" x14ac:dyDescent="0.3">
      <c r="A53" s="4">
        <v>2404206</v>
      </c>
      <c r="B53" s="110" t="s">
        <v>330</v>
      </c>
      <c r="C53" s="55">
        <v>31000</v>
      </c>
      <c r="D53" s="55">
        <v>0</v>
      </c>
      <c r="E53" s="55" t="s">
        <v>19</v>
      </c>
      <c r="F53" s="4" t="s">
        <v>71</v>
      </c>
      <c r="G53" s="4" t="s">
        <v>164</v>
      </c>
      <c r="H53" s="4" t="s">
        <v>2236</v>
      </c>
      <c r="I53" s="4" t="s">
        <v>2251</v>
      </c>
      <c r="J53" s="55">
        <v>31000</v>
      </c>
      <c r="K53" s="55">
        <v>31000</v>
      </c>
      <c r="L53" s="65">
        <v>45386</v>
      </c>
      <c r="M53" s="66">
        <v>500</v>
      </c>
      <c r="N53" s="65">
        <v>45386</v>
      </c>
      <c r="O53" s="66">
        <v>500</v>
      </c>
      <c r="P53" s="39">
        <v>45420</v>
      </c>
      <c r="Q53" s="57">
        <v>30500</v>
      </c>
      <c r="R53" s="39">
        <v>45425</v>
      </c>
      <c r="S53" s="57">
        <v>30500</v>
      </c>
      <c r="T53" s="65"/>
      <c r="U53" s="66"/>
      <c r="V53" s="65"/>
      <c r="W53" s="66"/>
      <c r="X53" s="39"/>
      <c r="Y53" s="57"/>
      <c r="Z53" s="39"/>
      <c r="AA53" s="57"/>
      <c r="AB53" s="65"/>
      <c r="AC53" s="66"/>
      <c r="AD53" s="65"/>
      <c r="AE53" s="66"/>
      <c r="AF53" s="39"/>
      <c r="AG53" s="57"/>
      <c r="AH53" s="39"/>
      <c r="AI53" s="57"/>
    </row>
    <row r="54" spans="1:35" ht="19.5" customHeight="1" x14ac:dyDescent="0.3">
      <c r="A54" s="4">
        <v>2404226</v>
      </c>
      <c r="B54" s="110" t="s">
        <v>335</v>
      </c>
      <c r="C54" s="55">
        <v>25100</v>
      </c>
      <c r="D54" s="55">
        <v>0</v>
      </c>
      <c r="E54" s="55" t="s">
        <v>17</v>
      </c>
      <c r="F54" s="4" t="s">
        <v>71</v>
      </c>
      <c r="G54" s="4" t="s">
        <v>72</v>
      </c>
      <c r="H54" s="4" t="s">
        <v>2236</v>
      </c>
      <c r="I54" s="4" t="s">
        <v>2251</v>
      </c>
      <c r="J54" s="55">
        <v>25100</v>
      </c>
      <c r="K54" s="55">
        <v>25100</v>
      </c>
      <c r="L54" s="65">
        <v>45396</v>
      </c>
      <c r="M54" s="66">
        <v>500</v>
      </c>
      <c r="N54" s="65">
        <v>45396</v>
      </c>
      <c r="O54" s="66">
        <v>500</v>
      </c>
      <c r="P54" s="39">
        <v>45485</v>
      </c>
      <c r="Q54" s="57">
        <v>24600</v>
      </c>
      <c r="R54" s="39">
        <v>45487</v>
      </c>
      <c r="S54" s="57">
        <v>24600</v>
      </c>
      <c r="T54" s="65"/>
      <c r="U54" s="66"/>
      <c r="V54" s="65"/>
      <c r="W54" s="66"/>
      <c r="X54" s="39"/>
      <c r="Y54" s="57"/>
      <c r="Z54" s="39"/>
      <c r="AA54" s="57"/>
      <c r="AB54" s="65"/>
      <c r="AC54" s="66"/>
      <c r="AD54" s="65"/>
      <c r="AE54" s="66"/>
      <c r="AF54" s="39"/>
      <c r="AG54" s="57"/>
      <c r="AH54" s="39"/>
      <c r="AI54" s="57"/>
    </row>
    <row r="55" spans="1:35" ht="19.5" customHeight="1" x14ac:dyDescent="0.3">
      <c r="A55" s="4">
        <v>2401063</v>
      </c>
      <c r="B55" s="110" t="s">
        <v>340</v>
      </c>
      <c r="C55" s="55">
        <v>82000</v>
      </c>
      <c r="D55" s="55">
        <v>0</v>
      </c>
      <c r="E55" s="55" t="s">
        <v>17</v>
      </c>
      <c r="F55" s="4" t="s">
        <v>124</v>
      </c>
      <c r="G55" s="4" t="s">
        <v>72</v>
      </c>
      <c r="H55" s="4" t="s">
        <v>2236</v>
      </c>
      <c r="I55" s="4" t="s">
        <v>2251</v>
      </c>
      <c r="J55" s="55">
        <v>82000</v>
      </c>
      <c r="K55" s="55">
        <v>82000</v>
      </c>
      <c r="L55" s="65">
        <v>45397</v>
      </c>
      <c r="M55" s="66">
        <v>8200</v>
      </c>
      <c r="N55" s="65">
        <v>45397</v>
      </c>
      <c r="O55" s="66">
        <v>8200</v>
      </c>
      <c r="P55" s="39">
        <v>45477</v>
      </c>
      <c r="Q55" s="57">
        <v>28700</v>
      </c>
      <c r="R55" s="39">
        <v>45483</v>
      </c>
      <c r="S55" s="57">
        <v>28700</v>
      </c>
      <c r="T55" s="65">
        <v>45537</v>
      </c>
      <c r="U55" s="66">
        <v>36900</v>
      </c>
      <c r="V55" s="65">
        <v>45586</v>
      </c>
      <c r="W55" s="66">
        <v>36900</v>
      </c>
      <c r="X55" s="39">
        <v>45586</v>
      </c>
      <c r="Y55" s="59">
        <v>8200</v>
      </c>
      <c r="Z55" s="39">
        <v>45764</v>
      </c>
      <c r="AA55" s="59">
        <v>8200</v>
      </c>
      <c r="AB55" s="65"/>
      <c r="AC55" s="66"/>
      <c r="AD55" s="65"/>
      <c r="AE55" s="66"/>
      <c r="AF55" s="39"/>
      <c r="AG55" s="57"/>
      <c r="AH55" s="39"/>
      <c r="AI55" s="57"/>
    </row>
    <row r="56" spans="1:35" ht="19.5" customHeight="1" x14ac:dyDescent="0.3">
      <c r="A56" s="4">
        <v>2401069</v>
      </c>
      <c r="B56" s="110" t="s">
        <v>343</v>
      </c>
      <c r="C56" s="55">
        <v>668000</v>
      </c>
      <c r="D56" s="55">
        <v>2610</v>
      </c>
      <c r="E56" s="55" t="s">
        <v>17</v>
      </c>
      <c r="F56" s="4" t="s">
        <v>124</v>
      </c>
      <c r="G56" s="4" t="s">
        <v>72</v>
      </c>
      <c r="H56" s="4" t="s">
        <v>2236</v>
      </c>
      <c r="I56" s="4" t="s">
        <v>2251</v>
      </c>
      <c r="J56" s="55">
        <v>670610</v>
      </c>
      <c r="K56" s="55">
        <v>670610</v>
      </c>
      <c r="L56" s="65">
        <v>45390</v>
      </c>
      <c r="M56" s="66">
        <v>66800</v>
      </c>
      <c r="N56" s="65">
        <v>45390</v>
      </c>
      <c r="O56" s="66">
        <v>66800</v>
      </c>
      <c r="P56" s="39">
        <v>45490</v>
      </c>
      <c r="Q56" s="57">
        <v>233800</v>
      </c>
      <c r="R56" s="39">
        <v>45497</v>
      </c>
      <c r="S56" s="57">
        <v>233800</v>
      </c>
      <c r="T56" s="65">
        <v>45537</v>
      </c>
      <c r="U56" s="69">
        <v>300600</v>
      </c>
      <c r="V56" s="72">
        <v>45657</v>
      </c>
      <c r="W56" s="69">
        <v>300600</v>
      </c>
      <c r="X56" s="39">
        <v>45681</v>
      </c>
      <c r="Y56" s="59">
        <v>66800</v>
      </c>
      <c r="Z56" s="39">
        <v>45691</v>
      </c>
      <c r="AA56" s="59">
        <v>66800</v>
      </c>
      <c r="AB56" s="72"/>
      <c r="AC56" s="66"/>
      <c r="AD56" s="72"/>
      <c r="AE56" s="66"/>
      <c r="AF56" s="39">
        <v>45568</v>
      </c>
      <c r="AG56" s="57">
        <v>2610</v>
      </c>
      <c r="AH56" s="39">
        <v>45574</v>
      </c>
      <c r="AI56" s="57">
        <v>2610</v>
      </c>
    </row>
    <row r="57" spans="1:35" ht="19.5" customHeight="1" x14ac:dyDescent="0.3">
      <c r="A57" s="4">
        <v>2402079</v>
      </c>
      <c r="B57" s="110" t="s">
        <v>347</v>
      </c>
      <c r="C57" s="55">
        <v>194600</v>
      </c>
      <c r="D57" s="55">
        <v>0</v>
      </c>
      <c r="E57" s="55" t="s">
        <v>17</v>
      </c>
      <c r="F57" s="4" t="s">
        <v>124</v>
      </c>
      <c r="G57" s="4" t="s">
        <v>72</v>
      </c>
      <c r="H57" s="4" t="s">
        <v>2236</v>
      </c>
      <c r="I57" s="4" t="s">
        <v>2251</v>
      </c>
      <c r="J57" s="55">
        <v>194600</v>
      </c>
      <c r="K57" s="55">
        <v>194600</v>
      </c>
      <c r="L57" s="65">
        <v>45404</v>
      </c>
      <c r="M57" s="66">
        <v>19460</v>
      </c>
      <c r="N57" s="65">
        <v>45404</v>
      </c>
      <c r="O57" s="66">
        <v>19460</v>
      </c>
      <c r="P57" s="39">
        <v>45537</v>
      </c>
      <c r="Q57" s="59">
        <v>68110</v>
      </c>
      <c r="R57" s="39">
        <v>45545</v>
      </c>
      <c r="S57" s="59">
        <v>68110</v>
      </c>
      <c r="T57" s="65">
        <v>45537</v>
      </c>
      <c r="U57" s="66">
        <v>48650</v>
      </c>
      <c r="V57" s="68">
        <v>45545</v>
      </c>
      <c r="W57" s="66">
        <v>48650</v>
      </c>
      <c r="X57" s="39">
        <v>45631</v>
      </c>
      <c r="Y57" s="59">
        <v>38920</v>
      </c>
      <c r="Z57" s="39">
        <v>45639</v>
      </c>
      <c r="AA57" s="59">
        <v>38920</v>
      </c>
      <c r="AB57" s="68">
        <v>45652</v>
      </c>
      <c r="AC57" s="69">
        <v>19460</v>
      </c>
      <c r="AD57" s="68">
        <v>45656</v>
      </c>
      <c r="AE57" s="69">
        <v>19460</v>
      </c>
      <c r="AF57" s="39"/>
      <c r="AG57" s="57"/>
      <c r="AH57" s="39"/>
      <c r="AI57" s="57"/>
    </row>
    <row r="58" spans="1:35" ht="19.5" customHeight="1" x14ac:dyDescent="0.3">
      <c r="A58" s="4">
        <v>2402080</v>
      </c>
      <c r="B58" s="110" t="s">
        <v>350</v>
      </c>
      <c r="C58" s="55">
        <v>120000</v>
      </c>
      <c r="D58" s="55">
        <v>1500</v>
      </c>
      <c r="E58" s="55" t="s">
        <v>17</v>
      </c>
      <c r="F58" s="4" t="s">
        <v>124</v>
      </c>
      <c r="G58" s="4" t="s">
        <v>72</v>
      </c>
      <c r="H58" s="4" t="s">
        <v>2236</v>
      </c>
      <c r="I58" s="4" t="s">
        <v>2251</v>
      </c>
      <c r="J58" s="55">
        <v>122500</v>
      </c>
      <c r="K58" s="55">
        <v>121500</v>
      </c>
      <c r="L58" s="65">
        <v>45399</v>
      </c>
      <c r="M58" s="66">
        <v>12000</v>
      </c>
      <c r="N58" s="65">
        <v>45399</v>
      </c>
      <c r="O58" s="66">
        <v>12000</v>
      </c>
      <c r="P58" s="39">
        <v>45477</v>
      </c>
      <c r="Q58" s="57">
        <v>42000</v>
      </c>
      <c r="R58" s="39">
        <v>45496</v>
      </c>
      <c r="S58" s="57">
        <v>42000</v>
      </c>
      <c r="T58" s="65">
        <v>45537</v>
      </c>
      <c r="U58" s="66">
        <v>66000</v>
      </c>
      <c r="V58" s="65">
        <v>45847</v>
      </c>
      <c r="W58" s="66">
        <v>65000</v>
      </c>
      <c r="X58" s="39"/>
      <c r="Y58" s="57"/>
      <c r="Z58" s="39"/>
      <c r="AA58" s="57"/>
      <c r="AB58" s="65"/>
      <c r="AC58" s="66"/>
      <c r="AD58" s="65"/>
      <c r="AE58" s="66"/>
      <c r="AF58" s="39">
        <v>45573</v>
      </c>
      <c r="AG58" s="57">
        <v>2500</v>
      </c>
      <c r="AH58" s="39">
        <v>45573</v>
      </c>
      <c r="AI58" s="57">
        <v>2500</v>
      </c>
    </row>
    <row r="59" spans="1:35" ht="19.5" customHeight="1" x14ac:dyDescent="0.3">
      <c r="A59" s="4">
        <v>2312120</v>
      </c>
      <c r="B59" s="110" t="s">
        <v>353</v>
      </c>
      <c r="C59" s="55">
        <v>27500</v>
      </c>
      <c r="D59" s="55">
        <v>0</v>
      </c>
      <c r="E59" s="55" t="s">
        <v>17</v>
      </c>
      <c r="F59" s="4" t="s">
        <v>71</v>
      </c>
      <c r="G59" s="4" t="s">
        <v>72</v>
      </c>
      <c r="H59" s="4" t="s">
        <v>2236</v>
      </c>
      <c r="I59" s="4" t="s">
        <v>2251</v>
      </c>
      <c r="J59" s="55">
        <v>27500</v>
      </c>
      <c r="K59" s="55">
        <v>27500</v>
      </c>
      <c r="L59" s="65">
        <v>45391</v>
      </c>
      <c r="M59" s="66">
        <v>500</v>
      </c>
      <c r="N59" s="65">
        <v>45391</v>
      </c>
      <c r="O59" s="66">
        <v>500</v>
      </c>
      <c r="P59" s="39">
        <v>45421</v>
      </c>
      <c r="Q59" s="57">
        <v>25000</v>
      </c>
      <c r="R59" s="39">
        <v>45421</v>
      </c>
      <c r="S59" s="57">
        <v>25000</v>
      </c>
      <c r="T59" s="65">
        <v>45807</v>
      </c>
      <c r="U59" s="66">
        <v>2000</v>
      </c>
      <c r="V59" s="65">
        <v>45807</v>
      </c>
      <c r="W59" s="66">
        <v>2000</v>
      </c>
      <c r="X59" s="39"/>
      <c r="Y59" s="57"/>
      <c r="Z59" s="39"/>
      <c r="AA59" s="57"/>
      <c r="AB59" s="65"/>
      <c r="AC59" s="66"/>
      <c r="AD59" s="65"/>
      <c r="AE59" s="66"/>
      <c r="AF59" s="39"/>
      <c r="AG59" s="57"/>
      <c r="AH59" s="39"/>
      <c r="AI59" s="57"/>
    </row>
    <row r="60" spans="1:35" ht="19.5" customHeight="1" x14ac:dyDescent="0.3">
      <c r="A60" s="4">
        <v>2311092</v>
      </c>
      <c r="B60" s="110" t="s">
        <v>358</v>
      </c>
      <c r="C60" s="55">
        <v>22000</v>
      </c>
      <c r="D60" s="55">
        <v>0</v>
      </c>
      <c r="E60" s="55" t="s">
        <v>17</v>
      </c>
      <c r="F60" s="4" t="s">
        <v>71</v>
      </c>
      <c r="G60" s="4" t="s">
        <v>72</v>
      </c>
      <c r="H60" s="4" t="s">
        <v>2240</v>
      </c>
      <c r="I60" s="4" t="s">
        <v>2255</v>
      </c>
      <c r="J60" s="55">
        <v>500</v>
      </c>
      <c r="K60" s="55">
        <v>500</v>
      </c>
      <c r="L60" s="65">
        <v>45257</v>
      </c>
      <c r="M60" s="66">
        <v>500</v>
      </c>
      <c r="N60" s="65">
        <v>45257</v>
      </c>
      <c r="O60" s="66">
        <v>500</v>
      </c>
      <c r="P60" s="39"/>
      <c r="Q60" s="57"/>
      <c r="R60" s="39"/>
      <c r="S60" s="57"/>
      <c r="T60" s="65"/>
      <c r="U60" s="66"/>
      <c r="V60" s="65"/>
      <c r="W60" s="66"/>
      <c r="X60" s="39"/>
      <c r="Y60" s="57"/>
      <c r="Z60" s="39"/>
      <c r="AA60" s="57"/>
      <c r="AB60" s="65"/>
      <c r="AC60" s="66"/>
      <c r="AD60" s="65"/>
      <c r="AE60" s="66"/>
      <c r="AF60" s="39"/>
      <c r="AG60" s="57"/>
      <c r="AH60" s="39"/>
      <c r="AI60" s="57"/>
    </row>
    <row r="61" spans="1:35" ht="19.5" customHeight="1" x14ac:dyDescent="0.3">
      <c r="A61" s="4">
        <v>2404230</v>
      </c>
      <c r="B61" s="110" t="s">
        <v>363</v>
      </c>
      <c r="C61" s="55">
        <v>32500</v>
      </c>
      <c r="D61" s="55">
        <v>-2000</v>
      </c>
      <c r="E61" s="55" t="s">
        <v>17</v>
      </c>
      <c r="F61" s="4" t="s">
        <v>71</v>
      </c>
      <c r="G61" s="4" t="s">
        <v>72</v>
      </c>
      <c r="H61" s="4" t="s">
        <v>2236</v>
      </c>
      <c r="I61" s="4" t="s">
        <v>2251</v>
      </c>
      <c r="J61" s="55">
        <v>30500</v>
      </c>
      <c r="K61" s="55">
        <v>30500</v>
      </c>
      <c r="L61" s="65">
        <v>45402</v>
      </c>
      <c r="M61" s="66">
        <v>500</v>
      </c>
      <c r="N61" s="65">
        <v>45402</v>
      </c>
      <c r="O61" s="66">
        <v>500</v>
      </c>
      <c r="P61" s="39">
        <v>45470</v>
      </c>
      <c r="Q61" s="57">
        <v>30000</v>
      </c>
      <c r="R61" s="39">
        <v>45471</v>
      </c>
      <c r="S61" s="57">
        <v>30000</v>
      </c>
      <c r="T61" s="65"/>
      <c r="U61" s="66"/>
      <c r="V61" s="65"/>
      <c r="W61" s="66"/>
      <c r="X61" s="39"/>
      <c r="Y61" s="57"/>
      <c r="Z61" s="39"/>
      <c r="AA61" s="57"/>
      <c r="AB61" s="65"/>
      <c r="AC61" s="66"/>
      <c r="AD61" s="65"/>
      <c r="AE61" s="66"/>
      <c r="AF61" s="39"/>
      <c r="AG61" s="57"/>
      <c r="AH61" s="39"/>
      <c r="AI61" s="57"/>
    </row>
    <row r="62" spans="1:35" ht="19.5" customHeight="1" x14ac:dyDescent="0.3">
      <c r="A62" s="4">
        <v>2401133</v>
      </c>
      <c r="B62" s="110" t="s">
        <v>369</v>
      </c>
      <c r="C62" s="55">
        <v>34460</v>
      </c>
      <c r="D62" s="55">
        <v>0</v>
      </c>
      <c r="E62" s="55" t="s">
        <v>17</v>
      </c>
      <c r="F62" s="4" t="s">
        <v>71</v>
      </c>
      <c r="G62" s="4" t="s">
        <v>176</v>
      </c>
      <c r="H62" s="4" t="s">
        <v>2236</v>
      </c>
      <c r="I62" s="4" t="s">
        <v>2251</v>
      </c>
      <c r="J62" s="55">
        <v>34460</v>
      </c>
      <c r="K62" s="55">
        <v>34460</v>
      </c>
      <c r="L62" s="65">
        <v>45404</v>
      </c>
      <c r="M62" s="66">
        <v>500</v>
      </c>
      <c r="N62" s="65">
        <v>45404</v>
      </c>
      <c r="O62" s="66">
        <v>500</v>
      </c>
      <c r="P62" s="39">
        <v>45617</v>
      </c>
      <c r="Q62" s="57">
        <v>33960</v>
      </c>
      <c r="R62" s="39">
        <v>45617</v>
      </c>
      <c r="S62" s="57">
        <v>33960</v>
      </c>
      <c r="T62" s="65"/>
      <c r="U62" s="66"/>
      <c r="V62" s="65"/>
      <c r="W62" s="66"/>
      <c r="X62" s="39"/>
      <c r="Y62" s="57"/>
      <c r="Z62" s="39"/>
      <c r="AA62" s="57"/>
      <c r="AB62" s="65"/>
      <c r="AC62" s="66"/>
      <c r="AD62" s="65"/>
      <c r="AE62" s="66"/>
      <c r="AF62" s="39"/>
      <c r="AG62" s="57"/>
      <c r="AH62" s="39"/>
      <c r="AI62" s="57"/>
    </row>
    <row r="63" spans="1:35" ht="19.5" customHeight="1" x14ac:dyDescent="0.3">
      <c r="A63" s="4">
        <v>2403171</v>
      </c>
      <c r="B63" s="110" t="s">
        <v>374</v>
      </c>
      <c r="C63" s="55">
        <v>52400</v>
      </c>
      <c r="D63" s="55">
        <v>0</v>
      </c>
      <c r="E63" s="55" t="s">
        <v>17</v>
      </c>
      <c r="F63" s="4" t="s">
        <v>71</v>
      </c>
      <c r="G63" s="4" t="s">
        <v>176</v>
      </c>
      <c r="H63" s="4" t="s">
        <v>2236</v>
      </c>
      <c r="I63" s="4" t="s">
        <v>2251</v>
      </c>
      <c r="J63" s="55">
        <v>52400</v>
      </c>
      <c r="K63" s="55">
        <v>52400</v>
      </c>
      <c r="L63" s="65">
        <v>45404</v>
      </c>
      <c r="M63" s="66">
        <v>500</v>
      </c>
      <c r="N63" s="65">
        <v>45404</v>
      </c>
      <c r="O63" s="66">
        <v>500</v>
      </c>
      <c r="P63" s="39">
        <v>45496</v>
      </c>
      <c r="Q63" s="57">
        <v>51900</v>
      </c>
      <c r="R63" s="39">
        <v>45496</v>
      </c>
      <c r="S63" s="57">
        <v>51900</v>
      </c>
      <c r="T63" s="65"/>
      <c r="U63" s="66"/>
      <c r="V63" s="65"/>
      <c r="W63" s="66"/>
      <c r="X63" s="39"/>
      <c r="Y63" s="57"/>
      <c r="Z63" s="39"/>
      <c r="AA63" s="57"/>
      <c r="AB63" s="65"/>
      <c r="AC63" s="66"/>
      <c r="AD63" s="65"/>
      <c r="AE63" s="66"/>
      <c r="AF63" s="39"/>
      <c r="AG63" s="57"/>
      <c r="AH63" s="39"/>
      <c r="AI63" s="57"/>
    </row>
    <row r="64" spans="1:35" ht="19.5" customHeight="1" x14ac:dyDescent="0.3">
      <c r="A64" s="4">
        <v>2403176</v>
      </c>
      <c r="B64" s="110" t="s">
        <v>379</v>
      </c>
      <c r="C64" s="55">
        <v>30500</v>
      </c>
      <c r="D64" s="55">
        <v>0</v>
      </c>
      <c r="E64" s="55" t="s">
        <v>17</v>
      </c>
      <c r="F64" s="4" t="s">
        <v>71</v>
      </c>
      <c r="G64" s="4" t="s">
        <v>72</v>
      </c>
      <c r="H64" s="4" t="s">
        <v>2236</v>
      </c>
      <c r="I64" s="4" t="s">
        <v>2251</v>
      </c>
      <c r="J64" s="55">
        <v>30500</v>
      </c>
      <c r="K64" s="55">
        <v>30500</v>
      </c>
      <c r="L64" s="65">
        <v>45406</v>
      </c>
      <c r="M64" s="66">
        <v>500</v>
      </c>
      <c r="N64" s="65">
        <v>45406</v>
      </c>
      <c r="O64" s="66">
        <v>500</v>
      </c>
      <c r="P64" s="39">
        <v>45524</v>
      </c>
      <c r="Q64" s="57">
        <v>28000</v>
      </c>
      <c r="R64" s="39">
        <v>45561</v>
      </c>
      <c r="S64" s="57">
        <v>28000</v>
      </c>
      <c r="T64" s="65">
        <v>45561</v>
      </c>
      <c r="U64" s="66">
        <v>2000</v>
      </c>
      <c r="V64" s="65">
        <v>45561</v>
      </c>
      <c r="W64" s="66">
        <v>2000</v>
      </c>
      <c r="X64" s="39"/>
      <c r="Y64" s="57"/>
      <c r="Z64" s="39"/>
      <c r="AA64" s="57"/>
      <c r="AB64" s="65"/>
      <c r="AC64" s="66"/>
      <c r="AD64" s="65"/>
      <c r="AE64" s="66"/>
      <c r="AF64" s="39"/>
      <c r="AG64" s="57"/>
      <c r="AH64" s="39"/>
      <c r="AI64" s="57"/>
    </row>
    <row r="65" spans="1:35" ht="19.5" customHeight="1" x14ac:dyDescent="0.3">
      <c r="A65" s="4">
        <v>2404229</v>
      </c>
      <c r="B65" s="110" t="s">
        <v>385</v>
      </c>
      <c r="C65" s="55">
        <v>41600</v>
      </c>
      <c r="D65" s="55">
        <v>-1600</v>
      </c>
      <c r="E65" s="55" t="s">
        <v>17</v>
      </c>
      <c r="F65" s="4" t="s">
        <v>71</v>
      </c>
      <c r="G65" s="4" t="s">
        <v>72</v>
      </c>
      <c r="H65" s="4" t="s">
        <v>2236</v>
      </c>
      <c r="I65" s="4" t="s">
        <v>2251</v>
      </c>
      <c r="J65" s="55">
        <v>40000</v>
      </c>
      <c r="K65" s="55">
        <v>40000</v>
      </c>
      <c r="L65" s="65">
        <v>45407</v>
      </c>
      <c r="M65" s="66">
        <v>500</v>
      </c>
      <c r="N65" s="65">
        <v>45407</v>
      </c>
      <c r="O65" s="66">
        <v>500</v>
      </c>
      <c r="P65" s="39">
        <v>45449</v>
      </c>
      <c r="Q65" s="57">
        <v>39500</v>
      </c>
      <c r="R65" s="39">
        <v>45450</v>
      </c>
      <c r="S65" s="57">
        <v>39500</v>
      </c>
      <c r="T65" s="65"/>
      <c r="U65" s="66"/>
      <c r="V65" s="65"/>
      <c r="W65" s="66"/>
      <c r="X65" s="39"/>
      <c r="Y65" s="57"/>
      <c r="Z65" s="39"/>
      <c r="AA65" s="57"/>
      <c r="AB65" s="65"/>
      <c r="AC65" s="66"/>
      <c r="AD65" s="65"/>
      <c r="AE65" s="66"/>
      <c r="AF65" s="39"/>
      <c r="AG65" s="57"/>
      <c r="AH65" s="39"/>
      <c r="AI65" s="57"/>
    </row>
    <row r="66" spans="1:35" ht="19.5" customHeight="1" x14ac:dyDescent="0.3">
      <c r="A66" s="4">
        <v>2404211</v>
      </c>
      <c r="B66" s="110" t="s">
        <v>392</v>
      </c>
      <c r="C66" s="55">
        <v>49600</v>
      </c>
      <c r="D66" s="55">
        <v>0</v>
      </c>
      <c r="E66" s="55" t="s">
        <v>17</v>
      </c>
      <c r="F66" s="4" t="s">
        <v>71</v>
      </c>
      <c r="G66" s="4" t="s">
        <v>72</v>
      </c>
      <c r="H66" s="4" t="s">
        <v>2236</v>
      </c>
      <c r="I66" s="4" t="s">
        <v>2251</v>
      </c>
      <c r="J66" s="55">
        <v>49600</v>
      </c>
      <c r="K66" s="55">
        <v>49600</v>
      </c>
      <c r="L66" s="65">
        <v>45408</v>
      </c>
      <c r="M66" s="66">
        <v>500</v>
      </c>
      <c r="N66" s="65">
        <v>45408</v>
      </c>
      <c r="O66" s="66">
        <v>500</v>
      </c>
      <c r="P66" s="39">
        <v>45453</v>
      </c>
      <c r="Q66" s="57">
        <v>47100</v>
      </c>
      <c r="R66" s="39">
        <v>45571</v>
      </c>
      <c r="S66" s="57">
        <v>47100</v>
      </c>
      <c r="T66" s="65">
        <v>45553</v>
      </c>
      <c r="U66" s="66">
        <v>2000</v>
      </c>
      <c r="V66" s="65">
        <v>45553</v>
      </c>
      <c r="W66" s="66">
        <v>2000</v>
      </c>
      <c r="X66" s="39"/>
      <c r="Y66" s="57"/>
      <c r="Z66" s="39"/>
      <c r="AA66" s="57"/>
      <c r="AB66" s="65"/>
      <c r="AC66" s="66"/>
      <c r="AD66" s="65"/>
      <c r="AE66" s="66"/>
      <c r="AF66" s="39"/>
      <c r="AG66" s="57"/>
      <c r="AH66" s="39"/>
      <c r="AI66" s="57"/>
    </row>
    <row r="67" spans="1:35" ht="19.5" customHeight="1" x14ac:dyDescent="0.3">
      <c r="A67" s="4">
        <v>2404111</v>
      </c>
      <c r="B67" s="110" t="s">
        <v>397</v>
      </c>
      <c r="C67" s="55">
        <v>81000</v>
      </c>
      <c r="D67" s="55">
        <v>0</v>
      </c>
      <c r="E67" s="55" t="s">
        <v>17</v>
      </c>
      <c r="F67" s="4" t="s">
        <v>124</v>
      </c>
      <c r="G67" s="4" t="s">
        <v>72</v>
      </c>
      <c r="H67" s="4" t="s">
        <v>2236</v>
      </c>
      <c r="I67" s="4" t="s">
        <v>2251</v>
      </c>
      <c r="J67" s="55">
        <v>81000</v>
      </c>
      <c r="K67" s="55">
        <v>81000</v>
      </c>
      <c r="L67" s="65">
        <v>45428</v>
      </c>
      <c r="M67" s="69">
        <v>8100</v>
      </c>
      <c r="N67" s="65">
        <v>45428</v>
      </c>
      <c r="O67" s="69">
        <v>8100</v>
      </c>
      <c r="P67" s="39">
        <v>45537</v>
      </c>
      <c r="Q67" s="59">
        <v>28350</v>
      </c>
      <c r="R67" s="39">
        <v>45632</v>
      </c>
      <c r="S67" s="59">
        <v>28350</v>
      </c>
      <c r="T67" s="65">
        <v>45783</v>
      </c>
      <c r="U67" s="66">
        <v>44550</v>
      </c>
      <c r="V67" s="65">
        <v>45783</v>
      </c>
      <c r="W67" s="66">
        <v>44550</v>
      </c>
      <c r="X67" s="39"/>
      <c r="Y67" s="57"/>
      <c r="Z67" s="39"/>
      <c r="AA67" s="57"/>
      <c r="AB67" s="65"/>
      <c r="AC67" s="66"/>
      <c r="AD67" s="65"/>
      <c r="AE67" s="66"/>
      <c r="AF67" s="39"/>
      <c r="AG67" s="57"/>
      <c r="AH67" s="39"/>
      <c r="AI67" s="57"/>
    </row>
    <row r="68" spans="1:35" ht="19.5" customHeight="1" x14ac:dyDescent="0.3">
      <c r="A68" s="4">
        <v>2404219</v>
      </c>
      <c r="B68" s="110" t="s">
        <v>399</v>
      </c>
      <c r="C68" s="55">
        <v>52000</v>
      </c>
      <c r="D68" s="55">
        <v>0</v>
      </c>
      <c r="E68" s="55" t="s">
        <v>17</v>
      </c>
      <c r="F68" s="4" t="s">
        <v>71</v>
      </c>
      <c r="G68" s="4" t="s">
        <v>164</v>
      </c>
      <c r="H68" s="4" t="s">
        <v>2236</v>
      </c>
      <c r="I68" s="4" t="s">
        <v>2251</v>
      </c>
      <c r="J68" s="55">
        <v>52000</v>
      </c>
      <c r="K68" s="55">
        <v>52000</v>
      </c>
      <c r="L68" s="65">
        <v>45411</v>
      </c>
      <c r="M68" s="66">
        <v>500</v>
      </c>
      <c r="N68" s="65">
        <v>45411</v>
      </c>
      <c r="O68" s="66">
        <v>500</v>
      </c>
      <c r="P68" s="39">
        <v>45523</v>
      </c>
      <c r="Q68" s="57">
        <v>51500</v>
      </c>
      <c r="R68" s="39">
        <v>45535</v>
      </c>
      <c r="S68" s="57">
        <v>51500</v>
      </c>
      <c r="T68" s="65"/>
      <c r="U68" s="66"/>
      <c r="V68" s="65"/>
      <c r="W68" s="66"/>
      <c r="X68" s="39"/>
      <c r="Y68" s="57"/>
      <c r="Z68" s="39"/>
      <c r="AA68" s="57"/>
      <c r="AB68" s="65"/>
      <c r="AC68" s="66"/>
      <c r="AD68" s="65"/>
      <c r="AE68" s="66"/>
      <c r="AF68" s="39"/>
      <c r="AG68" s="57"/>
      <c r="AH68" s="39"/>
      <c r="AI68" s="57"/>
    </row>
    <row r="69" spans="1:35" ht="19.5" customHeight="1" x14ac:dyDescent="0.3">
      <c r="A69" s="4">
        <v>2404214</v>
      </c>
      <c r="B69" s="110" t="s">
        <v>404</v>
      </c>
      <c r="C69" s="55">
        <v>48200</v>
      </c>
      <c r="D69" s="55">
        <v>0</v>
      </c>
      <c r="E69" s="55" t="s">
        <v>17</v>
      </c>
      <c r="F69" s="4" t="s">
        <v>71</v>
      </c>
      <c r="G69" s="4" t="s">
        <v>176</v>
      </c>
      <c r="H69" s="4" t="s">
        <v>2236</v>
      </c>
      <c r="I69" s="4" t="s">
        <v>2251</v>
      </c>
      <c r="J69" s="55">
        <v>48200</v>
      </c>
      <c r="K69" s="55">
        <v>48200</v>
      </c>
      <c r="L69" s="65">
        <v>45414</v>
      </c>
      <c r="M69" s="66">
        <v>500</v>
      </c>
      <c r="N69" s="65">
        <v>45414</v>
      </c>
      <c r="O69" s="66">
        <v>500</v>
      </c>
      <c r="P69" s="39">
        <v>45476</v>
      </c>
      <c r="Q69" s="57">
        <v>47700</v>
      </c>
      <c r="R69" s="39">
        <v>45542</v>
      </c>
      <c r="S69" s="57">
        <v>47700</v>
      </c>
      <c r="T69" s="65"/>
      <c r="U69" s="66"/>
      <c r="V69" s="65"/>
      <c r="W69" s="66"/>
      <c r="X69" s="39"/>
      <c r="Y69" s="57"/>
      <c r="Z69" s="39"/>
      <c r="AA69" s="57"/>
      <c r="AB69" s="65"/>
      <c r="AC69" s="66"/>
      <c r="AD69" s="65"/>
      <c r="AE69" s="66"/>
      <c r="AF69" s="39"/>
      <c r="AG69" s="57"/>
      <c r="AH69" s="39"/>
      <c r="AI69" s="57"/>
    </row>
    <row r="70" spans="1:35" ht="19.5" customHeight="1" x14ac:dyDescent="0.3">
      <c r="A70" s="4">
        <v>2403102</v>
      </c>
      <c r="B70" s="110" t="s">
        <v>409</v>
      </c>
      <c r="C70" s="55">
        <v>744800</v>
      </c>
      <c r="D70" s="55">
        <v>0</v>
      </c>
      <c r="E70" s="55" t="s">
        <v>17</v>
      </c>
      <c r="F70" s="4" t="s">
        <v>124</v>
      </c>
      <c r="G70" s="4" t="s">
        <v>72</v>
      </c>
      <c r="H70" s="4" t="s">
        <v>2244</v>
      </c>
      <c r="I70" s="4" t="s">
        <v>2255</v>
      </c>
      <c r="J70" s="55">
        <v>786320</v>
      </c>
      <c r="K70" s="55">
        <v>74480</v>
      </c>
      <c r="L70" s="65">
        <v>45431</v>
      </c>
      <c r="M70" s="66">
        <v>74480</v>
      </c>
      <c r="N70" s="65">
        <v>45462</v>
      </c>
      <c r="O70" s="66">
        <v>74480</v>
      </c>
      <c r="P70" s="39">
        <v>45912</v>
      </c>
      <c r="Q70" s="57">
        <v>260680</v>
      </c>
      <c r="R70" s="39"/>
      <c r="S70" s="57"/>
      <c r="T70" s="65">
        <v>45964</v>
      </c>
      <c r="U70" s="66">
        <v>335160</v>
      </c>
      <c r="V70" s="65"/>
      <c r="W70" s="66"/>
      <c r="X70" s="39"/>
      <c r="Y70" s="57"/>
      <c r="Z70" s="39"/>
      <c r="AA70" s="57"/>
      <c r="AB70" s="65"/>
      <c r="AC70" s="66"/>
      <c r="AD70" s="65"/>
      <c r="AE70" s="66"/>
      <c r="AF70" s="39">
        <v>45912</v>
      </c>
      <c r="AG70" s="57">
        <v>116000</v>
      </c>
      <c r="AH70" s="39"/>
      <c r="AI70" s="57"/>
    </row>
    <row r="71" spans="1:35" ht="19.5" customHeight="1" x14ac:dyDescent="0.3">
      <c r="A71" s="4">
        <v>2312059</v>
      </c>
      <c r="B71" s="110" t="s">
        <v>412</v>
      </c>
      <c r="C71" s="55">
        <v>690300</v>
      </c>
      <c r="D71" s="55">
        <v>130000</v>
      </c>
      <c r="E71" s="55" t="s">
        <v>17</v>
      </c>
      <c r="F71" s="4" t="s">
        <v>124</v>
      </c>
      <c r="G71" s="4" t="s">
        <v>72</v>
      </c>
      <c r="H71" s="4" t="s">
        <v>2236</v>
      </c>
      <c r="I71" s="4" t="s">
        <v>2251</v>
      </c>
      <c r="J71" s="55">
        <v>820300</v>
      </c>
      <c r="K71" s="55">
        <v>820300</v>
      </c>
      <c r="L71" s="65">
        <v>45453</v>
      </c>
      <c r="M71" s="66">
        <v>69030</v>
      </c>
      <c r="N71" s="65">
        <v>45453</v>
      </c>
      <c r="O71" s="66">
        <v>69030</v>
      </c>
      <c r="P71" s="39">
        <v>45610</v>
      </c>
      <c r="Q71" s="59">
        <v>241605</v>
      </c>
      <c r="R71" s="39">
        <v>45616</v>
      </c>
      <c r="S71" s="59">
        <v>241605</v>
      </c>
      <c r="T71" s="65">
        <v>45776</v>
      </c>
      <c r="U71" s="66">
        <v>310635</v>
      </c>
      <c r="V71" s="65">
        <v>45776</v>
      </c>
      <c r="W71" s="66">
        <v>310635</v>
      </c>
      <c r="X71" s="39">
        <v>45924</v>
      </c>
      <c r="Y71" s="57">
        <v>69030</v>
      </c>
      <c r="Z71" s="39">
        <v>45925</v>
      </c>
      <c r="AA71" s="57">
        <v>69030</v>
      </c>
      <c r="AB71" s="65"/>
      <c r="AC71" s="66"/>
      <c r="AD71" s="65"/>
      <c r="AE71" s="66"/>
      <c r="AF71" s="39">
        <v>45611</v>
      </c>
      <c r="AG71" s="57">
        <v>130000</v>
      </c>
      <c r="AH71" s="39">
        <v>45616</v>
      </c>
      <c r="AI71" s="57">
        <v>130000</v>
      </c>
    </row>
    <row r="72" spans="1:35" ht="19.5" customHeight="1" x14ac:dyDescent="0.3">
      <c r="A72" s="4">
        <v>2404255</v>
      </c>
      <c r="B72" s="110" t="s">
        <v>415</v>
      </c>
      <c r="C72" s="55">
        <v>30260</v>
      </c>
      <c r="D72" s="55">
        <v>0</v>
      </c>
      <c r="E72" s="55" t="s">
        <v>17</v>
      </c>
      <c r="F72" s="4" t="s">
        <v>71</v>
      </c>
      <c r="G72" s="4" t="s">
        <v>176</v>
      </c>
      <c r="H72" s="4" t="s">
        <v>2236</v>
      </c>
      <c r="I72" s="4" t="s">
        <v>2251</v>
      </c>
      <c r="J72" s="55">
        <v>30260</v>
      </c>
      <c r="K72" s="55">
        <v>30260</v>
      </c>
      <c r="L72" s="65">
        <v>45426</v>
      </c>
      <c r="M72" s="66">
        <v>500</v>
      </c>
      <c r="N72" s="65">
        <v>45426</v>
      </c>
      <c r="O72" s="66">
        <v>500</v>
      </c>
      <c r="P72" s="39">
        <v>45531</v>
      </c>
      <c r="Q72" s="57">
        <v>29760</v>
      </c>
      <c r="R72" s="39">
        <v>45531</v>
      </c>
      <c r="S72" s="57">
        <v>29760</v>
      </c>
      <c r="T72" s="65"/>
      <c r="U72" s="66"/>
      <c r="V72" s="65"/>
      <c r="W72" s="66"/>
      <c r="X72" s="39"/>
      <c r="Y72" s="57"/>
      <c r="Z72" s="39"/>
      <c r="AA72" s="57"/>
      <c r="AB72" s="65"/>
      <c r="AC72" s="66"/>
      <c r="AD72" s="65"/>
      <c r="AE72" s="66"/>
      <c r="AF72" s="39"/>
      <c r="AG72" s="57"/>
      <c r="AH72" s="39"/>
      <c r="AI72" s="57"/>
    </row>
    <row r="73" spans="1:35" ht="19.5" customHeight="1" x14ac:dyDescent="0.3">
      <c r="A73" s="4">
        <v>2404242</v>
      </c>
      <c r="B73" s="110" t="s">
        <v>420</v>
      </c>
      <c r="C73" s="55">
        <v>35000</v>
      </c>
      <c r="D73" s="55">
        <v>0</v>
      </c>
      <c r="E73" s="55" t="s">
        <v>421</v>
      </c>
      <c r="F73" s="4" t="s">
        <v>71</v>
      </c>
      <c r="G73" s="4" t="s">
        <v>176</v>
      </c>
      <c r="H73" s="4" t="s">
        <v>2236</v>
      </c>
      <c r="I73" s="4" t="s">
        <v>2251</v>
      </c>
      <c r="J73" s="55">
        <v>35000</v>
      </c>
      <c r="K73" s="55">
        <v>35000</v>
      </c>
      <c r="L73" s="65">
        <v>45435</v>
      </c>
      <c r="M73" s="66">
        <v>500</v>
      </c>
      <c r="N73" s="65">
        <v>45435</v>
      </c>
      <c r="O73" s="66">
        <v>500</v>
      </c>
      <c r="P73" s="39">
        <v>45538</v>
      </c>
      <c r="Q73" s="57">
        <v>34500</v>
      </c>
      <c r="R73" s="39">
        <v>45523</v>
      </c>
      <c r="S73" s="57">
        <v>34500</v>
      </c>
      <c r="T73" s="65"/>
      <c r="U73" s="66"/>
      <c r="V73" s="65"/>
      <c r="W73" s="66"/>
      <c r="X73" s="39"/>
      <c r="Y73" s="57"/>
      <c r="Z73" s="39"/>
      <c r="AA73" s="57"/>
      <c r="AB73" s="65"/>
      <c r="AC73" s="66"/>
      <c r="AD73" s="65"/>
      <c r="AE73" s="66"/>
      <c r="AF73" s="39"/>
      <c r="AG73" s="57"/>
      <c r="AH73" s="39"/>
      <c r="AI73" s="57"/>
    </row>
    <row r="74" spans="1:35" ht="19.5" customHeight="1" x14ac:dyDescent="0.3">
      <c r="A74" s="4">
        <v>2405272</v>
      </c>
      <c r="B74" s="110" t="s">
        <v>426</v>
      </c>
      <c r="C74" s="55">
        <v>32180</v>
      </c>
      <c r="D74" s="55">
        <v>0</v>
      </c>
      <c r="E74" s="55" t="s">
        <v>17</v>
      </c>
      <c r="F74" s="4" t="s">
        <v>71</v>
      </c>
      <c r="G74" s="4" t="s">
        <v>72</v>
      </c>
      <c r="H74" s="4" t="s">
        <v>2236</v>
      </c>
      <c r="I74" s="4" t="s">
        <v>2251</v>
      </c>
      <c r="J74" s="55">
        <v>32180</v>
      </c>
      <c r="K74" s="55">
        <v>32180</v>
      </c>
      <c r="L74" s="65">
        <v>45427</v>
      </c>
      <c r="M74" s="66">
        <v>500</v>
      </c>
      <c r="N74" s="65">
        <v>45427</v>
      </c>
      <c r="O74" s="66">
        <v>500</v>
      </c>
      <c r="P74" s="39">
        <v>45531</v>
      </c>
      <c r="Q74" s="57">
        <v>31680</v>
      </c>
      <c r="R74" s="39">
        <v>45531</v>
      </c>
      <c r="S74" s="57">
        <v>31680</v>
      </c>
      <c r="T74" s="65"/>
      <c r="U74" s="66"/>
      <c r="V74" s="65"/>
      <c r="W74" s="66"/>
      <c r="X74" s="39"/>
      <c r="Y74" s="57"/>
      <c r="Z74" s="39"/>
      <c r="AA74" s="57"/>
      <c r="AB74" s="65"/>
      <c r="AC74" s="66"/>
      <c r="AD74" s="65"/>
      <c r="AE74" s="66"/>
      <c r="AF74" s="39"/>
      <c r="AG74" s="57"/>
      <c r="AH74" s="39"/>
      <c r="AI74" s="57"/>
    </row>
    <row r="75" spans="1:35" ht="19.5" customHeight="1" x14ac:dyDescent="0.3">
      <c r="A75" s="4">
        <v>2405266</v>
      </c>
      <c r="B75" s="110" t="s">
        <v>431</v>
      </c>
      <c r="C75" s="55">
        <v>41000</v>
      </c>
      <c r="D75" s="55">
        <v>0</v>
      </c>
      <c r="E75" s="55" t="s">
        <v>17</v>
      </c>
      <c r="F75" s="4" t="s">
        <v>71</v>
      </c>
      <c r="G75" s="4" t="s">
        <v>72</v>
      </c>
      <c r="H75" s="4" t="s">
        <v>2236</v>
      </c>
      <c r="I75" s="4" t="s">
        <v>2251</v>
      </c>
      <c r="J75" s="55">
        <v>41000</v>
      </c>
      <c r="K75" s="55">
        <v>41000</v>
      </c>
      <c r="L75" s="65">
        <v>45428</v>
      </c>
      <c r="M75" s="66">
        <v>500</v>
      </c>
      <c r="N75" s="65">
        <v>45428</v>
      </c>
      <c r="O75" s="66">
        <v>500</v>
      </c>
      <c r="P75" s="39">
        <v>45485</v>
      </c>
      <c r="Q75" s="57">
        <v>38500</v>
      </c>
      <c r="R75" s="39">
        <v>45485</v>
      </c>
      <c r="S75" s="57">
        <v>38500</v>
      </c>
      <c r="T75" s="65">
        <v>45538</v>
      </c>
      <c r="U75" s="66">
        <v>2000</v>
      </c>
      <c r="V75" s="65">
        <v>45538</v>
      </c>
      <c r="W75" s="66">
        <v>2000</v>
      </c>
      <c r="X75" s="39"/>
      <c r="Y75" s="57"/>
      <c r="Z75" s="39"/>
      <c r="AA75" s="57"/>
      <c r="AB75" s="65"/>
      <c r="AC75" s="66"/>
      <c r="AD75" s="65"/>
      <c r="AE75" s="66"/>
      <c r="AF75" s="39"/>
      <c r="AG75" s="57"/>
      <c r="AH75" s="39"/>
      <c r="AI75" s="57"/>
    </row>
    <row r="76" spans="1:35" ht="19.5" customHeight="1" x14ac:dyDescent="0.3">
      <c r="A76" s="4">
        <v>2405280</v>
      </c>
      <c r="B76" s="110" t="s">
        <v>436</v>
      </c>
      <c r="C76" s="55">
        <v>34600</v>
      </c>
      <c r="D76" s="55">
        <v>0</v>
      </c>
      <c r="E76" s="55" t="s">
        <v>17</v>
      </c>
      <c r="F76" s="4" t="s">
        <v>71</v>
      </c>
      <c r="G76" s="4" t="s">
        <v>176</v>
      </c>
      <c r="H76" s="4" t="s">
        <v>2236</v>
      </c>
      <c r="I76" s="4" t="s">
        <v>2251</v>
      </c>
      <c r="J76" s="55">
        <v>34600</v>
      </c>
      <c r="K76" s="55">
        <v>34600</v>
      </c>
      <c r="L76" s="65">
        <v>45422</v>
      </c>
      <c r="M76" s="66">
        <v>500</v>
      </c>
      <c r="N76" s="65">
        <v>45422</v>
      </c>
      <c r="O76" s="66">
        <v>500</v>
      </c>
      <c r="P76" s="39">
        <v>45526</v>
      </c>
      <c r="Q76" s="57">
        <v>34100</v>
      </c>
      <c r="R76" s="39">
        <v>45526</v>
      </c>
      <c r="S76" s="57">
        <v>34100</v>
      </c>
      <c r="T76" s="65"/>
      <c r="U76" s="66"/>
      <c r="V76" s="65"/>
      <c r="W76" s="66"/>
      <c r="X76" s="39"/>
      <c r="Y76" s="57"/>
      <c r="Z76" s="39"/>
      <c r="AA76" s="57"/>
      <c r="AB76" s="65"/>
      <c r="AC76" s="66"/>
      <c r="AD76" s="65"/>
      <c r="AE76" s="66"/>
      <c r="AF76" s="39"/>
      <c r="AG76" s="57"/>
      <c r="AH76" s="39"/>
      <c r="AI76" s="57"/>
    </row>
    <row r="77" spans="1:35" s="123" customFormat="1" ht="19.5" customHeight="1" x14ac:dyDescent="0.3">
      <c r="A77" s="116">
        <v>2405294</v>
      </c>
      <c r="B77" s="125" t="s">
        <v>441</v>
      </c>
      <c r="C77" s="117">
        <v>25100</v>
      </c>
      <c r="D77" s="117">
        <v>0</v>
      </c>
      <c r="E77" s="117" t="s">
        <v>17</v>
      </c>
      <c r="F77" s="116">
        <v>0</v>
      </c>
      <c r="G77" s="116" t="s">
        <v>72</v>
      </c>
      <c r="H77" s="116" t="s">
        <v>2237</v>
      </c>
      <c r="I77" s="116" t="s">
        <v>2252</v>
      </c>
      <c r="J77" s="117">
        <v>0</v>
      </c>
      <c r="K77" s="117">
        <v>0</v>
      </c>
      <c r="L77" s="118"/>
      <c r="M77" s="119"/>
      <c r="N77" s="118"/>
      <c r="O77" s="119"/>
      <c r="P77" s="120"/>
      <c r="Q77" s="121"/>
      <c r="R77" s="120"/>
      <c r="S77" s="121"/>
      <c r="T77" s="118"/>
      <c r="U77" s="119"/>
      <c r="V77" s="118"/>
      <c r="W77" s="119"/>
      <c r="X77" s="39"/>
      <c r="Y77" s="121"/>
      <c r="Z77" s="39"/>
      <c r="AA77" s="121"/>
      <c r="AB77" s="118"/>
      <c r="AC77" s="119"/>
      <c r="AD77" s="118"/>
      <c r="AE77" s="119"/>
      <c r="AF77" s="120"/>
      <c r="AG77" s="121"/>
      <c r="AH77" s="120"/>
      <c r="AI77" s="121"/>
    </row>
    <row r="78" spans="1:35" ht="19.5" customHeight="1" x14ac:dyDescent="0.3">
      <c r="A78" s="4">
        <v>2405296</v>
      </c>
      <c r="B78" s="110" t="s">
        <v>443</v>
      </c>
      <c r="C78" s="55">
        <v>32000</v>
      </c>
      <c r="D78" s="55">
        <v>0</v>
      </c>
      <c r="E78" s="55" t="s">
        <v>17</v>
      </c>
      <c r="F78" s="4" t="s">
        <v>71</v>
      </c>
      <c r="G78" s="4" t="s">
        <v>72</v>
      </c>
      <c r="H78" s="4" t="s">
        <v>2236</v>
      </c>
      <c r="I78" s="4" t="s">
        <v>2251</v>
      </c>
      <c r="J78" s="55">
        <v>32000</v>
      </c>
      <c r="K78" s="55">
        <v>32000</v>
      </c>
      <c r="L78" s="65">
        <v>45440</v>
      </c>
      <c r="M78" s="66">
        <v>500</v>
      </c>
      <c r="N78" s="65">
        <v>45440</v>
      </c>
      <c r="O78" s="66">
        <v>500</v>
      </c>
      <c r="P78" s="39">
        <v>45619</v>
      </c>
      <c r="Q78" s="57">
        <v>31500</v>
      </c>
      <c r="R78" s="39">
        <v>45619</v>
      </c>
      <c r="S78" s="57">
        <v>31500</v>
      </c>
      <c r="T78" s="65"/>
      <c r="U78" s="66"/>
      <c r="V78" s="65"/>
      <c r="W78" s="66"/>
      <c r="X78" s="39"/>
      <c r="Y78" s="57"/>
      <c r="Z78" s="39"/>
      <c r="AA78" s="57"/>
      <c r="AB78" s="65"/>
      <c r="AC78" s="66"/>
      <c r="AD78" s="65"/>
      <c r="AE78" s="66"/>
      <c r="AF78" s="39"/>
      <c r="AG78" s="57"/>
      <c r="AH78" s="39"/>
      <c r="AI78" s="57"/>
    </row>
    <row r="79" spans="1:35" ht="19.5" customHeight="1" x14ac:dyDescent="0.3">
      <c r="A79" s="4">
        <v>2405307</v>
      </c>
      <c r="B79" s="110" t="s">
        <v>448</v>
      </c>
      <c r="C79" s="55">
        <v>28000</v>
      </c>
      <c r="D79" s="55">
        <v>4600</v>
      </c>
      <c r="E79" s="55" t="s">
        <v>17</v>
      </c>
      <c r="F79" s="4" t="s">
        <v>71</v>
      </c>
      <c r="G79" s="4" t="s">
        <v>72</v>
      </c>
      <c r="H79" s="4" t="s">
        <v>2236</v>
      </c>
      <c r="I79" s="4" t="s">
        <v>2251</v>
      </c>
      <c r="J79" s="55">
        <v>32600</v>
      </c>
      <c r="K79" s="55">
        <v>32600</v>
      </c>
      <c r="L79" s="65">
        <v>45568</v>
      </c>
      <c r="M79" s="66">
        <v>500</v>
      </c>
      <c r="N79" s="65">
        <v>45568</v>
      </c>
      <c r="O79" s="66">
        <v>500</v>
      </c>
      <c r="P79" s="39">
        <v>45568</v>
      </c>
      <c r="Q79" s="57">
        <v>27500</v>
      </c>
      <c r="R79" s="39">
        <v>45568</v>
      </c>
      <c r="S79" s="57">
        <v>27500</v>
      </c>
      <c r="T79" s="65">
        <v>45568</v>
      </c>
      <c r="U79" s="66">
        <v>4600</v>
      </c>
      <c r="V79" s="65">
        <v>45568</v>
      </c>
      <c r="W79" s="66">
        <v>4600</v>
      </c>
      <c r="X79" s="39"/>
      <c r="Y79" s="57"/>
      <c r="Z79" s="39"/>
      <c r="AA79" s="57"/>
      <c r="AB79" s="65"/>
      <c r="AC79" s="66"/>
      <c r="AD79" s="65"/>
      <c r="AE79" s="66"/>
      <c r="AF79" s="39"/>
      <c r="AG79" s="57"/>
      <c r="AH79" s="39"/>
      <c r="AI79" s="57"/>
    </row>
    <row r="80" spans="1:35" ht="19.5" customHeight="1" x14ac:dyDescent="0.3">
      <c r="A80" s="4">
        <v>2404227</v>
      </c>
      <c r="B80" s="110" t="s">
        <v>453</v>
      </c>
      <c r="C80" s="55">
        <v>52400</v>
      </c>
      <c r="D80" s="55">
        <v>0</v>
      </c>
      <c r="E80" s="55" t="s">
        <v>17</v>
      </c>
      <c r="F80" s="4" t="s">
        <v>71</v>
      </c>
      <c r="G80" s="4" t="s">
        <v>72</v>
      </c>
      <c r="H80" s="4" t="s">
        <v>2236</v>
      </c>
      <c r="I80" s="4" t="s">
        <v>2251</v>
      </c>
      <c r="J80" s="55">
        <v>52400</v>
      </c>
      <c r="K80" s="55">
        <v>52400</v>
      </c>
      <c r="L80" s="65">
        <v>45442</v>
      </c>
      <c r="M80" s="66">
        <v>500</v>
      </c>
      <c r="N80" s="65">
        <v>45442</v>
      </c>
      <c r="O80" s="66">
        <v>500</v>
      </c>
      <c r="P80" s="39">
        <v>45622</v>
      </c>
      <c r="Q80" s="57">
        <v>51900</v>
      </c>
      <c r="R80" s="39">
        <v>45622</v>
      </c>
      <c r="S80" s="57">
        <v>51900</v>
      </c>
      <c r="T80" s="65"/>
      <c r="U80" s="66"/>
      <c r="V80" s="65"/>
      <c r="W80" s="66"/>
      <c r="X80" s="39"/>
      <c r="Y80" s="57"/>
      <c r="Z80" s="39"/>
      <c r="AA80" s="57"/>
      <c r="AB80" s="65"/>
      <c r="AC80" s="66"/>
      <c r="AD80" s="65"/>
      <c r="AE80" s="66"/>
      <c r="AF80" s="39"/>
      <c r="AG80" s="57"/>
      <c r="AH80" s="39"/>
      <c r="AI80" s="57"/>
    </row>
    <row r="81" spans="1:35" ht="19.5" customHeight="1" x14ac:dyDescent="0.3">
      <c r="A81" s="4">
        <v>2405315</v>
      </c>
      <c r="B81" s="110" t="s">
        <v>458</v>
      </c>
      <c r="C81" s="55">
        <v>40000</v>
      </c>
      <c r="D81" s="55">
        <v>0</v>
      </c>
      <c r="E81" s="55" t="s">
        <v>17</v>
      </c>
      <c r="F81" s="4" t="s">
        <v>71</v>
      </c>
      <c r="G81" s="4" t="s">
        <v>72</v>
      </c>
      <c r="H81" s="4" t="s">
        <v>2236</v>
      </c>
      <c r="I81" s="4" t="s">
        <v>2251</v>
      </c>
      <c r="J81" s="55">
        <v>40000</v>
      </c>
      <c r="K81" s="55">
        <v>40000</v>
      </c>
      <c r="L81" s="65">
        <v>45446</v>
      </c>
      <c r="M81" s="66">
        <v>500</v>
      </c>
      <c r="N81" s="65">
        <v>45446</v>
      </c>
      <c r="O81" s="66">
        <v>500</v>
      </c>
      <c r="P81" s="39">
        <v>45515</v>
      </c>
      <c r="Q81" s="57">
        <v>37500</v>
      </c>
      <c r="R81" s="39">
        <v>45516</v>
      </c>
      <c r="S81" s="57">
        <v>37500</v>
      </c>
      <c r="T81" s="65">
        <v>45618</v>
      </c>
      <c r="U81" s="69">
        <v>2000</v>
      </c>
      <c r="V81" s="65">
        <v>45625</v>
      </c>
      <c r="W81" s="69">
        <v>2000</v>
      </c>
      <c r="X81" s="39"/>
      <c r="Y81" s="57"/>
      <c r="Z81" s="39"/>
      <c r="AA81" s="57"/>
      <c r="AB81" s="65"/>
      <c r="AC81" s="66"/>
      <c r="AD81" s="65"/>
      <c r="AE81" s="66"/>
      <c r="AF81" s="39"/>
      <c r="AG81" s="57"/>
      <c r="AH81" s="39"/>
      <c r="AI81" s="57"/>
    </row>
    <row r="82" spans="1:35" ht="19.5" customHeight="1" x14ac:dyDescent="0.3">
      <c r="A82" s="4">
        <v>2405319</v>
      </c>
      <c r="B82" s="110" t="s">
        <v>463</v>
      </c>
      <c r="C82" s="55">
        <v>26240</v>
      </c>
      <c r="D82" s="55">
        <v>0</v>
      </c>
      <c r="E82" s="55" t="s">
        <v>17</v>
      </c>
      <c r="F82" s="4" t="s">
        <v>71</v>
      </c>
      <c r="G82" s="4" t="s">
        <v>72</v>
      </c>
      <c r="H82" s="4" t="s">
        <v>2236</v>
      </c>
      <c r="I82" s="4" t="s">
        <v>2251</v>
      </c>
      <c r="J82" s="55">
        <v>26240</v>
      </c>
      <c r="K82" s="55">
        <v>26240</v>
      </c>
      <c r="L82" s="65">
        <v>45448</v>
      </c>
      <c r="M82" s="66">
        <v>500</v>
      </c>
      <c r="N82" s="65">
        <v>45448</v>
      </c>
      <c r="O82" s="66">
        <v>500</v>
      </c>
      <c r="P82" s="39">
        <v>45523</v>
      </c>
      <c r="Q82" s="57">
        <v>25740</v>
      </c>
      <c r="R82" s="39">
        <v>45523</v>
      </c>
      <c r="S82" s="57">
        <v>25740</v>
      </c>
      <c r="T82" s="65"/>
      <c r="U82" s="66"/>
      <c r="V82" s="65"/>
      <c r="W82" s="66"/>
      <c r="X82" s="39"/>
      <c r="Y82" s="57"/>
      <c r="Z82" s="39"/>
      <c r="AA82" s="57"/>
      <c r="AB82" s="65"/>
      <c r="AC82" s="66"/>
      <c r="AD82" s="65"/>
      <c r="AE82" s="66"/>
      <c r="AF82" s="39"/>
      <c r="AG82" s="57"/>
      <c r="AH82" s="39"/>
      <c r="AI82" s="57"/>
    </row>
    <row r="83" spans="1:35" ht="19.5" customHeight="1" x14ac:dyDescent="0.3">
      <c r="A83" s="4">
        <v>2405288</v>
      </c>
      <c r="B83" s="110" t="s">
        <v>468</v>
      </c>
      <c r="C83" s="55">
        <v>41840</v>
      </c>
      <c r="D83" s="55">
        <v>0</v>
      </c>
      <c r="E83" s="55" t="s">
        <v>17</v>
      </c>
      <c r="F83" s="4" t="s">
        <v>71</v>
      </c>
      <c r="G83" s="4" t="s">
        <v>72</v>
      </c>
      <c r="H83" s="4" t="s">
        <v>2236</v>
      </c>
      <c r="I83" s="4" t="s">
        <v>2251</v>
      </c>
      <c r="J83" s="55">
        <v>41840</v>
      </c>
      <c r="K83" s="55">
        <v>41840</v>
      </c>
      <c r="L83" s="65">
        <v>45440</v>
      </c>
      <c r="M83" s="66">
        <v>500</v>
      </c>
      <c r="N83" s="65">
        <v>45440</v>
      </c>
      <c r="O83" s="66">
        <v>500</v>
      </c>
      <c r="P83" s="39">
        <v>45527</v>
      </c>
      <c r="Q83" s="57">
        <v>39340</v>
      </c>
      <c r="R83" s="39">
        <v>45527</v>
      </c>
      <c r="S83" s="57">
        <v>39340</v>
      </c>
      <c r="T83" s="65">
        <v>45618</v>
      </c>
      <c r="U83" s="69">
        <v>2000</v>
      </c>
      <c r="V83" s="65">
        <v>45618</v>
      </c>
      <c r="W83" s="69">
        <v>2000</v>
      </c>
      <c r="X83" s="39"/>
      <c r="Y83" s="57"/>
      <c r="Z83" s="39"/>
      <c r="AA83" s="57"/>
      <c r="AB83" s="65"/>
      <c r="AC83" s="66"/>
      <c r="AD83" s="65"/>
      <c r="AE83" s="66"/>
      <c r="AF83" s="39"/>
      <c r="AG83" s="57"/>
      <c r="AH83" s="39"/>
      <c r="AI83" s="57"/>
    </row>
    <row r="84" spans="1:35" ht="19.5" customHeight="1" x14ac:dyDescent="0.3">
      <c r="A84" s="4">
        <v>2404256</v>
      </c>
      <c r="B84" s="110" t="s">
        <v>473</v>
      </c>
      <c r="C84" s="55">
        <v>33100</v>
      </c>
      <c r="D84" s="55">
        <v>0</v>
      </c>
      <c r="E84" s="55" t="s">
        <v>421</v>
      </c>
      <c r="F84" s="4" t="s">
        <v>71</v>
      </c>
      <c r="G84" s="4" t="s">
        <v>72</v>
      </c>
      <c r="H84" s="4" t="s">
        <v>2236</v>
      </c>
      <c r="I84" s="4" t="s">
        <v>2251</v>
      </c>
      <c r="J84" s="55">
        <v>33100</v>
      </c>
      <c r="K84" s="55">
        <v>33100</v>
      </c>
      <c r="L84" s="65">
        <v>45464</v>
      </c>
      <c r="M84" s="66">
        <v>500</v>
      </c>
      <c r="N84" s="65">
        <v>45464</v>
      </c>
      <c r="O84" s="66">
        <v>500</v>
      </c>
      <c r="P84" s="39">
        <v>45555</v>
      </c>
      <c r="Q84" s="57">
        <v>30600</v>
      </c>
      <c r="R84" s="39">
        <v>45555</v>
      </c>
      <c r="S84" s="57">
        <v>30600</v>
      </c>
      <c r="T84" s="65">
        <v>45583</v>
      </c>
      <c r="U84" s="66">
        <v>2000</v>
      </c>
      <c r="V84" s="65">
        <v>45583</v>
      </c>
      <c r="W84" s="66">
        <v>2000</v>
      </c>
      <c r="X84" s="39"/>
      <c r="Y84" s="57"/>
      <c r="Z84" s="39"/>
      <c r="AA84" s="57"/>
      <c r="AB84" s="65"/>
      <c r="AC84" s="66"/>
      <c r="AD84" s="65"/>
      <c r="AE84" s="66"/>
      <c r="AF84" s="39"/>
      <c r="AG84" s="57"/>
      <c r="AH84" s="39"/>
      <c r="AI84" s="57"/>
    </row>
    <row r="85" spans="1:35" ht="19.5" customHeight="1" x14ac:dyDescent="0.3">
      <c r="A85" s="4">
        <v>2406323</v>
      </c>
      <c r="B85" s="110" t="s">
        <v>478</v>
      </c>
      <c r="C85" s="55">
        <v>40000</v>
      </c>
      <c r="D85" s="55">
        <v>0</v>
      </c>
      <c r="E85" s="55" t="s">
        <v>17</v>
      </c>
      <c r="F85" s="4" t="s">
        <v>71</v>
      </c>
      <c r="G85" s="4" t="s">
        <v>72</v>
      </c>
      <c r="H85" s="4" t="s">
        <v>2236</v>
      </c>
      <c r="I85" s="4" t="s">
        <v>2251</v>
      </c>
      <c r="J85" s="55">
        <v>40000</v>
      </c>
      <c r="K85" s="55">
        <v>40000</v>
      </c>
      <c r="L85" s="65">
        <v>45457</v>
      </c>
      <c r="M85" s="66">
        <v>500</v>
      </c>
      <c r="N85" s="65">
        <v>45457</v>
      </c>
      <c r="O85" s="66">
        <v>500</v>
      </c>
      <c r="P85" s="39">
        <v>45518</v>
      </c>
      <c r="Q85" s="57">
        <v>37500</v>
      </c>
      <c r="R85" s="39">
        <v>45518</v>
      </c>
      <c r="S85" s="57">
        <v>37500</v>
      </c>
      <c r="T85" s="65">
        <v>45618</v>
      </c>
      <c r="U85" s="69">
        <v>2000</v>
      </c>
      <c r="V85" s="65">
        <v>45626</v>
      </c>
      <c r="W85" s="69">
        <v>2000</v>
      </c>
      <c r="X85" s="39"/>
      <c r="Y85" s="57"/>
      <c r="Z85" s="39"/>
      <c r="AA85" s="57"/>
      <c r="AB85" s="65"/>
      <c r="AC85" s="66"/>
      <c r="AD85" s="65"/>
      <c r="AE85" s="66"/>
      <c r="AF85" s="39"/>
      <c r="AG85" s="57"/>
      <c r="AH85" s="39"/>
      <c r="AI85" s="57"/>
    </row>
    <row r="86" spans="1:35" ht="19.5" customHeight="1" x14ac:dyDescent="0.3">
      <c r="A86" s="4">
        <v>2406336</v>
      </c>
      <c r="B86" s="110" t="s">
        <v>483</v>
      </c>
      <c r="C86" s="55">
        <v>31000</v>
      </c>
      <c r="D86" s="55">
        <v>0</v>
      </c>
      <c r="E86" s="55" t="s">
        <v>17</v>
      </c>
      <c r="F86" s="4" t="s">
        <v>71</v>
      </c>
      <c r="G86" s="4" t="s">
        <v>72</v>
      </c>
      <c r="H86" s="4" t="s">
        <v>2236</v>
      </c>
      <c r="I86" s="4" t="s">
        <v>2251</v>
      </c>
      <c r="J86" s="55">
        <v>31000</v>
      </c>
      <c r="K86" s="55">
        <v>31000</v>
      </c>
      <c r="L86" s="65">
        <v>45462</v>
      </c>
      <c r="M86" s="66">
        <v>500</v>
      </c>
      <c r="N86" s="65">
        <v>45462</v>
      </c>
      <c r="O86" s="66">
        <v>500</v>
      </c>
      <c r="P86" s="39">
        <v>45524</v>
      </c>
      <c r="Q86" s="57">
        <v>30500</v>
      </c>
      <c r="R86" s="39">
        <v>45524</v>
      </c>
      <c r="S86" s="57">
        <v>30500</v>
      </c>
      <c r="T86" s="65"/>
      <c r="U86" s="66"/>
      <c r="V86" s="65"/>
      <c r="W86" s="66"/>
      <c r="X86" s="39"/>
      <c r="Y86" s="57"/>
      <c r="Z86" s="39"/>
      <c r="AA86" s="57"/>
      <c r="AB86" s="65"/>
      <c r="AC86" s="66"/>
      <c r="AD86" s="65"/>
      <c r="AE86" s="66"/>
      <c r="AF86" s="39"/>
      <c r="AG86" s="57"/>
      <c r="AH86" s="39"/>
      <c r="AI86" s="57"/>
    </row>
    <row r="87" spans="1:35" ht="19.5" customHeight="1" x14ac:dyDescent="0.3">
      <c r="A87" s="4">
        <v>2406340</v>
      </c>
      <c r="B87" s="110" t="s">
        <v>488</v>
      </c>
      <c r="C87" s="55">
        <v>24100</v>
      </c>
      <c r="D87" s="55">
        <v>0</v>
      </c>
      <c r="E87" s="55" t="s">
        <v>17</v>
      </c>
      <c r="F87" s="4" t="s">
        <v>71</v>
      </c>
      <c r="G87" s="4" t="s">
        <v>72</v>
      </c>
      <c r="H87" s="4" t="s">
        <v>2236</v>
      </c>
      <c r="I87" s="4" t="s">
        <v>2251</v>
      </c>
      <c r="J87" s="55">
        <v>24100</v>
      </c>
      <c r="K87" s="55">
        <v>24100</v>
      </c>
      <c r="L87" s="65">
        <v>45465</v>
      </c>
      <c r="M87" s="66">
        <v>500</v>
      </c>
      <c r="N87" s="65">
        <v>45465</v>
      </c>
      <c r="O87" s="66">
        <v>500</v>
      </c>
      <c r="P87" s="39">
        <v>45528</v>
      </c>
      <c r="Q87" s="57">
        <v>23600</v>
      </c>
      <c r="R87" s="39">
        <v>45528</v>
      </c>
      <c r="S87" s="57">
        <v>23600</v>
      </c>
      <c r="T87" s="65"/>
      <c r="U87" s="66"/>
      <c r="V87" s="65"/>
      <c r="W87" s="66"/>
      <c r="X87" s="39"/>
      <c r="Y87" s="57"/>
      <c r="Z87" s="39"/>
      <c r="AA87" s="57"/>
      <c r="AB87" s="65"/>
      <c r="AC87" s="66"/>
      <c r="AD87" s="65"/>
      <c r="AE87" s="66"/>
      <c r="AF87" s="39"/>
      <c r="AG87" s="57"/>
      <c r="AH87" s="39"/>
      <c r="AI87" s="57"/>
    </row>
    <row r="88" spans="1:35" ht="19.5" customHeight="1" x14ac:dyDescent="0.3">
      <c r="A88" s="4">
        <v>2406355</v>
      </c>
      <c r="B88" s="110" t="s">
        <v>493</v>
      </c>
      <c r="C88" s="55">
        <v>27000</v>
      </c>
      <c r="D88" s="55">
        <v>-1872</v>
      </c>
      <c r="E88" s="55" t="s">
        <v>17</v>
      </c>
      <c r="F88" s="4" t="s">
        <v>71</v>
      </c>
      <c r="G88" s="4" t="s">
        <v>72</v>
      </c>
      <c r="H88" s="4" t="s">
        <v>2236</v>
      </c>
      <c r="I88" s="4" t="s">
        <v>2251</v>
      </c>
      <c r="J88" s="55">
        <v>25128</v>
      </c>
      <c r="K88" s="55">
        <v>25128</v>
      </c>
      <c r="L88" s="65">
        <v>45582</v>
      </c>
      <c r="M88" s="66">
        <v>500</v>
      </c>
      <c r="N88" s="65">
        <v>45582</v>
      </c>
      <c r="O88" s="66">
        <v>500</v>
      </c>
      <c r="P88" s="39">
        <v>45581</v>
      </c>
      <c r="Q88" s="57">
        <v>24500</v>
      </c>
      <c r="R88" s="39">
        <v>45587</v>
      </c>
      <c r="S88" s="57">
        <v>24500</v>
      </c>
      <c r="T88" s="65">
        <v>45582</v>
      </c>
      <c r="U88" s="66">
        <v>128</v>
      </c>
      <c r="V88" s="65">
        <v>45599</v>
      </c>
      <c r="W88" s="66">
        <v>128</v>
      </c>
      <c r="X88" s="39"/>
      <c r="Y88" s="57"/>
      <c r="Z88" s="39"/>
      <c r="AA88" s="57"/>
      <c r="AB88" s="65"/>
      <c r="AC88" s="66"/>
      <c r="AD88" s="65"/>
      <c r="AE88" s="66"/>
      <c r="AF88" s="39"/>
      <c r="AG88" s="57"/>
      <c r="AH88" s="39"/>
      <c r="AI88" s="57"/>
    </row>
    <row r="89" spans="1:35" ht="19.5" customHeight="1" x14ac:dyDescent="0.3">
      <c r="A89" s="4">
        <v>2406357</v>
      </c>
      <c r="B89" s="110" t="s">
        <v>498</v>
      </c>
      <c r="C89" s="55">
        <v>38000</v>
      </c>
      <c r="D89" s="55">
        <v>0</v>
      </c>
      <c r="E89" s="55" t="s">
        <v>22</v>
      </c>
      <c r="F89" s="4" t="s">
        <v>71</v>
      </c>
      <c r="G89" s="4" t="s">
        <v>72</v>
      </c>
      <c r="H89" s="4" t="s">
        <v>2236</v>
      </c>
      <c r="I89" s="4" t="s">
        <v>2251</v>
      </c>
      <c r="J89" s="55">
        <v>38000</v>
      </c>
      <c r="K89" s="55">
        <v>38000</v>
      </c>
      <c r="L89" s="65">
        <v>45471</v>
      </c>
      <c r="M89" s="66">
        <v>500</v>
      </c>
      <c r="N89" s="65">
        <v>45471</v>
      </c>
      <c r="O89" s="66">
        <v>500</v>
      </c>
      <c r="P89" s="39">
        <v>45534</v>
      </c>
      <c r="Q89" s="57">
        <v>35500</v>
      </c>
      <c r="R89" s="39">
        <v>45534</v>
      </c>
      <c r="S89" s="57">
        <v>35500</v>
      </c>
      <c r="T89" s="65">
        <v>45640</v>
      </c>
      <c r="U89" s="66">
        <v>2000</v>
      </c>
      <c r="V89" s="65">
        <v>45640</v>
      </c>
      <c r="W89" s="66">
        <v>2000</v>
      </c>
      <c r="X89" s="39"/>
      <c r="Y89" s="57"/>
      <c r="Z89" s="39"/>
      <c r="AA89" s="57"/>
      <c r="AB89" s="65"/>
      <c r="AC89" s="66"/>
      <c r="AD89" s="65"/>
      <c r="AE89" s="66"/>
      <c r="AF89" s="39"/>
      <c r="AG89" s="57"/>
      <c r="AH89" s="39"/>
      <c r="AI89" s="57"/>
    </row>
    <row r="90" spans="1:35" ht="19.5" customHeight="1" x14ac:dyDescent="0.3">
      <c r="A90" s="4">
        <v>2405019</v>
      </c>
      <c r="B90" s="110" t="s">
        <v>503</v>
      </c>
      <c r="C90" s="55">
        <v>90800</v>
      </c>
      <c r="D90" s="55">
        <v>0</v>
      </c>
      <c r="E90" s="55" t="s">
        <v>20</v>
      </c>
      <c r="F90" s="4" t="s">
        <v>206</v>
      </c>
      <c r="G90" s="4" t="s">
        <v>125</v>
      </c>
      <c r="H90" s="4" t="s">
        <v>2236</v>
      </c>
      <c r="I90" s="4" t="s">
        <v>2251</v>
      </c>
      <c r="J90" s="55">
        <v>90800</v>
      </c>
      <c r="K90" s="55">
        <v>90800</v>
      </c>
      <c r="L90" s="65">
        <v>45478</v>
      </c>
      <c r="M90" s="66">
        <v>45400</v>
      </c>
      <c r="N90" s="65">
        <v>45482</v>
      </c>
      <c r="O90" s="66">
        <v>45400</v>
      </c>
      <c r="P90" s="39">
        <v>45517</v>
      </c>
      <c r="Q90" s="57">
        <v>45400</v>
      </c>
      <c r="R90" s="39">
        <v>45544</v>
      </c>
      <c r="S90" s="57">
        <v>45400</v>
      </c>
      <c r="T90" s="65"/>
      <c r="U90" s="66"/>
      <c r="V90" s="65"/>
      <c r="W90" s="66"/>
      <c r="X90" s="39"/>
      <c r="Y90" s="57"/>
      <c r="Z90" s="39"/>
      <c r="AA90" s="57"/>
      <c r="AB90" s="65"/>
      <c r="AC90" s="66"/>
      <c r="AD90" s="65"/>
      <c r="AE90" s="66"/>
      <c r="AF90" s="39"/>
      <c r="AG90" s="57"/>
      <c r="AH90" s="39"/>
      <c r="AI90" s="57"/>
    </row>
    <row r="91" spans="1:35" ht="19.5" customHeight="1" x14ac:dyDescent="0.3">
      <c r="A91" s="4">
        <v>2406358</v>
      </c>
      <c r="B91" s="110" t="s">
        <v>505</v>
      </c>
      <c r="C91" s="55">
        <v>30000</v>
      </c>
      <c r="D91" s="55">
        <v>0</v>
      </c>
      <c r="E91" s="55" t="s">
        <v>17</v>
      </c>
      <c r="F91" s="4" t="s">
        <v>71</v>
      </c>
      <c r="G91" s="4" t="s">
        <v>72</v>
      </c>
      <c r="H91" s="4" t="s">
        <v>2236</v>
      </c>
      <c r="I91" s="4" t="s">
        <v>2251</v>
      </c>
      <c r="J91" s="55">
        <v>30000</v>
      </c>
      <c r="K91" s="55">
        <v>30000</v>
      </c>
      <c r="L91" s="65">
        <v>45471</v>
      </c>
      <c r="M91" s="66">
        <v>500</v>
      </c>
      <c r="N91" s="65">
        <v>45471</v>
      </c>
      <c r="O91" s="66">
        <v>500</v>
      </c>
      <c r="P91" s="39">
        <v>45548</v>
      </c>
      <c r="Q91" s="57">
        <v>27500</v>
      </c>
      <c r="R91" s="39">
        <v>45549</v>
      </c>
      <c r="S91" s="57">
        <v>27500</v>
      </c>
      <c r="T91" s="65">
        <v>45618</v>
      </c>
      <c r="U91" s="69">
        <v>2000</v>
      </c>
      <c r="V91" s="65">
        <v>45624</v>
      </c>
      <c r="W91" s="69">
        <v>2000</v>
      </c>
      <c r="X91" s="39"/>
      <c r="Y91" s="57"/>
      <c r="Z91" s="39"/>
      <c r="AA91" s="57"/>
      <c r="AB91" s="65"/>
      <c r="AC91" s="66"/>
      <c r="AD91" s="65"/>
      <c r="AE91" s="66"/>
      <c r="AF91" s="39"/>
      <c r="AG91" s="57"/>
      <c r="AH91" s="39"/>
      <c r="AI91" s="57"/>
    </row>
    <row r="92" spans="1:35" ht="19.5" customHeight="1" x14ac:dyDescent="0.3">
      <c r="A92" s="4">
        <v>2407360</v>
      </c>
      <c r="B92" s="110" t="s">
        <v>510</v>
      </c>
      <c r="C92" s="55">
        <v>45020</v>
      </c>
      <c r="D92" s="55">
        <v>0</v>
      </c>
      <c r="E92" s="55" t="s">
        <v>17</v>
      </c>
      <c r="F92" s="4" t="s">
        <v>71</v>
      </c>
      <c r="G92" s="4" t="s">
        <v>176</v>
      </c>
      <c r="H92" s="4" t="s">
        <v>2236</v>
      </c>
      <c r="I92" s="4" t="s">
        <v>2251</v>
      </c>
      <c r="J92" s="55">
        <v>45020</v>
      </c>
      <c r="K92" s="55">
        <v>45020</v>
      </c>
      <c r="L92" s="65">
        <v>45561</v>
      </c>
      <c r="M92" s="66">
        <v>500</v>
      </c>
      <c r="N92" s="65">
        <v>45561</v>
      </c>
      <c r="O92" s="66">
        <v>500</v>
      </c>
      <c r="P92" s="39">
        <v>45561</v>
      </c>
      <c r="Q92" s="57">
        <v>44520</v>
      </c>
      <c r="R92" s="39">
        <v>45561</v>
      </c>
      <c r="S92" s="57">
        <v>44520</v>
      </c>
      <c r="T92" s="65"/>
      <c r="U92" s="66"/>
      <c r="V92" s="65"/>
      <c r="W92" s="66"/>
      <c r="X92" s="39"/>
      <c r="Y92" s="57"/>
      <c r="Z92" s="39"/>
      <c r="AA92" s="57"/>
      <c r="AB92" s="65"/>
      <c r="AC92" s="66"/>
      <c r="AD92" s="65"/>
      <c r="AE92" s="66"/>
      <c r="AF92" s="39"/>
      <c r="AG92" s="57"/>
      <c r="AH92" s="39"/>
      <c r="AI92" s="57"/>
    </row>
    <row r="93" spans="1:35" ht="19.5" customHeight="1" x14ac:dyDescent="0.3">
      <c r="A93" s="4">
        <v>2407364</v>
      </c>
      <c r="B93" s="110" t="s">
        <v>515</v>
      </c>
      <c r="C93" s="55">
        <v>25000</v>
      </c>
      <c r="D93" s="55">
        <v>0</v>
      </c>
      <c r="E93" s="55" t="s">
        <v>22</v>
      </c>
      <c r="F93" s="4" t="s">
        <v>71</v>
      </c>
      <c r="G93" s="4" t="s">
        <v>72</v>
      </c>
      <c r="H93" s="4" t="s">
        <v>2236</v>
      </c>
      <c r="I93" s="4" t="s">
        <v>2251</v>
      </c>
      <c r="J93" s="55">
        <v>25000</v>
      </c>
      <c r="K93" s="55">
        <v>25000</v>
      </c>
      <c r="L93" s="65">
        <v>45542</v>
      </c>
      <c r="M93" s="66">
        <v>500</v>
      </c>
      <c r="N93" s="65">
        <v>45542</v>
      </c>
      <c r="O93" s="66">
        <v>500</v>
      </c>
      <c r="P93" s="39">
        <v>45534</v>
      </c>
      <c r="Q93" s="57">
        <v>22500</v>
      </c>
      <c r="R93" s="39">
        <v>45547</v>
      </c>
      <c r="S93" s="57">
        <v>22500</v>
      </c>
      <c r="T93" s="65">
        <v>45639</v>
      </c>
      <c r="U93" s="69">
        <v>2000</v>
      </c>
      <c r="V93" s="65">
        <v>45769</v>
      </c>
      <c r="W93" s="69">
        <v>2000</v>
      </c>
      <c r="X93" s="39"/>
      <c r="Y93" s="57"/>
      <c r="Z93" s="39"/>
      <c r="AA93" s="57"/>
      <c r="AB93" s="65"/>
      <c r="AC93" s="66"/>
      <c r="AD93" s="65"/>
      <c r="AE93" s="66"/>
      <c r="AF93" s="39"/>
      <c r="AG93" s="57"/>
      <c r="AH93" s="39"/>
      <c r="AI93" s="57"/>
    </row>
    <row r="94" spans="1:35" ht="19.5" customHeight="1" x14ac:dyDescent="0.3">
      <c r="A94" s="4">
        <v>2407375</v>
      </c>
      <c r="B94" s="110" t="s">
        <v>520</v>
      </c>
      <c r="C94" s="55">
        <v>39980</v>
      </c>
      <c r="D94" s="55">
        <v>0</v>
      </c>
      <c r="E94" s="55" t="s">
        <v>17</v>
      </c>
      <c r="F94" s="4" t="s">
        <v>71</v>
      </c>
      <c r="G94" s="4" t="s">
        <v>176</v>
      </c>
      <c r="H94" s="4" t="s">
        <v>2236</v>
      </c>
      <c r="I94" s="4" t="s">
        <v>2251</v>
      </c>
      <c r="J94" s="55">
        <v>39980</v>
      </c>
      <c r="K94" s="55">
        <v>39980</v>
      </c>
      <c r="L94" s="65">
        <v>45485</v>
      </c>
      <c r="M94" s="66">
        <v>500</v>
      </c>
      <c r="N94" s="65">
        <v>45485</v>
      </c>
      <c r="O94" s="66">
        <v>500</v>
      </c>
      <c r="P94" s="39">
        <v>45547</v>
      </c>
      <c r="Q94" s="57">
        <v>39480</v>
      </c>
      <c r="R94" s="39">
        <v>45547</v>
      </c>
      <c r="S94" s="57">
        <v>39480</v>
      </c>
      <c r="T94" s="65"/>
      <c r="U94" s="66"/>
      <c r="V94" s="65"/>
      <c r="W94" s="66"/>
      <c r="X94" s="39"/>
      <c r="Y94" s="57"/>
      <c r="Z94" s="39"/>
      <c r="AA94" s="57"/>
      <c r="AB94" s="65"/>
      <c r="AC94" s="66"/>
      <c r="AD94" s="65"/>
      <c r="AE94" s="66"/>
      <c r="AF94" s="39"/>
      <c r="AG94" s="57"/>
      <c r="AH94" s="39"/>
      <c r="AI94" s="57"/>
    </row>
    <row r="95" spans="1:35" ht="19.5" customHeight="1" x14ac:dyDescent="0.3">
      <c r="A95" s="4">
        <v>2407379</v>
      </c>
      <c r="B95" s="110" t="s">
        <v>525</v>
      </c>
      <c r="C95" s="55">
        <v>22860</v>
      </c>
      <c r="D95" s="55">
        <v>0</v>
      </c>
      <c r="E95" s="55" t="s">
        <v>19</v>
      </c>
      <c r="F95" s="4" t="s">
        <v>71</v>
      </c>
      <c r="G95" s="4" t="s">
        <v>526</v>
      </c>
      <c r="H95" s="4" t="s">
        <v>2236</v>
      </c>
      <c r="I95" s="4" t="s">
        <v>2251</v>
      </c>
      <c r="J95" s="55">
        <v>22860</v>
      </c>
      <c r="K95" s="55">
        <v>22860</v>
      </c>
      <c r="L95" s="65">
        <v>45484</v>
      </c>
      <c r="M95" s="66">
        <v>500</v>
      </c>
      <c r="N95" s="65">
        <v>45484</v>
      </c>
      <c r="O95" s="66">
        <v>500</v>
      </c>
      <c r="P95" s="39">
        <v>45589</v>
      </c>
      <c r="Q95" s="57">
        <v>22360</v>
      </c>
      <c r="R95" s="39">
        <v>45589</v>
      </c>
      <c r="S95" s="57">
        <v>22360</v>
      </c>
      <c r="T95" s="65"/>
      <c r="U95" s="66"/>
      <c r="V95" s="65"/>
      <c r="W95" s="66"/>
      <c r="X95" s="39"/>
      <c r="Y95" s="57"/>
      <c r="Z95" s="39"/>
      <c r="AA95" s="57"/>
      <c r="AB95" s="65"/>
      <c r="AC95" s="66"/>
      <c r="AD95" s="65"/>
      <c r="AE95" s="66"/>
      <c r="AF95" s="39"/>
      <c r="AG95" s="57"/>
      <c r="AH95" s="39"/>
      <c r="AI95" s="57"/>
    </row>
    <row r="96" spans="1:35" ht="19.5" customHeight="1" x14ac:dyDescent="0.3">
      <c r="A96" s="4">
        <v>2407380</v>
      </c>
      <c r="B96" s="110" t="s">
        <v>531</v>
      </c>
      <c r="C96" s="55">
        <v>38000</v>
      </c>
      <c r="D96" s="55">
        <v>0</v>
      </c>
      <c r="E96" s="55" t="s">
        <v>17</v>
      </c>
      <c r="F96" s="4" t="s">
        <v>71</v>
      </c>
      <c r="G96" s="4" t="s">
        <v>72</v>
      </c>
      <c r="H96" s="4" t="s">
        <v>2236</v>
      </c>
      <c r="I96" s="4" t="s">
        <v>2251</v>
      </c>
      <c r="J96" s="55">
        <v>38000</v>
      </c>
      <c r="K96" s="55">
        <v>38000</v>
      </c>
      <c r="L96" s="65">
        <v>45486</v>
      </c>
      <c r="M96" s="66">
        <v>500</v>
      </c>
      <c r="N96" s="65">
        <v>45486</v>
      </c>
      <c r="O96" s="66">
        <v>500</v>
      </c>
      <c r="P96" s="39">
        <v>45530</v>
      </c>
      <c r="Q96" s="57">
        <v>37500</v>
      </c>
      <c r="R96" s="39">
        <v>45530</v>
      </c>
      <c r="S96" s="57">
        <v>37500</v>
      </c>
      <c r="T96" s="65"/>
      <c r="U96" s="66"/>
      <c r="V96" s="65"/>
      <c r="W96" s="66"/>
      <c r="X96" s="39"/>
      <c r="Y96" s="57"/>
      <c r="Z96" s="39"/>
      <c r="AA96" s="57"/>
      <c r="AB96" s="65"/>
      <c r="AC96" s="66"/>
      <c r="AD96" s="65"/>
      <c r="AE96" s="66"/>
      <c r="AF96" s="39"/>
      <c r="AG96" s="57"/>
      <c r="AH96" s="39"/>
      <c r="AI96" s="57"/>
    </row>
    <row r="97" spans="1:35" ht="19.5" customHeight="1" x14ac:dyDescent="0.3">
      <c r="A97" s="4">
        <v>2407381</v>
      </c>
      <c r="B97" s="110" t="s">
        <v>536</v>
      </c>
      <c r="C97" s="55">
        <v>36680</v>
      </c>
      <c r="D97" s="55">
        <v>0</v>
      </c>
      <c r="E97" s="55" t="s">
        <v>17</v>
      </c>
      <c r="F97" s="4" t="s">
        <v>71</v>
      </c>
      <c r="G97" s="4" t="s">
        <v>72</v>
      </c>
      <c r="H97" s="4" t="s">
        <v>2236</v>
      </c>
      <c r="I97" s="4" t="s">
        <v>2251</v>
      </c>
      <c r="J97" s="55">
        <v>36680</v>
      </c>
      <c r="K97" s="55">
        <v>36680</v>
      </c>
      <c r="L97" s="65">
        <v>45486</v>
      </c>
      <c r="M97" s="66">
        <v>500</v>
      </c>
      <c r="N97" s="65">
        <v>45486</v>
      </c>
      <c r="O97" s="66">
        <v>500</v>
      </c>
      <c r="P97" s="39">
        <v>45588</v>
      </c>
      <c r="Q97" s="57">
        <v>36180</v>
      </c>
      <c r="R97" s="39">
        <v>45588</v>
      </c>
      <c r="S97" s="57">
        <v>36180</v>
      </c>
      <c r="T97" s="65"/>
      <c r="U97" s="66"/>
      <c r="V97" s="65"/>
      <c r="W97" s="66"/>
      <c r="X97" s="39"/>
      <c r="Y97" s="57"/>
      <c r="Z97" s="39"/>
      <c r="AA97" s="57"/>
      <c r="AB97" s="65"/>
      <c r="AC97" s="66"/>
      <c r="AD97" s="65"/>
      <c r="AE97" s="66"/>
      <c r="AF97" s="39"/>
      <c r="AG97" s="57"/>
      <c r="AH97" s="39"/>
      <c r="AI97" s="57"/>
    </row>
    <row r="98" spans="1:35" ht="19.5" customHeight="1" x14ac:dyDescent="0.3">
      <c r="A98" s="4">
        <v>2407382</v>
      </c>
      <c r="B98" s="110" t="s">
        <v>541</v>
      </c>
      <c r="C98" s="55">
        <v>29840</v>
      </c>
      <c r="D98" s="55">
        <v>0</v>
      </c>
      <c r="E98" s="55" t="s">
        <v>17</v>
      </c>
      <c r="F98" s="4" t="s">
        <v>71</v>
      </c>
      <c r="G98" s="4" t="s">
        <v>176</v>
      </c>
      <c r="H98" s="4" t="s">
        <v>2236</v>
      </c>
      <c r="I98" s="4" t="s">
        <v>2251</v>
      </c>
      <c r="J98" s="55">
        <v>29840</v>
      </c>
      <c r="K98" s="55">
        <v>29840</v>
      </c>
      <c r="L98" s="65">
        <v>45488</v>
      </c>
      <c r="M98" s="66">
        <v>500</v>
      </c>
      <c r="N98" s="65">
        <v>45488</v>
      </c>
      <c r="O98" s="66">
        <v>500</v>
      </c>
      <c r="P98" s="39">
        <v>45738</v>
      </c>
      <c r="Q98" s="57">
        <v>29340</v>
      </c>
      <c r="R98" s="39">
        <v>45738</v>
      </c>
      <c r="S98" s="57">
        <v>29340</v>
      </c>
      <c r="T98" s="65"/>
      <c r="U98" s="66"/>
      <c r="V98" s="65"/>
      <c r="W98" s="66"/>
      <c r="X98" s="39"/>
      <c r="Y98" s="57"/>
      <c r="Z98" s="39"/>
      <c r="AA98" s="57"/>
      <c r="AB98" s="65"/>
      <c r="AC98" s="66"/>
      <c r="AD98" s="65"/>
      <c r="AE98" s="66"/>
      <c r="AF98" s="39"/>
      <c r="AG98" s="57"/>
      <c r="AH98" s="39"/>
      <c r="AI98" s="57"/>
    </row>
    <row r="99" spans="1:35" ht="19.5" customHeight="1" x14ac:dyDescent="0.3">
      <c r="A99" s="4">
        <v>2407383</v>
      </c>
      <c r="B99" s="110" t="s">
        <v>545</v>
      </c>
      <c r="C99" s="55">
        <v>39980</v>
      </c>
      <c r="D99" s="55">
        <v>0</v>
      </c>
      <c r="E99" s="55" t="s">
        <v>17</v>
      </c>
      <c r="F99" s="4" t="s">
        <v>71</v>
      </c>
      <c r="G99" s="4" t="s">
        <v>72</v>
      </c>
      <c r="H99" s="4" t="s">
        <v>2236</v>
      </c>
      <c r="I99" s="4" t="s">
        <v>2251</v>
      </c>
      <c r="J99" s="55">
        <v>39980</v>
      </c>
      <c r="K99" s="55">
        <v>39980</v>
      </c>
      <c r="L99" s="65">
        <v>45488</v>
      </c>
      <c r="M99" s="66">
        <v>500</v>
      </c>
      <c r="N99" s="65">
        <v>45488</v>
      </c>
      <c r="O99" s="66">
        <v>500</v>
      </c>
      <c r="P99" s="39">
        <v>45548</v>
      </c>
      <c r="Q99" s="57">
        <v>39480</v>
      </c>
      <c r="R99" s="39">
        <v>45548</v>
      </c>
      <c r="S99" s="57">
        <v>39480</v>
      </c>
      <c r="T99" s="65"/>
      <c r="U99" s="66"/>
      <c r="V99" s="65"/>
      <c r="W99" s="66"/>
      <c r="X99" s="39"/>
      <c r="Y99" s="57"/>
      <c r="Z99" s="39"/>
      <c r="AA99" s="57"/>
      <c r="AB99" s="65"/>
      <c r="AC99" s="66"/>
      <c r="AD99" s="65"/>
      <c r="AE99" s="66"/>
      <c r="AF99" s="39"/>
      <c r="AG99" s="57"/>
      <c r="AH99" s="39"/>
      <c r="AI99" s="57"/>
    </row>
    <row r="100" spans="1:35" ht="19.5" customHeight="1" x14ac:dyDescent="0.3">
      <c r="A100" s="4">
        <v>2407384</v>
      </c>
      <c r="B100" s="110" t="s">
        <v>550</v>
      </c>
      <c r="C100" s="55">
        <v>36800</v>
      </c>
      <c r="D100" s="55">
        <v>0</v>
      </c>
      <c r="E100" s="55" t="s">
        <v>17</v>
      </c>
      <c r="F100" s="4" t="s">
        <v>71</v>
      </c>
      <c r="G100" s="4" t="s">
        <v>72</v>
      </c>
      <c r="H100" s="4" t="s">
        <v>2236</v>
      </c>
      <c r="I100" s="4" t="s">
        <v>2251</v>
      </c>
      <c r="J100" s="55">
        <v>36800</v>
      </c>
      <c r="K100" s="55">
        <v>36800</v>
      </c>
      <c r="L100" s="65">
        <v>45561</v>
      </c>
      <c r="M100" s="66">
        <v>500</v>
      </c>
      <c r="N100" s="65">
        <v>45561</v>
      </c>
      <c r="O100" s="66">
        <v>500</v>
      </c>
      <c r="P100" s="39">
        <v>45561</v>
      </c>
      <c r="Q100" s="57">
        <v>36300</v>
      </c>
      <c r="R100" s="39">
        <v>45561</v>
      </c>
      <c r="S100" s="57">
        <v>36300</v>
      </c>
      <c r="T100" s="65"/>
      <c r="U100" s="66"/>
      <c r="V100" s="65"/>
      <c r="W100" s="66"/>
      <c r="X100" s="39"/>
      <c r="Y100" s="57"/>
      <c r="Z100" s="39"/>
      <c r="AA100" s="57"/>
      <c r="AB100" s="65"/>
      <c r="AC100" s="66"/>
      <c r="AD100" s="65"/>
      <c r="AE100" s="66"/>
      <c r="AF100" s="39"/>
      <c r="AG100" s="57"/>
      <c r="AH100" s="39"/>
      <c r="AI100" s="57"/>
    </row>
    <row r="101" spans="1:35" ht="19.5" customHeight="1" x14ac:dyDescent="0.3">
      <c r="A101" s="4">
        <v>2407385</v>
      </c>
      <c r="B101" s="110" t="s">
        <v>555</v>
      </c>
      <c r="C101" s="55">
        <v>45600</v>
      </c>
      <c r="D101" s="55">
        <v>0</v>
      </c>
      <c r="E101" s="55" t="s">
        <v>19</v>
      </c>
      <c r="F101" s="4" t="s">
        <v>71</v>
      </c>
      <c r="G101" s="4" t="s">
        <v>72</v>
      </c>
      <c r="H101" s="4" t="s">
        <v>2236</v>
      </c>
      <c r="I101" s="4" t="s">
        <v>2251</v>
      </c>
      <c r="J101" s="55">
        <v>45600</v>
      </c>
      <c r="K101" s="55">
        <v>45600</v>
      </c>
      <c r="L101" s="65">
        <v>45488</v>
      </c>
      <c r="M101" s="66">
        <v>500</v>
      </c>
      <c r="N101" s="65">
        <v>45488</v>
      </c>
      <c r="O101" s="66">
        <v>500</v>
      </c>
      <c r="P101" s="39">
        <v>45548</v>
      </c>
      <c r="Q101" s="57">
        <v>43100</v>
      </c>
      <c r="R101" s="39">
        <v>45548</v>
      </c>
      <c r="S101" s="57">
        <v>43100</v>
      </c>
      <c r="T101" s="72">
        <v>45639</v>
      </c>
      <c r="U101" s="69">
        <v>2000</v>
      </c>
      <c r="V101" s="72">
        <v>45684</v>
      </c>
      <c r="W101" s="69">
        <v>2000</v>
      </c>
      <c r="X101" s="39"/>
      <c r="Y101" s="57"/>
      <c r="Z101" s="39"/>
      <c r="AA101" s="57"/>
      <c r="AB101" s="72"/>
      <c r="AC101" s="66"/>
      <c r="AD101" s="72"/>
      <c r="AE101" s="66"/>
      <c r="AF101" s="39"/>
      <c r="AG101" s="57"/>
      <c r="AH101" s="39"/>
      <c r="AI101" s="57"/>
    </row>
    <row r="102" spans="1:35" ht="19.5" customHeight="1" x14ac:dyDescent="0.3">
      <c r="A102" s="4">
        <v>2310035</v>
      </c>
      <c r="B102" s="110" t="s">
        <v>560</v>
      </c>
      <c r="C102" s="55">
        <v>188000</v>
      </c>
      <c r="D102" s="55">
        <v>0</v>
      </c>
      <c r="E102" s="55" t="s">
        <v>17</v>
      </c>
      <c r="F102" s="4" t="s">
        <v>124</v>
      </c>
      <c r="G102" s="4" t="s">
        <v>72</v>
      </c>
      <c r="H102" s="4" t="s">
        <v>2236</v>
      </c>
      <c r="I102" s="4" t="s">
        <v>2254</v>
      </c>
      <c r="J102" s="55">
        <v>188000</v>
      </c>
      <c r="K102" s="55">
        <v>103400</v>
      </c>
      <c r="L102" s="65">
        <v>45793</v>
      </c>
      <c r="M102" s="66">
        <v>84600</v>
      </c>
      <c r="N102" s="65">
        <v>45796</v>
      </c>
      <c r="O102" s="66">
        <v>84600</v>
      </c>
      <c r="P102" s="39">
        <v>45838</v>
      </c>
      <c r="Q102" s="57">
        <v>84600</v>
      </c>
      <c r="R102" s="39"/>
      <c r="S102" s="57"/>
      <c r="T102" s="65">
        <v>45946</v>
      </c>
      <c r="U102" s="66">
        <v>18800</v>
      </c>
      <c r="V102" s="65">
        <v>45954</v>
      </c>
      <c r="W102" s="66">
        <v>18800</v>
      </c>
      <c r="X102" s="39"/>
      <c r="Y102" s="57"/>
      <c r="Z102" s="39"/>
      <c r="AA102" s="57"/>
      <c r="AB102" s="65"/>
      <c r="AC102" s="66"/>
      <c r="AD102" s="65"/>
      <c r="AE102" s="66"/>
      <c r="AF102" s="39"/>
      <c r="AG102" s="57"/>
      <c r="AH102" s="39"/>
      <c r="AI102" s="57"/>
    </row>
    <row r="103" spans="1:35" ht="19.5" customHeight="1" x14ac:dyDescent="0.3">
      <c r="A103" s="4">
        <v>2403088</v>
      </c>
      <c r="B103" s="110" t="s">
        <v>564</v>
      </c>
      <c r="C103" s="55">
        <v>98000</v>
      </c>
      <c r="D103" s="55">
        <v>0</v>
      </c>
      <c r="E103" s="55" t="s">
        <v>17</v>
      </c>
      <c r="F103" s="4" t="s">
        <v>124</v>
      </c>
      <c r="G103" s="4" t="s">
        <v>72</v>
      </c>
      <c r="H103" s="4" t="s">
        <v>2236</v>
      </c>
      <c r="I103" s="4" t="s">
        <v>2251</v>
      </c>
      <c r="J103" s="55">
        <v>98000</v>
      </c>
      <c r="K103" s="55">
        <v>98000</v>
      </c>
      <c r="L103" s="65">
        <v>45602</v>
      </c>
      <c r="M103" s="66">
        <v>9800</v>
      </c>
      <c r="N103" s="65">
        <v>45602</v>
      </c>
      <c r="O103" s="66">
        <v>9800</v>
      </c>
      <c r="P103" s="39">
        <v>45631</v>
      </c>
      <c r="Q103" s="59">
        <v>34300</v>
      </c>
      <c r="R103" s="39">
        <v>45644</v>
      </c>
      <c r="S103" s="59">
        <v>34300</v>
      </c>
      <c r="T103" s="65">
        <v>45681</v>
      </c>
      <c r="U103" s="66">
        <v>44100</v>
      </c>
      <c r="V103" s="65">
        <v>45804</v>
      </c>
      <c r="W103" s="66">
        <v>44100</v>
      </c>
      <c r="X103" s="39">
        <v>45776</v>
      </c>
      <c r="Y103" s="57">
        <v>9800</v>
      </c>
      <c r="Z103" s="39">
        <v>45804</v>
      </c>
      <c r="AA103" s="57">
        <v>9800</v>
      </c>
      <c r="AB103" s="65"/>
      <c r="AC103" s="66"/>
      <c r="AD103" s="65"/>
      <c r="AE103" s="66"/>
      <c r="AF103" s="39"/>
      <c r="AG103" s="57"/>
      <c r="AH103" s="39"/>
      <c r="AI103" s="57"/>
    </row>
    <row r="104" spans="1:35" ht="19.5" customHeight="1" x14ac:dyDescent="0.3">
      <c r="A104" s="4">
        <v>2407157</v>
      </c>
      <c r="B104" s="110" t="s">
        <v>566</v>
      </c>
      <c r="C104" s="55">
        <v>52000</v>
      </c>
      <c r="D104" s="55">
        <v>0</v>
      </c>
      <c r="E104" s="55" t="s">
        <v>22</v>
      </c>
      <c r="F104" s="4" t="s">
        <v>124</v>
      </c>
      <c r="G104" s="4" t="s">
        <v>72</v>
      </c>
      <c r="H104" s="4" t="s">
        <v>2236</v>
      </c>
      <c r="I104" s="4" t="s">
        <v>2251</v>
      </c>
      <c r="J104" s="55">
        <v>52000</v>
      </c>
      <c r="K104" s="55">
        <v>52000</v>
      </c>
      <c r="L104" s="65">
        <v>45482</v>
      </c>
      <c r="M104" s="66">
        <v>500</v>
      </c>
      <c r="N104" s="65">
        <v>45482</v>
      </c>
      <c r="O104" s="66">
        <v>500</v>
      </c>
      <c r="P104" s="39">
        <v>45538</v>
      </c>
      <c r="Q104" s="59">
        <v>49500</v>
      </c>
      <c r="R104" s="39">
        <v>45622</v>
      </c>
      <c r="S104" s="59">
        <v>49500</v>
      </c>
      <c r="T104" s="65">
        <v>45639</v>
      </c>
      <c r="U104" s="66">
        <v>2000</v>
      </c>
      <c r="V104" s="65">
        <v>45958</v>
      </c>
      <c r="W104" s="66">
        <v>2000</v>
      </c>
      <c r="X104" s="39"/>
      <c r="Y104" s="57"/>
      <c r="Z104" s="39"/>
      <c r="AA104" s="57"/>
      <c r="AB104" s="65"/>
      <c r="AC104" s="66"/>
      <c r="AD104" s="65"/>
      <c r="AE104" s="66"/>
      <c r="AF104" s="39"/>
      <c r="AG104" s="57"/>
      <c r="AH104" s="39"/>
      <c r="AI104" s="57"/>
    </row>
    <row r="105" spans="1:35" ht="19.5" customHeight="1" x14ac:dyDescent="0.3">
      <c r="A105" s="4">
        <v>2312116</v>
      </c>
      <c r="B105" s="110" t="s">
        <v>569</v>
      </c>
      <c r="C105" s="55">
        <v>32540</v>
      </c>
      <c r="D105" s="55">
        <v>0</v>
      </c>
      <c r="E105" s="55" t="s">
        <v>17</v>
      </c>
      <c r="F105" s="4" t="s">
        <v>71</v>
      </c>
      <c r="G105" s="4" t="s">
        <v>176</v>
      </c>
      <c r="H105" s="4" t="s">
        <v>2236</v>
      </c>
      <c r="I105" s="4" t="s">
        <v>2251</v>
      </c>
      <c r="J105" s="55">
        <v>32540</v>
      </c>
      <c r="K105" s="55">
        <v>32540</v>
      </c>
      <c r="L105" s="65">
        <v>45473</v>
      </c>
      <c r="M105" s="66">
        <v>500</v>
      </c>
      <c r="N105" s="65">
        <v>45473</v>
      </c>
      <c r="O105" s="66">
        <v>500</v>
      </c>
      <c r="P105" s="39">
        <v>45588</v>
      </c>
      <c r="Q105" s="57">
        <v>32040</v>
      </c>
      <c r="R105" s="39">
        <v>45588</v>
      </c>
      <c r="S105" s="57">
        <v>32040</v>
      </c>
      <c r="T105" s="65"/>
      <c r="U105" s="66"/>
      <c r="V105" s="65"/>
      <c r="W105" s="66"/>
      <c r="X105" s="39"/>
      <c r="Y105" s="57"/>
      <c r="Z105" s="39"/>
      <c r="AA105" s="57"/>
      <c r="AB105" s="65"/>
      <c r="AC105" s="66"/>
      <c r="AD105" s="65"/>
      <c r="AE105" s="66"/>
      <c r="AF105" s="39"/>
      <c r="AG105" s="57"/>
      <c r="AH105" s="39"/>
      <c r="AI105" s="57"/>
    </row>
    <row r="106" spans="1:35" ht="19.5" customHeight="1" x14ac:dyDescent="0.3">
      <c r="A106" s="4">
        <v>2407388</v>
      </c>
      <c r="B106" s="110" t="s">
        <v>574</v>
      </c>
      <c r="C106" s="55">
        <v>34600</v>
      </c>
      <c r="D106" s="55">
        <v>0</v>
      </c>
      <c r="E106" s="55" t="s">
        <v>17</v>
      </c>
      <c r="F106" s="4" t="s">
        <v>71</v>
      </c>
      <c r="G106" s="4" t="s">
        <v>125</v>
      </c>
      <c r="H106" s="4" t="s">
        <v>2236</v>
      </c>
      <c r="I106" s="4" t="s">
        <v>2251</v>
      </c>
      <c r="J106" s="55">
        <v>34600</v>
      </c>
      <c r="K106" s="55">
        <v>34600</v>
      </c>
      <c r="L106" s="65">
        <v>45555</v>
      </c>
      <c r="M106" s="66">
        <v>500</v>
      </c>
      <c r="N106" s="65">
        <v>45555</v>
      </c>
      <c r="O106" s="66">
        <v>500</v>
      </c>
      <c r="P106" s="39">
        <v>45555</v>
      </c>
      <c r="Q106" s="57">
        <v>32100</v>
      </c>
      <c r="R106" s="39">
        <v>45555</v>
      </c>
      <c r="S106" s="57">
        <v>32100</v>
      </c>
      <c r="T106" s="65">
        <v>45652</v>
      </c>
      <c r="U106" s="69">
        <v>2000</v>
      </c>
      <c r="V106" s="65">
        <v>45652</v>
      </c>
      <c r="W106" s="69">
        <v>2000</v>
      </c>
      <c r="X106" s="39"/>
      <c r="Y106" s="57"/>
      <c r="Z106" s="39"/>
      <c r="AA106" s="57"/>
      <c r="AB106" s="65"/>
      <c r="AC106" s="66"/>
      <c r="AD106" s="65"/>
      <c r="AE106" s="66"/>
      <c r="AF106" s="39"/>
      <c r="AG106" s="57"/>
      <c r="AH106" s="39"/>
      <c r="AI106" s="57"/>
    </row>
    <row r="107" spans="1:35" ht="19.5" customHeight="1" x14ac:dyDescent="0.3">
      <c r="A107" s="4">
        <v>2407386</v>
      </c>
      <c r="B107" s="110" t="s">
        <v>579</v>
      </c>
      <c r="C107" s="55">
        <v>38000</v>
      </c>
      <c r="D107" s="55">
        <v>0</v>
      </c>
      <c r="E107" s="55" t="s">
        <v>19</v>
      </c>
      <c r="F107" s="4" t="s">
        <v>71</v>
      </c>
      <c r="G107" s="4" t="s">
        <v>72</v>
      </c>
      <c r="H107" s="4" t="s">
        <v>2236</v>
      </c>
      <c r="I107" s="4" t="s">
        <v>2251</v>
      </c>
      <c r="J107" s="55">
        <v>38000</v>
      </c>
      <c r="K107" s="55">
        <v>38000</v>
      </c>
      <c r="L107" s="65">
        <v>45494</v>
      </c>
      <c r="M107" s="66">
        <v>500</v>
      </c>
      <c r="N107" s="65">
        <v>45494</v>
      </c>
      <c r="O107" s="66">
        <v>500</v>
      </c>
      <c r="P107" s="39">
        <v>45559</v>
      </c>
      <c r="Q107" s="57">
        <v>35500</v>
      </c>
      <c r="R107" s="39">
        <v>45560</v>
      </c>
      <c r="S107" s="57">
        <v>35500</v>
      </c>
      <c r="T107" s="65">
        <v>45579</v>
      </c>
      <c r="U107" s="66">
        <v>2000</v>
      </c>
      <c r="V107" s="65">
        <v>45579</v>
      </c>
      <c r="W107" s="66">
        <v>2000</v>
      </c>
      <c r="X107" s="39"/>
      <c r="Y107" s="57"/>
      <c r="Z107" s="39"/>
      <c r="AA107" s="57"/>
      <c r="AB107" s="65"/>
      <c r="AC107" s="66"/>
      <c r="AD107" s="65"/>
      <c r="AE107" s="66"/>
      <c r="AF107" s="39"/>
      <c r="AG107" s="57"/>
      <c r="AH107" s="39"/>
      <c r="AI107" s="57"/>
    </row>
    <row r="108" spans="1:35" ht="19.5" customHeight="1" x14ac:dyDescent="0.3">
      <c r="A108" s="4">
        <v>2403158</v>
      </c>
      <c r="B108" s="110" t="s">
        <v>584</v>
      </c>
      <c r="C108" s="55">
        <v>23500</v>
      </c>
      <c r="D108" s="55">
        <v>-1404</v>
      </c>
      <c r="E108" s="55" t="s">
        <v>17</v>
      </c>
      <c r="F108" s="4" t="s">
        <v>71</v>
      </c>
      <c r="G108" s="4" t="s">
        <v>72</v>
      </c>
      <c r="H108" s="4" t="s">
        <v>2236</v>
      </c>
      <c r="I108" s="4" t="s">
        <v>2251</v>
      </c>
      <c r="J108" s="55">
        <v>22096</v>
      </c>
      <c r="K108" s="55">
        <v>22096</v>
      </c>
      <c r="L108" s="65">
        <v>45586</v>
      </c>
      <c r="M108" s="66">
        <v>500</v>
      </c>
      <c r="N108" s="65">
        <v>45586</v>
      </c>
      <c r="O108" s="66">
        <v>500</v>
      </c>
      <c r="P108" s="39">
        <v>45586</v>
      </c>
      <c r="Q108" s="57">
        <v>21000</v>
      </c>
      <c r="R108" s="39">
        <v>45587</v>
      </c>
      <c r="S108" s="57">
        <v>21000</v>
      </c>
      <c r="T108" s="65">
        <v>45602</v>
      </c>
      <c r="U108" s="66">
        <v>596</v>
      </c>
      <c r="V108" s="65">
        <v>45615</v>
      </c>
      <c r="W108" s="66">
        <v>596</v>
      </c>
      <c r="X108" s="39"/>
      <c r="Y108" s="57"/>
      <c r="Z108" s="39"/>
      <c r="AA108" s="57"/>
      <c r="AB108" s="65"/>
      <c r="AC108" s="66"/>
      <c r="AD108" s="65"/>
      <c r="AE108" s="66"/>
      <c r="AF108" s="39"/>
      <c r="AG108" s="57"/>
      <c r="AH108" s="39"/>
      <c r="AI108" s="57"/>
    </row>
    <row r="109" spans="1:35" ht="19.5" customHeight="1" x14ac:dyDescent="0.3">
      <c r="A109" s="4">
        <v>2404220</v>
      </c>
      <c r="B109" s="110" t="s">
        <v>589</v>
      </c>
      <c r="C109" s="55">
        <v>23500</v>
      </c>
      <c r="D109" s="55">
        <v>-1404</v>
      </c>
      <c r="E109" s="55" t="s">
        <v>17</v>
      </c>
      <c r="F109" s="4" t="s">
        <v>71</v>
      </c>
      <c r="G109" s="4" t="s">
        <v>72</v>
      </c>
      <c r="H109" s="4" t="s">
        <v>2236</v>
      </c>
      <c r="I109" s="4" t="s">
        <v>2251</v>
      </c>
      <c r="J109" s="55">
        <v>22096</v>
      </c>
      <c r="K109" s="55">
        <v>22096</v>
      </c>
      <c r="L109" s="65">
        <v>45581</v>
      </c>
      <c r="M109" s="66">
        <v>500</v>
      </c>
      <c r="N109" s="65">
        <v>45581</v>
      </c>
      <c r="O109" s="66">
        <v>500</v>
      </c>
      <c r="P109" s="39">
        <v>45581</v>
      </c>
      <c r="Q109" s="57">
        <v>21000</v>
      </c>
      <c r="R109" s="39">
        <v>45581</v>
      </c>
      <c r="S109" s="57">
        <v>21000</v>
      </c>
      <c r="T109" s="65">
        <v>45602</v>
      </c>
      <c r="U109" s="66">
        <v>596</v>
      </c>
      <c r="V109" s="65">
        <v>45609</v>
      </c>
      <c r="W109" s="66">
        <v>596</v>
      </c>
      <c r="X109" s="39"/>
      <c r="Y109" s="57"/>
      <c r="Z109" s="39"/>
      <c r="AA109" s="57"/>
      <c r="AB109" s="65"/>
      <c r="AC109" s="66"/>
      <c r="AD109" s="65"/>
      <c r="AE109" s="66"/>
      <c r="AF109" s="39"/>
      <c r="AG109" s="57"/>
      <c r="AH109" s="39"/>
      <c r="AI109" s="57"/>
    </row>
    <row r="110" spans="1:35" ht="19.5" customHeight="1" x14ac:dyDescent="0.3">
      <c r="A110" s="4">
        <v>2403202</v>
      </c>
      <c r="B110" s="110" t="s">
        <v>594</v>
      </c>
      <c r="C110" s="55">
        <v>31000</v>
      </c>
      <c r="D110" s="55">
        <v>0</v>
      </c>
      <c r="E110" s="55" t="s">
        <v>17</v>
      </c>
      <c r="F110" s="4" t="s">
        <v>71</v>
      </c>
      <c r="G110" s="4" t="s">
        <v>72</v>
      </c>
      <c r="H110" s="4" t="s">
        <v>2236</v>
      </c>
      <c r="I110" s="4" t="s">
        <v>2251</v>
      </c>
      <c r="J110" s="55">
        <v>31000</v>
      </c>
      <c r="K110" s="55">
        <v>31000</v>
      </c>
      <c r="L110" s="65">
        <v>45562</v>
      </c>
      <c r="M110" s="66">
        <v>500</v>
      </c>
      <c r="N110" s="65">
        <v>45562</v>
      </c>
      <c r="O110" s="66">
        <v>500</v>
      </c>
      <c r="P110" s="39">
        <v>45562</v>
      </c>
      <c r="Q110" s="57">
        <v>28500</v>
      </c>
      <c r="R110" s="39">
        <v>45562</v>
      </c>
      <c r="S110" s="57">
        <v>28500</v>
      </c>
      <c r="T110" s="65">
        <v>45562</v>
      </c>
      <c r="U110" s="66">
        <v>2000</v>
      </c>
      <c r="V110" s="65">
        <v>45569</v>
      </c>
      <c r="W110" s="66">
        <v>2000</v>
      </c>
      <c r="X110" s="39"/>
      <c r="Y110" s="57"/>
      <c r="Z110" s="39"/>
      <c r="AA110" s="57"/>
      <c r="AB110" s="65"/>
      <c r="AC110" s="66"/>
      <c r="AD110" s="65"/>
      <c r="AE110" s="66"/>
      <c r="AF110" s="39"/>
      <c r="AG110" s="57"/>
      <c r="AH110" s="39"/>
      <c r="AI110" s="57"/>
    </row>
    <row r="111" spans="1:35" ht="19.5" customHeight="1" x14ac:dyDescent="0.3">
      <c r="A111" s="4">
        <v>2407392</v>
      </c>
      <c r="B111" s="110" t="s">
        <v>599</v>
      </c>
      <c r="C111" s="55">
        <v>36680</v>
      </c>
      <c r="D111" s="55">
        <v>-2340</v>
      </c>
      <c r="E111" s="55" t="s">
        <v>17</v>
      </c>
      <c r="F111" s="4" t="s">
        <v>71</v>
      </c>
      <c r="G111" s="4" t="s">
        <v>72</v>
      </c>
      <c r="H111" s="4" t="s">
        <v>2236</v>
      </c>
      <c r="I111" s="4" t="s">
        <v>2251</v>
      </c>
      <c r="J111" s="55">
        <v>34340</v>
      </c>
      <c r="K111" s="55">
        <v>34340</v>
      </c>
      <c r="L111" s="65">
        <v>45582</v>
      </c>
      <c r="M111" s="66">
        <v>500</v>
      </c>
      <c r="N111" s="65">
        <v>45582</v>
      </c>
      <c r="O111" s="66">
        <v>500</v>
      </c>
      <c r="P111" s="39">
        <v>45582</v>
      </c>
      <c r="Q111" s="57">
        <v>33840</v>
      </c>
      <c r="R111" s="39">
        <v>45589</v>
      </c>
      <c r="S111" s="57">
        <v>33840</v>
      </c>
      <c r="T111" s="65"/>
      <c r="U111" s="66"/>
      <c r="V111" s="65"/>
      <c r="W111" s="66"/>
      <c r="X111" s="39"/>
      <c r="Y111" s="57"/>
      <c r="Z111" s="39"/>
      <c r="AA111" s="57"/>
      <c r="AB111" s="65"/>
      <c r="AC111" s="66"/>
      <c r="AD111" s="65"/>
      <c r="AE111" s="66"/>
      <c r="AF111" s="39"/>
      <c r="AG111" s="57"/>
      <c r="AH111" s="39"/>
      <c r="AI111" s="57"/>
    </row>
    <row r="112" spans="1:35" ht="19.5" customHeight="1" x14ac:dyDescent="0.3">
      <c r="A112" s="4">
        <v>2404232</v>
      </c>
      <c r="B112" s="110" t="s">
        <v>604</v>
      </c>
      <c r="C112" s="55">
        <v>25000</v>
      </c>
      <c r="D112" s="55">
        <v>0</v>
      </c>
      <c r="E112" s="55" t="s">
        <v>17</v>
      </c>
      <c r="F112" s="4" t="s">
        <v>71</v>
      </c>
      <c r="G112" s="4" t="s">
        <v>72</v>
      </c>
      <c r="H112" s="4" t="s">
        <v>2236</v>
      </c>
      <c r="I112" s="4" t="s">
        <v>2251</v>
      </c>
      <c r="J112" s="55">
        <v>25000</v>
      </c>
      <c r="K112" s="55">
        <v>25000</v>
      </c>
      <c r="L112" s="65">
        <v>45468</v>
      </c>
      <c r="M112" s="66">
        <v>500</v>
      </c>
      <c r="N112" s="65">
        <v>45468</v>
      </c>
      <c r="O112" s="66">
        <v>500</v>
      </c>
      <c r="P112" s="39">
        <v>45588</v>
      </c>
      <c r="Q112" s="57">
        <v>22500</v>
      </c>
      <c r="R112" s="39">
        <v>45588</v>
      </c>
      <c r="S112" s="57">
        <v>22500</v>
      </c>
      <c r="T112" s="65">
        <v>45591</v>
      </c>
      <c r="U112" s="66">
        <v>2000</v>
      </c>
      <c r="V112" s="65">
        <v>45591</v>
      </c>
      <c r="W112" s="66">
        <v>2000</v>
      </c>
      <c r="X112" s="39"/>
      <c r="Y112" s="57"/>
      <c r="Z112" s="39"/>
      <c r="AA112" s="57"/>
      <c r="AB112" s="65"/>
      <c r="AC112" s="66"/>
      <c r="AD112" s="65"/>
      <c r="AE112" s="66"/>
      <c r="AF112" s="39"/>
      <c r="AG112" s="57"/>
      <c r="AH112" s="39"/>
      <c r="AI112" s="57"/>
    </row>
    <row r="113" spans="1:35" ht="19.5" customHeight="1" x14ac:dyDescent="0.3">
      <c r="A113" s="4">
        <v>2407397</v>
      </c>
      <c r="B113" s="110" t="s">
        <v>609</v>
      </c>
      <c r="C113" s="55">
        <v>39600</v>
      </c>
      <c r="D113" s="55">
        <v>0</v>
      </c>
      <c r="E113" s="55" t="s">
        <v>17</v>
      </c>
      <c r="F113" s="4" t="s">
        <v>71</v>
      </c>
      <c r="G113" s="4" t="s">
        <v>72</v>
      </c>
      <c r="H113" s="4" t="s">
        <v>2236</v>
      </c>
      <c r="I113" s="4" t="s">
        <v>2251</v>
      </c>
      <c r="J113" s="55">
        <v>39600</v>
      </c>
      <c r="K113" s="55">
        <v>39600</v>
      </c>
      <c r="L113" s="65">
        <v>45498</v>
      </c>
      <c r="M113" s="66">
        <v>500</v>
      </c>
      <c r="N113" s="65">
        <v>45498</v>
      </c>
      <c r="O113" s="66">
        <v>500</v>
      </c>
      <c r="P113" s="39">
        <v>45589</v>
      </c>
      <c r="Q113" s="57">
        <v>39100</v>
      </c>
      <c r="R113" s="39">
        <v>45589</v>
      </c>
      <c r="S113" s="57">
        <v>39100</v>
      </c>
      <c r="T113" s="65"/>
      <c r="U113" s="66"/>
      <c r="V113" s="65"/>
      <c r="W113" s="66"/>
      <c r="X113" s="39"/>
      <c r="Y113" s="57"/>
      <c r="Z113" s="39"/>
      <c r="AA113" s="57"/>
      <c r="AB113" s="65"/>
      <c r="AC113" s="66"/>
      <c r="AD113" s="65"/>
      <c r="AE113" s="66"/>
      <c r="AF113" s="39"/>
      <c r="AG113" s="57"/>
      <c r="AH113" s="39"/>
      <c r="AI113" s="57"/>
    </row>
    <row r="114" spans="1:35" ht="19.5" customHeight="1" x14ac:dyDescent="0.3">
      <c r="A114" s="4">
        <v>2404250</v>
      </c>
      <c r="B114" s="110" t="s">
        <v>614</v>
      </c>
      <c r="C114" s="55">
        <v>50320</v>
      </c>
      <c r="D114" s="55">
        <v>0</v>
      </c>
      <c r="E114" s="55" t="s">
        <v>17</v>
      </c>
      <c r="F114" s="4" t="s">
        <v>71</v>
      </c>
      <c r="G114" s="4" t="s">
        <v>176</v>
      </c>
      <c r="H114" s="4" t="s">
        <v>2236</v>
      </c>
      <c r="I114" s="4" t="s">
        <v>2251</v>
      </c>
      <c r="J114" s="55">
        <v>50320</v>
      </c>
      <c r="K114" s="55">
        <v>50320</v>
      </c>
      <c r="L114" s="65">
        <v>45500</v>
      </c>
      <c r="M114" s="66">
        <v>500</v>
      </c>
      <c r="N114" s="65">
        <v>45500</v>
      </c>
      <c r="O114" s="66">
        <v>500</v>
      </c>
      <c r="P114" s="39">
        <v>45608</v>
      </c>
      <c r="Q114" s="57">
        <v>47820</v>
      </c>
      <c r="R114" s="39">
        <v>45646</v>
      </c>
      <c r="S114" s="57">
        <v>47820</v>
      </c>
      <c r="T114" s="65">
        <v>45646</v>
      </c>
      <c r="U114" s="66">
        <v>2000</v>
      </c>
      <c r="V114" s="65">
        <v>45646</v>
      </c>
      <c r="W114" s="66">
        <v>2000</v>
      </c>
      <c r="X114" s="39"/>
      <c r="Y114" s="57"/>
      <c r="Z114" s="39"/>
      <c r="AA114" s="57"/>
      <c r="AB114" s="65"/>
      <c r="AC114" s="66"/>
      <c r="AD114" s="65"/>
      <c r="AE114" s="66"/>
      <c r="AF114" s="39"/>
      <c r="AG114" s="57"/>
      <c r="AH114" s="39"/>
      <c r="AI114" s="57"/>
    </row>
    <row r="115" spans="1:35" ht="19.5" customHeight="1" x14ac:dyDescent="0.3">
      <c r="A115" s="4">
        <v>2407399</v>
      </c>
      <c r="B115" s="110" t="s">
        <v>619</v>
      </c>
      <c r="C115" s="55">
        <v>31000</v>
      </c>
      <c r="D115" s="55">
        <v>0</v>
      </c>
      <c r="E115" s="55" t="s">
        <v>17</v>
      </c>
      <c r="F115" s="4" t="s">
        <v>71</v>
      </c>
      <c r="G115" s="4" t="s">
        <v>125</v>
      </c>
      <c r="H115" s="4" t="s">
        <v>2236</v>
      </c>
      <c r="I115" s="4" t="s">
        <v>2251</v>
      </c>
      <c r="J115" s="55">
        <v>31000</v>
      </c>
      <c r="K115" s="55">
        <v>31000</v>
      </c>
      <c r="L115" s="65">
        <v>45587</v>
      </c>
      <c r="M115" s="66">
        <v>500</v>
      </c>
      <c r="N115" s="65">
        <v>45587</v>
      </c>
      <c r="O115" s="66">
        <v>500</v>
      </c>
      <c r="P115" s="39">
        <v>45587</v>
      </c>
      <c r="Q115" s="57">
        <v>28500</v>
      </c>
      <c r="R115" s="39">
        <v>45587</v>
      </c>
      <c r="S115" s="57">
        <v>28500</v>
      </c>
      <c r="T115" s="65">
        <v>45652</v>
      </c>
      <c r="U115" s="69">
        <v>2000</v>
      </c>
      <c r="V115" s="65">
        <v>45655</v>
      </c>
      <c r="W115" s="69">
        <v>2000</v>
      </c>
      <c r="X115" s="39"/>
      <c r="Y115" s="57"/>
      <c r="Z115" s="39"/>
      <c r="AA115" s="57"/>
      <c r="AB115" s="65"/>
      <c r="AC115" s="66"/>
      <c r="AD115" s="65"/>
      <c r="AE115" s="66"/>
      <c r="AF115" s="39"/>
      <c r="AG115" s="57"/>
      <c r="AH115" s="39"/>
      <c r="AI115" s="57"/>
    </row>
    <row r="116" spans="1:35" ht="19.5" customHeight="1" x14ac:dyDescent="0.3">
      <c r="A116" s="4">
        <v>2407394</v>
      </c>
      <c r="B116" s="110" t="s">
        <v>625</v>
      </c>
      <c r="C116" s="55">
        <v>24100</v>
      </c>
      <c r="D116" s="55">
        <v>0</v>
      </c>
      <c r="E116" s="55" t="s">
        <v>22</v>
      </c>
      <c r="F116" s="4" t="s">
        <v>71</v>
      </c>
      <c r="G116" s="4" t="s">
        <v>72</v>
      </c>
      <c r="H116" s="4" t="s">
        <v>2236</v>
      </c>
      <c r="I116" s="4" t="s">
        <v>2251</v>
      </c>
      <c r="J116" s="55">
        <v>24100</v>
      </c>
      <c r="K116" s="55">
        <v>24100</v>
      </c>
      <c r="L116" s="65">
        <v>45504</v>
      </c>
      <c r="M116" s="66">
        <v>500</v>
      </c>
      <c r="N116" s="65">
        <v>45504</v>
      </c>
      <c r="O116" s="66">
        <v>500</v>
      </c>
      <c r="P116" s="39">
        <v>45552</v>
      </c>
      <c r="Q116" s="57">
        <v>21600</v>
      </c>
      <c r="R116" s="39">
        <v>45552</v>
      </c>
      <c r="S116" s="57">
        <v>21600</v>
      </c>
      <c r="T116" s="65">
        <v>45614</v>
      </c>
      <c r="U116" s="66">
        <v>2000</v>
      </c>
      <c r="V116" s="65">
        <v>45614</v>
      </c>
      <c r="W116" s="66">
        <v>2000</v>
      </c>
      <c r="X116" s="39"/>
      <c r="Y116" s="57"/>
      <c r="Z116" s="39"/>
      <c r="AA116" s="57"/>
      <c r="AB116" s="65"/>
      <c r="AC116" s="66"/>
      <c r="AD116" s="65"/>
      <c r="AE116" s="66"/>
      <c r="AF116" s="39"/>
      <c r="AG116" s="57"/>
      <c r="AH116" s="39"/>
      <c r="AI116" s="57"/>
    </row>
    <row r="117" spans="1:35" ht="19.5" customHeight="1" x14ac:dyDescent="0.3">
      <c r="A117" s="4" t="s">
        <v>629</v>
      </c>
      <c r="B117" s="110" t="s">
        <v>630</v>
      </c>
      <c r="C117" s="55">
        <v>39600</v>
      </c>
      <c r="D117" s="55">
        <v>0</v>
      </c>
      <c r="E117" s="55" t="s">
        <v>17</v>
      </c>
      <c r="F117" s="4" t="s">
        <v>71</v>
      </c>
      <c r="G117" s="4" t="s">
        <v>72</v>
      </c>
      <c r="H117" s="4" t="s">
        <v>2236</v>
      </c>
      <c r="I117" s="4" t="s">
        <v>2251</v>
      </c>
      <c r="J117" s="55">
        <v>39600</v>
      </c>
      <c r="K117" s="55">
        <v>39600</v>
      </c>
      <c r="L117" s="65">
        <v>45506</v>
      </c>
      <c r="M117" s="66">
        <v>500</v>
      </c>
      <c r="N117" s="65">
        <v>45506</v>
      </c>
      <c r="O117" s="66">
        <v>500</v>
      </c>
      <c r="P117" s="39">
        <v>45635</v>
      </c>
      <c r="Q117" s="57">
        <v>37100</v>
      </c>
      <c r="R117" s="39">
        <v>45635</v>
      </c>
      <c r="S117" s="57">
        <v>37100</v>
      </c>
      <c r="T117" s="65">
        <v>45657</v>
      </c>
      <c r="U117" s="69">
        <v>2000</v>
      </c>
      <c r="V117" s="65">
        <v>45659</v>
      </c>
      <c r="W117" s="69">
        <v>2000</v>
      </c>
      <c r="X117" s="39"/>
      <c r="Y117" s="57"/>
      <c r="Z117" s="39"/>
      <c r="AA117" s="57"/>
      <c r="AB117" s="65"/>
      <c r="AC117" s="66"/>
      <c r="AD117" s="65"/>
      <c r="AE117" s="66"/>
      <c r="AF117" s="39"/>
      <c r="AG117" s="57"/>
      <c r="AH117" s="39"/>
      <c r="AI117" s="57"/>
    </row>
    <row r="118" spans="1:35" ht="19.5" customHeight="1" x14ac:dyDescent="0.3">
      <c r="A118" s="4">
        <v>2312114</v>
      </c>
      <c r="B118" s="110" t="s">
        <v>635</v>
      </c>
      <c r="C118" s="55">
        <v>31000</v>
      </c>
      <c r="D118" s="55">
        <v>0</v>
      </c>
      <c r="E118" s="55" t="s">
        <v>17</v>
      </c>
      <c r="F118" s="4" t="s">
        <v>71</v>
      </c>
      <c r="G118" s="4" t="s">
        <v>72</v>
      </c>
      <c r="H118" s="4" t="s">
        <v>2236</v>
      </c>
      <c r="I118" s="4" t="s">
        <v>2251</v>
      </c>
      <c r="J118" s="55">
        <v>31000</v>
      </c>
      <c r="K118" s="55">
        <v>31000</v>
      </c>
      <c r="L118" s="65">
        <v>45458</v>
      </c>
      <c r="M118" s="66">
        <v>500</v>
      </c>
      <c r="N118" s="65">
        <v>45458</v>
      </c>
      <c r="O118" s="66">
        <v>500</v>
      </c>
      <c r="P118" s="39">
        <v>45512</v>
      </c>
      <c r="Q118" s="57">
        <v>28500</v>
      </c>
      <c r="R118" s="39">
        <v>45512</v>
      </c>
      <c r="S118" s="57">
        <v>28500</v>
      </c>
      <c r="T118" s="65">
        <v>45652</v>
      </c>
      <c r="U118" s="69">
        <v>2000</v>
      </c>
      <c r="V118" s="65">
        <v>45656</v>
      </c>
      <c r="W118" s="69">
        <v>2000</v>
      </c>
      <c r="X118" s="39"/>
      <c r="Y118" s="57"/>
      <c r="Z118" s="39"/>
      <c r="AA118" s="57"/>
      <c r="AB118" s="65"/>
      <c r="AC118" s="66"/>
      <c r="AD118" s="65"/>
      <c r="AE118" s="66"/>
      <c r="AF118" s="39"/>
      <c r="AG118" s="57"/>
      <c r="AH118" s="39"/>
      <c r="AI118" s="57"/>
    </row>
    <row r="119" spans="1:35" ht="19.5" customHeight="1" x14ac:dyDescent="0.3">
      <c r="A119" s="4">
        <v>2401123</v>
      </c>
      <c r="B119" s="110" t="s">
        <v>640</v>
      </c>
      <c r="C119" s="55">
        <v>36500</v>
      </c>
      <c r="D119" s="55">
        <v>0</v>
      </c>
      <c r="E119" s="55" t="s">
        <v>17</v>
      </c>
      <c r="F119" s="4" t="s">
        <v>71</v>
      </c>
      <c r="G119" s="4" t="s">
        <v>125</v>
      </c>
      <c r="H119" s="4" t="s">
        <v>2236</v>
      </c>
      <c r="I119" s="4" t="s">
        <v>2251</v>
      </c>
      <c r="J119" s="55">
        <v>36500</v>
      </c>
      <c r="K119" s="55">
        <v>36500</v>
      </c>
      <c r="L119" s="65">
        <v>45469</v>
      </c>
      <c r="M119" s="66">
        <v>500</v>
      </c>
      <c r="N119" s="65">
        <v>45469</v>
      </c>
      <c r="O119" s="66">
        <v>500</v>
      </c>
      <c r="P119" s="39">
        <v>45588</v>
      </c>
      <c r="Q119" s="57">
        <v>36000</v>
      </c>
      <c r="R119" s="39">
        <v>45588</v>
      </c>
      <c r="S119" s="57">
        <v>36000</v>
      </c>
      <c r="T119" s="65"/>
      <c r="U119" s="66"/>
      <c r="V119" s="65"/>
      <c r="W119" s="66"/>
      <c r="X119" s="39"/>
      <c r="Y119" s="57"/>
      <c r="Z119" s="39"/>
      <c r="AA119" s="57"/>
      <c r="AB119" s="65"/>
      <c r="AC119" s="66"/>
      <c r="AD119" s="65"/>
      <c r="AE119" s="66"/>
      <c r="AF119" s="39"/>
      <c r="AG119" s="57"/>
      <c r="AH119" s="39"/>
      <c r="AI119" s="57"/>
    </row>
    <row r="120" spans="1:35" ht="19.5" customHeight="1" x14ac:dyDescent="0.3">
      <c r="A120" s="4">
        <v>2404207</v>
      </c>
      <c r="B120" s="110" t="s">
        <v>645</v>
      </c>
      <c r="C120" s="55">
        <v>26240</v>
      </c>
      <c r="D120" s="55">
        <v>-1404</v>
      </c>
      <c r="E120" s="55" t="s">
        <v>17</v>
      </c>
      <c r="F120" s="4" t="s">
        <v>71</v>
      </c>
      <c r="G120" s="4" t="s">
        <v>125</v>
      </c>
      <c r="H120" s="4" t="s">
        <v>2236</v>
      </c>
      <c r="I120" s="4" t="s">
        <v>2251</v>
      </c>
      <c r="J120" s="55">
        <v>24836</v>
      </c>
      <c r="K120" s="55">
        <v>24836</v>
      </c>
      <c r="L120" s="65">
        <v>45432</v>
      </c>
      <c r="M120" s="66">
        <v>500</v>
      </c>
      <c r="N120" s="65">
        <v>45432</v>
      </c>
      <c r="O120" s="66">
        <v>500</v>
      </c>
      <c r="P120" s="39">
        <v>45657</v>
      </c>
      <c r="Q120" s="57">
        <v>24336</v>
      </c>
      <c r="R120" s="39">
        <v>45673</v>
      </c>
      <c r="S120" s="57">
        <v>24336</v>
      </c>
      <c r="T120" s="65"/>
      <c r="U120" s="66"/>
      <c r="V120" s="65"/>
      <c r="W120" s="66"/>
      <c r="X120" s="39"/>
      <c r="Y120" s="57"/>
      <c r="Z120" s="39"/>
      <c r="AA120" s="57"/>
      <c r="AB120" s="65"/>
      <c r="AC120" s="66"/>
      <c r="AD120" s="65"/>
      <c r="AE120" s="66"/>
      <c r="AF120" s="39"/>
      <c r="AG120" s="57"/>
      <c r="AH120" s="39"/>
      <c r="AI120" s="57"/>
    </row>
    <row r="121" spans="1:35" ht="19.5" customHeight="1" x14ac:dyDescent="0.3">
      <c r="A121" s="4">
        <v>2408402</v>
      </c>
      <c r="B121" s="110" t="s">
        <v>650</v>
      </c>
      <c r="C121" s="55">
        <v>43000</v>
      </c>
      <c r="D121" s="55">
        <v>0</v>
      </c>
      <c r="E121" s="55" t="s">
        <v>17</v>
      </c>
      <c r="F121" s="4" t="s">
        <v>71</v>
      </c>
      <c r="G121" s="4" t="s">
        <v>125</v>
      </c>
      <c r="H121" s="4" t="s">
        <v>2236</v>
      </c>
      <c r="I121" s="4" t="s">
        <v>2251</v>
      </c>
      <c r="J121" s="55">
        <v>43000</v>
      </c>
      <c r="K121" s="55">
        <v>43000</v>
      </c>
      <c r="L121" s="65">
        <v>45611</v>
      </c>
      <c r="M121" s="66">
        <v>500</v>
      </c>
      <c r="N121" s="65">
        <v>45611</v>
      </c>
      <c r="O121" s="66">
        <v>500</v>
      </c>
      <c r="P121" s="39">
        <v>45611</v>
      </c>
      <c r="Q121" s="57">
        <v>42500</v>
      </c>
      <c r="R121" s="39">
        <v>45611</v>
      </c>
      <c r="S121" s="57">
        <v>42500</v>
      </c>
      <c r="T121" s="65"/>
      <c r="U121" s="66"/>
      <c r="V121" s="65"/>
      <c r="W121" s="66"/>
      <c r="X121" s="39"/>
      <c r="Y121" s="57"/>
      <c r="Z121" s="39"/>
      <c r="AA121" s="57"/>
      <c r="AB121" s="65"/>
      <c r="AC121" s="66"/>
      <c r="AD121" s="65"/>
      <c r="AE121" s="66"/>
      <c r="AF121" s="39"/>
      <c r="AG121" s="57"/>
      <c r="AH121" s="39"/>
      <c r="AI121" s="57"/>
    </row>
    <row r="122" spans="1:35" ht="19.5" customHeight="1" x14ac:dyDescent="0.3">
      <c r="A122" s="4">
        <v>2407372</v>
      </c>
      <c r="B122" s="110" t="s">
        <v>655</v>
      </c>
      <c r="C122" s="55">
        <v>37600</v>
      </c>
      <c r="D122" s="55">
        <v>0</v>
      </c>
      <c r="E122" s="55" t="s">
        <v>17</v>
      </c>
      <c r="F122" s="4" t="s">
        <v>71</v>
      </c>
      <c r="G122" s="4" t="s">
        <v>125</v>
      </c>
      <c r="H122" s="4" t="s">
        <v>2236</v>
      </c>
      <c r="I122" s="4" t="s">
        <v>2251</v>
      </c>
      <c r="J122" s="55">
        <v>37600</v>
      </c>
      <c r="K122" s="55">
        <v>37600</v>
      </c>
      <c r="L122" s="65">
        <v>45509</v>
      </c>
      <c r="M122" s="66">
        <v>500</v>
      </c>
      <c r="N122" s="65">
        <v>45509</v>
      </c>
      <c r="O122" s="66">
        <v>500</v>
      </c>
      <c r="P122" s="39">
        <v>45562</v>
      </c>
      <c r="Q122" s="57">
        <v>37100</v>
      </c>
      <c r="R122" s="39">
        <v>45562</v>
      </c>
      <c r="S122" s="57">
        <v>37100</v>
      </c>
      <c r="T122" s="65"/>
      <c r="U122" s="66"/>
      <c r="V122" s="65"/>
      <c r="W122" s="66"/>
      <c r="X122" s="39"/>
      <c r="Y122" s="57"/>
      <c r="Z122" s="39"/>
      <c r="AA122" s="57"/>
      <c r="AB122" s="65"/>
      <c r="AC122" s="66"/>
      <c r="AD122" s="65"/>
      <c r="AE122" s="66"/>
      <c r="AF122" s="39"/>
      <c r="AG122" s="57"/>
      <c r="AH122" s="39"/>
      <c r="AI122" s="57"/>
    </row>
    <row r="123" spans="1:35" ht="19.5" customHeight="1" x14ac:dyDescent="0.3">
      <c r="A123" s="4">
        <v>2405298</v>
      </c>
      <c r="B123" s="110" t="s">
        <v>660</v>
      </c>
      <c r="C123" s="55">
        <v>35960</v>
      </c>
      <c r="D123" s="55">
        <v>0</v>
      </c>
      <c r="E123" s="55" t="s">
        <v>17</v>
      </c>
      <c r="F123" s="4" t="s">
        <v>71</v>
      </c>
      <c r="G123" s="4" t="s">
        <v>176</v>
      </c>
      <c r="H123" s="4" t="s">
        <v>2236</v>
      </c>
      <c r="I123" s="4" t="s">
        <v>2251</v>
      </c>
      <c r="J123" s="55">
        <v>35960</v>
      </c>
      <c r="K123" s="55">
        <v>35960</v>
      </c>
      <c r="L123" s="65">
        <v>45566</v>
      </c>
      <c r="M123" s="66">
        <v>500</v>
      </c>
      <c r="N123" s="65">
        <v>45566</v>
      </c>
      <c r="O123" s="66">
        <v>500</v>
      </c>
      <c r="P123" s="39">
        <v>45566</v>
      </c>
      <c r="Q123" s="57">
        <v>35460</v>
      </c>
      <c r="R123" s="39">
        <v>45566</v>
      </c>
      <c r="S123" s="57">
        <v>35460</v>
      </c>
      <c r="T123" s="65"/>
      <c r="U123" s="66"/>
      <c r="V123" s="65"/>
      <c r="W123" s="66"/>
      <c r="X123" s="39"/>
      <c r="Y123" s="57"/>
      <c r="Z123" s="39"/>
      <c r="AA123" s="57"/>
      <c r="AB123" s="65"/>
      <c r="AC123" s="66"/>
      <c r="AD123" s="65"/>
      <c r="AE123" s="66"/>
      <c r="AF123" s="39"/>
      <c r="AG123" s="57"/>
      <c r="AH123" s="39"/>
      <c r="AI123" s="57"/>
    </row>
    <row r="124" spans="1:35" ht="19.5" customHeight="1" x14ac:dyDescent="0.3">
      <c r="A124" s="4">
        <v>2408404</v>
      </c>
      <c r="B124" s="110" t="s">
        <v>665</v>
      </c>
      <c r="C124" s="55">
        <v>24680</v>
      </c>
      <c r="D124" s="55">
        <v>0</v>
      </c>
      <c r="E124" s="55" t="s">
        <v>17</v>
      </c>
      <c r="F124" s="4" t="s">
        <v>71</v>
      </c>
      <c r="G124" s="4" t="s">
        <v>176</v>
      </c>
      <c r="H124" s="4" t="s">
        <v>2236</v>
      </c>
      <c r="I124" s="4" t="s">
        <v>2251</v>
      </c>
      <c r="J124" s="55">
        <v>24680</v>
      </c>
      <c r="K124" s="55">
        <v>24680</v>
      </c>
      <c r="L124" s="65">
        <v>45512</v>
      </c>
      <c r="M124" s="66">
        <v>500</v>
      </c>
      <c r="N124" s="65">
        <v>45512</v>
      </c>
      <c r="O124" s="66">
        <v>500</v>
      </c>
      <c r="P124" s="39">
        <v>45594</v>
      </c>
      <c r="Q124" s="57">
        <v>24180</v>
      </c>
      <c r="R124" s="39">
        <v>45594</v>
      </c>
      <c r="S124" s="57">
        <v>24180</v>
      </c>
      <c r="T124" s="65"/>
      <c r="U124" s="66"/>
      <c r="V124" s="65"/>
      <c r="W124" s="66"/>
      <c r="X124" s="39"/>
      <c r="Y124" s="57"/>
      <c r="Z124" s="39"/>
      <c r="AA124" s="57"/>
      <c r="AB124" s="65"/>
      <c r="AC124" s="66"/>
      <c r="AD124" s="65"/>
      <c r="AE124" s="66"/>
      <c r="AF124" s="39"/>
      <c r="AG124" s="57"/>
      <c r="AH124" s="39"/>
      <c r="AI124" s="57"/>
    </row>
    <row r="125" spans="1:35" ht="19.5" customHeight="1" x14ac:dyDescent="0.3">
      <c r="A125" s="4">
        <v>2408401</v>
      </c>
      <c r="B125" s="110" t="s">
        <v>670</v>
      </c>
      <c r="C125" s="55">
        <v>22500</v>
      </c>
      <c r="D125" s="55">
        <v>0</v>
      </c>
      <c r="E125" s="55" t="s">
        <v>17</v>
      </c>
      <c r="F125" s="4" t="s">
        <v>71</v>
      </c>
      <c r="G125" s="4" t="s">
        <v>125</v>
      </c>
      <c r="H125" s="4" t="s">
        <v>2236</v>
      </c>
      <c r="I125" s="4" t="s">
        <v>2251</v>
      </c>
      <c r="J125" s="55">
        <v>22500</v>
      </c>
      <c r="K125" s="55">
        <v>22500</v>
      </c>
      <c r="L125" s="65">
        <v>45512</v>
      </c>
      <c r="M125" s="66">
        <v>500</v>
      </c>
      <c r="N125" s="65">
        <v>45512</v>
      </c>
      <c r="O125" s="66">
        <v>500</v>
      </c>
      <c r="P125" s="39">
        <v>45595</v>
      </c>
      <c r="Q125" s="57">
        <v>20000</v>
      </c>
      <c r="R125" s="39">
        <v>45595</v>
      </c>
      <c r="S125" s="57">
        <v>20000</v>
      </c>
      <c r="T125" s="65">
        <v>45652</v>
      </c>
      <c r="U125" s="66">
        <v>2000</v>
      </c>
      <c r="V125" s="65">
        <v>45653</v>
      </c>
      <c r="W125" s="66">
        <v>2000</v>
      </c>
      <c r="X125" s="39"/>
      <c r="Y125" s="57"/>
      <c r="Z125" s="39"/>
      <c r="AA125" s="57"/>
      <c r="AB125" s="65"/>
      <c r="AC125" s="66"/>
      <c r="AD125" s="65"/>
      <c r="AE125" s="66"/>
      <c r="AF125" s="39"/>
      <c r="AG125" s="57"/>
      <c r="AH125" s="39"/>
      <c r="AI125" s="57"/>
    </row>
    <row r="126" spans="1:35" ht="19.5" customHeight="1" x14ac:dyDescent="0.3">
      <c r="A126" s="4">
        <v>2408398</v>
      </c>
      <c r="B126" s="110" t="s">
        <v>675</v>
      </c>
      <c r="C126" s="55">
        <v>36680</v>
      </c>
      <c r="D126" s="55">
        <v>0</v>
      </c>
      <c r="E126" s="55" t="s">
        <v>17</v>
      </c>
      <c r="F126" s="4" t="s">
        <v>71</v>
      </c>
      <c r="G126" s="4" t="s">
        <v>176</v>
      </c>
      <c r="H126" s="4" t="s">
        <v>2236</v>
      </c>
      <c r="I126" s="4" t="s">
        <v>2251</v>
      </c>
      <c r="J126" s="55">
        <v>36680</v>
      </c>
      <c r="K126" s="55">
        <v>36680</v>
      </c>
      <c r="L126" s="65">
        <v>45587</v>
      </c>
      <c r="M126" s="66">
        <v>500</v>
      </c>
      <c r="N126" s="65">
        <v>45587</v>
      </c>
      <c r="O126" s="66">
        <v>500</v>
      </c>
      <c r="P126" s="39">
        <v>45587</v>
      </c>
      <c r="Q126" s="57">
        <v>36180</v>
      </c>
      <c r="R126" s="39">
        <v>45611</v>
      </c>
      <c r="S126" s="57">
        <v>36180</v>
      </c>
      <c r="T126" s="65"/>
      <c r="U126" s="66"/>
      <c r="V126" s="65"/>
      <c r="W126" s="66"/>
      <c r="X126" s="39"/>
      <c r="Y126" s="57"/>
      <c r="Z126" s="39"/>
      <c r="AA126" s="57"/>
      <c r="AB126" s="65"/>
      <c r="AC126" s="66"/>
      <c r="AD126" s="65"/>
      <c r="AE126" s="66"/>
      <c r="AF126" s="39"/>
      <c r="AG126" s="57"/>
      <c r="AH126" s="39"/>
      <c r="AI126" s="57"/>
    </row>
    <row r="127" spans="1:35" ht="19.5" customHeight="1" x14ac:dyDescent="0.3">
      <c r="A127" s="4">
        <v>2408415</v>
      </c>
      <c r="B127" s="110" t="s">
        <v>680</v>
      </c>
      <c r="C127" s="55">
        <v>45600</v>
      </c>
      <c r="D127" s="55">
        <v>0</v>
      </c>
      <c r="E127" s="55" t="s">
        <v>17</v>
      </c>
      <c r="F127" s="4" t="s">
        <v>71</v>
      </c>
      <c r="G127" s="4" t="s">
        <v>125</v>
      </c>
      <c r="H127" s="4" t="s">
        <v>2236</v>
      </c>
      <c r="I127" s="4" t="s">
        <v>2251</v>
      </c>
      <c r="J127" s="55">
        <v>45600</v>
      </c>
      <c r="K127" s="55">
        <v>45600</v>
      </c>
      <c r="L127" s="65">
        <v>45587</v>
      </c>
      <c r="M127" s="66">
        <v>500</v>
      </c>
      <c r="N127" s="65">
        <v>45587</v>
      </c>
      <c r="O127" s="66">
        <v>500</v>
      </c>
      <c r="P127" s="39">
        <v>45587</v>
      </c>
      <c r="Q127" s="57">
        <v>43100</v>
      </c>
      <c r="R127" s="39">
        <v>45594</v>
      </c>
      <c r="S127" s="57">
        <v>43100</v>
      </c>
      <c r="T127" s="65">
        <v>45615</v>
      </c>
      <c r="U127" s="66">
        <v>2000</v>
      </c>
      <c r="V127" s="65">
        <v>45610</v>
      </c>
      <c r="W127" s="66">
        <v>2000</v>
      </c>
      <c r="X127" s="39"/>
      <c r="Y127" s="57"/>
      <c r="Z127" s="39"/>
      <c r="AA127" s="57"/>
      <c r="AB127" s="65"/>
      <c r="AC127" s="66"/>
      <c r="AD127" s="65"/>
      <c r="AE127" s="66"/>
      <c r="AF127" s="39"/>
      <c r="AG127" s="57"/>
      <c r="AH127" s="39"/>
      <c r="AI127" s="57"/>
    </row>
    <row r="128" spans="1:35" ht="19.5" customHeight="1" x14ac:dyDescent="0.3">
      <c r="A128" s="4">
        <v>2408425</v>
      </c>
      <c r="B128" s="110" t="s">
        <v>685</v>
      </c>
      <c r="C128" s="55">
        <v>43100</v>
      </c>
      <c r="D128" s="55">
        <v>0</v>
      </c>
      <c r="E128" s="55" t="s">
        <v>17</v>
      </c>
      <c r="F128" s="4" t="s">
        <v>71</v>
      </c>
      <c r="G128" s="4" t="s">
        <v>176</v>
      </c>
      <c r="H128" s="4" t="s">
        <v>2236</v>
      </c>
      <c r="I128" s="4" t="s">
        <v>2251</v>
      </c>
      <c r="J128" s="55">
        <v>43100</v>
      </c>
      <c r="K128" s="55">
        <v>43100</v>
      </c>
      <c r="L128" s="65">
        <v>45587</v>
      </c>
      <c r="M128" s="66">
        <v>500</v>
      </c>
      <c r="N128" s="65">
        <v>45587</v>
      </c>
      <c r="O128" s="66">
        <v>500</v>
      </c>
      <c r="P128" s="39">
        <v>45587</v>
      </c>
      <c r="Q128" s="57">
        <v>42600</v>
      </c>
      <c r="R128" s="39">
        <v>45587</v>
      </c>
      <c r="S128" s="57">
        <v>42600</v>
      </c>
      <c r="T128" s="65"/>
      <c r="U128" s="66"/>
      <c r="V128" s="65"/>
      <c r="W128" s="66"/>
      <c r="X128" s="39"/>
      <c r="Y128" s="57"/>
      <c r="Z128" s="39"/>
      <c r="AA128" s="57"/>
      <c r="AB128" s="65"/>
      <c r="AC128" s="66"/>
      <c r="AD128" s="65"/>
      <c r="AE128" s="66"/>
      <c r="AF128" s="39"/>
      <c r="AG128" s="57"/>
      <c r="AH128" s="39"/>
      <c r="AI128" s="57"/>
    </row>
    <row r="129" spans="1:35" ht="19.5" customHeight="1" x14ac:dyDescent="0.3">
      <c r="A129" s="4">
        <v>2406334</v>
      </c>
      <c r="B129" s="110" t="s">
        <v>690</v>
      </c>
      <c r="C129" s="55">
        <v>37600</v>
      </c>
      <c r="D129" s="55">
        <v>0</v>
      </c>
      <c r="E129" s="55" t="s">
        <v>17</v>
      </c>
      <c r="F129" s="4" t="s">
        <v>71</v>
      </c>
      <c r="G129" s="4" t="s">
        <v>125</v>
      </c>
      <c r="H129" s="4" t="s">
        <v>2236</v>
      </c>
      <c r="I129" s="4" t="s">
        <v>2251</v>
      </c>
      <c r="J129" s="55">
        <v>37600</v>
      </c>
      <c r="K129" s="55">
        <v>37600</v>
      </c>
      <c r="L129" s="65">
        <v>45531</v>
      </c>
      <c r="M129" s="66">
        <v>500</v>
      </c>
      <c r="N129" s="65">
        <v>45531</v>
      </c>
      <c r="O129" s="66">
        <v>500</v>
      </c>
      <c r="P129" s="39">
        <v>45643</v>
      </c>
      <c r="Q129" s="57">
        <v>37100</v>
      </c>
      <c r="R129" s="39">
        <v>45643</v>
      </c>
      <c r="S129" s="57">
        <v>37100</v>
      </c>
      <c r="T129" s="65"/>
      <c r="U129" s="66"/>
      <c r="V129" s="65"/>
      <c r="W129" s="66"/>
      <c r="X129" s="39"/>
      <c r="Y129" s="57"/>
      <c r="Z129" s="39"/>
      <c r="AA129" s="57"/>
      <c r="AB129" s="65"/>
      <c r="AC129" s="66"/>
      <c r="AD129" s="65"/>
      <c r="AE129" s="66"/>
      <c r="AF129" s="39"/>
      <c r="AG129" s="57"/>
      <c r="AH129" s="39"/>
      <c r="AI129" s="57"/>
    </row>
    <row r="130" spans="1:35" ht="19.5" customHeight="1" x14ac:dyDescent="0.3">
      <c r="A130" s="4">
        <v>2407371</v>
      </c>
      <c r="B130" s="110" t="s">
        <v>695</v>
      </c>
      <c r="C130" s="55">
        <v>32800</v>
      </c>
      <c r="D130" s="55">
        <v>0</v>
      </c>
      <c r="E130" s="55" t="s">
        <v>19</v>
      </c>
      <c r="F130" s="4" t="s">
        <v>71</v>
      </c>
      <c r="G130" s="4" t="s">
        <v>125</v>
      </c>
      <c r="H130" s="4" t="s">
        <v>2236</v>
      </c>
      <c r="I130" s="4" t="s">
        <v>2251</v>
      </c>
      <c r="J130" s="55">
        <v>32800</v>
      </c>
      <c r="K130" s="55">
        <v>32800</v>
      </c>
      <c r="L130" s="65">
        <v>45589</v>
      </c>
      <c r="M130" s="66">
        <v>500</v>
      </c>
      <c r="N130" s="65">
        <v>45589</v>
      </c>
      <c r="O130" s="66">
        <v>500</v>
      </c>
      <c r="P130" s="39">
        <v>45589</v>
      </c>
      <c r="Q130" s="57">
        <v>30300</v>
      </c>
      <c r="R130" s="39">
        <v>45589</v>
      </c>
      <c r="S130" s="57">
        <v>30300</v>
      </c>
      <c r="T130" s="65">
        <v>45652</v>
      </c>
      <c r="U130" s="69">
        <v>2000</v>
      </c>
      <c r="V130" s="72">
        <v>45649</v>
      </c>
      <c r="W130" s="69">
        <v>2000</v>
      </c>
      <c r="X130" s="39"/>
      <c r="Y130" s="57"/>
      <c r="Z130" s="39"/>
      <c r="AA130" s="57"/>
      <c r="AB130" s="72"/>
      <c r="AC130" s="66"/>
      <c r="AD130" s="72"/>
      <c r="AE130" s="66"/>
      <c r="AF130" s="39"/>
      <c r="AG130" s="57"/>
      <c r="AH130" s="39"/>
      <c r="AI130" s="57"/>
    </row>
    <row r="131" spans="1:35" ht="19.5" customHeight="1" x14ac:dyDescent="0.3">
      <c r="A131" s="4">
        <v>2408409</v>
      </c>
      <c r="B131" s="110" t="s">
        <v>700</v>
      </c>
      <c r="C131" s="55">
        <v>27700</v>
      </c>
      <c r="D131" s="55">
        <v>0</v>
      </c>
      <c r="E131" s="55" t="s">
        <v>22</v>
      </c>
      <c r="F131" s="4" t="s">
        <v>71</v>
      </c>
      <c r="G131" s="4" t="s">
        <v>125</v>
      </c>
      <c r="H131" s="4" t="s">
        <v>2236</v>
      </c>
      <c r="I131" s="4" t="s">
        <v>2254</v>
      </c>
      <c r="J131" s="55">
        <v>27700</v>
      </c>
      <c r="K131" s="55">
        <v>25700</v>
      </c>
      <c r="L131" s="65">
        <v>45573</v>
      </c>
      <c r="M131" s="66">
        <v>500</v>
      </c>
      <c r="N131" s="65">
        <v>45573</v>
      </c>
      <c r="O131" s="66">
        <v>500</v>
      </c>
      <c r="P131" s="39">
        <v>45573</v>
      </c>
      <c r="Q131" s="57">
        <v>12600</v>
      </c>
      <c r="R131" s="39">
        <v>45573</v>
      </c>
      <c r="S131" s="57">
        <v>12600</v>
      </c>
      <c r="T131" s="65">
        <v>45582</v>
      </c>
      <c r="U131" s="66">
        <v>12600</v>
      </c>
      <c r="V131" s="65">
        <v>45618</v>
      </c>
      <c r="W131" s="66">
        <v>12600</v>
      </c>
      <c r="X131" s="39">
        <v>45652</v>
      </c>
      <c r="Y131" s="58">
        <v>2000</v>
      </c>
      <c r="Z131" s="39"/>
      <c r="AA131" s="58"/>
      <c r="AB131" s="65"/>
      <c r="AC131" s="66"/>
      <c r="AD131" s="65"/>
      <c r="AE131" s="66"/>
      <c r="AF131" s="39"/>
      <c r="AG131" s="57"/>
      <c r="AH131" s="39"/>
      <c r="AI131" s="57"/>
    </row>
    <row r="132" spans="1:35" ht="19.5" customHeight="1" x14ac:dyDescent="0.3">
      <c r="A132" s="4">
        <v>2408411</v>
      </c>
      <c r="B132" s="110" t="s">
        <v>705</v>
      </c>
      <c r="C132" s="55">
        <v>24100</v>
      </c>
      <c r="D132" s="55">
        <v>0</v>
      </c>
      <c r="E132" s="55" t="s">
        <v>22</v>
      </c>
      <c r="F132" s="4" t="s">
        <v>71</v>
      </c>
      <c r="G132" s="4" t="s">
        <v>125</v>
      </c>
      <c r="H132" s="4" t="s">
        <v>2236</v>
      </c>
      <c r="I132" s="4" t="s">
        <v>2251</v>
      </c>
      <c r="J132" s="55">
        <v>24100</v>
      </c>
      <c r="K132" s="55">
        <v>24100</v>
      </c>
      <c r="L132" s="65">
        <v>45519</v>
      </c>
      <c r="M132" s="66">
        <v>500</v>
      </c>
      <c r="N132" s="65">
        <v>45519</v>
      </c>
      <c r="O132" s="66">
        <v>500</v>
      </c>
      <c r="P132" s="39">
        <v>45566</v>
      </c>
      <c r="Q132" s="57">
        <v>21600</v>
      </c>
      <c r="R132" s="39">
        <v>45566</v>
      </c>
      <c r="S132" s="57">
        <v>21600</v>
      </c>
      <c r="T132" s="65">
        <v>45580</v>
      </c>
      <c r="U132" s="66">
        <v>2000</v>
      </c>
      <c r="V132" s="65">
        <v>45580</v>
      </c>
      <c r="W132" s="66">
        <v>2000</v>
      </c>
      <c r="X132" s="39"/>
      <c r="Y132" s="57"/>
      <c r="Z132" s="39"/>
      <c r="AA132" s="57"/>
      <c r="AB132" s="65"/>
      <c r="AC132" s="66"/>
      <c r="AD132" s="65"/>
      <c r="AE132" s="66"/>
      <c r="AF132" s="39"/>
      <c r="AG132" s="57"/>
      <c r="AH132" s="39"/>
      <c r="AI132" s="57"/>
    </row>
    <row r="133" spans="1:35" ht="19.5" customHeight="1" x14ac:dyDescent="0.3">
      <c r="A133" s="4">
        <v>2408408</v>
      </c>
      <c r="B133" s="110" t="s">
        <v>710</v>
      </c>
      <c r="C133" s="55">
        <v>50600</v>
      </c>
      <c r="D133" s="55">
        <v>0</v>
      </c>
      <c r="E133" s="55" t="s">
        <v>22</v>
      </c>
      <c r="F133" s="4" t="s">
        <v>71</v>
      </c>
      <c r="G133" s="4" t="s">
        <v>526</v>
      </c>
      <c r="H133" s="4" t="s">
        <v>2236</v>
      </c>
      <c r="I133" s="4" t="s">
        <v>2251</v>
      </c>
      <c r="J133" s="55">
        <v>50600</v>
      </c>
      <c r="K133" s="55">
        <v>50600</v>
      </c>
      <c r="L133" s="65">
        <v>45519</v>
      </c>
      <c r="M133" s="66">
        <v>500</v>
      </c>
      <c r="N133" s="65">
        <v>45519</v>
      </c>
      <c r="O133" s="66">
        <v>500</v>
      </c>
      <c r="P133" s="39">
        <v>45579</v>
      </c>
      <c r="Q133" s="57">
        <v>50100</v>
      </c>
      <c r="R133" s="39">
        <v>45579</v>
      </c>
      <c r="S133" s="57">
        <v>50100</v>
      </c>
      <c r="T133" s="65"/>
      <c r="U133" s="66"/>
      <c r="V133" s="65"/>
      <c r="W133" s="66"/>
      <c r="X133" s="39"/>
      <c r="Y133" s="57"/>
      <c r="Z133" s="39"/>
      <c r="AA133" s="57"/>
      <c r="AB133" s="65"/>
      <c r="AC133" s="66"/>
      <c r="AD133" s="65"/>
      <c r="AE133" s="66"/>
      <c r="AF133" s="39"/>
      <c r="AG133" s="57"/>
      <c r="AH133" s="39"/>
      <c r="AI133" s="57"/>
    </row>
    <row r="134" spans="1:35" ht="19.5" customHeight="1" x14ac:dyDescent="0.3">
      <c r="A134" s="4">
        <v>2408025</v>
      </c>
      <c r="B134" s="110" t="s">
        <v>715</v>
      </c>
      <c r="C134" s="55">
        <v>55300</v>
      </c>
      <c r="D134" s="55">
        <v>0</v>
      </c>
      <c r="E134" s="55" t="s">
        <v>20</v>
      </c>
      <c r="F134" s="4" t="s">
        <v>206</v>
      </c>
      <c r="G134" s="4" t="s">
        <v>125</v>
      </c>
      <c r="H134" s="4" t="s">
        <v>2236</v>
      </c>
      <c r="I134" s="4" t="s">
        <v>2251</v>
      </c>
      <c r="J134" s="55">
        <v>55300</v>
      </c>
      <c r="K134" s="55">
        <v>55300</v>
      </c>
      <c r="L134" s="65">
        <v>45593</v>
      </c>
      <c r="M134" s="66">
        <v>55300</v>
      </c>
      <c r="N134" s="65">
        <v>45602</v>
      </c>
      <c r="O134" s="66">
        <v>55300</v>
      </c>
      <c r="P134" s="39"/>
      <c r="Q134" s="57"/>
      <c r="R134" s="39"/>
      <c r="S134" s="57"/>
      <c r="T134" s="65"/>
      <c r="U134" s="66"/>
      <c r="V134" s="65"/>
      <c r="W134" s="66"/>
      <c r="X134" s="39"/>
      <c r="Y134" s="57"/>
      <c r="Z134" s="39"/>
      <c r="AA134" s="57"/>
      <c r="AB134" s="65"/>
      <c r="AC134" s="66"/>
      <c r="AD134" s="65"/>
      <c r="AE134" s="66"/>
      <c r="AF134" s="39"/>
      <c r="AG134" s="57"/>
      <c r="AH134" s="39"/>
      <c r="AI134" s="57"/>
    </row>
    <row r="135" spans="1:35" ht="19.5" customHeight="1" x14ac:dyDescent="0.3">
      <c r="A135" s="4">
        <v>2408431</v>
      </c>
      <c r="B135" s="110" t="s">
        <v>717</v>
      </c>
      <c r="C135" s="55">
        <v>30000</v>
      </c>
      <c r="D135" s="55">
        <v>0</v>
      </c>
      <c r="E135" s="55" t="s">
        <v>17</v>
      </c>
      <c r="F135" s="4" t="s">
        <v>71</v>
      </c>
      <c r="G135" s="4">
        <v>0</v>
      </c>
      <c r="H135" s="4" t="s">
        <v>2236</v>
      </c>
      <c r="I135" s="4" t="s">
        <v>2251</v>
      </c>
      <c r="J135" s="55">
        <v>30000</v>
      </c>
      <c r="K135" s="55">
        <v>30000</v>
      </c>
      <c r="L135" s="65">
        <v>45515</v>
      </c>
      <c r="M135" s="66">
        <v>500</v>
      </c>
      <c r="N135" s="65">
        <v>45515</v>
      </c>
      <c r="O135" s="66">
        <v>500</v>
      </c>
      <c r="P135" s="39">
        <v>45727</v>
      </c>
      <c r="Q135" s="57">
        <v>29500</v>
      </c>
      <c r="R135" s="39">
        <v>45743</v>
      </c>
      <c r="S135" s="57">
        <v>29500</v>
      </c>
      <c r="T135" s="65"/>
      <c r="U135" s="66"/>
      <c r="V135" s="65"/>
      <c r="W135" s="66"/>
      <c r="X135" s="39"/>
      <c r="Y135" s="57"/>
      <c r="Z135" s="39"/>
      <c r="AA135" s="57"/>
      <c r="AB135" s="65"/>
      <c r="AC135" s="66"/>
      <c r="AD135" s="65"/>
      <c r="AE135" s="66"/>
      <c r="AF135" s="39"/>
      <c r="AG135" s="57"/>
      <c r="AH135" s="39"/>
      <c r="AI135" s="57"/>
    </row>
    <row r="136" spans="1:35" ht="19.5" customHeight="1" x14ac:dyDescent="0.3">
      <c r="A136" s="4">
        <v>2408432</v>
      </c>
      <c r="B136" s="110" t="s">
        <v>722</v>
      </c>
      <c r="C136" s="55">
        <v>23800</v>
      </c>
      <c r="D136" s="55">
        <v>0</v>
      </c>
      <c r="E136" s="55" t="s">
        <v>19</v>
      </c>
      <c r="F136" s="4" t="s">
        <v>71</v>
      </c>
      <c r="G136" s="4">
        <v>0</v>
      </c>
      <c r="H136" s="4" t="s">
        <v>2236</v>
      </c>
      <c r="I136" s="4" t="s">
        <v>2251</v>
      </c>
      <c r="J136" s="55">
        <v>23800</v>
      </c>
      <c r="K136" s="55">
        <v>23800</v>
      </c>
      <c r="L136" s="65">
        <v>45546</v>
      </c>
      <c r="M136" s="66">
        <v>500</v>
      </c>
      <c r="N136" s="65">
        <v>45546</v>
      </c>
      <c r="O136" s="66">
        <v>500</v>
      </c>
      <c r="P136" s="39">
        <v>45635</v>
      </c>
      <c r="Q136" s="57">
        <v>21300</v>
      </c>
      <c r="R136" s="39">
        <v>45757</v>
      </c>
      <c r="S136" s="57">
        <v>21300</v>
      </c>
      <c r="T136" s="65">
        <v>45757</v>
      </c>
      <c r="U136" s="66">
        <v>2000</v>
      </c>
      <c r="V136" s="65">
        <v>45757</v>
      </c>
      <c r="W136" s="66">
        <v>2000</v>
      </c>
      <c r="X136" s="39"/>
      <c r="Y136" s="57"/>
      <c r="Z136" s="39"/>
      <c r="AA136" s="57"/>
      <c r="AB136" s="65"/>
      <c r="AC136" s="66"/>
      <c r="AD136" s="65"/>
      <c r="AE136" s="66"/>
      <c r="AF136" s="39"/>
      <c r="AG136" s="57"/>
      <c r="AH136" s="39"/>
      <c r="AI136" s="57"/>
    </row>
    <row r="137" spans="1:35" ht="19.5" customHeight="1" x14ac:dyDescent="0.3">
      <c r="A137" s="4">
        <v>2408407</v>
      </c>
      <c r="B137" s="110" t="s">
        <v>727</v>
      </c>
      <c r="C137" s="55">
        <v>29700</v>
      </c>
      <c r="D137" s="55">
        <v>0</v>
      </c>
      <c r="E137" s="55" t="s">
        <v>22</v>
      </c>
      <c r="F137" s="4" t="s">
        <v>71</v>
      </c>
      <c r="G137" s="4" t="s">
        <v>125</v>
      </c>
      <c r="H137" s="4" t="s">
        <v>2236</v>
      </c>
      <c r="I137" s="4" t="s">
        <v>2251</v>
      </c>
      <c r="J137" s="55">
        <v>29700</v>
      </c>
      <c r="K137" s="55">
        <v>29700</v>
      </c>
      <c r="L137" s="65">
        <v>45539</v>
      </c>
      <c r="M137" s="66">
        <v>500</v>
      </c>
      <c r="N137" s="65">
        <v>45539</v>
      </c>
      <c r="O137" s="66">
        <v>500</v>
      </c>
      <c r="P137" s="39">
        <v>45600</v>
      </c>
      <c r="Q137" s="57">
        <v>29200</v>
      </c>
      <c r="R137" s="39">
        <v>45624</v>
      </c>
      <c r="S137" s="57">
        <v>29200</v>
      </c>
      <c r="T137" s="65"/>
      <c r="U137" s="66"/>
      <c r="V137" s="65"/>
      <c r="W137" s="66"/>
      <c r="X137" s="39"/>
      <c r="Y137" s="57"/>
      <c r="Z137" s="39"/>
      <c r="AA137" s="57"/>
      <c r="AB137" s="65"/>
      <c r="AC137" s="66"/>
      <c r="AD137" s="65"/>
      <c r="AE137" s="66"/>
      <c r="AF137" s="39"/>
      <c r="AG137" s="57"/>
      <c r="AH137" s="39"/>
      <c r="AI137" s="57"/>
    </row>
    <row r="138" spans="1:35" ht="19.5" customHeight="1" x14ac:dyDescent="0.3">
      <c r="A138" s="4">
        <v>2409441</v>
      </c>
      <c r="B138" s="110" t="s">
        <v>732</v>
      </c>
      <c r="C138" s="55">
        <v>38000</v>
      </c>
      <c r="D138" s="55">
        <v>0</v>
      </c>
      <c r="E138" s="55" t="s">
        <v>19</v>
      </c>
      <c r="F138" s="4" t="s">
        <v>71</v>
      </c>
      <c r="G138" s="4" t="s">
        <v>125</v>
      </c>
      <c r="H138" s="4" t="s">
        <v>2236</v>
      </c>
      <c r="I138" s="4" t="s">
        <v>2251</v>
      </c>
      <c r="J138" s="55">
        <v>38000</v>
      </c>
      <c r="K138" s="55">
        <v>38000</v>
      </c>
      <c r="L138" s="65">
        <v>45604</v>
      </c>
      <c r="M138" s="66">
        <v>500</v>
      </c>
      <c r="N138" s="65">
        <v>45604</v>
      </c>
      <c r="O138" s="66">
        <v>500</v>
      </c>
      <c r="P138" s="39">
        <v>45605</v>
      </c>
      <c r="Q138" s="57">
        <v>35500</v>
      </c>
      <c r="R138" s="39">
        <v>45605</v>
      </c>
      <c r="S138" s="57">
        <v>35500</v>
      </c>
      <c r="T138" s="65">
        <v>45629</v>
      </c>
      <c r="U138" s="66">
        <v>2000</v>
      </c>
      <c r="V138" s="65">
        <v>45629</v>
      </c>
      <c r="W138" s="66">
        <v>2000</v>
      </c>
      <c r="X138" s="39"/>
      <c r="Y138" s="57"/>
      <c r="Z138" s="39"/>
      <c r="AA138" s="57"/>
      <c r="AB138" s="65"/>
      <c r="AC138" s="66"/>
      <c r="AD138" s="65"/>
      <c r="AE138" s="66"/>
      <c r="AF138" s="39"/>
      <c r="AG138" s="57"/>
      <c r="AH138" s="39"/>
      <c r="AI138" s="57"/>
    </row>
    <row r="139" spans="1:35" ht="19.5" customHeight="1" x14ac:dyDescent="0.3">
      <c r="A139" s="4">
        <v>2408433</v>
      </c>
      <c r="B139" s="110" t="s">
        <v>738</v>
      </c>
      <c r="C139" s="55">
        <v>24000</v>
      </c>
      <c r="D139" s="55">
        <v>0</v>
      </c>
      <c r="E139" s="55" t="s">
        <v>19</v>
      </c>
      <c r="F139" s="4" t="s">
        <v>71</v>
      </c>
      <c r="G139" s="4" t="s">
        <v>125</v>
      </c>
      <c r="H139" s="4" t="s">
        <v>2236</v>
      </c>
      <c r="I139" s="4" t="s">
        <v>2251</v>
      </c>
      <c r="J139" s="55">
        <v>24000</v>
      </c>
      <c r="K139" s="55">
        <v>24000</v>
      </c>
      <c r="L139" s="65">
        <v>45537</v>
      </c>
      <c r="M139" s="66">
        <v>500</v>
      </c>
      <c r="N139" s="65">
        <v>45537</v>
      </c>
      <c r="O139" s="66">
        <v>500</v>
      </c>
      <c r="P139" s="39">
        <v>45621</v>
      </c>
      <c r="Q139" s="57">
        <v>21500</v>
      </c>
      <c r="R139" s="39">
        <v>45621</v>
      </c>
      <c r="S139" s="57">
        <v>21500</v>
      </c>
      <c r="T139" s="65">
        <v>45652</v>
      </c>
      <c r="U139" s="69">
        <v>2000</v>
      </c>
      <c r="V139" s="65">
        <v>45649</v>
      </c>
      <c r="W139" s="69">
        <v>2000</v>
      </c>
      <c r="X139" s="39"/>
      <c r="Y139" s="57"/>
      <c r="Z139" s="39"/>
      <c r="AA139" s="57"/>
      <c r="AB139" s="65"/>
      <c r="AC139" s="66"/>
      <c r="AD139" s="65"/>
      <c r="AE139" s="66"/>
      <c r="AF139" s="39"/>
      <c r="AG139" s="57"/>
      <c r="AH139" s="39"/>
      <c r="AI139" s="57"/>
    </row>
    <row r="140" spans="1:35" ht="19.5" customHeight="1" x14ac:dyDescent="0.3">
      <c r="A140" s="4">
        <v>2409445</v>
      </c>
      <c r="B140" s="110" t="s">
        <v>743</v>
      </c>
      <c r="C140" s="55">
        <v>22500</v>
      </c>
      <c r="D140" s="55">
        <v>0</v>
      </c>
      <c r="E140" s="55" t="s">
        <v>22</v>
      </c>
      <c r="F140" s="4" t="s">
        <v>71</v>
      </c>
      <c r="G140" s="4" t="s">
        <v>125</v>
      </c>
      <c r="H140" s="4" t="s">
        <v>2236</v>
      </c>
      <c r="I140" s="4" t="s">
        <v>2251</v>
      </c>
      <c r="J140" s="55">
        <v>22500</v>
      </c>
      <c r="K140" s="55">
        <v>22500</v>
      </c>
      <c r="L140" s="65">
        <v>45545</v>
      </c>
      <c r="M140" s="66">
        <v>500</v>
      </c>
      <c r="N140" s="65">
        <v>45545</v>
      </c>
      <c r="O140" s="66">
        <v>500</v>
      </c>
      <c r="P140" s="39">
        <v>45756</v>
      </c>
      <c r="Q140" s="57">
        <v>22000</v>
      </c>
      <c r="R140" s="39">
        <v>45821</v>
      </c>
      <c r="S140" s="57">
        <v>22000</v>
      </c>
      <c r="T140" s="65"/>
      <c r="U140" s="66"/>
      <c r="V140" s="65"/>
      <c r="W140" s="66"/>
      <c r="X140" s="39"/>
      <c r="Y140" s="57"/>
      <c r="Z140" s="39"/>
      <c r="AA140" s="57"/>
      <c r="AB140" s="65"/>
      <c r="AC140" s="66"/>
      <c r="AD140" s="65"/>
      <c r="AE140" s="66"/>
      <c r="AF140" s="39"/>
      <c r="AG140" s="57"/>
      <c r="AH140" s="39"/>
      <c r="AI140" s="57"/>
    </row>
    <row r="141" spans="1:35" ht="19.5" customHeight="1" x14ac:dyDescent="0.3">
      <c r="A141" s="4">
        <v>2408434</v>
      </c>
      <c r="B141" s="110" t="s">
        <v>748</v>
      </c>
      <c r="C141" s="55">
        <v>38600</v>
      </c>
      <c r="D141" s="55">
        <v>0</v>
      </c>
      <c r="E141" s="55" t="s">
        <v>19</v>
      </c>
      <c r="F141" s="4" t="s">
        <v>71</v>
      </c>
      <c r="G141" s="4" t="s">
        <v>125</v>
      </c>
      <c r="H141" s="4" t="s">
        <v>2236</v>
      </c>
      <c r="I141" s="4" t="s">
        <v>2251</v>
      </c>
      <c r="J141" s="55">
        <v>38600</v>
      </c>
      <c r="K141" s="55">
        <v>38600</v>
      </c>
      <c r="L141" s="65">
        <v>45609</v>
      </c>
      <c r="M141" s="66">
        <v>500</v>
      </c>
      <c r="N141" s="65">
        <v>45609</v>
      </c>
      <c r="O141" s="66">
        <v>500</v>
      </c>
      <c r="P141" s="39">
        <v>45609</v>
      </c>
      <c r="Q141" s="57">
        <v>36100</v>
      </c>
      <c r="R141" s="39">
        <v>45609</v>
      </c>
      <c r="S141" s="57">
        <v>36100</v>
      </c>
      <c r="T141" s="65">
        <v>45683</v>
      </c>
      <c r="U141" s="66">
        <v>2000</v>
      </c>
      <c r="V141" s="65">
        <v>45683</v>
      </c>
      <c r="W141" s="66">
        <v>2000</v>
      </c>
      <c r="X141" s="39"/>
      <c r="Y141" s="57"/>
      <c r="Z141" s="39"/>
      <c r="AA141" s="57"/>
      <c r="AB141" s="65"/>
      <c r="AC141" s="66"/>
      <c r="AD141" s="65"/>
      <c r="AE141" s="66"/>
      <c r="AF141" s="39"/>
      <c r="AG141" s="57"/>
      <c r="AH141" s="39"/>
      <c r="AI141" s="57"/>
    </row>
    <row r="142" spans="1:35" ht="19.5" customHeight="1" x14ac:dyDescent="0.3">
      <c r="A142" s="4">
        <v>2409442</v>
      </c>
      <c r="B142" s="110" t="s">
        <v>753</v>
      </c>
      <c r="C142" s="55">
        <v>33000</v>
      </c>
      <c r="D142" s="55">
        <v>0</v>
      </c>
      <c r="E142" s="55" t="s">
        <v>17</v>
      </c>
      <c r="F142" s="4" t="s">
        <v>71</v>
      </c>
      <c r="G142" s="4" t="s">
        <v>176</v>
      </c>
      <c r="H142" s="4" t="s">
        <v>2236</v>
      </c>
      <c r="I142" s="4" t="s">
        <v>2251</v>
      </c>
      <c r="J142" s="55">
        <v>33000</v>
      </c>
      <c r="K142" s="55">
        <v>33000</v>
      </c>
      <c r="L142" s="65">
        <v>45542</v>
      </c>
      <c r="M142" s="66">
        <v>500</v>
      </c>
      <c r="N142" s="65">
        <v>45542</v>
      </c>
      <c r="O142" s="66">
        <v>500</v>
      </c>
      <c r="P142" s="39">
        <v>45752</v>
      </c>
      <c r="Q142" s="57">
        <v>32500</v>
      </c>
      <c r="R142" s="39">
        <v>45752</v>
      </c>
      <c r="S142" s="57">
        <v>32500</v>
      </c>
      <c r="T142" s="65"/>
      <c r="U142" s="66"/>
      <c r="V142" s="65"/>
      <c r="W142" s="66"/>
      <c r="X142" s="39"/>
      <c r="Y142" s="57"/>
      <c r="Z142" s="39"/>
      <c r="AA142" s="57"/>
      <c r="AB142" s="65"/>
      <c r="AC142" s="66"/>
      <c r="AD142" s="65"/>
      <c r="AE142" s="66"/>
      <c r="AF142" s="39"/>
      <c r="AG142" s="57"/>
      <c r="AH142" s="39"/>
      <c r="AI142" s="57"/>
    </row>
    <row r="143" spans="1:35" ht="19.5" customHeight="1" x14ac:dyDescent="0.3">
      <c r="A143" s="4">
        <v>2409443</v>
      </c>
      <c r="B143" s="110" t="s">
        <v>759</v>
      </c>
      <c r="C143" s="55">
        <v>47360</v>
      </c>
      <c r="D143" s="55">
        <v>0</v>
      </c>
      <c r="E143" s="55" t="s">
        <v>17</v>
      </c>
      <c r="F143" s="4" t="s">
        <v>71</v>
      </c>
      <c r="G143" s="4" t="s">
        <v>176</v>
      </c>
      <c r="H143" s="4" t="s">
        <v>2236</v>
      </c>
      <c r="I143" s="4" t="s">
        <v>2251</v>
      </c>
      <c r="J143" s="55">
        <v>47360</v>
      </c>
      <c r="K143" s="55">
        <v>47360</v>
      </c>
      <c r="L143" s="65">
        <v>45544</v>
      </c>
      <c r="M143" s="66">
        <v>500</v>
      </c>
      <c r="N143" s="65">
        <v>45544</v>
      </c>
      <c r="O143" s="66">
        <v>500</v>
      </c>
      <c r="P143" s="39">
        <v>45658</v>
      </c>
      <c r="Q143" s="57">
        <v>46860</v>
      </c>
      <c r="R143" s="39">
        <v>45658</v>
      </c>
      <c r="S143" s="57">
        <v>46860</v>
      </c>
      <c r="T143" s="65"/>
      <c r="U143" s="66"/>
      <c r="V143" s="65"/>
      <c r="W143" s="66"/>
      <c r="X143" s="39"/>
      <c r="Y143" s="57"/>
      <c r="Z143" s="39"/>
      <c r="AA143" s="57"/>
      <c r="AB143" s="65"/>
      <c r="AC143" s="66"/>
      <c r="AD143" s="65"/>
      <c r="AE143" s="66"/>
      <c r="AF143" s="39"/>
      <c r="AG143" s="57"/>
      <c r="AH143" s="39"/>
      <c r="AI143" s="57"/>
    </row>
    <row r="144" spans="1:35" ht="19.5" customHeight="1" x14ac:dyDescent="0.3">
      <c r="A144" s="4">
        <v>2408417</v>
      </c>
      <c r="B144" s="110" t="s">
        <v>764</v>
      </c>
      <c r="C144" s="55">
        <v>36500</v>
      </c>
      <c r="D144" s="55">
        <v>0</v>
      </c>
      <c r="E144" s="55" t="s">
        <v>17</v>
      </c>
      <c r="F144" s="4" t="s">
        <v>71</v>
      </c>
      <c r="G144" s="4" t="s">
        <v>125</v>
      </c>
      <c r="H144" s="4" t="s">
        <v>2236</v>
      </c>
      <c r="I144" s="4" t="s">
        <v>2255</v>
      </c>
      <c r="J144" s="55">
        <v>36500</v>
      </c>
      <c r="K144" s="55">
        <v>500</v>
      </c>
      <c r="L144" s="65">
        <v>45540</v>
      </c>
      <c r="M144" s="66">
        <v>500</v>
      </c>
      <c r="N144" s="65">
        <v>45540</v>
      </c>
      <c r="O144" s="66">
        <v>500</v>
      </c>
      <c r="P144" s="39">
        <v>45918</v>
      </c>
      <c r="Q144" s="57">
        <v>34000</v>
      </c>
      <c r="R144" s="39"/>
      <c r="S144" s="57"/>
      <c r="T144" s="65">
        <v>45974</v>
      </c>
      <c r="U144" s="66">
        <v>2000</v>
      </c>
      <c r="V144" s="65"/>
      <c r="W144" s="66"/>
      <c r="X144" s="39"/>
      <c r="Y144" s="57"/>
      <c r="Z144" s="39"/>
      <c r="AA144" s="57"/>
      <c r="AB144" s="65"/>
      <c r="AC144" s="66"/>
      <c r="AD144" s="65"/>
      <c r="AE144" s="66"/>
      <c r="AF144" s="39"/>
      <c r="AG144" s="57"/>
      <c r="AH144" s="39"/>
      <c r="AI144" s="57"/>
    </row>
    <row r="145" spans="1:35" ht="19.5" customHeight="1" x14ac:dyDescent="0.3">
      <c r="A145" s="4">
        <v>2409440</v>
      </c>
      <c r="B145" s="110" t="s">
        <v>768</v>
      </c>
      <c r="C145" s="55">
        <v>25520</v>
      </c>
      <c r="D145" s="55">
        <v>0</v>
      </c>
      <c r="E145" s="55" t="s">
        <v>17</v>
      </c>
      <c r="F145" s="4" t="s">
        <v>71</v>
      </c>
      <c r="G145" s="4" t="s">
        <v>176</v>
      </c>
      <c r="H145" s="4" t="s">
        <v>2236</v>
      </c>
      <c r="I145" s="4" t="s">
        <v>2251</v>
      </c>
      <c r="J145" s="55">
        <v>25520</v>
      </c>
      <c r="K145" s="55">
        <v>25520</v>
      </c>
      <c r="L145" s="65">
        <v>45539</v>
      </c>
      <c r="M145" s="66">
        <v>500</v>
      </c>
      <c r="N145" s="65">
        <v>45539</v>
      </c>
      <c r="O145" s="66">
        <v>500</v>
      </c>
      <c r="P145" s="39">
        <v>45621</v>
      </c>
      <c r="Q145" s="57">
        <v>25020</v>
      </c>
      <c r="R145" s="39">
        <v>45621</v>
      </c>
      <c r="S145" s="57">
        <v>25020</v>
      </c>
      <c r="T145" s="65"/>
      <c r="U145" s="66"/>
      <c r="V145" s="65"/>
      <c r="W145" s="66"/>
      <c r="X145" s="39"/>
      <c r="Y145" s="57"/>
      <c r="Z145" s="39"/>
      <c r="AA145" s="57"/>
      <c r="AB145" s="65"/>
      <c r="AC145" s="66"/>
      <c r="AD145" s="65"/>
      <c r="AE145" s="66"/>
      <c r="AF145" s="39"/>
      <c r="AG145" s="57"/>
      <c r="AH145" s="39"/>
      <c r="AI145" s="57"/>
    </row>
    <row r="146" spans="1:35" ht="19.5" customHeight="1" x14ac:dyDescent="0.3">
      <c r="A146" s="4">
        <v>2405273</v>
      </c>
      <c r="B146" s="110" t="s">
        <v>773</v>
      </c>
      <c r="C146" s="55">
        <v>44600</v>
      </c>
      <c r="D146" s="55">
        <v>7500</v>
      </c>
      <c r="E146" s="55" t="s">
        <v>17</v>
      </c>
      <c r="F146" s="4" t="s">
        <v>71</v>
      </c>
      <c r="G146" s="4" t="s">
        <v>125</v>
      </c>
      <c r="H146" s="4" t="s">
        <v>2236</v>
      </c>
      <c r="I146" s="4" t="s">
        <v>2251</v>
      </c>
      <c r="J146" s="55">
        <v>52100</v>
      </c>
      <c r="K146" s="55">
        <v>52100</v>
      </c>
      <c r="L146" s="65">
        <v>45533</v>
      </c>
      <c r="M146" s="66">
        <v>500</v>
      </c>
      <c r="N146" s="65">
        <v>45533</v>
      </c>
      <c r="O146" s="66">
        <v>500</v>
      </c>
      <c r="P146" s="39">
        <v>45657</v>
      </c>
      <c r="Q146" s="59">
        <v>42100</v>
      </c>
      <c r="R146" s="64">
        <v>45660</v>
      </c>
      <c r="S146" s="59">
        <v>42100</v>
      </c>
      <c r="T146" s="65">
        <v>45751</v>
      </c>
      <c r="U146" s="66">
        <v>2000</v>
      </c>
      <c r="V146" s="65">
        <v>45771</v>
      </c>
      <c r="W146" s="66">
        <v>2000</v>
      </c>
      <c r="X146" s="39"/>
      <c r="Y146" s="57"/>
      <c r="Z146" s="39"/>
      <c r="AA146" s="57"/>
      <c r="AB146" s="65"/>
      <c r="AC146" s="66"/>
      <c r="AD146" s="65"/>
      <c r="AE146" s="66"/>
      <c r="AF146" s="39">
        <v>45652</v>
      </c>
      <c r="AG146" s="59">
        <v>7500</v>
      </c>
      <c r="AH146" s="39">
        <v>45660</v>
      </c>
      <c r="AI146" s="59">
        <v>7500</v>
      </c>
    </row>
    <row r="147" spans="1:35" ht="19.5" customHeight="1" x14ac:dyDescent="0.3">
      <c r="A147" s="4">
        <v>2308064</v>
      </c>
      <c r="B147" s="110" t="s">
        <v>778</v>
      </c>
      <c r="C147" s="55">
        <v>35000</v>
      </c>
      <c r="D147" s="55">
        <v>0</v>
      </c>
      <c r="E147" s="55" t="s">
        <v>20</v>
      </c>
      <c r="F147" s="4" t="s">
        <v>71</v>
      </c>
      <c r="G147" s="4" t="s">
        <v>125</v>
      </c>
      <c r="H147" s="4" t="s">
        <v>2236</v>
      </c>
      <c r="I147" s="4" t="s">
        <v>2251</v>
      </c>
      <c r="J147" s="55">
        <v>35000</v>
      </c>
      <c r="K147" s="55">
        <v>35000</v>
      </c>
      <c r="L147" s="65">
        <v>45489</v>
      </c>
      <c r="M147" s="66">
        <v>500</v>
      </c>
      <c r="N147" s="65">
        <v>45489</v>
      </c>
      <c r="O147" s="66">
        <v>500</v>
      </c>
      <c r="P147" s="39">
        <v>45804</v>
      </c>
      <c r="Q147" s="59">
        <v>34500</v>
      </c>
      <c r="R147" s="64">
        <v>45804</v>
      </c>
      <c r="S147" s="59">
        <v>34500</v>
      </c>
      <c r="T147" s="65"/>
      <c r="U147" s="66"/>
      <c r="V147" s="65"/>
      <c r="W147" s="66"/>
      <c r="X147" s="39"/>
      <c r="Y147" s="57"/>
      <c r="Z147" s="39"/>
      <c r="AA147" s="57"/>
      <c r="AB147" s="65"/>
      <c r="AC147" s="66"/>
      <c r="AD147" s="65"/>
      <c r="AE147" s="66"/>
      <c r="AF147" s="39"/>
      <c r="AG147" s="59"/>
      <c r="AH147" s="39"/>
      <c r="AI147" s="59"/>
    </row>
    <row r="148" spans="1:35" ht="19.5" customHeight="1" x14ac:dyDescent="0.3">
      <c r="A148" s="4">
        <v>2409447</v>
      </c>
      <c r="B148" s="110" t="s">
        <v>783</v>
      </c>
      <c r="C148" s="55">
        <v>22200</v>
      </c>
      <c r="D148" s="55">
        <v>0</v>
      </c>
      <c r="E148" s="55" t="s">
        <v>19</v>
      </c>
      <c r="F148" s="4" t="s">
        <v>71</v>
      </c>
      <c r="G148" s="4" t="s">
        <v>125</v>
      </c>
      <c r="H148" s="4" t="s">
        <v>2236</v>
      </c>
      <c r="I148" s="4" t="s">
        <v>2251</v>
      </c>
      <c r="J148" s="55">
        <v>22200</v>
      </c>
      <c r="K148" s="55">
        <v>22200</v>
      </c>
      <c r="L148" s="65">
        <v>45545</v>
      </c>
      <c r="M148" s="66">
        <v>500</v>
      </c>
      <c r="N148" s="65">
        <v>45545</v>
      </c>
      <c r="O148" s="66">
        <v>500</v>
      </c>
      <c r="P148" s="39">
        <v>45628</v>
      </c>
      <c r="Q148" s="57">
        <v>19700</v>
      </c>
      <c r="R148" s="39">
        <v>45628</v>
      </c>
      <c r="S148" s="57">
        <v>19700</v>
      </c>
      <c r="T148" s="65">
        <v>45756</v>
      </c>
      <c r="U148" s="66">
        <v>2000</v>
      </c>
      <c r="V148" s="65">
        <v>45756</v>
      </c>
      <c r="W148" s="66">
        <v>2000</v>
      </c>
      <c r="X148" s="39"/>
      <c r="Y148" s="57"/>
      <c r="Z148" s="39"/>
      <c r="AA148" s="57"/>
      <c r="AB148" s="65"/>
      <c r="AC148" s="66"/>
      <c r="AD148" s="65"/>
      <c r="AE148" s="66"/>
      <c r="AF148" s="39"/>
      <c r="AG148" s="57"/>
      <c r="AH148" s="39"/>
      <c r="AI148" s="57"/>
    </row>
    <row r="149" spans="1:35" ht="19.5" customHeight="1" x14ac:dyDescent="0.3">
      <c r="A149" s="4">
        <v>2409444</v>
      </c>
      <c r="B149" s="110" t="s">
        <v>788</v>
      </c>
      <c r="C149" s="55">
        <v>28700</v>
      </c>
      <c r="D149" s="55">
        <v>0</v>
      </c>
      <c r="E149" s="55" t="s">
        <v>19</v>
      </c>
      <c r="F149" s="4" t="s">
        <v>71</v>
      </c>
      <c r="G149" s="4" t="s">
        <v>125</v>
      </c>
      <c r="H149" s="4" t="s">
        <v>2236</v>
      </c>
      <c r="I149" s="4" t="s">
        <v>2251</v>
      </c>
      <c r="J149" s="55">
        <v>28700</v>
      </c>
      <c r="K149" s="55">
        <v>28700</v>
      </c>
      <c r="L149" s="65">
        <v>45546</v>
      </c>
      <c r="M149" s="66">
        <v>500</v>
      </c>
      <c r="N149" s="65">
        <v>45546</v>
      </c>
      <c r="O149" s="66">
        <v>500</v>
      </c>
      <c r="P149" s="39">
        <v>45698</v>
      </c>
      <c r="Q149" s="57">
        <v>26200</v>
      </c>
      <c r="R149" s="39">
        <v>45699</v>
      </c>
      <c r="S149" s="57">
        <v>26200</v>
      </c>
      <c r="T149" s="65">
        <v>45874</v>
      </c>
      <c r="U149" s="66">
        <v>2000</v>
      </c>
      <c r="V149" s="65">
        <v>45874</v>
      </c>
      <c r="W149" s="66">
        <v>2000</v>
      </c>
      <c r="X149" s="39"/>
      <c r="Y149" s="57"/>
      <c r="Z149" s="39"/>
      <c r="AA149" s="57"/>
      <c r="AB149" s="65"/>
      <c r="AC149" s="66"/>
      <c r="AD149" s="65"/>
      <c r="AE149" s="66"/>
      <c r="AF149" s="39"/>
      <c r="AG149" s="57"/>
      <c r="AH149" s="39"/>
      <c r="AI149" s="57"/>
    </row>
    <row r="150" spans="1:35" ht="19.5" customHeight="1" x14ac:dyDescent="0.3">
      <c r="A150" s="4">
        <v>2407368</v>
      </c>
      <c r="B150" s="110" t="s">
        <v>793</v>
      </c>
      <c r="C150" s="55">
        <v>38600</v>
      </c>
      <c r="D150" s="55">
        <v>0</v>
      </c>
      <c r="E150" s="55" t="s">
        <v>19</v>
      </c>
      <c r="F150" s="4" t="s">
        <v>71</v>
      </c>
      <c r="G150" s="4" t="s">
        <v>125</v>
      </c>
      <c r="H150" s="4" t="s">
        <v>2236</v>
      </c>
      <c r="I150" s="4" t="s">
        <v>2251</v>
      </c>
      <c r="J150" s="55">
        <v>38600</v>
      </c>
      <c r="K150" s="55">
        <v>38600</v>
      </c>
      <c r="L150" s="65">
        <v>45607</v>
      </c>
      <c r="M150" s="66">
        <v>500</v>
      </c>
      <c r="N150" s="65">
        <v>45607</v>
      </c>
      <c r="O150" s="66">
        <v>500</v>
      </c>
      <c r="P150" s="39">
        <v>45607</v>
      </c>
      <c r="Q150" s="57">
        <v>36100</v>
      </c>
      <c r="R150" s="39">
        <v>45614</v>
      </c>
      <c r="S150" s="57">
        <v>36100</v>
      </c>
      <c r="T150" s="65">
        <v>45663</v>
      </c>
      <c r="U150" s="66">
        <v>2000</v>
      </c>
      <c r="V150" s="65">
        <v>45664</v>
      </c>
      <c r="W150" s="66">
        <v>2000</v>
      </c>
      <c r="X150" s="39"/>
      <c r="Y150" s="57"/>
      <c r="Z150" s="39"/>
      <c r="AA150" s="57"/>
      <c r="AB150" s="65"/>
      <c r="AC150" s="66"/>
      <c r="AD150" s="65"/>
      <c r="AE150" s="66"/>
      <c r="AF150" s="39"/>
      <c r="AG150" s="57"/>
      <c r="AH150" s="39"/>
      <c r="AI150" s="57"/>
    </row>
    <row r="151" spans="1:35" ht="19.5" customHeight="1" x14ac:dyDescent="0.3">
      <c r="A151" s="4">
        <v>2409446</v>
      </c>
      <c r="B151" s="110" t="s">
        <v>798</v>
      </c>
      <c r="C151" s="55">
        <v>28500</v>
      </c>
      <c r="D151" s="55">
        <v>0</v>
      </c>
      <c r="E151" s="55" t="s">
        <v>17</v>
      </c>
      <c r="F151" s="4" t="s">
        <v>71</v>
      </c>
      <c r="G151" s="4" t="s">
        <v>125</v>
      </c>
      <c r="H151" s="4" t="s">
        <v>2236</v>
      </c>
      <c r="I151" s="4" t="s">
        <v>2251</v>
      </c>
      <c r="J151" s="55">
        <v>28500</v>
      </c>
      <c r="K151" s="55">
        <v>28500</v>
      </c>
      <c r="L151" s="65">
        <v>45545</v>
      </c>
      <c r="M151" s="66">
        <v>500</v>
      </c>
      <c r="N151" s="65">
        <v>45545</v>
      </c>
      <c r="O151" s="66">
        <v>500</v>
      </c>
      <c r="P151" s="39">
        <v>45618</v>
      </c>
      <c r="Q151" s="57">
        <v>26000</v>
      </c>
      <c r="R151" s="39">
        <v>45618</v>
      </c>
      <c r="S151" s="57">
        <v>26000</v>
      </c>
      <c r="T151" s="65">
        <v>45751</v>
      </c>
      <c r="U151" s="66">
        <v>2000</v>
      </c>
      <c r="V151" s="65">
        <v>45761</v>
      </c>
      <c r="W151" s="66">
        <v>2000</v>
      </c>
      <c r="X151" s="39"/>
      <c r="Y151" s="57"/>
      <c r="Z151" s="39"/>
      <c r="AA151" s="57"/>
      <c r="AB151" s="65"/>
      <c r="AC151" s="66"/>
      <c r="AD151" s="65"/>
      <c r="AE151" s="66"/>
      <c r="AF151" s="39"/>
      <c r="AG151" s="57"/>
      <c r="AH151" s="39"/>
      <c r="AI151" s="57"/>
    </row>
    <row r="152" spans="1:35" ht="19.5" customHeight="1" x14ac:dyDescent="0.3">
      <c r="A152" s="4">
        <v>2404249</v>
      </c>
      <c r="B152" s="110" t="s">
        <v>803</v>
      </c>
      <c r="C152" s="55">
        <v>47600</v>
      </c>
      <c r="D152" s="55">
        <v>0</v>
      </c>
      <c r="E152" s="55" t="s">
        <v>17</v>
      </c>
      <c r="F152" s="4" t="s">
        <v>71</v>
      </c>
      <c r="G152" s="4">
        <v>0</v>
      </c>
      <c r="H152" s="4" t="s">
        <v>2240</v>
      </c>
      <c r="I152" s="4" t="s">
        <v>2255</v>
      </c>
      <c r="J152" s="55">
        <v>500</v>
      </c>
      <c r="K152" s="55">
        <v>500</v>
      </c>
      <c r="L152" s="65">
        <v>45544</v>
      </c>
      <c r="M152" s="66">
        <v>500</v>
      </c>
      <c r="N152" s="65">
        <v>45544</v>
      </c>
      <c r="O152" s="66">
        <v>500</v>
      </c>
      <c r="P152" s="39"/>
      <c r="Q152" s="57"/>
      <c r="R152" s="39"/>
      <c r="S152" s="57"/>
      <c r="T152" s="65"/>
      <c r="U152" s="66"/>
      <c r="V152" s="65"/>
      <c r="W152" s="66"/>
      <c r="X152" s="39"/>
      <c r="Y152" s="57"/>
      <c r="Z152" s="39"/>
      <c r="AA152" s="57"/>
      <c r="AB152" s="65"/>
      <c r="AC152" s="66"/>
      <c r="AD152" s="65"/>
      <c r="AE152" s="66"/>
      <c r="AF152" s="39"/>
      <c r="AG152" s="57"/>
      <c r="AH152" s="39"/>
      <c r="AI152" s="57"/>
    </row>
    <row r="153" spans="1:35" ht="19.5" customHeight="1" x14ac:dyDescent="0.3">
      <c r="A153" s="4" t="s">
        <v>808</v>
      </c>
      <c r="B153" s="110" t="s">
        <v>809</v>
      </c>
      <c r="C153" s="55">
        <v>46100</v>
      </c>
      <c r="D153" s="55">
        <v>0</v>
      </c>
      <c r="E153" s="55" t="s">
        <v>17</v>
      </c>
      <c r="F153" s="4" t="s">
        <v>71</v>
      </c>
      <c r="G153" s="4" t="s">
        <v>125</v>
      </c>
      <c r="H153" s="4" t="s">
        <v>2236</v>
      </c>
      <c r="I153" s="4" t="s">
        <v>2251</v>
      </c>
      <c r="J153" s="55">
        <v>46100</v>
      </c>
      <c r="K153" s="55">
        <v>46100</v>
      </c>
      <c r="L153" s="65">
        <v>45635</v>
      </c>
      <c r="M153" s="69">
        <v>500</v>
      </c>
      <c r="N153" s="65">
        <v>45635</v>
      </c>
      <c r="O153" s="69">
        <v>500</v>
      </c>
      <c r="P153" s="39">
        <v>45635</v>
      </c>
      <c r="Q153" s="59">
        <v>43600</v>
      </c>
      <c r="R153" s="39">
        <v>45643</v>
      </c>
      <c r="S153" s="59">
        <v>43600</v>
      </c>
      <c r="T153" s="65">
        <v>45663</v>
      </c>
      <c r="U153" s="66">
        <v>2000</v>
      </c>
      <c r="V153" s="65">
        <v>45664</v>
      </c>
      <c r="W153" s="66">
        <v>2000</v>
      </c>
      <c r="X153" s="39"/>
      <c r="Y153" s="57"/>
      <c r="Z153" s="39"/>
      <c r="AA153" s="57"/>
      <c r="AB153" s="65"/>
      <c r="AC153" s="66"/>
      <c r="AD153" s="65"/>
      <c r="AE153" s="66"/>
      <c r="AF153" s="39"/>
      <c r="AG153" s="57"/>
      <c r="AH153" s="39"/>
      <c r="AI153" s="57"/>
    </row>
    <row r="154" spans="1:35" ht="19.5" customHeight="1" x14ac:dyDescent="0.3">
      <c r="A154" s="4" t="s">
        <v>814</v>
      </c>
      <c r="B154" s="110" t="s">
        <v>809</v>
      </c>
      <c r="C154" s="55">
        <v>46100</v>
      </c>
      <c r="D154" s="55">
        <v>0</v>
      </c>
      <c r="E154" s="55" t="s">
        <v>17</v>
      </c>
      <c r="F154" s="4" t="s">
        <v>71</v>
      </c>
      <c r="G154" s="4" t="s">
        <v>125</v>
      </c>
      <c r="H154" s="4" t="s">
        <v>2236</v>
      </c>
      <c r="I154" s="4" t="s">
        <v>2251</v>
      </c>
      <c r="J154" s="55">
        <v>46100</v>
      </c>
      <c r="K154" s="55">
        <v>46100</v>
      </c>
      <c r="L154" s="65">
        <v>45635</v>
      </c>
      <c r="M154" s="69">
        <v>500</v>
      </c>
      <c r="N154" s="65">
        <v>45635</v>
      </c>
      <c r="O154" s="69">
        <v>500</v>
      </c>
      <c r="P154" s="39">
        <v>45635</v>
      </c>
      <c r="Q154" s="59">
        <v>43600</v>
      </c>
      <c r="R154" s="39">
        <v>45657</v>
      </c>
      <c r="S154" s="59">
        <v>43600</v>
      </c>
      <c r="T154" s="65">
        <v>45663</v>
      </c>
      <c r="U154" s="66">
        <v>2000</v>
      </c>
      <c r="V154" s="65">
        <v>45664</v>
      </c>
      <c r="W154" s="66">
        <v>2000</v>
      </c>
      <c r="X154" s="39"/>
      <c r="Y154" s="57"/>
      <c r="Z154" s="39"/>
      <c r="AA154" s="57"/>
      <c r="AB154" s="65"/>
      <c r="AC154" s="66"/>
      <c r="AD154" s="65"/>
      <c r="AE154" s="66"/>
      <c r="AF154" s="39"/>
      <c r="AG154" s="57"/>
      <c r="AH154" s="39"/>
      <c r="AI154" s="57"/>
    </row>
    <row r="155" spans="1:35" ht="19.5" customHeight="1" x14ac:dyDescent="0.3">
      <c r="A155" s="4">
        <v>2405284</v>
      </c>
      <c r="B155" s="110" t="s">
        <v>816</v>
      </c>
      <c r="C155" s="55">
        <v>23500</v>
      </c>
      <c r="D155" s="55">
        <v>0</v>
      </c>
      <c r="E155" s="55" t="s">
        <v>17</v>
      </c>
      <c r="F155" s="4" t="s">
        <v>71</v>
      </c>
      <c r="G155" s="4">
        <v>0</v>
      </c>
      <c r="H155" s="4" t="s">
        <v>2236</v>
      </c>
      <c r="I155" s="4" t="s">
        <v>2251</v>
      </c>
      <c r="J155" s="55">
        <v>23500</v>
      </c>
      <c r="K155" s="55">
        <v>23500</v>
      </c>
      <c r="L155" s="65">
        <v>45546</v>
      </c>
      <c r="M155" s="66">
        <v>500</v>
      </c>
      <c r="N155" s="65">
        <v>45546</v>
      </c>
      <c r="O155" s="66">
        <v>500</v>
      </c>
      <c r="P155" s="39">
        <v>45643</v>
      </c>
      <c r="Q155" s="59">
        <v>21000</v>
      </c>
      <c r="R155" s="39">
        <v>45785</v>
      </c>
      <c r="S155" s="59">
        <v>21000</v>
      </c>
      <c r="T155" s="65">
        <v>45751</v>
      </c>
      <c r="U155" s="66">
        <v>2000</v>
      </c>
      <c r="V155" s="65">
        <v>45785</v>
      </c>
      <c r="W155" s="66">
        <v>2000</v>
      </c>
      <c r="X155" s="39"/>
      <c r="Y155" s="57"/>
      <c r="Z155" s="39"/>
      <c r="AA155" s="57"/>
      <c r="AB155" s="65"/>
      <c r="AC155" s="66"/>
      <c r="AD155" s="65"/>
      <c r="AE155" s="66"/>
      <c r="AF155" s="39"/>
      <c r="AG155" s="57"/>
      <c r="AH155" s="39"/>
      <c r="AI155" s="57"/>
    </row>
    <row r="156" spans="1:35" ht="19.5" customHeight="1" x14ac:dyDescent="0.3">
      <c r="A156" s="4">
        <v>2409448</v>
      </c>
      <c r="B156" s="110" t="s">
        <v>821</v>
      </c>
      <c r="C156" s="55">
        <v>31622</v>
      </c>
      <c r="D156" s="55">
        <v>0</v>
      </c>
      <c r="E156" s="55" t="s">
        <v>20</v>
      </c>
      <c r="F156" s="4" t="s">
        <v>71</v>
      </c>
      <c r="G156" s="4" t="s">
        <v>176</v>
      </c>
      <c r="H156" s="4" t="s">
        <v>2236</v>
      </c>
      <c r="I156" s="4" t="s">
        <v>2251</v>
      </c>
      <c r="J156" s="55">
        <v>31622</v>
      </c>
      <c r="K156" s="55">
        <v>31622</v>
      </c>
      <c r="L156" s="65">
        <v>45545</v>
      </c>
      <c r="M156" s="66">
        <v>500</v>
      </c>
      <c r="N156" s="65">
        <v>45545</v>
      </c>
      <c r="O156" s="66">
        <v>500</v>
      </c>
      <c r="P156" s="39">
        <v>45742</v>
      </c>
      <c r="Q156" s="57">
        <v>31122</v>
      </c>
      <c r="R156" s="39">
        <v>45742</v>
      </c>
      <c r="S156" s="57">
        <v>31122</v>
      </c>
      <c r="T156" s="65"/>
      <c r="U156" s="66"/>
      <c r="V156" s="65"/>
      <c r="W156" s="66"/>
      <c r="X156" s="39"/>
      <c r="Y156" s="57"/>
      <c r="Z156" s="39"/>
      <c r="AA156" s="57"/>
      <c r="AB156" s="65"/>
      <c r="AC156" s="66"/>
      <c r="AD156" s="65"/>
      <c r="AE156" s="66"/>
      <c r="AF156" s="39"/>
      <c r="AG156" s="57"/>
      <c r="AH156" s="39"/>
      <c r="AI156" s="57"/>
    </row>
    <row r="157" spans="1:35" ht="19.5" customHeight="1" x14ac:dyDescent="0.3">
      <c r="A157" s="4">
        <v>2408400</v>
      </c>
      <c r="B157" s="110" t="s">
        <v>827</v>
      </c>
      <c r="C157" s="55">
        <v>43300</v>
      </c>
      <c r="D157" s="55">
        <v>0</v>
      </c>
      <c r="E157" s="55" t="s">
        <v>19</v>
      </c>
      <c r="F157" s="4" t="s">
        <v>71</v>
      </c>
      <c r="G157" s="4" t="s">
        <v>125</v>
      </c>
      <c r="H157" s="4" t="s">
        <v>2236</v>
      </c>
      <c r="I157" s="4" t="s">
        <v>2251</v>
      </c>
      <c r="J157" s="55">
        <v>43300</v>
      </c>
      <c r="K157" s="55">
        <v>43300</v>
      </c>
      <c r="L157" s="65">
        <v>45546</v>
      </c>
      <c r="M157" s="66">
        <v>500</v>
      </c>
      <c r="N157" s="65">
        <v>45546</v>
      </c>
      <c r="O157" s="66">
        <v>500</v>
      </c>
      <c r="P157" s="39">
        <v>45717</v>
      </c>
      <c r="Q157" s="57">
        <v>40800</v>
      </c>
      <c r="R157" s="39">
        <v>45717</v>
      </c>
      <c r="S157" s="57">
        <v>40800</v>
      </c>
      <c r="T157" s="65">
        <v>45797</v>
      </c>
      <c r="U157" s="66">
        <v>2000</v>
      </c>
      <c r="V157" s="65">
        <v>45797</v>
      </c>
      <c r="W157" s="66">
        <v>2000</v>
      </c>
      <c r="X157" s="39"/>
      <c r="Y157" s="57"/>
      <c r="Z157" s="39"/>
      <c r="AA157" s="57"/>
      <c r="AB157" s="65"/>
      <c r="AC157" s="66"/>
      <c r="AD157" s="65"/>
      <c r="AE157" s="66"/>
      <c r="AF157" s="39"/>
      <c r="AG157" s="57"/>
      <c r="AH157" s="39"/>
      <c r="AI157" s="57"/>
    </row>
    <row r="158" spans="1:35" ht="19.5" customHeight="1" x14ac:dyDescent="0.3">
      <c r="A158" s="4" t="s">
        <v>832</v>
      </c>
      <c r="B158" s="110" t="s">
        <v>833</v>
      </c>
      <c r="C158" s="55">
        <v>30000</v>
      </c>
      <c r="D158" s="55">
        <v>0</v>
      </c>
      <c r="E158" s="55" t="s">
        <v>19</v>
      </c>
      <c r="F158" s="4" t="s">
        <v>71</v>
      </c>
      <c r="G158" s="4" t="s">
        <v>834</v>
      </c>
      <c r="H158" s="4" t="s">
        <v>2236</v>
      </c>
      <c r="I158" s="4" t="s">
        <v>2251</v>
      </c>
      <c r="J158" s="55">
        <v>30000</v>
      </c>
      <c r="K158" s="55">
        <v>30000</v>
      </c>
      <c r="L158" s="65">
        <v>45546</v>
      </c>
      <c r="M158" s="66">
        <v>500</v>
      </c>
      <c r="N158" s="65">
        <v>45546</v>
      </c>
      <c r="O158" s="66">
        <v>500</v>
      </c>
      <c r="P158" s="39">
        <v>45636</v>
      </c>
      <c r="Q158" s="59">
        <v>29500</v>
      </c>
      <c r="R158" s="39">
        <v>45659</v>
      </c>
      <c r="S158" s="59">
        <v>29500</v>
      </c>
      <c r="T158" s="65"/>
      <c r="U158" s="66"/>
      <c r="V158" s="65"/>
      <c r="W158" s="66"/>
      <c r="X158" s="39"/>
      <c r="Y158" s="57"/>
      <c r="Z158" s="39"/>
      <c r="AA158" s="57"/>
      <c r="AB158" s="65"/>
      <c r="AC158" s="66"/>
      <c r="AD158" s="65"/>
      <c r="AE158" s="66"/>
      <c r="AF158" s="39"/>
      <c r="AG158" s="57"/>
      <c r="AH158" s="39"/>
      <c r="AI158" s="57"/>
    </row>
    <row r="159" spans="1:35" ht="19.5" customHeight="1" x14ac:dyDescent="0.3">
      <c r="A159" s="4">
        <v>2409452</v>
      </c>
      <c r="B159" s="110" t="s">
        <v>839</v>
      </c>
      <c r="C159" s="55">
        <v>29700</v>
      </c>
      <c r="D159" s="55">
        <v>0</v>
      </c>
      <c r="E159" s="55" t="s">
        <v>19</v>
      </c>
      <c r="F159" s="4" t="s">
        <v>71</v>
      </c>
      <c r="G159" s="4" t="s">
        <v>125</v>
      </c>
      <c r="H159" s="4" t="s">
        <v>2236</v>
      </c>
      <c r="I159" s="4" t="s">
        <v>2251</v>
      </c>
      <c r="J159" s="55">
        <v>29700</v>
      </c>
      <c r="K159" s="55">
        <v>29700</v>
      </c>
      <c r="L159" s="65">
        <v>45608</v>
      </c>
      <c r="M159" s="66">
        <v>500</v>
      </c>
      <c r="N159" s="65">
        <v>45608</v>
      </c>
      <c r="O159" s="66">
        <v>500</v>
      </c>
      <c r="P159" s="39">
        <v>45608</v>
      </c>
      <c r="Q159" s="57">
        <v>27200</v>
      </c>
      <c r="R159" s="39">
        <v>45608</v>
      </c>
      <c r="S159" s="57">
        <v>27200</v>
      </c>
      <c r="T159" s="65">
        <v>45639</v>
      </c>
      <c r="U159" s="66">
        <v>2000</v>
      </c>
      <c r="V159" s="65">
        <v>45639</v>
      </c>
      <c r="W159" s="66">
        <v>2000</v>
      </c>
      <c r="X159" s="39"/>
      <c r="Y159" s="57"/>
      <c r="Z159" s="39"/>
      <c r="AA159" s="57"/>
      <c r="AB159" s="65"/>
      <c r="AC159" s="66"/>
      <c r="AD159" s="65"/>
      <c r="AE159" s="66"/>
      <c r="AF159" s="39"/>
      <c r="AG159" s="57"/>
      <c r="AH159" s="39"/>
      <c r="AI159" s="57"/>
    </row>
    <row r="160" spans="1:35" ht="19.5" customHeight="1" x14ac:dyDescent="0.3">
      <c r="A160" s="4">
        <v>2409449</v>
      </c>
      <c r="B160" s="110" t="s">
        <v>844</v>
      </c>
      <c r="C160" s="55">
        <v>24908</v>
      </c>
      <c r="D160" s="55">
        <v>0</v>
      </c>
      <c r="E160" s="55" t="s">
        <v>17</v>
      </c>
      <c r="F160" s="4" t="s">
        <v>71</v>
      </c>
      <c r="G160" s="4" t="s">
        <v>176</v>
      </c>
      <c r="H160" s="4" t="s">
        <v>2236</v>
      </c>
      <c r="I160" s="4" t="s">
        <v>2251</v>
      </c>
      <c r="J160" s="55">
        <v>24908</v>
      </c>
      <c r="K160" s="55">
        <v>24908</v>
      </c>
      <c r="L160" s="65">
        <v>45561</v>
      </c>
      <c r="M160" s="66">
        <v>500</v>
      </c>
      <c r="N160" s="65">
        <v>45561</v>
      </c>
      <c r="O160" s="66">
        <v>500</v>
      </c>
      <c r="P160" s="39">
        <v>45618</v>
      </c>
      <c r="Q160" s="57">
        <v>24408</v>
      </c>
      <c r="R160" s="39">
        <v>45618</v>
      </c>
      <c r="S160" s="57">
        <v>24408</v>
      </c>
      <c r="T160" s="65"/>
      <c r="U160" s="66"/>
      <c r="V160" s="65"/>
      <c r="W160" s="66"/>
      <c r="X160" s="39"/>
      <c r="Y160" s="57"/>
      <c r="Z160" s="39"/>
      <c r="AA160" s="57"/>
      <c r="AB160" s="65"/>
      <c r="AC160" s="66"/>
      <c r="AD160" s="65"/>
      <c r="AE160" s="66"/>
      <c r="AF160" s="39"/>
      <c r="AG160" s="57"/>
      <c r="AH160" s="39"/>
      <c r="AI160" s="57"/>
    </row>
    <row r="161" spans="1:35" ht="19.5" customHeight="1" x14ac:dyDescent="0.3">
      <c r="A161" s="4" t="s">
        <v>849</v>
      </c>
      <c r="B161" s="110" t="s">
        <v>850</v>
      </c>
      <c r="C161" s="55">
        <v>34600</v>
      </c>
      <c r="D161" s="55">
        <v>0</v>
      </c>
      <c r="E161" s="55" t="s">
        <v>17</v>
      </c>
      <c r="F161" s="4" t="s">
        <v>71</v>
      </c>
      <c r="G161" s="4">
        <v>0</v>
      </c>
      <c r="H161" s="4" t="s">
        <v>2236</v>
      </c>
      <c r="I161" s="4" t="s">
        <v>2251</v>
      </c>
      <c r="J161" s="55">
        <v>34600</v>
      </c>
      <c r="K161" s="55">
        <v>34600</v>
      </c>
      <c r="L161" s="65">
        <v>45555</v>
      </c>
      <c r="M161" s="66">
        <v>500</v>
      </c>
      <c r="N161" s="65">
        <v>45555</v>
      </c>
      <c r="O161" s="66">
        <v>500</v>
      </c>
      <c r="P161" s="39">
        <v>45638</v>
      </c>
      <c r="Q161" s="57">
        <v>32100</v>
      </c>
      <c r="R161" s="39">
        <v>45639</v>
      </c>
      <c r="S161" s="57">
        <v>32100</v>
      </c>
      <c r="T161" s="65">
        <v>45664</v>
      </c>
      <c r="U161" s="66">
        <v>2000</v>
      </c>
      <c r="V161" s="65">
        <v>45667</v>
      </c>
      <c r="W161" s="66">
        <v>2000</v>
      </c>
      <c r="X161" s="39"/>
      <c r="Y161" s="57"/>
      <c r="Z161" s="39"/>
      <c r="AA161" s="57"/>
      <c r="AB161" s="65"/>
      <c r="AC161" s="66"/>
      <c r="AD161" s="65"/>
      <c r="AE161" s="66"/>
      <c r="AF161" s="39"/>
      <c r="AG161" s="57"/>
      <c r="AH161" s="39"/>
      <c r="AI161" s="57"/>
    </row>
    <row r="162" spans="1:35" ht="19.5" customHeight="1" x14ac:dyDescent="0.3">
      <c r="A162" s="4">
        <v>2406343</v>
      </c>
      <c r="B162" s="110" t="s">
        <v>855</v>
      </c>
      <c r="C162" s="55">
        <v>30000</v>
      </c>
      <c r="D162" s="55">
        <v>0</v>
      </c>
      <c r="E162" s="55" t="s">
        <v>17</v>
      </c>
      <c r="F162" s="4" t="s">
        <v>71</v>
      </c>
      <c r="G162" s="4">
        <v>0</v>
      </c>
      <c r="H162" s="4" t="s">
        <v>2236</v>
      </c>
      <c r="I162" s="4" t="s">
        <v>2251</v>
      </c>
      <c r="J162" s="55">
        <v>30000</v>
      </c>
      <c r="K162" s="55">
        <v>30000</v>
      </c>
      <c r="L162" s="65">
        <v>45562</v>
      </c>
      <c r="M162" s="66">
        <v>500</v>
      </c>
      <c r="N162" s="65">
        <v>45562</v>
      </c>
      <c r="O162" s="66">
        <v>500</v>
      </c>
      <c r="P162" s="39">
        <v>45632</v>
      </c>
      <c r="Q162" s="57">
        <v>27500</v>
      </c>
      <c r="R162" s="39">
        <v>45632</v>
      </c>
      <c r="S162" s="57">
        <v>27500</v>
      </c>
      <c r="T162" s="65">
        <v>45635</v>
      </c>
      <c r="U162" s="66">
        <v>2000</v>
      </c>
      <c r="V162" s="65">
        <v>45635</v>
      </c>
      <c r="W162" s="66">
        <v>2000</v>
      </c>
      <c r="X162" s="39"/>
      <c r="Y162" s="57"/>
      <c r="Z162" s="39"/>
      <c r="AA162" s="57"/>
      <c r="AB162" s="65"/>
      <c r="AC162" s="66"/>
      <c r="AD162" s="65"/>
      <c r="AE162" s="66"/>
      <c r="AF162" s="39"/>
      <c r="AG162" s="57"/>
      <c r="AH162" s="39"/>
      <c r="AI162" s="57"/>
    </row>
    <row r="163" spans="1:35" ht="19.5" customHeight="1" x14ac:dyDescent="0.3">
      <c r="A163" s="4">
        <v>2409455</v>
      </c>
      <c r="B163" s="110" t="s">
        <v>860</v>
      </c>
      <c r="C163" s="55">
        <v>22800</v>
      </c>
      <c r="D163" s="55">
        <v>0</v>
      </c>
      <c r="E163" s="55" t="s">
        <v>17</v>
      </c>
      <c r="F163" s="4" t="s">
        <v>71</v>
      </c>
      <c r="G163" s="4" t="s">
        <v>125</v>
      </c>
      <c r="H163" s="4" t="s">
        <v>2236</v>
      </c>
      <c r="I163" s="4" t="s">
        <v>2251</v>
      </c>
      <c r="J163" s="55">
        <v>22800</v>
      </c>
      <c r="K163" s="55">
        <v>22800</v>
      </c>
      <c r="L163" s="65">
        <v>45561</v>
      </c>
      <c r="M163" s="66">
        <v>500</v>
      </c>
      <c r="N163" s="65">
        <v>45561</v>
      </c>
      <c r="O163" s="66">
        <v>500</v>
      </c>
      <c r="P163" s="39">
        <v>45616</v>
      </c>
      <c r="Q163" s="57">
        <v>22300</v>
      </c>
      <c r="R163" s="39">
        <v>45616</v>
      </c>
      <c r="S163" s="57">
        <v>22300</v>
      </c>
      <c r="T163" s="65"/>
      <c r="U163" s="66"/>
      <c r="V163" s="65"/>
      <c r="W163" s="66"/>
      <c r="X163" s="39"/>
      <c r="Y163" s="57"/>
      <c r="Z163" s="39"/>
      <c r="AA163" s="57"/>
      <c r="AB163" s="65"/>
      <c r="AC163" s="66"/>
      <c r="AD163" s="65"/>
      <c r="AE163" s="66"/>
      <c r="AF163" s="39"/>
      <c r="AG163" s="57"/>
      <c r="AH163" s="39"/>
      <c r="AI163" s="57"/>
    </row>
    <row r="164" spans="1:35" ht="19.5" customHeight="1" x14ac:dyDescent="0.3">
      <c r="A164" s="4">
        <v>2410064</v>
      </c>
      <c r="B164" s="110" t="s">
        <v>865</v>
      </c>
      <c r="C164" s="55">
        <v>23940</v>
      </c>
      <c r="D164" s="55">
        <v>0</v>
      </c>
      <c r="E164" s="55" t="s">
        <v>17</v>
      </c>
      <c r="F164" s="4" t="s">
        <v>71</v>
      </c>
      <c r="G164" s="4" t="s">
        <v>125</v>
      </c>
      <c r="H164" s="4" t="s">
        <v>2236</v>
      </c>
      <c r="I164" s="4" t="s">
        <v>2251</v>
      </c>
      <c r="J164" s="55">
        <v>23940</v>
      </c>
      <c r="K164" s="55">
        <v>23940</v>
      </c>
      <c r="L164" s="65">
        <v>45573</v>
      </c>
      <c r="M164" s="66">
        <v>500</v>
      </c>
      <c r="N164" s="65">
        <v>45573</v>
      </c>
      <c r="O164" s="66">
        <v>500</v>
      </c>
      <c r="P164" s="39">
        <v>45628</v>
      </c>
      <c r="Q164" s="57">
        <v>21440</v>
      </c>
      <c r="R164" s="39">
        <v>45628</v>
      </c>
      <c r="S164" s="57">
        <v>21440</v>
      </c>
      <c r="T164" s="65">
        <v>45751</v>
      </c>
      <c r="U164" s="66">
        <v>2000</v>
      </c>
      <c r="V164" s="65">
        <v>45757</v>
      </c>
      <c r="W164" s="66">
        <v>2000</v>
      </c>
      <c r="X164" s="39"/>
      <c r="Y164" s="57"/>
      <c r="Z164" s="39"/>
      <c r="AA164" s="57"/>
      <c r="AB164" s="65"/>
      <c r="AC164" s="66"/>
      <c r="AD164" s="65"/>
      <c r="AE164" s="66"/>
      <c r="AF164" s="39"/>
      <c r="AG164" s="57"/>
      <c r="AH164" s="39"/>
      <c r="AI164" s="57"/>
    </row>
    <row r="165" spans="1:35" ht="19.5" customHeight="1" x14ac:dyDescent="0.3">
      <c r="A165" s="4">
        <v>2405305</v>
      </c>
      <c r="B165" s="110" t="s">
        <v>870</v>
      </c>
      <c r="C165" s="55">
        <v>32000</v>
      </c>
      <c r="D165" s="55">
        <v>0</v>
      </c>
      <c r="E165" s="55" t="s">
        <v>17</v>
      </c>
      <c r="F165" s="4" t="s">
        <v>71</v>
      </c>
      <c r="G165" s="4" t="s">
        <v>125</v>
      </c>
      <c r="H165" s="4" t="s">
        <v>2236</v>
      </c>
      <c r="I165" s="4" t="s">
        <v>2251</v>
      </c>
      <c r="J165" s="55">
        <v>32000</v>
      </c>
      <c r="K165" s="55">
        <v>32000</v>
      </c>
      <c r="L165" s="65">
        <v>45588</v>
      </c>
      <c r="M165" s="66">
        <v>500</v>
      </c>
      <c r="N165" s="65">
        <v>45588</v>
      </c>
      <c r="O165" s="66">
        <v>500</v>
      </c>
      <c r="P165" s="39">
        <v>45723</v>
      </c>
      <c r="Q165" s="57">
        <v>31500</v>
      </c>
      <c r="R165" s="39">
        <v>45723</v>
      </c>
      <c r="S165" s="57">
        <v>31500</v>
      </c>
      <c r="T165" s="65"/>
      <c r="U165" s="66"/>
      <c r="V165" s="65"/>
      <c r="W165" s="66"/>
      <c r="X165" s="39"/>
      <c r="Y165" s="57"/>
      <c r="Z165" s="39"/>
      <c r="AA165" s="57"/>
      <c r="AB165" s="65"/>
      <c r="AC165" s="66"/>
      <c r="AD165" s="65"/>
      <c r="AE165" s="66"/>
      <c r="AF165" s="39"/>
      <c r="AG165" s="57"/>
      <c r="AH165" s="39"/>
      <c r="AI165" s="57"/>
    </row>
    <row r="166" spans="1:35" ht="19.5" customHeight="1" x14ac:dyDescent="0.3">
      <c r="A166" s="4">
        <v>2409456</v>
      </c>
      <c r="B166" s="110" t="s">
        <v>875</v>
      </c>
      <c r="C166" s="55">
        <v>30000</v>
      </c>
      <c r="D166" s="55">
        <v>0</v>
      </c>
      <c r="E166" s="55" t="s">
        <v>17</v>
      </c>
      <c r="F166" s="4" t="s">
        <v>71</v>
      </c>
      <c r="G166" s="4" t="s">
        <v>125</v>
      </c>
      <c r="H166" s="4" t="s">
        <v>2236</v>
      </c>
      <c r="I166" s="4" t="s">
        <v>2251</v>
      </c>
      <c r="J166" s="55">
        <v>30000</v>
      </c>
      <c r="K166" s="55">
        <v>30000</v>
      </c>
      <c r="L166" s="65">
        <v>45583</v>
      </c>
      <c r="M166" s="66">
        <v>500</v>
      </c>
      <c r="N166" s="65">
        <v>45583</v>
      </c>
      <c r="O166" s="66">
        <v>500</v>
      </c>
      <c r="P166" s="39">
        <v>45652</v>
      </c>
      <c r="Q166" s="59">
        <v>27500</v>
      </c>
      <c r="R166" s="64">
        <v>45665</v>
      </c>
      <c r="S166" s="59">
        <v>27500</v>
      </c>
      <c r="T166" s="65">
        <v>45751</v>
      </c>
      <c r="U166" s="66">
        <v>2000</v>
      </c>
      <c r="V166" s="65">
        <v>45842</v>
      </c>
      <c r="W166" s="66">
        <v>2000</v>
      </c>
      <c r="X166" s="39"/>
      <c r="Y166" s="57"/>
      <c r="Z166" s="39"/>
      <c r="AA166" s="57"/>
      <c r="AB166" s="65"/>
      <c r="AC166" s="66"/>
      <c r="AD166" s="65"/>
      <c r="AE166" s="66"/>
      <c r="AF166" s="39"/>
      <c r="AG166" s="57"/>
      <c r="AH166" s="39"/>
      <c r="AI166" s="57"/>
    </row>
    <row r="167" spans="1:35" ht="19.5" customHeight="1" x14ac:dyDescent="0.3">
      <c r="A167" s="4">
        <v>2410461</v>
      </c>
      <c r="B167" s="110" t="s">
        <v>880</v>
      </c>
      <c r="C167" s="55">
        <v>23500</v>
      </c>
      <c r="D167" s="55">
        <v>0</v>
      </c>
      <c r="E167" s="55" t="s">
        <v>17</v>
      </c>
      <c r="F167" s="4" t="s">
        <v>71</v>
      </c>
      <c r="G167" s="4" t="s">
        <v>125</v>
      </c>
      <c r="H167" s="4" t="s">
        <v>2236</v>
      </c>
      <c r="I167" s="4" t="s">
        <v>2251</v>
      </c>
      <c r="J167" s="55">
        <v>23500</v>
      </c>
      <c r="K167" s="55">
        <v>23500</v>
      </c>
      <c r="L167" s="65">
        <v>45569</v>
      </c>
      <c r="M167" s="66">
        <v>500</v>
      </c>
      <c r="N167" s="65">
        <v>45569</v>
      </c>
      <c r="O167" s="66">
        <v>500</v>
      </c>
      <c r="P167" s="39">
        <v>45652</v>
      </c>
      <c r="Q167" s="59">
        <v>21000</v>
      </c>
      <c r="R167" s="64">
        <v>45665</v>
      </c>
      <c r="S167" s="59">
        <v>21000</v>
      </c>
      <c r="T167" s="65">
        <v>45751</v>
      </c>
      <c r="U167" s="66">
        <v>2000</v>
      </c>
      <c r="V167" s="65">
        <v>45842</v>
      </c>
      <c r="W167" s="66">
        <v>2000</v>
      </c>
      <c r="X167" s="39"/>
      <c r="Y167" s="57"/>
      <c r="Z167" s="39"/>
      <c r="AA167" s="57"/>
      <c r="AB167" s="65"/>
      <c r="AC167" s="66"/>
      <c r="AD167" s="65"/>
      <c r="AE167" s="66"/>
      <c r="AF167" s="39"/>
      <c r="AG167" s="57"/>
      <c r="AH167" s="39"/>
      <c r="AI167" s="57"/>
    </row>
    <row r="168" spans="1:35" ht="19.5" customHeight="1" x14ac:dyDescent="0.3">
      <c r="A168" s="4">
        <v>2409029</v>
      </c>
      <c r="B168" s="110" t="s">
        <v>884</v>
      </c>
      <c r="C168" s="55">
        <v>2643</v>
      </c>
      <c r="D168" s="55">
        <v>0</v>
      </c>
      <c r="E168" s="55" t="s">
        <v>20</v>
      </c>
      <c r="F168" s="4" t="s">
        <v>206</v>
      </c>
      <c r="G168" s="4" t="s">
        <v>125</v>
      </c>
      <c r="H168" s="4" t="s">
        <v>2236</v>
      </c>
      <c r="I168" s="4" t="s">
        <v>2252</v>
      </c>
      <c r="J168" s="55">
        <v>2643</v>
      </c>
      <c r="K168" s="55">
        <v>0</v>
      </c>
      <c r="L168" s="65">
        <v>45609</v>
      </c>
      <c r="M168" s="66">
        <v>2643</v>
      </c>
      <c r="N168" s="65"/>
      <c r="O168" s="66"/>
      <c r="P168" s="39"/>
      <c r="Q168" s="59"/>
      <c r="R168" s="64"/>
      <c r="S168" s="59"/>
      <c r="T168" s="65"/>
      <c r="U168" s="66"/>
      <c r="V168" s="65"/>
      <c r="W168" s="66"/>
      <c r="X168" s="39"/>
      <c r="Y168" s="57"/>
      <c r="Z168" s="39"/>
      <c r="AA168" s="57"/>
      <c r="AB168" s="65"/>
      <c r="AC168" s="66"/>
      <c r="AD168" s="65"/>
      <c r="AE168" s="66"/>
      <c r="AF168" s="39"/>
      <c r="AG168" s="57"/>
      <c r="AH168" s="39"/>
      <c r="AI168" s="57"/>
    </row>
    <row r="169" spans="1:35" ht="19.5" customHeight="1" x14ac:dyDescent="0.3">
      <c r="A169" s="4">
        <v>2410032</v>
      </c>
      <c r="B169" s="110" t="s">
        <v>886</v>
      </c>
      <c r="C169" s="55">
        <v>38470</v>
      </c>
      <c r="D169" s="55">
        <v>0</v>
      </c>
      <c r="E169" s="55" t="s">
        <v>20</v>
      </c>
      <c r="F169" s="4" t="s">
        <v>206</v>
      </c>
      <c r="G169" s="4" t="s">
        <v>125</v>
      </c>
      <c r="H169" s="4" t="s">
        <v>2236</v>
      </c>
      <c r="I169" s="4" t="s">
        <v>2251</v>
      </c>
      <c r="J169" s="55">
        <v>38470</v>
      </c>
      <c r="K169" s="55">
        <v>38470</v>
      </c>
      <c r="L169" s="65">
        <v>45593</v>
      </c>
      <c r="M169" s="66">
        <v>19235</v>
      </c>
      <c r="N169" s="65">
        <v>45602</v>
      </c>
      <c r="O169" s="66">
        <v>19235</v>
      </c>
      <c r="P169" s="39">
        <v>45301</v>
      </c>
      <c r="Q169" s="59">
        <v>19235</v>
      </c>
      <c r="R169" s="64">
        <v>45685</v>
      </c>
      <c r="S169" s="59">
        <v>19235</v>
      </c>
      <c r="T169" s="65"/>
      <c r="U169" s="66"/>
      <c r="V169" s="65"/>
      <c r="W169" s="66"/>
      <c r="X169" s="39"/>
      <c r="Y169" s="57"/>
      <c r="Z169" s="39"/>
      <c r="AA169" s="57"/>
      <c r="AB169" s="65"/>
      <c r="AC169" s="66"/>
      <c r="AD169" s="65"/>
      <c r="AE169" s="66"/>
      <c r="AF169" s="39"/>
      <c r="AG169" s="57"/>
      <c r="AH169" s="39"/>
      <c r="AI169" s="57"/>
    </row>
    <row r="170" spans="1:35" ht="19.5" customHeight="1" x14ac:dyDescent="0.3">
      <c r="A170" s="4" t="s">
        <v>888</v>
      </c>
      <c r="B170" s="110" t="s">
        <v>889</v>
      </c>
      <c r="C170" s="55">
        <v>233000</v>
      </c>
      <c r="D170" s="55">
        <v>0</v>
      </c>
      <c r="E170" s="55" t="s">
        <v>17</v>
      </c>
      <c r="F170" s="4" t="s">
        <v>124</v>
      </c>
      <c r="G170" s="4" t="s">
        <v>125</v>
      </c>
      <c r="H170" s="4" t="s">
        <v>2236</v>
      </c>
      <c r="I170" s="4" t="s">
        <v>2254</v>
      </c>
      <c r="J170" s="55">
        <v>233000</v>
      </c>
      <c r="K170" s="55">
        <v>163370</v>
      </c>
      <c r="L170" s="65">
        <v>45559</v>
      </c>
      <c r="M170" s="66">
        <v>23300</v>
      </c>
      <c r="N170" s="65">
        <v>45559</v>
      </c>
      <c r="O170" s="66">
        <v>23300</v>
      </c>
      <c r="P170" s="39">
        <v>45621</v>
      </c>
      <c r="Q170" s="59">
        <v>81550</v>
      </c>
      <c r="R170" s="39">
        <v>45639</v>
      </c>
      <c r="S170" s="59">
        <v>81550</v>
      </c>
      <c r="T170" s="65">
        <v>45681</v>
      </c>
      <c r="U170" s="66">
        <v>58250</v>
      </c>
      <c r="V170" s="65">
        <v>45693</v>
      </c>
      <c r="W170" s="66">
        <v>58520</v>
      </c>
      <c r="X170" s="39">
        <v>45776</v>
      </c>
      <c r="Y170" s="57">
        <v>69900</v>
      </c>
      <c r="Z170" s="39"/>
      <c r="AA170" s="57"/>
      <c r="AB170" s="65"/>
      <c r="AC170" s="66"/>
      <c r="AD170" s="65"/>
      <c r="AE170" s="66"/>
      <c r="AF170" s="39"/>
      <c r="AG170" s="57"/>
      <c r="AH170" s="39"/>
      <c r="AI170" s="57"/>
    </row>
    <row r="171" spans="1:35" ht="19.5" customHeight="1" x14ac:dyDescent="0.3">
      <c r="A171" s="4" t="s">
        <v>893</v>
      </c>
      <c r="B171" s="110" t="s">
        <v>894</v>
      </c>
      <c r="C171" s="55">
        <v>71000</v>
      </c>
      <c r="D171" s="55">
        <v>0</v>
      </c>
      <c r="E171" s="55" t="s">
        <v>17</v>
      </c>
      <c r="F171" s="4" t="s">
        <v>124</v>
      </c>
      <c r="G171" s="4" t="s">
        <v>125</v>
      </c>
      <c r="H171" s="4" t="s">
        <v>2236</v>
      </c>
      <c r="I171" s="4" t="s">
        <v>2253</v>
      </c>
      <c r="J171" s="55">
        <v>71000</v>
      </c>
      <c r="K171" s="55">
        <v>31950</v>
      </c>
      <c r="L171" s="65">
        <v>45559</v>
      </c>
      <c r="M171" s="66">
        <v>7100</v>
      </c>
      <c r="N171" s="65">
        <v>45559</v>
      </c>
      <c r="O171" s="66">
        <v>7100</v>
      </c>
      <c r="P171" s="39">
        <v>45621</v>
      </c>
      <c r="Q171" s="59">
        <v>24850</v>
      </c>
      <c r="R171" s="39">
        <v>45640</v>
      </c>
      <c r="S171" s="59">
        <v>24850</v>
      </c>
      <c r="T171" s="65">
        <v>45776</v>
      </c>
      <c r="U171" s="66">
        <v>39050</v>
      </c>
      <c r="V171" s="65"/>
      <c r="W171" s="66"/>
      <c r="X171" s="39"/>
      <c r="Y171" s="57"/>
      <c r="Z171" s="39"/>
      <c r="AA171" s="57"/>
      <c r="AB171" s="65"/>
      <c r="AC171" s="66"/>
      <c r="AD171" s="65"/>
      <c r="AE171" s="66"/>
      <c r="AF171" s="39"/>
      <c r="AG171" s="57"/>
      <c r="AH171" s="39"/>
      <c r="AI171" s="57"/>
    </row>
    <row r="172" spans="1:35" ht="19.5" customHeight="1" x14ac:dyDescent="0.3">
      <c r="A172" s="4" t="s">
        <v>896</v>
      </c>
      <c r="B172" s="110" t="s">
        <v>897</v>
      </c>
      <c r="C172" s="55">
        <v>136000</v>
      </c>
      <c r="D172" s="55">
        <v>0</v>
      </c>
      <c r="E172" s="55" t="s">
        <v>17</v>
      </c>
      <c r="F172" s="4" t="s">
        <v>124</v>
      </c>
      <c r="G172" s="4" t="s">
        <v>125</v>
      </c>
      <c r="H172" s="4" t="s">
        <v>2236</v>
      </c>
      <c r="I172" s="4" t="s">
        <v>2253</v>
      </c>
      <c r="J172" s="55">
        <v>136000</v>
      </c>
      <c r="K172" s="55">
        <v>61200</v>
      </c>
      <c r="L172" s="65">
        <v>45559</v>
      </c>
      <c r="M172" s="66">
        <v>13600</v>
      </c>
      <c r="N172" s="65">
        <v>45559</v>
      </c>
      <c r="O172" s="66">
        <v>13600</v>
      </c>
      <c r="P172" s="39">
        <v>45621</v>
      </c>
      <c r="Q172" s="59">
        <v>47600</v>
      </c>
      <c r="R172" s="39">
        <v>45641</v>
      </c>
      <c r="S172" s="59">
        <v>47600</v>
      </c>
      <c r="T172" s="65">
        <v>45776</v>
      </c>
      <c r="U172" s="66">
        <v>74800</v>
      </c>
      <c r="V172" s="65"/>
      <c r="W172" s="66"/>
      <c r="X172" s="39"/>
      <c r="Y172" s="57"/>
      <c r="Z172" s="39"/>
      <c r="AA172" s="57"/>
      <c r="AB172" s="65"/>
      <c r="AC172" s="66"/>
      <c r="AD172" s="65"/>
      <c r="AE172" s="66"/>
      <c r="AF172" s="39"/>
      <c r="AG172" s="57"/>
      <c r="AH172" s="39"/>
      <c r="AI172" s="57"/>
    </row>
    <row r="173" spans="1:35" ht="19.5" customHeight="1" x14ac:dyDescent="0.3">
      <c r="A173" s="4">
        <v>2408174</v>
      </c>
      <c r="B173" s="110" t="s">
        <v>900</v>
      </c>
      <c r="C173" s="55">
        <v>269900</v>
      </c>
      <c r="D173" s="55">
        <v>0</v>
      </c>
      <c r="E173" s="55" t="s">
        <v>17</v>
      </c>
      <c r="F173" s="4" t="s">
        <v>124</v>
      </c>
      <c r="G173" s="4" t="s">
        <v>125</v>
      </c>
      <c r="H173" s="4" t="s">
        <v>2236</v>
      </c>
      <c r="I173" s="4" t="s">
        <v>2253</v>
      </c>
      <c r="J173" s="55">
        <v>269900</v>
      </c>
      <c r="K173" s="55">
        <v>121455</v>
      </c>
      <c r="L173" s="65">
        <v>45750</v>
      </c>
      <c r="M173" s="66">
        <v>26990</v>
      </c>
      <c r="N173" s="65">
        <v>45827</v>
      </c>
      <c r="O173" s="66">
        <v>26990</v>
      </c>
      <c r="P173" s="39">
        <v>45875</v>
      </c>
      <c r="Q173" s="57">
        <v>94465</v>
      </c>
      <c r="R173" s="39">
        <v>45883</v>
      </c>
      <c r="S173" s="57">
        <v>94465</v>
      </c>
      <c r="T173" s="65">
        <v>45964</v>
      </c>
      <c r="U173" s="66">
        <v>148445</v>
      </c>
      <c r="V173" s="65"/>
      <c r="W173" s="66"/>
      <c r="X173" s="39"/>
      <c r="Y173" s="57"/>
      <c r="Z173" s="39"/>
      <c r="AA173" s="57"/>
      <c r="AB173" s="65"/>
      <c r="AC173" s="66"/>
      <c r="AD173" s="65"/>
      <c r="AE173" s="66"/>
      <c r="AF173" s="39"/>
      <c r="AG173" s="57"/>
      <c r="AH173" s="39"/>
      <c r="AI173" s="57"/>
    </row>
    <row r="174" spans="1:35" ht="19.5" customHeight="1" x14ac:dyDescent="0.3">
      <c r="A174" s="4">
        <v>2408179</v>
      </c>
      <c r="B174" s="110" t="s">
        <v>902</v>
      </c>
      <c r="C174" s="55">
        <v>320000</v>
      </c>
      <c r="D174" s="55">
        <v>0</v>
      </c>
      <c r="E174" s="55" t="s">
        <v>17</v>
      </c>
      <c r="F174" s="4" t="s">
        <v>124</v>
      </c>
      <c r="G174" s="4" t="s">
        <v>125</v>
      </c>
      <c r="H174" s="4" t="s">
        <v>2236</v>
      </c>
      <c r="I174" s="4" t="s">
        <v>2251</v>
      </c>
      <c r="J174" s="55">
        <v>320000</v>
      </c>
      <c r="K174" s="55">
        <v>320000</v>
      </c>
      <c r="L174" s="65">
        <v>45596</v>
      </c>
      <c r="M174" s="66">
        <v>32000</v>
      </c>
      <c r="N174" s="65">
        <v>45596</v>
      </c>
      <c r="O174" s="66">
        <v>32000</v>
      </c>
      <c r="P174" s="64">
        <v>45642</v>
      </c>
      <c r="Q174" s="59">
        <v>112000</v>
      </c>
      <c r="R174" s="64">
        <v>45664</v>
      </c>
      <c r="S174" s="59">
        <v>112000</v>
      </c>
      <c r="T174" s="65">
        <v>45681</v>
      </c>
      <c r="U174" s="66">
        <v>80000</v>
      </c>
      <c r="V174" s="65">
        <v>45693</v>
      </c>
      <c r="W174" s="66">
        <v>80000</v>
      </c>
      <c r="X174" s="39">
        <v>45776</v>
      </c>
      <c r="Y174" s="57">
        <v>96000</v>
      </c>
      <c r="Z174" s="39">
        <v>45959</v>
      </c>
      <c r="AA174" s="57">
        <v>96000</v>
      </c>
      <c r="AB174" s="65"/>
      <c r="AC174" s="66"/>
      <c r="AD174" s="65"/>
      <c r="AE174" s="66"/>
      <c r="AF174" s="39"/>
      <c r="AG174" s="57"/>
      <c r="AH174" s="39"/>
      <c r="AI174" s="57"/>
    </row>
    <row r="175" spans="1:35" ht="19.5" customHeight="1" x14ac:dyDescent="0.3">
      <c r="A175" s="4">
        <v>2409185</v>
      </c>
      <c r="B175" s="110" t="s">
        <v>906</v>
      </c>
      <c r="C175" s="55">
        <v>73000</v>
      </c>
      <c r="D175" s="55">
        <v>0</v>
      </c>
      <c r="E175" s="55" t="s">
        <v>17</v>
      </c>
      <c r="F175" s="4" t="s">
        <v>124</v>
      </c>
      <c r="G175" s="4" t="s">
        <v>125</v>
      </c>
      <c r="H175" s="4" t="s">
        <v>2236</v>
      </c>
      <c r="I175" s="4" t="s">
        <v>2251</v>
      </c>
      <c r="J175" s="55">
        <v>73000</v>
      </c>
      <c r="K175" s="55">
        <v>73000</v>
      </c>
      <c r="L175" s="65">
        <v>45569</v>
      </c>
      <c r="M175" s="66">
        <v>7300</v>
      </c>
      <c r="N175" s="65">
        <v>45569</v>
      </c>
      <c r="O175" s="66">
        <v>7300</v>
      </c>
      <c r="P175" s="39">
        <v>45621</v>
      </c>
      <c r="Q175" s="57">
        <v>25550</v>
      </c>
      <c r="R175" s="39">
        <v>45622</v>
      </c>
      <c r="S175" s="57">
        <v>25550</v>
      </c>
      <c r="T175" s="65">
        <v>45681</v>
      </c>
      <c r="U175" s="66">
        <v>40150</v>
      </c>
      <c r="V175" s="65">
        <v>45692</v>
      </c>
      <c r="W175" s="66">
        <v>40150</v>
      </c>
      <c r="X175" s="39"/>
      <c r="Y175" s="57"/>
      <c r="Z175" s="39"/>
      <c r="AA175" s="57"/>
      <c r="AB175" s="65"/>
      <c r="AC175" s="66"/>
      <c r="AD175" s="65"/>
      <c r="AE175" s="66"/>
      <c r="AF175" s="39"/>
      <c r="AG175" s="57"/>
      <c r="AH175" s="39"/>
      <c r="AI175" s="57"/>
    </row>
    <row r="176" spans="1:35" ht="19.5" customHeight="1" x14ac:dyDescent="0.3">
      <c r="A176" s="4">
        <v>2410196</v>
      </c>
      <c r="B176" s="110" t="s">
        <v>908</v>
      </c>
      <c r="C176" s="55">
        <v>73000</v>
      </c>
      <c r="D176" s="55">
        <v>0</v>
      </c>
      <c r="E176" s="55" t="s">
        <v>17</v>
      </c>
      <c r="F176" s="4" t="s">
        <v>124</v>
      </c>
      <c r="G176" s="4" t="s">
        <v>125</v>
      </c>
      <c r="H176" s="4" t="s">
        <v>2236</v>
      </c>
      <c r="I176" s="4" t="s">
        <v>2251</v>
      </c>
      <c r="J176" s="55">
        <v>73000</v>
      </c>
      <c r="K176" s="55">
        <v>73000</v>
      </c>
      <c r="L176" s="65">
        <v>45598</v>
      </c>
      <c r="M176" s="66">
        <v>7300</v>
      </c>
      <c r="N176" s="65">
        <v>45598</v>
      </c>
      <c r="O176" s="66">
        <v>7300</v>
      </c>
      <c r="P176" s="39">
        <v>45750</v>
      </c>
      <c r="Q176" s="57">
        <v>65700</v>
      </c>
      <c r="R176" s="39">
        <v>45754</v>
      </c>
      <c r="S176" s="57">
        <v>65700</v>
      </c>
      <c r="T176" s="65"/>
      <c r="U176" s="66"/>
      <c r="V176" s="65"/>
      <c r="W176" s="66"/>
      <c r="X176" s="39"/>
      <c r="Y176" s="57"/>
      <c r="Z176" s="39"/>
      <c r="AA176" s="57"/>
      <c r="AB176" s="65"/>
      <c r="AC176" s="66"/>
      <c r="AD176" s="65"/>
      <c r="AE176" s="66"/>
      <c r="AF176" s="39"/>
      <c r="AG176" s="57"/>
      <c r="AH176" s="39"/>
      <c r="AI176" s="57"/>
    </row>
    <row r="177" spans="1:35" ht="19.5" customHeight="1" x14ac:dyDescent="0.3">
      <c r="A177" s="4">
        <v>2410474</v>
      </c>
      <c r="B177" s="110" t="s">
        <v>910</v>
      </c>
      <c r="C177" s="55">
        <v>37600</v>
      </c>
      <c r="D177" s="55">
        <v>0</v>
      </c>
      <c r="E177" s="55" t="s">
        <v>17</v>
      </c>
      <c r="F177" s="4" t="s">
        <v>71</v>
      </c>
      <c r="G177" s="4" t="s">
        <v>125</v>
      </c>
      <c r="H177" s="4" t="s">
        <v>2236</v>
      </c>
      <c r="I177" s="4" t="s">
        <v>2251</v>
      </c>
      <c r="J177" s="55">
        <v>37600</v>
      </c>
      <c r="K177" s="55">
        <v>37600</v>
      </c>
      <c r="L177" s="65">
        <v>45597</v>
      </c>
      <c r="M177" s="66">
        <v>500</v>
      </c>
      <c r="N177" s="65">
        <v>45597</v>
      </c>
      <c r="O177" s="66">
        <v>500</v>
      </c>
      <c r="P177" s="39">
        <v>45632</v>
      </c>
      <c r="Q177" s="59">
        <v>35100</v>
      </c>
      <c r="R177" s="39">
        <v>45644</v>
      </c>
      <c r="S177" s="59">
        <v>35100</v>
      </c>
      <c r="T177" s="65">
        <v>45720</v>
      </c>
      <c r="U177" s="66">
        <v>2000</v>
      </c>
      <c r="V177" s="65">
        <v>45720</v>
      </c>
      <c r="W177" s="66">
        <v>2000</v>
      </c>
      <c r="X177" s="39"/>
      <c r="Y177" s="57"/>
      <c r="Z177" s="39"/>
      <c r="AA177" s="57"/>
      <c r="AB177" s="65"/>
      <c r="AC177" s="66"/>
      <c r="AD177" s="65"/>
      <c r="AE177" s="66"/>
      <c r="AF177" s="39"/>
      <c r="AG177" s="57"/>
      <c r="AH177" s="39"/>
      <c r="AI177" s="57"/>
    </row>
    <row r="178" spans="1:35" ht="19.5" customHeight="1" x14ac:dyDescent="0.3">
      <c r="A178" s="4">
        <v>2410468</v>
      </c>
      <c r="B178" s="110" t="s">
        <v>915</v>
      </c>
      <c r="C178" s="55">
        <v>36600</v>
      </c>
      <c r="D178" s="55">
        <v>0</v>
      </c>
      <c r="E178" s="55" t="s">
        <v>17</v>
      </c>
      <c r="F178" s="4" t="s">
        <v>71</v>
      </c>
      <c r="G178" s="4" t="s">
        <v>125</v>
      </c>
      <c r="H178" s="4" t="s">
        <v>2236</v>
      </c>
      <c r="I178" s="4" t="s">
        <v>2251</v>
      </c>
      <c r="J178" s="55">
        <v>36600</v>
      </c>
      <c r="K178" s="55">
        <v>36600</v>
      </c>
      <c r="L178" s="65">
        <v>45590</v>
      </c>
      <c r="M178" s="66">
        <v>500</v>
      </c>
      <c r="N178" s="65">
        <v>45590</v>
      </c>
      <c r="O178" s="66">
        <v>500</v>
      </c>
      <c r="P178" s="39">
        <v>45775</v>
      </c>
      <c r="Q178" s="57">
        <v>34100</v>
      </c>
      <c r="R178" s="39">
        <v>45839</v>
      </c>
      <c r="S178" s="57">
        <v>34100</v>
      </c>
      <c r="T178" s="65">
        <v>45911</v>
      </c>
      <c r="U178" s="66">
        <v>2000</v>
      </c>
      <c r="V178" s="65">
        <v>45911</v>
      </c>
      <c r="W178" s="66">
        <v>2000</v>
      </c>
      <c r="X178" s="39"/>
      <c r="Y178" s="57"/>
      <c r="Z178" s="39"/>
      <c r="AA178" s="57"/>
      <c r="AB178" s="65"/>
      <c r="AC178" s="66"/>
      <c r="AD178" s="65"/>
      <c r="AE178" s="66"/>
      <c r="AF178" s="39"/>
      <c r="AG178" s="57"/>
      <c r="AH178" s="39"/>
      <c r="AI178" s="57"/>
    </row>
    <row r="179" spans="1:35" ht="19.5" customHeight="1" x14ac:dyDescent="0.3">
      <c r="A179" s="4">
        <v>2409450</v>
      </c>
      <c r="B179" s="110" t="s">
        <v>920</v>
      </c>
      <c r="C179" s="55">
        <v>23500</v>
      </c>
      <c r="D179" s="55">
        <v>0</v>
      </c>
      <c r="E179" s="55" t="s">
        <v>17</v>
      </c>
      <c r="F179" s="4" t="s">
        <v>71</v>
      </c>
      <c r="G179" s="4" t="s">
        <v>125</v>
      </c>
      <c r="H179" s="4" t="s">
        <v>2236</v>
      </c>
      <c r="I179" s="4" t="s">
        <v>2251</v>
      </c>
      <c r="J179" s="55">
        <v>23500</v>
      </c>
      <c r="K179" s="55">
        <v>23500</v>
      </c>
      <c r="L179" s="65">
        <v>45590</v>
      </c>
      <c r="M179" s="66">
        <v>500</v>
      </c>
      <c r="N179" s="65">
        <v>45590</v>
      </c>
      <c r="O179" s="66">
        <v>500</v>
      </c>
      <c r="P179" s="39">
        <v>45644</v>
      </c>
      <c r="Q179" s="57">
        <v>21000</v>
      </c>
      <c r="R179" s="39">
        <v>45644</v>
      </c>
      <c r="S179" s="57">
        <v>21000</v>
      </c>
      <c r="T179" s="65">
        <v>45751</v>
      </c>
      <c r="U179" s="66">
        <v>2000</v>
      </c>
      <c r="V179" s="65">
        <v>45757</v>
      </c>
      <c r="W179" s="66">
        <v>2000</v>
      </c>
      <c r="X179" s="39"/>
      <c r="Y179" s="57"/>
      <c r="Z179" s="39"/>
      <c r="AA179" s="57"/>
      <c r="AB179" s="65"/>
      <c r="AC179" s="66"/>
      <c r="AD179" s="65"/>
      <c r="AE179" s="66"/>
      <c r="AF179" s="39"/>
      <c r="AG179" s="57"/>
      <c r="AH179" s="39"/>
      <c r="AI179" s="57"/>
    </row>
    <row r="180" spans="1:35" ht="19.5" customHeight="1" x14ac:dyDescent="0.3">
      <c r="A180" s="4">
        <v>2411488</v>
      </c>
      <c r="B180" s="110" t="s">
        <v>925</v>
      </c>
      <c r="C180" s="55">
        <v>32000</v>
      </c>
      <c r="D180" s="55">
        <v>0</v>
      </c>
      <c r="E180" s="55" t="s">
        <v>19</v>
      </c>
      <c r="F180" s="4" t="s">
        <v>71</v>
      </c>
      <c r="G180" s="4" t="s">
        <v>125</v>
      </c>
      <c r="H180" s="4" t="s">
        <v>2236</v>
      </c>
      <c r="I180" s="4" t="s">
        <v>2251</v>
      </c>
      <c r="J180" s="55">
        <v>32000</v>
      </c>
      <c r="K180" s="55">
        <v>32000</v>
      </c>
      <c r="L180" s="65">
        <v>45598</v>
      </c>
      <c r="M180" s="66">
        <v>500</v>
      </c>
      <c r="N180" s="65">
        <v>45598</v>
      </c>
      <c r="O180" s="66">
        <v>500</v>
      </c>
      <c r="P180" s="39">
        <v>45643</v>
      </c>
      <c r="Q180" s="57">
        <v>29500</v>
      </c>
      <c r="R180" s="39">
        <v>45643</v>
      </c>
      <c r="S180" s="57">
        <v>29500</v>
      </c>
      <c r="T180" s="65">
        <v>45810</v>
      </c>
      <c r="U180" s="66">
        <v>2000</v>
      </c>
      <c r="V180" s="65">
        <v>45810</v>
      </c>
      <c r="W180" s="66">
        <v>2000</v>
      </c>
      <c r="X180" s="39"/>
      <c r="Y180" s="57"/>
      <c r="Z180" s="39"/>
      <c r="AA180" s="57"/>
      <c r="AB180" s="65"/>
      <c r="AC180" s="66"/>
      <c r="AD180" s="65"/>
      <c r="AE180" s="66"/>
      <c r="AF180" s="39"/>
      <c r="AG180" s="57"/>
      <c r="AH180" s="39"/>
      <c r="AI180" s="57"/>
    </row>
    <row r="181" spans="1:35" ht="19.5" customHeight="1" x14ac:dyDescent="0.3">
      <c r="A181" s="4">
        <v>2411487</v>
      </c>
      <c r="B181" s="110" t="s">
        <v>930</v>
      </c>
      <c r="C181" s="55">
        <v>42200</v>
      </c>
      <c r="D181" s="55">
        <v>0</v>
      </c>
      <c r="E181" s="55" t="s">
        <v>17</v>
      </c>
      <c r="F181" s="4" t="s">
        <v>71</v>
      </c>
      <c r="G181" s="4" t="s">
        <v>125</v>
      </c>
      <c r="H181" s="4" t="s">
        <v>2236</v>
      </c>
      <c r="I181" s="4" t="s">
        <v>2251</v>
      </c>
      <c r="J181" s="55">
        <v>42200</v>
      </c>
      <c r="K181" s="55">
        <v>42200</v>
      </c>
      <c r="L181" s="65">
        <v>45601</v>
      </c>
      <c r="M181" s="66">
        <v>500</v>
      </c>
      <c r="N181" s="65">
        <v>45601</v>
      </c>
      <c r="O181" s="66">
        <v>500</v>
      </c>
      <c r="P181" s="39">
        <v>45675</v>
      </c>
      <c r="Q181" s="57">
        <v>41700</v>
      </c>
      <c r="R181" s="39">
        <v>45675</v>
      </c>
      <c r="S181" s="57">
        <v>41700</v>
      </c>
      <c r="T181" s="65"/>
      <c r="U181" s="66"/>
      <c r="V181" s="65"/>
      <c r="W181" s="66"/>
      <c r="X181" s="39"/>
      <c r="Y181" s="57"/>
      <c r="Z181" s="39"/>
      <c r="AA181" s="57"/>
      <c r="AB181" s="65"/>
      <c r="AC181" s="66"/>
      <c r="AD181" s="65"/>
      <c r="AE181" s="66"/>
      <c r="AF181" s="39"/>
      <c r="AG181" s="57"/>
      <c r="AH181" s="39"/>
      <c r="AI181" s="57"/>
    </row>
    <row r="182" spans="1:35" ht="19.5" customHeight="1" x14ac:dyDescent="0.3">
      <c r="A182" s="4">
        <v>2410476</v>
      </c>
      <c r="B182" s="110" t="s">
        <v>935</v>
      </c>
      <c r="C182" s="55">
        <v>23500</v>
      </c>
      <c r="D182" s="55">
        <v>0</v>
      </c>
      <c r="E182" s="55" t="s">
        <v>17</v>
      </c>
      <c r="F182" s="4" t="s">
        <v>71</v>
      </c>
      <c r="G182" s="4" t="s">
        <v>125</v>
      </c>
      <c r="H182" s="4" t="s">
        <v>2236</v>
      </c>
      <c r="I182" s="4" t="s">
        <v>2251</v>
      </c>
      <c r="J182" s="55">
        <v>23500</v>
      </c>
      <c r="K182" s="55">
        <v>23500</v>
      </c>
      <c r="L182" s="65">
        <v>45599</v>
      </c>
      <c r="M182" s="66">
        <v>500</v>
      </c>
      <c r="N182" s="65">
        <v>45599</v>
      </c>
      <c r="O182" s="66">
        <v>500</v>
      </c>
      <c r="P182" s="39">
        <v>45660</v>
      </c>
      <c r="Q182" s="59">
        <v>21000</v>
      </c>
      <c r="R182" s="39">
        <v>45662</v>
      </c>
      <c r="S182" s="59">
        <v>21000</v>
      </c>
      <c r="T182" s="65">
        <v>45751</v>
      </c>
      <c r="U182" s="66">
        <v>2000</v>
      </c>
      <c r="V182" s="65">
        <v>45866</v>
      </c>
      <c r="W182" s="66">
        <v>2000</v>
      </c>
      <c r="X182" s="39"/>
      <c r="Y182" s="57"/>
      <c r="Z182" s="39"/>
      <c r="AA182" s="57"/>
      <c r="AB182" s="65"/>
      <c r="AC182" s="66"/>
      <c r="AD182" s="65"/>
      <c r="AE182" s="66"/>
      <c r="AF182" s="39"/>
      <c r="AG182" s="57"/>
      <c r="AH182" s="39"/>
      <c r="AI182" s="57"/>
    </row>
    <row r="183" spans="1:35" ht="19.5" customHeight="1" x14ac:dyDescent="0.3">
      <c r="A183" s="4">
        <v>2407376</v>
      </c>
      <c r="B183" s="110" t="s">
        <v>940</v>
      </c>
      <c r="C183" s="55">
        <v>37768</v>
      </c>
      <c r="D183" s="55">
        <v>0</v>
      </c>
      <c r="E183" s="55" t="s">
        <v>19</v>
      </c>
      <c r="F183" s="4" t="s">
        <v>71</v>
      </c>
      <c r="G183" s="4" t="s">
        <v>176</v>
      </c>
      <c r="H183" s="4" t="s">
        <v>2236</v>
      </c>
      <c r="I183" s="4" t="s">
        <v>2253</v>
      </c>
      <c r="J183" s="55">
        <v>37768</v>
      </c>
      <c r="K183" s="55">
        <v>30400</v>
      </c>
      <c r="L183" s="65">
        <v>45490</v>
      </c>
      <c r="M183" s="69">
        <v>500</v>
      </c>
      <c r="N183" s="65">
        <v>45490</v>
      </c>
      <c r="O183" s="71">
        <v>400</v>
      </c>
      <c r="P183" s="39">
        <v>45536</v>
      </c>
      <c r="Q183" s="59">
        <v>37268</v>
      </c>
      <c r="R183" s="39">
        <v>45536</v>
      </c>
      <c r="S183" s="60">
        <v>30000</v>
      </c>
      <c r="T183" s="65"/>
      <c r="U183" s="66"/>
      <c r="V183" s="65"/>
      <c r="W183" s="66"/>
      <c r="X183" s="39"/>
      <c r="Y183" s="57"/>
      <c r="Z183" s="39"/>
      <c r="AA183" s="57"/>
      <c r="AB183" s="65"/>
      <c r="AC183" s="66"/>
      <c r="AD183" s="65"/>
      <c r="AE183" s="66"/>
      <c r="AF183" s="39"/>
      <c r="AG183" s="57"/>
      <c r="AH183" s="39"/>
      <c r="AI183" s="57"/>
    </row>
    <row r="184" spans="1:35" ht="19.5" customHeight="1" x14ac:dyDescent="0.3">
      <c r="A184" s="4">
        <v>2410482</v>
      </c>
      <c r="B184" s="110" t="s">
        <v>945</v>
      </c>
      <c r="C184" s="55">
        <v>28500</v>
      </c>
      <c r="D184" s="55">
        <v>0</v>
      </c>
      <c r="E184" s="55" t="s">
        <v>17</v>
      </c>
      <c r="F184" s="4" t="s">
        <v>71</v>
      </c>
      <c r="G184" s="4" t="s">
        <v>125</v>
      </c>
      <c r="H184" s="4" t="s">
        <v>2236</v>
      </c>
      <c r="I184" s="4" t="s">
        <v>2251</v>
      </c>
      <c r="J184" s="55">
        <v>28500</v>
      </c>
      <c r="K184" s="55">
        <v>28500</v>
      </c>
      <c r="L184" s="65">
        <v>45596</v>
      </c>
      <c r="M184" s="66">
        <v>500</v>
      </c>
      <c r="N184" s="65">
        <v>45598</v>
      </c>
      <c r="O184" s="66">
        <v>500</v>
      </c>
      <c r="P184" s="39">
        <v>45694</v>
      </c>
      <c r="Q184" s="57">
        <v>28000</v>
      </c>
      <c r="R184" s="39">
        <v>45694</v>
      </c>
      <c r="S184" s="57">
        <v>28000</v>
      </c>
      <c r="T184" s="65"/>
      <c r="U184" s="66"/>
      <c r="V184" s="65"/>
      <c r="W184" s="66"/>
      <c r="X184" s="39"/>
      <c r="Y184" s="57"/>
      <c r="Z184" s="39"/>
      <c r="AA184" s="57"/>
      <c r="AB184" s="65"/>
      <c r="AC184" s="66"/>
      <c r="AD184" s="65"/>
      <c r="AE184" s="66"/>
      <c r="AF184" s="39"/>
      <c r="AG184" s="57"/>
      <c r="AH184" s="39"/>
      <c r="AI184" s="57"/>
    </row>
    <row r="185" spans="1:35" ht="19.5" customHeight="1" x14ac:dyDescent="0.3">
      <c r="A185" s="4">
        <v>2410471</v>
      </c>
      <c r="B185" s="110" t="s">
        <v>950</v>
      </c>
      <c r="C185" s="55">
        <v>47600</v>
      </c>
      <c r="D185" s="55">
        <v>0</v>
      </c>
      <c r="E185" s="55" t="s">
        <v>19</v>
      </c>
      <c r="F185" s="4" t="s">
        <v>71</v>
      </c>
      <c r="G185" s="4" t="s">
        <v>125</v>
      </c>
      <c r="H185" s="4" t="s">
        <v>2240</v>
      </c>
      <c r="I185" s="4" t="s">
        <v>2255</v>
      </c>
      <c r="J185" s="55">
        <v>500</v>
      </c>
      <c r="K185" s="55">
        <v>500</v>
      </c>
      <c r="L185" s="65">
        <v>45576</v>
      </c>
      <c r="M185" s="66">
        <v>500</v>
      </c>
      <c r="N185" s="65">
        <v>45576</v>
      </c>
      <c r="O185" s="66">
        <v>500</v>
      </c>
      <c r="P185" s="39"/>
      <c r="Q185" s="57"/>
      <c r="R185" s="39"/>
      <c r="S185" s="57"/>
      <c r="T185" s="65"/>
      <c r="U185" s="66"/>
      <c r="V185" s="65"/>
      <c r="W185" s="66"/>
      <c r="X185" s="39"/>
      <c r="Y185" s="57"/>
      <c r="Z185" s="39"/>
      <c r="AA185" s="57"/>
      <c r="AB185" s="65"/>
      <c r="AC185" s="66"/>
      <c r="AD185" s="65"/>
      <c r="AE185" s="66"/>
      <c r="AF185" s="39"/>
      <c r="AG185" s="57"/>
      <c r="AH185" s="39"/>
      <c r="AI185" s="57"/>
    </row>
    <row r="186" spans="1:35" ht="19.5" customHeight="1" x14ac:dyDescent="0.3">
      <c r="A186" s="4">
        <v>2411489</v>
      </c>
      <c r="B186" s="110" t="s">
        <v>955</v>
      </c>
      <c r="C186" s="55">
        <v>39980</v>
      </c>
      <c r="D186" s="55">
        <v>0</v>
      </c>
      <c r="E186" s="55" t="s">
        <v>17</v>
      </c>
      <c r="F186" s="4" t="s">
        <v>71</v>
      </c>
      <c r="G186" s="4">
        <v>0</v>
      </c>
      <c r="H186" s="4" t="s">
        <v>2236</v>
      </c>
      <c r="I186" s="4" t="s">
        <v>2251</v>
      </c>
      <c r="J186" s="55">
        <v>39980</v>
      </c>
      <c r="K186" s="55">
        <v>39980</v>
      </c>
      <c r="L186" s="65">
        <v>45622</v>
      </c>
      <c r="M186" s="66">
        <v>500</v>
      </c>
      <c r="N186" s="65">
        <v>45622</v>
      </c>
      <c r="O186" s="66">
        <v>500</v>
      </c>
      <c r="P186" s="39">
        <v>45674</v>
      </c>
      <c r="Q186" s="57">
        <v>39480</v>
      </c>
      <c r="R186" s="39">
        <v>45674</v>
      </c>
      <c r="S186" s="57">
        <v>39480</v>
      </c>
      <c r="T186" s="65"/>
      <c r="U186" s="66"/>
      <c r="V186" s="65"/>
      <c r="W186" s="66"/>
      <c r="X186" s="39"/>
      <c r="Y186" s="57"/>
      <c r="Z186" s="39"/>
      <c r="AA186" s="57"/>
      <c r="AB186" s="65"/>
      <c r="AC186" s="66"/>
      <c r="AD186" s="65"/>
      <c r="AE186" s="66"/>
      <c r="AF186" s="39"/>
      <c r="AG186" s="57"/>
      <c r="AH186" s="39"/>
      <c r="AI186" s="57"/>
    </row>
    <row r="187" spans="1:35" ht="19.5" customHeight="1" x14ac:dyDescent="0.3">
      <c r="A187" s="4">
        <v>2411486</v>
      </c>
      <c r="B187" s="110" t="s">
        <v>960</v>
      </c>
      <c r="C187" s="55">
        <v>36600</v>
      </c>
      <c r="D187" s="55">
        <v>0</v>
      </c>
      <c r="E187" s="55" t="s">
        <v>17</v>
      </c>
      <c r="F187" s="4" t="s">
        <v>71</v>
      </c>
      <c r="G187" s="4" t="s">
        <v>125</v>
      </c>
      <c r="H187" s="4" t="s">
        <v>2236</v>
      </c>
      <c r="I187" s="4" t="s">
        <v>2251</v>
      </c>
      <c r="J187" s="55">
        <v>36600</v>
      </c>
      <c r="K187" s="55">
        <v>36600</v>
      </c>
      <c r="L187" s="65">
        <v>45628</v>
      </c>
      <c r="M187" s="66">
        <v>500</v>
      </c>
      <c r="N187" s="65">
        <v>45628</v>
      </c>
      <c r="O187" s="66">
        <v>500</v>
      </c>
      <c r="P187" s="39">
        <v>45709</v>
      </c>
      <c r="Q187" s="57">
        <v>36100</v>
      </c>
      <c r="R187" s="39">
        <v>45709</v>
      </c>
      <c r="S187" s="57">
        <v>36100</v>
      </c>
      <c r="T187" s="65"/>
      <c r="U187" s="66"/>
      <c r="V187" s="65"/>
      <c r="W187" s="66"/>
      <c r="X187" s="39"/>
      <c r="Y187" s="57"/>
      <c r="Z187" s="39"/>
      <c r="AA187" s="57"/>
      <c r="AB187" s="65"/>
      <c r="AC187" s="66"/>
      <c r="AD187" s="65"/>
      <c r="AE187" s="66"/>
      <c r="AF187" s="39"/>
      <c r="AG187" s="57"/>
      <c r="AH187" s="39"/>
      <c r="AI187" s="57"/>
    </row>
    <row r="188" spans="1:35" ht="19.5" customHeight="1" x14ac:dyDescent="0.3">
      <c r="A188" s="4">
        <v>2411500</v>
      </c>
      <c r="B188" s="110" t="s">
        <v>966</v>
      </c>
      <c r="C188" s="55">
        <v>37600</v>
      </c>
      <c r="D188" s="55">
        <v>0</v>
      </c>
      <c r="E188" s="55" t="s">
        <v>17</v>
      </c>
      <c r="F188" s="4" t="s">
        <v>71</v>
      </c>
      <c r="G188" s="4" t="s">
        <v>125</v>
      </c>
      <c r="H188" s="4" t="s">
        <v>2236</v>
      </c>
      <c r="I188" s="4" t="s">
        <v>2251</v>
      </c>
      <c r="J188" s="55">
        <v>37600</v>
      </c>
      <c r="K188" s="55">
        <v>37600</v>
      </c>
      <c r="L188" s="65">
        <v>45628</v>
      </c>
      <c r="M188" s="66">
        <v>500</v>
      </c>
      <c r="N188" s="65">
        <v>45628</v>
      </c>
      <c r="O188" s="66">
        <v>500</v>
      </c>
      <c r="P188" s="39">
        <v>45709</v>
      </c>
      <c r="Q188" s="57">
        <v>37100</v>
      </c>
      <c r="R188" s="39">
        <v>45725</v>
      </c>
      <c r="S188" s="57">
        <v>37100</v>
      </c>
      <c r="T188" s="65"/>
      <c r="U188" s="66"/>
      <c r="V188" s="65"/>
      <c r="W188" s="66"/>
      <c r="X188" s="39"/>
      <c r="Y188" s="57"/>
      <c r="Z188" s="39"/>
      <c r="AA188" s="57"/>
      <c r="AB188" s="65"/>
      <c r="AC188" s="66"/>
      <c r="AD188" s="65"/>
      <c r="AE188" s="66"/>
      <c r="AF188" s="39"/>
      <c r="AG188" s="57"/>
      <c r="AH188" s="39"/>
      <c r="AI188" s="57"/>
    </row>
    <row r="189" spans="1:35" ht="19.5" customHeight="1" x14ac:dyDescent="0.3">
      <c r="A189" s="4">
        <v>2410034</v>
      </c>
      <c r="B189" s="110" t="s">
        <v>971</v>
      </c>
      <c r="C189" s="55">
        <v>4150</v>
      </c>
      <c r="D189" s="55">
        <v>0</v>
      </c>
      <c r="E189" s="55" t="s">
        <v>19</v>
      </c>
      <c r="F189" s="4" t="s">
        <v>206</v>
      </c>
      <c r="G189" s="4" t="s">
        <v>125</v>
      </c>
      <c r="H189" s="4" t="s">
        <v>2236</v>
      </c>
      <c r="I189" s="4" t="s">
        <v>2251</v>
      </c>
      <c r="J189" s="55">
        <v>4150</v>
      </c>
      <c r="K189" s="55">
        <v>4150</v>
      </c>
      <c r="L189" s="65">
        <v>45728</v>
      </c>
      <c r="M189" s="66">
        <v>4150</v>
      </c>
      <c r="N189" s="65">
        <v>45741</v>
      </c>
      <c r="O189" s="66">
        <v>4150</v>
      </c>
      <c r="P189" s="39"/>
      <c r="Q189" s="57"/>
      <c r="R189" s="39"/>
      <c r="S189" s="57"/>
      <c r="T189" s="65"/>
      <c r="U189" s="66"/>
      <c r="V189" s="65"/>
      <c r="W189" s="66"/>
      <c r="X189" s="39"/>
      <c r="Y189" s="57"/>
      <c r="Z189" s="39"/>
      <c r="AA189" s="57"/>
      <c r="AB189" s="65"/>
      <c r="AC189" s="66"/>
      <c r="AD189" s="65"/>
      <c r="AE189" s="66"/>
      <c r="AF189" s="39"/>
      <c r="AG189" s="57"/>
      <c r="AH189" s="39"/>
      <c r="AI189" s="57"/>
    </row>
    <row r="190" spans="1:35" ht="19.5" customHeight="1" x14ac:dyDescent="0.3">
      <c r="A190" s="4">
        <v>2411494</v>
      </c>
      <c r="B190" s="110" t="s">
        <v>973</v>
      </c>
      <c r="C190" s="55">
        <v>60000</v>
      </c>
      <c r="D190" s="55">
        <v>0</v>
      </c>
      <c r="E190" s="55" t="s">
        <v>19</v>
      </c>
      <c r="F190" s="4" t="s">
        <v>71</v>
      </c>
      <c r="G190" s="4" t="s">
        <v>125</v>
      </c>
      <c r="H190" s="4" t="s">
        <v>2236</v>
      </c>
      <c r="I190" s="4" t="s">
        <v>2251</v>
      </c>
      <c r="J190" s="55">
        <v>60000</v>
      </c>
      <c r="K190" s="55">
        <v>60000</v>
      </c>
      <c r="L190" s="65">
        <v>45622</v>
      </c>
      <c r="M190" s="66">
        <v>500</v>
      </c>
      <c r="N190" s="65">
        <v>45622</v>
      </c>
      <c r="O190" s="66">
        <v>500</v>
      </c>
      <c r="P190" s="39">
        <v>45699</v>
      </c>
      <c r="Q190" s="57">
        <v>57500</v>
      </c>
      <c r="R190" s="39">
        <v>45808</v>
      </c>
      <c r="S190" s="57">
        <v>57500</v>
      </c>
      <c r="T190" s="65">
        <v>45808</v>
      </c>
      <c r="U190" s="66">
        <v>2000</v>
      </c>
      <c r="V190" s="65">
        <v>45808</v>
      </c>
      <c r="W190" s="66">
        <v>2000</v>
      </c>
      <c r="X190" s="39"/>
      <c r="Y190" s="57"/>
      <c r="Z190" s="39"/>
      <c r="AA190" s="57"/>
      <c r="AB190" s="65"/>
      <c r="AC190" s="66"/>
      <c r="AD190" s="65"/>
      <c r="AE190" s="66"/>
      <c r="AF190" s="39"/>
      <c r="AG190" s="57"/>
      <c r="AH190" s="39"/>
      <c r="AI190" s="57"/>
    </row>
    <row r="191" spans="1:35" ht="19.5" customHeight="1" x14ac:dyDescent="0.3">
      <c r="A191" s="4">
        <v>2411496</v>
      </c>
      <c r="B191" s="110" t="s">
        <v>978</v>
      </c>
      <c r="C191" s="55">
        <v>29000</v>
      </c>
      <c r="D191" s="55">
        <v>289</v>
      </c>
      <c r="E191" s="55" t="s">
        <v>17</v>
      </c>
      <c r="F191" s="4" t="s">
        <v>71</v>
      </c>
      <c r="G191" s="4" t="s">
        <v>125</v>
      </c>
      <c r="H191" s="4" t="s">
        <v>2236</v>
      </c>
      <c r="I191" s="4" t="s">
        <v>2251</v>
      </c>
      <c r="J191" s="55">
        <v>29289</v>
      </c>
      <c r="K191" s="55">
        <v>29289</v>
      </c>
      <c r="L191" s="65">
        <v>45635</v>
      </c>
      <c r="M191" s="66">
        <v>500</v>
      </c>
      <c r="N191" s="65">
        <v>45635</v>
      </c>
      <c r="O191" s="66">
        <v>500</v>
      </c>
      <c r="P191" s="39">
        <v>45674</v>
      </c>
      <c r="Q191" s="57">
        <v>26789</v>
      </c>
      <c r="R191" s="39">
        <v>45678</v>
      </c>
      <c r="S191" s="57">
        <v>26789</v>
      </c>
      <c r="T191" s="65">
        <v>45751</v>
      </c>
      <c r="U191" s="66">
        <v>2000</v>
      </c>
      <c r="V191" s="65">
        <v>45757</v>
      </c>
      <c r="W191" s="66">
        <v>2000</v>
      </c>
      <c r="X191" s="39"/>
      <c r="Y191" s="57"/>
      <c r="Z191" s="39"/>
      <c r="AA191" s="57"/>
      <c r="AB191" s="65"/>
      <c r="AC191" s="66"/>
      <c r="AD191" s="65"/>
      <c r="AE191" s="66"/>
      <c r="AF191" s="39"/>
      <c r="AG191" s="57"/>
      <c r="AH191" s="39"/>
      <c r="AI191" s="57"/>
    </row>
    <row r="192" spans="1:35" ht="19.5" customHeight="1" x14ac:dyDescent="0.3">
      <c r="A192" s="4">
        <v>2404224</v>
      </c>
      <c r="B192" s="110" t="s">
        <v>983</v>
      </c>
      <c r="C192" s="55">
        <v>45600</v>
      </c>
      <c r="D192" s="55">
        <v>0</v>
      </c>
      <c r="E192" s="55" t="s">
        <v>17</v>
      </c>
      <c r="F192" s="4" t="s">
        <v>71</v>
      </c>
      <c r="G192" s="4" t="s">
        <v>125</v>
      </c>
      <c r="H192" s="4" t="s">
        <v>2236</v>
      </c>
      <c r="I192" s="4" t="s">
        <v>2251</v>
      </c>
      <c r="J192" s="55">
        <v>45600</v>
      </c>
      <c r="K192" s="55">
        <v>45600</v>
      </c>
      <c r="L192" s="65">
        <v>45624</v>
      </c>
      <c r="M192" s="66">
        <v>500</v>
      </c>
      <c r="N192" s="65">
        <v>45624</v>
      </c>
      <c r="O192" s="66">
        <v>500</v>
      </c>
      <c r="P192" s="39">
        <v>45706</v>
      </c>
      <c r="Q192" s="57">
        <v>45100</v>
      </c>
      <c r="R192" s="39">
        <v>45706</v>
      </c>
      <c r="S192" s="57">
        <v>45100</v>
      </c>
      <c r="T192" s="65"/>
      <c r="U192" s="66"/>
      <c r="V192" s="65"/>
      <c r="W192" s="66"/>
      <c r="X192" s="39"/>
      <c r="Y192" s="57"/>
      <c r="Z192" s="39"/>
      <c r="AA192" s="57"/>
      <c r="AB192" s="65"/>
      <c r="AC192" s="66"/>
      <c r="AD192" s="65"/>
      <c r="AE192" s="66"/>
      <c r="AF192" s="39"/>
      <c r="AG192" s="57"/>
      <c r="AH192" s="39"/>
      <c r="AI192" s="57"/>
    </row>
    <row r="193" spans="1:35" ht="19.5" customHeight="1" x14ac:dyDescent="0.3">
      <c r="A193" s="4">
        <v>2411491</v>
      </c>
      <c r="B193" s="110" t="s">
        <v>990</v>
      </c>
      <c r="C193" s="55">
        <v>38420</v>
      </c>
      <c r="D193" s="55">
        <v>0</v>
      </c>
      <c r="E193" s="55" t="s">
        <v>19</v>
      </c>
      <c r="F193" s="4" t="s">
        <v>71</v>
      </c>
      <c r="G193" s="4" t="s">
        <v>176</v>
      </c>
      <c r="H193" s="4" t="s">
        <v>2236</v>
      </c>
      <c r="I193" s="4" t="s">
        <v>2251</v>
      </c>
      <c r="J193" s="55">
        <v>38420</v>
      </c>
      <c r="K193" s="55">
        <v>38420</v>
      </c>
      <c r="L193" s="65">
        <v>45631</v>
      </c>
      <c r="M193" s="66">
        <v>500</v>
      </c>
      <c r="N193" s="65">
        <v>45631</v>
      </c>
      <c r="O193" s="66">
        <v>500</v>
      </c>
      <c r="P193" s="39">
        <v>45716</v>
      </c>
      <c r="Q193" s="57">
        <v>37920</v>
      </c>
      <c r="R193" s="39">
        <v>45716</v>
      </c>
      <c r="S193" s="57">
        <v>37920</v>
      </c>
      <c r="T193" s="65"/>
      <c r="U193" s="66"/>
      <c r="V193" s="65"/>
      <c r="W193" s="66"/>
      <c r="X193" s="39"/>
      <c r="Y193" s="57"/>
      <c r="Z193" s="39"/>
      <c r="AA193" s="57"/>
      <c r="AB193" s="65"/>
      <c r="AC193" s="66"/>
      <c r="AD193" s="65"/>
      <c r="AE193" s="66"/>
      <c r="AF193" s="39"/>
      <c r="AG193" s="57"/>
      <c r="AH193" s="39"/>
      <c r="AI193" s="57"/>
    </row>
    <row r="194" spans="1:35" ht="19.5" customHeight="1" x14ac:dyDescent="0.3">
      <c r="A194" s="4">
        <v>2411490</v>
      </c>
      <c r="B194" s="110" t="s">
        <v>995</v>
      </c>
      <c r="C194" s="55">
        <v>21500</v>
      </c>
      <c r="D194" s="55">
        <v>0</v>
      </c>
      <c r="E194" s="55" t="s">
        <v>19</v>
      </c>
      <c r="F194" s="4" t="s">
        <v>71</v>
      </c>
      <c r="G194" s="4" t="s">
        <v>125</v>
      </c>
      <c r="H194" s="4" t="s">
        <v>2238</v>
      </c>
      <c r="I194" s="4" t="s">
        <v>2253</v>
      </c>
      <c r="J194" s="55">
        <v>19500</v>
      </c>
      <c r="K194" s="55">
        <v>19500</v>
      </c>
      <c r="L194" s="65">
        <v>45631</v>
      </c>
      <c r="M194" s="66">
        <v>500</v>
      </c>
      <c r="N194" s="65">
        <v>45631</v>
      </c>
      <c r="O194" s="66">
        <v>500</v>
      </c>
      <c r="P194" s="39">
        <v>45657</v>
      </c>
      <c r="Q194" s="57">
        <v>19000</v>
      </c>
      <c r="R194" s="39">
        <v>45659</v>
      </c>
      <c r="S194" s="57">
        <v>19000</v>
      </c>
      <c r="T194" s="65"/>
      <c r="U194" s="66"/>
      <c r="V194" s="65"/>
      <c r="W194" s="66"/>
      <c r="X194" s="39"/>
      <c r="Y194" s="57"/>
      <c r="Z194" s="39"/>
      <c r="AA194" s="57"/>
      <c r="AB194" s="65"/>
      <c r="AC194" s="66"/>
      <c r="AD194" s="65"/>
      <c r="AE194" s="66"/>
      <c r="AF194" s="39"/>
      <c r="AG194" s="57"/>
      <c r="AH194" s="39"/>
      <c r="AI194" s="57"/>
    </row>
    <row r="195" spans="1:35" ht="19.5" customHeight="1" x14ac:dyDescent="0.3">
      <c r="A195" s="4">
        <v>2412504</v>
      </c>
      <c r="B195" s="110" t="s">
        <v>1001</v>
      </c>
      <c r="C195" s="55">
        <v>31616</v>
      </c>
      <c r="D195" s="55">
        <v>0</v>
      </c>
      <c r="E195" s="55" t="s">
        <v>22</v>
      </c>
      <c r="F195" s="4" t="s">
        <v>71</v>
      </c>
      <c r="G195" s="4" t="s">
        <v>125</v>
      </c>
      <c r="H195" s="4" t="s">
        <v>2236</v>
      </c>
      <c r="I195" s="4" t="s">
        <v>2251</v>
      </c>
      <c r="J195" s="55">
        <v>31616</v>
      </c>
      <c r="K195" s="55">
        <v>31616</v>
      </c>
      <c r="L195" s="65">
        <v>45631</v>
      </c>
      <c r="M195" s="66">
        <v>500</v>
      </c>
      <c r="N195" s="65">
        <v>45631</v>
      </c>
      <c r="O195" s="66">
        <v>500</v>
      </c>
      <c r="P195" s="39">
        <v>45668</v>
      </c>
      <c r="Q195" s="57">
        <v>27500</v>
      </c>
      <c r="R195" s="39">
        <v>45703</v>
      </c>
      <c r="S195" s="57">
        <v>27500</v>
      </c>
      <c r="T195" s="65">
        <v>45703</v>
      </c>
      <c r="U195" s="66">
        <v>3616</v>
      </c>
      <c r="V195" s="65">
        <v>45703</v>
      </c>
      <c r="W195" s="66">
        <v>3616</v>
      </c>
      <c r="X195" s="39"/>
      <c r="Y195" s="57"/>
      <c r="Z195" s="39"/>
      <c r="AA195" s="57"/>
      <c r="AB195" s="65"/>
      <c r="AC195" s="66"/>
      <c r="AD195" s="65"/>
      <c r="AE195" s="66"/>
      <c r="AF195" s="39"/>
      <c r="AG195" s="57"/>
      <c r="AH195" s="39"/>
      <c r="AI195" s="57"/>
    </row>
    <row r="196" spans="1:35" ht="19.5" customHeight="1" x14ac:dyDescent="0.3">
      <c r="A196" s="4">
        <v>2412503</v>
      </c>
      <c r="B196" s="110" t="s">
        <v>1006</v>
      </c>
      <c r="C196" s="55">
        <v>38600</v>
      </c>
      <c r="D196" s="55">
        <v>0</v>
      </c>
      <c r="E196" s="55" t="s">
        <v>19</v>
      </c>
      <c r="F196" s="4" t="s">
        <v>71</v>
      </c>
      <c r="G196" s="4" t="s">
        <v>125</v>
      </c>
      <c r="H196" s="4" t="s">
        <v>2236</v>
      </c>
      <c r="I196" s="4" t="s">
        <v>2251</v>
      </c>
      <c r="J196" s="55">
        <v>38600</v>
      </c>
      <c r="K196" s="55">
        <v>38600</v>
      </c>
      <c r="L196" s="65">
        <v>45639</v>
      </c>
      <c r="M196" s="66">
        <v>500</v>
      </c>
      <c r="N196" s="65">
        <v>45639</v>
      </c>
      <c r="O196" s="66">
        <v>500</v>
      </c>
      <c r="P196" s="39">
        <v>45666</v>
      </c>
      <c r="Q196" s="57">
        <v>36100</v>
      </c>
      <c r="R196" s="39">
        <v>45666</v>
      </c>
      <c r="S196" s="57">
        <v>36100</v>
      </c>
      <c r="T196" s="65">
        <v>45873</v>
      </c>
      <c r="U196" s="66">
        <v>2000</v>
      </c>
      <c r="V196" s="65">
        <v>45873</v>
      </c>
      <c r="W196" s="66">
        <v>2000</v>
      </c>
      <c r="X196" s="39"/>
      <c r="Y196" s="57"/>
      <c r="Z196" s="39"/>
      <c r="AA196" s="57"/>
      <c r="AB196" s="65"/>
      <c r="AC196" s="66"/>
      <c r="AD196" s="65"/>
      <c r="AE196" s="66"/>
      <c r="AF196" s="39"/>
      <c r="AG196" s="57"/>
      <c r="AH196" s="39"/>
      <c r="AI196" s="57"/>
    </row>
    <row r="197" spans="1:35" ht="19.5" customHeight="1" x14ac:dyDescent="0.3">
      <c r="A197" s="4">
        <v>2410033</v>
      </c>
      <c r="B197" s="110" t="s">
        <v>1011</v>
      </c>
      <c r="C197" s="55">
        <v>55000</v>
      </c>
      <c r="D197" s="55">
        <v>0</v>
      </c>
      <c r="E197" s="55" t="s">
        <v>19</v>
      </c>
      <c r="F197" s="4" t="s">
        <v>206</v>
      </c>
      <c r="G197" s="4" t="s">
        <v>125</v>
      </c>
      <c r="H197" s="4" t="s">
        <v>2236</v>
      </c>
      <c r="I197" s="4" t="s">
        <v>2251</v>
      </c>
      <c r="J197" s="55">
        <v>55000</v>
      </c>
      <c r="K197" s="55">
        <v>55000</v>
      </c>
      <c r="L197" s="65">
        <v>45728</v>
      </c>
      <c r="M197" s="66">
        <v>55000</v>
      </c>
      <c r="N197" s="65">
        <v>45741</v>
      </c>
      <c r="O197" s="66">
        <v>55000</v>
      </c>
      <c r="P197" s="39"/>
      <c r="Q197" s="57"/>
      <c r="R197" s="39"/>
      <c r="S197" s="57"/>
      <c r="T197" s="65"/>
      <c r="U197" s="66"/>
      <c r="V197" s="65"/>
      <c r="W197" s="66"/>
      <c r="X197" s="39"/>
      <c r="Y197" s="57"/>
      <c r="Z197" s="39"/>
      <c r="AA197" s="57"/>
      <c r="AB197" s="65"/>
      <c r="AC197" s="66"/>
      <c r="AD197" s="65"/>
      <c r="AE197" s="66"/>
      <c r="AF197" s="39"/>
      <c r="AG197" s="57"/>
      <c r="AH197" s="39"/>
      <c r="AI197" s="57"/>
    </row>
    <row r="198" spans="1:35" ht="19.5" customHeight="1" x14ac:dyDescent="0.3">
      <c r="A198" s="4">
        <v>2412505</v>
      </c>
      <c r="B198" s="110" t="s">
        <v>1013</v>
      </c>
      <c r="C198" s="55">
        <v>42860</v>
      </c>
      <c r="D198" s="55">
        <v>0</v>
      </c>
      <c r="E198" s="55" t="s">
        <v>22</v>
      </c>
      <c r="F198" s="4" t="s">
        <v>71</v>
      </c>
      <c r="G198" s="4" t="s">
        <v>176</v>
      </c>
      <c r="H198" s="4" t="s">
        <v>2236</v>
      </c>
      <c r="I198" s="4" t="s">
        <v>2251</v>
      </c>
      <c r="J198" s="55">
        <v>42860</v>
      </c>
      <c r="K198" s="55">
        <v>42860</v>
      </c>
      <c r="L198" s="65">
        <v>45639</v>
      </c>
      <c r="M198" s="66">
        <v>500</v>
      </c>
      <c r="N198" s="65">
        <v>45643</v>
      </c>
      <c r="O198" s="66">
        <v>500</v>
      </c>
      <c r="P198" s="39">
        <v>45716</v>
      </c>
      <c r="Q198" s="57">
        <v>42360</v>
      </c>
      <c r="R198" s="39">
        <v>45716</v>
      </c>
      <c r="S198" s="57">
        <v>42360</v>
      </c>
      <c r="T198" s="65"/>
      <c r="U198" s="66"/>
      <c r="V198" s="65"/>
      <c r="W198" s="66"/>
      <c r="X198" s="39"/>
      <c r="Y198" s="57"/>
      <c r="Z198" s="39"/>
      <c r="AA198" s="57"/>
      <c r="AB198" s="65"/>
      <c r="AC198" s="66"/>
      <c r="AD198" s="65"/>
      <c r="AE198" s="66"/>
      <c r="AF198" s="39"/>
      <c r="AG198" s="57"/>
      <c r="AH198" s="39"/>
      <c r="AI198" s="57"/>
    </row>
    <row r="199" spans="1:35" ht="19.5" customHeight="1" x14ac:dyDescent="0.3">
      <c r="A199" s="4">
        <v>2412509</v>
      </c>
      <c r="B199" s="110" t="s">
        <v>1017</v>
      </c>
      <c r="C199" s="55">
        <v>50000</v>
      </c>
      <c r="D199" s="55">
        <v>0</v>
      </c>
      <c r="E199" s="55" t="s">
        <v>19</v>
      </c>
      <c r="F199" s="4" t="s">
        <v>71</v>
      </c>
      <c r="G199" s="4" t="s">
        <v>176</v>
      </c>
      <c r="H199" s="4" t="s">
        <v>2236</v>
      </c>
      <c r="I199" s="4" t="s">
        <v>2251</v>
      </c>
      <c r="J199" s="55">
        <v>50000</v>
      </c>
      <c r="K199" s="55">
        <v>50000</v>
      </c>
      <c r="L199" s="65">
        <v>45657</v>
      </c>
      <c r="M199" s="66">
        <v>500</v>
      </c>
      <c r="N199" s="65">
        <v>45657</v>
      </c>
      <c r="O199" s="66">
        <v>500</v>
      </c>
      <c r="P199" s="39">
        <v>45677</v>
      </c>
      <c r="Q199" s="57">
        <v>49500</v>
      </c>
      <c r="R199" s="39">
        <v>45678</v>
      </c>
      <c r="S199" s="57">
        <v>49500</v>
      </c>
      <c r="T199" s="65"/>
      <c r="U199" s="66"/>
      <c r="V199" s="65"/>
      <c r="W199" s="66"/>
      <c r="X199" s="39"/>
      <c r="Y199" s="57"/>
      <c r="Z199" s="39"/>
      <c r="AA199" s="57"/>
      <c r="AB199" s="65"/>
      <c r="AC199" s="66"/>
      <c r="AD199" s="65"/>
      <c r="AE199" s="66"/>
      <c r="AF199" s="39"/>
      <c r="AG199" s="57"/>
      <c r="AH199" s="39"/>
      <c r="AI199" s="57"/>
    </row>
    <row r="200" spans="1:35" ht="19.5" customHeight="1" x14ac:dyDescent="0.3">
      <c r="A200" s="4">
        <v>2412515</v>
      </c>
      <c r="B200" s="110" t="s">
        <v>1023</v>
      </c>
      <c r="C200" s="55">
        <v>44600</v>
      </c>
      <c r="D200" s="55">
        <v>0</v>
      </c>
      <c r="E200" s="55" t="s">
        <v>17</v>
      </c>
      <c r="F200" s="4" t="s">
        <v>71</v>
      </c>
      <c r="G200" s="4" t="s">
        <v>125</v>
      </c>
      <c r="H200" s="4" t="s">
        <v>2236</v>
      </c>
      <c r="I200" s="4" t="s">
        <v>2251</v>
      </c>
      <c r="J200" s="55">
        <v>44600</v>
      </c>
      <c r="K200" s="55">
        <v>44600</v>
      </c>
      <c r="L200" s="65">
        <v>45647</v>
      </c>
      <c r="M200" s="66">
        <v>500</v>
      </c>
      <c r="N200" s="65">
        <v>45647</v>
      </c>
      <c r="O200" s="66">
        <v>500</v>
      </c>
      <c r="P200" s="39">
        <v>45705</v>
      </c>
      <c r="Q200" s="57">
        <v>40600</v>
      </c>
      <c r="R200" s="39">
        <v>45706</v>
      </c>
      <c r="S200" s="57">
        <v>40600</v>
      </c>
      <c r="T200" s="65">
        <v>45721</v>
      </c>
      <c r="U200" s="66">
        <v>3500</v>
      </c>
      <c r="V200" s="65">
        <v>45728</v>
      </c>
      <c r="W200" s="66">
        <v>3500</v>
      </c>
      <c r="X200" s="39"/>
      <c r="Y200" s="57"/>
      <c r="Z200" s="39"/>
      <c r="AA200" s="57"/>
      <c r="AB200" s="65"/>
      <c r="AC200" s="66"/>
      <c r="AD200" s="65"/>
      <c r="AE200" s="66"/>
      <c r="AF200" s="39"/>
      <c r="AG200" s="57"/>
      <c r="AH200" s="39"/>
      <c r="AI200" s="57"/>
    </row>
    <row r="201" spans="1:35" ht="19.5" customHeight="1" x14ac:dyDescent="0.3">
      <c r="A201" s="4">
        <v>2410462</v>
      </c>
      <c r="B201" s="110" t="s">
        <v>1028</v>
      </c>
      <c r="C201" s="55">
        <v>23500</v>
      </c>
      <c r="D201" s="55">
        <v>0</v>
      </c>
      <c r="E201" s="55" t="s">
        <v>17</v>
      </c>
      <c r="F201" s="4" t="s">
        <v>71</v>
      </c>
      <c r="G201" s="4" t="s">
        <v>125</v>
      </c>
      <c r="H201" s="4" t="s">
        <v>2236</v>
      </c>
      <c r="I201" s="4" t="s">
        <v>2251</v>
      </c>
      <c r="J201" s="55">
        <v>23500</v>
      </c>
      <c r="K201" s="55">
        <v>23500</v>
      </c>
      <c r="L201" s="65">
        <v>45649</v>
      </c>
      <c r="M201" s="66">
        <v>500</v>
      </c>
      <c r="N201" s="65">
        <v>45649</v>
      </c>
      <c r="O201" s="66">
        <v>500</v>
      </c>
      <c r="P201" s="39">
        <v>45740</v>
      </c>
      <c r="Q201" s="57">
        <v>23000</v>
      </c>
      <c r="R201" s="39">
        <v>45741</v>
      </c>
      <c r="S201" s="57">
        <v>23000</v>
      </c>
      <c r="T201" s="65"/>
      <c r="U201" s="66"/>
      <c r="V201" s="65"/>
      <c r="W201" s="66"/>
      <c r="X201" s="39"/>
      <c r="Y201" s="57"/>
      <c r="Z201" s="39"/>
      <c r="AA201" s="57"/>
      <c r="AB201" s="65"/>
      <c r="AC201" s="66"/>
      <c r="AD201" s="65"/>
      <c r="AE201" s="66"/>
      <c r="AF201" s="39"/>
      <c r="AG201" s="57"/>
      <c r="AH201" s="39"/>
      <c r="AI201" s="57"/>
    </row>
    <row r="202" spans="1:35" ht="19.5" customHeight="1" x14ac:dyDescent="0.3">
      <c r="A202" s="4">
        <v>2412516</v>
      </c>
      <c r="B202" s="110" t="s">
        <v>1033</v>
      </c>
      <c r="C202" s="55">
        <v>37160</v>
      </c>
      <c r="D202" s="55">
        <v>0</v>
      </c>
      <c r="E202" s="55" t="s">
        <v>17</v>
      </c>
      <c r="F202" s="4" t="s">
        <v>71</v>
      </c>
      <c r="G202" s="4" t="s">
        <v>176</v>
      </c>
      <c r="H202" s="4" t="s">
        <v>2236</v>
      </c>
      <c r="I202" s="4" t="s">
        <v>2251</v>
      </c>
      <c r="J202" s="55">
        <v>37160</v>
      </c>
      <c r="K202" s="55">
        <v>37160</v>
      </c>
      <c r="L202" s="65">
        <v>45650</v>
      </c>
      <c r="M202" s="66">
        <v>500</v>
      </c>
      <c r="N202" s="65">
        <v>45650</v>
      </c>
      <c r="O202" s="66">
        <v>500</v>
      </c>
      <c r="P202" s="39">
        <v>45723</v>
      </c>
      <c r="Q202" s="57">
        <v>36660</v>
      </c>
      <c r="R202" s="39">
        <v>45723</v>
      </c>
      <c r="S202" s="57">
        <v>36660</v>
      </c>
      <c r="T202" s="65"/>
      <c r="U202" s="66"/>
      <c r="V202" s="65"/>
      <c r="W202" s="66"/>
      <c r="X202" s="39"/>
      <c r="Y202" s="57"/>
      <c r="Z202" s="39"/>
      <c r="AA202" s="57"/>
      <c r="AB202" s="65"/>
      <c r="AC202" s="66"/>
      <c r="AD202" s="65"/>
      <c r="AE202" s="66"/>
      <c r="AF202" s="39"/>
      <c r="AG202" s="57"/>
      <c r="AH202" s="39"/>
      <c r="AI202" s="57"/>
    </row>
    <row r="203" spans="1:35" ht="19.5" customHeight="1" x14ac:dyDescent="0.3">
      <c r="A203" s="4">
        <v>2412521</v>
      </c>
      <c r="B203" s="110" t="s">
        <v>1038</v>
      </c>
      <c r="C203" s="55">
        <v>39560</v>
      </c>
      <c r="D203" s="55">
        <v>0</v>
      </c>
      <c r="E203" s="55" t="s">
        <v>17</v>
      </c>
      <c r="F203" s="4" t="s">
        <v>71</v>
      </c>
      <c r="G203" s="4" t="s">
        <v>176</v>
      </c>
      <c r="H203" s="4" t="s">
        <v>2236</v>
      </c>
      <c r="I203" s="4" t="s">
        <v>2251</v>
      </c>
      <c r="J203" s="55">
        <v>39560</v>
      </c>
      <c r="K203" s="55">
        <v>39560</v>
      </c>
      <c r="L203" s="65">
        <v>45659</v>
      </c>
      <c r="M203" s="66">
        <v>500</v>
      </c>
      <c r="N203" s="65">
        <v>45659</v>
      </c>
      <c r="O203" s="66">
        <v>500</v>
      </c>
      <c r="P203" s="39">
        <v>45720</v>
      </c>
      <c r="Q203" s="57">
        <v>39060</v>
      </c>
      <c r="R203" s="39">
        <v>45720</v>
      </c>
      <c r="S203" s="57">
        <v>39060</v>
      </c>
      <c r="T203" s="65"/>
      <c r="U203" s="66"/>
      <c r="V203" s="65"/>
      <c r="W203" s="66"/>
      <c r="X203" s="39"/>
      <c r="Y203" s="57"/>
      <c r="Z203" s="39"/>
      <c r="AA203" s="57"/>
      <c r="AB203" s="65"/>
      <c r="AC203" s="66"/>
      <c r="AD203" s="65"/>
      <c r="AE203" s="66"/>
      <c r="AF203" s="39"/>
      <c r="AG203" s="57"/>
      <c r="AH203" s="39"/>
      <c r="AI203" s="57"/>
    </row>
    <row r="204" spans="1:35" ht="19.5" customHeight="1" x14ac:dyDescent="0.3">
      <c r="A204" s="4">
        <v>2412524</v>
      </c>
      <c r="B204" s="110" t="s">
        <v>1043</v>
      </c>
      <c r="C204" s="55">
        <v>34000</v>
      </c>
      <c r="D204" s="55">
        <v>0</v>
      </c>
      <c r="E204" s="55" t="s">
        <v>19</v>
      </c>
      <c r="F204" s="4" t="s">
        <v>71</v>
      </c>
      <c r="G204" s="4" t="s">
        <v>125</v>
      </c>
      <c r="H204" s="4" t="s">
        <v>2236</v>
      </c>
      <c r="I204" s="4" t="s">
        <v>2251</v>
      </c>
      <c r="J204" s="55">
        <v>34000</v>
      </c>
      <c r="K204" s="55">
        <v>34000</v>
      </c>
      <c r="L204" s="65">
        <v>45656</v>
      </c>
      <c r="M204" s="66">
        <v>500</v>
      </c>
      <c r="N204" s="65">
        <v>45656</v>
      </c>
      <c r="O204" s="66">
        <v>500</v>
      </c>
      <c r="P204" s="39">
        <v>45656</v>
      </c>
      <c r="Q204" s="57">
        <v>31500</v>
      </c>
      <c r="R204" s="39">
        <v>45739</v>
      </c>
      <c r="S204" s="57">
        <v>31500</v>
      </c>
      <c r="T204" s="65">
        <v>45739</v>
      </c>
      <c r="U204" s="66">
        <v>2000</v>
      </c>
      <c r="V204" s="65">
        <v>45739</v>
      </c>
      <c r="W204" s="66">
        <v>2000</v>
      </c>
      <c r="X204" s="39"/>
      <c r="Y204" s="57"/>
      <c r="Z204" s="39"/>
      <c r="AA204" s="57"/>
      <c r="AB204" s="65"/>
      <c r="AC204" s="66"/>
      <c r="AD204" s="65"/>
      <c r="AE204" s="66"/>
      <c r="AF204" s="39"/>
      <c r="AG204" s="57"/>
      <c r="AH204" s="39"/>
      <c r="AI204" s="57"/>
    </row>
    <row r="205" spans="1:35" ht="19.5" customHeight="1" x14ac:dyDescent="0.3">
      <c r="A205" s="4">
        <v>2412513</v>
      </c>
      <c r="B205" s="110" t="s">
        <v>1048</v>
      </c>
      <c r="C205" s="55">
        <v>29000</v>
      </c>
      <c r="D205" s="55">
        <v>0</v>
      </c>
      <c r="E205" s="55" t="s">
        <v>17</v>
      </c>
      <c r="F205" s="4" t="s">
        <v>71</v>
      </c>
      <c r="G205" s="4" t="s">
        <v>125</v>
      </c>
      <c r="H205" s="4" t="s">
        <v>2238</v>
      </c>
      <c r="I205" s="4" t="s">
        <v>2253</v>
      </c>
      <c r="J205" s="55">
        <v>27000</v>
      </c>
      <c r="K205" s="55">
        <v>27000</v>
      </c>
      <c r="L205" s="65">
        <v>45666</v>
      </c>
      <c r="M205" s="66">
        <v>500</v>
      </c>
      <c r="N205" s="65">
        <v>45666</v>
      </c>
      <c r="O205" s="66">
        <v>500</v>
      </c>
      <c r="P205" s="39">
        <v>45923</v>
      </c>
      <c r="Q205" s="57">
        <v>26500</v>
      </c>
      <c r="R205" s="39">
        <v>45923</v>
      </c>
      <c r="S205" s="57">
        <v>26500</v>
      </c>
      <c r="T205" s="65"/>
      <c r="U205" s="66"/>
      <c r="V205" s="65"/>
      <c r="W205" s="66"/>
      <c r="X205" s="39"/>
      <c r="Y205" s="57"/>
      <c r="Z205" s="39"/>
      <c r="AA205" s="57"/>
      <c r="AB205" s="65"/>
      <c r="AC205" s="66"/>
      <c r="AD205" s="65"/>
      <c r="AE205" s="66"/>
      <c r="AF205" s="39"/>
      <c r="AG205" s="57"/>
      <c r="AH205" s="39"/>
      <c r="AI205" s="57"/>
    </row>
    <row r="206" spans="1:35" ht="19.5" customHeight="1" x14ac:dyDescent="0.3">
      <c r="A206" s="4">
        <v>2501038</v>
      </c>
      <c r="B206" s="110" t="s">
        <v>1053</v>
      </c>
      <c r="C206" s="55">
        <v>2000</v>
      </c>
      <c r="D206" s="55">
        <v>0</v>
      </c>
      <c r="E206" s="55" t="s">
        <v>20</v>
      </c>
      <c r="F206" s="4" t="s">
        <v>206</v>
      </c>
      <c r="G206" s="4" t="s">
        <v>125</v>
      </c>
      <c r="H206" s="4" t="s">
        <v>2236</v>
      </c>
      <c r="I206" s="4" t="s">
        <v>2251</v>
      </c>
      <c r="J206" s="55">
        <v>2000</v>
      </c>
      <c r="K206" s="55">
        <v>2000</v>
      </c>
      <c r="L206" s="65">
        <v>45678</v>
      </c>
      <c r="M206" s="66">
        <v>1000</v>
      </c>
      <c r="N206" s="65">
        <v>45678</v>
      </c>
      <c r="O206" s="66">
        <v>1000</v>
      </c>
      <c r="P206" s="39">
        <v>45682</v>
      </c>
      <c r="Q206" s="57">
        <v>1000</v>
      </c>
      <c r="R206" s="39">
        <v>45682</v>
      </c>
      <c r="S206" s="57">
        <v>1000</v>
      </c>
      <c r="T206" s="65"/>
      <c r="U206" s="66"/>
      <c r="V206" s="65"/>
      <c r="W206" s="66"/>
      <c r="X206" s="39"/>
      <c r="Y206" s="57"/>
      <c r="Z206" s="39"/>
      <c r="AA206" s="57"/>
      <c r="AB206" s="65"/>
      <c r="AC206" s="66"/>
      <c r="AD206" s="65"/>
      <c r="AE206" s="66"/>
      <c r="AF206" s="39"/>
      <c r="AG206" s="57"/>
      <c r="AH206" s="39"/>
      <c r="AI206" s="57"/>
    </row>
    <row r="207" spans="1:35" ht="19.5" customHeight="1" x14ac:dyDescent="0.3">
      <c r="A207" s="4">
        <v>2501532</v>
      </c>
      <c r="B207" s="110" t="s">
        <v>1055</v>
      </c>
      <c r="C207" s="55">
        <v>27000</v>
      </c>
      <c r="D207" s="55">
        <v>0</v>
      </c>
      <c r="E207" s="55" t="s">
        <v>17</v>
      </c>
      <c r="F207" s="4" t="s">
        <v>71</v>
      </c>
      <c r="G207" s="4" t="s">
        <v>125</v>
      </c>
      <c r="H207" s="4" t="s">
        <v>2236</v>
      </c>
      <c r="I207" s="4" t="s">
        <v>2251</v>
      </c>
      <c r="J207" s="55">
        <v>27000</v>
      </c>
      <c r="K207" s="55">
        <v>27000</v>
      </c>
      <c r="L207" s="65">
        <v>45681</v>
      </c>
      <c r="M207" s="66">
        <v>500</v>
      </c>
      <c r="N207" s="65">
        <v>45681</v>
      </c>
      <c r="O207" s="66">
        <v>500</v>
      </c>
      <c r="P207" s="39">
        <v>45728</v>
      </c>
      <c r="Q207" s="57">
        <v>26500</v>
      </c>
      <c r="R207" s="39">
        <v>45728</v>
      </c>
      <c r="S207" s="57">
        <v>26500</v>
      </c>
      <c r="T207" s="65"/>
      <c r="U207" s="66"/>
      <c r="V207" s="65"/>
      <c r="W207" s="66"/>
      <c r="X207" s="39"/>
      <c r="Y207" s="57"/>
      <c r="Z207" s="39"/>
      <c r="AA207" s="57"/>
      <c r="AB207" s="65"/>
      <c r="AC207" s="66"/>
      <c r="AD207" s="65"/>
      <c r="AE207" s="66"/>
      <c r="AF207" s="39"/>
      <c r="AG207" s="57"/>
      <c r="AH207" s="39"/>
      <c r="AI207" s="57"/>
    </row>
    <row r="208" spans="1:35" ht="19.5" customHeight="1" x14ac:dyDescent="0.3">
      <c r="A208" s="4">
        <v>2501544</v>
      </c>
      <c r="B208" s="110" t="s">
        <v>1060</v>
      </c>
      <c r="C208" s="55">
        <v>44000</v>
      </c>
      <c r="D208" s="55">
        <v>0</v>
      </c>
      <c r="E208" s="55" t="s">
        <v>22</v>
      </c>
      <c r="F208" s="4" t="s">
        <v>71</v>
      </c>
      <c r="G208" s="4" t="s">
        <v>125</v>
      </c>
      <c r="H208" s="4" t="s">
        <v>2236</v>
      </c>
      <c r="I208" s="4" t="s">
        <v>2251</v>
      </c>
      <c r="J208" s="55">
        <v>44000</v>
      </c>
      <c r="K208" s="55">
        <v>44000</v>
      </c>
      <c r="L208" s="65">
        <v>45695</v>
      </c>
      <c r="M208" s="66">
        <v>500</v>
      </c>
      <c r="N208" s="65">
        <v>45695</v>
      </c>
      <c r="O208" s="66">
        <v>500</v>
      </c>
      <c r="P208" s="39">
        <v>45733</v>
      </c>
      <c r="Q208" s="57">
        <v>41500</v>
      </c>
      <c r="R208" s="39">
        <v>45733</v>
      </c>
      <c r="S208" s="57">
        <v>41500</v>
      </c>
      <c r="T208" s="65">
        <v>45762</v>
      </c>
      <c r="U208" s="66">
        <v>2000</v>
      </c>
      <c r="V208" s="65">
        <v>45762</v>
      </c>
      <c r="W208" s="66">
        <v>2000</v>
      </c>
      <c r="X208" s="39"/>
      <c r="Y208" s="57"/>
      <c r="Z208" s="39"/>
      <c r="AA208" s="57"/>
      <c r="AB208" s="65"/>
      <c r="AC208" s="66"/>
      <c r="AD208" s="65"/>
      <c r="AE208" s="66"/>
      <c r="AF208" s="39"/>
      <c r="AG208" s="57"/>
      <c r="AH208" s="39"/>
      <c r="AI208" s="57"/>
    </row>
    <row r="209" spans="1:35" ht="19.5" customHeight="1" x14ac:dyDescent="0.3">
      <c r="A209" s="4">
        <v>2502548</v>
      </c>
      <c r="B209" s="110" t="s">
        <v>1066</v>
      </c>
      <c r="C209" s="55">
        <v>42000</v>
      </c>
      <c r="D209" s="55">
        <v>0</v>
      </c>
      <c r="E209" s="55" t="s">
        <v>19</v>
      </c>
      <c r="F209" s="4" t="s">
        <v>71</v>
      </c>
      <c r="G209" s="4" t="s">
        <v>125</v>
      </c>
      <c r="H209" s="4" t="s">
        <v>2236</v>
      </c>
      <c r="I209" s="4" t="s">
        <v>2251</v>
      </c>
      <c r="J209" s="55">
        <v>42000</v>
      </c>
      <c r="K209" s="55">
        <v>42000</v>
      </c>
      <c r="L209" s="65">
        <v>45695</v>
      </c>
      <c r="M209" s="66">
        <v>500</v>
      </c>
      <c r="N209" s="65">
        <v>45695</v>
      </c>
      <c r="O209" s="66">
        <v>500</v>
      </c>
      <c r="P209" s="39">
        <v>45740</v>
      </c>
      <c r="Q209" s="57">
        <v>39500</v>
      </c>
      <c r="R209" s="39">
        <v>45741</v>
      </c>
      <c r="S209" s="57">
        <v>39500</v>
      </c>
      <c r="T209" s="65">
        <v>45970</v>
      </c>
      <c r="U209" s="66">
        <v>2000</v>
      </c>
      <c r="V209" s="65">
        <v>45970</v>
      </c>
      <c r="W209" s="66">
        <v>2000</v>
      </c>
      <c r="X209" s="39"/>
      <c r="Y209" s="57"/>
      <c r="Z209" s="39"/>
      <c r="AA209" s="57"/>
      <c r="AB209" s="65"/>
      <c r="AC209" s="66"/>
      <c r="AD209" s="65"/>
      <c r="AE209" s="66"/>
      <c r="AF209" s="39"/>
      <c r="AG209" s="57"/>
      <c r="AH209" s="39"/>
      <c r="AI209" s="57"/>
    </row>
    <row r="210" spans="1:35" ht="19.5" customHeight="1" x14ac:dyDescent="0.3">
      <c r="A210" s="4">
        <v>2501545</v>
      </c>
      <c r="B210" s="110" t="s">
        <v>1071</v>
      </c>
      <c r="C210" s="55">
        <v>21800</v>
      </c>
      <c r="D210" s="55">
        <v>0</v>
      </c>
      <c r="E210" s="55" t="s">
        <v>19</v>
      </c>
      <c r="F210" s="4" t="s">
        <v>71</v>
      </c>
      <c r="G210" s="4" t="s">
        <v>125</v>
      </c>
      <c r="H210" s="4" t="s">
        <v>2236</v>
      </c>
      <c r="I210" s="4" t="s">
        <v>2251</v>
      </c>
      <c r="J210" s="55">
        <v>21800</v>
      </c>
      <c r="K210" s="55">
        <v>21800</v>
      </c>
      <c r="L210" s="65">
        <v>45701</v>
      </c>
      <c r="M210" s="66">
        <v>500</v>
      </c>
      <c r="N210" s="65">
        <v>45701</v>
      </c>
      <c r="O210" s="66">
        <v>500</v>
      </c>
      <c r="P210" s="39">
        <v>45762</v>
      </c>
      <c r="Q210" s="57">
        <v>19300</v>
      </c>
      <c r="R210" s="39">
        <v>45762</v>
      </c>
      <c r="S210" s="57">
        <v>19300</v>
      </c>
      <c r="T210" s="65">
        <v>45808</v>
      </c>
      <c r="U210" s="66">
        <v>2000</v>
      </c>
      <c r="V210" s="65">
        <v>45808</v>
      </c>
      <c r="W210" s="66">
        <v>2000</v>
      </c>
      <c r="X210" s="39"/>
      <c r="Y210" s="57"/>
      <c r="Z210" s="39"/>
      <c r="AA210" s="57"/>
      <c r="AB210" s="65"/>
      <c r="AC210" s="66"/>
      <c r="AD210" s="65"/>
      <c r="AE210" s="66"/>
      <c r="AF210" s="39"/>
      <c r="AG210" s="57"/>
      <c r="AH210" s="39"/>
      <c r="AI210" s="57"/>
    </row>
    <row r="211" spans="1:35" ht="19.5" customHeight="1" x14ac:dyDescent="0.3">
      <c r="A211" s="4">
        <v>2311088</v>
      </c>
      <c r="B211" s="110" t="s">
        <v>1076</v>
      </c>
      <c r="C211" s="55">
        <v>27000</v>
      </c>
      <c r="D211" s="55">
        <v>0</v>
      </c>
      <c r="E211" s="55" t="s">
        <v>19</v>
      </c>
      <c r="F211" s="4" t="s">
        <v>71</v>
      </c>
      <c r="G211" s="4" t="s">
        <v>125</v>
      </c>
      <c r="H211" s="4" t="s">
        <v>2240</v>
      </c>
      <c r="I211" s="4" t="s">
        <v>2255</v>
      </c>
      <c r="J211" s="55">
        <v>500</v>
      </c>
      <c r="K211" s="55">
        <v>500</v>
      </c>
      <c r="L211" s="65">
        <v>45700</v>
      </c>
      <c r="M211" s="66">
        <v>500</v>
      </c>
      <c r="N211" s="65">
        <v>45700</v>
      </c>
      <c r="O211" s="66">
        <v>500</v>
      </c>
      <c r="P211" s="39"/>
      <c r="Q211" s="57"/>
      <c r="R211" s="39"/>
      <c r="S211" s="57"/>
      <c r="T211" s="65"/>
      <c r="U211" s="66"/>
      <c r="V211" s="65"/>
      <c r="W211" s="66"/>
      <c r="X211" s="39"/>
      <c r="Y211" s="57"/>
      <c r="Z211" s="39"/>
      <c r="AA211" s="57"/>
      <c r="AB211" s="65"/>
      <c r="AC211" s="66"/>
      <c r="AD211" s="65"/>
      <c r="AE211" s="66"/>
      <c r="AF211" s="39"/>
      <c r="AG211" s="57"/>
      <c r="AH211" s="39"/>
      <c r="AI211" s="57"/>
    </row>
    <row r="212" spans="1:35" ht="19.5" customHeight="1" x14ac:dyDescent="0.3">
      <c r="A212" s="4">
        <v>2502216</v>
      </c>
      <c r="B212" s="110" t="s">
        <v>1081</v>
      </c>
      <c r="C212" s="55">
        <v>37000</v>
      </c>
      <c r="D212" s="55">
        <v>0</v>
      </c>
      <c r="E212" s="55" t="s">
        <v>19</v>
      </c>
      <c r="F212" s="4" t="s">
        <v>124</v>
      </c>
      <c r="G212" s="4" t="s">
        <v>125</v>
      </c>
      <c r="H212" s="4" t="s">
        <v>2236</v>
      </c>
      <c r="I212" s="4" t="s">
        <v>2251</v>
      </c>
      <c r="J212" s="55">
        <v>37000</v>
      </c>
      <c r="K212" s="55">
        <v>37000</v>
      </c>
      <c r="L212" s="65">
        <v>45701</v>
      </c>
      <c r="M212" s="66">
        <v>500</v>
      </c>
      <c r="N212" s="65">
        <v>45701</v>
      </c>
      <c r="O212" s="66">
        <v>500</v>
      </c>
      <c r="P212" s="39">
        <v>45855</v>
      </c>
      <c r="Q212" s="57">
        <v>34500</v>
      </c>
      <c r="R212" s="39">
        <v>45896</v>
      </c>
      <c r="S212" s="57">
        <v>34500</v>
      </c>
      <c r="T212" s="65">
        <v>45899</v>
      </c>
      <c r="U212" s="66">
        <v>2000</v>
      </c>
      <c r="V212" s="65">
        <v>45899</v>
      </c>
      <c r="W212" s="66">
        <v>2000</v>
      </c>
      <c r="X212" s="39"/>
      <c r="Y212" s="57"/>
      <c r="Z212" s="39"/>
      <c r="AA212" s="57"/>
      <c r="AB212" s="65"/>
      <c r="AC212" s="66"/>
      <c r="AD212" s="65"/>
      <c r="AE212" s="66"/>
      <c r="AF212" s="39"/>
      <c r="AG212" s="57"/>
      <c r="AH212" s="39"/>
      <c r="AI212" s="57"/>
    </row>
    <row r="213" spans="1:35" ht="19.5" customHeight="1" x14ac:dyDescent="0.3">
      <c r="A213" s="4">
        <v>2502553</v>
      </c>
      <c r="B213" s="110" t="s">
        <v>1086</v>
      </c>
      <c r="C213" s="55">
        <v>42000</v>
      </c>
      <c r="D213" s="55">
        <v>0</v>
      </c>
      <c r="E213" s="55" t="s">
        <v>17</v>
      </c>
      <c r="F213" s="4" t="s">
        <v>71</v>
      </c>
      <c r="G213" s="4" t="s">
        <v>125</v>
      </c>
      <c r="H213" s="4" t="s">
        <v>2236</v>
      </c>
      <c r="I213" s="4" t="s">
        <v>2251</v>
      </c>
      <c r="J213" s="55">
        <v>42000</v>
      </c>
      <c r="K213" s="55">
        <v>42000</v>
      </c>
      <c r="L213" s="65">
        <v>45702</v>
      </c>
      <c r="M213" s="66">
        <v>500</v>
      </c>
      <c r="N213" s="65">
        <v>45702</v>
      </c>
      <c r="O213" s="66">
        <v>500</v>
      </c>
      <c r="P213" s="39">
        <v>45740</v>
      </c>
      <c r="Q213" s="57">
        <v>41500</v>
      </c>
      <c r="R213" s="39">
        <v>45740</v>
      </c>
      <c r="S213" s="57">
        <v>41500</v>
      </c>
      <c r="T213" s="65"/>
      <c r="U213" s="66"/>
      <c r="V213" s="65"/>
      <c r="W213" s="66"/>
      <c r="X213" s="39"/>
      <c r="Y213" s="57"/>
      <c r="Z213" s="39"/>
      <c r="AA213" s="57"/>
      <c r="AB213" s="65"/>
      <c r="AC213" s="66"/>
      <c r="AD213" s="65"/>
      <c r="AE213" s="66"/>
      <c r="AF213" s="39"/>
      <c r="AG213" s="57"/>
      <c r="AH213" s="39"/>
      <c r="AI213" s="57"/>
    </row>
    <row r="214" spans="1:35" ht="19.5" customHeight="1" x14ac:dyDescent="0.3">
      <c r="A214" s="4">
        <v>2502552</v>
      </c>
      <c r="B214" s="110" t="s">
        <v>1091</v>
      </c>
      <c r="C214" s="55">
        <v>31000</v>
      </c>
      <c r="D214" s="55">
        <v>0</v>
      </c>
      <c r="E214" s="55" t="s">
        <v>17</v>
      </c>
      <c r="F214" s="4" t="s">
        <v>71</v>
      </c>
      <c r="G214" s="4" t="s">
        <v>125</v>
      </c>
      <c r="H214" s="4" t="s">
        <v>2236</v>
      </c>
      <c r="I214" s="4" t="s">
        <v>2251</v>
      </c>
      <c r="J214" s="55">
        <v>31000</v>
      </c>
      <c r="K214" s="55">
        <v>31000</v>
      </c>
      <c r="L214" s="65">
        <v>45702</v>
      </c>
      <c r="M214" s="66">
        <v>500</v>
      </c>
      <c r="N214" s="65">
        <v>45702</v>
      </c>
      <c r="O214" s="66">
        <v>500</v>
      </c>
      <c r="P214" s="39">
        <v>45754</v>
      </c>
      <c r="Q214" s="57">
        <v>30500</v>
      </c>
      <c r="R214" s="39">
        <v>45754</v>
      </c>
      <c r="S214" s="57">
        <v>30500</v>
      </c>
      <c r="T214" s="65"/>
      <c r="U214" s="66"/>
      <c r="V214" s="65"/>
      <c r="W214" s="66"/>
      <c r="X214" s="39"/>
      <c r="Y214" s="57"/>
      <c r="Z214" s="39"/>
      <c r="AA214" s="57"/>
      <c r="AB214" s="65"/>
      <c r="AC214" s="66"/>
      <c r="AD214" s="65"/>
      <c r="AE214" s="66"/>
      <c r="AF214" s="39"/>
      <c r="AG214" s="57"/>
      <c r="AH214" s="39"/>
      <c r="AI214" s="57"/>
    </row>
    <row r="215" spans="1:35" ht="19.5" customHeight="1" x14ac:dyDescent="0.3">
      <c r="A215" s="4">
        <v>2412519</v>
      </c>
      <c r="B215" s="110" t="s">
        <v>1096</v>
      </c>
      <c r="C215" s="55">
        <v>21500</v>
      </c>
      <c r="D215" s="55">
        <v>0</v>
      </c>
      <c r="E215" s="55" t="s">
        <v>17</v>
      </c>
      <c r="F215" s="4" t="s">
        <v>71</v>
      </c>
      <c r="G215" s="4" t="s">
        <v>125</v>
      </c>
      <c r="H215" s="4" t="s">
        <v>2236</v>
      </c>
      <c r="I215" s="4" t="s">
        <v>2251</v>
      </c>
      <c r="J215" s="55">
        <v>21500</v>
      </c>
      <c r="K215" s="55">
        <v>21500</v>
      </c>
      <c r="L215" s="65">
        <v>45700</v>
      </c>
      <c r="M215" s="66">
        <v>500</v>
      </c>
      <c r="N215" s="65">
        <v>45700</v>
      </c>
      <c r="O215" s="66">
        <v>500</v>
      </c>
      <c r="P215" s="39">
        <v>45755</v>
      </c>
      <c r="Q215" s="57">
        <v>19000</v>
      </c>
      <c r="R215" s="39">
        <v>45755</v>
      </c>
      <c r="S215" s="57">
        <v>19000</v>
      </c>
      <c r="T215" s="65">
        <v>45812</v>
      </c>
      <c r="U215" s="66">
        <v>2000</v>
      </c>
      <c r="V215" s="65">
        <v>45812</v>
      </c>
      <c r="W215" s="66">
        <v>2000</v>
      </c>
      <c r="X215" s="39"/>
      <c r="Y215" s="57"/>
      <c r="Z215" s="39"/>
      <c r="AA215" s="57"/>
      <c r="AB215" s="65"/>
      <c r="AC215" s="66"/>
      <c r="AD215" s="65"/>
      <c r="AE215" s="66"/>
      <c r="AF215" s="39"/>
      <c r="AG215" s="57"/>
      <c r="AH215" s="39"/>
      <c r="AI215" s="57"/>
    </row>
    <row r="216" spans="1:35" ht="19.5" customHeight="1" x14ac:dyDescent="0.3">
      <c r="A216" s="4">
        <v>2502547</v>
      </c>
      <c r="B216" s="110" t="s">
        <v>1101</v>
      </c>
      <c r="C216" s="55">
        <v>32840</v>
      </c>
      <c r="D216" s="55">
        <v>0</v>
      </c>
      <c r="E216" s="55" t="s">
        <v>17</v>
      </c>
      <c r="F216" s="4" t="s">
        <v>71</v>
      </c>
      <c r="G216" s="4" t="s">
        <v>176</v>
      </c>
      <c r="H216" s="4" t="s">
        <v>2236</v>
      </c>
      <c r="I216" s="4" t="s">
        <v>2251</v>
      </c>
      <c r="J216" s="55">
        <v>32840</v>
      </c>
      <c r="K216" s="55">
        <v>32840</v>
      </c>
      <c r="L216" s="65">
        <v>45710</v>
      </c>
      <c r="M216" s="66">
        <v>500</v>
      </c>
      <c r="N216" s="65">
        <v>45712</v>
      </c>
      <c r="O216" s="66">
        <v>500</v>
      </c>
      <c r="P216" s="39">
        <v>45750</v>
      </c>
      <c r="Q216" s="57">
        <v>32340</v>
      </c>
      <c r="R216" s="39">
        <v>45750</v>
      </c>
      <c r="S216" s="57">
        <v>32340</v>
      </c>
      <c r="T216" s="65"/>
      <c r="U216" s="66"/>
      <c r="V216" s="65"/>
      <c r="W216" s="66"/>
      <c r="X216" s="39"/>
      <c r="Y216" s="57"/>
      <c r="Z216" s="39"/>
      <c r="AA216" s="57"/>
      <c r="AB216" s="65"/>
      <c r="AC216" s="66"/>
      <c r="AD216" s="65"/>
      <c r="AE216" s="66"/>
      <c r="AF216" s="39"/>
      <c r="AG216" s="57"/>
      <c r="AH216" s="39"/>
      <c r="AI216" s="57"/>
    </row>
    <row r="217" spans="1:35" ht="19.5" customHeight="1" x14ac:dyDescent="0.3">
      <c r="A217" s="4">
        <v>2502541</v>
      </c>
      <c r="B217" s="110" t="s">
        <v>1106</v>
      </c>
      <c r="C217" s="55">
        <v>21500</v>
      </c>
      <c r="D217" s="55">
        <v>0</v>
      </c>
      <c r="E217" s="55" t="s">
        <v>17</v>
      </c>
      <c r="F217" s="4" t="s">
        <v>71</v>
      </c>
      <c r="G217" s="4" t="s">
        <v>125</v>
      </c>
      <c r="H217" s="4" t="s">
        <v>2236</v>
      </c>
      <c r="I217" s="4" t="s">
        <v>2251</v>
      </c>
      <c r="J217" s="55">
        <v>21500</v>
      </c>
      <c r="K217" s="55">
        <v>21500</v>
      </c>
      <c r="L217" s="65">
        <v>45704</v>
      </c>
      <c r="M217" s="66">
        <v>500</v>
      </c>
      <c r="N217" s="65">
        <v>45705</v>
      </c>
      <c r="O217" s="66">
        <v>500</v>
      </c>
      <c r="P217" s="39">
        <v>45734</v>
      </c>
      <c r="Q217" s="57">
        <v>19000</v>
      </c>
      <c r="R217" s="39">
        <v>45734</v>
      </c>
      <c r="S217" s="57">
        <v>19000</v>
      </c>
      <c r="T217" s="65">
        <v>45794</v>
      </c>
      <c r="U217" s="66">
        <v>2000</v>
      </c>
      <c r="V217" s="65">
        <v>45794</v>
      </c>
      <c r="W217" s="66">
        <v>2000</v>
      </c>
      <c r="X217" s="39"/>
      <c r="Y217" s="57"/>
      <c r="Z217" s="39"/>
      <c r="AA217" s="57"/>
      <c r="AB217" s="65"/>
      <c r="AC217" s="66"/>
      <c r="AD217" s="65"/>
      <c r="AE217" s="66"/>
      <c r="AF217" s="39"/>
      <c r="AG217" s="57"/>
      <c r="AH217" s="39"/>
      <c r="AI217" s="57"/>
    </row>
    <row r="218" spans="1:35" ht="19.5" customHeight="1" x14ac:dyDescent="0.3">
      <c r="A218" s="4">
        <v>2502556</v>
      </c>
      <c r="B218" s="110" t="s">
        <v>1111</v>
      </c>
      <c r="C218" s="55">
        <v>22500</v>
      </c>
      <c r="D218" s="55">
        <v>0</v>
      </c>
      <c r="E218" s="55" t="s">
        <v>22</v>
      </c>
      <c r="F218" s="4" t="s">
        <v>71</v>
      </c>
      <c r="G218" s="4" t="s">
        <v>125</v>
      </c>
      <c r="H218" s="4" t="s">
        <v>2236</v>
      </c>
      <c r="I218" s="4" t="s">
        <v>2251</v>
      </c>
      <c r="J218" s="55">
        <v>22500</v>
      </c>
      <c r="K218" s="55">
        <v>22500</v>
      </c>
      <c r="L218" s="65">
        <v>45705</v>
      </c>
      <c r="M218" s="66">
        <v>500</v>
      </c>
      <c r="N218" s="65">
        <v>45705</v>
      </c>
      <c r="O218" s="66">
        <v>500</v>
      </c>
      <c r="P218" s="39">
        <v>45733</v>
      </c>
      <c r="Q218" s="57">
        <v>20000</v>
      </c>
      <c r="R218" s="39">
        <v>45733</v>
      </c>
      <c r="S218" s="57">
        <v>20000</v>
      </c>
      <c r="T218" s="65">
        <v>45762</v>
      </c>
      <c r="U218" s="66">
        <v>2000</v>
      </c>
      <c r="V218" s="65">
        <v>45762</v>
      </c>
      <c r="W218" s="66">
        <v>2000</v>
      </c>
      <c r="X218" s="39"/>
      <c r="Y218" s="57"/>
      <c r="Z218" s="39"/>
      <c r="AA218" s="57"/>
      <c r="AB218" s="65"/>
      <c r="AC218" s="66"/>
      <c r="AD218" s="65"/>
      <c r="AE218" s="66"/>
      <c r="AF218" s="39"/>
      <c r="AG218" s="57"/>
      <c r="AH218" s="39"/>
      <c r="AI218" s="57"/>
    </row>
    <row r="219" spans="1:35" ht="19.5" customHeight="1" x14ac:dyDescent="0.3">
      <c r="A219" s="4">
        <v>2502551</v>
      </c>
      <c r="B219" s="110" t="s">
        <v>1116</v>
      </c>
      <c r="C219" s="55">
        <v>35000</v>
      </c>
      <c r="D219" s="55">
        <v>0</v>
      </c>
      <c r="E219" s="55" t="s">
        <v>17</v>
      </c>
      <c r="F219" s="4" t="s">
        <v>71</v>
      </c>
      <c r="G219" s="4" t="s">
        <v>125</v>
      </c>
      <c r="H219" s="4" t="s">
        <v>2236</v>
      </c>
      <c r="I219" s="4" t="s">
        <v>2251</v>
      </c>
      <c r="J219" s="55">
        <v>35000</v>
      </c>
      <c r="K219" s="55">
        <v>35000</v>
      </c>
      <c r="L219" s="65">
        <v>45705</v>
      </c>
      <c r="M219" s="66">
        <v>500</v>
      </c>
      <c r="N219" s="65">
        <v>45705</v>
      </c>
      <c r="O219" s="66">
        <v>500</v>
      </c>
      <c r="P219" s="39">
        <v>45726</v>
      </c>
      <c r="Q219" s="57">
        <v>32500</v>
      </c>
      <c r="R219" s="39">
        <v>45728</v>
      </c>
      <c r="S219" s="57">
        <v>32500</v>
      </c>
      <c r="T219" s="65">
        <v>45805</v>
      </c>
      <c r="U219" s="66">
        <v>2000</v>
      </c>
      <c r="V219" s="65">
        <v>45806</v>
      </c>
      <c r="W219" s="66">
        <v>2000</v>
      </c>
      <c r="X219" s="39"/>
      <c r="Y219" s="57"/>
      <c r="Z219" s="39"/>
      <c r="AA219" s="57"/>
      <c r="AB219" s="65"/>
      <c r="AC219" s="66"/>
      <c r="AD219" s="65"/>
      <c r="AE219" s="66"/>
      <c r="AF219" s="39"/>
      <c r="AG219" s="57"/>
      <c r="AH219" s="39"/>
      <c r="AI219" s="57"/>
    </row>
    <row r="220" spans="1:35" ht="19.5" customHeight="1" x14ac:dyDescent="0.3">
      <c r="A220" s="4">
        <v>2502546</v>
      </c>
      <c r="B220" s="110" t="s">
        <v>1121</v>
      </c>
      <c r="C220" s="55">
        <v>22500</v>
      </c>
      <c r="D220" s="55">
        <v>0</v>
      </c>
      <c r="E220" s="55" t="s">
        <v>17</v>
      </c>
      <c r="F220" s="4" t="s">
        <v>71</v>
      </c>
      <c r="G220" s="4" t="s">
        <v>125</v>
      </c>
      <c r="H220" s="4" t="s">
        <v>2236</v>
      </c>
      <c r="I220" s="4" t="s">
        <v>2251</v>
      </c>
      <c r="J220" s="55">
        <v>22500</v>
      </c>
      <c r="K220" s="55">
        <v>22500</v>
      </c>
      <c r="L220" s="65">
        <v>45705</v>
      </c>
      <c r="M220" s="66">
        <v>500</v>
      </c>
      <c r="N220" s="65">
        <v>45705</v>
      </c>
      <c r="O220" s="66">
        <v>500</v>
      </c>
      <c r="P220" s="39">
        <v>45724</v>
      </c>
      <c r="Q220" s="57">
        <v>20000</v>
      </c>
      <c r="R220" s="39">
        <v>45724</v>
      </c>
      <c r="S220" s="57">
        <v>20000</v>
      </c>
      <c r="T220" s="65">
        <v>45777</v>
      </c>
      <c r="U220" s="66">
        <v>2000</v>
      </c>
      <c r="V220" s="65">
        <v>45777</v>
      </c>
      <c r="W220" s="66">
        <v>2000</v>
      </c>
      <c r="X220" s="39"/>
      <c r="Y220" s="57"/>
      <c r="Z220" s="39"/>
      <c r="AA220" s="57"/>
      <c r="AB220" s="65"/>
      <c r="AC220" s="66"/>
      <c r="AD220" s="65"/>
      <c r="AE220" s="66"/>
      <c r="AF220" s="39"/>
      <c r="AG220" s="57"/>
      <c r="AH220" s="39"/>
      <c r="AI220" s="57"/>
    </row>
    <row r="221" spans="1:35" ht="19.5" customHeight="1" x14ac:dyDescent="0.3">
      <c r="A221" s="4">
        <v>2502559</v>
      </c>
      <c r="B221" s="110" t="s">
        <v>1126</v>
      </c>
      <c r="C221" s="55">
        <v>28000</v>
      </c>
      <c r="D221" s="55">
        <v>0</v>
      </c>
      <c r="E221" s="55" t="s">
        <v>19</v>
      </c>
      <c r="F221" s="4" t="s">
        <v>71</v>
      </c>
      <c r="G221" s="4" t="s">
        <v>125</v>
      </c>
      <c r="H221" s="4" t="s">
        <v>2236</v>
      </c>
      <c r="I221" s="4" t="s">
        <v>2251</v>
      </c>
      <c r="J221" s="55">
        <v>28000</v>
      </c>
      <c r="K221" s="55">
        <v>28000</v>
      </c>
      <c r="L221" s="65">
        <v>45706</v>
      </c>
      <c r="M221" s="66">
        <v>500</v>
      </c>
      <c r="N221" s="65">
        <v>45706</v>
      </c>
      <c r="O221" s="66">
        <v>500</v>
      </c>
      <c r="P221" s="39">
        <v>45739</v>
      </c>
      <c r="Q221" s="57">
        <v>25500</v>
      </c>
      <c r="R221" s="39">
        <v>45739</v>
      </c>
      <c r="S221" s="57">
        <v>25500</v>
      </c>
      <c r="T221" s="65">
        <v>45749</v>
      </c>
      <c r="U221" s="66">
        <v>2000</v>
      </c>
      <c r="V221" s="65">
        <v>45750</v>
      </c>
      <c r="W221" s="66">
        <v>2000</v>
      </c>
      <c r="X221" s="39"/>
      <c r="Y221" s="57"/>
      <c r="Z221" s="39"/>
      <c r="AA221" s="57"/>
      <c r="AB221" s="65"/>
      <c r="AC221" s="66"/>
      <c r="AD221" s="65"/>
      <c r="AE221" s="66"/>
      <c r="AF221" s="39"/>
      <c r="AG221" s="57"/>
      <c r="AH221" s="39"/>
      <c r="AI221" s="57"/>
    </row>
    <row r="222" spans="1:35" ht="19.5" customHeight="1" x14ac:dyDescent="0.3">
      <c r="A222" s="4">
        <v>2501537</v>
      </c>
      <c r="B222" s="110" t="s">
        <v>1131</v>
      </c>
      <c r="C222" s="55">
        <v>33800</v>
      </c>
      <c r="D222" s="55">
        <v>0</v>
      </c>
      <c r="E222" s="55" t="s">
        <v>17</v>
      </c>
      <c r="F222" s="4" t="s">
        <v>71</v>
      </c>
      <c r="G222" s="4" t="s">
        <v>176</v>
      </c>
      <c r="H222" s="4" t="s">
        <v>2236</v>
      </c>
      <c r="I222" s="4" t="s">
        <v>2251</v>
      </c>
      <c r="J222" s="55">
        <v>33800</v>
      </c>
      <c r="K222" s="55">
        <v>33800</v>
      </c>
      <c r="L222" s="65">
        <v>45701</v>
      </c>
      <c r="M222" s="66">
        <v>500</v>
      </c>
      <c r="N222" s="65">
        <v>45705</v>
      </c>
      <c r="O222" s="66">
        <v>500</v>
      </c>
      <c r="P222" s="39">
        <v>45744</v>
      </c>
      <c r="Q222" s="57">
        <v>33300</v>
      </c>
      <c r="R222" s="39">
        <v>45744</v>
      </c>
      <c r="S222" s="57">
        <v>33300</v>
      </c>
      <c r="T222" s="65"/>
      <c r="U222" s="66"/>
      <c r="V222" s="65"/>
      <c r="W222" s="66"/>
      <c r="X222" s="39"/>
      <c r="Y222" s="57"/>
      <c r="Z222" s="39"/>
      <c r="AA222" s="57"/>
      <c r="AB222" s="65"/>
      <c r="AC222" s="66"/>
      <c r="AD222" s="65"/>
      <c r="AE222" s="66"/>
      <c r="AF222" s="39"/>
      <c r="AG222" s="57"/>
      <c r="AH222" s="39"/>
      <c r="AI222" s="57"/>
    </row>
    <row r="223" spans="1:35" ht="19.5" customHeight="1" x14ac:dyDescent="0.3">
      <c r="A223" s="4">
        <v>2502550</v>
      </c>
      <c r="B223" s="110" t="s">
        <v>1136</v>
      </c>
      <c r="C223" s="55">
        <v>37500</v>
      </c>
      <c r="D223" s="55">
        <v>0</v>
      </c>
      <c r="E223" s="55" t="s">
        <v>19</v>
      </c>
      <c r="F223" s="4" t="s">
        <v>71</v>
      </c>
      <c r="G223" s="4" t="s">
        <v>125</v>
      </c>
      <c r="H223" s="4" t="s">
        <v>2240</v>
      </c>
      <c r="I223" s="4" t="s">
        <v>2255</v>
      </c>
      <c r="J223" s="55">
        <v>35500</v>
      </c>
      <c r="K223" s="55">
        <v>35500</v>
      </c>
      <c r="L223" s="65">
        <v>45922</v>
      </c>
      <c r="M223" s="66">
        <v>35500</v>
      </c>
      <c r="N223" s="65">
        <v>45922</v>
      </c>
      <c r="O223" s="66">
        <v>35500</v>
      </c>
      <c r="P223" s="39"/>
      <c r="Q223" s="57"/>
      <c r="R223" s="39"/>
      <c r="S223" s="57"/>
      <c r="T223" s="65"/>
      <c r="U223" s="66"/>
      <c r="V223" s="65"/>
      <c r="W223" s="66"/>
      <c r="X223" s="39"/>
      <c r="Y223" s="57"/>
      <c r="Z223" s="39"/>
      <c r="AA223" s="57"/>
      <c r="AB223" s="65"/>
      <c r="AC223" s="66"/>
      <c r="AD223" s="65"/>
      <c r="AE223" s="66"/>
      <c r="AF223" s="39"/>
      <c r="AG223" s="57"/>
      <c r="AH223" s="39"/>
      <c r="AI223" s="57"/>
    </row>
    <row r="224" spans="1:35" ht="19.5" customHeight="1" x14ac:dyDescent="0.3">
      <c r="A224" s="4">
        <v>2502543</v>
      </c>
      <c r="B224" s="110" t="s">
        <v>1141</v>
      </c>
      <c r="C224" s="55">
        <v>22000</v>
      </c>
      <c r="D224" s="55">
        <v>0</v>
      </c>
      <c r="E224" s="55" t="s">
        <v>21</v>
      </c>
      <c r="F224" s="4" t="s">
        <v>71</v>
      </c>
      <c r="G224" s="4" t="s">
        <v>125</v>
      </c>
      <c r="H224" s="4" t="s">
        <v>2236</v>
      </c>
      <c r="I224" s="4" t="s">
        <v>2251</v>
      </c>
      <c r="J224" s="55">
        <v>22000</v>
      </c>
      <c r="K224" s="55">
        <v>22000</v>
      </c>
      <c r="L224" s="65">
        <v>45701</v>
      </c>
      <c r="M224" s="66">
        <v>500</v>
      </c>
      <c r="N224" s="65">
        <v>45706</v>
      </c>
      <c r="O224" s="66">
        <v>500</v>
      </c>
      <c r="P224" s="39">
        <v>45732</v>
      </c>
      <c r="Q224" s="57">
        <v>19500</v>
      </c>
      <c r="R224" s="39">
        <v>45733</v>
      </c>
      <c r="S224" s="57">
        <v>19500</v>
      </c>
      <c r="T224" s="65">
        <v>45756</v>
      </c>
      <c r="U224" s="66">
        <v>2000</v>
      </c>
      <c r="V224" s="65">
        <v>45756</v>
      </c>
      <c r="W224" s="66">
        <v>2000</v>
      </c>
      <c r="X224" s="39"/>
      <c r="Y224" s="57"/>
      <c r="Z224" s="39"/>
      <c r="AA224" s="57"/>
      <c r="AB224" s="65"/>
      <c r="AC224" s="66"/>
      <c r="AD224" s="65"/>
      <c r="AE224" s="66"/>
      <c r="AF224" s="39"/>
      <c r="AG224" s="57"/>
      <c r="AH224" s="39"/>
      <c r="AI224" s="57"/>
    </row>
    <row r="225" spans="1:35" ht="19.5" customHeight="1" x14ac:dyDescent="0.3">
      <c r="A225" s="4">
        <v>2502560</v>
      </c>
      <c r="B225" s="110" t="s">
        <v>1146</v>
      </c>
      <c r="C225" s="55">
        <v>35000</v>
      </c>
      <c r="D225" s="55">
        <v>0</v>
      </c>
      <c r="E225" s="55" t="s">
        <v>17</v>
      </c>
      <c r="F225" s="4" t="s">
        <v>71</v>
      </c>
      <c r="G225" s="4" t="s">
        <v>125</v>
      </c>
      <c r="H225" s="4" t="s">
        <v>2236</v>
      </c>
      <c r="I225" s="4" t="s">
        <v>2251</v>
      </c>
      <c r="J225" s="55">
        <v>35000</v>
      </c>
      <c r="K225" s="55">
        <v>35000</v>
      </c>
      <c r="L225" s="65">
        <v>45708</v>
      </c>
      <c r="M225" s="66">
        <v>500</v>
      </c>
      <c r="N225" s="65">
        <v>45708</v>
      </c>
      <c r="O225" s="66">
        <v>500</v>
      </c>
      <c r="P225" s="39">
        <v>45757</v>
      </c>
      <c r="Q225" s="57">
        <v>32500</v>
      </c>
      <c r="R225" s="39">
        <v>45758</v>
      </c>
      <c r="S225" s="57">
        <v>32500</v>
      </c>
      <c r="T225" s="65">
        <v>45838</v>
      </c>
      <c r="U225" s="66">
        <v>2000</v>
      </c>
      <c r="V225" s="65">
        <v>45839</v>
      </c>
      <c r="W225" s="66">
        <v>2000</v>
      </c>
      <c r="X225" s="39"/>
      <c r="Y225" s="57"/>
      <c r="Z225" s="39"/>
      <c r="AA225" s="57"/>
      <c r="AB225" s="65"/>
      <c r="AC225" s="66"/>
      <c r="AD225" s="65"/>
      <c r="AE225" s="66"/>
      <c r="AF225" s="39"/>
      <c r="AG225" s="57"/>
      <c r="AH225" s="39"/>
      <c r="AI225" s="57"/>
    </row>
    <row r="226" spans="1:35" ht="19.5" customHeight="1" x14ac:dyDescent="0.3">
      <c r="A226" s="4" t="s">
        <v>1151</v>
      </c>
      <c r="B226" s="110" t="s">
        <v>1152</v>
      </c>
      <c r="C226" s="55">
        <v>43000</v>
      </c>
      <c r="D226" s="55">
        <v>0</v>
      </c>
      <c r="E226" s="55" t="s">
        <v>17</v>
      </c>
      <c r="F226" s="4" t="s">
        <v>71</v>
      </c>
      <c r="G226" s="4" t="s">
        <v>125</v>
      </c>
      <c r="H226" s="4" t="s">
        <v>2236</v>
      </c>
      <c r="I226" s="4" t="s">
        <v>2251</v>
      </c>
      <c r="J226" s="55">
        <v>43000</v>
      </c>
      <c r="K226" s="55">
        <v>43000</v>
      </c>
      <c r="L226" s="65">
        <v>45713</v>
      </c>
      <c r="M226" s="66">
        <v>500</v>
      </c>
      <c r="N226" s="65">
        <v>45714</v>
      </c>
      <c r="O226" s="66">
        <v>500</v>
      </c>
      <c r="P226" s="39">
        <v>45742</v>
      </c>
      <c r="Q226" s="57">
        <v>40500</v>
      </c>
      <c r="R226" s="39">
        <v>45743</v>
      </c>
      <c r="S226" s="57">
        <v>40500</v>
      </c>
      <c r="T226" s="65">
        <v>45804</v>
      </c>
      <c r="U226" s="66">
        <v>2000</v>
      </c>
      <c r="V226" s="65">
        <v>45804</v>
      </c>
      <c r="W226" s="66">
        <v>2000</v>
      </c>
      <c r="X226" s="39"/>
      <c r="Y226" s="57"/>
      <c r="Z226" s="39"/>
      <c r="AA226" s="57"/>
      <c r="AB226" s="65"/>
      <c r="AC226" s="66"/>
      <c r="AD226" s="65"/>
      <c r="AE226" s="66"/>
      <c r="AF226" s="39"/>
      <c r="AG226" s="57"/>
      <c r="AH226" s="39"/>
      <c r="AI226" s="57"/>
    </row>
    <row r="227" spans="1:35" ht="19.5" customHeight="1" x14ac:dyDescent="0.3">
      <c r="A227" s="4">
        <v>2502569</v>
      </c>
      <c r="B227" s="110" t="s">
        <v>1157</v>
      </c>
      <c r="C227" s="55">
        <v>29228</v>
      </c>
      <c r="D227" s="55">
        <v>0</v>
      </c>
      <c r="E227" s="55" t="s">
        <v>21</v>
      </c>
      <c r="F227" s="4" t="s">
        <v>71</v>
      </c>
      <c r="G227" s="4" t="s">
        <v>176</v>
      </c>
      <c r="H227" s="4" t="s">
        <v>2236</v>
      </c>
      <c r="I227" s="4" t="s">
        <v>2251</v>
      </c>
      <c r="J227" s="55">
        <v>29228</v>
      </c>
      <c r="K227" s="55">
        <v>29228</v>
      </c>
      <c r="L227" s="65">
        <v>45712</v>
      </c>
      <c r="M227" s="66">
        <v>500</v>
      </c>
      <c r="N227" s="65">
        <v>45712</v>
      </c>
      <c r="O227" s="66">
        <v>500</v>
      </c>
      <c r="P227" s="39">
        <v>45750</v>
      </c>
      <c r="Q227" s="57">
        <v>28728</v>
      </c>
      <c r="R227" s="39">
        <v>45750</v>
      </c>
      <c r="S227" s="57">
        <v>28728</v>
      </c>
      <c r="T227" s="65"/>
      <c r="U227" s="66"/>
      <c r="V227" s="65"/>
      <c r="W227" s="66"/>
      <c r="X227" s="39"/>
      <c r="Y227" s="57"/>
      <c r="Z227" s="39"/>
      <c r="AA227" s="57"/>
      <c r="AB227" s="65"/>
      <c r="AC227" s="66"/>
      <c r="AD227" s="65"/>
      <c r="AE227" s="66"/>
      <c r="AF227" s="39"/>
      <c r="AG227" s="57"/>
      <c r="AH227" s="39"/>
      <c r="AI227" s="57"/>
    </row>
    <row r="228" spans="1:35" ht="19.5" customHeight="1" x14ac:dyDescent="0.3">
      <c r="A228" s="4">
        <v>2502565</v>
      </c>
      <c r="B228" s="110" t="s">
        <v>1162</v>
      </c>
      <c r="C228" s="55">
        <v>21500</v>
      </c>
      <c r="D228" s="55">
        <v>0</v>
      </c>
      <c r="E228" s="55" t="s">
        <v>20</v>
      </c>
      <c r="F228" s="4" t="s">
        <v>71</v>
      </c>
      <c r="G228" s="4" t="s">
        <v>125</v>
      </c>
      <c r="H228" s="4" t="s">
        <v>2240</v>
      </c>
      <c r="I228" s="4" t="s">
        <v>2252</v>
      </c>
      <c r="J228" s="55">
        <v>19500</v>
      </c>
      <c r="K228" s="55">
        <v>0</v>
      </c>
      <c r="L228" s="65">
        <v>45776</v>
      </c>
      <c r="M228" s="66">
        <v>19500</v>
      </c>
      <c r="N228" s="65"/>
      <c r="O228" s="66"/>
      <c r="P228" s="39"/>
      <c r="Q228" s="57"/>
      <c r="R228" s="39"/>
      <c r="S228" s="57"/>
      <c r="T228" s="65"/>
      <c r="U228" s="66"/>
      <c r="V228" s="65"/>
      <c r="W228" s="66"/>
      <c r="X228" s="39"/>
      <c r="Y228" s="57"/>
      <c r="Z228" s="39"/>
      <c r="AA228" s="57"/>
      <c r="AB228" s="65"/>
      <c r="AC228" s="66"/>
      <c r="AD228" s="65"/>
      <c r="AE228" s="66"/>
      <c r="AF228" s="39"/>
      <c r="AG228" s="57"/>
      <c r="AH228" s="39"/>
      <c r="AI228" s="57"/>
    </row>
    <row r="229" spans="1:35" ht="19.5" customHeight="1" x14ac:dyDescent="0.3">
      <c r="A229" s="4">
        <v>2502549</v>
      </c>
      <c r="B229" s="110" t="s">
        <v>1167</v>
      </c>
      <c r="C229" s="55">
        <v>35000</v>
      </c>
      <c r="D229" s="55">
        <v>0</v>
      </c>
      <c r="E229" s="55" t="s">
        <v>22</v>
      </c>
      <c r="F229" s="4" t="s">
        <v>71</v>
      </c>
      <c r="G229" s="4" t="s">
        <v>125</v>
      </c>
      <c r="H229" s="4" t="s">
        <v>2238</v>
      </c>
      <c r="I229" s="4" t="s">
        <v>2253</v>
      </c>
      <c r="J229" s="55">
        <v>33000</v>
      </c>
      <c r="K229" s="55">
        <v>15500</v>
      </c>
      <c r="L229" s="65">
        <v>45713</v>
      </c>
      <c r="M229" s="66">
        <v>500</v>
      </c>
      <c r="N229" s="65">
        <v>45713</v>
      </c>
      <c r="O229" s="66">
        <v>500</v>
      </c>
      <c r="P229" s="39">
        <v>45863</v>
      </c>
      <c r="Q229" s="57">
        <v>32500</v>
      </c>
      <c r="R229" s="39">
        <v>45863</v>
      </c>
      <c r="S229" s="57">
        <v>15000</v>
      </c>
      <c r="T229" s="65"/>
      <c r="U229" s="66"/>
      <c r="V229" s="65"/>
      <c r="W229" s="66"/>
      <c r="X229" s="39"/>
      <c r="Y229" s="57"/>
      <c r="Z229" s="39"/>
      <c r="AA229" s="57"/>
      <c r="AB229" s="65"/>
      <c r="AC229" s="66"/>
      <c r="AD229" s="65"/>
      <c r="AE229" s="66"/>
      <c r="AF229" s="39"/>
      <c r="AG229" s="57"/>
      <c r="AH229" s="39"/>
      <c r="AI229" s="57"/>
    </row>
    <row r="230" spans="1:35" ht="19.5" customHeight="1" x14ac:dyDescent="0.3">
      <c r="A230" s="4">
        <v>2405286</v>
      </c>
      <c r="B230" s="110" t="s">
        <v>1172</v>
      </c>
      <c r="C230" s="55">
        <v>41000</v>
      </c>
      <c r="D230" s="55">
        <v>0</v>
      </c>
      <c r="E230" s="55" t="s">
        <v>17</v>
      </c>
      <c r="F230" s="4" t="s">
        <v>71</v>
      </c>
      <c r="G230" s="4" t="s">
        <v>125</v>
      </c>
      <c r="H230" s="4" t="s">
        <v>2236</v>
      </c>
      <c r="I230" s="4" t="s">
        <v>2251</v>
      </c>
      <c r="J230" s="55">
        <v>41000</v>
      </c>
      <c r="K230" s="55">
        <v>41000</v>
      </c>
      <c r="L230" s="65">
        <v>45716</v>
      </c>
      <c r="M230" s="66">
        <v>500</v>
      </c>
      <c r="N230" s="65">
        <v>45716</v>
      </c>
      <c r="O230" s="66">
        <v>500</v>
      </c>
      <c r="P230" s="39">
        <v>45757</v>
      </c>
      <c r="Q230" s="57">
        <v>40500</v>
      </c>
      <c r="R230" s="39">
        <v>45768</v>
      </c>
      <c r="S230" s="57">
        <v>40500</v>
      </c>
      <c r="T230" s="65"/>
      <c r="U230" s="66"/>
      <c r="V230" s="65"/>
      <c r="W230" s="66"/>
      <c r="X230" s="39"/>
      <c r="Y230" s="57"/>
      <c r="Z230" s="39"/>
      <c r="AA230" s="57"/>
      <c r="AB230" s="65"/>
      <c r="AC230" s="66"/>
      <c r="AD230" s="65"/>
      <c r="AE230" s="66"/>
      <c r="AF230" s="39"/>
      <c r="AG230" s="57"/>
      <c r="AH230" s="39"/>
      <c r="AI230" s="57"/>
    </row>
    <row r="231" spans="1:35" ht="19.5" customHeight="1" x14ac:dyDescent="0.3">
      <c r="A231" s="4">
        <v>2501527</v>
      </c>
      <c r="B231" s="110" t="s">
        <v>1177</v>
      </c>
      <c r="C231" s="55">
        <v>31000</v>
      </c>
      <c r="D231" s="55">
        <v>0</v>
      </c>
      <c r="E231" s="55" t="s">
        <v>17</v>
      </c>
      <c r="F231" s="4" t="s">
        <v>71</v>
      </c>
      <c r="G231" s="4" t="s">
        <v>125</v>
      </c>
      <c r="H231" s="4" t="s">
        <v>2236</v>
      </c>
      <c r="I231" s="4" t="s">
        <v>2251</v>
      </c>
      <c r="J231" s="55">
        <v>31000</v>
      </c>
      <c r="K231" s="55">
        <v>31000</v>
      </c>
      <c r="L231" s="65">
        <v>45707</v>
      </c>
      <c r="M231" s="66">
        <v>500</v>
      </c>
      <c r="N231" s="65">
        <v>45707</v>
      </c>
      <c r="O231" s="66">
        <v>500</v>
      </c>
      <c r="P231" s="39">
        <v>45769</v>
      </c>
      <c r="Q231" s="57">
        <v>30500</v>
      </c>
      <c r="R231" s="39">
        <v>45769</v>
      </c>
      <c r="S231" s="57">
        <v>30500</v>
      </c>
      <c r="T231" s="65"/>
      <c r="U231" s="66"/>
      <c r="V231" s="65"/>
      <c r="W231" s="66"/>
      <c r="X231" s="39"/>
      <c r="Y231" s="57"/>
      <c r="Z231" s="39"/>
      <c r="AA231" s="57"/>
      <c r="AB231" s="65"/>
      <c r="AC231" s="66"/>
      <c r="AD231" s="65"/>
      <c r="AE231" s="66"/>
      <c r="AF231" s="39"/>
      <c r="AG231" s="57"/>
      <c r="AH231" s="39"/>
      <c r="AI231" s="57"/>
    </row>
    <row r="232" spans="1:35" ht="19.5" customHeight="1" x14ac:dyDescent="0.3">
      <c r="A232" s="4">
        <v>2501529</v>
      </c>
      <c r="B232" s="110" t="s">
        <v>1182</v>
      </c>
      <c r="C232" s="55">
        <v>29000</v>
      </c>
      <c r="D232" s="55">
        <v>0</v>
      </c>
      <c r="E232" s="55" t="s">
        <v>17</v>
      </c>
      <c r="F232" s="4" t="s">
        <v>71</v>
      </c>
      <c r="G232" s="4" t="s">
        <v>125</v>
      </c>
      <c r="H232" s="4" t="s">
        <v>2236</v>
      </c>
      <c r="I232" s="4" t="s">
        <v>2251</v>
      </c>
      <c r="J232" s="55">
        <v>29000</v>
      </c>
      <c r="K232" s="55">
        <v>29000</v>
      </c>
      <c r="L232" s="65">
        <v>45718</v>
      </c>
      <c r="M232" s="66">
        <v>500</v>
      </c>
      <c r="N232" s="65">
        <v>45720</v>
      </c>
      <c r="O232" s="66">
        <v>500</v>
      </c>
      <c r="P232" s="39">
        <v>45769</v>
      </c>
      <c r="Q232" s="57">
        <v>28500</v>
      </c>
      <c r="R232" s="39">
        <v>45769</v>
      </c>
      <c r="S232" s="57">
        <v>28500</v>
      </c>
      <c r="T232" s="65"/>
      <c r="U232" s="66"/>
      <c r="V232" s="65"/>
      <c r="W232" s="66"/>
      <c r="X232" s="39"/>
      <c r="Y232" s="57"/>
      <c r="Z232" s="39"/>
      <c r="AA232" s="57"/>
      <c r="AB232" s="65"/>
      <c r="AC232" s="66"/>
      <c r="AD232" s="65"/>
      <c r="AE232" s="66"/>
      <c r="AF232" s="39"/>
      <c r="AG232" s="57"/>
      <c r="AH232" s="39"/>
      <c r="AI232" s="57"/>
    </row>
    <row r="233" spans="1:35" ht="19.5" customHeight="1" x14ac:dyDescent="0.3">
      <c r="A233" s="4">
        <v>2502581</v>
      </c>
      <c r="B233" s="110" t="s">
        <v>1185</v>
      </c>
      <c r="C233" s="55">
        <v>22340</v>
      </c>
      <c r="D233" s="55">
        <v>0</v>
      </c>
      <c r="E233" s="55" t="s">
        <v>17</v>
      </c>
      <c r="F233" s="4" t="s">
        <v>71</v>
      </c>
      <c r="G233" s="4" t="s">
        <v>176</v>
      </c>
      <c r="H233" s="4" t="s">
        <v>2236</v>
      </c>
      <c r="I233" s="4" t="s">
        <v>2251</v>
      </c>
      <c r="J233" s="55">
        <v>22340</v>
      </c>
      <c r="K233" s="55">
        <v>22340</v>
      </c>
      <c r="L233" s="65">
        <v>45717</v>
      </c>
      <c r="M233" s="66">
        <v>500</v>
      </c>
      <c r="N233" s="65">
        <v>45718</v>
      </c>
      <c r="O233" s="66">
        <v>500</v>
      </c>
      <c r="P233" s="39">
        <v>45751</v>
      </c>
      <c r="Q233" s="57">
        <v>21840</v>
      </c>
      <c r="R233" s="39">
        <v>45751</v>
      </c>
      <c r="S233" s="57">
        <v>21840</v>
      </c>
      <c r="T233" s="65"/>
      <c r="U233" s="66"/>
      <c r="V233" s="65"/>
      <c r="W233" s="66"/>
      <c r="X233" s="39"/>
      <c r="Y233" s="57"/>
      <c r="Z233" s="39"/>
      <c r="AA233" s="57"/>
      <c r="AB233" s="65"/>
      <c r="AC233" s="66"/>
      <c r="AD233" s="65"/>
      <c r="AE233" s="66"/>
      <c r="AF233" s="39"/>
      <c r="AG233" s="57"/>
      <c r="AH233" s="39"/>
      <c r="AI233" s="57"/>
    </row>
    <row r="234" spans="1:35" ht="19.5" customHeight="1" x14ac:dyDescent="0.3">
      <c r="A234" s="4">
        <v>2501540</v>
      </c>
      <c r="B234" s="110" t="s">
        <v>1190</v>
      </c>
      <c r="C234" s="55">
        <v>23429</v>
      </c>
      <c r="D234" s="55">
        <v>0</v>
      </c>
      <c r="E234" s="55" t="s">
        <v>22</v>
      </c>
      <c r="F234" s="4" t="s">
        <v>71</v>
      </c>
      <c r="G234" s="4" t="s">
        <v>1191</v>
      </c>
      <c r="H234" s="4" t="s">
        <v>2236</v>
      </c>
      <c r="I234" s="4" t="s">
        <v>2251</v>
      </c>
      <c r="J234" s="55">
        <v>23429</v>
      </c>
      <c r="K234" s="55">
        <v>23429</v>
      </c>
      <c r="L234" s="65">
        <v>45678</v>
      </c>
      <c r="M234" s="66">
        <v>500</v>
      </c>
      <c r="N234" s="65">
        <v>45678</v>
      </c>
      <c r="O234" s="66">
        <v>500</v>
      </c>
      <c r="P234" s="39">
        <v>45758</v>
      </c>
      <c r="Q234" s="57">
        <v>22929</v>
      </c>
      <c r="R234" s="39" t="s">
        <v>1890</v>
      </c>
      <c r="S234" s="57">
        <v>22929</v>
      </c>
      <c r="T234" s="65"/>
      <c r="U234" s="66"/>
      <c r="V234" s="65"/>
      <c r="W234" s="66"/>
      <c r="X234" s="39"/>
      <c r="Y234" s="57"/>
      <c r="Z234" s="39"/>
      <c r="AA234" s="57"/>
      <c r="AB234" s="65"/>
      <c r="AC234" s="66"/>
      <c r="AD234" s="65"/>
      <c r="AE234" s="66"/>
      <c r="AF234" s="39"/>
      <c r="AG234" s="57"/>
      <c r="AH234" s="39"/>
      <c r="AI234" s="57"/>
    </row>
    <row r="235" spans="1:35" ht="19.5" customHeight="1" x14ac:dyDescent="0.3">
      <c r="A235" s="4">
        <v>2502571</v>
      </c>
      <c r="B235" s="110" t="s">
        <v>1196</v>
      </c>
      <c r="C235" s="55">
        <v>32840</v>
      </c>
      <c r="D235" s="55">
        <v>0</v>
      </c>
      <c r="E235" s="55" t="s">
        <v>17</v>
      </c>
      <c r="F235" s="4" t="s">
        <v>71</v>
      </c>
      <c r="G235" s="4" t="s">
        <v>176</v>
      </c>
      <c r="H235" s="4" t="s">
        <v>2236</v>
      </c>
      <c r="I235" s="4" t="s">
        <v>2251</v>
      </c>
      <c r="J235" s="55">
        <v>32840</v>
      </c>
      <c r="K235" s="55">
        <v>32840</v>
      </c>
      <c r="L235" s="65">
        <v>45718</v>
      </c>
      <c r="M235" s="66">
        <v>500</v>
      </c>
      <c r="N235" s="65">
        <v>45720</v>
      </c>
      <c r="O235" s="66">
        <v>500</v>
      </c>
      <c r="P235" s="39">
        <v>45758</v>
      </c>
      <c r="Q235" s="57">
        <v>32340</v>
      </c>
      <c r="R235" s="39">
        <v>45758</v>
      </c>
      <c r="S235" s="57">
        <v>32340</v>
      </c>
      <c r="T235" s="65"/>
      <c r="U235" s="66"/>
      <c r="V235" s="65"/>
      <c r="W235" s="66"/>
      <c r="X235" s="39"/>
      <c r="Y235" s="57"/>
      <c r="Z235" s="39"/>
      <c r="AA235" s="57"/>
      <c r="AB235" s="65"/>
      <c r="AC235" s="66"/>
      <c r="AD235" s="65"/>
      <c r="AE235" s="66"/>
      <c r="AF235" s="39"/>
      <c r="AG235" s="57"/>
      <c r="AH235" s="39"/>
      <c r="AI235" s="57"/>
    </row>
    <row r="236" spans="1:35" ht="19.5" customHeight="1" x14ac:dyDescent="0.3">
      <c r="A236" s="4">
        <v>2502568</v>
      </c>
      <c r="B236" s="110" t="s">
        <v>1201</v>
      </c>
      <c r="C236" s="55">
        <v>25280</v>
      </c>
      <c r="D236" s="55">
        <v>0</v>
      </c>
      <c r="E236" s="55" t="s">
        <v>17</v>
      </c>
      <c r="F236" s="4" t="s">
        <v>71</v>
      </c>
      <c r="G236" s="4" t="s">
        <v>176</v>
      </c>
      <c r="H236" s="4" t="s">
        <v>2236</v>
      </c>
      <c r="I236" s="4" t="s">
        <v>2251</v>
      </c>
      <c r="J236" s="55">
        <v>25280</v>
      </c>
      <c r="K236" s="55">
        <v>25280</v>
      </c>
      <c r="L236" s="65">
        <v>45716</v>
      </c>
      <c r="M236" s="66">
        <v>500</v>
      </c>
      <c r="N236" s="65">
        <v>45716</v>
      </c>
      <c r="O236" s="66">
        <v>500</v>
      </c>
      <c r="P236" s="39">
        <v>45820</v>
      </c>
      <c r="Q236" s="57">
        <v>24780</v>
      </c>
      <c r="R236" s="39">
        <v>45820</v>
      </c>
      <c r="S236" s="57">
        <v>24780</v>
      </c>
      <c r="T236" s="65"/>
      <c r="U236" s="66"/>
      <c r="V236" s="65"/>
      <c r="W236" s="66"/>
      <c r="X236" s="39"/>
      <c r="Y236" s="57"/>
      <c r="Z236" s="39"/>
      <c r="AA236" s="57"/>
      <c r="AB236" s="65"/>
      <c r="AC236" s="66"/>
      <c r="AD236" s="65"/>
      <c r="AE236" s="66"/>
      <c r="AF236" s="39"/>
      <c r="AG236" s="57"/>
      <c r="AH236" s="39"/>
      <c r="AI236" s="57"/>
    </row>
    <row r="237" spans="1:35" ht="19.5" customHeight="1" x14ac:dyDescent="0.3">
      <c r="A237" s="4">
        <v>2404258</v>
      </c>
      <c r="B237" s="110" t="s">
        <v>1208</v>
      </c>
      <c r="C237" s="55">
        <v>27000</v>
      </c>
      <c r="D237" s="55">
        <v>0</v>
      </c>
      <c r="E237" s="55" t="s">
        <v>17</v>
      </c>
      <c r="F237" s="4" t="s">
        <v>71</v>
      </c>
      <c r="G237" s="4" t="s">
        <v>125</v>
      </c>
      <c r="H237" s="4" t="s">
        <v>2236</v>
      </c>
      <c r="I237" s="4" t="s">
        <v>2251</v>
      </c>
      <c r="J237" s="55">
        <v>27000</v>
      </c>
      <c r="K237" s="55">
        <v>27000</v>
      </c>
      <c r="L237" s="65">
        <v>45722</v>
      </c>
      <c r="M237" s="66">
        <v>500</v>
      </c>
      <c r="N237" s="65">
        <v>45722</v>
      </c>
      <c r="O237" s="66">
        <v>500</v>
      </c>
      <c r="P237" s="39">
        <v>45769</v>
      </c>
      <c r="Q237" s="57">
        <v>26500</v>
      </c>
      <c r="R237" s="39">
        <v>45769</v>
      </c>
      <c r="S237" s="57">
        <v>26500</v>
      </c>
      <c r="T237" s="65"/>
      <c r="U237" s="66"/>
      <c r="V237" s="65"/>
      <c r="W237" s="66"/>
      <c r="X237" s="39"/>
      <c r="Y237" s="57"/>
      <c r="Z237" s="39"/>
      <c r="AA237" s="57"/>
      <c r="AB237" s="65"/>
      <c r="AC237" s="66"/>
      <c r="AD237" s="65"/>
      <c r="AE237" s="66"/>
      <c r="AF237" s="39"/>
      <c r="AG237" s="57"/>
      <c r="AH237" s="39"/>
      <c r="AI237" s="57"/>
    </row>
    <row r="238" spans="1:35" ht="19.5" customHeight="1" x14ac:dyDescent="0.3">
      <c r="A238" s="4">
        <v>2503588</v>
      </c>
      <c r="B238" s="110" t="s">
        <v>1213</v>
      </c>
      <c r="C238" s="55">
        <v>22500</v>
      </c>
      <c r="D238" s="55">
        <v>0</v>
      </c>
      <c r="E238" s="55" t="s">
        <v>17</v>
      </c>
      <c r="F238" s="4" t="s">
        <v>71</v>
      </c>
      <c r="G238" s="4" t="s">
        <v>125</v>
      </c>
      <c r="H238" s="4" t="s">
        <v>2236</v>
      </c>
      <c r="I238" s="4" t="s">
        <v>2251</v>
      </c>
      <c r="J238" s="55">
        <v>22500</v>
      </c>
      <c r="K238" s="55">
        <v>22500</v>
      </c>
      <c r="L238" s="65">
        <v>45722</v>
      </c>
      <c r="M238" s="66">
        <v>500</v>
      </c>
      <c r="N238" s="65">
        <v>45722</v>
      </c>
      <c r="O238" s="66">
        <v>500</v>
      </c>
      <c r="P238" s="39">
        <v>45804</v>
      </c>
      <c r="Q238" s="57">
        <v>20000</v>
      </c>
      <c r="R238" s="39">
        <v>45807</v>
      </c>
      <c r="S238" s="57">
        <v>20000</v>
      </c>
      <c r="T238" s="65">
        <v>45807</v>
      </c>
      <c r="U238" s="66">
        <v>2000</v>
      </c>
      <c r="V238" s="65">
        <v>45807</v>
      </c>
      <c r="W238" s="66">
        <v>2000</v>
      </c>
      <c r="X238" s="39"/>
      <c r="Y238" s="57"/>
      <c r="Z238" s="39"/>
      <c r="AA238" s="57"/>
      <c r="AB238" s="65"/>
      <c r="AC238" s="66"/>
      <c r="AD238" s="65"/>
      <c r="AE238" s="66"/>
      <c r="AF238" s="39"/>
      <c r="AG238" s="57"/>
      <c r="AH238" s="39"/>
      <c r="AI238" s="57"/>
    </row>
    <row r="239" spans="1:35" ht="19.5" customHeight="1" x14ac:dyDescent="0.3">
      <c r="A239" s="4">
        <v>2502561</v>
      </c>
      <c r="B239" s="110" t="s">
        <v>1218</v>
      </c>
      <c r="C239" s="55">
        <v>38000</v>
      </c>
      <c r="D239" s="55">
        <v>0</v>
      </c>
      <c r="E239" s="55" t="s">
        <v>17</v>
      </c>
      <c r="F239" s="4" t="s">
        <v>71</v>
      </c>
      <c r="G239" s="4" t="s">
        <v>125</v>
      </c>
      <c r="H239" s="4" t="s">
        <v>2236</v>
      </c>
      <c r="I239" s="4" t="s">
        <v>2251</v>
      </c>
      <c r="J239" s="55">
        <v>38000</v>
      </c>
      <c r="K239" s="55">
        <v>38000</v>
      </c>
      <c r="L239" s="65">
        <v>45723</v>
      </c>
      <c r="M239" s="66">
        <v>500</v>
      </c>
      <c r="N239" s="65">
        <v>45723</v>
      </c>
      <c r="O239" s="66">
        <v>500</v>
      </c>
      <c r="P239" s="39">
        <v>45779</v>
      </c>
      <c r="Q239" s="57">
        <v>37500</v>
      </c>
      <c r="R239" s="39">
        <v>45779</v>
      </c>
      <c r="S239" s="57">
        <v>37500</v>
      </c>
      <c r="T239" s="65"/>
      <c r="U239" s="66"/>
      <c r="V239" s="65"/>
      <c r="W239" s="66"/>
      <c r="X239" s="39"/>
      <c r="Y239" s="57"/>
      <c r="Z239" s="39"/>
      <c r="AA239" s="57"/>
      <c r="AB239" s="65"/>
      <c r="AC239" s="66"/>
      <c r="AD239" s="65"/>
      <c r="AE239" s="66"/>
      <c r="AF239" s="39"/>
      <c r="AG239" s="57"/>
      <c r="AH239" s="39"/>
      <c r="AI239" s="57"/>
    </row>
    <row r="240" spans="1:35" ht="19.5" customHeight="1" x14ac:dyDescent="0.3">
      <c r="A240" s="4">
        <v>2503590</v>
      </c>
      <c r="B240" s="110" t="s">
        <v>1223</v>
      </c>
      <c r="C240" s="55">
        <v>39680</v>
      </c>
      <c r="D240" s="55">
        <v>0</v>
      </c>
      <c r="E240" s="55" t="s">
        <v>17</v>
      </c>
      <c r="F240" s="4" t="s">
        <v>71</v>
      </c>
      <c r="G240" s="4" t="s">
        <v>176</v>
      </c>
      <c r="H240" s="4" t="s">
        <v>2236</v>
      </c>
      <c r="I240" s="4" t="s">
        <v>2251</v>
      </c>
      <c r="J240" s="55">
        <v>39680</v>
      </c>
      <c r="K240" s="55">
        <v>39680</v>
      </c>
      <c r="L240" s="65">
        <v>45723</v>
      </c>
      <c r="M240" s="66">
        <v>500</v>
      </c>
      <c r="N240" s="65">
        <v>45723</v>
      </c>
      <c r="O240" s="66">
        <v>500</v>
      </c>
      <c r="P240" s="39">
        <v>45777</v>
      </c>
      <c r="Q240" s="57">
        <v>39180</v>
      </c>
      <c r="R240" s="39">
        <v>45777</v>
      </c>
      <c r="S240" s="57">
        <v>39180</v>
      </c>
      <c r="T240" s="65"/>
      <c r="U240" s="66"/>
      <c r="V240" s="65"/>
      <c r="W240" s="66"/>
      <c r="X240" s="39"/>
      <c r="Y240" s="57"/>
      <c r="Z240" s="39"/>
      <c r="AA240" s="57"/>
      <c r="AB240" s="65"/>
      <c r="AC240" s="66"/>
      <c r="AD240" s="65"/>
      <c r="AE240" s="66"/>
      <c r="AF240" s="39"/>
      <c r="AG240" s="57"/>
      <c r="AH240" s="39"/>
      <c r="AI240" s="57"/>
    </row>
    <row r="241" spans="1:35" ht="19.5" customHeight="1" x14ac:dyDescent="0.3">
      <c r="A241" s="4">
        <v>2502570</v>
      </c>
      <c r="B241" s="110" t="s">
        <v>1228</v>
      </c>
      <c r="C241" s="55">
        <v>27000</v>
      </c>
      <c r="D241" s="55">
        <v>0</v>
      </c>
      <c r="E241" s="55" t="s">
        <v>17</v>
      </c>
      <c r="F241" s="4" t="s">
        <v>71</v>
      </c>
      <c r="G241" s="4" t="s">
        <v>125</v>
      </c>
      <c r="H241" s="4" t="s">
        <v>2236</v>
      </c>
      <c r="I241" s="4" t="s">
        <v>2251</v>
      </c>
      <c r="J241" s="55">
        <v>27000</v>
      </c>
      <c r="K241" s="55">
        <v>27000</v>
      </c>
      <c r="L241" s="65">
        <v>45723</v>
      </c>
      <c r="M241" s="66">
        <v>500</v>
      </c>
      <c r="N241" s="65">
        <v>45723</v>
      </c>
      <c r="O241" s="66">
        <v>500</v>
      </c>
      <c r="P241" s="39">
        <v>45838</v>
      </c>
      <c r="Q241" s="57">
        <v>26500</v>
      </c>
      <c r="R241" s="39">
        <v>45839</v>
      </c>
      <c r="S241" s="57">
        <v>26500</v>
      </c>
      <c r="T241" s="65"/>
      <c r="U241" s="66"/>
      <c r="V241" s="65"/>
      <c r="W241" s="66"/>
      <c r="X241" s="39"/>
      <c r="Y241" s="57"/>
      <c r="Z241" s="39"/>
      <c r="AA241" s="57"/>
      <c r="AB241" s="65"/>
      <c r="AC241" s="66"/>
      <c r="AD241" s="65"/>
      <c r="AE241" s="66"/>
      <c r="AF241" s="39"/>
      <c r="AG241" s="57"/>
      <c r="AH241" s="39"/>
      <c r="AI241" s="57"/>
    </row>
    <row r="242" spans="1:35" ht="19.5" customHeight="1" x14ac:dyDescent="0.3">
      <c r="A242" s="4">
        <v>2502573</v>
      </c>
      <c r="B242" s="110" t="s">
        <v>1233</v>
      </c>
      <c r="C242" s="55">
        <v>26000</v>
      </c>
      <c r="D242" s="55">
        <v>0</v>
      </c>
      <c r="E242" s="55" t="s">
        <v>20</v>
      </c>
      <c r="F242" s="4" t="s">
        <v>71</v>
      </c>
      <c r="G242" s="4" t="s">
        <v>125</v>
      </c>
      <c r="H242" s="4" t="s">
        <v>2236</v>
      </c>
      <c r="I242" s="4" t="s">
        <v>2251</v>
      </c>
      <c r="J242" s="55">
        <v>26000</v>
      </c>
      <c r="K242" s="55">
        <v>26000</v>
      </c>
      <c r="L242" s="65">
        <v>45722</v>
      </c>
      <c r="M242" s="66">
        <v>500</v>
      </c>
      <c r="N242" s="65">
        <v>45722</v>
      </c>
      <c r="O242" s="66">
        <v>500</v>
      </c>
      <c r="P242" s="39">
        <v>45771</v>
      </c>
      <c r="Q242" s="57">
        <v>23500</v>
      </c>
      <c r="R242" s="39">
        <v>45771</v>
      </c>
      <c r="S242" s="57">
        <v>23500</v>
      </c>
      <c r="T242" s="65">
        <v>45784</v>
      </c>
      <c r="U242" s="66">
        <v>2000</v>
      </c>
      <c r="V242" s="65">
        <v>45784</v>
      </c>
      <c r="W242" s="66">
        <v>2000</v>
      </c>
      <c r="X242" s="39"/>
      <c r="Y242" s="57"/>
      <c r="Z242" s="39"/>
      <c r="AA242" s="57"/>
      <c r="AB242" s="65"/>
      <c r="AC242" s="66"/>
      <c r="AD242" s="65"/>
      <c r="AE242" s="66"/>
      <c r="AF242" s="39"/>
      <c r="AG242" s="57"/>
      <c r="AH242" s="39"/>
      <c r="AI242" s="57"/>
    </row>
    <row r="243" spans="1:35" ht="19.5" customHeight="1" x14ac:dyDescent="0.3">
      <c r="A243" s="4">
        <v>2503593</v>
      </c>
      <c r="B243" s="110" t="s">
        <v>1238</v>
      </c>
      <c r="C243" s="55">
        <v>24548</v>
      </c>
      <c r="D243" s="55">
        <v>0</v>
      </c>
      <c r="E243" s="55" t="s">
        <v>22</v>
      </c>
      <c r="F243" s="4" t="s">
        <v>71</v>
      </c>
      <c r="G243" s="4" t="s">
        <v>176</v>
      </c>
      <c r="H243" s="4" t="s">
        <v>2236</v>
      </c>
      <c r="I243" s="4" t="s">
        <v>2251</v>
      </c>
      <c r="J243" s="55">
        <v>24548</v>
      </c>
      <c r="K243" s="55">
        <v>24548</v>
      </c>
      <c r="L243" s="65">
        <v>45726</v>
      </c>
      <c r="M243" s="66">
        <v>500</v>
      </c>
      <c r="N243" s="65">
        <v>45726</v>
      </c>
      <c r="O243" s="66">
        <v>500</v>
      </c>
      <c r="P243" s="39">
        <v>45771</v>
      </c>
      <c r="Q243" s="57">
        <v>24048</v>
      </c>
      <c r="R243" s="39">
        <v>45771</v>
      </c>
      <c r="S243" s="57">
        <v>24048</v>
      </c>
      <c r="T243" s="65"/>
      <c r="U243" s="66"/>
      <c r="V243" s="65"/>
      <c r="W243" s="66"/>
      <c r="X243" s="39"/>
      <c r="Y243" s="57"/>
      <c r="Z243" s="39"/>
      <c r="AA243" s="57"/>
      <c r="AB243" s="65"/>
      <c r="AC243" s="66"/>
      <c r="AD243" s="65"/>
      <c r="AE243" s="66"/>
      <c r="AF243" s="39"/>
      <c r="AG243" s="57"/>
      <c r="AH243" s="39"/>
      <c r="AI243" s="57"/>
    </row>
    <row r="244" spans="1:35" ht="19.5" customHeight="1" x14ac:dyDescent="0.3">
      <c r="A244" s="4">
        <v>2501211</v>
      </c>
      <c r="B244" s="110" t="s">
        <v>1243</v>
      </c>
      <c r="C244" s="55">
        <v>54000</v>
      </c>
      <c r="D244" s="55">
        <v>0</v>
      </c>
      <c r="E244" s="55" t="s">
        <v>19</v>
      </c>
      <c r="F244" s="4" t="s">
        <v>124</v>
      </c>
      <c r="G244" s="4" t="s">
        <v>125</v>
      </c>
      <c r="H244" s="4" t="s">
        <v>2240</v>
      </c>
      <c r="I244" s="4" t="s">
        <v>2255</v>
      </c>
      <c r="J244" s="55">
        <v>5400</v>
      </c>
      <c r="K244" s="55">
        <v>5400</v>
      </c>
      <c r="L244" s="65">
        <v>45706</v>
      </c>
      <c r="M244" s="66">
        <v>5400</v>
      </c>
      <c r="N244" s="65">
        <v>45715</v>
      </c>
      <c r="O244" s="66">
        <v>5400</v>
      </c>
      <c r="P244" s="39"/>
      <c r="Q244" s="57"/>
      <c r="R244" s="39"/>
      <c r="S244" s="57"/>
      <c r="T244" s="65"/>
      <c r="U244" s="66"/>
      <c r="V244" s="65"/>
      <c r="W244" s="66"/>
      <c r="X244" s="39"/>
      <c r="Y244" s="57"/>
      <c r="Z244" s="39"/>
      <c r="AA244" s="57"/>
      <c r="AB244" s="65"/>
      <c r="AC244" s="66"/>
      <c r="AD244" s="65"/>
      <c r="AE244" s="66"/>
      <c r="AF244" s="39"/>
      <c r="AG244" s="57"/>
      <c r="AH244" s="39"/>
      <c r="AI244" s="57"/>
    </row>
    <row r="245" spans="1:35" ht="19.5" customHeight="1" x14ac:dyDescent="0.3">
      <c r="A245" s="4">
        <v>2502589</v>
      </c>
      <c r="B245" s="110" t="s">
        <v>1246</v>
      </c>
      <c r="C245" s="55">
        <v>26000</v>
      </c>
      <c r="D245" s="55">
        <v>0</v>
      </c>
      <c r="E245" s="55" t="s">
        <v>22</v>
      </c>
      <c r="F245" s="4" t="s">
        <v>71</v>
      </c>
      <c r="G245" s="4" t="s">
        <v>125</v>
      </c>
      <c r="H245" s="4" t="s">
        <v>2236</v>
      </c>
      <c r="I245" s="4" t="s">
        <v>2251</v>
      </c>
      <c r="J245" s="55">
        <v>26000</v>
      </c>
      <c r="K245" s="55">
        <v>26000</v>
      </c>
      <c r="L245" s="65">
        <v>45723</v>
      </c>
      <c r="M245" s="66">
        <v>500</v>
      </c>
      <c r="N245" s="65">
        <v>45723</v>
      </c>
      <c r="O245" s="66">
        <v>500</v>
      </c>
      <c r="P245" s="39">
        <v>45740</v>
      </c>
      <c r="Q245" s="57">
        <v>25500</v>
      </c>
      <c r="R245" s="39">
        <v>45743</v>
      </c>
      <c r="S245" s="57">
        <v>25500</v>
      </c>
      <c r="T245" s="65"/>
      <c r="U245" s="66"/>
      <c r="V245" s="65"/>
      <c r="W245" s="66"/>
      <c r="X245" s="39"/>
      <c r="Y245" s="57"/>
      <c r="Z245" s="39"/>
      <c r="AA245" s="57"/>
      <c r="AB245" s="65"/>
      <c r="AC245" s="66"/>
      <c r="AD245" s="65"/>
      <c r="AE245" s="66"/>
      <c r="AF245" s="39"/>
      <c r="AG245" s="57"/>
      <c r="AH245" s="39"/>
      <c r="AI245" s="57"/>
    </row>
    <row r="246" spans="1:35" ht="19.5" customHeight="1" x14ac:dyDescent="0.3">
      <c r="A246" s="4">
        <v>2403090</v>
      </c>
      <c r="B246" s="110" t="s">
        <v>1251</v>
      </c>
      <c r="C246" s="55">
        <v>898000</v>
      </c>
      <c r="D246" s="55">
        <v>8500</v>
      </c>
      <c r="E246" s="55" t="s">
        <v>17</v>
      </c>
      <c r="F246" s="4" t="s">
        <v>124</v>
      </c>
      <c r="G246" s="4" t="s">
        <v>125</v>
      </c>
      <c r="H246" s="4" t="s">
        <v>2248</v>
      </c>
      <c r="I246" s="4" t="s">
        <v>2257</v>
      </c>
      <c r="J246" s="55">
        <v>816700</v>
      </c>
      <c r="K246" s="55">
        <v>812450</v>
      </c>
      <c r="L246" s="65">
        <v>45761</v>
      </c>
      <c r="M246" s="66">
        <v>94050</v>
      </c>
      <c r="N246" s="65">
        <v>45771</v>
      </c>
      <c r="O246" s="66">
        <v>94050</v>
      </c>
      <c r="P246" s="39">
        <v>45805</v>
      </c>
      <c r="Q246" s="57">
        <v>4250</v>
      </c>
      <c r="R246" s="39"/>
      <c r="S246" s="57"/>
      <c r="T246" s="65">
        <v>45807</v>
      </c>
      <c r="U246" s="66">
        <v>314300</v>
      </c>
      <c r="V246" s="65">
        <v>45814</v>
      </c>
      <c r="W246" s="66">
        <v>314300</v>
      </c>
      <c r="X246" s="39">
        <v>45904</v>
      </c>
      <c r="Y246" s="57">
        <v>224500</v>
      </c>
      <c r="Z246" s="39">
        <v>45922</v>
      </c>
      <c r="AA246" s="57">
        <v>224500</v>
      </c>
      <c r="AB246" s="65">
        <v>45964</v>
      </c>
      <c r="AC246" s="66">
        <v>179600</v>
      </c>
      <c r="AD246" s="65">
        <v>45979</v>
      </c>
      <c r="AE246" s="66">
        <v>179600</v>
      </c>
      <c r="AF246" s="39"/>
      <c r="AG246" s="57"/>
      <c r="AH246" s="39"/>
      <c r="AI246" s="57"/>
    </row>
    <row r="247" spans="1:35" ht="19.5" customHeight="1" x14ac:dyDescent="0.3">
      <c r="A247" s="4">
        <v>2502557</v>
      </c>
      <c r="B247" s="110" t="s">
        <v>1252</v>
      </c>
      <c r="C247" s="55">
        <v>28000</v>
      </c>
      <c r="D247" s="55">
        <v>0</v>
      </c>
      <c r="E247" s="55" t="s">
        <v>22</v>
      </c>
      <c r="F247" s="4" t="s">
        <v>71</v>
      </c>
      <c r="G247" s="4" t="s">
        <v>125</v>
      </c>
      <c r="H247" s="4" t="s">
        <v>2236</v>
      </c>
      <c r="I247" s="4" t="s">
        <v>2251</v>
      </c>
      <c r="J247" s="55">
        <v>28000</v>
      </c>
      <c r="K247" s="55">
        <v>28000</v>
      </c>
      <c r="L247" s="65">
        <v>45727</v>
      </c>
      <c r="M247" s="66">
        <v>500</v>
      </c>
      <c r="N247" s="65">
        <v>45727</v>
      </c>
      <c r="O247" s="66">
        <v>500</v>
      </c>
      <c r="P247" s="39">
        <v>45783</v>
      </c>
      <c r="Q247" s="57">
        <v>25500</v>
      </c>
      <c r="R247" s="39">
        <v>45783</v>
      </c>
      <c r="S247" s="57">
        <v>25500</v>
      </c>
      <c r="T247" s="65">
        <v>45908</v>
      </c>
      <c r="U247" s="66">
        <v>2000</v>
      </c>
      <c r="V247" s="65">
        <v>45909</v>
      </c>
      <c r="W247" s="66">
        <v>2000</v>
      </c>
      <c r="X247" s="39"/>
      <c r="Y247" s="57"/>
      <c r="Z247" s="39"/>
      <c r="AA247" s="57"/>
      <c r="AB247" s="65"/>
      <c r="AC247" s="66"/>
      <c r="AD247" s="65"/>
      <c r="AE247" s="66"/>
      <c r="AF247" s="39"/>
      <c r="AG247" s="57"/>
      <c r="AH247" s="39"/>
      <c r="AI247" s="57"/>
    </row>
    <row r="248" spans="1:35" ht="19.5" customHeight="1" x14ac:dyDescent="0.3">
      <c r="A248" s="4">
        <v>2503594</v>
      </c>
      <c r="B248" s="110" t="s">
        <v>1257</v>
      </c>
      <c r="C248" s="55">
        <v>22500</v>
      </c>
      <c r="D248" s="55">
        <v>0</v>
      </c>
      <c r="E248" s="55" t="s">
        <v>22</v>
      </c>
      <c r="F248" s="4" t="s">
        <v>71</v>
      </c>
      <c r="G248" s="4" t="s">
        <v>125</v>
      </c>
      <c r="H248" s="4" t="s">
        <v>2238</v>
      </c>
      <c r="I248" s="4" t="s">
        <v>2253</v>
      </c>
      <c r="J248" s="55">
        <v>20500</v>
      </c>
      <c r="K248" s="55">
        <v>20500</v>
      </c>
      <c r="L248" s="65">
        <v>45727</v>
      </c>
      <c r="M248" s="66">
        <v>500</v>
      </c>
      <c r="N248" s="65">
        <v>45727</v>
      </c>
      <c r="O248" s="66">
        <v>500</v>
      </c>
      <c r="P248" s="39">
        <v>45769</v>
      </c>
      <c r="Q248" s="57">
        <v>20000</v>
      </c>
      <c r="R248" s="39">
        <v>45770</v>
      </c>
      <c r="S248" s="57">
        <v>20000</v>
      </c>
      <c r="T248" s="65"/>
      <c r="U248" s="66"/>
      <c r="V248" s="65"/>
      <c r="W248" s="66"/>
      <c r="X248" s="39"/>
      <c r="Y248" s="57"/>
      <c r="Z248" s="39"/>
      <c r="AA248" s="57"/>
      <c r="AB248" s="65"/>
      <c r="AC248" s="66"/>
      <c r="AD248" s="65"/>
      <c r="AE248" s="66"/>
      <c r="AF248" s="39"/>
      <c r="AG248" s="57"/>
      <c r="AH248" s="39"/>
      <c r="AI248" s="57"/>
    </row>
    <row r="249" spans="1:35" ht="19.5" customHeight="1" x14ac:dyDescent="0.3">
      <c r="A249" s="4">
        <v>2503597</v>
      </c>
      <c r="B249" s="110" t="s">
        <v>1263</v>
      </c>
      <c r="C249" s="55">
        <v>31000</v>
      </c>
      <c r="D249" s="55">
        <v>0</v>
      </c>
      <c r="E249" s="55" t="s">
        <v>19</v>
      </c>
      <c r="F249" s="4" t="s">
        <v>71</v>
      </c>
      <c r="G249" s="4" t="s">
        <v>125</v>
      </c>
      <c r="H249" s="4" t="s">
        <v>2236</v>
      </c>
      <c r="I249" s="4" t="s">
        <v>2251</v>
      </c>
      <c r="J249" s="55">
        <v>31000</v>
      </c>
      <c r="K249" s="55">
        <v>31000</v>
      </c>
      <c r="L249" s="65">
        <v>45727</v>
      </c>
      <c r="M249" s="66">
        <v>500</v>
      </c>
      <c r="N249" s="65">
        <v>45727</v>
      </c>
      <c r="O249" s="66">
        <v>500</v>
      </c>
      <c r="P249" s="39">
        <v>45772</v>
      </c>
      <c r="Q249" s="57">
        <v>28500</v>
      </c>
      <c r="R249" s="39">
        <v>45772</v>
      </c>
      <c r="S249" s="57">
        <v>28500</v>
      </c>
      <c r="T249" s="65">
        <v>45798</v>
      </c>
      <c r="U249" s="66">
        <v>2000</v>
      </c>
      <c r="V249" s="65">
        <v>45798</v>
      </c>
      <c r="W249" s="66">
        <v>2000</v>
      </c>
      <c r="X249" s="39"/>
      <c r="Y249" s="57"/>
      <c r="Z249" s="39"/>
      <c r="AA249" s="57"/>
      <c r="AB249" s="65"/>
      <c r="AC249" s="66"/>
      <c r="AD249" s="65"/>
      <c r="AE249" s="66"/>
      <c r="AF249" s="39"/>
      <c r="AG249" s="57"/>
      <c r="AH249" s="39"/>
      <c r="AI249" s="57"/>
    </row>
    <row r="250" spans="1:35" ht="19.5" customHeight="1" x14ac:dyDescent="0.3">
      <c r="A250" s="4">
        <v>2502588</v>
      </c>
      <c r="B250" s="110" t="s">
        <v>1268</v>
      </c>
      <c r="C250" s="55">
        <v>26600</v>
      </c>
      <c r="D250" s="55">
        <v>1000</v>
      </c>
      <c r="E250" s="55" t="s">
        <v>22</v>
      </c>
      <c r="F250" s="4" t="s">
        <v>71</v>
      </c>
      <c r="G250" s="4" t="s">
        <v>125</v>
      </c>
      <c r="H250" s="4" t="s">
        <v>2236</v>
      </c>
      <c r="I250" s="4" t="s">
        <v>2251</v>
      </c>
      <c r="J250" s="55">
        <v>27600</v>
      </c>
      <c r="K250" s="55">
        <v>27600</v>
      </c>
      <c r="L250" s="65">
        <v>45726</v>
      </c>
      <c r="M250" s="66">
        <v>120</v>
      </c>
      <c r="N250" s="65">
        <v>45728</v>
      </c>
      <c r="O250" s="66">
        <v>120</v>
      </c>
      <c r="P250" s="39">
        <v>45775</v>
      </c>
      <c r="Q250" s="57">
        <v>24480</v>
      </c>
      <c r="R250" s="39">
        <v>45790</v>
      </c>
      <c r="S250" s="57">
        <v>24480</v>
      </c>
      <c r="T250" s="65">
        <v>45790</v>
      </c>
      <c r="U250" s="66">
        <v>2000</v>
      </c>
      <c r="V250" s="65">
        <v>45855</v>
      </c>
      <c r="W250" s="66">
        <v>2000</v>
      </c>
      <c r="X250" s="39"/>
      <c r="Y250" s="57"/>
      <c r="Z250" s="39"/>
      <c r="AA250" s="57"/>
      <c r="AB250" s="65"/>
      <c r="AC250" s="66"/>
      <c r="AD250" s="65"/>
      <c r="AE250" s="66"/>
      <c r="AF250" s="39">
        <v>45838</v>
      </c>
      <c r="AG250" s="57">
        <v>1000</v>
      </c>
      <c r="AH250" s="39">
        <v>45855</v>
      </c>
      <c r="AI250" s="57">
        <v>1000</v>
      </c>
    </row>
    <row r="251" spans="1:35" ht="19.5" customHeight="1" x14ac:dyDescent="0.3">
      <c r="A251" s="4">
        <v>2502040</v>
      </c>
      <c r="B251" s="110" t="s">
        <v>1273</v>
      </c>
      <c r="C251" s="55">
        <v>92000</v>
      </c>
      <c r="D251" s="55">
        <v>400</v>
      </c>
      <c r="E251" s="55" t="s">
        <v>20</v>
      </c>
      <c r="F251" s="4" t="s">
        <v>206</v>
      </c>
      <c r="G251" s="4" t="s">
        <v>125</v>
      </c>
      <c r="H251" s="4" t="s">
        <v>2236</v>
      </c>
      <c r="I251" s="4" t="s">
        <v>2252</v>
      </c>
      <c r="J251" s="55">
        <v>92400</v>
      </c>
      <c r="K251" s="55">
        <v>0</v>
      </c>
      <c r="L251" s="65">
        <v>45728</v>
      </c>
      <c r="M251" s="66">
        <v>46000</v>
      </c>
      <c r="N251" s="65"/>
      <c r="O251" s="66"/>
      <c r="P251" s="39">
        <v>45733</v>
      </c>
      <c r="Q251" s="57">
        <v>46000</v>
      </c>
      <c r="R251" s="39"/>
      <c r="S251" s="57"/>
      <c r="T251" s="65"/>
      <c r="U251" s="66"/>
      <c r="V251" s="65"/>
      <c r="W251" s="66"/>
      <c r="X251" s="39"/>
      <c r="Y251" s="57"/>
      <c r="Z251" s="39"/>
      <c r="AA251" s="57"/>
      <c r="AB251" s="65"/>
      <c r="AC251" s="66"/>
      <c r="AD251" s="65"/>
      <c r="AE251" s="66"/>
      <c r="AF251" s="39">
        <v>45762</v>
      </c>
      <c r="AG251" s="57">
        <v>400</v>
      </c>
      <c r="AH251" s="39"/>
      <c r="AI251" s="57"/>
    </row>
    <row r="252" spans="1:35" ht="19.5" customHeight="1" x14ac:dyDescent="0.3">
      <c r="A252" s="4">
        <v>2503595</v>
      </c>
      <c r="B252" s="110" t="s">
        <v>1274</v>
      </c>
      <c r="C252" s="55">
        <v>35000</v>
      </c>
      <c r="D252" s="55">
        <v>0</v>
      </c>
      <c r="E252" s="55" t="s">
        <v>17</v>
      </c>
      <c r="F252" s="4" t="s">
        <v>71</v>
      </c>
      <c r="G252" s="4" t="s">
        <v>125</v>
      </c>
      <c r="H252" s="4" t="s">
        <v>2236</v>
      </c>
      <c r="I252" s="4" t="s">
        <v>2251</v>
      </c>
      <c r="J252" s="55">
        <v>35000</v>
      </c>
      <c r="K252" s="55">
        <v>35000</v>
      </c>
      <c r="L252" s="65">
        <v>45730</v>
      </c>
      <c r="M252" s="66">
        <v>500</v>
      </c>
      <c r="N252" s="65">
        <v>45730</v>
      </c>
      <c r="O252" s="66">
        <v>500</v>
      </c>
      <c r="P252" s="39">
        <v>45869</v>
      </c>
      <c r="Q252" s="57">
        <v>34500</v>
      </c>
      <c r="R252" s="39">
        <v>45869</v>
      </c>
      <c r="S252" s="57">
        <v>34500</v>
      </c>
      <c r="T252" s="65"/>
      <c r="U252" s="66"/>
      <c r="V252" s="65"/>
      <c r="W252" s="66"/>
      <c r="X252" s="39"/>
      <c r="Y252" s="57"/>
      <c r="Z252" s="39"/>
      <c r="AA252" s="57"/>
      <c r="AB252" s="65"/>
      <c r="AC252" s="66"/>
      <c r="AD252" s="65"/>
      <c r="AE252" s="66"/>
      <c r="AF252" s="39"/>
      <c r="AG252" s="57"/>
      <c r="AH252" s="39"/>
      <c r="AI252" s="57"/>
    </row>
    <row r="253" spans="1:35" ht="19.5" customHeight="1" x14ac:dyDescent="0.3">
      <c r="A253" s="4">
        <v>2503586</v>
      </c>
      <c r="B253" s="110" t="s">
        <v>1279</v>
      </c>
      <c r="C253" s="55">
        <v>21500</v>
      </c>
      <c r="D253" s="55">
        <v>0</v>
      </c>
      <c r="E253" s="55" t="s">
        <v>22</v>
      </c>
      <c r="F253" s="4" t="s">
        <v>71</v>
      </c>
      <c r="G253" s="4" t="s">
        <v>125</v>
      </c>
      <c r="H253" s="4" t="s">
        <v>2236</v>
      </c>
      <c r="I253" s="4" t="s">
        <v>2251</v>
      </c>
      <c r="J253" s="55">
        <v>21500</v>
      </c>
      <c r="K253" s="55">
        <v>21500</v>
      </c>
      <c r="L253" s="65">
        <v>45730</v>
      </c>
      <c r="M253" s="66">
        <v>500</v>
      </c>
      <c r="N253" s="65">
        <v>45735</v>
      </c>
      <c r="O253" s="66">
        <v>500</v>
      </c>
      <c r="P253" s="39">
        <v>45770</v>
      </c>
      <c r="Q253" s="57">
        <v>19000</v>
      </c>
      <c r="R253" s="39">
        <v>45770</v>
      </c>
      <c r="S253" s="57">
        <v>19000</v>
      </c>
      <c r="T253" s="65">
        <v>45832</v>
      </c>
      <c r="U253" s="66">
        <v>2000</v>
      </c>
      <c r="V253" s="65">
        <v>45837</v>
      </c>
      <c r="W253" s="66">
        <v>2000</v>
      </c>
      <c r="X253" s="39"/>
      <c r="Y253" s="57"/>
      <c r="Z253" s="39"/>
      <c r="AA253" s="57"/>
      <c r="AB253" s="65"/>
      <c r="AC253" s="66"/>
      <c r="AD253" s="65"/>
      <c r="AE253" s="66"/>
      <c r="AF253" s="39"/>
      <c r="AG253" s="57"/>
      <c r="AH253" s="39"/>
      <c r="AI253" s="57"/>
    </row>
    <row r="254" spans="1:35" ht="19.5" customHeight="1" x14ac:dyDescent="0.3">
      <c r="A254" s="4">
        <v>2503604</v>
      </c>
      <c r="B254" s="110" t="s">
        <v>1284</v>
      </c>
      <c r="C254" s="55">
        <v>27000</v>
      </c>
      <c r="D254" s="55">
        <v>0</v>
      </c>
      <c r="E254" s="55" t="s">
        <v>17</v>
      </c>
      <c r="F254" s="4" t="s">
        <v>71</v>
      </c>
      <c r="G254" s="4" t="s">
        <v>125</v>
      </c>
      <c r="H254" s="4" t="s">
        <v>2236</v>
      </c>
      <c r="I254" s="4" t="s">
        <v>2251</v>
      </c>
      <c r="J254" s="55">
        <v>27000</v>
      </c>
      <c r="K254" s="55">
        <v>27000</v>
      </c>
      <c r="L254" s="65">
        <v>45733</v>
      </c>
      <c r="M254" s="66">
        <v>500</v>
      </c>
      <c r="N254" s="65">
        <v>45733</v>
      </c>
      <c r="O254" s="66">
        <v>500</v>
      </c>
      <c r="P254" s="39">
        <v>45768</v>
      </c>
      <c r="Q254" s="57">
        <v>26500</v>
      </c>
      <c r="R254" s="39">
        <v>45768</v>
      </c>
      <c r="S254" s="57">
        <v>26500</v>
      </c>
      <c r="T254" s="65"/>
      <c r="U254" s="66"/>
      <c r="V254" s="65"/>
      <c r="W254" s="66"/>
      <c r="X254" s="39"/>
      <c r="Y254" s="57"/>
      <c r="Z254" s="39"/>
      <c r="AA254" s="57"/>
      <c r="AB254" s="65"/>
      <c r="AC254" s="66"/>
      <c r="AD254" s="65"/>
      <c r="AE254" s="66"/>
      <c r="AF254" s="39"/>
      <c r="AG254" s="57"/>
      <c r="AH254" s="39"/>
      <c r="AI254" s="57"/>
    </row>
    <row r="255" spans="1:35" ht="19.5" customHeight="1" x14ac:dyDescent="0.3">
      <c r="A255" s="4">
        <v>2503598</v>
      </c>
      <c r="B255" s="110" t="s">
        <v>1289</v>
      </c>
      <c r="C255" s="55">
        <v>27000</v>
      </c>
      <c r="D255" s="55">
        <v>0</v>
      </c>
      <c r="E255" s="55" t="s">
        <v>17</v>
      </c>
      <c r="F255" s="4" t="s">
        <v>71</v>
      </c>
      <c r="G255" s="4" t="s">
        <v>125</v>
      </c>
      <c r="H255" s="4" t="s">
        <v>2236</v>
      </c>
      <c r="I255" s="4" t="s">
        <v>2251</v>
      </c>
      <c r="J255" s="55">
        <v>27000</v>
      </c>
      <c r="K255" s="55">
        <v>27000</v>
      </c>
      <c r="L255" s="65">
        <v>45733</v>
      </c>
      <c r="M255" s="66">
        <v>500</v>
      </c>
      <c r="N255" s="65">
        <v>45733</v>
      </c>
      <c r="O255" s="66">
        <v>500</v>
      </c>
      <c r="P255" s="39">
        <v>45776</v>
      </c>
      <c r="Q255" s="57">
        <v>26500</v>
      </c>
      <c r="R255" s="39">
        <v>45776</v>
      </c>
      <c r="S255" s="57">
        <v>26500</v>
      </c>
      <c r="T255" s="65"/>
      <c r="U255" s="66"/>
      <c r="V255" s="65"/>
      <c r="W255" s="66"/>
      <c r="X255" s="39"/>
      <c r="Y255" s="57"/>
      <c r="Z255" s="39"/>
      <c r="AA255" s="57"/>
      <c r="AB255" s="65"/>
      <c r="AC255" s="66"/>
      <c r="AD255" s="65"/>
      <c r="AE255" s="66"/>
      <c r="AF255" s="39"/>
      <c r="AG255" s="57"/>
      <c r="AH255" s="39"/>
      <c r="AI255" s="57"/>
    </row>
    <row r="256" spans="1:35" ht="19.5" customHeight="1" x14ac:dyDescent="0.3">
      <c r="A256" s="4">
        <v>2503609</v>
      </c>
      <c r="B256" s="110" t="s">
        <v>1294</v>
      </c>
      <c r="C256" s="55">
        <v>35000</v>
      </c>
      <c r="D256" s="55">
        <v>0</v>
      </c>
      <c r="E256" s="55" t="s">
        <v>17</v>
      </c>
      <c r="F256" s="4" t="s">
        <v>71</v>
      </c>
      <c r="G256" s="4" t="s">
        <v>125</v>
      </c>
      <c r="H256" s="4" t="s">
        <v>2236</v>
      </c>
      <c r="I256" s="4" t="s">
        <v>2251</v>
      </c>
      <c r="J256" s="55">
        <v>35000</v>
      </c>
      <c r="K256" s="55">
        <v>35000</v>
      </c>
      <c r="L256" s="65">
        <v>45735</v>
      </c>
      <c r="M256" s="66">
        <v>500</v>
      </c>
      <c r="N256" s="65">
        <v>45735</v>
      </c>
      <c r="O256" s="66">
        <v>500</v>
      </c>
      <c r="P256" s="39">
        <v>45804</v>
      </c>
      <c r="Q256" s="57">
        <v>32500</v>
      </c>
      <c r="R256" s="39">
        <v>45874</v>
      </c>
      <c r="S256" s="57">
        <v>32500</v>
      </c>
      <c r="T256" s="65">
        <v>45874</v>
      </c>
      <c r="U256" s="66">
        <v>2000</v>
      </c>
      <c r="V256" s="65">
        <v>45874</v>
      </c>
      <c r="W256" s="66">
        <v>2000</v>
      </c>
      <c r="X256" s="39"/>
      <c r="Y256" s="57"/>
      <c r="Z256" s="39"/>
      <c r="AA256" s="57"/>
      <c r="AB256" s="65"/>
      <c r="AC256" s="66"/>
      <c r="AD256" s="65"/>
      <c r="AE256" s="66"/>
      <c r="AF256" s="39"/>
      <c r="AG256" s="57"/>
      <c r="AH256" s="39"/>
      <c r="AI256" s="57"/>
    </row>
    <row r="257" spans="1:35" ht="19.5" customHeight="1" x14ac:dyDescent="0.3">
      <c r="A257" s="4">
        <v>2503610</v>
      </c>
      <c r="B257" s="110" t="s">
        <v>1299</v>
      </c>
      <c r="C257" s="55">
        <v>43000</v>
      </c>
      <c r="D257" s="55">
        <v>0</v>
      </c>
      <c r="E257" s="55" t="s">
        <v>17</v>
      </c>
      <c r="F257" s="4" t="s">
        <v>71</v>
      </c>
      <c r="G257" s="4" t="s">
        <v>125</v>
      </c>
      <c r="H257" s="4" t="s">
        <v>2236</v>
      </c>
      <c r="I257" s="4" t="s">
        <v>2251</v>
      </c>
      <c r="J257" s="55">
        <v>43000</v>
      </c>
      <c r="K257" s="55">
        <v>43000</v>
      </c>
      <c r="L257" s="65">
        <v>45740</v>
      </c>
      <c r="M257" s="66">
        <v>500</v>
      </c>
      <c r="N257" s="65">
        <v>45740</v>
      </c>
      <c r="O257" s="66">
        <v>500</v>
      </c>
      <c r="P257" s="39">
        <v>45763</v>
      </c>
      <c r="Q257" s="57">
        <v>40500</v>
      </c>
      <c r="R257" s="39">
        <v>45763</v>
      </c>
      <c r="S257" s="57">
        <v>40500</v>
      </c>
      <c r="T257" s="65">
        <v>45764</v>
      </c>
      <c r="U257" s="66">
        <v>2000</v>
      </c>
      <c r="V257" s="65">
        <v>45764</v>
      </c>
      <c r="W257" s="66">
        <v>2000</v>
      </c>
      <c r="X257" s="39"/>
      <c r="Y257" s="57"/>
      <c r="Z257" s="39"/>
      <c r="AA257" s="57"/>
      <c r="AB257" s="65"/>
      <c r="AC257" s="66"/>
      <c r="AD257" s="65"/>
      <c r="AE257" s="66"/>
      <c r="AF257" s="39"/>
      <c r="AG257" s="57"/>
      <c r="AH257" s="39"/>
      <c r="AI257" s="57"/>
    </row>
    <row r="258" spans="1:35" ht="19.5" customHeight="1" x14ac:dyDescent="0.3">
      <c r="A258" s="4">
        <v>2503611</v>
      </c>
      <c r="B258" s="110" t="s">
        <v>1304</v>
      </c>
      <c r="C258" s="55">
        <v>23500</v>
      </c>
      <c r="D258" s="55">
        <v>0</v>
      </c>
      <c r="E258" s="55" t="s">
        <v>17</v>
      </c>
      <c r="F258" s="4" t="s">
        <v>71</v>
      </c>
      <c r="G258" s="4" t="s">
        <v>125</v>
      </c>
      <c r="H258" s="4" t="s">
        <v>2236</v>
      </c>
      <c r="I258" s="4" t="s">
        <v>2251</v>
      </c>
      <c r="J258" s="55">
        <v>23500</v>
      </c>
      <c r="K258" s="55">
        <v>23500</v>
      </c>
      <c r="L258" s="65">
        <v>45742</v>
      </c>
      <c r="M258" s="66">
        <v>500</v>
      </c>
      <c r="N258" s="65">
        <v>45743</v>
      </c>
      <c r="O258" s="66">
        <v>500</v>
      </c>
      <c r="P258" s="39">
        <v>45771</v>
      </c>
      <c r="Q258" s="57">
        <v>23000</v>
      </c>
      <c r="R258" s="39">
        <v>45771</v>
      </c>
      <c r="S258" s="57">
        <v>23000</v>
      </c>
      <c r="T258" s="65"/>
      <c r="U258" s="66"/>
      <c r="V258" s="65"/>
      <c r="W258" s="66"/>
      <c r="X258" s="39"/>
      <c r="Y258" s="57"/>
      <c r="Z258" s="39"/>
      <c r="AA258" s="57"/>
      <c r="AB258" s="65"/>
      <c r="AC258" s="66"/>
      <c r="AD258" s="65"/>
      <c r="AE258" s="66"/>
      <c r="AF258" s="39"/>
      <c r="AG258" s="57"/>
      <c r="AH258" s="39"/>
      <c r="AI258" s="57"/>
    </row>
    <row r="259" spans="1:35" ht="19.5" customHeight="1" x14ac:dyDescent="0.3">
      <c r="A259" s="4">
        <v>2501524</v>
      </c>
      <c r="B259" s="110" t="s">
        <v>1309</v>
      </c>
      <c r="C259" s="55">
        <v>27000</v>
      </c>
      <c r="D259" s="55">
        <v>0</v>
      </c>
      <c r="E259" s="55" t="s">
        <v>17</v>
      </c>
      <c r="F259" s="4" t="s">
        <v>71</v>
      </c>
      <c r="G259" s="4" t="s">
        <v>125</v>
      </c>
      <c r="H259" s="4" t="s">
        <v>2236</v>
      </c>
      <c r="I259" s="4" t="s">
        <v>2251</v>
      </c>
      <c r="J259" s="55">
        <v>27000</v>
      </c>
      <c r="K259" s="55">
        <v>27000</v>
      </c>
      <c r="L259" s="65">
        <v>45744</v>
      </c>
      <c r="M259" s="66">
        <v>500</v>
      </c>
      <c r="N259" s="65">
        <v>45744</v>
      </c>
      <c r="O259" s="66">
        <v>500</v>
      </c>
      <c r="P259" s="39">
        <v>45775</v>
      </c>
      <c r="Q259" s="57">
        <v>26500</v>
      </c>
      <c r="R259" s="39">
        <v>45775</v>
      </c>
      <c r="S259" s="57">
        <v>26500</v>
      </c>
      <c r="T259" s="65"/>
      <c r="U259" s="66"/>
      <c r="V259" s="65"/>
      <c r="W259" s="66"/>
      <c r="X259" s="39"/>
      <c r="Y259" s="57"/>
      <c r="Z259" s="39"/>
      <c r="AA259" s="57"/>
      <c r="AB259" s="65"/>
      <c r="AC259" s="66"/>
      <c r="AD259" s="65"/>
      <c r="AE259" s="66"/>
      <c r="AF259" s="39"/>
      <c r="AG259" s="57"/>
      <c r="AH259" s="39"/>
      <c r="AI259" s="57"/>
    </row>
    <row r="260" spans="1:35" ht="19.5" customHeight="1" x14ac:dyDescent="0.3">
      <c r="A260" s="4">
        <v>2503617</v>
      </c>
      <c r="B260" s="110" t="s">
        <v>1314</v>
      </c>
      <c r="C260" s="55">
        <v>41000</v>
      </c>
      <c r="D260" s="55">
        <v>0</v>
      </c>
      <c r="E260" s="55" t="s">
        <v>22</v>
      </c>
      <c r="F260" s="4" t="s">
        <v>71</v>
      </c>
      <c r="G260" s="4" t="s">
        <v>125</v>
      </c>
      <c r="H260" s="4" t="s">
        <v>2236</v>
      </c>
      <c r="I260" s="4" t="s">
        <v>2251</v>
      </c>
      <c r="J260" s="55">
        <v>41000</v>
      </c>
      <c r="K260" s="55">
        <v>41000</v>
      </c>
      <c r="L260" s="65">
        <v>45742</v>
      </c>
      <c r="M260" s="66">
        <v>500</v>
      </c>
      <c r="N260" s="65">
        <v>45742</v>
      </c>
      <c r="O260" s="66">
        <v>500</v>
      </c>
      <c r="P260" s="39">
        <v>45767</v>
      </c>
      <c r="Q260" s="57">
        <v>38500</v>
      </c>
      <c r="R260" s="39">
        <v>45767</v>
      </c>
      <c r="S260" s="57">
        <v>38500</v>
      </c>
      <c r="T260" s="65">
        <v>45898</v>
      </c>
      <c r="U260" s="66">
        <v>2000</v>
      </c>
      <c r="V260" s="65">
        <v>45898</v>
      </c>
      <c r="W260" s="66">
        <v>2000</v>
      </c>
      <c r="X260" s="39"/>
      <c r="Y260" s="57"/>
      <c r="Z260" s="39"/>
      <c r="AA260" s="57"/>
      <c r="AB260" s="65"/>
      <c r="AC260" s="66"/>
      <c r="AD260" s="65"/>
      <c r="AE260" s="66"/>
      <c r="AF260" s="39"/>
      <c r="AG260" s="57"/>
      <c r="AH260" s="39"/>
      <c r="AI260" s="57"/>
    </row>
    <row r="261" spans="1:35" ht="19.5" customHeight="1" x14ac:dyDescent="0.3">
      <c r="A261" s="4">
        <v>2503601</v>
      </c>
      <c r="B261" s="110" t="s">
        <v>1319</v>
      </c>
      <c r="C261" s="55">
        <v>29000</v>
      </c>
      <c r="D261" s="55">
        <v>0</v>
      </c>
      <c r="E261" s="55" t="s">
        <v>17</v>
      </c>
      <c r="F261" s="4" t="s">
        <v>71</v>
      </c>
      <c r="G261" s="4" t="s">
        <v>125</v>
      </c>
      <c r="H261" s="4" t="s">
        <v>2240</v>
      </c>
      <c r="I261" s="4" t="s">
        <v>2255</v>
      </c>
      <c r="J261" s="55">
        <v>500</v>
      </c>
      <c r="K261" s="55">
        <v>500</v>
      </c>
      <c r="L261" s="65">
        <v>45742</v>
      </c>
      <c r="M261" s="66">
        <v>500</v>
      </c>
      <c r="N261" s="65">
        <v>45744</v>
      </c>
      <c r="O261" s="66">
        <v>500</v>
      </c>
      <c r="P261" s="39"/>
      <c r="Q261" s="57"/>
      <c r="R261" s="39"/>
      <c r="S261" s="57"/>
      <c r="T261" s="65"/>
      <c r="U261" s="66"/>
      <c r="V261" s="65"/>
      <c r="W261" s="66"/>
      <c r="X261" s="39"/>
      <c r="Y261" s="57"/>
      <c r="Z261" s="39"/>
      <c r="AA261" s="57"/>
      <c r="AB261" s="65"/>
      <c r="AC261" s="66"/>
      <c r="AD261" s="65"/>
      <c r="AE261" s="66"/>
      <c r="AF261" s="39"/>
      <c r="AG261" s="57"/>
      <c r="AH261" s="39"/>
      <c r="AI261" s="57"/>
    </row>
    <row r="262" spans="1:35" s="123" customFormat="1" ht="19.5" customHeight="1" x14ac:dyDescent="0.3">
      <c r="A262" s="116">
        <v>2503619</v>
      </c>
      <c r="B262" s="125" t="s">
        <v>1320</v>
      </c>
      <c r="C262" s="117">
        <v>21500</v>
      </c>
      <c r="D262" s="117">
        <v>0</v>
      </c>
      <c r="E262" s="117" t="s">
        <v>22</v>
      </c>
      <c r="F262" s="116">
        <v>0</v>
      </c>
      <c r="G262" s="116" t="s">
        <v>125</v>
      </c>
      <c r="H262" s="116" t="s">
        <v>2240</v>
      </c>
      <c r="I262" s="116" t="s">
        <v>2255</v>
      </c>
      <c r="J262" s="117">
        <v>500</v>
      </c>
      <c r="K262" s="117">
        <v>500</v>
      </c>
      <c r="L262" s="118">
        <v>45746</v>
      </c>
      <c r="M262" s="119">
        <v>500</v>
      </c>
      <c r="N262" s="118">
        <v>45746</v>
      </c>
      <c r="O262" s="119">
        <v>500</v>
      </c>
      <c r="P262" s="120"/>
      <c r="Q262" s="121"/>
      <c r="R262" s="120"/>
      <c r="S262" s="121"/>
      <c r="T262" s="118"/>
      <c r="U262" s="119"/>
      <c r="V262" s="118"/>
      <c r="W262" s="119"/>
      <c r="X262" s="39"/>
      <c r="Y262" s="121"/>
      <c r="Z262" s="39"/>
      <c r="AA262" s="121"/>
      <c r="AB262" s="118"/>
      <c r="AC262" s="119"/>
      <c r="AD262" s="118"/>
      <c r="AE262" s="119"/>
      <c r="AF262" s="120"/>
      <c r="AG262" s="121"/>
      <c r="AH262" s="120"/>
      <c r="AI262" s="121"/>
    </row>
    <row r="263" spans="1:35" ht="19.5" customHeight="1" x14ac:dyDescent="0.3">
      <c r="A263" s="4">
        <v>2504623</v>
      </c>
      <c r="B263" s="110" t="s">
        <v>1325</v>
      </c>
      <c r="C263" s="55">
        <v>21500</v>
      </c>
      <c r="D263" s="55">
        <v>0</v>
      </c>
      <c r="E263" s="55" t="s">
        <v>22</v>
      </c>
      <c r="F263" s="4" t="s">
        <v>71</v>
      </c>
      <c r="G263" s="4" t="s">
        <v>125</v>
      </c>
      <c r="H263" s="4" t="s">
        <v>2236</v>
      </c>
      <c r="I263" s="4" t="s">
        <v>2251</v>
      </c>
      <c r="J263" s="55">
        <v>21500</v>
      </c>
      <c r="K263" s="55">
        <v>21500</v>
      </c>
      <c r="L263" s="65">
        <v>45750</v>
      </c>
      <c r="M263" s="66">
        <v>500</v>
      </c>
      <c r="N263" s="65">
        <v>45750</v>
      </c>
      <c r="O263" s="66">
        <v>500</v>
      </c>
      <c r="P263" s="39">
        <v>45766</v>
      </c>
      <c r="Q263" s="57">
        <v>21000</v>
      </c>
      <c r="R263" s="39">
        <v>45787</v>
      </c>
      <c r="S263" s="57">
        <v>21000</v>
      </c>
      <c r="T263" s="65"/>
      <c r="U263" s="66"/>
      <c r="V263" s="65"/>
      <c r="W263" s="66"/>
      <c r="X263" s="39"/>
      <c r="Y263" s="57"/>
      <c r="Z263" s="39"/>
      <c r="AA263" s="57"/>
      <c r="AB263" s="65"/>
      <c r="AC263" s="66"/>
      <c r="AD263" s="65"/>
      <c r="AE263" s="66"/>
      <c r="AF263" s="39"/>
      <c r="AG263" s="57"/>
      <c r="AH263" s="39"/>
      <c r="AI263" s="57"/>
    </row>
    <row r="264" spans="1:35" ht="19.5" customHeight="1" x14ac:dyDescent="0.3">
      <c r="A264" s="4">
        <v>2503589</v>
      </c>
      <c r="B264" s="110" t="s">
        <v>1330</v>
      </c>
      <c r="C264" s="55">
        <v>21500</v>
      </c>
      <c r="D264" s="55">
        <v>0</v>
      </c>
      <c r="E264" s="55" t="s">
        <v>17</v>
      </c>
      <c r="F264" s="4" t="s">
        <v>71</v>
      </c>
      <c r="G264" s="4" t="s">
        <v>125</v>
      </c>
      <c r="H264" s="4" t="s">
        <v>2236</v>
      </c>
      <c r="I264" s="4" t="s">
        <v>2251</v>
      </c>
      <c r="J264" s="55">
        <v>21500</v>
      </c>
      <c r="K264" s="55">
        <v>21500</v>
      </c>
      <c r="L264" s="65">
        <v>45756</v>
      </c>
      <c r="M264" s="66">
        <v>500</v>
      </c>
      <c r="N264" s="65">
        <v>45756</v>
      </c>
      <c r="O264" s="66">
        <v>500</v>
      </c>
      <c r="P264" s="39">
        <v>45807</v>
      </c>
      <c r="Q264" s="57">
        <v>19000</v>
      </c>
      <c r="R264" s="39">
        <v>45807</v>
      </c>
      <c r="S264" s="57">
        <v>19000</v>
      </c>
      <c r="T264" s="65">
        <v>45811</v>
      </c>
      <c r="U264" s="66">
        <v>2000</v>
      </c>
      <c r="V264" s="65">
        <v>45811</v>
      </c>
      <c r="W264" s="66">
        <v>2000</v>
      </c>
      <c r="X264" s="39"/>
      <c r="Y264" s="57"/>
      <c r="Z264" s="39"/>
      <c r="AA264" s="57"/>
      <c r="AB264" s="65"/>
      <c r="AC264" s="66"/>
      <c r="AD264" s="65"/>
      <c r="AE264" s="66"/>
      <c r="AF264" s="39"/>
      <c r="AG264" s="57"/>
      <c r="AH264" s="39"/>
      <c r="AI264" s="57"/>
    </row>
    <row r="265" spans="1:35" ht="19.5" customHeight="1" x14ac:dyDescent="0.3">
      <c r="A265" s="4">
        <v>2504633</v>
      </c>
      <c r="B265" s="110" t="s">
        <v>1335</v>
      </c>
      <c r="C265" s="55">
        <v>21500</v>
      </c>
      <c r="D265" s="55">
        <v>0</v>
      </c>
      <c r="E265" s="55" t="s">
        <v>17</v>
      </c>
      <c r="F265" s="4" t="s">
        <v>71</v>
      </c>
      <c r="G265" s="4" t="s">
        <v>125</v>
      </c>
      <c r="H265" s="4" t="s">
        <v>2236</v>
      </c>
      <c r="I265" s="4" t="s">
        <v>2251</v>
      </c>
      <c r="J265" s="55">
        <v>21500</v>
      </c>
      <c r="K265" s="55">
        <v>21500</v>
      </c>
      <c r="L265" s="65">
        <v>45758</v>
      </c>
      <c r="M265" s="66">
        <v>500</v>
      </c>
      <c r="N265" s="65">
        <v>45758</v>
      </c>
      <c r="O265" s="66">
        <v>500</v>
      </c>
      <c r="P265" s="39">
        <v>45820</v>
      </c>
      <c r="Q265" s="57">
        <v>21000</v>
      </c>
      <c r="R265" s="39">
        <v>45820</v>
      </c>
      <c r="S265" s="57">
        <v>21000</v>
      </c>
      <c r="T265" s="65"/>
      <c r="U265" s="66"/>
      <c r="V265" s="65"/>
      <c r="W265" s="66"/>
      <c r="X265" s="39"/>
      <c r="Y265" s="57"/>
      <c r="Z265" s="39"/>
      <c r="AA265" s="57"/>
      <c r="AB265" s="65"/>
      <c r="AC265" s="66"/>
      <c r="AD265" s="65"/>
      <c r="AE265" s="66"/>
      <c r="AF265" s="39"/>
      <c r="AG265" s="57"/>
      <c r="AH265" s="39"/>
      <c r="AI265" s="57"/>
    </row>
    <row r="266" spans="1:35" ht="19.5" customHeight="1" x14ac:dyDescent="0.3">
      <c r="A266" s="4">
        <v>2504636</v>
      </c>
      <c r="B266" s="110" t="s">
        <v>1340</v>
      </c>
      <c r="C266" s="55">
        <v>41000</v>
      </c>
      <c r="D266" s="55">
        <v>0</v>
      </c>
      <c r="E266" s="55" t="s">
        <v>22</v>
      </c>
      <c r="F266" s="4" t="s">
        <v>71</v>
      </c>
      <c r="G266" s="4" t="s">
        <v>125</v>
      </c>
      <c r="H266" s="4" t="s">
        <v>2236</v>
      </c>
      <c r="I266" s="4" t="s">
        <v>2251</v>
      </c>
      <c r="J266" s="55">
        <v>41000</v>
      </c>
      <c r="K266" s="55">
        <v>41000</v>
      </c>
      <c r="L266" s="65">
        <v>45758</v>
      </c>
      <c r="M266" s="66">
        <v>500</v>
      </c>
      <c r="N266" s="65">
        <v>45758</v>
      </c>
      <c r="O266" s="66">
        <v>500</v>
      </c>
      <c r="P266" s="39">
        <v>45783</v>
      </c>
      <c r="Q266" s="57">
        <v>38500</v>
      </c>
      <c r="R266" s="39">
        <v>45784</v>
      </c>
      <c r="S266" s="57">
        <v>38500</v>
      </c>
      <c r="T266" s="65">
        <v>45896</v>
      </c>
      <c r="U266" s="66">
        <v>2000</v>
      </c>
      <c r="V266" s="65">
        <v>45896</v>
      </c>
      <c r="W266" s="66">
        <v>2000</v>
      </c>
      <c r="X266" s="39"/>
      <c r="Y266" s="57"/>
      <c r="Z266" s="39"/>
      <c r="AA266" s="57"/>
      <c r="AB266" s="65"/>
      <c r="AC266" s="66"/>
      <c r="AD266" s="65"/>
      <c r="AE266" s="66"/>
      <c r="AF266" s="39"/>
      <c r="AG266" s="57"/>
      <c r="AH266" s="39"/>
      <c r="AI266" s="57"/>
    </row>
    <row r="267" spans="1:35" ht="19.5" customHeight="1" x14ac:dyDescent="0.3">
      <c r="A267" s="4">
        <v>2406152</v>
      </c>
      <c r="B267" s="110" t="s">
        <v>1345</v>
      </c>
      <c r="C267" s="55">
        <v>155000</v>
      </c>
      <c r="D267" s="55">
        <v>0</v>
      </c>
      <c r="E267" s="55" t="s">
        <v>20</v>
      </c>
      <c r="F267" s="4" t="s">
        <v>124</v>
      </c>
      <c r="G267" s="4" t="s">
        <v>125</v>
      </c>
      <c r="H267" s="4" t="s">
        <v>2236</v>
      </c>
      <c r="I267" s="4" t="s">
        <v>2251</v>
      </c>
      <c r="J267" s="55">
        <v>155000</v>
      </c>
      <c r="K267" s="55">
        <v>155000</v>
      </c>
      <c r="L267" s="65">
        <v>45796</v>
      </c>
      <c r="M267" s="66">
        <v>69750</v>
      </c>
      <c r="N267" s="65">
        <v>45814</v>
      </c>
      <c r="O267" s="66">
        <v>69750</v>
      </c>
      <c r="P267" s="39">
        <v>45838</v>
      </c>
      <c r="Q267" s="57">
        <v>38750</v>
      </c>
      <c r="R267" s="39">
        <v>45845</v>
      </c>
      <c r="S267" s="57">
        <v>38750</v>
      </c>
      <c r="T267" s="65">
        <v>45929</v>
      </c>
      <c r="U267" s="66">
        <v>46500</v>
      </c>
      <c r="V267" s="65">
        <v>45939</v>
      </c>
      <c r="W267" s="66">
        <v>46500</v>
      </c>
      <c r="X267" s="39"/>
      <c r="Y267" s="57"/>
      <c r="Z267" s="39"/>
      <c r="AA267" s="57"/>
      <c r="AB267" s="65"/>
      <c r="AC267" s="66"/>
      <c r="AD267" s="65"/>
      <c r="AE267" s="66"/>
      <c r="AF267" s="39"/>
      <c r="AG267" s="57"/>
      <c r="AH267" s="39"/>
      <c r="AI267" s="57"/>
    </row>
    <row r="268" spans="1:35" ht="19.5" customHeight="1" x14ac:dyDescent="0.3">
      <c r="A268" s="4">
        <v>2504640</v>
      </c>
      <c r="B268" s="110" t="s">
        <v>1350</v>
      </c>
      <c r="C268" s="55">
        <v>26000</v>
      </c>
      <c r="D268" s="55">
        <v>0</v>
      </c>
      <c r="E268" s="55" t="s">
        <v>17</v>
      </c>
      <c r="F268" s="4" t="s">
        <v>71</v>
      </c>
      <c r="G268" s="4" t="s">
        <v>125</v>
      </c>
      <c r="H268" s="4" t="s">
        <v>2236</v>
      </c>
      <c r="I268" s="4" t="s">
        <v>2251</v>
      </c>
      <c r="J268" s="55">
        <v>26000</v>
      </c>
      <c r="K268" s="55">
        <v>26000</v>
      </c>
      <c r="L268" s="65">
        <v>45764</v>
      </c>
      <c r="M268" s="66">
        <v>500</v>
      </c>
      <c r="N268" s="65">
        <v>45765</v>
      </c>
      <c r="O268" s="66">
        <v>500</v>
      </c>
      <c r="P268" s="39">
        <v>45804</v>
      </c>
      <c r="Q268" s="57">
        <v>25500</v>
      </c>
      <c r="R268" s="39">
        <v>45805</v>
      </c>
      <c r="S268" s="57">
        <v>25500</v>
      </c>
      <c r="T268" s="65"/>
      <c r="U268" s="66"/>
      <c r="V268" s="65"/>
      <c r="W268" s="66"/>
      <c r="X268" s="39"/>
      <c r="Y268" s="57"/>
      <c r="Z268" s="39"/>
      <c r="AA268" s="57"/>
      <c r="AB268" s="65"/>
      <c r="AC268" s="66"/>
      <c r="AD268" s="65"/>
      <c r="AE268" s="66"/>
      <c r="AF268" s="39"/>
      <c r="AG268" s="57"/>
      <c r="AH268" s="39"/>
      <c r="AI268" s="57"/>
    </row>
    <row r="269" spans="1:35" ht="19.5" customHeight="1" x14ac:dyDescent="0.3">
      <c r="A269" s="4">
        <v>2504638</v>
      </c>
      <c r="B269" s="110" t="s">
        <v>1355</v>
      </c>
      <c r="C269" s="55">
        <v>27000</v>
      </c>
      <c r="D269" s="55">
        <v>0</v>
      </c>
      <c r="E269" s="55" t="s">
        <v>17</v>
      </c>
      <c r="F269" s="4" t="s">
        <v>71</v>
      </c>
      <c r="G269" s="4" t="s">
        <v>125</v>
      </c>
      <c r="H269" s="4" t="s">
        <v>2236</v>
      </c>
      <c r="I269" s="4" t="s">
        <v>2251</v>
      </c>
      <c r="J269" s="55">
        <v>27000</v>
      </c>
      <c r="K269" s="55">
        <v>27000</v>
      </c>
      <c r="L269" s="65">
        <v>45764</v>
      </c>
      <c r="M269" s="66">
        <v>500</v>
      </c>
      <c r="N269" s="65">
        <v>45764</v>
      </c>
      <c r="O269" s="66">
        <v>500</v>
      </c>
      <c r="P269" s="39">
        <v>45804</v>
      </c>
      <c r="Q269" s="57">
        <v>26500</v>
      </c>
      <c r="R269" s="39">
        <v>45804</v>
      </c>
      <c r="S269" s="57">
        <v>26500</v>
      </c>
      <c r="T269" s="65"/>
      <c r="U269" s="66"/>
      <c r="V269" s="65"/>
      <c r="W269" s="66"/>
      <c r="X269" s="39"/>
      <c r="Y269" s="57"/>
      <c r="Z269" s="39"/>
      <c r="AA269" s="57"/>
      <c r="AB269" s="65"/>
      <c r="AC269" s="66"/>
      <c r="AD269" s="65"/>
      <c r="AE269" s="66"/>
      <c r="AF269" s="39"/>
      <c r="AG269" s="57"/>
      <c r="AH269" s="39"/>
      <c r="AI269" s="57"/>
    </row>
    <row r="270" spans="1:35" ht="19.5" customHeight="1" x14ac:dyDescent="0.3">
      <c r="A270" s="4">
        <v>2504652</v>
      </c>
      <c r="B270" s="110" t="s">
        <v>1360</v>
      </c>
      <c r="C270" s="55">
        <v>27500</v>
      </c>
      <c r="D270" s="55">
        <v>0</v>
      </c>
      <c r="E270" s="55" t="s">
        <v>22</v>
      </c>
      <c r="F270" s="4" t="s">
        <v>71</v>
      </c>
      <c r="G270" s="4" t="s">
        <v>125</v>
      </c>
      <c r="H270" s="4" t="s">
        <v>2236</v>
      </c>
      <c r="I270" s="4" t="s">
        <v>2251</v>
      </c>
      <c r="J270" s="55">
        <v>27500</v>
      </c>
      <c r="K270" s="55">
        <v>27500</v>
      </c>
      <c r="L270" s="65">
        <v>45766</v>
      </c>
      <c r="M270" s="66">
        <v>500</v>
      </c>
      <c r="N270" s="65">
        <v>45766</v>
      </c>
      <c r="O270" s="66">
        <v>500</v>
      </c>
      <c r="P270" s="39">
        <v>45792</v>
      </c>
      <c r="Q270" s="57">
        <v>25000</v>
      </c>
      <c r="R270" s="39">
        <v>45870</v>
      </c>
      <c r="S270" s="57">
        <v>25000</v>
      </c>
      <c r="T270" s="65">
        <v>45887</v>
      </c>
      <c r="U270" s="66">
        <v>2000</v>
      </c>
      <c r="V270" s="65">
        <v>45887</v>
      </c>
      <c r="W270" s="66">
        <v>2000</v>
      </c>
      <c r="X270" s="39"/>
      <c r="Y270" s="57"/>
      <c r="Z270" s="39"/>
      <c r="AA270" s="57"/>
      <c r="AB270" s="65"/>
      <c r="AC270" s="66"/>
      <c r="AD270" s="65"/>
      <c r="AE270" s="66"/>
      <c r="AF270" s="39"/>
      <c r="AG270" s="57"/>
      <c r="AH270" s="39"/>
      <c r="AI270" s="57"/>
    </row>
    <row r="271" spans="1:35" ht="19.5" customHeight="1" x14ac:dyDescent="0.3">
      <c r="A271" s="4">
        <v>2504647</v>
      </c>
      <c r="B271" s="110" t="s">
        <v>1365</v>
      </c>
      <c r="C271" s="55">
        <v>21500</v>
      </c>
      <c r="D271" s="55">
        <v>0</v>
      </c>
      <c r="E271" s="55" t="s">
        <v>22</v>
      </c>
      <c r="F271" s="4" t="s">
        <v>71</v>
      </c>
      <c r="G271" s="4" t="s">
        <v>125</v>
      </c>
      <c r="H271" s="4" t="s">
        <v>2236</v>
      </c>
      <c r="I271" s="4" t="s">
        <v>2251</v>
      </c>
      <c r="J271" s="55">
        <v>21500</v>
      </c>
      <c r="K271" s="55">
        <v>21500</v>
      </c>
      <c r="L271" s="65">
        <v>45767</v>
      </c>
      <c r="M271" s="66">
        <v>500</v>
      </c>
      <c r="N271" s="65">
        <v>45768</v>
      </c>
      <c r="O271" s="66">
        <v>500</v>
      </c>
      <c r="P271" s="39">
        <v>45805</v>
      </c>
      <c r="Q271" s="57">
        <v>19000</v>
      </c>
      <c r="R271" s="39">
        <v>45805</v>
      </c>
      <c r="S271" s="57">
        <v>19000</v>
      </c>
      <c r="T271" s="65">
        <v>45805</v>
      </c>
      <c r="U271" s="66">
        <v>2000</v>
      </c>
      <c r="V271" s="65">
        <v>45807</v>
      </c>
      <c r="W271" s="66">
        <v>2000</v>
      </c>
      <c r="X271" s="39"/>
      <c r="Y271" s="57"/>
      <c r="Z271" s="39"/>
      <c r="AA271" s="57"/>
      <c r="AB271" s="65"/>
      <c r="AC271" s="66"/>
      <c r="AD271" s="65"/>
      <c r="AE271" s="66"/>
      <c r="AF271" s="39"/>
      <c r="AG271" s="57"/>
      <c r="AH271" s="39"/>
      <c r="AI271" s="57"/>
    </row>
    <row r="272" spans="1:35" ht="19.5" customHeight="1" x14ac:dyDescent="0.3">
      <c r="A272" s="4">
        <v>2504658</v>
      </c>
      <c r="B272" s="110" t="s">
        <v>1370</v>
      </c>
      <c r="C272" s="55">
        <v>22500</v>
      </c>
      <c r="D272" s="55">
        <v>0</v>
      </c>
      <c r="E272" s="55" t="s">
        <v>21</v>
      </c>
      <c r="F272" s="4" t="s">
        <v>71</v>
      </c>
      <c r="G272" s="4" t="s">
        <v>125</v>
      </c>
      <c r="H272" s="4" t="s">
        <v>2238</v>
      </c>
      <c r="I272" s="4" t="s">
        <v>2253</v>
      </c>
      <c r="J272" s="55">
        <v>20500</v>
      </c>
      <c r="K272" s="55">
        <v>20500</v>
      </c>
      <c r="L272" s="65">
        <v>45769</v>
      </c>
      <c r="M272" s="66">
        <v>500</v>
      </c>
      <c r="N272" s="65">
        <v>45769</v>
      </c>
      <c r="O272" s="66">
        <v>500</v>
      </c>
      <c r="P272" s="39">
        <v>45784</v>
      </c>
      <c r="Q272" s="57">
        <v>20000</v>
      </c>
      <c r="R272" s="39">
        <v>45784</v>
      </c>
      <c r="S272" s="57">
        <v>20000</v>
      </c>
      <c r="T272" s="65"/>
      <c r="U272" s="66"/>
      <c r="V272" s="65"/>
      <c r="W272" s="66"/>
      <c r="X272" s="39"/>
      <c r="Y272" s="57"/>
      <c r="Z272" s="39"/>
      <c r="AA272" s="57"/>
      <c r="AB272" s="65"/>
      <c r="AC272" s="66"/>
      <c r="AD272" s="65"/>
      <c r="AE272" s="66"/>
      <c r="AF272" s="39"/>
      <c r="AG272" s="57"/>
      <c r="AH272" s="39"/>
      <c r="AI272" s="57"/>
    </row>
    <row r="273" spans="1:35" s="123" customFormat="1" ht="19.5" customHeight="1" x14ac:dyDescent="0.3">
      <c r="A273" s="116">
        <v>2503614</v>
      </c>
      <c r="B273" s="125" t="s">
        <v>1375</v>
      </c>
      <c r="C273" s="117">
        <v>0</v>
      </c>
      <c r="D273" s="117">
        <v>0</v>
      </c>
      <c r="E273" s="117" t="s">
        <v>20</v>
      </c>
      <c r="F273" s="116">
        <v>0</v>
      </c>
      <c r="G273" s="116" t="s">
        <v>125</v>
      </c>
      <c r="H273" s="4" t="s">
        <v>2240</v>
      </c>
      <c r="I273" s="4" t="s">
        <v>2255</v>
      </c>
      <c r="J273" s="117">
        <v>500</v>
      </c>
      <c r="K273" s="117">
        <v>500</v>
      </c>
      <c r="L273" s="118">
        <v>45770</v>
      </c>
      <c r="M273" s="119">
        <v>500</v>
      </c>
      <c r="N273" s="65">
        <v>45770</v>
      </c>
      <c r="O273" s="119">
        <v>500</v>
      </c>
      <c r="P273" s="120"/>
      <c r="Q273" s="121"/>
      <c r="R273" s="39"/>
      <c r="S273" s="121"/>
      <c r="T273" s="118"/>
      <c r="U273" s="119"/>
      <c r="V273" s="118"/>
      <c r="W273" s="119"/>
      <c r="X273" s="39"/>
      <c r="Y273" s="121"/>
      <c r="Z273" s="39"/>
      <c r="AA273" s="121"/>
      <c r="AB273" s="118"/>
      <c r="AC273" s="119"/>
      <c r="AD273" s="118"/>
      <c r="AE273" s="119"/>
      <c r="AF273" s="120"/>
      <c r="AG273" s="121"/>
      <c r="AH273" s="120"/>
      <c r="AI273" s="121"/>
    </row>
    <row r="274" spans="1:35" ht="19.5" customHeight="1" x14ac:dyDescent="0.3">
      <c r="A274" s="4">
        <v>2504643</v>
      </c>
      <c r="B274" s="110" t="s">
        <v>1381</v>
      </c>
      <c r="C274" s="55">
        <v>46700</v>
      </c>
      <c r="D274" s="55">
        <v>0</v>
      </c>
      <c r="E274" s="55" t="s">
        <v>22</v>
      </c>
      <c r="F274" s="4" t="s">
        <v>71</v>
      </c>
      <c r="G274" s="4" t="s">
        <v>176</v>
      </c>
      <c r="H274" s="4" t="s">
        <v>2236</v>
      </c>
      <c r="I274" s="4" t="s">
        <v>2251</v>
      </c>
      <c r="J274" s="55">
        <v>46700</v>
      </c>
      <c r="K274" s="55">
        <v>46700</v>
      </c>
      <c r="L274" s="65">
        <v>45764</v>
      </c>
      <c r="M274" s="66">
        <v>500</v>
      </c>
      <c r="N274" s="65">
        <v>45771</v>
      </c>
      <c r="O274" s="66">
        <v>500</v>
      </c>
      <c r="P274" s="39">
        <v>45803</v>
      </c>
      <c r="Q274" s="57">
        <v>46200</v>
      </c>
      <c r="R274" s="39">
        <v>45863</v>
      </c>
      <c r="S274" s="57">
        <v>46200</v>
      </c>
      <c r="T274" s="65"/>
      <c r="U274" s="66"/>
      <c r="V274" s="65"/>
      <c r="W274" s="66"/>
      <c r="X274" s="39"/>
      <c r="Y274" s="57"/>
      <c r="Z274" s="39"/>
      <c r="AA274" s="57"/>
      <c r="AB274" s="65"/>
      <c r="AC274" s="66"/>
      <c r="AD274" s="65"/>
      <c r="AE274" s="66"/>
      <c r="AF274" s="39"/>
      <c r="AG274" s="57"/>
      <c r="AH274" s="39"/>
      <c r="AI274" s="57"/>
    </row>
    <row r="275" spans="1:35" ht="19.5" customHeight="1" x14ac:dyDescent="0.3">
      <c r="A275" s="4">
        <v>2504663</v>
      </c>
      <c r="B275" s="110" t="s">
        <v>1386</v>
      </c>
      <c r="C275" s="55">
        <v>22500</v>
      </c>
      <c r="D275" s="55">
        <v>0</v>
      </c>
      <c r="E275" s="55" t="s">
        <v>22</v>
      </c>
      <c r="F275" s="4" t="s">
        <v>71</v>
      </c>
      <c r="G275" s="4" t="s">
        <v>125</v>
      </c>
      <c r="H275" s="4" t="s">
        <v>2236</v>
      </c>
      <c r="I275" s="4" t="s">
        <v>2251</v>
      </c>
      <c r="J275" s="55">
        <v>22500</v>
      </c>
      <c r="K275" s="55">
        <v>22500</v>
      </c>
      <c r="L275" s="65">
        <v>45770</v>
      </c>
      <c r="M275" s="66">
        <v>500</v>
      </c>
      <c r="N275" s="65">
        <v>45770</v>
      </c>
      <c r="O275" s="66">
        <v>500</v>
      </c>
      <c r="P275" s="39">
        <v>45806</v>
      </c>
      <c r="Q275" s="57">
        <v>20000</v>
      </c>
      <c r="R275" s="39">
        <v>45806</v>
      </c>
      <c r="S275" s="57">
        <v>20000</v>
      </c>
      <c r="T275" s="65">
        <v>45814</v>
      </c>
      <c r="U275" s="66">
        <v>2000</v>
      </c>
      <c r="V275" s="65">
        <v>45814</v>
      </c>
      <c r="W275" s="66">
        <v>2000</v>
      </c>
      <c r="X275" s="39"/>
      <c r="Y275" s="57"/>
      <c r="Z275" s="39"/>
      <c r="AA275" s="57"/>
      <c r="AB275" s="65"/>
      <c r="AC275" s="66"/>
      <c r="AD275" s="65"/>
      <c r="AE275" s="66"/>
      <c r="AF275" s="39"/>
      <c r="AG275" s="57"/>
      <c r="AH275" s="39"/>
      <c r="AI275" s="57"/>
    </row>
    <row r="276" spans="1:35" ht="19.5" customHeight="1" x14ac:dyDescent="0.3">
      <c r="A276" s="4">
        <v>2504671</v>
      </c>
      <c r="B276" s="110" t="s">
        <v>1391</v>
      </c>
      <c r="C276" s="55">
        <v>41000</v>
      </c>
      <c r="D276" s="55">
        <v>0</v>
      </c>
      <c r="E276" s="55" t="s">
        <v>22</v>
      </c>
      <c r="F276" s="4" t="s">
        <v>71</v>
      </c>
      <c r="G276" s="4" t="s">
        <v>125</v>
      </c>
      <c r="H276" s="4" t="s">
        <v>2240</v>
      </c>
      <c r="I276" s="4" t="s">
        <v>2255</v>
      </c>
      <c r="J276" s="55">
        <v>500</v>
      </c>
      <c r="K276" s="55">
        <v>500</v>
      </c>
      <c r="L276" s="65">
        <v>45777</v>
      </c>
      <c r="M276" s="66">
        <v>500</v>
      </c>
      <c r="N276" s="65">
        <v>45777</v>
      </c>
      <c r="O276" s="66">
        <v>500</v>
      </c>
      <c r="P276" s="39"/>
      <c r="Q276" s="57"/>
      <c r="R276" s="39"/>
      <c r="S276" s="57"/>
      <c r="T276" s="65"/>
      <c r="U276" s="66"/>
      <c r="V276" s="65"/>
      <c r="W276" s="66"/>
      <c r="X276" s="39"/>
      <c r="Y276" s="57"/>
      <c r="Z276" s="39"/>
      <c r="AA276" s="57"/>
      <c r="AB276" s="65"/>
      <c r="AC276" s="66"/>
      <c r="AD276" s="65"/>
      <c r="AE276" s="66"/>
      <c r="AF276" s="39"/>
      <c r="AG276" s="57"/>
      <c r="AH276" s="39"/>
      <c r="AI276" s="57"/>
    </row>
    <row r="277" spans="1:35" ht="19.5" customHeight="1" x14ac:dyDescent="0.3">
      <c r="A277" s="4">
        <v>2506644</v>
      </c>
      <c r="B277" s="110" t="s">
        <v>1396</v>
      </c>
      <c r="C277" s="55">
        <v>21000</v>
      </c>
      <c r="D277" s="55">
        <v>0</v>
      </c>
      <c r="E277" s="55" t="s">
        <v>17</v>
      </c>
      <c r="F277" s="4" t="s">
        <v>71</v>
      </c>
      <c r="G277" s="4" t="s">
        <v>125</v>
      </c>
      <c r="H277" s="4" t="s">
        <v>2236</v>
      </c>
      <c r="I277" s="4" t="s">
        <v>2251</v>
      </c>
      <c r="J277" s="55">
        <v>21000</v>
      </c>
      <c r="K277" s="55">
        <v>21000</v>
      </c>
      <c r="L277" s="65">
        <v>45773</v>
      </c>
      <c r="M277" s="66">
        <v>500</v>
      </c>
      <c r="N277" s="65">
        <v>45773</v>
      </c>
      <c r="O277" s="66">
        <v>500</v>
      </c>
      <c r="P277" s="39">
        <v>45828</v>
      </c>
      <c r="Q277" s="57">
        <v>20500</v>
      </c>
      <c r="R277" s="39">
        <v>45832</v>
      </c>
      <c r="S277" s="57">
        <v>20500</v>
      </c>
      <c r="T277" s="65"/>
      <c r="U277" s="66"/>
      <c r="V277" s="65"/>
      <c r="W277" s="66"/>
      <c r="X277" s="39"/>
      <c r="Y277" s="57"/>
      <c r="Z277" s="39"/>
      <c r="AA277" s="57"/>
      <c r="AB277" s="65"/>
      <c r="AC277" s="66"/>
      <c r="AD277" s="65"/>
      <c r="AE277" s="66"/>
      <c r="AF277" s="39"/>
      <c r="AG277" s="57"/>
      <c r="AH277" s="39"/>
      <c r="AI277" s="57"/>
    </row>
    <row r="278" spans="1:35" ht="19.5" customHeight="1" x14ac:dyDescent="0.3">
      <c r="A278" s="4">
        <v>2505675</v>
      </c>
      <c r="B278" s="110" t="s">
        <v>1401</v>
      </c>
      <c r="C278" s="55">
        <v>42170</v>
      </c>
      <c r="D278" s="55">
        <v>0</v>
      </c>
      <c r="E278" s="55" t="s">
        <v>22</v>
      </c>
      <c r="F278" s="4" t="s">
        <v>71</v>
      </c>
      <c r="G278" s="4" t="s">
        <v>176</v>
      </c>
      <c r="H278" s="4" t="s">
        <v>2240</v>
      </c>
      <c r="I278" s="4" t="s">
        <v>2255</v>
      </c>
      <c r="J278" s="55">
        <v>500</v>
      </c>
      <c r="K278" s="55">
        <v>500</v>
      </c>
      <c r="L278" s="65">
        <v>45782</v>
      </c>
      <c r="M278" s="66">
        <v>500</v>
      </c>
      <c r="N278" s="65">
        <v>45782</v>
      </c>
      <c r="O278" s="66">
        <v>500</v>
      </c>
      <c r="P278" s="39"/>
      <c r="Q278" s="57"/>
      <c r="R278" s="39"/>
      <c r="S278" s="57"/>
      <c r="T278" s="65"/>
      <c r="U278" s="66"/>
      <c r="V278" s="65"/>
      <c r="W278" s="66"/>
      <c r="X278" s="39"/>
      <c r="Y278" s="57"/>
      <c r="Z278" s="39"/>
      <c r="AA278" s="57"/>
      <c r="AB278" s="65"/>
      <c r="AC278" s="66"/>
      <c r="AD278" s="65"/>
      <c r="AE278" s="66"/>
      <c r="AF278" s="39"/>
      <c r="AG278" s="57"/>
      <c r="AH278" s="39"/>
      <c r="AI278" s="57"/>
    </row>
    <row r="279" spans="1:35" ht="19.5" customHeight="1" x14ac:dyDescent="0.3">
      <c r="A279" s="4">
        <v>2502564</v>
      </c>
      <c r="B279" s="110" t="s">
        <v>1407</v>
      </c>
      <c r="C279" s="55">
        <v>43000</v>
      </c>
      <c r="D279" s="55">
        <v>0</v>
      </c>
      <c r="E279" s="55" t="s">
        <v>20</v>
      </c>
      <c r="F279" s="4" t="s">
        <v>71</v>
      </c>
      <c r="G279" s="4" t="s">
        <v>125</v>
      </c>
      <c r="H279" s="4" t="s">
        <v>2240</v>
      </c>
      <c r="I279" s="4" t="s">
        <v>2255</v>
      </c>
      <c r="J279" s="55">
        <v>500</v>
      </c>
      <c r="K279" s="55">
        <v>500</v>
      </c>
      <c r="L279" s="65">
        <v>45783</v>
      </c>
      <c r="M279" s="66">
        <v>500</v>
      </c>
      <c r="N279" s="65">
        <v>45783</v>
      </c>
      <c r="O279" s="66">
        <v>500</v>
      </c>
      <c r="P279" s="39"/>
      <c r="Q279" s="57"/>
      <c r="R279" s="39"/>
      <c r="S279" s="57"/>
      <c r="T279" s="65"/>
      <c r="U279" s="66"/>
      <c r="V279" s="65"/>
      <c r="W279" s="66"/>
      <c r="X279" s="39"/>
      <c r="Y279" s="57"/>
      <c r="Z279" s="39"/>
      <c r="AA279" s="57"/>
      <c r="AB279" s="65"/>
      <c r="AC279" s="66"/>
      <c r="AD279" s="65"/>
      <c r="AE279" s="66"/>
      <c r="AF279" s="39"/>
      <c r="AG279" s="57"/>
      <c r="AH279" s="39"/>
      <c r="AI279" s="57"/>
    </row>
    <row r="280" spans="1:35" ht="19.5" customHeight="1" x14ac:dyDescent="0.3">
      <c r="A280" s="4">
        <v>2504664</v>
      </c>
      <c r="B280" s="110" t="s">
        <v>1410</v>
      </c>
      <c r="C280" s="55">
        <v>41000</v>
      </c>
      <c r="D280" s="55">
        <v>0</v>
      </c>
      <c r="E280" s="55" t="s">
        <v>22</v>
      </c>
      <c r="F280" s="4" t="s">
        <v>71</v>
      </c>
      <c r="G280" s="4" t="s">
        <v>125</v>
      </c>
      <c r="H280" s="4" t="s">
        <v>2240</v>
      </c>
      <c r="I280" s="4" t="s">
        <v>2255</v>
      </c>
      <c r="J280" s="55">
        <v>500</v>
      </c>
      <c r="K280" s="55">
        <v>500</v>
      </c>
      <c r="L280" s="65">
        <v>45775</v>
      </c>
      <c r="M280" s="66">
        <v>500</v>
      </c>
      <c r="N280" s="65">
        <v>45775</v>
      </c>
      <c r="O280" s="66">
        <v>500</v>
      </c>
      <c r="P280" s="39"/>
      <c r="Q280" s="57"/>
      <c r="R280" s="39"/>
      <c r="S280" s="57"/>
      <c r="T280" s="65"/>
      <c r="U280" s="66"/>
      <c r="V280" s="65"/>
      <c r="W280" s="66"/>
      <c r="X280" s="39"/>
      <c r="Y280" s="57"/>
      <c r="Z280" s="39"/>
      <c r="AA280" s="57"/>
      <c r="AB280" s="65"/>
      <c r="AC280" s="66"/>
      <c r="AD280" s="65"/>
      <c r="AE280" s="66"/>
      <c r="AF280" s="39"/>
      <c r="AG280" s="57"/>
      <c r="AH280" s="39"/>
      <c r="AI280" s="57"/>
    </row>
    <row r="281" spans="1:35" ht="19.5" customHeight="1" x14ac:dyDescent="0.3">
      <c r="A281" s="4">
        <v>2504651</v>
      </c>
      <c r="B281" s="110" t="s">
        <v>1415</v>
      </c>
      <c r="C281" s="55">
        <v>35000</v>
      </c>
      <c r="D281" s="55">
        <v>0</v>
      </c>
      <c r="E281" s="55" t="s">
        <v>17</v>
      </c>
      <c r="F281" s="4" t="s">
        <v>71</v>
      </c>
      <c r="G281" s="4" t="s">
        <v>125</v>
      </c>
      <c r="H281" s="4" t="s">
        <v>2236</v>
      </c>
      <c r="I281" s="4" t="s">
        <v>2251</v>
      </c>
      <c r="J281" s="55">
        <v>35000</v>
      </c>
      <c r="K281" s="55">
        <v>35000</v>
      </c>
      <c r="L281" s="65">
        <v>45786</v>
      </c>
      <c r="M281" s="66">
        <v>500</v>
      </c>
      <c r="N281" s="65">
        <v>45786</v>
      </c>
      <c r="O281" s="66">
        <v>500</v>
      </c>
      <c r="P281" s="39">
        <v>45833</v>
      </c>
      <c r="Q281" s="57">
        <v>32500</v>
      </c>
      <c r="R281" s="39">
        <v>45833</v>
      </c>
      <c r="S281" s="57">
        <v>32500</v>
      </c>
      <c r="T281" s="65">
        <v>45859</v>
      </c>
      <c r="U281" s="66">
        <v>2000</v>
      </c>
      <c r="V281" s="65">
        <v>45859</v>
      </c>
      <c r="W281" s="66">
        <v>2000</v>
      </c>
      <c r="X281" s="39"/>
      <c r="Y281" s="57"/>
      <c r="Z281" s="39"/>
      <c r="AA281" s="57"/>
      <c r="AB281" s="65"/>
      <c r="AC281" s="66"/>
      <c r="AD281" s="65"/>
      <c r="AE281" s="66"/>
      <c r="AF281" s="39"/>
      <c r="AG281" s="57"/>
      <c r="AH281" s="39"/>
      <c r="AI281" s="57"/>
    </row>
    <row r="282" spans="1:35" ht="19.5" customHeight="1" x14ac:dyDescent="0.3">
      <c r="A282" s="4">
        <v>2504049</v>
      </c>
      <c r="B282" s="110" t="s">
        <v>1420</v>
      </c>
      <c r="C282" s="55">
        <v>45015</v>
      </c>
      <c r="D282" s="55">
        <v>0</v>
      </c>
      <c r="E282" s="55" t="s">
        <v>20</v>
      </c>
      <c r="F282" s="4" t="s">
        <v>206</v>
      </c>
      <c r="G282" s="4" t="s">
        <v>125</v>
      </c>
      <c r="H282" s="4" t="s">
        <v>2240</v>
      </c>
      <c r="I282" s="4" t="s">
        <v>2252</v>
      </c>
      <c r="J282" s="55">
        <v>22507.5</v>
      </c>
      <c r="K282" s="55">
        <v>0</v>
      </c>
      <c r="L282" s="65">
        <v>45786</v>
      </c>
      <c r="M282" s="66">
        <v>22507.5</v>
      </c>
      <c r="N282" s="65"/>
      <c r="O282" s="66"/>
      <c r="P282" s="39"/>
      <c r="Q282" s="57"/>
      <c r="R282" s="39"/>
      <c r="S282" s="57"/>
      <c r="T282" s="65"/>
      <c r="U282" s="66"/>
      <c r="V282" s="65"/>
      <c r="W282" s="66"/>
      <c r="X282" s="39"/>
      <c r="Y282" s="57"/>
      <c r="Z282" s="39"/>
      <c r="AA282" s="57"/>
      <c r="AB282" s="65"/>
      <c r="AC282" s="66"/>
      <c r="AD282" s="65"/>
      <c r="AE282" s="66"/>
      <c r="AF282" s="39"/>
      <c r="AG282" s="57"/>
      <c r="AH282" s="39"/>
      <c r="AI282" s="57"/>
    </row>
    <row r="283" spans="1:35" ht="19.5" customHeight="1" x14ac:dyDescent="0.3">
      <c r="A283" s="4">
        <v>2505686</v>
      </c>
      <c r="B283" s="110" t="s">
        <v>1421</v>
      </c>
      <c r="C283" s="55">
        <v>21500</v>
      </c>
      <c r="D283" s="55">
        <v>0</v>
      </c>
      <c r="E283" s="55" t="s">
        <v>22</v>
      </c>
      <c r="F283" s="4" t="s">
        <v>71</v>
      </c>
      <c r="G283" s="4" t="s">
        <v>125</v>
      </c>
      <c r="H283" s="4" t="s">
        <v>2236</v>
      </c>
      <c r="I283" s="4" t="s">
        <v>2251</v>
      </c>
      <c r="J283" s="55">
        <v>21500</v>
      </c>
      <c r="K283" s="55">
        <v>21500</v>
      </c>
      <c r="L283" s="65">
        <v>45790</v>
      </c>
      <c r="M283" s="66">
        <v>500</v>
      </c>
      <c r="N283" s="65">
        <v>45790</v>
      </c>
      <c r="O283" s="66">
        <v>500</v>
      </c>
      <c r="P283" s="39">
        <v>45813</v>
      </c>
      <c r="Q283" s="57">
        <v>18900</v>
      </c>
      <c r="R283" s="39">
        <v>45859</v>
      </c>
      <c r="S283" s="57">
        <v>18900</v>
      </c>
      <c r="T283" s="65">
        <v>45964</v>
      </c>
      <c r="U283" s="66">
        <v>2100</v>
      </c>
      <c r="V283" s="65">
        <v>45964</v>
      </c>
      <c r="W283" s="66">
        <v>2100</v>
      </c>
      <c r="X283" s="39"/>
      <c r="Y283" s="57"/>
      <c r="Z283" s="39"/>
      <c r="AA283" s="57"/>
      <c r="AB283" s="65"/>
      <c r="AC283" s="66"/>
      <c r="AD283" s="65"/>
      <c r="AE283" s="66"/>
      <c r="AF283" s="39"/>
      <c r="AG283" s="57"/>
      <c r="AH283" s="39"/>
      <c r="AI283" s="57"/>
    </row>
    <row r="284" spans="1:35" ht="19.5" customHeight="1" x14ac:dyDescent="0.3">
      <c r="A284" s="4">
        <v>2503603</v>
      </c>
      <c r="B284" s="110" t="s">
        <v>1426</v>
      </c>
      <c r="C284" s="55">
        <v>43400</v>
      </c>
      <c r="D284" s="55">
        <v>0</v>
      </c>
      <c r="E284" s="55" t="s">
        <v>17</v>
      </c>
      <c r="F284" s="4" t="s">
        <v>71</v>
      </c>
      <c r="G284" s="4" t="s">
        <v>176</v>
      </c>
      <c r="H284" s="4" t="s">
        <v>2236</v>
      </c>
      <c r="I284" s="4" t="s">
        <v>2251</v>
      </c>
      <c r="J284" s="55">
        <v>43400</v>
      </c>
      <c r="K284" s="55">
        <v>43400</v>
      </c>
      <c r="L284" s="65">
        <v>45790</v>
      </c>
      <c r="M284" s="66">
        <v>500</v>
      </c>
      <c r="N284" s="65">
        <v>45790</v>
      </c>
      <c r="O284" s="66">
        <v>500</v>
      </c>
      <c r="P284" s="39">
        <v>45867</v>
      </c>
      <c r="Q284" s="57">
        <v>42900</v>
      </c>
      <c r="R284" s="39">
        <v>45867</v>
      </c>
      <c r="S284" s="57">
        <v>42900</v>
      </c>
      <c r="T284" s="65"/>
      <c r="U284" s="66"/>
      <c r="V284" s="65"/>
      <c r="W284" s="66"/>
      <c r="X284" s="39"/>
      <c r="Y284" s="57"/>
      <c r="Z284" s="39"/>
      <c r="AA284" s="57"/>
      <c r="AB284" s="65"/>
      <c r="AC284" s="66"/>
      <c r="AD284" s="65"/>
      <c r="AE284" s="66"/>
      <c r="AF284" s="39"/>
      <c r="AG284" s="57"/>
      <c r="AH284" s="39"/>
      <c r="AI284" s="57"/>
    </row>
    <row r="285" spans="1:35" ht="19.5" customHeight="1" x14ac:dyDescent="0.3">
      <c r="A285" s="4">
        <v>2302004</v>
      </c>
      <c r="B285" s="110" t="s">
        <v>1431</v>
      </c>
      <c r="C285" s="55">
        <v>27500</v>
      </c>
      <c r="D285" s="55">
        <v>0</v>
      </c>
      <c r="E285" s="55" t="s">
        <v>19</v>
      </c>
      <c r="F285" s="4" t="s">
        <v>71</v>
      </c>
      <c r="G285" s="4" t="s">
        <v>176</v>
      </c>
      <c r="H285" s="4" t="s">
        <v>2236</v>
      </c>
      <c r="I285" s="4" t="s">
        <v>2251</v>
      </c>
      <c r="J285" s="55">
        <v>27500</v>
      </c>
      <c r="K285" s="55">
        <v>27500</v>
      </c>
      <c r="L285" s="65">
        <v>45788</v>
      </c>
      <c r="M285" s="66">
        <v>500</v>
      </c>
      <c r="N285" s="65">
        <v>45788</v>
      </c>
      <c r="O285" s="66">
        <v>500</v>
      </c>
      <c r="P285" s="39">
        <v>45829</v>
      </c>
      <c r="Q285" s="57">
        <v>27000</v>
      </c>
      <c r="R285" s="39">
        <v>45829</v>
      </c>
      <c r="S285" s="57">
        <v>27000</v>
      </c>
      <c r="T285" s="65"/>
      <c r="U285" s="66"/>
      <c r="V285" s="65"/>
      <c r="W285" s="66"/>
      <c r="X285" s="39"/>
      <c r="Y285" s="57"/>
      <c r="Z285" s="39"/>
      <c r="AA285" s="57"/>
      <c r="AB285" s="65"/>
      <c r="AC285" s="66"/>
      <c r="AD285" s="65"/>
      <c r="AE285" s="66"/>
      <c r="AF285" s="39"/>
      <c r="AG285" s="57"/>
      <c r="AH285" s="39"/>
      <c r="AI285" s="57"/>
    </row>
    <row r="286" spans="1:35" ht="19.5" customHeight="1" x14ac:dyDescent="0.3">
      <c r="A286" s="4">
        <v>2503225</v>
      </c>
      <c r="B286" s="110" t="s">
        <v>340</v>
      </c>
      <c r="C286" s="55">
        <v>198800</v>
      </c>
      <c r="D286" s="55">
        <v>0</v>
      </c>
      <c r="E286" s="55" t="s">
        <v>17</v>
      </c>
      <c r="F286" s="4" t="s">
        <v>124</v>
      </c>
      <c r="G286" s="4" t="s">
        <v>125</v>
      </c>
      <c r="H286" s="4" t="s">
        <v>2236</v>
      </c>
      <c r="I286" s="4" t="s">
        <v>2251</v>
      </c>
      <c r="J286" s="55">
        <v>198800</v>
      </c>
      <c r="K286" s="55">
        <v>198800</v>
      </c>
      <c r="L286" s="65">
        <v>45805</v>
      </c>
      <c r="M286" s="66">
        <v>19880</v>
      </c>
      <c r="N286" s="65">
        <v>45818</v>
      </c>
      <c r="O286" s="66">
        <v>19880</v>
      </c>
      <c r="P286" s="39">
        <v>45859</v>
      </c>
      <c r="Q286" s="57">
        <v>69580</v>
      </c>
      <c r="R286" s="39">
        <v>45866</v>
      </c>
      <c r="S286" s="57">
        <v>69580</v>
      </c>
      <c r="T286" s="65">
        <v>45896</v>
      </c>
      <c r="U286" s="66">
        <v>89460</v>
      </c>
      <c r="V286" s="65">
        <v>45904</v>
      </c>
      <c r="W286" s="66">
        <v>89460</v>
      </c>
      <c r="X286" s="39">
        <v>45924</v>
      </c>
      <c r="Y286" s="57">
        <v>19880</v>
      </c>
      <c r="Z286" s="39">
        <v>45975</v>
      </c>
      <c r="AA286" s="57">
        <v>19880</v>
      </c>
      <c r="AB286" s="65"/>
      <c r="AC286" s="66"/>
      <c r="AD286" s="65"/>
      <c r="AE286" s="66"/>
      <c r="AF286" s="39"/>
      <c r="AG286" s="57"/>
      <c r="AH286" s="39"/>
      <c r="AI286" s="57"/>
    </row>
    <row r="287" spans="1:35" ht="19.5" customHeight="1" x14ac:dyDescent="0.3">
      <c r="A287" s="4">
        <v>2403185</v>
      </c>
      <c r="B287" s="110" t="s">
        <v>1434</v>
      </c>
      <c r="C287" s="55">
        <v>21500</v>
      </c>
      <c r="D287" s="55">
        <v>-1416</v>
      </c>
      <c r="E287" s="55" t="s">
        <v>17</v>
      </c>
      <c r="F287" s="4" t="s">
        <v>71</v>
      </c>
      <c r="G287" s="4" t="s">
        <v>125</v>
      </c>
      <c r="H287" s="4" t="s">
        <v>2236</v>
      </c>
      <c r="I287" s="4" t="s">
        <v>2251</v>
      </c>
      <c r="J287" s="55">
        <v>20084</v>
      </c>
      <c r="K287" s="55">
        <v>20084</v>
      </c>
      <c r="L287" s="65">
        <v>45791</v>
      </c>
      <c r="M287" s="66">
        <v>500</v>
      </c>
      <c r="N287" s="65">
        <v>45792</v>
      </c>
      <c r="O287" s="66">
        <v>500</v>
      </c>
      <c r="P287" s="39">
        <v>45834</v>
      </c>
      <c r="Q287" s="57">
        <v>19584</v>
      </c>
      <c r="R287" s="39">
        <v>45834</v>
      </c>
      <c r="S287" s="57">
        <v>19584</v>
      </c>
      <c r="T287" s="65"/>
      <c r="U287" s="66"/>
      <c r="V287" s="65"/>
      <c r="W287" s="66"/>
      <c r="X287" s="39"/>
      <c r="Y287" s="57"/>
      <c r="Z287" s="39"/>
      <c r="AA287" s="57"/>
      <c r="AB287" s="65"/>
      <c r="AC287" s="66"/>
      <c r="AD287" s="65"/>
      <c r="AE287" s="66"/>
      <c r="AF287" s="39"/>
      <c r="AG287" s="57"/>
      <c r="AH287" s="39"/>
      <c r="AI287" s="57"/>
    </row>
    <row r="288" spans="1:35" ht="19.5" customHeight="1" x14ac:dyDescent="0.3">
      <c r="A288" s="4">
        <v>2410194</v>
      </c>
      <c r="B288" s="110" t="s">
        <v>1439</v>
      </c>
      <c r="C288" s="55">
        <v>395000</v>
      </c>
      <c r="D288" s="55">
        <v>0</v>
      </c>
      <c r="E288" s="55" t="s">
        <v>17</v>
      </c>
      <c r="F288" s="4" t="s">
        <v>124</v>
      </c>
      <c r="G288" s="4" t="s">
        <v>125</v>
      </c>
      <c r="H288" s="4" t="s">
        <v>2244</v>
      </c>
      <c r="I288" s="4" t="s">
        <v>2253</v>
      </c>
      <c r="J288" s="55">
        <v>276500</v>
      </c>
      <c r="K288" s="55">
        <v>177750</v>
      </c>
      <c r="L288" s="65">
        <v>45884</v>
      </c>
      <c r="M288" s="66">
        <v>39500</v>
      </c>
      <c r="N288" s="65">
        <v>45898</v>
      </c>
      <c r="O288" s="66">
        <v>39500</v>
      </c>
      <c r="P288" s="39">
        <v>45924</v>
      </c>
      <c r="Q288" s="57">
        <v>138250</v>
      </c>
      <c r="R288" s="39">
        <v>45946</v>
      </c>
      <c r="S288" s="57">
        <v>138250</v>
      </c>
      <c r="T288" s="65">
        <v>45974</v>
      </c>
      <c r="U288" s="66">
        <v>98750</v>
      </c>
      <c r="V288" s="65"/>
      <c r="W288" s="66"/>
      <c r="X288" s="39"/>
      <c r="Y288" s="57"/>
      <c r="Z288" s="39"/>
      <c r="AA288" s="57"/>
      <c r="AB288" s="65"/>
      <c r="AC288" s="66"/>
      <c r="AD288" s="65"/>
      <c r="AE288" s="66"/>
      <c r="AF288" s="39"/>
      <c r="AG288" s="57"/>
      <c r="AH288" s="39"/>
      <c r="AI288" s="57"/>
    </row>
    <row r="289" spans="1:35" ht="19.5" customHeight="1" x14ac:dyDescent="0.3">
      <c r="A289" s="4">
        <v>2504669</v>
      </c>
      <c r="B289" s="110" t="s">
        <v>1441</v>
      </c>
      <c r="C289" s="55">
        <v>29000</v>
      </c>
      <c r="D289" s="55">
        <v>0</v>
      </c>
      <c r="E289" s="55" t="s">
        <v>17</v>
      </c>
      <c r="F289" s="4" t="s">
        <v>71</v>
      </c>
      <c r="G289" s="4" t="s">
        <v>125</v>
      </c>
      <c r="H289" s="4" t="s">
        <v>2236</v>
      </c>
      <c r="I289" s="4" t="s">
        <v>2251</v>
      </c>
      <c r="J289" s="55">
        <v>29000</v>
      </c>
      <c r="K289" s="55">
        <v>29000</v>
      </c>
      <c r="L289" s="65">
        <v>45790</v>
      </c>
      <c r="M289" s="66">
        <v>500</v>
      </c>
      <c r="N289" s="65">
        <v>45791</v>
      </c>
      <c r="O289" s="66">
        <v>500</v>
      </c>
      <c r="P289" s="39">
        <v>45922</v>
      </c>
      <c r="Q289" s="57">
        <v>28500</v>
      </c>
      <c r="R289" s="39">
        <v>45922</v>
      </c>
      <c r="S289" s="57">
        <v>28500</v>
      </c>
      <c r="T289" s="65"/>
      <c r="U289" s="66"/>
      <c r="V289" s="65"/>
      <c r="W289" s="66"/>
      <c r="X289" s="39"/>
      <c r="Y289" s="57"/>
      <c r="Z289" s="39"/>
      <c r="AA289" s="57"/>
      <c r="AB289" s="65"/>
      <c r="AC289" s="66"/>
      <c r="AD289" s="65"/>
      <c r="AE289" s="66"/>
      <c r="AF289" s="39"/>
      <c r="AG289" s="57"/>
      <c r="AH289" s="39"/>
      <c r="AI289" s="57"/>
    </row>
    <row r="290" spans="1:35" ht="19.5" customHeight="1" x14ac:dyDescent="0.3">
      <c r="A290" s="4">
        <v>2504660</v>
      </c>
      <c r="B290" s="110" t="s">
        <v>1447</v>
      </c>
      <c r="C290" s="55">
        <v>34000</v>
      </c>
      <c r="D290" s="55">
        <v>0</v>
      </c>
      <c r="E290" s="55" t="s">
        <v>19</v>
      </c>
      <c r="F290" s="4" t="s">
        <v>71</v>
      </c>
      <c r="G290" s="4" t="s">
        <v>125</v>
      </c>
      <c r="H290" s="4" t="s">
        <v>2236</v>
      </c>
      <c r="I290" s="4" t="s">
        <v>2254</v>
      </c>
      <c r="J290" s="55">
        <v>34000</v>
      </c>
      <c r="K290" s="55">
        <v>32500</v>
      </c>
      <c r="L290" s="65">
        <v>45793</v>
      </c>
      <c r="M290" s="66">
        <v>500</v>
      </c>
      <c r="N290" s="65">
        <v>45793</v>
      </c>
      <c r="O290" s="66">
        <v>500</v>
      </c>
      <c r="P290" s="39">
        <v>45933</v>
      </c>
      <c r="Q290" s="57">
        <v>31500</v>
      </c>
      <c r="R290" s="39">
        <v>45933</v>
      </c>
      <c r="S290" s="57">
        <v>30000</v>
      </c>
      <c r="T290" s="65">
        <v>45958</v>
      </c>
      <c r="U290" s="66">
        <v>2000</v>
      </c>
      <c r="V290" s="65">
        <v>45958</v>
      </c>
      <c r="W290" s="66">
        <v>2000</v>
      </c>
      <c r="X290" s="39"/>
      <c r="Y290" s="57"/>
      <c r="Z290" s="39"/>
      <c r="AA290" s="57"/>
      <c r="AB290" s="65"/>
      <c r="AC290" s="66"/>
      <c r="AD290" s="65"/>
      <c r="AE290" s="66"/>
      <c r="AF290" s="39"/>
      <c r="AG290" s="57"/>
      <c r="AH290" s="39"/>
      <c r="AI290" s="57"/>
    </row>
    <row r="291" spans="1:35" ht="19.5" customHeight="1" x14ac:dyDescent="0.3">
      <c r="A291" s="4">
        <v>2410191</v>
      </c>
      <c r="B291" s="110" t="s">
        <v>1452</v>
      </c>
      <c r="C291" s="55">
        <v>150000</v>
      </c>
      <c r="D291" s="55">
        <v>0</v>
      </c>
      <c r="E291" s="55" t="s">
        <v>17</v>
      </c>
      <c r="F291" s="4" t="s">
        <v>124</v>
      </c>
      <c r="G291" s="4" t="s">
        <v>125</v>
      </c>
      <c r="H291" s="4" t="s">
        <v>2236</v>
      </c>
      <c r="I291" s="4" t="s">
        <v>2253</v>
      </c>
      <c r="J291" s="55">
        <v>150000</v>
      </c>
      <c r="K291" s="55">
        <v>67500</v>
      </c>
      <c r="L291" s="65">
        <v>45824</v>
      </c>
      <c r="M291" s="66">
        <v>15000</v>
      </c>
      <c r="N291" s="65">
        <v>45869</v>
      </c>
      <c r="O291" s="66">
        <v>15000</v>
      </c>
      <c r="P291" s="39">
        <v>45869</v>
      </c>
      <c r="Q291" s="57">
        <v>52500</v>
      </c>
      <c r="R291" s="39">
        <v>45882</v>
      </c>
      <c r="S291" s="57">
        <v>52500</v>
      </c>
      <c r="T291" s="65">
        <v>45904</v>
      </c>
      <c r="U291" s="66">
        <v>67500</v>
      </c>
      <c r="V291" s="65"/>
      <c r="W291" s="66"/>
      <c r="X291" s="39">
        <v>45958</v>
      </c>
      <c r="Y291" s="57">
        <v>15000</v>
      </c>
      <c r="Z291" s="39"/>
      <c r="AA291" s="57"/>
      <c r="AB291" s="65"/>
      <c r="AC291" s="66"/>
      <c r="AD291" s="65"/>
      <c r="AE291" s="66"/>
      <c r="AF291" s="39"/>
      <c r="AG291" s="57"/>
      <c r="AH291" s="39"/>
      <c r="AI291" s="57"/>
    </row>
    <row r="292" spans="1:35" ht="19.5" customHeight="1" x14ac:dyDescent="0.3">
      <c r="A292" s="4">
        <v>2505695</v>
      </c>
      <c r="B292" s="110" t="s">
        <v>1455</v>
      </c>
      <c r="C292" s="55">
        <v>27000</v>
      </c>
      <c r="D292" s="55">
        <v>0</v>
      </c>
      <c r="E292" s="55" t="s">
        <v>22</v>
      </c>
      <c r="F292" s="4" t="s">
        <v>71</v>
      </c>
      <c r="G292" s="4" t="s">
        <v>125</v>
      </c>
      <c r="H292" s="4" t="s">
        <v>2240</v>
      </c>
      <c r="I292" s="4" t="s">
        <v>2255</v>
      </c>
      <c r="J292" s="55">
        <v>500</v>
      </c>
      <c r="K292" s="55">
        <v>500</v>
      </c>
      <c r="L292" s="65">
        <v>45793</v>
      </c>
      <c r="M292" s="66">
        <v>500</v>
      </c>
      <c r="N292" s="65">
        <v>45793</v>
      </c>
      <c r="O292" s="66">
        <v>500</v>
      </c>
      <c r="P292" s="39"/>
      <c r="Q292" s="57"/>
      <c r="R292" s="39"/>
      <c r="S292" s="57"/>
      <c r="T292" s="65"/>
      <c r="U292" s="66"/>
      <c r="V292" s="65"/>
      <c r="W292" s="66"/>
      <c r="X292" s="39"/>
      <c r="Y292" s="57"/>
      <c r="Z292" s="39"/>
      <c r="AA292" s="57"/>
      <c r="AB292" s="65"/>
      <c r="AC292" s="66"/>
      <c r="AD292" s="65"/>
      <c r="AE292" s="66"/>
      <c r="AF292" s="39"/>
      <c r="AG292" s="57"/>
      <c r="AH292" s="39"/>
      <c r="AI292" s="57"/>
    </row>
    <row r="293" spans="1:35" ht="19.5" customHeight="1" x14ac:dyDescent="0.3">
      <c r="A293" s="4">
        <v>2505672</v>
      </c>
      <c r="B293" s="110" t="s">
        <v>1460</v>
      </c>
      <c r="C293" s="55">
        <v>27000</v>
      </c>
      <c r="D293" s="55">
        <v>0</v>
      </c>
      <c r="E293" s="55" t="s">
        <v>22</v>
      </c>
      <c r="F293" s="4" t="s">
        <v>71</v>
      </c>
      <c r="G293" s="4" t="s">
        <v>125</v>
      </c>
      <c r="H293" s="4" t="s">
        <v>2236</v>
      </c>
      <c r="I293" s="4" t="s">
        <v>2251</v>
      </c>
      <c r="J293" s="55">
        <v>27000</v>
      </c>
      <c r="K293" s="55">
        <v>27000</v>
      </c>
      <c r="L293" s="65">
        <v>45792</v>
      </c>
      <c r="M293" s="66">
        <v>500</v>
      </c>
      <c r="N293" s="65">
        <v>45792</v>
      </c>
      <c r="O293" s="66">
        <v>500</v>
      </c>
      <c r="P293" s="39">
        <v>45814</v>
      </c>
      <c r="Q293" s="57">
        <v>25000</v>
      </c>
      <c r="R293" s="39">
        <v>45818</v>
      </c>
      <c r="S293" s="57">
        <v>25000</v>
      </c>
      <c r="T293" s="65">
        <v>45827</v>
      </c>
      <c r="U293" s="66">
        <v>1500</v>
      </c>
      <c r="V293" s="65">
        <v>45827</v>
      </c>
      <c r="W293" s="66">
        <v>1500</v>
      </c>
      <c r="X293" s="39"/>
      <c r="Y293" s="57"/>
      <c r="Z293" s="39"/>
      <c r="AA293" s="57"/>
      <c r="AB293" s="65"/>
      <c r="AC293" s="66"/>
      <c r="AD293" s="65"/>
      <c r="AE293" s="66"/>
      <c r="AF293" s="39"/>
      <c r="AG293" s="57"/>
      <c r="AH293" s="39"/>
      <c r="AI293" s="57"/>
    </row>
    <row r="294" spans="1:35" ht="19.5" customHeight="1" x14ac:dyDescent="0.3">
      <c r="A294" s="4">
        <v>2505684</v>
      </c>
      <c r="B294" s="110" t="s">
        <v>1465</v>
      </c>
      <c r="C294" s="55">
        <v>30000</v>
      </c>
      <c r="D294" s="55">
        <v>0</v>
      </c>
      <c r="E294" s="55" t="s">
        <v>22</v>
      </c>
      <c r="F294" s="4" t="s">
        <v>71</v>
      </c>
      <c r="G294" s="4" t="s">
        <v>125</v>
      </c>
      <c r="H294" s="4" t="s">
        <v>2236</v>
      </c>
      <c r="I294" s="4" t="s">
        <v>2251</v>
      </c>
      <c r="J294" s="55">
        <v>30000</v>
      </c>
      <c r="K294" s="55">
        <v>30000</v>
      </c>
      <c r="L294" s="65">
        <v>45796</v>
      </c>
      <c r="M294" s="66">
        <v>500</v>
      </c>
      <c r="N294" s="65">
        <v>45796</v>
      </c>
      <c r="O294" s="66">
        <v>500</v>
      </c>
      <c r="P294" s="39">
        <v>45821</v>
      </c>
      <c r="Q294" s="57">
        <v>10000</v>
      </c>
      <c r="R294" s="39">
        <v>45821</v>
      </c>
      <c r="S294" s="57">
        <v>10000</v>
      </c>
      <c r="T294" s="65">
        <v>45858</v>
      </c>
      <c r="U294" s="66">
        <v>19500</v>
      </c>
      <c r="V294" s="65">
        <v>45858</v>
      </c>
      <c r="W294" s="66">
        <v>19500</v>
      </c>
      <c r="X294" s="39"/>
      <c r="Y294" s="57"/>
      <c r="Z294" s="39"/>
      <c r="AA294" s="57"/>
      <c r="AB294" s="65"/>
      <c r="AC294" s="66"/>
      <c r="AD294" s="65"/>
      <c r="AE294" s="66"/>
      <c r="AF294" s="39"/>
      <c r="AG294" s="57"/>
      <c r="AH294" s="39"/>
      <c r="AI294" s="57"/>
    </row>
    <row r="295" spans="1:35" ht="19.5" customHeight="1" x14ac:dyDescent="0.3">
      <c r="A295" s="4">
        <v>2505697</v>
      </c>
      <c r="B295" s="110" t="s">
        <v>1470</v>
      </c>
      <c r="C295" s="55">
        <v>21500</v>
      </c>
      <c r="D295" s="55">
        <v>0</v>
      </c>
      <c r="E295" s="55" t="s">
        <v>22</v>
      </c>
      <c r="F295" s="4" t="s">
        <v>71</v>
      </c>
      <c r="G295" s="4" t="s">
        <v>125</v>
      </c>
      <c r="H295" s="4" t="s">
        <v>2240</v>
      </c>
      <c r="I295" s="4" t="s">
        <v>2255</v>
      </c>
      <c r="J295" s="55">
        <v>500</v>
      </c>
      <c r="K295" s="55">
        <v>500</v>
      </c>
      <c r="L295" s="65">
        <v>45797</v>
      </c>
      <c r="M295" s="66">
        <v>500</v>
      </c>
      <c r="N295" s="65">
        <v>45797</v>
      </c>
      <c r="O295" s="66">
        <v>500</v>
      </c>
      <c r="P295" s="39"/>
      <c r="Q295" s="57"/>
      <c r="R295" s="39"/>
      <c r="S295" s="57"/>
      <c r="T295" s="65"/>
      <c r="U295" s="66"/>
      <c r="V295" s="65"/>
      <c r="W295" s="66"/>
      <c r="X295" s="39"/>
      <c r="Y295" s="57"/>
      <c r="Z295" s="39"/>
      <c r="AA295" s="57"/>
      <c r="AB295" s="65"/>
      <c r="AC295" s="66"/>
      <c r="AD295" s="65"/>
      <c r="AE295" s="66"/>
      <c r="AF295" s="39"/>
      <c r="AG295" s="57"/>
      <c r="AH295" s="39"/>
      <c r="AI295" s="57"/>
    </row>
    <row r="296" spans="1:35" ht="19.5" customHeight="1" x14ac:dyDescent="0.3">
      <c r="A296" s="4">
        <v>2505688</v>
      </c>
      <c r="B296" s="110" t="s">
        <v>1475</v>
      </c>
      <c r="C296" s="55">
        <v>40000</v>
      </c>
      <c r="D296" s="55">
        <v>0</v>
      </c>
      <c r="E296" s="55" t="s">
        <v>17</v>
      </c>
      <c r="F296" s="4" t="s">
        <v>71</v>
      </c>
      <c r="G296" s="4" t="s">
        <v>125</v>
      </c>
      <c r="H296" s="4" t="s">
        <v>2236</v>
      </c>
      <c r="I296" s="4" t="s">
        <v>2251</v>
      </c>
      <c r="J296" s="55">
        <v>40000</v>
      </c>
      <c r="K296" s="55">
        <v>40000</v>
      </c>
      <c r="L296" s="65">
        <v>45797</v>
      </c>
      <c r="M296" s="66">
        <v>500</v>
      </c>
      <c r="N296" s="65">
        <v>45797</v>
      </c>
      <c r="O296" s="66">
        <v>500</v>
      </c>
      <c r="P296" s="39">
        <v>45832</v>
      </c>
      <c r="Q296" s="57">
        <v>37500</v>
      </c>
      <c r="R296" s="39">
        <v>45839</v>
      </c>
      <c r="S296" s="57">
        <v>37500</v>
      </c>
      <c r="T296" s="65">
        <v>45835</v>
      </c>
      <c r="U296" s="66">
        <v>2000</v>
      </c>
      <c r="V296" s="65">
        <v>45874</v>
      </c>
      <c r="W296" s="66">
        <v>2000</v>
      </c>
      <c r="X296" s="39"/>
      <c r="Y296" s="57"/>
      <c r="Z296" s="39"/>
      <c r="AA296" s="57"/>
      <c r="AB296" s="65"/>
      <c r="AC296" s="66"/>
      <c r="AD296" s="65"/>
      <c r="AE296" s="66"/>
      <c r="AF296" s="39"/>
      <c r="AG296" s="57"/>
      <c r="AH296" s="39"/>
      <c r="AI296" s="57"/>
    </row>
    <row r="297" spans="1:35" ht="19.5" customHeight="1" x14ac:dyDescent="0.3">
      <c r="A297" s="4">
        <v>2505682</v>
      </c>
      <c r="B297" s="110" t="s">
        <v>1480</v>
      </c>
      <c r="C297" s="55">
        <v>36620</v>
      </c>
      <c r="D297" s="55">
        <v>0</v>
      </c>
      <c r="E297" s="55" t="s">
        <v>22</v>
      </c>
      <c r="F297" s="4" t="s">
        <v>71</v>
      </c>
      <c r="G297" s="4" t="s">
        <v>176</v>
      </c>
      <c r="H297" s="4" t="s">
        <v>2236</v>
      </c>
      <c r="I297" s="4" t="s">
        <v>2251</v>
      </c>
      <c r="J297" s="55">
        <v>36620</v>
      </c>
      <c r="K297" s="55">
        <v>36620</v>
      </c>
      <c r="L297" s="65">
        <v>45797</v>
      </c>
      <c r="M297" s="66">
        <v>500</v>
      </c>
      <c r="N297" s="65">
        <v>45797</v>
      </c>
      <c r="O297" s="66">
        <v>500</v>
      </c>
      <c r="P297" s="39">
        <v>45855</v>
      </c>
      <c r="Q297" s="57">
        <v>36120</v>
      </c>
      <c r="R297" s="39">
        <v>45855</v>
      </c>
      <c r="S297" s="57">
        <v>36120</v>
      </c>
      <c r="T297" s="65"/>
      <c r="U297" s="66"/>
      <c r="V297" s="65"/>
      <c r="W297" s="66"/>
      <c r="X297" s="39"/>
      <c r="Y297" s="57"/>
      <c r="Z297" s="39"/>
      <c r="AA297" s="57"/>
      <c r="AB297" s="65"/>
      <c r="AC297" s="66"/>
      <c r="AD297" s="65"/>
      <c r="AE297" s="66"/>
      <c r="AF297" s="39"/>
      <c r="AG297" s="57"/>
      <c r="AH297" s="39"/>
      <c r="AI297" s="57"/>
    </row>
    <row r="298" spans="1:35" ht="19.5" customHeight="1" x14ac:dyDescent="0.3">
      <c r="A298" s="4">
        <v>2505699</v>
      </c>
      <c r="B298" s="110" t="s">
        <v>1485</v>
      </c>
      <c r="C298" s="55">
        <v>33000</v>
      </c>
      <c r="D298" s="55">
        <v>0</v>
      </c>
      <c r="E298" s="55" t="s">
        <v>19</v>
      </c>
      <c r="F298" s="4" t="s">
        <v>71</v>
      </c>
      <c r="G298" s="4" t="s">
        <v>125</v>
      </c>
      <c r="H298" s="4" t="s">
        <v>2240</v>
      </c>
      <c r="I298" s="4" t="s">
        <v>2255</v>
      </c>
      <c r="J298" s="55">
        <v>500</v>
      </c>
      <c r="K298" s="55">
        <v>500</v>
      </c>
      <c r="L298" s="65">
        <v>45798</v>
      </c>
      <c r="M298" s="66">
        <v>500</v>
      </c>
      <c r="N298" s="65">
        <v>45798</v>
      </c>
      <c r="O298" s="66">
        <v>500</v>
      </c>
      <c r="P298" s="39"/>
      <c r="Q298" s="57"/>
      <c r="R298" s="39"/>
      <c r="S298" s="57"/>
      <c r="T298" s="65"/>
      <c r="U298" s="66"/>
      <c r="V298" s="65"/>
      <c r="W298" s="66"/>
      <c r="X298" s="39"/>
      <c r="Y298" s="57"/>
      <c r="Z298" s="39"/>
      <c r="AA298" s="57"/>
      <c r="AB298" s="65"/>
      <c r="AC298" s="66"/>
      <c r="AD298" s="65"/>
      <c r="AE298" s="66"/>
      <c r="AF298" s="39"/>
      <c r="AG298" s="57"/>
      <c r="AH298" s="39"/>
      <c r="AI298" s="57"/>
    </row>
    <row r="299" spans="1:35" ht="19.5" customHeight="1" x14ac:dyDescent="0.3">
      <c r="A299" s="4">
        <v>2503612</v>
      </c>
      <c r="B299" s="110" t="s">
        <v>809</v>
      </c>
      <c r="C299" s="55">
        <v>0</v>
      </c>
      <c r="D299" s="55">
        <v>0</v>
      </c>
      <c r="E299" s="55" t="s">
        <v>17</v>
      </c>
      <c r="F299" s="4" t="s">
        <v>71</v>
      </c>
      <c r="G299" s="4">
        <v>0</v>
      </c>
      <c r="H299" s="4" t="s">
        <v>2236</v>
      </c>
      <c r="I299" s="4" t="s">
        <v>2251</v>
      </c>
      <c r="J299" s="55">
        <v>0</v>
      </c>
      <c r="K299" s="55">
        <v>0</v>
      </c>
      <c r="L299" s="65"/>
      <c r="M299" s="66"/>
      <c r="N299" s="65"/>
      <c r="O299" s="66"/>
      <c r="P299" s="39"/>
      <c r="Q299" s="57"/>
      <c r="R299" s="39"/>
      <c r="S299" s="57"/>
      <c r="T299" s="65"/>
      <c r="U299" s="66"/>
      <c r="V299" s="65"/>
      <c r="W299" s="66"/>
      <c r="X299" s="39"/>
      <c r="Y299" s="57"/>
      <c r="Z299" s="39"/>
      <c r="AA299" s="57"/>
      <c r="AB299" s="65"/>
      <c r="AC299" s="66"/>
      <c r="AD299" s="65"/>
      <c r="AE299" s="66"/>
      <c r="AF299" s="39"/>
      <c r="AG299" s="57"/>
      <c r="AH299" s="39"/>
      <c r="AI299" s="57"/>
    </row>
    <row r="300" spans="1:35" ht="19.5" customHeight="1" x14ac:dyDescent="0.3">
      <c r="A300" s="4">
        <v>2505680</v>
      </c>
      <c r="B300" s="110" t="s">
        <v>1491</v>
      </c>
      <c r="C300" s="55">
        <v>41000</v>
      </c>
      <c r="D300" s="55">
        <v>0</v>
      </c>
      <c r="E300" s="55" t="s">
        <v>22</v>
      </c>
      <c r="F300" s="4" t="s">
        <v>71</v>
      </c>
      <c r="G300" s="4" t="s">
        <v>125</v>
      </c>
      <c r="H300" s="4" t="s">
        <v>2240</v>
      </c>
      <c r="I300" s="4" t="s">
        <v>2252</v>
      </c>
      <c r="J300" s="55">
        <v>500</v>
      </c>
      <c r="K300" s="55">
        <v>0</v>
      </c>
      <c r="L300" s="65">
        <v>45799</v>
      </c>
      <c r="M300" s="66">
        <v>500</v>
      </c>
      <c r="N300" s="65"/>
      <c r="O300" s="66"/>
      <c r="P300" s="39"/>
      <c r="Q300" s="57"/>
      <c r="R300" s="39"/>
      <c r="S300" s="57"/>
      <c r="T300" s="65"/>
      <c r="U300" s="66"/>
      <c r="V300" s="65"/>
      <c r="W300" s="66"/>
      <c r="X300" s="39"/>
      <c r="Y300" s="57"/>
      <c r="Z300" s="39"/>
      <c r="AA300" s="57"/>
      <c r="AB300" s="65"/>
      <c r="AC300" s="66"/>
      <c r="AD300" s="65"/>
      <c r="AE300" s="66"/>
      <c r="AF300" s="39"/>
      <c r="AG300" s="57"/>
      <c r="AH300" s="39"/>
      <c r="AI300" s="57"/>
    </row>
    <row r="301" spans="1:35" ht="19.5" customHeight="1" x14ac:dyDescent="0.3">
      <c r="A301" s="4">
        <v>2503607</v>
      </c>
      <c r="B301" s="110" t="s">
        <v>1496</v>
      </c>
      <c r="C301" s="55">
        <v>29000</v>
      </c>
      <c r="D301" s="55">
        <v>0</v>
      </c>
      <c r="E301" s="55" t="s">
        <v>17</v>
      </c>
      <c r="F301" s="4" t="s">
        <v>71</v>
      </c>
      <c r="G301" s="4" t="s">
        <v>125</v>
      </c>
      <c r="H301" s="4" t="s">
        <v>2236</v>
      </c>
      <c r="I301" s="4" t="s">
        <v>2251</v>
      </c>
      <c r="J301" s="55">
        <v>29000</v>
      </c>
      <c r="K301" s="55">
        <v>29000</v>
      </c>
      <c r="L301" s="65">
        <v>45798</v>
      </c>
      <c r="M301" s="66">
        <v>500</v>
      </c>
      <c r="N301" s="65">
        <v>45798</v>
      </c>
      <c r="O301" s="66">
        <v>500</v>
      </c>
      <c r="P301" s="39">
        <v>45868</v>
      </c>
      <c r="Q301" s="57">
        <v>28500</v>
      </c>
      <c r="R301" s="39">
        <v>45868</v>
      </c>
      <c r="S301" s="57">
        <v>28500</v>
      </c>
      <c r="T301" s="65"/>
      <c r="U301" s="66"/>
      <c r="V301" s="65"/>
      <c r="W301" s="66"/>
      <c r="X301" s="39"/>
      <c r="Y301" s="57"/>
      <c r="Z301" s="39"/>
      <c r="AA301" s="57"/>
      <c r="AB301" s="65"/>
      <c r="AC301" s="66"/>
      <c r="AD301" s="65"/>
      <c r="AE301" s="66"/>
      <c r="AF301" s="39"/>
      <c r="AG301" s="57"/>
      <c r="AH301" s="39"/>
      <c r="AI301" s="57"/>
    </row>
    <row r="302" spans="1:35" ht="19.5" customHeight="1" x14ac:dyDescent="0.3">
      <c r="A302" s="4">
        <v>2505711</v>
      </c>
      <c r="B302" s="110" t="s">
        <v>1501</v>
      </c>
      <c r="C302" s="55">
        <v>25500</v>
      </c>
      <c r="D302" s="55">
        <v>0</v>
      </c>
      <c r="E302" s="55" t="s">
        <v>19</v>
      </c>
      <c r="F302" s="4" t="s">
        <v>71</v>
      </c>
      <c r="G302" s="4" t="s">
        <v>125</v>
      </c>
      <c r="H302" s="4" t="s">
        <v>2240</v>
      </c>
      <c r="I302" s="4" t="s">
        <v>2255</v>
      </c>
      <c r="J302" s="55">
        <v>500</v>
      </c>
      <c r="K302" s="55">
        <v>500</v>
      </c>
      <c r="L302" s="65">
        <v>45804</v>
      </c>
      <c r="M302" s="66">
        <v>500</v>
      </c>
      <c r="N302" s="65">
        <v>45804</v>
      </c>
      <c r="O302" s="66">
        <v>500</v>
      </c>
      <c r="P302" s="39"/>
      <c r="Q302" s="57"/>
      <c r="R302" s="39"/>
      <c r="S302" s="57"/>
      <c r="T302" s="65"/>
      <c r="U302" s="66"/>
      <c r="V302" s="65"/>
      <c r="W302" s="66"/>
      <c r="X302" s="39"/>
      <c r="Y302" s="57"/>
      <c r="Z302" s="39"/>
      <c r="AA302" s="57"/>
      <c r="AB302" s="65"/>
      <c r="AC302" s="66"/>
      <c r="AD302" s="65"/>
      <c r="AE302" s="66"/>
      <c r="AF302" s="39"/>
      <c r="AG302" s="57"/>
      <c r="AH302" s="39"/>
      <c r="AI302" s="57"/>
    </row>
    <row r="303" spans="1:35" ht="19.5" customHeight="1" x14ac:dyDescent="0.3">
      <c r="A303" s="4">
        <v>2505713</v>
      </c>
      <c r="B303" s="110" t="s">
        <v>1506</v>
      </c>
      <c r="C303" s="55">
        <v>41000</v>
      </c>
      <c r="D303" s="55">
        <v>0</v>
      </c>
      <c r="E303" s="55" t="s">
        <v>22</v>
      </c>
      <c r="F303" s="4" t="s">
        <v>71</v>
      </c>
      <c r="G303" s="4" t="s">
        <v>125</v>
      </c>
      <c r="H303" s="4" t="s">
        <v>2236</v>
      </c>
      <c r="I303" s="4" t="s">
        <v>2251</v>
      </c>
      <c r="J303" s="55">
        <v>41000</v>
      </c>
      <c r="K303" s="55">
        <v>41000</v>
      </c>
      <c r="L303" s="65">
        <v>45804</v>
      </c>
      <c r="M303" s="66">
        <v>500</v>
      </c>
      <c r="N303" s="65">
        <v>45804</v>
      </c>
      <c r="O303" s="66">
        <v>500</v>
      </c>
      <c r="P303" s="39">
        <v>45838</v>
      </c>
      <c r="Q303" s="57">
        <v>38500</v>
      </c>
      <c r="R303" s="39">
        <v>45875</v>
      </c>
      <c r="S303" s="57">
        <v>38500</v>
      </c>
      <c r="T303" s="65">
        <v>45875</v>
      </c>
      <c r="U303" s="66">
        <v>2000</v>
      </c>
      <c r="V303" s="65">
        <v>45886</v>
      </c>
      <c r="W303" s="66">
        <v>2000</v>
      </c>
      <c r="X303" s="39"/>
      <c r="Y303" s="57"/>
      <c r="Z303" s="39"/>
      <c r="AA303" s="57"/>
      <c r="AB303" s="65"/>
      <c r="AC303" s="66"/>
      <c r="AD303" s="65"/>
      <c r="AE303" s="66"/>
      <c r="AF303" s="39"/>
      <c r="AG303" s="57"/>
      <c r="AH303" s="39"/>
      <c r="AI303" s="57"/>
    </row>
    <row r="304" spans="1:35" ht="19.5" customHeight="1" x14ac:dyDescent="0.3">
      <c r="A304" s="4">
        <v>2505714</v>
      </c>
      <c r="B304" s="110" t="s">
        <v>1511</v>
      </c>
      <c r="C304" s="55">
        <v>22500</v>
      </c>
      <c r="D304" s="55">
        <v>0</v>
      </c>
      <c r="E304" s="55" t="s">
        <v>17</v>
      </c>
      <c r="F304" s="4" t="s">
        <v>71</v>
      </c>
      <c r="G304" s="4" t="s">
        <v>125</v>
      </c>
      <c r="H304" s="4" t="s">
        <v>2240</v>
      </c>
      <c r="I304" s="4" t="s">
        <v>2255</v>
      </c>
      <c r="J304" s="55">
        <v>500</v>
      </c>
      <c r="K304" s="55">
        <v>500</v>
      </c>
      <c r="L304" s="65">
        <v>45805</v>
      </c>
      <c r="M304" s="66">
        <v>500</v>
      </c>
      <c r="N304" s="65">
        <v>45805</v>
      </c>
      <c r="O304" s="66">
        <v>500</v>
      </c>
      <c r="P304" s="39"/>
      <c r="Q304" s="57"/>
      <c r="R304" s="39"/>
      <c r="S304" s="57"/>
      <c r="T304" s="65"/>
      <c r="U304" s="66"/>
      <c r="V304" s="65"/>
      <c r="W304" s="66"/>
      <c r="X304" s="39"/>
      <c r="Y304" s="57"/>
      <c r="Z304" s="39"/>
      <c r="AA304" s="57"/>
      <c r="AB304" s="65"/>
      <c r="AC304" s="66"/>
      <c r="AD304" s="65"/>
      <c r="AE304" s="66"/>
      <c r="AF304" s="39"/>
      <c r="AG304" s="57"/>
      <c r="AH304" s="39"/>
      <c r="AI304" s="57"/>
    </row>
    <row r="305" spans="1:35" ht="19.5" customHeight="1" x14ac:dyDescent="0.3">
      <c r="A305" s="4">
        <v>2405306</v>
      </c>
      <c r="B305" s="110" t="s">
        <v>773</v>
      </c>
      <c r="C305" s="55">
        <v>43000</v>
      </c>
      <c r="D305" s="55">
        <v>7000</v>
      </c>
      <c r="E305" s="55" t="s">
        <v>17</v>
      </c>
      <c r="F305" s="4" t="s">
        <v>71</v>
      </c>
      <c r="G305" s="4" t="s">
        <v>125</v>
      </c>
      <c r="H305" s="4" t="s">
        <v>2236</v>
      </c>
      <c r="I305" s="4" t="s">
        <v>2255</v>
      </c>
      <c r="J305" s="55">
        <v>50000</v>
      </c>
      <c r="K305" s="55">
        <v>500</v>
      </c>
      <c r="L305" s="65">
        <v>45806</v>
      </c>
      <c r="M305" s="66">
        <v>500</v>
      </c>
      <c r="N305" s="65">
        <v>45806</v>
      </c>
      <c r="O305" s="66">
        <v>500</v>
      </c>
      <c r="P305" s="39">
        <v>45862</v>
      </c>
      <c r="Q305" s="57">
        <v>42500</v>
      </c>
      <c r="R305" s="39"/>
      <c r="S305" s="57"/>
      <c r="T305" s="65"/>
      <c r="U305" s="66"/>
      <c r="V305" s="65"/>
      <c r="W305" s="66"/>
      <c r="X305" s="39"/>
      <c r="Y305" s="57"/>
      <c r="Z305" s="39"/>
      <c r="AA305" s="57"/>
      <c r="AB305" s="65"/>
      <c r="AC305" s="66"/>
      <c r="AD305" s="65"/>
      <c r="AE305" s="66"/>
      <c r="AF305" s="39">
        <v>45862</v>
      </c>
      <c r="AG305" s="57">
        <v>7000</v>
      </c>
      <c r="AH305" s="39"/>
      <c r="AI305" s="57"/>
    </row>
    <row r="306" spans="1:35" ht="19.5" customHeight="1" x14ac:dyDescent="0.3">
      <c r="A306" s="4">
        <v>2505705</v>
      </c>
      <c r="B306" s="110" t="s">
        <v>1517</v>
      </c>
      <c r="C306" s="55">
        <v>21500</v>
      </c>
      <c r="D306" s="55">
        <v>0</v>
      </c>
      <c r="E306" s="55" t="s">
        <v>17</v>
      </c>
      <c r="F306" s="4" t="s">
        <v>71</v>
      </c>
      <c r="G306" s="4" t="s">
        <v>125</v>
      </c>
      <c r="H306" s="4" t="s">
        <v>2236</v>
      </c>
      <c r="I306" s="4" t="s">
        <v>2251</v>
      </c>
      <c r="J306" s="55">
        <v>21500</v>
      </c>
      <c r="K306" s="55">
        <v>21500</v>
      </c>
      <c r="L306" s="65">
        <v>45807</v>
      </c>
      <c r="M306" s="66">
        <v>500</v>
      </c>
      <c r="N306" s="65">
        <v>45807</v>
      </c>
      <c r="O306" s="66">
        <v>500</v>
      </c>
      <c r="P306" s="39">
        <v>45834</v>
      </c>
      <c r="Q306" s="57">
        <v>21000</v>
      </c>
      <c r="R306" s="39">
        <v>45834</v>
      </c>
      <c r="S306" s="57">
        <v>21000</v>
      </c>
      <c r="T306" s="65"/>
      <c r="U306" s="66"/>
      <c r="V306" s="65"/>
      <c r="W306" s="66"/>
      <c r="X306" s="39"/>
      <c r="Y306" s="57"/>
      <c r="Z306" s="39"/>
      <c r="AA306" s="57"/>
      <c r="AB306" s="65"/>
      <c r="AC306" s="66"/>
      <c r="AD306" s="65"/>
      <c r="AE306" s="66"/>
      <c r="AF306" s="39"/>
      <c r="AG306" s="57"/>
      <c r="AH306" s="39"/>
      <c r="AI306" s="57"/>
    </row>
    <row r="307" spans="1:35" ht="19.5" customHeight="1" x14ac:dyDescent="0.3">
      <c r="A307" s="4">
        <v>2505717</v>
      </c>
      <c r="B307" s="110" t="s">
        <v>1522</v>
      </c>
      <c r="C307" s="55">
        <v>42000</v>
      </c>
      <c r="D307" s="55">
        <v>0</v>
      </c>
      <c r="E307" s="55" t="s">
        <v>17</v>
      </c>
      <c r="F307" s="4" t="s">
        <v>71</v>
      </c>
      <c r="G307" s="4" t="s">
        <v>176</v>
      </c>
      <c r="H307" s="4" t="s">
        <v>2236</v>
      </c>
      <c r="I307" s="4" t="s">
        <v>2251</v>
      </c>
      <c r="J307" s="55">
        <v>42000</v>
      </c>
      <c r="K307" s="55">
        <v>42000</v>
      </c>
      <c r="L307" s="65">
        <v>45807</v>
      </c>
      <c r="M307" s="66">
        <v>500</v>
      </c>
      <c r="N307" s="65">
        <v>45807</v>
      </c>
      <c r="O307" s="66">
        <v>500</v>
      </c>
      <c r="P307" s="39">
        <v>45859</v>
      </c>
      <c r="Q307" s="57">
        <v>41500</v>
      </c>
      <c r="R307" s="39">
        <v>45859</v>
      </c>
      <c r="S307" s="57">
        <v>41500</v>
      </c>
      <c r="T307" s="65"/>
      <c r="U307" s="66"/>
      <c r="V307" s="65"/>
      <c r="W307" s="66"/>
      <c r="X307" s="39"/>
      <c r="Y307" s="57"/>
      <c r="Z307" s="39"/>
      <c r="AA307" s="57"/>
      <c r="AB307" s="65"/>
      <c r="AC307" s="66"/>
      <c r="AD307" s="65"/>
      <c r="AE307" s="66"/>
      <c r="AF307" s="39"/>
      <c r="AG307" s="57"/>
      <c r="AH307" s="39"/>
      <c r="AI307" s="57"/>
    </row>
    <row r="308" spans="1:35" ht="19.5" customHeight="1" x14ac:dyDescent="0.3">
      <c r="A308" s="4" t="s">
        <v>1527</v>
      </c>
      <c r="B308" s="110" t="s">
        <v>1528</v>
      </c>
      <c r="C308" s="55">
        <v>32000</v>
      </c>
      <c r="D308" s="55">
        <v>0</v>
      </c>
      <c r="E308" s="55" t="s">
        <v>17</v>
      </c>
      <c r="F308" s="4" t="s">
        <v>71</v>
      </c>
      <c r="G308" s="4" t="s">
        <v>125</v>
      </c>
      <c r="H308" s="4" t="s">
        <v>2240</v>
      </c>
      <c r="I308" s="4" t="s">
        <v>2255</v>
      </c>
      <c r="J308" s="55">
        <v>500</v>
      </c>
      <c r="K308" s="55">
        <v>500</v>
      </c>
      <c r="L308" s="65">
        <v>45807</v>
      </c>
      <c r="M308" s="66">
        <v>500</v>
      </c>
      <c r="N308" s="65">
        <v>45812</v>
      </c>
      <c r="O308" s="66">
        <v>500</v>
      </c>
      <c r="P308" s="39"/>
      <c r="Q308" s="57"/>
      <c r="R308" s="39"/>
      <c r="S308" s="57"/>
      <c r="T308" s="65"/>
      <c r="U308" s="66"/>
      <c r="V308" s="65"/>
      <c r="W308" s="66"/>
      <c r="X308" s="39"/>
      <c r="Y308" s="57"/>
      <c r="Z308" s="39"/>
      <c r="AA308" s="57"/>
      <c r="AB308" s="65"/>
      <c r="AC308" s="66"/>
      <c r="AD308" s="65"/>
      <c r="AE308" s="66"/>
      <c r="AF308" s="39"/>
      <c r="AG308" s="57"/>
      <c r="AH308" s="39"/>
      <c r="AI308" s="57"/>
    </row>
    <row r="309" spans="1:35" ht="19.5" customHeight="1" x14ac:dyDescent="0.3">
      <c r="A309" s="4">
        <v>2505719</v>
      </c>
      <c r="B309" s="110" t="s">
        <v>1529</v>
      </c>
      <c r="C309" s="55">
        <v>27000</v>
      </c>
      <c r="D309" s="55">
        <v>0</v>
      </c>
      <c r="E309" s="55" t="s">
        <v>17</v>
      </c>
      <c r="F309" s="4" t="s">
        <v>71</v>
      </c>
      <c r="G309" s="4" t="s">
        <v>125</v>
      </c>
      <c r="H309" s="4" t="s">
        <v>2238</v>
      </c>
      <c r="I309" s="4" t="s">
        <v>2253</v>
      </c>
      <c r="J309" s="55">
        <v>25000</v>
      </c>
      <c r="K309" s="55">
        <v>25000</v>
      </c>
      <c r="L309" s="65">
        <v>45812</v>
      </c>
      <c r="M309" s="66">
        <v>1000</v>
      </c>
      <c r="N309" s="65">
        <v>45812</v>
      </c>
      <c r="O309" s="66">
        <v>1000</v>
      </c>
      <c r="P309" s="39">
        <v>45869</v>
      </c>
      <c r="Q309" s="57">
        <v>24000</v>
      </c>
      <c r="R309" s="39">
        <v>45869</v>
      </c>
      <c r="S309" s="57">
        <v>24000</v>
      </c>
      <c r="T309" s="65"/>
      <c r="U309" s="66"/>
      <c r="V309" s="65"/>
      <c r="W309" s="66"/>
      <c r="X309" s="39"/>
      <c r="Y309" s="57"/>
      <c r="Z309" s="39"/>
      <c r="AA309" s="57"/>
      <c r="AB309" s="65"/>
      <c r="AC309" s="66"/>
      <c r="AD309" s="65"/>
      <c r="AE309" s="66"/>
      <c r="AF309" s="39"/>
      <c r="AG309" s="57"/>
      <c r="AH309" s="39"/>
      <c r="AI309" s="57"/>
    </row>
    <row r="310" spans="1:35" ht="19.5" customHeight="1" x14ac:dyDescent="0.3">
      <c r="A310" s="4">
        <v>2505687</v>
      </c>
      <c r="B310" s="110" t="s">
        <v>1535</v>
      </c>
      <c r="C310" s="55">
        <v>30000</v>
      </c>
      <c r="D310" s="55">
        <v>0</v>
      </c>
      <c r="E310" s="55" t="s">
        <v>22</v>
      </c>
      <c r="F310" s="4" t="s">
        <v>71</v>
      </c>
      <c r="G310" s="4" t="s">
        <v>125</v>
      </c>
      <c r="H310" s="4" t="s">
        <v>2238</v>
      </c>
      <c r="I310" s="4" t="s">
        <v>2253</v>
      </c>
      <c r="J310" s="55">
        <v>27000</v>
      </c>
      <c r="K310" s="55">
        <v>20000</v>
      </c>
      <c r="L310" s="65">
        <v>45804</v>
      </c>
      <c r="M310" s="66">
        <v>500</v>
      </c>
      <c r="N310" s="65">
        <v>45804</v>
      </c>
      <c r="O310" s="66">
        <v>500</v>
      </c>
      <c r="P310" s="39">
        <v>45814</v>
      </c>
      <c r="Q310" s="57">
        <v>26500</v>
      </c>
      <c r="R310" s="39">
        <v>45886</v>
      </c>
      <c r="S310" s="57">
        <v>19500</v>
      </c>
      <c r="T310" s="65"/>
      <c r="U310" s="66"/>
      <c r="V310" s="65"/>
      <c r="W310" s="66"/>
      <c r="X310" s="39"/>
      <c r="Y310" s="57"/>
      <c r="Z310" s="39"/>
      <c r="AA310" s="57"/>
      <c r="AB310" s="65"/>
      <c r="AC310" s="66"/>
      <c r="AD310" s="65"/>
      <c r="AE310" s="66"/>
      <c r="AF310" s="39"/>
      <c r="AG310" s="57"/>
      <c r="AH310" s="39"/>
      <c r="AI310" s="57"/>
    </row>
    <row r="311" spans="1:35" ht="19.5" customHeight="1" x14ac:dyDescent="0.3">
      <c r="A311" s="4">
        <v>2505718</v>
      </c>
      <c r="B311" s="110" t="s">
        <v>1540</v>
      </c>
      <c r="C311" s="55">
        <v>23500</v>
      </c>
      <c r="D311" s="55">
        <v>0</v>
      </c>
      <c r="E311" s="55" t="s">
        <v>19</v>
      </c>
      <c r="F311" s="4" t="s">
        <v>71</v>
      </c>
      <c r="G311" s="4" t="s">
        <v>125</v>
      </c>
      <c r="H311" s="4" t="s">
        <v>2236</v>
      </c>
      <c r="I311" s="4" t="s">
        <v>2251</v>
      </c>
      <c r="J311" s="55">
        <v>23500</v>
      </c>
      <c r="K311" s="55">
        <v>23500</v>
      </c>
      <c r="L311" s="65">
        <v>45815</v>
      </c>
      <c r="M311" s="66">
        <v>1000</v>
      </c>
      <c r="N311" s="65">
        <v>45815</v>
      </c>
      <c r="O311" s="66">
        <v>1000</v>
      </c>
      <c r="P311" s="39">
        <v>45870</v>
      </c>
      <c r="Q311" s="57">
        <v>20500</v>
      </c>
      <c r="R311" s="39">
        <v>45870</v>
      </c>
      <c r="S311" s="57">
        <v>20500</v>
      </c>
      <c r="T311" s="65">
        <v>45894</v>
      </c>
      <c r="U311" s="66">
        <v>2000</v>
      </c>
      <c r="V311" s="65">
        <v>45894</v>
      </c>
      <c r="W311" s="66">
        <v>2000</v>
      </c>
      <c r="X311" s="39"/>
      <c r="Y311" s="57"/>
      <c r="Z311" s="39"/>
      <c r="AA311" s="57"/>
      <c r="AB311" s="65"/>
      <c r="AC311" s="66"/>
      <c r="AD311" s="65"/>
      <c r="AE311" s="66"/>
      <c r="AF311" s="39"/>
      <c r="AG311" s="57"/>
      <c r="AH311" s="39"/>
      <c r="AI311" s="57"/>
    </row>
    <row r="312" spans="1:35" ht="19.5" customHeight="1" x14ac:dyDescent="0.3">
      <c r="A312" s="4">
        <v>2506726</v>
      </c>
      <c r="B312" s="110" t="s">
        <v>1545</v>
      </c>
      <c r="C312" s="55">
        <v>22000</v>
      </c>
      <c r="D312" s="55">
        <v>0</v>
      </c>
      <c r="E312" s="55" t="s">
        <v>21</v>
      </c>
      <c r="F312" s="4" t="s">
        <v>71</v>
      </c>
      <c r="G312" s="4" t="s">
        <v>1191</v>
      </c>
      <c r="H312" s="4" t="s">
        <v>2236</v>
      </c>
      <c r="I312" s="4" t="s">
        <v>2251</v>
      </c>
      <c r="J312" s="55">
        <v>22000</v>
      </c>
      <c r="K312" s="55">
        <v>22000</v>
      </c>
      <c r="L312" s="65">
        <v>45816</v>
      </c>
      <c r="M312" s="66">
        <v>10000</v>
      </c>
      <c r="N312" s="65">
        <v>45816</v>
      </c>
      <c r="O312" s="66">
        <v>10000</v>
      </c>
      <c r="P312" s="39">
        <v>45838</v>
      </c>
      <c r="Q312" s="57">
        <v>12000</v>
      </c>
      <c r="R312" s="39">
        <v>45867</v>
      </c>
      <c r="S312" s="57">
        <v>12000</v>
      </c>
      <c r="T312" s="65"/>
      <c r="U312" s="66"/>
      <c r="V312" s="65"/>
      <c r="W312" s="66"/>
      <c r="X312" s="39"/>
      <c r="Y312" s="57"/>
      <c r="Z312" s="39"/>
      <c r="AA312" s="57"/>
      <c r="AB312" s="65"/>
      <c r="AC312" s="66"/>
      <c r="AD312" s="65"/>
      <c r="AE312" s="66"/>
      <c r="AF312" s="39"/>
      <c r="AG312" s="57"/>
      <c r="AH312" s="39"/>
      <c r="AI312" s="57"/>
    </row>
    <row r="313" spans="1:35" ht="19.5" customHeight="1" x14ac:dyDescent="0.3">
      <c r="A313" s="4">
        <v>2506735</v>
      </c>
      <c r="B313" s="110" t="s">
        <v>1550</v>
      </c>
      <c r="C313" s="55">
        <v>19000</v>
      </c>
      <c r="D313" s="55">
        <v>0</v>
      </c>
      <c r="E313" s="55" t="s">
        <v>22</v>
      </c>
      <c r="F313" s="4" t="s">
        <v>71</v>
      </c>
      <c r="G313" s="4" t="s">
        <v>125</v>
      </c>
      <c r="H313" s="4" t="s">
        <v>2236</v>
      </c>
      <c r="I313" s="4" t="s">
        <v>2251</v>
      </c>
      <c r="J313" s="55">
        <v>19000</v>
      </c>
      <c r="K313" s="55">
        <v>19000</v>
      </c>
      <c r="L313" s="65">
        <v>45816</v>
      </c>
      <c r="M313" s="66">
        <v>1000</v>
      </c>
      <c r="N313" s="65">
        <v>45817</v>
      </c>
      <c r="O313" s="66">
        <v>1000</v>
      </c>
      <c r="P313" s="39">
        <v>45838</v>
      </c>
      <c r="Q313" s="57">
        <v>16000</v>
      </c>
      <c r="R313" s="39">
        <v>45847</v>
      </c>
      <c r="S313" s="57">
        <v>16000</v>
      </c>
      <c r="T313" s="65">
        <v>45849</v>
      </c>
      <c r="U313" s="66">
        <v>2000</v>
      </c>
      <c r="V313" s="65">
        <v>45849</v>
      </c>
      <c r="W313" s="66">
        <v>2000</v>
      </c>
      <c r="X313" s="39"/>
      <c r="Y313" s="57"/>
      <c r="Z313" s="39"/>
      <c r="AA313" s="57"/>
      <c r="AB313" s="65"/>
      <c r="AC313" s="66"/>
      <c r="AD313" s="65"/>
      <c r="AE313" s="66"/>
      <c r="AF313" s="39"/>
      <c r="AG313" s="57"/>
      <c r="AH313" s="39"/>
      <c r="AI313" s="57"/>
    </row>
    <row r="314" spans="1:35" ht="19.5" customHeight="1" x14ac:dyDescent="0.3">
      <c r="A314" s="4">
        <v>2506734</v>
      </c>
      <c r="B314" s="110" t="s">
        <v>1555</v>
      </c>
      <c r="C314" s="55">
        <v>25500</v>
      </c>
      <c r="D314" s="55">
        <v>0</v>
      </c>
      <c r="E314" s="55" t="s">
        <v>22</v>
      </c>
      <c r="F314" s="4" t="s">
        <v>71</v>
      </c>
      <c r="G314" s="4" t="s">
        <v>125</v>
      </c>
      <c r="H314" s="4" t="s">
        <v>2236</v>
      </c>
      <c r="I314" s="4" t="s">
        <v>2251</v>
      </c>
      <c r="J314" s="55">
        <v>25500</v>
      </c>
      <c r="K314" s="55">
        <v>25500</v>
      </c>
      <c r="L314" s="65">
        <v>45817</v>
      </c>
      <c r="M314" s="66">
        <v>1000</v>
      </c>
      <c r="N314" s="65">
        <v>45817</v>
      </c>
      <c r="O314" s="66">
        <v>1000</v>
      </c>
      <c r="P314" s="39">
        <v>45838</v>
      </c>
      <c r="Q314" s="57">
        <v>24500</v>
      </c>
      <c r="R314" s="39">
        <v>45849</v>
      </c>
      <c r="S314" s="57">
        <v>24500</v>
      </c>
      <c r="T314" s="65"/>
      <c r="U314" s="66"/>
      <c r="V314" s="65"/>
      <c r="W314" s="66"/>
      <c r="X314" s="39"/>
      <c r="Y314" s="57"/>
      <c r="Z314" s="39"/>
      <c r="AA314" s="57"/>
      <c r="AB314" s="65"/>
      <c r="AC314" s="66"/>
      <c r="AD314" s="65"/>
      <c r="AE314" s="66"/>
      <c r="AF314" s="39"/>
      <c r="AG314" s="57"/>
      <c r="AH314" s="39"/>
      <c r="AI314" s="57"/>
    </row>
    <row r="315" spans="1:35" ht="19.5" customHeight="1" x14ac:dyDescent="0.3">
      <c r="A315" s="4">
        <v>2505708</v>
      </c>
      <c r="B315" s="110" t="s">
        <v>1560</v>
      </c>
      <c r="C315" s="55">
        <v>20500</v>
      </c>
      <c r="D315" s="55">
        <v>0</v>
      </c>
      <c r="E315" s="55" t="s">
        <v>17</v>
      </c>
      <c r="F315" s="4" t="s">
        <v>71</v>
      </c>
      <c r="G315" s="4" t="s">
        <v>125</v>
      </c>
      <c r="H315" s="4" t="s">
        <v>2240</v>
      </c>
      <c r="I315" s="4" t="s">
        <v>2255</v>
      </c>
      <c r="J315" s="55">
        <v>500</v>
      </c>
      <c r="K315" s="55">
        <v>500</v>
      </c>
      <c r="L315" s="65">
        <v>45818</v>
      </c>
      <c r="M315" s="66">
        <v>500</v>
      </c>
      <c r="N315" s="65">
        <v>45818</v>
      </c>
      <c r="O315" s="66">
        <v>500</v>
      </c>
      <c r="P315" s="39"/>
      <c r="Q315" s="57"/>
      <c r="R315" s="39"/>
      <c r="S315" s="57"/>
      <c r="T315" s="65"/>
      <c r="U315" s="66"/>
      <c r="V315" s="65"/>
      <c r="W315" s="66"/>
      <c r="X315" s="39"/>
      <c r="Y315" s="57"/>
      <c r="Z315" s="39"/>
      <c r="AA315" s="57"/>
      <c r="AB315" s="65"/>
      <c r="AC315" s="66"/>
      <c r="AD315" s="65"/>
      <c r="AE315" s="66"/>
      <c r="AF315" s="39"/>
      <c r="AG315" s="57"/>
      <c r="AH315" s="39"/>
      <c r="AI315" s="57"/>
    </row>
    <row r="316" spans="1:35" ht="19.5" customHeight="1" x14ac:dyDescent="0.3">
      <c r="A316" s="4">
        <v>2506744</v>
      </c>
      <c r="B316" s="110" t="s">
        <v>1561</v>
      </c>
      <c r="C316" s="55">
        <v>32500</v>
      </c>
      <c r="D316" s="55">
        <v>0</v>
      </c>
      <c r="E316" s="55" t="s">
        <v>17</v>
      </c>
      <c r="F316" s="4" t="s">
        <v>71</v>
      </c>
      <c r="G316" s="4" t="s">
        <v>125</v>
      </c>
      <c r="H316" s="4" t="s">
        <v>2238</v>
      </c>
      <c r="I316" s="4" t="s">
        <v>2253</v>
      </c>
      <c r="J316" s="55">
        <v>30500</v>
      </c>
      <c r="K316" s="55">
        <v>30500</v>
      </c>
      <c r="L316" s="65">
        <v>45817</v>
      </c>
      <c r="M316" s="66">
        <v>1000</v>
      </c>
      <c r="N316" s="65">
        <v>45817</v>
      </c>
      <c r="O316" s="66">
        <v>1000</v>
      </c>
      <c r="P316" s="39">
        <v>45865</v>
      </c>
      <c r="Q316" s="57">
        <v>29500</v>
      </c>
      <c r="R316" s="39">
        <v>45865</v>
      </c>
      <c r="S316" s="57">
        <v>29500</v>
      </c>
      <c r="T316" s="65"/>
      <c r="U316" s="66"/>
      <c r="V316" s="65"/>
      <c r="W316" s="66"/>
      <c r="X316" s="39"/>
      <c r="Y316" s="57"/>
      <c r="Z316" s="39"/>
      <c r="AA316" s="57"/>
      <c r="AB316" s="65"/>
      <c r="AC316" s="66"/>
      <c r="AD316" s="65"/>
      <c r="AE316" s="66"/>
      <c r="AF316" s="39"/>
      <c r="AG316" s="57"/>
      <c r="AH316" s="39"/>
      <c r="AI316" s="57"/>
    </row>
    <row r="317" spans="1:35" ht="19.5" customHeight="1" x14ac:dyDescent="0.3">
      <c r="A317" s="4">
        <v>2506727</v>
      </c>
      <c r="B317" s="110" t="s">
        <v>1566</v>
      </c>
      <c r="C317" s="55">
        <v>28300</v>
      </c>
      <c r="D317" s="55">
        <v>0</v>
      </c>
      <c r="E317" s="55" t="s">
        <v>22</v>
      </c>
      <c r="F317" s="4" t="s">
        <v>71</v>
      </c>
      <c r="G317" s="4" t="s">
        <v>125</v>
      </c>
      <c r="H317" s="4" t="s">
        <v>2236</v>
      </c>
      <c r="I317" s="4" t="s">
        <v>2251</v>
      </c>
      <c r="J317" s="55">
        <v>28300</v>
      </c>
      <c r="K317" s="55">
        <v>28300</v>
      </c>
      <c r="L317" s="65">
        <v>45817</v>
      </c>
      <c r="M317" s="66">
        <v>1000</v>
      </c>
      <c r="N317" s="65">
        <v>45817</v>
      </c>
      <c r="O317" s="66">
        <v>1000</v>
      </c>
      <c r="P317" s="39">
        <v>45866</v>
      </c>
      <c r="Q317" s="57">
        <v>25300</v>
      </c>
      <c r="R317" s="39">
        <v>45866</v>
      </c>
      <c r="S317" s="57">
        <v>25300</v>
      </c>
      <c r="T317" s="65">
        <v>45908</v>
      </c>
      <c r="U317" s="66">
        <v>2000</v>
      </c>
      <c r="V317" s="65">
        <v>45908</v>
      </c>
      <c r="W317" s="66">
        <v>2000</v>
      </c>
      <c r="X317" s="39"/>
      <c r="Y317" s="57"/>
      <c r="Z317" s="39"/>
      <c r="AA317" s="57"/>
      <c r="AB317" s="65"/>
      <c r="AC317" s="66"/>
      <c r="AD317" s="65"/>
      <c r="AE317" s="66"/>
      <c r="AF317" s="39"/>
      <c r="AG317" s="57"/>
      <c r="AH317" s="39"/>
      <c r="AI317" s="57"/>
    </row>
    <row r="318" spans="1:35" ht="19.5" customHeight="1" x14ac:dyDescent="0.3">
      <c r="A318" s="4">
        <v>2505054</v>
      </c>
      <c r="B318" s="110" t="s">
        <v>1571</v>
      </c>
      <c r="C318" s="55">
        <v>59345</v>
      </c>
      <c r="D318" s="55">
        <v>0</v>
      </c>
      <c r="E318" s="55" t="s">
        <v>20</v>
      </c>
      <c r="F318" s="4" t="s">
        <v>206</v>
      </c>
      <c r="G318" s="4">
        <v>0</v>
      </c>
      <c r="H318" s="4" t="s">
        <v>2240</v>
      </c>
      <c r="I318" s="4" t="s">
        <v>2255</v>
      </c>
      <c r="J318" s="55">
        <v>29672.5</v>
      </c>
      <c r="K318" s="55">
        <v>29672.5</v>
      </c>
      <c r="L318" s="65">
        <v>45890</v>
      </c>
      <c r="M318" s="66">
        <v>29672.5</v>
      </c>
      <c r="N318" s="65">
        <v>45933</v>
      </c>
      <c r="O318" s="66">
        <v>29672.5</v>
      </c>
      <c r="P318" s="39"/>
      <c r="Q318" s="57"/>
      <c r="R318" s="39"/>
      <c r="S318" s="57"/>
      <c r="T318" s="65"/>
      <c r="U318" s="66"/>
      <c r="V318" s="65"/>
      <c r="W318" s="66"/>
      <c r="X318" s="39"/>
      <c r="Y318" s="57"/>
      <c r="Z318" s="39"/>
      <c r="AA318" s="57"/>
      <c r="AB318" s="65"/>
      <c r="AC318" s="66"/>
      <c r="AD318" s="65"/>
      <c r="AE318" s="66"/>
      <c r="AF318" s="39"/>
      <c r="AG318" s="57"/>
      <c r="AH318" s="39"/>
      <c r="AI318" s="57"/>
    </row>
    <row r="319" spans="1:35" ht="19.5" customHeight="1" x14ac:dyDescent="0.3">
      <c r="A319" s="4">
        <v>2506752</v>
      </c>
      <c r="B319" s="110" t="s">
        <v>1572</v>
      </c>
      <c r="C319" s="55">
        <v>22500</v>
      </c>
      <c r="D319" s="55">
        <v>0</v>
      </c>
      <c r="E319" s="55" t="s">
        <v>17</v>
      </c>
      <c r="F319" s="4" t="s">
        <v>71</v>
      </c>
      <c r="G319" s="4" t="s">
        <v>125</v>
      </c>
      <c r="H319" s="4" t="s">
        <v>2236</v>
      </c>
      <c r="I319" s="4" t="s">
        <v>2251</v>
      </c>
      <c r="J319" s="55">
        <v>22500</v>
      </c>
      <c r="K319" s="55">
        <v>22500</v>
      </c>
      <c r="L319" s="65">
        <v>45821</v>
      </c>
      <c r="M319" s="66">
        <v>1000</v>
      </c>
      <c r="N319" s="65">
        <v>45821</v>
      </c>
      <c r="O319" s="66">
        <v>1000</v>
      </c>
      <c r="P319" s="39">
        <v>45878</v>
      </c>
      <c r="Q319" s="57">
        <v>21500</v>
      </c>
      <c r="R319" s="39">
        <v>45878</v>
      </c>
      <c r="S319" s="57">
        <v>21500</v>
      </c>
      <c r="T319" s="65"/>
      <c r="U319" s="66"/>
      <c r="V319" s="65"/>
      <c r="W319" s="66"/>
      <c r="X319" s="39"/>
      <c r="Y319" s="57"/>
      <c r="Z319" s="39"/>
      <c r="AA319" s="57"/>
      <c r="AB319" s="65"/>
      <c r="AC319" s="66"/>
      <c r="AD319" s="65"/>
      <c r="AE319" s="66"/>
      <c r="AF319" s="39"/>
      <c r="AG319" s="57"/>
      <c r="AH319" s="39"/>
      <c r="AI319" s="57"/>
    </row>
    <row r="320" spans="1:35" ht="19.5" customHeight="1" x14ac:dyDescent="0.3">
      <c r="A320" s="4">
        <v>2501523</v>
      </c>
      <c r="B320" s="110" t="s">
        <v>1577</v>
      </c>
      <c r="C320" s="55">
        <v>44880</v>
      </c>
      <c r="D320" s="55">
        <v>0</v>
      </c>
      <c r="E320" s="55" t="s">
        <v>17</v>
      </c>
      <c r="F320" s="4" t="s">
        <v>71</v>
      </c>
      <c r="G320" s="4" t="s">
        <v>125</v>
      </c>
      <c r="H320" s="4" t="s">
        <v>2240</v>
      </c>
      <c r="I320" s="4" t="s">
        <v>2255</v>
      </c>
      <c r="J320" s="55">
        <v>500</v>
      </c>
      <c r="K320" s="55">
        <v>500</v>
      </c>
      <c r="L320" s="65">
        <v>45821</v>
      </c>
      <c r="M320" s="66">
        <v>500</v>
      </c>
      <c r="N320" s="65">
        <v>45821</v>
      </c>
      <c r="O320" s="66">
        <v>500</v>
      </c>
      <c r="P320" s="39"/>
      <c r="Q320" s="57"/>
      <c r="R320" s="39"/>
      <c r="S320" s="57"/>
      <c r="T320" s="65"/>
      <c r="U320" s="66"/>
      <c r="V320" s="65"/>
      <c r="W320" s="66"/>
      <c r="X320" s="39"/>
      <c r="Y320" s="57"/>
      <c r="Z320" s="39"/>
      <c r="AA320" s="57"/>
      <c r="AB320" s="65"/>
      <c r="AC320" s="66"/>
      <c r="AD320" s="65"/>
      <c r="AE320" s="66"/>
      <c r="AF320" s="39"/>
      <c r="AG320" s="57"/>
      <c r="AH320" s="39"/>
      <c r="AI320" s="57"/>
    </row>
    <row r="321" spans="1:35" ht="19.5" customHeight="1" x14ac:dyDescent="0.3">
      <c r="A321" s="4">
        <v>2506748</v>
      </c>
      <c r="B321" s="110" t="s">
        <v>1582</v>
      </c>
      <c r="C321" s="55">
        <v>22500</v>
      </c>
      <c r="D321" s="55">
        <v>0</v>
      </c>
      <c r="E321" s="55" t="s">
        <v>22</v>
      </c>
      <c r="F321" s="4" t="s">
        <v>71</v>
      </c>
      <c r="G321" s="4" t="s">
        <v>125</v>
      </c>
      <c r="H321" s="4" t="s">
        <v>2240</v>
      </c>
      <c r="I321" s="4" t="s">
        <v>2255</v>
      </c>
      <c r="J321" s="55">
        <v>1000</v>
      </c>
      <c r="K321" s="55">
        <v>1000</v>
      </c>
      <c r="L321" s="65">
        <v>45824</v>
      </c>
      <c r="M321" s="66">
        <v>1000</v>
      </c>
      <c r="N321" s="65">
        <v>45824</v>
      </c>
      <c r="O321" s="66">
        <v>1000</v>
      </c>
      <c r="P321" s="39"/>
      <c r="Q321" s="57"/>
      <c r="R321" s="39"/>
      <c r="S321" s="57"/>
      <c r="T321" s="65"/>
      <c r="U321" s="66"/>
      <c r="V321" s="65"/>
      <c r="W321" s="66"/>
      <c r="X321" s="39"/>
      <c r="Y321" s="57"/>
      <c r="Z321" s="39"/>
      <c r="AA321" s="57"/>
      <c r="AB321" s="65"/>
      <c r="AC321" s="66"/>
      <c r="AD321" s="65"/>
      <c r="AE321" s="66"/>
      <c r="AF321" s="39"/>
      <c r="AG321" s="57"/>
      <c r="AH321" s="39"/>
      <c r="AI321" s="57"/>
    </row>
    <row r="322" spans="1:35" ht="19.5" customHeight="1" x14ac:dyDescent="0.3">
      <c r="A322" s="4">
        <v>2505709</v>
      </c>
      <c r="B322" s="110" t="s">
        <v>1586</v>
      </c>
      <c r="C322" s="55">
        <v>39000.400000000001</v>
      </c>
      <c r="D322" s="55">
        <v>0</v>
      </c>
      <c r="E322" s="55" t="s">
        <v>22</v>
      </c>
      <c r="F322" s="4" t="s">
        <v>71</v>
      </c>
      <c r="G322" s="4" t="s">
        <v>176</v>
      </c>
      <c r="H322" s="4" t="s">
        <v>2236</v>
      </c>
      <c r="I322" s="4" t="s">
        <v>2251</v>
      </c>
      <c r="J322" s="55">
        <v>39000.400000000001</v>
      </c>
      <c r="K322" s="55">
        <v>39000.400000000001</v>
      </c>
      <c r="L322" s="65">
        <v>45824</v>
      </c>
      <c r="M322" s="66">
        <v>1000</v>
      </c>
      <c r="N322" s="65">
        <v>45824</v>
      </c>
      <c r="O322" s="66">
        <v>1000</v>
      </c>
      <c r="P322" s="39">
        <v>45870</v>
      </c>
      <c r="Q322" s="57">
        <v>38000.400000000001</v>
      </c>
      <c r="R322" s="39">
        <v>45870</v>
      </c>
      <c r="S322" s="57">
        <v>38000.400000000001</v>
      </c>
      <c r="T322" s="65"/>
      <c r="U322" s="66"/>
      <c r="V322" s="65"/>
      <c r="W322" s="66"/>
      <c r="X322" s="39"/>
      <c r="Y322" s="57"/>
      <c r="Z322" s="39"/>
      <c r="AA322" s="57"/>
      <c r="AB322" s="65"/>
      <c r="AC322" s="66"/>
      <c r="AD322" s="65"/>
      <c r="AE322" s="66"/>
      <c r="AF322" s="39"/>
      <c r="AG322" s="57"/>
      <c r="AH322" s="39"/>
      <c r="AI322" s="57"/>
    </row>
    <row r="323" spans="1:35" ht="19.5" customHeight="1" x14ac:dyDescent="0.3">
      <c r="A323" s="4">
        <v>2501531</v>
      </c>
      <c r="B323" s="110" t="s">
        <v>1591</v>
      </c>
      <c r="C323" s="55">
        <v>30500</v>
      </c>
      <c r="D323" s="55">
        <v>0</v>
      </c>
      <c r="E323" s="55" t="s">
        <v>22</v>
      </c>
      <c r="F323" s="4" t="s">
        <v>71</v>
      </c>
      <c r="G323" s="4" t="s">
        <v>125</v>
      </c>
      <c r="H323" s="4" t="s">
        <v>2240</v>
      </c>
      <c r="I323" s="4" t="s">
        <v>2255</v>
      </c>
      <c r="J323" s="55">
        <v>1000</v>
      </c>
      <c r="K323" s="55">
        <v>1000</v>
      </c>
      <c r="L323" s="65">
        <v>45824</v>
      </c>
      <c r="M323" s="66">
        <v>1000</v>
      </c>
      <c r="N323" s="65">
        <v>45824</v>
      </c>
      <c r="O323" s="66">
        <v>1000</v>
      </c>
      <c r="P323" s="39"/>
      <c r="Q323" s="57"/>
      <c r="R323" s="39"/>
      <c r="S323" s="57"/>
      <c r="T323" s="65"/>
      <c r="U323" s="66"/>
      <c r="V323" s="65"/>
      <c r="W323" s="66"/>
      <c r="X323" s="39"/>
      <c r="Y323" s="57"/>
      <c r="Z323" s="39"/>
      <c r="AA323" s="57"/>
      <c r="AB323" s="65"/>
      <c r="AC323" s="66"/>
      <c r="AD323" s="65"/>
      <c r="AE323" s="66"/>
      <c r="AF323" s="39"/>
      <c r="AG323" s="57"/>
      <c r="AH323" s="39"/>
      <c r="AI323" s="57"/>
    </row>
    <row r="324" spans="1:35" ht="19.5" customHeight="1" x14ac:dyDescent="0.3">
      <c r="A324" s="4">
        <v>2506757</v>
      </c>
      <c r="B324" s="110" t="s">
        <v>1596</v>
      </c>
      <c r="C324" s="55">
        <v>21500</v>
      </c>
      <c r="D324" s="55">
        <v>0</v>
      </c>
      <c r="E324" s="55" t="s">
        <v>22</v>
      </c>
      <c r="F324" s="4" t="s">
        <v>71</v>
      </c>
      <c r="G324" s="4" t="s">
        <v>125</v>
      </c>
      <c r="H324" s="4" t="s">
        <v>2236</v>
      </c>
      <c r="I324" s="4" t="s">
        <v>2251</v>
      </c>
      <c r="J324" s="55">
        <v>21500</v>
      </c>
      <c r="K324" s="55">
        <v>21500</v>
      </c>
      <c r="L324" s="65">
        <v>45825</v>
      </c>
      <c r="M324" s="66">
        <v>1000</v>
      </c>
      <c r="N324" s="65">
        <v>45825</v>
      </c>
      <c r="O324" s="66">
        <v>1000</v>
      </c>
      <c r="P324" s="39">
        <v>45924</v>
      </c>
      <c r="Q324" s="57">
        <v>18500</v>
      </c>
      <c r="R324" s="39">
        <v>45874</v>
      </c>
      <c r="S324" s="57">
        <v>18500</v>
      </c>
      <c r="T324" s="65">
        <v>45922</v>
      </c>
      <c r="U324" s="66">
        <v>2000</v>
      </c>
      <c r="V324" s="65">
        <v>45922</v>
      </c>
      <c r="W324" s="66">
        <v>2000</v>
      </c>
      <c r="X324" s="39"/>
      <c r="Y324" s="57"/>
      <c r="Z324" s="39"/>
      <c r="AA324" s="57"/>
      <c r="AB324" s="65"/>
      <c r="AC324" s="66"/>
      <c r="AD324" s="65"/>
      <c r="AE324" s="66"/>
      <c r="AF324" s="39"/>
      <c r="AG324" s="57"/>
      <c r="AH324" s="39"/>
      <c r="AI324" s="57"/>
    </row>
    <row r="325" spans="1:35" ht="19.5" customHeight="1" x14ac:dyDescent="0.3">
      <c r="A325" s="4">
        <v>2505259</v>
      </c>
      <c r="B325" s="110" t="s">
        <v>1601</v>
      </c>
      <c r="C325" s="55">
        <v>45000</v>
      </c>
      <c r="D325" s="55">
        <v>0</v>
      </c>
      <c r="E325" s="55" t="s">
        <v>22</v>
      </c>
      <c r="F325" s="4" t="s">
        <v>124</v>
      </c>
      <c r="G325" s="4" t="s">
        <v>125</v>
      </c>
      <c r="H325" s="4" t="s">
        <v>2236</v>
      </c>
      <c r="I325" s="4" t="s">
        <v>2251</v>
      </c>
      <c r="J325" s="55">
        <v>45000</v>
      </c>
      <c r="K325" s="55">
        <v>45000</v>
      </c>
      <c r="L325" s="65">
        <v>45824</v>
      </c>
      <c r="M325" s="66">
        <v>4500</v>
      </c>
      <c r="N325" s="65">
        <v>45824</v>
      </c>
      <c r="O325" s="66">
        <v>4500</v>
      </c>
      <c r="P325" s="39">
        <v>45860</v>
      </c>
      <c r="Q325" s="57">
        <v>15750</v>
      </c>
      <c r="R325" s="39">
        <v>45860</v>
      </c>
      <c r="S325" s="57">
        <v>15750</v>
      </c>
      <c r="T325" s="65">
        <v>45900</v>
      </c>
      <c r="U325" s="66">
        <v>24750</v>
      </c>
      <c r="V325" s="65">
        <v>45900</v>
      </c>
      <c r="W325" s="66">
        <v>24750</v>
      </c>
      <c r="X325" s="39"/>
      <c r="Y325" s="57"/>
      <c r="Z325" s="39"/>
      <c r="AA325" s="57"/>
      <c r="AB325" s="65"/>
      <c r="AC325" s="66"/>
      <c r="AD325" s="65"/>
      <c r="AE325" s="66"/>
      <c r="AF325" s="39"/>
      <c r="AG325" s="57"/>
      <c r="AH325" s="39"/>
      <c r="AI325" s="57"/>
    </row>
    <row r="326" spans="1:35" ht="19.5" customHeight="1" x14ac:dyDescent="0.3">
      <c r="A326" s="4">
        <v>2506758</v>
      </c>
      <c r="B326" s="110" t="s">
        <v>1605</v>
      </c>
      <c r="C326" s="55">
        <v>39500</v>
      </c>
      <c r="D326" s="55">
        <v>0</v>
      </c>
      <c r="E326" s="55" t="s">
        <v>22</v>
      </c>
      <c r="F326" s="4" t="s">
        <v>71</v>
      </c>
      <c r="G326" s="4" t="s">
        <v>176</v>
      </c>
      <c r="H326" s="4" t="s">
        <v>2236</v>
      </c>
      <c r="I326" s="4" t="s">
        <v>2251</v>
      </c>
      <c r="J326" s="55">
        <v>39500</v>
      </c>
      <c r="K326" s="55">
        <v>39500</v>
      </c>
      <c r="L326" s="65">
        <v>45826</v>
      </c>
      <c r="M326" s="66">
        <v>1000</v>
      </c>
      <c r="N326" s="65">
        <v>45826</v>
      </c>
      <c r="O326" s="66">
        <v>1000</v>
      </c>
      <c r="P326" s="39">
        <v>45932</v>
      </c>
      <c r="Q326" s="57">
        <v>38500</v>
      </c>
      <c r="R326" s="39">
        <v>45932</v>
      </c>
      <c r="S326" s="57">
        <v>38500</v>
      </c>
      <c r="T326" s="65"/>
      <c r="U326" s="66"/>
      <c r="V326" s="65"/>
      <c r="W326" s="66"/>
      <c r="X326" s="39"/>
      <c r="Y326" s="57"/>
      <c r="Z326" s="39"/>
      <c r="AA326" s="57"/>
      <c r="AB326" s="65"/>
      <c r="AC326" s="66"/>
      <c r="AD326" s="65"/>
      <c r="AE326" s="66"/>
      <c r="AF326" s="39"/>
      <c r="AG326" s="57"/>
      <c r="AH326" s="39"/>
      <c r="AI326" s="57"/>
    </row>
    <row r="327" spans="1:35" ht="19.5" customHeight="1" x14ac:dyDescent="0.3">
      <c r="A327" s="4">
        <v>2506762</v>
      </c>
      <c r="B327" s="110" t="s">
        <v>1610</v>
      </c>
      <c r="C327" s="55">
        <v>32500</v>
      </c>
      <c r="D327" s="55">
        <v>0</v>
      </c>
      <c r="E327" s="55" t="s">
        <v>22</v>
      </c>
      <c r="F327" s="4" t="s">
        <v>71</v>
      </c>
      <c r="G327" s="4" t="s">
        <v>125</v>
      </c>
      <c r="H327" s="4" t="s">
        <v>2240</v>
      </c>
      <c r="I327" s="4" t="s">
        <v>2255</v>
      </c>
      <c r="J327" s="55">
        <v>1000</v>
      </c>
      <c r="K327" s="55">
        <v>1000</v>
      </c>
      <c r="L327" s="65">
        <v>45828</v>
      </c>
      <c r="M327" s="66">
        <v>1000</v>
      </c>
      <c r="N327" s="65">
        <v>45828</v>
      </c>
      <c r="O327" s="66">
        <v>1000</v>
      </c>
      <c r="P327" s="39"/>
      <c r="Q327" s="57"/>
      <c r="R327" s="39"/>
      <c r="S327" s="57"/>
      <c r="T327" s="65"/>
      <c r="U327" s="66"/>
      <c r="V327" s="65"/>
      <c r="W327" s="66"/>
      <c r="X327" s="39"/>
      <c r="Y327" s="57"/>
      <c r="Z327" s="39"/>
      <c r="AA327" s="57"/>
      <c r="AB327" s="65"/>
      <c r="AC327" s="66"/>
      <c r="AD327" s="65"/>
      <c r="AE327" s="66"/>
      <c r="AF327" s="39"/>
      <c r="AG327" s="57"/>
      <c r="AH327" s="39"/>
      <c r="AI327" s="57"/>
    </row>
    <row r="328" spans="1:35" ht="19.5" customHeight="1" x14ac:dyDescent="0.3">
      <c r="A328" s="4">
        <v>2506753</v>
      </c>
      <c r="B328" s="110" t="s">
        <v>1615</v>
      </c>
      <c r="C328" s="55">
        <v>27500</v>
      </c>
      <c r="D328" s="55">
        <v>0</v>
      </c>
      <c r="E328" s="55" t="s">
        <v>22</v>
      </c>
      <c r="F328" s="4" t="s">
        <v>71</v>
      </c>
      <c r="G328" s="4" t="s">
        <v>125</v>
      </c>
      <c r="H328" s="4" t="s">
        <v>2236</v>
      </c>
      <c r="I328" s="4" t="s">
        <v>2251</v>
      </c>
      <c r="J328" s="55">
        <v>27500</v>
      </c>
      <c r="K328" s="55">
        <v>27500</v>
      </c>
      <c r="L328" s="65">
        <v>45827</v>
      </c>
      <c r="M328" s="66">
        <v>1000</v>
      </c>
      <c r="N328" s="65">
        <v>45827</v>
      </c>
      <c r="O328" s="66">
        <v>1000</v>
      </c>
      <c r="P328" s="39">
        <v>45875</v>
      </c>
      <c r="Q328" s="57">
        <v>26500</v>
      </c>
      <c r="R328" s="39">
        <v>45875</v>
      </c>
      <c r="S328" s="57">
        <v>26500</v>
      </c>
      <c r="T328" s="65"/>
      <c r="U328" s="66"/>
      <c r="V328" s="65"/>
      <c r="W328" s="66"/>
      <c r="X328" s="39"/>
      <c r="Y328" s="57"/>
      <c r="Z328" s="39"/>
      <c r="AA328" s="57"/>
      <c r="AB328" s="65"/>
      <c r="AC328" s="66"/>
      <c r="AD328" s="65"/>
      <c r="AE328" s="66"/>
      <c r="AF328" s="39"/>
      <c r="AG328" s="57"/>
      <c r="AH328" s="39"/>
      <c r="AI328" s="57"/>
    </row>
    <row r="329" spans="1:35" ht="19.5" customHeight="1" x14ac:dyDescent="0.3">
      <c r="A329" s="4">
        <v>2506768</v>
      </c>
      <c r="B329" s="110" t="s">
        <v>1620</v>
      </c>
      <c r="C329" s="55">
        <v>27000</v>
      </c>
      <c r="D329" s="55">
        <v>0</v>
      </c>
      <c r="E329" s="55" t="s">
        <v>22</v>
      </c>
      <c r="F329" s="4" t="s">
        <v>71</v>
      </c>
      <c r="G329" s="4" t="s">
        <v>125</v>
      </c>
      <c r="H329" s="4" t="s">
        <v>2238</v>
      </c>
      <c r="I329" s="4" t="s">
        <v>2253</v>
      </c>
      <c r="J329" s="55">
        <v>25000</v>
      </c>
      <c r="K329" s="55">
        <v>25000</v>
      </c>
      <c r="L329" s="65">
        <v>45828</v>
      </c>
      <c r="M329" s="66">
        <v>1000</v>
      </c>
      <c r="N329" s="65">
        <v>45828</v>
      </c>
      <c r="O329" s="66">
        <v>1000</v>
      </c>
      <c r="P329" s="39">
        <v>45877</v>
      </c>
      <c r="Q329" s="57">
        <v>24000</v>
      </c>
      <c r="R329" s="39">
        <v>45877</v>
      </c>
      <c r="S329" s="57">
        <v>24000</v>
      </c>
      <c r="T329" s="65"/>
      <c r="U329" s="66"/>
      <c r="V329" s="65"/>
      <c r="W329" s="66"/>
      <c r="X329" s="39"/>
      <c r="Y329" s="57"/>
      <c r="Z329" s="39"/>
      <c r="AA329" s="57"/>
      <c r="AB329" s="65"/>
      <c r="AC329" s="66"/>
      <c r="AD329" s="65"/>
      <c r="AE329" s="66"/>
      <c r="AF329" s="39"/>
      <c r="AG329" s="57"/>
      <c r="AH329" s="39"/>
      <c r="AI329" s="57"/>
    </row>
    <row r="330" spans="1:35" ht="19.5" customHeight="1" x14ac:dyDescent="0.3">
      <c r="A330" s="4">
        <v>2506761</v>
      </c>
      <c r="B330" s="110" t="s">
        <v>1625</v>
      </c>
      <c r="C330" s="55">
        <v>34000</v>
      </c>
      <c r="D330" s="55">
        <v>0</v>
      </c>
      <c r="E330" s="55" t="s">
        <v>22</v>
      </c>
      <c r="F330" s="4" t="s">
        <v>71</v>
      </c>
      <c r="G330" s="4" t="s">
        <v>176</v>
      </c>
      <c r="H330" s="4" t="s">
        <v>2236</v>
      </c>
      <c r="I330" s="4" t="s">
        <v>2251</v>
      </c>
      <c r="J330" s="55">
        <v>34000</v>
      </c>
      <c r="K330" s="55">
        <v>34000</v>
      </c>
      <c r="L330" s="65">
        <v>45831</v>
      </c>
      <c r="M330" s="66">
        <v>1000</v>
      </c>
      <c r="N330" s="65">
        <v>45831</v>
      </c>
      <c r="O330" s="66">
        <v>1000</v>
      </c>
      <c r="P330" s="39">
        <v>45916</v>
      </c>
      <c r="Q330" s="57">
        <v>33000</v>
      </c>
      <c r="R330" s="39">
        <v>45916</v>
      </c>
      <c r="S330" s="57">
        <v>33000</v>
      </c>
      <c r="T330" s="65"/>
      <c r="U330" s="66"/>
      <c r="V330" s="65"/>
      <c r="W330" s="66"/>
      <c r="X330" s="39"/>
      <c r="Y330" s="57"/>
      <c r="Z330" s="39"/>
      <c r="AA330" s="57"/>
      <c r="AB330" s="65"/>
      <c r="AC330" s="66"/>
      <c r="AD330" s="65"/>
      <c r="AE330" s="66"/>
      <c r="AF330" s="39"/>
      <c r="AG330" s="57"/>
      <c r="AH330" s="39"/>
      <c r="AI330" s="57"/>
    </row>
    <row r="331" spans="1:35" ht="19.5" customHeight="1" x14ac:dyDescent="0.3">
      <c r="A331" s="4">
        <v>2506779</v>
      </c>
      <c r="B331" s="110" t="s">
        <v>1630</v>
      </c>
      <c r="C331" s="55">
        <v>20500</v>
      </c>
      <c r="D331" s="55">
        <v>0</v>
      </c>
      <c r="E331" s="55" t="s">
        <v>22</v>
      </c>
      <c r="F331" s="4" t="s">
        <v>71</v>
      </c>
      <c r="G331" s="4" t="s">
        <v>125</v>
      </c>
      <c r="H331" s="4" t="s">
        <v>2236</v>
      </c>
      <c r="I331" s="4" t="s">
        <v>2251</v>
      </c>
      <c r="J331" s="55">
        <v>20500</v>
      </c>
      <c r="K331" s="55">
        <v>20500</v>
      </c>
      <c r="L331" s="65">
        <v>45831</v>
      </c>
      <c r="M331" s="66">
        <v>1000</v>
      </c>
      <c r="N331" s="65">
        <v>45831</v>
      </c>
      <c r="O331" s="66">
        <v>1000</v>
      </c>
      <c r="P331" s="39">
        <v>45881</v>
      </c>
      <c r="Q331" s="57">
        <v>17500</v>
      </c>
      <c r="R331" s="39">
        <v>45884</v>
      </c>
      <c r="S331" s="57">
        <v>17500</v>
      </c>
      <c r="T331" s="65">
        <v>45903</v>
      </c>
      <c r="U331" s="66">
        <v>2000</v>
      </c>
      <c r="V331" s="65">
        <v>45903</v>
      </c>
      <c r="W331" s="66">
        <v>2000</v>
      </c>
      <c r="X331" s="39"/>
      <c r="Y331" s="57"/>
      <c r="Z331" s="39"/>
      <c r="AA331" s="57"/>
      <c r="AB331" s="65"/>
      <c r="AC331" s="66"/>
      <c r="AD331" s="65"/>
      <c r="AE331" s="66"/>
      <c r="AF331" s="39"/>
      <c r="AG331" s="57"/>
      <c r="AH331" s="39"/>
      <c r="AI331" s="57"/>
    </row>
    <row r="332" spans="1:35" ht="19.5" customHeight="1" x14ac:dyDescent="0.3">
      <c r="A332" s="4">
        <v>2506781</v>
      </c>
      <c r="B332" s="110" t="s">
        <v>1635</v>
      </c>
      <c r="C332" s="55">
        <v>22000</v>
      </c>
      <c r="D332" s="55">
        <v>0</v>
      </c>
      <c r="E332" s="55" t="s">
        <v>22</v>
      </c>
      <c r="F332" s="4" t="s">
        <v>71</v>
      </c>
      <c r="G332" s="4" t="s">
        <v>176</v>
      </c>
      <c r="H332" s="4" t="s">
        <v>2238</v>
      </c>
      <c r="I332" s="4" t="s">
        <v>2253</v>
      </c>
      <c r="J332" s="55">
        <v>18500</v>
      </c>
      <c r="K332" s="55">
        <v>18500</v>
      </c>
      <c r="L332" s="65">
        <v>45830</v>
      </c>
      <c r="M332" s="66">
        <v>1000</v>
      </c>
      <c r="N332" s="65">
        <v>45830</v>
      </c>
      <c r="O332" s="66">
        <v>1000</v>
      </c>
      <c r="P332" s="39">
        <v>45896</v>
      </c>
      <c r="Q332" s="57">
        <v>17500</v>
      </c>
      <c r="R332" s="39">
        <v>45896</v>
      </c>
      <c r="S332" s="57">
        <v>17500</v>
      </c>
      <c r="T332" s="65"/>
      <c r="U332" s="66"/>
      <c r="V332" s="65"/>
      <c r="W332" s="66"/>
      <c r="X332" s="39"/>
      <c r="Y332" s="57"/>
      <c r="Z332" s="39"/>
      <c r="AA332" s="57"/>
      <c r="AB332" s="65"/>
      <c r="AC332" s="66"/>
      <c r="AD332" s="65"/>
      <c r="AE332" s="66"/>
      <c r="AF332" s="39"/>
      <c r="AG332" s="57"/>
      <c r="AH332" s="39"/>
      <c r="AI332" s="57"/>
    </row>
    <row r="333" spans="1:35" ht="19.5" customHeight="1" x14ac:dyDescent="0.3">
      <c r="A333" s="4">
        <v>2506782</v>
      </c>
      <c r="B333" s="110" t="s">
        <v>1640</v>
      </c>
      <c r="C333" s="55">
        <v>36100</v>
      </c>
      <c r="D333" s="55">
        <v>0</v>
      </c>
      <c r="E333" s="55" t="s">
        <v>22</v>
      </c>
      <c r="F333" s="4" t="s">
        <v>71</v>
      </c>
      <c r="G333" s="4" t="s">
        <v>1191</v>
      </c>
      <c r="H333" s="4" t="s">
        <v>2236</v>
      </c>
      <c r="I333" s="4" t="s">
        <v>2251</v>
      </c>
      <c r="J333" s="55">
        <v>36100</v>
      </c>
      <c r="K333" s="55">
        <v>36100</v>
      </c>
      <c r="L333" s="65">
        <v>45830</v>
      </c>
      <c r="M333" s="66">
        <v>1000</v>
      </c>
      <c r="N333" s="65">
        <v>45830</v>
      </c>
      <c r="O333" s="66">
        <v>1000</v>
      </c>
      <c r="P333" s="39">
        <v>45891</v>
      </c>
      <c r="Q333" s="57">
        <v>25000</v>
      </c>
      <c r="R333" s="39">
        <v>45891</v>
      </c>
      <c r="S333" s="57">
        <v>25000</v>
      </c>
      <c r="T333" s="65">
        <v>45912</v>
      </c>
      <c r="U333" s="66">
        <v>10100</v>
      </c>
      <c r="V333" s="65">
        <v>45912</v>
      </c>
      <c r="W333" s="66">
        <v>10100</v>
      </c>
      <c r="X333" s="39"/>
      <c r="Y333" s="57"/>
      <c r="Z333" s="39"/>
      <c r="AA333" s="57"/>
      <c r="AB333" s="65"/>
      <c r="AC333" s="66"/>
      <c r="AD333" s="65"/>
      <c r="AE333" s="66"/>
      <c r="AF333" s="39"/>
      <c r="AG333" s="57"/>
      <c r="AH333" s="39"/>
      <c r="AI333" s="57"/>
    </row>
    <row r="334" spans="1:35" ht="19.5" customHeight="1" x14ac:dyDescent="0.3">
      <c r="A334" s="4">
        <v>2506746</v>
      </c>
      <c r="B334" s="110" t="s">
        <v>1645</v>
      </c>
      <c r="C334" s="55">
        <v>24000</v>
      </c>
      <c r="D334" s="55">
        <v>0</v>
      </c>
      <c r="E334" s="55" t="s">
        <v>22</v>
      </c>
      <c r="F334" s="4" t="s">
        <v>71</v>
      </c>
      <c r="G334" s="4" t="s">
        <v>125</v>
      </c>
      <c r="H334" s="4" t="s">
        <v>2240</v>
      </c>
      <c r="I334" s="4" t="s">
        <v>2255</v>
      </c>
      <c r="J334" s="55">
        <v>1000</v>
      </c>
      <c r="K334" s="55">
        <v>1000</v>
      </c>
      <c r="L334" s="65">
        <v>45831</v>
      </c>
      <c r="M334" s="66">
        <v>1000</v>
      </c>
      <c r="N334" s="65">
        <v>45831</v>
      </c>
      <c r="O334" s="66">
        <v>1000</v>
      </c>
      <c r="P334" s="39"/>
      <c r="Q334" s="57"/>
      <c r="R334" s="39"/>
      <c r="S334" s="57"/>
      <c r="T334" s="65"/>
      <c r="U334" s="66"/>
      <c r="V334" s="65"/>
      <c r="W334" s="66"/>
      <c r="X334" s="39"/>
      <c r="Y334" s="57"/>
      <c r="Z334" s="39"/>
      <c r="AA334" s="57"/>
      <c r="AB334" s="65"/>
      <c r="AC334" s="66"/>
      <c r="AD334" s="65"/>
      <c r="AE334" s="66"/>
      <c r="AF334" s="39"/>
      <c r="AG334" s="57"/>
      <c r="AH334" s="39"/>
      <c r="AI334" s="57"/>
    </row>
    <row r="335" spans="1:35" ht="19.5" customHeight="1" x14ac:dyDescent="0.3">
      <c r="A335" s="4">
        <v>2506780</v>
      </c>
      <c r="B335" s="110" t="s">
        <v>1649</v>
      </c>
      <c r="C335" s="55">
        <v>23800</v>
      </c>
      <c r="D335" s="55">
        <v>0</v>
      </c>
      <c r="E335" s="55" t="s">
        <v>22</v>
      </c>
      <c r="F335" s="4" t="s">
        <v>71</v>
      </c>
      <c r="G335" s="4" t="s">
        <v>125</v>
      </c>
      <c r="H335" s="4" t="s">
        <v>2238</v>
      </c>
      <c r="I335" s="4" t="s">
        <v>2253</v>
      </c>
      <c r="J335" s="55">
        <v>21800</v>
      </c>
      <c r="K335" s="55">
        <v>21800</v>
      </c>
      <c r="L335" s="65">
        <v>45829</v>
      </c>
      <c r="M335" s="66">
        <v>1000</v>
      </c>
      <c r="N335" s="65">
        <v>45829</v>
      </c>
      <c r="O335" s="66">
        <v>1000</v>
      </c>
      <c r="P335" s="39">
        <v>45974</v>
      </c>
      <c r="Q335" s="57">
        <v>20800</v>
      </c>
      <c r="R335" s="39">
        <v>45973</v>
      </c>
      <c r="S335" s="57">
        <v>20800</v>
      </c>
      <c r="T335" s="65"/>
      <c r="U335" s="66"/>
      <c r="V335" s="65"/>
      <c r="W335" s="66"/>
      <c r="X335" s="39"/>
      <c r="Y335" s="57"/>
      <c r="Z335" s="39"/>
      <c r="AA335" s="57"/>
      <c r="AB335" s="65"/>
      <c r="AC335" s="66"/>
      <c r="AD335" s="65"/>
      <c r="AE335" s="66"/>
      <c r="AF335" s="39"/>
      <c r="AG335" s="57"/>
      <c r="AH335" s="39"/>
      <c r="AI335" s="57"/>
    </row>
    <row r="336" spans="1:35" ht="19.5" customHeight="1" x14ac:dyDescent="0.3">
      <c r="A336" s="4">
        <v>2506778</v>
      </c>
      <c r="B336" s="110" t="s">
        <v>1654</v>
      </c>
      <c r="C336" s="55">
        <v>20500</v>
      </c>
      <c r="D336" s="55">
        <v>0</v>
      </c>
      <c r="E336" s="55" t="s">
        <v>22</v>
      </c>
      <c r="F336" s="4" t="s">
        <v>71</v>
      </c>
      <c r="G336" s="4" t="s">
        <v>125</v>
      </c>
      <c r="H336" s="4" t="s">
        <v>2240</v>
      </c>
      <c r="I336" s="4" t="s">
        <v>2255</v>
      </c>
      <c r="J336" s="55">
        <v>1000</v>
      </c>
      <c r="K336" s="55">
        <v>1000</v>
      </c>
      <c r="L336" s="65">
        <v>45831</v>
      </c>
      <c r="M336" s="66">
        <v>1000</v>
      </c>
      <c r="N336" s="65">
        <v>45831</v>
      </c>
      <c r="O336" s="66">
        <v>1000</v>
      </c>
      <c r="P336" s="39"/>
      <c r="Q336" s="57"/>
      <c r="R336" s="39"/>
      <c r="S336" s="57"/>
      <c r="T336" s="65"/>
      <c r="U336" s="66"/>
      <c r="V336" s="65"/>
      <c r="W336" s="66"/>
      <c r="X336" s="39"/>
      <c r="Y336" s="57"/>
      <c r="Z336" s="39"/>
      <c r="AA336" s="57"/>
      <c r="AB336" s="65"/>
      <c r="AC336" s="66"/>
      <c r="AD336" s="65"/>
      <c r="AE336" s="66"/>
      <c r="AF336" s="39"/>
      <c r="AG336" s="57"/>
      <c r="AH336" s="39"/>
      <c r="AI336" s="57"/>
    </row>
    <row r="337" spans="1:35" ht="19.5" customHeight="1" x14ac:dyDescent="0.3">
      <c r="A337" s="4">
        <v>2506745</v>
      </c>
      <c r="B337" s="110" t="s">
        <v>1658</v>
      </c>
      <c r="C337" s="55">
        <v>32500</v>
      </c>
      <c r="D337" s="55">
        <v>0</v>
      </c>
      <c r="E337" s="55" t="s">
        <v>17</v>
      </c>
      <c r="F337" s="4" t="s">
        <v>71</v>
      </c>
      <c r="G337" s="4" t="s">
        <v>125</v>
      </c>
      <c r="H337" s="4" t="s">
        <v>2236</v>
      </c>
      <c r="I337" s="4" t="s">
        <v>2251</v>
      </c>
      <c r="J337" s="55">
        <v>32500</v>
      </c>
      <c r="K337" s="55">
        <v>32500</v>
      </c>
      <c r="L337" s="65">
        <v>45823</v>
      </c>
      <c r="M337" s="66">
        <v>1000</v>
      </c>
      <c r="N337" s="65">
        <v>45823</v>
      </c>
      <c r="O337" s="66">
        <v>1000</v>
      </c>
      <c r="P337" s="39">
        <v>45874</v>
      </c>
      <c r="Q337" s="57">
        <v>29500</v>
      </c>
      <c r="R337" s="39">
        <v>45891</v>
      </c>
      <c r="S337" s="57">
        <v>29500</v>
      </c>
      <c r="T337" s="65">
        <v>45892</v>
      </c>
      <c r="U337" s="66">
        <v>2000</v>
      </c>
      <c r="V337" s="65">
        <v>45892</v>
      </c>
      <c r="W337" s="66">
        <v>2000</v>
      </c>
      <c r="X337" s="39"/>
      <c r="Y337" s="57"/>
      <c r="Z337" s="39"/>
      <c r="AA337" s="57"/>
      <c r="AB337" s="65"/>
      <c r="AC337" s="66"/>
      <c r="AD337" s="65"/>
      <c r="AE337" s="66"/>
      <c r="AF337" s="39"/>
      <c r="AG337" s="57"/>
      <c r="AH337" s="39"/>
      <c r="AI337" s="57"/>
    </row>
    <row r="338" spans="1:35" ht="19.5" customHeight="1" x14ac:dyDescent="0.3">
      <c r="A338" s="4">
        <v>2506789</v>
      </c>
      <c r="B338" s="110" t="s">
        <v>1663</v>
      </c>
      <c r="C338" s="55">
        <v>27130</v>
      </c>
      <c r="D338" s="55">
        <v>0</v>
      </c>
      <c r="E338" s="55" t="s">
        <v>22</v>
      </c>
      <c r="F338" s="4" t="s">
        <v>71</v>
      </c>
      <c r="G338" s="4" t="s">
        <v>176</v>
      </c>
      <c r="H338" s="4" t="s">
        <v>2236</v>
      </c>
      <c r="I338" s="4" t="s">
        <v>2251</v>
      </c>
      <c r="J338" s="55">
        <v>27130</v>
      </c>
      <c r="K338" s="55">
        <v>27130</v>
      </c>
      <c r="L338" s="65">
        <v>45832</v>
      </c>
      <c r="M338" s="66">
        <v>1000</v>
      </c>
      <c r="N338" s="65">
        <v>45832</v>
      </c>
      <c r="O338" s="66">
        <v>1000</v>
      </c>
      <c r="P338" s="39">
        <v>45888</v>
      </c>
      <c r="Q338" s="57">
        <v>10000</v>
      </c>
      <c r="R338" s="39">
        <v>45889</v>
      </c>
      <c r="S338" s="57">
        <v>10000</v>
      </c>
      <c r="T338" s="65">
        <v>45891</v>
      </c>
      <c r="U338" s="66">
        <v>16130</v>
      </c>
      <c r="V338" s="65">
        <v>45891</v>
      </c>
      <c r="W338" s="66">
        <v>16130</v>
      </c>
      <c r="X338" s="39"/>
      <c r="Y338" s="57"/>
      <c r="Z338" s="39"/>
      <c r="AA338" s="57"/>
      <c r="AB338" s="65"/>
      <c r="AC338" s="66"/>
      <c r="AD338" s="65"/>
      <c r="AE338" s="66"/>
      <c r="AF338" s="39"/>
      <c r="AG338" s="57"/>
      <c r="AH338" s="39"/>
      <c r="AI338" s="57"/>
    </row>
    <row r="339" spans="1:35" ht="19.5" customHeight="1" x14ac:dyDescent="0.3">
      <c r="A339" s="4">
        <v>2404254</v>
      </c>
      <c r="B339" s="110" t="s">
        <v>1668</v>
      </c>
      <c r="C339" s="55">
        <v>19500</v>
      </c>
      <c r="D339" s="55">
        <v>0</v>
      </c>
      <c r="E339" s="55" t="s">
        <v>19</v>
      </c>
      <c r="F339" s="4" t="s">
        <v>71</v>
      </c>
      <c r="G339" s="4" t="s">
        <v>125</v>
      </c>
      <c r="H339" s="4" t="s">
        <v>2236</v>
      </c>
      <c r="I339" s="4" t="s">
        <v>2251</v>
      </c>
      <c r="J339" s="55">
        <v>19500</v>
      </c>
      <c r="K339" s="55">
        <v>19500</v>
      </c>
      <c r="L339" s="65">
        <v>45833</v>
      </c>
      <c r="M339" s="66">
        <v>1000</v>
      </c>
      <c r="N339" s="65">
        <v>45833</v>
      </c>
      <c r="O339" s="66">
        <v>1000</v>
      </c>
      <c r="P339" s="39">
        <v>45886</v>
      </c>
      <c r="Q339" s="57">
        <v>16000</v>
      </c>
      <c r="R339" s="39">
        <v>45886</v>
      </c>
      <c r="S339" s="57">
        <v>16000</v>
      </c>
      <c r="T339" s="65">
        <v>45901</v>
      </c>
      <c r="U339" s="66">
        <v>2500</v>
      </c>
      <c r="V339" s="65">
        <v>45901</v>
      </c>
      <c r="W339" s="66">
        <v>2500</v>
      </c>
      <c r="X339" s="39"/>
      <c r="Y339" s="57"/>
      <c r="Z339" s="39"/>
      <c r="AA339" s="57"/>
      <c r="AB339" s="65"/>
      <c r="AC339" s="66"/>
      <c r="AD339" s="65"/>
      <c r="AE339" s="66"/>
      <c r="AF339" s="39"/>
      <c r="AG339" s="57"/>
      <c r="AH339" s="39"/>
      <c r="AI339" s="57"/>
    </row>
    <row r="340" spans="1:35" ht="19.5" customHeight="1" x14ac:dyDescent="0.3">
      <c r="A340" s="4">
        <v>2506732</v>
      </c>
      <c r="B340" s="110" t="s">
        <v>1673</v>
      </c>
      <c r="C340" s="55">
        <v>20500</v>
      </c>
      <c r="D340" s="55">
        <v>0</v>
      </c>
      <c r="E340" s="55" t="s">
        <v>20</v>
      </c>
      <c r="F340" s="4" t="s">
        <v>71</v>
      </c>
      <c r="G340" s="4" t="s">
        <v>125</v>
      </c>
      <c r="H340" s="4" t="s">
        <v>2238</v>
      </c>
      <c r="I340" s="4" t="s">
        <v>2255</v>
      </c>
      <c r="J340" s="55">
        <v>18500</v>
      </c>
      <c r="K340" s="55">
        <v>1000</v>
      </c>
      <c r="L340" s="65">
        <v>45833</v>
      </c>
      <c r="M340" s="66">
        <v>1000</v>
      </c>
      <c r="N340" s="65">
        <v>42180</v>
      </c>
      <c r="O340" s="66">
        <v>1000</v>
      </c>
      <c r="P340" s="39">
        <v>45890</v>
      </c>
      <c r="Q340" s="57">
        <v>17500</v>
      </c>
      <c r="R340" s="39"/>
      <c r="S340" s="57"/>
      <c r="T340" s="65"/>
      <c r="U340" s="66"/>
      <c r="V340" s="65"/>
      <c r="W340" s="66"/>
      <c r="X340" s="39"/>
      <c r="Y340" s="57"/>
      <c r="Z340" s="39"/>
      <c r="AA340" s="57"/>
      <c r="AB340" s="65"/>
      <c r="AC340" s="66"/>
      <c r="AD340" s="65"/>
      <c r="AE340" s="66"/>
      <c r="AF340" s="39"/>
      <c r="AG340" s="57"/>
      <c r="AH340" s="39"/>
      <c r="AI340" s="57"/>
    </row>
    <row r="341" spans="1:35" ht="19.5" customHeight="1" x14ac:dyDescent="0.3">
      <c r="A341" s="4">
        <v>2506767</v>
      </c>
      <c r="B341" s="110" t="s">
        <v>1678</v>
      </c>
      <c r="C341" s="55">
        <v>20500</v>
      </c>
      <c r="D341" s="55">
        <v>0</v>
      </c>
      <c r="E341" s="55" t="s">
        <v>17</v>
      </c>
      <c r="F341" s="4" t="s">
        <v>71</v>
      </c>
      <c r="G341" s="4" t="s">
        <v>125</v>
      </c>
      <c r="H341" s="4" t="s">
        <v>2236</v>
      </c>
      <c r="I341" s="4" t="s">
        <v>2251</v>
      </c>
      <c r="J341" s="55">
        <v>20500</v>
      </c>
      <c r="K341" s="55">
        <v>20500</v>
      </c>
      <c r="L341" s="65">
        <v>45833</v>
      </c>
      <c r="M341" s="66">
        <v>1000</v>
      </c>
      <c r="N341" s="65">
        <v>45833</v>
      </c>
      <c r="O341" s="66">
        <v>1000</v>
      </c>
      <c r="P341" s="39">
        <v>45912</v>
      </c>
      <c r="Q341" s="57">
        <v>19500</v>
      </c>
      <c r="R341" s="39">
        <v>45912</v>
      </c>
      <c r="S341" s="57">
        <v>19500</v>
      </c>
      <c r="T341" s="65"/>
      <c r="U341" s="66"/>
      <c r="V341" s="65"/>
      <c r="W341" s="66"/>
      <c r="X341" s="39"/>
      <c r="Y341" s="57"/>
      <c r="Z341" s="39"/>
      <c r="AA341" s="57"/>
      <c r="AB341" s="65"/>
      <c r="AC341" s="66"/>
      <c r="AD341" s="65"/>
      <c r="AE341" s="66"/>
      <c r="AF341" s="39"/>
      <c r="AG341" s="57"/>
      <c r="AH341" s="39"/>
      <c r="AI341" s="57"/>
    </row>
    <row r="342" spans="1:35" ht="19.5" customHeight="1" x14ac:dyDescent="0.3">
      <c r="A342" s="4">
        <v>2506759</v>
      </c>
      <c r="B342" s="110" t="s">
        <v>1683</v>
      </c>
      <c r="C342" s="55">
        <v>27000</v>
      </c>
      <c r="D342" s="55">
        <v>0</v>
      </c>
      <c r="E342" s="55" t="s">
        <v>22</v>
      </c>
      <c r="F342" s="4" t="s">
        <v>71</v>
      </c>
      <c r="G342" s="4" t="s">
        <v>125</v>
      </c>
      <c r="H342" s="4" t="s">
        <v>2238</v>
      </c>
      <c r="I342" s="4" t="s">
        <v>2253</v>
      </c>
      <c r="J342" s="55">
        <v>25000</v>
      </c>
      <c r="K342" s="55">
        <v>25000</v>
      </c>
      <c r="L342" s="65">
        <v>45833</v>
      </c>
      <c r="M342" s="66">
        <v>1000</v>
      </c>
      <c r="N342" s="65">
        <v>45833</v>
      </c>
      <c r="O342" s="66">
        <v>1000</v>
      </c>
      <c r="P342" s="39">
        <v>45873</v>
      </c>
      <c r="Q342" s="57">
        <v>24000</v>
      </c>
      <c r="R342" s="39">
        <v>45874</v>
      </c>
      <c r="S342" s="57">
        <v>24000</v>
      </c>
      <c r="T342" s="65"/>
      <c r="U342" s="66"/>
      <c r="V342" s="65"/>
      <c r="W342" s="66"/>
      <c r="X342" s="39"/>
      <c r="Y342" s="57"/>
      <c r="Z342" s="39"/>
      <c r="AA342" s="57"/>
      <c r="AB342" s="65"/>
      <c r="AC342" s="66"/>
      <c r="AD342" s="65"/>
      <c r="AE342" s="66"/>
      <c r="AF342" s="39"/>
      <c r="AG342" s="57"/>
      <c r="AH342" s="39"/>
      <c r="AI342" s="57"/>
    </row>
    <row r="343" spans="1:35" ht="19.5" customHeight="1" x14ac:dyDescent="0.3">
      <c r="A343" s="4">
        <v>2506794</v>
      </c>
      <c r="B343" s="110" t="s">
        <v>1688</v>
      </c>
      <c r="C343" s="55">
        <v>25000</v>
      </c>
      <c r="D343" s="55">
        <v>0</v>
      </c>
      <c r="E343" s="55" t="s">
        <v>22</v>
      </c>
      <c r="F343" s="4" t="s">
        <v>71</v>
      </c>
      <c r="G343" s="4" t="s">
        <v>125</v>
      </c>
      <c r="H343" s="4" t="s">
        <v>2238</v>
      </c>
      <c r="I343" s="4" t="s">
        <v>2253</v>
      </c>
      <c r="J343" s="55">
        <v>23000</v>
      </c>
      <c r="K343" s="55">
        <v>23000</v>
      </c>
      <c r="L343" s="65">
        <v>45834</v>
      </c>
      <c r="M343" s="66">
        <v>1000</v>
      </c>
      <c r="N343" s="65">
        <v>45834</v>
      </c>
      <c r="O343" s="66">
        <v>1000</v>
      </c>
      <c r="P343" s="39">
        <v>45932</v>
      </c>
      <c r="Q343" s="57">
        <v>22000</v>
      </c>
      <c r="R343" s="39">
        <v>45937</v>
      </c>
      <c r="S343" s="57">
        <v>22000</v>
      </c>
      <c r="T343" s="65"/>
      <c r="U343" s="66"/>
      <c r="V343" s="65"/>
      <c r="W343" s="66"/>
      <c r="X343" s="39"/>
      <c r="Y343" s="57"/>
      <c r="Z343" s="39"/>
      <c r="AA343" s="57"/>
      <c r="AB343" s="65"/>
      <c r="AC343" s="66"/>
      <c r="AD343" s="65"/>
      <c r="AE343" s="66"/>
      <c r="AF343" s="39"/>
      <c r="AG343" s="57"/>
      <c r="AH343" s="39"/>
      <c r="AI343" s="57"/>
    </row>
    <row r="344" spans="1:35" ht="19.5" customHeight="1" x14ac:dyDescent="0.3">
      <c r="A344" s="4">
        <v>2506798</v>
      </c>
      <c r="B344" s="110" t="s">
        <v>1692</v>
      </c>
      <c r="C344" s="55">
        <v>20500</v>
      </c>
      <c r="D344" s="55">
        <v>0</v>
      </c>
      <c r="E344" s="55" t="s">
        <v>22</v>
      </c>
      <c r="F344" s="4" t="s">
        <v>71</v>
      </c>
      <c r="G344" s="4" t="s">
        <v>125</v>
      </c>
      <c r="H344" s="4" t="s">
        <v>2240</v>
      </c>
      <c r="I344" s="4" t="s">
        <v>2255</v>
      </c>
      <c r="J344" s="55">
        <v>1000</v>
      </c>
      <c r="K344" s="55">
        <v>1000</v>
      </c>
      <c r="L344" s="65">
        <v>45833</v>
      </c>
      <c r="M344" s="66">
        <v>1000</v>
      </c>
      <c r="N344" s="65">
        <v>45833</v>
      </c>
      <c r="O344" s="66">
        <v>1000</v>
      </c>
      <c r="P344" s="39"/>
      <c r="Q344" s="57"/>
      <c r="R344" s="39"/>
      <c r="S344" s="57"/>
      <c r="T344" s="65"/>
      <c r="U344" s="66"/>
      <c r="V344" s="65"/>
      <c r="W344" s="66"/>
      <c r="X344" s="39"/>
      <c r="Y344" s="57"/>
      <c r="Z344" s="39"/>
      <c r="AA344" s="57"/>
      <c r="AB344" s="65"/>
      <c r="AC344" s="66"/>
      <c r="AD344" s="65"/>
      <c r="AE344" s="66"/>
      <c r="AF344" s="39"/>
      <c r="AG344" s="57"/>
      <c r="AH344" s="39"/>
      <c r="AI344" s="57"/>
    </row>
    <row r="345" spans="1:35" ht="19.5" customHeight="1" x14ac:dyDescent="0.3">
      <c r="A345" s="4">
        <v>2506773</v>
      </c>
      <c r="B345" s="110" t="s">
        <v>1696</v>
      </c>
      <c r="C345" s="55">
        <v>32500</v>
      </c>
      <c r="D345" s="55">
        <v>0</v>
      </c>
      <c r="E345" s="55" t="s">
        <v>22</v>
      </c>
      <c r="F345" s="4" t="s">
        <v>71</v>
      </c>
      <c r="G345" s="4" t="s">
        <v>125</v>
      </c>
      <c r="H345" s="4" t="s">
        <v>2240</v>
      </c>
      <c r="I345" s="4" t="s">
        <v>2255</v>
      </c>
      <c r="J345" s="55">
        <v>1000</v>
      </c>
      <c r="K345" s="55">
        <v>1000</v>
      </c>
      <c r="L345" s="65">
        <v>45834</v>
      </c>
      <c r="M345" s="66">
        <v>1000</v>
      </c>
      <c r="N345" s="65">
        <v>45834</v>
      </c>
      <c r="O345" s="66">
        <v>1000</v>
      </c>
      <c r="P345" s="39"/>
      <c r="Q345" s="57"/>
      <c r="R345" s="39"/>
      <c r="S345" s="57"/>
      <c r="T345" s="65"/>
      <c r="U345" s="66"/>
      <c r="V345" s="65"/>
      <c r="W345" s="66"/>
      <c r="X345" s="39"/>
      <c r="Y345" s="57"/>
      <c r="Z345" s="39"/>
      <c r="AA345" s="57"/>
      <c r="AB345" s="65"/>
      <c r="AC345" s="66"/>
      <c r="AD345" s="65"/>
      <c r="AE345" s="66"/>
      <c r="AF345" s="39"/>
      <c r="AG345" s="57"/>
      <c r="AH345" s="39"/>
      <c r="AI345" s="57"/>
    </row>
    <row r="346" spans="1:35" ht="19.5" customHeight="1" x14ac:dyDescent="0.3">
      <c r="A346" s="4" t="s">
        <v>1700</v>
      </c>
      <c r="B346" s="110" t="s">
        <v>1701</v>
      </c>
      <c r="C346" s="55">
        <v>20500</v>
      </c>
      <c r="D346" s="55">
        <v>0</v>
      </c>
      <c r="E346" s="55" t="s">
        <v>19</v>
      </c>
      <c r="F346" s="4" t="s">
        <v>71</v>
      </c>
      <c r="G346" s="4" t="s">
        <v>125</v>
      </c>
      <c r="H346" s="4" t="s">
        <v>2236</v>
      </c>
      <c r="I346" s="4" t="s">
        <v>2251</v>
      </c>
      <c r="J346" s="55">
        <v>20500</v>
      </c>
      <c r="K346" s="55">
        <v>20500</v>
      </c>
      <c r="L346" s="65">
        <v>45833</v>
      </c>
      <c r="M346" s="66">
        <v>1000</v>
      </c>
      <c r="N346" s="65">
        <v>45833</v>
      </c>
      <c r="O346" s="66">
        <v>1000</v>
      </c>
      <c r="P346" s="39">
        <v>45875</v>
      </c>
      <c r="Q346" s="57">
        <v>17500</v>
      </c>
      <c r="R346" s="39">
        <v>45875</v>
      </c>
      <c r="S346" s="57">
        <v>17500</v>
      </c>
      <c r="T346" s="65">
        <v>45902</v>
      </c>
      <c r="U346" s="66">
        <v>2000</v>
      </c>
      <c r="V346" s="65">
        <v>45903</v>
      </c>
      <c r="W346" s="66">
        <v>2000</v>
      </c>
      <c r="X346" s="39"/>
      <c r="Y346" s="57"/>
      <c r="Z346" s="39"/>
      <c r="AA346" s="57"/>
      <c r="AB346" s="65"/>
      <c r="AC346" s="66"/>
      <c r="AD346" s="65"/>
      <c r="AE346" s="66"/>
      <c r="AF346" s="39"/>
      <c r="AG346" s="57"/>
      <c r="AH346" s="39"/>
      <c r="AI346" s="57"/>
    </row>
    <row r="347" spans="1:35" ht="19.5" customHeight="1" x14ac:dyDescent="0.3">
      <c r="A347" s="4">
        <v>2506786</v>
      </c>
      <c r="B347" s="110" t="s">
        <v>1706</v>
      </c>
      <c r="C347" s="55">
        <v>30500</v>
      </c>
      <c r="D347" s="55">
        <v>0</v>
      </c>
      <c r="E347" s="55" t="s">
        <v>17</v>
      </c>
      <c r="F347" s="4" t="s">
        <v>71</v>
      </c>
      <c r="G347" s="4" t="s">
        <v>125</v>
      </c>
      <c r="H347" s="4" t="s">
        <v>2236</v>
      </c>
      <c r="I347" s="4" t="s">
        <v>2251</v>
      </c>
      <c r="J347" s="55">
        <v>30500</v>
      </c>
      <c r="K347" s="55">
        <v>30500</v>
      </c>
      <c r="L347" s="65">
        <v>45837</v>
      </c>
      <c r="M347" s="66">
        <v>1000</v>
      </c>
      <c r="N347" s="65">
        <v>45837</v>
      </c>
      <c r="O347" s="66">
        <v>1000</v>
      </c>
      <c r="P347" s="39">
        <v>45891</v>
      </c>
      <c r="Q347" s="57">
        <v>29500</v>
      </c>
      <c r="R347" s="39">
        <v>45891</v>
      </c>
      <c r="S347" s="57">
        <v>29500</v>
      </c>
      <c r="T347" s="65"/>
      <c r="U347" s="66"/>
      <c r="V347" s="65"/>
      <c r="W347" s="66"/>
      <c r="X347" s="39"/>
      <c r="Y347" s="57"/>
      <c r="Z347" s="39"/>
      <c r="AA347" s="57"/>
      <c r="AB347" s="65"/>
      <c r="AC347" s="66"/>
      <c r="AD347" s="65"/>
      <c r="AE347" s="66"/>
      <c r="AF347" s="39"/>
      <c r="AG347" s="57"/>
      <c r="AH347" s="39"/>
      <c r="AI347" s="57"/>
    </row>
    <row r="348" spans="1:35" ht="19.5" customHeight="1" x14ac:dyDescent="0.3">
      <c r="A348" s="4">
        <v>2505260</v>
      </c>
      <c r="B348" s="110" t="s">
        <v>1711</v>
      </c>
      <c r="C348" s="55">
        <v>95000</v>
      </c>
      <c r="D348" s="55">
        <v>0</v>
      </c>
      <c r="E348" s="55" t="s">
        <v>22</v>
      </c>
      <c r="F348" s="4" t="s">
        <v>124</v>
      </c>
      <c r="G348" s="4" t="s">
        <v>125</v>
      </c>
      <c r="H348" s="4" t="s">
        <v>2238</v>
      </c>
      <c r="I348" s="4" t="s">
        <v>2253</v>
      </c>
      <c r="J348" s="55">
        <v>42750</v>
      </c>
      <c r="K348" s="55">
        <v>42750</v>
      </c>
      <c r="L348" s="65">
        <v>45834</v>
      </c>
      <c r="M348" s="66">
        <v>9500</v>
      </c>
      <c r="N348" s="65">
        <v>45863</v>
      </c>
      <c r="O348" s="66">
        <v>9500</v>
      </c>
      <c r="P348" s="39">
        <v>45930</v>
      </c>
      <c r="Q348" s="57">
        <v>33250</v>
      </c>
      <c r="R348" s="39">
        <v>45936</v>
      </c>
      <c r="S348" s="57">
        <v>33250</v>
      </c>
      <c r="T348" s="65"/>
      <c r="U348" s="66"/>
      <c r="V348" s="65"/>
      <c r="W348" s="66"/>
      <c r="X348" s="39"/>
      <c r="Y348" s="57"/>
      <c r="Z348" s="39"/>
      <c r="AA348" s="57"/>
      <c r="AB348" s="65"/>
      <c r="AC348" s="66"/>
      <c r="AD348" s="65"/>
      <c r="AE348" s="66"/>
      <c r="AF348" s="39"/>
      <c r="AG348" s="57"/>
      <c r="AH348" s="39"/>
      <c r="AI348" s="57"/>
    </row>
    <row r="349" spans="1:35" ht="19.5" customHeight="1" x14ac:dyDescent="0.3">
      <c r="A349" s="4">
        <v>2506799</v>
      </c>
      <c r="B349" s="110" t="s">
        <v>1716</v>
      </c>
      <c r="C349" s="55">
        <v>30500</v>
      </c>
      <c r="D349" s="55">
        <v>0</v>
      </c>
      <c r="E349" s="55" t="s">
        <v>22</v>
      </c>
      <c r="F349" s="4" t="s">
        <v>71</v>
      </c>
      <c r="G349" s="4" t="s">
        <v>125</v>
      </c>
      <c r="H349" s="4" t="s">
        <v>2236</v>
      </c>
      <c r="I349" s="4" t="s">
        <v>2251</v>
      </c>
      <c r="J349" s="55">
        <v>30500</v>
      </c>
      <c r="K349" s="55">
        <v>30500</v>
      </c>
      <c r="L349" s="65">
        <v>45833</v>
      </c>
      <c r="M349" s="66">
        <v>1000</v>
      </c>
      <c r="N349" s="65">
        <v>45833</v>
      </c>
      <c r="O349" s="66">
        <v>1000</v>
      </c>
      <c r="P349" s="39">
        <v>45875</v>
      </c>
      <c r="Q349" s="57">
        <v>29500</v>
      </c>
      <c r="R349" s="39">
        <v>45875</v>
      </c>
      <c r="S349" s="57">
        <v>29500</v>
      </c>
      <c r="T349" s="65"/>
      <c r="U349" s="66"/>
      <c r="V349" s="65"/>
      <c r="W349" s="66"/>
      <c r="X349" s="39"/>
      <c r="Y349" s="57"/>
      <c r="Z349" s="39"/>
      <c r="AA349" s="57"/>
      <c r="AB349" s="65"/>
      <c r="AC349" s="66"/>
      <c r="AD349" s="65"/>
      <c r="AE349" s="66"/>
      <c r="AF349" s="39"/>
      <c r="AG349" s="57"/>
      <c r="AH349" s="39"/>
      <c r="AI349" s="57"/>
    </row>
    <row r="350" spans="1:35" ht="19.5" customHeight="1" x14ac:dyDescent="0.3">
      <c r="A350" s="4">
        <v>2506276</v>
      </c>
      <c r="B350" s="110" t="s">
        <v>1720</v>
      </c>
      <c r="C350" s="55">
        <v>40000</v>
      </c>
      <c r="D350" s="55">
        <v>-1000</v>
      </c>
      <c r="E350" s="55" t="s">
        <v>19</v>
      </c>
      <c r="F350" s="4" t="s">
        <v>71</v>
      </c>
      <c r="G350" s="4" t="s">
        <v>125</v>
      </c>
      <c r="H350" s="4" t="s">
        <v>2236</v>
      </c>
      <c r="I350" s="4" t="s">
        <v>2251</v>
      </c>
      <c r="J350" s="55">
        <v>39000</v>
      </c>
      <c r="K350" s="55">
        <v>39000</v>
      </c>
      <c r="L350" s="65">
        <v>45836</v>
      </c>
      <c r="M350" s="66">
        <v>4000</v>
      </c>
      <c r="N350" s="65">
        <v>45836</v>
      </c>
      <c r="O350" s="66">
        <v>4000</v>
      </c>
      <c r="P350" s="39">
        <v>45896</v>
      </c>
      <c r="Q350" s="57">
        <v>14000</v>
      </c>
      <c r="R350" s="39">
        <v>45909</v>
      </c>
      <c r="S350" s="57">
        <v>14000</v>
      </c>
      <c r="T350" s="65">
        <v>45961</v>
      </c>
      <c r="U350" s="66">
        <v>18000</v>
      </c>
      <c r="V350" s="65">
        <v>45964</v>
      </c>
      <c r="W350" s="66">
        <v>18000</v>
      </c>
      <c r="X350" s="39">
        <v>45964</v>
      </c>
      <c r="Y350" s="57">
        <v>3000</v>
      </c>
      <c r="Z350" s="39">
        <v>45964</v>
      </c>
      <c r="AA350" s="57">
        <v>3000</v>
      </c>
      <c r="AB350" s="65"/>
      <c r="AC350" s="66"/>
      <c r="AD350" s="65"/>
      <c r="AE350" s="66"/>
      <c r="AF350" s="39"/>
      <c r="AG350" s="57"/>
      <c r="AH350" s="39"/>
      <c r="AI350" s="57"/>
    </row>
    <row r="351" spans="1:35" ht="19.5" customHeight="1" x14ac:dyDescent="0.3">
      <c r="A351" s="4">
        <v>2506785</v>
      </c>
      <c r="B351" s="110" t="s">
        <v>1721</v>
      </c>
      <c r="C351" s="55">
        <v>34500</v>
      </c>
      <c r="D351" s="55">
        <v>0</v>
      </c>
      <c r="E351" s="55" t="s">
        <v>22</v>
      </c>
      <c r="F351" s="4" t="s">
        <v>71</v>
      </c>
      <c r="G351" s="4" t="s">
        <v>125</v>
      </c>
      <c r="H351" s="4" t="s">
        <v>2240</v>
      </c>
      <c r="I351" s="4" t="s">
        <v>2255</v>
      </c>
      <c r="J351" s="55">
        <v>1000</v>
      </c>
      <c r="K351" s="55">
        <v>1000</v>
      </c>
      <c r="L351" s="65">
        <v>45837</v>
      </c>
      <c r="M351" s="66">
        <v>1000</v>
      </c>
      <c r="N351" s="65">
        <v>45837</v>
      </c>
      <c r="O351" s="66">
        <v>1000</v>
      </c>
      <c r="P351" s="39"/>
      <c r="Q351" s="57"/>
      <c r="R351" s="39"/>
      <c r="S351" s="57"/>
      <c r="T351" s="65"/>
      <c r="U351" s="66"/>
      <c r="V351" s="65"/>
      <c r="W351" s="66"/>
      <c r="X351" s="39"/>
      <c r="Y351" s="57"/>
      <c r="Z351" s="39"/>
      <c r="AA351" s="57"/>
      <c r="AB351" s="65"/>
      <c r="AC351" s="66"/>
      <c r="AD351" s="65"/>
      <c r="AE351" s="66"/>
      <c r="AF351" s="39"/>
      <c r="AG351" s="57"/>
      <c r="AH351" s="39"/>
      <c r="AI351" s="57"/>
    </row>
    <row r="352" spans="1:35" ht="19.5" customHeight="1" x14ac:dyDescent="0.3">
      <c r="A352" s="4">
        <v>2506801</v>
      </c>
      <c r="B352" s="110" t="s">
        <v>1726</v>
      </c>
      <c r="C352" s="55">
        <v>39500</v>
      </c>
      <c r="D352" s="55">
        <v>0</v>
      </c>
      <c r="E352" s="55" t="s">
        <v>22</v>
      </c>
      <c r="F352" s="4" t="s">
        <v>71</v>
      </c>
      <c r="G352" s="4" t="s">
        <v>176</v>
      </c>
      <c r="H352" s="4" t="s">
        <v>2240</v>
      </c>
      <c r="I352" s="4" t="s">
        <v>2255</v>
      </c>
      <c r="J352" s="55">
        <v>1000</v>
      </c>
      <c r="K352" s="55">
        <v>1000</v>
      </c>
      <c r="L352" s="65">
        <v>45837</v>
      </c>
      <c r="M352" s="66">
        <v>1000</v>
      </c>
      <c r="N352" s="65">
        <v>45837</v>
      </c>
      <c r="O352" s="66">
        <v>1000</v>
      </c>
      <c r="P352" s="39"/>
      <c r="Q352" s="57"/>
      <c r="R352" s="39"/>
      <c r="S352" s="57"/>
      <c r="T352" s="65"/>
      <c r="U352" s="66"/>
      <c r="V352" s="65"/>
      <c r="W352" s="66"/>
      <c r="X352" s="39"/>
      <c r="Y352" s="57"/>
      <c r="Z352" s="39"/>
      <c r="AA352" s="57"/>
      <c r="AB352" s="65"/>
      <c r="AC352" s="66"/>
      <c r="AD352" s="65"/>
      <c r="AE352" s="66"/>
      <c r="AF352" s="39"/>
      <c r="AG352" s="57"/>
      <c r="AH352" s="39"/>
      <c r="AI352" s="57"/>
    </row>
    <row r="353" spans="1:35" ht="19.5" customHeight="1" x14ac:dyDescent="0.3">
      <c r="A353" s="4">
        <v>2503223</v>
      </c>
      <c r="B353" s="110" t="s">
        <v>1731</v>
      </c>
      <c r="C353" s="55">
        <v>117500</v>
      </c>
      <c r="D353" s="55">
        <v>0</v>
      </c>
      <c r="E353" s="55" t="s">
        <v>17</v>
      </c>
      <c r="F353" s="4" t="s">
        <v>124</v>
      </c>
      <c r="G353" s="4" t="s">
        <v>1732</v>
      </c>
      <c r="H353" s="4" t="s">
        <v>2238</v>
      </c>
      <c r="I353" s="4" t="s">
        <v>2253</v>
      </c>
      <c r="J353" s="55">
        <v>52875</v>
      </c>
      <c r="K353" s="55">
        <v>52875</v>
      </c>
      <c r="L353" s="65">
        <v>45877</v>
      </c>
      <c r="M353" s="66">
        <v>11750</v>
      </c>
      <c r="N353" s="65">
        <v>45897</v>
      </c>
      <c r="O353" s="66">
        <v>11750</v>
      </c>
      <c r="P353" s="39">
        <v>45926</v>
      </c>
      <c r="Q353" s="57">
        <v>41125</v>
      </c>
      <c r="R353" s="39">
        <v>45937</v>
      </c>
      <c r="S353" s="57">
        <v>41125</v>
      </c>
      <c r="T353" s="65"/>
      <c r="U353" s="66"/>
      <c r="V353" s="65"/>
      <c r="W353" s="66"/>
      <c r="X353" s="39"/>
      <c r="Y353" s="57"/>
      <c r="Z353" s="39"/>
      <c r="AA353" s="57"/>
      <c r="AB353" s="65"/>
      <c r="AC353" s="66"/>
      <c r="AD353" s="65"/>
      <c r="AE353" s="66"/>
      <c r="AF353" s="39"/>
      <c r="AG353" s="57"/>
      <c r="AH353" s="39"/>
      <c r="AI353" s="57"/>
    </row>
    <row r="354" spans="1:35" ht="19.5" customHeight="1" x14ac:dyDescent="0.3">
      <c r="A354" s="4">
        <v>2506802</v>
      </c>
      <c r="B354" s="110" t="s">
        <v>1733</v>
      </c>
      <c r="C354" s="55">
        <v>31500</v>
      </c>
      <c r="D354" s="55">
        <v>0</v>
      </c>
      <c r="E354" s="55" t="s">
        <v>22</v>
      </c>
      <c r="F354" s="4" t="s">
        <v>71</v>
      </c>
      <c r="G354" s="4" t="s">
        <v>125</v>
      </c>
      <c r="H354" s="4" t="s">
        <v>2237</v>
      </c>
      <c r="I354" s="4" t="s">
        <v>2252</v>
      </c>
      <c r="J354" s="55">
        <v>0</v>
      </c>
      <c r="K354" s="55">
        <v>0</v>
      </c>
      <c r="L354" s="65"/>
      <c r="M354" s="66"/>
      <c r="N354" s="65"/>
      <c r="O354" s="66"/>
      <c r="P354" s="39"/>
      <c r="Q354" s="57"/>
      <c r="R354" s="39"/>
      <c r="S354" s="57"/>
      <c r="T354" s="65"/>
      <c r="U354" s="66"/>
      <c r="V354" s="65"/>
      <c r="W354" s="66"/>
      <c r="X354" s="39"/>
      <c r="Y354" s="57"/>
      <c r="Z354" s="39"/>
      <c r="AA354" s="57"/>
      <c r="AB354" s="65"/>
      <c r="AC354" s="66"/>
      <c r="AD354" s="65"/>
      <c r="AE354" s="66"/>
      <c r="AF354" s="39"/>
      <c r="AG354" s="57"/>
      <c r="AH354" s="39"/>
      <c r="AI354" s="57"/>
    </row>
    <row r="355" spans="1:35" ht="19.5" customHeight="1" x14ac:dyDescent="0.3">
      <c r="A355" s="4">
        <v>2412510</v>
      </c>
      <c r="B355" s="110" t="s">
        <v>1737</v>
      </c>
      <c r="C355" s="55">
        <v>34000</v>
      </c>
      <c r="D355" s="55">
        <v>0</v>
      </c>
      <c r="E355" s="55" t="s">
        <v>19</v>
      </c>
      <c r="F355" s="4" t="s">
        <v>71</v>
      </c>
      <c r="G355" s="4" t="s">
        <v>176</v>
      </c>
      <c r="H355" s="4" t="s">
        <v>2236</v>
      </c>
      <c r="I355" s="4" t="s">
        <v>2251</v>
      </c>
      <c r="J355" s="55">
        <v>34000</v>
      </c>
      <c r="K355" s="55">
        <v>34000</v>
      </c>
      <c r="L355" s="65">
        <v>45838</v>
      </c>
      <c r="M355" s="66">
        <v>1000</v>
      </c>
      <c r="N355" s="65">
        <v>45843</v>
      </c>
      <c r="O355" s="66">
        <v>1000</v>
      </c>
      <c r="P355" s="39">
        <v>45896</v>
      </c>
      <c r="Q355" s="57">
        <v>33000</v>
      </c>
      <c r="R355" s="39">
        <v>45896</v>
      </c>
      <c r="S355" s="57">
        <v>33000</v>
      </c>
      <c r="T355" s="65"/>
      <c r="U355" s="66"/>
      <c r="V355" s="65"/>
      <c r="W355" s="66"/>
      <c r="X355" s="39"/>
      <c r="Y355" s="57"/>
      <c r="Z355" s="39"/>
      <c r="AA355" s="57"/>
      <c r="AB355" s="65"/>
      <c r="AC355" s="66"/>
      <c r="AD355" s="65"/>
      <c r="AE355" s="66"/>
      <c r="AF355" s="39"/>
      <c r="AG355" s="57"/>
      <c r="AH355" s="39"/>
      <c r="AI355" s="57"/>
    </row>
    <row r="356" spans="1:35" ht="19.5" customHeight="1" x14ac:dyDescent="0.3">
      <c r="A356" s="4">
        <v>2504051</v>
      </c>
      <c r="B356" s="110" t="s">
        <v>1742</v>
      </c>
      <c r="C356" s="55">
        <v>250000</v>
      </c>
      <c r="D356" s="55">
        <v>0</v>
      </c>
      <c r="E356" s="55" t="s">
        <v>20</v>
      </c>
      <c r="F356" s="4" t="s">
        <v>206</v>
      </c>
      <c r="G356" s="4" t="s">
        <v>125</v>
      </c>
      <c r="H356" s="4" t="s">
        <v>2237</v>
      </c>
      <c r="I356" s="4" t="s">
        <v>2252</v>
      </c>
      <c r="J356" s="55">
        <v>0</v>
      </c>
      <c r="K356" s="55">
        <v>0</v>
      </c>
      <c r="L356" s="65"/>
      <c r="M356" s="66"/>
      <c r="N356" s="65"/>
      <c r="O356" s="66"/>
      <c r="P356" s="39"/>
      <c r="Q356" s="57"/>
      <c r="R356" s="39"/>
      <c r="S356" s="57"/>
      <c r="T356" s="65"/>
      <c r="U356" s="66"/>
      <c r="V356" s="65"/>
      <c r="W356" s="66"/>
      <c r="X356" s="39"/>
      <c r="Y356" s="57"/>
      <c r="Z356" s="39"/>
      <c r="AA356" s="57"/>
      <c r="AB356" s="65"/>
      <c r="AC356" s="66"/>
      <c r="AD356" s="65"/>
      <c r="AE356" s="66"/>
      <c r="AF356" s="39"/>
      <c r="AG356" s="57"/>
      <c r="AH356" s="39"/>
      <c r="AI356" s="57"/>
    </row>
    <row r="357" spans="1:35" ht="19.5" customHeight="1" x14ac:dyDescent="0.3">
      <c r="A357" s="4">
        <v>2505056</v>
      </c>
      <c r="B357" s="110" t="s">
        <v>1743</v>
      </c>
      <c r="C357" s="55">
        <v>43000</v>
      </c>
      <c r="D357" s="55">
        <v>0</v>
      </c>
      <c r="E357" s="55" t="s">
        <v>19</v>
      </c>
      <c r="F357" s="4" t="s">
        <v>206</v>
      </c>
      <c r="G357" s="4" t="s">
        <v>125</v>
      </c>
      <c r="H357" s="4" t="s">
        <v>2236</v>
      </c>
      <c r="I357" s="4" t="s">
        <v>2255</v>
      </c>
      <c r="J357" s="55">
        <v>43000</v>
      </c>
      <c r="K357" s="55">
        <v>21500</v>
      </c>
      <c r="L357" s="65">
        <v>45877</v>
      </c>
      <c r="M357" s="66">
        <v>21500</v>
      </c>
      <c r="N357" s="65">
        <v>45888</v>
      </c>
      <c r="O357" s="66">
        <v>21500</v>
      </c>
      <c r="P357" s="39">
        <v>45898</v>
      </c>
      <c r="Q357" s="57">
        <v>21500</v>
      </c>
      <c r="R357" s="39"/>
      <c r="S357" s="57"/>
      <c r="T357" s="65"/>
      <c r="U357" s="66"/>
      <c r="V357" s="65"/>
      <c r="W357" s="66"/>
      <c r="X357" s="39"/>
      <c r="Y357" s="57"/>
      <c r="Z357" s="39"/>
      <c r="AA357" s="57"/>
      <c r="AB357" s="65"/>
      <c r="AC357" s="66"/>
      <c r="AD357" s="65"/>
      <c r="AE357" s="66"/>
      <c r="AF357" s="39"/>
      <c r="AG357" s="57"/>
      <c r="AH357" s="39"/>
      <c r="AI357" s="57"/>
    </row>
    <row r="358" spans="1:35" ht="19.5" customHeight="1" x14ac:dyDescent="0.3">
      <c r="A358" s="4">
        <v>2507833</v>
      </c>
      <c r="B358" s="110" t="s">
        <v>1744</v>
      </c>
      <c r="C358" s="55">
        <v>46000</v>
      </c>
      <c r="D358" s="55">
        <v>0</v>
      </c>
      <c r="E358" s="55" t="s">
        <v>22</v>
      </c>
      <c r="F358" s="4" t="s">
        <v>71</v>
      </c>
      <c r="G358" s="4" t="s">
        <v>1191</v>
      </c>
      <c r="H358" s="4" t="s">
        <v>2236</v>
      </c>
      <c r="I358" s="4" t="s">
        <v>2251</v>
      </c>
      <c r="J358" s="55">
        <v>46000</v>
      </c>
      <c r="K358" s="55">
        <v>46000</v>
      </c>
      <c r="L358" s="65">
        <v>45874</v>
      </c>
      <c r="M358" s="66">
        <v>6900</v>
      </c>
      <c r="N358" s="65">
        <v>45874</v>
      </c>
      <c r="O358" s="66">
        <v>6900</v>
      </c>
      <c r="P358" s="39">
        <v>45946</v>
      </c>
      <c r="Q358" s="57">
        <v>39100</v>
      </c>
      <c r="R358" s="39">
        <v>45947</v>
      </c>
      <c r="S358" s="57">
        <v>39100</v>
      </c>
      <c r="T358" s="65"/>
      <c r="U358" s="66"/>
      <c r="V358" s="65"/>
      <c r="W358" s="66"/>
      <c r="X358" s="39"/>
      <c r="Y358" s="57"/>
      <c r="Z358" s="39"/>
      <c r="AA358" s="57"/>
      <c r="AB358" s="65"/>
      <c r="AC358" s="66"/>
      <c r="AD358" s="65"/>
      <c r="AE358" s="66"/>
      <c r="AF358" s="39"/>
      <c r="AG358" s="57"/>
      <c r="AH358" s="39"/>
      <c r="AI358" s="57"/>
    </row>
    <row r="359" spans="1:35" ht="19.5" customHeight="1" x14ac:dyDescent="0.3">
      <c r="A359" s="4">
        <v>2409030</v>
      </c>
      <c r="B359" s="110" t="s">
        <v>1749</v>
      </c>
      <c r="C359" s="55">
        <v>58000</v>
      </c>
      <c r="D359" s="55">
        <v>0</v>
      </c>
      <c r="E359" s="55" t="s">
        <v>19</v>
      </c>
      <c r="F359" s="4" t="s">
        <v>206</v>
      </c>
      <c r="G359" s="4" t="s">
        <v>125</v>
      </c>
      <c r="H359" s="4" t="s">
        <v>2236</v>
      </c>
      <c r="I359" s="4" t="s">
        <v>2255</v>
      </c>
      <c r="J359" s="55">
        <v>58000</v>
      </c>
      <c r="K359" s="55">
        <v>29000</v>
      </c>
      <c r="L359" s="65">
        <v>45882</v>
      </c>
      <c r="M359" s="66">
        <v>29000</v>
      </c>
      <c r="N359" s="65">
        <v>45888</v>
      </c>
      <c r="O359" s="66">
        <v>29000</v>
      </c>
      <c r="P359" s="39">
        <v>45898</v>
      </c>
      <c r="Q359" s="57">
        <v>29000</v>
      </c>
      <c r="R359" s="39"/>
      <c r="S359" s="57"/>
      <c r="T359" s="65"/>
      <c r="U359" s="66"/>
      <c r="V359" s="65"/>
      <c r="W359" s="66"/>
      <c r="X359" s="39"/>
      <c r="Y359" s="57"/>
      <c r="Z359" s="39"/>
      <c r="AA359" s="57"/>
      <c r="AB359" s="65"/>
      <c r="AC359" s="66"/>
      <c r="AD359" s="65"/>
      <c r="AE359" s="66"/>
      <c r="AF359" s="39"/>
      <c r="AG359" s="57"/>
      <c r="AH359" s="39"/>
      <c r="AI359" s="57"/>
    </row>
    <row r="360" spans="1:35" ht="19.5" customHeight="1" x14ac:dyDescent="0.3">
      <c r="A360" s="4">
        <v>2507059</v>
      </c>
      <c r="B360" s="110" t="s">
        <v>1750</v>
      </c>
      <c r="C360" s="55">
        <v>53000</v>
      </c>
      <c r="D360" s="55">
        <v>0</v>
      </c>
      <c r="E360" s="55" t="s">
        <v>19</v>
      </c>
      <c r="F360" s="4" t="s">
        <v>206</v>
      </c>
      <c r="G360" s="4" t="s">
        <v>125</v>
      </c>
      <c r="H360" s="4" t="s">
        <v>2236</v>
      </c>
      <c r="I360" s="4" t="s">
        <v>2255</v>
      </c>
      <c r="J360" s="55">
        <v>53000</v>
      </c>
      <c r="K360" s="55">
        <v>26500</v>
      </c>
      <c r="L360" s="65">
        <v>45882</v>
      </c>
      <c r="M360" s="66">
        <v>26500</v>
      </c>
      <c r="N360" s="65">
        <v>45888</v>
      </c>
      <c r="O360" s="66">
        <v>26500</v>
      </c>
      <c r="P360" s="39">
        <v>45898</v>
      </c>
      <c r="Q360" s="57">
        <v>26500</v>
      </c>
      <c r="R360" s="39"/>
      <c r="S360" s="57"/>
      <c r="T360" s="65"/>
      <c r="U360" s="66"/>
      <c r="V360" s="65"/>
      <c r="W360" s="66"/>
      <c r="X360" s="39"/>
      <c r="Y360" s="57"/>
      <c r="Z360" s="39"/>
      <c r="AA360" s="57"/>
      <c r="AB360" s="65"/>
      <c r="AC360" s="66"/>
      <c r="AD360" s="65"/>
      <c r="AE360" s="66"/>
      <c r="AF360" s="39"/>
      <c r="AG360" s="57"/>
      <c r="AH360" s="39"/>
      <c r="AI360" s="57"/>
    </row>
    <row r="361" spans="1:35" ht="19.5" customHeight="1" x14ac:dyDescent="0.3">
      <c r="A361" s="4">
        <v>2507060</v>
      </c>
      <c r="B361" s="110" t="s">
        <v>1751</v>
      </c>
      <c r="C361" s="55">
        <v>55500</v>
      </c>
      <c r="D361" s="55">
        <v>0</v>
      </c>
      <c r="E361" s="55" t="s">
        <v>19</v>
      </c>
      <c r="F361" s="4" t="s">
        <v>206</v>
      </c>
      <c r="G361" s="4" t="s">
        <v>125</v>
      </c>
      <c r="H361" s="4" t="s">
        <v>2236</v>
      </c>
      <c r="I361" s="4" t="s">
        <v>2255</v>
      </c>
      <c r="J361" s="55">
        <v>55500</v>
      </c>
      <c r="K361" s="55">
        <v>27750</v>
      </c>
      <c r="L361" s="65">
        <v>45882</v>
      </c>
      <c r="M361" s="66">
        <v>27750</v>
      </c>
      <c r="N361" s="65">
        <v>45888</v>
      </c>
      <c r="O361" s="66">
        <v>27750</v>
      </c>
      <c r="P361" s="39">
        <v>45898</v>
      </c>
      <c r="Q361" s="57">
        <v>27750</v>
      </c>
      <c r="R361" s="39"/>
      <c r="S361" s="57"/>
      <c r="T361" s="65"/>
      <c r="U361" s="66"/>
      <c r="V361" s="65"/>
      <c r="W361" s="66"/>
      <c r="X361" s="39"/>
      <c r="Y361" s="57"/>
      <c r="Z361" s="39"/>
      <c r="AA361" s="57"/>
      <c r="AB361" s="65"/>
      <c r="AC361" s="66"/>
      <c r="AD361" s="65"/>
      <c r="AE361" s="66"/>
      <c r="AF361" s="39"/>
      <c r="AG361" s="57"/>
      <c r="AH361" s="39"/>
      <c r="AI361" s="57"/>
    </row>
    <row r="362" spans="1:35" ht="19.5" customHeight="1" x14ac:dyDescent="0.3">
      <c r="A362" s="4">
        <v>2508858</v>
      </c>
      <c r="B362" s="110" t="s">
        <v>1752</v>
      </c>
      <c r="C362" s="55">
        <v>49000</v>
      </c>
      <c r="D362" s="55">
        <v>1593</v>
      </c>
      <c r="E362" s="55" t="s">
        <v>22</v>
      </c>
      <c r="F362" s="4" t="s">
        <v>71</v>
      </c>
      <c r="G362" s="4" t="s">
        <v>125</v>
      </c>
      <c r="H362" s="4" t="s">
        <v>2236</v>
      </c>
      <c r="I362" s="4" t="s">
        <v>2251</v>
      </c>
      <c r="J362" s="55">
        <v>50593</v>
      </c>
      <c r="K362" s="55">
        <v>50593</v>
      </c>
      <c r="L362" s="65">
        <v>45924</v>
      </c>
      <c r="M362" s="66">
        <v>10000</v>
      </c>
      <c r="N362" s="65">
        <v>45895</v>
      </c>
      <c r="O362" s="66">
        <v>10000</v>
      </c>
      <c r="P362" s="39">
        <v>45912</v>
      </c>
      <c r="Q362" s="57">
        <v>10000</v>
      </c>
      <c r="R362" s="39">
        <v>45912</v>
      </c>
      <c r="S362" s="57">
        <v>10000</v>
      </c>
      <c r="T362" s="65">
        <v>45941</v>
      </c>
      <c r="U362" s="66">
        <v>15000</v>
      </c>
      <c r="V362" s="65">
        <v>45941</v>
      </c>
      <c r="W362" s="66">
        <v>15000</v>
      </c>
      <c r="X362" s="39">
        <v>45960</v>
      </c>
      <c r="Y362" s="57">
        <v>14000</v>
      </c>
      <c r="Z362" s="39">
        <v>45960</v>
      </c>
      <c r="AA362" s="57">
        <v>14000</v>
      </c>
      <c r="AB362" s="65"/>
      <c r="AC362" s="66"/>
      <c r="AD362" s="65"/>
      <c r="AE362" s="66"/>
      <c r="AF362" s="39">
        <v>45960</v>
      </c>
      <c r="AG362" s="57">
        <v>1593</v>
      </c>
      <c r="AH362" s="39">
        <v>45960</v>
      </c>
      <c r="AI362" s="57">
        <v>1593</v>
      </c>
    </row>
    <row r="363" spans="1:35" ht="19.5" customHeight="1" x14ac:dyDescent="0.3">
      <c r="A363" s="4">
        <v>2507062</v>
      </c>
      <c r="B363" s="110" t="s">
        <v>1757</v>
      </c>
      <c r="C363" s="55">
        <v>324360</v>
      </c>
      <c r="D363" s="55">
        <v>0</v>
      </c>
      <c r="E363" s="55" t="s">
        <v>20</v>
      </c>
      <c r="F363" s="4" t="s">
        <v>206</v>
      </c>
      <c r="G363" s="4" t="s">
        <v>125</v>
      </c>
      <c r="H363" s="4" t="s">
        <v>2240</v>
      </c>
      <c r="I363" s="4" t="s">
        <v>2255</v>
      </c>
      <c r="J363" s="55">
        <v>153000</v>
      </c>
      <c r="K363" s="55">
        <v>153000</v>
      </c>
      <c r="L363" s="65">
        <v>45909</v>
      </c>
      <c r="M363" s="66">
        <v>153000</v>
      </c>
      <c r="N363" s="65">
        <v>45922</v>
      </c>
      <c r="O363" s="66">
        <v>153000</v>
      </c>
      <c r="P363" s="39"/>
      <c r="Q363" s="57"/>
      <c r="R363" s="39"/>
      <c r="S363" s="57"/>
      <c r="T363" s="65"/>
      <c r="U363" s="66"/>
      <c r="V363" s="65"/>
      <c r="W363" s="66"/>
      <c r="X363" s="39"/>
      <c r="Y363" s="57"/>
      <c r="Z363" s="39"/>
      <c r="AA363" s="57"/>
      <c r="AB363" s="65"/>
      <c r="AC363" s="66"/>
      <c r="AD363" s="65"/>
      <c r="AE363" s="66"/>
      <c r="AF363" s="39"/>
      <c r="AG363" s="57"/>
      <c r="AH363" s="39"/>
      <c r="AI363" s="57"/>
    </row>
    <row r="364" spans="1:35" ht="19.5" customHeight="1" x14ac:dyDescent="0.3">
      <c r="A364" s="4">
        <v>2509863</v>
      </c>
      <c r="B364" s="110" t="s">
        <v>1758</v>
      </c>
      <c r="C364" s="55">
        <v>27000</v>
      </c>
      <c r="D364" s="55">
        <v>0</v>
      </c>
      <c r="E364" s="55" t="s">
        <v>22</v>
      </c>
      <c r="F364" s="4" t="s">
        <v>71</v>
      </c>
      <c r="G364" s="4" t="s">
        <v>125</v>
      </c>
      <c r="H364" s="4" t="s">
        <v>2240</v>
      </c>
      <c r="I364" s="4" t="s">
        <v>2255</v>
      </c>
      <c r="J364" s="55">
        <v>1000</v>
      </c>
      <c r="K364" s="55">
        <v>1000</v>
      </c>
      <c r="L364" s="65">
        <v>45957</v>
      </c>
      <c r="M364" s="66">
        <v>1000</v>
      </c>
      <c r="N364" s="65">
        <v>45929</v>
      </c>
      <c r="O364" s="66">
        <v>1000</v>
      </c>
      <c r="P364" s="39"/>
      <c r="Q364" s="57"/>
      <c r="R364" s="39"/>
      <c r="S364" s="57"/>
      <c r="T364" s="65"/>
      <c r="U364" s="66"/>
      <c r="V364" s="65"/>
      <c r="W364" s="66"/>
      <c r="X364" s="39"/>
      <c r="Y364" s="57"/>
      <c r="Z364" s="39"/>
      <c r="AA364" s="57"/>
      <c r="AB364" s="65"/>
      <c r="AC364" s="66"/>
      <c r="AD364" s="65"/>
      <c r="AE364" s="66"/>
      <c r="AF364" s="39"/>
      <c r="AG364" s="57"/>
      <c r="AH364" s="39"/>
      <c r="AI364" s="57"/>
    </row>
    <row r="365" spans="1:35" ht="19.5" customHeight="1" x14ac:dyDescent="0.3">
      <c r="A365" s="4">
        <v>2507840</v>
      </c>
      <c r="B365" s="110" t="s">
        <v>1763</v>
      </c>
      <c r="C365" s="55">
        <v>63000</v>
      </c>
      <c r="D365" s="55">
        <v>0</v>
      </c>
      <c r="E365" s="55" t="s">
        <v>22</v>
      </c>
      <c r="F365" s="4" t="s">
        <v>71</v>
      </c>
      <c r="G365" s="4" t="s">
        <v>1191</v>
      </c>
      <c r="H365" s="4" t="s">
        <v>2240</v>
      </c>
      <c r="I365" s="4" t="s">
        <v>2255</v>
      </c>
      <c r="J365" s="55">
        <v>6300</v>
      </c>
      <c r="K365" s="55">
        <v>6300</v>
      </c>
      <c r="L365" s="65">
        <v>45957</v>
      </c>
      <c r="M365" s="66">
        <v>6300</v>
      </c>
      <c r="N365" s="65">
        <v>45929</v>
      </c>
      <c r="O365" s="66">
        <v>6300</v>
      </c>
      <c r="P365" s="39"/>
      <c r="Q365" s="57"/>
      <c r="R365" s="39"/>
      <c r="S365" s="57"/>
      <c r="T365" s="65"/>
      <c r="U365" s="66"/>
      <c r="V365" s="65"/>
      <c r="W365" s="66"/>
      <c r="X365" s="39"/>
      <c r="Y365" s="57"/>
      <c r="Z365" s="39"/>
      <c r="AA365" s="57"/>
      <c r="AB365" s="65"/>
      <c r="AC365" s="66"/>
      <c r="AD365" s="65"/>
      <c r="AE365" s="66"/>
      <c r="AF365" s="39"/>
      <c r="AG365" s="57"/>
      <c r="AH365" s="39"/>
      <c r="AI365" s="57"/>
    </row>
    <row r="366" spans="1:35" ht="19.5" customHeight="1" x14ac:dyDescent="0.3">
      <c r="A366" s="4">
        <v>2508857</v>
      </c>
      <c r="B366" s="110" t="s">
        <v>1765</v>
      </c>
      <c r="C366" s="55">
        <v>49800</v>
      </c>
      <c r="D366" s="55">
        <v>0</v>
      </c>
      <c r="E366" s="55" t="s">
        <v>21</v>
      </c>
      <c r="F366" s="4" t="s">
        <v>71</v>
      </c>
      <c r="G366" s="4" t="s">
        <v>125</v>
      </c>
      <c r="H366" s="4" t="s">
        <v>2238</v>
      </c>
      <c r="I366" s="4" t="s">
        <v>2253</v>
      </c>
      <c r="J366" s="55">
        <v>44800</v>
      </c>
      <c r="K366" s="55">
        <v>44800</v>
      </c>
      <c r="L366" s="65">
        <v>45940</v>
      </c>
      <c r="M366" s="66">
        <v>4980</v>
      </c>
      <c r="N366" s="65">
        <v>45940</v>
      </c>
      <c r="O366" s="66">
        <v>4980</v>
      </c>
      <c r="P366" s="39">
        <v>45978</v>
      </c>
      <c r="Q366" s="57">
        <v>39820</v>
      </c>
      <c r="R366" s="39">
        <v>45974</v>
      </c>
      <c r="S366" s="57">
        <v>39820</v>
      </c>
      <c r="T366" s="65"/>
      <c r="U366" s="66"/>
      <c r="V366" s="65"/>
      <c r="W366" s="66"/>
      <c r="X366" s="39"/>
      <c r="Y366" s="57"/>
      <c r="Z366" s="39"/>
      <c r="AA366" s="57"/>
      <c r="AB366" s="65"/>
      <c r="AC366" s="66"/>
      <c r="AD366" s="65"/>
      <c r="AE366" s="66"/>
      <c r="AF366" s="39"/>
      <c r="AG366" s="57"/>
      <c r="AH366" s="39"/>
      <c r="AI366" s="57"/>
    </row>
    <row r="367" spans="1:35" ht="19.5" customHeight="1" x14ac:dyDescent="0.3">
      <c r="A367" s="4">
        <v>2305008</v>
      </c>
      <c r="B367" s="110" t="s">
        <v>1769</v>
      </c>
      <c r="C367" s="55">
        <v>63773.58</v>
      </c>
      <c r="D367" s="55">
        <v>0</v>
      </c>
      <c r="E367" s="55" t="s">
        <v>22</v>
      </c>
      <c r="F367" s="4" t="s">
        <v>124</v>
      </c>
      <c r="G367" s="4" t="s">
        <v>1191</v>
      </c>
      <c r="H367" s="4" t="s">
        <v>2240</v>
      </c>
      <c r="I367" s="4" t="s">
        <v>2255</v>
      </c>
      <c r="J367" s="55">
        <v>6226.41</v>
      </c>
      <c r="K367" s="55">
        <v>6226.41</v>
      </c>
      <c r="L367" s="65">
        <v>45958</v>
      </c>
      <c r="M367" s="66">
        <v>6226.41</v>
      </c>
      <c r="N367" s="65">
        <v>45958</v>
      </c>
      <c r="O367" s="66">
        <v>6226.41</v>
      </c>
      <c r="P367" s="39"/>
      <c r="Q367" s="57"/>
      <c r="R367" s="39"/>
      <c r="S367" s="57"/>
      <c r="T367" s="65"/>
      <c r="U367" s="66"/>
      <c r="V367" s="65"/>
      <c r="W367" s="66"/>
      <c r="X367" s="39"/>
      <c r="Y367" s="57"/>
      <c r="Z367" s="39"/>
      <c r="AA367" s="57"/>
      <c r="AB367" s="65"/>
      <c r="AC367" s="66"/>
      <c r="AD367" s="65"/>
      <c r="AE367" s="66"/>
      <c r="AF367" s="39"/>
      <c r="AG367" s="57"/>
      <c r="AH367" s="39"/>
      <c r="AI367" s="57"/>
    </row>
    <row r="368" spans="1:35" ht="19.5" customHeight="1" x14ac:dyDescent="0.3">
      <c r="A368" s="4">
        <v>2508856</v>
      </c>
      <c r="B368" s="110" t="s">
        <v>1773</v>
      </c>
      <c r="C368" s="55">
        <v>73500</v>
      </c>
      <c r="D368" s="55">
        <v>0</v>
      </c>
      <c r="E368" s="55" t="s">
        <v>21</v>
      </c>
      <c r="F368" s="4" t="s">
        <v>71</v>
      </c>
      <c r="G368" s="4" t="s">
        <v>125</v>
      </c>
      <c r="H368" s="4" t="s">
        <v>2240</v>
      </c>
      <c r="I368" s="4" t="s">
        <v>2255</v>
      </c>
      <c r="J368" s="55">
        <v>7350</v>
      </c>
      <c r="K368" s="55">
        <v>7350</v>
      </c>
      <c r="L368" s="65">
        <v>45958</v>
      </c>
      <c r="M368" s="66">
        <v>7350</v>
      </c>
      <c r="N368" s="65">
        <v>45958</v>
      </c>
      <c r="O368" s="66">
        <v>7350</v>
      </c>
      <c r="P368" s="39"/>
      <c r="Q368" s="57"/>
      <c r="R368" s="39"/>
      <c r="S368" s="57"/>
      <c r="T368" s="65"/>
      <c r="U368" s="66"/>
      <c r="V368" s="65"/>
      <c r="W368" s="66"/>
      <c r="X368" s="39"/>
      <c r="Y368" s="57"/>
      <c r="Z368" s="39"/>
      <c r="AA368" s="57"/>
      <c r="AB368" s="65"/>
      <c r="AC368" s="66"/>
      <c r="AD368" s="65"/>
      <c r="AE368" s="66"/>
      <c r="AF368" s="39"/>
      <c r="AG368" s="57"/>
      <c r="AH368" s="39"/>
      <c r="AI368" s="57"/>
    </row>
    <row r="369" spans="1:35" ht="19.5" customHeight="1" x14ac:dyDescent="0.3">
      <c r="A369" s="4">
        <v>2510877</v>
      </c>
      <c r="B369" s="110" t="s">
        <v>1778</v>
      </c>
      <c r="C369" s="55">
        <v>28500</v>
      </c>
      <c r="D369" s="55">
        <v>0</v>
      </c>
      <c r="E369" s="55" t="s">
        <v>22</v>
      </c>
      <c r="F369" s="4" t="s">
        <v>71</v>
      </c>
      <c r="G369" s="4" t="s">
        <v>125</v>
      </c>
      <c r="H369" s="4" t="s">
        <v>2240</v>
      </c>
      <c r="I369" s="4" t="s">
        <v>2255</v>
      </c>
      <c r="J369" s="55">
        <v>1000</v>
      </c>
      <c r="K369" s="55">
        <v>1000</v>
      </c>
      <c r="L369" s="65">
        <v>45964</v>
      </c>
      <c r="M369" s="66">
        <v>1000</v>
      </c>
      <c r="N369" s="65">
        <v>45964</v>
      </c>
      <c r="O369" s="66">
        <v>1000</v>
      </c>
      <c r="P369" s="39"/>
      <c r="Q369" s="57"/>
      <c r="R369" s="39"/>
      <c r="S369" s="57"/>
      <c r="T369" s="65"/>
      <c r="U369" s="66"/>
      <c r="V369" s="65"/>
      <c r="W369" s="66"/>
      <c r="X369" s="39"/>
      <c r="Y369" s="57"/>
      <c r="Z369" s="39"/>
      <c r="AA369" s="57"/>
      <c r="AB369" s="65"/>
      <c r="AC369" s="66"/>
      <c r="AD369" s="65"/>
      <c r="AE369" s="66"/>
      <c r="AF369" s="39"/>
      <c r="AG369" s="57"/>
      <c r="AH369" s="39"/>
      <c r="AI369" s="57"/>
    </row>
    <row r="370" spans="1:35" ht="19.5" customHeight="1" x14ac:dyDescent="0.3">
      <c r="A370" s="4">
        <v>2511887</v>
      </c>
      <c r="B370" s="110" t="s">
        <v>1782</v>
      </c>
      <c r="C370" s="55">
        <v>29000</v>
      </c>
      <c r="D370" s="55">
        <v>0</v>
      </c>
      <c r="E370" s="55" t="s">
        <v>22</v>
      </c>
      <c r="F370" s="4" t="s">
        <v>71</v>
      </c>
      <c r="G370" s="4" t="s">
        <v>125</v>
      </c>
      <c r="H370" s="4" t="s">
        <v>2240</v>
      </c>
      <c r="I370" s="4" t="s">
        <v>2255</v>
      </c>
      <c r="J370" s="55">
        <v>1000</v>
      </c>
      <c r="K370" s="55">
        <v>1000</v>
      </c>
      <c r="L370" s="65">
        <v>45970</v>
      </c>
      <c r="M370" s="66">
        <v>1000</v>
      </c>
      <c r="N370" s="65">
        <v>45970</v>
      </c>
      <c r="O370" s="66">
        <v>1000</v>
      </c>
      <c r="P370" s="39"/>
      <c r="Q370" s="57"/>
      <c r="R370" s="39"/>
      <c r="S370" s="57"/>
      <c r="T370" s="65"/>
      <c r="U370" s="66"/>
      <c r="V370" s="65"/>
      <c r="W370" s="66"/>
      <c r="X370" s="39"/>
      <c r="Y370" s="57"/>
      <c r="Z370" s="39"/>
      <c r="AA370" s="57"/>
      <c r="AB370" s="65"/>
      <c r="AC370" s="66"/>
      <c r="AD370" s="65"/>
      <c r="AE370" s="66"/>
      <c r="AF370" s="39"/>
      <c r="AG370" s="57"/>
      <c r="AH370" s="39"/>
      <c r="AI370" s="57"/>
    </row>
    <row r="371" spans="1:35" ht="19.5" customHeight="1" x14ac:dyDescent="0.3">
      <c r="A371" s="4">
        <v>2305019</v>
      </c>
      <c r="B371" s="110" t="s">
        <v>1787</v>
      </c>
      <c r="C371" s="55">
        <v>60000</v>
      </c>
      <c r="D371" s="55">
        <v>0</v>
      </c>
      <c r="E371" s="55" t="s">
        <v>20</v>
      </c>
      <c r="F371" s="4" t="s">
        <v>71</v>
      </c>
      <c r="G371" s="4" t="s">
        <v>125</v>
      </c>
      <c r="H371" s="4" t="s">
        <v>2240</v>
      </c>
      <c r="I371" s="4" t="s">
        <v>2255</v>
      </c>
      <c r="J371" s="55">
        <v>1000</v>
      </c>
      <c r="K371" s="55">
        <v>1000</v>
      </c>
      <c r="L371" s="65">
        <v>45960</v>
      </c>
      <c r="M371" s="66">
        <v>1000</v>
      </c>
      <c r="N371" s="65">
        <v>45960</v>
      </c>
      <c r="O371" s="66">
        <v>1000</v>
      </c>
      <c r="P371" s="39"/>
      <c r="Q371" s="57"/>
      <c r="R371" s="39"/>
      <c r="S371" s="57"/>
      <c r="T371" s="65"/>
      <c r="U371" s="66"/>
      <c r="V371" s="65"/>
      <c r="W371" s="66"/>
      <c r="X371" s="39"/>
      <c r="Y371" s="57"/>
      <c r="Z371" s="39"/>
      <c r="AA371" s="57"/>
      <c r="AB371" s="65"/>
      <c r="AC371" s="66"/>
      <c r="AD371" s="65"/>
      <c r="AE371" s="66"/>
      <c r="AF371" s="39"/>
      <c r="AG371" s="57"/>
      <c r="AH371" s="39"/>
      <c r="AI371" s="57"/>
    </row>
    <row r="372" spans="1:35" ht="19.5" customHeight="1" x14ac:dyDescent="0.3">
      <c r="A372" s="4" t="e">
        <v>#REF!</v>
      </c>
      <c r="B372" s="110" t="e">
        <v>#REF!</v>
      </c>
      <c r="C372" s="55" t="e">
        <v>#REF!</v>
      </c>
      <c r="D372" s="55" t="e">
        <v>#REF!</v>
      </c>
      <c r="E372" s="55" t="e">
        <v>#REF!</v>
      </c>
      <c r="F372" s="4" t="e">
        <v>#REF!</v>
      </c>
      <c r="G372" s="4" t="e">
        <v>#REF!</v>
      </c>
      <c r="H372" s="4" t="e">
        <v>#REF!</v>
      </c>
      <c r="I372" s="4" t="e">
        <v>#REF!</v>
      </c>
      <c r="J372" s="55">
        <v>5000</v>
      </c>
      <c r="K372" s="55">
        <v>5000</v>
      </c>
      <c r="L372" s="65">
        <v>46204</v>
      </c>
      <c r="M372" s="66">
        <v>5000</v>
      </c>
      <c r="N372" s="65">
        <v>46205</v>
      </c>
      <c r="O372" s="66">
        <v>5000</v>
      </c>
      <c r="P372" s="39"/>
      <c r="Q372" s="57"/>
      <c r="R372" s="39"/>
      <c r="S372" s="57"/>
      <c r="T372" s="65"/>
      <c r="U372" s="66"/>
      <c r="V372" s="65"/>
      <c r="W372" s="66"/>
      <c r="X372" s="39"/>
      <c r="Y372" s="57"/>
      <c r="Z372" s="39"/>
      <c r="AA372" s="57"/>
      <c r="AB372" s="65"/>
      <c r="AC372" s="66"/>
      <c r="AD372" s="65"/>
      <c r="AE372" s="66"/>
      <c r="AF372" s="39"/>
      <c r="AG372" s="57"/>
      <c r="AH372" s="39"/>
      <c r="AI372" s="57"/>
    </row>
    <row r="373" spans="1:35" ht="19.5" customHeight="1" x14ac:dyDescent="0.3">
      <c r="A373" s="4" t="e">
        <v>#REF!</v>
      </c>
      <c r="B373" s="110" t="e">
        <v>#REF!</v>
      </c>
      <c r="C373" s="55" t="e">
        <v>#REF!</v>
      </c>
      <c r="D373" s="55" t="e">
        <v>#REF!</v>
      </c>
      <c r="E373" s="55" t="e">
        <v>#REF!</v>
      </c>
      <c r="F373" s="4" t="e">
        <v>#REF!</v>
      </c>
      <c r="G373" s="4" t="e">
        <v>#REF!</v>
      </c>
      <c r="H373" s="4" t="e">
        <v>#REF!</v>
      </c>
      <c r="I373" s="4" t="e">
        <v>#REF!</v>
      </c>
      <c r="J373" s="55">
        <v>500000</v>
      </c>
      <c r="K373" s="55">
        <v>500000</v>
      </c>
      <c r="L373" s="65">
        <v>46204</v>
      </c>
      <c r="M373" s="66">
        <v>500000</v>
      </c>
      <c r="N373" s="65">
        <v>46205</v>
      </c>
      <c r="O373" s="66">
        <v>500000</v>
      </c>
      <c r="P373" s="39"/>
      <c r="Q373" s="57"/>
      <c r="R373" s="39"/>
      <c r="S373" s="57"/>
      <c r="T373" s="65"/>
      <c r="U373" s="66"/>
      <c r="V373" s="65"/>
      <c r="W373" s="66"/>
      <c r="X373" s="39"/>
      <c r="Y373" s="57"/>
      <c r="Z373" s="39"/>
      <c r="AA373" s="57"/>
      <c r="AB373" s="65"/>
      <c r="AC373" s="66"/>
      <c r="AD373" s="65"/>
      <c r="AE373" s="66"/>
      <c r="AF373" s="39"/>
      <c r="AG373" s="57"/>
      <c r="AH373" s="39"/>
      <c r="AI373" s="57"/>
    </row>
    <row r="374" spans="1:35" ht="19.5" customHeight="1" x14ac:dyDescent="0.3">
      <c r="A374" s="4" t="e">
        <v>#REF!</v>
      </c>
      <c r="B374" s="110" t="e">
        <v>#REF!</v>
      </c>
      <c r="C374" s="55" t="e">
        <v>#REF!</v>
      </c>
      <c r="D374" s="55" t="e">
        <v>#REF!</v>
      </c>
      <c r="E374" s="55" t="e">
        <v>#REF!</v>
      </c>
      <c r="F374" s="4" t="e">
        <v>#REF!</v>
      </c>
      <c r="G374" s="4" t="e">
        <v>#REF!</v>
      </c>
      <c r="H374" s="4" t="e">
        <v>#REF!</v>
      </c>
      <c r="I374" s="4" t="e">
        <v>#REF!</v>
      </c>
      <c r="J374" s="55">
        <v>50000</v>
      </c>
      <c r="K374" s="55">
        <v>50000</v>
      </c>
      <c r="L374" s="65">
        <v>46204</v>
      </c>
      <c r="M374" s="66">
        <v>50000</v>
      </c>
      <c r="N374" s="65">
        <v>46205</v>
      </c>
      <c r="O374" s="66">
        <v>50000</v>
      </c>
      <c r="P374" s="39"/>
      <c r="Q374" s="57"/>
      <c r="R374" s="39"/>
      <c r="S374" s="57"/>
      <c r="T374" s="65"/>
      <c r="U374" s="66"/>
      <c r="V374" s="65"/>
      <c r="W374" s="66"/>
      <c r="X374" s="39"/>
      <c r="Y374" s="57"/>
      <c r="Z374" s="39"/>
      <c r="AA374" s="57"/>
      <c r="AB374" s="65"/>
      <c r="AC374" s="66"/>
      <c r="AD374" s="65"/>
      <c r="AE374" s="66"/>
      <c r="AF374" s="39"/>
      <c r="AG374" s="57"/>
      <c r="AH374" s="39"/>
      <c r="AI374" s="57"/>
    </row>
    <row r="375" spans="1:35" ht="19.5" customHeight="1" x14ac:dyDescent="0.3">
      <c r="A375" s="4" t="e">
        <v>#REF!</v>
      </c>
      <c r="B375" s="110" t="e">
        <v>#REF!</v>
      </c>
      <c r="C375" s="55" t="e">
        <v>#REF!</v>
      </c>
      <c r="D375" s="55" t="e">
        <v>#REF!</v>
      </c>
      <c r="E375" s="55" t="e">
        <v>#REF!</v>
      </c>
      <c r="F375" s="4" t="e">
        <v>#REF!</v>
      </c>
      <c r="G375" s="4" t="e">
        <v>#REF!</v>
      </c>
      <c r="H375" s="4" t="e">
        <v>#REF!</v>
      </c>
      <c r="I375" s="4" t="e">
        <v>#REF!</v>
      </c>
      <c r="J375" s="55">
        <v>0</v>
      </c>
      <c r="K375" s="55">
        <v>0</v>
      </c>
      <c r="L375" s="65"/>
      <c r="M375" s="66"/>
      <c r="N375" s="65"/>
      <c r="O375" s="66"/>
      <c r="P375" s="39"/>
      <c r="Q375" s="57"/>
      <c r="R375" s="39"/>
      <c r="S375" s="57"/>
      <c r="T375" s="65"/>
      <c r="U375" s="66"/>
      <c r="V375" s="65"/>
      <c r="W375" s="66"/>
      <c r="X375" s="39"/>
      <c r="Y375" s="57"/>
      <c r="Z375" s="39"/>
      <c r="AA375" s="57"/>
      <c r="AB375" s="65"/>
      <c r="AC375" s="66"/>
      <c r="AD375" s="65"/>
      <c r="AE375" s="66"/>
      <c r="AF375" s="39"/>
      <c r="AG375" s="57"/>
      <c r="AH375" s="39"/>
      <c r="AI375" s="57"/>
    </row>
    <row r="376" spans="1:35" ht="19.5" customHeight="1" x14ac:dyDescent="0.3">
      <c r="A376" s="4" t="e">
        <v>#REF!</v>
      </c>
      <c r="B376" s="110" t="e">
        <v>#REF!</v>
      </c>
      <c r="C376" s="55" t="e">
        <v>#REF!</v>
      </c>
      <c r="D376" s="55" t="e">
        <v>#REF!</v>
      </c>
      <c r="E376" s="55" t="e">
        <v>#REF!</v>
      </c>
      <c r="F376" s="4" t="e">
        <v>#REF!</v>
      </c>
      <c r="G376" s="4" t="e">
        <v>#REF!</v>
      </c>
      <c r="H376" s="4" t="e">
        <v>#REF!</v>
      </c>
      <c r="I376" s="4" t="e">
        <v>#REF!</v>
      </c>
      <c r="J376" s="55">
        <v>0</v>
      </c>
      <c r="K376" s="55">
        <v>0</v>
      </c>
      <c r="L376" s="65"/>
      <c r="M376" s="66"/>
      <c r="N376" s="65"/>
      <c r="O376" s="66"/>
      <c r="P376" s="39"/>
      <c r="Q376" s="57"/>
      <c r="R376" s="39"/>
      <c r="S376" s="57"/>
      <c r="T376" s="65"/>
      <c r="U376" s="66"/>
      <c r="V376" s="65"/>
      <c r="W376" s="66"/>
      <c r="X376" s="39"/>
      <c r="Y376" s="57"/>
      <c r="Z376" s="39"/>
      <c r="AA376" s="57"/>
      <c r="AB376" s="65"/>
      <c r="AC376" s="66"/>
      <c r="AD376" s="65"/>
      <c r="AE376" s="66"/>
      <c r="AF376" s="39"/>
      <c r="AG376" s="57"/>
      <c r="AH376" s="39"/>
      <c r="AI376" s="57"/>
    </row>
    <row r="377" spans="1:35" ht="19.5" customHeight="1" x14ac:dyDescent="0.3">
      <c r="A377" s="4" t="e">
        <v>#REF!</v>
      </c>
      <c r="B377" s="110" t="e">
        <v>#REF!</v>
      </c>
      <c r="C377" s="55" t="e">
        <v>#REF!</v>
      </c>
      <c r="D377" s="55" t="e">
        <v>#REF!</v>
      </c>
      <c r="E377" s="55" t="e">
        <v>#REF!</v>
      </c>
      <c r="F377" s="4" t="e">
        <v>#REF!</v>
      </c>
      <c r="G377" s="4" t="e">
        <v>#REF!</v>
      </c>
      <c r="H377" s="4" t="e">
        <v>#REF!</v>
      </c>
      <c r="I377" s="4" t="e">
        <v>#REF!</v>
      </c>
      <c r="J377" s="55">
        <v>0</v>
      </c>
      <c r="K377" s="55">
        <v>0</v>
      </c>
      <c r="L377" s="65"/>
      <c r="M377" s="66"/>
      <c r="N377" s="65"/>
      <c r="O377" s="66"/>
      <c r="P377" s="39"/>
      <c r="Q377" s="57"/>
      <c r="R377" s="39"/>
      <c r="S377" s="57"/>
      <c r="T377" s="65"/>
      <c r="U377" s="66"/>
      <c r="V377" s="65"/>
      <c r="W377" s="66"/>
      <c r="X377" s="39"/>
      <c r="Y377" s="57"/>
      <c r="Z377" s="39"/>
      <c r="AA377" s="57"/>
      <c r="AB377" s="65"/>
      <c r="AC377" s="66"/>
      <c r="AD377" s="65"/>
      <c r="AE377" s="66"/>
      <c r="AF377" s="39"/>
      <c r="AG377" s="57"/>
      <c r="AH377" s="39"/>
      <c r="AI377" s="57"/>
    </row>
    <row r="378" spans="1:35" ht="19.5" customHeight="1" x14ac:dyDescent="0.3">
      <c r="A378" s="4" t="e">
        <v>#REF!</v>
      </c>
      <c r="B378" s="110" t="e">
        <v>#REF!</v>
      </c>
      <c r="C378" s="55" t="e">
        <v>#REF!</v>
      </c>
      <c r="D378" s="55" t="e">
        <v>#REF!</v>
      </c>
      <c r="E378" s="55" t="e">
        <v>#REF!</v>
      </c>
      <c r="F378" s="4" t="e">
        <v>#REF!</v>
      </c>
      <c r="G378" s="4" t="e">
        <v>#REF!</v>
      </c>
      <c r="H378" s="4" t="e">
        <v>#REF!</v>
      </c>
      <c r="I378" s="4" t="e">
        <v>#REF!</v>
      </c>
      <c r="J378" s="55">
        <v>0</v>
      </c>
      <c r="K378" s="55">
        <v>0</v>
      </c>
      <c r="L378" s="65"/>
      <c r="M378" s="66"/>
      <c r="N378" s="65"/>
      <c r="O378" s="66"/>
      <c r="P378" s="39"/>
      <c r="Q378" s="57"/>
      <c r="R378" s="39"/>
      <c r="S378" s="57"/>
      <c r="T378" s="65"/>
      <c r="U378" s="66"/>
      <c r="V378" s="65"/>
      <c r="W378" s="66"/>
      <c r="X378" s="39"/>
      <c r="Y378" s="57"/>
      <c r="Z378" s="39"/>
      <c r="AA378" s="57"/>
      <c r="AB378" s="65"/>
      <c r="AC378" s="66"/>
      <c r="AD378" s="65"/>
      <c r="AE378" s="66"/>
      <c r="AF378" s="39"/>
      <c r="AG378" s="57"/>
      <c r="AH378" s="39"/>
      <c r="AI378" s="57"/>
    </row>
    <row r="379" spans="1:35" ht="19.5" customHeight="1" x14ac:dyDescent="0.3">
      <c r="A379" s="4" t="e">
        <v>#REF!</v>
      </c>
      <c r="B379" s="110" t="e">
        <v>#REF!</v>
      </c>
      <c r="C379" s="55" t="e">
        <v>#REF!</v>
      </c>
      <c r="D379" s="55" t="e">
        <v>#REF!</v>
      </c>
      <c r="E379" s="55" t="e">
        <v>#REF!</v>
      </c>
      <c r="F379" s="4" t="e">
        <v>#REF!</v>
      </c>
      <c r="G379" s="4" t="e">
        <v>#REF!</v>
      </c>
      <c r="H379" s="4" t="e">
        <v>#REF!</v>
      </c>
      <c r="I379" s="4" t="e">
        <v>#REF!</v>
      </c>
      <c r="J379" s="55">
        <v>0</v>
      </c>
      <c r="K379" s="55">
        <v>0</v>
      </c>
      <c r="L379" s="65"/>
      <c r="M379" s="66"/>
      <c r="N379" s="65"/>
      <c r="O379" s="66"/>
      <c r="P379" s="39"/>
      <c r="Q379" s="57"/>
      <c r="R379" s="4"/>
      <c r="S379" s="57"/>
      <c r="T379" s="65"/>
      <c r="U379" s="66"/>
      <c r="V379" s="65"/>
      <c r="W379" s="66"/>
      <c r="X379" s="39"/>
      <c r="Y379" s="57"/>
      <c r="Z379" s="39"/>
      <c r="AA379" s="57"/>
      <c r="AB379" s="65"/>
      <c r="AC379" s="66"/>
      <c r="AD379" s="65"/>
      <c r="AE379" s="66"/>
      <c r="AF379" s="39"/>
      <c r="AG379" s="57"/>
      <c r="AH379" s="39"/>
      <c r="AI379" s="57"/>
    </row>
    <row r="380" spans="1:35" ht="19.5" customHeight="1" x14ac:dyDescent="0.3">
      <c r="A380" s="4" t="e">
        <v>#REF!</v>
      </c>
      <c r="B380" s="110" t="e">
        <v>#REF!</v>
      </c>
      <c r="C380" s="55" t="e">
        <v>#REF!</v>
      </c>
      <c r="D380" s="55" t="e">
        <v>#REF!</v>
      </c>
      <c r="E380" s="55" t="e">
        <v>#REF!</v>
      </c>
      <c r="F380" s="4" t="e">
        <v>#REF!</v>
      </c>
      <c r="G380" s="4" t="e">
        <v>#REF!</v>
      </c>
      <c r="H380" s="4" t="e">
        <v>#REF!</v>
      </c>
      <c r="I380" s="4" t="e">
        <v>#REF!</v>
      </c>
      <c r="J380" s="55">
        <v>0</v>
      </c>
      <c r="K380" s="55">
        <v>0</v>
      </c>
      <c r="L380" s="65"/>
      <c r="M380" s="66"/>
      <c r="N380" s="65"/>
      <c r="O380" s="66"/>
      <c r="P380" s="39"/>
      <c r="Q380" s="57"/>
      <c r="R380" s="4"/>
      <c r="S380" s="57"/>
      <c r="T380" s="65"/>
      <c r="U380" s="66"/>
      <c r="V380" s="65"/>
      <c r="W380" s="66"/>
      <c r="X380" s="39"/>
      <c r="Y380" s="57"/>
      <c r="Z380" s="39"/>
      <c r="AA380" s="57"/>
      <c r="AB380" s="65"/>
      <c r="AC380" s="66"/>
      <c r="AD380" s="65"/>
      <c r="AE380" s="66"/>
      <c r="AF380" s="39"/>
      <c r="AG380" s="57"/>
      <c r="AH380" s="39"/>
      <c r="AI380" s="57"/>
    </row>
    <row r="381" spans="1:35" ht="19.5" customHeight="1" x14ac:dyDescent="0.3">
      <c r="A381" s="4" t="e">
        <v>#REF!</v>
      </c>
      <c r="B381" s="110" t="e">
        <v>#REF!</v>
      </c>
      <c r="C381" s="55" t="e">
        <v>#REF!</v>
      </c>
      <c r="D381" s="55" t="e">
        <v>#REF!</v>
      </c>
      <c r="E381" s="55" t="e">
        <v>#REF!</v>
      </c>
      <c r="F381" s="4" t="e">
        <v>#REF!</v>
      </c>
      <c r="G381" s="4" t="e">
        <v>#REF!</v>
      </c>
      <c r="H381" s="4" t="e">
        <v>#REF!</v>
      </c>
      <c r="I381" s="4" t="e">
        <v>#REF!</v>
      </c>
      <c r="J381" s="55">
        <v>0</v>
      </c>
      <c r="K381" s="55">
        <v>0</v>
      </c>
      <c r="L381" s="65"/>
      <c r="M381" s="66"/>
      <c r="N381" s="65"/>
      <c r="O381" s="66"/>
      <c r="P381" s="39"/>
      <c r="Q381" s="57"/>
      <c r="R381" s="4"/>
      <c r="S381" s="57"/>
      <c r="T381" s="65"/>
      <c r="U381" s="66"/>
      <c r="V381" s="65"/>
      <c r="W381" s="66"/>
      <c r="X381" s="39"/>
      <c r="Y381" s="57"/>
      <c r="Z381" s="39"/>
      <c r="AA381" s="57"/>
      <c r="AB381" s="65"/>
      <c r="AC381" s="66"/>
      <c r="AD381" s="65"/>
      <c r="AE381" s="66"/>
      <c r="AF381" s="39"/>
      <c r="AG381" s="57"/>
      <c r="AH381" s="39"/>
      <c r="AI381" s="57"/>
    </row>
    <row r="382" spans="1:35" ht="19.5" customHeight="1" x14ac:dyDescent="0.3">
      <c r="A382" s="4" t="e">
        <v>#REF!</v>
      </c>
      <c r="B382" s="110" t="e">
        <v>#REF!</v>
      </c>
      <c r="C382" s="55" t="e">
        <v>#REF!</v>
      </c>
      <c r="D382" s="55" t="e">
        <v>#REF!</v>
      </c>
      <c r="E382" s="55" t="e">
        <v>#REF!</v>
      </c>
      <c r="F382" s="4" t="e">
        <v>#REF!</v>
      </c>
      <c r="G382" s="4" t="e">
        <v>#REF!</v>
      </c>
      <c r="H382" s="4" t="e">
        <v>#REF!</v>
      </c>
      <c r="I382" s="4" t="e">
        <v>#REF!</v>
      </c>
      <c r="J382" s="55">
        <v>0</v>
      </c>
      <c r="K382" s="55">
        <v>0</v>
      </c>
      <c r="L382" s="65"/>
      <c r="M382" s="66"/>
      <c r="N382" s="65"/>
      <c r="O382" s="66"/>
      <c r="P382" s="39"/>
      <c r="Q382" s="57"/>
      <c r="R382" s="4"/>
      <c r="S382" s="57"/>
      <c r="T382" s="65"/>
      <c r="U382" s="66"/>
      <c r="V382" s="65"/>
      <c r="W382" s="66"/>
      <c r="X382" s="39"/>
      <c r="Y382" s="57"/>
      <c r="Z382" s="39"/>
      <c r="AA382" s="57"/>
      <c r="AB382" s="65"/>
      <c r="AC382" s="66"/>
      <c r="AD382" s="65"/>
      <c r="AE382" s="66"/>
      <c r="AF382" s="39"/>
      <c r="AG382" s="57"/>
      <c r="AH382" s="39"/>
      <c r="AI382" s="57"/>
    </row>
    <row r="383" spans="1:35" ht="19.5" customHeight="1" x14ac:dyDescent="0.3">
      <c r="A383" s="4" t="e">
        <v>#REF!</v>
      </c>
      <c r="B383" s="110" t="e">
        <v>#REF!</v>
      </c>
      <c r="C383" s="55" t="e">
        <v>#REF!</v>
      </c>
      <c r="D383" s="55" t="e">
        <v>#REF!</v>
      </c>
      <c r="E383" s="55" t="e">
        <v>#REF!</v>
      </c>
      <c r="F383" s="4" t="e">
        <v>#REF!</v>
      </c>
      <c r="G383" s="4" t="e">
        <v>#REF!</v>
      </c>
      <c r="H383" s="4" t="e">
        <v>#REF!</v>
      </c>
      <c r="I383" s="4" t="e">
        <v>#REF!</v>
      </c>
      <c r="J383" s="55">
        <v>0</v>
      </c>
      <c r="K383" s="55">
        <v>0</v>
      </c>
      <c r="L383" s="65"/>
      <c r="M383" s="66"/>
      <c r="N383" s="65"/>
      <c r="O383" s="66"/>
      <c r="P383" s="39"/>
      <c r="Q383" s="57"/>
      <c r="R383" s="4"/>
      <c r="S383" s="57"/>
      <c r="T383" s="65"/>
      <c r="U383" s="66"/>
      <c r="V383" s="65"/>
      <c r="W383" s="66"/>
      <c r="X383" s="39"/>
      <c r="Y383" s="57"/>
      <c r="Z383" s="39"/>
      <c r="AA383" s="57"/>
      <c r="AB383" s="65"/>
      <c r="AC383" s="66"/>
      <c r="AD383" s="65"/>
      <c r="AE383" s="66"/>
      <c r="AF383" s="39"/>
      <c r="AG383" s="57"/>
      <c r="AH383" s="39"/>
      <c r="AI383" s="57"/>
    </row>
    <row r="384" spans="1:35" ht="19.5" customHeight="1" x14ac:dyDescent="0.3">
      <c r="A384" s="4" t="e">
        <v>#REF!</v>
      </c>
      <c r="B384" s="110" t="e">
        <v>#REF!</v>
      </c>
      <c r="C384" s="55" t="e">
        <v>#REF!</v>
      </c>
      <c r="D384" s="55" t="e">
        <v>#REF!</v>
      </c>
      <c r="E384" s="55" t="e">
        <v>#REF!</v>
      </c>
      <c r="F384" s="4" t="e">
        <v>#REF!</v>
      </c>
      <c r="G384" s="4" t="e">
        <v>#REF!</v>
      </c>
      <c r="H384" s="4" t="e">
        <v>#REF!</v>
      </c>
      <c r="I384" s="4" t="e">
        <v>#REF!</v>
      </c>
      <c r="J384" s="55">
        <v>0</v>
      </c>
      <c r="K384" s="55">
        <v>0</v>
      </c>
      <c r="L384" s="65"/>
      <c r="M384" s="66"/>
      <c r="N384" s="65"/>
      <c r="O384" s="66"/>
      <c r="P384" s="39"/>
      <c r="Q384" s="57"/>
      <c r="R384" s="4"/>
      <c r="S384" s="57"/>
      <c r="T384" s="65"/>
      <c r="U384" s="66"/>
      <c r="V384" s="65"/>
      <c r="W384" s="66"/>
      <c r="X384" s="39"/>
      <c r="Y384" s="57"/>
      <c r="Z384" s="39"/>
      <c r="AA384" s="57"/>
      <c r="AB384" s="65"/>
      <c r="AC384" s="66"/>
      <c r="AD384" s="65"/>
      <c r="AE384" s="66"/>
      <c r="AF384" s="39"/>
      <c r="AG384" s="57"/>
      <c r="AH384" s="39"/>
      <c r="AI384" s="57"/>
    </row>
    <row r="385" spans="1:35" ht="19.5" customHeight="1" x14ac:dyDescent="0.3">
      <c r="A385" s="4" t="e">
        <v>#REF!</v>
      </c>
      <c r="B385" s="110" t="e">
        <v>#REF!</v>
      </c>
      <c r="C385" s="55" t="e">
        <v>#REF!</v>
      </c>
      <c r="D385" s="55" t="e">
        <v>#REF!</v>
      </c>
      <c r="E385" s="55" t="e">
        <v>#REF!</v>
      </c>
      <c r="F385" s="4" t="e">
        <v>#REF!</v>
      </c>
      <c r="G385" s="4" t="e">
        <v>#REF!</v>
      </c>
      <c r="H385" s="4" t="e">
        <v>#REF!</v>
      </c>
      <c r="I385" s="4" t="e">
        <v>#REF!</v>
      </c>
      <c r="J385" s="55">
        <v>0</v>
      </c>
      <c r="K385" s="55">
        <v>0</v>
      </c>
      <c r="L385" s="65"/>
      <c r="M385" s="66"/>
      <c r="N385" s="65"/>
      <c r="O385" s="66"/>
      <c r="P385" s="39"/>
      <c r="Q385" s="57"/>
      <c r="R385" s="4"/>
      <c r="S385" s="57"/>
      <c r="T385" s="65"/>
      <c r="U385" s="66"/>
      <c r="V385" s="65"/>
      <c r="W385" s="66"/>
      <c r="X385" s="39"/>
      <c r="Y385" s="57"/>
      <c r="Z385" s="39"/>
      <c r="AA385" s="57"/>
      <c r="AB385" s="65"/>
      <c r="AC385" s="66"/>
      <c r="AD385" s="65"/>
      <c r="AE385" s="66"/>
      <c r="AF385" s="39"/>
      <c r="AG385" s="57"/>
      <c r="AH385" s="39"/>
      <c r="AI385" s="57"/>
    </row>
    <row r="386" spans="1:35" ht="19.5" customHeight="1" x14ac:dyDescent="0.3">
      <c r="A386" s="4" t="e">
        <v>#REF!</v>
      </c>
      <c r="B386" s="110" t="e">
        <v>#REF!</v>
      </c>
      <c r="C386" s="55" t="e">
        <v>#REF!</v>
      </c>
      <c r="D386" s="55" t="e">
        <v>#REF!</v>
      </c>
      <c r="E386" s="55" t="e">
        <v>#REF!</v>
      </c>
      <c r="F386" s="4" t="e">
        <v>#REF!</v>
      </c>
      <c r="G386" s="4" t="e">
        <v>#REF!</v>
      </c>
      <c r="H386" s="4" t="e">
        <v>#REF!</v>
      </c>
      <c r="I386" s="4" t="e">
        <v>#REF!</v>
      </c>
      <c r="J386" s="55">
        <v>0</v>
      </c>
      <c r="K386" s="55">
        <v>0</v>
      </c>
      <c r="L386" s="65"/>
      <c r="M386" s="66"/>
      <c r="N386" s="65"/>
      <c r="O386" s="66"/>
      <c r="P386" s="39"/>
      <c r="Q386" s="57"/>
      <c r="R386" s="4"/>
      <c r="S386" s="57"/>
      <c r="T386" s="65"/>
      <c r="U386" s="66"/>
      <c r="V386" s="65"/>
      <c r="W386" s="66"/>
      <c r="X386" s="39"/>
      <c r="Y386" s="57"/>
      <c r="Z386" s="39"/>
      <c r="AA386" s="57"/>
      <c r="AB386" s="65"/>
      <c r="AC386" s="66"/>
      <c r="AD386" s="65"/>
      <c r="AE386" s="66"/>
      <c r="AF386" s="39"/>
      <c r="AG386" s="57"/>
      <c r="AH386" s="39"/>
      <c r="AI386" s="57"/>
    </row>
    <row r="387" spans="1:35" ht="19.5" customHeight="1" x14ac:dyDescent="0.3">
      <c r="A387" s="4" t="e">
        <v>#REF!</v>
      </c>
      <c r="B387" s="110" t="e">
        <v>#REF!</v>
      </c>
      <c r="C387" s="55" t="e">
        <v>#REF!</v>
      </c>
      <c r="D387" s="55" t="e">
        <v>#REF!</v>
      </c>
      <c r="E387" s="55" t="e">
        <v>#REF!</v>
      </c>
      <c r="F387" s="4" t="e">
        <v>#REF!</v>
      </c>
      <c r="G387" s="4" t="e">
        <v>#REF!</v>
      </c>
      <c r="H387" s="4" t="e">
        <v>#REF!</v>
      </c>
      <c r="I387" s="4" t="e">
        <v>#REF!</v>
      </c>
      <c r="J387" s="55">
        <v>0</v>
      </c>
      <c r="K387" s="55">
        <v>0</v>
      </c>
      <c r="L387" s="65"/>
      <c r="M387" s="66"/>
      <c r="N387" s="65"/>
      <c r="O387" s="66"/>
      <c r="P387" s="39"/>
      <c r="Q387" s="57"/>
      <c r="R387" s="4"/>
      <c r="S387" s="57"/>
      <c r="T387" s="65"/>
      <c r="U387" s="66"/>
      <c r="V387" s="65"/>
      <c r="W387" s="66"/>
      <c r="X387" s="39"/>
      <c r="Y387" s="57"/>
      <c r="Z387" s="39"/>
      <c r="AA387" s="57"/>
      <c r="AB387" s="65"/>
      <c r="AC387" s="66"/>
      <c r="AD387" s="65"/>
      <c r="AE387" s="66"/>
      <c r="AF387" s="39"/>
      <c r="AG387" s="57"/>
      <c r="AH387" s="39"/>
      <c r="AI387" s="57"/>
    </row>
    <row r="388" spans="1:35" ht="19.5" customHeight="1" x14ac:dyDescent="0.3">
      <c r="A388" s="4" t="e">
        <v>#REF!</v>
      </c>
      <c r="B388" s="110" t="e">
        <v>#REF!</v>
      </c>
      <c r="C388" s="55" t="e">
        <v>#REF!</v>
      </c>
      <c r="D388" s="55" t="e">
        <v>#REF!</v>
      </c>
      <c r="E388" s="55" t="e">
        <v>#REF!</v>
      </c>
      <c r="F388" s="4" t="e">
        <v>#REF!</v>
      </c>
      <c r="G388" s="4" t="e">
        <v>#REF!</v>
      </c>
      <c r="H388" s="4" t="e">
        <v>#REF!</v>
      </c>
      <c r="I388" s="4" t="e">
        <v>#REF!</v>
      </c>
      <c r="J388" s="55">
        <v>0</v>
      </c>
      <c r="K388" s="55">
        <v>0</v>
      </c>
      <c r="L388" s="65"/>
      <c r="M388" s="66"/>
      <c r="N388" s="65"/>
      <c r="O388" s="66"/>
      <c r="P388" s="39"/>
      <c r="Q388" s="57"/>
      <c r="R388" s="4"/>
      <c r="S388" s="57"/>
      <c r="T388" s="65"/>
      <c r="U388" s="66"/>
      <c r="V388" s="65"/>
      <c r="W388" s="66"/>
      <c r="X388" s="39"/>
      <c r="Y388" s="57"/>
      <c r="Z388" s="39"/>
      <c r="AA388" s="57"/>
      <c r="AB388" s="65"/>
      <c r="AC388" s="66"/>
      <c r="AD388" s="65"/>
      <c r="AE388" s="66"/>
      <c r="AF388" s="39"/>
      <c r="AG388" s="57"/>
      <c r="AH388" s="39"/>
      <c r="AI388" s="57"/>
    </row>
    <row r="389" spans="1:35" ht="19.5" customHeight="1" x14ac:dyDescent="0.3">
      <c r="A389" s="4" t="e">
        <v>#REF!</v>
      </c>
      <c r="B389" s="110" t="e">
        <v>#REF!</v>
      </c>
      <c r="C389" s="55" t="e">
        <v>#REF!</v>
      </c>
      <c r="D389" s="55" t="e">
        <v>#REF!</v>
      </c>
      <c r="E389" s="55" t="e">
        <v>#REF!</v>
      </c>
      <c r="F389" s="4" t="e">
        <v>#REF!</v>
      </c>
      <c r="G389" s="4" t="e">
        <v>#REF!</v>
      </c>
      <c r="H389" s="4" t="e">
        <v>#REF!</v>
      </c>
      <c r="I389" s="4" t="e">
        <v>#REF!</v>
      </c>
      <c r="J389" s="55">
        <v>0</v>
      </c>
      <c r="K389" s="55">
        <v>0</v>
      </c>
      <c r="L389" s="65"/>
      <c r="M389" s="66"/>
      <c r="N389" s="65"/>
      <c r="O389" s="66"/>
      <c r="P389" s="39"/>
      <c r="Q389" s="57"/>
      <c r="R389" s="4"/>
      <c r="S389" s="57"/>
      <c r="T389" s="65"/>
      <c r="U389" s="66"/>
      <c r="V389" s="65"/>
      <c r="W389" s="66"/>
      <c r="X389" s="39"/>
      <c r="Y389" s="57"/>
      <c r="Z389" s="39"/>
      <c r="AA389" s="57"/>
      <c r="AB389" s="65"/>
      <c r="AC389" s="66"/>
      <c r="AD389" s="65"/>
      <c r="AE389" s="66"/>
      <c r="AF389" s="39"/>
      <c r="AG389" s="57"/>
      <c r="AH389" s="39"/>
      <c r="AI389" s="57"/>
    </row>
    <row r="390" spans="1:35" ht="19.5" customHeight="1" x14ac:dyDescent="0.3">
      <c r="A390" s="4" t="e">
        <v>#REF!</v>
      </c>
      <c r="B390" s="110" t="e">
        <v>#REF!</v>
      </c>
      <c r="C390" s="55" t="e">
        <v>#REF!</v>
      </c>
      <c r="D390" s="55" t="e">
        <v>#REF!</v>
      </c>
      <c r="E390" s="55" t="e">
        <v>#REF!</v>
      </c>
      <c r="F390" s="4" t="e">
        <v>#REF!</v>
      </c>
      <c r="G390" s="4" t="e">
        <v>#REF!</v>
      </c>
      <c r="H390" s="4" t="e">
        <v>#REF!</v>
      </c>
      <c r="I390" s="4" t="e">
        <v>#REF!</v>
      </c>
      <c r="J390" s="55">
        <v>0</v>
      </c>
      <c r="K390" s="55">
        <v>0</v>
      </c>
      <c r="L390" s="65"/>
      <c r="M390" s="66"/>
      <c r="N390" s="65"/>
      <c r="O390" s="66"/>
      <c r="P390" s="39"/>
      <c r="Q390" s="57"/>
      <c r="R390" s="4"/>
      <c r="S390" s="57"/>
      <c r="T390" s="65"/>
      <c r="U390" s="66"/>
      <c r="V390" s="65"/>
      <c r="W390" s="66"/>
      <c r="X390" s="39"/>
      <c r="Y390" s="57"/>
      <c r="Z390" s="39"/>
      <c r="AA390" s="57"/>
      <c r="AB390" s="65"/>
      <c r="AC390" s="66"/>
      <c r="AD390" s="65"/>
      <c r="AE390" s="66"/>
      <c r="AF390" s="39"/>
      <c r="AG390" s="57"/>
      <c r="AH390" s="39"/>
      <c r="AI390" s="57"/>
    </row>
    <row r="391" spans="1:35" ht="19.5" customHeight="1" x14ac:dyDescent="0.3">
      <c r="A391" s="4" t="e">
        <v>#REF!</v>
      </c>
      <c r="B391" s="110" t="e">
        <v>#REF!</v>
      </c>
      <c r="C391" s="55" t="e">
        <v>#REF!</v>
      </c>
      <c r="D391" s="55" t="e">
        <v>#REF!</v>
      </c>
      <c r="E391" s="55" t="e">
        <v>#REF!</v>
      </c>
      <c r="F391" s="4" t="e">
        <v>#REF!</v>
      </c>
      <c r="G391" s="4" t="e">
        <v>#REF!</v>
      </c>
      <c r="H391" s="4" t="e">
        <v>#REF!</v>
      </c>
      <c r="I391" s="4" t="e">
        <v>#REF!</v>
      </c>
      <c r="J391" s="55">
        <v>0</v>
      </c>
      <c r="K391" s="55">
        <v>0</v>
      </c>
      <c r="L391" s="65"/>
      <c r="M391" s="66"/>
      <c r="N391" s="65"/>
      <c r="O391" s="66"/>
      <c r="P391" s="39"/>
      <c r="Q391" s="57"/>
      <c r="R391" s="4"/>
      <c r="S391" s="57"/>
      <c r="T391" s="65"/>
      <c r="U391" s="66"/>
      <c r="V391" s="65"/>
      <c r="W391" s="66"/>
      <c r="X391" s="39"/>
      <c r="Y391" s="57"/>
      <c r="Z391" s="39"/>
      <c r="AA391" s="57"/>
      <c r="AB391" s="65"/>
      <c r="AC391" s="66"/>
      <c r="AD391" s="65"/>
      <c r="AE391" s="66"/>
      <c r="AF391" s="39"/>
      <c r="AG391" s="57"/>
      <c r="AH391" s="39"/>
      <c r="AI391" s="57"/>
    </row>
    <row r="392" spans="1:35" ht="19.5" customHeight="1" x14ac:dyDescent="0.3">
      <c r="A392" s="4" t="e">
        <v>#REF!</v>
      </c>
      <c r="B392" s="110" t="e">
        <v>#REF!</v>
      </c>
      <c r="C392" s="55" t="e">
        <v>#REF!</v>
      </c>
      <c r="D392" s="55" t="e">
        <v>#REF!</v>
      </c>
      <c r="E392" s="55" t="e">
        <v>#REF!</v>
      </c>
      <c r="F392" s="4" t="e">
        <v>#REF!</v>
      </c>
      <c r="G392" s="4" t="e">
        <v>#REF!</v>
      </c>
      <c r="H392" s="4" t="e">
        <v>#REF!</v>
      </c>
      <c r="I392" s="4" t="e">
        <v>#REF!</v>
      </c>
      <c r="J392" s="55">
        <v>0</v>
      </c>
      <c r="K392" s="55">
        <v>0</v>
      </c>
      <c r="L392" s="65"/>
      <c r="M392" s="66"/>
      <c r="N392" s="65"/>
      <c r="O392" s="66"/>
      <c r="P392" s="39"/>
      <c r="Q392" s="57"/>
      <c r="R392" s="4"/>
      <c r="S392" s="57"/>
      <c r="T392" s="65"/>
      <c r="U392" s="66"/>
      <c r="V392" s="65"/>
      <c r="W392" s="66"/>
      <c r="X392" s="39"/>
      <c r="Y392" s="57"/>
      <c r="Z392" s="39"/>
      <c r="AA392" s="57"/>
      <c r="AB392" s="65"/>
      <c r="AC392" s="66"/>
      <c r="AD392" s="65"/>
      <c r="AE392" s="66"/>
      <c r="AF392" s="39"/>
      <c r="AG392" s="57"/>
      <c r="AH392" s="39"/>
      <c r="AI392" s="57"/>
    </row>
    <row r="393" spans="1:35" ht="19.5" customHeight="1" x14ac:dyDescent="0.3">
      <c r="A393" s="4" t="e">
        <v>#REF!</v>
      </c>
      <c r="B393" s="110" t="e">
        <v>#REF!</v>
      </c>
      <c r="C393" s="55" t="e">
        <v>#REF!</v>
      </c>
      <c r="D393" s="55" t="e">
        <v>#REF!</v>
      </c>
      <c r="E393" s="55" t="e">
        <v>#REF!</v>
      </c>
      <c r="F393" s="4" t="e">
        <v>#REF!</v>
      </c>
      <c r="G393" s="4" t="e">
        <v>#REF!</v>
      </c>
      <c r="H393" s="4" t="e">
        <v>#REF!</v>
      </c>
      <c r="I393" s="4" t="e">
        <v>#REF!</v>
      </c>
      <c r="J393" s="55">
        <v>0</v>
      </c>
      <c r="K393" s="55">
        <v>0</v>
      </c>
      <c r="L393" s="65"/>
      <c r="M393" s="66"/>
      <c r="N393" s="65"/>
      <c r="O393" s="66"/>
      <c r="P393" s="39"/>
      <c r="Q393" s="57"/>
      <c r="R393" s="4"/>
      <c r="S393" s="57"/>
      <c r="T393" s="65"/>
      <c r="U393" s="66"/>
      <c r="V393" s="65"/>
      <c r="W393" s="66"/>
      <c r="X393" s="39"/>
      <c r="Y393" s="57"/>
      <c r="Z393" s="39"/>
      <c r="AA393" s="57"/>
      <c r="AB393" s="65"/>
      <c r="AC393" s="66"/>
      <c r="AD393" s="65"/>
      <c r="AE393" s="66"/>
      <c r="AF393" s="39"/>
      <c r="AG393" s="57"/>
      <c r="AH393" s="39"/>
      <c r="AI393" s="57"/>
    </row>
    <row r="394" spans="1:35" ht="19.5" customHeight="1" x14ac:dyDescent="0.3">
      <c r="A394" s="4" t="e">
        <v>#REF!</v>
      </c>
      <c r="B394" s="110" t="e">
        <v>#REF!</v>
      </c>
      <c r="C394" s="55" t="e">
        <v>#REF!</v>
      </c>
      <c r="D394" s="55" t="e">
        <v>#REF!</v>
      </c>
      <c r="E394" s="55" t="e">
        <v>#REF!</v>
      </c>
      <c r="F394" s="4" t="e">
        <v>#REF!</v>
      </c>
      <c r="G394" s="4" t="e">
        <v>#REF!</v>
      </c>
      <c r="H394" s="4" t="e">
        <v>#REF!</v>
      </c>
      <c r="I394" s="4" t="e">
        <v>#REF!</v>
      </c>
      <c r="J394" s="55">
        <v>0</v>
      </c>
      <c r="K394" s="55">
        <v>0</v>
      </c>
      <c r="L394" s="65"/>
      <c r="M394" s="66"/>
      <c r="N394" s="65"/>
      <c r="O394" s="66"/>
      <c r="P394" s="39"/>
      <c r="Q394" s="57"/>
      <c r="R394" s="4"/>
      <c r="S394" s="57"/>
      <c r="T394" s="65"/>
      <c r="U394" s="66"/>
      <c r="V394" s="65"/>
      <c r="W394" s="66"/>
      <c r="X394" s="39"/>
      <c r="Y394" s="57"/>
      <c r="Z394" s="39"/>
      <c r="AA394" s="57"/>
      <c r="AB394" s="65"/>
      <c r="AC394" s="66"/>
      <c r="AD394" s="65"/>
      <c r="AE394" s="66"/>
      <c r="AF394" s="39"/>
      <c r="AG394" s="57"/>
      <c r="AH394" s="39"/>
      <c r="AI394" s="57"/>
    </row>
    <row r="395" spans="1:35" ht="19.5" customHeight="1" x14ac:dyDescent="0.3">
      <c r="A395" s="4" t="e">
        <v>#REF!</v>
      </c>
      <c r="B395" s="110" t="e">
        <v>#REF!</v>
      </c>
      <c r="C395" s="55" t="e">
        <v>#REF!</v>
      </c>
      <c r="D395" s="55" t="e">
        <v>#REF!</v>
      </c>
      <c r="E395" s="55" t="e">
        <v>#REF!</v>
      </c>
      <c r="F395" s="4" t="e">
        <v>#REF!</v>
      </c>
      <c r="G395" s="4" t="e">
        <v>#REF!</v>
      </c>
      <c r="H395" s="4" t="e">
        <v>#REF!</v>
      </c>
      <c r="I395" s="4" t="e">
        <v>#REF!</v>
      </c>
      <c r="J395" s="55">
        <v>0</v>
      </c>
      <c r="K395" s="55">
        <v>0</v>
      </c>
      <c r="L395" s="65"/>
      <c r="M395" s="66"/>
      <c r="N395" s="65"/>
      <c r="O395" s="66"/>
      <c r="P395" s="39"/>
      <c r="Q395" s="57"/>
      <c r="R395" s="4"/>
      <c r="S395" s="57"/>
      <c r="T395" s="65"/>
      <c r="U395" s="66"/>
      <c r="V395" s="65"/>
      <c r="W395" s="66"/>
      <c r="X395" s="39"/>
      <c r="Y395" s="57"/>
      <c r="Z395" s="39"/>
      <c r="AA395" s="57"/>
      <c r="AB395" s="65"/>
      <c r="AC395" s="66"/>
      <c r="AD395" s="65"/>
      <c r="AE395" s="66"/>
      <c r="AF395" s="39"/>
      <c r="AG395" s="57"/>
      <c r="AH395" s="39"/>
      <c r="AI395" s="57"/>
    </row>
    <row r="396" spans="1:35" ht="19.5" customHeight="1" x14ac:dyDescent="0.3">
      <c r="A396" s="4" t="e">
        <v>#REF!</v>
      </c>
      <c r="B396" s="110" t="e">
        <v>#REF!</v>
      </c>
      <c r="C396" s="55" t="e">
        <v>#REF!</v>
      </c>
      <c r="D396" s="55" t="e">
        <v>#REF!</v>
      </c>
      <c r="E396" s="55" t="e">
        <v>#REF!</v>
      </c>
      <c r="F396" s="4" t="e">
        <v>#REF!</v>
      </c>
      <c r="G396" s="4" t="e">
        <v>#REF!</v>
      </c>
      <c r="H396" s="4" t="e">
        <v>#REF!</v>
      </c>
      <c r="I396" s="4" t="e">
        <v>#REF!</v>
      </c>
      <c r="J396" s="55">
        <v>0</v>
      </c>
      <c r="K396" s="55">
        <v>0</v>
      </c>
      <c r="L396" s="65"/>
      <c r="M396" s="66"/>
      <c r="N396" s="65"/>
      <c r="O396" s="66"/>
      <c r="P396" s="39"/>
      <c r="Q396" s="57"/>
      <c r="R396" s="4"/>
      <c r="S396" s="57"/>
      <c r="T396" s="65"/>
      <c r="U396" s="66"/>
      <c r="V396" s="65"/>
      <c r="W396" s="66"/>
      <c r="X396" s="39"/>
      <c r="Y396" s="57"/>
      <c r="Z396" s="39"/>
      <c r="AA396" s="57"/>
      <c r="AB396" s="65"/>
      <c r="AC396" s="66"/>
      <c r="AD396" s="65"/>
      <c r="AE396" s="66"/>
      <c r="AF396" s="39"/>
      <c r="AG396" s="57"/>
      <c r="AH396" s="39"/>
      <c r="AI396" s="57"/>
    </row>
    <row r="397" spans="1:35" ht="19.5" customHeight="1" x14ac:dyDescent="0.3">
      <c r="A397" s="4" t="e">
        <v>#REF!</v>
      </c>
      <c r="B397" s="110" t="e">
        <v>#REF!</v>
      </c>
      <c r="C397" s="55" t="e">
        <v>#REF!</v>
      </c>
      <c r="D397" s="55" t="e">
        <v>#REF!</v>
      </c>
      <c r="E397" s="55" t="e">
        <v>#REF!</v>
      </c>
      <c r="F397" s="4" t="e">
        <v>#REF!</v>
      </c>
      <c r="G397" s="4" t="e">
        <v>#REF!</v>
      </c>
      <c r="H397" s="4" t="e">
        <v>#REF!</v>
      </c>
      <c r="I397" s="4" t="e">
        <v>#REF!</v>
      </c>
      <c r="J397" s="55">
        <v>0</v>
      </c>
      <c r="K397" s="55">
        <v>0</v>
      </c>
      <c r="L397" s="65"/>
      <c r="M397" s="66"/>
      <c r="N397" s="65"/>
      <c r="O397" s="66"/>
      <c r="P397" s="39"/>
      <c r="Q397" s="57"/>
      <c r="R397" s="4"/>
      <c r="S397" s="57"/>
      <c r="T397" s="65"/>
      <c r="U397" s="66"/>
      <c r="V397" s="65"/>
      <c r="W397" s="66"/>
      <c r="X397" s="39"/>
      <c r="Y397" s="57"/>
      <c r="Z397" s="39"/>
      <c r="AA397" s="57"/>
      <c r="AB397" s="65"/>
      <c r="AC397" s="66"/>
      <c r="AD397" s="65"/>
      <c r="AE397" s="66"/>
      <c r="AF397" s="39"/>
      <c r="AG397" s="57"/>
      <c r="AH397" s="39"/>
      <c r="AI397" s="57"/>
    </row>
    <row r="398" spans="1:35" ht="19.5" customHeight="1" x14ac:dyDescent="0.3">
      <c r="A398" s="4" t="e">
        <v>#REF!</v>
      </c>
      <c r="B398" s="110" t="e">
        <v>#REF!</v>
      </c>
      <c r="C398" s="55" t="e">
        <v>#REF!</v>
      </c>
      <c r="D398" s="55" t="e">
        <v>#REF!</v>
      </c>
      <c r="E398" s="55" t="e">
        <v>#REF!</v>
      </c>
      <c r="F398" s="4" t="e">
        <v>#REF!</v>
      </c>
      <c r="G398" s="4" t="e">
        <v>#REF!</v>
      </c>
      <c r="H398" s="4" t="e">
        <v>#REF!</v>
      </c>
      <c r="I398" s="4" t="e">
        <v>#REF!</v>
      </c>
      <c r="J398" s="55">
        <v>0</v>
      </c>
      <c r="K398" s="55">
        <v>0</v>
      </c>
      <c r="L398" s="65"/>
      <c r="M398" s="66"/>
      <c r="N398" s="65"/>
      <c r="O398" s="66"/>
      <c r="P398" s="39"/>
      <c r="Q398" s="57"/>
      <c r="R398" s="4"/>
      <c r="S398" s="57"/>
      <c r="T398" s="65"/>
      <c r="U398" s="66"/>
      <c r="V398" s="65"/>
      <c r="W398" s="66"/>
      <c r="X398" s="39"/>
      <c r="Y398" s="57"/>
      <c r="Z398" s="39"/>
      <c r="AA398" s="57"/>
      <c r="AB398" s="65"/>
      <c r="AC398" s="66"/>
      <c r="AD398" s="65"/>
      <c r="AE398" s="66"/>
      <c r="AF398" s="39"/>
      <c r="AG398" s="57"/>
      <c r="AH398" s="39"/>
      <c r="AI398" s="57"/>
    </row>
    <row r="399" spans="1:35" ht="19.5" customHeight="1" x14ac:dyDescent="0.3">
      <c r="A399" s="4" t="e">
        <v>#REF!</v>
      </c>
      <c r="B399" s="110" t="e">
        <v>#REF!</v>
      </c>
      <c r="C399" s="55" t="e">
        <v>#REF!</v>
      </c>
      <c r="D399" s="55" t="e">
        <v>#REF!</v>
      </c>
      <c r="E399" s="55" t="e">
        <v>#REF!</v>
      </c>
      <c r="F399" s="4" t="e">
        <v>#REF!</v>
      </c>
      <c r="G399" s="4" t="e">
        <v>#REF!</v>
      </c>
      <c r="H399" s="4" t="e">
        <v>#REF!</v>
      </c>
      <c r="I399" s="4" t="e">
        <v>#REF!</v>
      </c>
      <c r="J399" s="55">
        <v>0</v>
      </c>
      <c r="K399" s="55">
        <v>0</v>
      </c>
      <c r="L399" s="65"/>
      <c r="M399" s="66"/>
      <c r="N399" s="65"/>
      <c r="O399" s="66"/>
      <c r="P399" s="39"/>
      <c r="Q399" s="57"/>
      <c r="R399" s="4"/>
      <c r="S399" s="57"/>
      <c r="T399" s="65"/>
      <c r="U399" s="66"/>
      <c r="V399" s="65"/>
      <c r="W399" s="66"/>
      <c r="X399" s="39"/>
      <c r="Y399" s="57"/>
      <c r="Z399" s="39"/>
      <c r="AA399" s="57"/>
      <c r="AB399" s="65"/>
      <c r="AC399" s="66"/>
      <c r="AD399" s="65"/>
      <c r="AE399" s="66"/>
      <c r="AF399" s="39"/>
      <c r="AG399" s="57"/>
      <c r="AH399" s="39"/>
      <c r="AI399" s="57"/>
    </row>
    <row r="400" spans="1:35" ht="19.5" customHeight="1" x14ac:dyDescent="0.3">
      <c r="A400" s="4" t="e">
        <v>#REF!</v>
      </c>
      <c r="B400" s="110" t="e">
        <v>#REF!</v>
      </c>
      <c r="C400" s="55" t="e">
        <v>#REF!</v>
      </c>
      <c r="D400" s="55" t="e">
        <v>#REF!</v>
      </c>
      <c r="E400" s="55" t="e">
        <v>#REF!</v>
      </c>
      <c r="F400" s="4" t="e">
        <v>#REF!</v>
      </c>
      <c r="G400" s="4" t="e">
        <v>#REF!</v>
      </c>
      <c r="H400" s="4" t="e">
        <v>#REF!</v>
      </c>
      <c r="I400" s="4" t="e">
        <v>#REF!</v>
      </c>
      <c r="J400" s="55">
        <v>0</v>
      </c>
      <c r="K400" s="55">
        <v>0</v>
      </c>
      <c r="L400" s="65"/>
      <c r="M400" s="66"/>
      <c r="N400" s="65"/>
      <c r="O400" s="66"/>
      <c r="P400" s="39"/>
      <c r="Q400" s="57"/>
      <c r="R400" s="4"/>
      <c r="S400" s="57"/>
      <c r="T400" s="65"/>
      <c r="U400" s="66"/>
      <c r="V400" s="65"/>
      <c r="W400" s="66"/>
      <c r="X400" s="39"/>
      <c r="Y400" s="57"/>
      <c r="Z400" s="39"/>
      <c r="AA400" s="57"/>
      <c r="AB400" s="65"/>
      <c r="AC400" s="66"/>
      <c r="AD400" s="65"/>
      <c r="AE400" s="66"/>
      <c r="AF400" s="39"/>
      <c r="AG400" s="57"/>
      <c r="AH400" s="39"/>
      <c r="AI400" s="57"/>
    </row>
    <row r="401" spans="1:35" ht="19.5" customHeight="1" x14ac:dyDescent="0.3">
      <c r="A401" s="4" t="e">
        <v>#REF!</v>
      </c>
      <c r="B401" s="110" t="e">
        <v>#REF!</v>
      </c>
      <c r="C401" s="55" t="e">
        <v>#REF!</v>
      </c>
      <c r="D401" s="55" t="e">
        <v>#REF!</v>
      </c>
      <c r="E401" s="55" t="e">
        <v>#REF!</v>
      </c>
      <c r="F401" s="4" t="e">
        <v>#REF!</v>
      </c>
      <c r="G401" s="4" t="e">
        <v>#REF!</v>
      </c>
      <c r="H401" s="4" t="e">
        <v>#REF!</v>
      </c>
      <c r="I401" s="4" t="e">
        <v>#REF!</v>
      </c>
      <c r="J401" s="55">
        <v>0</v>
      </c>
      <c r="K401" s="55">
        <v>0</v>
      </c>
      <c r="L401" s="65"/>
      <c r="M401" s="66"/>
      <c r="N401" s="65"/>
      <c r="O401" s="66"/>
      <c r="P401" s="39"/>
      <c r="Q401" s="57"/>
      <c r="R401" s="4"/>
      <c r="S401" s="57"/>
      <c r="T401" s="65"/>
      <c r="U401" s="66"/>
      <c r="V401" s="65"/>
      <c r="W401" s="66"/>
      <c r="X401" s="39"/>
      <c r="Y401" s="57"/>
      <c r="Z401" s="39"/>
      <c r="AA401" s="57"/>
      <c r="AB401" s="65"/>
      <c r="AC401" s="66"/>
      <c r="AD401" s="65"/>
      <c r="AE401" s="66"/>
      <c r="AF401" s="39"/>
      <c r="AG401" s="57"/>
      <c r="AH401" s="39"/>
      <c r="AI401" s="57"/>
    </row>
    <row r="402" spans="1:35" ht="19.5" customHeight="1" x14ac:dyDescent="0.3">
      <c r="A402" s="4" t="e">
        <v>#REF!</v>
      </c>
      <c r="B402" s="110" t="e">
        <v>#REF!</v>
      </c>
      <c r="C402" s="55" t="e">
        <v>#REF!</v>
      </c>
      <c r="D402" s="55" t="e">
        <v>#REF!</v>
      </c>
      <c r="E402" s="55" t="e">
        <v>#REF!</v>
      </c>
      <c r="F402" s="4" t="e">
        <v>#REF!</v>
      </c>
      <c r="G402" s="4" t="e">
        <v>#REF!</v>
      </c>
      <c r="H402" s="4" t="e">
        <v>#REF!</v>
      </c>
      <c r="I402" s="4" t="e">
        <v>#REF!</v>
      </c>
      <c r="J402" s="55">
        <v>0</v>
      </c>
      <c r="K402" s="55">
        <v>0</v>
      </c>
      <c r="L402" s="65"/>
      <c r="M402" s="66"/>
      <c r="N402" s="65"/>
      <c r="O402" s="66"/>
      <c r="P402" s="39"/>
      <c r="Q402" s="57"/>
      <c r="R402" s="4"/>
      <c r="S402" s="57"/>
      <c r="T402" s="65"/>
      <c r="U402" s="66"/>
      <c r="V402" s="65"/>
      <c r="W402" s="66"/>
      <c r="X402" s="39"/>
      <c r="Y402" s="57"/>
      <c r="Z402" s="39"/>
      <c r="AA402" s="57"/>
      <c r="AB402" s="65"/>
      <c r="AC402" s="66"/>
      <c r="AD402" s="65"/>
      <c r="AE402" s="66"/>
      <c r="AF402" s="39"/>
      <c r="AG402" s="57"/>
      <c r="AH402" s="39"/>
      <c r="AI402" s="57"/>
    </row>
    <row r="403" spans="1:35" ht="19.5" customHeight="1" x14ac:dyDescent="0.3">
      <c r="A403" s="4" t="e">
        <v>#REF!</v>
      </c>
      <c r="B403" s="110" t="e">
        <v>#REF!</v>
      </c>
      <c r="C403" s="55" t="e">
        <v>#REF!</v>
      </c>
      <c r="D403" s="55" t="e">
        <v>#REF!</v>
      </c>
      <c r="E403" s="55" t="e">
        <v>#REF!</v>
      </c>
      <c r="F403" s="4" t="e">
        <v>#REF!</v>
      </c>
      <c r="G403" s="4" t="e">
        <v>#REF!</v>
      </c>
      <c r="H403" s="4" t="e">
        <v>#REF!</v>
      </c>
      <c r="I403" s="4" t="e">
        <v>#REF!</v>
      </c>
      <c r="J403" s="55">
        <v>0</v>
      </c>
      <c r="K403" s="55">
        <v>0</v>
      </c>
      <c r="L403" s="65"/>
      <c r="M403" s="66"/>
      <c r="N403" s="65"/>
      <c r="O403" s="66"/>
      <c r="P403" s="39"/>
      <c r="Q403" s="57"/>
      <c r="R403" s="4"/>
      <c r="S403" s="57"/>
      <c r="T403" s="65"/>
      <c r="U403" s="66"/>
      <c r="V403" s="65"/>
      <c r="W403" s="66"/>
      <c r="X403" s="39"/>
      <c r="Y403" s="57"/>
      <c r="Z403" s="39"/>
      <c r="AA403" s="57"/>
      <c r="AB403" s="65"/>
      <c r="AC403" s="66"/>
      <c r="AD403" s="65"/>
      <c r="AE403" s="66"/>
      <c r="AF403" s="39"/>
      <c r="AG403" s="57"/>
      <c r="AH403" s="39"/>
      <c r="AI403" s="57"/>
    </row>
    <row r="404" spans="1:35" ht="19.5" customHeight="1" x14ac:dyDescent="0.3">
      <c r="AB404" s="26"/>
      <c r="AD404" s="26"/>
    </row>
    <row r="405" spans="1:35" ht="19.5" customHeight="1" x14ac:dyDescent="0.3">
      <c r="AB405" s="26"/>
      <c r="AD405" s="26"/>
    </row>
  </sheetData>
  <autoFilter ref="A3:AI403" xr:uid="{B95B55F5-6B84-4FFA-AEC1-73DBDD62950C}"/>
  <mergeCells count="6">
    <mergeCell ref="AF2:AI2"/>
    <mergeCell ref="L2:O2"/>
    <mergeCell ref="P2:S2"/>
    <mergeCell ref="T2:W2"/>
    <mergeCell ref="X2:AA2"/>
    <mergeCell ref="AB2:AE2"/>
  </mergeCells>
  <phoneticPr fontId="4" type="noConversion"/>
  <conditionalFormatting sqref="H1:H1048576">
    <cfRule type="containsText" dxfId="3" priority="1" operator="containsText" text="Invoice Completed">
      <formula>NOT(ISERROR(SEARCH("Invoice Completed",H1)))</formula>
    </cfRule>
  </conditionalFormatting>
  <conditionalFormatting sqref="I1:I1048576">
    <cfRule type="containsText" dxfId="2" priority="2" operator="containsText" text="Payment Completed">
      <formula>NOT(ISERROR(SEARCH("Payment Completed",I1)))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EE818-40AC-4F81-B6C4-8FDA893247D8}">
  <sheetPr codeName="Sheet7"/>
  <dimension ref="A2:V661"/>
  <sheetViews>
    <sheetView zoomScale="90" zoomScaleNormal="90" workbookViewId="0">
      <pane xSplit="2" ySplit="3" topLeftCell="C25" activePane="bottomRight" state="frozen"/>
      <selection pane="topRight" activeCell="C1" sqref="C1"/>
      <selection pane="bottomLeft" activeCell="A4" sqref="A4"/>
      <selection pane="bottomRight" activeCell="G1" sqref="A1:XFD1048576"/>
    </sheetView>
  </sheetViews>
  <sheetFormatPr defaultRowHeight="14.4" outlineLevelCol="1" x14ac:dyDescent="0.3"/>
  <cols>
    <col min="1" max="1" width="17.44140625" style="5" customWidth="1"/>
    <col min="2" max="2" width="53.5546875" customWidth="1"/>
    <col min="3" max="3" width="19.5546875" hidden="1" customWidth="1" outlineLevel="1"/>
    <col min="4" max="4" width="68.5546875" hidden="1" customWidth="1" outlineLevel="1"/>
    <col min="5" max="6" width="27.88671875" hidden="1" customWidth="1" outlineLevel="1"/>
    <col min="7" max="7" width="19.44140625" style="11" customWidth="1" collapsed="1"/>
    <col min="8" max="9" width="17.44140625" style="5" hidden="1" customWidth="1" outlineLevel="1"/>
    <col min="10" max="10" width="21.5546875" style="5" customWidth="1" collapsed="1"/>
    <col min="11" max="11" width="21.5546875" style="5" customWidth="1"/>
    <col min="12" max="12" width="23.88671875" style="5" bestFit="1" customWidth="1"/>
    <col min="13" max="15" width="21.5546875" style="5" customWidth="1"/>
    <col min="16" max="16" width="21.44140625" style="5" customWidth="1"/>
    <col min="17" max="22" width="21.44140625" customWidth="1"/>
  </cols>
  <sheetData>
    <row r="2" spans="1:22" ht="19.5" customHeight="1" x14ac:dyDescent="0.3">
      <c r="K2" s="268" t="s">
        <v>1891</v>
      </c>
      <c r="L2" s="268"/>
      <c r="M2" s="268"/>
      <c r="N2" s="268" t="s">
        <v>1892</v>
      </c>
      <c r="O2" s="268"/>
      <c r="P2" s="268"/>
      <c r="Q2" s="268" t="s">
        <v>1893</v>
      </c>
      <c r="R2" s="268"/>
      <c r="S2" s="268"/>
      <c r="T2" s="268" t="s">
        <v>1894</v>
      </c>
      <c r="U2" s="268"/>
      <c r="V2" s="268"/>
    </row>
    <row r="3" spans="1:22" ht="27.75" customHeight="1" x14ac:dyDescent="0.3">
      <c r="A3" s="61" t="s">
        <v>43</v>
      </c>
      <c r="B3" s="61" t="s">
        <v>44</v>
      </c>
      <c r="C3" s="61" t="s">
        <v>1895</v>
      </c>
      <c r="D3" s="61" t="s">
        <v>61</v>
      </c>
      <c r="E3" s="61" t="s">
        <v>62</v>
      </c>
      <c r="F3" s="61" t="s">
        <v>1896</v>
      </c>
      <c r="G3" s="61" t="s">
        <v>39</v>
      </c>
      <c r="H3" s="61" t="s">
        <v>47</v>
      </c>
      <c r="I3" s="61" t="s">
        <v>2</v>
      </c>
      <c r="J3" s="61" t="s">
        <v>64</v>
      </c>
      <c r="K3" s="61" t="s">
        <v>1897</v>
      </c>
      <c r="L3" s="61" t="s">
        <v>1898</v>
      </c>
      <c r="M3" s="61" t="s">
        <v>1899</v>
      </c>
      <c r="N3" s="61" t="s">
        <v>1897</v>
      </c>
      <c r="O3" s="61" t="s">
        <v>1898</v>
      </c>
      <c r="P3" s="61" t="s">
        <v>1899</v>
      </c>
      <c r="Q3" s="61" t="s">
        <v>1897</v>
      </c>
      <c r="R3" s="61" t="s">
        <v>1898</v>
      </c>
      <c r="S3" s="61" t="s">
        <v>1899</v>
      </c>
      <c r="T3" s="61" t="s">
        <v>1897</v>
      </c>
      <c r="U3" s="61" t="s">
        <v>1898</v>
      </c>
      <c r="V3" s="61" t="s">
        <v>1899</v>
      </c>
    </row>
    <row r="4" spans="1:22" x14ac:dyDescent="0.3">
      <c r="A4" s="4">
        <v>2303005</v>
      </c>
      <c r="B4" s="108" t="s">
        <v>70</v>
      </c>
      <c r="C4" s="4" t="s">
        <v>76</v>
      </c>
      <c r="D4" s="4" t="s">
        <v>77</v>
      </c>
      <c r="E4" s="4" t="s">
        <v>78</v>
      </c>
      <c r="F4" s="4" t="s">
        <v>79</v>
      </c>
      <c r="G4" s="55">
        <v>32000</v>
      </c>
      <c r="H4" s="4" t="s">
        <v>71</v>
      </c>
      <c r="I4" s="4">
        <v>8.0500000000000007</v>
      </c>
      <c r="J4" s="4" t="s">
        <v>80</v>
      </c>
      <c r="K4" s="4" t="s">
        <v>1900</v>
      </c>
      <c r="L4" s="4" t="s">
        <v>1901</v>
      </c>
      <c r="M4" s="93">
        <v>45265</v>
      </c>
      <c r="N4" s="4" t="s">
        <v>1902</v>
      </c>
      <c r="O4" s="4" t="s">
        <v>1903</v>
      </c>
      <c r="P4" s="93">
        <v>45624</v>
      </c>
      <c r="Q4" s="4"/>
      <c r="R4" s="4"/>
      <c r="S4" s="93"/>
      <c r="T4" s="4"/>
      <c r="U4" s="4"/>
      <c r="V4" s="93"/>
    </row>
    <row r="5" spans="1:22" x14ac:dyDescent="0.3">
      <c r="A5" s="4">
        <v>2303006</v>
      </c>
      <c r="B5" s="108" t="s">
        <v>82</v>
      </c>
      <c r="C5" s="4" t="s">
        <v>84</v>
      </c>
      <c r="D5" s="4" t="s">
        <v>85</v>
      </c>
      <c r="E5" s="4" t="s">
        <v>86</v>
      </c>
      <c r="F5" s="4" t="s">
        <v>87</v>
      </c>
      <c r="G5" s="55">
        <v>40000</v>
      </c>
      <c r="H5" s="4" t="s">
        <v>71</v>
      </c>
      <c r="I5" s="4">
        <v>12.65</v>
      </c>
      <c r="J5" s="4" t="s">
        <v>81</v>
      </c>
      <c r="K5" s="4" t="s">
        <v>1902</v>
      </c>
      <c r="L5" s="4" t="s">
        <v>1904</v>
      </c>
      <c r="M5" s="93">
        <v>45750</v>
      </c>
      <c r="N5" s="4"/>
      <c r="O5" s="4"/>
      <c r="P5" s="4"/>
      <c r="Q5" s="4"/>
      <c r="R5" s="4"/>
      <c r="S5" s="4"/>
      <c r="T5" s="4"/>
      <c r="U5" s="4"/>
      <c r="V5" s="4"/>
    </row>
    <row r="6" spans="1:22" x14ac:dyDescent="0.3">
      <c r="A6" s="4">
        <v>2304016</v>
      </c>
      <c r="B6" s="108" t="s">
        <v>88</v>
      </c>
      <c r="C6" s="4" t="s">
        <v>89</v>
      </c>
      <c r="D6" s="4" t="s">
        <v>90</v>
      </c>
      <c r="E6" s="4" t="s">
        <v>91</v>
      </c>
      <c r="F6" s="4" t="s">
        <v>92</v>
      </c>
      <c r="G6" s="55">
        <v>31000</v>
      </c>
      <c r="H6" s="4" t="s">
        <v>71</v>
      </c>
      <c r="I6" s="4">
        <v>8.0500000000000007</v>
      </c>
      <c r="J6" s="4" t="s">
        <v>80</v>
      </c>
      <c r="K6" s="4" t="s">
        <v>1900</v>
      </c>
      <c r="L6" s="4" t="s">
        <v>1905</v>
      </c>
      <c r="M6" s="93">
        <v>45265</v>
      </c>
      <c r="N6" s="4" t="s">
        <v>1902</v>
      </c>
      <c r="O6" s="4" t="s">
        <v>1906</v>
      </c>
      <c r="P6" s="93">
        <v>45624</v>
      </c>
      <c r="Q6" s="4"/>
      <c r="R6" s="4"/>
      <c r="S6" s="93"/>
      <c r="T6" s="4"/>
      <c r="U6" s="4"/>
      <c r="V6" s="93"/>
    </row>
    <row r="7" spans="1:22" x14ac:dyDescent="0.3">
      <c r="A7" s="4">
        <v>2305021</v>
      </c>
      <c r="B7" s="108" t="s">
        <v>93</v>
      </c>
      <c r="C7" s="4" t="s">
        <v>95</v>
      </c>
      <c r="D7" s="4" t="s">
        <v>96</v>
      </c>
      <c r="E7" s="4" t="s">
        <v>97</v>
      </c>
      <c r="F7" s="4" t="s">
        <v>98</v>
      </c>
      <c r="G7" s="55">
        <v>20000</v>
      </c>
      <c r="H7" s="4" t="s">
        <v>71</v>
      </c>
      <c r="I7" s="4">
        <v>4.6500000000000004</v>
      </c>
      <c r="J7" s="4" t="s">
        <v>80</v>
      </c>
      <c r="K7" s="4" t="s">
        <v>1900</v>
      </c>
      <c r="L7" s="4" t="s">
        <v>1907</v>
      </c>
      <c r="M7" s="93">
        <v>45265</v>
      </c>
      <c r="N7" s="4" t="s">
        <v>1902</v>
      </c>
      <c r="O7" s="4" t="s">
        <v>1908</v>
      </c>
      <c r="P7" s="93">
        <v>45624</v>
      </c>
      <c r="Q7" s="4"/>
      <c r="R7" s="4"/>
      <c r="S7" s="93"/>
      <c r="T7" s="4"/>
      <c r="U7" s="4"/>
      <c r="V7" s="93"/>
    </row>
    <row r="8" spans="1:22" x14ac:dyDescent="0.3">
      <c r="A8" s="4">
        <v>2305026</v>
      </c>
      <c r="B8" s="108" t="s">
        <v>99</v>
      </c>
      <c r="C8" s="4" t="s">
        <v>100</v>
      </c>
      <c r="D8" s="4" t="s">
        <v>101</v>
      </c>
      <c r="E8" s="4" t="s">
        <v>102</v>
      </c>
      <c r="F8" s="4" t="s">
        <v>103</v>
      </c>
      <c r="G8" s="55">
        <v>40000</v>
      </c>
      <c r="H8" s="4" t="s">
        <v>71</v>
      </c>
      <c r="I8" s="4">
        <v>12.65</v>
      </c>
      <c r="J8" s="4" t="s">
        <v>81</v>
      </c>
      <c r="K8" s="4" t="s">
        <v>1900</v>
      </c>
      <c r="L8" s="4" t="s">
        <v>1909</v>
      </c>
      <c r="M8" s="93">
        <v>45265</v>
      </c>
      <c r="N8" s="265" t="s">
        <v>109</v>
      </c>
      <c r="O8" s="266"/>
      <c r="P8" s="267"/>
      <c r="Q8" s="265" t="s">
        <v>109</v>
      </c>
      <c r="R8" s="266"/>
      <c r="S8" s="267"/>
      <c r="T8" s="265" t="s">
        <v>109</v>
      </c>
      <c r="U8" s="266"/>
      <c r="V8" s="267"/>
    </row>
    <row r="9" spans="1:22" x14ac:dyDescent="0.3">
      <c r="A9" s="4">
        <v>2306033</v>
      </c>
      <c r="B9" s="108" t="s">
        <v>104</v>
      </c>
      <c r="C9" s="4" t="s">
        <v>105</v>
      </c>
      <c r="D9" s="4" t="s">
        <v>106</v>
      </c>
      <c r="E9" s="4" t="s">
        <v>107</v>
      </c>
      <c r="F9" s="4" t="s">
        <v>108</v>
      </c>
      <c r="G9" s="55">
        <v>16000</v>
      </c>
      <c r="H9" s="4" t="s">
        <v>71</v>
      </c>
      <c r="I9" s="4">
        <v>4.6500000000000004</v>
      </c>
      <c r="J9" s="4" t="s">
        <v>109</v>
      </c>
      <c r="K9" s="265" t="s">
        <v>109</v>
      </c>
      <c r="L9" s="266" t="s">
        <v>109</v>
      </c>
      <c r="M9" s="267"/>
      <c r="N9" s="265" t="s">
        <v>109</v>
      </c>
      <c r="O9" s="266" t="s">
        <v>109</v>
      </c>
      <c r="P9" s="267"/>
      <c r="Q9" s="265" t="s">
        <v>109</v>
      </c>
      <c r="R9" s="266"/>
      <c r="S9" s="267"/>
      <c r="T9" s="265" t="s">
        <v>109</v>
      </c>
      <c r="U9" s="266"/>
      <c r="V9" s="267"/>
    </row>
    <row r="10" spans="1:22" x14ac:dyDescent="0.3">
      <c r="A10" s="4">
        <v>2306037</v>
      </c>
      <c r="B10" s="108" t="s">
        <v>110</v>
      </c>
      <c r="C10" s="4" t="s">
        <v>112</v>
      </c>
      <c r="D10" s="4" t="s">
        <v>113</v>
      </c>
      <c r="E10" s="4" t="s">
        <v>114</v>
      </c>
      <c r="F10" s="4" t="s">
        <v>115</v>
      </c>
      <c r="G10" s="55">
        <v>36575</v>
      </c>
      <c r="H10" s="4" t="s">
        <v>71</v>
      </c>
      <c r="I10" s="4">
        <v>10.925000000000001</v>
      </c>
      <c r="J10" s="4" t="s">
        <v>109</v>
      </c>
      <c r="K10" s="265" t="s">
        <v>109</v>
      </c>
      <c r="L10" s="266" t="s">
        <v>109</v>
      </c>
      <c r="M10" s="267"/>
      <c r="N10" s="265" t="s">
        <v>109</v>
      </c>
      <c r="O10" s="266" t="s">
        <v>109</v>
      </c>
      <c r="P10" s="267"/>
      <c r="Q10" s="265" t="s">
        <v>109</v>
      </c>
      <c r="R10" s="266"/>
      <c r="S10" s="267"/>
      <c r="T10" s="265" t="s">
        <v>109</v>
      </c>
      <c r="U10" s="266"/>
      <c r="V10" s="267"/>
    </row>
    <row r="11" spans="1:22" x14ac:dyDescent="0.3">
      <c r="A11" s="4">
        <v>2307040</v>
      </c>
      <c r="B11" s="108" t="s">
        <v>117</v>
      </c>
      <c r="C11" s="4" t="s">
        <v>118</v>
      </c>
      <c r="D11" s="4" t="s">
        <v>119</v>
      </c>
      <c r="E11" s="4" t="s">
        <v>120</v>
      </c>
      <c r="F11" s="4" t="s">
        <v>121</v>
      </c>
      <c r="G11" s="55">
        <v>40000</v>
      </c>
      <c r="H11" s="4" t="s">
        <v>71</v>
      </c>
      <c r="I11" s="4">
        <v>12.65</v>
      </c>
      <c r="J11" s="4" t="s">
        <v>122</v>
      </c>
      <c r="K11" s="4" t="s">
        <v>1900</v>
      </c>
      <c r="L11" s="4" t="s">
        <v>1910</v>
      </c>
      <c r="M11" s="93">
        <v>45265</v>
      </c>
      <c r="N11" s="4" t="s">
        <v>1902</v>
      </c>
      <c r="O11" s="4" t="s">
        <v>1911</v>
      </c>
      <c r="P11" s="93">
        <v>45624</v>
      </c>
      <c r="Q11" s="4"/>
      <c r="R11" s="4"/>
      <c r="S11" s="93"/>
      <c r="T11" s="4"/>
      <c r="U11" s="4"/>
      <c r="V11" s="93"/>
    </row>
    <row r="12" spans="1:22" x14ac:dyDescent="0.3">
      <c r="A12" s="4">
        <v>2305011</v>
      </c>
      <c r="B12" s="108" t="s">
        <v>123</v>
      </c>
      <c r="C12" s="4" t="s">
        <v>18</v>
      </c>
      <c r="D12" s="4" t="s">
        <v>126</v>
      </c>
      <c r="E12" s="4" t="s">
        <v>18</v>
      </c>
      <c r="F12" s="4" t="s">
        <v>18</v>
      </c>
      <c r="G12" s="55">
        <v>242000</v>
      </c>
      <c r="H12" s="4" t="s">
        <v>124</v>
      </c>
      <c r="I12" s="4">
        <v>283.94499999999999</v>
      </c>
      <c r="J12" s="4" t="s">
        <v>109</v>
      </c>
      <c r="K12" s="265" t="s">
        <v>109</v>
      </c>
      <c r="L12" s="266" t="s">
        <v>109</v>
      </c>
      <c r="M12" s="267"/>
      <c r="N12" s="265" t="s">
        <v>109</v>
      </c>
      <c r="O12" s="266" t="s">
        <v>109</v>
      </c>
      <c r="P12" s="267"/>
      <c r="Q12" s="265" t="s">
        <v>109</v>
      </c>
      <c r="R12" s="266"/>
      <c r="S12" s="267"/>
      <c r="T12" s="265" t="s">
        <v>109</v>
      </c>
      <c r="U12" s="266"/>
      <c r="V12" s="267"/>
    </row>
    <row r="13" spans="1:22" x14ac:dyDescent="0.3">
      <c r="A13" s="4">
        <v>2304007</v>
      </c>
      <c r="B13" s="108" t="s">
        <v>127</v>
      </c>
      <c r="C13" s="4" t="s">
        <v>18</v>
      </c>
      <c r="D13" s="4" t="s">
        <v>129</v>
      </c>
      <c r="E13" s="4" t="s">
        <v>18</v>
      </c>
      <c r="F13" s="4" t="s">
        <v>18</v>
      </c>
      <c r="G13" s="55">
        <v>188800</v>
      </c>
      <c r="H13" s="4" t="s">
        <v>124</v>
      </c>
      <c r="I13" s="4">
        <v>51.75</v>
      </c>
      <c r="J13" s="4" t="s">
        <v>122</v>
      </c>
      <c r="K13" s="4" t="s">
        <v>1912</v>
      </c>
      <c r="L13" s="4" t="s">
        <v>1913</v>
      </c>
      <c r="M13" s="93">
        <v>45625</v>
      </c>
      <c r="N13" s="4"/>
      <c r="O13" s="4"/>
      <c r="P13" s="4"/>
      <c r="Q13" s="4"/>
      <c r="R13" s="4"/>
      <c r="S13" s="4"/>
      <c r="T13" s="4"/>
      <c r="U13" s="4"/>
      <c r="V13" s="4"/>
    </row>
    <row r="14" spans="1:22" x14ac:dyDescent="0.3">
      <c r="A14" s="4">
        <v>2307042</v>
      </c>
      <c r="B14" s="108" t="s">
        <v>130</v>
      </c>
      <c r="C14" s="4" t="s">
        <v>132</v>
      </c>
      <c r="D14" s="4" t="s">
        <v>133</v>
      </c>
      <c r="E14" s="4" t="s">
        <v>134</v>
      </c>
      <c r="F14" s="4" t="s">
        <v>135</v>
      </c>
      <c r="G14" s="55">
        <v>50000</v>
      </c>
      <c r="H14" s="4" t="s">
        <v>71</v>
      </c>
      <c r="I14" s="4">
        <v>16.100000000000001</v>
      </c>
      <c r="J14" s="4" t="s">
        <v>80</v>
      </c>
      <c r="K14" s="4" t="s">
        <v>1900</v>
      </c>
      <c r="L14" s="4" t="s">
        <v>1914</v>
      </c>
      <c r="M14" s="93">
        <v>45265</v>
      </c>
      <c r="N14" s="4" t="s">
        <v>1902</v>
      </c>
      <c r="O14" s="4" t="s">
        <v>1915</v>
      </c>
      <c r="P14" s="93">
        <v>45624</v>
      </c>
      <c r="Q14" s="4"/>
      <c r="R14" s="4"/>
      <c r="S14" s="93"/>
      <c r="T14" s="4"/>
      <c r="U14" s="4"/>
      <c r="V14" s="93"/>
    </row>
    <row r="15" spans="1:22" x14ac:dyDescent="0.3">
      <c r="A15" s="4">
        <v>2308058</v>
      </c>
      <c r="B15" s="108" t="s">
        <v>136</v>
      </c>
      <c r="C15" s="4" t="s">
        <v>138</v>
      </c>
      <c r="D15" s="4" t="s">
        <v>139</v>
      </c>
      <c r="E15" s="4" t="s">
        <v>140</v>
      </c>
      <c r="F15" s="4" t="s">
        <v>141</v>
      </c>
      <c r="G15" s="55">
        <v>30000</v>
      </c>
      <c r="H15" s="4" t="s">
        <v>71</v>
      </c>
      <c r="I15" s="4">
        <v>6.9</v>
      </c>
      <c r="J15" s="4" t="s">
        <v>122</v>
      </c>
      <c r="K15" s="4" t="s">
        <v>1900</v>
      </c>
      <c r="L15" s="4" t="s">
        <v>1916</v>
      </c>
      <c r="M15" s="93">
        <v>45265</v>
      </c>
      <c r="N15" s="4" t="s">
        <v>1902</v>
      </c>
      <c r="O15" s="4" t="s">
        <v>1917</v>
      </c>
      <c r="P15" s="93">
        <v>45624</v>
      </c>
      <c r="Q15" s="4"/>
      <c r="R15" s="4"/>
      <c r="S15" s="93"/>
      <c r="T15" s="4"/>
      <c r="U15" s="4"/>
      <c r="V15" s="93"/>
    </row>
    <row r="16" spans="1:22" x14ac:dyDescent="0.3">
      <c r="A16" s="4">
        <v>2308062</v>
      </c>
      <c r="B16" s="108" t="s">
        <v>142</v>
      </c>
      <c r="C16" s="4" t="s">
        <v>144</v>
      </c>
      <c r="D16" s="4" t="s">
        <v>145</v>
      </c>
      <c r="E16" s="4" t="s">
        <v>146</v>
      </c>
      <c r="F16" s="4" t="s">
        <v>147</v>
      </c>
      <c r="G16" s="55">
        <v>42300</v>
      </c>
      <c r="H16" s="4" t="s">
        <v>71</v>
      </c>
      <c r="I16" s="4">
        <v>12.65</v>
      </c>
      <c r="J16" s="4" t="s">
        <v>122</v>
      </c>
      <c r="K16" s="4" t="s">
        <v>1902</v>
      </c>
      <c r="L16" s="4" t="s">
        <v>1918</v>
      </c>
      <c r="M16" s="93">
        <v>45568</v>
      </c>
      <c r="N16" s="4"/>
      <c r="O16" s="4"/>
      <c r="P16" s="93"/>
      <c r="Q16" s="4"/>
      <c r="R16" s="4"/>
      <c r="S16" s="93"/>
      <c r="T16" s="4"/>
      <c r="U16" s="4"/>
      <c r="V16" s="93"/>
    </row>
    <row r="17" spans="1:22" x14ac:dyDescent="0.3">
      <c r="A17" s="4">
        <v>2309068</v>
      </c>
      <c r="B17" s="108" t="s">
        <v>148</v>
      </c>
      <c r="C17" s="4" t="s">
        <v>149</v>
      </c>
      <c r="D17" s="4" t="s">
        <v>150</v>
      </c>
      <c r="E17" s="4" t="s">
        <v>151</v>
      </c>
      <c r="F17" s="4" t="s">
        <v>152</v>
      </c>
      <c r="G17" s="55">
        <v>28500</v>
      </c>
      <c r="H17" s="4" t="s">
        <v>71</v>
      </c>
      <c r="I17" s="4">
        <v>6.9</v>
      </c>
      <c r="J17" s="4" t="s">
        <v>80</v>
      </c>
      <c r="K17" s="4" t="s">
        <v>1902</v>
      </c>
      <c r="L17" s="4" t="s">
        <v>1919</v>
      </c>
      <c r="M17" s="93">
        <v>45568</v>
      </c>
      <c r="N17" s="4"/>
      <c r="O17" s="4"/>
      <c r="P17" s="93"/>
      <c r="Q17" s="4"/>
      <c r="R17" s="4"/>
      <c r="S17" s="93"/>
      <c r="T17" s="4"/>
      <c r="U17" s="4"/>
      <c r="V17" s="93"/>
    </row>
    <row r="18" spans="1:22" x14ac:dyDescent="0.3">
      <c r="A18" s="4">
        <v>2310078</v>
      </c>
      <c r="B18" s="108" t="s">
        <v>153</v>
      </c>
      <c r="C18" s="4" t="s">
        <v>154</v>
      </c>
      <c r="D18" s="4" t="s">
        <v>155</v>
      </c>
      <c r="E18" s="4" t="s">
        <v>156</v>
      </c>
      <c r="F18" s="4" t="s">
        <v>157</v>
      </c>
      <c r="G18" s="55">
        <v>52000</v>
      </c>
      <c r="H18" s="4" t="s">
        <v>71</v>
      </c>
      <c r="I18" s="4">
        <v>16.100000000000001</v>
      </c>
      <c r="J18" s="4" t="s">
        <v>80</v>
      </c>
      <c r="K18" s="4" t="s">
        <v>1900</v>
      </c>
      <c r="L18" s="4" t="s">
        <v>1920</v>
      </c>
      <c r="M18" s="93">
        <v>45631</v>
      </c>
      <c r="N18" s="4" t="s">
        <v>1902</v>
      </c>
      <c r="O18" s="4" t="s">
        <v>1921</v>
      </c>
      <c r="P18" s="93">
        <v>45624</v>
      </c>
      <c r="Q18" s="4"/>
      <c r="R18" s="4"/>
      <c r="S18" s="93"/>
      <c r="T18" s="4"/>
      <c r="U18" s="4"/>
      <c r="V18" s="93"/>
    </row>
    <row r="19" spans="1:22" x14ac:dyDescent="0.3">
      <c r="A19" s="4">
        <v>2310083</v>
      </c>
      <c r="B19" s="108" t="s">
        <v>158</v>
      </c>
      <c r="C19" s="4" t="s">
        <v>159</v>
      </c>
      <c r="D19" s="4" t="s">
        <v>160</v>
      </c>
      <c r="E19" s="4" t="s">
        <v>161</v>
      </c>
      <c r="F19" s="4" t="s">
        <v>162</v>
      </c>
      <c r="G19" s="55">
        <v>31000</v>
      </c>
      <c r="H19" s="4" t="s">
        <v>71</v>
      </c>
      <c r="I19" s="4">
        <v>8.0500000000000007</v>
      </c>
      <c r="J19" s="4" t="s">
        <v>80</v>
      </c>
      <c r="K19" s="4" t="s">
        <v>1902</v>
      </c>
      <c r="L19" s="4" t="s">
        <v>1922</v>
      </c>
      <c r="M19" s="93">
        <v>45568</v>
      </c>
      <c r="N19" s="4"/>
      <c r="O19" s="4"/>
      <c r="P19" s="93"/>
      <c r="Q19" s="4"/>
      <c r="R19" s="4"/>
      <c r="S19" s="93"/>
      <c r="T19" s="4"/>
      <c r="U19" s="4"/>
      <c r="V19" s="93"/>
    </row>
    <row r="20" spans="1:22" x14ac:dyDescent="0.3">
      <c r="A20" s="4">
        <v>2310084</v>
      </c>
      <c r="B20" s="108" t="s">
        <v>163</v>
      </c>
      <c r="C20" s="4" t="s">
        <v>165</v>
      </c>
      <c r="D20" s="4" t="s">
        <v>166</v>
      </c>
      <c r="E20" s="4" t="s">
        <v>167</v>
      </c>
      <c r="F20" s="4" t="s">
        <v>168</v>
      </c>
      <c r="G20" s="55">
        <v>34000</v>
      </c>
      <c r="H20" s="4" t="s">
        <v>71</v>
      </c>
      <c r="I20" s="4">
        <v>8.0500000000000007</v>
      </c>
      <c r="J20" s="4" t="s">
        <v>80</v>
      </c>
      <c r="K20" s="4" t="s">
        <v>1902</v>
      </c>
      <c r="L20" s="4" t="s">
        <v>1923</v>
      </c>
      <c r="M20" s="93">
        <v>45568</v>
      </c>
      <c r="N20" s="4"/>
      <c r="O20" s="4"/>
      <c r="P20" s="93"/>
      <c r="Q20" s="4"/>
      <c r="R20" s="4"/>
      <c r="S20" s="93"/>
      <c r="T20" s="4"/>
      <c r="U20" s="4"/>
      <c r="V20" s="93"/>
    </row>
    <row r="21" spans="1:22" x14ac:dyDescent="0.3">
      <c r="A21" s="4">
        <v>2305024</v>
      </c>
      <c r="B21" s="108" t="s">
        <v>169</v>
      </c>
      <c r="C21" s="4" t="s">
        <v>171</v>
      </c>
      <c r="D21" s="4" t="s">
        <v>172</v>
      </c>
      <c r="E21" s="4" t="s">
        <v>173</v>
      </c>
      <c r="F21" s="4" t="s">
        <v>174</v>
      </c>
      <c r="G21" s="55">
        <v>42500</v>
      </c>
      <c r="H21" s="4" t="s">
        <v>71</v>
      </c>
      <c r="I21" s="4">
        <v>12.65</v>
      </c>
      <c r="J21" s="4" t="s">
        <v>80</v>
      </c>
      <c r="K21" s="4" t="s">
        <v>1902</v>
      </c>
      <c r="L21" s="4" t="s">
        <v>1924</v>
      </c>
      <c r="M21" s="93">
        <v>45568</v>
      </c>
      <c r="N21" s="4"/>
      <c r="O21" s="4"/>
      <c r="P21" s="93"/>
      <c r="Q21" s="4"/>
      <c r="R21" s="4"/>
      <c r="S21" s="93"/>
      <c r="T21" s="4"/>
      <c r="U21" s="4"/>
      <c r="V21" s="93"/>
    </row>
    <row r="22" spans="1:22" s="123" customFormat="1" x14ac:dyDescent="0.3">
      <c r="A22" s="122">
        <v>2307052</v>
      </c>
      <c r="B22" s="136" t="s">
        <v>175</v>
      </c>
      <c r="C22" s="122" t="s">
        <v>177</v>
      </c>
      <c r="D22" s="122" t="s">
        <v>178</v>
      </c>
      <c r="E22" s="122" t="s">
        <v>179</v>
      </c>
      <c r="F22" s="122" t="s">
        <v>180</v>
      </c>
      <c r="G22" s="137">
        <v>22100</v>
      </c>
      <c r="H22" s="122" t="s">
        <v>71</v>
      </c>
      <c r="I22" s="122">
        <v>4.5999999999999996</v>
      </c>
      <c r="J22" s="122" t="s">
        <v>80</v>
      </c>
      <c r="K22" s="265" t="s">
        <v>1925</v>
      </c>
      <c r="L22" s="266"/>
      <c r="M22" s="266"/>
      <c r="N22" s="266"/>
      <c r="O22" s="266"/>
      <c r="P22" s="266"/>
      <c r="Q22" s="266"/>
      <c r="R22" s="266"/>
      <c r="S22" s="266"/>
      <c r="T22" s="266"/>
      <c r="U22" s="266"/>
      <c r="V22" s="267"/>
    </row>
    <row r="23" spans="1:22" x14ac:dyDescent="0.3">
      <c r="A23" s="116">
        <v>2304010</v>
      </c>
      <c r="B23" s="133" t="s">
        <v>181</v>
      </c>
      <c r="C23" s="116" t="s">
        <v>183</v>
      </c>
      <c r="D23" s="116" t="s">
        <v>184</v>
      </c>
      <c r="E23" s="116" t="s">
        <v>185</v>
      </c>
      <c r="F23" s="116" t="s">
        <v>186</v>
      </c>
      <c r="G23" s="117">
        <v>20650</v>
      </c>
      <c r="H23" s="116" t="s">
        <v>71</v>
      </c>
      <c r="I23" s="116">
        <v>13.625</v>
      </c>
      <c r="J23" s="116" t="s">
        <v>109</v>
      </c>
      <c r="K23" s="265" t="s">
        <v>109</v>
      </c>
      <c r="L23" s="266" t="s">
        <v>109</v>
      </c>
      <c r="M23" s="267"/>
      <c r="N23" s="265" t="s">
        <v>109</v>
      </c>
      <c r="O23" s="266" t="s">
        <v>109</v>
      </c>
      <c r="P23" s="267"/>
      <c r="Q23" s="265" t="s">
        <v>109</v>
      </c>
      <c r="R23" s="266" t="s">
        <v>109</v>
      </c>
      <c r="S23" s="267"/>
      <c r="T23" s="265" t="s">
        <v>109</v>
      </c>
      <c r="U23" s="266" t="s">
        <v>109</v>
      </c>
      <c r="V23" s="267"/>
    </row>
    <row r="24" spans="1:22" x14ac:dyDescent="0.3">
      <c r="A24" s="4">
        <v>2308065</v>
      </c>
      <c r="B24" s="108" t="s">
        <v>187</v>
      </c>
      <c r="C24" s="4" t="s">
        <v>188</v>
      </c>
      <c r="D24" s="4" t="s">
        <v>189</v>
      </c>
      <c r="E24" s="4" t="s">
        <v>190</v>
      </c>
      <c r="F24" s="4" t="s">
        <v>191</v>
      </c>
      <c r="G24" s="55">
        <v>33000</v>
      </c>
      <c r="H24" s="4" t="s">
        <v>71</v>
      </c>
      <c r="I24" s="4">
        <v>8.625</v>
      </c>
      <c r="J24" s="4" t="s">
        <v>80</v>
      </c>
      <c r="K24" s="4" t="s">
        <v>1902</v>
      </c>
      <c r="L24" s="4" t="s">
        <v>1926</v>
      </c>
      <c r="M24" s="93">
        <v>45750</v>
      </c>
      <c r="N24" s="4"/>
      <c r="O24" s="4"/>
      <c r="P24" s="4"/>
      <c r="Q24" s="4"/>
      <c r="R24" s="4"/>
      <c r="S24" s="4"/>
      <c r="T24" s="4"/>
      <c r="U24" s="4"/>
      <c r="V24" s="4"/>
    </row>
    <row r="25" spans="1:22" x14ac:dyDescent="0.3">
      <c r="A25" s="4">
        <v>2306009</v>
      </c>
      <c r="B25" s="108" t="s">
        <v>192</v>
      </c>
      <c r="C25" s="4">
        <v>0</v>
      </c>
      <c r="D25" s="4" t="s">
        <v>195</v>
      </c>
      <c r="E25" s="4">
        <v>0</v>
      </c>
      <c r="F25" s="4">
        <v>0</v>
      </c>
      <c r="G25" s="55">
        <v>720000</v>
      </c>
      <c r="H25" s="4" t="s">
        <v>193</v>
      </c>
      <c r="I25" s="4">
        <v>85.1</v>
      </c>
      <c r="J25" s="4">
        <v>0</v>
      </c>
      <c r="K25" s="265" t="s">
        <v>109</v>
      </c>
      <c r="L25" s="266" t="s">
        <v>109</v>
      </c>
      <c r="M25" s="267"/>
      <c r="N25" s="265" t="s">
        <v>109</v>
      </c>
      <c r="O25" s="266" t="s">
        <v>109</v>
      </c>
      <c r="P25" s="267"/>
      <c r="Q25" s="265" t="s">
        <v>109</v>
      </c>
      <c r="R25" s="266" t="s">
        <v>109</v>
      </c>
      <c r="S25" s="267"/>
      <c r="T25" s="265" t="s">
        <v>109</v>
      </c>
      <c r="U25" s="266" t="s">
        <v>109</v>
      </c>
      <c r="V25" s="267"/>
    </row>
    <row r="26" spans="1:22" x14ac:dyDescent="0.3">
      <c r="A26" s="4">
        <v>2303003</v>
      </c>
      <c r="B26" s="108" t="s">
        <v>196</v>
      </c>
      <c r="C26" s="4" t="s">
        <v>18</v>
      </c>
      <c r="D26" s="4" t="s">
        <v>198</v>
      </c>
      <c r="E26" s="4" t="s">
        <v>18</v>
      </c>
      <c r="F26" s="4" t="s">
        <v>18</v>
      </c>
      <c r="G26" s="55">
        <v>80000</v>
      </c>
      <c r="H26" s="4" t="s">
        <v>124</v>
      </c>
      <c r="I26" s="4">
        <v>23</v>
      </c>
      <c r="J26" s="4" t="s">
        <v>109</v>
      </c>
      <c r="K26" s="265" t="s">
        <v>109</v>
      </c>
      <c r="L26" s="266" t="s">
        <v>109</v>
      </c>
      <c r="M26" s="267"/>
      <c r="N26" s="265" t="s">
        <v>109</v>
      </c>
      <c r="O26" s="266" t="s">
        <v>109</v>
      </c>
      <c r="P26" s="267"/>
      <c r="Q26" s="265" t="s">
        <v>109</v>
      </c>
      <c r="R26" s="266" t="s">
        <v>109</v>
      </c>
      <c r="S26" s="267"/>
      <c r="T26" s="265" t="s">
        <v>109</v>
      </c>
      <c r="U26" s="266" t="s">
        <v>109</v>
      </c>
      <c r="V26" s="267"/>
    </row>
    <row r="27" spans="1:22" x14ac:dyDescent="0.3">
      <c r="A27" s="4">
        <v>2311040</v>
      </c>
      <c r="B27" s="108" t="s">
        <v>201</v>
      </c>
      <c r="C27" s="4" t="s">
        <v>18</v>
      </c>
      <c r="D27" s="4" t="s">
        <v>203</v>
      </c>
      <c r="E27" s="4" t="s">
        <v>18</v>
      </c>
      <c r="F27" s="4" t="s">
        <v>18</v>
      </c>
      <c r="G27" s="55">
        <v>91000</v>
      </c>
      <c r="H27" s="4" t="s">
        <v>124</v>
      </c>
      <c r="I27" s="4">
        <v>93</v>
      </c>
      <c r="J27" s="4" t="s">
        <v>109</v>
      </c>
      <c r="K27" s="265" t="s">
        <v>109</v>
      </c>
      <c r="L27" s="266" t="s">
        <v>109</v>
      </c>
      <c r="M27" s="267"/>
      <c r="N27" s="265" t="s">
        <v>109</v>
      </c>
      <c r="O27" s="266" t="s">
        <v>109</v>
      </c>
      <c r="P27" s="267"/>
      <c r="Q27" s="265" t="s">
        <v>109</v>
      </c>
      <c r="R27" s="266" t="s">
        <v>109</v>
      </c>
      <c r="S27" s="267"/>
      <c r="T27" s="265" t="s">
        <v>109</v>
      </c>
      <c r="U27" s="266" t="s">
        <v>109</v>
      </c>
      <c r="V27" s="267"/>
    </row>
    <row r="28" spans="1:22" x14ac:dyDescent="0.3">
      <c r="A28" s="4">
        <v>2308007</v>
      </c>
      <c r="B28" s="108" t="s">
        <v>205</v>
      </c>
      <c r="C28" s="4">
        <v>0</v>
      </c>
      <c r="D28" s="4" t="s">
        <v>207</v>
      </c>
      <c r="E28" s="4">
        <v>0</v>
      </c>
      <c r="F28" s="4">
        <v>0</v>
      </c>
      <c r="G28" s="55">
        <v>93380</v>
      </c>
      <c r="H28" s="4" t="s">
        <v>206</v>
      </c>
      <c r="I28" s="4">
        <v>0</v>
      </c>
      <c r="J28" s="4" t="s">
        <v>109</v>
      </c>
      <c r="K28" s="265" t="s">
        <v>109</v>
      </c>
      <c r="L28" s="266" t="s">
        <v>109</v>
      </c>
      <c r="M28" s="267"/>
      <c r="N28" s="265" t="s">
        <v>109</v>
      </c>
      <c r="O28" s="266" t="s">
        <v>109</v>
      </c>
      <c r="P28" s="267"/>
      <c r="Q28" s="265" t="s">
        <v>109</v>
      </c>
      <c r="R28" s="266" t="s">
        <v>109</v>
      </c>
      <c r="S28" s="267"/>
      <c r="T28" s="265" t="s">
        <v>109</v>
      </c>
      <c r="U28" s="266" t="s">
        <v>109</v>
      </c>
      <c r="V28" s="267"/>
    </row>
    <row r="29" spans="1:22" x14ac:dyDescent="0.3">
      <c r="A29" s="4">
        <v>2311094</v>
      </c>
      <c r="B29" s="108" t="s">
        <v>208</v>
      </c>
      <c r="C29" s="4" t="s">
        <v>209</v>
      </c>
      <c r="D29" s="4" t="s">
        <v>210</v>
      </c>
      <c r="E29" s="4" t="s">
        <v>211</v>
      </c>
      <c r="F29" s="4" t="s">
        <v>212</v>
      </c>
      <c r="G29" s="55">
        <v>37000</v>
      </c>
      <c r="H29" s="4" t="s">
        <v>71</v>
      </c>
      <c r="I29" s="4">
        <v>9.7750000000000004</v>
      </c>
      <c r="J29" s="4" t="s">
        <v>122</v>
      </c>
      <c r="K29" s="4" t="s">
        <v>1902</v>
      </c>
      <c r="L29" s="4" t="s">
        <v>1927</v>
      </c>
      <c r="M29" s="93">
        <v>45568</v>
      </c>
      <c r="N29" s="4"/>
      <c r="O29" s="4"/>
      <c r="P29" s="93"/>
      <c r="Q29" s="4"/>
      <c r="R29" s="4"/>
      <c r="S29" s="93"/>
      <c r="T29" s="4"/>
      <c r="U29" s="4"/>
      <c r="V29" s="93"/>
    </row>
    <row r="30" spans="1:22" x14ac:dyDescent="0.3">
      <c r="A30" s="4">
        <v>2311095</v>
      </c>
      <c r="B30" s="108" t="s">
        <v>213</v>
      </c>
      <c r="C30" s="4" t="s">
        <v>214</v>
      </c>
      <c r="D30" s="4" t="s">
        <v>215</v>
      </c>
      <c r="E30" s="4" t="s">
        <v>216</v>
      </c>
      <c r="F30" s="4" t="s">
        <v>217</v>
      </c>
      <c r="G30" s="55">
        <v>44600</v>
      </c>
      <c r="H30" s="4" t="s">
        <v>71</v>
      </c>
      <c r="I30" s="4">
        <v>12.65</v>
      </c>
      <c r="J30" s="4" t="s">
        <v>122</v>
      </c>
      <c r="K30" s="4" t="s">
        <v>1902</v>
      </c>
      <c r="L30" s="4" t="s">
        <v>1928</v>
      </c>
      <c r="M30" s="93">
        <v>45568</v>
      </c>
      <c r="N30" s="4"/>
      <c r="O30" s="4"/>
      <c r="P30" s="93"/>
      <c r="Q30" s="4"/>
      <c r="R30" s="4"/>
      <c r="S30" s="93"/>
      <c r="T30" s="4"/>
      <c r="U30" s="4"/>
      <c r="V30" s="93"/>
    </row>
    <row r="31" spans="1:22" x14ac:dyDescent="0.3">
      <c r="A31" s="4">
        <v>2311039</v>
      </c>
      <c r="B31" s="108" t="s">
        <v>218</v>
      </c>
      <c r="C31" s="4" t="s">
        <v>18</v>
      </c>
      <c r="D31" s="4" t="s">
        <v>18</v>
      </c>
      <c r="E31" s="4" t="s">
        <v>18</v>
      </c>
      <c r="F31" s="4" t="s">
        <v>18</v>
      </c>
      <c r="G31" s="55">
        <v>280080</v>
      </c>
      <c r="H31" s="4" t="s">
        <v>124</v>
      </c>
      <c r="I31" s="4">
        <v>370.05500000000001</v>
      </c>
      <c r="J31" s="4" t="s">
        <v>109</v>
      </c>
      <c r="K31" s="265" t="s">
        <v>109</v>
      </c>
      <c r="L31" s="266" t="s">
        <v>109</v>
      </c>
      <c r="M31" s="267"/>
      <c r="N31" s="265" t="s">
        <v>109</v>
      </c>
      <c r="O31" s="266" t="s">
        <v>109</v>
      </c>
      <c r="P31" s="267"/>
      <c r="Q31" s="265" t="s">
        <v>109</v>
      </c>
      <c r="R31" s="266" t="s">
        <v>109</v>
      </c>
      <c r="S31" s="267"/>
      <c r="T31" s="265" t="s">
        <v>109</v>
      </c>
      <c r="U31" s="266" t="s">
        <v>109</v>
      </c>
      <c r="V31" s="267"/>
    </row>
    <row r="32" spans="1:22" x14ac:dyDescent="0.3">
      <c r="A32" s="4">
        <v>2311012</v>
      </c>
      <c r="B32" s="108" t="s">
        <v>219</v>
      </c>
      <c r="C32" s="4" t="s">
        <v>18</v>
      </c>
      <c r="D32" s="4" t="s">
        <v>18</v>
      </c>
      <c r="E32" s="4" t="s">
        <v>18</v>
      </c>
      <c r="F32" s="4" t="s">
        <v>18</v>
      </c>
      <c r="G32" s="55">
        <v>109000</v>
      </c>
      <c r="H32" s="4" t="s">
        <v>206</v>
      </c>
      <c r="I32" s="4">
        <v>0</v>
      </c>
      <c r="J32" s="4" t="s">
        <v>109</v>
      </c>
      <c r="K32" s="265" t="s">
        <v>109</v>
      </c>
      <c r="L32" s="266" t="s">
        <v>109</v>
      </c>
      <c r="M32" s="267"/>
      <c r="N32" s="265" t="s">
        <v>109</v>
      </c>
      <c r="O32" s="266" t="s">
        <v>109</v>
      </c>
      <c r="P32" s="267"/>
      <c r="Q32" s="265" t="s">
        <v>109</v>
      </c>
      <c r="R32" s="266" t="s">
        <v>109</v>
      </c>
      <c r="S32" s="267"/>
      <c r="T32" s="265" t="s">
        <v>109</v>
      </c>
      <c r="U32" s="266" t="s">
        <v>109</v>
      </c>
      <c r="V32" s="267"/>
    </row>
    <row r="33" spans="1:22" x14ac:dyDescent="0.3">
      <c r="A33" s="4">
        <v>2311089</v>
      </c>
      <c r="B33" s="108" t="s">
        <v>220</v>
      </c>
      <c r="C33" s="4" t="s">
        <v>222</v>
      </c>
      <c r="D33" s="4" t="s">
        <v>223</v>
      </c>
      <c r="E33" s="4" t="s">
        <v>224</v>
      </c>
      <c r="F33" s="4" t="s">
        <v>225</v>
      </c>
      <c r="G33" s="55">
        <v>37500</v>
      </c>
      <c r="H33" s="4" t="s">
        <v>71</v>
      </c>
      <c r="I33" s="4">
        <v>11.5</v>
      </c>
      <c r="J33" s="4" t="s">
        <v>122</v>
      </c>
      <c r="K33" s="4" t="s">
        <v>1902</v>
      </c>
      <c r="L33" s="4" t="s">
        <v>1929</v>
      </c>
      <c r="M33" s="93">
        <v>45568</v>
      </c>
      <c r="N33" s="4"/>
      <c r="O33" s="4"/>
      <c r="P33" s="93"/>
      <c r="Q33" s="4"/>
      <c r="R33" s="4"/>
      <c r="S33" s="93"/>
      <c r="T33" s="4"/>
      <c r="U33" s="4"/>
      <c r="V33" s="93"/>
    </row>
    <row r="34" spans="1:22" x14ac:dyDescent="0.3">
      <c r="A34" s="4">
        <v>2312118</v>
      </c>
      <c r="B34" s="108" t="s">
        <v>226</v>
      </c>
      <c r="C34" s="4" t="s">
        <v>227</v>
      </c>
      <c r="D34" s="4" t="s">
        <v>228</v>
      </c>
      <c r="E34" s="4" t="s">
        <v>229</v>
      </c>
      <c r="F34" s="4" t="s">
        <v>230</v>
      </c>
      <c r="G34" s="55">
        <v>54930</v>
      </c>
      <c r="H34" s="4" t="s">
        <v>71</v>
      </c>
      <c r="I34" s="4">
        <v>13.8</v>
      </c>
      <c r="J34" s="4" t="s">
        <v>122</v>
      </c>
      <c r="K34" s="4" t="s">
        <v>1902</v>
      </c>
      <c r="L34" s="4" t="s">
        <v>1930</v>
      </c>
      <c r="M34" s="93">
        <v>45568</v>
      </c>
      <c r="N34" s="4"/>
      <c r="O34" s="4"/>
      <c r="P34" s="93"/>
      <c r="Q34" s="4"/>
      <c r="R34" s="4"/>
      <c r="S34" s="93"/>
      <c r="T34" s="4"/>
      <c r="U34" s="4"/>
      <c r="V34" s="93"/>
    </row>
    <row r="35" spans="1:22" x14ac:dyDescent="0.3">
      <c r="A35" s="4">
        <v>2309070</v>
      </c>
      <c r="B35" s="108" t="s">
        <v>231</v>
      </c>
      <c r="C35" s="4" t="s">
        <v>232</v>
      </c>
      <c r="D35" s="4" t="s">
        <v>233</v>
      </c>
      <c r="E35" s="4" t="s">
        <v>234</v>
      </c>
      <c r="F35" s="4" t="s">
        <v>235</v>
      </c>
      <c r="G35" s="55">
        <v>48902</v>
      </c>
      <c r="H35" s="4" t="s">
        <v>71</v>
      </c>
      <c r="I35" s="4">
        <v>13.8</v>
      </c>
      <c r="J35" s="4" t="s">
        <v>122</v>
      </c>
      <c r="K35" s="4" t="s">
        <v>1902</v>
      </c>
      <c r="L35" s="4" t="s">
        <v>1931</v>
      </c>
      <c r="M35" s="93">
        <v>45568</v>
      </c>
      <c r="N35" s="4"/>
      <c r="O35" s="4"/>
      <c r="P35" s="93"/>
      <c r="Q35" s="4"/>
      <c r="R35" s="4"/>
      <c r="S35" s="93"/>
      <c r="T35" s="4"/>
      <c r="U35" s="4"/>
      <c r="V35" s="93"/>
    </row>
    <row r="36" spans="1:22" x14ac:dyDescent="0.3">
      <c r="A36" s="122">
        <v>2310075</v>
      </c>
      <c r="B36" s="136" t="s">
        <v>236</v>
      </c>
      <c r="C36" s="122" t="s">
        <v>238</v>
      </c>
      <c r="D36" s="122" t="s">
        <v>239</v>
      </c>
      <c r="E36" s="122" t="s">
        <v>240</v>
      </c>
      <c r="F36" s="122" t="s">
        <v>241</v>
      </c>
      <c r="G36" s="137">
        <v>45600</v>
      </c>
      <c r="H36" s="122" t="s">
        <v>71</v>
      </c>
      <c r="I36" s="122">
        <v>14.625</v>
      </c>
      <c r="J36" s="122">
        <v>0</v>
      </c>
      <c r="K36" s="265" t="s">
        <v>1925</v>
      </c>
      <c r="L36" s="266"/>
      <c r="M36" s="266"/>
      <c r="N36" s="266"/>
      <c r="O36" s="266"/>
      <c r="P36" s="266"/>
      <c r="Q36" s="266"/>
      <c r="R36" s="266"/>
      <c r="S36" s="266"/>
      <c r="T36" s="266"/>
      <c r="U36" s="266"/>
      <c r="V36" s="267"/>
    </row>
    <row r="37" spans="1:22" x14ac:dyDescent="0.3">
      <c r="A37" s="4">
        <v>2310076</v>
      </c>
      <c r="B37" s="108" t="s">
        <v>242</v>
      </c>
      <c r="C37" s="4" t="s">
        <v>245</v>
      </c>
      <c r="D37" s="4" t="s">
        <v>246</v>
      </c>
      <c r="E37" s="4" t="s">
        <v>247</v>
      </c>
      <c r="F37" s="4" t="s">
        <v>248</v>
      </c>
      <c r="G37" s="55">
        <v>24000</v>
      </c>
      <c r="H37" s="4" t="s">
        <v>71</v>
      </c>
      <c r="I37" s="4">
        <v>8.26</v>
      </c>
      <c r="J37" s="4" t="s">
        <v>122</v>
      </c>
      <c r="K37" s="4" t="s">
        <v>1902</v>
      </c>
      <c r="L37" s="4" t="s">
        <v>1932</v>
      </c>
      <c r="M37" s="93">
        <v>45806</v>
      </c>
      <c r="N37" s="4"/>
      <c r="O37" s="4"/>
      <c r="P37" s="4"/>
      <c r="Q37" s="4"/>
      <c r="R37" s="4"/>
      <c r="S37" s="4"/>
      <c r="T37" s="4"/>
      <c r="U37" s="4"/>
      <c r="V37" s="4"/>
    </row>
    <row r="38" spans="1:22" x14ac:dyDescent="0.3">
      <c r="A38" s="4">
        <v>2310085</v>
      </c>
      <c r="B38" s="108" t="s">
        <v>249</v>
      </c>
      <c r="C38" s="4" t="s">
        <v>250</v>
      </c>
      <c r="D38" s="4" t="s">
        <v>251</v>
      </c>
      <c r="E38" s="4" t="s">
        <v>252</v>
      </c>
      <c r="F38" s="4" t="s">
        <v>253</v>
      </c>
      <c r="G38" s="55">
        <v>47786</v>
      </c>
      <c r="H38" s="4" t="s">
        <v>71</v>
      </c>
      <c r="I38" s="4">
        <v>12.074999999999999</v>
      </c>
      <c r="J38" s="4" t="s">
        <v>122</v>
      </c>
      <c r="K38" s="4" t="s">
        <v>1902</v>
      </c>
      <c r="L38" s="4" t="s">
        <v>1933</v>
      </c>
      <c r="M38" s="93">
        <v>45568</v>
      </c>
      <c r="N38" s="4"/>
      <c r="O38" s="4"/>
      <c r="P38" s="93"/>
      <c r="Q38" s="4"/>
      <c r="R38" s="4"/>
      <c r="S38" s="93"/>
      <c r="T38" s="4"/>
      <c r="U38" s="4"/>
      <c r="V38" s="93"/>
    </row>
    <row r="39" spans="1:22" x14ac:dyDescent="0.3">
      <c r="A39" s="4">
        <v>2312113</v>
      </c>
      <c r="B39" s="108" t="s">
        <v>254</v>
      </c>
      <c r="C39" s="4" t="s">
        <v>255</v>
      </c>
      <c r="D39" s="4" t="s">
        <v>256</v>
      </c>
      <c r="E39" s="4" t="s">
        <v>257</v>
      </c>
      <c r="F39" s="4" t="s">
        <v>258</v>
      </c>
      <c r="G39" s="55">
        <v>44000</v>
      </c>
      <c r="H39" s="4" t="s">
        <v>71</v>
      </c>
      <c r="I39" s="4">
        <v>13.8</v>
      </c>
      <c r="J39" s="4" t="s">
        <v>122</v>
      </c>
      <c r="K39" s="4" t="s">
        <v>1902</v>
      </c>
      <c r="L39" s="4" t="s">
        <v>1934</v>
      </c>
      <c r="M39" s="93">
        <v>45806</v>
      </c>
      <c r="N39" s="4"/>
      <c r="O39" s="4"/>
      <c r="P39" s="4"/>
      <c r="Q39" s="4"/>
      <c r="R39" s="4"/>
      <c r="S39" s="4"/>
      <c r="T39" s="4"/>
      <c r="U39" s="4"/>
      <c r="V39" s="4"/>
    </row>
    <row r="40" spans="1:22" x14ac:dyDescent="0.3">
      <c r="A40" s="4">
        <v>2401121</v>
      </c>
      <c r="B40" s="108" t="s">
        <v>259</v>
      </c>
      <c r="C40" s="4" t="s">
        <v>260</v>
      </c>
      <c r="D40" s="4" t="s">
        <v>261</v>
      </c>
      <c r="E40" s="4" t="s">
        <v>262</v>
      </c>
      <c r="F40" s="4" t="s">
        <v>263</v>
      </c>
      <c r="G40" s="55">
        <v>40000</v>
      </c>
      <c r="H40" s="4" t="s">
        <v>71</v>
      </c>
      <c r="I40" s="4">
        <v>11.7</v>
      </c>
      <c r="J40" s="4" t="s">
        <v>122</v>
      </c>
      <c r="K40" s="4" t="s">
        <v>1902</v>
      </c>
      <c r="L40" s="4" t="s">
        <v>1935</v>
      </c>
      <c r="M40" s="93">
        <v>45568</v>
      </c>
      <c r="N40" s="4"/>
      <c r="O40" s="4"/>
      <c r="P40" s="93"/>
      <c r="Q40" s="4"/>
      <c r="R40" s="4"/>
      <c r="S40" s="93"/>
      <c r="T40" s="4"/>
      <c r="U40" s="4"/>
      <c r="V40" s="93"/>
    </row>
    <row r="41" spans="1:22" x14ac:dyDescent="0.3">
      <c r="A41" s="4">
        <v>2401124</v>
      </c>
      <c r="B41" s="108" t="s">
        <v>264</v>
      </c>
      <c r="C41" s="4" t="s">
        <v>265</v>
      </c>
      <c r="D41" s="4" t="s">
        <v>266</v>
      </c>
      <c r="E41" s="4" t="s">
        <v>267</v>
      </c>
      <c r="F41" s="4" t="s">
        <v>268</v>
      </c>
      <c r="G41" s="55">
        <v>53708</v>
      </c>
      <c r="H41" s="4" t="s">
        <v>71</v>
      </c>
      <c r="I41" s="4">
        <v>17.55</v>
      </c>
      <c r="J41" s="4" t="s">
        <v>122</v>
      </c>
      <c r="K41" s="4" t="s">
        <v>1902</v>
      </c>
      <c r="L41" s="4" t="s">
        <v>1936</v>
      </c>
      <c r="M41" s="93">
        <v>45568</v>
      </c>
      <c r="N41" s="4"/>
      <c r="O41" s="4"/>
      <c r="P41" s="93"/>
      <c r="Q41" s="4"/>
      <c r="R41" s="4"/>
      <c r="S41" s="93"/>
      <c r="T41" s="4"/>
      <c r="U41" s="4"/>
      <c r="V41" s="93"/>
    </row>
    <row r="42" spans="1:22" x14ac:dyDescent="0.3">
      <c r="A42" s="4">
        <v>2401131</v>
      </c>
      <c r="B42" s="108" t="s">
        <v>270</v>
      </c>
      <c r="C42" s="4" t="s">
        <v>271</v>
      </c>
      <c r="D42" s="4" t="s">
        <v>272</v>
      </c>
      <c r="E42" s="4" t="s">
        <v>273</v>
      </c>
      <c r="F42" s="4" t="s">
        <v>274</v>
      </c>
      <c r="G42" s="55">
        <v>29500</v>
      </c>
      <c r="H42" s="4" t="s">
        <v>71</v>
      </c>
      <c r="I42" s="4">
        <v>8.19</v>
      </c>
      <c r="J42" s="4" t="s">
        <v>122</v>
      </c>
      <c r="K42" s="4" t="s">
        <v>1902</v>
      </c>
      <c r="L42" s="4" t="s">
        <v>1937</v>
      </c>
      <c r="M42" s="93">
        <v>45568</v>
      </c>
      <c r="N42" s="4"/>
      <c r="O42" s="4"/>
      <c r="P42" s="93"/>
      <c r="Q42" s="4"/>
      <c r="R42" s="4"/>
      <c r="S42" s="93"/>
      <c r="T42" s="4"/>
      <c r="U42" s="4"/>
      <c r="V42" s="93"/>
    </row>
    <row r="43" spans="1:22" x14ac:dyDescent="0.3">
      <c r="A43" s="4">
        <v>2401137</v>
      </c>
      <c r="B43" s="108" t="s">
        <v>275</v>
      </c>
      <c r="C43" s="4" t="s">
        <v>276</v>
      </c>
      <c r="D43" s="4" t="s">
        <v>277</v>
      </c>
      <c r="E43" s="4" t="s">
        <v>278</v>
      </c>
      <c r="F43" s="4" t="s">
        <v>279</v>
      </c>
      <c r="G43" s="55">
        <v>40900</v>
      </c>
      <c r="H43" s="4" t="s">
        <v>71</v>
      </c>
      <c r="I43" s="4">
        <v>11.7</v>
      </c>
      <c r="J43" s="4" t="s">
        <v>122</v>
      </c>
      <c r="K43" s="4" t="s">
        <v>1902</v>
      </c>
      <c r="L43" s="4" t="s">
        <v>1938</v>
      </c>
      <c r="M43" s="93">
        <v>45568</v>
      </c>
      <c r="N43" s="4"/>
      <c r="O43" s="4"/>
      <c r="P43" s="93"/>
      <c r="Q43" s="4"/>
      <c r="R43" s="4"/>
      <c r="S43" s="93"/>
      <c r="T43" s="4"/>
      <c r="U43" s="4"/>
      <c r="V43" s="93"/>
    </row>
    <row r="44" spans="1:22" x14ac:dyDescent="0.3">
      <c r="A44" s="4">
        <v>2401147</v>
      </c>
      <c r="B44" s="108" t="s">
        <v>280</v>
      </c>
      <c r="C44" s="4" t="s">
        <v>281</v>
      </c>
      <c r="D44" s="4" t="s">
        <v>282</v>
      </c>
      <c r="E44" s="4" t="s">
        <v>283</v>
      </c>
      <c r="F44" s="4" t="s">
        <v>284</v>
      </c>
      <c r="G44" s="55">
        <v>40440</v>
      </c>
      <c r="H44" s="4" t="s">
        <v>71</v>
      </c>
      <c r="I44" s="4">
        <v>11.7</v>
      </c>
      <c r="J44" s="4" t="s">
        <v>122</v>
      </c>
      <c r="K44" s="4" t="s">
        <v>1902</v>
      </c>
      <c r="L44" s="4" t="s">
        <v>1939</v>
      </c>
      <c r="M44" s="93">
        <v>45568</v>
      </c>
      <c r="N44" s="4"/>
      <c r="O44" s="4"/>
      <c r="P44" s="93"/>
      <c r="Q44" s="4"/>
      <c r="R44" s="4"/>
      <c r="S44" s="93"/>
      <c r="T44" s="4"/>
      <c r="U44" s="4"/>
      <c r="V44" s="93"/>
    </row>
    <row r="45" spans="1:22" x14ac:dyDescent="0.3">
      <c r="A45" s="4">
        <v>2403165</v>
      </c>
      <c r="B45" s="108" t="s">
        <v>285</v>
      </c>
      <c r="C45" s="4" t="s">
        <v>287</v>
      </c>
      <c r="D45" s="4" t="s">
        <v>288</v>
      </c>
      <c r="E45" s="4" t="s">
        <v>289</v>
      </c>
      <c r="F45" s="4" t="s">
        <v>290</v>
      </c>
      <c r="G45" s="55">
        <v>24600</v>
      </c>
      <c r="H45" s="4" t="s">
        <v>71</v>
      </c>
      <c r="I45" s="4">
        <v>7.02</v>
      </c>
      <c r="J45" s="4" t="s">
        <v>122</v>
      </c>
      <c r="K45" s="4" t="s">
        <v>1902</v>
      </c>
      <c r="L45" s="4" t="s">
        <v>1940</v>
      </c>
      <c r="M45" s="93">
        <v>45568</v>
      </c>
      <c r="N45" s="4"/>
      <c r="O45" s="4"/>
      <c r="P45" s="93"/>
      <c r="Q45" s="4"/>
      <c r="R45" s="4"/>
      <c r="S45" s="93"/>
      <c r="T45" s="4"/>
      <c r="U45" s="4"/>
      <c r="V45" s="93"/>
    </row>
    <row r="46" spans="1:22" x14ac:dyDescent="0.3">
      <c r="A46" s="4">
        <v>2403167</v>
      </c>
      <c r="B46" s="108" t="s">
        <v>291</v>
      </c>
      <c r="C46" s="4" t="s">
        <v>292</v>
      </c>
      <c r="D46" s="4" t="s">
        <v>293</v>
      </c>
      <c r="E46" s="4" t="s">
        <v>294</v>
      </c>
      <c r="F46" s="4" t="s">
        <v>295</v>
      </c>
      <c r="G46" s="55">
        <v>47500</v>
      </c>
      <c r="H46" s="4" t="s">
        <v>71</v>
      </c>
      <c r="I46" s="4">
        <v>17.55</v>
      </c>
      <c r="J46" s="4" t="s">
        <v>122</v>
      </c>
      <c r="K46" s="4" t="s">
        <v>1902</v>
      </c>
      <c r="L46" s="4" t="s">
        <v>1941</v>
      </c>
      <c r="M46" s="93">
        <v>45568</v>
      </c>
      <c r="N46" s="4"/>
      <c r="O46" s="4"/>
      <c r="P46" s="93"/>
      <c r="Q46" s="4"/>
      <c r="R46" s="4"/>
      <c r="S46" s="93"/>
      <c r="T46" s="4"/>
      <c r="U46" s="4"/>
      <c r="V46" s="93"/>
    </row>
    <row r="47" spans="1:22" x14ac:dyDescent="0.3">
      <c r="A47" s="4">
        <v>2403170</v>
      </c>
      <c r="B47" s="108" t="s">
        <v>296</v>
      </c>
      <c r="C47" s="4" t="s">
        <v>297</v>
      </c>
      <c r="D47" s="4" t="s">
        <v>298</v>
      </c>
      <c r="E47" s="4" t="s">
        <v>299</v>
      </c>
      <c r="F47" s="4" t="s">
        <v>300</v>
      </c>
      <c r="G47" s="55">
        <v>35600</v>
      </c>
      <c r="H47" s="4" t="s">
        <v>71</v>
      </c>
      <c r="I47" s="4">
        <v>10.53</v>
      </c>
      <c r="J47" s="4" t="s">
        <v>122</v>
      </c>
      <c r="K47" s="4" t="s">
        <v>1902</v>
      </c>
      <c r="L47" s="4" t="s">
        <v>1942</v>
      </c>
      <c r="M47" s="93">
        <v>45568</v>
      </c>
      <c r="N47" s="4"/>
      <c r="O47" s="4"/>
      <c r="P47" s="93"/>
      <c r="Q47" s="4"/>
      <c r="R47" s="4"/>
      <c r="S47" s="93"/>
      <c r="T47" s="4"/>
      <c r="U47" s="4"/>
      <c r="V47" s="93"/>
    </row>
    <row r="48" spans="1:22" x14ac:dyDescent="0.3">
      <c r="A48" s="4">
        <v>2403177</v>
      </c>
      <c r="B48" s="108" t="s">
        <v>301</v>
      </c>
      <c r="C48" s="4" t="s">
        <v>303</v>
      </c>
      <c r="D48" s="4" t="s">
        <v>304</v>
      </c>
      <c r="E48" s="4" t="s">
        <v>305</v>
      </c>
      <c r="F48" s="4" t="s">
        <v>306</v>
      </c>
      <c r="G48" s="55">
        <v>20000</v>
      </c>
      <c r="H48" s="4" t="s">
        <v>71</v>
      </c>
      <c r="I48" s="4">
        <v>4.68</v>
      </c>
      <c r="J48" s="4" t="s">
        <v>122</v>
      </c>
      <c r="K48" s="4" t="s">
        <v>1902</v>
      </c>
      <c r="L48" s="4" t="s">
        <v>1943</v>
      </c>
      <c r="M48" s="93">
        <v>45568</v>
      </c>
      <c r="N48" s="4"/>
      <c r="O48" s="4"/>
      <c r="P48" s="93"/>
      <c r="Q48" s="4"/>
      <c r="R48" s="4"/>
      <c r="S48" s="93"/>
      <c r="T48" s="4"/>
      <c r="U48" s="4"/>
      <c r="V48" s="93"/>
    </row>
    <row r="49" spans="1:22" x14ac:dyDescent="0.3">
      <c r="A49" s="4">
        <v>2403189</v>
      </c>
      <c r="B49" s="108" t="s">
        <v>308</v>
      </c>
      <c r="C49" s="4" t="s">
        <v>310</v>
      </c>
      <c r="D49" s="4" t="s">
        <v>311</v>
      </c>
      <c r="E49" s="4" t="s">
        <v>312</v>
      </c>
      <c r="F49" s="4" t="s">
        <v>313</v>
      </c>
      <c r="G49" s="55">
        <v>27500</v>
      </c>
      <c r="H49" s="4" t="s">
        <v>71</v>
      </c>
      <c r="I49" s="4">
        <v>7.02</v>
      </c>
      <c r="J49" s="4" t="s">
        <v>122</v>
      </c>
      <c r="K49" s="4" t="s">
        <v>1902</v>
      </c>
      <c r="L49" s="4" t="s">
        <v>1944</v>
      </c>
      <c r="M49" s="93">
        <v>45568</v>
      </c>
      <c r="N49" s="4"/>
      <c r="O49" s="4"/>
      <c r="P49" s="93"/>
      <c r="Q49" s="4"/>
      <c r="R49" s="4"/>
      <c r="S49" s="93"/>
      <c r="T49" s="4"/>
      <c r="U49" s="4"/>
      <c r="V49" s="93"/>
    </row>
    <row r="50" spans="1:22" x14ac:dyDescent="0.3">
      <c r="A50" s="4">
        <v>2403190</v>
      </c>
      <c r="B50" s="108" t="s">
        <v>314</v>
      </c>
      <c r="C50" s="4" t="s">
        <v>315</v>
      </c>
      <c r="D50" s="4" t="s">
        <v>316</v>
      </c>
      <c r="E50" s="4" t="s">
        <v>317</v>
      </c>
      <c r="F50" s="4" t="s">
        <v>318</v>
      </c>
      <c r="G50" s="55">
        <v>21000</v>
      </c>
      <c r="H50" s="4" t="s">
        <v>71</v>
      </c>
      <c r="I50" s="4">
        <v>7.02</v>
      </c>
      <c r="J50" s="4" t="s">
        <v>122</v>
      </c>
      <c r="K50" s="4" t="s">
        <v>1902</v>
      </c>
      <c r="L50" s="4" t="s">
        <v>1945</v>
      </c>
      <c r="M50" s="93">
        <v>45568</v>
      </c>
      <c r="N50" s="4"/>
      <c r="O50" s="4"/>
      <c r="P50" s="93"/>
      <c r="Q50" s="4"/>
      <c r="R50" s="4"/>
      <c r="S50" s="93"/>
      <c r="T50" s="4"/>
      <c r="U50" s="4"/>
      <c r="V50" s="93"/>
    </row>
    <row r="51" spans="1:22" x14ac:dyDescent="0.3">
      <c r="A51" s="122">
        <v>2403197</v>
      </c>
      <c r="B51" s="136" t="s">
        <v>319</v>
      </c>
      <c r="C51" s="122" t="s">
        <v>320</v>
      </c>
      <c r="D51" s="122" t="s">
        <v>321</v>
      </c>
      <c r="E51" s="122" t="s">
        <v>322</v>
      </c>
      <c r="F51" s="122" t="s">
        <v>323</v>
      </c>
      <c r="G51" s="137">
        <v>48600</v>
      </c>
      <c r="H51" s="122" t="s">
        <v>71</v>
      </c>
      <c r="I51" s="122">
        <v>16.38</v>
      </c>
      <c r="J51" s="122" t="s">
        <v>122</v>
      </c>
      <c r="K51" s="265" t="s">
        <v>1925</v>
      </c>
      <c r="L51" s="266"/>
      <c r="M51" s="266"/>
      <c r="N51" s="266"/>
      <c r="O51" s="266"/>
      <c r="P51" s="266"/>
      <c r="Q51" s="266"/>
      <c r="R51" s="266"/>
      <c r="S51" s="266"/>
      <c r="T51" s="266"/>
      <c r="U51" s="266"/>
      <c r="V51" s="267"/>
    </row>
    <row r="52" spans="1:22" x14ac:dyDescent="0.3">
      <c r="A52" s="4" t="s">
        <v>324</v>
      </c>
      <c r="B52" s="108" t="s">
        <v>325</v>
      </c>
      <c r="C52" s="4" t="s">
        <v>326</v>
      </c>
      <c r="D52" s="4" t="s">
        <v>327</v>
      </c>
      <c r="E52" s="4" t="s">
        <v>328</v>
      </c>
      <c r="F52" s="4" t="s">
        <v>329</v>
      </c>
      <c r="G52" s="55">
        <v>27237.200000000001</v>
      </c>
      <c r="H52" s="4" t="s">
        <v>71</v>
      </c>
      <c r="I52" s="4">
        <v>7.02</v>
      </c>
      <c r="J52" s="4" t="s">
        <v>122</v>
      </c>
      <c r="K52" s="4" t="s">
        <v>1902</v>
      </c>
      <c r="L52" s="4" t="s">
        <v>1946</v>
      </c>
      <c r="M52" s="93">
        <v>45568</v>
      </c>
      <c r="N52" s="4"/>
      <c r="O52" s="4"/>
      <c r="P52" s="93"/>
      <c r="Q52" s="4"/>
      <c r="R52" s="4"/>
      <c r="S52" s="93"/>
      <c r="T52" s="4"/>
      <c r="U52" s="4"/>
      <c r="V52" s="93"/>
    </row>
    <row r="53" spans="1:22" x14ac:dyDescent="0.3">
      <c r="A53" s="4">
        <v>2404206</v>
      </c>
      <c r="B53" s="108" t="s">
        <v>330</v>
      </c>
      <c r="C53" s="4" t="s">
        <v>331</v>
      </c>
      <c r="D53" s="4" t="s">
        <v>332</v>
      </c>
      <c r="E53" s="4" t="s">
        <v>333</v>
      </c>
      <c r="F53" s="4" t="s">
        <v>334</v>
      </c>
      <c r="G53" s="55">
        <v>31000</v>
      </c>
      <c r="H53" s="4" t="s">
        <v>71</v>
      </c>
      <c r="I53" s="4">
        <v>8.19</v>
      </c>
      <c r="J53" s="4" t="s">
        <v>122</v>
      </c>
      <c r="K53" s="4" t="s">
        <v>1902</v>
      </c>
      <c r="L53" s="4" t="s">
        <v>1947</v>
      </c>
      <c r="M53" s="93">
        <v>45568</v>
      </c>
      <c r="N53" s="4"/>
      <c r="O53" s="4"/>
      <c r="P53" s="93"/>
      <c r="Q53" s="4"/>
      <c r="R53" s="4"/>
      <c r="S53" s="93"/>
      <c r="T53" s="4"/>
      <c r="U53" s="4"/>
      <c r="V53" s="93"/>
    </row>
    <row r="54" spans="1:22" x14ac:dyDescent="0.3">
      <c r="A54" s="4">
        <v>2404226</v>
      </c>
      <c r="B54" s="108" t="s">
        <v>335</v>
      </c>
      <c r="C54" s="4" t="s">
        <v>336</v>
      </c>
      <c r="D54" s="4" t="s">
        <v>337</v>
      </c>
      <c r="E54" s="4" t="s">
        <v>338</v>
      </c>
      <c r="F54" s="4" t="s">
        <v>339</v>
      </c>
      <c r="G54" s="55">
        <v>25100</v>
      </c>
      <c r="H54" s="4" t="s">
        <v>71</v>
      </c>
      <c r="I54" s="4">
        <v>7.02</v>
      </c>
      <c r="J54" s="4" t="s">
        <v>122</v>
      </c>
      <c r="K54" s="4" t="s">
        <v>1902</v>
      </c>
      <c r="L54" s="4" t="s">
        <v>1948</v>
      </c>
      <c r="M54" s="93">
        <v>45568</v>
      </c>
      <c r="N54" s="4"/>
      <c r="O54" s="4"/>
      <c r="P54" s="93"/>
      <c r="Q54" s="4"/>
      <c r="R54" s="4"/>
      <c r="S54" s="93"/>
      <c r="T54" s="4"/>
      <c r="U54" s="4"/>
      <c r="V54" s="93"/>
    </row>
    <row r="55" spans="1:22" x14ac:dyDescent="0.3">
      <c r="A55" s="4">
        <v>2401063</v>
      </c>
      <c r="B55" s="108" t="s">
        <v>340</v>
      </c>
      <c r="C55" s="4">
        <v>0</v>
      </c>
      <c r="D55" s="4" t="s">
        <v>342</v>
      </c>
      <c r="E55" s="4">
        <v>0</v>
      </c>
      <c r="F55" s="4">
        <v>0</v>
      </c>
      <c r="G55" s="55">
        <v>82000</v>
      </c>
      <c r="H55" s="4" t="s">
        <v>124</v>
      </c>
      <c r="I55" s="4">
        <v>26.91</v>
      </c>
      <c r="J55" s="4" t="s">
        <v>122</v>
      </c>
      <c r="K55" s="4" t="s">
        <v>1912</v>
      </c>
      <c r="L55" s="4" t="s">
        <v>1949</v>
      </c>
      <c r="M55" s="93">
        <v>45890</v>
      </c>
      <c r="N55" s="4"/>
      <c r="O55" s="4"/>
      <c r="P55" s="4"/>
      <c r="Q55" s="4"/>
      <c r="R55" s="4"/>
      <c r="S55" s="4"/>
      <c r="T55" s="4"/>
      <c r="U55" s="4"/>
      <c r="V55" s="4"/>
    </row>
    <row r="56" spans="1:22" x14ac:dyDescent="0.3">
      <c r="A56" s="4">
        <v>2401069</v>
      </c>
      <c r="B56" s="108" t="s">
        <v>343</v>
      </c>
      <c r="C56" s="4">
        <v>0</v>
      </c>
      <c r="D56" s="4" t="s">
        <v>346</v>
      </c>
      <c r="E56" s="4">
        <v>0</v>
      </c>
      <c r="F56" s="4">
        <v>0</v>
      </c>
      <c r="G56" s="55">
        <v>668000</v>
      </c>
      <c r="H56" s="4" t="s">
        <v>124</v>
      </c>
      <c r="I56" s="4">
        <v>290.39999999999998</v>
      </c>
      <c r="J56" s="4" t="s">
        <v>122</v>
      </c>
      <c r="K56" s="4"/>
      <c r="L56" s="4"/>
      <c r="M56" s="4"/>
      <c r="N56" s="4"/>
      <c r="O56" s="4"/>
      <c r="P56" s="4"/>
      <c r="Q56" s="4"/>
      <c r="R56" s="4"/>
      <c r="S56" s="4"/>
      <c r="T56" s="4"/>
      <c r="U56" s="4"/>
      <c r="V56" s="4"/>
    </row>
    <row r="57" spans="1:22" x14ac:dyDescent="0.3">
      <c r="A57" s="4">
        <v>2402079</v>
      </c>
      <c r="B57" s="108" t="s">
        <v>347</v>
      </c>
      <c r="C57" s="4">
        <v>0</v>
      </c>
      <c r="D57" s="4" t="s">
        <v>349</v>
      </c>
      <c r="E57" s="4">
        <v>0</v>
      </c>
      <c r="F57" s="4">
        <v>0</v>
      </c>
      <c r="G57" s="55">
        <v>194600</v>
      </c>
      <c r="H57" s="4" t="s">
        <v>124</v>
      </c>
      <c r="I57" s="4">
        <v>46.8</v>
      </c>
      <c r="J57" s="4" t="s">
        <v>122</v>
      </c>
      <c r="K57" s="4"/>
      <c r="L57" s="4"/>
      <c r="M57" s="4"/>
      <c r="N57" s="4"/>
      <c r="O57" s="4"/>
      <c r="P57" s="4"/>
      <c r="Q57" s="4"/>
      <c r="R57" s="4"/>
      <c r="S57" s="4"/>
      <c r="T57" s="4"/>
      <c r="U57" s="4"/>
      <c r="V57" s="4"/>
    </row>
    <row r="58" spans="1:22" x14ac:dyDescent="0.3">
      <c r="A58" s="4">
        <v>2402080</v>
      </c>
      <c r="B58" s="108" t="s">
        <v>350</v>
      </c>
      <c r="C58" s="4">
        <v>0</v>
      </c>
      <c r="D58" s="4" t="s">
        <v>352</v>
      </c>
      <c r="E58" s="4">
        <v>0</v>
      </c>
      <c r="F58" s="4">
        <v>0</v>
      </c>
      <c r="G58" s="55">
        <v>120000</v>
      </c>
      <c r="H58" s="4" t="s">
        <v>124</v>
      </c>
      <c r="I58" s="4">
        <v>43.29</v>
      </c>
      <c r="J58" s="4" t="s">
        <v>122</v>
      </c>
      <c r="K58" s="4"/>
      <c r="L58" s="4"/>
      <c r="M58" s="4"/>
      <c r="N58" s="4"/>
      <c r="O58" s="4"/>
      <c r="P58" s="4"/>
      <c r="Q58" s="4"/>
      <c r="R58" s="4"/>
      <c r="S58" s="4"/>
      <c r="T58" s="4"/>
      <c r="U58" s="4"/>
      <c r="V58" s="4"/>
    </row>
    <row r="59" spans="1:22" x14ac:dyDescent="0.3">
      <c r="A59" s="4">
        <v>2312120</v>
      </c>
      <c r="B59" s="108" t="s">
        <v>353</v>
      </c>
      <c r="C59" s="4" t="s">
        <v>354</v>
      </c>
      <c r="D59" s="4" t="s">
        <v>355</v>
      </c>
      <c r="E59" s="4" t="s">
        <v>356</v>
      </c>
      <c r="F59" s="4" t="s">
        <v>357</v>
      </c>
      <c r="G59" s="55">
        <v>27500</v>
      </c>
      <c r="H59" s="4" t="s">
        <v>71</v>
      </c>
      <c r="I59" s="4">
        <v>7.6050000000000004</v>
      </c>
      <c r="J59" s="4" t="s">
        <v>122</v>
      </c>
      <c r="K59" s="4" t="s">
        <v>1902</v>
      </c>
      <c r="L59" s="4" t="s">
        <v>1950</v>
      </c>
      <c r="M59" s="93">
        <v>45568</v>
      </c>
      <c r="N59" s="4"/>
      <c r="O59" s="4"/>
      <c r="P59" s="93"/>
      <c r="Q59" s="4"/>
      <c r="R59" s="4"/>
      <c r="S59" s="93"/>
      <c r="T59" s="4"/>
      <c r="U59" s="4"/>
      <c r="V59" s="93"/>
    </row>
    <row r="60" spans="1:22" x14ac:dyDescent="0.3">
      <c r="A60" s="4">
        <v>2311092</v>
      </c>
      <c r="B60" s="108" t="s">
        <v>358</v>
      </c>
      <c r="C60" s="4" t="s">
        <v>359</v>
      </c>
      <c r="D60" s="4" t="s">
        <v>360</v>
      </c>
      <c r="E60" s="4" t="s">
        <v>361</v>
      </c>
      <c r="F60" s="4" t="s">
        <v>362</v>
      </c>
      <c r="G60" s="55">
        <v>22000</v>
      </c>
      <c r="H60" s="4" t="s">
        <v>71</v>
      </c>
      <c r="I60" s="4">
        <v>5.75</v>
      </c>
      <c r="J60" s="4" t="s">
        <v>122</v>
      </c>
      <c r="K60" s="4" t="s">
        <v>1902</v>
      </c>
      <c r="L60" s="4" t="s">
        <v>1951</v>
      </c>
      <c r="M60" s="93">
        <v>45568</v>
      </c>
      <c r="N60" s="4"/>
      <c r="O60" s="4"/>
      <c r="P60" s="93"/>
      <c r="Q60" s="4"/>
      <c r="R60" s="4"/>
      <c r="S60" s="93"/>
      <c r="T60" s="4"/>
      <c r="U60" s="4"/>
      <c r="V60" s="93"/>
    </row>
    <row r="61" spans="1:22" x14ac:dyDescent="0.3">
      <c r="A61" s="4">
        <v>2404230</v>
      </c>
      <c r="B61" s="108" t="s">
        <v>363</v>
      </c>
      <c r="C61" s="4" t="s">
        <v>365</v>
      </c>
      <c r="D61" s="4" t="s">
        <v>366</v>
      </c>
      <c r="E61" s="4" t="s">
        <v>367</v>
      </c>
      <c r="F61" s="4" t="s">
        <v>368</v>
      </c>
      <c r="G61" s="55">
        <v>32500</v>
      </c>
      <c r="H61" s="4" t="s">
        <v>71</v>
      </c>
      <c r="I61" s="4">
        <v>8.7750000000000004</v>
      </c>
      <c r="J61" s="4" t="s">
        <v>122</v>
      </c>
      <c r="K61" s="4" t="s">
        <v>1902</v>
      </c>
      <c r="L61" s="4" t="s">
        <v>1952</v>
      </c>
      <c r="M61" s="93">
        <v>45568</v>
      </c>
      <c r="N61" s="4"/>
      <c r="O61" s="4"/>
      <c r="P61" s="93"/>
      <c r="Q61" s="4"/>
      <c r="R61" s="4"/>
      <c r="S61" s="93"/>
      <c r="T61" s="4"/>
      <c r="U61" s="4"/>
      <c r="V61" s="93"/>
    </row>
    <row r="62" spans="1:22" x14ac:dyDescent="0.3">
      <c r="A62" s="4">
        <v>2401133</v>
      </c>
      <c r="B62" s="108" t="s">
        <v>369</v>
      </c>
      <c r="C62" s="4" t="s">
        <v>370</v>
      </c>
      <c r="D62" s="4" t="s">
        <v>371</v>
      </c>
      <c r="E62" s="4" t="s">
        <v>372</v>
      </c>
      <c r="F62" s="4" t="s">
        <v>373</v>
      </c>
      <c r="G62" s="55">
        <v>34460</v>
      </c>
      <c r="H62" s="4" t="s">
        <v>71</v>
      </c>
      <c r="I62" s="4">
        <v>8.7750000000000004</v>
      </c>
      <c r="J62" s="4" t="s">
        <v>122</v>
      </c>
      <c r="K62" s="4" t="s">
        <v>1902</v>
      </c>
      <c r="L62" s="4" t="s">
        <v>1953</v>
      </c>
      <c r="M62" s="93">
        <v>45568</v>
      </c>
      <c r="N62" s="4"/>
      <c r="O62" s="4"/>
      <c r="P62" s="93"/>
      <c r="Q62" s="4"/>
      <c r="R62" s="4"/>
      <c r="S62" s="93"/>
      <c r="T62" s="4"/>
      <c r="U62" s="4"/>
      <c r="V62" s="93"/>
    </row>
    <row r="63" spans="1:22" x14ac:dyDescent="0.3">
      <c r="A63" s="4">
        <v>2403171</v>
      </c>
      <c r="B63" s="108" t="s">
        <v>374</v>
      </c>
      <c r="C63" s="4" t="s">
        <v>375</v>
      </c>
      <c r="D63" s="4" t="s">
        <v>376</v>
      </c>
      <c r="E63" s="4" t="s">
        <v>377</v>
      </c>
      <c r="F63" s="4" t="s">
        <v>378</v>
      </c>
      <c r="G63" s="55">
        <v>52400</v>
      </c>
      <c r="H63" s="4" t="s">
        <v>71</v>
      </c>
      <c r="I63" s="4">
        <v>17.55</v>
      </c>
      <c r="J63" s="4" t="s">
        <v>122</v>
      </c>
      <c r="K63" s="4" t="s">
        <v>1902</v>
      </c>
      <c r="L63" s="4" t="s">
        <v>1954</v>
      </c>
      <c r="M63" s="93">
        <v>45568</v>
      </c>
      <c r="N63" s="4"/>
      <c r="O63" s="4"/>
      <c r="P63" s="93"/>
      <c r="Q63" s="4"/>
      <c r="R63" s="4"/>
      <c r="S63" s="93"/>
      <c r="T63" s="4"/>
      <c r="U63" s="4"/>
      <c r="V63" s="93"/>
    </row>
    <row r="64" spans="1:22" x14ac:dyDescent="0.3">
      <c r="A64" s="4">
        <v>2403176</v>
      </c>
      <c r="B64" s="108" t="s">
        <v>379</v>
      </c>
      <c r="C64" s="4" t="s">
        <v>381</v>
      </c>
      <c r="D64" s="4" t="s">
        <v>382</v>
      </c>
      <c r="E64" s="4" t="s">
        <v>383</v>
      </c>
      <c r="F64" s="4" t="s">
        <v>384</v>
      </c>
      <c r="G64" s="55">
        <v>30500</v>
      </c>
      <c r="H64" s="4" t="s">
        <v>71</v>
      </c>
      <c r="I64" s="4">
        <v>6.4349999999999996</v>
      </c>
      <c r="J64" s="4" t="s">
        <v>122</v>
      </c>
      <c r="K64" s="4" t="s">
        <v>1902</v>
      </c>
      <c r="L64" s="4" t="s">
        <v>1955</v>
      </c>
      <c r="M64" s="93">
        <v>45568</v>
      </c>
      <c r="N64" s="4"/>
      <c r="O64" s="4"/>
      <c r="P64" s="93"/>
      <c r="Q64" s="4"/>
      <c r="R64" s="4"/>
      <c r="S64" s="93"/>
      <c r="T64" s="4"/>
      <c r="U64" s="4"/>
      <c r="V64" s="93"/>
    </row>
    <row r="65" spans="1:22" x14ac:dyDescent="0.3">
      <c r="A65" s="4">
        <v>2404229</v>
      </c>
      <c r="B65" s="108" t="s">
        <v>385</v>
      </c>
      <c r="C65" s="4" t="s">
        <v>387</v>
      </c>
      <c r="D65" s="4" t="s">
        <v>388</v>
      </c>
      <c r="E65" s="4" t="s">
        <v>389</v>
      </c>
      <c r="F65" s="4" t="s">
        <v>390</v>
      </c>
      <c r="G65" s="55">
        <v>41600</v>
      </c>
      <c r="H65" s="4" t="s">
        <v>71</v>
      </c>
      <c r="I65" s="4">
        <v>14.625</v>
      </c>
      <c r="J65" s="4" t="s">
        <v>122</v>
      </c>
      <c r="K65" s="4" t="s">
        <v>1902</v>
      </c>
      <c r="L65" s="4" t="s">
        <v>1956</v>
      </c>
      <c r="M65" s="93">
        <v>45568</v>
      </c>
      <c r="N65" s="4"/>
      <c r="O65" s="4"/>
      <c r="P65" s="93"/>
      <c r="Q65" s="4"/>
      <c r="R65" s="4"/>
      <c r="S65" s="93"/>
      <c r="T65" s="4"/>
      <c r="U65" s="4"/>
      <c r="V65" s="93"/>
    </row>
    <row r="66" spans="1:22" x14ac:dyDescent="0.3">
      <c r="A66" s="4">
        <v>2404211</v>
      </c>
      <c r="B66" s="108" t="s">
        <v>392</v>
      </c>
      <c r="C66" s="4" t="s">
        <v>393</v>
      </c>
      <c r="D66" s="4" t="s">
        <v>394</v>
      </c>
      <c r="E66" s="4" t="s">
        <v>395</v>
      </c>
      <c r="F66" s="4" t="s">
        <v>396</v>
      </c>
      <c r="G66" s="55">
        <v>49600</v>
      </c>
      <c r="H66" s="4" t="s">
        <v>71</v>
      </c>
      <c r="I66" s="4">
        <v>17.55</v>
      </c>
      <c r="J66" s="4" t="s">
        <v>122</v>
      </c>
      <c r="K66" s="4" t="s">
        <v>1902</v>
      </c>
      <c r="L66" s="4" t="s">
        <v>1957</v>
      </c>
      <c r="M66" s="93">
        <v>45568</v>
      </c>
      <c r="N66" s="4"/>
      <c r="O66" s="4"/>
      <c r="P66" s="93"/>
      <c r="Q66" s="4"/>
      <c r="R66" s="4"/>
      <c r="S66" s="93"/>
      <c r="T66" s="4"/>
      <c r="U66" s="4"/>
      <c r="V66" s="93"/>
    </row>
    <row r="67" spans="1:22" x14ac:dyDescent="0.3">
      <c r="A67" s="4">
        <v>2404111</v>
      </c>
      <c r="B67" s="108" t="s">
        <v>397</v>
      </c>
      <c r="C67" s="4">
        <v>0</v>
      </c>
      <c r="D67" s="4" t="s">
        <v>398</v>
      </c>
      <c r="E67" s="4">
        <v>0</v>
      </c>
      <c r="F67" s="4">
        <v>0</v>
      </c>
      <c r="G67" s="55">
        <v>81000</v>
      </c>
      <c r="H67" s="4" t="s">
        <v>124</v>
      </c>
      <c r="I67" s="4">
        <v>26.91</v>
      </c>
      <c r="J67" s="4" t="s">
        <v>122</v>
      </c>
      <c r="K67" s="4" t="s">
        <v>1912</v>
      </c>
      <c r="L67" s="4" t="s">
        <v>1958</v>
      </c>
      <c r="M67" s="93">
        <v>45890</v>
      </c>
      <c r="N67" s="4"/>
      <c r="O67" s="4"/>
      <c r="P67" s="4"/>
      <c r="Q67" s="4"/>
      <c r="R67" s="4"/>
      <c r="S67" s="4"/>
      <c r="T67" s="4"/>
      <c r="U67" s="4"/>
      <c r="V67" s="4"/>
    </row>
    <row r="68" spans="1:22" x14ac:dyDescent="0.3">
      <c r="A68" s="4">
        <v>2404219</v>
      </c>
      <c r="B68" s="108" t="s">
        <v>399</v>
      </c>
      <c r="C68" s="4" t="s">
        <v>400</v>
      </c>
      <c r="D68" s="4" t="s">
        <v>401</v>
      </c>
      <c r="E68" s="4" t="s">
        <v>402</v>
      </c>
      <c r="F68" s="4" t="s">
        <v>403</v>
      </c>
      <c r="G68" s="55">
        <v>52000</v>
      </c>
      <c r="H68" s="4" t="s">
        <v>71</v>
      </c>
      <c r="I68" s="4">
        <v>17.55</v>
      </c>
      <c r="J68" s="4" t="s">
        <v>122</v>
      </c>
      <c r="K68" s="4" t="s">
        <v>1902</v>
      </c>
      <c r="L68" s="4" t="s">
        <v>1959</v>
      </c>
      <c r="M68" s="93">
        <v>45568</v>
      </c>
      <c r="N68" s="4"/>
      <c r="O68" s="4"/>
      <c r="P68" s="93"/>
      <c r="Q68" s="4"/>
      <c r="R68" s="4"/>
      <c r="S68" s="93"/>
      <c r="T68" s="4"/>
      <c r="U68" s="4"/>
      <c r="V68" s="93"/>
    </row>
    <row r="69" spans="1:22" x14ac:dyDescent="0.3">
      <c r="A69" s="4">
        <v>2404214</v>
      </c>
      <c r="B69" s="108" t="s">
        <v>404</v>
      </c>
      <c r="C69" s="4" t="s">
        <v>405</v>
      </c>
      <c r="D69" s="4" t="s">
        <v>406</v>
      </c>
      <c r="E69" s="4" t="s">
        <v>407</v>
      </c>
      <c r="F69" s="4" t="s">
        <v>408</v>
      </c>
      <c r="G69" s="55">
        <v>48200</v>
      </c>
      <c r="H69" s="4" t="s">
        <v>71</v>
      </c>
      <c r="I69" s="4">
        <v>15.795</v>
      </c>
      <c r="J69" s="4" t="s">
        <v>122</v>
      </c>
      <c r="K69" s="4" t="s">
        <v>1902</v>
      </c>
      <c r="L69" s="4" t="s">
        <v>1960</v>
      </c>
      <c r="M69" s="93">
        <v>45568</v>
      </c>
      <c r="N69" s="4"/>
      <c r="O69" s="4"/>
      <c r="P69" s="93"/>
      <c r="Q69" s="4"/>
      <c r="R69" s="4"/>
      <c r="S69" s="93"/>
      <c r="T69" s="4"/>
      <c r="U69" s="4"/>
      <c r="V69" s="93"/>
    </row>
    <row r="70" spans="1:22" x14ac:dyDescent="0.3">
      <c r="A70" s="4">
        <v>2403102</v>
      </c>
      <c r="B70" s="108" t="s">
        <v>409</v>
      </c>
      <c r="C70" s="4">
        <v>0</v>
      </c>
      <c r="D70" s="4" t="s">
        <v>411</v>
      </c>
      <c r="E70" s="4">
        <v>0</v>
      </c>
      <c r="F70" s="4">
        <v>0</v>
      </c>
      <c r="G70" s="55">
        <v>744800</v>
      </c>
      <c r="H70" s="4" t="s">
        <v>124</v>
      </c>
      <c r="I70" s="4">
        <v>374.4</v>
      </c>
      <c r="J70" s="4" t="s">
        <v>109</v>
      </c>
      <c r="K70" s="265" t="s">
        <v>109</v>
      </c>
      <c r="L70" s="266" t="s">
        <v>109</v>
      </c>
      <c r="M70" s="267"/>
      <c r="N70" s="265" t="s">
        <v>109</v>
      </c>
      <c r="O70" s="266" t="s">
        <v>109</v>
      </c>
      <c r="P70" s="267"/>
      <c r="Q70" s="265" t="s">
        <v>109</v>
      </c>
      <c r="R70" s="266" t="s">
        <v>109</v>
      </c>
      <c r="S70" s="267"/>
      <c r="T70" s="265" t="s">
        <v>109</v>
      </c>
      <c r="U70" s="266" t="s">
        <v>109</v>
      </c>
      <c r="V70" s="267"/>
    </row>
    <row r="71" spans="1:22" x14ac:dyDescent="0.3">
      <c r="A71" s="4">
        <v>2312059</v>
      </c>
      <c r="B71" s="108" t="s">
        <v>412</v>
      </c>
      <c r="C71" s="4">
        <v>0</v>
      </c>
      <c r="D71" s="4" t="s">
        <v>414</v>
      </c>
      <c r="E71" s="4">
        <v>0</v>
      </c>
      <c r="F71" s="4">
        <v>0</v>
      </c>
      <c r="G71" s="55">
        <v>690300</v>
      </c>
      <c r="H71" s="4" t="s">
        <v>124</v>
      </c>
      <c r="I71" s="4">
        <v>345.15</v>
      </c>
      <c r="J71" s="4" t="s">
        <v>109</v>
      </c>
      <c r="K71" s="265" t="s">
        <v>109</v>
      </c>
      <c r="L71" s="266" t="s">
        <v>109</v>
      </c>
      <c r="M71" s="267"/>
      <c r="N71" s="265" t="s">
        <v>109</v>
      </c>
      <c r="O71" s="266" t="s">
        <v>109</v>
      </c>
      <c r="P71" s="267"/>
      <c r="Q71" s="265" t="s">
        <v>109</v>
      </c>
      <c r="R71" s="266" t="s">
        <v>109</v>
      </c>
      <c r="S71" s="267"/>
      <c r="T71" s="265" t="s">
        <v>109</v>
      </c>
      <c r="U71" s="266" t="s">
        <v>109</v>
      </c>
      <c r="V71" s="267"/>
    </row>
    <row r="72" spans="1:22" x14ac:dyDescent="0.3">
      <c r="A72" s="4">
        <v>2404255</v>
      </c>
      <c r="B72" s="108" t="s">
        <v>415</v>
      </c>
      <c r="C72" s="4" t="s">
        <v>416</v>
      </c>
      <c r="D72" s="4" t="s">
        <v>417</v>
      </c>
      <c r="E72" s="4" t="s">
        <v>418</v>
      </c>
      <c r="F72" s="4" t="s">
        <v>419</v>
      </c>
      <c r="G72" s="55">
        <v>30260</v>
      </c>
      <c r="H72" s="4" t="s">
        <v>71</v>
      </c>
      <c r="I72" s="4">
        <v>7.6050000000000004</v>
      </c>
      <c r="J72" s="4" t="s">
        <v>122</v>
      </c>
      <c r="K72" s="4" t="s">
        <v>1902</v>
      </c>
      <c r="L72" s="4" t="s">
        <v>1961</v>
      </c>
      <c r="M72" s="93">
        <v>45568</v>
      </c>
      <c r="N72" s="4"/>
      <c r="O72" s="4"/>
      <c r="P72" s="93"/>
      <c r="Q72" s="4"/>
      <c r="R72" s="4"/>
      <c r="S72" s="93"/>
      <c r="T72" s="4"/>
      <c r="U72" s="4"/>
      <c r="V72" s="93"/>
    </row>
    <row r="73" spans="1:22" x14ac:dyDescent="0.3">
      <c r="A73" s="4">
        <v>2404242</v>
      </c>
      <c r="B73" s="108" t="s">
        <v>420</v>
      </c>
      <c r="C73" s="4" t="s">
        <v>422</v>
      </c>
      <c r="D73" s="4" t="s">
        <v>423</v>
      </c>
      <c r="E73" s="4" t="s">
        <v>424</v>
      </c>
      <c r="F73" s="4" t="s">
        <v>425</v>
      </c>
      <c r="G73" s="55">
        <v>35000</v>
      </c>
      <c r="H73" s="4" t="s">
        <v>71</v>
      </c>
      <c r="I73" s="4">
        <v>10.53</v>
      </c>
      <c r="J73" s="4" t="s">
        <v>122</v>
      </c>
      <c r="K73" s="4" t="s">
        <v>1902</v>
      </c>
      <c r="L73" s="4" t="s">
        <v>1962</v>
      </c>
      <c r="M73" s="93">
        <v>45568</v>
      </c>
      <c r="N73" s="4"/>
      <c r="O73" s="4"/>
      <c r="P73" s="93"/>
      <c r="Q73" s="4"/>
      <c r="R73" s="4"/>
      <c r="S73" s="93"/>
      <c r="T73" s="4"/>
      <c r="U73" s="4"/>
      <c r="V73" s="93"/>
    </row>
    <row r="74" spans="1:22" x14ac:dyDescent="0.3">
      <c r="A74" s="4">
        <v>2405272</v>
      </c>
      <c r="B74" s="108" t="s">
        <v>426</v>
      </c>
      <c r="C74" s="4" t="s">
        <v>427</v>
      </c>
      <c r="D74" s="4" t="s">
        <v>428</v>
      </c>
      <c r="E74" s="4" t="s">
        <v>429</v>
      </c>
      <c r="F74" s="4" t="s">
        <v>430</v>
      </c>
      <c r="G74" s="55">
        <v>32180</v>
      </c>
      <c r="H74" s="4" t="s">
        <v>71</v>
      </c>
      <c r="I74" s="4">
        <v>9.36</v>
      </c>
      <c r="J74" s="4" t="s">
        <v>122</v>
      </c>
      <c r="K74" s="4" t="s">
        <v>1902</v>
      </c>
      <c r="L74" s="4" t="s">
        <v>1963</v>
      </c>
      <c r="M74" s="93">
        <v>45568</v>
      </c>
      <c r="N74" s="4"/>
      <c r="O74" s="4"/>
      <c r="P74" s="93"/>
      <c r="Q74" s="4"/>
      <c r="R74" s="4"/>
      <c r="S74" s="93"/>
      <c r="T74" s="4"/>
      <c r="U74" s="4"/>
      <c r="V74" s="93"/>
    </row>
    <row r="75" spans="1:22" x14ac:dyDescent="0.3">
      <c r="A75" s="4">
        <v>2405266</v>
      </c>
      <c r="B75" s="108" t="s">
        <v>431</v>
      </c>
      <c r="C75" s="4" t="s">
        <v>432</v>
      </c>
      <c r="D75" s="4" t="s">
        <v>433</v>
      </c>
      <c r="E75" s="4" t="s">
        <v>434</v>
      </c>
      <c r="F75" s="4" t="s">
        <v>435</v>
      </c>
      <c r="G75" s="55">
        <v>41000</v>
      </c>
      <c r="H75" s="4" t="s">
        <v>71</v>
      </c>
      <c r="I75" s="4">
        <v>13.455</v>
      </c>
      <c r="J75" s="4" t="s">
        <v>122</v>
      </c>
      <c r="K75" s="4" t="s">
        <v>1902</v>
      </c>
      <c r="L75" s="4" t="s">
        <v>1964</v>
      </c>
      <c r="M75" s="93">
        <v>45568</v>
      </c>
      <c r="N75" s="4"/>
      <c r="O75" s="4"/>
      <c r="P75" s="93"/>
      <c r="Q75" s="4"/>
      <c r="R75" s="4"/>
      <c r="S75" s="93"/>
      <c r="T75" s="4"/>
      <c r="U75" s="4"/>
      <c r="V75" s="93"/>
    </row>
    <row r="76" spans="1:22" x14ac:dyDescent="0.3">
      <c r="A76" s="4">
        <v>2405280</v>
      </c>
      <c r="B76" s="108" t="s">
        <v>436</v>
      </c>
      <c r="C76" s="4" t="s">
        <v>437</v>
      </c>
      <c r="D76" s="4" t="s">
        <v>438</v>
      </c>
      <c r="E76" s="4" t="s">
        <v>439</v>
      </c>
      <c r="F76" s="4" t="s">
        <v>440</v>
      </c>
      <c r="G76" s="55">
        <v>34600</v>
      </c>
      <c r="H76" s="4" t="s">
        <v>71</v>
      </c>
      <c r="I76" s="4">
        <v>9.36</v>
      </c>
      <c r="J76" s="4" t="s">
        <v>122</v>
      </c>
      <c r="K76" s="4" t="s">
        <v>1902</v>
      </c>
      <c r="L76" s="4" t="s">
        <v>1965</v>
      </c>
      <c r="M76" s="93">
        <v>45568</v>
      </c>
      <c r="N76" s="4"/>
      <c r="O76" s="4"/>
      <c r="P76" s="93"/>
      <c r="Q76" s="4"/>
      <c r="R76" s="4"/>
      <c r="S76" s="93"/>
      <c r="T76" s="4"/>
      <c r="U76" s="4"/>
      <c r="V76" s="93"/>
    </row>
    <row r="77" spans="1:22" s="123" customFormat="1" x14ac:dyDescent="0.3">
      <c r="A77" s="122">
        <v>2405294</v>
      </c>
      <c r="B77" s="136" t="s">
        <v>441</v>
      </c>
      <c r="C77" s="70">
        <v>0</v>
      </c>
      <c r="D77" s="70">
        <v>0</v>
      </c>
      <c r="E77" s="70">
        <v>0</v>
      </c>
      <c r="F77" s="70">
        <v>0</v>
      </c>
      <c r="G77" s="137">
        <v>25100</v>
      </c>
      <c r="H77" s="122">
        <v>0</v>
      </c>
      <c r="I77" s="122">
        <v>7.02</v>
      </c>
      <c r="J77" s="122" t="s">
        <v>122</v>
      </c>
      <c r="K77" s="265" t="s">
        <v>1925</v>
      </c>
      <c r="L77" s="266"/>
      <c r="M77" s="266"/>
      <c r="N77" s="266"/>
      <c r="O77" s="266"/>
      <c r="P77" s="266"/>
      <c r="Q77" s="266"/>
      <c r="R77" s="266"/>
      <c r="S77" s="266"/>
      <c r="T77" s="266"/>
      <c r="U77" s="266"/>
      <c r="V77" s="267"/>
    </row>
    <row r="78" spans="1:22" x14ac:dyDescent="0.3">
      <c r="A78" s="4">
        <v>2405296</v>
      </c>
      <c r="B78" s="108" t="s">
        <v>443</v>
      </c>
      <c r="C78" s="4" t="s">
        <v>444</v>
      </c>
      <c r="D78" s="4" t="s">
        <v>445</v>
      </c>
      <c r="E78" s="4" t="s">
        <v>446</v>
      </c>
      <c r="F78" s="4" t="s">
        <v>447</v>
      </c>
      <c r="G78" s="55">
        <v>32000</v>
      </c>
      <c r="H78" s="4" t="s">
        <v>71</v>
      </c>
      <c r="I78" s="4">
        <v>8.7750000000000004</v>
      </c>
      <c r="J78" s="4" t="s">
        <v>122</v>
      </c>
      <c r="K78" s="4" t="s">
        <v>1902</v>
      </c>
      <c r="L78" s="4" t="s">
        <v>1966</v>
      </c>
      <c r="M78" s="93">
        <v>45750</v>
      </c>
      <c r="N78" s="4"/>
      <c r="O78" s="4"/>
      <c r="P78" s="4"/>
      <c r="Q78" s="4"/>
      <c r="R78" s="4"/>
      <c r="S78" s="4"/>
      <c r="T78" s="4"/>
      <c r="U78" s="4"/>
      <c r="V78" s="4"/>
    </row>
    <row r="79" spans="1:22" x14ac:dyDescent="0.3">
      <c r="A79" s="4">
        <v>2405307</v>
      </c>
      <c r="B79" s="108" t="s">
        <v>448</v>
      </c>
      <c r="C79" s="4" t="s">
        <v>449</v>
      </c>
      <c r="D79" s="4" t="s">
        <v>450</v>
      </c>
      <c r="E79" s="4" t="s">
        <v>451</v>
      </c>
      <c r="F79" s="4" t="s">
        <v>452</v>
      </c>
      <c r="G79" s="55">
        <v>28000</v>
      </c>
      <c r="H79" s="4" t="s">
        <v>71</v>
      </c>
      <c r="I79" s="4">
        <v>8.19</v>
      </c>
      <c r="J79" s="4" t="s">
        <v>81</v>
      </c>
      <c r="K79" s="4" t="s">
        <v>1902</v>
      </c>
      <c r="L79" s="4" t="s">
        <v>1967</v>
      </c>
      <c r="M79" s="93">
        <v>45568</v>
      </c>
      <c r="N79" s="265" t="s">
        <v>109</v>
      </c>
      <c r="O79" s="266" t="s">
        <v>109</v>
      </c>
      <c r="P79" s="267"/>
      <c r="Q79" s="265" t="s">
        <v>109</v>
      </c>
      <c r="R79" s="266"/>
      <c r="S79" s="267"/>
      <c r="T79" s="265" t="s">
        <v>109</v>
      </c>
      <c r="U79" s="266"/>
      <c r="V79" s="267"/>
    </row>
    <row r="80" spans="1:22" x14ac:dyDescent="0.3">
      <c r="A80" s="4">
        <v>2404227</v>
      </c>
      <c r="B80" s="108" t="s">
        <v>453</v>
      </c>
      <c r="C80" s="4" t="s">
        <v>454</v>
      </c>
      <c r="D80" s="4" t="s">
        <v>455</v>
      </c>
      <c r="E80" s="4" t="s">
        <v>456</v>
      </c>
      <c r="F80" s="4" t="s">
        <v>457</v>
      </c>
      <c r="G80" s="55">
        <v>52400</v>
      </c>
      <c r="H80" s="4" t="s">
        <v>71</v>
      </c>
      <c r="I80" s="4">
        <v>17.55</v>
      </c>
      <c r="J80" s="4" t="s">
        <v>122</v>
      </c>
      <c r="K80" s="4" t="s">
        <v>1902</v>
      </c>
      <c r="L80" s="4" t="s">
        <v>1968</v>
      </c>
      <c r="M80" s="93">
        <v>45750</v>
      </c>
      <c r="N80" s="4"/>
      <c r="O80" s="4"/>
      <c r="P80" s="4"/>
      <c r="Q80" s="4"/>
      <c r="R80" s="4"/>
      <c r="S80" s="4"/>
      <c r="T80" s="4"/>
      <c r="U80" s="4"/>
      <c r="V80" s="4"/>
    </row>
    <row r="81" spans="1:22" x14ac:dyDescent="0.3">
      <c r="A81" s="4">
        <v>2405315</v>
      </c>
      <c r="B81" s="108" t="s">
        <v>458</v>
      </c>
      <c r="C81" s="4" t="s">
        <v>459</v>
      </c>
      <c r="D81" s="4" t="s">
        <v>460</v>
      </c>
      <c r="E81" s="4" t="s">
        <v>461</v>
      </c>
      <c r="F81" s="4" t="s">
        <v>462</v>
      </c>
      <c r="G81" s="55">
        <v>40000</v>
      </c>
      <c r="H81" s="4" t="s">
        <v>71</v>
      </c>
      <c r="I81" s="4">
        <v>13.455</v>
      </c>
      <c r="J81" s="4" t="s">
        <v>122</v>
      </c>
      <c r="K81" s="4" t="s">
        <v>1902</v>
      </c>
      <c r="L81" s="4" t="s">
        <v>1969</v>
      </c>
      <c r="M81" s="93">
        <v>45568</v>
      </c>
      <c r="N81" s="4"/>
      <c r="O81" s="4"/>
      <c r="P81" s="93"/>
      <c r="Q81" s="4"/>
      <c r="R81" s="4"/>
      <c r="S81" s="93"/>
      <c r="T81" s="4"/>
      <c r="U81" s="4"/>
      <c r="V81" s="93"/>
    </row>
    <row r="82" spans="1:22" x14ac:dyDescent="0.3">
      <c r="A82" s="4">
        <v>2405319</v>
      </c>
      <c r="B82" s="108" t="s">
        <v>463</v>
      </c>
      <c r="C82" s="4" t="s">
        <v>464</v>
      </c>
      <c r="D82" s="4" t="s">
        <v>465</v>
      </c>
      <c r="E82" s="4" t="s">
        <v>466</v>
      </c>
      <c r="F82" s="4" t="s">
        <v>467</v>
      </c>
      <c r="G82" s="55">
        <v>26240</v>
      </c>
      <c r="H82" s="4" t="s">
        <v>71</v>
      </c>
      <c r="I82" s="4">
        <v>7.02</v>
      </c>
      <c r="J82" s="4" t="s">
        <v>122</v>
      </c>
      <c r="K82" s="4" t="s">
        <v>1902</v>
      </c>
      <c r="L82" s="4" t="s">
        <v>1970</v>
      </c>
      <c r="M82" s="93">
        <v>45568</v>
      </c>
      <c r="N82" s="4"/>
      <c r="O82" s="4"/>
      <c r="P82" s="93"/>
      <c r="Q82" s="4"/>
      <c r="R82" s="4"/>
      <c r="S82" s="93"/>
      <c r="T82" s="4"/>
      <c r="U82" s="4"/>
      <c r="V82" s="93"/>
    </row>
    <row r="83" spans="1:22" x14ac:dyDescent="0.3">
      <c r="A83" s="4">
        <v>2405288</v>
      </c>
      <c r="B83" s="108" t="s">
        <v>468</v>
      </c>
      <c r="C83" s="4" t="s">
        <v>469</v>
      </c>
      <c r="D83" s="4" t="s">
        <v>470</v>
      </c>
      <c r="E83" s="4" t="s">
        <v>471</v>
      </c>
      <c r="F83" s="4" t="s">
        <v>472</v>
      </c>
      <c r="G83" s="55">
        <v>41840</v>
      </c>
      <c r="H83" s="4" t="s">
        <v>71</v>
      </c>
      <c r="I83" s="4">
        <v>12.285</v>
      </c>
      <c r="J83" s="4" t="s">
        <v>122</v>
      </c>
      <c r="K83" s="4" t="s">
        <v>1902</v>
      </c>
      <c r="L83" s="4" t="s">
        <v>1971</v>
      </c>
      <c r="M83" s="93">
        <v>45568</v>
      </c>
      <c r="N83" s="4"/>
      <c r="O83" s="4"/>
      <c r="P83" s="93"/>
      <c r="Q83" s="4"/>
      <c r="R83" s="4"/>
      <c r="S83" s="93"/>
      <c r="T83" s="4"/>
      <c r="U83" s="4"/>
      <c r="V83" s="93"/>
    </row>
    <row r="84" spans="1:22" x14ac:dyDescent="0.3">
      <c r="A84" s="4">
        <v>2404256</v>
      </c>
      <c r="B84" s="108" t="s">
        <v>473</v>
      </c>
      <c r="C84" s="4" t="s">
        <v>474</v>
      </c>
      <c r="D84" s="4" t="s">
        <v>475</v>
      </c>
      <c r="E84" s="4" t="s">
        <v>476</v>
      </c>
      <c r="F84" s="4" t="s">
        <v>477</v>
      </c>
      <c r="G84" s="55">
        <v>33100</v>
      </c>
      <c r="H84" s="4" t="s">
        <v>71</v>
      </c>
      <c r="I84" s="4">
        <v>8.7750000000000004</v>
      </c>
      <c r="J84" s="4" t="s">
        <v>122</v>
      </c>
      <c r="K84" s="4" t="s">
        <v>1902</v>
      </c>
      <c r="L84" s="4" t="s">
        <v>1972</v>
      </c>
      <c r="M84" s="93">
        <v>45750</v>
      </c>
      <c r="N84" s="4"/>
      <c r="O84" s="4"/>
      <c r="P84" s="4"/>
      <c r="Q84" s="4"/>
      <c r="R84" s="4"/>
      <c r="S84" s="4"/>
      <c r="T84" s="4"/>
      <c r="U84" s="4"/>
      <c r="V84" s="4"/>
    </row>
    <row r="85" spans="1:22" x14ac:dyDescent="0.3">
      <c r="A85" s="4">
        <v>2406323</v>
      </c>
      <c r="B85" s="108" t="s">
        <v>478</v>
      </c>
      <c r="C85" s="4" t="s">
        <v>479</v>
      </c>
      <c r="D85" s="4" t="s">
        <v>480</v>
      </c>
      <c r="E85" s="4" t="s">
        <v>481</v>
      </c>
      <c r="F85" s="4" t="s">
        <v>482</v>
      </c>
      <c r="G85" s="55">
        <v>40000</v>
      </c>
      <c r="H85" s="4" t="s">
        <v>71</v>
      </c>
      <c r="I85" s="4">
        <v>14.04</v>
      </c>
      <c r="J85" s="4" t="s">
        <v>122</v>
      </c>
      <c r="K85" s="4" t="s">
        <v>1902</v>
      </c>
      <c r="L85" s="4" t="s">
        <v>1973</v>
      </c>
      <c r="M85" s="93">
        <v>45568</v>
      </c>
      <c r="N85" s="4"/>
      <c r="O85" s="4"/>
      <c r="P85" s="93"/>
      <c r="Q85" s="4"/>
      <c r="R85" s="4"/>
      <c r="S85" s="93"/>
      <c r="T85" s="4"/>
      <c r="U85" s="4"/>
      <c r="V85" s="93"/>
    </row>
    <row r="86" spans="1:22" x14ac:dyDescent="0.3">
      <c r="A86" s="4">
        <v>2406336</v>
      </c>
      <c r="B86" s="108" t="s">
        <v>483</v>
      </c>
      <c r="C86" s="4" t="s">
        <v>484</v>
      </c>
      <c r="D86" s="4" t="s">
        <v>485</v>
      </c>
      <c r="E86" s="4" t="s">
        <v>486</v>
      </c>
      <c r="F86" s="4" t="s">
        <v>487</v>
      </c>
      <c r="G86" s="55">
        <v>31000</v>
      </c>
      <c r="H86" s="4" t="s">
        <v>71</v>
      </c>
      <c r="I86" s="4">
        <v>11.7</v>
      </c>
      <c r="J86" s="4" t="s">
        <v>81</v>
      </c>
      <c r="K86" s="4" t="s">
        <v>1902</v>
      </c>
      <c r="L86" s="4" t="s">
        <v>1974</v>
      </c>
      <c r="M86" s="93">
        <v>45568</v>
      </c>
      <c r="N86" s="265" t="s">
        <v>109</v>
      </c>
      <c r="O86" s="266" t="s">
        <v>109</v>
      </c>
      <c r="P86" s="267"/>
      <c r="Q86" s="265" t="s">
        <v>109</v>
      </c>
      <c r="R86" s="266"/>
      <c r="S86" s="267"/>
      <c r="T86" s="265" t="s">
        <v>109</v>
      </c>
      <c r="U86" s="266"/>
      <c r="V86" s="267"/>
    </row>
    <row r="87" spans="1:22" x14ac:dyDescent="0.3">
      <c r="A87" s="4">
        <v>2406340</v>
      </c>
      <c r="B87" s="108" t="s">
        <v>488</v>
      </c>
      <c r="C87" s="4" t="s">
        <v>489</v>
      </c>
      <c r="D87" s="4" t="s">
        <v>490</v>
      </c>
      <c r="E87" s="4" t="s">
        <v>491</v>
      </c>
      <c r="F87" s="4" t="s">
        <v>492</v>
      </c>
      <c r="G87" s="55">
        <v>24100</v>
      </c>
      <c r="H87" s="4" t="s">
        <v>71</v>
      </c>
      <c r="I87" s="4">
        <v>7.02</v>
      </c>
      <c r="J87" s="4" t="s">
        <v>122</v>
      </c>
      <c r="K87" s="4" t="s">
        <v>1902</v>
      </c>
      <c r="L87" s="4" t="s">
        <v>1975</v>
      </c>
      <c r="M87" s="93">
        <v>45568</v>
      </c>
      <c r="N87" s="4"/>
      <c r="O87" s="4"/>
      <c r="P87" s="93"/>
      <c r="Q87" s="4"/>
      <c r="R87" s="4"/>
      <c r="S87" s="93"/>
      <c r="T87" s="4"/>
      <c r="U87" s="4"/>
      <c r="V87" s="93"/>
    </row>
    <row r="88" spans="1:22" x14ac:dyDescent="0.3">
      <c r="A88" s="4">
        <v>2406355</v>
      </c>
      <c r="B88" s="108" t="s">
        <v>493</v>
      </c>
      <c r="C88" s="4" t="s">
        <v>494</v>
      </c>
      <c r="D88" s="4" t="s">
        <v>495</v>
      </c>
      <c r="E88" s="4" t="s">
        <v>496</v>
      </c>
      <c r="F88" s="4" t="s">
        <v>497</v>
      </c>
      <c r="G88" s="55">
        <v>27000</v>
      </c>
      <c r="H88" s="4" t="s">
        <v>71</v>
      </c>
      <c r="I88" s="4">
        <v>9.36</v>
      </c>
      <c r="J88" s="4" t="s">
        <v>109</v>
      </c>
      <c r="K88" s="265" t="s">
        <v>109</v>
      </c>
      <c r="L88" s="266" t="s">
        <v>109</v>
      </c>
      <c r="M88" s="267"/>
      <c r="N88" s="265" t="s">
        <v>109</v>
      </c>
      <c r="O88" s="266" t="s">
        <v>109</v>
      </c>
      <c r="P88" s="267"/>
      <c r="Q88" s="265" t="s">
        <v>109</v>
      </c>
      <c r="R88" s="266" t="s">
        <v>109</v>
      </c>
      <c r="S88" s="267"/>
      <c r="T88" s="265" t="s">
        <v>109</v>
      </c>
      <c r="U88" s="266" t="s">
        <v>109</v>
      </c>
      <c r="V88" s="267"/>
    </row>
    <row r="89" spans="1:22" x14ac:dyDescent="0.3">
      <c r="A89" s="4">
        <v>2406357</v>
      </c>
      <c r="B89" s="108" t="s">
        <v>498</v>
      </c>
      <c r="C89" s="4" t="s">
        <v>499</v>
      </c>
      <c r="D89" s="4" t="s">
        <v>500</v>
      </c>
      <c r="E89" s="4" t="s">
        <v>501</v>
      </c>
      <c r="F89" s="4" t="s">
        <v>502</v>
      </c>
      <c r="G89" s="55">
        <v>38000</v>
      </c>
      <c r="H89" s="4" t="s">
        <v>71</v>
      </c>
      <c r="I89" s="4">
        <v>12.285</v>
      </c>
      <c r="J89" s="4" t="s">
        <v>80</v>
      </c>
      <c r="K89" s="4" t="s">
        <v>1902</v>
      </c>
      <c r="L89" s="4" t="s">
        <v>1976</v>
      </c>
      <c r="M89" s="93">
        <v>45568</v>
      </c>
      <c r="N89" s="4"/>
      <c r="O89" s="4"/>
      <c r="P89" s="93"/>
      <c r="Q89" s="4"/>
      <c r="R89" s="4"/>
      <c r="S89" s="93"/>
      <c r="T89" s="4"/>
      <c r="U89" s="4"/>
      <c r="V89" s="93"/>
    </row>
    <row r="90" spans="1:22" x14ac:dyDescent="0.3">
      <c r="A90" s="4">
        <v>2405019</v>
      </c>
      <c r="B90" s="108" t="s">
        <v>503</v>
      </c>
      <c r="C90" s="4" t="s">
        <v>18</v>
      </c>
      <c r="D90" s="4" t="s">
        <v>504</v>
      </c>
      <c r="E90" s="4" t="s">
        <v>18</v>
      </c>
      <c r="F90" s="4" t="s">
        <v>18</v>
      </c>
      <c r="G90" s="55">
        <v>90800</v>
      </c>
      <c r="H90" s="4" t="s">
        <v>206</v>
      </c>
      <c r="I90" s="4">
        <v>0</v>
      </c>
      <c r="J90" s="4" t="s">
        <v>109</v>
      </c>
      <c r="K90" s="265" t="s">
        <v>109</v>
      </c>
      <c r="L90" s="266" t="s">
        <v>109</v>
      </c>
      <c r="M90" s="267"/>
      <c r="N90" s="265" t="s">
        <v>109</v>
      </c>
      <c r="O90" s="266" t="s">
        <v>109</v>
      </c>
      <c r="P90" s="267"/>
      <c r="Q90" s="265" t="s">
        <v>109</v>
      </c>
      <c r="R90" s="266" t="s">
        <v>109</v>
      </c>
      <c r="S90" s="267"/>
      <c r="T90" s="265" t="s">
        <v>109</v>
      </c>
      <c r="U90" s="266" t="s">
        <v>109</v>
      </c>
      <c r="V90" s="267"/>
    </row>
    <row r="91" spans="1:22" x14ac:dyDescent="0.3">
      <c r="A91" s="4">
        <v>2406358</v>
      </c>
      <c r="B91" s="108" t="s">
        <v>505</v>
      </c>
      <c r="C91" s="4" t="s">
        <v>506</v>
      </c>
      <c r="D91" s="4" t="s">
        <v>507</v>
      </c>
      <c r="E91" s="4" t="s">
        <v>508</v>
      </c>
      <c r="F91" s="4" t="s">
        <v>509</v>
      </c>
      <c r="G91" s="55">
        <v>30000</v>
      </c>
      <c r="H91" s="4" t="s">
        <v>71</v>
      </c>
      <c r="I91" s="4">
        <v>9.36</v>
      </c>
      <c r="J91" s="4" t="s">
        <v>122</v>
      </c>
      <c r="K91" s="4" t="s">
        <v>1902</v>
      </c>
      <c r="L91" s="4" t="s">
        <v>1977</v>
      </c>
      <c r="M91" s="93">
        <v>45568</v>
      </c>
      <c r="N91" s="4"/>
      <c r="O91" s="4"/>
      <c r="P91" s="93"/>
      <c r="Q91" s="4"/>
      <c r="R91" s="4"/>
      <c r="S91" s="93"/>
      <c r="T91" s="4"/>
      <c r="U91" s="4"/>
      <c r="V91" s="93"/>
    </row>
    <row r="92" spans="1:22" x14ac:dyDescent="0.3">
      <c r="A92" s="4">
        <v>2407360</v>
      </c>
      <c r="B92" s="108" t="s">
        <v>510</v>
      </c>
      <c r="C92" s="4" t="s">
        <v>511</v>
      </c>
      <c r="D92" s="4" t="s">
        <v>512</v>
      </c>
      <c r="E92" s="4" t="s">
        <v>513</v>
      </c>
      <c r="F92" s="4" t="s">
        <v>514</v>
      </c>
      <c r="G92" s="55">
        <v>45020</v>
      </c>
      <c r="H92" s="4" t="s">
        <v>71</v>
      </c>
      <c r="I92" s="4">
        <v>14.04</v>
      </c>
      <c r="J92" s="4" t="s">
        <v>122</v>
      </c>
      <c r="K92" s="4" t="s">
        <v>1902</v>
      </c>
      <c r="L92" s="4" t="s">
        <v>1978</v>
      </c>
      <c r="M92" s="93">
        <v>45568</v>
      </c>
      <c r="N92" s="4"/>
      <c r="O92" s="4"/>
      <c r="P92" s="93"/>
      <c r="Q92" s="4"/>
      <c r="R92" s="4"/>
      <c r="S92" s="93"/>
      <c r="T92" s="4"/>
      <c r="U92" s="4"/>
      <c r="V92" s="93"/>
    </row>
    <row r="93" spans="1:22" x14ac:dyDescent="0.3">
      <c r="A93" s="4">
        <v>2407364</v>
      </c>
      <c r="B93" s="108" t="s">
        <v>515</v>
      </c>
      <c r="C93" s="4" t="s">
        <v>516</v>
      </c>
      <c r="D93" s="4" t="s">
        <v>517</v>
      </c>
      <c r="E93" s="4" t="s">
        <v>518</v>
      </c>
      <c r="F93" s="4" t="s">
        <v>519</v>
      </c>
      <c r="G93" s="55">
        <v>25000</v>
      </c>
      <c r="H93" s="4" t="s">
        <v>71</v>
      </c>
      <c r="I93" s="4">
        <v>8.19</v>
      </c>
      <c r="J93" s="4" t="s">
        <v>109</v>
      </c>
      <c r="K93" s="265" t="s">
        <v>109</v>
      </c>
      <c r="L93" s="266" t="s">
        <v>109</v>
      </c>
      <c r="M93" s="267"/>
      <c r="N93" s="265" t="s">
        <v>109</v>
      </c>
      <c r="O93" s="266" t="s">
        <v>109</v>
      </c>
      <c r="P93" s="267"/>
      <c r="Q93" s="265" t="s">
        <v>109</v>
      </c>
      <c r="R93" s="266" t="s">
        <v>109</v>
      </c>
      <c r="S93" s="267"/>
      <c r="T93" s="265" t="s">
        <v>109</v>
      </c>
      <c r="U93" s="266" t="s">
        <v>109</v>
      </c>
      <c r="V93" s="267"/>
    </row>
    <row r="94" spans="1:22" x14ac:dyDescent="0.3">
      <c r="A94" s="4">
        <v>2407375</v>
      </c>
      <c r="B94" s="108" t="s">
        <v>520</v>
      </c>
      <c r="C94" s="4" t="s">
        <v>521</v>
      </c>
      <c r="D94" s="4" t="s">
        <v>522</v>
      </c>
      <c r="E94" s="4" t="s">
        <v>523</v>
      </c>
      <c r="F94" s="4" t="s">
        <v>524</v>
      </c>
      <c r="G94" s="55">
        <v>39980</v>
      </c>
      <c r="H94" s="4" t="s">
        <v>71</v>
      </c>
      <c r="I94" s="4">
        <v>14.04</v>
      </c>
      <c r="J94" s="4" t="s">
        <v>122</v>
      </c>
      <c r="K94" s="4" t="s">
        <v>1902</v>
      </c>
      <c r="L94" s="4" t="s">
        <v>1979</v>
      </c>
      <c r="M94" s="93">
        <v>45568</v>
      </c>
      <c r="N94" s="4"/>
      <c r="O94" s="4"/>
      <c r="P94" s="93"/>
      <c r="Q94" s="4"/>
      <c r="R94" s="4"/>
      <c r="S94" s="93"/>
      <c r="T94" s="4"/>
      <c r="U94" s="4"/>
      <c r="V94" s="93"/>
    </row>
    <row r="95" spans="1:22" x14ac:dyDescent="0.3">
      <c r="A95" s="4">
        <v>2407379</v>
      </c>
      <c r="B95" s="108" t="s">
        <v>525</v>
      </c>
      <c r="C95" s="4" t="s">
        <v>527</v>
      </c>
      <c r="D95" s="4" t="s">
        <v>528</v>
      </c>
      <c r="E95" s="4" t="s">
        <v>529</v>
      </c>
      <c r="F95" s="4" t="s">
        <v>530</v>
      </c>
      <c r="G95" s="55">
        <v>22860</v>
      </c>
      <c r="H95" s="4" t="s">
        <v>71</v>
      </c>
      <c r="I95" s="4">
        <v>5.2649999999999997</v>
      </c>
      <c r="J95" s="4" t="s">
        <v>109</v>
      </c>
      <c r="K95" s="265" t="s">
        <v>109</v>
      </c>
      <c r="L95" s="266" t="s">
        <v>109</v>
      </c>
      <c r="M95" s="267"/>
      <c r="N95" s="265" t="s">
        <v>109</v>
      </c>
      <c r="O95" s="266" t="s">
        <v>109</v>
      </c>
      <c r="P95" s="267"/>
      <c r="Q95" s="265" t="s">
        <v>109</v>
      </c>
      <c r="R95" s="266" t="s">
        <v>109</v>
      </c>
      <c r="S95" s="267"/>
      <c r="T95" s="265" t="s">
        <v>109</v>
      </c>
      <c r="U95" s="266" t="s">
        <v>109</v>
      </c>
      <c r="V95" s="267"/>
    </row>
    <row r="96" spans="1:22" x14ac:dyDescent="0.3">
      <c r="A96" s="4">
        <v>2407380</v>
      </c>
      <c r="B96" s="108" t="s">
        <v>531</v>
      </c>
      <c r="C96" s="4" t="s">
        <v>532</v>
      </c>
      <c r="D96" s="4" t="s">
        <v>533</v>
      </c>
      <c r="E96" s="4" t="s">
        <v>534</v>
      </c>
      <c r="F96" s="4" t="s">
        <v>535</v>
      </c>
      <c r="G96" s="55">
        <v>38000</v>
      </c>
      <c r="H96" s="4" t="s">
        <v>71</v>
      </c>
      <c r="I96" s="4">
        <v>12.87</v>
      </c>
      <c r="J96" s="4" t="s">
        <v>122</v>
      </c>
      <c r="K96" s="4" t="s">
        <v>1902</v>
      </c>
      <c r="L96" s="4" t="s">
        <v>1980</v>
      </c>
      <c r="M96" s="93">
        <v>45568</v>
      </c>
      <c r="N96" s="4"/>
      <c r="O96" s="4"/>
      <c r="P96" s="93"/>
      <c r="Q96" s="4"/>
      <c r="R96" s="4"/>
      <c r="S96" s="93"/>
      <c r="T96" s="4"/>
      <c r="U96" s="4"/>
      <c r="V96" s="93"/>
    </row>
    <row r="97" spans="1:22" x14ac:dyDescent="0.3">
      <c r="A97" s="4">
        <v>2407381</v>
      </c>
      <c r="B97" s="108" t="s">
        <v>536</v>
      </c>
      <c r="C97" s="4" t="s">
        <v>537</v>
      </c>
      <c r="D97" s="4" t="s">
        <v>538</v>
      </c>
      <c r="E97" s="4" t="s">
        <v>539</v>
      </c>
      <c r="F97" s="4" t="s">
        <v>540</v>
      </c>
      <c r="G97" s="55">
        <v>36680</v>
      </c>
      <c r="H97" s="4" t="s">
        <v>71</v>
      </c>
      <c r="I97" s="4">
        <v>12.285</v>
      </c>
      <c r="J97" s="4" t="s">
        <v>122</v>
      </c>
      <c r="K97" s="4" t="s">
        <v>1902</v>
      </c>
      <c r="L97" s="4" t="s">
        <v>1981</v>
      </c>
      <c r="M97" s="93">
        <v>45750</v>
      </c>
      <c r="N97" s="4"/>
      <c r="O97" s="4"/>
      <c r="P97" s="4"/>
      <c r="Q97" s="4"/>
      <c r="R97" s="4"/>
      <c r="S97" s="4"/>
      <c r="T97" s="4"/>
      <c r="U97" s="4"/>
      <c r="V97" s="4"/>
    </row>
    <row r="98" spans="1:22" x14ac:dyDescent="0.3">
      <c r="A98" s="4">
        <v>2407382</v>
      </c>
      <c r="B98" s="108" t="s">
        <v>541</v>
      </c>
      <c r="C98" s="4" t="s">
        <v>542</v>
      </c>
      <c r="D98" s="4" t="s">
        <v>543</v>
      </c>
      <c r="E98" s="4" t="s">
        <v>544</v>
      </c>
      <c r="F98" s="4">
        <v>0</v>
      </c>
      <c r="G98" s="55">
        <v>29840</v>
      </c>
      <c r="H98" s="4" t="s">
        <v>71</v>
      </c>
      <c r="I98" s="4">
        <v>8.7750000000000004</v>
      </c>
      <c r="J98" s="4" t="s">
        <v>122</v>
      </c>
      <c r="K98" s="4" t="s">
        <v>1902</v>
      </c>
      <c r="L98" s="4" t="s">
        <v>1982</v>
      </c>
      <c r="M98" s="93">
        <v>45750</v>
      </c>
      <c r="N98" s="4"/>
      <c r="O98" s="4"/>
      <c r="P98" s="4"/>
      <c r="Q98" s="4"/>
      <c r="R98" s="4"/>
      <c r="S98" s="4"/>
      <c r="T98" s="4"/>
      <c r="U98" s="4"/>
      <c r="V98" s="4"/>
    </row>
    <row r="99" spans="1:22" x14ac:dyDescent="0.3">
      <c r="A99" s="4">
        <v>2407383</v>
      </c>
      <c r="B99" s="108" t="s">
        <v>545</v>
      </c>
      <c r="C99" s="4" t="s">
        <v>546</v>
      </c>
      <c r="D99" s="4" t="s">
        <v>547</v>
      </c>
      <c r="E99" s="4" t="s">
        <v>548</v>
      </c>
      <c r="F99" s="4" t="s">
        <v>549</v>
      </c>
      <c r="G99" s="55">
        <v>39980</v>
      </c>
      <c r="H99" s="4" t="s">
        <v>71</v>
      </c>
      <c r="I99" s="4">
        <v>14.04</v>
      </c>
      <c r="J99" s="4" t="s">
        <v>122</v>
      </c>
      <c r="K99" s="4" t="s">
        <v>1902</v>
      </c>
      <c r="L99" s="4" t="s">
        <v>1983</v>
      </c>
      <c r="M99" s="93">
        <v>45568</v>
      </c>
      <c r="N99" s="4"/>
      <c r="O99" s="4"/>
      <c r="P99" s="93"/>
      <c r="Q99" s="4"/>
      <c r="R99" s="4"/>
      <c r="S99" s="93"/>
      <c r="T99" s="4"/>
      <c r="U99" s="4"/>
      <c r="V99" s="93"/>
    </row>
    <row r="100" spans="1:22" x14ac:dyDescent="0.3">
      <c r="A100" s="4">
        <v>2407384</v>
      </c>
      <c r="B100" s="108" t="s">
        <v>550</v>
      </c>
      <c r="C100" s="4" t="s">
        <v>551</v>
      </c>
      <c r="D100" s="4" t="s">
        <v>552</v>
      </c>
      <c r="E100" s="4" t="s">
        <v>553</v>
      </c>
      <c r="F100" s="4" t="s">
        <v>554</v>
      </c>
      <c r="G100" s="55">
        <v>36800</v>
      </c>
      <c r="H100" s="4" t="s">
        <v>71</v>
      </c>
      <c r="I100" s="4">
        <v>12.285</v>
      </c>
      <c r="J100" s="4" t="s">
        <v>122</v>
      </c>
      <c r="K100" s="4" t="s">
        <v>1902</v>
      </c>
      <c r="L100" s="4" t="s">
        <v>1984</v>
      </c>
      <c r="M100" s="93">
        <v>45568</v>
      </c>
      <c r="N100" s="4"/>
      <c r="O100" s="4"/>
      <c r="P100" s="93"/>
      <c r="Q100" s="4"/>
      <c r="R100" s="4"/>
      <c r="S100" s="93"/>
      <c r="T100" s="4"/>
      <c r="U100" s="4"/>
      <c r="V100" s="93"/>
    </row>
    <row r="101" spans="1:22" x14ac:dyDescent="0.3">
      <c r="A101" s="4">
        <v>2407385</v>
      </c>
      <c r="B101" s="108" t="s">
        <v>555</v>
      </c>
      <c r="C101" s="4" t="s">
        <v>556</v>
      </c>
      <c r="D101" s="4" t="s">
        <v>557</v>
      </c>
      <c r="E101" s="4" t="s">
        <v>558</v>
      </c>
      <c r="F101" s="4" t="s">
        <v>559</v>
      </c>
      <c r="G101" s="55">
        <v>45600</v>
      </c>
      <c r="H101" s="4" t="s">
        <v>71</v>
      </c>
      <c r="I101" s="4">
        <v>15.21</v>
      </c>
      <c r="J101" s="4" t="s">
        <v>122</v>
      </c>
      <c r="K101" s="4" t="s">
        <v>1902</v>
      </c>
      <c r="L101" s="4" t="s">
        <v>1985</v>
      </c>
      <c r="M101" s="93">
        <v>45568</v>
      </c>
      <c r="N101" s="4"/>
      <c r="O101" s="4"/>
      <c r="P101" s="93"/>
      <c r="Q101" s="4"/>
      <c r="R101" s="4"/>
      <c r="S101" s="93"/>
      <c r="T101" s="4"/>
      <c r="U101" s="4"/>
      <c r="V101" s="93"/>
    </row>
    <row r="102" spans="1:22" x14ac:dyDescent="0.3">
      <c r="A102" s="4">
        <v>2310035</v>
      </c>
      <c r="B102" s="108" t="s">
        <v>560</v>
      </c>
      <c r="C102" s="4">
        <v>0</v>
      </c>
      <c r="D102" s="4">
        <v>0</v>
      </c>
      <c r="E102" s="4">
        <v>0</v>
      </c>
      <c r="F102" s="4">
        <v>0</v>
      </c>
      <c r="G102" s="55">
        <v>188000</v>
      </c>
      <c r="H102" s="4" t="s">
        <v>124</v>
      </c>
      <c r="I102" s="4">
        <v>87.84</v>
      </c>
      <c r="J102" s="4" t="s">
        <v>122</v>
      </c>
      <c r="K102" s="4"/>
      <c r="L102" s="4"/>
      <c r="M102" s="4"/>
      <c r="N102" s="4"/>
      <c r="O102" s="4"/>
      <c r="P102" s="4"/>
      <c r="Q102" s="4"/>
      <c r="R102" s="4"/>
      <c r="S102" s="4"/>
      <c r="T102" s="4"/>
      <c r="U102" s="4"/>
      <c r="V102" s="4"/>
    </row>
    <row r="103" spans="1:22" x14ac:dyDescent="0.3">
      <c r="A103" s="4">
        <v>2403088</v>
      </c>
      <c r="B103" s="108" t="s">
        <v>564</v>
      </c>
      <c r="C103" s="4">
        <v>0</v>
      </c>
      <c r="D103" s="4" t="s">
        <v>565</v>
      </c>
      <c r="E103" s="4">
        <v>0</v>
      </c>
      <c r="F103" s="4">
        <v>0</v>
      </c>
      <c r="G103" s="55">
        <v>98000</v>
      </c>
      <c r="H103" s="4" t="s">
        <v>124</v>
      </c>
      <c r="I103" s="4">
        <v>37.44</v>
      </c>
      <c r="J103" s="4" t="s">
        <v>122</v>
      </c>
      <c r="K103" s="4" t="s">
        <v>1912</v>
      </c>
      <c r="L103" s="4" t="s">
        <v>1986</v>
      </c>
      <c r="M103" s="93">
        <v>45890</v>
      </c>
      <c r="N103" s="4"/>
      <c r="O103" s="4"/>
      <c r="P103" s="4"/>
      <c r="Q103" s="4"/>
      <c r="R103" s="4"/>
      <c r="S103" s="4"/>
      <c r="T103" s="4"/>
      <c r="U103" s="4"/>
      <c r="V103" s="4"/>
    </row>
    <row r="104" spans="1:22" x14ac:dyDescent="0.3">
      <c r="A104" s="4">
        <v>2407157</v>
      </c>
      <c r="B104" s="108" t="s">
        <v>566</v>
      </c>
      <c r="C104" s="4">
        <v>0</v>
      </c>
      <c r="D104" s="4" t="s">
        <v>568</v>
      </c>
      <c r="E104" s="4">
        <v>0</v>
      </c>
      <c r="F104" s="4">
        <v>0</v>
      </c>
      <c r="G104" s="55">
        <v>52000</v>
      </c>
      <c r="H104" s="4" t="s">
        <v>124</v>
      </c>
      <c r="I104" s="4">
        <v>18.72</v>
      </c>
      <c r="J104" s="4" t="s">
        <v>109</v>
      </c>
      <c r="K104" s="265" t="s">
        <v>109</v>
      </c>
      <c r="L104" s="266" t="s">
        <v>109</v>
      </c>
      <c r="M104" s="267"/>
      <c r="N104" s="265" t="s">
        <v>109</v>
      </c>
      <c r="O104" s="266" t="s">
        <v>109</v>
      </c>
      <c r="P104" s="267"/>
      <c r="Q104" s="265" t="s">
        <v>109</v>
      </c>
      <c r="R104" s="266" t="s">
        <v>109</v>
      </c>
      <c r="S104" s="267"/>
      <c r="T104" s="265" t="s">
        <v>109</v>
      </c>
      <c r="U104" s="266" t="s">
        <v>109</v>
      </c>
      <c r="V104" s="267"/>
    </row>
    <row r="105" spans="1:22" x14ac:dyDescent="0.3">
      <c r="A105" s="4">
        <v>2312116</v>
      </c>
      <c r="B105" s="108" t="s">
        <v>569</v>
      </c>
      <c r="C105" s="4" t="s">
        <v>570</v>
      </c>
      <c r="D105" s="4" t="s">
        <v>571</v>
      </c>
      <c r="E105" s="4" t="s">
        <v>572</v>
      </c>
      <c r="F105" s="4" t="s">
        <v>573</v>
      </c>
      <c r="G105" s="55">
        <v>32540</v>
      </c>
      <c r="H105" s="4" t="s">
        <v>71</v>
      </c>
      <c r="I105" s="4">
        <v>11.7</v>
      </c>
      <c r="J105" s="4" t="s">
        <v>81</v>
      </c>
      <c r="K105" s="4" t="s">
        <v>1902</v>
      </c>
      <c r="L105" s="4" t="s">
        <v>1987</v>
      </c>
      <c r="M105" s="93">
        <v>45750</v>
      </c>
      <c r="N105" s="4"/>
      <c r="O105" s="4"/>
      <c r="P105" s="4"/>
      <c r="Q105" s="4"/>
      <c r="R105" s="4"/>
      <c r="S105" s="4"/>
      <c r="T105" s="4"/>
      <c r="U105" s="4"/>
      <c r="V105" s="4"/>
    </row>
    <row r="106" spans="1:22" x14ac:dyDescent="0.3">
      <c r="A106" s="4">
        <v>2407388</v>
      </c>
      <c r="B106" s="108" t="s">
        <v>574</v>
      </c>
      <c r="C106" s="4" t="s">
        <v>575</v>
      </c>
      <c r="D106" s="4" t="s">
        <v>576</v>
      </c>
      <c r="E106" s="4" t="s">
        <v>577</v>
      </c>
      <c r="F106" s="4" t="s">
        <v>578</v>
      </c>
      <c r="G106" s="55">
        <v>34600</v>
      </c>
      <c r="H106" s="4" t="s">
        <v>71</v>
      </c>
      <c r="I106" s="4">
        <v>12.285</v>
      </c>
      <c r="J106" s="4" t="s">
        <v>122</v>
      </c>
      <c r="K106" s="4" t="s">
        <v>1902</v>
      </c>
      <c r="L106" s="4" t="s">
        <v>1988</v>
      </c>
      <c r="M106" s="93">
        <v>45750</v>
      </c>
      <c r="N106" s="4"/>
      <c r="O106" s="4"/>
      <c r="P106" s="4"/>
      <c r="Q106" s="4"/>
      <c r="R106" s="4"/>
      <c r="S106" s="4"/>
      <c r="T106" s="4"/>
      <c r="U106" s="4"/>
      <c r="V106" s="4"/>
    </row>
    <row r="107" spans="1:22" x14ac:dyDescent="0.3">
      <c r="A107" s="4">
        <v>2407386</v>
      </c>
      <c r="B107" s="108" t="s">
        <v>579</v>
      </c>
      <c r="C107" s="4" t="s">
        <v>580</v>
      </c>
      <c r="D107" s="4" t="s">
        <v>581</v>
      </c>
      <c r="E107" s="4" t="s">
        <v>582</v>
      </c>
      <c r="F107" s="4" t="s">
        <v>583</v>
      </c>
      <c r="G107" s="55">
        <v>38000</v>
      </c>
      <c r="H107" s="4" t="s">
        <v>71</v>
      </c>
      <c r="I107" s="4">
        <v>12.285</v>
      </c>
      <c r="J107" s="4" t="s">
        <v>109</v>
      </c>
      <c r="K107" s="265" t="s">
        <v>109</v>
      </c>
      <c r="L107" s="266" t="s">
        <v>109</v>
      </c>
      <c r="M107" s="267"/>
      <c r="N107" s="265" t="s">
        <v>109</v>
      </c>
      <c r="O107" s="266" t="s">
        <v>109</v>
      </c>
      <c r="P107" s="267"/>
      <c r="Q107" s="265" t="s">
        <v>109</v>
      </c>
      <c r="R107" s="266" t="s">
        <v>109</v>
      </c>
      <c r="S107" s="267"/>
      <c r="T107" s="265" t="s">
        <v>109</v>
      </c>
      <c r="U107" s="266" t="s">
        <v>109</v>
      </c>
      <c r="V107" s="267"/>
    </row>
    <row r="108" spans="1:22" x14ac:dyDescent="0.3">
      <c r="A108" s="4">
        <v>2403158</v>
      </c>
      <c r="B108" s="108" t="s">
        <v>584</v>
      </c>
      <c r="C108" s="4" t="s">
        <v>585</v>
      </c>
      <c r="D108" s="4" t="s">
        <v>586</v>
      </c>
      <c r="E108" s="4" t="s">
        <v>587</v>
      </c>
      <c r="F108" s="4" t="s">
        <v>588</v>
      </c>
      <c r="G108" s="55">
        <v>23500</v>
      </c>
      <c r="H108" s="4" t="s">
        <v>71</v>
      </c>
      <c r="I108" s="4">
        <v>7.02</v>
      </c>
      <c r="J108" s="4" t="s">
        <v>122</v>
      </c>
      <c r="K108" s="4" t="s">
        <v>1902</v>
      </c>
      <c r="L108" s="4" t="s">
        <v>1989</v>
      </c>
      <c r="M108" s="93">
        <v>45750</v>
      </c>
      <c r="N108" s="4"/>
      <c r="O108" s="4"/>
      <c r="P108" s="4"/>
      <c r="Q108" s="4"/>
      <c r="R108" s="4"/>
      <c r="S108" s="4"/>
      <c r="T108" s="4"/>
      <c r="U108" s="4"/>
      <c r="V108" s="4"/>
    </row>
    <row r="109" spans="1:22" x14ac:dyDescent="0.3">
      <c r="A109" s="4">
        <v>2404220</v>
      </c>
      <c r="B109" s="108" t="s">
        <v>589</v>
      </c>
      <c r="C109" s="4" t="s">
        <v>590</v>
      </c>
      <c r="D109" s="4" t="s">
        <v>591</v>
      </c>
      <c r="E109" s="4" t="s">
        <v>592</v>
      </c>
      <c r="F109" s="4" t="s">
        <v>593</v>
      </c>
      <c r="G109" s="55">
        <v>23500</v>
      </c>
      <c r="H109" s="4" t="s">
        <v>71</v>
      </c>
      <c r="I109" s="4">
        <v>7.02</v>
      </c>
      <c r="J109" s="4" t="s">
        <v>122</v>
      </c>
      <c r="K109" s="4" t="s">
        <v>1902</v>
      </c>
      <c r="L109" s="4" t="s">
        <v>1990</v>
      </c>
      <c r="M109" s="93">
        <v>45750</v>
      </c>
      <c r="N109" s="4"/>
      <c r="O109" s="4"/>
      <c r="P109" s="4"/>
      <c r="Q109" s="4"/>
      <c r="R109" s="4"/>
      <c r="S109" s="4"/>
      <c r="T109" s="4"/>
      <c r="U109" s="4"/>
      <c r="V109" s="4"/>
    </row>
    <row r="110" spans="1:22" x14ac:dyDescent="0.3">
      <c r="A110" s="4">
        <v>2403202</v>
      </c>
      <c r="B110" s="108" t="s">
        <v>594</v>
      </c>
      <c r="C110" s="4" t="s">
        <v>595</v>
      </c>
      <c r="D110" s="4" t="s">
        <v>596</v>
      </c>
      <c r="E110" s="4" t="s">
        <v>597</v>
      </c>
      <c r="F110" s="4" t="s">
        <v>598</v>
      </c>
      <c r="G110" s="55">
        <v>31000</v>
      </c>
      <c r="H110" s="4" t="s">
        <v>71</v>
      </c>
      <c r="I110" s="4">
        <v>10.53</v>
      </c>
      <c r="J110" s="4" t="s">
        <v>122</v>
      </c>
      <c r="K110" s="4" t="s">
        <v>1902</v>
      </c>
      <c r="L110" s="4" t="s">
        <v>1991</v>
      </c>
      <c r="M110" s="93">
        <v>45568</v>
      </c>
      <c r="N110" s="4"/>
      <c r="O110" s="4"/>
      <c r="P110" s="93"/>
      <c r="Q110" s="4"/>
      <c r="R110" s="4"/>
      <c r="S110" s="93"/>
      <c r="T110" s="4"/>
      <c r="U110" s="4"/>
      <c r="V110" s="93"/>
    </row>
    <row r="111" spans="1:22" x14ac:dyDescent="0.3">
      <c r="A111" s="4">
        <v>2407392</v>
      </c>
      <c r="B111" s="108" t="s">
        <v>599</v>
      </c>
      <c r="C111" s="4" t="s">
        <v>600</v>
      </c>
      <c r="D111" s="4" t="s">
        <v>601</v>
      </c>
      <c r="E111" s="4" t="s">
        <v>602</v>
      </c>
      <c r="F111" s="4" t="s">
        <v>603</v>
      </c>
      <c r="G111" s="55">
        <v>36680</v>
      </c>
      <c r="H111" s="4" t="s">
        <v>71</v>
      </c>
      <c r="I111" s="4">
        <v>11.7</v>
      </c>
      <c r="J111" s="4" t="s">
        <v>122</v>
      </c>
      <c r="K111" s="4" t="s">
        <v>1902</v>
      </c>
      <c r="L111" s="4" t="s">
        <v>1992</v>
      </c>
      <c r="M111" s="93">
        <v>45750</v>
      </c>
      <c r="N111" s="4"/>
      <c r="O111" s="4"/>
      <c r="P111" s="4"/>
      <c r="Q111" s="4"/>
      <c r="R111" s="4"/>
      <c r="S111" s="4"/>
      <c r="T111" s="4"/>
      <c r="U111" s="4"/>
      <c r="V111" s="4"/>
    </row>
    <row r="112" spans="1:22" x14ac:dyDescent="0.3">
      <c r="A112" s="4">
        <v>2404232</v>
      </c>
      <c r="B112" s="108" t="s">
        <v>604</v>
      </c>
      <c r="C112" s="4" t="s">
        <v>605</v>
      </c>
      <c r="D112" s="4" t="s">
        <v>606</v>
      </c>
      <c r="E112" s="4" t="s">
        <v>607</v>
      </c>
      <c r="F112" s="4" t="s">
        <v>608</v>
      </c>
      <c r="G112" s="55">
        <v>25000</v>
      </c>
      <c r="H112" s="4" t="s">
        <v>71</v>
      </c>
      <c r="I112" s="4">
        <v>7.02</v>
      </c>
      <c r="J112" s="4" t="s">
        <v>122</v>
      </c>
      <c r="K112" s="4" t="s">
        <v>1902</v>
      </c>
      <c r="L112" s="4" t="s">
        <v>1993</v>
      </c>
      <c r="M112" s="93">
        <v>45750</v>
      </c>
      <c r="N112" s="4"/>
      <c r="O112" s="4"/>
      <c r="P112" s="4"/>
      <c r="Q112" s="4"/>
      <c r="R112" s="4"/>
      <c r="S112" s="4"/>
      <c r="T112" s="4"/>
      <c r="U112" s="4"/>
      <c r="V112" s="4"/>
    </row>
    <row r="113" spans="1:22" x14ac:dyDescent="0.3">
      <c r="A113" s="4">
        <v>2407397</v>
      </c>
      <c r="B113" s="108" t="s">
        <v>609</v>
      </c>
      <c r="C113" s="4" t="s">
        <v>610</v>
      </c>
      <c r="D113" s="4" t="s">
        <v>611</v>
      </c>
      <c r="E113" s="4" t="s">
        <v>612</v>
      </c>
      <c r="F113" s="4" t="s">
        <v>613</v>
      </c>
      <c r="G113" s="55">
        <v>39600</v>
      </c>
      <c r="H113" s="4" t="s">
        <v>71</v>
      </c>
      <c r="I113" s="4">
        <v>15.21</v>
      </c>
      <c r="J113" s="4" t="s">
        <v>122</v>
      </c>
      <c r="K113" s="4" t="s">
        <v>1902</v>
      </c>
      <c r="L113" s="4" t="s">
        <v>1994</v>
      </c>
      <c r="M113" s="93">
        <v>45750</v>
      </c>
      <c r="N113" s="4"/>
      <c r="O113" s="4"/>
      <c r="P113" s="4"/>
      <c r="Q113" s="4"/>
      <c r="R113" s="4"/>
      <c r="S113" s="4"/>
      <c r="T113" s="4"/>
      <c r="U113" s="4"/>
      <c r="V113" s="4"/>
    </row>
    <row r="114" spans="1:22" x14ac:dyDescent="0.3">
      <c r="A114" s="4">
        <v>2404250</v>
      </c>
      <c r="B114" s="108" t="s">
        <v>614</v>
      </c>
      <c r="C114" s="4" t="s">
        <v>615</v>
      </c>
      <c r="D114" s="4" t="s">
        <v>616</v>
      </c>
      <c r="E114" s="4" t="s">
        <v>617</v>
      </c>
      <c r="F114" s="4" t="s">
        <v>618</v>
      </c>
      <c r="G114" s="55">
        <v>50320</v>
      </c>
      <c r="H114" s="4" t="s">
        <v>71</v>
      </c>
      <c r="I114" s="4">
        <v>17.55</v>
      </c>
      <c r="J114" s="4" t="s">
        <v>122</v>
      </c>
      <c r="K114" s="4" t="s">
        <v>1902</v>
      </c>
      <c r="L114" s="4" t="s">
        <v>1995</v>
      </c>
      <c r="M114" s="93">
        <v>45750</v>
      </c>
      <c r="N114" s="4"/>
      <c r="O114" s="4"/>
      <c r="P114" s="4"/>
      <c r="Q114" s="4"/>
      <c r="R114" s="4"/>
      <c r="S114" s="4"/>
      <c r="T114" s="4"/>
      <c r="U114" s="4"/>
      <c r="V114" s="4"/>
    </row>
    <row r="115" spans="1:22" x14ac:dyDescent="0.3">
      <c r="A115" s="4">
        <v>2407399</v>
      </c>
      <c r="B115" s="108" t="s">
        <v>619</v>
      </c>
      <c r="C115" s="4" t="s">
        <v>620</v>
      </c>
      <c r="D115" s="4" t="s">
        <v>621</v>
      </c>
      <c r="E115" s="4" t="s">
        <v>622</v>
      </c>
      <c r="F115" s="4" t="s">
        <v>623</v>
      </c>
      <c r="G115" s="55">
        <v>31000</v>
      </c>
      <c r="H115" s="4" t="s">
        <v>71</v>
      </c>
      <c r="I115" s="4">
        <v>10.53</v>
      </c>
      <c r="J115" s="4" t="s">
        <v>122</v>
      </c>
      <c r="K115" s="4" t="s">
        <v>1902</v>
      </c>
      <c r="L115" s="4" t="s">
        <v>1996</v>
      </c>
      <c r="M115" s="93">
        <v>45750</v>
      </c>
      <c r="N115" s="4"/>
      <c r="O115" s="4"/>
      <c r="P115" s="4"/>
      <c r="Q115" s="4"/>
      <c r="R115" s="4"/>
      <c r="S115" s="4"/>
      <c r="T115" s="4"/>
      <c r="U115" s="4"/>
      <c r="V115" s="4"/>
    </row>
    <row r="116" spans="1:22" x14ac:dyDescent="0.3">
      <c r="A116" s="4">
        <v>2407394</v>
      </c>
      <c r="B116" s="108" t="s">
        <v>625</v>
      </c>
      <c r="C116" s="4" t="s">
        <v>626</v>
      </c>
      <c r="D116" s="4" t="s">
        <v>627</v>
      </c>
      <c r="E116" s="4" t="s">
        <v>628</v>
      </c>
      <c r="F116" s="4">
        <v>0</v>
      </c>
      <c r="G116" s="55">
        <v>24100</v>
      </c>
      <c r="H116" s="4" t="s">
        <v>71</v>
      </c>
      <c r="I116" s="4">
        <v>7.02</v>
      </c>
      <c r="J116" s="4" t="s">
        <v>122</v>
      </c>
      <c r="K116" s="4" t="s">
        <v>1902</v>
      </c>
      <c r="L116" s="4" t="s">
        <v>1997</v>
      </c>
      <c r="M116" s="93">
        <v>45568</v>
      </c>
      <c r="N116" s="4"/>
      <c r="O116" s="4"/>
      <c r="P116" s="93"/>
      <c r="Q116" s="4"/>
      <c r="R116" s="4"/>
      <c r="S116" s="93"/>
      <c r="T116" s="4"/>
      <c r="U116" s="4"/>
      <c r="V116" s="93"/>
    </row>
    <row r="117" spans="1:22" x14ac:dyDescent="0.3">
      <c r="A117" s="4" t="s">
        <v>629</v>
      </c>
      <c r="B117" s="108" t="s">
        <v>630</v>
      </c>
      <c r="C117" s="4" t="s">
        <v>631</v>
      </c>
      <c r="D117" s="4" t="s">
        <v>632</v>
      </c>
      <c r="E117" s="4" t="s">
        <v>633</v>
      </c>
      <c r="F117" s="4" t="s">
        <v>634</v>
      </c>
      <c r="G117" s="55">
        <v>39600</v>
      </c>
      <c r="H117" s="4" t="s">
        <v>71</v>
      </c>
      <c r="I117" s="4">
        <v>15.21</v>
      </c>
      <c r="J117" s="4" t="s">
        <v>122</v>
      </c>
      <c r="K117" s="4" t="s">
        <v>1902</v>
      </c>
      <c r="L117" s="4" t="s">
        <v>1998</v>
      </c>
      <c r="M117" s="93">
        <v>45750</v>
      </c>
      <c r="N117" s="4"/>
      <c r="O117" s="4"/>
      <c r="P117" s="4"/>
      <c r="Q117" s="4"/>
      <c r="R117" s="4"/>
      <c r="S117" s="4"/>
      <c r="T117" s="4"/>
      <c r="U117" s="4"/>
      <c r="V117" s="4"/>
    </row>
    <row r="118" spans="1:22" x14ac:dyDescent="0.3">
      <c r="A118" s="4">
        <v>2312114</v>
      </c>
      <c r="B118" s="108" t="s">
        <v>635</v>
      </c>
      <c r="C118" s="4" t="s">
        <v>636</v>
      </c>
      <c r="D118" s="4" t="s">
        <v>637</v>
      </c>
      <c r="E118" s="4" t="s">
        <v>638</v>
      </c>
      <c r="F118" s="4" t="s">
        <v>639</v>
      </c>
      <c r="G118" s="55">
        <v>31000</v>
      </c>
      <c r="H118" s="4" t="s">
        <v>71</v>
      </c>
      <c r="I118" s="4">
        <v>11.7</v>
      </c>
      <c r="J118" s="4" t="s">
        <v>81</v>
      </c>
      <c r="K118" s="4" t="s">
        <v>1902</v>
      </c>
      <c r="L118" s="4" t="s">
        <v>1999</v>
      </c>
      <c r="M118" s="93">
        <v>45568</v>
      </c>
      <c r="N118" s="265" t="s">
        <v>109</v>
      </c>
      <c r="O118" s="266" t="s">
        <v>109</v>
      </c>
      <c r="P118" s="267"/>
      <c r="Q118" s="265" t="s">
        <v>109</v>
      </c>
      <c r="R118" s="266"/>
      <c r="S118" s="267"/>
      <c r="T118" s="265" t="s">
        <v>109</v>
      </c>
      <c r="U118" s="266"/>
      <c r="V118" s="267"/>
    </row>
    <row r="119" spans="1:22" x14ac:dyDescent="0.3">
      <c r="A119" s="4">
        <v>2401123</v>
      </c>
      <c r="B119" s="108" t="s">
        <v>640</v>
      </c>
      <c r="C119" s="4" t="s">
        <v>641</v>
      </c>
      <c r="D119" s="4" t="s">
        <v>642</v>
      </c>
      <c r="E119" s="4" t="s">
        <v>643</v>
      </c>
      <c r="F119" s="4" t="s">
        <v>644</v>
      </c>
      <c r="G119" s="55">
        <v>36500</v>
      </c>
      <c r="H119" s="4" t="s">
        <v>71</v>
      </c>
      <c r="I119" s="4">
        <v>12.285</v>
      </c>
      <c r="J119" s="4" t="s">
        <v>122</v>
      </c>
      <c r="K119" s="4" t="s">
        <v>1902</v>
      </c>
      <c r="L119" s="4" t="s">
        <v>2000</v>
      </c>
      <c r="M119" s="93">
        <v>45750</v>
      </c>
      <c r="N119" s="4"/>
      <c r="O119" s="4"/>
      <c r="P119" s="4"/>
      <c r="Q119" s="4"/>
      <c r="R119" s="4"/>
      <c r="S119" s="4"/>
      <c r="T119" s="4"/>
      <c r="U119" s="4"/>
      <c r="V119" s="4"/>
    </row>
    <row r="120" spans="1:22" x14ac:dyDescent="0.3">
      <c r="A120" s="4">
        <v>2404207</v>
      </c>
      <c r="B120" s="108" t="s">
        <v>645</v>
      </c>
      <c r="C120" s="4" t="s">
        <v>646</v>
      </c>
      <c r="D120" s="4" t="s">
        <v>647</v>
      </c>
      <c r="E120" s="4" t="s">
        <v>648</v>
      </c>
      <c r="F120" s="4" t="s">
        <v>649</v>
      </c>
      <c r="G120" s="55">
        <v>26240</v>
      </c>
      <c r="H120" s="4" t="s">
        <v>71</v>
      </c>
      <c r="I120" s="4">
        <v>7.02</v>
      </c>
      <c r="J120" s="4" t="s">
        <v>122</v>
      </c>
      <c r="K120" s="4" t="s">
        <v>1902</v>
      </c>
      <c r="L120" s="4" t="s">
        <v>2001</v>
      </c>
      <c r="M120" s="93">
        <v>45568</v>
      </c>
      <c r="N120" s="4"/>
      <c r="O120" s="4"/>
      <c r="P120" s="93"/>
      <c r="Q120" s="4"/>
      <c r="R120" s="4"/>
      <c r="S120" s="93"/>
      <c r="T120" s="4"/>
      <c r="U120" s="4"/>
      <c r="V120" s="93"/>
    </row>
    <row r="121" spans="1:22" x14ac:dyDescent="0.3">
      <c r="A121" s="4">
        <v>2408402</v>
      </c>
      <c r="B121" s="108" t="s">
        <v>650</v>
      </c>
      <c r="C121" s="4" t="s">
        <v>651</v>
      </c>
      <c r="D121" s="4" t="s">
        <v>652</v>
      </c>
      <c r="E121" s="4" t="s">
        <v>653</v>
      </c>
      <c r="F121" s="4" t="s">
        <v>654</v>
      </c>
      <c r="G121" s="55">
        <v>43000</v>
      </c>
      <c r="H121" s="4" t="s">
        <v>71</v>
      </c>
      <c r="I121" s="4">
        <v>12.87</v>
      </c>
      <c r="J121" s="4" t="s">
        <v>122</v>
      </c>
      <c r="K121" s="4" t="s">
        <v>1902</v>
      </c>
      <c r="L121" s="4" t="s">
        <v>2002</v>
      </c>
      <c r="M121" s="93">
        <v>45750</v>
      </c>
      <c r="N121" s="4"/>
      <c r="O121" s="4"/>
      <c r="P121" s="4"/>
      <c r="Q121" s="4"/>
      <c r="R121" s="4"/>
      <c r="S121" s="4"/>
      <c r="T121" s="4"/>
      <c r="U121" s="4"/>
      <c r="V121" s="4"/>
    </row>
    <row r="122" spans="1:22" x14ac:dyDescent="0.3">
      <c r="A122" s="4">
        <v>2407372</v>
      </c>
      <c r="B122" s="108" t="s">
        <v>655</v>
      </c>
      <c r="C122" s="4" t="s">
        <v>656</v>
      </c>
      <c r="D122" s="4" t="s">
        <v>657</v>
      </c>
      <c r="E122" s="4" t="s">
        <v>658</v>
      </c>
      <c r="F122" s="4" t="s">
        <v>659</v>
      </c>
      <c r="G122" s="55">
        <v>37600</v>
      </c>
      <c r="H122" s="4" t="s">
        <v>71</v>
      </c>
      <c r="I122" s="4">
        <v>14.04</v>
      </c>
      <c r="J122" s="4" t="s">
        <v>122</v>
      </c>
      <c r="K122" s="4" t="s">
        <v>1902</v>
      </c>
      <c r="L122" s="4" t="s">
        <v>2003</v>
      </c>
      <c r="M122" s="93">
        <v>45750</v>
      </c>
      <c r="N122" s="4"/>
      <c r="O122" s="4"/>
      <c r="P122" s="4"/>
      <c r="Q122" s="4"/>
      <c r="R122" s="4"/>
      <c r="S122" s="4"/>
      <c r="T122" s="4"/>
      <c r="U122" s="4"/>
      <c r="V122" s="4"/>
    </row>
    <row r="123" spans="1:22" x14ac:dyDescent="0.3">
      <c r="A123" s="4">
        <v>2405298</v>
      </c>
      <c r="B123" s="108" t="s">
        <v>660</v>
      </c>
      <c r="C123" s="4" t="s">
        <v>661</v>
      </c>
      <c r="D123" s="4" t="s">
        <v>662</v>
      </c>
      <c r="E123" s="4" t="s">
        <v>663</v>
      </c>
      <c r="F123" s="4" t="s">
        <v>664</v>
      </c>
      <c r="G123" s="55">
        <v>35960</v>
      </c>
      <c r="H123" s="4" t="s">
        <v>71</v>
      </c>
      <c r="I123" s="4">
        <v>11.7</v>
      </c>
      <c r="J123" s="4" t="s">
        <v>122</v>
      </c>
      <c r="K123" s="4" t="s">
        <v>1902</v>
      </c>
      <c r="L123" s="4" t="s">
        <v>2004</v>
      </c>
      <c r="M123" s="93">
        <v>45750</v>
      </c>
      <c r="N123" s="4"/>
      <c r="O123" s="4"/>
      <c r="P123" s="4"/>
      <c r="Q123" s="4"/>
      <c r="R123" s="4"/>
      <c r="S123" s="4"/>
      <c r="T123" s="4"/>
      <c r="U123" s="4"/>
      <c r="V123" s="4"/>
    </row>
    <row r="124" spans="1:22" x14ac:dyDescent="0.3">
      <c r="A124" s="4">
        <v>2408404</v>
      </c>
      <c r="B124" s="108" t="s">
        <v>665</v>
      </c>
      <c r="C124" s="4" t="s">
        <v>666</v>
      </c>
      <c r="D124" s="4" t="s">
        <v>667</v>
      </c>
      <c r="E124" s="4" t="s">
        <v>668</v>
      </c>
      <c r="F124" s="4" t="s">
        <v>669</v>
      </c>
      <c r="G124" s="55">
        <v>24680</v>
      </c>
      <c r="H124" s="4" t="s">
        <v>71</v>
      </c>
      <c r="I124" s="4">
        <v>7.02</v>
      </c>
      <c r="J124" s="4" t="s">
        <v>122</v>
      </c>
      <c r="K124" s="4" t="s">
        <v>1902</v>
      </c>
      <c r="L124" s="4" t="s">
        <v>2005</v>
      </c>
      <c r="M124" s="93">
        <v>45750</v>
      </c>
      <c r="N124" s="4"/>
      <c r="O124" s="4"/>
      <c r="P124" s="4"/>
      <c r="Q124" s="4"/>
      <c r="R124" s="4"/>
      <c r="S124" s="4"/>
      <c r="T124" s="4"/>
      <c r="U124" s="4"/>
      <c r="V124" s="4"/>
    </row>
    <row r="125" spans="1:22" x14ac:dyDescent="0.3">
      <c r="A125" s="4">
        <v>2408401</v>
      </c>
      <c r="B125" s="108" t="s">
        <v>670</v>
      </c>
      <c r="C125" s="4" t="s">
        <v>671</v>
      </c>
      <c r="D125" s="4" t="s">
        <v>672</v>
      </c>
      <c r="E125" s="4" t="s">
        <v>673</v>
      </c>
      <c r="F125" s="4" t="s">
        <v>674</v>
      </c>
      <c r="G125" s="55">
        <v>22500</v>
      </c>
      <c r="H125" s="4" t="s">
        <v>71</v>
      </c>
      <c r="I125" s="4">
        <v>7.02</v>
      </c>
      <c r="J125" s="4" t="s">
        <v>122</v>
      </c>
      <c r="K125" s="4" t="s">
        <v>1902</v>
      </c>
      <c r="L125" s="4" t="s">
        <v>2006</v>
      </c>
      <c r="M125" s="93">
        <v>45750</v>
      </c>
      <c r="N125" s="4"/>
      <c r="O125" s="4"/>
      <c r="P125" s="4"/>
      <c r="Q125" s="4"/>
      <c r="R125" s="4"/>
      <c r="S125" s="4"/>
      <c r="T125" s="4"/>
      <c r="U125" s="4"/>
      <c r="V125" s="4"/>
    </row>
    <row r="126" spans="1:22" x14ac:dyDescent="0.3">
      <c r="A126" s="4">
        <v>2408398</v>
      </c>
      <c r="B126" s="108" t="s">
        <v>675</v>
      </c>
      <c r="C126" s="4" t="s">
        <v>676</v>
      </c>
      <c r="D126" s="4" t="s">
        <v>677</v>
      </c>
      <c r="E126" s="4" t="s">
        <v>678</v>
      </c>
      <c r="F126" s="4" t="s">
        <v>679</v>
      </c>
      <c r="G126" s="55">
        <v>36680</v>
      </c>
      <c r="H126" s="4" t="s">
        <v>71</v>
      </c>
      <c r="I126" s="4">
        <v>11.7</v>
      </c>
      <c r="J126" s="4" t="s">
        <v>122</v>
      </c>
      <c r="K126" s="4" t="s">
        <v>1902</v>
      </c>
      <c r="L126" s="4" t="s">
        <v>2007</v>
      </c>
      <c r="M126" s="93">
        <v>45750</v>
      </c>
      <c r="N126" s="4"/>
      <c r="O126" s="4"/>
      <c r="P126" s="4"/>
      <c r="Q126" s="4"/>
      <c r="R126" s="4"/>
      <c r="S126" s="4"/>
      <c r="T126" s="4"/>
      <c r="U126" s="4"/>
      <c r="V126" s="4"/>
    </row>
    <row r="127" spans="1:22" x14ac:dyDescent="0.3">
      <c r="A127" s="4">
        <v>2408415</v>
      </c>
      <c r="B127" s="108" t="s">
        <v>680</v>
      </c>
      <c r="C127" s="4" t="s">
        <v>681</v>
      </c>
      <c r="D127" s="4" t="s">
        <v>682</v>
      </c>
      <c r="E127" s="4" t="s">
        <v>683</v>
      </c>
      <c r="F127" s="4" t="s">
        <v>684</v>
      </c>
      <c r="G127" s="55">
        <v>45600</v>
      </c>
      <c r="H127" s="4" t="s">
        <v>71</v>
      </c>
      <c r="I127" s="4">
        <v>17.55</v>
      </c>
      <c r="J127" s="4" t="s">
        <v>122</v>
      </c>
      <c r="K127" s="4" t="s">
        <v>1902</v>
      </c>
      <c r="L127" s="4" t="s">
        <v>2008</v>
      </c>
      <c r="M127" s="93">
        <v>45750</v>
      </c>
      <c r="N127" s="4"/>
      <c r="O127" s="4"/>
      <c r="P127" s="4"/>
      <c r="Q127" s="4"/>
      <c r="R127" s="4"/>
      <c r="S127" s="4"/>
      <c r="T127" s="4"/>
      <c r="U127" s="4"/>
      <c r="V127" s="4"/>
    </row>
    <row r="128" spans="1:22" x14ac:dyDescent="0.3">
      <c r="A128" s="4">
        <v>2408425</v>
      </c>
      <c r="B128" s="108" t="s">
        <v>685</v>
      </c>
      <c r="C128" s="4" t="s">
        <v>686</v>
      </c>
      <c r="D128" s="4" t="s">
        <v>687</v>
      </c>
      <c r="E128" s="4" t="s">
        <v>688</v>
      </c>
      <c r="F128" s="4" t="s">
        <v>689</v>
      </c>
      <c r="G128" s="55">
        <v>43100</v>
      </c>
      <c r="H128" s="4" t="s">
        <v>71</v>
      </c>
      <c r="I128" s="4">
        <v>14.04</v>
      </c>
      <c r="J128" s="4" t="s">
        <v>122</v>
      </c>
      <c r="K128" s="4" t="s">
        <v>1902</v>
      </c>
      <c r="L128" s="4" t="s">
        <v>2009</v>
      </c>
      <c r="M128" s="93">
        <v>45750</v>
      </c>
      <c r="N128" s="4"/>
      <c r="O128" s="4"/>
      <c r="P128" s="4"/>
      <c r="Q128" s="4"/>
      <c r="R128" s="4"/>
      <c r="S128" s="4"/>
      <c r="T128" s="4"/>
      <c r="U128" s="4"/>
      <c r="V128" s="4"/>
    </row>
    <row r="129" spans="1:22" x14ac:dyDescent="0.3">
      <c r="A129" s="4">
        <v>2406334</v>
      </c>
      <c r="B129" s="108" t="s">
        <v>690</v>
      </c>
      <c r="C129" s="4" t="s">
        <v>691</v>
      </c>
      <c r="D129" s="4" t="s">
        <v>692</v>
      </c>
      <c r="E129" s="4" t="s">
        <v>693</v>
      </c>
      <c r="F129" s="4" t="s">
        <v>694</v>
      </c>
      <c r="G129" s="55">
        <v>37600</v>
      </c>
      <c r="H129" s="4" t="s">
        <v>71</v>
      </c>
      <c r="I129" s="4">
        <v>14.04</v>
      </c>
      <c r="J129" s="4" t="s">
        <v>122</v>
      </c>
      <c r="K129" s="4" t="s">
        <v>1902</v>
      </c>
      <c r="L129" s="4" t="s">
        <v>2010</v>
      </c>
      <c r="M129" s="93">
        <v>45750</v>
      </c>
      <c r="N129" s="4"/>
      <c r="O129" s="4"/>
      <c r="P129" s="4"/>
      <c r="Q129" s="4"/>
      <c r="R129" s="4"/>
      <c r="S129" s="4"/>
      <c r="T129" s="4"/>
      <c r="U129" s="4"/>
      <c r="V129" s="4"/>
    </row>
    <row r="130" spans="1:22" x14ac:dyDescent="0.3">
      <c r="A130" s="4">
        <v>2407371</v>
      </c>
      <c r="B130" s="108" t="s">
        <v>695</v>
      </c>
      <c r="C130" s="4" t="s">
        <v>696</v>
      </c>
      <c r="D130" s="4" t="s">
        <v>697</v>
      </c>
      <c r="E130" s="4" t="s">
        <v>698</v>
      </c>
      <c r="F130" s="4" t="s">
        <v>699</v>
      </c>
      <c r="G130" s="55">
        <v>32800</v>
      </c>
      <c r="H130" s="4" t="s">
        <v>71</v>
      </c>
      <c r="I130" s="4">
        <v>10.53</v>
      </c>
      <c r="J130" s="4" t="s">
        <v>80</v>
      </c>
      <c r="K130" s="4" t="s">
        <v>1902</v>
      </c>
      <c r="L130" s="4" t="s">
        <v>2011</v>
      </c>
      <c r="M130" s="93">
        <v>45750</v>
      </c>
      <c r="N130" s="4"/>
      <c r="O130" s="4"/>
      <c r="P130" s="4"/>
      <c r="Q130" s="4"/>
      <c r="R130" s="4"/>
      <c r="S130" s="4"/>
      <c r="T130" s="4"/>
      <c r="U130" s="4"/>
      <c r="V130" s="4"/>
    </row>
    <row r="131" spans="1:22" x14ac:dyDescent="0.3">
      <c r="A131" s="4">
        <v>2408409</v>
      </c>
      <c r="B131" s="108" t="s">
        <v>700</v>
      </c>
      <c r="C131" s="4" t="s">
        <v>701</v>
      </c>
      <c r="D131" s="4" t="s">
        <v>702</v>
      </c>
      <c r="E131" s="4" t="s">
        <v>703</v>
      </c>
      <c r="F131" s="4" t="s">
        <v>704</v>
      </c>
      <c r="G131" s="55">
        <v>27700</v>
      </c>
      <c r="H131" s="4" t="s">
        <v>71</v>
      </c>
      <c r="I131" s="4">
        <v>9.9450000000000003</v>
      </c>
      <c r="J131" s="4" t="s">
        <v>109</v>
      </c>
      <c r="K131" s="265" t="s">
        <v>109</v>
      </c>
      <c r="L131" s="266" t="s">
        <v>109</v>
      </c>
      <c r="M131" s="267"/>
      <c r="N131" s="265" t="s">
        <v>109</v>
      </c>
      <c r="O131" s="266" t="s">
        <v>109</v>
      </c>
      <c r="P131" s="267"/>
      <c r="Q131" s="265" t="s">
        <v>109</v>
      </c>
      <c r="R131" s="266" t="s">
        <v>109</v>
      </c>
      <c r="S131" s="267"/>
      <c r="T131" s="265" t="s">
        <v>109</v>
      </c>
      <c r="U131" s="266" t="s">
        <v>109</v>
      </c>
      <c r="V131" s="267"/>
    </row>
    <row r="132" spans="1:22" x14ac:dyDescent="0.3">
      <c r="A132" s="4">
        <v>2408411</v>
      </c>
      <c r="B132" s="108" t="s">
        <v>705</v>
      </c>
      <c r="C132" s="4" t="s">
        <v>706</v>
      </c>
      <c r="D132" s="4" t="s">
        <v>707</v>
      </c>
      <c r="E132" s="4" t="s">
        <v>708</v>
      </c>
      <c r="F132" s="4" t="s">
        <v>709</v>
      </c>
      <c r="G132" s="55">
        <v>24100</v>
      </c>
      <c r="H132" s="4" t="s">
        <v>71</v>
      </c>
      <c r="I132" s="4">
        <v>7.02</v>
      </c>
      <c r="J132" s="4" t="s">
        <v>122</v>
      </c>
      <c r="K132" s="4" t="s">
        <v>1902</v>
      </c>
      <c r="L132" s="4" t="s">
        <v>2012</v>
      </c>
      <c r="M132" s="93">
        <v>45750</v>
      </c>
      <c r="N132" s="4"/>
      <c r="O132" s="4"/>
      <c r="P132" s="4"/>
      <c r="Q132" s="4"/>
      <c r="R132" s="4"/>
      <c r="S132" s="4"/>
      <c r="T132" s="4"/>
      <c r="U132" s="4"/>
      <c r="V132" s="4"/>
    </row>
    <row r="133" spans="1:22" x14ac:dyDescent="0.3">
      <c r="A133" s="4">
        <v>2408408</v>
      </c>
      <c r="B133" s="108" t="s">
        <v>710</v>
      </c>
      <c r="C133" s="4" t="s">
        <v>711</v>
      </c>
      <c r="D133" s="4" t="s">
        <v>712</v>
      </c>
      <c r="E133" s="4" t="s">
        <v>713</v>
      </c>
      <c r="F133" s="4" t="s">
        <v>714</v>
      </c>
      <c r="G133" s="55">
        <v>50600</v>
      </c>
      <c r="H133" s="4" t="s">
        <v>71</v>
      </c>
      <c r="I133" s="4">
        <v>17.55</v>
      </c>
      <c r="J133" s="4" t="s">
        <v>122</v>
      </c>
      <c r="K133" s="4" t="s">
        <v>1902</v>
      </c>
      <c r="L133" s="4" t="s">
        <v>2013</v>
      </c>
      <c r="M133" s="93">
        <v>45750</v>
      </c>
      <c r="N133" s="4"/>
      <c r="O133" s="4"/>
      <c r="P133" s="4"/>
      <c r="Q133" s="4"/>
      <c r="R133" s="4"/>
      <c r="S133" s="4"/>
      <c r="T133" s="4"/>
      <c r="U133" s="4"/>
      <c r="V133" s="4"/>
    </row>
    <row r="134" spans="1:22" x14ac:dyDescent="0.3">
      <c r="A134" s="4">
        <v>2408025</v>
      </c>
      <c r="B134" s="108" t="s">
        <v>715</v>
      </c>
      <c r="C134" s="4" t="s">
        <v>18</v>
      </c>
      <c r="D134" s="4" t="s">
        <v>716</v>
      </c>
      <c r="E134" s="4" t="s">
        <v>18</v>
      </c>
      <c r="F134" s="4" t="s">
        <v>18</v>
      </c>
      <c r="G134" s="55">
        <v>55300</v>
      </c>
      <c r="H134" s="4" t="s">
        <v>206</v>
      </c>
      <c r="I134" s="4">
        <v>0</v>
      </c>
      <c r="J134" s="4" t="s">
        <v>109</v>
      </c>
      <c r="K134" s="265" t="s">
        <v>109</v>
      </c>
      <c r="L134" s="266" t="s">
        <v>109</v>
      </c>
      <c r="M134" s="267"/>
      <c r="N134" s="265" t="s">
        <v>109</v>
      </c>
      <c r="O134" s="266" t="s">
        <v>109</v>
      </c>
      <c r="P134" s="267"/>
      <c r="Q134" s="265" t="s">
        <v>109</v>
      </c>
      <c r="R134" s="266" t="s">
        <v>109</v>
      </c>
      <c r="S134" s="267"/>
      <c r="T134" s="265" t="s">
        <v>109</v>
      </c>
      <c r="U134" s="266" t="s">
        <v>109</v>
      </c>
      <c r="V134" s="267"/>
    </row>
    <row r="135" spans="1:22" x14ac:dyDescent="0.3">
      <c r="A135" s="4">
        <v>2408431</v>
      </c>
      <c r="B135" s="108" t="s">
        <v>717</v>
      </c>
      <c r="C135" s="4" t="s">
        <v>718</v>
      </c>
      <c r="D135" s="4" t="s">
        <v>719</v>
      </c>
      <c r="E135" s="4" t="s">
        <v>720</v>
      </c>
      <c r="F135" s="4" t="s">
        <v>721</v>
      </c>
      <c r="G135" s="55">
        <v>30000</v>
      </c>
      <c r="H135" s="4" t="s">
        <v>71</v>
      </c>
      <c r="I135" s="4">
        <v>9.36</v>
      </c>
      <c r="J135" s="4" t="s">
        <v>122</v>
      </c>
      <c r="K135" s="4" t="s">
        <v>1902</v>
      </c>
      <c r="L135" s="4" t="s">
        <v>2014</v>
      </c>
      <c r="M135" s="93">
        <v>45750</v>
      </c>
      <c r="N135" s="4"/>
      <c r="O135" s="4"/>
      <c r="P135" s="4"/>
      <c r="Q135" s="4"/>
      <c r="R135" s="4"/>
      <c r="S135" s="4"/>
      <c r="T135" s="4"/>
      <c r="U135" s="4"/>
      <c r="V135" s="4"/>
    </row>
    <row r="136" spans="1:22" x14ac:dyDescent="0.3">
      <c r="A136" s="4">
        <v>2408432</v>
      </c>
      <c r="B136" s="108" t="s">
        <v>722</v>
      </c>
      <c r="C136" s="4" t="s">
        <v>723</v>
      </c>
      <c r="D136" s="4" t="s">
        <v>724</v>
      </c>
      <c r="E136" s="4" t="s">
        <v>725</v>
      </c>
      <c r="F136" s="4" t="s">
        <v>726</v>
      </c>
      <c r="G136" s="55">
        <v>23800</v>
      </c>
      <c r="H136" s="4" t="s">
        <v>71</v>
      </c>
      <c r="I136" s="4">
        <v>8.19</v>
      </c>
      <c r="J136" s="4" t="s">
        <v>109</v>
      </c>
      <c r="K136" s="265" t="s">
        <v>109</v>
      </c>
      <c r="L136" s="266" t="s">
        <v>109</v>
      </c>
      <c r="M136" s="267"/>
      <c r="N136" s="265" t="s">
        <v>109</v>
      </c>
      <c r="O136" s="266" t="s">
        <v>109</v>
      </c>
      <c r="P136" s="267"/>
      <c r="Q136" s="265" t="s">
        <v>109</v>
      </c>
      <c r="R136" s="266" t="s">
        <v>109</v>
      </c>
      <c r="S136" s="267"/>
      <c r="T136" s="265" t="s">
        <v>109</v>
      </c>
      <c r="U136" s="266" t="s">
        <v>109</v>
      </c>
      <c r="V136" s="267"/>
    </row>
    <row r="137" spans="1:22" x14ac:dyDescent="0.3">
      <c r="A137" s="4">
        <v>2408407</v>
      </c>
      <c r="B137" s="108" t="s">
        <v>727</v>
      </c>
      <c r="C137" s="4" t="s">
        <v>728</v>
      </c>
      <c r="D137" s="4" t="s">
        <v>729</v>
      </c>
      <c r="E137" s="4" t="s">
        <v>730</v>
      </c>
      <c r="F137" s="4" t="s">
        <v>731</v>
      </c>
      <c r="G137" s="55">
        <v>29700</v>
      </c>
      <c r="H137" s="4" t="s">
        <v>71</v>
      </c>
      <c r="I137" s="4">
        <v>9.36</v>
      </c>
      <c r="J137" s="4" t="s">
        <v>109</v>
      </c>
      <c r="K137" s="265" t="s">
        <v>109</v>
      </c>
      <c r="L137" s="266" t="s">
        <v>109</v>
      </c>
      <c r="M137" s="267"/>
      <c r="N137" s="265" t="s">
        <v>109</v>
      </c>
      <c r="O137" s="266" t="s">
        <v>109</v>
      </c>
      <c r="P137" s="267"/>
      <c r="Q137" s="265" t="s">
        <v>109</v>
      </c>
      <c r="R137" s="266" t="s">
        <v>109</v>
      </c>
      <c r="S137" s="267"/>
      <c r="T137" s="265" t="s">
        <v>109</v>
      </c>
      <c r="U137" s="266" t="s">
        <v>109</v>
      </c>
      <c r="V137" s="267"/>
    </row>
    <row r="138" spans="1:22" x14ac:dyDescent="0.3">
      <c r="A138" s="4">
        <v>2409441</v>
      </c>
      <c r="B138" s="108" t="s">
        <v>732</v>
      </c>
      <c r="C138" s="4" t="s">
        <v>733</v>
      </c>
      <c r="D138" s="4" t="s">
        <v>734</v>
      </c>
      <c r="E138" s="4" t="s">
        <v>735</v>
      </c>
      <c r="F138" s="4" t="s">
        <v>736</v>
      </c>
      <c r="G138" s="55">
        <v>38000</v>
      </c>
      <c r="H138" s="4" t="s">
        <v>71</v>
      </c>
      <c r="I138" s="4">
        <v>12.87</v>
      </c>
      <c r="J138" s="4" t="s">
        <v>122</v>
      </c>
      <c r="K138" s="4" t="s">
        <v>1902</v>
      </c>
      <c r="L138" s="4" t="s">
        <v>2015</v>
      </c>
      <c r="M138" s="93">
        <v>45750</v>
      </c>
      <c r="N138" s="4"/>
      <c r="O138" s="4"/>
      <c r="P138" s="4"/>
      <c r="Q138" s="4"/>
      <c r="R138" s="4"/>
      <c r="S138" s="4"/>
      <c r="T138" s="4"/>
      <c r="U138" s="4"/>
      <c r="V138" s="4"/>
    </row>
    <row r="139" spans="1:22" x14ac:dyDescent="0.3">
      <c r="A139" s="4">
        <v>2408433</v>
      </c>
      <c r="B139" s="108" t="s">
        <v>738</v>
      </c>
      <c r="C139" s="4" t="s">
        <v>739</v>
      </c>
      <c r="D139" s="4" t="s">
        <v>740</v>
      </c>
      <c r="E139" s="4" t="s">
        <v>741</v>
      </c>
      <c r="F139" s="4" t="s">
        <v>742</v>
      </c>
      <c r="G139" s="55">
        <v>24000</v>
      </c>
      <c r="H139" s="4" t="s">
        <v>71</v>
      </c>
      <c r="I139" s="4">
        <v>5.85</v>
      </c>
      <c r="J139" s="4" t="s">
        <v>122</v>
      </c>
      <c r="K139" s="4" t="s">
        <v>1902</v>
      </c>
      <c r="L139" s="4" t="s">
        <v>2016</v>
      </c>
      <c r="M139" s="93">
        <v>45750</v>
      </c>
      <c r="N139" s="4"/>
      <c r="O139" s="4"/>
      <c r="P139" s="4"/>
      <c r="Q139" s="4"/>
      <c r="R139" s="4"/>
      <c r="S139" s="4"/>
      <c r="T139" s="4"/>
      <c r="U139" s="4"/>
      <c r="V139" s="4"/>
    </row>
    <row r="140" spans="1:22" x14ac:dyDescent="0.3">
      <c r="A140" s="4">
        <v>2409445</v>
      </c>
      <c r="B140" s="108" t="s">
        <v>743</v>
      </c>
      <c r="C140" s="4" t="s">
        <v>744</v>
      </c>
      <c r="D140" s="4" t="s">
        <v>745</v>
      </c>
      <c r="E140" s="4" t="s">
        <v>746</v>
      </c>
      <c r="F140" s="4" t="s">
        <v>747</v>
      </c>
      <c r="G140" s="55">
        <v>22500</v>
      </c>
      <c r="H140" s="4" t="s">
        <v>71</v>
      </c>
      <c r="I140" s="4">
        <v>7.02</v>
      </c>
      <c r="J140" s="4" t="s">
        <v>109</v>
      </c>
      <c r="K140" s="265" t="s">
        <v>109</v>
      </c>
      <c r="L140" s="266" t="s">
        <v>109</v>
      </c>
      <c r="M140" s="267"/>
      <c r="N140" s="265" t="s">
        <v>109</v>
      </c>
      <c r="O140" s="266" t="s">
        <v>109</v>
      </c>
      <c r="P140" s="267"/>
      <c r="Q140" s="265" t="s">
        <v>109</v>
      </c>
      <c r="R140" s="266" t="s">
        <v>109</v>
      </c>
      <c r="S140" s="267"/>
      <c r="T140" s="265" t="s">
        <v>109</v>
      </c>
      <c r="U140" s="266" t="s">
        <v>109</v>
      </c>
      <c r="V140" s="267"/>
    </row>
    <row r="141" spans="1:22" x14ac:dyDescent="0.3">
      <c r="A141" s="4">
        <v>2408434</v>
      </c>
      <c r="B141" s="108" t="s">
        <v>748</v>
      </c>
      <c r="C141" s="4" t="s">
        <v>749</v>
      </c>
      <c r="D141" s="4" t="s">
        <v>750</v>
      </c>
      <c r="E141" s="4" t="s">
        <v>751</v>
      </c>
      <c r="F141" s="4" t="s">
        <v>752</v>
      </c>
      <c r="G141" s="55">
        <v>38600</v>
      </c>
      <c r="H141" s="4" t="s">
        <v>71</v>
      </c>
      <c r="I141" s="4">
        <v>14.04</v>
      </c>
      <c r="J141" s="4" t="s">
        <v>122</v>
      </c>
      <c r="K141" s="4" t="s">
        <v>1902</v>
      </c>
      <c r="L141" s="4" t="s">
        <v>2017</v>
      </c>
      <c r="M141" s="93">
        <v>45750</v>
      </c>
      <c r="N141" s="4"/>
      <c r="O141" s="4"/>
      <c r="P141" s="4"/>
      <c r="Q141" s="4"/>
      <c r="R141" s="4"/>
      <c r="S141" s="4"/>
      <c r="T141" s="4"/>
      <c r="U141" s="4"/>
      <c r="V141" s="4"/>
    </row>
    <row r="142" spans="1:22" x14ac:dyDescent="0.3">
      <c r="A142" s="4">
        <v>2409442</v>
      </c>
      <c r="B142" s="108" t="s">
        <v>753</v>
      </c>
      <c r="C142" s="4" t="s">
        <v>754</v>
      </c>
      <c r="D142" s="4" t="s">
        <v>755</v>
      </c>
      <c r="E142" s="4" t="s">
        <v>756</v>
      </c>
      <c r="F142" s="4" t="s">
        <v>757</v>
      </c>
      <c r="G142" s="55">
        <v>33000</v>
      </c>
      <c r="H142" s="4" t="s">
        <v>71</v>
      </c>
      <c r="I142" s="4">
        <v>9.44</v>
      </c>
      <c r="J142" s="4" t="s">
        <v>122</v>
      </c>
      <c r="K142" s="4" t="s">
        <v>1902</v>
      </c>
      <c r="L142" s="4" t="s">
        <v>2018</v>
      </c>
      <c r="M142" s="93">
        <v>45806</v>
      </c>
      <c r="N142" s="4"/>
      <c r="O142" s="4"/>
      <c r="P142" s="4"/>
      <c r="Q142" s="4"/>
      <c r="R142" s="4"/>
      <c r="S142" s="4"/>
      <c r="T142" s="4"/>
      <c r="U142" s="4"/>
      <c r="V142" s="4"/>
    </row>
    <row r="143" spans="1:22" x14ac:dyDescent="0.3">
      <c r="A143" s="4">
        <v>2409443</v>
      </c>
      <c r="B143" s="108" t="s">
        <v>759</v>
      </c>
      <c r="C143" s="4" t="s">
        <v>760</v>
      </c>
      <c r="D143" s="4" t="s">
        <v>761</v>
      </c>
      <c r="E143" s="4" t="s">
        <v>762</v>
      </c>
      <c r="F143" s="4" t="s">
        <v>763</v>
      </c>
      <c r="G143" s="55">
        <v>47360</v>
      </c>
      <c r="H143" s="4" t="s">
        <v>71</v>
      </c>
      <c r="I143" s="4">
        <v>17.55</v>
      </c>
      <c r="J143" s="4" t="s">
        <v>122</v>
      </c>
      <c r="K143" s="4" t="s">
        <v>1902</v>
      </c>
      <c r="L143" s="4" t="s">
        <v>2019</v>
      </c>
      <c r="M143" s="93">
        <v>45750</v>
      </c>
      <c r="N143" s="4"/>
      <c r="O143" s="4"/>
      <c r="P143" s="4"/>
      <c r="Q143" s="4"/>
      <c r="R143" s="4"/>
      <c r="S143" s="4"/>
      <c r="T143" s="4"/>
      <c r="U143" s="4"/>
      <c r="V143" s="4"/>
    </row>
    <row r="144" spans="1:22" x14ac:dyDescent="0.3">
      <c r="A144" s="4">
        <v>2408417</v>
      </c>
      <c r="B144" s="114" t="s">
        <v>764</v>
      </c>
      <c r="C144" s="4" t="s">
        <v>765</v>
      </c>
      <c r="D144" s="4" t="s">
        <v>766</v>
      </c>
      <c r="E144" s="4" t="s">
        <v>767</v>
      </c>
      <c r="F144" s="4">
        <v>0</v>
      </c>
      <c r="G144" s="55">
        <v>36500</v>
      </c>
      <c r="H144" s="4" t="s">
        <v>71</v>
      </c>
      <c r="I144" s="4">
        <v>17.55</v>
      </c>
      <c r="J144" s="4" t="s">
        <v>122</v>
      </c>
      <c r="K144" s="4"/>
      <c r="L144" s="4"/>
      <c r="M144" s="4"/>
      <c r="N144" s="4"/>
      <c r="O144" s="4"/>
      <c r="P144" s="4"/>
      <c r="Q144" s="4"/>
      <c r="R144" s="4"/>
      <c r="S144" s="4"/>
      <c r="T144" s="4"/>
      <c r="U144" s="4"/>
      <c r="V144" s="4"/>
    </row>
    <row r="145" spans="1:22" x14ac:dyDescent="0.3">
      <c r="A145" s="4">
        <v>2409440</v>
      </c>
      <c r="B145" s="108" t="s">
        <v>768</v>
      </c>
      <c r="C145" s="4" t="s">
        <v>769</v>
      </c>
      <c r="D145" s="4" t="s">
        <v>770</v>
      </c>
      <c r="E145" s="4" t="s">
        <v>771</v>
      </c>
      <c r="F145" s="4" t="s">
        <v>772</v>
      </c>
      <c r="G145" s="55">
        <v>25520</v>
      </c>
      <c r="H145" s="4" t="s">
        <v>71</v>
      </c>
      <c r="I145" s="4">
        <v>7.02</v>
      </c>
      <c r="J145" s="4" t="s">
        <v>122</v>
      </c>
      <c r="K145" s="4" t="s">
        <v>1902</v>
      </c>
      <c r="L145" s="4" t="s">
        <v>2020</v>
      </c>
      <c r="M145" s="93">
        <v>45750</v>
      </c>
      <c r="N145" s="4"/>
      <c r="O145" s="4"/>
      <c r="P145" s="4"/>
      <c r="Q145" s="4"/>
      <c r="R145" s="4"/>
      <c r="S145" s="4"/>
      <c r="T145" s="4"/>
      <c r="U145" s="4"/>
      <c r="V145" s="4"/>
    </row>
    <row r="146" spans="1:22" x14ac:dyDescent="0.3">
      <c r="A146" s="4">
        <v>2405273</v>
      </c>
      <c r="B146" s="108" t="s">
        <v>773</v>
      </c>
      <c r="C146" s="4" t="s">
        <v>774</v>
      </c>
      <c r="D146" s="4" t="s">
        <v>775</v>
      </c>
      <c r="E146" s="4" t="s">
        <v>776</v>
      </c>
      <c r="F146" s="4" t="s">
        <v>777</v>
      </c>
      <c r="G146" s="55">
        <v>44600</v>
      </c>
      <c r="H146" s="4" t="s">
        <v>71</v>
      </c>
      <c r="I146" s="4">
        <v>17.55</v>
      </c>
      <c r="J146" s="4" t="s">
        <v>122</v>
      </c>
      <c r="K146" s="4" t="s">
        <v>1902</v>
      </c>
      <c r="L146" s="4" t="s">
        <v>2021</v>
      </c>
      <c r="M146" s="93">
        <v>45750</v>
      </c>
      <c r="N146" s="4"/>
      <c r="O146" s="4"/>
      <c r="P146" s="4"/>
      <c r="Q146" s="4"/>
      <c r="R146" s="4"/>
      <c r="S146" s="4"/>
      <c r="T146" s="4"/>
      <c r="U146" s="4"/>
      <c r="V146" s="4"/>
    </row>
    <row r="147" spans="1:22" x14ac:dyDescent="0.3">
      <c r="A147" s="4">
        <v>2308064</v>
      </c>
      <c r="B147" s="108" t="s">
        <v>778</v>
      </c>
      <c r="C147" s="4" t="s">
        <v>779</v>
      </c>
      <c r="D147" s="4" t="s">
        <v>780</v>
      </c>
      <c r="E147" s="4" t="s">
        <v>781</v>
      </c>
      <c r="F147" s="4" t="s">
        <v>782</v>
      </c>
      <c r="G147" s="55">
        <v>35000</v>
      </c>
      <c r="H147" s="4" t="s">
        <v>71</v>
      </c>
      <c r="I147" s="4">
        <v>11.7</v>
      </c>
      <c r="J147" s="4" t="s">
        <v>122</v>
      </c>
      <c r="K147" s="4" t="s">
        <v>1902</v>
      </c>
      <c r="L147" s="4" t="s">
        <v>2022</v>
      </c>
      <c r="M147" s="93">
        <v>45806</v>
      </c>
      <c r="N147" s="4"/>
      <c r="O147" s="4"/>
      <c r="P147" s="4"/>
      <c r="Q147" s="4"/>
      <c r="R147" s="4"/>
      <c r="S147" s="4"/>
      <c r="T147" s="4"/>
      <c r="U147" s="4"/>
      <c r="V147" s="4"/>
    </row>
    <row r="148" spans="1:22" x14ac:dyDescent="0.3">
      <c r="A148" s="4">
        <v>2409447</v>
      </c>
      <c r="B148" s="108" t="s">
        <v>783</v>
      </c>
      <c r="C148" s="4" t="s">
        <v>784</v>
      </c>
      <c r="D148" s="4" t="s">
        <v>785</v>
      </c>
      <c r="E148" s="4" t="s">
        <v>786</v>
      </c>
      <c r="F148" s="4" t="s">
        <v>787</v>
      </c>
      <c r="G148" s="55">
        <v>22200</v>
      </c>
      <c r="H148" s="4" t="s">
        <v>71</v>
      </c>
      <c r="I148" s="4">
        <v>7.02</v>
      </c>
      <c r="J148" s="4" t="s">
        <v>109</v>
      </c>
      <c r="K148" s="265" t="s">
        <v>109</v>
      </c>
      <c r="L148" s="266" t="s">
        <v>109</v>
      </c>
      <c r="M148" s="267"/>
      <c r="N148" s="265" t="s">
        <v>109</v>
      </c>
      <c r="O148" s="266" t="s">
        <v>109</v>
      </c>
      <c r="P148" s="267"/>
      <c r="Q148" s="265" t="s">
        <v>109</v>
      </c>
      <c r="R148" s="266" t="s">
        <v>109</v>
      </c>
      <c r="S148" s="267"/>
      <c r="T148" s="265" t="s">
        <v>109</v>
      </c>
      <c r="U148" s="266" t="s">
        <v>109</v>
      </c>
      <c r="V148" s="267"/>
    </row>
    <row r="149" spans="1:22" x14ac:dyDescent="0.3">
      <c r="A149" s="4">
        <v>2409444</v>
      </c>
      <c r="B149" s="108" t="s">
        <v>788</v>
      </c>
      <c r="C149" s="4" t="s">
        <v>789</v>
      </c>
      <c r="D149" s="4" t="s">
        <v>790</v>
      </c>
      <c r="E149" s="4" t="s">
        <v>791</v>
      </c>
      <c r="F149" s="4" t="s">
        <v>792</v>
      </c>
      <c r="G149" s="55">
        <v>28700</v>
      </c>
      <c r="H149" s="4" t="s">
        <v>71</v>
      </c>
      <c r="I149" s="4">
        <v>9.36</v>
      </c>
      <c r="J149" s="4" t="s">
        <v>109</v>
      </c>
      <c r="K149" s="265" t="s">
        <v>109</v>
      </c>
      <c r="L149" s="266" t="s">
        <v>109</v>
      </c>
      <c r="M149" s="267"/>
      <c r="N149" s="265" t="s">
        <v>109</v>
      </c>
      <c r="O149" s="266" t="s">
        <v>109</v>
      </c>
      <c r="P149" s="267"/>
      <c r="Q149" s="265" t="s">
        <v>109</v>
      </c>
      <c r="R149" s="266" t="s">
        <v>109</v>
      </c>
      <c r="S149" s="267"/>
      <c r="T149" s="265" t="s">
        <v>109</v>
      </c>
      <c r="U149" s="266" t="s">
        <v>109</v>
      </c>
      <c r="V149" s="267"/>
    </row>
    <row r="150" spans="1:22" x14ac:dyDescent="0.3">
      <c r="A150" s="4">
        <v>2407368</v>
      </c>
      <c r="B150" s="108" t="s">
        <v>793</v>
      </c>
      <c r="C150" s="4" t="s">
        <v>794</v>
      </c>
      <c r="D150" s="4" t="s">
        <v>795</v>
      </c>
      <c r="E150" s="4" t="s">
        <v>796</v>
      </c>
      <c r="F150" s="4" t="s">
        <v>797</v>
      </c>
      <c r="G150" s="55">
        <v>38600</v>
      </c>
      <c r="H150" s="4" t="s">
        <v>71</v>
      </c>
      <c r="I150" s="4">
        <v>12.87</v>
      </c>
      <c r="J150" s="4" t="s">
        <v>122</v>
      </c>
      <c r="K150" s="4" t="s">
        <v>1902</v>
      </c>
      <c r="L150" s="4" t="s">
        <v>2023</v>
      </c>
      <c r="M150" s="93">
        <v>45750</v>
      </c>
      <c r="N150" s="4"/>
      <c r="O150" s="4"/>
      <c r="P150" s="4"/>
      <c r="Q150" s="4"/>
      <c r="R150" s="4"/>
      <c r="S150" s="4"/>
      <c r="T150" s="4"/>
      <c r="U150" s="4"/>
      <c r="V150" s="4"/>
    </row>
    <row r="151" spans="1:22" x14ac:dyDescent="0.3">
      <c r="A151" s="4">
        <v>2409446</v>
      </c>
      <c r="B151" s="108" t="s">
        <v>798</v>
      </c>
      <c r="C151" s="4" t="s">
        <v>799</v>
      </c>
      <c r="D151" s="4" t="s">
        <v>800</v>
      </c>
      <c r="E151" s="4" t="s">
        <v>801</v>
      </c>
      <c r="F151" s="4" t="s">
        <v>802</v>
      </c>
      <c r="G151" s="55">
        <v>28500</v>
      </c>
      <c r="H151" s="4" t="s">
        <v>71</v>
      </c>
      <c r="I151" s="4">
        <v>9.36</v>
      </c>
      <c r="J151" s="4" t="s">
        <v>122</v>
      </c>
      <c r="K151" s="4" t="s">
        <v>1902</v>
      </c>
      <c r="L151" s="4" t="s">
        <v>2024</v>
      </c>
      <c r="M151" s="93">
        <v>45750</v>
      </c>
      <c r="N151" s="4"/>
      <c r="O151" s="4"/>
      <c r="P151" s="4"/>
      <c r="Q151" s="4"/>
      <c r="R151" s="4"/>
      <c r="S151" s="4"/>
      <c r="T151" s="4"/>
      <c r="U151" s="4"/>
      <c r="V151" s="4"/>
    </row>
    <row r="152" spans="1:22" x14ac:dyDescent="0.3">
      <c r="A152" s="4">
        <v>2404249</v>
      </c>
      <c r="B152" s="114" t="s">
        <v>803</v>
      </c>
      <c r="C152" s="4" t="s">
        <v>804</v>
      </c>
      <c r="D152" s="4" t="s">
        <v>805</v>
      </c>
      <c r="E152" s="4" t="s">
        <v>806</v>
      </c>
      <c r="F152" s="4" t="s">
        <v>807</v>
      </c>
      <c r="G152" s="55">
        <v>47600</v>
      </c>
      <c r="H152" s="4" t="s">
        <v>71</v>
      </c>
      <c r="I152" s="4">
        <v>17.55</v>
      </c>
      <c r="J152" s="4" t="s">
        <v>122</v>
      </c>
      <c r="K152" s="4"/>
      <c r="L152" s="4"/>
      <c r="M152" s="4"/>
      <c r="N152" s="4"/>
      <c r="O152" s="4"/>
      <c r="P152" s="4"/>
      <c r="Q152" s="4"/>
      <c r="R152" s="4"/>
      <c r="S152" s="4"/>
      <c r="T152" s="4"/>
      <c r="U152" s="4"/>
      <c r="V152" s="4"/>
    </row>
    <row r="153" spans="1:22" x14ac:dyDescent="0.3">
      <c r="A153" s="4" t="s">
        <v>808</v>
      </c>
      <c r="B153" s="108" t="s">
        <v>809</v>
      </c>
      <c r="C153" s="4" t="s">
        <v>810</v>
      </c>
      <c r="D153" s="4" t="s">
        <v>811</v>
      </c>
      <c r="E153" s="4" t="s">
        <v>812</v>
      </c>
      <c r="F153" s="4" t="s">
        <v>813</v>
      </c>
      <c r="G153" s="55">
        <v>46100</v>
      </c>
      <c r="H153" s="4" t="s">
        <v>71</v>
      </c>
      <c r="I153" s="4">
        <v>17.55</v>
      </c>
      <c r="J153" s="4" t="s">
        <v>122</v>
      </c>
      <c r="K153" s="4" t="s">
        <v>1902</v>
      </c>
      <c r="L153" s="4" t="s">
        <v>2025</v>
      </c>
      <c r="M153" s="93">
        <v>45750</v>
      </c>
      <c r="N153" s="4"/>
      <c r="O153" s="4"/>
      <c r="P153" s="4"/>
      <c r="Q153" s="4"/>
      <c r="R153" s="4"/>
      <c r="S153" s="4"/>
      <c r="T153" s="4"/>
      <c r="U153" s="4"/>
      <c r="V153" s="4"/>
    </row>
    <row r="154" spans="1:22" x14ac:dyDescent="0.3">
      <c r="A154" s="4" t="s">
        <v>814</v>
      </c>
      <c r="B154" s="108" t="s">
        <v>809</v>
      </c>
      <c r="C154" s="4" t="s">
        <v>815</v>
      </c>
      <c r="D154" s="4" t="s">
        <v>811</v>
      </c>
      <c r="E154" s="4" t="s">
        <v>812</v>
      </c>
      <c r="F154" s="4" t="s">
        <v>813</v>
      </c>
      <c r="G154" s="55">
        <v>46100</v>
      </c>
      <c r="H154" s="4" t="s">
        <v>71</v>
      </c>
      <c r="I154" s="4">
        <v>17.55</v>
      </c>
      <c r="J154" s="4" t="s">
        <v>122</v>
      </c>
      <c r="K154" s="4" t="s">
        <v>1902</v>
      </c>
      <c r="L154" s="4" t="s">
        <v>2026</v>
      </c>
      <c r="M154" s="93">
        <v>45750</v>
      </c>
      <c r="N154" s="4"/>
      <c r="O154" s="4"/>
      <c r="P154" s="4"/>
      <c r="Q154" s="4"/>
      <c r="R154" s="4"/>
      <c r="S154" s="4"/>
      <c r="T154" s="4"/>
      <c r="U154" s="4"/>
      <c r="V154" s="4"/>
    </row>
    <row r="155" spans="1:22" x14ac:dyDescent="0.3">
      <c r="A155" s="4">
        <v>2405284</v>
      </c>
      <c r="B155" s="108" t="s">
        <v>816</v>
      </c>
      <c r="C155" s="4" t="s">
        <v>817</v>
      </c>
      <c r="D155" s="4" t="s">
        <v>818</v>
      </c>
      <c r="E155" s="4" t="s">
        <v>819</v>
      </c>
      <c r="F155" s="4" t="s">
        <v>820</v>
      </c>
      <c r="G155" s="55">
        <v>23500</v>
      </c>
      <c r="H155" s="4" t="s">
        <v>71</v>
      </c>
      <c r="I155" s="4">
        <v>7.02</v>
      </c>
      <c r="J155" s="4" t="s">
        <v>122</v>
      </c>
      <c r="K155" s="4" t="s">
        <v>1902</v>
      </c>
      <c r="L155" s="4" t="s">
        <v>2027</v>
      </c>
      <c r="M155" s="93">
        <v>45750</v>
      </c>
      <c r="N155" s="4"/>
      <c r="O155" s="4"/>
      <c r="P155" s="4"/>
      <c r="Q155" s="4"/>
      <c r="R155" s="4"/>
      <c r="S155" s="4"/>
      <c r="T155" s="4"/>
      <c r="U155" s="4"/>
      <c r="V155" s="4"/>
    </row>
    <row r="156" spans="1:22" x14ac:dyDescent="0.3">
      <c r="A156" s="4">
        <v>2409448</v>
      </c>
      <c r="B156" s="108" t="s">
        <v>821</v>
      </c>
      <c r="C156" s="4" t="s">
        <v>823</v>
      </c>
      <c r="D156" s="4" t="s">
        <v>824</v>
      </c>
      <c r="E156" s="4" t="s">
        <v>825</v>
      </c>
      <c r="F156" s="4" t="s">
        <v>826</v>
      </c>
      <c r="G156" s="55">
        <v>31622</v>
      </c>
      <c r="H156" s="4" t="s">
        <v>71</v>
      </c>
      <c r="I156" s="4">
        <v>8.26</v>
      </c>
      <c r="J156" s="4" t="s">
        <v>122</v>
      </c>
      <c r="K156" s="4" t="s">
        <v>1902</v>
      </c>
      <c r="L156" s="4" t="s">
        <v>2028</v>
      </c>
      <c r="M156" s="93">
        <v>45750</v>
      </c>
      <c r="N156" s="4"/>
      <c r="O156" s="4"/>
      <c r="P156" s="4"/>
      <c r="Q156" s="4"/>
      <c r="R156" s="4"/>
      <c r="S156" s="4"/>
      <c r="T156" s="4"/>
      <c r="U156" s="4"/>
      <c r="V156" s="4"/>
    </row>
    <row r="157" spans="1:22" x14ac:dyDescent="0.3">
      <c r="A157" s="4">
        <v>2408400</v>
      </c>
      <c r="B157" s="108" t="s">
        <v>827</v>
      </c>
      <c r="C157" s="4" t="s">
        <v>828</v>
      </c>
      <c r="D157" s="4" t="s">
        <v>829</v>
      </c>
      <c r="E157" s="4" t="s">
        <v>830</v>
      </c>
      <c r="F157" s="4" t="s">
        <v>831</v>
      </c>
      <c r="G157" s="55">
        <v>43300</v>
      </c>
      <c r="H157" s="4" t="s">
        <v>71</v>
      </c>
      <c r="I157" s="4">
        <v>17.55</v>
      </c>
      <c r="J157" s="4" t="s">
        <v>109</v>
      </c>
      <c r="K157" s="265" t="s">
        <v>109</v>
      </c>
      <c r="L157" s="266" t="s">
        <v>109</v>
      </c>
      <c r="M157" s="267"/>
      <c r="N157" s="265" t="s">
        <v>109</v>
      </c>
      <c r="O157" s="266" t="s">
        <v>109</v>
      </c>
      <c r="P157" s="267"/>
      <c r="Q157" s="265" t="s">
        <v>109</v>
      </c>
      <c r="R157" s="266" t="s">
        <v>109</v>
      </c>
      <c r="S157" s="267"/>
      <c r="T157" s="265" t="s">
        <v>109</v>
      </c>
      <c r="U157" s="266" t="s">
        <v>109</v>
      </c>
      <c r="V157" s="267"/>
    </row>
    <row r="158" spans="1:22" x14ac:dyDescent="0.3">
      <c r="A158" s="4" t="s">
        <v>832</v>
      </c>
      <c r="B158" s="108" t="s">
        <v>833</v>
      </c>
      <c r="C158" s="4" t="s">
        <v>835</v>
      </c>
      <c r="D158" s="4" t="s">
        <v>836</v>
      </c>
      <c r="E158" s="4" t="s">
        <v>837</v>
      </c>
      <c r="F158" s="4" t="s">
        <v>838</v>
      </c>
      <c r="G158" s="55">
        <v>30000</v>
      </c>
      <c r="H158" s="4" t="s">
        <v>71</v>
      </c>
      <c r="I158" s="4">
        <v>9.36</v>
      </c>
      <c r="J158" s="4" t="s">
        <v>122</v>
      </c>
      <c r="K158" s="4" t="s">
        <v>1902</v>
      </c>
      <c r="L158" s="4" t="s">
        <v>2029</v>
      </c>
      <c r="M158" s="93">
        <v>45750</v>
      </c>
      <c r="N158" s="4"/>
      <c r="O158" s="4"/>
      <c r="P158" s="4"/>
      <c r="Q158" s="4"/>
      <c r="R158" s="4"/>
      <c r="S158" s="4"/>
      <c r="T158" s="4"/>
      <c r="U158" s="4"/>
      <c r="V158" s="4"/>
    </row>
    <row r="159" spans="1:22" x14ac:dyDescent="0.3">
      <c r="A159" s="4">
        <v>2409452</v>
      </c>
      <c r="B159" s="108" t="s">
        <v>839</v>
      </c>
      <c r="C159" s="4" t="s">
        <v>840</v>
      </c>
      <c r="D159" s="4" t="s">
        <v>841</v>
      </c>
      <c r="E159" s="4" t="s">
        <v>842</v>
      </c>
      <c r="F159" s="4" t="s">
        <v>843</v>
      </c>
      <c r="G159" s="55">
        <v>29700</v>
      </c>
      <c r="H159" s="4" t="s">
        <v>71</v>
      </c>
      <c r="I159" s="4">
        <v>10.53</v>
      </c>
      <c r="J159" s="4" t="s">
        <v>122</v>
      </c>
      <c r="K159" s="4" t="s">
        <v>1902</v>
      </c>
      <c r="L159" s="4" t="s">
        <v>2030</v>
      </c>
      <c r="M159" s="93">
        <v>45750</v>
      </c>
      <c r="N159" s="4"/>
      <c r="O159" s="4"/>
      <c r="P159" s="4"/>
      <c r="Q159" s="4"/>
      <c r="R159" s="4"/>
      <c r="S159" s="4"/>
      <c r="T159" s="4"/>
      <c r="U159" s="4"/>
      <c r="V159" s="4"/>
    </row>
    <row r="160" spans="1:22" x14ac:dyDescent="0.3">
      <c r="A160" s="4">
        <v>2409449</v>
      </c>
      <c r="B160" s="108" t="s">
        <v>844</v>
      </c>
      <c r="C160" s="4" t="s">
        <v>845</v>
      </c>
      <c r="D160" s="4" t="s">
        <v>846</v>
      </c>
      <c r="E160" s="4" t="s">
        <v>847</v>
      </c>
      <c r="F160" s="4" t="s">
        <v>848</v>
      </c>
      <c r="G160" s="55">
        <v>24908</v>
      </c>
      <c r="H160" s="4" t="s">
        <v>71</v>
      </c>
      <c r="I160" s="4">
        <v>7.02</v>
      </c>
      <c r="J160" s="4" t="s">
        <v>122</v>
      </c>
      <c r="K160" s="4" t="s">
        <v>1902</v>
      </c>
      <c r="L160" s="4" t="s">
        <v>2031</v>
      </c>
      <c r="M160" s="93">
        <v>45750</v>
      </c>
      <c r="N160" s="4"/>
      <c r="O160" s="4"/>
      <c r="P160" s="4"/>
      <c r="Q160" s="4"/>
      <c r="R160" s="4"/>
      <c r="S160" s="4"/>
      <c r="T160" s="4"/>
      <c r="U160" s="4"/>
      <c r="V160" s="4"/>
    </row>
    <row r="161" spans="1:22" x14ac:dyDescent="0.3">
      <c r="A161" s="4" t="s">
        <v>849</v>
      </c>
      <c r="B161" s="108" t="s">
        <v>850</v>
      </c>
      <c r="C161" s="4" t="s">
        <v>851</v>
      </c>
      <c r="D161" s="4" t="s">
        <v>852</v>
      </c>
      <c r="E161" s="4" t="s">
        <v>853</v>
      </c>
      <c r="F161" s="4" t="s">
        <v>854</v>
      </c>
      <c r="G161" s="55">
        <v>34600</v>
      </c>
      <c r="H161" s="4" t="s">
        <v>71</v>
      </c>
      <c r="I161" s="4">
        <v>11.7</v>
      </c>
      <c r="J161" s="4" t="s">
        <v>122</v>
      </c>
      <c r="K161" s="4" t="s">
        <v>1902</v>
      </c>
      <c r="L161" s="4" t="s">
        <v>2032</v>
      </c>
      <c r="M161" s="93">
        <v>45750</v>
      </c>
      <c r="N161" s="4"/>
      <c r="O161" s="4"/>
      <c r="P161" s="4"/>
      <c r="Q161" s="4"/>
      <c r="R161" s="4"/>
      <c r="S161" s="4"/>
      <c r="T161" s="4"/>
      <c r="U161" s="4"/>
      <c r="V161" s="4"/>
    </row>
    <row r="162" spans="1:22" x14ac:dyDescent="0.3">
      <c r="A162" s="4">
        <v>2406343</v>
      </c>
      <c r="B162" s="108" t="s">
        <v>855</v>
      </c>
      <c r="C162" s="4" t="s">
        <v>856</v>
      </c>
      <c r="D162" s="4" t="s">
        <v>857</v>
      </c>
      <c r="E162" s="4" t="s">
        <v>858</v>
      </c>
      <c r="F162" s="4" t="s">
        <v>859</v>
      </c>
      <c r="G162" s="55">
        <v>30000</v>
      </c>
      <c r="H162" s="4" t="s">
        <v>71</v>
      </c>
      <c r="I162" s="4">
        <v>9.36</v>
      </c>
      <c r="J162" s="4" t="s">
        <v>122</v>
      </c>
      <c r="K162" s="4" t="s">
        <v>1902</v>
      </c>
      <c r="L162" s="4" t="s">
        <v>2033</v>
      </c>
      <c r="M162" s="93">
        <v>45750</v>
      </c>
      <c r="N162" s="4"/>
      <c r="O162" s="4"/>
      <c r="P162" s="4"/>
      <c r="Q162" s="4"/>
      <c r="R162" s="4"/>
      <c r="S162" s="4"/>
      <c r="T162" s="4"/>
      <c r="U162" s="4"/>
      <c r="V162" s="4"/>
    </row>
    <row r="163" spans="1:22" x14ac:dyDescent="0.3">
      <c r="A163" s="4">
        <v>2409455</v>
      </c>
      <c r="B163" s="108" t="s">
        <v>860</v>
      </c>
      <c r="C163" s="4" t="s">
        <v>861</v>
      </c>
      <c r="D163" s="4" t="s">
        <v>862</v>
      </c>
      <c r="E163" s="4" t="s">
        <v>863</v>
      </c>
      <c r="F163" s="4" t="s">
        <v>864</v>
      </c>
      <c r="G163" s="55">
        <v>22800</v>
      </c>
      <c r="H163" s="4" t="s">
        <v>71</v>
      </c>
      <c r="I163" s="4">
        <v>7.02</v>
      </c>
      <c r="J163" s="4" t="s">
        <v>109</v>
      </c>
      <c r="K163" s="265" t="s">
        <v>109</v>
      </c>
      <c r="L163" s="266" t="s">
        <v>109</v>
      </c>
      <c r="M163" s="267"/>
      <c r="N163" s="265" t="s">
        <v>109</v>
      </c>
      <c r="O163" s="266" t="s">
        <v>109</v>
      </c>
      <c r="P163" s="267"/>
      <c r="Q163" s="265" t="s">
        <v>109</v>
      </c>
      <c r="R163" s="266" t="s">
        <v>109</v>
      </c>
      <c r="S163" s="267"/>
      <c r="T163" s="265" t="s">
        <v>109</v>
      </c>
      <c r="U163" s="266" t="s">
        <v>109</v>
      </c>
      <c r="V163" s="267"/>
    </row>
    <row r="164" spans="1:22" x14ac:dyDescent="0.3">
      <c r="A164" s="4">
        <v>2410064</v>
      </c>
      <c r="B164" s="108" t="s">
        <v>865</v>
      </c>
      <c r="C164" s="4" t="s">
        <v>866</v>
      </c>
      <c r="D164" s="4" t="s">
        <v>867</v>
      </c>
      <c r="E164" s="4" t="s">
        <v>868</v>
      </c>
      <c r="F164" s="4" t="s">
        <v>869</v>
      </c>
      <c r="G164" s="55">
        <v>23940</v>
      </c>
      <c r="H164" s="4" t="s">
        <v>71</v>
      </c>
      <c r="I164" s="4">
        <v>7.6050000000000004</v>
      </c>
      <c r="J164" s="4" t="s">
        <v>122</v>
      </c>
      <c r="K164" s="4" t="s">
        <v>1902</v>
      </c>
      <c r="L164" s="4" t="s">
        <v>2034</v>
      </c>
      <c r="M164" s="93">
        <v>45750</v>
      </c>
      <c r="N164" s="4"/>
      <c r="O164" s="4"/>
      <c r="P164" s="4"/>
      <c r="Q164" s="4"/>
      <c r="R164" s="4"/>
      <c r="S164" s="4"/>
      <c r="T164" s="4"/>
      <c r="U164" s="4"/>
      <c r="V164" s="4"/>
    </row>
    <row r="165" spans="1:22" x14ac:dyDescent="0.3">
      <c r="A165" s="4">
        <v>2405305</v>
      </c>
      <c r="B165" s="108" t="s">
        <v>870</v>
      </c>
      <c r="C165" s="4" t="s">
        <v>871</v>
      </c>
      <c r="D165" s="4" t="s">
        <v>872</v>
      </c>
      <c r="E165" s="4" t="s">
        <v>873</v>
      </c>
      <c r="F165" s="4" t="s">
        <v>874</v>
      </c>
      <c r="G165" s="55">
        <v>32000</v>
      </c>
      <c r="H165" s="4" t="s">
        <v>71</v>
      </c>
      <c r="I165" s="4">
        <v>10.53</v>
      </c>
      <c r="J165" s="4" t="s">
        <v>122</v>
      </c>
      <c r="K165" s="4" t="s">
        <v>1902</v>
      </c>
      <c r="L165" s="4" t="s">
        <v>2035</v>
      </c>
      <c r="M165" s="93">
        <v>45750</v>
      </c>
      <c r="N165" s="4"/>
      <c r="O165" s="4"/>
      <c r="P165" s="4"/>
      <c r="Q165" s="4"/>
      <c r="R165" s="4"/>
      <c r="S165" s="4"/>
      <c r="T165" s="4"/>
      <c r="U165" s="4"/>
      <c r="V165" s="4"/>
    </row>
    <row r="166" spans="1:22" x14ac:dyDescent="0.3">
      <c r="A166" s="4">
        <v>2409456</v>
      </c>
      <c r="B166" s="108" t="s">
        <v>875</v>
      </c>
      <c r="C166" s="4" t="s">
        <v>876</v>
      </c>
      <c r="D166" s="4" t="s">
        <v>877</v>
      </c>
      <c r="E166" s="4" t="s">
        <v>878</v>
      </c>
      <c r="F166" s="4" t="s">
        <v>879</v>
      </c>
      <c r="G166" s="55">
        <v>30000</v>
      </c>
      <c r="H166" s="4" t="s">
        <v>71</v>
      </c>
      <c r="I166" s="4">
        <v>11.115</v>
      </c>
      <c r="J166" s="4" t="s">
        <v>122</v>
      </c>
      <c r="K166" s="4" t="s">
        <v>1902</v>
      </c>
      <c r="L166" s="4" t="s">
        <v>2036</v>
      </c>
      <c r="M166" s="93">
        <v>45750</v>
      </c>
      <c r="N166" s="4"/>
      <c r="O166" s="4"/>
      <c r="P166" s="4"/>
      <c r="Q166" s="4"/>
      <c r="R166" s="4"/>
      <c r="S166" s="4"/>
      <c r="T166" s="4"/>
      <c r="U166" s="4"/>
      <c r="V166" s="4"/>
    </row>
    <row r="167" spans="1:22" x14ac:dyDescent="0.3">
      <c r="A167" s="4">
        <v>2410461</v>
      </c>
      <c r="B167" s="108" t="s">
        <v>880</v>
      </c>
      <c r="C167" s="4" t="s">
        <v>881</v>
      </c>
      <c r="D167" s="4" t="s">
        <v>882</v>
      </c>
      <c r="E167" s="4" t="s">
        <v>883</v>
      </c>
      <c r="F167" s="4" t="s">
        <v>879</v>
      </c>
      <c r="G167" s="55">
        <v>23500</v>
      </c>
      <c r="H167" s="4" t="s">
        <v>71</v>
      </c>
      <c r="I167" s="4">
        <v>7.02</v>
      </c>
      <c r="J167" s="4" t="s">
        <v>122</v>
      </c>
      <c r="K167" s="4" t="s">
        <v>1902</v>
      </c>
      <c r="L167" s="4" t="s">
        <v>2037</v>
      </c>
      <c r="M167" s="93">
        <v>45750</v>
      </c>
      <c r="N167" s="4"/>
      <c r="O167" s="4"/>
      <c r="P167" s="4"/>
      <c r="Q167" s="4"/>
      <c r="R167" s="4"/>
      <c r="S167" s="4"/>
      <c r="T167" s="4"/>
      <c r="U167" s="4"/>
      <c r="V167" s="4"/>
    </row>
    <row r="168" spans="1:22" x14ac:dyDescent="0.3">
      <c r="A168" s="4">
        <v>2409029</v>
      </c>
      <c r="B168" s="108" t="s">
        <v>884</v>
      </c>
      <c r="C168" s="4" t="s">
        <v>18</v>
      </c>
      <c r="D168" s="4" t="s">
        <v>885</v>
      </c>
      <c r="E168" s="4" t="s">
        <v>18</v>
      </c>
      <c r="F168" s="4" t="s">
        <v>18</v>
      </c>
      <c r="G168" s="55">
        <v>2643</v>
      </c>
      <c r="H168" s="4" t="s">
        <v>206</v>
      </c>
      <c r="I168" s="4">
        <v>0</v>
      </c>
      <c r="J168" s="4" t="s">
        <v>109</v>
      </c>
      <c r="K168" s="265" t="s">
        <v>109</v>
      </c>
      <c r="L168" s="266" t="s">
        <v>109</v>
      </c>
      <c r="M168" s="267"/>
      <c r="N168" s="265" t="s">
        <v>109</v>
      </c>
      <c r="O168" s="266" t="s">
        <v>109</v>
      </c>
      <c r="P168" s="267"/>
      <c r="Q168" s="265" t="s">
        <v>109</v>
      </c>
      <c r="R168" s="266" t="s">
        <v>109</v>
      </c>
      <c r="S168" s="267"/>
      <c r="T168" s="265" t="s">
        <v>109</v>
      </c>
      <c r="U168" s="266" t="s">
        <v>109</v>
      </c>
      <c r="V168" s="267"/>
    </row>
    <row r="169" spans="1:22" x14ac:dyDescent="0.3">
      <c r="A169" s="4">
        <v>2410032</v>
      </c>
      <c r="B169" s="108" t="s">
        <v>886</v>
      </c>
      <c r="C169" s="4" t="s">
        <v>18</v>
      </c>
      <c r="D169" s="4" t="s">
        <v>887</v>
      </c>
      <c r="E169" s="4" t="s">
        <v>18</v>
      </c>
      <c r="F169" s="4" t="s">
        <v>18</v>
      </c>
      <c r="G169" s="55">
        <v>38470</v>
      </c>
      <c r="H169" s="4" t="s">
        <v>206</v>
      </c>
      <c r="I169" s="4">
        <v>0</v>
      </c>
      <c r="J169" s="4" t="s">
        <v>109</v>
      </c>
      <c r="K169" s="265" t="s">
        <v>109</v>
      </c>
      <c r="L169" s="266" t="s">
        <v>109</v>
      </c>
      <c r="M169" s="267"/>
      <c r="N169" s="265" t="s">
        <v>109</v>
      </c>
      <c r="O169" s="266" t="s">
        <v>109</v>
      </c>
      <c r="P169" s="267"/>
      <c r="Q169" s="265" t="s">
        <v>109</v>
      </c>
      <c r="R169" s="266" t="s">
        <v>109</v>
      </c>
      <c r="S169" s="267"/>
      <c r="T169" s="265" t="s">
        <v>109</v>
      </c>
      <c r="U169" s="266" t="s">
        <v>109</v>
      </c>
      <c r="V169" s="267"/>
    </row>
    <row r="170" spans="1:22" x14ac:dyDescent="0.3">
      <c r="A170" s="4" t="s">
        <v>888</v>
      </c>
      <c r="B170" s="108" t="s">
        <v>889</v>
      </c>
      <c r="C170" s="4" t="s">
        <v>18</v>
      </c>
      <c r="D170" s="4" t="s">
        <v>892</v>
      </c>
      <c r="E170" s="4">
        <v>0</v>
      </c>
      <c r="F170" s="4">
        <v>0</v>
      </c>
      <c r="G170" s="55">
        <v>233000</v>
      </c>
      <c r="H170" s="4" t="s">
        <v>124</v>
      </c>
      <c r="I170" s="4">
        <v>109.395</v>
      </c>
      <c r="J170" s="4" t="s">
        <v>122</v>
      </c>
      <c r="K170" s="4" t="s">
        <v>1912</v>
      </c>
      <c r="L170" s="4" t="s">
        <v>2038</v>
      </c>
      <c r="M170" s="93">
        <v>45882</v>
      </c>
      <c r="N170" s="4"/>
      <c r="O170" s="4"/>
      <c r="P170" s="4"/>
      <c r="Q170" s="4"/>
      <c r="R170" s="4"/>
      <c r="S170" s="4"/>
      <c r="T170" s="4"/>
      <c r="U170" s="4"/>
      <c r="V170" s="4"/>
    </row>
    <row r="171" spans="1:22" x14ac:dyDescent="0.3">
      <c r="A171" s="4" t="s">
        <v>893</v>
      </c>
      <c r="B171" s="108" t="s">
        <v>894</v>
      </c>
      <c r="C171" s="4" t="s">
        <v>18</v>
      </c>
      <c r="D171" s="4" t="s">
        <v>895</v>
      </c>
      <c r="E171" s="4">
        <v>0</v>
      </c>
      <c r="F171" s="4">
        <v>0</v>
      </c>
      <c r="G171" s="55">
        <v>71000</v>
      </c>
      <c r="H171" s="4" t="s">
        <v>124</v>
      </c>
      <c r="I171" s="4">
        <v>26.91</v>
      </c>
      <c r="J171" s="4" t="s">
        <v>122</v>
      </c>
      <c r="K171" s="4" t="s">
        <v>1912</v>
      </c>
      <c r="L171" s="4" t="s">
        <v>2039</v>
      </c>
      <c r="M171" s="93">
        <v>45882</v>
      </c>
      <c r="N171" s="4"/>
      <c r="O171" s="4"/>
      <c r="P171" s="4"/>
      <c r="Q171" s="4"/>
      <c r="R171" s="4"/>
      <c r="S171" s="4"/>
      <c r="T171" s="4"/>
      <c r="U171" s="4"/>
      <c r="V171" s="4"/>
    </row>
    <row r="172" spans="1:22" x14ac:dyDescent="0.3">
      <c r="A172" s="4" t="s">
        <v>896</v>
      </c>
      <c r="B172" s="108" t="s">
        <v>897</v>
      </c>
      <c r="C172" s="4" t="s">
        <v>18</v>
      </c>
      <c r="D172" s="4" t="s">
        <v>899</v>
      </c>
      <c r="E172" s="4">
        <v>0</v>
      </c>
      <c r="F172" s="4">
        <v>0</v>
      </c>
      <c r="G172" s="55">
        <v>136000</v>
      </c>
      <c r="H172" s="4" t="s">
        <v>124</v>
      </c>
      <c r="I172" s="4">
        <v>67.275000000000006</v>
      </c>
      <c r="J172" s="4" t="s">
        <v>122</v>
      </c>
      <c r="K172" s="4" t="s">
        <v>1912</v>
      </c>
      <c r="L172" s="4" t="s">
        <v>2040</v>
      </c>
      <c r="M172" s="93">
        <v>45882</v>
      </c>
      <c r="N172" s="4"/>
      <c r="O172" s="4"/>
      <c r="P172" s="4"/>
      <c r="Q172" s="4"/>
      <c r="R172" s="4"/>
      <c r="S172" s="4"/>
      <c r="T172" s="4"/>
      <c r="U172" s="4"/>
      <c r="V172" s="4"/>
    </row>
    <row r="173" spans="1:22" x14ac:dyDescent="0.3">
      <c r="A173" s="4">
        <v>2408174</v>
      </c>
      <c r="B173" s="108" t="s">
        <v>900</v>
      </c>
      <c r="C173" s="4" t="s">
        <v>18</v>
      </c>
      <c r="D173" s="4">
        <v>0</v>
      </c>
      <c r="E173" s="4">
        <v>0</v>
      </c>
      <c r="F173" s="4">
        <v>0</v>
      </c>
      <c r="G173" s="55">
        <v>269900</v>
      </c>
      <c r="H173" s="4" t="s">
        <v>124</v>
      </c>
      <c r="I173" s="4">
        <v>120.95</v>
      </c>
      <c r="J173" s="4" t="s">
        <v>122</v>
      </c>
      <c r="K173" s="4"/>
      <c r="L173" s="4"/>
      <c r="M173" s="4"/>
      <c r="N173" s="4"/>
      <c r="O173" s="4"/>
      <c r="P173" s="4"/>
      <c r="Q173" s="4"/>
      <c r="R173" s="4"/>
      <c r="S173" s="4"/>
      <c r="T173" s="4"/>
      <c r="U173" s="4"/>
      <c r="V173" s="4"/>
    </row>
    <row r="174" spans="1:22" x14ac:dyDescent="0.3">
      <c r="A174" s="4">
        <v>2408179</v>
      </c>
      <c r="B174" s="108" t="s">
        <v>902</v>
      </c>
      <c r="C174" s="4" t="s">
        <v>18</v>
      </c>
      <c r="D174" s="4" t="s">
        <v>904</v>
      </c>
      <c r="E174" s="4">
        <v>0</v>
      </c>
      <c r="F174" s="4">
        <v>0</v>
      </c>
      <c r="G174" s="55">
        <v>320000</v>
      </c>
      <c r="H174" s="4" t="s">
        <v>124</v>
      </c>
      <c r="I174" s="4">
        <v>107.64</v>
      </c>
      <c r="J174" s="4" t="s">
        <v>122</v>
      </c>
      <c r="K174" s="4" t="s">
        <v>1912</v>
      </c>
      <c r="L174" s="4" t="s">
        <v>2041</v>
      </c>
      <c r="M174" s="93">
        <v>45890</v>
      </c>
      <c r="N174" s="4"/>
      <c r="O174" s="4"/>
      <c r="P174" s="4"/>
      <c r="Q174" s="4"/>
      <c r="R174" s="4"/>
      <c r="S174" s="4"/>
      <c r="T174" s="4"/>
      <c r="U174" s="4"/>
      <c r="V174" s="4"/>
    </row>
    <row r="175" spans="1:22" x14ac:dyDescent="0.3">
      <c r="A175" s="4">
        <v>2409185</v>
      </c>
      <c r="B175" s="108" t="s">
        <v>906</v>
      </c>
      <c r="C175" s="4" t="s">
        <v>18</v>
      </c>
      <c r="D175" s="4" t="s">
        <v>907</v>
      </c>
      <c r="E175" s="4">
        <v>0</v>
      </c>
      <c r="F175" s="4">
        <v>0</v>
      </c>
      <c r="G175" s="55">
        <v>73000</v>
      </c>
      <c r="H175" s="4" t="s">
        <v>124</v>
      </c>
      <c r="I175" s="4">
        <v>26.55</v>
      </c>
      <c r="J175" s="4" t="s">
        <v>122</v>
      </c>
      <c r="K175" s="4" t="s">
        <v>1912</v>
      </c>
      <c r="L175" s="4" t="s">
        <v>2042</v>
      </c>
      <c r="M175" s="93">
        <v>45890</v>
      </c>
      <c r="N175" s="4"/>
      <c r="O175" s="4"/>
      <c r="P175" s="4"/>
      <c r="Q175" s="4"/>
      <c r="R175" s="4"/>
      <c r="S175" s="4"/>
      <c r="T175" s="4"/>
      <c r="U175" s="4"/>
      <c r="V175" s="4"/>
    </row>
    <row r="176" spans="1:22" x14ac:dyDescent="0.3">
      <c r="A176" s="4">
        <v>2410196</v>
      </c>
      <c r="B176" s="108" t="s">
        <v>908</v>
      </c>
      <c r="C176" s="4">
        <v>0</v>
      </c>
      <c r="D176" s="4" t="s">
        <v>909</v>
      </c>
      <c r="E176" s="4">
        <v>0</v>
      </c>
      <c r="F176" s="4">
        <v>0</v>
      </c>
      <c r="G176" s="55">
        <v>73000</v>
      </c>
      <c r="H176" s="4" t="s">
        <v>124</v>
      </c>
      <c r="I176" s="4">
        <v>26.55</v>
      </c>
      <c r="J176" s="4" t="s">
        <v>122</v>
      </c>
      <c r="K176" s="4" t="s">
        <v>1912</v>
      </c>
      <c r="L176" s="4" t="s">
        <v>2043</v>
      </c>
      <c r="M176" s="93">
        <v>45890</v>
      </c>
      <c r="N176" s="4"/>
      <c r="O176" s="4"/>
      <c r="P176" s="4"/>
      <c r="Q176" s="4"/>
      <c r="R176" s="4"/>
      <c r="S176" s="4"/>
      <c r="T176" s="4"/>
      <c r="U176" s="4"/>
      <c r="V176" s="4"/>
    </row>
    <row r="177" spans="1:22" x14ac:dyDescent="0.3">
      <c r="A177" s="4">
        <v>2410474</v>
      </c>
      <c r="B177" s="108" t="s">
        <v>910</v>
      </c>
      <c r="C177" s="4" t="s">
        <v>911</v>
      </c>
      <c r="D177" s="4" t="s">
        <v>912</v>
      </c>
      <c r="E177" s="4" t="s">
        <v>913</v>
      </c>
      <c r="F177" s="4" t="s">
        <v>914</v>
      </c>
      <c r="G177" s="55">
        <v>37600</v>
      </c>
      <c r="H177" s="4" t="s">
        <v>71</v>
      </c>
      <c r="I177" s="4">
        <v>14.04</v>
      </c>
      <c r="J177" s="4" t="s">
        <v>122</v>
      </c>
      <c r="K177" s="4" t="s">
        <v>1902</v>
      </c>
      <c r="L177" s="4" t="s">
        <v>2044</v>
      </c>
      <c r="M177" s="93">
        <v>45750</v>
      </c>
      <c r="N177" s="4"/>
      <c r="O177" s="4"/>
      <c r="P177" s="4"/>
      <c r="Q177" s="4"/>
      <c r="R177" s="4"/>
      <c r="S177" s="4"/>
      <c r="T177" s="4"/>
      <c r="U177" s="4"/>
      <c r="V177" s="4"/>
    </row>
    <row r="178" spans="1:22" x14ac:dyDescent="0.3">
      <c r="A178" s="4">
        <v>2410468</v>
      </c>
      <c r="B178" s="114" t="s">
        <v>915</v>
      </c>
      <c r="C178" s="4" t="s">
        <v>916</v>
      </c>
      <c r="D178" s="4" t="s">
        <v>917</v>
      </c>
      <c r="E178" s="4" t="s">
        <v>918</v>
      </c>
      <c r="F178" s="4" t="s">
        <v>919</v>
      </c>
      <c r="G178" s="55">
        <v>36600</v>
      </c>
      <c r="H178" s="4" t="s">
        <v>71</v>
      </c>
      <c r="I178" s="4">
        <v>11.7</v>
      </c>
      <c r="J178" s="4" t="s">
        <v>122</v>
      </c>
      <c r="K178" s="4"/>
      <c r="L178" s="4"/>
      <c r="M178" s="4"/>
      <c r="N178" s="4"/>
      <c r="O178" s="4"/>
      <c r="P178" s="4"/>
      <c r="Q178" s="4"/>
      <c r="R178" s="4"/>
      <c r="S178" s="4"/>
      <c r="T178" s="4"/>
      <c r="U178" s="4"/>
      <c r="V178" s="4"/>
    </row>
    <row r="179" spans="1:22" x14ac:dyDescent="0.3">
      <c r="A179" s="4">
        <v>2409450</v>
      </c>
      <c r="B179" s="108" t="s">
        <v>920</v>
      </c>
      <c r="C179" s="4" t="s">
        <v>921</v>
      </c>
      <c r="D179" s="4" t="s">
        <v>922</v>
      </c>
      <c r="E179" s="4" t="s">
        <v>923</v>
      </c>
      <c r="F179" s="4" t="s">
        <v>924</v>
      </c>
      <c r="G179" s="55">
        <v>23500</v>
      </c>
      <c r="H179" s="4" t="s">
        <v>71</v>
      </c>
      <c r="I179" s="4">
        <v>7.02</v>
      </c>
      <c r="J179" s="4" t="s">
        <v>122</v>
      </c>
      <c r="K179" s="4" t="s">
        <v>1902</v>
      </c>
      <c r="L179" s="4" t="s">
        <v>2045</v>
      </c>
      <c r="M179" s="93">
        <v>45750</v>
      </c>
      <c r="N179" s="4"/>
      <c r="O179" s="4"/>
      <c r="P179" s="4"/>
      <c r="Q179" s="4"/>
      <c r="R179" s="4"/>
      <c r="S179" s="4"/>
      <c r="T179" s="4"/>
      <c r="U179" s="4"/>
      <c r="V179" s="4"/>
    </row>
    <row r="180" spans="1:22" x14ac:dyDescent="0.3">
      <c r="A180" s="4">
        <v>2411488</v>
      </c>
      <c r="B180" s="108" t="s">
        <v>925</v>
      </c>
      <c r="C180" s="4" t="s">
        <v>926</v>
      </c>
      <c r="D180" s="4" t="s">
        <v>927</v>
      </c>
      <c r="E180" s="4" t="s">
        <v>928</v>
      </c>
      <c r="F180" s="4" t="s">
        <v>929</v>
      </c>
      <c r="G180" s="55">
        <v>32000</v>
      </c>
      <c r="H180" s="4" t="s">
        <v>71</v>
      </c>
      <c r="I180" s="4">
        <v>10.53</v>
      </c>
      <c r="J180" s="4" t="s">
        <v>122</v>
      </c>
      <c r="K180" s="4" t="s">
        <v>1902</v>
      </c>
      <c r="L180" s="4" t="s">
        <v>2046</v>
      </c>
      <c r="M180" s="93">
        <v>45750</v>
      </c>
      <c r="N180" s="4"/>
      <c r="O180" s="4"/>
      <c r="P180" s="4"/>
      <c r="Q180" s="4"/>
      <c r="R180" s="4"/>
      <c r="S180" s="4"/>
      <c r="T180" s="4"/>
      <c r="U180" s="4"/>
      <c r="V180" s="4"/>
    </row>
    <row r="181" spans="1:22" x14ac:dyDescent="0.3">
      <c r="A181" s="4">
        <v>2411487</v>
      </c>
      <c r="B181" s="108" t="s">
        <v>930</v>
      </c>
      <c r="C181" s="4" t="s">
        <v>931</v>
      </c>
      <c r="D181" s="4" t="s">
        <v>932</v>
      </c>
      <c r="E181" s="4" t="s">
        <v>933</v>
      </c>
      <c r="F181" s="4" t="s">
        <v>934</v>
      </c>
      <c r="G181" s="55">
        <v>42200</v>
      </c>
      <c r="H181" s="4" t="s">
        <v>71</v>
      </c>
      <c r="I181" s="4">
        <v>15.21</v>
      </c>
      <c r="J181" s="4" t="s">
        <v>122</v>
      </c>
      <c r="K181" s="4" t="s">
        <v>1902</v>
      </c>
      <c r="L181" s="4" t="s">
        <v>2047</v>
      </c>
      <c r="M181" s="93">
        <v>45750</v>
      </c>
      <c r="N181" s="4"/>
      <c r="O181" s="4"/>
      <c r="P181" s="4"/>
      <c r="Q181" s="4"/>
      <c r="R181" s="4"/>
      <c r="S181" s="4"/>
      <c r="T181" s="4"/>
      <c r="U181" s="4"/>
      <c r="V181" s="4"/>
    </row>
    <row r="182" spans="1:22" x14ac:dyDescent="0.3">
      <c r="A182" s="4">
        <v>2410476</v>
      </c>
      <c r="B182" s="108" t="s">
        <v>935</v>
      </c>
      <c r="C182" s="4" t="s">
        <v>936</v>
      </c>
      <c r="D182" s="4" t="s">
        <v>937</v>
      </c>
      <c r="E182" s="4" t="s">
        <v>938</v>
      </c>
      <c r="F182" s="4" t="s">
        <v>939</v>
      </c>
      <c r="G182" s="55">
        <v>23500</v>
      </c>
      <c r="H182" s="4" t="s">
        <v>71</v>
      </c>
      <c r="I182" s="4">
        <v>7.02</v>
      </c>
      <c r="J182" s="4" t="s">
        <v>122</v>
      </c>
      <c r="K182" s="4" t="s">
        <v>1902</v>
      </c>
      <c r="L182" s="4" t="s">
        <v>2048</v>
      </c>
      <c r="M182" s="93">
        <v>45750</v>
      </c>
      <c r="N182" s="4"/>
      <c r="O182" s="4"/>
      <c r="P182" s="4"/>
      <c r="Q182" s="4"/>
      <c r="R182" s="4"/>
      <c r="S182" s="4"/>
      <c r="T182" s="4"/>
      <c r="U182" s="4"/>
      <c r="V182" s="4"/>
    </row>
    <row r="183" spans="1:22" x14ac:dyDescent="0.3">
      <c r="A183" s="4">
        <v>2407376</v>
      </c>
      <c r="B183" s="108" t="s">
        <v>940</v>
      </c>
      <c r="C183" s="4" t="s">
        <v>941</v>
      </c>
      <c r="D183" s="4" t="s">
        <v>942</v>
      </c>
      <c r="E183" s="4" t="s">
        <v>943</v>
      </c>
      <c r="F183" s="4" t="s">
        <v>944</v>
      </c>
      <c r="G183" s="55">
        <v>37768</v>
      </c>
      <c r="H183" s="4" t="s">
        <v>71</v>
      </c>
      <c r="I183" s="4">
        <v>10.53</v>
      </c>
      <c r="J183" s="4" t="s">
        <v>80</v>
      </c>
      <c r="K183" s="4" t="s">
        <v>1902</v>
      </c>
      <c r="L183" s="4" t="s">
        <v>2049</v>
      </c>
      <c r="M183" s="93">
        <v>45750</v>
      </c>
      <c r="N183" s="4"/>
      <c r="O183" s="4"/>
      <c r="P183" s="4"/>
      <c r="Q183" s="4"/>
      <c r="R183" s="4"/>
      <c r="S183" s="4"/>
      <c r="T183" s="4"/>
      <c r="U183" s="4"/>
      <c r="V183" s="4"/>
    </row>
    <row r="184" spans="1:22" x14ac:dyDescent="0.3">
      <c r="A184" s="4">
        <v>2410482</v>
      </c>
      <c r="B184" s="108" t="s">
        <v>945</v>
      </c>
      <c r="C184" s="4" t="s">
        <v>946</v>
      </c>
      <c r="D184" s="4" t="s">
        <v>947</v>
      </c>
      <c r="E184" s="4" t="s">
        <v>948</v>
      </c>
      <c r="F184" s="4" t="s">
        <v>949</v>
      </c>
      <c r="G184" s="55">
        <v>28500</v>
      </c>
      <c r="H184" s="4" t="s">
        <v>71</v>
      </c>
      <c r="I184" s="4">
        <v>8.7750000000000004</v>
      </c>
      <c r="J184" s="4" t="s">
        <v>122</v>
      </c>
      <c r="K184" s="4" t="s">
        <v>1902</v>
      </c>
      <c r="L184" s="4" t="s">
        <v>2050</v>
      </c>
      <c r="M184" s="93">
        <v>45750</v>
      </c>
      <c r="N184" s="4"/>
      <c r="O184" s="4"/>
      <c r="P184" s="4"/>
      <c r="Q184" s="4"/>
      <c r="R184" s="4"/>
      <c r="S184" s="4"/>
      <c r="T184" s="4"/>
      <c r="U184" s="4"/>
      <c r="V184" s="4"/>
    </row>
    <row r="185" spans="1:22" x14ac:dyDescent="0.3">
      <c r="A185" s="4">
        <v>2410471</v>
      </c>
      <c r="B185" s="114" t="s">
        <v>950</v>
      </c>
      <c r="C185" s="4" t="s">
        <v>951</v>
      </c>
      <c r="D185" s="4" t="s">
        <v>952</v>
      </c>
      <c r="E185" s="4" t="s">
        <v>953</v>
      </c>
      <c r="F185" s="4" t="s">
        <v>425</v>
      </c>
      <c r="G185" s="55">
        <v>47600</v>
      </c>
      <c r="H185" s="4" t="s">
        <v>71</v>
      </c>
      <c r="I185" s="4">
        <v>17.55</v>
      </c>
      <c r="J185" s="4" t="s">
        <v>122</v>
      </c>
      <c r="K185" s="4"/>
      <c r="L185" s="4"/>
      <c r="M185" s="4"/>
      <c r="N185" s="4"/>
      <c r="O185" s="4"/>
      <c r="P185" s="4"/>
      <c r="Q185" s="4"/>
      <c r="R185" s="4"/>
      <c r="S185" s="4"/>
      <c r="T185" s="4"/>
      <c r="U185" s="4"/>
      <c r="V185" s="4"/>
    </row>
    <row r="186" spans="1:22" x14ac:dyDescent="0.3">
      <c r="A186" s="4">
        <v>2411489</v>
      </c>
      <c r="B186" s="108" t="s">
        <v>955</v>
      </c>
      <c r="C186" s="4" t="s">
        <v>956</v>
      </c>
      <c r="D186" s="4" t="s">
        <v>957</v>
      </c>
      <c r="E186" s="4" t="s">
        <v>958</v>
      </c>
      <c r="F186" s="4" t="s">
        <v>959</v>
      </c>
      <c r="G186" s="55">
        <v>39980</v>
      </c>
      <c r="H186" s="4" t="s">
        <v>71</v>
      </c>
      <c r="I186" s="4">
        <v>14.04</v>
      </c>
      <c r="J186" s="4" t="s">
        <v>122</v>
      </c>
      <c r="K186" s="4" t="s">
        <v>1902</v>
      </c>
      <c r="L186" s="4" t="s">
        <v>2051</v>
      </c>
      <c r="M186" s="93">
        <v>45750</v>
      </c>
      <c r="N186" s="4"/>
      <c r="O186" s="4"/>
      <c r="P186" s="4"/>
      <c r="Q186" s="4"/>
      <c r="R186" s="4"/>
      <c r="S186" s="4"/>
      <c r="T186" s="4"/>
      <c r="U186" s="4"/>
      <c r="V186" s="4"/>
    </row>
    <row r="187" spans="1:22" x14ac:dyDescent="0.3">
      <c r="A187" s="4">
        <v>2411486</v>
      </c>
      <c r="B187" s="108" t="s">
        <v>960</v>
      </c>
      <c r="C187" s="4" t="s">
        <v>961</v>
      </c>
      <c r="D187" s="4" t="s">
        <v>962</v>
      </c>
      <c r="E187" s="4" t="s">
        <v>963</v>
      </c>
      <c r="F187" s="4" t="s">
        <v>964</v>
      </c>
      <c r="G187" s="55">
        <v>36600</v>
      </c>
      <c r="H187" s="4" t="s">
        <v>71</v>
      </c>
      <c r="I187" s="4">
        <v>13.455</v>
      </c>
      <c r="J187" s="4" t="s">
        <v>965</v>
      </c>
      <c r="K187" s="4" t="s">
        <v>1902</v>
      </c>
      <c r="L187" s="4" t="s">
        <v>2052</v>
      </c>
      <c r="M187" s="93">
        <v>45750</v>
      </c>
      <c r="N187" s="4"/>
      <c r="O187" s="4"/>
      <c r="P187" s="4"/>
      <c r="Q187" s="4"/>
      <c r="R187" s="4"/>
      <c r="S187" s="4"/>
      <c r="T187" s="4"/>
      <c r="U187" s="4"/>
      <c r="V187" s="4"/>
    </row>
    <row r="188" spans="1:22" x14ac:dyDescent="0.3">
      <c r="A188" s="4">
        <v>2411500</v>
      </c>
      <c r="B188" s="108" t="s">
        <v>966</v>
      </c>
      <c r="C188" s="4" t="s">
        <v>967</v>
      </c>
      <c r="D188" s="4" t="s">
        <v>968</v>
      </c>
      <c r="E188" s="4" t="s">
        <v>969</v>
      </c>
      <c r="F188" s="4" t="s">
        <v>970</v>
      </c>
      <c r="G188" s="55">
        <v>37600</v>
      </c>
      <c r="H188" s="4" t="s">
        <v>71</v>
      </c>
      <c r="I188" s="4">
        <v>14.16</v>
      </c>
      <c r="J188" s="4" t="s">
        <v>965</v>
      </c>
      <c r="K188" s="4" t="s">
        <v>1902</v>
      </c>
      <c r="L188" s="4" t="s">
        <v>2053</v>
      </c>
      <c r="M188" s="93">
        <v>45750</v>
      </c>
      <c r="N188" s="4"/>
      <c r="O188" s="4"/>
      <c r="P188" s="4"/>
      <c r="Q188" s="4"/>
      <c r="R188" s="4"/>
      <c r="S188" s="4"/>
      <c r="T188" s="4"/>
      <c r="U188" s="4"/>
      <c r="V188" s="4"/>
    </row>
    <row r="189" spans="1:22" x14ac:dyDescent="0.3">
      <c r="A189" s="4">
        <v>2410034</v>
      </c>
      <c r="B189" s="108" t="s">
        <v>971</v>
      </c>
      <c r="C189" s="4" t="s">
        <v>18</v>
      </c>
      <c r="D189" s="4" t="s">
        <v>972</v>
      </c>
      <c r="E189" s="4" t="s">
        <v>18</v>
      </c>
      <c r="F189" s="4" t="s">
        <v>18</v>
      </c>
      <c r="G189" s="55">
        <v>4150</v>
      </c>
      <c r="H189" s="4" t="s">
        <v>206</v>
      </c>
      <c r="I189" s="4">
        <v>0</v>
      </c>
      <c r="J189" s="4" t="s">
        <v>109</v>
      </c>
      <c r="K189" s="265" t="s">
        <v>109</v>
      </c>
      <c r="L189" s="266" t="s">
        <v>109</v>
      </c>
      <c r="M189" s="267"/>
      <c r="N189" s="265" t="s">
        <v>109</v>
      </c>
      <c r="O189" s="266" t="s">
        <v>109</v>
      </c>
      <c r="P189" s="267"/>
      <c r="Q189" s="265" t="s">
        <v>109</v>
      </c>
      <c r="R189" s="266" t="s">
        <v>109</v>
      </c>
      <c r="S189" s="267"/>
      <c r="T189" s="265" t="s">
        <v>109</v>
      </c>
      <c r="U189" s="266" t="s">
        <v>109</v>
      </c>
      <c r="V189" s="267"/>
    </row>
    <row r="190" spans="1:22" x14ac:dyDescent="0.3">
      <c r="A190" s="4">
        <v>2411494</v>
      </c>
      <c r="B190" s="108" t="s">
        <v>973</v>
      </c>
      <c r="C190" s="4" t="s">
        <v>974</v>
      </c>
      <c r="D190" s="4" t="s">
        <v>975</v>
      </c>
      <c r="E190" s="4" t="s">
        <v>976</v>
      </c>
      <c r="F190" s="4" t="s">
        <v>977</v>
      </c>
      <c r="G190" s="55">
        <v>60000</v>
      </c>
      <c r="H190" s="4" t="s">
        <v>71</v>
      </c>
      <c r="I190" s="4">
        <v>17.55</v>
      </c>
      <c r="J190" s="4" t="s">
        <v>109</v>
      </c>
      <c r="K190" s="265" t="s">
        <v>109</v>
      </c>
      <c r="L190" s="266" t="s">
        <v>109</v>
      </c>
      <c r="M190" s="267"/>
      <c r="N190" s="265" t="s">
        <v>109</v>
      </c>
      <c r="O190" s="266" t="s">
        <v>109</v>
      </c>
      <c r="P190" s="267"/>
      <c r="Q190" s="265" t="s">
        <v>109</v>
      </c>
      <c r="R190" s="266" t="s">
        <v>109</v>
      </c>
      <c r="S190" s="267"/>
      <c r="T190" s="265" t="s">
        <v>109</v>
      </c>
      <c r="U190" s="266" t="s">
        <v>109</v>
      </c>
      <c r="V190" s="267"/>
    </row>
    <row r="191" spans="1:22" x14ac:dyDescent="0.3">
      <c r="A191" s="4">
        <v>2411496</v>
      </c>
      <c r="B191" s="108" t="s">
        <v>978</v>
      </c>
      <c r="C191" s="4" t="s">
        <v>979</v>
      </c>
      <c r="D191" s="4" t="s">
        <v>980</v>
      </c>
      <c r="E191" s="4" t="s">
        <v>981</v>
      </c>
      <c r="F191" s="4" t="s">
        <v>982</v>
      </c>
      <c r="G191" s="55">
        <v>29000</v>
      </c>
      <c r="H191" s="4" t="s">
        <v>71</v>
      </c>
      <c r="I191" s="4">
        <v>9.36</v>
      </c>
      <c r="J191" s="4" t="s">
        <v>965</v>
      </c>
      <c r="K191" s="4" t="s">
        <v>1902</v>
      </c>
      <c r="L191" s="4" t="s">
        <v>2054</v>
      </c>
      <c r="M191" s="93">
        <v>45750</v>
      </c>
      <c r="N191" s="4"/>
      <c r="O191" s="4"/>
      <c r="P191" s="4"/>
      <c r="Q191" s="4"/>
      <c r="R191" s="4"/>
      <c r="S191" s="4"/>
      <c r="T191" s="4"/>
      <c r="U191" s="4"/>
      <c r="V191" s="4"/>
    </row>
    <row r="192" spans="1:22" x14ac:dyDescent="0.3">
      <c r="A192" s="4">
        <v>2404224</v>
      </c>
      <c r="B192" s="108" t="s">
        <v>983</v>
      </c>
      <c r="C192" s="4" t="s">
        <v>984</v>
      </c>
      <c r="D192" s="4" t="s">
        <v>985</v>
      </c>
      <c r="E192" s="4" t="s">
        <v>986</v>
      </c>
      <c r="F192" s="4" t="s">
        <v>987</v>
      </c>
      <c r="G192" s="55">
        <v>45600</v>
      </c>
      <c r="H192" s="4" t="s">
        <v>71</v>
      </c>
      <c r="I192" s="4">
        <v>17.7</v>
      </c>
      <c r="J192" s="4" t="s">
        <v>965</v>
      </c>
      <c r="K192" s="4" t="s">
        <v>1902</v>
      </c>
      <c r="L192" s="4" t="s">
        <v>2055</v>
      </c>
      <c r="M192" s="93">
        <v>45750</v>
      </c>
      <c r="N192" s="4"/>
      <c r="O192" s="4"/>
      <c r="P192" s="4"/>
      <c r="Q192" s="4"/>
      <c r="R192" s="4"/>
      <c r="S192" s="4"/>
      <c r="T192" s="4"/>
      <c r="U192" s="4"/>
      <c r="V192" s="4"/>
    </row>
    <row r="193" spans="1:22" x14ac:dyDescent="0.3">
      <c r="A193" s="4">
        <v>2411491</v>
      </c>
      <c r="B193" s="108" t="s">
        <v>990</v>
      </c>
      <c r="C193" s="4" t="s">
        <v>991</v>
      </c>
      <c r="D193" s="4" t="s">
        <v>992</v>
      </c>
      <c r="E193" s="4" t="s">
        <v>993</v>
      </c>
      <c r="F193" s="4" t="s">
        <v>994</v>
      </c>
      <c r="G193" s="55">
        <v>38420</v>
      </c>
      <c r="H193" s="4" t="s">
        <v>71</v>
      </c>
      <c r="I193" s="4">
        <v>11.7</v>
      </c>
      <c r="J193" s="4" t="s">
        <v>965</v>
      </c>
      <c r="K193" s="4" t="s">
        <v>1902</v>
      </c>
      <c r="L193" s="4" t="s">
        <v>2056</v>
      </c>
      <c r="M193" s="93">
        <v>45750</v>
      </c>
      <c r="N193" s="4"/>
      <c r="O193" s="4"/>
      <c r="P193" s="4"/>
      <c r="Q193" s="4"/>
      <c r="R193" s="4"/>
      <c r="S193" s="4"/>
      <c r="T193" s="4"/>
      <c r="U193" s="4"/>
      <c r="V193" s="4"/>
    </row>
    <row r="194" spans="1:22" x14ac:dyDescent="0.3">
      <c r="A194" s="4">
        <v>2411490</v>
      </c>
      <c r="B194" s="108" t="s">
        <v>995</v>
      </c>
      <c r="C194" s="4" t="s">
        <v>996</v>
      </c>
      <c r="D194" s="4" t="s">
        <v>997</v>
      </c>
      <c r="E194" s="4" t="s">
        <v>998</v>
      </c>
      <c r="F194" s="4" t="s">
        <v>999</v>
      </c>
      <c r="G194" s="55">
        <v>21500</v>
      </c>
      <c r="H194" s="4" t="s">
        <v>71</v>
      </c>
      <c r="I194" s="4">
        <v>7.02</v>
      </c>
      <c r="J194" s="4" t="s">
        <v>965</v>
      </c>
      <c r="K194" s="4" t="s">
        <v>1902</v>
      </c>
      <c r="L194" s="4" t="s">
        <v>2057</v>
      </c>
      <c r="M194" s="93">
        <v>45750</v>
      </c>
      <c r="N194" s="4"/>
      <c r="O194" s="4"/>
      <c r="P194" s="4"/>
      <c r="Q194" s="4"/>
      <c r="R194" s="4"/>
      <c r="S194" s="4"/>
      <c r="T194" s="4"/>
      <c r="U194" s="4"/>
      <c r="V194" s="4"/>
    </row>
    <row r="195" spans="1:22" x14ac:dyDescent="0.3">
      <c r="A195" s="4">
        <v>2412504</v>
      </c>
      <c r="B195" s="108" t="s">
        <v>1001</v>
      </c>
      <c r="C195" s="4" t="s">
        <v>1002</v>
      </c>
      <c r="D195" s="4" t="s">
        <v>1003</v>
      </c>
      <c r="E195" s="4" t="s">
        <v>1004</v>
      </c>
      <c r="F195" s="4" t="s">
        <v>1005</v>
      </c>
      <c r="G195" s="55">
        <v>31616</v>
      </c>
      <c r="H195" s="4" t="s">
        <v>71</v>
      </c>
      <c r="I195" s="4">
        <v>9.36</v>
      </c>
      <c r="J195" s="4" t="s">
        <v>80</v>
      </c>
      <c r="K195" s="4" t="s">
        <v>1902</v>
      </c>
      <c r="L195" s="4" t="s">
        <v>2058</v>
      </c>
      <c r="M195" s="93">
        <v>45750</v>
      </c>
      <c r="N195" s="4"/>
      <c r="O195" s="4"/>
      <c r="P195" s="4"/>
      <c r="Q195" s="4"/>
      <c r="R195" s="4"/>
      <c r="S195" s="4"/>
      <c r="T195" s="4"/>
      <c r="U195" s="4"/>
      <c r="V195" s="4"/>
    </row>
    <row r="196" spans="1:22" x14ac:dyDescent="0.3">
      <c r="A196" s="4">
        <v>2412503</v>
      </c>
      <c r="B196" s="108" t="s">
        <v>1006</v>
      </c>
      <c r="C196" s="4" t="s">
        <v>1007</v>
      </c>
      <c r="D196" s="4" t="s">
        <v>1008</v>
      </c>
      <c r="E196" s="4" t="s">
        <v>1009</v>
      </c>
      <c r="F196" s="4" t="s">
        <v>1010</v>
      </c>
      <c r="G196" s="55">
        <v>38600</v>
      </c>
      <c r="H196" s="4" t="s">
        <v>71</v>
      </c>
      <c r="I196" s="4">
        <v>14.04</v>
      </c>
      <c r="J196" s="4" t="s">
        <v>80</v>
      </c>
      <c r="K196" s="4" t="s">
        <v>1902</v>
      </c>
      <c r="L196" s="4" t="s">
        <v>2059</v>
      </c>
      <c r="M196" s="93">
        <v>45750</v>
      </c>
      <c r="N196" s="4"/>
      <c r="O196" s="4"/>
      <c r="P196" s="4"/>
      <c r="Q196" s="4"/>
      <c r="R196" s="4"/>
      <c r="S196" s="4"/>
      <c r="T196" s="4"/>
      <c r="U196" s="4"/>
      <c r="V196" s="4"/>
    </row>
    <row r="197" spans="1:22" x14ac:dyDescent="0.3">
      <c r="A197" s="4">
        <v>2410033</v>
      </c>
      <c r="B197" s="108" t="s">
        <v>1011</v>
      </c>
      <c r="C197" s="4" t="s">
        <v>18</v>
      </c>
      <c r="D197" s="4" t="s">
        <v>1012</v>
      </c>
      <c r="E197" s="4" t="s">
        <v>18</v>
      </c>
      <c r="F197" s="4" t="s">
        <v>18</v>
      </c>
      <c r="G197" s="55">
        <v>55000</v>
      </c>
      <c r="H197" s="4" t="s">
        <v>206</v>
      </c>
      <c r="I197" s="4">
        <v>0</v>
      </c>
      <c r="J197" s="4" t="s">
        <v>109</v>
      </c>
      <c r="K197" s="265" t="s">
        <v>109</v>
      </c>
      <c r="L197" s="266" t="s">
        <v>109</v>
      </c>
      <c r="M197" s="267"/>
      <c r="N197" s="265" t="s">
        <v>109</v>
      </c>
      <c r="O197" s="266"/>
      <c r="P197" s="267"/>
      <c r="Q197" s="265" t="s">
        <v>109</v>
      </c>
      <c r="R197" s="266"/>
      <c r="S197" s="267"/>
      <c r="T197" s="265" t="s">
        <v>109</v>
      </c>
      <c r="U197" s="266"/>
      <c r="V197" s="267"/>
    </row>
    <row r="198" spans="1:22" x14ac:dyDescent="0.3">
      <c r="A198" s="4">
        <v>2412505</v>
      </c>
      <c r="B198" s="108" t="s">
        <v>1013</v>
      </c>
      <c r="C198" s="4" t="s">
        <v>1014</v>
      </c>
      <c r="D198" s="4" t="s">
        <v>1015</v>
      </c>
      <c r="E198" s="4" t="s">
        <v>1016</v>
      </c>
      <c r="F198" s="4">
        <v>0</v>
      </c>
      <c r="G198" s="55">
        <v>42860</v>
      </c>
      <c r="H198" s="4" t="s">
        <v>71</v>
      </c>
      <c r="I198" s="4">
        <v>14.04</v>
      </c>
      <c r="J198" s="4" t="s">
        <v>80</v>
      </c>
      <c r="K198" s="4" t="s">
        <v>1902</v>
      </c>
      <c r="L198" s="4" t="s">
        <v>2060</v>
      </c>
      <c r="M198" s="93">
        <v>45750</v>
      </c>
      <c r="N198" s="4"/>
      <c r="O198" s="4"/>
      <c r="P198" s="4"/>
      <c r="Q198" s="4"/>
      <c r="R198" s="4"/>
      <c r="S198" s="4"/>
      <c r="T198" s="4"/>
      <c r="U198" s="4"/>
      <c r="V198" s="4"/>
    </row>
    <row r="199" spans="1:22" x14ac:dyDescent="0.3">
      <c r="A199" s="4">
        <v>2412509</v>
      </c>
      <c r="B199" s="108" t="s">
        <v>1017</v>
      </c>
      <c r="C199" s="4" t="s">
        <v>1018</v>
      </c>
      <c r="D199" s="4" t="s">
        <v>1019</v>
      </c>
      <c r="E199" s="4" t="s">
        <v>1020</v>
      </c>
      <c r="F199" s="4" t="s">
        <v>1021</v>
      </c>
      <c r="G199" s="55">
        <v>50000</v>
      </c>
      <c r="H199" s="4" t="s">
        <v>71</v>
      </c>
      <c r="I199" s="4">
        <v>17.7</v>
      </c>
      <c r="J199" s="4" t="s">
        <v>109</v>
      </c>
      <c r="K199" s="265" t="s">
        <v>109</v>
      </c>
      <c r="L199" s="266" t="s">
        <v>109</v>
      </c>
      <c r="M199" s="267"/>
      <c r="N199" s="265" t="s">
        <v>109</v>
      </c>
      <c r="O199" s="266"/>
      <c r="P199" s="267"/>
      <c r="Q199" s="265" t="s">
        <v>109</v>
      </c>
      <c r="R199" s="266"/>
      <c r="S199" s="267"/>
      <c r="T199" s="265" t="s">
        <v>109</v>
      </c>
      <c r="U199" s="266"/>
      <c r="V199" s="267"/>
    </row>
    <row r="200" spans="1:22" x14ac:dyDescent="0.3">
      <c r="A200" s="4">
        <v>2412515</v>
      </c>
      <c r="B200" s="108" t="s">
        <v>1023</v>
      </c>
      <c r="C200" s="4" t="s">
        <v>1024</v>
      </c>
      <c r="D200" s="4" t="s">
        <v>1025</v>
      </c>
      <c r="E200" s="4" t="s">
        <v>1026</v>
      </c>
      <c r="F200" s="4" t="s">
        <v>1027</v>
      </c>
      <c r="G200" s="55">
        <v>44600</v>
      </c>
      <c r="H200" s="4" t="s">
        <v>71</v>
      </c>
      <c r="I200" s="4">
        <v>17.55</v>
      </c>
      <c r="J200" s="4" t="s">
        <v>965</v>
      </c>
      <c r="K200" s="4" t="s">
        <v>1902</v>
      </c>
      <c r="L200" s="4" t="s">
        <v>2061</v>
      </c>
      <c r="M200" s="93">
        <v>45750</v>
      </c>
      <c r="N200" s="4"/>
      <c r="O200" s="4"/>
      <c r="P200" s="4"/>
      <c r="Q200" s="4"/>
      <c r="R200" s="4"/>
      <c r="S200" s="4"/>
      <c r="T200" s="4"/>
      <c r="U200" s="4"/>
      <c r="V200" s="4"/>
    </row>
    <row r="201" spans="1:22" x14ac:dyDescent="0.3">
      <c r="A201" s="4">
        <v>2410462</v>
      </c>
      <c r="B201" s="108" t="s">
        <v>1028</v>
      </c>
      <c r="C201" s="4" t="s">
        <v>1029</v>
      </c>
      <c r="D201" s="4" t="s">
        <v>1030</v>
      </c>
      <c r="E201" s="4" t="s">
        <v>1031</v>
      </c>
      <c r="F201" s="4" t="s">
        <v>1032</v>
      </c>
      <c r="G201" s="55">
        <v>23500</v>
      </c>
      <c r="H201" s="4" t="s">
        <v>71</v>
      </c>
      <c r="I201" s="4">
        <v>7.02</v>
      </c>
      <c r="J201" s="4" t="s">
        <v>965</v>
      </c>
      <c r="K201" s="4" t="s">
        <v>1902</v>
      </c>
      <c r="L201" s="4" t="s">
        <v>2062</v>
      </c>
      <c r="M201" s="93">
        <v>45750</v>
      </c>
      <c r="N201" s="4"/>
      <c r="O201" s="4"/>
      <c r="P201" s="4"/>
      <c r="Q201" s="4"/>
      <c r="R201" s="4"/>
      <c r="S201" s="4"/>
      <c r="T201" s="4"/>
      <c r="U201" s="4"/>
      <c r="V201" s="4"/>
    </row>
    <row r="202" spans="1:22" x14ac:dyDescent="0.3">
      <c r="A202" s="4">
        <v>2412516</v>
      </c>
      <c r="B202" s="108" t="s">
        <v>1033</v>
      </c>
      <c r="C202" s="4" t="s">
        <v>1034</v>
      </c>
      <c r="D202" s="4" t="s">
        <v>1035</v>
      </c>
      <c r="E202" s="4" t="s">
        <v>1036</v>
      </c>
      <c r="F202" s="4" t="s">
        <v>1037</v>
      </c>
      <c r="G202" s="55">
        <v>37160</v>
      </c>
      <c r="H202" s="4" t="s">
        <v>71</v>
      </c>
      <c r="I202" s="4">
        <v>12.98</v>
      </c>
      <c r="J202" s="4" t="s">
        <v>965</v>
      </c>
      <c r="K202" s="4" t="s">
        <v>1902</v>
      </c>
      <c r="L202" s="4" t="s">
        <v>2063</v>
      </c>
      <c r="M202" s="93">
        <v>45750</v>
      </c>
      <c r="N202" s="4"/>
      <c r="O202" s="4"/>
      <c r="P202" s="4"/>
      <c r="Q202" s="4"/>
      <c r="R202" s="4"/>
      <c r="S202" s="4"/>
      <c r="T202" s="4"/>
      <c r="U202" s="4"/>
      <c r="V202" s="4"/>
    </row>
    <row r="203" spans="1:22" x14ac:dyDescent="0.3">
      <c r="A203" s="4">
        <v>2412521</v>
      </c>
      <c r="B203" s="108" t="s">
        <v>1038</v>
      </c>
      <c r="C203" s="4" t="s">
        <v>1039</v>
      </c>
      <c r="D203" s="4" t="s">
        <v>1040</v>
      </c>
      <c r="E203" s="4" t="s">
        <v>1041</v>
      </c>
      <c r="F203" s="4" t="s">
        <v>1042</v>
      </c>
      <c r="G203" s="55">
        <v>39560</v>
      </c>
      <c r="H203" s="4" t="s">
        <v>71</v>
      </c>
      <c r="I203" s="4">
        <v>15.34</v>
      </c>
      <c r="J203" s="4" t="s">
        <v>965</v>
      </c>
      <c r="K203" s="4" t="s">
        <v>1902</v>
      </c>
      <c r="L203" s="4" t="s">
        <v>2064</v>
      </c>
      <c r="M203" s="93">
        <v>45750</v>
      </c>
      <c r="N203" s="4"/>
      <c r="O203" s="4"/>
      <c r="P203" s="4"/>
      <c r="Q203" s="4"/>
      <c r="R203" s="4"/>
      <c r="S203" s="4"/>
      <c r="T203" s="4"/>
      <c r="U203" s="4"/>
      <c r="V203" s="4"/>
    </row>
    <row r="204" spans="1:22" x14ac:dyDescent="0.3">
      <c r="A204" s="4">
        <v>2412524</v>
      </c>
      <c r="B204" s="108" t="s">
        <v>1043</v>
      </c>
      <c r="C204" s="4" t="s">
        <v>1044</v>
      </c>
      <c r="D204" s="4" t="s">
        <v>1045</v>
      </c>
      <c r="E204" s="4" t="s">
        <v>1046</v>
      </c>
      <c r="F204" s="4" t="s">
        <v>1047</v>
      </c>
      <c r="G204" s="55">
        <v>34000</v>
      </c>
      <c r="H204" s="4" t="s">
        <v>71</v>
      </c>
      <c r="I204" s="4">
        <v>14.16</v>
      </c>
      <c r="J204" s="4" t="s">
        <v>109</v>
      </c>
      <c r="K204" s="265" t="s">
        <v>109</v>
      </c>
      <c r="L204" s="266" t="s">
        <v>109</v>
      </c>
      <c r="M204" s="267"/>
      <c r="N204" s="265" t="s">
        <v>109</v>
      </c>
      <c r="O204" s="266"/>
      <c r="P204" s="267"/>
      <c r="Q204" s="265" t="s">
        <v>109</v>
      </c>
      <c r="R204" s="266"/>
      <c r="S204" s="267"/>
      <c r="T204" s="265" t="s">
        <v>109</v>
      </c>
      <c r="U204" s="266"/>
      <c r="V204" s="267"/>
    </row>
    <row r="205" spans="1:22" x14ac:dyDescent="0.3">
      <c r="A205" s="4">
        <v>2412513</v>
      </c>
      <c r="B205" s="114" t="s">
        <v>1048</v>
      </c>
      <c r="C205" s="4" t="s">
        <v>1049</v>
      </c>
      <c r="D205" s="4" t="s">
        <v>1050</v>
      </c>
      <c r="E205" s="4" t="s">
        <v>1051</v>
      </c>
      <c r="F205" s="4" t="s">
        <v>1052</v>
      </c>
      <c r="G205" s="55">
        <v>29000</v>
      </c>
      <c r="H205" s="4" t="s">
        <v>71</v>
      </c>
      <c r="I205" s="4">
        <v>10.029999999999999</v>
      </c>
      <c r="J205" s="4" t="s">
        <v>965</v>
      </c>
      <c r="K205" s="4"/>
      <c r="L205" s="4"/>
      <c r="M205" s="4"/>
      <c r="N205" s="4"/>
      <c r="O205" s="4"/>
      <c r="P205" s="4"/>
      <c r="Q205" s="4"/>
      <c r="R205" s="4"/>
      <c r="S205" s="4"/>
      <c r="T205" s="4"/>
      <c r="U205" s="4"/>
      <c r="V205" s="4"/>
    </row>
    <row r="206" spans="1:22" x14ac:dyDescent="0.3">
      <c r="A206" s="4">
        <v>2501038</v>
      </c>
      <c r="B206" s="108" t="s">
        <v>1053</v>
      </c>
      <c r="C206" s="4" t="s">
        <v>18</v>
      </c>
      <c r="D206" s="4" t="s">
        <v>1054</v>
      </c>
      <c r="E206" s="4" t="s">
        <v>18</v>
      </c>
      <c r="F206" s="4" t="s">
        <v>18</v>
      </c>
      <c r="G206" s="55">
        <v>2000</v>
      </c>
      <c r="H206" s="4" t="s">
        <v>206</v>
      </c>
      <c r="I206" s="4">
        <v>0</v>
      </c>
      <c r="J206" s="4" t="s">
        <v>109</v>
      </c>
      <c r="K206" s="265" t="s">
        <v>109</v>
      </c>
      <c r="L206" s="266" t="s">
        <v>109</v>
      </c>
      <c r="M206" s="267"/>
      <c r="N206" s="265" t="s">
        <v>109</v>
      </c>
      <c r="O206" s="266"/>
      <c r="P206" s="267"/>
      <c r="Q206" s="265" t="s">
        <v>109</v>
      </c>
      <c r="R206" s="266"/>
      <c r="S206" s="267"/>
      <c r="T206" s="265" t="s">
        <v>109</v>
      </c>
      <c r="U206" s="266"/>
      <c r="V206" s="267"/>
    </row>
    <row r="207" spans="1:22" x14ac:dyDescent="0.3">
      <c r="A207" s="4">
        <v>2501532</v>
      </c>
      <c r="B207" s="108" t="s">
        <v>1055</v>
      </c>
      <c r="C207" s="4" t="s">
        <v>1056</v>
      </c>
      <c r="D207" s="4" t="s">
        <v>1057</v>
      </c>
      <c r="E207" s="4" t="s">
        <v>1058</v>
      </c>
      <c r="F207" s="4" t="s">
        <v>1059</v>
      </c>
      <c r="G207" s="55">
        <v>27000</v>
      </c>
      <c r="H207" s="4" t="s">
        <v>71</v>
      </c>
      <c r="I207" s="4">
        <v>9.44</v>
      </c>
      <c r="J207" s="4" t="s">
        <v>965</v>
      </c>
      <c r="K207" s="4" t="s">
        <v>1902</v>
      </c>
      <c r="L207" s="4" t="s">
        <v>2065</v>
      </c>
      <c r="M207" s="93">
        <v>45750</v>
      </c>
      <c r="N207" s="4"/>
      <c r="O207" s="4"/>
      <c r="P207" s="4"/>
      <c r="Q207" s="4"/>
      <c r="R207" s="4"/>
      <c r="S207" s="4"/>
      <c r="T207" s="4"/>
      <c r="U207" s="4"/>
      <c r="V207" s="4"/>
    </row>
    <row r="208" spans="1:22" x14ac:dyDescent="0.3">
      <c r="A208" s="4">
        <v>2501544</v>
      </c>
      <c r="B208" s="108" t="s">
        <v>1060</v>
      </c>
      <c r="C208" s="4" t="s">
        <v>1061</v>
      </c>
      <c r="D208" s="4" t="s">
        <v>1062</v>
      </c>
      <c r="E208" s="4" t="s">
        <v>1063</v>
      </c>
      <c r="F208" s="4" t="s">
        <v>1064</v>
      </c>
      <c r="G208" s="55">
        <v>44000</v>
      </c>
      <c r="H208" s="4" t="s">
        <v>71</v>
      </c>
      <c r="I208" s="4">
        <v>17.7</v>
      </c>
      <c r="J208" s="4" t="s">
        <v>965</v>
      </c>
      <c r="K208" s="4" t="s">
        <v>1902</v>
      </c>
      <c r="L208" s="4" t="s">
        <v>2066</v>
      </c>
      <c r="M208" s="93">
        <v>45750</v>
      </c>
      <c r="N208" s="4"/>
      <c r="O208" s="4"/>
      <c r="P208" s="4"/>
      <c r="Q208" s="4"/>
      <c r="R208" s="4"/>
      <c r="S208" s="4"/>
      <c r="T208" s="4"/>
      <c r="U208" s="4"/>
      <c r="V208" s="4"/>
    </row>
    <row r="209" spans="1:22" x14ac:dyDescent="0.3">
      <c r="A209" s="4">
        <v>2502548</v>
      </c>
      <c r="B209" s="108" t="s">
        <v>1066</v>
      </c>
      <c r="C209" s="4" t="s">
        <v>1067</v>
      </c>
      <c r="D209" s="4" t="s">
        <v>1068</v>
      </c>
      <c r="E209" s="4" t="s">
        <v>1069</v>
      </c>
      <c r="F209" s="4" t="s">
        <v>1070</v>
      </c>
      <c r="G209" s="55">
        <v>42000</v>
      </c>
      <c r="H209" s="4" t="s">
        <v>71</v>
      </c>
      <c r="I209" s="4">
        <v>17.7</v>
      </c>
      <c r="J209" s="4" t="s">
        <v>965</v>
      </c>
      <c r="K209" s="4" t="s">
        <v>1902</v>
      </c>
      <c r="L209" s="4" t="s">
        <v>2067</v>
      </c>
      <c r="M209" s="93">
        <v>45806</v>
      </c>
      <c r="N209" s="4"/>
      <c r="O209" s="4"/>
      <c r="P209" s="4"/>
      <c r="Q209" s="4"/>
      <c r="R209" s="4"/>
      <c r="S209" s="4"/>
      <c r="T209" s="4"/>
      <c r="U209" s="4"/>
      <c r="V209" s="4"/>
    </row>
    <row r="210" spans="1:22" x14ac:dyDescent="0.3">
      <c r="A210" s="4">
        <v>2501545</v>
      </c>
      <c r="B210" s="108" t="s">
        <v>1071</v>
      </c>
      <c r="C210" s="4" t="s">
        <v>1072</v>
      </c>
      <c r="D210" s="4" t="s">
        <v>1073</v>
      </c>
      <c r="E210" s="4" t="s">
        <v>1074</v>
      </c>
      <c r="F210" s="4" t="s">
        <v>1075</v>
      </c>
      <c r="G210" s="55">
        <v>21800</v>
      </c>
      <c r="H210" s="4" t="s">
        <v>71</v>
      </c>
      <c r="I210" s="4">
        <v>7.08</v>
      </c>
      <c r="J210" s="4" t="s">
        <v>965</v>
      </c>
      <c r="K210" s="4" t="s">
        <v>1902</v>
      </c>
      <c r="L210" s="4" t="s">
        <v>2068</v>
      </c>
      <c r="M210" s="93">
        <v>45806</v>
      </c>
      <c r="N210" s="4"/>
      <c r="O210" s="4"/>
      <c r="P210" s="4"/>
      <c r="Q210" s="4"/>
      <c r="R210" s="4"/>
      <c r="S210" s="4"/>
      <c r="T210" s="4"/>
      <c r="U210" s="4"/>
      <c r="V210" s="4"/>
    </row>
    <row r="211" spans="1:22" x14ac:dyDescent="0.3">
      <c r="A211" s="4">
        <v>2311088</v>
      </c>
      <c r="B211" s="114" t="s">
        <v>1076</v>
      </c>
      <c r="C211" s="4" t="s">
        <v>1077</v>
      </c>
      <c r="D211" s="4" t="s">
        <v>1078</v>
      </c>
      <c r="E211" s="4" t="s">
        <v>1079</v>
      </c>
      <c r="F211" s="4" t="s">
        <v>1080</v>
      </c>
      <c r="G211" s="55">
        <v>27000</v>
      </c>
      <c r="H211" s="4" t="s">
        <v>71</v>
      </c>
      <c r="I211" s="4">
        <v>10.62</v>
      </c>
      <c r="J211" s="4" t="s">
        <v>965</v>
      </c>
      <c r="K211" s="4"/>
      <c r="L211" s="4"/>
      <c r="M211" s="4"/>
      <c r="N211" s="4"/>
      <c r="O211" s="4"/>
      <c r="P211" s="4"/>
      <c r="Q211" s="4"/>
      <c r="R211" s="4"/>
      <c r="S211" s="4"/>
      <c r="T211" s="4"/>
      <c r="U211" s="4"/>
      <c r="V211" s="4"/>
    </row>
    <row r="212" spans="1:22" x14ac:dyDescent="0.3">
      <c r="A212" s="4">
        <v>2502216</v>
      </c>
      <c r="B212" s="108" t="s">
        <v>1081</v>
      </c>
      <c r="C212" s="4" t="s">
        <v>1082</v>
      </c>
      <c r="D212" s="4" t="s">
        <v>1083</v>
      </c>
      <c r="E212" s="4" t="s">
        <v>1084</v>
      </c>
      <c r="F212" s="4" t="s">
        <v>1085</v>
      </c>
      <c r="G212" s="55">
        <v>37000</v>
      </c>
      <c r="H212" s="4" t="s">
        <v>124</v>
      </c>
      <c r="I212" s="4">
        <v>14.16</v>
      </c>
      <c r="J212" s="4" t="s">
        <v>965</v>
      </c>
      <c r="K212" s="4"/>
      <c r="L212" s="4"/>
      <c r="M212" s="4"/>
      <c r="N212" s="4"/>
      <c r="O212" s="4"/>
      <c r="P212" s="4"/>
      <c r="Q212" s="4"/>
      <c r="R212" s="4"/>
      <c r="S212" s="4"/>
      <c r="T212" s="4"/>
      <c r="U212" s="4"/>
      <c r="V212" s="4"/>
    </row>
    <row r="213" spans="1:22" x14ac:dyDescent="0.3">
      <c r="A213" s="4">
        <v>2502553</v>
      </c>
      <c r="B213" s="108" t="s">
        <v>1086</v>
      </c>
      <c r="C213" s="4" t="s">
        <v>1087</v>
      </c>
      <c r="D213" s="4" t="s">
        <v>1088</v>
      </c>
      <c r="E213" s="4" t="s">
        <v>1089</v>
      </c>
      <c r="F213" s="4" t="s">
        <v>1090</v>
      </c>
      <c r="G213" s="55">
        <v>42000</v>
      </c>
      <c r="H213" s="4" t="s">
        <v>71</v>
      </c>
      <c r="I213" s="4">
        <v>17.7</v>
      </c>
      <c r="J213" s="4" t="s">
        <v>965</v>
      </c>
      <c r="K213" s="4" t="s">
        <v>1902</v>
      </c>
      <c r="L213" s="4" t="s">
        <v>2069</v>
      </c>
      <c r="M213" s="93">
        <v>45750</v>
      </c>
      <c r="N213" s="4"/>
      <c r="O213" s="4"/>
      <c r="P213" s="4"/>
      <c r="Q213" s="4"/>
      <c r="R213" s="4"/>
      <c r="S213" s="4"/>
      <c r="T213" s="4"/>
      <c r="U213" s="4"/>
      <c r="V213" s="4"/>
    </row>
    <row r="214" spans="1:22" x14ac:dyDescent="0.3">
      <c r="A214" s="4">
        <v>2502552</v>
      </c>
      <c r="B214" s="108" t="s">
        <v>1091</v>
      </c>
      <c r="C214" s="4" t="s">
        <v>1092</v>
      </c>
      <c r="D214" s="4" t="s">
        <v>1093</v>
      </c>
      <c r="E214" s="4" t="s">
        <v>1094</v>
      </c>
      <c r="F214" s="4" t="s">
        <v>1095</v>
      </c>
      <c r="G214" s="55">
        <v>31000</v>
      </c>
      <c r="H214" s="4" t="s">
        <v>71</v>
      </c>
      <c r="I214" s="4">
        <v>11.8</v>
      </c>
      <c r="J214" s="4" t="s">
        <v>965</v>
      </c>
      <c r="K214" s="4" t="s">
        <v>1902</v>
      </c>
      <c r="L214" s="4" t="s">
        <v>2070</v>
      </c>
      <c r="M214" s="93">
        <v>45750</v>
      </c>
      <c r="N214" s="4"/>
      <c r="O214" s="4"/>
      <c r="P214" s="4"/>
      <c r="Q214" s="4"/>
      <c r="R214" s="4"/>
      <c r="S214" s="4"/>
      <c r="T214" s="4"/>
      <c r="U214" s="4"/>
      <c r="V214" s="4"/>
    </row>
    <row r="215" spans="1:22" x14ac:dyDescent="0.3">
      <c r="A215" s="4">
        <v>2412519</v>
      </c>
      <c r="B215" s="108" t="s">
        <v>1096</v>
      </c>
      <c r="C215" s="4" t="s">
        <v>1097</v>
      </c>
      <c r="D215" s="4" t="s">
        <v>1098</v>
      </c>
      <c r="E215" s="4" t="s">
        <v>1099</v>
      </c>
      <c r="F215" s="4" t="s">
        <v>1100</v>
      </c>
      <c r="G215" s="55">
        <v>21500</v>
      </c>
      <c r="H215" s="4" t="s">
        <v>71</v>
      </c>
      <c r="I215" s="4">
        <v>7.08</v>
      </c>
      <c r="J215" s="4" t="s">
        <v>965</v>
      </c>
      <c r="K215" s="4" t="s">
        <v>1902</v>
      </c>
      <c r="L215" s="4" t="s">
        <v>2071</v>
      </c>
      <c r="M215" s="93">
        <v>45806</v>
      </c>
      <c r="N215" s="4"/>
      <c r="O215" s="4"/>
      <c r="P215" s="4"/>
      <c r="Q215" s="4"/>
      <c r="R215" s="4"/>
      <c r="S215" s="4"/>
      <c r="T215" s="4"/>
      <c r="U215" s="4"/>
      <c r="V215" s="4"/>
    </row>
    <row r="216" spans="1:22" x14ac:dyDescent="0.3">
      <c r="A216" s="4">
        <v>2502547</v>
      </c>
      <c r="B216" s="108" t="s">
        <v>1101</v>
      </c>
      <c r="C216" s="4" t="s">
        <v>1102</v>
      </c>
      <c r="D216" s="4" t="s">
        <v>1103</v>
      </c>
      <c r="E216" s="4" t="s">
        <v>1104</v>
      </c>
      <c r="F216" s="4" t="s">
        <v>1105</v>
      </c>
      <c r="G216" s="55">
        <v>32840</v>
      </c>
      <c r="H216" s="4" t="s">
        <v>71</v>
      </c>
      <c r="I216" s="4">
        <v>11.8</v>
      </c>
      <c r="J216" s="4" t="s">
        <v>965</v>
      </c>
      <c r="K216" s="4" t="s">
        <v>1902</v>
      </c>
      <c r="L216" s="4" t="s">
        <v>2072</v>
      </c>
      <c r="M216" s="93">
        <v>45750</v>
      </c>
      <c r="N216" s="4"/>
      <c r="O216" s="4"/>
      <c r="P216" s="4"/>
      <c r="Q216" s="4"/>
      <c r="R216" s="4"/>
      <c r="S216" s="4"/>
      <c r="T216" s="4"/>
      <c r="U216" s="4"/>
      <c r="V216" s="4"/>
    </row>
    <row r="217" spans="1:22" x14ac:dyDescent="0.3">
      <c r="A217" s="4">
        <v>2502541</v>
      </c>
      <c r="B217" s="108" t="s">
        <v>1106</v>
      </c>
      <c r="C217" s="4" t="s">
        <v>1107</v>
      </c>
      <c r="D217" s="4" t="s">
        <v>1108</v>
      </c>
      <c r="E217" s="4" t="s">
        <v>1109</v>
      </c>
      <c r="F217" s="4" t="s">
        <v>1110</v>
      </c>
      <c r="G217" s="55">
        <v>21500</v>
      </c>
      <c r="H217" s="4" t="s">
        <v>71</v>
      </c>
      <c r="I217" s="4">
        <v>7.08</v>
      </c>
      <c r="J217" s="4" t="s">
        <v>965</v>
      </c>
      <c r="K217" s="4"/>
      <c r="L217" s="4"/>
      <c r="M217" s="4"/>
      <c r="N217" s="4"/>
      <c r="O217" s="4"/>
      <c r="P217" s="4"/>
      <c r="Q217" s="4"/>
      <c r="R217" s="4"/>
      <c r="S217" s="4"/>
      <c r="T217" s="4"/>
      <c r="U217" s="4"/>
      <c r="V217" s="4"/>
    </row>
    <row r="218" spans="1:22" x14ac:dyDescent="0.3">
      <c r="A218" s="4">
        <v>2502556</v>
      </c>
      <c r="B218" s="108" t="s">
        <v>1111</v>
      </c>
      <c r="C218" s="4" t="s">
        <v>1112</v>
      </c>
      <c r="D218" s="4" t="s">
        <v>1113</v>
      </c>
      <c r="E218" s="4" t="s">
        <v>1114</v>
      </c>
      <c r="F218" s="4" t="s">
        <v>1115</v>
      </c>
      <c r="G218" s="55">
        <v>22500</v>
      </c>
      <c r="H218" s="4" t="s">
        <v>71</v>
      </c>
      <c r="I218" s="4">
        <v>7.08</v>
      </c>
      <c r="J218" s="4" t="s">
        <v>965</v>
      </c>
      <c r="K218" s="4" t="s">
        <v>1902</v>
      </c>
      <c r="L218" s="4" t="s">
        <v>2073</v>
      </c>
      <c r="M218" s="93">
        <v>45750</v>
      </c>
      <c r="N218" s="4"/>
      <c r="O218" s="4"/>
      <c r="P218" s="4"/>
      <c r="Q218" s="4"/>
      <c r="R218" s="4"/>
      <c r="S218" s="4"/>
      <c r="T218" s="4"/>
      <c r="U218" s="4"/>
      <c r="V218" s="4"/>
    </row>
    <row r="219" spans="1:22" x14ac:dyDescent="0.3">
      <c r="A219" s="4">
        <v>2502551</v>
      </c>
      <c r="B219" s="108" t="s">
        <v>1116</v>
      </c>
      <c r="C219" s="4" t="s">
        <v>1117</v>
      </c>
      <c r="D219" s="4" t="s">
        <v>1118</v>
      </c>
      <c r="E219" s="4" t="s">
        <v>1119</v>
      </c>
      <c r="F219" s="4" t="s">
        <v>1120</v>
      </c>
      <c r="G219" s="55">
        <v>35000</v>
      </c>
      <c r="H219" s="4" t="s">
        <v>71</v>
      </c>
      <c r="I219" s="4">
        <v>14.16</v>
      </c>
      <c r="J219" s="4" t="s">
        <v>965</v>
      </c>
      <c r="K219" s="4" t="s">
        <v>1902</v>
      </c>
      <c r="L219" s="4" t="s">
        <v>2074</v>
      </c>
      <c r="M219" s="93">
        <v>45806</v>
      </c>
      <c r="N219" s="4"/>
      <c r="O219" s="4"/>
      <c r="P219" s="4"/>
      <c r="Q219" s="4"/>
      <c r="R219" s="4"/>
      <c r="S219" s="4"/>
      <c r="T219" s="4"/>
      <c r="U219" s="4"/>
      <c r="V219" s="4"/>
    </row>
    <row r="220" spans="1:22" x14ac:dyDescent="0.3">
      <c r="A220" s="4">
        <v>2502546</v>
      </c>
      <c r="B220" s="108" t="s">
        <v>1121</v>
      </c>
      <c r="C220" s="4" t="s">
        <v>1122</v>
      </c>
      <c r="D220" s="4" t="s">
        <v>1123</v>
      </c>
      <c r="E220" s="4" t="s">
        <v>1124</v>
      </c>
      <c r="F220" s="4" t="s">
        <v>1125</v>
      </c>
      <c r="G220" s="55">
        <v>22500</v>
      </c>
      <c r="H220" s="4" t="s">
        <v>71</v>
      </c>
      <c r="I220" s="4">
        <v>7.08</v>
      </c>
      <c r="J220" s="4" t="s">
        <v>965</v>
      </c>
      <c r="K220" s="4" t="s">
        <v>1902</v>
      </c>
      <c r="L220" s="4" t="s">
        <v>2075</v>
      </c>
      <c r="M220" s="93">
        <v>45806</v>
      </c>
      <c r="N220" s="4"/>
      <c r="O220" s="4"/>
      <c r="P220" s="4"/>
      <c r="Q220" s="4"/>
      <c r="R220" s="4"/>
      <c r="S220" s="4"/>
      <c r="T220" s="4"/>
      <c r="U220" s="4"/>
      <c r="V220" s="4"/>
    </row>
    <row r="221" spans="1:22" x14ac:dyDescent="0.3">
      <c r="A221" s="4">
        <v>2502559</v>
      </c>
      <c r="B221" s="108" t="s">
        <v>1126</v>
      </c>
      <c r="C221" s="4" t="s">
        <v>1127</v>
      </c>
      <c r="D221" s="4" t="s">
        <v>1128</v>
      </c>
      <c r="E221" s="4" t="s">
        <v>1129</v>
      </c>
      <c r="F221" s="4" t="s">
        <v>1130</v>
      </c>
      <c r="G221" s="55">
        <v>28000</v>
      </c>
      <c r="H221" s="4" t="s">
        <v>71</v>
      </c>
      <c r="I221" s="4">
        <v>9.44</v>
      </c>
      <c r="J221" s="4" t="s">
        <v>965</v>
      </c>
      <c r="K221" s="4" t="s">
        <v>1902</v>
      </c>
      <c r="L221" s="4" t="s">
        <v>2076</v>
      </c>
      <c r="M221" s="93">
        <v>45750</v>
      </c>
      <c r="N221" s="4"/>
      <c r="O221" s="4"/>
      <c r="P221" s="4"/>
      <c r="Q221" s="4"/>
      <c r="R221" s="4"/>
      <c r="S221" s="4"/>
      <c r="T221" s="4"/>
      <c r="U221" s="4"/>
      <c r="V221" s="4"/>
    </row>
    <row r="222" spans="1:22" x14ac:dyDescent="0.3">
      <c r="A222" s="4">
        <v>2501537</v>
      </c>
      <c r="B222" s="108" t="s">
        <v>1131</v>
      </c>
      <c r="C222" s="4" t="s">
        <v>1132</v>
      </c>
      <c r="D222" s="4" t="s">
        <v>1133</v>
      </c>
      <c r="E222" s="4" t="s">
        <v>1134</v>
      </c>
      <c r="F222" s="4" t="s">
        <v>1135</v>
      </c>
      <c r="G222" s="55">
        <v>33800</v>
      </c>
      <c r="H222" s="4" t="s">
        <v>71</v>
      </c>
      <c r="I222" s="4">
        <v>12.39</v>
      </c>
      <c r="J222" s="4" t="s">
        <v>965</v>
      </c>
      <c r="K222" s="4" t="s">
        <v>1902</v>
      </c>
      <c r="L222" s="4" t="s">
        <v>2077</v>
      </c>
      <c r="M222" s="93">
        <v>45750</v>
      </c>
      <c r="N222" s="4"/>
      <c r="O222" s="4"/>
      <c r="P222" s="4"/>
      <c r="Q222" s="4"/>
      <c r="R222" s="4"/>
      <c r="S222" s="4"/>
      <c r="T222" s="4"/>
      <c r="U222" s="4"/>
      <c r="V222" s="4"/>
    </row>
    <row r="223" spans="1:22" x14ac:dyDescent="0.3">
      <c r="A223" s="4">
        <v>2502550</v>
      </c>
      <c r="B223" s="114" t="s">
        <v>1136</v>
      </c>
      <c r="C223" s="4" t="s">
        <v>1137</v>
      </c>
      <c r="D223" s="4" t="s">
        <v>1138</v>
      </c>
      <c r="E223" s="4" t="s">
        <v>1139</v>
      </c>
      <c r="F223" s="4" t="s">
        <v>1140</v>
      </c>
      <c r="G223" s="55">
        <v>37500</v>
      </c>
      <c r="H223" s="4" t="s">
        <v>71</v>
      </c>
      <c r="I223" s="4">
        <v>14.75</v>
      </c>
      <c r="J223" s="4" t="s">
        <v>80</v>
      </c>
      <c r="K223" s="4"/>
      <c r="L223" s="4"/>
      <c r="M223" s="4"/>
      <c r="N223" s="4"/>
      <c r="O223" s="4"/>
      <c r="P223" s="4"/>
      <c r="Q223" s="4"/>
      <c r="R223" s="4"/>
      <c r="S223" s="4"/>
      <c r="T223" s="4"/>
      <c r="U223" s="4"/>
      <c r="V223" s="4"/>
    </row>
    <row r="224" spans="1:22" x14ac:dyDescent="0.3">
      <c r="A224" s="4">
        <v>2502543</v>
      </c>
      <c r="B224" s="108" t="s">
        <v>1141</v>
      </c>
      <c r="C224" s="4" t="s">
        <v>1142</v>
      </c>
      <c r="D224" s="4" t="s">
        <v>1143</v>
      </c>
      <c r="E224" s="4" t="s">
        <v>1144</v>
      </c>
      <c r="F224" s="4" t="s">
        <v>1145</v>
      </c>
      <c r="G224" s="55">
        <v>22000</v>
      </c>
      <c r="H224" s="4" t="s">
        <v>71</v>
      </c>
      <c r="I224" s="4">
        <v>7.08</v>
      </c>
      <c r="J224" s="4" t="s">
        <v>109</v>
      </c>
      <c r="K224" s="265" t="s">
        <v>109</v>
      </c>
      <c r="L224" s="266" t="s">
        <v>109</v>
      </c>
      <c r="M224" s="267"/>
      <c r="N224" s="265" t="s">
        <v>109</v>
      </c>
      <c r="O224" s="266"/>
      <c r="P224" s="267"/>
      <c r="Q224" s="265" t="s">
        <v>109</v>
      </c>
      <c r="R224" s="266"/>
      <c r="S224" s="267"/>
      <c r="T224" s="265" t="s">
        <v>109</v>
      </c>
      <c r="U224" s="266"/>
      <c r="V224" s="267"/>
    </row>
    <row r="225" spans="1:22" x14ac:dyDescent="0.3">
      <c r="A225" s="4">
        <v>2502560</v>
      </c>
      <c r="B225" s="108" t="s">
        <v>1146</v>
      </c>
      <c r="C225" s="4" t="s">
        <v>1147</v>
      </c>
      <c r="D225" s="4" t="s">
        <v>1148</v>
      </c>
      <c r="E225" s="4" t="s">
        <v>1149</v>
      </c>
      <c r="F225" s="4" t="s">
        <v>1150</v>
      </c>
      <c r="G225" s="55">
        <v>35000</v>
      </c>
      <c r="H225" s="4" t="s">
        <v>71</v>
      </c>
      <c r="I225" s="4">
        <v>14.16</v>
      </c>
      <c r="J225" s="4" t="s">
        <v>965</v>
      </c>
      <c r="K225" s="4" t="s">
        <v>1902</v>
      </c>
      <c r="L225" s="4" t="s">
        <v>2078</v>
      </c>
      <c r="M225" s="93">
        <v>45806</v>
      </c>
      <c r="N225" s="4"/>
      <c r="O225" s="4"/>
      <c r="P225" s="4"/>
      <c r="Q225" s="4"/>
      <c r="R225" s="4"/>
      <c r="S225" s="4"/>
      <c r="T225" s="4"/>
      <c r="U225" s="4"/>
      <c r="V225" s="4"/>
    </row>
    <row r="226" spans="1:22" x14ac:dyDescent="0.3">
      <c r="A226" s="4" t="s">
        <v>1151</v>
      </c>
      <c r="B226" s="108" t="s">
        <v>1152</v>
      </c>
      <c r="C226" s="4" t="s">
        <v>1153</v>
      </c>
      <c r="D226" s="4" t="s">
        <v>1154</v>
      </c>
      <c r="E226" s="4" t="s">
        <v>1155</v>
      </c>
      <c r="F226" s="4" t="s">
        <v>1156</v>
      </c>
      <c r="G226" s="55">
        <v>43000</v>
      </c>
      <c r="H226" s="4" t="s">
        <v>71</v>
      </c>
      <c r="I226" s="4">
        <v>17.7</v>
      </c>
      <c r="J226" s="4" t="s">
        <v>965</v>
      </c>
      <c r="K226" s="4" t="s">
        <v>1902</v>
      </c>
      <c r="L226" s="4" t="s">
        <v>2079</v>
      </c>
      <c r="M226" s="93">
        <v>45806</v>
      </c>
      <c r="N226" s="4"/>
      <c r="O226" s="4"/>
      <c r="P226" s="4"/>
      <c r="Q226" s="4"/>
      <c r="R226" s="4"/>
      <c r="S226" s="4"/>
      <c r="T226" s="4"/>
      <c r="U226" s="4"/>
      <c r="V226" s="4"/>
    </row>
    <row r="227" spans="1:22" x14ac:dyDescent="0.3">
      <c r="A227" s="4">
        <v>2502569</v>
      </c>
      <c r="B227" s="108" t="s">
        <v>1157</v>
      </c>
      <c r="C227" s="4" t="s">
        <v>1158</v>
      </c>
      <c r="D227" s="4" t="s">
        <v>1159</v>
      </c>
      <c r="E227" s="4" t="s">
        <v>1160</v>
      </c>
      <c r="F227" s="4" t="s">
        <v>1161</v>
      </c>
      <c r="G227" s="55">
        <v>29228</v>
      </c>
      <c r="H227" s="4" t="s">
        <v>71</v>
      </c>
      <c r="I227" s="4">
        <v>8.85</v>
      </c>
      <c r="J227" s="4" t="s">
        <v>965</v>
      </c>
      <c r="K227" s="4" t="s">
        <v>1902</v>
      </c>
      <c r="L227" s="4" t="s">
        <v>2080</v>
      </c>
      <c r="M227" s="93">
        <v>45806</v>
      </c>
      <c r="N227" s="4"/>
      <c r="O227" s="4"/>
      <c r="P227" s="4"/>
      <c r="Q227" s="4"/>
      <c r="R227" s="4"/>
      <c r="S227" s="4"/>
      <c r="T227" s="4"/>
      <c r="U227" s="4"/>
      <c r="V227" s="4"/>
    </row>
    <row r="228" spans="1:22" x14ac:dyDescent="0.3">
      <c r="A228" s="4">
        <v>2502565</v>
      </c>
      <c r="B228" s="114" t="s">
        <v>1162</v>
      </c>
      <c r="C228" s="4" t="s">
        <v>1163</v>
      </c>
      <c r="D228" s="4" t="s">
        <v>1164</v>
      </c>
      <c r="E228" s="4" t="s">
        <v>1165</v>
      </c>
      <c r="F228" s="4" t="s">
        <v>1166</v>
      </c>
      <c r="G228" s="55">
        <v>21500</v>
      </c>
      <c r="H228" s="4" t="s">
        <v>71</v>
      </c>
      <c r="I228" s="4">
        <v>7.67</v>
      </c>
      <c r="J228" s="4" t="s">
        <v>965</v>
      </c>
      <c r="K228" s="4"/>
      <c r="L228" s="4"/>
      <c r="M228" s="4"/>
      <c r="N228" s="4"/>
      <c r="O228" s="4"/>
      <c r="P228" s="4"/>
      <c r="Q228" s="4"/>
      <c r="R228" s="4"/>
      <c r="S228" s="4"/>
      <c r="T228" s="4"/>
      <c r="U228" s="4"/>
      <c r="V228" s="4"/>
    </row>
    <row r="229" spans="1:22" x14ac:dyDescent="0.3">
      <c r="A229" s="4">
        <v>2502549</v>
      </c>
      <c r="B229" s="114" t="s">
        <v>1167</v>
      </c>
      <c r="C229" s="4" t="s">
        <v>1168</v>
      </c>
      <c r="D229" s="4" t="s">
        <v>1169</v>
      </c>
      <c r="E229" s="4" t="s">
        <v>1170</v>
      </c>
      <c r="F229" s="4" t="s">
        <v>1171</v>
      </c>
      <c r="G229" s="55">
        <v>35000</v>
      </c>
      <c r="H229" s="4" t="s">
        <v>71</v>
      </c>
      <c r="I229" s="4">
        <v>14.16</v>
      </c>
      <c r="J229" s="4" t="s">
        <v>965</v>
      </c>
      <c r="K229" s="4"/>
      <c r="L229" s="4"/>
      <c r="M229" s="4"/>
      <c r="N229" s="4"/>
      <c r="O229" s="4"/>
      <c r="P229" s="4"/>
      <c r="Q229" s="4"/>
      <c r="R229" s="4"/>
      <c r="S229" s="4"/>
      <c r="T229" s="4"/>
      <c r="U229" s="4"/>
      <c r="V229" s="4"/>
    </row>
    <row r="230" spans="1:22" x14ac:dyDescent="0.3">
      <c r="A230" s="4">
        <v>2405286</v>
      </c>
      <c r="B230" s="108" t="s">
        <v>1172</v>
      </c>
      <c r="C230" s="4" t="s">
        <v>1173</v>
      </c>
      <c r="D230" s="4" t="s">
        <v>1174</v>
      </c>
      <c r="E230" s="4" t="s">
        <v>1175</v>
      </c>
      <c r="F230" s="4" t="s">
        <v>1176</v>
      </c>
      <c r="G230" s="55">
        <v>41000</v>
      </c>
      <c r="H230" s="4" t="s">
        <v>71</v>
      </c>
      <c r="I230" s="4">
        <v>17.7</v>
      </c>
      <c r="J230" s="4" t="s">
        <v>965</v>
      </c>
      <c r="K230" s="4" t="s">
        <v>1902</v>
      </c>
      <c r="L230" s="4" t="s">
        <v>2081</v>
      </c>
      <c r="M230" s="93">
        <v>45806</v>
      </c>
      <c r="N230" s="4"/>
      <c r="O230" s="4"/>
      <c r="P230" s="4"/>
      <c r="Q230" s="4"/>
      <c r="R230" s="4"/>
      <c r="S230" s="4"/>
      <c r="T230" s="4"/>
      <c r="U230" s="4"/>
      <c r="V230" s="4"/>
    </row>
    <row r="231" spans="1:22" x14ac:dyDescent="0.3">
      <c r="A231" s="4">
        <v>2501527</v>
      </c>
      <c r="B231" s="108" t="s">
        <v>1177</v>
      </c>
      <c r="C231" s="4" t="s">
        <v>1178</v>
      </c>
      <c r="D231" s="4" t="s">
        <v>1179</v>
      </c>
      <c r="E231" s="4" t="s">
        <v>1180</v>
      </c>
      <c r="F231" s="4" t="s">
        <v>1181</v>
      </c>
      <c r="G231" s="55">
        <v>31000</v>
      </c>
      <c r="H231" s="4" t="s">
        <v>71</v>
      </c>
      <c r="I231" s="4">
        <v>11.8</v>
      </c>
      <c r="J231" s="4" t="s">
        <v>965</v>
      </c>
      <c r="K231" s="4" t="s">
        <v>1902</v>
      </c>
      <c r="L231" s="4" t="s">
        <v>2082</v>
      </c>
      <c r="M231" s="93">
        <v>45806</v>
      </c>
      <c r="N231" s="4"/>
      <c r="O231" s="4"/>
      <c r="P231" s="4"/>
      <c r="Q231" s="4"/>
      <c r="R231" s="4"/>
      <c r="S231" s="4"/>
      <c r="T231" s="4"/>
      <c r="U231" s="4"/>
      <c r="V231" s="4"/>
    </row>
    <row r="232" spans="1:22" x14ac:dyDescent="0.3">
      <c r="A232" s="4">
        <v>2501529</v>
      </c>
      <c r="B232" s="108" t="s">
        <v>1182</v>
      </c>
      <c r="C232" s="4" t="s">
        <v>1183</v>
      </c>
      <c r="D232" s="4" t="s">
        <v>1184</v>
      </c>
      <c r="E232" s="4" t="s">
        <v>1180</v>
      </c>
      <c r="F232" s="4" t="s">
        <v>1181</v>
      </c>
      <c r="G232" s="55">
        <v>29000</v>
      </c>
      <c r="H232" s="4" t="s">
        <v>71</v>
      </c>
      <c r="I232" s="4">
        <v>10.62</v>
      </c>
      <c r="J232" s="4" t="s">
        <v>965</v>
      </c>
      <c r="K232" s="4" t="s">
        <v>1902</v>
      </c>
      <c r="L232" s="4" t="s">
        <v>2083</v>
      </c>
      <c r="M232" s="93">
        <v>45806</v>
      </c>
      <c r="N232" s="4"/>
      <c r="O232" s="4"/>
      <c r="P232" s="4"/>
      <c r="Q232" s="4"/>
      <c r="R232" s="4"/>
      <c r="S232" s="4"/>
      <c r="T232" s="4"/>
      <c r="U232" s="4"/>
      <c r="V232" s="4"/>
    </row>
    <row r="233" spans="1:22" x14ac:dyDescent="0.3">
      <c r="A233" s="4">
        <v>2502581</v>
      </c>
      <c r="B233" s="108" t="s">
        <v>1185</v>
      </c>
      <c r="C233" s="4" t="s">
        <v>1186</v>
      </c>
      <c r="D233" s="4" t="s">
        <v>1187</v>
      </c>
      <c r="E233" s="4" t="s">
        <v>1188</v>
      </c>
      <c r="F233" s="4" t="s">
        <v>1189</v>
      </c>
      <c r="G233" s="55">
        <v>22340</v>
      </c>
      <c r="H233" s="4" t="s">
        <v>71</v>
      </c>
      <c r="I233" s="4">
        <v>7.08</v>
      </c>
      <c r="J233" s="4" t="s">
        <v>965</v>
      </c>
      <c r="K233" s="4" t="s">
        <v>1902</v>
      </c>
      <c r="L233" s="4" t="s">
        <v>2084</v>
      </c>
      <c r="M233" s="93">
        <v>45806</v>
      </c>
      <c r="N233" s="4"/>
      <c r="O233" s="4"/>
      <c r="P233" s="4"/>
      <c r="Q233" s="4"/>
      <c r="R233" s="4"/>
      <c r="S233" s="4"/>
      <c r="T233" s="4"/>
      <c r="U233" s="4"/>
      <c r="V233" s="4"/>
    </row>
    <row r="234" spans="1:22" x14ac:dyDescent="0.3">
      <c r="A234" s="4">
        <v>2501540</v>
      </c>
      <c r="B234" s="108" t="s">
        <v>1190</v>
      </c>
      <c r="C234" s="4" t="s">
        <v>1192</v>
      </c>
      <c r="D234" s="4" t="s">
        <v>1193</v>
      </c>
      <c r="E234" s="4" t="s">
        <v>1194</v>
      </c>
      <c r="F234" s="4" t="s">
        <v>1195</v>
      </c>
      <c r="G234" s="55">
        <v>23429</v>
      </c>
      <c r="H234" s="4" t="s">
        <v>71</v>
      </c>
      <c r="I234" s="4">
        <v>7.08</v>
      </c>
      <c r="J234" s="4" t="s">
        <v>965</v>
      </c>
      <c r="K234" s="4" t="s">
        <v>1902</v>
      </c>
      <c r="L234" s="4" t="s">
        <v>2085</v>
      </c>
      <c r="M234" s="93">
        <v>45806</v>
      </c>
      <c r="N234" s="4"/>
      <c r="O234" s="4"/>
      <c r="P234" s="4"/>
      <c r="Q234" s="4"/>
      <c r="R234" s="4"/>
      <c r="S234" s="4"/>
      <c r="T234" s="4"/>
      <c r="U234" s="4"/>
      <c r="V234" s="4"/>
    </row>
    <row r="235" spans="1:22" x14ac:dyDescent="0.3">
      <c r="A235" s="4">
        <v>2502571</v>
      </c>
      <c r="B235" s="108" t="s">
        <v>1196</v>
      </c>
      <c r="C235" s="4" t="s">
        <v>1197</v>
      </c>
      <c r="D235" s="4" t="s">
        <v>1198</v>
      </c>
      <c r="E235" s="4" t="s">
        <v>1199</v>
      </c>
      <c r="F235" s="4" t="s">
        <v>1200</v>
      </c>
      <c r="G235" s="55">
        <v>32840</v>
      </c>
      <c r="H235" s="4" t="s">
        <v>71</v>
      </c>
      <c r="I235" s="4">
        <v>11.8</v>
      </c>
      <c r="J235" s="4" t="s">
        <v>965</v>
      </c>
      <c r="K235" s="4" t="s">
        <v>1902</v>
      </c>
      <c r="L235" s="4" t="s">
        <v>2086</v>
      </c>
      <c r="M235" s="93">
        <v>45750</v>
      </c>
      <c r="N235" s="4"/>
      <c r="O235" s="4"/>
      <c r="P235" s="4"/>
      <c r="Q235" s="4"/>
      <c r="R235" s="4"/>
      <c r="S235" s="4"/>
      <c r="T235" s="4"/>
      <c r="U235" s="4"/>
      <c r="V235" s="4"/>
    </row>
    <row r="236" spans="1:22" x14ac:dyDescent="0.3">
      <c r="A236" s="4">
        <v>2502568</v>
      </c>
      <c r="B236" s="114" t="s">
        <v>1201</v>
      </c>
      <c r="C236" s="4" t="s">
        <v>1203</v>
      </c>
      <c r="D236" s="4" t="s">
        <v>1204</v>
      </c>
      <c r="E236" s="4" t="s">
        <v>1205</v>
      </c>
      <c r="F236" s="4" t="s">
        <v>1206</v>
      </c>
      <c r="G236" s="55">
        <v>25280</v>
      </c>
      <c r="H236" s="4" t="s">
        <v>71</v>
      </c>
      <c r="I236" s="4">
        <v>7.08</v>
      </c>
      <c r="J236" s="4" t="s">
        <v>965</v>
      </c>
      <c r="K236" s="4"/>
      <c r="L236" s="4"/>
      <c r="M236" s="4"/>
      <c r="N236" s="4"/>
      <c r="O236" s="4"/>
      <c r="P236" s="4"/>
      <c r="Q236" s="4"/>
      <c r="R236" s="4"/>
      <c r="S236" s="4"/>
      <c r="T236" s="4"/>
      <c r="U236" s="4"/>
      <c r="V236" s="4"/>
    </row>
    <row r="237" spans="1:22" x14ac:dyDescent="0.3">
      <c r="A237" s="4">
        <v>2404258</v>
      </c>
      <c r="B237" s="108" t="s">
        <v>1208</v>
      </c>
      <c r="C237" s="4" t="s">
        <v>1209</v>
      </c>
      <c r="D237" s="4" t="s">
        <v>1210</v>
      </c>
      <c r="E237" s="4" t="s">
        <v>1211</v>
      </c>
      <c r="F237" s="4" t="s">
        <v>1212</v>
      </c>
      <c r="G237" s="55">
        <v>27000</v>
      </c>
      <c r="H237" s="4" t="s">
        <v>71</v>
      </c>
      <c r="I237" s="4">
        <v>9.44</v>
      </c>
      <c r="J237" s="4" t="s">
        <v>965</v>
      </c>
      <c r="K237" s="4" t="s">
        <v>1902</v>
      </c>
      <c r="L237" s="4" t="s">
        <v>2087</v>
      </c>
      <c r="M237" s="93">
        <v>45806</v>
      </c>
      <c r="N237" s="4"/>
      <c r="O237" s="4"/>
      <c r="P237" s="4"/>
      <c r="Q237" s="4"/>
      <c r="R237" s="4"/>
      <c r="S237" s="4"/>
      <c r="T237" s="4"/>
      <c r="U237" s="4"/>
      <c r="V237" s="4"/>
    </row>
    <row r="238" spans="1:22" x14ac:dyDescent="0.3">
      <c r="A238" s="4">
        <v>2503588</v>
      </c>
      <c r="B238" s="108" t="s">
        <v>1213</v>
      </c>
      <c r="C238" s="4" t="s">
        <v>1214</v>
      </c>
      <c r="D238" s="4" t="s">
        <v>1215</v>
      </c>
      <c r="E238" s="4" t="s">
        <v>1216</v>
      </c>
      <c r="F238" s="4" t="s">
        <v>1217</v>
      </c>
      <c r="G238" s="55">
        <v>22500</v>
      </c>
      <c r="H238" s="4" t="s">
        <v>71</v>
      </c>
      <c r="I238" s="4">
        <v>7.08</v>
      </c>
      <c r="J238" s="4" t="s">
        <v>965</v>
      </c>
      <c r="K238" s="4" t="s">
        <v>1902</v>
      </c>
      <c r="L238" s="4" t="s">
        <v>2088</v>
      </c>
      <c r="M238" s="93">
        <v>45806</v>
      </c>
      <c r="N238" s="4"/>
      <c r="O238" s="4"/>
      <c r="P238" s="4"/>
      <c r="Q238" s="4"/>
      <c r="R238" s="4"/>
      <c r="S238" s="4"/>
      <c r="T238" s="4"/>
      <c r="U238" s="4"/>
      <c r="V238" s="4"/>
    </row>
    <row r="239" spans="1:22" x14ac:dyDescent="0.3">
      <c r="A239" s="4">
        <v>2502561</v>
      </c>
      <c r="B239" s="108" t="s">
        <v>1218</v>
      </c>
      <c r="C239" s="4" t="s">
        <v>1219</v>
      </c>
      <c r="D239" s="4" t="s">
        <v>1220</v>
      </c>
      <c r="E239" s="4" t="s">
        <v>1221</v>
      </c>
      <c r="F239" s="4" t="s">
        <v>1222</v>
      </c>
      <c r="G239" s="55">
        <v>38000</v>
      </c>
      <c r="H239" s="4" t="s">
        <v>71</v>
      </c>
      <c r="I239" s="4">
        <v>15.93</v>
      </c>
      <c r="J239" s="4" t="s">
        <v>965</v>
      </c>
      <c r="K239" s="4" t="s">
        <v>1902</v>
      </c>
      <c r="L239" s="4" t="s">
        <v>2089</v>
      </c>
      <c r="M239" s="93">
        <v>45806</v>
      </c>
      <c r="N239" s="4"/>
      <c r="O239" s="4"/>
      <c r="P239" s="4"/>
      <c r="Q239" s="4"/>
      <c r="R239" s="4"/>
      <c r="S239" s="4"/>
      <c r="T239" s="4"/>
      <c r="U239" s="4"/>
      <c r="V239" s="4"/>
    </row>
    <row r="240" spans="1:22" x14ac:dyDescent="0.3">
      <c r="A240" s="4">
        <v>2503590</v>
      </c>
      <c r="B240" s="108" t="s">
        <v>1223</v>
      </c>
      <c r="C240" s="4" t="s">
        <v>1224</v>
      </c>
      <c r="D240" s="4" t="s">
        <v>1225</v>
      </c>
      <c r="E240" s="4" t="s">
        <v>1226</v>
      </c>
      <c r="F240" s="4" t="s">
        <v>1227</v>
      </c>
      <c r="G240" s="55">
        <v>39680</v>
      </c>
      <c r="H240" s="4" t="s">
        <v>71</v>
      </c>
      <c r="I240" s="4">
        <v>14.16</v>
      </c>
      <c r="J240" s="4" t="s">
        <v>965</v>
      </c>
      <c r="K240" s="4" t="s">
        <v>1902</v>
      </c>
      <c r="L240" s="4" t="s">
        <v>2090</v>
      </c>
      <c r="M240" s="93">
        <v>45806</v>
      </c>
      <c r="N240" s="4"/>
      <c r="O240" s="4"/>
      <c r="P240" s="4"/>
      <c r="Q240" s="4"/>
      <c r="R240" s="4"/>
      <c r="S240" s="4"/>
      <c r="T240" s="4"/>
      <c r="U240" s="4"/>
      <c r="V240" s="4"/>
    </row>
    <row r="241" spans="1:22" x14ac:dyDescent="0.3">
      <c r="A241" s="4">
        <v>2502570</v>
      </c>
      <c r="B241" s="114" t="s">
        <v>1228</v>
      </c>
      <c r="C241" s="4" t="s">
        <v>1229</v>
      </c>
      <c r="D241" s="4" t="s">
        <v>1230</v>
      </c>
      <c r="E241" s="4" t="s">
        <v>1231</v>
      </c>
      <c r="F241" s="4" t="s">
        <v>1232</v>
      </c>
      <c r="G241" s="55">
        <v>27000</v>
      </c>
      <c r="H241" s="4" t="s">
        <v>71</v>
      </c>
      <c r="I241" s="4">
        <v>9.44</v>
      </c>
      <c r="J241" s="4" t="s">
        <v>965</v>
      </c>
      <c r="K241" s="4"/>
      <c r="L241" s="4"/>
      <c r="M241" s="4"/>
      <c r="N241" s="4"/>
      <c r="O241" s="4"/>
      <c r="P241" s="4"/>
      <c r="Q241" s="4"/>
      <c r="R241" s="4"/>
      <c r="S241" s="4"/>
      <c r="T241" s="4"/>
      <c r="U241" s="4"/>
      <c r="V241" s="4"/>
    </row>
    <row r="242" spans="1:22" x14ac:dyDescent="0.3">
      <c r="A242" s="4">
        <v>2502573</v>
      </c>
      <c r="B242" s="108" t="s">
        <v>1233</v>
      </c>
      <c r="C242" s="4" t="s">
        <v>1234</v>
      </c>
      <c r="D242" s="4" t="s">
        <v>1235</v>
      </c>
      <c r="E242" s="4" t="s">
        <v>1236</v>
      </c>
      <c r="F242" s="4" t="s">
        <v>1237</v>
      </c>
      <c r="G242" s="55">
        <v>26000</v>
      </c>
      <c r="H242" s="4" t="s">
        <v>71</v>
      </c>
      <c r="I242" s="4">
        <v>6.49</v>
      </c>
      <c r="J242" s="4" t="s">
        <v>965</v>
      </c>
      <c r="K242" s="4" t="s">
        <v>1902</v>
      </c>
      <c r="L242" s="4" t="s">
        <v>2091</v>
      </c>
      <c r="M242" s="93">
        <v>45806</v>
      </c>
      <c r="N242" s="4"/>
      <c r="O242" s="4"/>
      <c r="P242" s="4"/>
      <c r="Q242" s="4"/>
      <c r="R242" s="4"/>
      <c r="S242" s="4"/>
      <c r="T242" s="4"/>
      <c r="U242" s="4"/>
      <c r="V242" s="4"/>
    </row>
    <row r="243" spans="1:22" x14ac:dyDescent="0.3">
      <c r="A243" s="4">
        <v>2503593</v>
      </c>
      <c r="B243" s="108" t="s">
        <v>1238</v>
      </c>
      <c r="C243" s="4" t="s">
        <v>1239</v>
      </c>
      <c r="D243" s="4" t="s">
        <v>1240</v>
      </c>
      <c r="E243" s="4" t="s">
        <v>1241</v>
      </c>
      <c r="F243" s="4" t="s">
        <v>1242</v>
      </c>
      <c r="G243" s="55">
        <v>24548</v>
      </c>
      <c r="H243" s="4" t="s">
        <v>71</v>
      </c>
      <c r="I243" s="4">
        <v>7.08</v>
      </c>
      <c r="J243" s="4" t="s">
        <v>965</v>
      </c>
      <c r="K243" s="4" t="s">
        <v>1902</v>
      </c>
      <c r="L243" s="4" t="s">
        <v>2092</v>
      </c>
      <c r="M243" s="93">
        <v>45806</v>
      </c>
      <c r="N243" s="4"/>
      <c r="O243" s="4"/>
      <c r="P243" s="4"/>
      <c r="Q243" s="4"/>
      <c r="R243" s="4"/>
      <c r="S243" s="4"/>
      <c r="T243" s="4"/>
      <c r="U243" s="4"/>
      <c r="V243" s="4"/>
    </row>
    <row r="244" spans="1:22" x14ac:dyDescent="0.3">
      <c r="A244" s="4">
        <v>2501211</v>
      </c>
      <c r="B244" s="108" t="s">
        <v>1243</v>
      </c>
      <c r="C244" s="4">
        <v>0</v>
      </c>
      <c r="D244" s="4" t="s">
        <v>1244</v>
      </c>
      <c r="E244" s="4">
        <v>0</v>
      </c>
      <c r="F244" s="4">
        <v>0</v>
      </c>
      <c r="G244" s="55">
        <v>54000</v>
      </c>
      <c r="H244" s="4" t="s">
        <v>124</v>
      </c>
      <c r="I244" s="4">
        <v>26.55</v>
      </c>
      <c r="J244" s="4" t="s">
        <v>965</v>
      </c>
      <c r="K244" s="4"/>
      <c r="L244" s="4"/>
      <c r="M244" s="4"/>
      <c r="N244" s="4"/>
      <c r="O244" s="4"/>
      <c r="P244" s="4"/>
      <c r="Q244" s="4"/>
      <c r="R244" s="4"/>
      <c r="S244" s="4"/>
      <c r="T244" s="4"/>
      <c r="U244" s="4"/>
      <c r="V244" s="4"/>
    </row>
    <row r="245" spans="1:22" x14ac:dyDescent="0.3">
      <c r="A245" s="4">
        <v>2502589</v>
      </c>
      <c r="B245" s="108" t="s">
        <v>1246</v>
      </c>
      <c r="C245" s="4" t="s">
        <v>1247</v>
      </c>
      <c r="D245" s="4" t="s">
        <v>1248</v>
      </c>
      <c r="E245" s="4" t="s">
        <v>1249</v>
      </c>
      <c r="F245" s="4" t="s">
        <v>1250</v>
      </c>
      <c r="G245" s="55">
        <v>26000</v>
      </c>
      <c r="H245" s="4" t="s">
        <v>71</v>
      </c>
      <c r="I245" s="4">
        <v>8.85</v>
      </c>
      <c r="J245" s="4" t="s">
        <v>965</v>
      </c>
      <c r="K245" s="4" t="s">
        <v>1902</v>
      </c>
      <c r="L245" s="4" t="s">
        <v>2093</v>
      </c>
      <c r="M245" s="93">
        <v>45750</v>
      </c>
      <c r="N245" s="4"/>
      <c r="O245" s="4"/>
      <c r="P245" s="4"/>
      <c r="Q245" s="4"/>
      <c r="R245" s="4"/>
      <c r="S245" s="4"/>
      <c r="T245" s="4"/>
      <c r="U245" s="4"/>
      <c r="V245" s="4"/>
    </row>
    <row r="246" spans="1:22" x14ac:dyDescent="0.3">
      <c r="A246" s="4">
        <v>2403090</v>
      </c>
      <c r="B246" s="108" t="s">
        <v>1251</v>
      </c>
      <c r="C246" s="4">
        <v>0</v>
      </c>
      <c r="D246" s="4">
        <v>0</v>
      </c>
      <c r="E246" s="4">
        <v>0</v>
      </c>
      <c r="F246" s="4">
        <v>0</v>
      </c>
      <c r="G246" s="55">
        <v>898000</v>
      </c>
      <c r="H246" s="4" t="s">
        <v>124</v>
      </c>
      <c r="I246" s="4">
        <v>476.13</v>
      </c>
      <c r="J246" s="4" t="s">
        <v>965</v>
      </c>
      <c r="K246" s="4"/>
      <c r="L246" s="4"/>
      <c r="M246" s="4"/>
      <c r="N246" s="4"/>
      <c r="O246" s="4"/>
      <c r="P246" s="4"/>
      <c r="Q246" s="4"/>
      <c r="R246" s="4"/>
      <c r="S246" s="4"/>
      <c r="T246" s="4"/>
      <c r="U246" s="4"/>
      <c r="V246" s="4"/>
    </row>
    <row r="247" spans="1:22" x14ac:dyDescent="0.3">
      <c r="A247" s="4">
        <v>2502557</v>
      </c>
      <c r="B247" s="108" t="s">
        <v>1252</v>
      </c>
      <c r="C247" s="4" t="s">
        <v>1253</v>
      </c>
      <c r="D247" s="4" t="s">
        <v>1254</v>
      </c>
      <c r="E247" s="4" t="s">
        <v>1255</v>
      </c>
      <c r="F247" s="4" t="s">
        <v>1256</v>
      </c>
      <c r="G247" s="55">
        <v>28000</v>
      </c>
      <c r="H247" s="4" t="s">
        <v>71</v>
      </c>
      <c r="I247" s="4">
        <v>9.44</v>
      </c>
      <c r="J247" s="4" t="s">
        <v>965</v>
      </c>
      <c r="K247" s="4" t="s">
        <v>1902</v>
      </c>
      <c r="L247" s="4" t="s">
        <v>2094</v>
      </c>
      <c r="M247" s="93">
        <v>45806</v>
      </c>
      <c r="N247" s="4"/>
      <c r="O247" s="4"/>
      <c r="P247" s="4"/>
      <c r="Q247" s="4"/>
      <c r="R247" s="4"/>
      <c r="S247" s="4"/>
      <c r="T247" s="4"/>
      <c r="U247" s="4"/>
      <c r="V247" s="4"/>
    </row>
    <row r="248" spans="1:22" x14ac:dyDescent="0.3">
      <c r="A248" s="4">
        <v>2503594</v>
      </c>
      <c r="B248" s="108" t="s">
        <v>1257</v>
      </c>
      <c r="C248" s="4" t="s">
        <v>1258</v>
      </c>
      <c r="D248" s="4" t="s">
        <v>1259</v>
      </c>
      <c r="E248" s="4" t="s">
        <v>1260</v>
      </c>
      <c r="F248" s="4" t="s">
        <v>1261</v>
      </c>
      <c r="G248" s="55">
        <v>22500</v>
      </c>
      <c r="H248" s="4" t="s">
        <v>71</v>
      </c>
      <c r="I248" s="4">
        <v>7.08</v>
      </c>
      <c r="J248" s="4" t="s">
        <v>965</v>
      </c>
      <c r="K248" s="4" t="s">
        <v>1902</v>
      </c>
      <c r="L248" s="4" t="s">
        <v>2095</v>
      </c>
      <c r="M248" s="93">
        <v>45806</v>
      </c>
      <c r="N248" s="4"/>
      <c r="O248" s="4"/>
      <c r="P248" s="4"/>
      <c r="Q248" s="4"/>
      <c r="R248" s="4"/>
      <c r="S248" s="4"/>
      <c r="T248" s="4"/>
      <c r="U248" s="4"/>
      <c r="V248" s="4"/>
    </row>
    <row r="249" spans="1:22" x14ac:dyDescent="0.3">
      <c r="A249" s="4">
        <v>2503597</v>
      </c>
      <c r="B249" s="108" t="s">
        <v>1263</v>
      </c>
      <c r="C249" s="4" t="s">
        <v>1264</v>
      </c>
      <c r="D249" s="4" t="s">
        <v>1265</v>
      </c>
      <c r="E249" s="4" t="s">
        <v>1266</v>
      </c>
      <c r="F249" s="4" t="s">
        <v>1267</v>
      </c>
      <c r="G249" s="55">
        <v>31000</v>
      </c>
      <c r="H249" s="4" t="s">
        <v>71</v>
      </c>
      <c r="I249" s="4">
        <v>10.62</v>
      </c>
      <c r="J249" s="4" t="s">
        <v>965</v>
      </c>
      <c r="K249" s="4" t="s">
        <v>1902</v>
      </c>
      <c r="L249" s="4" t="s">
        <v>2096</v>
      </c>
      <c r="M249" s="93">
        <v>45806</v>
      </c>
      <c r="N249" s="4"/>
      <c r="O249" s="4"/>
      <c r="P249" s="4"/>
      <c r="Q249" s="4"/>
      <c r="R249" s="4"/>
      <c r="S249" s="4"/>
      <c r="T249" s="4"/>
      <c r="U249" s="4"/>
      <c r="V249" s="4"/>
    </row>
    <row r="250" spans="1:22" x14ac:dyDescent="0.3">
      <c r="A250" s="4">
        <v>2502588</v>
      </c>
      <c r="B250" s="108" t="s">
        <v>1268</v>
      </c>
      <c r="C250" s="4" t="s">
        <v>1269</v>
      </c>
      <c r="D250" s="4" t="s">
        <v>1270</v>
      </c>
      <c r="E250" s="4" t="s">
        <v>1271</v>
      </c>
      <c r="F250" s="4" t="s">
        <v>1272</v>
      </c>
      <c r="G250" s="55">
        <v>26600</v>
      </c>
      <c r="H250" s="4" t="s">
        <v>71</v>
      </c>
      <c r="I250" s="4">
        <v>8.85</v>
      </c>
      <c r="J250" s="4" t="s">
        <v>965</v>
      </c>
      <c r="K250" s="4" t="s">
        <v>1902</v>
      </c>
      <c r="L250" s="4" t="s">
        <v>2097</v>
      </c>
      <c r="M250" s="93">
        <v>45806</v>
      </c>
      <c r="N250" s="4"/>
      <c r="O250" s="4"/>
      <c r="P250" s="4"/>
      <c r="Q250" s="4"/>
      <c r="R250" s="4"/>
      <c r="S250" s="4"/>
      <c r="T250" s="4"/>
      <c r="U250" s="4"/>
      <c r="V250" s="4"/>
    </row>
    <row r="251" spans="1:22" x14ac:dyDescent="0.3">
      <c r="A251" s="4">
        <v>2502040</v>
      </c>
      <c r="B251" s="114" t="s">
        <v>1273</v>
      </c>
      <c r="C251" s="4">
        <v>0</v>
      </c>
      <c r="D251" s="4">
        <v>0</v>
      </c>
      <c r="E251" s="4">
        <v>0</v>
      </c>
      <c r="F251" s="4">
        <v>0</v>
      </c>
      <c r="G251" s="55">
        <v>92000</v>
      </c>
      <c r="H251" s="4" t="s">
        <v>206</v>
      </c>
      <c r="I251" s="4">
        <v>0</v>
      </c>
      <c r="J251" s="4" t="s">
        <v>109</v>
      </c>
      <c r="K251" s="265" t="s">
        <v>109</v>
      </c>
      <c r="L251" s="266" t="s">
        <v>109</v>
      </c>
      <c r="M251" s="267"/>
      <c r="N251" s="265" t="s">
        <v>109</v>
      </c>
      <c r="O251" s="266"/>
      <c r="P251" s="267"/>
      <c r="Q251" s="265" t="s">
        <v>109</v>
      </c>
      <c r="R251" s="266"/>
      <c r="S251" s="267"/>
      <c r="T251" s="265" t="s">
        <v>109</v>
      </c>
      <c r="U251" s="266"/>
      <c r="V251" s="267"/>
    </row>
    <row r="252" spans="1:22" x14ac:dyDescent="0.3">
      <c r="A252" s="4">
        <v>2503595</v>
      </c>
      <c r="B252" s="108" t="s">
        <v>1274</v>
      </c>
      <c r="C252" s="4" t="s">
        <v>1275</v>
      </c>
      <c r="D252" s="4" t="s">
        <v>1276</v>
      </c>
      <c r="E252" s="4" t="s">
        <v>1277</v>
      </c>
      <c r="F252" s="4" t="s">
        <v>1278</v>
      </c>
      <c r="G252" s="55">
        <v>35000</v>
      </c>
      <c r="H252" s="4" t="s">
        <v>71</v>
      </c>
      <c r="I252" s="4">
        <v>14.16</v>
      </c>
      <c r="J252" s="4" t="s">
        <v>965</v>
      </c>
      <c r="K252" s="4" t="s">
        <v>1902</v>
      </c>
      <c r="L252" s="4" t="s">
        <v>2098</v>
      </c>
      <c r="M252" s="93">
        <v>45806</v>
      </c>
      <c r="N252" s="4"/>
      <c r="O252" s="4"/>
      <c r="P252" s="4"/>
      <c r="Q252" s="4"/>
      <c r="R252" s="4"/>
      <c r="S252" s="4"/>
      <c r="T252" s="4"/>
      <c r="U252" s="4"/>
      <c r="V252" s="4"/>
    </row>
    <row r="253" spans="1:22" x14ac:dyDescent="0.3">
      <c r="A253" s="4">
        <v>2503586</v>
      </c>
      <c r="B253" s="108" t="s">
        <v>1279</v>
      </c>
      <c r="C253" s="4" t="s">
        <v>1280</v>
      </c>
      <c r="D253" s="4" t="s">
        <v>1281</v>
      </c>
      <c r="E253" s="4" t="s">
        <v>1282</v>
      </c>
      <c r="F253" s="4" t="s">
        <v>1283</v>
      </c>
      <c r="G253" s="55">
        <v>21500</v>
      </c>
      <c r="H253" s="4" t="s">
        <v>71</v>
      </c>
      <c r="I253" s="4">
        <v>6.49</v>
      </c>
      <c r="J253" s="4" t="s">
        <v>965</v>
      </c>
      <c r="K253" s="4"/>
      <c r="L253" s="4"/>
      <c r="M253" s="4"/>
      <c r="N253" s="4"/>
      <c r="O253" s="4"/>
      <c r="P253" s="4"/>
      <c r="Q253" s="4"/>
      <c r="R253" s="4"/>
      <c r="S253" s="4"/>
      <c r="T253" s="4"/>
      <c r="U253" s="4"/>
      <c r="V253" s="4"/>
    </row>
    <row r="254" spans="1:22" x14ac:dyDescent="0.3">
      <c r="A254" s="4">
        <v>2503604</v>
      </c>
      <c r="B254" s="108" t="s">
        <v>1284</v>
      </c>
      <c r="C254" s="4" t="s">
        <v>1285</v>
      </c>
      <c r="D254" s="4" t="s">
        <v>1286</v>
      </c>
      <c r="E254" s="4" t="s">
        <v>1287</v>
      </c>
      <c r="F254" s="4" t="s">
        <v>1288</v>
      </c>
      <c r="G254" s="55">
        <v>27000</v>
      </c>
      <c r="H254" s="4" t="s">
        <v>71</v>
      </c>
      <c r="I254" s="4">
        <v>9.44</v>
      </c>
      <c r="J254" s="4" t="s">
        <v>965</v>
      </c>
      <c r="K254" s="4" t="s">
        <v>1902</v>
      </c>
      <c r="L254" s="4" t="s">
        <v>2099</v>
      </c>
      <c r="M254" s="93">
        <v>45806</v>
      </c>
      <c r="N254" s="4"/>
      <c r="O254" s="4"/>
      <c r="P254" s="4"/>
      <c r="Q254" s="4"/>
      <c r="R254" s="4"/>
      <c r="S254" s="4"/>
      <c r="T254" s="4"/>
      <c r="U254" s="4"/>
      <c r="V254" s="4"/>
    </row>
    <row r="255" spans="1:22" x14ac:dyDescent="0.3">
      <c r="A255" s="4">
        <v>2503598</v>
      </c>
      <c r="B255" s="108" t="s">
        <v>1289</v>
      </c>
      <c r="C255" s="4" t="s">
        <v>1290</v>
      </c>
      <c r="D255" s="4" t="s">
        <v>1291</v>
      </c>
      <c r="E255" s="4" t="s">
        <v>1292</v>
      </c>
      <c r="F255" s="4" t="s">
        <v>1293</v>
      </c>
      <c r="G255" s="55">
        <v>27000</v>
      </c>
      <c r="H255" s="4" t="s">
        <v>71</v>
      </c>
      <c r="I255" s="4">
        <v>9.44</v>
      </c>
      <c r="J255" s="4" t="s">
        <v>965</v>
      </c>
      <c r="K255" s="4" t="s">
        <v>1902</v>
      </c>
      <c r="L255" s="4" t="s">
        <v>2100</v>
      </c>
      <c r="M255" s="93">
        <v>45806</v>
      </c>
      <c r="N255" s="4"/>
      <c r="O255" s="4"/>
      <c r="P255" s="4"/>
      <c r="Q255" s="4"/>
      <c r="R255" s="4"/>
      <c r="S255" s="4"/>
      <c r="T255" s="4"/>
      <c r="U255" s="4"/>
      <c r="V255" s="4"/>
    </row>
    <row r="256" spans="1:22" x14ac:dyDescent="0.3">
      <c r="A256" s="4">
        <v>2503609</v>
      </c>
      <c r="B256" s="108" t="s">
        <v>1294</v>
      </c>
      <c r="C256" s="4" t="s">
        <v>1295</v>
      </c>
      <c r="D256" s="4" t="s">
        <v>1296</v>
      </c>
      <c r="E256" s="4" t="s">
        <v>1297</v>
      </c>
      <c r="F256" s="4" t="s">
        <v>1298</v>
      </c>
      <c r="G256" s="55">
        <v>35000</v>
      </c>
      <c r="H256" s="4" t="s">
        <v>71</v>
      </c>
      <c r="I256" s="4">
        <v>14.16</v>
      </c>
      <c r="J256" s="4" t="s">
        <v>965</v>
      </c>
      <c r="K256" s="4" t="s">
        <v>1902</v>
      </c>
      <c r="L256" s="4" t="s">
        <v>2101</v>
      </c>
      <c r="M256" s="93">
        <v>45806</v>
      </c>
      <c r="N256" s="4"/>
      <c r="O256" s="4"/>
      <c r="P256" s="4"/>
      <c r="Q256" s="4"/>
      <c r="R256" s="4"/>
      <c r="S256" s="4"/>
      <c r="T256" s="4"/>
      <c r="U256" s="4"/>
      <c r="V256" s="4"/>
    </row>
    <row r="257" spans="1:22" x14ac:dyDescent="0.3">
      <c r="A257" s="4">
        <v>2503610</v>
      </c>
      <c r="B257" s="108" t="s">
        <v>1299</v>
      </c>
      <c r="C257" s="4" t="s">
        <v>1300</v>
      </c>
      <c r="D257" s="4" t="s">
        <v>1301</v>
      </c>
      <c r="E257" s="4" t="s">
        <v>1302</v>
      </c>
      <c r="F257" s="4" t="s">
        <v>1303</v>
      </c>
      <c r="G257" s="55">
        <v>43000</v>
      </c>
      <c r="H257" s="4" t="s">
        <v>71</v>
      </c>
      <c r="I257" s="4">
        <v>17.7</v>
      </c>
      <c r="J257" s="4" t="s">
        <v>965</v>
      </c>
      <c r="K257" s="4" t="s">
        <v>1902</v>
      </c>
      <c r="L257" s="4" t="s">
        <v>2102</v>
      </c>
      <c r="M257" s="93">
        <v>45806</v>
      </c>
      <c r="N257" s="4"/>
      <c r="O257" s="4"/>
      <c r="P257" s="4"/>
      <c r="Q257" s="4"/>
      <c r="R257" s="4"/>
      <c r="S257" s="4"/>
      <c r="T257" s="4"/>
      <c r="U257" s="4"/>
      <c r="V257" s="4"/>
    </row>
    <row r="258" spans="1:22" x14ac:dyDescent="0.3">
      <c r="A258" s="4">
        <v>2503611</v>
      </c>
      <c r="B258" s="108" t="s">
        <v>1304</v>
      </c>
      <c r="C258" s="4" t="s">
        <v>1305</v>
      </c>
      <c r="D258" s="4" t="s">
        <v>1306</v>
      </c>
      <c r="E258" s="4" t="s">
        <v>1307</v>
      </c>
      <c r="F258" s="4" t="s">
        <v>1308</v>
      </c>
      <c r="G258" s="55">
        <v>23500</v>
      </c>
      <c r="H258" s="4" t="s">
        <v>71</v>
      </c>
      <c r="I258" s="4">
        <v>7.67</v>
      </c>
      <c r="J258" s="4" t="s">
        <v>965</v>
      </c>
      <c r="K258" s="4" t="s">
        <v>1902</v>
      </c>
      <c r="L258" s="4" t="s">
        <v>2103</v>
      </c>
      <c r="M258" s="93">
        <v>45806</v>
      </c>
      <c r="N258" s="4"/>
      <c r="O258" s="4"/>
      <c r="P258" s="4"/>
      <c r="Q258" s="4"/>
      <c r="R258" s="4"/>
      <c r="S258" s="4"/>
      <c r="T258" s="4"/>
      <c r="U258" s="4"/>
      <c r="V258" s="4"/>
    </row>
    <row r="259" spans="1:22" x14ac:dyDescent="0.3">
      <c r="A259" s="4">
        <v>2501524</v>
      </c>
      <c r="B259" s="108" t="s">
        <v>1309</v>
      </c>
      <c r="C259" s="4" t="s">
        <v>1310</v>
      </c>
      <c r="D259" s="4" t="s">
        <v>1311</v>
      </c>
      <c r="E259" s="4" t="s">
        <v>1312</v>
      </c>
      <c r="F259" s="4" t="s">
        <v>1313</v>
      </c>
      <c r="G259" s="55">
        <v>27000</v>
      </c>
      <c r="H259" s="4" t="s">
        <v>71</v>
      </c>
      <c r="I259" s="4">
        <v>9.44</v>
      </c>
      <c r="J259" s="4" t="s">
        <v>965</v>
      </c>
      <c r="K259" s="4" t="s">
        <v>1902</v>
      </c>
      <c r="L259" s="4" t="s">
        <v>2104</v>
      </c>
      <c r="M259" s="93">
        <v>45806</v>
      </c>
      <c r="N259" s="4"/>
      <c r="O259" s="4"/>
      <c r="P259" s="4"/>
      <c r="Q259" s="4"/>
      <c r="R259" s="4"/>
      <c r="S259" s="4"/>
      <c r="T259" s="4"/>
      <c r="U259" s="4"/>
      <c r="V259" s="4"/>
    </row>
    <row r="260" spans="1:22" x14ac:dyDescent="0.3">
      <c r="A260" s="4">
        <v>2503617</v>
      </c>
      <c r="B260" s="108" t="s">
        <v>1314</v>
      </c>
      <c r="C260" s="4" t="s">
        <v>1315</v>
      </c>
      <c r="D260" s="4" t="s">
        <v>1316</v>
      </c>
      <c r="E260" s="4" t="s">
        <v>1317</v>
      </c>
      <c r="F260" s="4" t="s">
        <v>1318</v>
      </c>
      <c r="G260" s="55">
        <v>41000</v>
      </c>
      <c r="H260" s="4" t="s">
        <v>71</v>
      </c>
      <c r="I260" s="4">
        <v>17.7</v>
      </c>
      <c r="J260" s="4" t="s">
        <v>965</v>
      </c>
      <c r="K260" s="4" t="s">
        <v>1902</v>
      </c>
      <c r="L260" s="4" t="s">
        <v>2105</v>
      </c>
      <c r="M260" s="93">
        <v>45806</v>
      </c>
      <c r="N260" s="4"/>
      <c r="O260" s="4"/>
      <c r="P260" s="4"/>
      <c r="Q260" s="4"/>
      <c r="R260" s="4"/>
      <c r="S260" s="4"/>
      <c r="T260" s="4"/>
      <c r="U260" s="4"/>
      <c r="V260" s="4"/>
    </row>
    <row r="261" spans="1:22" x14ac:dyDescent="0.3">
      <c r="A261" s="4">
        <v>2503601</v>
      </c>
      <c r="B261" s="108" t="s">
        <v>1319</v>
      </c>
      <c r="C261" s="4">
        <v>0</v>
      </c>
      <c r="D261" s="4">
        <v>0</v>
      </c>
      <c r="E261" s="4">
        <v>0</v>
      </c>
      <c r="F261" s="4">
        <v>0</v>
      </c>
      <c r="G261" s="55">
        <v>29000</v>
      </c>
      <c r="H261" s="4" t="s">
        <v>71</v>
      </c>
      <c r="I261" s="4">
        <v>9.44</v>
      </c>
      <c r="J261" s="4" t="s">
        <v>965</v>
      </c>
      <c r="K261" s="4"/>
      <c r="L261" s="4"/>
      <c r="M261" s="4"/>
      <c r="N261" s="4"/>
      <c r="O261" s="4"/>
      <c r="P261" s="4"/>
      <c r="Q261" s="4"/>
      <c r="R261" s="4"/>
      <c r="S261" s="4"/>
      <c r="T261" s="4"/>
      <c r="U261" s="4"/>
      <c r="V261" s="4"/>
    </row>
    <row r="262" spans="1:22" s="123" customFormat="1" x14ac:dyDescent="0.3">
      <c r="A262" s="116">
        <v>2503619</v>
      </c>
      <c r="B262" s="144" t="s">
        <v>1320</v>
      </c>
      <c r="C262" s="116" t="s">
        <v>1321</v>
      </c>
      <c r="D262" s="116" t="s">
        <v>1322</v>
      </c>
      <c r="E262" s="116" t="s">
        <v>1323</v>
      </c>
      <c r="F262" s="116" t="s">
        <v>1324</v>
      </c>
      <c r="G262" s="117">
        <v>21500</v>
      </c>
      <c r="H262" s="116">
        <v>0</v>
      </c>
      <c r="I262" s="116">
        <v>7.08</v>
      </c>
      <c r="J262" s="116" t="s">
        <v>965</v>
      </c>
      <c r="K262" s="269" t="s">
        <v>1925</v>
      </c>
      <c r="L262" s="270"/>
      <c r="M262" s="270"/>
      <c r="N262" s="270"/>
      <c r="O262" s="270"/>
      <c r="P262" s="270"/>
      <c r="Q262" s="270"/>
      <c r="R262" s="270"/>
      <c r="S262" s="270"/>
      <c r="T262" s="270"/>
      <c r="U262" s="270"/>
      <c r="V262" s="271"/>
    </row>
    <row r="263" spans="1:22" x14ac:dyDescent="0.3">
      <c r="A263" s="4">
        <v>2504623</v>
      </c>
      <c r="B263" s="108" t="s">
        <v>1325</v>
      </c>
      <c r="C263" s="4" t="s">
        <v>1326</v>
      </c>
      <c r="D263" s="4" t="s">
        <v>1327</v>
      </c>
      <c r="E263" s="4" t="s">
        <v>1328</v>
      </c>
      <c r="F263" s="4" t="s">
        <v>1329</v>
      </c>
      <c r="G263" s="55">
        <v>21500</v>
      </c>
      <c r="H263" s="4" t="s">
        <v>71</v>
      </c>
      <c r="I263" s="4">
        <v>7.08</v>
      </c>
      <c r="J263" s="4" t="s">
        <v>965</v>
      </c>
      <c r="K263" s="4" t="s">
        <v>1902</v>
      </c>
      <c r="L263" s="4" t="s">
        <v>2106</v>
      </c>
      <c r="M263" s="93">
        <v>45806</v>
      </c>
      <c r="N263" s="4"/>
      <c r="O263" s="4"/>
      <c r="P263" s="4"/>
      <c r="Q263" s="4"/>
      <c r="R263" s="4"/>
      <c r="S263" s="4"/>
      <c r="T263" s="4"/>
      <c r="U263" s="4"/>
      <c r="V263" s="4"/>
    </row>
    <row r="264" spans="1:22" x14ac:dyDescent="0.3">
      <c r="A264" s="4">
        <v>2503589</v>
      </c>
      <c r="B264" s="108" t="s">
        <v>1330</v>
      </c>
      <c r="C264" s="4" t="s">
        <v>1331</v>
      </c>
      <c r="D264" s="4" t="s">
        <v>1332</v>
      </c>
      <c r="E264" s="4" t="s">
        <v>1333</v>
      </c>
      <c r="F264" s="4" t="s">
        <v>1334</v>
      </c>
      <c r="G264" s="55">
        <v>21500</v>
      </c>
      <c r="H264" s="4" t="s">
        <v>71</v>
      </c>
      <c r="I264" s="4">
        <v>7.08</v>
      </c>
      <c r="J264" s="4" t="s">
        <v>965</v>
      </c>
      <c r="K264" s="4" t="s">
        <v>1902</v>
      </c>
      <c r="L264" s="4" t="s">
        <v>2107</v>
      </c>
      <c r="M264" s="93">
        <v>45806</v>
      </c>
      <c r="N264" s="4"/>
      <c r="O264" s="4"/>
      <c r="P264" s="4"/>
      <c r="Q264" s="4"/>
      <c r="R264" s="4"/>
      <c r="S264" s="4"/>
      <c r="T264" s="4"/>
      <c r="U264" s="4"/>
      <c r="V264" s="4"/>
    </row>
    <row r="265" spans="1:22" x14ac:dyDescent="0.3">
      <c r="A265" s="4">
        <v>2504633</v>
      </c>
      <c r="B265" s="108" t="s">
        <v>1335</v>
      </c>
      <c r="C265" s="4" t="s">
        <v>1336</v>
      </c>
      <c r="D265" s="4" t="s">
        <v>1337</v>
      </c>
      <c r="E265" s="4" t="s">
        <v>1338</v>
      </c>
      <c r="F265" s="4" t="s">
        <v>1339</v>
      </c>
      <c r="G265" s="55">
        <v>21500</v>
      </c>
      <c r="H265" s="4" t="s">
        <v>71</v>
      </c>
      <c r="I265" s="4">
        <v>7.08</v>
      </c>
      <c r="J265" s="4" t="s">
        <v>965</v>
      </c>
      <c r="K265" s="4"/>
      <c r="L265" s="4"/>
      <c r="M265" s="4"/>
      <c r="N265" s="4"/>
      <c r="O265" s="4"/>
      <c r="P265" s="4"/>
      <c r="Q265" s="4"/>
      <c r="R265" s="4"/>
      <c r="S265" s="4"/>
      <c r="T265" s="4"/>
      <c r="U265" s="4"/>
      <c r="V265" s="4"/>
    </row>
    <row r="266" spans="1:22" x14ac:dyDescent="0.3">
      <c r="A266" s="4">
        <v>2504636</v>
      </c>
      <c r="B266" s="108" t="s">
        <v>1340</v>
      </c>
      <c r="C266" s="4" t="s">
        <v>1341</v>
      </c>
      <c r="D266" s="4" t="s">
        <v>1342</v>
      </c>
      <c r="E266" s="4" t="s">
        <v>1343</v>
      </c>
      <c r="F266" s="4" t="s">
        <v>1344</v>
      </c>
      <c r="G266" s="55">
        <v>41000</v>
      </c>
      <c r="H266" s="4" t="s">
        <v>71</v>
      </c>
      <c r="I266" s="4">
        <v>17.7</v>
      </c>
      <c r="J266" s="4" t="s">
        <v>965</v>
      </c>
      <c r="K266" s="4" t="s">
        <v>1902</v>
      </c>
      <c r="L266" s="4" t="s">
        <v>2108</v>
      </c>
      <c r="M266" s="93">
        <v>45806</v>
      </c>
      <c r="N266" s="4"/>
      <c r="O266" s="4"/>
      <c r="P266" s="4"/>
      <c r="Q266" s="4"/>
      <c r="R266" s="4"/>
      <c r="S266" s="4"/>
      <c r="T266" s="4"/>
      <c r="U266" s="4"/>
      <c r="V266" s="4"/>
    </row>
    <row r="267" spans="1:22" x14ac:dyDescent="0.3">
      <c r="A267" s="4">
        <v>2406152</v>
      </c>
      <c r="B267" s="108" t="s">
        <v>1345</v>
      </c>
      <c r="C267" s="4">
        <v>0</v>
      </c>
      <c r="D267" s="4" t="s">
        <v>1349</v>
      </c>
      <c r="E267" s="4">
        <v>0</v>
      </c>
      <c r="F267" s="4">
        <v>0</v>
      </c>
      <c r="G267" s="55">
        <v>155000</v>
      </c>
      <c r="H267" s="4" t="s">
        <v>124</v>
      </c>
      <c r="I267" s="4">
        <v>93.17</v>
      </c>
      <c r="J267" s="4" t="s">
        <v>109</v>
      </c>
      <c r="K267" s="265" t="s">
        <v>109</v>
      </c>
      <c r="L267" s="266" t="s">
        <v>109</v>
      </c>
      <c r="M267" s="267"/>
      <c r="N267" s="265" t="s">
        <v>109</v>
      </c>
      <c r="O267" s="266" t="s">
        <v>109</v>
      </c>
      <c r="P267" s="267"/>
      <c r="Q267" s="265" t="s">
        <v>109</v>
      </c>
      <c r="R267" s="266" t="s">
        <v>109</v>
      </c>
      <c r="S267" s="267"/>
      <c r="T267" s="265" t="s">
        <v>109</v>
      </c>
      <c r="U267" s="266" t="s">
        <v>109</v>
      </c>
      <c r="V267" s="267"/>
    </row>
    <row r="268" spans="1:22" x14ac:dyDescent="0.3">
      <c r="A268" s="4">
        <v>2504640</v>
      </c>
      <c r="B268" s="108" t="s">
        <v>1350</v>
      </c>
      <c r="C268" s="4" t="s">
        <v>1351</v>
      </c>
      <c r="D268" s="4" t="s">
        <v>1352</v>
      </c>
      <c r="E268" s="4" t="s">
        <v>1353</v>
      </c>
      <c r="F268" s="4" t="s">
        <v>1354</v>
      </c>
      <c r="G268" s="55">
        <v>26000</v>
      </c>
      <c r="H268" s="4" t="s">
        <v>71</v>
      </c>
      <c r="I268" s="4">
        <v>9.44</v>
      </c>
      <c r="J268" s="4" t="s">
        <v>965</v>
      </c>
      <c r="K268" s="4"/>
      <c r="L268" s="4"/>
      <c r="M268" s="4"/>
      <c r="N268" s="4"/>
      <c r="O268" s="4"/>
      <c r="P268" s="4"/>
      <c r="Q268" s="4"/>
      <c r="R268" s="4"/>
      <c r="S268" s="4"/>
      <c r="T268" s="4"/>
      <c r="U268" s="4"/>
      <c r="V268" s="4"/>
    </row>
    <row r="269" spans="1:22" x14ac:dyDescent="0.3">
      <c r="A269" s="4">
        <v>2504638</v>
      </c>
      <c r="B269" s="108" t="s">
        <v>1355</v>
      </c>
      <c r="C269" s="4" t="s">
        <v>1356</v>
      </c>
      <c r="D269" s="4" t="s">
        <v>1357</v>
      </c>
      <c r="E269" s="4" t="s">
        <v>1358</v>
      </c>
      <c r="F269" s="4" t="s">
        <v>1359</v>
      </c>
      <c r="G269" s="55">
        <v>27000</v>
      </c>
      <c r="H269" s="4" t="s">
        <v>71</v>
      </c>
      <c r="I269" s="4">
        <v>9.44</v>
      </c>
      <c r="J269" s="4" t="s">
        <v>965</v>
      </c>
      <c r="K269" s="4" t="s">
        <v>1902</v>
      </c>
      <c r="L269" s="4" t="s">
        <v>2109</v>
      </c>
      <c r="M269" s="93">
        <v>45806</v>
      </c>
      <c r="N269" s="4"/>
      <c r="O269" s="4"/>
      <c r="P269" s="4"/>
      <c r="Q269" s="4"/>
      <c r="R269" s="4"/>
      <c r="S269" s="4"/>
      <c r="T269" s="4"/>
      <c r="U269" s="4"/>
      <c r="V269" s="4"/>
    </row>
    <row r="270" spans="1:22" x14ac:dyDescent="0.3">
      <c r="A270" s="4">
        <v>2504652</v>
      </c>
      <c r="B270" s="108" t="s">
        <v>1360</v>
      </c>
      <c r="C270" s="4" t="s">
        <v>1361</v>
      </c>
      <c r="D270" s="4" t="s">
        <v>1362</v>
      </c>
      <c r="E270" s="4" t="s">
        <v>1363</v>
      </c>
      <c r="F270" s="4" t="s">
        <v>1364</v>
      </c>
      <c r="G270" s="55">
        <v>27500</v>
      </c>
      <c r="H270" s="4" t="s">
        <v>71</v>
      </c>
      <c r="I270" s="4">
        <v>9.44</v>
      </c>
      <c r="J270" s="4" t="s">
        <v>965</v>
      </c>
      <c r="K270" s="4" t="s">
        <v>1902</v>
      </c>
      <c r="L270" s="4" t="s">
        <v>2110</v>
      </c>
      <c r="M270" s="93">
        <v>45806</v>
      </c>
      <c r="N270" s="4"/>
      <c r="O270" s="4"/>
      <c r="P270" s="4"/>
      <c r="Q270" s="4"/>
      <c r="R270" s="4"/>
      <c r="S270" s="4"/>
      <c r="T270" s="4"/>
      <c r="U270" s="4"/>
      <c r="V270" s="4"/>
    </row>
    <row r="271" spans="1:22" x14ac:dyDescent="0.3">
      <c r="A271" s="4">
        <v>2504647</v>
      </c>
      <c r="B271" s="108" t="s">
        <v>1365</v>
      </c>
      <c r="C271" s="4" t="s">
        <v>1366</v>
      </c>
      <c r="D271" s="4" t="s">
        <v>1367</v>
      </c>
      <c r="E271" s="4" t="s">
        <v>1368</v>
      </c>
      <c r="F271" s="4" t="s">
        <v>1369</v>
      </c>
      <c r="G271" s="55">
        <v>21500</v>
      </c>
      <c r="H271" s="4" t="s">
        <v>71</v>
      </c>
      <c r="I271" s="4">
        <v>7.08</v>
      </c>
      <c r="J271" s="4" t="s">
        <v>965</v>
      </c>
      <c r="K271" s="4"/>
      <c r="L271" s="4"/>
      <c r="M271" s="4"/>
      <c r="N271" s="4"/>
      <c r="O271" s="4"/>
      <c r="P271" s="4"/>
      <c r="Q271" s="4"/>
      <c r="R271" s="4"/>
      <c r="S271" s="4"/>
      <c r="T271" s="4"/>
      <c r="U271" s="4"/>
      <c r="V271" s="4"/>
    </row>
    <row r="272" spans="1:22" x14ac:dyDescent="0.3">
      <c r="A272" s="4">
        <v>2504658</v>
      </c>
      <c r="B272" s="108" t="s">
        <v>1370</v>
      </c>
      <c r="C272" s="4" t="s">
        <v>1371</v>
      </c>
      <c r="D272" s="4" t="s">
        <v>1372</v>
      </c>
      <c r="E272" s="4" t="s">
        <v>1373</v>
      </c>
      <c r="F272" s="4" t="s">
        <v>1374</v>
      </c>
      <c r="G272" s="55">
        <v>22500</v>
      </c>
      <c r="H272" s="4" t="s">
        <v>71</v>
      </c>
      <c r="I272" s="4">
        <v>7.08</v>
      </c>
      <c r="J272" s="4" t="s">
        <v>965</v>
      </c>
      <c r="K272" s="4"/>
      <c r="L272" s="4"/>
      <c r="M272" s="4"/>
      <c r="N272" s="4"/>
      <c r="O272" s="4"/>
      <c r="P272" s="4"/>
      <c r="Q272" s="4"/>
      <c r="R272" s="4"/>
      <c r="S272" s="4"/>
      <c r="T272" s="4"/>
      <c r="U272" s="4"/>
      <c r="V272" s="4"/>
    </row>
    <row r="273" spans="1:22" x14ac:dyDescent="0.3">
      <c r="A273" s="4">
        <v>2503614</v>
      </c>
      <c r="B273" s="108" t="s">
        <v>1375</v>
      </c>
      <c r="C273" s="4" t="s">
        <v>1377</v>
      </c>
      <c r="D273" s="4" t="s">
        <v>1378</v>
      </c>
      <c r="E273" s="4" t="s">
        <v>1379</v>
      </c>
      <c r="F273" s="4" t="s">
        <v>1380</v>
      </c>
      <c r="G273" s="55">
        <v>0</v>
      </c>
      <c r="H273" s="4">
        <v>0</v>
      </c>
      <c r="I273" s="4">
        <v>0</v>
      </c>
      <c r="J273" s="4" t="s">
        <v>109</v>
      </c>
      <c r="K273" s="265" t="s">
        <v>109</v>
      </c>
      <c r="L273" s="266" t="s">
        <v>109</v>
      </c>
      <c r="M273" s="267"/>
      <c r="N273" s="265" t="s">
        <v>109</v>
      </c>
      <c r="O273" s="266"/>
      <c r="P273" s="267"/>
      <c r="Q273" s="265" t="s">
        <v>109</v>
      </c>
      <c r="R273" s="266"/>
      <c r="S273" s="267"/>
      <c r="T273" s="265" t="s">
        <v>109</v>
      </c>
      <c r="U273" s="266"/>
      <c r="V273" s="267"/>
    </row>
    <row r="274" spans="1:22" x14ac:dyDescent="0.3">
      <c r="A274" s="4">
        <v>2504643</v>
      </c>
      <c r="B274" s="108" t="s">
        <v>1381</v>
      </c>
      <c r="C274" s="4" t="s">
        <v>1382</v>
      </c>
      <c r="D274" s="4" t="s">
        <v>1383</v>
      </c>
      <c r="E274" s="4" t="s">
        <v>1384</v>
      </c>
      <c r="F274" s="4" t="s">
        <v>1385</v>
      </c>
      <c r="G274" s="55">
        <v>46700</v>
      </c>
      <c r="H274" s="4" t="s">
        <v>71</v>
      </c>
      <c r="I274" s="4">
        <v>17.7</v>
      </c>
      <c r="J274" s="4" t="s">
        <v>965</v>
      </c>
      <c r="K274" s="4"/>
      <c r="L274" s="4"/>
      <c r="M274" s="4"/>
      <c r="N274" s="4"/>
      <c r="O274" s="4"/>
      <c r="P274" s="4"/>
      <c r="Q274" s="4"/>
      <c r="R274" s="4"/>
      <c r="S274" s="4"/>
      <c r="T274" s="4"/>
      <c r="U274" s="4"/>
      <c r="V274" s="4"/>
    </row>
    <row r="275" spans="1:22" x14ac:dyDescent="0.3">
      <c r="A275" s="4">
        <v>2504663</v>
      </c>
      <c r="B275" s="108" t="s">
        <v>1386</v>
      </c>
      <c r="C275" s="4" t="s">
        <v>1387</v>
      </c>
      <c r="D275" s="4" t="s">
        <v>1388</v>
      </c>
      <c r="E275" s="4" t="s">
        <v>1389</v>
      </c>
      <c r="F275" s="4" t="s">
        <v>1390</v>
      </c>
      <c r="G275" s="55">
        <v>22500</v>
      </c>
      <c r="H275" s="4" t="s">
        <v>71</v>
      </c>
      <c r="I275" s="4">
        <v>7.08</v>
      </c>
      <c r="J275" s="4" t="s">
        <v>965</v>
      </c>
      <c r="K275" s="4"/>
      <c r="L275" s="4"/>
      <c r="M275" s="4"/>
      <c r="N275" s="4"/>
      <c r="O275" s="4"/>
      <c r="P275" s="4"/>
      <c r="Q275" s="4"/>
      <c r="R275" s="4"/>
      <c r="S275" s="4"/>
      <c r="T275" s="4"/>
      <c r="U275" s="4"/>
      <c r="V275" s="4"/>
    </row>
    <row r="276" spans="1:22" x14ac:dyDescent="0.3">
      <c r="A276" s="4">
        <v>2504671</v>
      </c>
      <c r="B276" s="108" t="s">
        <v>1391</v>
      </c>
      <c r="C276" s="4" t="s">
        <v>1392</v>
      </c>
      <c r="D276" s="4" t="s">
        <v>1393</v>
      </c>
      <c r="E276" s="4" t="s">
        <v>1394</v>
      </c>
      <c r="F276" s="4" t="s">
        <v>1395</v>
      </c>
      <c r="G276" s="55">
        <v>41000</v>
      </c>
      <c r="H276" s="4" t="s">
        <v>71</v>
      </c>
      <c r="I276" s="4">
        <v>17.7</v>
      </c>
      <c r="J276" s="4" t="s">
        <v>965</v>
      </c>
      <c r="K276" s="4"/>
      <c r="L276" s="4"/>
      <c r="M276" s="4"/>
      <c r="N276" s="4"/>
      <c r="O276" s="4"/>
      <c r="P276" s="4"/>
      <c r="Q276" s="4"/>
      <c r="R276" s="4"/>
      <c r="S276" s="4"/>
      <c r="T276" s="4"/>
      <c r="U276" s="4"/>
      <c r="V276" s="4"/>
    </row>
    <row r="277" spans="1:22" x14ac:dyDescent="0.3">
      <c r="A277" s="4">
        <v>2506644</v>
      </c>
      <c r="B277" s="108" t="s">
        <v>1396</v>
      </c>
      <c r="C277" s="4" t="s">
        <v>1397</v>
      </c>
      <c r="D277" s="4" t="s">
        <v>1398</v>
      </c>
      <c r="E277" s="4" t="s">
        <v>1399</v>
      </c>
      <c r="F277" s="4" t="s">
        <v>1400</v>
      </c>
      <c r="G277" s="55">
        <v>21000</v>
      </c>
      <c r="H277" s="4" t="s">
        <v>71</v>
      </c>
      <c r="I277" s="4">
        <v>7.08</v>
      </c>
      <c r="J277" s="4" t="s">
        <v>965</v>
      </c>
      <c r="K277" s="4"/>
      <c r="L277" s="4"/>
      <c r="M277" s="4"/>
      <c r="N277" s="4"/>
      <c r="O277" s="4"/>
      <c r="P277" s="4"/>
      <c r="Q277" s="4"/>
      <c r="R277" s="4"/>
      <c r="S277" s="4"/>
      <c r="T277" s="4"/>
      <c r="U277" s="4"/>
      <c r="V277" s="4"/>
    </row>
    <row r="278" spans="1:22" x14ac:dyDescent="0.3">
      <c r="A278" s="4">
        <v>2505675</v>
      </c>
      <c r="B278" s="108" t="s">
        <v>1401</v>
      </c>
      <c r="C278" s="4" t="s">
        <v>1402</v>
      </c>
      <c r="D278" s="4" t="s">
        <v>1403</v>
      </c>
      <c r="E278" s="4" t="s">
        <v>1404</v>
      </c>
      <c r="F278" s="4" t="s">
        <v>1405</v>
      </c>
      <c r="G278" s="55">
        <v>42170</v>
      </c>
      <c r="H278" s="4" t="s">
        <v>71</v>
      </c>
      <c r="I278" s="4">
        <v>15.34</v>
      </c>
      <c r="J278" s="4" t="s">
        <v>965</v>
      </c>
      <c r="K278" s="4"/>
      <c r="L278" s="4"/>
      <c r="M278" s="4"/>
      <c r="N278" s="4"/>
      <c r="O278" s="4"/>
      <c r="P278" s="4"/>
      <c r="Q278" s="4"/>
      <c r="R278" s="4"/>
      <c r="S278" s="4"/>
      <c r="T278" s="4"/>
      <c r="U278" s="4"/>
      <c r="V278" s="4"/>
    </row>
    <row r="279" spans="1:22" x14ac:dyDescent="0.3">
      <c r="A279" s="4">
        <v>2502564</v>
      </c>
      <c r="B279" s="108" t="s">
        <v>1407</v>
      </c>
      <c r="C279" s="4" t="s">
        <v>1408</v>
      </c>
      <c r="D279" s="4" t="s">
        <v>1409</v>
      </c>
      <c r="E279" s="4" t="s">
        <v>868</v>
      </c>
      <c r="F279" s="4" t="s">
        <v>869</v>
      </c>
      <c r="G279" s="55">
        <v>43000</v>
      </c>
      <c r="H279" s="4" t="s">
        <v>71</v>
      </c>
      <c r="I279" s="4">
        <v>17.7</v>
      </c>
      <c r="J279" s="4" t="s">
        <v>965</v>
      </c>
      <c r="K279" s="4" t="s">
        <v>1902</v>
      </c>
      <c r="L279" s="4" t="s">
        <v>2111</v>
      </c>
      <c r="M279" s="93">
        <v>45806</v>
      </c>
      <c r="N279" s="4"/>
      <c r="O279" s="4"/>
      <c r="P279" s="4"/>
      <c r="Q279" s="4"/>
      <c r="R279" s="4"/>
      <c r="S279" s="4"/>
      <c r="T279" s="4"/>
      <c r="U279" s="4"/>
      <c r="V279" s="4"/>
    </row>
    <row r="280" spans="1:22" x14ac:dyDescent="0.3">
      <c r="A280" s="4">
        <v>2504664</v>
      </c>
      <c r="B280" s="108" t="s">
        <v>1410</v>
      </c>
      <c r="C280" s="4" t="s">
        <v>1411</v>
      </c>
      <c r="D280" s="4" t="s">
        <v>1412</v>
      </c>
      <c r="E280" s="4" t="s">
        <v>1413</v>
      </c>
      <c r="F280" s="4" t="s">
        <v>1414</v>
      </c>
      <c r="G280" s="55">
        <v>41000</v>
      </c>
      <c r="H280" s="4" t="s">
        <v>71</v>
      </c>
      <c r="I280" s="4">
        <v>17.7</v>
      </c>
      <c r="J280" s="4" t="s">
        <v>965</v>
      </c>
      <c r="K280" s="4"/>
      <c r="L280" s="4"/>
      <c r="M280" s="4"/>
      <c r="N280" s="4"/>
      <c r="O280" s="4"/>
      <c r="P280" s="4"/>
      <c r="Q280" s="4"/>
      <c r="R280" s="4"/>
      <c r="S280" s="4"/>
      <c r="T280" s="4"/>
      <c r="U280" s="4"/>
      <c r="V280" s="4"/>
    </row>
    <row r="281" spans="1:22" x14ac:dyDescent="0.3">
      <c r="A281" s="4">
        <v>2504651</v>
      </c>
      <c r="B281" s="108" t="s">
        <v>1415</v>
      </c>
      <c r="C281" s="4" t="s">
        <v>1416</v>
      </c>
      <c r="D281" s="4" t="s">
        <v>1417</v>
      </c>
      <c r="E281" s="4" t="s">
        <v>1418</v>
      </c>
      <c r="F281" s="4" t="s">
        <v>1419</v>
      </c>
      <c r="G281" s="55">
        <v>35000</v>
      </c>
      <c r="H281" s="4" t="s">
        <v>71</v>
      </c>
      <c r="I281" s="4">
        <v>14.16</v>
      </c>
      <c r="J281" s="4" t="s">
        <v>965</v>
      </c>
      <c r="K281" s="4"/>
      <c r="L281" s="4"/>
      <c r="M281" s="4"/>
      <c r="N281" s="4"/>
      <c r="O281" s="4"/>
      <c r="P281" s="4"/>
      <c r="Q281" s="4"/>
      <c r="R281" s="4"/>
      <c r="S281" s="4"/>
      <c r="T281" s="4"/>
      <c r="U281" s="4"/>
      <c r="V281" s="4"/>
    </row>
    <row r="282" spans="1:22" x14ac:dyDescent="0.3">
      <c r="A282" s="4">
        <v>2504049</v>
      </c>
      <c r="B282" s="108" t="s">
        <v>1420</v>
      </c>
      <c r="C282" s="4">
        <v>0</v>
      </c>
      <c r="D282" s="4">
        <v>0</v>
      </c>
      <c r="E282" s="4">
        <v>0</v>
      </c>
      <c r="F282" s="4">
        <v>0</v>
      </c>
      <c r="G282" s="55">
        <v>45015</v>
      </c>
      <c r="H282" s="4" t="s">
        <v>206</v>
      </c>
      <c r="I282" s="4">
        <v>0</v>
      </c>
      <c r="J282" s="4">
        <v>0</v>
      </c>
      <c r="K282" s="4"/>
      <c r="L282" s="4"/>
      <c r="M282" s="4"/>
      <c r="N282" s="4"/>
      <c r="O282" s="4"/>
      <c r="P282" s="4"/>
      <c r="Q282" s="4"/>
      <c r="R282" s="4"/>
      <c r="S282" s="4"/>
      <c r="T282" s="4"/>
      <c r="U282" s="4"/>
      <c r="V282" s="4"/>
    </row>
    <row r="283" spans="1:22" x14ac:dyDescent="0.3">
      <c r="A283" s="4">
        <v>2505686</v>
      </c>
      <c r="B283" s="108" t="s">
        <v>1421</v>
      </c>
      <c r="C283" s="4" t="s">
        <v>1422</v>
      </c>
      <c r="D283" s="4" t="s">
        <v>1423</v>
      </c>
      <c r="E283" s="4" t="s">
        <v>1424</v>
      </c>
      <c r="F283" s="4" t="s">
        <v>1425</v>
      </c>
      <c r="G283" s="55">
        <v>21500</v>
      </c>
      <c r="H283" s="4" t="s">
        <v>71</v>
      </c>
      <c r="I283" s="4">
        <v>7.08</v>
      </c>
      <c r="J283" s="4" t="s">
        <v>965</v>
      </c>
      <c r="K283" s="4"/>
      <c r="L283" s="4"/>
      <c r="M283" s="4"/>
      <c r="N283" s="4"/>
      <c r="O283" s="4"/>
      <c r="P283" s="4"/>
      <c r="Q283" s="4"/>
      <c r="R283" s="4"/>
      <c r="S283" s="4"/>
      <c r="T283" s="4"/>
      <c r="U283" s="4"/>
      <c r="V283" s="4"/>
    </row>
    <row r="284" spans="1:22" x14ac:dyDescent="0.3">
      <c r="A284" s="4">
        <v>2503603</v>
      </c>
      <c r="B284" s="108" t="s">
        <v>1426</v>
      </c>
      <c r="C284" s="4" t="s">
        <v>1427</v>
      </c>
      <c r="D284" s="4" t="s">
        <v>1428</v>
      </c>
      <c r="E284" s="4" t="s">
        <v>1429</v>
      </c>
      <c r="F284" s="4" t="s">
        <v>1430</v>
      </c>
      <c r="G284" s="55">
        <v>43400</v>
      </c>
      <c r="H284" s="4" t="s">
        <v>71</v>
      </c>
      <c r="I284" s="4">
        <v>17.7</v>
      </c>
      <c r="J284" s="4" t="s">
        <v>965</v>
      </c>
      <c r="K284" s="4"/>
      <c r="L284" s="4"/>
      <c r="M284" s="4"/>
      <c r="N284" s="4"/>
      <c r="O284" s="4"/>
      <c r="P284" s="4"/>
      <c r="Q284" s="4"/>
      <c r="R284" s="4"/>
      <c r="S284" s="4"/>
      <c r="T284" s="4"/>
      <c r="U284" s="4"/>
      <c r="V284" s="4"/>
    </row>
    <row r="285" spans="1:22" x14ac:dyDescent="0.3">
      <c r="A285" s="4">
        <v>2302004</v>
      </c>
      <c r="B285" s="108" t="s">
        <v>1431</v>
      </c>
      <c r="C285" s="4">
        <v>0</v>
      </c>
      <c r="D285" s="4" t="s">
        <v>1432</v>
      </c>
      <c r="E285" s="4">
        <v>0</v>
      </c>
      <c r="F285" s="4">
        <v>0</v>
      </c>
      <c r="G285" s="55">
        <v>27500</v>
      </c>
      <c r="H285" s="4" t="s">
        <v>71</v>
      </c>
      <c r="I285" s="4">
        <v>8.85</v>
      </c>
      <c r="J285" s="4" t="s">
        <v>109</v>
      </c>
      <c r="K285" s="265" t="s">
        <v>109</v>
      </c>
      <c r="L285" s="266" t="s">
        <v>109</v>
      </c>
      <c r="M285" s="267"/>
      <c r="N285" s="265" t="s">
        <v>109</v>
      </c>
      <c r="O285" s="266"/>
      <c r="P285" s="267"/>
      <c r="Q285" s="265" t="s">
        <v>109</v>
      </c>
      <c r="R285" s="266"/>
      <c r="S285" s="267"/>
      <c r="T285" s="265" t="s">
        <v>109</v>
      </c>
      <c r="U285" s="266"/>
      <c r="V285" s="267"/>
    </row>
    <row r="286" spans="1:22" x14ac:dyDescent="0.3">
      <c r="A286" s="4">
        <v>2503225</v>
      </c>
      <c r="B286" s="108" t="s">
        <v>340</v>
      </c>
      <c r="C286" s="4">
        <v>0</v>
      </c>
      <c r="D286" s="4">
        <v>0</v>
      </c>
      <c r="E286" s="4">
        <v>0</v>
      </c>
      <c r="F286" s="4">
        <v>0</v>
      </c>
      <c r="G286" s="55">
        <v>198800</v>
      </c>
      <c r="H286" s="4" t="s">
        <v>124</v>
      </c>
      <c r="I286" s="4">
        <v>97.6</v>
      </c>
      <c r="J286" s="4" t="s">
        <v>965</v>
      </c>
      <c r="K286" s="4"/>
      <c r="L286" s="4"/>
      <c r="M286" s="4"/>
      <c r="N286" s="4"/>
      <c r="O286" s="4"/>
      <c r="P286" s="4"/>
      <c r="Q286" s="4"/>
      <c r="R286" s="4"/>
      <c r="S286" s="4"/>
      <c r="T286" s="4"/>
      <c r="U286" s="4"/>
      <c r="V286" s="4"/>
    </row>
    <row r="287" spans="1:22" x14ac:dyDescent="0.3">
      <c r="A287" s="4">
        <v>2403185</v>
      </c>
      <c r="B287" s="108" t="s">
        <v>1434</v>
      </c>
      <c r="C287" s="4" t="s">
        <v>1435</v>
      </c>
      <c r="D287" s="4" t="s">
        <v>1436</v>
      </c>
      <c r="E287" s="4" t="s">
        <v>1437</v>
      </c>
      <c r="F287" s="4" t="s">
        <v>1438</v>
      </c>
      <c r="G287" s="55">
        <v>21500</v>
      </c>
      <c r="H287" s="4" t="s">
        <v>71</v>
      </c>
      <c r="I287" s="4">
        <v>7.08</v>
      </c>
      <c r="J287" s="4" t="s">
        <v>965</v>
      </c>
      <c r="K287" s="4"/>
      <c r="L287" s="4"/>
      <c r="M287" s="4"/>
      <c r="N287" s="4"/>
      <c r="O287" s="4"/>
      <c r="P287" s="4"/>
      <c r="Q287" s="4"/>
      <c r="R287" s="4"/>
      <c r="S287" s="4"/>
      <c r="T287" s="4"/>
      <c r="U287" s="4"/>
      <c r="V287" s="4"/>
    </row>
    <row r="288" spans="1:22" x14ac:dyDescent="0.3">
      <c r="A288" s="4">
        <v>2410194</v>
      </c>
      <c r="B288" s="108" t="s">
        <v>1439</v>
      </c>
      <c r="C288" s="4">
        <v>0</v>
      </c>
      <c r="D288" s="4">
        <v>0</v>
      </c>
      <c r="E288" s="4">
        <v>0</v>
      </c>
      <c r="F288" s="4">
        <v>0</v>
      </c>
      <c r="G288" s="55">
        <v>395000</v>
      </c>
      <c r="H288" s="4" t="s">
        <v>124</v>
      </c>
      <c r="I288" s="4">
        <v>207.08</v>
      </c>
      <c r="J288" s="4">
        <v>0</v>
      </c>
      <c r="K288" s="4"/>
      <c r="L288" s="4"/>
      <c r="M288" s="4"/>
      <c r="N288" s="4"/>
      <c r="O288" s="4"/>
      <c r="P288" s="4"/>
      <c r="Q288" s="4"/>
      <c r="R288" s="4"/>
      <c r="S288" s="4"/>
      <c r="T288" s="4"/>
      <c r="U288" s="4"/>
      <c r="V288" s="4"/>
    </row>
    <row r="289" spans="1:22" x14ac:dyDescent="0.3">
      <c r="A289" s="4">
        <v>2504669</v>
      </c>
      <c r="B289" s="108" t="s">
        <v>1441</v>
      </c>
      <c r="C289" s="4" t="s">
        <v>1442</v>
      </c>
      <c r="D289" s="4" t="s">
        <v>1443</v>
      </c>
      <c r="E289" s="4" t="s">
        <v>1444</v>
      </c>
      <c r="F289" s="4" t="s">
        <v>1445</v>
      </c>
      <c r="G289" s="55">
        <v>29000</v>
      </c>
      <c r="H289" s="4" t="s">
        <v>71</v>
      </c>
      <c r="I289" s="4">
        <v>10.62</v>
      </c>
      <c r="J289" s="4" t="s">
        <v>965</v>
      </c>
      <c r="K289" s="4"/>
      <c r="L289" s="4"/>
      <c r="M289" s="4"/>
      <c r="N289" s="4"/>
      <c r="O289" s="4"/>
      <c r="P289" s="4"/>
      <c r="Q289" s="4"/>
      <c r="R289" s="4"/>
      <c r="S289" s="4"/>
      <c r="T289" s="4"/>
      <c r="U289" s="4"/>
      <c r="V289" s="4"/>
    </row>
    <row r="290" spans="1:22" x14ac:dyDescent="0.3">
      <c r="A290" s="4">
        <v>2504660</v>
      </c>
      <c r="B290" s="108" t="s">
        <v>1447</v>
      </c>
      <c r="C290" s="4" t="s">
        <v>1448</v>
      </c>
      <c r="D290" s="4" t="s">
        <v>1449</v>
      </c>
      <c r="E290" s="4" t="s">
        <v>1450</v>
      </c>
      <c r="F290" s="4" t="s">
        <v>1451</v>
      </c>
      <c r="G290" s="55">
        <v>34000</v>
      </c>
      <c r="H290" s="4" t="s">
        <v>71</v>
      </c>
      <c r="I290" s="4">
        <v>14.75</v>
      </c>
      <c r="J290" s="4" t="s">
        <v>109</v>
      </c>
      <c r="K290" s="265" t="s">
        <v>109</v>
      </c>
      <c r="L290" s="266" t="s">
        <v>109</v>
      </c>
      <c r="M290" s="267"/>
      <c r="N290" s="265" t="s">
        <v>109</v>
      </c>
      <c r="O290" s="266"/>
      <c r="P290" s="267"/>
      <c r="Q290" s="265" t="s">
        <v>109</v>
      </c>
      <c r="R290" s="266"/>
      <c r="S290" s="267"/>
      <c r="T290" s="265" t="s">
        <v>109</v>
      </c>
      <c r="U290" s="266"/>
      <c r="V290" s="267"/>
    </row>
    <row r="291" spans="1:22" x14ac:dyDescent="0.3">
      <c r="A291" s="4">
        <v>2410191</v>
      </c>
      <c r="B291" s="108" t="s">
        <v>1452</v>
      </c>
      <c r="C291" s="4">
        <v>0</v>
      </c>
      <c r="D291" s="4">
        <v>0</v>
      </c>
      <c r="E291" s="4">
        <v>0</v>
      </c>
      <c r="F291" s="4">
        <v>0</v>
      </c>
      <c r="G291" s="55">
        <v>150000</v>
      </c>
      <c r="H291" s="4" t="s">
        <v>124</v>
      </c>
      <c r="I291" s="4">
        <v>53.68</v>
      </c>
      <c r="J291" s="4" t="s">
        <v>965</v>
      </c>
      <c r="K291" s="4"/>
      <c r="L291" s="4"/>
      <c r="M291" s="4"/>
      <c r="N291" s="4"/>
      <c r="O291" s="4"/>
      <c r="P291" s="4"/>
      <c r="Q291" s="4"/>
      <c r="R291" s="4"/>
      <c r="S291" s="4"/>
      <c r="T291" s="4"/>
      <c r="U291" s="4"/>
      <c r="V291" s="4"/>
    </row>
    <row r="292" spans="1:22" x14ac:dyDescent="0.3">
      <c r="A292" s="4">
        <v>2505695</v>
      </c>
      <c r="B292" s="108" t="s">
        <v>1455</v>
      </c>
      <c r="C292" s="4" t="s">
        <v>1456</v>
      </c>
      <c r="D292" s="4" t="s">
        <v>1457</v>
      </c>
      <c r="E292" s="4" t="s">
        <v>1458</v>
      </c>
      <c r="F292" s="4" t="s">
        <v>1459</v>
      </c>
      <c r="G292" s="55">
        <v>27000</v>
      </c>
      <c r="H292" s="4" t="s">
        <v>71</v>
      </c>
      <c r="I292" s="4">
        <v>9.44</v>
      </c>
      <c r="J292" s="4" t="s">
        <v>965</v>
      </c>
      <c r="K292" s="4"/>
      <c r="L292" s="4"/>
      <c r="M292" s="4"/>
      <c r="N292" s="4"/>
      <c r="O292" s="4"/>
      <c r="P292" s="4"/>
      <c r="Q292" s="4"/>
      <c r="R292" s="4"/>
      <c r="S292" s="4"/>
      <c r="T292" s="4"/>
      <c r="U292" s="4"/>
      <c r="V292" s="4"/>
    </row>
    <row r="293" spans="1:22" x14ac:dyDescent="0.3">
      <c r="A293" s="4">
        <v>2505672</v>
      </c>
      <c r="B293" s="108" t="s">
        <v>1460</v>
      </c>
      <c r="C293" s="4" t="s">
        <v>1461</v>
      </c>
      <c r="D293" s="4" t="s">
        <v>1462</v>
      </c>
      <c r="E293" s="4" t="s">
        <v>1463</v>
      </c>
      <c r="F293" s="4" t="s">
        <v>1464</v>
      </c>
      <c r="G293" s="55">
        <v>27000</v>
      </c>
      <c r="H293" s="4" t="s">
        <v>71</v>
      </c>
      <c r="I293" s="4">
        <v>8.85</v>
      </c>
      <c r="J293" s="4" t="s">
        <v>965</v>
      </c>
      <c r="K293" s="4"/>
      <c r="L293" s="4"/>
      <c r="M293" s="4"/>
      <c r="N293" s="4"/>
      <c r="O293" s="4"/>
      <c r="P293" s="4"/>
      <c r="Q293" s="4"/>
      <c r="R293" s="4"/>
      <c r="S293" s="4"/>
      <c r="T293" s="4"/>
      <c r="U293" s="4"/>
      <c r="V293" s="4"/>
    </row>
    <row r="294" spans="1:22" x14ac:dyDescent="0.3">
      <c r="A294" s="4">
        <v>2505684</v>
      </c>
      <c r="B294" s="108" t="s">
        <v>1465</v>
      </c>
      <c r="C294" s="4" t="s">
        <v>1466</v>
      </c>
      <c r="D294" s="4" t="s">
        <v>1467</v>
      </c>
      <c r="E294" s="4" t="s">
        <v>1468</v>
      </c>
      <c r="F294" s="4" t="s">
        <v>1469</v>
      </c>
      <c r="G294" s="55">
        <v>30000</v>
      </c>
      <c r="H294" s="4" t="s">
        <v>71</v>
      </c>
      <c r="I294" s="4">
        <v>11.21</v>
      </c>
      <c r="J294" s="4" t="s">
        <v>965</v>
      </c>
      <c r="K294" s="4"/>
      <c r="L294" s="4"/>
      <c r="M294" s="4"/>
      <c r="N294" s="4"/>
      <c r="O294" s="4"/>
      <c r="P294" s="4"/>
      <c r="Q294" s="4"/>
      <c r="R294" s="4"/>
      <c r="S294" s="4"/>
      <c r="T294" s="4"/>
      <c r="U294" s="4"/>
      <c r="V294" s="4"/>
    </row>
    <row r="295" spans="1:22" x14ac:dyDescent="0.3">
      <c r="A295" s="4">
        <v>2505697</v>
      </c>
      <c r="B295" s="108" t="s">
        <v>1470</v>
      </c>
      <c r="C295" s="4" t="s">
        <v>1471</v>
      </c>
      <c r="D295" s="4" t="s">
        <v>1472</v>
      </c>
      <c r="E295" s="4" t="s">
        <v>1473</v>
      </c>
      <c r="F295" s="4" t="s">
        <v>1474</v>
      </c>
      <c r="G295" s="55">
        <v>21500</v>
      </c>
      <c r="H295" s="4" t="s">
        <v>71</v>
      </c>
      <c r="I295" s="4">
        <v>7.08</v>
      </c>
      <c r="J295" s="4" t="s">
        <v>965</v>
      </c>
      <c r="K295" s="4"/>
      <c r="L295" s="4"/>
      <c r="M295" s="4"/>
      <c r="N295" s="4"/>
      <c r="O295" s="4"/>
      <c r="P295" s="4"/>
      <c r="Q295" s="4"/>
      <c r="R295" s="4"/>
      <c r="S295" s="4"/>
      <c r="T295" s="4"/>
      <c r="U295" s="4"/>
      <c r="V295" s="4"/>
    </row>
    <row r="296" spans="1:22" x14ac:dyDescent="0.3">
      <c r="A296" s="4">
        <v>2505688</v>
      </c>
      <c r="B296" s="108" t="s">
        <v>1475</v>
      </c>
      <c r="C296" s="4" t="s">
        <v>1476</v>
      </c>
      <c r="D296" s="4" t="s">
        <v>1477</v>
      </c>
      <c r="E296" s="4" t="s">
        <v>1478</v>
      </c>
      <c r="F296" s="4" t="s">
        <v>1479</v>
      </c>
      <c r="G296" s="55">
        <v>40000</v>
      </c>
      <c r="H296" s="4" t="s">
        <v>71</v>
      </c>
      <c r="I296" s="4">
        <v>16.52</v>
      </c>
      <c r="J296" s="4" t="s">
        <v>965</v>
      </c>
      <c r="K296" s="4"/>
      <c r="L296" s="4"/>
      <c r="M296" s="4"/>
      <c r="N296" s="4"/>
      <c r="O296" s="4"/>
      <c r="P296" s="4"/>
      <c r="Q296" s="4"/>
      <c r="R296" s="4"/>
      <c r="S296" s="4"/>
      <c r="T296" s="4"/>
      <c r="U296" s="4"/>
      <c r="V296" s="4"/>
    </row>
    <row r="297" spans="1:22" x14ac:dyDescent="0.3">
      <c r="A297" s="4">
        <v>2505682</v>
      </c>
      <c r="B297" s="108" t="s">
        <v>1480</v>
      </c>
      <c r="C297" s="4" t="s">
        <v>1481</v>
      </c>
      <c r="D297" s="4" t="s">
        <v>1482</v>
      </c>
      <c r="E297" s="4" t="s">
        <v>1483</v>
      </c>
      <c r="F297" s="4" t="s">
        <v>1484</v>
      </c>
      <c r="G297" s="55">
        <v>36620</v>
      </c>
      <c r="H297" s="4" t="s">
        <v>71</v>
      </c>
      <c r="I297" s="4">
        <v>13.42</v>
      </c>
      <c r="J297" s="4" t="s">
        <v>80</v>
      </c>
      <c r="K297" s="4"/>
      <c r="L297" s="4"/>
      <c r="M297" s="4"/>
      <c r="N297" s="4"/>
      <c r="O297" s="4"/>
      <c r="P297" s="4"/>
      <c r="Q297" s="4"/>
      <c r="R297" s="4"/>
      <c r="S297" s="4"/>
      <c r="T297" s="4"/>
      <c r="U297" s="4"/>
      <c r="V297" s="4"/>
    </row>
    <row r="298" spans="1:22" x14ac:dyDescent="0.3">
      <c r="A298" s="4">
        <v>2505699</v>
      </c>
      <c r="B298" s="108" t="s">
        <v>1485</v>
      </c>
      <c r="C298" s="4" t="s">
        <v>1486</v>
      </c>
      <c r="D298" s="4" t="s">
        <v>1487</v>
      </c>
      <c r="E298" s="4" t="s">
        <v>1488</v>
      </c>
      <c r="F298" s="4" t="s">
        <v>1489</v>
      </c>
      <c r="G298" s="55">
        <v>33000</v>
      </c>
      <c r="H298" s="4" t="s">
        <v>71</v>
      </c>
      <c r="I298" s="4">
        <v>11.8</v>
      </c>
      <c r="J298" s="4">
        <v>0</v>
      </c>
      <c r="K298" s="4"/>
      <c r="L298" s="4"/>
      <c r="M298" s="4"/>
      <c r="N298" s="4"/>
      <c r="O298" s="4"/>
      <c r="P298" s="4"/>
      <c r="Q298" s="4"/>
      <c r="R298" s="4"/>
      <c r="S298" s="4"/>
      <c r="T298" s="4"/>
      <c r="U298" s="4"/>
      <c r="V298" s="4"/>
    </row>
    <row r="299" spans="1:22" x14ac:dyDescent="0.3">
      <c r="A299" s="4">
        <v>2503612</v>
      </c>
      <c r="B299" s="108" t="s">
        <v>809</v>
      </c>
      <c r="C299" s="4" t="s">
        <v>810</v>
      </c>
      <c r="D299" s="4" t="s">
        <v>1490</v>
      </c>
      <c r="E299" s="4" t="s">
        <v>812</v>
      </c>
      <c r="F299" s="4" t="s">
        <v>813</v>
      </c>
      <c r="G299" s="55">
        <v>0</v>
      </c>
      <c r="H299" s="4" t="s">
        <v>71</v>
      </c>
      <c r="I299" s="4">
        <v>17.7</v>
      </c>
      <c r="J299" s="4">
        <v>0</v>
      </c>
      <c r="K299" s="4"/>
      <c r="L299" s="4"/>
      <c r="M299" s="4"/>
      <c r="N299" s="4"/>
      <c r="O299" s="4"/>
      <c r="P299" s="4"/>
      <c r="Q299" s="4"/>
      <c r="R299" s="4"/>
      <c r="S299" s="4"/>
      <c r="T299" s="4"/>
      <c r="U299" s="4"/>
      <c r="V299" s="4"/>
    </row>
    <row r="300" spans="1:22" x14ac:dyDescent="0.3">
      <c r="A300" s="4">
        <v>2505680</v>
      </c>
      <c r="B300" s="108" t="s">
        <v>1491</v>
      </c>
      <c r="C300" s="4" t="s">
        <v>1492</v>
      </c>
      <c r="D300" s="4" t="s">
        <v>1493</v>
      </c>
      <c r="E300" s="4" t="s">
        <v>1494</v>
      </c>
      <c r="F300" s="4" t="s">
        <v>1495</v>
      </c>
      <c r="G300" s="55">
        <v>41000</v>
      </c>
      <c r="H300" s="4" t="s">
        <v>71</v>
      </c>
      <c r="I300" s="4">
        <v>17.7</v>
      </c>
      <c r="J300" s="4">
        <v>0</v>
      </c>
      <c r="K300" s="4"/>
      <c r="L300" s="4"/>
      <c r="M300" s="4"/>
      <c r="N300" s="4"/>
      <c r="O300" s="4"/>
      <c r="P300" s="4"/>
      <c r="Q300" s="4"/>
      <c r="R300" s="4"/>
      <c r="S300" s="4"/>
      <c r="T300" s="4"/>
      <c r="U300" s="4"/>
      <c r="V300" s="4"/>
    </row>
    <row r="301" spans="1:22" x14ac:dyDescent="0.3">
      <c r="A301" s="4">
        <v>2503607</v>
      </c>
      <c r="B301" s="108" t="s">
        <v>1496</v>
      </c>
      <c r="C301" s="4" t="s">
        <v>1497</v>
      </c>
      <c r="D301" s="4" t="s">
        <v>1498</v>
      </c>
      <c r="E301" s="4" t="s">
        <v>1499</v>
      </c>
      <c r="F301" s="4" t="s">
        <v>1500</v>
      </c>
      <c r="G301" s="55">
        <v>29000</v>
      </c>
      <c r="H301" s="4" t="s">
        <v>71</v>
      </c>
      <c r="I301" s="4">
        <v>10.62</v>
      </c>
      <c r="J301" s="4" t="s">
        <v>965</v>
      </c>
      <c r="K301" s="4"/>
      <c r="L301" s="4"/>
      <c r="M301" s="4"/>
      <c r="N301" s="4"/>
      <c r="O301" s="4"/>
      <c r="P301" s="4"/>
      <c r="Q301" s="4"/>
      <c r="R301" s="4"/>
      <c r="S301" s="4"/>
      <c r="T301" s="4"/>
      <c r="U301" s="4"/>
      <c r="V301" s="4"/>
    </row>
    <row r="302" spans="1:22" x14ac:dyDescent="0.3">
      <c r="A302" s="4">
        <v>2505711</v>
      </c>
      <c r="B302" s="108" t="s">
        <v>1501</v>
      </c>
      <c r="C302" s="4" t="s">
        <v>1502</v>
      </c>
      <c r="D302" s="4" t="s">
        <v>1503</v>
      </c>
      <c r="E302" s="4" t="s">
        <v>1504</v>
      </c>
      <c r="F302" s="4" t="s">
        <v>1505</v>
      </c>
      <c r="G302" s="55">
        <v>25500</v>
      </c>
      <c r="H302" s="4" t="s">
        <v>71</v>
      </c>
      <c r="I302" s="4">
        <v>8.26</v>
      </c>
      <c r="J302" s="4" t="s">
        <v>965</v>
      </c>
      <c r="K302" s="4"/>
      <c r="L302" s="4"/>
      <c r="M302" s="4"/>
      <c r="N302" s="4"/>
      <c r="O302" s="4"/>
      <c r="P302" s="4"/>
      <c r="Q302" s="4"/>
      <c r="R302" s="4"/>
      <c r="S302" s="4"/>
      <c r="T302" s="4"/>
      <c r="U302" s="4"/>
      <c r="V302" s="4"/>
    </row>
    <row r="303" spans="1:22" x14ac:dyDescent="0.3">
      <c r="A303" s="4">
        <v>2505713</v>
      </c>
      <c r="B303" s="108" t="s">
        <v>1506</v>
      </c>
      <c r="C303" s="4" t="s">
        <v>1507</v>
      </c>
      <c r="D303" s="4" t="s">
        <v>1508</v>
      </c>
      <c r="E303" s="4" t="s">
        <v>1509</v>
      </c>
      <c r="F303" s="4" t="s">
        <v>1510</v>
      </c>
      <c r="G303" s="55">
        <v>41000</v>
      </c>
      <c r="H303" s="4" t="s">
        <v>71</v>
      </c>
      <c r="I303" s="4">
        <v>17.7</v>
      </c>
      <c r="J303" s="4" t="s">
        <v>965</v>
      </c>
      <c r="K303" s="4"/>
      <c r="L303" s="4"/>
      <c r="M303" s="4"/>
      <c r="N303" s="4"/>
      <c r="O303" s="4"/>
      <c r="P303" s="4"/>
      <c r="Q303" s="4"/>
      <c r="R303" s="4"/>
      <c r="S303" s="4"/>
      <c r="T303" s="4"/>
      <c r="U303" s="4"/>
      <c r="V303" s="4"/>
    </row>
    <row r="304" spans="1:22" x14ac:dyDescent="0.3">
      <c r="A304" s="4">
        <v>2505714</v>
      </c>
      <c r="B304" s="108" t="s">
        <v>1511</v>
      </c>
      <c r="C304" s="4" t="s">
        <v>1512</v>
      </c>
      <c r="D304" s="4" t="s">
        <v>1513</v>
      </c>
      <c r="E304" s="4" t="s">
        <v>1514</v>
      </c>
      <c r="F304" s="4" t="s">
        <v>1515</v>
      </c>
      <c r="G304" s="55">
        <v>22500</v>
      </c>
      <c r="H304" s="4" t="s">
        <v>71</v>
      </c>
      <c r="I304" s="4">
        <v>7.08</v>
      </c>
      <c r="J304" s="4" t="s">
        <v>965</v>
      </c>
      <c r="K304" s="4"/>
      <c r="L304" s="4"/>
      <c r="M304" s="4"/>
      <c r="N304" s="4"/>
      <c r="O304" s="4"/>
      <c r="P304" s="4"/>
      <c r="Q304" s="4"/>
      <c r="R304" s="4"/>
      <c r="S304" s="4"/>
      <c r="T304" s="4"/>
      <c r="U304" s="4"/>
      <c r="V304" s="4"/>
    </row>
    <row r="305" spans="1:22" x14ac:dyDescent="0.3">
      <c r="A305" s="4">
        <v>2405306</v>
      </c>
      <c r="B305" s="108" t="s">
        <v>773</v>
      </c>
      <c r="C305" s="4" t="s">
        <v>774</v>
      </c>
      <c r="D305" s="4" t="s">
        <v>1516</v>
      </c>
      <c r="E305" s="4" t="s">
        <v>776</v>
      </c>
      <c r="F305" s="4" t="s">
        <v>777</v>
      </c>
      <c r="G305" s="55">
        <v>43000</v>
      </c>
      <c r="H305" s="4" t="s">
        <v>71</v>
      </c>
      <c r="I305" s="4">
        <v>17.7</v>
      </c>
      <c r="J305" s="4" t="s">
        <v>965</v>
      </c>
      <c r="K305" s="4"/>
      <c r="L305" s="4"/>
      <c r="M305" s="4"/>
      <c r="N305" s="4"/>
      <c r="O305" s="4"/>
      <c r="P305" s="4"/>
      <c r="Q305" s="4"/>
      <c r="R305" s="4"/>
      <c r="S305" s="4"/>
      <c r="T305" s="4"/>
      <c r="U305" s="4"/>
      <c r="V305" s="4"/>
    </row>
    <row r="306" spans="1:22" x14ac:dyDescent="0.3">
      <c r="A306" s="4">
        <v>2505705</v>
      </c>
      <c r="B306" s="108" t="s">
        <v>1517</v>
      </c>
      <c r="C306" s="4" t="s">
        <v>1518</v>
      </c>
      <c r="D306" s="4" t="s">
        <v>1519</v>
      </c>
      <c r="E306" s="4" t="s">
        <v>1520</v>
      </c>
      <c r="F306" s="4" t="s">
        <v>1521</v>
      </c>
      <c r="G306" s="55">
        <v>21500</v>
      </c>
      <c r="H306" s="4" t="s">
        <v>71</v>
      </c>
      <c r="I306" s="4">
        <v>7.08</v>
      </c>
      <c r="J306" s="4" t="s">
        <v>965</v>
      </c>
      <c r="K306" s="4"/>
      <c r="L306" s="4"/>
      <c r="M306" s="4"/>
      <c r="N306" s="4"/>
      <c r="O306" s="4"/>
      <c r="P306" s="4"/>
      <c r="Q306" s="4"/>
      <c r="R306" s="4"/>
      <c r="S306" s="4"/>
      <c r="T306" s="4"/>
      <c r="U306" s="4"/>
      <c r="V306" s="4"/>
    </row>
    <row r="307" spans="1:22" x14ac:dyDescent="0.3">
      <c r="A307" s="4">
        <v>2505717</v>
      </c>
      <c r="B307" s="108" t="s">
        <v>1522</v>
      </c>
      <c r="C307" s="4" t="s">
        <v>1523</v>
      </c>
      <c r="D307" s="4" t="s">
        <v>1524</v>
      </c>
      <c r="E307" s="4" t="s">
        <v>1525</v>
      </c>
      <c r="F307" s="4" t="s">
        <v>1526</v>
      </c>
      <c r="G307" s="55">
        <v>42000</v>
      </c>
      <c r="H307" s="4" t="s">
        <v>71</v>
      </c>
      <c r="I307" s="4">
        <v>16.52</v>
      </c>
      <c r="J307" s="4" t="s">
        <v>965</v>
      </c>
      <c r="K307" s="4"/>
      <c r="L307" s="4"/>
      <c r="M307" s="4"/>
      <c r="N307" s="4"/>
      <c r="O307" s="4"/>
      <c r="P307" s="4"/>
      <c r="Q307" s="4"/>
      <c r="R307" s="4"/>
      <c r="S307" s="4"/>
      <c r="T307" s="4"/>
      <c r="U307" s="4"/>
      <c r="V307" s="4"/>
    </row>
    <row r="308" spans="1:22" x14ac:dyDescent="0.3">
      <c r="A308" s="4" t="s">
        <v>1527</v>
      </c>
      <c r="B308" s="108" t="s">
        <v>1528</v>
      </c>
      <c r="C308" s="4">
        <v>0</v>
      </c>
      <c r="D308" s="4">
        <v>0</v>
      </c>
      <c r="E308" s="4">
        <v>0</v>
      </c>
      <c r="F308" s="4">
        <v>0</v>
      </c>
      <c r="G308" s="55">
        <v>32000</v>
      </c>
      <c r="H308" s="4" t="s">
        <v>71</v>
      </c>
      <c r="I308" s="4">
        <v>11.8</v>
      </c>
      <c r="J308" s="4">
        <v>0</v>
      </c>
      <c r="K308" s="4"/>
      <c r="L308" s="4"/>
      <c r="M308" s="4"/>
      <c r="N308" s="4"/>
      <c r="O308" s="4"/>
      <c r="P308" s="4"/>
      <c r="Q308" s="4"/>
      <c r="R308" s="4"/>
      <c r="S308" s="4"/>
      <c r="T308" s="4"/>
      <c r="U308" s="4"/>
      <c r="V308" s="4"/>
    </row>
    <row r="309" spans="1:22" x14ac:dyDescent="0.3">
      <c r="A309" s="4">
        <v>2505719</v>
      </c>
      <c r="B309" s="108" t="s">
        <v>1529</v>
      </c>
      <c r="C309" s="4" t="s">
        <v>1530</v>
      </c>
      <c r="D309" s="4" t="s">
        <v>1531</v>
      </c>
      <c r="E309" s="4" t="s">
        <v>1532</v>
      </c>
      <c r="F309" s="4" t="s">
        <v>1533</v>
      </c>
      <c r="G309" s="55">
        <v>27000</v>
      </c>
      <c r="H309" s="4" t="s">
        <v>71</v>
      </c>
      <c r="I309" s="4">
        <v>11.78</v>
      </c>
      <c r="J309" s="4" t="s">
        <v>109</v>
      </c>
      <c r="K309" s="265" t="s">
        <v>109</v>
      </c>
      <c r="L309" s="266" t="s">
        <v>109</v>
      </c>
      <c r="M309" s="267"/>
      <c r="N309" s="265" t="s">
        <v>109</v>
      </c>
      <c r="O309" s="266"/>
      <c r="P309" s="267"/>
      <c r="Q309" s="265" t="s">
        <v>109</v>
      </c>
      <c r="R309" s="266"/>
      <c r="S309" s="267"/>
      <c r="T309" s="265" t="s">
        <v>109</v>
      </c>
      <c r="U309" s="266"/>
      <c r="V309" s="267"/>
    </row>
    <row r="310" spans="1:22" ht="15.6" customHeight="1" x14ac:dyDescent="0.3">
      <c r="A310" s="4">
        <v>2505687</v>
      </c>
      <c r="B310" s="108" t="s">
        <v>1535</v>
      </c>
      <c r="C310" s="4" t="s">
        <v>1536</v>
      </c>
      <c r="D310" s="4" t="s">
        <v>1537</v>
      </c>
      <c r="E310" s="4" t="s">
        <v>1538</v>
      </c>
      <c r="F310" s="4" t="s">
        <v>1539</v>
      </c>
      <c r="G310" s="55">
        <v>30000</v>
      </c>
      <c r="H310" s="4" t="s">
        <v>71</v>
      </c>
      <c r="I310" s="4">
        <v>10.029999999999999</v>
      </c>
      <c r="J310" s="4" t="s">
        <v>109</v>
      </c>
      <c r="K310" s="265" t="s">
        <v>109</v>
      </c>
      <c r="L310" s="266" t="s">
        <v>109</v>
      </c>
      <c r="M310" s="267"/>
      <c r="N310" s="265" t="s">
        <v>109</v>
      </c>
      <c r="O310" s="266"/>
      <c r="P310" s="267"/>
      <c r="Q310" s="265" t="s">
        <v>109</v>
      </c>
      <c r="R310" s="266"/>
      <c r="S310" s="267"/>
      <c r="T310" s="265" t="s">
        <v>109</v>
      </c>
      <c r="U310" s="266"/>
      <c r="V310" s="267"/>
    </row>
    <row r="311" spans="1:22" x14ac:dyDescent="0.3">
      <c r="A311" s="4">
        <v>2505718</v>
      </c>
      <c r="B311" s="108" t="s">
        <v>1540</v>
      </c>
      <c r="C311" s="4" t="s">
        <v>1541</v>
      </c>
      <c r="D311" s="4" t="s">
        <v>1542</v>
      </c>
      <c r="E311" s="4" t="s">
        <v>1543</v>
      </c>
      <c r="F311" s="4" t="s">
        <v>1544</v>
      </c>
      <c r="G311" s="55">
        <v>23500</v>
      </c>
      <c r="H311" s="4" t="s">
        <v>71</v>
      </c>
      <c r="I311" s="4">
        <v>7.44</v>
      </c>
      <c r="J311" s="4" t="s">
        <v>965</v>
      </c>
      <c r="K311" s="4"/>
      <c r="L311" s="4"/>
      <c r="M311" s="4"/>
      <c r="N311" s="4"/>
      <c r="O311" s="4"/>
      <c r="P311" s="4"/>
      <c r="Q311" s="4"/>
      <c r="R311" s="4"/>
      <c r="S311" s="4"/>
      <c r="T311" s="4"/>
      <c r="U311" s="4"/>
      <c r="V311" s="4"/>
    </row>
    <row r="312" spans="1:22" x14ac:dyDescent="0.3">
      <c r="A312" s="4">
        <v>2506726</v>
      </c>
      <c r="B312" s="108" t="s">
        <v>1545</v>
      </c>
      <c r="C312" s="4" t="s">
        <v>1546</v>
      </c>
      <c r="D312" s="4" t="s">
        <v>1547</v>
      </c>
      <c r="E312" s="4" t="s">
        <v>1548</v>
      </c>
      <c r="F312" s="4" t="s">
        <v>1549</v>
      </c>
      <c r="G312" s="55">
        <v>22000</v>
      </c>
      <c r="H312" s="4" t="s">
        <v>71</v>
      </c>
      <c r="I312" s="4">
        <v>7.44</v>
      </c>
      <c r="J312" s="4" t="s">
        <v>965</v>
      </c>
      <c r="K312" s="4"/>
      <c r="L312" s="4"/>
      <c r="M312" s="4"/>
      <c r="N312" s="4"/>
      <c r="O312" s="4"/>
      <c r="P312" s="4"/>
      <c r="Q312" s="4"/>
      <c r="R312" s="4"/>
      <c r="S312" s="4"/>
      <c r="T312" s="4"/>
      <c r="U312" s="4"/>
      <c r="V312" s="4"/>
    </row>
    <row r="313" spans="1:22" x14ac:dyDescent="0.3">
      <c r="A313" s="4">
        <v>2506735</v>
      </c>
      <c r="B313" s="108" t="s">
        <v>1550</v>
      </c>
      <c r="C313" s="4" t="s">
        <v>1551</v>
      </c>
      <c r="D313" s="4" t="s">
        <v>1552</v>
      </c>
      <c r="E313" s="4" t="s">
        <v>1553</v>
      </c>
      <c r="F313" s="4" t="s">
        <v>1554</v>
      </c>
      <c r="G313" s="55">
        <v>19000</v>
      </c>
      <c r="H313" s="4" t="s">
        <v>71</v>
      </c>
      <c r="I313" s="4">
        <v>7.44</v>
      </c>
      <c r="J313" s="4" t="s">
        <v>109</v>
      </c>
      <c r="K313" s="265" t="s">
        <v>109</v>
      </c>
      <c r="L313" s="266" t="s">
        <v>109</v>
      </c>
      <c r="M313" s="267"/>
      <c r="N313" s="265" t="s">
        <v>109</v>
      </c>
      <c r="O313" s="266"/>
      <c r="P313" s="267"/>
      <c r="Q313" s="265" t="s">
        <v>109</v>
      </c>
      <c r="R313" s="266"/>
      <c r="S313" s="267"/>
      <c r="T313" s="265" t="s">
        <v>109</v>
      </c>
      <c r="U313" s="266"/>
      <c r="V313" s="267"/>
    </row>
    <row r="314" spans="1:22" x14ac:dyDescent="0.3">
      <c r="A314" s="4">
        <v>2506734</v>
      </c>
      <c r="B314" s="108" t="s">
        <v>1555</v>
      </c>
      <c r="C314" s="4" t="s">
        <v>1556</v>
      </c>
      <c r="D314" s="4" t="s">
        <v>1557</v>
      </c>
      <c r="E314" s="4" t="s">
        <v>1558</v>
      </c>
      <c r="F314" s="4" t="s">
        <v>1559</v>
      </c>
      <c r="G314" s="55">
        <v>25500</v>
      </c>
      <c r="H314" s="4" t="s">
        <v>71</v>
      </c>
      <c r="I314" s="4">
        <v>11.16</v>
      </c>
      <c r="J314" s="4" t="s">
        <v>109</v>
      </c>
      <c r="K314" s="265" t="s">
        <v>109</v>
      </c>
      <c r="L314" s="266" t="s">
        <v>109</v>
      </c>
      <c r="M314" s="267"/>
      <c r="N314" s="265" t="s">
        <v>109</v>
      </c>
      <c r="O314" s="266"/>
      <c r="P314" s="267"/>
      <c r="Q314" s="265" t="s">
        <v>109</v>
      </c>
      <c r="R314" s="266"/>
      <c r="S314" s="267"/>
      <c r="T314" s="265" t="s">
        <v>109</v>
      </c>
      <c r="U314" s="266"/>
      <c r="V314" s="267"/>
    </row>
    <row r="315" spans="1:22" x14ac:dyDescent="0.3">
      <c r="A315" s="4">
        <v>2505708</v>
      </c>
      <c r="B315" s="108" t="s">
        <v>1560</v>
      </c>
      <c r="C315" s="4">
        <v>0</v>
      </c>
      <c r="D315" s="4">
        <v>0</v>
      </c>
      <c r="E315" s="4">
        <v>0</v>
      </c>
      <c r="F315" s="4">
        <v>0</v>
      </c>
      <c r="G315" s="55">
        <v>20500</v>
      </c>
      <c r="H315" s="4" t="s">
        <v>71</v>
      </c>
      <c r="I315" s="4">
        <v>7.44</v>
      </c>
      <c r="J315" s="4">
        <v>0</v>
      </c>
      <c r="K315" s="4"/>
      <c r="L315" s="4"/>
      <c r="M315" s="4"/>
      <c r="N315" s="4"/>
      <c r="O315" s="4"/>
      <c r="P315" s="4"/>
      <c r="Q315" s="4"/>
      <c r="R315" s="4"/>
      <c r="S315" s="4"/>
      <c r="T315" s="4"/>
      <c r="U315" s="4"/>
      <c r="V315" s="4"/>
    </row>
    <row r="316" spans="1:22" x14ac:dyDescent="0.3">
      <c r="A316" s="4">
        <v>2506744</v>
      </c>
      <c r="B316" s="108" t="s">
        <v>1561</v>
      </c>
      <c r="C316" s="4" t="s">
        <v>1562</v>
      </c>
      <c r="D316" s="4" t="s">
        <v>1563</v>
      </c>
      <c r="E316" s="4" t="s">
        <v>1564</v>
      </c>
      <c r="F316" s="4" t="s">
        <v>1565</v>
      </c>
      <c r="G316" s="55">
        <v>32500</v>
      </c>
      <c r="H316" s="4" t="s">
        <v>71</v>
      </c>
      <c r="I316" s="4">
        <v>14.88</v>
      </c>
      <c r="J316" s="4" t="s">
        <v>965</v>
      </c>
      <c r="K316" s="4"/>
      <c r="L316" s="4"/>
      <c r="M316" s="4"/>
      <c r="N316" s="4"/>
      <c r="O316" s="4"/>
      <c r="P316" s="4"/>
      <c r="Q316" s="4"/>
      <c r="R316" s="4"/>
      <c r="S316" s="4"/>
      <c r="T316" s="4"/>
      <c r="U316" s="4"/>
      <c r="V316" s="4"/>
    </row>
    <row r="317" spans="1:22" x14ac:dyDescent="0.3">
      <c r="A317" s="4">
        <v>2506727</v>
      </c>
      <c r="B317" s="108" t="s">
        <v>1566</v>
      </c>
      <c r="C317" s="4" t="s">
        <v>1567</v>
      </c>
      <c r="D317" s="4" t="s">
        <v>1568</v>
      </c>
      <c r="E317" s="4" t="s">
        <v>1569</v>
      </c>
      <c r="F317" s="4" t="s">
        <v>1570</v>
      </c>
      <c r="G317" s="55">
        <v>28300</v>
      </c>
      <c r="H317" s="4" t="s">
        <v>71</v>
      </c>
      <c r="I317" s="4">
        <v>12.4</v>
      </c>
      <c r="J317" s="4" t="s">
        <v>109</v>
      </c>
      <c r="K317" s="265" t="s">
        <v>109</v>
      </c>
      <c r="L317" s="266" t="s">
        <v>109</v>
      </c>
      <c r="M317" s="267"/>
      <c r="N317" s="265" t="s">
        <v>109</v>
      </c>
      <c r="O317" s="266"/>
      <c r="P317" s="267"/>
      <c r="Q317" s="265" t="s">
        <v>109</v>
      </c>
      <c r="R317" s="266"/>
      <c r="S317" s="267"/>
      <c r="T317" s="265" t="s">
        <v>109</v>
      </c>
      <c r="U317" s="266"/>
      <c r="V317" s="267"/>
    </row>
    <row r="318" spans="1:22" x14ac:dyDescent="0.3">
      <c r="A318" s="4">
        <v>2505054</v>
      </c>
      <c r="B318" s="108" t="s">
        <v>1571</v>
      </c>
      <c r="C318" s="4">
        <v>0</v>
      </c>
      <c r="D318" s="4">
        <v>0</v>
      </c>
      <c r="E318" s="4">
        <v>0</v>
      </c>
      <c r="F318" s="4">
        <v>0</v>
      </c>
      <c r="G318" s="55">
        <v>59345</v>
      </c>
      <c r="H318" s="4" t="s">
        <v>206</v>
      </c>
      <c r="I318" s="4">
        <v>0</v>
      </c>
      <c r="J318" s="4" t="s">
        <v>109</v>
      </c>
      <c r="K318" s="265" t="s">
        <v>109</v>
      </c>
      <c r="L318" s="266" t="s">
        <v>109</v>
      </c>
      <c r="M318" s="267"/>
      <c r="N318" s="265" t="s">
        <v>109</v>
      </c>
      <c r="O318" s="266"/>
      <c r="P318" s="267"/>
      <c r="Q318" s="265" t="s">
        <v>109</v>
      </c>
      <c r="R318" s="266"/>
      <c r="S318" s="267"/>
      <c r="T318" s="265" t="s">
        <v>109</v>
      </c>
      <c r="U318" s="266"/>
      <c r="V318" s="267"/>
    </row>
    <row r="319" spans="1:22" x14ac:dyDescent="0.3">
      <c r="A319" s="4">
        <v>2506752</v>
      </c>
      <c r="B319" s="108" t="s">
        <v>1572</v>
      </c>
      <c r="C319" s="4" t="s">
        <v>1573</v>
      </c>
      <c r="D319" s="4" t="s">
        <v>1574</v>
      </c>
      <c r="E319" s="4" t="s">
        <v>1575</v>
      </c>
      <c r="F319" s="4" t="s">
        <v>1576</v>
      </c>
      <c r="G319" s="55">
        <v>22500</v>
      </c>
      <c r="H319" s="4" t="s">
        <v>71</v>
      </c>
      <c r="I319" s="4">
        <v>7.44</v>
      </c>
      <c r="J319" s="4" t="s">
        <v>965</v>
      </c>
      <c r="K319" s="4"/>
      <c r="L319" s="4"/>
      <c r="M319" s="4"/>
      <c r="N319" s="4"/>
      <c r="O319" s="4"/>
      <c r="P319" s="4"/>
      <c r="Q319" s="4"/>
      <c r="R319" s="4"/>
      <c r="S319" s="4"/>
      <c r="T319" s="4"/>
      <c r="U319" s="4"/>
      <c r="V319" s="4"/>
    </row>
    <row r="320" spans="1:22" x14ac:dyDescent="0.3">
      <c r="A320" s="4">
        <v>2501523</v>
      </c>
      <c r="B320" s="108" t="s">
        <v>1577</v>
      </c>
      <c r="C320" s="4" t="s">
        <v>1578</v>
      </c>
      <c r="D320" s="4" t="s">
        <v>1579</v>
      </c>
      <c r="E320" s="4" t="s">
        <v>1580</v>
      </c>
      <c r="F320" s="4" t="s">
        <v>1581</v>
      </c>
      <c r="G320" s="55">
        <v>44880</v>
      </c>
      <c r="H320" s="4" t="s">
        <v>71</v>
      </c>
      <c r="I320" s="4">
        <v>17.7</v>
      </c>
      <c r="J320" s="4" t="s">
        <v>965</v>
      </c>
      <c r="K320" s="4"/>
      <c r="L320" s="4"/>
      <c r="M320" s="4"/>
      <c r="N320" s="4"/>
      <c r="O320" s="4"/>
      <c r="P320" s="4"/>
      <c r="Q320" s="4"/>
      <c r="R320" s="4"/>
      <c r="S320" s="4"/>
      <c r="T320" s="4"/>
      <c r="U320" s="4"/>
      <c r="V320" s="4"/>
    </row>
    <row r="321" spans="1:22" x14ac:dyDescent="0.3">
      <c r="A321" s="4">
        <v>2506748</v>
      </c>
      <c r="B321" s="108" t="s">
        <v>1582</v>
      </c>
      <c r="C321" s="4" t="s">
        <v>1583</v>
      </c>
      <c r="D321" s="4" t="s">
        <v>1584</v>
      </c>
      <c r="E321" s="4" t="s">
        <v>1585</v>
      </c>
      <c r="F321" s="4">
        <v>0</v>
      </c>
      <c r="G321" s="55">
        <v>22500</v>
      </c>
      <c r="H321" s="4" t="s">
        <v>71</v>
      </c>
      <c r="I321" s="4">
        <v>8.68</v>
      </c>
      <c r="J321" s="4" t="s">
        <v>109</v>
      </c>
      <c r="K321" s="265" t="s">
        <v>109</v>
      </c>
      <c r="L321" s="266" t="s">
        <v>109</v>
      </c>
      <c r="M321" s="267"/>
      <c r="N321" s="265" t="s">
        <v>109</v>
      </c>
      <c r="O321" s="266"/>
      <c r="P321" s="267"/>
      <c r="Q321" s="265" t="s">
        <v>109</v>
      </c>
      <c r="R321" s="266"/>
      <c r="S321" s="267"/>
      <c r="T321" s="265" t="s">
        <v>109</v>
      </c>
      <c r="U321" s="266"/>
      <c r="V321" s="267"/>
    </row>
    <row r="322" spans="1:22" x14ac:dyDescent="0.3">
      <c r="A322" s="4">
        <v>2505709</v>
      </c>
      <c r="B322" s="108" t="s">
        <v>1586</v>
      </c>
      <c r="C322" s="4" t="s">
        <v>1587</v>
      </c>
      <c r="D322" s="4" t="s">
        <v>1588</v>
      </c>
      <c r="E322" s="4" t="s">
        <v>1589</v>
      </c>
      <c r="F322" s="4" t="s">
        <v>1590</v>
      </c>
      <c r="G322" s="55">
        <v>39000.400000000001</v>
      </c>
      <c r="H322" s="4" t="s">
        <v>71</v>
      </c>
      <c r="I322" s="4">
        <v>17.98</v>
      </c>
      <c r="J322" s="4" t="s">
        <v>965</v>
      </c>
      <c r="K322" s="4"/>
      <c r="L322" s="4"/>
      <c r="M322" s="4"/>
      <c r="N322" s="4"/>
      <c r="O322" s="4"/>
      <c r="P322" s="4"/>
      <c r="Q322" s="4"/>
      <c r="R322" s="4"/>
      <c r="S322" s="4"/>
      <c r="T322" s="4"/>
      <c r="U322" s="4"/>
      <c r="V322" s="4"/>
    </row>
    <row r="323" spans="1:22" x14ac:dyDescent="0.3">
      <c r="A323" s="4">
        <v>2501531</v>
      </c>
      <c r="B323" s="108" t="s">
        <v>1591</v>
      </c>
      <c r="C323" s="4" t="s">
        <v>1592</v>
      </c>
      <c r="D323" s="4" t="s">
        <v>1593</v>
      </c>
      <c r="E323" s="4" t="s">
        <v>1594</v>
      </c>
      <c r="F323" s="4" t="s">
        <v>1595</v>
      </c>
      <c r="G323" s="55">
        <v>30500</v>
      </c>
      <c r="H323" s="4" t="s">
        <v>71</v>
      </c>
      <c r="I323" s="4">
        <v>13.64</v>
      </c>
      <c r="J323" s="4" t="s">
        <v>80</v>
      </c>
      <c r="K323" s="4"/>
      <c r="L323" s="4"/>
      <c r="M323" s="4"/>
      <c r="N323" s="4"/>
      <c r="O323" s="4"/>
      <c r="P323" s="4"/>
      <c r="Q323" s="4"/>
      <c r="R323" s="4"/>
      <c r="S323" s="4"/>
      <c r="T323" s="4"/>
      <c r="U323" s="4"/>
      <c r="V323" s="4"/>
    </row>
    <row r="324" spans="1:22" x14ac:dyDescent="0.3">
      <c r="A324" s="4">
        <v>2506757</v>
      </c>
      <c r="B324" s="108" t="s">
        <v>1596</v>
      </c>
      <c r="C324" s="4" t="s">
        <v>1597</v>
      </c>
      <c r="D324" s="4" t="s">
        <v>1598</v>
      </c>
      <c r="E324" s="4" t="s">
        <v>1599</v>
      </c>
      <c r="F324" s="4" t="s">
        <v>1600</v>
      </c>
      <c r="G324" s="55">
        <v>21500</v>
      </c>
      <c r="H324" s="4" t="s">
        <v>71</v>
      </c>
      <c r="I324" s="4">
        <v>7.44</v>
      </c>
      <c r="J324" s="4" t="s">
        <v>965</v>
      </c>
      <c r="K324" s="4"/>
      <c r="L324" s="4"/>
      <c r="M324" s="4"/>
      <c r="N324" s="4"/>
      <c r="O324" s="4"/>
      <c r="P324" s="4"/>
      <c r="Q324" s="4"/>
      <c r="R324" s="4"/>
      <c r="S324" s="4"/>
      <c r="T324" s="4"/>
      <c r="U324" s="4"/>
      <c r="V324" s="4"/>
    </row>
    <row r="325" spans="1:22" x14ac:dyDescent="0.3">
      <c r="A325" s="4">
        <v>2505259</v>
      </c>
      <c r="B325" s="108" t="s">
        <v>1601</v>
      </c>
      <c r="C325" s="4">
        <v>0</v>
      </c>
      <c r="D325" s="4" t="s">
        <v>1602</v>
      </c>
      <c r="E325" s="4" t="s">
        <v>1603</v>
      </c>
      <c r="F325" s="4" t="s">
        <v>1604</v>
      </c>
      <c r="G325" s="55">
        <v>45000</v>
      </c>
      <c r="H325" s="4" t="s">
        <v>124</v>
      </c>
      <c r="I325" s="4">
        <v>19.52</v>
      </c>
      <c r="J325" s="4" t="s">
        <v>109</v>
      </c>
      <c r="K325" s="265" t="s">
        <v>109</v>
      </c>
      <c r="L325" s="266" t="s">
        <v>109</v>
      </c>
      <c r="M325" s="267"/>
      <c r="N325" s="265" t="s">
        <v>109</v>
      </c>
      <c r="O325" s="266"/>
      <c r="P325" s="267"/>
      <c r="Q325" s="265" t="s">
        <v>109</v>
      </c>
      <c r="R325" s="266"/>
      <c r="S325" s="267"/>
      <c r="T325" s="265" t="s">
        <v>109</v>
      </c>
      <c r="U325" s="266"/>
      <c r="V325" s="267"/>
    </row>
    <row r="326" spans="1:22" x14ac:dyDescent="0.3">
      <c r="A326" s="4">
        <v>2506758</v>
      </c>
      <c r="B326" s="108" t="s">
        <v>1605</v>
      </c>
      <c r="C326" s="4" t="s">
        <v>1606</v>
      </c>
      <c r="D326" s="4" t="s">
        <v>1607</v>
      </c>
      <c r="E326" s="4" t="s">
        <v>1608</v>
      </c>
      <c r="F326" s="4" t="s">
        <v>1609</v>
      </c>
      <c r="G326" s="55">
        <v>39500</v>
      </c>
      <c r="H326" s="4" t="s">
        <v>71</v>
      </c>
      <c r="I326" s="4">
        <v>17.98</v>
      </c>
      <c r="J326" s="4" t="s">
        <v>965</v>
      </c>
      <c r="K326" s="4"/>
      <c r="L326" s="4"/>
      <c r="M326" s="4"/>
      <c r="N326" s="4"/>
      <c r="O326" s="4"/>
      <c r="P326" s="4"/>
      <c r="Q326" s="4"/>
      <c r="R326" s="4"/>
      <c r="S326" s="4"/>
      <c r="T326" s="4"/>
      <c r="U326" s="4"/>
      <c r="V326" s="4"/>
    </row>
    <row r="327" spans="1:22" x14ac:dyDescent="0.3">
      <c r="A327" s="4">
        <v>2506762</v>
      </c>
      <c r="B327" s="108" t="s">
        <v>1610</v>
      </c>
      <c r="C327" s="4" t="s">
        <v>1611</v>
      </c>
      <c r="D327" s="4" t="s">
        <v>1612</v>
      </c>
      <c r="E327" s="4" t="s">
        <v>1613</v>
      </c>
      <c r="F327" s="4" t="s">
        <v>1614</v>
      </c>
      <c r="G327" s="55">
        <v>32500</v>
      </c>
      <c r="H327" s="4" t="s">
        <v>71</v>
      </c>
      <c r="I327" s="4">
        <v>12.4</v>
      </c>
      <c r="J327" s="4" t="s">
        <v>965</v>
      </c>
      <c r="K327" s="4"/>
      <c r="L327" s="4"/>
      <c r="M327" s="4"/>
      <c r="N327" s="4"/>
      <c r="O327" s="4"/>
      <c r="P327" s="4"/>
      <c r="Q327" s="4"/>
      <c r="R327" s="4"/>
      <c r="S327" s="4"/>
      <c r="T327" s="4"/>
      <c r="U327" s="4"/>
      <c r="V327" s="4"/>
    </row>
    <row r="328" spans="1:22" x14ac:dyDescent="0.3">
      <c r="A328" s="4">
        <v>2506753</v>
      </c>
      <c r="B328" s="108" t="s">
        <v>1615</v>
      </c>
      <c r="C328" s="4" t="s">
        <v>1616</v>
      </c>
      <c r="D328" s="4" t="s">
        <v>1617</v>
      </c>
      <c r="E328" s="4" t="s">
        <v>1618</v>
      </c>
      <c r="F328" s="4" t="s">
        <v>1619</v>
      </c>
      <c r="G328" s="55">
        <v>27500</v>
      </c>
      <c r="H328" s="4" t="s">
        <v>71</v>
      </c>
      <c r="I328" s="4">
        <v>11.78</v>
      </c>
      <c r="J328" s="4" t="s">
        <v>965</v>
      </c>
      <c r="K328" s="4"/>
      <c r="L328" s="4"/>
      <c r="M328" s="4"/>
      <c r="N328" s="4"/>
      <c r="O328" s="4"/>
      <c r="P328" s="4"/>
      <c r="Q328" s="4"/>
      <c r="R328" s="4"/>
      <c r="S328" s="4"/>
      <c r="T328" s="4"/>
      <c r="U328" s="4"/>
      <c r="V328" s="4"/>
    </row>
    <row r="329" spans="1:22" x14ac:dyDescent="0.3">
      <c r="A329" s="4">
        <v>2506768</v>
      </c>
      <c r="B329" s="108" t="s">
        <v>1620</v>
      </c>
      <c r="C329" s="4" t="s">
        <v>1621</v>
      </c>
      <c r="D329" s="4" t="s">
        <v>1622</v>
      </c>
      <c r="E329" s="4" t="s">
        <v>1623</v>
      </c>
      <c r="F329" s="4" t="s">
        <v>1624</v>
      </c>
      <c r="G329" s="55">
        <v>27000</v>
      </c>
      <c r="H329" s="4" t="s">
        <v>71</v>
      </c>
      <c r="I329" s="4">
        <v>11.16</v>
      </c>
      <c r="J329" s="4" t="s">
        <v>965</v>
      </c>
      <c r="K329" s="4"/>
      <c r="L329" s="4"/>
      <c r="M329" s="4"/>
      <c r="N329" s="4"/>
      <c r="O329" s="4"/>
      <c r="P329" s="4"/>
      <c r="Q329" s="4"/>
      <c r="R329" s="4"/>
      <c r="S329" s="4"/>
      <c r="T329" s="4"/>
      <c r="U329" s="4"/>
      <c r="V329" s="4"/>
    </row>
    <row r="330" spans="1:22" x14ac:dyDescent="0.3">
      <c r="A330" s="4">
        <v>2506761</v>
      </c>
      <c r="B330" s="108" t="s">
        <v>1625</v>
      </c>
      <c r="C330" s="4" t="s">
        <v>1626</v>
      </c>
      <c r="D330" s="4" t="s">
        <v>1627</v>
      </c>
      <c r="E330" s="4" t="s">
        <v>1628</v>
      </c>
      <c r="F330" s="4" t="s">
        <v>1629</v>
      </c>
      <c r="G330" s="55">
        <v>34000</v>
      </c>
      <c r="H330" s="4" t="s">
        <v>71</v>
      </c>
      <c r="I330" s="4">
        <v>13.64</v>
      </c>
      <c r="J330" s="4" t="s">
        <v>965</v>
      </c>
      <c r="K330" s="4"/>
      <c r="L330" s="4"/>
      <c r="M330" s="4"/>
      <c r="N330" s="4"/>
      <c r="O330" s="4"/>
      <c r="P330" s="4"/>
      <c r="Q330" s="4"/>
      <c r="R330" s="4"/>
      <c r="S330" s="4"/>
      <c r="T330" s="4"/>
      <c r="U330" s="4"/>
      <c r="V330" s="4"/>
    </row>
    <row r="331" spans="1:22" x14ac:dyDescent="0.3">
      <c r="A331" s="4">
        <v>2506779</v>
      </c>
      <c r="B331" s="108" t="s">
        <v>1630</v>
      </c>
      <c r="C331" s="4" t="s">
        <v>1631</v>
      </c>
      <c r="D331" s="4" t="s">
        <v>1632</v>
      </c>
      <c r="E331" s="4" t="s">
        <v>1633</v>
      </c>
      <c r="F331" s="4" t="s">
        <v>1634</v>
      </c>
      <c r="G331" s="55">
        <v>20500</v>
      </c>
      <c r="H331" s="4" t="s">
        <v>71</v>
      </c>
      <c r="I331" s="4">
        <v>7.44</v>
      </c>
      <c r="J331" s="4" t="s">
        <v>965</v>
      </c>
      <c r="K331" s="4"/>
      <c r="L331" s="4"/>
      <c r="M331" s="4"/>
      <c r="N331" s="4"/>
      <c r="O331" s="4"/>
      <c r="P331" s="4"/>
      <c r="Q331" s="4"/>
      <c r="R331" s="4"/>
      <c r="S331" s="4"/>
      <c r="T331" s="4"/>
      <c r="U331" s="4"/>
      <c r="V331" s="4"/>
    </row>
    <row r="332" spans="1:22" x14ac:dyDescent="0.3">
      <c r="A332" s="4">
        <v>2506781</v>
      </c>
      <c r="B332" s="108" t="s">
        <v>1635</v>
      </c>
      <c r="C332" s="4" t="s">
        <v>1636</v>
      </c>
      <c r="D332" s="4" t="s">
        <v>1637</v>
      </c>
      <c r="E332" s="4" t="s">
        <v>1638</v>
      </c>
      <c r="F332" s="4" t="s">
        <v>1639</v>
      </c>
      <c r="G332" s="55">
        <v>22000</v>
      </c>
      <c r="H332" s="4" t="s">
        <v>71</v>
      </c>
      <c r="I332" s="4">
        <v>7.44</v>
      </c>
      <c r="J332" s="4" t="s">
        <v>965</v>
      </c>
      <c r="K332" s="4"/>
      <c r="L332" s="4"/>
      <c r="M332" s="4"/>
      <c r="N332" s="4"/>
      <c r="O332" s="4"/>
      <c r="P332" s="4"/>
      <c r="Q332" s="4"/>
      <c r="R332" s="4"/>
      <c r="S332" s="4"/>
      <c r="T332" s="4"/>
      <c r="U332" s="4"/>
      <c r="V332" s="4"/>
    </row>
    <row r="333" spans="1:22" x14ac:dyDescent="0.3">
      <c r="A333" s="4">
        <v>2506782</v>
      </c>
      <c r="B333" s="108" t="s">
        <v>1640</v>
      </c>
      <c r="C333" s="4" t="s">
        <v>1641</v>
      </c>
      <c r="D333" s="4" t="s">
        <v>1642</v>
      </c>
      <c r="E333" s="4" t="s">
        <v>1643</v>
      </c>
      <c r="F333" s="4" t="s">
        <v>1644</v>
      </c>
      <c r="G333" s="55">
        <v>36100</v>
      </c>
      <c r="H333" s="4" t="s">
        <v>71</v>
      </c>
      <c r="I333" s="4">
        <v>14.88</v>
      </c>
      <c r="J333" s="4" t="s">
        <v>965</v>
      </c>
      <c r="K333" s="4"/>
      <c r="L333" s="4"/>
      <c r="M333" s="4"/>
      <c r="N333" s="4"/>
      <c r="O333" s="4"/>
      <c r="P333" s="4"/>
      <c r="Q333" s="4"/>
      <c r="R333" s="4"/>
      <c r="S333" s="4"/>
      <c r="T333" s="4"/>
      <c r="U333" s="4"/>
      <c r="V333" s="4"/>
    </row>
    <row r="334" spans="1:22" x14ac:dyDescent="0.3">
      <c r="A334" s="4">
        <v>2506746</v>
      </c>
      <c r="B334" s="108" t="s">
        <v>1645</v>
      </c>
      <c r="C334" s="4" t="s">
        <v>1646</v>
      </c>
      <c r="D334" s="4" t="s">
        <v>1647</v>
      </c>
      <c r="E334" s="4" t="s">
        <v>1648</v>
      </c>
      <c r="F334" s="4">
        <v>0</v>
      </c>
      <c r="G334" s="55">
        <v>24000</v>
      </c>
      <c r="H334" s="4" t="s">
        <v>71</v>
      </c>
      <c r="I334" s="4">
        <v>9.92</v>
      </c>
      <c r="J334" s="4" t="s">
        <v>109</v>
      </c>
      <c r="K334" s="265" t="s">
        <v>109</v>
      </c>
      <c r="L334" s="266" t="s">
        <v>109</v>
      </c>
      <c r="M334" s="267"/>
      <c r="N334" s="265" t="s">
        <v>109</v>
      </c>
      <c r="O334" s="266"/>
      <c r="P334" s="267"/>
      <c r="Q334" s="265" t="s">
        <v>109</v>
      </c>
      <c r="R334" s="266"/>
      <c r="S334" s="267"/>
      <c r="T334" s="265" t="s">
        <v>109</v>
      </c>
      <c r="U334" s="266"/>
      <c r="V334" s="267"/>
    </row>
    <row r="335" spans="1:22" x14ac:dyDescent="0.3">
      <c r="A335" s="4">
        <v>2506780</v>
      </c>
      <c r="B335" s="108" t="s">
        <v>1649</v>
      </c>
      <c r="C335" s="4" t="s">
        <v>1650</v>
      </c>
      <c r="D335" s="4" t="s">
        <v>1651</v>
      </c>
      <c r="E335" s="4" t="s">
        <v>1652</v>
      </c>
      <c r="F335" s="4" t="s">
        <v>1653</v>
      </c>
      <c r="G335" s="55">
        <v>23800</v>
      </c>
      <c r="H335" s="4" t="s">
        <v>71</v>
      </c>
      <c r="I335" s="4">
        <v>9.92</v>
      </c>
      <c r="J335" s="4" t="s">
        <v>109</v>
      </c>
      <c r="K335" s="265" t="s">
        <v>109</v>
      </c>
      <c r="L335" s="266" t="s">
        <v>109</v>
      </c>
      <c r="M335" s="267"/>
      <c r="N335" s="265" t="s">
        <v>109</v>
      </c>
      <c r="O335" s="266"/>
      <c r="P335" s="267"/>
      <c r="Q335" s="265" t="s">
        <v>109</v>
      </c>
      <c r="R335" s="266"/>
      <c r="S335" s="267"/>
      <c r="T335" s="265" t="s">
        <v>109</v>
      </c>
      <c r="U335" s="266"/>
      <c r="V335" s="267"/>
    </row>
    <row r="336" spans="1:22" x14ac:dyDescent="0.3">
      <c r="A336" s="4">
        <v>2506778</v>
      </c>
      <c r="B336" s="108" t="s">
        <v>1654</v>
      </c>
      <c r="C336" s="4" t="s">
        <v>1655</v>
      </c>
      <c r="D336" s="4" t="s">
        <v>1656</v>
      </c>
      <c r="E336" s="4" t="s">
        <v>1657</v>
      </c>
      <c r="F336" s="4">
        <v>0</v>
      </c>
      <c r="G336" s="55">
        <v>20500</v>
      </c>
      <c r="H336" s="4" t="s">
        <v>71</v>
      </c>
      <c r="I336" s="4">
        <v>7.44</v>
      </c>
      <c r="J336" s="4" t="s">
        <v>965</v>
      </c>
      <c r="K336" s="4"/>
      <c r="L336" s="4"/>
      <c r="M336" s="4"/>
      <c r="N336" s="4"/>
      <c r="O336" s="4"/>
      <c r="P336" s="4"/>
      <c r="Q336" s="4"/>
      <c r="R336" s="4"/>
      <c r="S336" s="4"/>
      <c r="T336" s="4"/>
      <c r="U336" s="4"/>
      <c r="V336" s="4"/>
    </row>
    <row r="337" spans="1:22" x14ac:dyDescent="0.3">
      <c r="A337" s="4">
        <v>2506745</v>
      </c>
      <c r="B337" s="108" t="s">
        <v>1658</v>
      </c>
      <c r="C337" s="4" t="s">
        <v>1659</v>
      </c>
      <c r="D337" s="4" t="s">
        <v>1660</v>
      </c>
      <c r="E337" s="4" t="s">
        <v>1661</v>
      </c>
      <c r="F337" s="4" t="s">
        <v>1662</v>
      </c>
      <c r="G337" s="55">
        <v>32500</v>
      </c>
      <c r="H337" s="4" t="s">
        <v>71</v>
      </c>
      <c r="I337" s="4">
        <v>14.88</v>
      </c>
      <c r="J337" s="4" t="s">
        <v>965</v>
      </c>
      <c r="K337" s="4"/>
      <c r="L337" s="4"/>
      <c r="M337" s="4"/>
      <c r="N337" s="4"/>
      <c r="O337" s="4"/>
      <c r="P337" s="4"/>
      <c r="Q337" s="4"/>
      <c r="R337" s="4"/>
      <c r="S337" s="4"/>
      <c r="T337" s="4"/>
      <c r="U337" s="4"/>
      <c r="V337" s="4"/>
    </row>
    <row r="338" spans="1:22" x14ac:dyDescent="0.3">
      <c r="A338" s="4">
        <v>2506789</v>
      </c>
      <c r="B338" s="108" t="s">
        <v>1663</v>
      </c>
      <c r="C338" s="4" t="s">
        <v>1664</v>
      </c>
      <c r="D338" s="4" t="s">
        <v>1665</v>
      </c>
      <c r="E338" s="4" t="s">
        <v>1666</v>
      </c>
      <c r="F338" s="4" t="s">
        <v>1667</v>
      </c>
      <c r="G338" s="55">
        <v>27130</v>
      </c>
      <c r="H338" s="4" t="s">
        <v>71</v>
      </c>
      <c r="I338" s="4">
        <v>9.92</v>
      </c>
      <c r="J338" s="4" t="s">
        <v>965</v>
      </c>
      <c r="K338" s="4"/>
      <c r="L338" s="4"/>
      <c r="M338" s="4"/>
      <c r="N338" s="4"/>
      <c r="O338" s="4"/>
      <c r="P338" s="4"/>
      <c r="Q338" s="4"/>
      <c r="R338" s="4"/>
      <c r="S338" s="4"/>
      <c r="T338" s="4"/>
      <c r="U338" s="4"/>
      <c r="V338" s="4"/>
    </row>
    <row r="339" spans="1:22" x14ac:dyDescent="0.3">
      <c r="A339" s="4">
        <v>2404254</v>
      </c>
      <c r="B339" s="108" t="s">
        <v>1668</v>
      </c>
      <c r="C339" s="4" t="s">
        <v>1669</v>
      </c>
      <c r="D339" s="4" t="s">
        <v>1670</v>
      </c>
      <c r="E339" s="4" t="s">
        <v>1671</v>
      </c>
      <c r="F339" s="4" t="s">
        <v>1672</v>
      </c>
      <c r="G339" s="55">
        <v>19500</v>
      </c>
      <c r="H339" s="4" t="s">
        <v>71</v>
      </c>
      <c r="I339" s="4">
        <v>5.58</v>
      </c>
      <c r="J339" s="4" t="s">
        <v>965</v>
      </c>
      <c r="K339" s="4"/>
      <c r="L339" s="4"/>
      <c r="M339" s="4"/>
      <c r="N339" s="4"/>
      <c r="O339" s="4"/>
      <c r="P339" s="4"/>
      <c r="Q339" s="4"/>
      <c r="R339" s="4"/>
      <c r="S339" s="4"/>
      <c r="T339" s="4"/>
      <c r="U339" s="4"/>
      <c r="V339" s="4"/>
    </row>
    <row r="340" spans="1:22" x14ac:dyDescent="0.3">
      <c r="A340" s="4">
        <v>2506732</v>
      </c>
      <c r="B340" s="108" t="s">
        <v>1673</v>
      </c>
      <c r="C340" s="4" t="s">
        <v>1674</v>
      </c>
      <c r="D340" s="4" t="s">
        <v>1675</v>
      </c>
      <c r="E340" s="4" t="s">
        <v>1676</v>
      </c>
      <c r="F340" s="4" t="s">
        <v>1677</v>
      </c>
      <c r="G340" s="55">
        <v>20500</v>
      </c>
      <c r="H340" s="4" t="s">
        <v>71</v>
      </c>
      <c r="I340" s="4">
        <v>7.44</v>
      </c>
      <c r="J340" s="4" t="s">
        <v>965</v>
      </c>
      <c r="K340" s="4"/>
      <c r="L340" s="4"/>
      <c r="M340" s="4"/>
      <c r="N340" s="4"/>
      <c r="O340" s="4"/>
      <c r="P340" s="4"/>
      <c r="Q340" s="4"/>
      <c r="R340" s="4"/>
      <c r="S340" s="4"/>
      <c r="T340" s="4"/>
      <c r="U340" s="4"/>
      <c r="V340" s="4"/>
    </row>
    <row r="341" spans="1:22" x14ac:dyDescent="0.3">
      <c r="A341" s="4">
        <v>2506767</v>
      </c>
      <c r="B341" s="108" t="s">
        <v>1678</v>
      </c>
      <c r="C341" s="4" t="s">
        <v>1679</v>
      </c>
      <c r="D341" s="4" t="s">
        <v>1680</v>
      </c>
      <c r="E341" s="4" t="s">
        <v>1681</v>
      </c>
      <c r="F341" s="4" t="s">
        <v>1682</v>
      </c>
      <c r="G341" s="55">
        <v>20500</v>
      </c>
      <c r="H341" s="4" t="s">
        <v>71</v>
      </c>
      <c r="I341" s="4">
        <v>7.44</v>
      </c>
      <c r="J341" s="4" t="s">
        <v>965</v>
      </c>
      <c r="K341" s="4"/>
      <c r="L341" s="4"/>
      <c r="M341" s="4"/>
      <c r="N341" s="4"/>
      <c r="O341" s="4"/>
      <c r="P341" s="4"/>
      <c r="Q341" s="4"/>
      <c r="R341" s="4"/>
      <c r="S341" s="4"/>
      <c r="T341" s="4"/>
      <c r="U341" s="4"/>
      <c r="V341" s="4"/>
    </row>
    <row r="342" spans="1:22" x14ac:dyDescent="0.3">
      <c r="A342" s="4">
        <v>2506759</v>
      </c>
      <c r="B342" s="108" t="s">
        <v>1683</v>
      </c>
      <c r="C342" s="4" t="s">
        <v>1684</v>
      </c>
      <c r="D342" s="4" t="s">
        <v>1685</v>
      </c>
      <c r="E342" s="4" t="s">
        <v>1686</v>
      </c>
      <c r="F342" s="4" t="s">
        <v>1687</v>
      </c>
      <c r="G342" s="55">
        <v>27000</v>
      </c>
      <c r="H342" s="4" t="s">
        <v>71</v>
      </c>
      <c r="I342" s="4">
        <v>10.54</v>
      </c>
      <c r="J342" s="4" t="s">
        <v>965</v>
      </c>
      <c r="K342" s="4"/>
      <c r="L342" s="4"/>
      <c r="M342" s="4"/>
      <c r="N342" s="4"/>
      <c r="O342" s="4"/>
      <c r="P342" s="4"/>
      <c r="Q342" s="4"/>
      <c r="R342" s="4"/>
      <c r="S342" s="4"/>
      <c r="T342" s="4"/>
      <c r="U342" s="4"/>
      <c r="V342" s="4"/>
    </row>
    <row r="343" spans="1:22" x14ac:dyDescent="0.3">
      <c r="A343" s="4">
        <v>2506794</v>
      </c>
      <c r="B343" s="108" t="s">
        <v>1688</v>
      </c>
      <c r="C343" s="4" t="s">
        <v>1689</v>
      </c>
      <c r="D343" s="4" t="s">
        <v>1690</v>
      </c>
      <c r="E343" s="4" t="s">
        <v>1691</v>
      </c>
      <c r="F343" s="4">
        <v>0</v>
      </c>
      <c r="G343" s="55">
        <v>25000</v>
      </c>
      <c r="H343" s="4" t="s">
        <v>71</v>
      </c>
      <c r="I343" s="4">
        <v>9.92</v>
      </c>
      <c r="J343" s="4" t="s">
        <v>965</v>
      </c>
      <c r="K343" s="4"/>
      <c r="L343" s="4"/>
      <c r="M343" s="4"/>
      <c r="N343" s="4"/>
      <c r="O343" s="4"/>
      <c r="P343" s="4"/>
      <c r="Q343" s="4"/>
      <c r="R343" s="4"/>
      <c r="S343" s="4"/>
      <c r="T343" s="4"/>
      <c r="U343" s="4"/>
      <c r="V343" s="4"/>
    </row>
    <row r="344" spans="1:22" x14ac:dyDescent="0.3">
      <c r="A344" s="4">
        <v>2506798</v>
      </c>
      <c r="B344" s="108" t="s">
        <v>1692</v>
      </c>
      <c r="C344" s="4" t="s">
        <v>1693</v>
      </c>
      <c r="D344" s="4" t="s">
        <v>1694</v>
      </c>
      <c r="E344" s="4" t="s">
        <v>1695</v>
      </c>
      <c r="F344" s="4">
        <v>0</v>
      </c>
      <c r="G344" s="55">
        <v>20500</v>
      </c>
      <c r="H344" s="4" t="s">
        <v>71</v>
      </c>
      <c r="I344" s="4">
        <v>7.44</v>
      </c>
      <c r="J344" s="4" t="s">
        <v>965</v>
      </c>
      <c r="K344" s="4"/>
      <c r="L344" s="4"/>
      <c r="M344" s="4"/>
      <c r="N344" s="4"/>
      <c r="O344" s="4"/>
      <c r="P344" s="4"/>
      <c r="Q344" s="4"/>
      <c r="R344" s="4"/>
      <c r="S344" s="4"/>
      <c r="T344" s="4"/>
      <c r="U344" s="4"/>
      <c r="V344" s="4"/>
    </row>
    <row r="345" spans="1:22" x14ac:dyDescent="0.3">
      <c r="A345" s="4">
        <v>2506773</v>
      </c>
      <c r="B345" s="108" t="s">
        <v>1696</v>
      </c>
      <c r="C345" s="4" t="s">
        <v>1697</v>
      </c>
      <c r="D345" s="4" t="s">
        <v>1698</v>
      </c>
      <c r="E345" s="4" t="s">
        <v>1699</v>
      </c>
      <c r="F345" s="4">
        <v>0</v>
      </c>
      <c r="G345" s="55">
        <v>32500</v>
      </c>
      <c r="H345" s="4" t="s">
        <v>71</v>
      </c>
      <c r="I345" s="4">
        <v>14.88</v>
      </c>
      <c r="J345" s="4" t="s">
        <v>965</v>
      </c>
      <c r="K345" s="4"/>
      <c r="L345" s="4"/>
      <c r="M345" s="4"/>
      <c r="N345" s="4"/>
      <c r="O345" s="4"/>
      <c r="P345" s="4"/>
      <c r="Q345" s="4"/>
      <c r="R345" s="4"/>
      <c r="S345" s="4"/>
      <c r="T345" s="4"/>
      <c r="U345" s="4"/>
      <c r="V345" s="4"/>
    </row>
    <row r="346" spans="1:22" x14ac:dyDescent="0.3">
      <c r="A346" s="4" t="s">
        <v>1700</v>
      </c>
      <c r="B346" s="108" t="s">
        <v>1701</v>
      </c>
      <c r="C346" s="4" t="s">
        <v>1702</v>
      </c>
      <c r="D346" s="4" t="s">
        <v>1703</v>
      </c>
      <c r="E346" s="4" t="s">
        <v>1704</v>
      </c>
      <c r="F346" s="4" t="s">
        <v>1705</v>
      </c>
      <c r="G346" s="55">
        <v>20500</v>
      </c>
      <c r="H346" s="4" t="s">
        <v>71</v>
      </c>
      <c r="I346" s="4">
        <v>7.44</v>
      </c>
      <c r="J346" s="4" t="s">
        <v>965</v>
      </c>
      <c r="K346" s="4"/>
      <c r="L346" s="4"/>
      <c r="M346" s="4"/>
      <c r="N346" s="4"/>
      <c r="O346" s="4"/>
      <c r="P346" s="4"/>
      <c r="Q346" s="4"/>
      <c r="R346" s="4"/>
      <c r="S346" s="4"/>
      <c r="T346" s="4"/>
      <c r="U346" s="4"/>
      <c r="V346" s="4"/>
    </row>
    <row r="347" spans="1:22" x14ac:dyDescent="0.3">
      <c r="A347" s="4">
        <v>2506786</v>
      </c>
      <c r="B347" s="108" t="s">
        <v>1706</v>
      </c>
      <c r="C347" s="4" t="s">
        <v>1707</v>
      </c>
      <c r="D347" s="4" t="s">
        <v>1708</v>
      </c>
      <c r="E347" s="4" t="s">
        <v>1709</v>
      </c>
      <c r="F347" s="4" t="s">
        <v>1710</v>
      </c>
      <c r="G347" s="55">
        <v>30500</v>
      </c>
      <c r="H347" s="4" t="s">
        <v>71</v>
      </c>
      <c r="I347" s="4">
        <v>13.64</v>
      </c>
      <c r="J347" s="4" t="s">
        <v>965</v>
      </c>
      <c r="K347" s="4"/>
      <c r="L347" s="4"/>
      <c r="M347" s="4"/>
      <c r="N347" s="4"/>
      <c r="O347" s="4"/>
      <c r="P347" s="4"/>
      <c r="Q347" s="4"/>
      <c r="R347" s="4"/>
      <c r="S347" s="4"/>
      <c r="T347" s="4"/>
      <c r="U347" s="4"/>
      <c r="V347" s="4"/>
    </row>
    <row r="348" spans="1:22" x14ac:dyDescent="0.3">
      <c r="A348" s="4">
        <v>2505260</v>
      </c>
      <c r="B348" s="108" t="s">
        <v>1711</v>
      </c>
      <c r="C348" s="4" t="s">
        <v>18</v>
      </c>
      <c r="D348" s="4" t="s">
        <v>1713</v>
      </c>
      <c r="E348" s="4" t="s">
        <v>1714</v>
      </c>
      <c r="F348" s="4" t="s">
        <v>1715</v>
      </c>
      <c r="G348" s="55">
        <v>95000</v>
      </c>
      <c r="H348" s="4" t="s">
        <v>124</v>
      </c>
      <c r="I348" s="4">
        <v>48.36</v>
      </c>
      <c r="J348" s="4" t="s">
        <v>965</v>
      </c>
      <c r="K348" s="4"/>
      <c r="L348" s="4"/>
      <c r="M348" s="4"/>
      <c r="N348" s="4"/>
      <c r="O348" s="4"/>
      <c r="P348" s="4"/>
      <c r="Q348" s="4"/>
      <c r="R348" s="4"/>
      <c r="S348" s="4"/>
      <c r="T348" s="4"/>
      <c r="U348" s="4"/>
      <c r="V348" s="4"/>
    </row>
    <row r="349" spans="1:22" x14ac:dyDescent="0.3">
      <c r="A349" s="4">
        <v>2506799</v>
      </c>
      <c r="B349" s="108" t="s">
        <v>1716</v>
      </c>
      <c r="C349" s="4" t="s">
        <v>1717</v>
      </c>
      <c r="D349" s="4" t="s">
        <v>1718</v>
      </c>
      <c r="E349" s="4" t="s">
        <v>1719</v>
      </c>
      <c r="F349" s="4">
        <v>0</v>
      </c>
      <c r="G349" s="55">
        <v>30500</v>
      </c>
      <c r="H349" s="4" t="s">
        <v>71</v>
      </c>
      <c r="I349" s="4">
        <v>13.64</v>
      </c>
      <c r="J349" s="4" t="s">
        <v>965</v>
      </c>
      <c r="K349" s="4"/>
      <c r="L349" s="4"/>
      <c r="M349" s="4"/>
      <c r="N349" s="4"/>
      <c r="O349" s="4"/>
      <c r="P349" s="4"/>
      <c r="Q349" s="4"/>
      <c r="R349" s="4"/>
      <c r="S349" s="4"/>
      <c r="T349" s="4"/>
      <c r="U349" s="4"/>
      <c r="V349" s="4"/>
    </row>
    <row r="350" spans="1:22" x14ac:dyDescent="0.3">
      <c r="A350" s="4">
        <v>2506276</v>
      </c>
      <c r="B350" s="108" t="s">
        <v>1720</v>
      </c>
      <c r="C350" s="4">
        <v>0</v>
      </c>
      <c r="D350" s="4">
        <v>0</v>
      </c>
      <c r="E350" s="4">
        <v>0</v>
      </c>
      <c r="F350" s="4">
        <v>0</v>
      </c>
      <c r="G350" s="55">
        <v>40000</v>
      </c>
      <c r="H350" s="4" t="s">
        <v>71</v>
      </c>
      <c r="I350" s="4">
        <v>19.84</v>
      </c>
      <c r="J350" s="4">
        <v>0</v>
      </c>
      <c r="K350" s="4"/>
      <c r="L350" s="4"/>
      <c r="M350" s="4"/>
      <c r="N350" s="4"/>
      <c r="O350" s="4"/>
      <c r="P350" s="4"/>
      <c r="Q350" s="4"/>
      <c r="R350" s="4"/>
      <c r="S350" s="4"/>
      <c r="T350" s="4"/>
      <c r="U350" s="4"/>
      <c r="V350" s="4"/>
    </row>
    <row r="351" spans="1:22" x14ac:dyDescent="0.3">
      <c r="A351" s="4">
        <v>2506785</v>
      </c>
      <c r="B351" s="108" t="s">
        <v>1721</v>
      </c>
      <c r="C351" s="4" t="s">
        <v>1722</v>
      </c>
      <c r="D351" s="4" t="s">
        <v>1723</v>
      </c>
      <c r="E351" s="4" t="s">
        <v>1724</v>
      </c>
      <c r="F351" s="4" t="s">
        <v>1725</v>
      </c>
      <c r="G351" s="55">
        <v>34500</v>
      </c>
      <c r="H351" s="4" t="s">
        <v>71</v>
      </c>
      <c r="I351" s="4">
        <v>13.64</v>
      </c>
      <c r="J351" s="4" t="s">
        <v>965</v>
      </c>
      <c r="K351" s="4"/>
      <c r="L351" s="4"/>
      <c r="M351" s="4"/>
      <c r="N351" s="4"/>
      <c r="O351" s="4"/>
      <c r="P351" s="4"/>
      <c r="Q351" s="4"/>
      <c r="R351" s="4"/>
      <c r="S351" s="4"/>
      <c r="T351" s="4"/>
      <c r="U351" s="4"/>
      <c r="V351" s="4"/>
    </row>
    <row r="352" spans="1:22" x14ac:dyDescent="0.3">
      <c r="A352" s="4">
        <v>2506801</v>
      </c>
      <c r="B352" s="108" t="s">
        <v>1726</v>
      </c>
      <c r="C352" s="4" t="s">
        <v>1727</v>
      </c>
      <c r="D352" s="4" t="s">
        <v>1728</v>
      </c>
      <c r="E352" s="4" t="s">
        <v>1729</v>
      </c>
      <c r="F352" s="4" t="s">
        <v>1730</v>
      </c>
      <c r="G352" s="55">
        <v>39500</v>
      </c>
      <c r="H352" s="4" t="s">
        <v>71</v>
      </c>
      <c r="I352" s="4">
        <v>17.98</v>
      </c>
      <c r="J352" s="4" t="s">
        <v>965</v>
      </c>
      <c r="K352" s="4"/>
      <c r="L352" s="4"/>
      <c r="M352" s="4"/>
      <c r="N352" s="4"/>
      <c r="O352" s="4"/>
      <c r="P352" s="4"/>
      <c r="Q352" s="4"/>
      <c r="R352" s="4"/>
      <c r="S352" s="4"/>
      <c r="T352" s="4"/>
      <c r="U352" s="4"/>
      <c r="V352" s="4"/>
    </row>
    <row r="353" spans="1:22" x14ac:dyDescent="0.3">
      <c r="A353" s="4">
        <v>2503223</v>
      </c>
      <c r="B353" s="108" t="s">
        <v>1731</v>
      </c>
      <c r="C353" s="4">
        <v>0</v>
      </c>
      <c r="D353" s="4">
        <v>0</v>
      </c>
      <c r="E353" s="4">
        <v>0</v>
      </c>
      <c r="F353" s="4">
        <v>0</v>
      </c>
      <c r="G353" s="55">
        <v>117500</v>
      </c>
      <c r="H353" s="4" t="s">
        <v>124</v>
      </c>
      <c r="I353" s="4">
        <v>58.9</v>
      </c>
      <c r="J353" s="4" t="s">
        <v>965</v>
      </c>
      <c r="K353" s="4"/>
      <c r="L353" s="4"/>
      <c r="M353" s="4"/>
      <c r="N353" s="4"/>
      <c r="O353" s="4"/>
      <c r="P353" s="4"/>
      <c r="Q353" s="4"/>
      <c r="R353" s="4"/>
      <c r="S353" s="4"/>
      <c r="T353" s="4"/>
      <c r="U353" s="4"/>
      <c r="V353" s="4"/>
    </row>
    <row r="354" spans="1:22" x14ac:dyDescent="0.3">
      <c r="A354" s="4">
        <v>2506802</v>
      </c>
      <c r="B354" s="108" t="s">
        <v>1733</v>
      </c>
      <c r="C354" s="4" t="s">
        <v>1734</v>
      </c>
      <c r="D354" s="4" t="s">
        <v>1735</v>
      </c>
      <c r="E354" s="4" t="s">
        <v>1736</v>
      </c>
      <c r="F354" s="4">
        <v>0</v>
      </c>
      <c r="G354" s="55">
        <v>31500</v>
      </c>
      <c r="H354" s="4" t="s">
        <v>71</v>
      </c>
      <c r="I354" s="4">
        <v>13.64</v>
      </c>
      <c r="J354" s="4" t="s">
        <v>965</v>
      </c>
      <c r="K354" s="4"/>
      <c r="L354" s="4"/>
      <c r="M354" s="4"/>
      <c r="N354" s="4"/>
      <c r="O354" s="4"/>
      <c r="P354" s="4"/>
      <c r="Q354" s="4"/>
      <c r="R354" s="4"/>
      <c r="S354" s="4"/>
      <c r="T354" s="4"/>
      <c r="U354" s="4"/>
      <c r="V354" s="4"/>
    </row>
    <row r="355" spans="1:22" x14ac:dyDescent="0.3">
      <c r="A355" s="4">
        <v>2412510</v>
      </c>
      <c r="B355" s="108" t="s">
        <v>1737</v>
      </c>
      <c r="C355" s="4" t="s">
        <v>1738</v>
      </c>
      <c r="D355" s="4" t="s">
        <v>1739</v>
      </c>
      <c r="E355" s="4" t="s">
        <v>1740</v>
      </c>
      <c r="F355" s="4" t="s">
        <v>1741</v>
      </c>
      <c r="G355" s="55">
        <v>34000</v>
      </c>
      <c r="H355" s="4" t="s">
        <v>71</v>
      </c>
      <c r="I355" s="4">
        <v>14.88</v>
      </c>
      <c r="J355" s="4" t="s">
        <v>965</v>
      </c>
      <c r="K355" s="4"/>
      <c r="L355" s="4"/>
      <c r="M355" s="4"/>
      <c r="N355" s="4"/>
      <c r="O355" s="4"/>
      <c r="P355" s="4"/>
      <c r="Q355" s="4"/>
      <c r="R355" s="4"/>
      <c r="S355" s="4"/>
      <c r="T355" s="4"/>
      <c r="U355" s="4"/>
      <c r="V355" s="4"/>
    </row>
    <row r="356" spans="1:22" x14ac:dyDescent="0.3">
      <c r="A356" s="4">
        <v>2504051</v>
      </c>
      <c r="B356" s="108" t="s">
        <v>1742</v>
      </c>
      <c r="C356" s="4">
        <v>0</v>
      </c>
      <c r="D356" s="4">
        <v>0</v>
      </c>
      <c r="E356" s="4">
        <v>0</v>
      </c>
      <c r="F356" s="4">
        <v>0</v>
      </c>
      <c r="G356" s="55">
        <v>250000</v>
      </c>
      <c r="H356" s="4" t="s">
        <v>206</v>
      </c>
      <c r="I356" s="4">
        <v>0</v>
      </c>
      <c r="J356" s="4" t="s">
        <v>109</v>
      </c>
      <c r="K356" s="4"/>
      <c r="L356" s="4"/>
      <c r="M356" s="4"/>
      <c r="N356" s="4"/>
      <c r="O356" s="4"/>
      <c r="P356" s="4"/>
      <c r="Q356" s="4"/>
      <c r="R356" s="4"/>
      <c r="S356" s="4"/>
      <c r="T356" s="4"/>
      <c r="U356" s="4"/>
      <c r="V356" s="4"/>
    </row>
    <row r="357" spans="1:22" x14ac:dyDescent="0.3">
      <c r="A357" s="4">
        <v>2505056</v>
      </c>
      <c r="B357" s="108" t="s">
        <v>1743</v>
      </c>
      <c r="C357" s="4">
        <v>0</v>
      </c>
      <c r="D357" s="4">
        <v>0</v>
      </c>
      <c r="E357" s="4">
        <v>0</v>
      </c>
      <c r="F357" s="4">
        <v>0</v>
      </c>
      <c r="G357" s="55">
        <v>43000</v>
      </c>
      <c r="H357" s="4" t="s">
        <v>206</v>
      </c>
      <c r="I357" s="4">
        <v>0</v>
      </c>
      <c r="J357" s="4" t="s">
        <v>109</v>
      </c>
      <c r="K357" s="4"/>
      <c r="L357" s="4"/>
      <c r="M357" s="4"/>
      <c r="N357" s="4"/>
      <c r="O357" s="4"/>
      <c r="P357" s="4"/>
      <c r="Q357" s="4"/>
      <c r="R357" s="4"/>
      <c r="S357" s="4"/>
      <c r="T357" s="4"/>
      <c r="U357" s="4"/>
      <c r="V357" s="4"/>
    </row>
    <row r="358" spans="1:22" x14ac:dyDescent="0.3">
      <c r="A358" s="4">
        <v>2507833</v>
      </c>
      <c r="B358" s="108" t="s">
        <v>1744</v>
      </c>
      <c r="C358" s="4" t="s">
        <v>1746</v>
      </c>
      <c r="D358" s="4" t="s">
        <v>1747</v>
      </c>
      <c r="E358" s="4" t="s">
        <v>1748</v>
      </c>
      <c r="F358" s="4">
        <v>0</v>
      </c>
      <c r="G358" s="55">
        <v>46000</v>
      </c>
      <c r="H358" s="4" t="s">
        <v>71</v>
      </c>
      <c r="I358" s="4">
        <v>12.4</v>
      </c>
      <c r="J358" s="4" t="s">
        <v>109</v>
      </c>
      <c r="K358" s="265" t="s">
        <v>109</v>
      </c>
      <c r="L358" s="266" t="s">
        <v>109</v>
      </c>
      <c r="M358" s="267"/>
      <c r="N358" s="265" t="s">
        <v>109</v>
      </c>
      <c r="O358" s="266"/>
      <c r="P358" s="267"/>
      <c r="Q358" s="265" t="s">
        <v>109</v>
      </c>
      <c r="R358" s="266"/>
      <c r="S358" s="267"/>
      <c r="T358" s="265" t="s">
        <v>109</v>
      </c>
      <c r="U358" s="266"/>
      <c r="V358" s="267"/>
    </row>
    <row r="359" spans="1:22" x14ac:dyDescent="0.3">
      <c r="A359" s="4">
        <v>2409030</v>
      </c>
      <c r="B359" s="108" t="s">
        <v>1749</v>
      </c>
      <c r="C359" s="4">
        <v>0</v>
      </c>
      <c r="D359" s="4">
        <v>0</v>
      </c>
      <c r="E359" s="4">
        <v>0</v>
      </c>
      <c r="F359" s="4">
        <v>0</v>
      </c>
      <c r="G359" s="55">
        <v>58000</v>
      </c>
      <c r="H359" s="4" t="s">
        <v>206</v>
      </c>
      <c r="I359" s="4">
        <v>0</v>
      </c>
      <c r="J359" s="4" t="s">
        <v>109</v>
      </c>
      <c r="K359" s="4"/>
      <c r="L359" s="4"/>
      <c r="M359" s="4"/>
      <c r="N359" s="4"/>
      <c r="O359" s="4"/>
      <c r="P359" s="4"/>
      <c r="Q359" s="4"/>
      <c r="R359" s="4"/>
      <c r="S359" s="4"/>
      <c r="T359" s="4"/>
      <c r="U359" s="4"/>
      <c r="V359" s="4"/>
    </row>
    <row r="360" spans="1:22" x14ac:dyDescent="0.3">
      <c r="A360" s="4">
        <v>2507059</v>
      </c>
      <c r="B360" s="108" t="s">
        <v>1750</v>
      </c>
      <c r="C360" s="4">
        <v>0</v>
      </c>
      <c r="D360" s="4">
        <v>0</v>
      </c>
      <c r="E360" s="4">
        <v>0</v>
      </c>
      <c r="F360" s="4">
        <v>0</v>
      </c>
      <c r="G360" s="55">
        <v>53000</v>
      </c>
      <c r="H360" s="4" t="s">
        <v>206</v>
      </c>
      <c r="I360" s="4">
        <v>0</v>
      </c>
      <c r="J360" s="4" t="s">
        <v>109</v>
      </c>
      <c r="K360" s="4"/>
      <c r="L360" s="4"/>
      <c r="M360" s="4"/>
      <c r="N360" s="4"/>
      <c r="O360" s="4"/>
      <c r="P360" s="4"/>
      <c r="Q360" s="4"/>
      <c r="R360" s="4"/>
      <c r="S360" s="4"/>
      <c r="T360" s="4"/>
      <c r="U360" s="4"/>
      <c r="V360" s="4"/>
    </row>
    <row r="361" spans="1:22" x14ac:dyDescent="0.3">
      <c r="A361" s="4">
        <v>2507060</v>
      </c>
      <c r="B361" s="108" t="s">
        <v>1751</v>
      </c>
      <c r="C361" s="4">
        <v>0</v>
      </c>
      <c r="D361" s="4">
        <v>0</v>
      </c>
      <c r="E361" s="4">
        <v>0</v>
      </c>
      <c r="F361" s="4">
        <v>0</v>
      </c>
      <c r="G361" s="55">
        <v>55500</v>
      </c>
      <c r="H361" s="4" t="s">
        <v>206</v>
      </c>
      <c r="I361" s="4">
        <v>0</v>
      </c>
      <c r="J361" s="4" t="s">
        <v>109</v>
      </c>
      <c r="K361" s="4"/>
      <c r="L361" s="4"/>
      <c r="M361" s="4"/>
      <c r="N361" s="4"/>
      <c r="O361" s="4"/>
      <c r="P361" s="4"/>
      <c r="Q361" s="4"/>
      <c r="R361" s="4"/>
      <c r="S361" s="4"/>
      <c r="T361" s="4"/>
      <c r="U361" s="4"/>
      <c r="V361" s="4"/>
    </row>
    <row r="362" spans="1:22" x14ac:dyDescent="0.3">
      <c r="A362" s="4">
        <v>2508858</v>
      </c>
      <c r="B362" s="108" t="s">
        <v>1752</v>
      </c>
      <c r="C362" s="4" t="s">
        <v>1754</v>
      </c>
      <c r="D362" s="4" t="s">
        <v>1755</v>
      </c>
      <c r="E362" s="4" t="s">
        <v>1756</v>
      </c>
      <c r="F362" s="4">
        <v>0</v>
      </c>
      <c r="G362" s="55">
        <v>49000</v>
      </c>
      <c r="H362" s="4" t="s">
        <v>71</v>
      </c>
      <c r="I362" s="4">
        <v>16.12</v>
      </c>
      <c r="J362" s="4" t="s">
        <v>965</v>
      </c>
      <c r="K362" s="4"/>
      <c r="L362" s="4"/>
      <c r="M362" s="4"/>
      <c r="N362" s="4"/>
      <c r="O362" s="4"/>
      <c r="P362" s="4"/>
      <c r="Q362" s="4"/>
      <c r="R362" s="4"/>
      <c r="S362" s="4"/>
      <c r="T362" s="4"/>
      <c r="U362" s="4"/>
      <c r="V362" s="4"/>
    </row>
    <row r="363" spans="1:22" x14ac:dyDescent="0.3">
      <c r="A363" s="4">
        <v>2507062</v>
      </c>
      <c r="B363" s="108" t="s">
        <v>1757</v>
      </c>
      <c r="C363" s="4">
        <v>0</v>
      </c>
      <c r="D363" s="4">
        <v>0</v>
      </c>
      <c r="E363" s="4">
        <v>0</v>
      </c>
      <c r="F363" s="4">
        <v>0</v>
      </c>
      <c r="G363" s="55">
        <v>324360</v>
      </c>
      <c r="H363" s="4" t="s">
        <v>206</v>
      </c>
      <c r="I363" s="4">
        <v>0</v>
      </c>
      <c r="J363" s="4" t="s">
        <v>109</v>
      </c>
      <c r="K363" s="4"/>
      <c r="L363" s="4"/>
      <c r="M363" s="4"/>
      <c r="N363" s="4"/>
      <c r="O363" s="4"/>
      <c r="P363" s="4"/>
      <c r="Q363" s="4"/>
      <c r="R363" s="4"/>
      <c r="S363" s="4"/>
      <c r="T363" s="4"/>
      <c r="U363" s="4"/>
      <c r="V363" s="4"/>
    </row>
    <row r="364" spans="1:22" x14ac:dyDescent="0.3">
      <c r="A364" s="4">
        <v>2509863</v>
      </c>
      <c r="B364" s="108" t="s">
        <v>1758</v>
      </c>
      <c r="C364" s="4" t="s">
        <v>1760</v>
      </c>
      <c r="D364" s="4" t="s">
        <v>1761</v>
      </c>
      <c r="E364" s="4" t="s">
        <v>1762</v>
      </c>
      <c r="F364" s="4">
        <v>0</v>
      </c>
      <c r="G364" s="55">
        <v>27000</v>
      </c>
      <c r="H364" s="4" t="s">
        <v>71</v>
      </c>
      <c r="I364" s="4">
        <v>9.92</v>
      </c>
      <c r="J364" s="4" t="s">
        <v>109</v>
      </c>
      <c r="K364" s="4"/>
      <c r="L364" s="4"/>
      <c r="M364" s="4"/>
      <c r="N364" s="4"/>
      <c r="O364" s="4"/>
      <c r="P364" s="4"/>
      <c r="Q364" s="4"/>
      <c r="R364" s="4"/>
      <c r="S364" s="4"/>
      <c r="T364" s="4"/>
      <c r="U364" s="4"/>
      <c r="V364" s="4"/>
    </row>
    <row r="365" spans="1:22" x14ac:dyDescent="0.3">
      <c r="A365" s="4">
        <v>2507840</v>
      </c>
      <c r="B365" s="108" t="s">
        <v>1763</v>
      </c>
      <c r="C365" s="4">
        <v>0</v>
      </c>
      <c r="D365" s="4" t="s">
        <v>1764</v>
      </c>
      <c r="E365" s="4">
        <v>0</v>
      </c>
      <c r="F365" s="4">
        <v>0</v>
      </c>
      <c r="G365" s="55">
        <v>63000</v>
      </c>
      <c r="H365" s="4" t="s">
        <v>71</v>
      </c>
      <c r="I365" s="4">
        <v>15.5</v>
      </c>
      <c r="J365" s="4" t="s">
        <v>109</v>
      </c>
      <c r="K365" s="4"/>
      <c r="L365" s="4"/>
      <c r="M365" s="4"/>
      <c r="N365" s="4"/>
      <c r="O365" s="4"/>
      <c r="P365" s="4"/>
      <c r="Q365" s="4"/>
      <c r="R365" s="4"/>
      <c r="S365" s="4"/>
      <c r="T365" s="4"/>
      <c r="U365" s="4"/>
      <c r="V365" s="4"/>
    </row>
    <row r="366" spans="1:22" x14ac:dyDescent="0.3">
      <c r="A366" s="4">
        <v>2508857</v>
      </c>
      <c r="B366" s="108" t="s">
        <v>1765</v>
      </c>
      <c r="C366" s="4" t="s">
        <v>1766</v>
      </c>
      <c r="D366" s="4" t="s">
        <v>1767</v>
      </c>
      <c r="E366" s="4" t="s">
        <v>1768</v>
      </c>
      <c r="F366" s="4">
        <v>0</v>
      </c>
      <c r="G366" s="55">
        <v>49800</v>
      </c>
      <c r="H366" s="4" t="s">
        <v>71</v>
      </c>
      <c r="I366" s="4">
        <v>8.68</v>
      </c>
      <c r="J366" s="4" t="s">
        <v>109</v>
      </c>
      <c r="K366" s="4"/>
      <c r="L366" s="4"/>
      <c r="M366" s="4"/>
      <c r="N366" s="4"/>
      <c r="O366" s="4"/>
      <c r="P366" s="4"/>
      <c r="Q366" s="4"/>
      <c r="R366" s="4"/>
      <c r="S366" s="4"/>
      <c r="T366" s="4"/>
      <c r="U366" s="4"/>
      <c r="V366" s="4"/>
    </row>
    <row r="367" spans="1:22" x14ac:dyDescent="0.3">
      <c r="A367" s="4">
        <v>2305008</v>
      </c>
      <c r="B367" s="108" t="s">
        <v>1769</v>
      </c>
      <c r="C367" s="4" t="s">
        <v>1771</v>
      </c>
      <c r="D367" s="4" t="s">
        <v>1772</v>
      </c>
      <c r="E367" s="4">
        <v>0</v>
      </c>
      <c r="F367" s="4">
        <v>0</v>
      </c>
      <c r="G367" s="55">
        <v>63773.58</v>
      </c>
      <c r="H367" s="4" t="s">
        <v>124</v>
      </c>
      <c r="I367" s="4">
        <v>17.98</v>
      </c>
      <c r="J367" s="4" t="s">
        <v>109</v>
      </c>
      <c r="K367" s="4"/>
      <c r="L367" s="4"/>
      <c r="M367" s="4"/>
      <c r="N367" s="4"/>
      <c r="O367" s="4"/>
      <c r="P367" s="4"/>
      <c r="Q367" s="4"/>
      <c r="R367" s="4"/>
      <c r="S367" s="4"/>
      <c r="T367" s="4"/>
      <c r="U367" s="4"/>
      <c r="V367" s="4"/>
    </row>
    <row r="368" spans="1:22" x14ac:dyDescent="0.3">
      <c r="A368" s="4">
        <v>2508856</v>
      </c>
      <c r="B368" s="108" t="s">
        <v>1773</v>
      </c>
      <c r="C368" s="4" t="s">
        <v>1775</v>
      </c>
      <c r="D368" s="4" t="s">
        <v>1776</v>
      </c>
      <c r="E368" s="4" t="s">
        <v>1777</v>
      </c>
      <c r="F368" s="4">
        <v>0</v>
      </c>
      <c r="G368" s="55">
        <v>73500</v>
      </c>
      <c r="H368" s="4" t="s">
        <v>71</v>
      </c>
      <c r="I368" s="4">
        <v>18.600000000000001</v>
      </c>
      <c r="J368" s="4" t="s">
        <v>109</v>
      </c>
      <c r="K368" s="4"/>
      <c r="L368" s="4"/>
      <c r="M368" s="4"/>
      <c r="N368" s="4"/>
      <c r="O368" s="4"/>
      <c r="P368" s="4"/>
      <c r="Q368" s="4"/>
      <c r="R368" s="4"/>
      <c r="S368" s="4"/>
      <c r="T368" s="4"/>
      <c r="U368" s="4"/>
      <c r="V368" s="4"/>
    </row>
    <row r="369" spans="1:22" x14ac:dyDescent="0.3">
      <c r="A369" s="4">
        <v>2510877</v>
      </c>
      <c r="B369" s="108" t="s">
        <v>1778</v>
      </c>
      <c r="C369" s="4" t="s">
        <v>1779</v>
      </c>
      <c r="D369" s="4" t="s">
        <v>1780</v>
      </c>
      <c r="E369" s="4" t="s">
        <v>1781</v>
      </c>
      <c r="F369" s="4">
        <v>0</v>
      </c>
      <c r="G369" s="55">
        <v>28500</v>
      </c>
      <c r="H369" s="4" t="s">
        <v>71</v>
      </c>
      <c r="I369" s="4">
        <v>9.92</v>
      </c>
      <c r="J369" s="4" t="s">
        <v>109</v>
      </c>
      <c r="K369" s="4"/>
      <c r="L369" s="4"/>
      <c r="M369" s="4"/>
      <c r="N369" s="4"/>
      <c r="O369" s="4"/>
      <c r="P369" s="4"/>
      <c r="Q369" s="4"/>
      <c r="R369" s="4"/>
      <c r="S369" s="4"/>
      <c r="T369" s="4"/>
      <c r="U369" s="4"/>
      <c r="V369" s="4"/>
    </row>
    <row r="370" spans="1:22" x14ac:dyDescent="0.3">
      <c r="A370" s="4">
        <v>2511887</v>
      </c>
      <c r="B370" s="108" t="s">
        <v>1782</v>
      </c>
      <c r="C370" s="4" t="s">
        <v>1784</v>
      </c>
      <c r="D370" s="4" t="s">
        <v>1785</v>
      </c>
      <c r="E370" s="4" t="s">
        <v>1786</v>
      </c>
      <c r="F370" s="4">
        <v>0</v>
      </c>
      <c r="G370" s="55">
        <v>29000</v>
      </c>
      <c r="H370" s="4" t="s">
        <v>71</v>
      </c>
      <c r="I370" s="4">
        <v>12.4</v>
      </c>
      <c r="J370" s="4" t="s">
        <v>109</v>
      </c>
      <c r="K370" s="4"/>
      <c r="L370" s="4"/>
      <c r="M370" s="4"/>
      <c r="N370" s="4"/>
      <c r="O370" s="4"/>
      <c r="P370" s="4"/>
      <c r="Q370" s="4"/>
      <c r="R370" s="4"/>
      <c r="S370" s="4"/>
      <c r="T370" s="4"/>
      <c r="U370" s="4"/>
      <c r="V370" s="4"/>
    </row>
    <row r="371" spans="1:22" x14ac:dyDescent="0.3">
      <c r="A371" s="4">
        <v>2305019</v>
      </c>
      <c r="B371" s="108" t="s">
        <v>1787</v>
      </c>
      <c r="C371" s="4" t="s">
        <v>1788</v>
      </c>
      <c r="D371" s="4" t="s">
        <v>1789</v>
      </c>
      <c r="E371" s="4" t="s">
        <v>1790</v>
      </c>
      <c r="F371" s="4">
        <v>0</v>
      </c>
      <c r="G371" s="55">
        <v>60000</v>
      </c>
      <c r="H371" s="4" t="s">
        <v>71</v>
      </c>
      <c r="I371" s="4">
        <v>15.5</v>
      </c>
      <c r="J371" s="4" t="s">
        <v>109</v>
      </c>
      <c r="K371" s="4"/>
      <c r="L371" s="4"/>
      <c r="M371" s="4"/>
      <c r="N371" s="4"/>
      <c r="O371" s="4"/>
      <c r="P371" s="4"/>
      <c r="Q371" s="4"/>
      <c r="R371" s="4"/>
      <c r="S371" s="4"/>
      <c r="T371" s="4"/>
      <c r="U371" s="4"/>
      <c r="V371" s="4"/>
    </row>
    <row r="372" spans="1:22" x14ac:dyDescent="0.3">
      <c r="A372" s="4" t="e">
        <v>#REF!</v>
      </c>
      <c r="B372" s="108" t="e">
        <v>#REF!</v>
      </c>
      <c r="C372" s="4" t="e">
        <v>#REF!</v>
      </c>
      <c r="D372" s="4" t="e">
        <v>#REF!</v>
      </c>
      <c r="E372" s="4" t="e">
        <v>#REF!</v>
      </c>
      <c r="F372" s="4" t="e">
        <v>#REF!</v>
      </c>
      <c r="G372" s="55" t="e">
        <v>#REF!</v>
      </c>
      <c r="H372" s="4" t="e">
        <v>#REF!</v>
      </c>
      <c r="I372" s="4" t="e">
        <v>#REF!</v>
      </c>
      <c r="J372" s="4" t="e">
        <v>#REF!</v>
      </c>
      <c r="K372" s="4"/>
      <c r="L372" s="4"/>
      <c r="M372" s="4"/>
      <c r="N372" s="4"/>
      <c r="O372" s="4"/>
      <c r="P372" s="4"/>
      <c r="Q372" s="4"/>
      <c r="R372" s="4"/>
      <c r="S372" s="4"/>
      <c r="T372" s="4"/>
      <c r="U372" s="4"/>
      <c r="V372" s="4"/>
    </row>
    <row r="373" spans="1:22" x14ac:dyDescent="0.3">
      <c r="A373" s="4" t="e">
        <v>#REF!</v>
      </c>
      <c r="B373" s="108" t="e">
        <v>#REF!</v>
      </c>
      <c r="C373" s="4" t="e">
        <v>#REF!</v>
      </c>
      <c r="D373" s="4" t="e">
        <v>#REF!</v>
      </c>
      <c r="E373" s="4" t="e">
        <v>#REF!</v>
      </c>
      <c r="F373" s="4" t="e">
        <v>#REF!</v>
      </c>
      <c r="G373" s="55" t="e">
        <v>#REF!</v>
      </c>
      <c r="H373" s="4" t="e">
        <v>#REF!</v>
      </c>
      <c r="I373" s="4" t="e">
        <v>#REF!</v>
      </c>
      <c r="J373" s="4" t="e">
        <v>#REF!</v>
      </c>
      <c r="K373" s="4"/>
      <c r="L373" s="4"/>
      <c r="M373" s="4"/>
      <c r="N373" s="4"/>
      <c r="O373" s="4"/>
      <c r="P373" s="4"/>
      <c r="Q373" s="4"/>
      <c r="R373" s="4"/>
      <c r="S373" s="4"/>
      <c r="T373" s="4"/>
      <c r="U373" s="4"/>
      <c r="V373" s="4"/>
    </row>
    <row r="374" spans="1:22" x14ac:dyDescent="0.3">
      <c r="A374" s="4" t="e">
        <v>#REF!</v>
      </c>
      <c r="B374" s="108" t="e">
        <v>#REF!</v>
      </c>
      <c r="C374" s="4" t="e">
        <v>#REF!</v>
      </c>
      <c r="D374" s="4" t="e">
        <v>#REF!</v>
      </c>
      <c r="E374" s="4" t="e">
        <v>#REF!</v>
      </c>
      <c r="F374" s="4" t="e">
        <v>#REF!</v>
      </c>
      <c r="G374" s="55" t="e">
        <v>#REF!</v>
      </c>
      <c r="H374" s="4" t="e">
        <v>#REF!</v>
      </c>
      <c r="I374" s="4" t="e">
        <v>#REF!</v>
      </c>
      <c r="J374" s="4" t="e">
        <v>#REF!</v>
      </c>
      <c r="K374" s="4"/>
      <c r="L374" s="4"/>
      <c r="M374" s="4"/>
      <c r="N374" s="4"/>
      <c r="O374" s="4"/>
      <c r="P374" s="4"/>
      <c r="Q374" s="4"/>
      <c r="R374" s="4"/>
      <c r="S374" s="4"/>
      <c r="T374" s="4"/>
      <c r="U374" s="4"/>
      <c r="V374" s="4"/>
    </row>
    <row r="375" spans="1:22" x14ac:dyDescent="0.3">
      <c r="A375" s="4" t="e">
        <v>#REF!</v>
      </c>
      <c r="B375" s="108" t="e">
        <v>#REF!</v>
      </c>
      <c r="C375" s="4" t="e">
        <v>#REF!</v>
      </c>
      <c r="D375" s="4" t="e">
        <v>#REF!</v>
      </c>
      <c r="E375" s="4" t="e">
        <v>#REF!</v>
      </c>
      <c r="F375" s="4" t="e">
        <v>#REF!</v>
      </c>
      <c r="G375" s="55" t="e">
        <v>#REF!</v>
      </c>
      <c r="H375" s="4" t="e">
        <v>#REF!</v>
      </c>
      <c r="I375" s="4" t="e">
        <v>#REF!</v>
      </c>
      <c r="J375" s="4" t="e">
        <v>#REF!</v>
      </c>
      <c r="K375" s="4"/>
      <c r="L375" s="4"/>
      <c r="M375" s="4"/>
      <c r="N375" s="4"/>
      <c r="O375" s="4"/>
      <c r="P375" s="4"/>
      <c r="Q375" s="4"/>
      <c r="R375" s="4"/>
      <c r="S375" s="4"/>
      <c r="T375" s="4"/>
      <c r="U375" s="4"/>
      <c r="V375" s="4"/>
    </row>
    <row r="376" spans="1:22" x14ac:dyDescent="0.3">
      <c r="A376" s="4" t="e">
        <v>#REF!</v>
      </c>
      <c r="B376" s="108" t="e">
        <v>#REF!</v>
      </c>
      <c r="C376" s="4" t="e">
        <v>#REF!</v>
      </c>
      <c r="D376" s="4" t="e">
        <v>#REF!</v>
      </c>
      <c r="E376" s="4" t="e">
        <v>#REF!</v>
      </c>
      <c r="F376" s="4" t="e">
        <v>#REF!</v>
      </c>
      <c r="G376" s="55" t="e">
        <v>#REF!</v>
      </c>
      <c r="H376" s="4" t="e">
        <v>#REF!</v>
      </c>
      <c r="I376" s="4" t="e">
        <v>#REF!</v>
      </c>
      <c r="J376" s="4" t="e">
        <v>#REF!</v>
      </c>
      <c r="K376" s="4"/>
      <c r="L376" s="4"/>
      <c r="M376" s="4"/>
      <c r="N376" s="4"/>
      <c r="O376" s="4"/>
      <c r="P376" s="4"/>
      <c r="Q376" s="4"/>
      <c r="R376" s="4"/>
      <c r="S376" s="4"/>
      <c r="T376" s="4"/>
      <c r="U376" s="4"/>
      <c r="V376" s="4"/>
    </row>
    <row r="377" spans="1:22" x14ac:dyDescent="0.3">
      <c r="A377" s="4" t="e">
        <v>#REF!</v>
      </c>
      <c r="B377" s="108" t="e">
        <v>#REF!</v>
      </c>
      <c r="C377" s="4" t="e">
        <v>#REF!</v>
      </c>
      <c r="D377" s="4" t="e">
        <v>#REF!</v>
      </c>
      <c r="E377" s="4" t="e">
        <v>#REF!</v>
      </c>
      <c r="F377" s="4" t="e">
        <v>#REF!</v>
      </c>
      <c r="G377" s="55" t="e">
        <v>#REF!</v>
      </c>
      <c r="H377" s="4" t="e">
        <v>#REF!</v>
      </c>
      <c r="I377" s="4" t="e">
        <v>#REF!</v>
      </c>
      <c r="J377" s="4" t="e">
        <v>#REF!</v>
      </c>
      <c r="K377" s="4"/>
      <c r="L377" s="4"/>
      <c r="M377" s="4"/>
      <c r="N377" s="4"/>
      <c r="O377" s="4"/>
      <c r="P377" s="4"/>
      <c r="Q377" s="4"/>
      <c r="R377" s="4"/>
      <c r="S377" s="4"/>
      <c r="T377" s="4"/>
      <c r="U377" s="4"/>
      <c r="V377" s="4"/>
    </row>
    <row r="378" spans="1:22" x14ac:dyDescent="0.3">
      <c r="A378" s="4" t="e">
        <v>#REF!</v>
      </c>
      <c r="B378" s="108" t="e">
        <v>#REF!</v>
      </c>
      <c r="C378" s="4" t="e">
        <v>#REF!</v>
      </c>
      <c r="D378" s="4" t="e">
        <v>#REF!</v>
      </c>
      <c r="E378" s="4" t="e">
        <v>#REF!</v>
      </c>
      <c r="F378" s="4" t="e">
        <v>#REF!</v>
      </c>
      <c r="G378" s="55" t="e">
        <v>#REF!</v>
      </c>
      <c r="H378" s="4" t="e">
        <v>#REF!</v>
      </c>
      <c r="I378" s="4" t="e">
        <v>#REF!</v>
      </c>
      <c r="J378" s="4" t="e">
        <v>#REF!</v>
      </c>
      <c r="K378" s="4"/>
      <c r="L378" s="4"/>
      <c r="M378" s="4"/>
      <c r="N378" s="4"/>
      <c r="O378" s="4"/>
      <c r="P378" s="4"/>
      <c r="Q378" s="4"/>
      <c r="R378" s="4"/>
      <c r="S378" s="4"/>
      <c r="T378" s="4"/>
      <c r="U378" s="4"/>
      <c r="V378" s="4"/>
    </row>
    <row r="379" spans="1:22" x14ac:dyDescent="0.3">
      <c r="A379" s="4" t="e">
        <v>#REF!</v>
      </c>
      <c r="B379" s="108" t="e">
        <v>#REF!</v>
      </c>
      <c r="C379" s="4" t="e">
        <v>#REF!</v>
      </c>
      <c r="D379" s="4" t="e">
        <v>#REF!</v>
      </c>
      <c r="E379" s="4" t="e">
        <v>#REF!</v>
      </c>
      <c r="F379" s="4" t="e">
        <v>#REF!</v>
      </c>
      <c r="G379" s="55" t="e">
        <v>#REF!</v>
      </c>
      <c r="H379" s="4" t="e">
        <v>#REF!</v>
      </c>
      <c r="I379" s="4" t="e">
        <v>#REF!</v>
      </c>
      <c r="J379" s="4" t="e">
        <v>#REF!</v>
      </c>
      <c r="K379" s="4"/>
      <c r="L379" s="4"/>
      <c r="M379" s="4"/>
      <c r="N379" s="4"/>
      <c r="O379" s="4"/>
      <c r="P379" s="4"/>
      <c r="Q379" s="4"/>
      <c r="R379" s="4"/>
      <c r="S379" s="4"/>
      <c r="T379" s="4"/>
      <c r="U379" s="4"/>
      <c r="V379" s="4"/>
    </row>
    <row r="380" spans="1:22" x14ac:dyDescent="0.3">
      <c r="A380" s="4" t="e">
        <v>#REF!</v>
      </c>
      <c r="B380" s="108" t="e">
        <v>#REF!</v>
      </c>
      <c r="C380" s="4" t="e">
        <v>#REF!</v>
      </c>
      <c r="D380" s="4" t="e">
        <v>#REF!</v>
      </c>
      <c r="E380" s="4" t="e">
        <v>#REF!</v>
      </c>
      <c r="F380" s="4" t="e">
        <v>#REF!</v>
      </c>
      <c r="G380" s="55" t="e">
        <v>#REF!</v>
      </c>
      <c r="H380" s="4" t="e">
        <v>#REF!</v>
      </c>
      <c r="I380" s="4" t="e">
        <v>#REF!</v>
      </c>
      <c r="J380" s="4" t="e">
        <v>#REF!</v>
      </c>
      <c r="K380" s="4"/>
      <c r="L380" s="4"/>
      <c r="M380" s="4"/>
      <c r="N380" s="4"/>
      <c r="O380" s="4"/>
      <c r="P380" s="4"/>
      <c r="Q380" s="4"/>
      <c r="R380" s="4"/>
      <c r="S380" s="4"/>
      <c r="T380" s="4"/>
      <c r="U380" s="4"/>
      <c r="V380" s="4"/>
    </row>
    <row r="381" spans="1:22" x14ac:dyDescent="0.3">
      <c r="A381" s="4" t="e">
        <v>#REF!</v>
      </c>
      <c r="B381" s="108" t="e">
        <v>#REF!</v>
      </c>
      <c r="C381" s="4" t="e">
        <v>#REF!</v>
      </c>
      <c r="D381" s="4" t="e">
        <v>#REF!</v>
      </c>
      <c r="E381" s="4" t="e">
        <v>#REF!</v>
      </c>
      <c r="F381" s="4" t="e">
        <v>#REF!</v>
      </c>
      <c r="G381" s="55" t="e">
        <v>#REF!</v>
      </c>
      <c r="H381" s="4" t="e">
        <v>#REF!</v>
      </c>
      <c r="I381" s="4" t="e">
        <v>#REF!</v>
      </c>
      <c r="J381" s="4" t="e">
        <v>#REF!</v>
      </c>
      <c r="K381" s="4"/>
      <c r="L381" s="4"/>
      <c r="M381" s="4"/>
      <c r="N381" s="4"/>
      <c r="O381" s="4"/>
      <c r="P381" s="4"/>
      <c r="Q381" s="4"/>
      <c r="R381" s="4"/>
      <c r="S381" s="4"/>
      <c r="T381" s="4"/>
      <c r="U381" s="4"/>
      <c r="V381" s="4"/>
    </row>
    <row r="382" spans="1:22" x14ac:dyDescent="0.3">
      <c r="A382" s="4" t="e">
        <v>#REF!</v>
      </c>
      <c r="B382" s="108" t="e">
        <v>#REF!</v>
      </c>
      <c r="C382" s="4" t="e">
        <v>#REF!</v>
      </c>
      <c r="D382" s="4" t="e">
        <v>#REF!</v>
      </c>
      <c r="E382" s="4" t="e">
        <v>#REF!</v>
      </c>
      <c r="F382" s="4" t="e">
        <v>#REF!</v>
      </c>
      <c r="G382" s="55" t="e">
        <v>#REF!</v>
      </c>
      <c r="H382" s="4" t="e">
        <v>#REF!</v>
      </c>
      <c r="I382" s="4" t="e">
        <v>#REF!</v>
      </c>
      <c r="J382" s="4" t="e">
        <v>#REF!</v>
      </c>
      <c r="K382" s="4"/>
      <c r="L382" s="4"/>
      <c r="M382" s="4"/>
      <c r="N382" s="4"/>
      <c r="O382" s="4"/>
      <c r="P382" s="4"/>
      <c r="Q382" s="4"/>
      <c r="R382" s="4"/>
      <c r="S382" s="4"/>
      <c r="T382" s="4"/>
      <c r="U382" s="4"/>
      <c r="V382" s="4"/>
    </row>
    <row r="383" spans="1:22" x14ac:dyDescent="0.3">
      <c r="A383" s="4" t="e">
        <v>#REF!</v>
      </c>
      <c r="B383" s="108" t="e">
        <v>#REF!</v>
      </c>
      <c r="C383" s="4" t="e">
        <v>#REF!</v>
      </c>
      <c r="D383" s="4" t="e">
        <v>#REF!</v>
      </c>
      <c r="E383" s="4" t="e">
        <v>#REF!</v>
      </c>
      <c r="F383" s="4" t="e">
        <v>#REF!</v>
      </c>
      <c r="G383" s="55" t="e">
        <v>#REF!</v>
      </c>
      <c r="H383" s="4" t="e">
        <v>#REF!</v>
      </c>
      <c r="I383" s="4" t="e">
        <v>#REF!</v>
      </c>
      <c r="J383" s="4" t="e">
        <v>#REF!</v>
      </c>
      <c r="K383" s="4"/>
      <c r="L383" s="4"/>
      <c r="M383" s="4"/>
      <c r="N383" s="4"/>
      <c r="O383" s="4"/>
      <c r="P383" s="4"/>
      <c r="Q383" s="4"/>
      <c r="R383" s="4"/>
      <c r="S383" s="4"/>
      <c r="T383" s="4"/>
      <c r="U383" s="4"/>
      <c r="V383" s="4"/>
    </row>
    <row r="384" spans="1:22" x14ac:dyDescent="0.3">
      <c r="A384" s="4" t="e">
        <v>#REF!</v>
      </c>
      <c r="B384" s="108" t="e">
        <v>#REF!</v>
      </c>
      <c r="C384" s="4" t="e">
        <v>#REF!</v>
      </c>
      <c r="D384" s="4" t="e">
        <v>#REF!</v>
      </c>
      <c r="E384" s="4" t="e">
        <v>#REF!</v>
      </c>
      <c r="F384" s="4" t="e">
        <v>#REF!</v>
      </c>
      <c r="G384" s="55" t="e">
        <v>#REF!</v>
      </c>
      <c r="H384" s="4" t="e">
        <v>#REF!</v>
      </c>
      <c r="I384" s="4" t="e">
        <v>#REF!</v>
      </c>
      <c r="J384" s="4" t="e">
        <v>#REF!</v>
      </c>
      <c r="K384" s="4"/>
      <c r="L384" s="4"/>
      <c r="M384" s="4"/>
      <c r="N384" s="4"/>
      <c r="O384" s="4"/>
      <c r="P384" s="4"/>
      <c r="Q384" s="4"/>
      <c r="R384" s="4"/>
      <c r="S384" s="4"/>
      <c r="T384" s="4"/>
      <c r="U384" s="4"/>
      <c r="V384" s="4"/>
    </row>
    <row r="385" spans="1:22" x14ac:dyDescent="0.3">
      <c r="A385" s="4" t="e">
        <v>#REF!</v>
      </c>
      <c r="B385" s="108" t="e">
        <v>#REF!</v>
      </c>
      <c r="C385" s="4" t="e">
        <v>#REF!</v>
      </c>
      <c r="D385" s="4" t="e">
        <v>#REF!</v>
      </c>
      <c r="E385" s="4" t="e">
        <v>#REF!</v>
      </c>
      <c r="F385" s="4" t="e">
        <v>#REF!</v>
      </c>
      <c r="G385" s="55" t="e">
        <v>#REF!</v>
      </c>
      <c r="H385" s="4" t="e">
        <v>#REF!</v>
      </c>
      <c r="I385" s="4" t="e">
        <v>#REF!</v>
      </c>
      <c r="J385" s="4" t="e">
        <v>#REF!</v>
      </c>
      <c r="K385" s="4"/>
      <c r="L385" s="4"/>
      <c r="M385" s="4"/>
      <c r="N385" s="4"/>
      <c r="O385" s="4"/>
      <c r="P385" s="4"/>
      <c r="Q385" s="4"/>
      <c r="R385" s="4"/>
      <c r="S385" s="4"/>
      <c r="T385" s="4"/>
      <c r="U385" s="4"/>
      <c r="V385" s="4"/>
    </row>
    <row r="386" spans="1:22" x14ac:dyDescent="0.3">
      <c r="A386" s="4" t="e">
        <v>#REF!</v>
      </c>
      <c r="B386" s="108" t="e">
        <v>#REF!</v>
      </c>
      <c r="C386" s="4" t="e">
        <v>#REF!</v>
      </c>
      <c r="D386" s="4" t="e">
        <v>#REF!</v>
      </c>
      <c r="E386" s="4" t="e">
        <v>#REF!</v>
      </c>
      <c r="F386" s="4" t="e">
        <v>#REF!</v>
      </c>
      <c r="G386" s="55" t="e">
        <v>#REF!</v>
      </c>
      <c r="H386" s="4" t="e">
        <v>#REF!</v>
      </c>
      <c r="I386" s="4" t="e">
        <v>#REF!</v>
      </c>
      <c r="J386" s="4" t="e">
        <v>#REF!</v>
      </c>
      <c r="K386" s="4"/>
      <c r="L386" s="4"/>
      <c r="M386" s="4"/>
      <c r="N386" s="4"/>
      <c r="O386" s="4"/>
      <c r="P386" s="4"/>
      <c r="Q386" s="4"/>
      <c r="R386" s="4"/>
      <c r="S386" s="4"/>
      <c r="T386" s="4"/>
      <c r="U386" s="4"/>
      <c r="V386" s="4"/>
    </row>
    <row r="387" spans="1:22" x14ac:dyDescent="0.3">
      <c r="A387" s="4" t="e">
        <v>#REF!</v>
      </c>
      <c r="B387" s="108" t="e">
        <v>#REF!</v>
      </c>
      <c r="C387" s="4" t="e">
        <v>#REF!</v>
      </c>
      <c r="D387" s="4" t="e">
        <v>#REF!</v>
      </c>
      <c r="E387" s="4" t="e">
        <v>#REF!</v>
      </c>
      <c r="F387" s="4" t="e">
        <v>#REF!</v>
      </c>
      <c r="G387" s="55" t="e">
        <v>#REF!</v>
      </c>
      <c r="H387" s="4" t="e">
        <v>#REF!</v>
      </c>
      <c r="I387" s="4" t="e">
        <v>#REF!</v>
      </c>
      <c r="J387" s="4" t="e">
        <v>#REF!</v>
      </c>
      <c r="K387" s="4"/>
      <c r="L387" s="4"/>
      <c r="M387" s="4"/>
      <c r="N387" s="4"/>
      <c r="O387" s="4"/>
      <c r="P387" s="4"/>
      <c r="Q387" s="4"/>
      <c r="R387" s="4"/>
      <c r="S387" s="4"/>
      <c r="T387" s="4"/>
      <c r="U387" s="4"/>
      <c r="V387" s="4"/>
    </row>
    <row r="388" spans="1:22" x14ac:dyDescent="0.3">
      <c r="A388" s="4" t="e">
        <v>#REF!</v>
      </c>
      <c r="B388" s="108" t="e">
        <v>#REF!</v>
      </c>
      <c r="C388" s="4" t="e">
        <v>#REF!</v>
      </c>
      <c r="D388" s="4" t="e">
        <v>#REF!</v>
      </c>
      <c r="E388" s="4" t="e">
        <v>#REF!</v>
      </c>
      <c r="F388" s="4" t="e">
        <v>#REF!</v>
      </c>
      <c r="G388" s="55" t="e">
        <v>#REF!</v>
      </c>
      <c r="H388" s="4" t="e">
        <v>#REF!</v>
      </c>
      <c r="I388" s="4" t="e">
        <v>#REF!</v>
      </c>
      <c r="J388" s="4" t="e">
        <v>#REF!</v>
      </c>
      <c r="K388" s="4"/>
      <c r="L388" s="4"/>
      <c r="M388" s="4"/>
      <c r="N388" s="4"/>
      <c r="O388" s="4"/>
      <c r="P388" s="4"/>
      <c r="Q388" s="4"/>
      <c r="R388" s="4"/>
      <c r="S388" s="4"/>
      <c r="T388" s="4"/>
      <c r="U388" s="4"/>
      <c r="V388" s="4"/>
    </row>
    <row r="389" spans="1:22" x14ac:dyDescent="0.3">
      <c r="A389" s="4" t="e">
        <v>#REF!</v>
      </c>
      <c r="B389" s="108" t="e">
        <v>#REF!</v>
      </c>
      <c r="C389" s="4" t="e">
        <v>#REF!</v>
      </c>
      <c r="D389" s="4" t="e">
        <v>#REF!</v>
      </c>
      <c r="E389" s="4" t="e">
        <v>#REF!</v>
      </c>
      <c r="F389" s="4" t="e">
        <v>#REF!</v>
      </c>
      <c r="G389" s="55" t="e">
        <v>#REF!</v>
      </c>
      <c r="H389" s="4" t="e">
        <v>#REF!</v>
      </c>
      <c r="I389" s="4" t="e">
        <v>#REF!</v>
      </c>
      <c r="J389" s="4" t="e">
        <v>#REF!</v>
      </c>
      <c r="K389" s="4"/>
      <c r="L389" s="4"/>
      <c r="M389" s="4"/>
      <c r="N389" s="4"/>
      <c r="O389" s="4"/>
      <c r="P389" s="4"/>
      <c r="Q389" s="4"/>
      <c r="R389" s="4"/>
      <c r="S389" s="4"/>
      <c r="T389" s="4"/>
      <c r="U389" s="4"/>
      <c r="V389" s="4"/>
    </row>
    <row r="390" spans="1:22" x14ac:dyDescent="0.3">
      <c r="A390" s="4" t="e">
        <v>#REF!</v>
      </c>
      <c r="B390" s="108" t="e">
        <v>#REF!</v>
      </c>
      <c r="C390" s="4" t="e">
        <v>#REF!</v>
      </c>
      <c r="D390" s="4" t="e">
        <v>#REF!</v>
      </c>
      <c r="E390" s="4" t="e">
        <v>#REF!</v>
      </c>
      <c r="F390" s="4" t="e">
        <v>#REF!</v>
      </c>
      <c r="G390" s="55" t="e">
        <v>#REF!</v>
      </c>
      <c r="H390" s="4" t="e">
        <v>#REF!</v>
      </c>
      <c r="I390" s="4" t="e">
        <v>#REF!</v>
      </c>
      <c r="J390" s="4" t="e">
        <v>#REF!</v>
      </c>
      <c r="K390" s="4"/>
      <c r="L390" s="4"/>
      <c r="M390" s="4"/>
      <c r="N390" s="4"/>
      <c r="O390" s="4"/>
      <c r="P390" s="4"/>
      <c r="Q390" s="4"/>
      <c r="R390" s="4"/>
      <c r="S390" s="4"/>
      <c r="T390" s="4"/>
      <c r="U390" s="4"/>
      <c r="V390" s="4"/>
    </row>
    <row r="391" spans="1:22" x14ac:dyDescent="0.3">
      <c r="A391" s="4" t="e">
        <v>#REF!</v>
      </c>
      <c r="B391" s="108" t="e">
        <v>#REF!</v>
      </c>
      <c r="C391" s="4" t="e">
        <v>#REF!</v>
      </c>
      <c r="D391" s="4" t="e">
        <v>#REF!</v>
      </c>
      <c r="E391" s="4" t="e">
        <v>#REF!</v>
      </c>
      <c r="F391" s="4" t="e">
        <v>#REF!</v>
      </c>
      <c r="G391" s="55" t="e">
        <v>#REF!</v>
      </c>
      <c r="H391" s="4" t="e">
        <v>#REF!</v>
      </c>
      <c r="I391" s="4" t="e">
        <v>#REF!</v>
      </c>
      <c r="J391" s="4" t="e">
        <v>#REF!</v>
      </c>
      <c r="K391" s="4"/>
      <c r="L391" s="4"/>
      <c r="M391" s="4"/>
      <c r="N391" s="4"/>
      <c r="O391" s="4"/>
      <c r="P391" s="4"/>
      <c r="Q391" s="4"/>
      <c r="R391" s="4"/>
      <c r="S391" s="4"/>
      <c r="T391" s="4"/>
      <c r="U391" s="4"/>
      <c r="V391" s="4"/>
    </row>
    <row r="392" spans="1:22" x14ac:dyDescent="0.3">
      <c r="A392" s="4" t="e">
        <v>#REF!</v>
      </c>
      <c r="B392" s="108" t="e">
        <v>#REF!</v>
      </c>
      <c r="C392" s="4" t="e">
        <v>#REF!</v>
      </c>
      <c r="D392" s="4" t="e">
        <v>#REF!</v>
      </c>
      <c r="E392" s="4" t="e">
        <v>#REF!</v>
      </c>
      <c r="F392" s="4" t="e">
        <v>#REF!</v>
      </c>
      <c r="G392" s="55" t="e">
        <v>#REF!</v>
      </c>
      <c r="H392" s="4" t="e">
        <v>#REF!</v>
      </c>
      <c r="I392" s="4" t="e">
        <v>#REF!</v>
      </c>
      <c r="J392" s="4" t="e">
        <v>#REF!</v>
      </c>
      <c r="K392" s="4"/>
      <c r="L392" s="4"/>
      <c r="M392" s="4"/>
      <c r="N392" s="4"/>
      <c r="O392" s="4"/>
      <c r="P392" s="4"/>
      <c r="Q392" s="4"/>
      <c r="R392" s="4"/>
      <c r="S392" s="4"/>
      <c r="T392" s="4"/>
      <c r="U392" s="4"/>
      <c r="V392" s="4"/>
    </row>
    <row r="393" spans="1:22" x14ac:dyDescent="0.3">
      <c r="A393" s="4" t="e">
        <v>#REF!</v>
      </c>
      <c r="B393" s="108" t="e">
        <v>#REF!</v>
      </c>
      <c r="C393" s="4" t="e">
        <v>#REF!</v>
      </c>
      <c r="D393" s="4" t="e">
        <v>#REF!</v>
      </c>
      <c r="E393" s="4" t="e">
        <v>#REF!</v>
      </c>
      <c r="F393" s="4" t="e">
        <v>#REF!</v>
      </c>
      <c r="G393" s="55" t="e">
        <v>#REF!</v>
      </c>
      <c r="H393" s="4" t="e">
        <v>#REF!</v>
      </c>
      <c r="I393" s="4" t="e">
        <v>#REF!</v>
      </c>
      <c r="J393" s="4" t="e">
        <v>#REF!</v>
      </c>
      <c r="K393" s="4"/>
      <c r="L393" s="4"/>
      <c r="M393" s="4"/>
      <c r="N393" s="4"/>
      <c r="O393" s="4"/>
      <c r="P393" s="4"/>
      <c r="Q393" s="4"/>
      <c r="R393" s="4"/>
      <c r="S393" s="4"/>
      <c r="T393" s="4"/>
      <c r="U393" s="4"/>
      <c r="V393" s="4"/>
    </row>
    <row r="394" spans="1:22" x14ac:dyDescent="0.3">
      <c r="A394" s="4" t="e">
        <v>#REF!</v>
      </c>
      <c r="B394" s="108" t="e">
        <v>#REF!</v>
      </c>
      <c r="C394" s="4" t="e">
        <v>#REF!</v>
      </c>
      <c r="D394" s="4" t="e">
        <v>#REF!</v>
      </c>
      <c r="E394" s="4" t="e">
        <v>#REF!</v>
      </c>
      <c r="F394" s="4" t="e">
        <v>#REF!</v>
      </c>
      <c r="G394" s="55" t="e">
        <v>#REF!</v>
      </c>
      <c r="H394" s="4" t="e">
        <v>#REF!</v>
      </c>
      <c r="I394" s="4" t="e">
        <v>#REF!</v>
      </c>
      <c r="J394" s="4" t="e">
        <v>#REF!</v>
      </c>
      <c r="K394" s="4"/>
      <c r="L394" s="4"/>
      <c r="M394" s="4"/>
      <c r="N394" s="4"/>
      <c r="O394" s="4"/>
      <c r="P394" s="4"/>
      <c r="Q394" s="4"/>
      <c r="R394" s="4"/>
      <c r="S394" s="4"/>
      <c r="T394" s="4"/>
      <c r="U394" s="4"/>
      <c r="V394" s="4"/>
    </row>
    <row r="395" spans="1:22" x14ac:dyDescent="0.3">
      <c r="A395" s="4" t="e">
        <v>#REF!</v>
      </c>
      <c r="B395" s="108" t="e">
        <v>#REF!</v>
      </c>
      <c r="C395" s="4" t="e">
        <v>#REF!</v>
      </c>
      <c r="D395" s="4" t="e">
        <v>#REF!</v>
      </c>
      <c r="E395" s="4" t="e">
        <v>#REF!</v>
      </c>
      <c r="F395" s="4" t="e">
        <v>#REF!</v>
      </c>
      <c r="G395" s="55" t="e">
        <v>#REF!</v>
      </c>
      <c r="H395" s="4" t="e">
        <v>#REF!</v>
      </c>
      <c r="I395" s="4" t="e">
        <v>#REF!</v>
      </c>
      <c r="J395" s="4" t="e">
        <v>#REF!</v>
      </c>
      <c r="K395" s="4"/>
      <c r="L395" s="4"/>
      <c r="M395" s="4"/>
      <c r="N395" s="4"/>
      <c r="O395" s="4"/>
      <c r="P395" s="4"/>
      <c r="Q395" s="4"/>
      <c r="R395" s="4"/>
      <c r="S395" s="4"/>
      <c r="T395" s="4"/>
      <c r="U395" s="4"/>
      <c r="V395" s="4"/>
    </row>
    <row r="396" spans="1:22" x14ac:dyDescent="0.3">
      <c r="A396" s="4" t="e">
        <v>#REF!</v>
      </c>
      <c r="B396" s="108" t="e">
        <v>#REF!</v>
      </c>
      <c r="C396" s="4" t="e">
        <v>#REF!</v>
      </c>
      <c r="D396" s="4" t="e">
        <v>#REF!</v>
      </c>
      <c r="E396" s="4" t="e">
        <v>#REF!</v>
      </c>
      <c r="F396" s="4" t="e">
        <v>#REF!</v>
      </c>
      <c r="G396" s="55" t="e">
        <v>#REF!</v>
      </c>
      <c r="H396" s="4" t="e">
        <v>#REF!</v>
      </c>
      <c r="I396" s="4" t="e">
        <v>#REF!</v>
      </c>
      <c r="J396" s="4" t="e">
        <v>#REF!</v>
      </c>
      <c r="K396" s="4"/>
      <c r="L396" s="4"/>
      <c r="M396" s="4"/>
      <c r="N396" s="4"/>
      <c r="O396" s="4"/>
      <c r="P396" s="4"/>
      <c r="Q396" s="4"/>
      <c r="R396" s="4"/>
      <c r="S396" s="4"/>
      <c r="T396" s="4"/>
      <c r="U396" s="4"/>
      <c r="V396" s="4"/>
    </row>
    <row r="397" spans="1:22" x14ac:dyDescent="0.3">
      <c r="A397" s="4" t="e">
        <v>#REF!</v>
      </c>
      <c r="B397" s="108" t="e">
        <v>#REF!</v>
      </c>
      <c r="C397" s="4" t="e">
        <v>#REF!</v>
      </c>
      <c r="D397" s="4" t="e">
        <v>#REF!</v>
      </c>
      <c r="E397" s="4" t="e">
        <v>#REF!</v>
      </c>
      <c r="F397" s="4" t="e">
        <v>#REF!</v>
      </c>
      <c r="G397" s="55" t="e">
        <v>#REF!</v>
      </c>
      <c r="H397" s="4" t="e">
        <v>#REF!</v>
      </c>
      <c r="I397" s="4" t="e">
        <v>#REF!</v>
      </c>
      <c r="J397" s="4" t="e">
        <v>#REF!</v>
      </c>
      <c r="K397" s="4"/>
      <c r="L397" s="4"/>
      <c r="M397" s="4"/>
      <c r="N397" s="4"/>
      <c r="O397" s="4"/>
      <c r="P397" s="4"/>
      <c r="Q397" s="4"/>
      <c r="R397" s="4"/>
      <c r="S397" s="4"/>
      <c r="T397" s="4"/>
      <c r="U397" s="4"/>
      <c r="V397" s="4"/>
    </row>
    <row r="398" spans="1:22" x14ac:dyDescent="0.3">
      <c r="A398" s="4" t="e">
        <v>#REF!</v>
      </c>
      <c r="B398" s="108" t="e">
        <v>#REF!</v>
      </c>
      <c r="C398" s="4" t="e">
        <v>#REF!</v>
      </c>
      <c r="D398" s="4" t="e">
        <v>#REF!</v>
      </c>
      <c r="E398" s="4" t="e">
        <v>#REF!</v>
      </c>
      <c r="F398" s="4" t="e">
        <v>#REF!</v>
      </c>
      <c r="G398" s="55" t="e">
        <v>#REF!</v>
      </c>
      <c r="H398" s="4" t="e">
        <v>#REF!</v>
      </c>
      <c r="I398" s="4" t="e">
        <v>#REF!</v>
      </c>
      <c r="J398" s="4" t="e">
        <v>#REF!</v>
      </c>
      <c r="K398" s="4"/>
      <c r="L398" s="4"/>
      <c r="M398" s="4"/>
      <c r="N398" s="4"/>
      <c r="O398" s="4"/>
      <c r="P398" s="4"/>
      <c r="Q398" s="4"/>
      <c r="R398" s="4"/>
      <c r="S398" s="4"/>
      <c r="T398" s="4"/>
      <c r="U398" s="4"/>
      <c r="V398" s="4"/>
    </row>
    <row r="399" spans="1:22" x14ac:dyDescent="0.3">
      <c r="A399" s="4" t="e">
        <v>#REF!</v>
      </c>
      <c r="B399" s="108" t="e">
        <v>#REF!</v>
      </c>
      <c r="C399" s="4" t="e">
        <v>#REF!</v>
      </c>
      <c r="D399" s="4" t="e">
        <v>#REF!</v>
      </c>
      <c r="E399" s="4" t="e">
        <v>#REF!</v>
      </c>
      <c r="F399" s="4" t="e">
        <v>#REF!</v>
      </c>
      <c r="G399" s="55" t="e">
        <v>#REF!</v>
      </c>
      <c r="H399" s="4" t="e">
        <v>#REF!</v>
      </c>
      <c r="I399" s="4" t="e">
        <v>#REF!</v>
      </c>
      <c r="J399" s="4" t="e">
        <v>#REF!</v>
      </c>
      <c r="K399" s="4"/>
      <c r="L399" s="4"/>
      <c r="M399" s="4"/>
      <c r="N399" s="4"/>
      <c r="O399" s="4"/>
      <c r="P399" s="4"/>
      <c r="Q399" s="4"/>
      <c r="R399" s="4"/>
      <c r="S399" s="4"/>
      <c r="T399" s="4"/>
      <c r="U399" s="4"/>
      <c r="V399" s="4"/>
    </row>
    <row r="400" spans="1:22" x14ac:dyDescent="0.3">
      <c r="A400" s="4" t="e">
        <v>#REF!</v>
      </c>
      <c r="B400" s="108" t="e">
        <v>#REF!</v>
      </c>
      <c r="C400" s="4" t="e">
        <v>#REF!</v>
      </c>
      <c r="D400" s="4" t="e">
        <v>#REF!</v>
      </c>
      <c r="E400" s="4" t="e">
        <v>#REF!</v>
      </c>
      <c r="F400" s="4" t="e">
        <v>#REF!</v>
      </c>
      <c r="G400" s="55" t="e">
        <v>#REF!</v>
      </c>
      <c r="H400" s="4" t="e">
        <v>#REF!</v>
      </c>
      <c r="I400" s="4" t="e">
        <v>#REF!</v>
      </c>
      <c r="J400" s="4" t="e">
        <v>#REF!</v>
      </c>
      <c r="K400" s="4"/>
      <c r="L400" s="4"/>
      <c r="M400" s="4"/>
      <c r="N400" s="4"/>
      <c r="O400" s="4"/>
      <c r="P400" s="4"/>
      <c r="Q400" s="4"/>
      <c r="R400" s="4"/>
      <c r="S400" s="4"/>
      <c r="T400" s="4"/>
      <c r="U400" s="4"/>
      <c r="V400" s="4"/>
    </row>
    <row r="401" spans="1:22" x14ac:dyDescent="0.3">
      <c r="A401" s="4" t="e">
        <v>#REF!</v>
      </c>
      <c r="B401" s="108" t="e">
        <v>#REF!</v>
      </c>
      <c r="C401" s="4" t="e">
        <v>#REF!</v>
      </c>
      <c r="D401" s="4" t="e">
        <v>#REF!</v>
      </c>
      <c r="E401" s="4" t="e">
        <v>#REF!</v>
      </c>
      <c r="F401" s="4" t="e">
        <v>#REF!</v>
      </c>
      <c r="G401" s="55" t="e">
        <v>#REF!</v>
      </c>
      <c r="H401" s="4" t="e">
        <v>#REF!</v>
      </c>
      <c r="I401" s="4" t="e">
        <v>#REF!</v>
      </c>
      <c r="J401" s="4" t="e">
        <v>#REF!</v>
      </c>
      <c r="K401" s="4"/>
      <c r="L401" s="4"/>
      <c r="M401" s="4"/>
      <c r="N401" s="4"/>
      <c r="O401" s="4"/>
      <c r="P401" s="4"/>
      <c r="Q401" s="4"/>
      <c r="R401" s="4"/>
      <c r="S401" s="4"/>
      <c r="T401" s="4"/>
      <c r="U401" s="4"/>
      <c r="V401" s="4"/>
    </row>
    <row r="402" spans="1:22" x14ac:dyDescent="0.3">
      <c r="A402" s="4" t="e">
        <v>#REF!</v>
      </c>
      <c r="B402" s="108" t="e">
        <v>#REF!</v>
      </c>
      <c r="C402" s="4" t="e">
        <v>#REF!</v>
      </c>
      <c r="D402" s="4" t="e">
        <v>#REF!</v>
      </c>
      <c r="E402" s="4" t="e">
        <v>#REF!</v>
      </c>
      <c r="F402" s="4" t="e">
        <v>#REF!</v>
      </c>
      <c r="G402" s="55" t="e">
        <v>#REF!</v>
      </c>
      <c r="H402" s="4" t="e">
        <v>#REF!</v>
      </c>
      <c r="I402" s="4" t="e">
        <v>#REF!</v>
      </c>
      <c r="J402" s="4" t="e">
        <v>#REF!</v>
      </c>
      <c r="K402" s="4"/>
      <c r="L402" s="4"/>
      <c r="M402" s="4"/>
      <c r="N402" s="4"/>
      <c r="O402" s="4"/>
      <c r="P402" s="4"/>
      <c r="Q402" s="4"/>
      <c r="R402" s="4"/>
      <c r="S402" s="4"/>
      <c r="T402" s="4"/>
      <c r="U402" s="4"/>
      <c r="V402" s="4"/>
    </row>
    <row r="403" spans="1:22" x14ac:dyDescent="0.3">
      <c r="A403" s="4" t="e">
        <v>#REF!</v>
      </c>
      <c r="B403" s="108" t="e">
        <v>#REF!</v>
      </c>
      <c r="C403" s="4" t="e">
        <v>#REF!</v>
      </c>
      <c r="D403" s="4" t="e">
        <v>#REF!</v>
      </c>
      <c r="E403" s="4" t="e">
        <v>#REF!</v>
      </c>
      <c r="F403" s="4" t="e">
        <v>#REF!</v>
      </c>
      <c r="G403" s="55" t="e">
        <v>#REF!</v>
      </c>
      <c r="H403" s="4" t="e">
        <v>#REF!</v>
      </c>
      <c r="I403" s="4" t="e">
        <v>#REF!</v>
      </c>
      <c r="J403" s="4" t="e">
        <v>#REF!</v>
      </c>
      <c r="K403" s="4"/>
      <c r="L403" s="4"/>
      <c r="M403" s="4"/>
      <c r="N403" s="4"/>
      <c r="O403" s="4"/>
      <c r="P403" s="4"/>
      <c r="Q403" s="4"/>
      <c r="R403" s="4"/>
      <c r="S403" s="4"/>
      <c r="T403" s="4"/>
      <c r="U403" s="4"/>
      <c r="V403" s="4"/>
    </row>
    <row r="404" spans="1:22" x14ac:dyDescent="0.3">
      <c r="A404" s="4" t="e">
        <v>#REF!</v>
      </c>
      <c r="B404" s="108" t="e">
        <v>#REF!</v>
      </c>
      <c r="C404" s="4" t="e">
        <v>#REF!</v>
      </c>
      <c r="D404" s="4" t="e">
        <v>#REF!</v>
      </c>
      <c r="E404" s="4" t="e">
        <v>#REF!</v>
      </c>
      <c r="F404" s="4" t="e">
        <v>#REF!</v>
      </c>
      <c r="G404" s="55" t="e">
        <v>#REF!</v>
      </c>
      <c r="H404" s="4" t="e">
        <v>#REF!</v>
      </c>
      <c r="I404" s="4" t="e">
        <v>#REF!</v>
      </c>
      <c r="J404" s="4" t="e">
        <v>#REF!</v>
      </c>
      <c r="K404" s="4"/>
      <c r="L404" s="4"/>
      <c r="M404" s="4"/>
      <c r="N404" s="4"/>
      <c r="O404" s="4"/>
      <c r="P404" s="4"/>
      <c r="Q404" s="4"/>
      <c r="R404" s="4"/>
      <c r="S404" s="4"/>
      <c r="T404" s="4"/>
      <c r="U404" s="4"/>
      <c r="V404" s="4"/>
    </row>
    <row r="405" spans="1:22" x14ac:dyDescent="0.3">
      <c r="A405" s="4" t="e">
        <v>#REF!</v>
      </c>
      <c r="B405" s="108" t="e">
        <v>#REF!</v>
      </c>
      <c r="C405" s="4" t="e">
        <v>#REF!</v>
      </c>
      <c r="D405" s="4" t="e">
        <v>#REF!</v>
      </c>
      <c r="E405" s="4" t="e">
        <v>#REF!</v>
      </c>
      <c r="F405" s="4" t="e">
        <v>#REF!</v>
      </c>
      <c r="G405" s="55" t="e">
        <v>#REF!</v>
      </c>
      <c r="H405" s="4" t="e">
        <v>#REF!</v>
      </c>
      <c r="I405" s="4" t="e">
        <v>#REF!</v>
      </c>
      <c r="J405" s="4" t="e">
        <v>#REF!</v>
      </c>
      <c r="K405" s="4"/>
      <c r="L405" s="4"/>
      <c r="M405" s="4"/>
      <c r="N405" s="4"/>
      <c r="O405" s="4"/>
      <c r="P405" s="4"/>
      <c r="Q405" s="4"/>
      <c r="R405" s="4"/>
      <c r="S405" s="4"/>
      <c r="T405" s="4"/>
      <c r="U405" s="4"/>
      <c r="V405" s="4"/>
    </row>
    <row r="406" spans="1:22" x14ac:dyDescent="0.3">
      <c r="A406" s="4" t="e">
        <v>#REF!</v>
      </c>
      <c r="B406" s="108" t="e">
        <v>#REF!</v>
      </c>
      <c r="C406" s="4" t="e">
        <v>#REF!</v>
      </c>
      <c r="D406" s="4" t="e">
        <v>#REF!</v>
      </c>
      <c r="E406" s="4" t="e">
        <v>#REF!</v>
      </c>
      <c r="F406" s="4" t="e">
        <v>#REF!</v>
      </c>
      <c r="G406" s="55" t="e">
        <v>#REF!</v>
      </c>
      <c r="H406" s="4" t="e">
        <v>#REF!</v>
      </c>
      <c r="I406" s="4" t="e">
        <v>#REF!</v>
      </c>
      <c r="J406" s="4" t="e">
        <v>#REF!</v>
      </c>
      <c r="K406" s="4"/>
      <c r="L406" s="4"/>
      <c r="M406" s="4"/>
      <c r="N406" s="4"/>
      <c r="O406" s="4"/>
      <c r="P406" s="4"/>
      <c r="Q406" s="4"/>
      <c r="R406" s="4"/>
      <c r="S406" s="4"/>
      <c r="T406" s="4"/>
      <c r="U406" s="4"/>
      <c r="V406" s="4"/>
    </row>
    <row r="407" spans="1:22" x14ac:dyDescent="0.3">
      <c r="A407" s="4" t="e">
        <v>#REF!</v>
      </c>
      <c r="B407" s="108" t="e">
        <v>#REF!</v>
      </c>
      <c r="C407" s="4" t="e">
        <v>#REF!</v>
      </c>
      <c r="D407" s="4" t="e">
        <v>#REF!</v>
      </c>
      <c r="E407" s="4" t="e">
        <v>#REF!</v>
      </c>
      <c r="F407" s="4" t="e">
        <v>#REF!</v>
      </c>
      <c r="G407" s="55" t="e">
        <v>#REF!</v>
      </c>
      <c r="H407" s="4" t="e">
        <v>#REF!</v>
      </c>
      <c r="I407" s="4" t="e">
        <v>#REF!</v>
      </c>
      <c r="J407" s="4" t="e">
        <v>#REF!</v>
      </c>
      <c r="K407" s="4"/>
      <c r="L407" s="4"/>
      <c r="M407" s="4"/>
      <c r="N407" s="4"/>
      <c r="O407" s="4"/>
      <c r="P407" s="4"/>
      <c r="Q407" s="4"/>
      <c r="R407" s="4"/>
      <c r="S407" s="4"/>
      <c r="T407" s="4"/>
      <c r="U407" s="4"/>
      <c r="V407" s="4"/>
    </row>
    <row r="408" spans="1:22" x14ac:dyDescent="0.3">
      <c r="A408" s="4" t="e">
        <v>#REF!</v>
      </c>
      <c r="B408" s="108" t="e">
        <v>#REF!</v>
      </c>
      <c r="C408" s="4" t="e">
        <v>#REF!</v>
      </c>
      <c r="D408" s="4" t="e">
        <v>#REF!</v>
      </c>
      <c r="E408" s="4" t="e">
        <v>#REF!</v>
      </c>
      <c r="F408" s="4" t="e">
        <v>#REF!</v>
      </c>
      <c r="G408" s="55" t="e">
        <v>#REF!</v>
      </c>
      <c r="H408" s="4" t="e">
        <v>#REF!</v>
      </c>
      <c r="I408" s="4" t="e">
        <v>#REF!</v>
      </c>
      <c r="J408" s="4" t="e">
        <v>#REF!</v>
      </c>
      <c r="K408" s="4"/>
      <c r="L408" s="4"/>
      <c r="M408" s="4"/>
      <c r="N408" s="4"/>
      <c r="O408" s="4"/>
      <c r="P408" s="4"/>
      <c r="Q408" s="4"/>
      <c r="R408" s="4"/>
      <c r="S408" s="4"/>
      <c r="T408" s="4"/>
      <c r="U408" s="4"/>
      <c r="V408" s="4"/>
    </row>
    <row r="409" spans="1:22" x14ac:dyDescent="0.3">
      <c r="A409" s="4" t="e">
        <v>#REF!</v>
      </c>
      <c r="B409" s="108" t="e">
        <v>#REF!</v>
      </c>
      <c r="C409" s="4" t="e">
        <v>#REF!</v>
      </c>
      <c r="D409" s="4" t="e">
        <v>#REF!</v>
      </c>
      <c r="E409" s="4" t="e">
        <v>#REF!</v>
      </c>
      <c r="F409" s="4" t="e">
        <v>#REF!</v>
      </c>
      <c r="G409" s="55" t="e">
        <v>#REF!</v>
      </c>
      <c r="H409" s="4" t="e">
        <v>#REF!</v>
      </c>
      <c r="I409" s="4" t="e">
        <v>#REF!</v>
      </c>
      <c r="J409" s="4" t="e">
        <v>#REF!</v>
      </c>
      <c r="K409" s="4"/>
      <c r="L409" s="4"/>
      <c r="M409" s="4"/>
      <c r="N409" s="4"/>
      <c r="O409" s="4"/>
      <c r="P409" s="4"/>
      <c r="Q409" s="4"/>
      <c r="R409" s="4"/>
      <c r="S409" s="4"/>
      <c r="T409" s="4"/>
      <c r="U409" s="4"/>
      <c r="V409" s="4"/>
    </row>
    <row r="410" spans="1:22" x14ac:dyDescent="0.3">
      <c r="A410" s="4" t="e">
        <v>#REF!</v>
      </c>
      <c r="B410" s="108" t="e">
        <v>#REF!</v>
      </c>
      <c r="C410" s="4" t="e">
        <v>#REF!</v>
      </c>
      <c r="D410" s="4" t="e">
        <v>#REF!</v>
      </c>
      <c r="E410" s="4" t="e">
        <v>#REF!</v>
      </c>
      <c r="F410" s="4" t="e">
        <v>#REF!</v>
      </c>
      <c r="G410" s="55" t="e">
        <v>#REF!</v>
      </c>
      <c r="H410" s="4" t="e">
        <v>#REF!</v>
      </c>
      <c r="I410" s="4" t="e">
        <v>#REF!</v>
      </c>
      <c r="J410" s="4" t="e">
        <v>#REF!</v>
      </c>
      <c r="K410" s="4"/>
      <c r="L410" s="4"/>
      <c r="M410" s="4"/>
      <c r="N410" s="4"/>
      <c r="O410" s="4"/>
      <c r="P410" s="4"/>
      <c r="Q410" s="4"/>
      <c r="R410" s="4"/>
      <c r="S410" s="4"/>
      <c r="T410" s="4"/>
      <c r="U410" s="4"/>
      <c r="V410" s="4"/>
    </row>
    <row r="411" spans="1:22" x14ac:dyDescent="0.3">
      <c r="A411" s="4" t="e">
        <v>#REF!</v>
      </c>
      <c r="B411" s="108" t="e">
        <v>#REF!</v>
      </c>
      <c r="C411" s="4" t="e">
        <v>#REF!</v>
      </c>
      <c r="D411" s="4" t="e">
        <v>#REF!</v>
      </c>
      <c r="E411" s="4" t="e">
        <v>#REF!</v>
      </c>
      <c r="F411" s="4" t="e">
        <v>#REF!</v>
      </c>
      <c r="G411" s="55" t="e">
        <v>#REF!</v>
      </c>
      <c r="H411" s="4" t="e">
        <v>#REF!</v>
      </c>
      <c r="I411" s="4" t="e">
        <v>#REF!</v>
      </c>
      <c r="J411" s="4" t="e">
        <v>#REF!</v>
      </c>
      <c r="K411" s="4"/>
      <c r="L411" s="4"/>
      <c r="M411" s="4"/>
      <c r="N411" s="4"/>
      <c r="O411" s="4"/>
      <c r="P411" s="4"/>
      <c r="Q411" s="4"/>
      <c r="R411" s="4"/>
      <c r="S411" s="4"/>
      <c r="T411" s="4"/>
      <c r="U411" s="4"/>
      <c r="V411" s="4"/>
    </row>
    <row r="412" spans="1:22" x14ac:dyDescent="0.3">
      <c r="A412" s="4" t="e">
        <v>#REF!</v>
      </c>
      <c r="B412" s="108" t="e">
        <v>#REF!</v>
      </c>
      <c r="C412" s="4" t="e">
        <v>#REF!</v>
      </c>
      <c r="D412" s="4" t="e">
        <v>#REF!</v>
      </c>
      <c r="E412" s="4" t="e">
        <v>#REF!</v>
      </c>
      <c r="F412" s="4" t="e">
        <v>#REF!</v>
      </c>
      <c r="G412" s="55" t="e">
        <v>#REF!</v>
      </c>
      <c r="H412" s="4" t="e">
        <v>#REF!</v>
      </c>
      <c r="I412" s="4" t="e">
        <v>#REF!</v>
      </c>
      <c r="J412" s="4" t="e">
        <v>#REF!</v>
      </c>
      <c r="K412" s="4"/>
      <c r="L412" s="4"/>
      <c r="M412" s="4"/>
      <c r="N412" s="4"/>
      <c r="O412" s="4"/>
      <c r="P412" s="4"/>
      <c r="Q412" s="4"/>
      <c r="R412" s="4"/>
      <c r="S412" s="4"/>
      <c r="T412" s="4"/>
      <c r="U412" s="4"/>
      <c r="V412" s="4"/>
    </row>
    <row r="413" spans="1:22" x14ac:dyDescent="0.3">
      <c r="A413" s="4" t="e">
        <v>#REF!</v>
      </c>
      <c r="B413" s="108" t="e">
        <v>#REF!</v>
      </c>
      <c r="C413" s="4" t="e">
        <v>#REF!</v>
      </c>
      <c r="D413" s="4" t="e">
        <v>#REF!</v>
      </c>
      <c r="E413" s="4" t="e">
        <v>#REF!</v>
      </c>
      <c r="F413" s="4" t="e">
        <v>#REF!</v>
      </c>
      <c r="G413" s="55" t="e">
        <v>#REF!</v>
      </c>
      <c r="H413" s="4" t="e">
        <v>#REF!</v>
      </c>
      <c r="I413" s="4" t="e">
        <v>#REF!</v>
      </c>
      <c r="J413" s="4" t="e">
        <v>#REF!</v>
      </c>
      <c r="K413" s="4"/>
      <c r="L413" s="4"/>
      <c r="M413" s="4"/>
      <c r="N413" s="4"/>
      <c r="O413" s="4"/>
      <c r="P413" s="4"/>
      <c r="Q413" s="4"/>
      <c r="R413" s="4"/>
      <c r="S413" s="4"/>
      <c r="T413" s="4"/>
      <c r="U413" s="4"/>
      <c r="V413" s="4"/>
    </row>
    <row r="414" spans="1:22" x14ac:dyDescent="0.3">
      <c r="A414" s="4" t="e">
        <v>#REF!</v>
      </c>
      <c r="B414" s="108" t="e">
        <v>#REF!</v>
      </c>
      <c r="C414" s="4" t="e">
        <v>#REF!</v>
      </c>
      <c r="D414" s="4" t="e">
        <v>#REF!</v>
      </c>
      <c r="E414" s="4" t="e">
        <v>#REF!</v>
      </c>
      <c r="F414" s="4" t="e">
        <v>#REF!</v>
      </c>
      <c r="G414" s="55" t="e">
        <v>#REF!</v>
      </c>
      <c r="H414" s="4" t="e">
        <v>#REF!</v>
      </c>
      <c r="I414" s="4" t="e">
        <v>#REF!</v>
      </c>
      <c r="J414" s="4" t="e">
        <v>#REF!</v>
      </c>
      <c r="K414" s="4"/>
      <c r="L414" s="4"/>
      <c r="M414" s="4"/>
      <c r="N414" s="4"/>
      <c r="O414" s="4"/>
      <c r="P414" s="4"/>
      <c r="Q414" s="4"/>
      <c r="R414" s="4"/>
      <c r="S414" s="4"/>
      <c r="T414" s="4"/>
      <c r="U414" s="4"/>
      <c r="V414" s="4"/>
    </row>
    <row r="415" spans="1:22" x14ac:dyDescent="0.3">
      <c r="A415" s="4" t="e">
        <v>#REF!</v>
      </c>
      <c r="B415" s="108" t="e">
        <v>#REF!</v>
      </c>
      <c r="C415" s="4" t="e">
        <v>#REF!</v>
      </c>
      <c r="D415" s="4" t="e">
        <v>#REF!</v>
      </c>
      <c r="E415" s="4" t="e">
        <v>#REF!</v>
      </c>
      <c r="F415" s="4" t="e">
        <v>#REF!</v>
      </c>
      <c r="G415" s="55" t="e">
        <v>#REF!</v>
      </c>
      <c r="H415" s="4" t="e">
        <v>#REF!</v>
      </c>
      <c r="I415" s="4" t="e">
        <v>#REF!</v>
      </c>
      <c r="J415" s="4" t="e">
        <v>#REF!</v>
      </c>
      <c r="K415" s="4"/>
      <c r="L415" s="4"/>
      <c r="M415" s="4"/>
      <c r="N415" s="4"/>
      <c r="O415" s="4"/>
      <c r="P415" s="4"/>
      <c r="Q415" s="4"/>
      <c r="R415" s="4"/>
      <c r="S415" s="4"/>
      <c r="T415" s="4"/>
      <c r="U415" s="4"/>
      <c r="V415" s="4"/>
    </row>
    <row r="416" spans="1:22" x14ac:dyDescent="0.3">
      <c r="A416" s="4" t="e">
        <v>#REF!</v>
      </c>
      <c r="B416" s="108" t="e">
        <v>#REF!</v>
      </c>
      <c r="C416" s="4" t="e">
        <v>#REF!</v>
      </c>
      <c r="D416" s="4" t="e">
        <v>#REF!</v>
      </c>
      <c r="E416" s="4" t="e">
        <v>#REF!</v>
      </c>
      <c r="F416" s="4" t="e">
        <v>#REF!</v>
      </c>
      <c r="G416" s="55" t="e">
        <v>#REF!</v>
      </c>
      <c r="H416" s="4" t="e">
        <v>#REF!</v>
      </c>
      <c r="I416" s="4" t="e">
        <v>#REF!</v>
      </c>
      <c r="J416" s="4" t="e">
        <v>#REF!</v>
      </c>
      <c r="K416" s="4"/>
      <c r="L416" s="4"/>
      <c r="M416" s="4"/>
      <c r="N416" s="4"/>
      <c r="O416" s="4"/>
      <c r="P416" s="4"/>
      <c r="Q416" s="4"/>
      <c r="R416" s="4"/>
      <c r="S416" s="4"/>
      <c r="T416" s="4"/>
      <c r="U416" s="4"/>
      <c r="V416" s="4"/>
    </row>
    <row r="417" spans="1:22" x14ac:dyDescent="0.3">
      <c r="A417" s="4" t="e">
        <v>#REF!</v>
      </c>
      <c r="B417" s="108" t="e">
        <v>#REF!</v>
      </c>
      <c r="C417" s="4" t="e">
        <v>#REF!</v>
      </c>
      <c r="D417" s="4" t="e">
        <v>#REF!</v>
      </c>
      <c r="E417" s="4" t="e">
        <v>#REF!</v>
      </c>
      <c r="F417" s="4" t="e">
        <v>#REF!</v>
      </c>
      <c r="G417" s="55" t="e">
        <v>#REF!</v>
      </c>
      <c r="H417" s="4" t="e">
        <v>#REF!</v>
      </c>
      <c r="I417" s="4" t="e">
        <v>#REF!</v>
      </c>
      <c r="J417" s="4" t="e">
        <v>#REF!</v>
      </c>
      <c r="K417" s="4"/>
      <c r="L417" s="4"/>
      <c r="M417" s="4"/>
      <c r="N417" s="4"/>
      <c r="O417" s="4"/>
      <c r="P417" s="4"/>
      <c r="Q417" s="4"/>
      <c r="R417" s="4"/>
      <c r="S417" s="4"/>
      <c r="T417" s="4"/>
      <c r="U417" s="4"/>
      <c r="V417" s="4"/>
    </row>
    <row r="418" spans="1:22" x14ac:dyDescent="0.3">
      <c r="A418" s="4" t="e">
        <v>#REF!</v>
      </c>
      <c r="B418" s="108" t="e">
        <v>#REF!</v>
      </c>
      <c r="C418" s="4" t="e">
        <v>#REF!</v>
      </c>
      <c r="D418" s="4" t="e">
        <v>#REF!</v>
      </c>
      <c r="E418" s="4" t="e">
        <v>#REF!</v>
      </c>
      <c r="F418" s="4" t="e">
        <v>#REF!</v>
      </c>
      <c r="G418" s="55" t="e">
        <v>#REF!</v>
      </c>
      <c r="H418" s="4" t="e">
        <v>#REF!</v>
      </c>
      <c r="I418" s="4" t="e">
        <v>#REF!</v>
      </c>
      <c r="J418" s="4" t="e">
        <v>#REF!</v>
      </c>
      <c r="K418" s="4"/>
      <c r="L418" s="4"/>
      <c r="M418" s="4"/>
      <c r="N418" s="4"/>
      <c r="O418" s="4"/>
      <c r="P418" s="4"/>
      <c r="Q418" s="4"/>
      <c r="R418" s="4"/>
      <c r="S418" s="4"/>
      <c r="T418" s="4"/>
      <c r="U418" s="4"/>
      <c r="V418" s="4"/>
    </row>
    <row r="419" spans="1:22" x14ac:dyDescent="0.3">
      <c r="A419" s="4" t="e">
        <v>#REF!</v>
      </c>
      <c r="B419" s="108" t="e">
        <v>#REF!</v>
      </c>
      <c r="C419" s="4" t="e">
        <v>#REF!</v>
      </c>
      <c r="D419" s="4" t="e">
        <v>#REF!</v>
      </c>
      <c r="E419" s="4" t="e">
        <v>#REF!</v>
      </c>
      <c r="F419" s="4" t="e">
        <v>#REF!</v>
      </c>
      <c r="G419" s="55" t="e">
        <v>#REF!</v>
      </c>
      <c r="H419" s="4" t="e">
        <v>#REF!</v>
      </c>
      <c r="I419" s="4" t="e">
        <v>#REF!</v>
      </c>
      <c r="J419" s="4" t="e">
        <v>#REF!</v>
      </c>
      <c r="K419" s="4"/>
      <c r="L419" s="4"/>
      <c r="M419" s="4"/>
      <c r="N419" s="4"/>
      <c r="O419" s="4"/>
      <c r="P419" s="4"/>
      <c r="Q419" s="4"/>
      <c r="R419" s="4"/>
      <c r="S419" s="4"/>
      <c r="T419" s="4"/>
      <c r="U419" s="4"/>
      <c r="V419" s="4"/>
    </row>
    <row r="420" spans="1:22" x14ac:dyDescent="0.3">
      <c r="A420" s="4" t="e">
        <v>#REF!</v>
      </c>
      <c r="B420" s="108" t="e">
        <v>#REF!</v>
      </c>
      <c r="C420" s="4" t="e">
        <v>#REF!</v>
      </c>
      <c r="D420" s="4" t="e">
        <v>#REF!</v>
      </c>
      <c r="E420" s="4" t="e">
        <v>#REF!</v>
      </c>
      <c r="F420" s="4" t="e">
        <v>#REF!</v>
      </c>
      <c r="G420" s="55" t="e">
        <v>#REF!</v>
      </c>
      <c r="H420" s="4" t="e">
        <v>#REF!</v>
      </c>
      <c r="I420" s="4" t="e">
        <v>#REF!</v>
      </c>
      <c r="J420" s="4" t="e">
        <v>#REF!</v>
      </c>
      <c r="K420" s="4"/>
      <c r="L420" s="4"/>
      <c r="M420" s="4"/>
      <c r="N420" s="4"/>
      <c r="O420" s="4"/>
      <c r="P420" s="4"/>
      <c r="Q420" s="4"/>
      <c r="R420" s="4"/>
      <c r="S420" s="4"/>
      <c r="T420" s="4"/>
      <c r="U420" s="4"/>
      <c r="V420" s="4"/>
    </row>
    <row r="421" spans="1:22" x14ac:dyDescent="0.3">
      <c r="A421" s="4" t="e">
        <v>#REF!</v>
      </c>
      <c r="B421" s="108" t="e">
        <v>#REF!</v>
      </c>
      <c r="C421" s="4" t="e">
        <v>#REF!</v>
      </c>
      <c r="D421" s="4" t="e">
        <v>#REF!</v>
      </c>
      <c r="E421" s="4" t="e">
        <v>#REF!</v>
      </c>
      <c r="F421" s="4" t="e">
        <v>#REF!</v>
      </c>
      <c r="G421" s="55" t="e">
        <v>#REF!</v>
      </c>
      <c r="H421" s="4" t="e">
        <v>#REF!</v>
      </c>
      <c r="I421" s="4" t="e">
        <v>#REF!</v>
      </c>
      <c r="J421" s="4" t="e">
        <v>#REF!</v>
      </c>
      <c r="K421" s="4"/>
      <c r="L421" s="4"/>
      <c r="M421" s="4"/>
      <c r="N421" s="4"/>
      <c r="O421" s="4"/>
      <c r="P421" s="4"/>
      <c r="Q421" s="4"/>
      <c r="R421" s="4"/>
      <c r="S421" s="4"/>
      <c r="T421" s="4"/>
      <c r="U421" s="4"/>
      <c r="V421" s="4"/>
    </row>
    <row r="422" spans="1:22" x14ac:dyDescent="0.3">
      <c r="A422" s="4" t="e">
        <v>#REF!</v>
      </c>
      <c r="B422" s="108" t="e">
        <v>#REF!</v>
      </c>
      <c r="C422" s="4" t="e">
        <v>#REF!</v>
      </c>
      <c r="D422" s="4" t="e">
        <v>#REF!</v>
      </c>
      <c r="E422" s="4" t="e">
        <v>#REF!</v>
      </c>
      <c r="F422" s="4" t="e">
        <v>#REF!</v>
      </c>
      <c r="G422" s="55" t="e">
        <v>#REF!</v>
      </c>
      <c r="H422" s="4" t="e">
        <v>#REF!</v>
      </c>
      <c r="I422" s="4" t="e">
        <v>#REF!</v>
      </c>
      <c r="J422" s="4" t="e">
        <v>#REF!</v>
      </c>
      <c r="K422" s="4"/>
      <c r="L422" s="4"/>
      <c r="M422" s="4"/>
      <c r="N422" s="4"/>
      <c r="O422" s="4"/>
      <c r="P422" s="4"/>
      <c r="Q422" s="4"/>
      <c r="R422" s="4"/>
      <c r="S422" s="4"/>
      <c r="T422" s="4"/>
      <c r="U422" s="4"/>
      <c r="V422" s="4"/>
    </row>
    <row r="423" spans="1:22" x14ac:dyDescent="0.3">
      <c r="A423" s="4" t="e">
        <v>#REF!</v>
      </c>
      <c r="B423" s="108" t="e">
        <v>#REF!</v>
      </c>
      <c r="C423" s="4" t="e">
        <v>#REF!</v>
      </c>
      <c r="D423" s="4" t="e">
        <v>#REF!</v>
      </c>
      <c r="E423" s="4" t="e">
        <v>#REF!</v>
      </c>
      <c r="F423" s="4" t="e">
        <v>#REF!</v>
      </c>
      <c r="G423" s="55" t="e">
        <v>#REF!</v>
      </c>
      <c r="H423" s="4" t="e">
        <v>#REF!</v>
      </c>
      <c r="I423" s="4" t="e">
        <v>#REF!</v>
      </c>
      <c r="J423" s="4" t="e">
        <v>#REF!</v>
      </c>
      <c r="K423" s="4"/>
      <c r="L423" s="4"/>
      <c r="M423" s="4"/>
      <c r="N423" s="4"/>
      <c r="O423" s="4"/>
      <c r="P423" s="4"/>
      <c r="Q423" s="4"/>
      <c r="R423" s="4"/>
      <c r="S423" s="4"/>
      <c r="T423" s="4"/>
      <c r="U423" s="4"/>
      <c r="V423" s="4"/>
    </row>
    <row r="424" spans="1:22" x14ac:dyDescent="0.3">
      <c r="A424" s="4" t="e">
        <v>#REF!</v>
      </c>
      <c r="B424" s="108" t="e">
        <v>#REF!</v>
      </c>
      <c r="C424" s="4" t="e">
        <v>#REF!</v>
      </c>
      <c r="D424" s="4" t="e">
        <v>#REF!</v>
      </c>
      <c r="E424" s="4" t="e">
        <v>#REF!</v>
      </c>
      <c r="F424" s="4" t="e">
        <v>#REF!</v>
      </c>
      <c r="G424" s="55" t="e">
        <v>#REF!</v>
      </c>
      <c r="H424" s="4" t="e">
        <v>#REF!</v>
      </c>
      <c r="I424" s="4" t="e">
        <v>#REF!</v>
      </c>
      <c r="J424" s="4" t="e">
        <v>#REF!</v>
      </c>
      <c r="K424" s="4"/>
      <c r="L424" s="4"/>
      <c r="M424" s="4"/>
      <c r="N424" s="4"/>
      <c r="O424" s="4"/>
      <c r="P424" s="4"/>
      <c r="Q424" s="4"/>
      <c r="R424" s="4"/>
      <c r="S424" s="4"/>
      <c r="T424" s="4"/>
      <c r="U424" s="4"/>
      <c r="V424" s="4"/>
    </row>
    <row r="425" spans="1:22" x14ac:dyDescent="0.3">
      <c r="A425" s="4" t="e">
        <v>#REF!</v>
      </c>
      <c r="B425" s="108" t="e">
        <v>#REF!</v>
      </c>
      <c r="C425" s="4" t="e">
        <v>#REF!</v>
      </c>
      <c r="D425" s="4" t="e">
        <v>#REF!</v>
      </c>
      <c r="E425" s="4" t="e">
        <v>#REF!</v>
      </c>
      <c r="F425" s="4" t="e">
        <v>#REF!</v>
      </c>
      <c r="G425" s="55" t="e">
        <v>#REF!</v>
      </c>
      <c r="H425" s="4" t="e">
        <v>#REF!</v>
      </c>
      <c r="I425" s="4" t="e">
        <v>#REF!</v>
      </c>
      <c r="J425" s="4" t="e">
        <v>#REF!</v>
      </c>
      <c r="K425" s="4"/>
      <c r="L425" s="4"/>
      <c r="M425" s="4"/>
      <c r="N425" s="4"/>
      <c r="O425" s="4"/>
      <c r="P425" s="4"/>
      <c r="Q425" s="4"/>
      <c r="R425" s="4"/>
      <c r="S425" s="4"/>
      <c r="T425" s="4"/>
      <c r="U425" s="4"/>
      <c r="V425" s="4"/>
    </row>
    <row r="426" spans="1:22" x14ac:dyDescent="0.3">
      <c r="A426" s="4" t="e">
        <v>#REF!</v>
      </c>
      <c r="B426" s="108" t="e">
        <v>#REF!</v>
      </c>
      <c r="C426" s="4" t="e">
        <v>#REF!</v>
      </c>
      <c r="D426" s="4" t="e">
        <v>#REF!</v>
      </c>
      <c r="E426" s="4" t="e">
        <v>#REF!</v>
      </c>
      <c r="F426" s="4" t="e">
        <v>#REF!</v>
      </c>
      <c r="G426" s="55" t="e">
        <v>#REF!</v>
      </c>
      <c r="H426" s="4" t="e">
        <v>#REF!</v>
      </c>
      <c r="I426" s="4" t="e">
        <v>#REF!</v>
      </c>
      <c r="J426" s="4" t="e">
        <v>#REF!</v>
      </c>
      <c r="K426" s="4"/>
      <c r="L426" s="4"/>
      <c r="M426" s="4"/>
      <c r="N426" s="4"/>
      <c r="O426" s="4"/>
      <c r="P426" s="4"/>
      <c r="Q426" s="4"/>
      <c r="R426" s="4"/>
      <c r="S426" s="4"/>
      <c r="T426" s="4"/>
      <c r="U426" s="4"/>
      <c r="V426" s="4"/>
    </row>
    <row r="427" spans="1:22" x14ac:dyDescent="0.3">
      <c r="A427" s="4" t="e">
        <v>#REF!</v>
      </c>
      <c r="B427" s="108" t="e">
        <v>#REF!</v>
      </c>
      <c r="C427" s="4" t="e">
        <v>#REF!</v>
      </c>
      <c r="D427" s="4" t="e">
        <v>#REF!</v>
      </c>
      <c r="E427" s="4" t="e">
        <v>#REF!</v>
      </c>
      <c r="F427" s="4" t="e">
        <v>#REF!</v>
      </c>
      <c r="G427" s="55" t="e">
        <v>#REF!</v>
      </c>
      <c r="H427" s="4" t="e">
        <v>#REF!</v>
      </c>
      <c r="I427" s="4" t="e">
        <v>#REF!</v>
      </c>
      <c r="J427" s="4" t="e">
        <v>#REF!</v>
      </c>
      <c r="K427" s="4"/>
      <c r="L427" s="4"/>
      <c r="M427" s="4"/>
      <c r="N427" s="4"/>
      <c r="O427" s="4"/>
      <c r="P427" s="4"/>
      <c r="Q427" s="4"/>
      <c r="R427" s="4"/>
      <c r="S427" s="4"/>
      <c r="T427" s="4"/>
      <c r="U427" s="4"/>
      <c r="V427" s="4"/>
    </row>
    <row r="428" spans="1:22" x14ac:dyDescent="0.3">
      <c r="A428" s="4" t="e">
        <v>#REF!</v>
      </c>
      <c r="B428" s="108" t="e">
        <v>#REF!</v>
      </c>
      <c r="C428" s="4" t="e">
        <v>#REF!</v>
      </c>
      <c r="D428" s="4" t="e">
        <v>#REF!</v>
      </c>
      <c r="E428" s="4" t="e">
        <v>#REF!</v>
      </c>
      <c r="F428" s="4" t="e">
        <v>#REF!</v>
      </c>
      <c r="G428" s="55" t="e">
        <v>#REF!</v>
      </c>
      <c r="H428" s="4" t="e">
        <v>#REF!</v>
      </c>
      <c r="I428" s="4" t="e">
        <v>#REF!</v>
      </c>
      <c r="J428" s="4" t="e">
        <v>#REF!</v>
      </c>
      <c r="K428" s="4"/>
      <c r="L428" s="4"/>
      <c r="M428" s="4"/>
      <c r="N428" s="4"/>
      <c r="O428" s="4"/>
      <c r="P428" s="4"/>
      <c r="Q428" s="4"/>
      <c r="R428" s="4"/>
      <c r="S428" s="4"/>
      <c r="T428" s="4"/>
      <c r="U428" s="4"/>
      <c r="V428" s="4"/>
    </row>
    <row r="429" spans="1:22" x14ac:dyDescent="0.3">
      <c r="A429" s="4" t="e">
        <v>#REF!</v>
      </c>
      <c r="B429" s="108" t="e">
        <v>#REF!</v>
      </c>
      <c r="C429" s="4" t="e">
        <v>#REF!</v>
      </c>
      <c r="D429" s="4" t="e">
        <v>#REF!</v>
      </c>
      <c r="E429" s="4" t="e">
        <v>#REF!</v>
      </c>
      <c r="F429" s="4" t="e">
        <v>#REF!</v>
      </c>
      <c r="G429" s="55" t="e">
        <v>#REF!</v>
      </c>
      <c r="H429" s="4" t="e">
        <v>#REF!</v>
      </c>
      <c r="I429" s="4" t="e">
        <v>#REF!</v>
      </c>
      <c r="J429" s="4" t="e">
        <v>#REF!</v>
      </c>
      <c r="K429" s="4"/>
      <c r="L429" s="4"/>
      <c r="M429" s="4"/>
      <c r="N429" s="4"/>
      <c r="O429" s="4"/>
      <c r="P429" s="4"/>
      <c r="Q429" s="4"/>
      <c r="R429" s="4"/>
      <c r="S429" s="4"/>
      <c r="T429" s="4"/>
      <c r="U429" s="4"/>
      <c r="V429" s="4"/>
    </row>
    <row r="430" spans="1:22" x14ac:dyDescent="0.3">
      <c r="A430" s="4" t="e">
        <v>#REF!</v>
      </c>
      <c r="B430" s="108" t="e">
        <v>#REF!</v>
      </c>
      <c r="C430" s="4" t="e">
        <v>#REF!</v>
      </c>
      <c r="D430" s="4" t="e">
        <v>#REF!</v>
      </c>
      <c r="E430" s="4" t="e">
        <v>#REF!</v>
      </c>
      <c r="F430" s="4" t="e">
        <v>#REF!</v>
      </c>
      <c r="G430" s="55" t="e">
        <v>#REF!</v>
      </c>
      <c r="H430" s="4" t="e">
        <v>#REF!</v>
      </c>
      <c r="I430" s="4" t="e">
        <v>#REF!</v>
      </c>
      <c r="J430" s="4" t="e">
        <v>#REF!</v>
      </c>
      <c r="K430" s="4"/>
      <c r="L430" s="4"/>
      <c r="M430" s="4"/>
      <c r="N430" s="4"/>
      <c r="O430" s="4"/>
      <c r="P430" s="4"/>
      <c r="Q430" s="4"/>
      <c r="R430" s="4"/>
      <c r="S430" s="4"/>
      <c r="T430" s="4"/>
      <c r="U430" s="4"/>
      <c r="V430" s="4"/>
    </row>
    <row r="431" spans="1:22" x14ac:dyDescent="0.3">
      <c r="A431" s="4" t="e">
        <v>#REF!</v>
      </c>
      <c r="B431" s="108" t="e">
        <v>#REF!</v>
      </c>
      <c r="C431" s="4" t="e">
        <v>#REF!</v>
      </c>
      <c r="D431" s="4" t="e">
        <v>#REF!</v>
      </c>
      <c r="E431" s="4" t="e">
        <v>#REF!</v>
      </c>
      <c r="F431" s="4" t="e">
        <v>#REF!</v>
      </c>
      <c r="G431" s="55" t="e">
        <v>#REF!</v>
      </c>
      <c r="H431" s="4" t="e">
        <v>#REF!</v>
      </c>
      <c r="I431" s="4" t="e">
        <v>#REF!</v>
      </c>
      <c r="J431" s="4" t="e">
        <v>#REF!</v>
      </c>
      <c r="K431" s="4"/>
      <c r="L431" s="4"/>
      <c r="M431" s="4"/>
      <c r="N431" s="4"/>
      <c r="O431" s="4"/>
      <c r="P431" s="4"/>
      <c r="Q431" s="4"/>
      <c r="R431" s="4"/>
      <c r="S431" s="4"/>
      <c r="T431" s="4"/>
      <c r="U431" s="4"/>
      <c r="V431" s="4"/>
    </row>
    <row r="432" spans="1:22" x14ac:dyDescent="0.3">
      <c r="A432" s="4" t="e">
        <v>#REF!</v>
      </c>
      <c r="B432" s="108" t="e">
        <v>#REF!</v>
      </c>
      <c r="C432" s="4" t="e">
        <v>#REF!</v>
      </c>
      <c r="D432" s="4" t="e">
        <v>#REF!</v>
      </c>
      <c r="E432" s="4" t="e">
        <v>#REF!</v>
      </c>
      <c r="F432" s="4" t="e">
        <v>#REF!</v>
      </c>
      <c r="G432" s="55" t="e">
        <v>#REF!</v>
      </c>
      <c r="H432" s="4" t="e">
        <v>#REF!</v>
      </c>
      <c r="I432" s="4" t="e">
        <v>#REF!</v>
      </c>
      <c r="J432" s="4" t="e">
        <v>#REF!</v>
      </c>
      <c r="K432" s="4"/>
      <c r="L432" s="4"/>
      <c r="M432" s="4"/>
      <c r="N432" s="4"/>
      <c r="O432" s="4"/>
      <c r="P432" s="4"/>
      <c r="Q432" s="4"/>
      <c r="R432" s="4"/>
      <c r="S432" s="4"/>
      <c r="T432" s="4"/>
      <c r="U432" s="4"/>
      <c r="V432" s="4"/>
    </row>
    <row r="433" spans="1:22" x14ac:dyDescent="0.3">
      <c r="A433" s="4" t="e">
        <v>#REF!</v>
      </c>
      <c r="B433" s="108" t="e">
        <v>#REF!</v>
      </c>
      <c r="C433" s="4" t="e">
        <v>#REF!</v>
      </c>
      <c r="D433" s="4" t="e">
        <v>#REF!</v>
      </c>
      <c r="E433" s="4" t="e">
        <v>#REF!</v>
      </c>
      <c r="F433" s="4" t="e">
        <v>#REF!</v>
      </c>
      <c r="G433" s="55" t="e">
        <v>#REF!</v>
      </c>
      <c r="H433" s="4" t="e">
        <v>#REF!</v>
      </c>
      <c r="I433" s="4" t="e">
        <v>#REF!</v>
      </c>
      <c r="J433" s="4" t="e">
        <v>#REF!</v>
      </c>
      <c r="K433" s="4"/>
      <c r="L433" s="4"/>
      <c r="M433" s="4"/>
      <c r="N433" s="4"/>
      <c r="O433" s="4"/>
      <c r="P433" s="4"/>
      <c r="Q433" s="4"/>
      <c r="R433" s="4"/>
      <c r="S433" s="4"/>
      <c r="T433" s="4"/>
      <c r="U433" s="4"/>
      <c r="V433" s="4"/>
    </row>
    <row r="434" spans="1:22" x14ac:dyDescent="0.3">
      <c r="A434" s="4" t="e">
        <v>#REF!</v>
      </c>
      <c r="B434" s="108" t="e">
        <v>#REF!</v>
      </c>
      <c r="C434" s="4" t="e">
        <v>#REF!</v>
      </c>
      <c r="D434" s="4" t="e">
        <v>#REF!</v>
      </c>
      <c r="E434" s="4" t="e">
        <v>#REF!</v>
      </c>
      <c r="F434" s="4" t="e">
        <v>#REF!</v>
      </c>
      <c r="G434" s="55" t="e">
        <v>#REF!</v>
      </c>
      <c r="H434" s="4" t="e">
        <v>#REF!</v>
      </c>
      <c r="I434" s="4" t="e">
        <v>#REF!</v>
      </c>
      <c r="J434" s="4" t="e">
        <v>#REF!</v>
      </c>
      <c r="K434" s="4"/>
      <c r="L434" s="4"/>
      <c r="M434" s="4"/>
      <c r="N434" s="4"/>
      <c r="O434" s="4"/>
      <c r="P434" s="4"/>
      <c r="Q434" s="4"/>
      <c r="R434" s="4"/>
      <c r="S434" s="4"/>
      <c r="T434" s="4"/>
      <c r="U434" s="4"/>
      <c r="V434" s="4"/>
    </row>
    <row r="435" spans="1:22" x14ac:dyDescent="0.3">
      <c r="A435" s="4" t="e">
        <v>#REF!</v>
      </c>
      <c r="B435" s="108" t="e">
        <v>#REF!</v>
      </c>
      <c r="C435" s="4" t="e">
        <v>#REF!</v>
      </c>
      <c r="D435" s="4" t="e">
        <v>#REF!</v>
      </c>
      <c r="E435" s="4" t="e">
        <v>#REF!</v>
      </c>
      <c r="F435" s="4" t="e">
        <v>#REF!</v>
      </c>
      <c r="G435" s="55" t="e">
        <v>#REF!</v>
      </c>
      <c r="H435" s="4" t="e">
        <v>#REF!</v>
      </c>
      <c r="I435" s="4" t="e">
        <v>#REF!</v>
      </c>
      <c r="J435" s="4" t="e">
        <v>#REF!</v>
      </c>
      <c r="K435" s="4"/>
      <c r="L435" s="4"/>
      <c r="M435" s="4"/>
      <c r="N435" s="4"/>
      <c r="O435" s="4"/>
      <c r="P435" s="4"/>
      <c r="Q435" s="4"/>
      <c r="R435" s="4"/>
      <c r="S435" s="4"/>
      <c r="T435" s="4"/>
      <c r="U435" s="4"/>
      <c r="V435" s="4"/>
    </row>
    <row r="436" spans="1:22" x14ac:dyDescent="0.3">
      <c r="A436" s="4" t="e">
        <v>#REF!</v>
      </c>
      <c r="B436" s="108" t="e">
        <v>#REF!</v>
      </c>
      <c r="C436" s="4" t="e">
        <v>#REF!</v>
      </c>
      <c r="D436" s="4" t="e">
        <v>#REF!</v>
      </c>
      <c r="E436" s="4" t="e">
        <v>#REF!</v>
      </c>
      <c r="F436" s="4" t="e">
        <v>#REF!</v>
      </c>
      <c r="G436" s="55" t="e">
        <v>#REF!</v>
      </c>
      <c r="H436" s="4" t="e">
        <v>#REF!</v>
      </c>
      <c r="I436" s="4" t="e">
        <v>#REF!</v>
      </c>
      <c r="J436" s="4" t="e">
        <v>#REF!</v>
      </c>
      <c r="K436" s="4"/>
      <c r="L436" s="4"/>
      <c r="M436" s="4"/>
      <c r="N436" s="4"/>
      <c r="O436" s="4"/>
      <c r="P436" s="4"/>
      <c r="Q436" s="4"/>
      <c r="R436" s="4"/>
      <c r="S436" s="4"/>
      <c r="T436" s="4"/>
      <c r="U436" s="4"/>
      <c r="V436" s="4"/>
    </row>
    <row r="437" spans="1:22" x14ac:dyDescent="0.3">
      <c r="A437" s="4" t="e">
        <v>#REF!</v>
      </c>
      <c r="B437" s="108" t="e">
        <v>#REF!</v>
      </c>
      <c r="C437" s="4" t="e">
        <v>#REF!</v>
      </c>
      <c r="D437" s="4" t="e">
        <v>#REF!</v>
      </c>
      <c r="E437" s="4" t="e">
        <v>#REF!</v>
      </c>
      <c r="F437" s="4" t="e">
        <v>#REF!</v>
      </c>
      <c r="G437" s="55" t="e">
        <v>#REF!</v>
      </c>
      <c r="H437" s="4" t="e">
        <v>#REF!</v>
      </c>
      <c r="I437" s="4" t="e">
        <v>#REF!</v>
      </c>
      <c r="J437" s="4" t="e">
        <v>#REF!</v>
      </c>
      <c r="K437" s="4"/>
      <c r="L437" s="4"/>
      <c r="M437" s="4"/>
      <c r="N437" s="4"/>
      <c r="O437" s="4"/>
      <c r="P437" s="4"/>
      <c r="Q437" s="4"/>
      <c r="R437" s="4"/>
      <c r="S437" s="4"/>
      <c r="T437" s="4"/>
      <c r="U437" s="4"/>
      <c r="V437" s="4"/>
    </row>
    <row r="438" spans="1:22" x14ac:dyDescent="0.3">
      <c r="A438" s="4" t="e">
        <v>#REF!</v>
      </c>
      <c r="B438" s="108" t="e">
        <v>#REF!</v>
      </c>
      <c r="C438" s="4" t="e">
        <v>#REF!</v>
      </c>
      <c r="D438" s="4" t="e">
        <v>#REF!</v>
      </c>
      <c r="E438" s="4" t="e">
        <v>#REF!</v>
      </c>
      <c r="F438" s="4" t="e">
        <v>#REF!</v>
      </c>
      <c r="G438" s="55" t="e">
        <v>#REF!</v>
      </c>
      <c r="H438" s="4" t="e">
        <v>#REF!</v>
      </c>
      <c r="I438" s="4" t="e">
        <v>#REF!</v>
      </c>
      <c r="J438" s="4" t="e">
        <v>#REF!</v>
      </c>
      <c r="K438" s="4"/>
      <c r="L438" s="4"/>
      <c r="M438" s="4"/>
      <c r="N438" s="4"/>
      <c r="O438" s="4"/>
      <c r="P438" s="4"/>
      <c r="Q438" s="4"/>
      <c r="R438" s="4"/>
      <c r="S438" s="4"/>
      <c r="T438" s="4"/>
      <c r="U438" s="4"/>
      <c r="V438" s="4"/>
    </row>
    <row r="439" spans="1:22" x14ac:dyDescent="0.3">
      <c r="A439" s="4" t="e">
        <v>#REF!</v>
      </c>
      <c r="B439" s="108" t="e">
        <v>#REF!</v>
      </c>
      <c r="C439" s="4" t="e">
        <v>#REF!</v>
      </c>
      <c r="D439" s="4" t="e">
        <v>#REF!</v>
      </c>
      <c r="E439" s="4" t="e">
        <v>#REF!</v>
      </c>
      <c r="F439" s="4" t="e">
        <v>#REF!</v>
      </c>
      <c r="G439" s="55" t="e">
        <v>#REF!</v>
      </c>
      <c r="H439" s="4" t="e">
        <v>#REF!</v>
      </c>
      <c r="I439" s="4" t="e">
        <v>#REF!</v>
      </c>
      <c r="J439" s="4" t="e">
        <v>#REF!</v>
      </c>
      <c r="K439" s="4"/>
      <c r="L439" s="4"/>
      <c r="M439" s="4"/>
      <c r="N439" s="4"/>
      <c r="O439" s="4"/>
      <c r="P439" s="4"/>
      <c r="Q439" s="4"/>
      <c r="R439" s="4"/>
      <c r="S439" s="4"/>
      <c r="T439" s="4"/>
      <c r="U439" s="4"/>
      <c r="V439" s="4"/>
    </row>
    <row r="440" spans="1:22" x14ac:dyDescent="0.3">
      <c r="A440" s="4" t="e">
        <v>#REF!</v>
      </c>
      <c r="B440" s="108" t="e">
        <v>#REF!</v>
      </c>
      <c r="C440" s="4" t="e">
        <v>#REF!</v>
      </c>
      <c r="D440" s="4" t="e">
        <v>#REF!</v>
      </c>
      <c r="E440" s="4" t="e">
        <v>#REF!</v>
      </c>
      <c r="F440" s="4" t="e">
        <v>#REF!</v>
      </c>
      <c r="G440" s="55" t="e">
        <v>#REF!</v>
      </c>
      <c r="H440" s="4" t="e">
        <v>#REF!</v>
      </c>
      <c r="I440" s="4" t="e">
        <v>#REF!</v>
      </c>
      <c r="J440" s="4" t="e">
        <v>#REF!</v>
      </c>
      <c r="K440" s="4"/>
      <c r="L440" s="4"/>
      <c r="M440" s="4"/>
      <c r="N440" s="4"/>
      <c r="O440" s="4"/>
      <c r="P440" s="4"/>
      <c r="Q440" s="4"/>
      <c r="R440" s="4"/>
      <c r="S440" s="4"/>
      <c r="T440" s="4"/>
      <c r="U440" s="4"/>
      <c r="V440" s="4"/>
    </row>
    <row r="441" spans="1:22" x14ac:dyDescent="0.3">
      <c r="A441" s="4" t="e">
        <v>#REF!</v>
      </c>
      <c r="B441" s="108" t="e">
        <v>#REF!</v>
      </c>
      <c r="C441" s="4" t="e">
        <v>#REF!</v>
      </c>
      <c r="D441" s="4" t="e">
        <v>#REF!</v>
      </c>
      <c r="E441" s="4" t="e">
        <v>#REF!</v>
      </c>
      <c r="F441" s="4" t="e">
        <v>#REF!</v>
      </c>
      <c r="G441" s="55" t="e">
        <v>#REF!</v>
      </c>
      <c r="H441" s="4" t="e">
        <v>#REF!</v>
      </c>
      <c r="I441" s="4" t="e">
        <v>#REF!</v>
      </c>
      <c r="J441" s="4" t="e">
        <v>#REF!</v>
      </c>
      <c r="K441" s="4"/>
      <c r="L441" s="4"/>
      <c r="M441" s="4"/>
      <c r="N441" s="4"/>
      <c r="O441" s="4"/>
      <c r="P441" s="4"/>
      <c r="Q441" s="4"/>
      <c r="R441" s="4"/>
      <c r="S441" s="4"/>
      <c r="T441" s="4"/>
      <c r="U441" s="4"/>
      <c r="V441" s="4"/>
    </row>
    <row r="442" spans="1:22" x14ac:dyDescent="0.3">
      <c r="A442" s="4" t="e">
        <v>#REF!</v>
      </c>
      <c r="B442" s="108" t="e">
        <v>#REF!</v>
      </c>
      <c r="C442" s="4" t="e">
        <v>#REF!</v>
      </c>
      <c r="D442" s="4" t="e">
        <v>#REF!</v>
      </c>
      <c r="E442" s="4" t="e">
        <v>#REF!</v>
      </c>
      <c r="F442" s="4" t="e">
        <v>#REF!</v>
      </c>
      <c r="G442" s="55" t="e">
        <v>#REF!</v>
      </c>
      <c r="H442" s="4" t="e">
        <v>#REF!</v>
      </c>
      <c r="I442" s="4" t="e">
        <v>#REF!</v>
      </c>
      <c r="J442" s="4" t="e">
        <v>#REF!</v>
      </c>
      <c r="K442" s="4"/>
      <c r="L442" s="4"/>
      <c r="M442" s="4"/>
      <c r="N442" s="4"/>
      <c r="O442" s="4"/>
      <c r="P442" s="4"/>
      <c r="Q442" s="4"/>
      <c r="R442" s="4"/>
      <c r="S442" s="4"/>
      <c r="T442" s="4"/>
      <c r="U442" s="4"/>
      <c r="V442" s="4"/>
    </row>
    <row r="443" spans="1:22" x14ac:dyDescent="0.3">
      <c r="A443" s="4" t="e">
        <v>#REF!</v>
      </c>
      <c r="B443" s="108" t="e">
        <v>#REF!</v>
      </c>
      <c r="C443" s="4" t="e">
        <v>#REF!</v>
      </c>
      <c r="D443" s="4" t="e">
        <v>#REF!</v>
      </c>
      <c r="E443" s="4" t="e">
        <v>#REF!</v>
      </c>
      <c r="F443" s="4" t="e">
        <v>#REF!</v>
      </c>
      <c r="G443" s="55" t="e">
        <v>#REF!</v>
      </c>
      <c r="H443" s="4" t="e">
        <v>#REF!</v>
      </c>
      <c r="I443" s="4" t="e">
        <v>#REF!</v>
      </c>
      <c r="J443" s="4" t="e">
        <v>#REF!</v>
      </c>
      <c r="K443" s="4"/>
      <c r="L443" s="4"/>
      <c r="M443" s="4"/>
      <c r="N443" s="4"/>
      <c r="O443" s="4"/>
      <c r="P443" s="4"/>
      <c r="Q443" s="4"/>
      <c r="R443" s="4"/>
      <c r="S443" s="4"/>
      <c r="T443" s="4"/>
      <c r="U443" s="4"/>
      <c r="V443" s="4"/>
    </row>
    <row r="444" spans="1:22" x14ac:dyDescent="0.3">
      <c r="A444" s="4" t="e">
        <v>#REF!</v>
      </c>
      <c r="B444" s="108" t="e">
        <v>#REF!</v>
      </c>
      <c r="C444" s="4" t="e">
        <v>#REF!</v>
      </c>
      <c r="D444" s="4" t="e">
        <v>#REF!</v>
      </c>
      <c r="E444" s="4" t="e">
        <v>#REF!</v>
      </c>
      <c r="F444" s="4" t="e">
        <v>#REF!</v>
      </c>
      <c r="G444" s="55" t="e">
        <v>#REF!</v>
      </c>
      <c r="H444" s="4" t="e">
        <v>#REF!</v>
      </c>
      <c r="I444" s="4" t="e">
        <v>#REF!</v>
      </c>
      <c r="J444" s="4" t="e">
        <v>#REF!</v>
      </c>
      <c r="K444" s="4"/>
      <c r="L444" s="4"/>
      <c r="M444" s="4"/>
      <c r="N444" s="4"/>
      <c r="O444" s="4"/>
      <c r="P444" s="4"/>
      <c r="Q444" s="4"/>
      <c r="R444" s="4"/>
      <c r="S444" s="4"/>
      <c r="T444" s="4"/>
      <c r="U444" s="4"/>
      <c r="V444" s="4"/>
    </row>
    <row r="445" spans="1:22" x14ac:dyDescent="0.3">
      <c r="A445" s="4" t="e">
        <v>#REF!</v>
      </c>
      <c r="B445" s="108" t="e">
        <v>#REF!</v>
      </c>
      <c r="C445" s="4" t="e">
        <v>#REF!</v>
      </c>
      <c r="D445" s="4" t="e">
        <v>#REF!</v>
      </c>
      <c r="E445" s="4" t="e">
        <v>#REF!</v>
      </c>
      <c r="F445" s="4" t="e">
        <v>#REF!</v>
      </c>
      <c r="G445" s="55" t="e">
        <v>#REF!</v>
      </c>
      <c r="H445" s="4" t="e">
        <v>#REF!</v>
      </c>
      <c r="I445" s="4" t="e">
        <v>#REF!</v>
      </c>
      <c r="J445" s="4" t="e">
        <v>#REF!</v>
      </c>
      <c r="K445" s="4"/>
      <c r="L445" s="4"/>
      <c r="M445" s="4"/>
      <c r="N445" s="4"/>
      <c r="O445" s="4"/>
      <c r="P445" s="4"/>
      <c r="Q445" s="4"/>
      <c r="R445" s="4"/>
      <c r="S445" s="4"/>
      <c r="T445" s="4"/>
      <c r="U445" s="4"/>
      <c r="V445" s="4"/>
    </row>
    <row r="446" spans="1:22" x14ac:dyDescent="0.3">
      <c r="A446" s="4" t="e">
        <v>#REF!</v>
      </c>
      <c r="B446" s="108" t="e">
        <v>#REF!</v>
      </c>
      <c r="C446" s="4" t="e">
        <v>#REF!</v>
      </c>
      <c r="D446" s="4" t="e">
        <v>#REF!</v>
      </c>
      <c r="E446" s="4" t="e">
        <v>#REF!</v>
      </c>
      <c r="F446" s="4" t="e">
        <v>#REF!</v>
      </c>
      <c r="G446" s="55" t="e">
        <v>#REF!</v>
      </c>
      <c r="H446" s="4" t="e">
        <v>#REF!</v>
      </c>
      <c r="I446" s="4" t="e">
        <v>#REF!</v>
      </c>
      <c r="J446" s="4" t="e">
        <v>#REF!</v>
      </c>
      <c r="K446" s="4"/>
      <c r="L446" s="4"/>
      <c r="M446" s="4"/>
      <c r="N446" s="4"/>
      <c r="O446" s="4"/>
      <c r="P446" s="4"/>
      <c r="Q446" s="4"/>
      <c r="R446" s="4"/>
      <c r="S446" s="4"/>
      <c r="T446" s="4"/>
      <c r="U446" s="4"/>
      <c r="V446" s="4"/>
    </row>
    <row r="447" spans="1:22" x14ac:dyDescent="0.3">
      <c r="A447" s="4" t="e">
        <v>#REF!</v>
      </c>
      <c r="B447" s="108" t="e">
        <v>#REF!</v>
      </c>
      <c r="C447" s="4" t="e">
        <v>#REF!</v>
      </c>
      <c r="D447" s="4" t="e">
        <v>#REF!</v>
      </c>
      <c r="E447" s="4" t="e">
        <v>#REF!</v>
      </c>
      <c r="F447" s="4" t="e">
        <v>#REF!</v>
      </c>
      <c r="G447" s="55" t="e">
        <v>#REF!</v>
      </c>
      <c r="H447" s="4" t="e">
        <v>#REF!</v>
      </c>
      <c r="I447" s="4" t="e">
        <v>#REF!</v>
      </c>
      <c r="J447" s="4" t="e">
        <v>#REF!</v>
      </c>
      <c r="K447" s="4"/>
      <c r="L447" s="4"/>
      <c r="M447" s="4"/>
      <c r="N447" s="4"/>
      <c r="O447" s="4"/>
      <c r="P447" s="4"/>
      <c r="Q447" s="4"/>
      <c r="R447" s="4"/>
      <c r="S447" s="4"/>
      <c r="T447" s="4"/>
      <c r="U447" s="4"/>
      <c r="V447" s="4"/>
    </row>
    <row r="448" spans="1:22" x14ac:dyDescent="0.3">
      <c r="A448" s="4" t="e">
        <v>#REF!</v>
      </c>
      <c r="B448" s="108" t="e">
        <v>#REF!</v>
      </c>
      <c r="C448" s="4" t="e">
        <v>#REF!</v>
      </c>
      <c r="D448" s="4" t="e">
        <v>#REF!</v>
      </c>
      <c r="E448" s="4" t="e">
        <v>#REF!</v>
      </c>
      <c r="F448" s="4" t="e">
        <v>#REF!</v>
      </c>
      <c r="G448" s="55" t="e">
        <v>#REF!</v>
      </c>
      <c r="H448" s="4" t="e">
        <v>#REF!</v>
      </c>
      <c r="I448" s="4" t="e">
        <v>#REF!</v>
      </c>
      <c r="J448" s="4" t="e">
        <v>#REF!</v>
      </c>
      <c r="K448" s="4"/>
      <c r="L448" s="4"/>
      <c r="M448" s="4"/>
      <c r="N448" s="4"/>
      <c r="O448" s="4"/>
      <c r="P448" s="4"/>
      <c r="Q448" s="4"/>
      <c r="R448" s="4"/>
      <c r="S448" s="4"/>
      <c r="T448" s="4"/>
      <c r="U448" s="4"/>
      <c r="V448" s="4"/>
    </row>
    <row r="449" spans="1:22" x14ac:dyDescent="0.3">
      <c r="A449" s="4" t="e">
        <v>#REF!</v>
      </c>
      <c r="B449" s="108" t="e">
        <v>#REF!</v>
      </c>
      <c r="C449" s="4" t="e">
        <v>#REF!</v>
      </c>
      <c r="D449" s="4" t="e">
        <v>#REF!</v>
      </c>
      <c r="E449" s="4" t="e">
        <v>#REF!</v>
      </c>
      <c r="F449" s="4" t="e">
        <v>#REF!</v>
      </c>
      <c r="G449" s="55" t="e">
        <v>#REF!</v>
      </c>
      <c r="H449" s="4" t="e">
        <v>#REF!</v>
      </c>
      <c r="I449" s="4" t="e">
        <v>#REF!</v>
      </c>
      <c r="J449" s="4" t="e">
        <v>#REF!</v>
      </c>
      <c r="K449" s="4"/>
      <c r="L449" s="4"/>
      <c r="M449" s="4"/>
      <c r="N449" s="4"/>
      <c r="O449" s="4"/>
      <c r="P449" s="4"/>
      <c r="Q449" s="4"/>
      <c r="R449" s="4"/>
      <c r="S449" s="4"/>
      <c r="T449" s="4"/>
      <c r="U449" s="4"/>
      <c r="V449" s="4"/>
    </row>
    <row r="450" spans="1:22" x14ac:dyDescent="0.3">
      <c r="A450" s="4" t="e">
        <v>#REF!</v>
      </c>
      <c r="B450" s="108" t="e">
        <v>#REF!</v>
      </c>
      <c r="C450" s="4" t="e">
        <v>#REF!</v>
      </c>
      <c r="D450" s="4" t="e">
        <v>#REF!</v>
      </c>
      <c r="E450" s="4" t="e">
        <v>#REF!</v>
      </c>
      <c r="F450" s="4" t="e">
        <v>#REF!</v>
      </c>
      <c r="G450" s="55" t="e">
        <v>#REF!</v>
      </c>
      <c r="H450" s="4" t="e">
        <v>#REF!</v>
      </c>
      <c r="I450" s="4" t="e">
        <v>#REF!</v>
      </c>
      <c r="J450" s="4" t="e">
        <v>#REF!</v>
      </c>
      <c r="K450" s="4"/>
      <c r="L450" s="4"/>
      <c r="M450" s="4"/>
      <c r="N450" s="4"/>
      <c r="O450" s="4"/>
      <c r="P450" s="4"/>
      <c r="Q450" s="4"/>
      <c r="R450" s="4"/>
      <c r="S450" s="4"/>
      <c r="T450" s="4"/>
      <c r="U450" s="4"/>
      <c r="V450" s="4"/>
    </row>
    <row r="451" spans="1:22" x14ac:dyDescent="0.3">
      <c r="A451" s="4" t="e">
        <v>#REF!</v>
      </c>
      <c r="B451" s="108" t="e">
        <v>#REF!</v>
      </c>
      <c r="C451" s="4" t="e">
        <v>#REF!</v>
      </c>
      <c r="D451" s="4" t="e">
        <v>#REF!</v>
      </c>
      <c r="E451" s="4" t="e">
        <v>#REF!</v>
      </c>
      <c r="F451" s="4" t="e">
        <v>#REF!</v>
      </c>
      <c r="G451" s="55" t="e">
        <v>#REF!</v>
      </c>
      <c r="H451" s="4" t="e">
        <v>#REF!</v>
      </c>
      <c r="I451" s="4" t="e">
        <v>#REF!</v>
      </c>
      <c r="J451" s="4" t="e">
        <v>#REF!</v>
      </c>
      <c r="K451" s="4"/>
      <c r="L451" s="4"/>
      <c r="M451" s="4"/>
      <c r="N451" s="4"/>
      <c r="O451" s="4"/>
      <c r="P451" s="4"/>
      <c r="Q451" s="4"/>
      <c r="R451" s="4"/>
      <c r="S451" s="4"/>
      <c r="T451" s="4"/>
      <c r="U451" s="4"/>
      <c r="V451" s="4"/>
    </row>
    <row r="452" spans="1:22" x14ac:dyDescent="0.3">
      <c r="A452" s="4" t="e">
        <v>#REF!</v>
      </c>
      <c r="B452" s="108" t="e">
        <v>#REF!</v>
      </c>
      <c r="C452" s="4" t="e">
        <v>#REF!</v>
      </c>
      <c r="D452" s="4" t="e">
        <v>#REF!</v>
      </c>
      <c r="E452" s="4" t="e">
        <v>#REF!</v>
      </c>
      <c r="F452" s="4" t="e">
        <v>#REF!</v>
      </c>
      <c r="G452" s="55" t="e">
        <v>#REF!</v>
      </c>
      <c r="H452" s="4" t="e">
        <v>#REF!</v>
      </c>
      <c r="I452" s="4" t="e">
        <v>#REF!</v>
      </c>
      <c r="J452" s="4" t="e">
        <v>#REF!</v>
      </c>
      <c r="K452" s="4"/>
      <c r="L452" s="4"/>
      <c r="M452" s="4"/>
      <c r="N452" s="4"/>
      <c r="O452" s="4"/>
      <c r="P452" s="4"/>
      <c r="Q452" s="4"/>
      <c r="R452" s="4"/>
      <c r="S452" s="4"/>
      <c r="T452" s="4"/>
      <c r="U452" s="4"/>
      <c r="V452" s="4"/>
    </row>
    <row r="453" spans="1:22" x14ac:dyDescent="0.3">
      <c r="A453" s="4" t="e">
        <v>#REF!</v>
      </c>
      <c r="B453" s="108" t="e">
        <v>#REF!</v>
      </c>
      <c r="C453" s="4" t="e">
        <v>#REF!</v>
      </c>
      <c r="D453" s="4" t="e">
        <v>#REF!</v>
      </c>
      <c r="E453" s="4" t="e">
        <v>#REF!</v>
      </c>
      <c r="F453" s="4" t="e">
        <v>#REF!</v>
      </c>
      <c r="G453" s="55" t="e">
        <v>#REF!</v>
      </c>
      <c r="H453" s="4" t="e">
        <v>#REF!</v>
      </c>
      <c r="I453" s="4" t="e">
        <v>#REF!</v>
      </c>
      <c r="J453" s="4" t="e">
        <v>#REF!</v>
      </c>
      <c r="K453" s="4"/>
      <c r="L453" s="4"/>
      <c r="M453" s="4"/>
      <c r="N453" s="4"/>
      <c r="O453" s="4"/>
      <c r="P453" s="4"/>
      <c r="Q453" s="4"/>
      <c r="R453" s="4"/>
      <c r="S453" s="4"/>
      <c r="T453" s="4"/>
      <c r="U453" s="4"/>
      <c r="V453" s="4"/>
    </row>
    <row r="454" spans="1:22" x14ac:dyDescent="0.3">
      <c r="A454" s="4" t="e">
        <v>#REF!</v>
      </c>
      <c r="B454" s="108" t="e">
        <v>#REF!</v>
      </c>
      <c r="C454" s="4" t="e">
        <v>#REF!</v>
      </c>
      <c r="D454" s="4" t="e">
        <v>#REF!</v>
      </c>
      <c r="E454" s="4" t="e">
        <v>#REF!</v>
      </c>
      <c r="F454" s="4" t="e">
        <v>#REF!</v>
      </c>
      <c r="G454" s="55" t="e">
        <v>#REF!</v>
      </c>
      <c r="H454" s="4" t="e">
        <v>#REF!</v>
      </c>
      <c r="I454" s="4" t="e">
        <v>#REF!</v>
      </c>
      <c r="J454" s="4" t="e">
        <v>#REF!</v>
      </c>
      <c r="K454" s="4"/>
      <c r="L454" s="4"/>
      <c r="M454" s="4"/>
      <c r="N454" s="4"/>
      <c r="O454" s="4"/>
      <c r="P454" s="4"/>
      <c r="Q454" s="4"/>
      <c r="R454" s="4"/>
      <c r="S454" s="4"/>
      <c r="T454" s="4"/>
      <c r="U454" s="4"/>
      <c r="V454" s="4"/>
    </row>
    <row r="455" spans="1:22" x14ac:dyDescent="0.3">
      <c r="A455" s="4" t="e">
        <v>#REF!</v>
      </c>
      <c r="B455" s="108" t="e">
        <v>#REF!</v>
      </c>
      <c r="C455" s="4" t="e">
        <v>#REF!</v>
      </c>
      <c r="D455" s="4" t="e">
        <v>#REF!</v>
      </c>
      <c r="E455" s="4" t="e">
        <v>#REF!</v>
      </c>
      <c r="F455" s="4" t="e">
        <v>#REF!</v>
      </c>
      <c r="G455" s="55" t="e">
        <v>#REF!</v>
      </c>
      <c r="H455" s="4" t="e">
        <v>#REF!</v>
      </c>
      <c r="I455" s="4" t="e">
        <v>#REF!</v>
      </c>
      <c r="J455" s="4" t="e">
        <v>#REF!</v>
      </c>
      <c r="K455" s="4"/>
      <c r="L455" s="4"/>
      <c r="M455" s="4"/>
      <c r="N455" s="4"/>
      <c r="O455" s="4"/>
      <c r="P455" s="4"/>
      <c r="Q455" s="4"/>
      <c r="R455" s="4"/>
      <c r="S455" s="4"/>
      <c r="T455" s="4"/>
      <c r="U455" s="4"/>
      <c r="V455" s="4"/>
    </row>
    <row r="456" spans="1:22" x14ac:dyDescent="0.3">
      <c r="A456" s="4" t="e">
        <v>#REF!</v>
      </c>
      <c r="B456" s="108" t="e">
        <v>#REF!</v>
      </c>
      <c r="C456" s="4" t="e">
        <v>#REF!</v>
      </c>
      <c r="D456" s="4" t="e">
        <v>#REF!</v>
      </c>
      <c r="E456" s="4" t="e">
        <v>#REF!</v>
      </c>
      <c r="F456" s="4" t="e">
        <v>#REF!</v>
      </c>
      <c r="G456" s="55" t="e">
        <v>#REF!</v>
      </c>
      <c r="H456" s="4" t="e">
        <v>#REF!</v>
      </c>
      <c r="I456" s="4" t="e">
        <v>#REF!</v>
      </c>
      <c r="J456" s="4" t="e">
        <v>#REF!</v>
      </c>
      <c r="K456" s="4"/>
      <c r="L456" s="4"/>
      <c r="M456" s="4"/>
      <c r="N456" s="4"/>
      <c r="O456" s="4"/>
      <c r="P456" s="4"/>
      <c r="Q456" s="4"/>
      <c r="R456" s="4"/>
      <c r="S456" s="4"/>
      <c r="T456" s="4"/>
      <c r="U456" s="4"/>
      <c r="V456" s="4"/>
    </row>
    <row r="457" spans="1:22" x14ac:dyDescent="0.3">
      <c r="A457" s="4" t="e">
        <v>#REF!</v>
      </c>
      <c r="B457" s="108" t="e">
        <v>#REF!</v>
      </c>
      <c r="C457" s="4" t="e">
        <v>#REF!</v>
      </c>
      <c r="D457" s="4" t="e">
        <v>#REF!</v>
      </c>
      <c r="E457" s="4" t="e">
        <v>#REF!</v>
      </c>
      <c r="F457" s="4" t="e">
        <v>#REF!</v>
      </c>
      <c r="G457" s="55" t="e">
        <v>#REF!</v>
      </c>
      <c r="H457" s="4" t="e">
        <v>#REF!</v>
      </c>
      <c r="I457" s="4" t="e">
        <v>#REF!</v>
      </c>
      <c r="J457" s="4" t="e">
        <v>#REF!</v>
      </c>
      <c r="K457" s="4"/>
      <c r="L457" s="4"/>
      <c r="M457" s="4"/>
      <c r="N457" s="4"/>
      <c r="O457" s="4"/>
      <c r="P457" s="4"/>
      <c r="Q457" s="4"/>
      <c r="R457" s="4"/>
      <c r="S457" s="4"/>
      <c r="T457" s="4"/>
      <c r="U457" s="4"/>
      <c r="V457" s="4"/>
    </row>
    <row r="458" spans="1:22" x14ac:dyDescent="0.3">
      <c r="A458" s="4" t="e">
        <v>#REF!</v>
      </c>
      <c r="B458" s="108" t="e">
        <v>#REF!</v>
      </c>
      <c r="C458" s="4" t="e">
        <v>#REF!</v>
      </c>
      <c r="D458" s="4" t="e">
        <v>#REF!</v>
      </c>
      <c r="E458" s="4" t="e">
        <v>#REF!</v>
      </c>
      <c r="F458" s="4" t="e">
        <v>#REF!</v>
      </c>
      <c r="G458" s="55" t="e">
        <v>#REF!</v>
      </c>
      <c r="H458" s="4" t="e">
        <v>#REF!</v>
      </c>
      <c r="I458" s="4" t="e">
        <v>#REF!</v>
      </c>
      <c r="J458" s="4" t="e">
        <v>#REF!</v>
      </c>
      <c r="K458" s="4"/>
      <c r="L458" s="4"/>
      <c r="M458" s="4"/>
      <c r="N458" s="4"/>
      <c r="O458" s="4"/>
      <c r="P458" s="4"/>
      <c r="Q458" s="4"/>
      <c r="R458" s="4"/>
      <c r="S458" s="4"/>
      <c r="T458" s="4"/>
      <c r="U458" s="4"/>
      <c r="V458" s="4"/>
    </row>
    <row r="459" spans="1:22" x14ac:dyDescent="0.3">
      <c r="A459" s="4" t="e">
        <v>#REF!</v>
      </c>
      <c r="B459" s="108" t="e">
        <v>#REF!</v>
      </c>
      <c r="C459" s="4" t="e">
        <v>#REF!</v>
      </c>
      <c r="D459" s="4" t="e">
        <v>#REF!</v>
      </c>
      <c r="E459" s="4" t="e">
        <v>#REF!</v>
      </c>
      <c r="F459" s="4" t="e">
        <v>#REF!</v>
      </c>
      <c r="G459" s="55" t="e">
        <v>#REF!</v>
      </c>
      <c r="H459" s="4" t="e">
        <v>#REF!</v>
      </c>
      <c r="I459" s="4" t="e">
        <v>#REF!</v>
      </c>
      <c r="J459" s="4" t="e">
        <v>#REF!</v>
      </c>
      <c r="K459" s="4"/>
      <c r="L459" s="4"/>
      <c r="M459" s="4"/>
      <c r="N459" s="4"/>
      <c r="O459" s="4"/>
      <c r="P459" s="4"/>
      <c r="Q459" s="4"/>
      <c r="R459" s="4"/>
      <c r="S459" s="4"/>
      <c r="T459" s="4"/>
      <c r="U459" s="4"/>
      <c r="V459" s="4"/>
    </row>
    <row r="460" spans="1:22" x14ac:dyDescent="0.3">
      <c r="A460" s="4" t="e">
        <v>#REF!</v>
      </c>
      <c r="B460" s="108" t="e">
        <v>#REF!</v>
      </c>
      <c r="C460" s="4" t="e">
        <v>#REF!</v>
      </c>
      <c r="D460" s="4" t="e">
        <v>#REF!</v>
      </c>
      <c r="E460" s="4" t="e">
        <v>#REF!</v>
      </c>
      <c r="F460" s="4" t="e">
        <v>#REF!</v>
      </c>
      <c r="G460" s="55" t="e">
        <v>#REF!</v>
      </c>
      <c r="H460" s="4" t="e">
        <v>#REF!</v>
      </c>
      <c r="I460" s="4" t="e">
        <v>#REF!</v>
      </c>
      <c r="J460" s="4" t="e">
        <v>#REF!</v>
      </c>
      <c r="K460" s="4"/>
      <c r="L460" s="4"/>
      <c r="M460" s="4"/>
      <c r="N460" s="4"/>
      <c r="O460" s="4"/>
      <c r="P460" s="4"/>
      <c r="Q460" s="4"/>
      <c r="R460" s="4"/>
      <c r="S460" s="4"/>
      <c r="T460" s="4"/>
      <c r="U460" s="4"/>
      <c r="V460" s="4"/>
    </row>
    <row r="461" spans="1:22" x14ac:dyDescent="0.3">
      <c r="A461" s="4" t="e">
        <v>#REF!</v>
      </c>
      <c r="B461" s="108" t="e">
        <v>#REF!</v>
      </c>
      <c r="C461" s="4" t="e">
        <v>#REF!</v>
      </c>
      <c r="D461" s="4" t="e">
        <v>#REF!</v>
      </c>
      <c r="E461" s="4" t="e">
        <v>#REF!</v>
      </c>
      <c r="F461" s="4" t="e">
        <v>#REF!</v>
      </c>
      <c r="G461" s="55" t="e">
        <v>#REF!</v>
      </c>
      <c r="H461" s="4" t="e">
        <v>#REF!</v>
      </c>
      <c r="I461" s="4" t="e">
        <v>#REF!</v>
      </c>
      <c r="J461" s="4" t="e">
        <v>#REF!</v>
      </c>
      <c r="K461" s="4"/>
      <c r="L461" s="4"/>
      <c r="M461" s="4"/>
      <c r="N461" s="4"/>
      <c r="O461" s="4"/>
      <c r="P461" s="4"/>
      <c r="Q461" s="4"/>
      <c r="R461" s="4"/>
      <c r="S461" s="4"/>
      <c r="T461" s="4"/>
      <c r="U461" s="4"/>
      <c r="V461" s="4"/>
    </row>
    <row r="462" spans="1:22" x14ac:dyDescent="0.3">
      <c r="A462" s="4" t="e">
        <v>#REF!</v>
      </c>
      <c r="B462" s="108" t="e">
        <v>#REF!</v>
      </c>
      <c r="C462" s="4" t="e">
        <v>#REF!</v>
      </c>
      <c r="D462" s="4" t="e">
        <v>#REF!</v>
      </c>
      <c r="E462" s="4" t="e">
        <v>#REF!</v>
      </c>
      <c r="F462" s="4" t="e">
        <v>#REF!</v>
      </c>
      <c r="G462" s="55" t="e">
        <v>#REF!</v>
      </c>
      <c r="H462" s="4" t="e">
        <v>#REF!</v>
      </c>
      <c r="I462" s="4" t="e">
        <v>#REF!</v>
      </c>
      <c r="J462" s="4" t="e">
        <v>#REF!</v>
      </c>
      <c r="K462" s="4"/>
      <c r="L462" s="4"/>
      <c r="M462" s="4"/>
      <c r="N462" s="4"/>
      <c r="O462" s="4"/>
      <c r="P462" s="4"/>
      <c r="Q462" s="4"/>
      <c r="R462" s="4"/>
      <c r="S462" s="4"/>
      <c r="T462" s="4"/>
      <c r="U462" s="4"/>
      <c r="V462" s="4"/>
    </row>
    <row r="463" spans="1:22" x14ac:dyDescent="0.3">
      <c r="A463" s="4" t="e">
        <v>#REF!</v>
      </c>
      <c r="B463" s="108" t="e">
        <v>#REF!</v>
      </c>
      <c r="C463" s="4" t="e">
        <v>#REF!</v>
      </c>
      <c r="D463" s="4" t="e">
        <v>#REF!</v>
      </c>
      <c r="E463" s="4" t="e">
        <v>#REF!</v>
      </c>
      <c r="F463" s="4" t="e">
        <v>#REF!</v>
      </c>
      <c r="G463" s="55" t="e">
        <v>#REF!</v>
      </c>
      <c r="H463" s="4" t="e">
        <v>#REF!</v>
      </c>
      <c r="I463" s="4" t="e">
        <v>#REF!</v>
      </c>
      <c r="J463" s="4" t="e">
        <v>#REF!</v>
      </c>
      <c r="K463" s="4"/>
      <c r="L463" s="4"/>
      <c r="M463" s="4"/>
      <c r="N463" s="4"/>
      <c r="O463" s="4"/>
      <c r="P463" s="4"/>
      <c r="Q463" s="4"/>
      <c r="R463" s="4"/>
      <c r="S463" s="4"/>
      <c r="T463" s="4"/>
      <c r="U463" s="4"/>
      <c r="V463" s="4"/>
    </row>
    <row r="464" spans="1:22" x14ac:dyDescent="0.3">
      <c r="A464" s="4" t="e">
        <v>#REF!</v>
      </c>
      <c r="B464" s="108" t="e">
        <v>#REF!</v>
      </c>
      <c r="C464" s="4" t="e">
        <v>#REF!</v>
      </c>
      <c r="D464" s="4" t="e">
        <v>#REF!</v>
      </c>
      <c r="E464" s="4" t="e">
        <v>#REF!</v>
      </c>
      <c r="F464" s="4" t="e">
        <v>#REF!</v>
      </c>
      <c r="G464" s="55" t="e">
        <v>#REF!</v>
      </c>
      <c r="H464" s="4" t="e">
        <v>#REF!</v>
      </c>
      <c r="I464" s="4" t="e">
        <v>#REF!</v>
      </c>
      <c r="J464" s="4" t="e">
        <v>#REF!</v>
      </c>
      <c r="K464" s="4"/>
      <c r="L464" s="4"/>
      <c r="M464" s="4"/>
      <c r="N464" s="4"/>
      <c r="O464" s="4"/>
      <c r="P464" s="4"/>
      <c r="Q464" s="4"/>
      <c r="R464" s="4"/>
      <c r="S464" s="4"/>
      <c r="T464" s="4"/>
      <c r="U464" s="4"/>
      <c r="V464" s="4"/>
    </row>
    <row r="465" spans="1:22" x14ac:dyDescent="0.3">
      <c r="A465" s="4" t="e">
        <v>#REF!</v>
      </c>
      <c r="B465" s="108" t="e">
        <v>#REF!</v>
      </c>
      <c r="C465" s="4" t="e">
        <v>#REF!</v>
      </c>
      <c r="D465" s="4" t="e">
        <v>#REF!</v>
      </c>
      <c r="E465" s="4" t="e">
        <v>#REF!</v>
      </c>
      <c r="F465" s="4" t="e">
        <v>#REF!</v>
      </c>
      <c r="G465" s="55" t="e">
        <v>#REF!</v>
      </c>
      <c r="H465" s="4" t="e">
        <v>#REF!</v>
      </c>
      <c r="I465" s="4" t="e">
        <v>#REF!</v>
      </c>
      <c r="J465" s="4" t="e">
        <v>#REF!</v>
      </c>
      <c r="K465" s="4"/>
      <c r="L465" s="4"/>
      <c r="M465" s="4"/>
      <c r="N465" s="4"/>
      <c r="O465" s="4"/>
      <c r="P465" s="4"/>
      <c r="Q465" s="4"/>
      <c r="R465" s="4"/>
      <c r="S465" s="4"/>
      <c r="T465" s="4"/>
      <c r="U465" s="4"/>
      <c r="V465" s="4"/>
    </row>
    <row r="466" spans="1:22" x14ac:dyDescent="0.3">
      <c r="A466" s="4" t="e">
        <v>#REF!</v>
      </c>
      <c r="B466" s="108" t="e">
        <v>#REF!</v>
      </c>
      <c r="C466" s="4" t="e">
        <v>#REF!</v>
      </c>
      <c r="D466" s="4" t="e">
        <v>#REF!</v>
      </c>
      <c r="E466" s="4" t="e">
        <v>#REF!</v>
      </c>
      <c r="F466" s="4" t="e">
        <v>#REF!</v>
      </c>
      <c r="G466" s="55" t="e">
        <v>#REF!</v>
      </c>
      <c r="H466" s="4" t="e">
        <v>#REF!</v>
      </c>
      <c r="I466" s="4" t="e">
        <v>#REF!</v>
      </c>
      <c r="J466" s="4" t="e">
        <v>#REF!</v>
      </c>
      <c r="K466" s="4"/>
      <c r="L466" s="4"/>
      <c r="M466" s="4"/>
      <c r="N466" s="4"/>
      <c r="O466" s="4"/>
      <c r="P466" s="4"/>
      <c r="Q466" s="4"/>
      <c r="R466" s="4"/>
      <c r="S466" s="4"/>
      <c r="T466" s="4"/>
      <c r="U466" s="4"/>
      <c r="V466" s="4"/>
    </row>
    <row r="467" spans="1:22" x14ac:dyDescent="0.3">
      <c r="A467" s="4" t="e">
        <v>#REF!</v>
      </c>
      <c r="B467" s="108" t="e">
        <v>#REF!</v>
      </c>
      <c r="C467" s="4" t="e">
        <v>#REF!</v>
      </c>
      <c r="D467" s="4" t="e">
        <v>#REF!</v>
      </c>
      <c r="E467" s="4" t="e">
        <v>#REF!</v>
      </c>
      <c r="F467" s="4" t="e">
        <v>#REF!</v>
      </c>
      <c r="G467" s="55" t="e">
        <v>#REF!</v>
      </c>
      <c r="H467" s="4" t="e">
        <v>#REF!</v>
      </c>
      <c r="I467" s="4" t="e">
        <v>#REF!</v>
      </c>
      <c r="J467" s="4" t="e">
        <v>#REF!</v>
      </c>
      <c r="K467" s="4"/>
      <c r="L467" s="4"/>
      <c r="M467" s="4"/>
      <c r="N467" s="4"/>
      <c r="O467" s="4"/>
      <c r="P467" s="4"/>
      <c r="Q467" s="4"/>
      <c r="R467" s="4"/>
      <c r="S467" s="4"/>
      <c r="T467" s="4"/>
      <c r="U467" s="4"/>
      <c r="V467" s="4"/>
    </row>
    <row r="468" spans="1:22" x14ac:dyDescent="0.3">
      <c r="A468" s="4" t="e">
        <v>#REF!</v>
      </c>
      <c r="B468" s="108" t="e">
        <v>#REF!</v>
      </c>
      <c r="C468" s="4" t="e">
        <v>#REF!</v>
      </c>
      <c r="D468" s="4" t="e">
        <v>#REF!</v>
      </c>
      <c r="E468" s="4" t="e">
        <v>#REF!</v>
      </c>
      <c r="F468" s="4" t="e">
        <v>#REF!</v>
      </c>
      <c r="G468" s="55" t="e">
        <v>#REF!</v>
      </c>
      <c r="H468" s="4" t="e">
        <v>#REF!</v>
      </c>
      <c r="I468" s="4" t="e">
        <v>#REF!</v>
      </c>
      <c r="J468" s="4" t="e">
        <v>#REF!</v>
      </c>
      <c r="K468" s="4"/>
      <c r="L468" s="4"/>
      <c r="M468" s="4"/>
      <c r="N468" s="4"/>
      <c r="O468" s="4"/>
      <c r="P468" s="4"/>
      <c r="Q468" s="4"/>
      <c r="R468" s="4"/>
      <c r="S468" s="4"/>
      <c r="T468" s="4"/>
      <c r="U468" s="4"/>
      <c r="V468" s="4"/>
    </row>
    <row r="469" spans="1:22" x14ac:dyDescent="0.3">
      <c r="A469" s="4" t="e">
        <v>#REF!</v>
      </c>
      <c r="B469" s="108" t="e">
        <v>#REF!</v>
      </c>
      <c r="C469" s="4" t="e">
        <v>#REF!</v>
      </c>
      <c r="D469" s="4" t="e">
        <v>#REF!</v>
      </c>
      <c r="E469" s="4" t="e">
        <v>#REF!</v>
      </c>
      <c r="F469" s="4" t="e">
        <v>#REF!</v>
      </c>
      <c r="G469" s="55" t="e">
        <v>#REF!</v>
      </c>
      <c r="H469" s="4" t="e">
        <v>#REF!</v>
      </c>
      <c r="I469" s="4" t="e">
        <v>#REF!</v>
      </c>
      <c r="J469" s="4" t="e">
        <v>#REF!</v>
      </c>
      <c r="K469" s="4"/>
      <c r="L469" s="4"/>
      <c r="M469" s="4"/>
      <c r="N469" s="4"/>
      <c r="O469" s="4"/>
      <c r="P469" s="4"/>
      <c r="Q469" s="4"/>
      <c r="R469" s="4"/>
      <c r="S469" s="4"/>
      <c r="T469" s="4"/>
      <c r="U469" s="4"/>
      <c r="V469" s="4"/>
    </row>
    <row r="470" spans="1:22" x14ac:dyDescent="0.3">
      <c r="A470" s="4" t="e">
        <v>#REF!</v>
      </c>
      <c r="B470" s="108" t="e">
        <v>#REF!</v>
      </c>
      <c r="C470" s="4" t="e">
        <v>#REF!</v>
      </c>
      <c r="D470" s="4" t="e">
        <v>#REF!</v>
      </c>
      <c r="E470" s="4" t="e">
        <v>#REF!</v>
      </c>
      <c r="F470" s="4" t="e">
        <v>#REF!</v>
      </c>
      <c r="G470" s="55" t="e">
        <v>#REF!</v>
      </c>
      <c r="H470" s="4" t="e">
        <v>#REF!</v>
      </c>
      <c r="I470" s="4" t="e">
        <v>#REF!</v>
      </c>
      <c r="J470" s="4" t="e">
        <v>#REF!</v>
      </c>
      <c r="K470" s="4"/>
      <c r="L470" s="4"/>
      <c r="M470" s="4"/>
      <c r="N470" s="4"/>
      <c r="O470" s="4"/>
      <c r="P470" s="4"/>
      <c r="Q470" s="4"/>
      <c r="R470" s="4"/>
      <c r="S470" s="4"/>
      <c r="T470" s="4"/>
      <c r="U470" s="4"/>
      <c r="V470" s="4"/>
    </row>
    <row r="471" spans="1:22" x14ac:dyDescent="0.3">
      <c r="A471" s="4" t="e">
        <v>#REF!</v>
      </c>
      <c r="B471" s="108" t="e">
        <v>#REF!</v>
      </c>
      <c r="C471" s="4" t="e">
        <v>#REF!</v>
      </c>
      <c r="D471" s="4" t="e">
        <v>#REF!</v>
      </c>
      <c r="E471" s="4" t="e">
        <v>#REF!</v>
      </c>
      <c r="F471" s="4" t="e">
        <v>#REF!</v>
      </c>
      <c r="G471" s="55" t="e">
        <v>#REF!</v>
      </c>
      <c r="H471" s="4" t="e">
        <v>#REF!</v>
      </c>
      <c r="I471" s="4" t="e">
        <v>#REF!</v>
      </c>
      <c r="J471" s="4" t="e">
        <v>#REF!</v>
      </c>
      <c r="K471" s="4"/>
      <c r="L471" s="4"/>
      <c r="M471" s="4"/>
      <c r="N471" s="4"/>
      <c r="O471" s="4"/>
      <c r="P471" s="4"/>
      <c r="Q471" s="4"/>
      <c r="R471" s="4"/>
      <c r="S471" s="4"/>
      <c r="T471" s="4"/>
      <c r="U471" s="4"/>
      <c r="V471" s="4"/>
    </row>
    <row r="472" spans="1:22" x14ac:dyDescent="0.3">
      <c r="A472" s="4" t="e">
        <v>#REF!</v>
      </c>
      <c r="B472" s="108" t="e">
        <v>#REF!</v>
      </c>
      <c r="C472" s="4" t="e">
        <v>#REF!</v>
      </c>
      <c r="D472" s="4" t="e">
        <v>#REF!</v>
      </c>
      <c r="E472" s="4" t="e">
        <v>#REF!</v>
      </c>
      <c r="F472" s="4" t="e">
        <v>#REF!</v>
      </c>
      <c r="G472" s="55" t="e">
        <v>#REF!</v>
      </c>
      <c r="H472" s="4" t="e">
        <v>#REF!</v>
      </c>
      <c r="I472" s="4" t="e">
        <v>#REF!</v>
      </c>
      <c r="J472" s="4" t="e">
        <v>#REF!</v>
      </c>
      <c r="K472" s="4"/>
      <c r="L472" s="4"/>
      <c r="M472" s="4"/>
      <c r="N472" s="4"/>
      <c r="O472" s="4"/>
      <c r="P472" s="4"/>
      <c r="Q472" s="4"/>
      <c r="R472" s="4"/>
      <c r="S472" s="4"/>
      <c r="T472" s="4"/>
      <c r="U472" s="4"/>
      <c r="V472" s="4"/>
    </row>
    <row r="473" spans="1:22" x14ac:dyDescent="0.3">
      <c r="A473" s="4" t="e">
        <v>#REF!</v>
      </c>
      <c r="B473" s="108" t="e">
        <v>#REF!</v>
      </c>
      <c r="C473" s="4" t="e">
        <v>#REF!</v>
      </c>
      <c r="D473" s="4" t="e">
        <v>#REF!</v>
      </c>
      <c r="E473" s="4" t="e">
        <v>#REF!</v>
      </c>
      <c r="F473" s="4" t="e">
        <v>#REF!</v>
      </c>
      <c r="G473" s="55" t="e">
        <v>#REF!</v>
      </c>
      <c r="H473" s="4" t="e">
        <v>#REF!</v>
      </c>
      <c r="I473" s="4" t="e">
        <v>#REF!</v>
      </c>
      <c r="J473" s="4" t="e">
        <v>#REF!</v>
      </c>
      <c r="K473" s="4"/>
      <c r="L473" s="4"/>
      <c r="M473" s="4"/>
      <c r="N473" s="4"/>
      <c r="O473" s="4"/>
      <c r="P473" s="4"/>
      <c r="Q473" s="4"/>
      <c r="R473" s="4"/>
      <c r="S473" s="4"/>
      <c r="T473" s="4"/>
      <c r="U473" s="4"/>
      <c r="V473" s="4"/>
    </row>
    <row r="474" spans="1:22" x14ac:dyDescent="0.3">
      <c r="A474" s="4" t="e">
        <v>#REF!</v>
      </c>
      <c r="B474" s="108" t="e">
        <v>#REF!</v>
      </c>
      <c r="C474" s="4" t="e">
        <v>#REF!</v>
      </c>
      <c r="D474" s="4" t="e">
        <v>#REF!</v>
      </c>
      <c r="E474" s="4" t="e">
        <v>#REF!</v>
      </c>
      <c r="F474" s="4" t="e">
        <v>#REF!</v>
      </c>
      <c r="G474" s="55" t="e">
        <v>#REF!</v>
      </c>
      <c r="H474" s="4" t="e">
        <v>#REF!</v>
      </c>
      <c r="I474" s="4" t="e">
        <v>#REF!</v>
      </c>
      <c r="J474" s="4" t="e">
        <v>#REF!</v>
      </c>
      <c r="K474" s="4"/>
      <c r="L474" s="4"/>
      <c r="M474" s="4"/>
      <c r="N474" s="4"/>
      <c r="O474" s="4"/>
      <c r="P474" s="4"/>
      <c r="Q474" s="4"/>
      <c r="R474" s="4"/>
      <c r="S474" s="4"/>
      <c r="T474" s="4"/>
      <c r="U474" s="4"/>
      <c r="V474" s="4"/>
    </row>
    <row r="475" spans="1:22" x14ac:dyDescent="0.3">
      <c r="A475" s="4" t="e">
        <v>#REF!</v>
      </c>
      <c r="B475" s="108" t="e">
        <v>#REF!</v>
      </c>
      <c r="C475" s="4" t="e">
        <v>#REF!</v>
      </c>
      <c r="D475" s="4" t="e">
        <v>#REF!</v>
      </c>
      <c r="E475" s="4" t="e">
        <v>#REF!</v>
      </c>
      <c r="F475" s="4" t="e">
        <v>#REF!</v>
      </c>
      <c r="G475" s="55" t="e">
        <v>#REF!</v>
      </c>
      <c r="H475" s="4" t="e">
        <v>#REF!</v>
      </c>
      <c r="I475" s="4" t="e">
        <v>#REF!</v>
      </c>
      <c r="J475" s="4" t="e">
        <v>#REF!</v>
      </c>
      <c r="K475" s="4"/>
      <c r="L475" s="4"/>
      <c r="M475" s="4"/>
      <c r="N475" s="4"/>
      <c r="O475" s="4"/>
      <c r="P475" s="4"/>
      <c r="Q475" s="4"/>
      <c r="R475" s="4"/>
      <c r="S475" s="4"/>
      <c r="T475" s="4"/>
      <c r="U475" s="4"/>
      <c r="V475" s="4"/>
    </row>
    <row r="476" spans="1:22" x14ac:dyDescent="0.3">
      <c r="A476" s="4" t="e">
        <v>#REF!</v>
      </c>
      <c r="B476" s="108" t="e">
        <v>#REF!</v>
      </c>
      <c r="C476" s="4" t="e">
        <v>#REF!</v>
      </c>
      <c r="D476" s="4" t="e">
        <v>#REF!</v>
      </c>
      <c r="E476" s="4" t="e">
        <v>#REF!</v>
      </c>
      <c r="F476" s="4" t="e">
        <v>#REF!</v>
      </c>
      <c r="G476" s="55" t="e">
        <v>#REF!</v>
      </c>
      <c r="H476" s="4" t="e">
        <v>#REF!</v>
      </c>
      <c r="I476" s="4" t="e">
        <v>#REF!</v>
      </c>
      <c r="J476" s="4" t="e">
        <v>#REF!</v>
      </c>
      <c r="K476" s="4"/>
      <c r="L476" s="4"/>
      <c r="M476" s="4"/>
      <c r="N476" s="4"/>
      <c r="O476" s="4"/>
      <c r="P476" s="4"/>
      <c r="Q476" s="4"/>
      <c r="R476" s="4"/>
      <c r="S476" s="4"/>
      <c r="T476" s="4"/>
      <c r="U476" s="4"/>
      <c r="V476" s="4"/>
    </row>
    <row r="477" spans="1:22" x14ac:dyDescent="0.3">
      <c r="A477" s="4" t="e">
        <v>#REF!</v>
      </c>
      <c r="B477" s="108" t="e">
        <v>#REF!</v>
      </c>
      <c r="C477" s="4" t="e">
        <v>#REF!</v>
      </c>
      <c r="D477" s="4" t="e">
        <v>#REF!</v>
      </c>
      <c r="E477" s="4" t="e">
        <v>#REF!</v>
      </c>
      <c r="F477" s="4" t="e">
        <v>#REF!</v>
      </c>
      <c r="G477" s="55" t="e">
        <v>#REF!</v>
      </c>
      <c r="H477" s="4" t="e">
        <v>#REF!</v>
      </c>
      <c r="I477" s="4" t="e">
        <v>#REF!</v>
      </c>
      <c r="J477" s="4" t="e">
        <v>#REF!</v>
      </c>
      <c r="K477" s="4"/>
      <c r="L477" s="4"/>
      <c r="M477" s="4"/>
      <c r="N477" s="4"/>
      <c r="O477" s="4"/>
      <c r="P477" s="4"/>
      <c r="Q477" s="4"/>
      <c r="R477" s="4"/>
      <c r="S477" s="4"/>
      <c r="T477" s="4"/>
      <c r="U477" s="4"/>
      <c r="V477" s="4"/>
    </row>
    <row r="478" spans="1:22" x14ac:dyDescent="0.3">
      <c r="A478" s="4" t="e">
        <v>#REF!</v>
      </c>
      <c r="B478" s="108" t="e">
        <v>#REF!</v>
      </c>
      <c r="C478" s="4" t="e">
        <v>#REF!</v>
      </c>
      <c r="D478" s="4" t="e">
        <v>#REF!</v>
      </c>
      <c r="E478" s="4" t="e">
        <v>#REF!</v>
      </c>
      <c r="F478" s="4" t="e">
        <v>#REF!</v>
      </c>
      <c r="G478" s="55" t="e">
        <v>#REF!</v>
      </c>
      <c r="H478" s="4" t="e">
        <v>#REF!</v>
      </c>
      <c r="I478" s="4" t="e">
        <v>#REF!</v>
      </c>
      <c r="J478" s="4" t="e">
        <v>#REF!</v>
      </c>
      <c r="K478" s="4"/>
      <c r="L478" s="4"/>
      <c r="M478" s="4"/>
      <c r="N478" s="4"/>
      <c r="O478" s="4"/>
      <c r="P478" s="4"/>
      <c r="Q478" s="4"/>
      <c r="R478" s="4"/>
      <c r="S478" s="4"/>
      <c r="T478" s="4"/>
      <c r="U478" s="4"/>
      <c r="V478" s="4"/>
    </row>
    <row r="479" spans="1:22" x14ac:dyDescent="0.3">
      <c r="A479" s="4">
        <v>0</v>
      </c>
      <c r="B479" s="108" t="e">
        <v>#N/A</v>
      </c>
      <c r="C479" s="4" t="e">
        <v>#N/A</v>
      </c>
      <c r="D479" s="4" t="e">
        <v>#N/A</v>
      </c>
      <c r="E479" s="4" t="e">
        <v>#N/A</v>
      </c>
      <c r="F479" s="4" t="e">
        <v>#N/A</v>
      </c>
      <c r="G479" s="55" t="e">
        <v>#N/A</v>
      </c>
      <c r="H479" s="4" t="e">
        <v>#N/A</v>
      </c>
      <c r="I479" s="4" t="e">
        <v>#N/A</v>
      </c>
      <c r="J479" s="4" t="e">
        <v>#N/A</v>
      </c>
      <c r="K479" s="4"/>
      <c r="L479" s="4"/>
      <c r="M479" s="4"/>
      <c r="N479" s="4"/>
      <c r="O479" s="4"/>
      <c r="P479" s="4"/>
      <c r="Q479" s="4"/>
      <c r="R479" s="4"/>
      <c r="S479" s="4"/>
      <c r="T479" s="4"/>
      <c r="U479" s="4"/>
      <c r="V479" s="4"/>
    </row>
    <row r="480" spans="1:22" x14ac:dyDescent="0.3">
      <c r="A480" s="4">
        <v>0</v>
      </c>
      <c r="B480" s="108" t="e">
        <v>#N/A</v>
      </c>
      <c r="C480" s="4" t="e">
        <v>#N/A</v>
      </c>
      <c r="D480" s="4" t="e">
        <v>#N/A</v>
      </c>
      <c r="E480" s="4" t="e">
        <v>#N/A</v>
      </c>
      <c r="F480" s="4" t="e">
        <v>#N/A</v>
      </c>
      <c r="G480" s="55" t="e">
        <v>#N/A</v>
      </c>
      <c r="H480" s="4" t="e">
        <v>#N/A</v>
      </c>
      <c r="I480" s="4" t="e">
        <v>#N/A</v>
      </c>
      <c r="J480" s="4" t="e">
        <v>#N/A</v>
      </c>
      <c r="K480" s="4"/>
      <c r="L480" s="4"/>
      <c r="M480" s="4"/>
      <c r="N480" s="4"/>
      <c r="O480" s="4"/>
      <c r="P480" s="4"/>
      <c r="Q480" s="4"/>
      <c r="R480" s="4"/>
      <c r="S480" s="4"/>
      <c r="T480" s="4"/>
      <c r="U480" s="4"/>
      <c r="V480" s="4"/>
    </row>
    <row r="481" spans="1:22" x14ac:dyDescent="0.3">
      <c r="A481" s="4">
        <v>0</v>
      </c>
      <c r="B481" s="108" t="e">
        <v>#N/A</v>
      </c>
      <c r="C481" s="4" t="e">
        <v>#N/A</v>
      </c>
      <c r="D481" s="4" t="e">
        <v>#N/A</v>
      </c>
      <c r="E481" s="4" t="e">
        <v>#N/A</v>
      </c>
      <c r="F481" s="4" t="e">
        <v>#N/A</v>
      </c>
      <c r="G481" s="55" t="e">
        <v>#N/A</v>
      </c>
      <c r="H481" s="4" t="e">
        <v>#N/A</v>
      </c>
      <c r="I481" s="4" t="e">
        <v>#N/A</v>
      </c>
      <c r="J481" s="4" t="e">
        <v>#N/A</v>
      </c>
      <c r="K481" s="4"/>
      <c r="L481" s="4"/>
      <c r="M481" s="4"/>
      <c r="N481" s="4"/>
      <c r="O481" s="4"/>
      <c r="P481" s="4"/>
      <c r="Q481" s="4"/>
      <c r="R481" s="4"/>
      <c r="S481" s="4"/>
      <c r="T481" s="4"/>
      <c r="U481" s="4"/>
      <c r="V481" s="4"/>
    </row>
    <row r="482" spans="1:22" x14ac:dyDescent="0.3">
      <c r="A482" s="4">
        <v>0</v>
      </c>
      <c r="B482" s="108" t="e">
        <v>#N/A</v>
      </c>
      <c r="C482" s="4" t="e">
        <v>#N/A</v>
      </c>
      <c r="D482" s="4" t="e">
        <v>#N/A</v>
      </c>
      <c r="E482" s="4" t="e">
        <v>#N/A</v>
      </c>
      <c r="F482" s="4" t="e">
        <v>#N/A</v>
      </c>
      <c r="G482" s="55" t="e">
        <v>#N/A</v>
      </c>
      <c r="H482" s="4" t="e">
        <v>#N/A</v>
      </c>
      <c r="I482" s="4" t="e">
        <v>#N/A</v>
      </c>
      <c r="J482" s="4" t="e">
        <v>#N/A</v>
      </c>
      <c r="K482" s="4"/>
      <c r="L482" s="4"/>
      <c r="M482" s="4"/>
      <c r="N482" s="4"/>
      <c r="O482" s="4"/>
      <c r="P482" s="4"/>
      <c r="Q482" s="4"/>
      <c r="R482" s="4"/>
      <c r="S482" s="4"/>
      <c r="T482" s="4"/>
      <c r="U482" s="4"/>
      <c r="V482" s="4"/>
    </row>
    <row r="483" spans="1:22" x14ac:dyDescent="0.3">
      <c r="A483" s="4">
        <v>0</v>
      </c>
      <c r="B483" s="108" t="e">
        <v>#N/A</v>
      </c>
      <c r="C483" s="4" t="e">
        <v>#N/A</v>
      </c>
      <c r="D483" s="4" t="e">
        <v>#N/A</v>
      </c>
      <c r="E483" s="4" t="e">
        <v>#N/A</v>
      </c>
      <c r="F483" s="4" t="e">
        <v>#N/A</v>
      </c>
      <c r="G483" s="55" t="e">
        <v>#N/A</v>
      </c>
      <c r="H483" s="4" t="e">
        <v>#N/A</v>
      </c>
      <c r="I483" s="4" t="e">
        <v>#N/A</v>
      </c>
      <c r="J483" s="4" t="e">
        <v>#N/A</v>
      </c>
      <c r="K483" s="4"/>
      <c r="L483" s="4"/>
      <c r="M483" s="4"/>
      <c r="N483" s="4"/>
      <c r="O483" s="4"/>
      <c r="P483" s="4"/>
      <c r="Q483" s="4"/>
      <c r="R483" s="4"/>
      <c r="S483" s="4"/>
      <c r="T483" s="4"/>
      <c r="U483" s="4"/>
      <c r="V483" s="4"/>
    </row>
    <row r="484" spans="1:22" x14ac:dyDescent="0.3">
      <c r="A484" s="4">
        <v>0</v>
      </c>
      <c r="B484" s="108" t="e">
        <v>#N/A</v>
      </c>
      <c r="C484" s="4" t="e">
        <v>#N/A</v>
      </c>
      <c r="D484" s="4" t="e">
        <v>#N/A</v>
      </c>
      <c r="E484" s="4" t="e">
        <v>#N/A</v>
      </c>
      <c r="F484" s="4" t="e">
        <v>#N/A</v>
      </c>
      <c r="G484" s="55" t="e">
        <v>#N/A</v>
      </c>
      <c r="H484" s="4" t="e">
        <v>#N/A</v>
      </c>
      <c r="I484" s="4" t="e">
        <v>#N/A</v>
      </c>
      <c r="J484" s="4" t="e">
        <v>#N/A</v>
      </c>
      <c r="K484" s="4"/>
      <c r="L484" s="4"/>
      <c r="M484" s="4"/>
      <c r="N484" s="4"/>
      <c r="O484" s="4"/>
      <c r="P484" s="4"/>
      <c r="Q484" s="4"/>
      <c r="R484" s="4"/>
      <c r="S484" s="4"/>
      <c r="T484" s="4"/>
      <c r="U484" s="4"/>
      <c r="V484" s="4"/>
    </row>
    <row r="485" spans="1:22" x14ac:dyDescent="0.3">
      <c r="A485" s="4">
        <v>0</v>
      </c>
      <c r="B485" s="108" t="e">
        <v>#N/A</v>
      </c>
      <c r="C485" s="4" t="e">
        <v>#N/A</v>
      </c>
      <c r="D485" s="4" t="e">
        <v>#N/A</v>
      </c>
      <c r="E485" s="4" t="e">
        <v>#N/A</v>
      </c>
      <c r="F485" s="4" t="e">
        <v>#N/A</v>
      </c>
      <c r="G485" s="55" t="e">
        <v>#N/A</v>
      </c>
      <c r="H485" s="4" t="e">
        <v>#N/A</v>
      </c>
      <c r="I485" s="4" t="e">
        <v>#N/A</v>
      </c>
      <c r="J485" s="4" t="e">
        <v>#N/A</v>
      </c>
      <c r="K485" s="4"/>
      <c r="L485" s="4"/>
      <c r="M485" s="4"/>
      <c r="N485" s="4"/>
      <c r="O485" s="4"/>
      <c r="P485" s="4"/>
      <c r="Q485" s="4"/>
      <c r="R485" s="4"/>
      <c r="S485" s="4"/>
      <c r="T485" s="4"/>
      <c r="U485" s="4"/>
      <c r="V485" s="4"/>
    </row>
    <row r="486" spans="1:22" x14ac:dyDescent="0.3">
      <c r="A486" s="4">
        <v>0</v>
      </c>
      <c r="B486" s="108" t="e">
        <v>#N/A</v>
      </c>
      <c r="C486" s="4" t="e">
        <v>#N/A</v>
      </c>
      <c r="D486" s="4" t="e">
        <v>#N/A</v>
      </c>
      <c r="E486" s="4" t="e">
        <v>#N/A</v>
      </c>
      <c r="F486" s="4" t="e">
        <v>#N/A</v>
      </c>
      <c r="G486" s="55" t="e">
        <v>#N/A</v>
      </c>
      <c r="H486" s="4" t="e">
        <v>#N/A</v>
      </c>
      <c r="I486" s="4" t="e">
        <v>#N/A</v>
      </c>
      <c r="J486" s="4" t="e">
        <v>#N/A</v>
      </c>
      <c r="K486" s="4"/>
      <c r="L486" s="4"/>
      <c r="M486" s="4"/>
      <c r="N486" s="4"/>
      <c r="O486" s="4"/>
      <c r="P486" s="4"/>
      <c r="Q486" s="4"/>
      <c r="R486" s="4"/>
      <c r="S486" s="4"/>
      <c r="T486" s="4"/>
      <c r="U486" s="4"/>
      <c r="V486" s="4"/>
    </row>
    <row r="487" spans="1:22" x14ac:dyDescent="0.3">
      <c r="A487" s="4">
        <v>0</v>
      </c>
      <c r="B487" s="108" t="e">
        <v>#N/A</v>
      </c>
      <c r="C487" s="4" t="e">
        <v>#N/A</v>
      </c>
      <c r="D487" s="4" t="e">
        <v>#N/A</v>
      </c>
      <c r="E487" s="4" t="e">
        <v>#N/A</v>
      </c>
      <c r="F487" s="4" t="e">
        <v>#N/A</v>
      </c>
      <c r="G487" s="55" t="e">
        <v>#N/A</v>
      </c>
      <c r="H487" s="4" t="e">
        <v>#N/A</v>
      </c>
      <c r="I487" s="4" t="e">
        <v>#N/A</v>
      </c>
      <c r="J487" s="4" t="e">
        <v>#N/A</v>
      </c>
      <c r="K487" s="4"/>
      <c r="L487" s="4"/>
      <c r="M487" s="4"/>
      <c r="N487" s="4"/>
      <c r="O487" s="4"/>
      <c r="P487" s="4"/>
      <c r="Q487" s="4"/>
      <c r="R487" s="4"/>
      <c r="S487" s="4"/>
      <c r="T487" s="4"/>
      <c r="U487" s="4"/>
      <c r="V487" s="4"/>
    </row>
    <row r="488" spans="1:22" x14ac:dyDescent="0.3">
      <c r="A488" s="4">
        <v>0</v>
      </c>
      <c r="B488" s="108" t="e">
        <v>#N/A</v>
      </c>
      <c r="C488" s="4" t="e">
        <v>#N/A</v>
      </c>
      <c r="D488" s="4" t="e">
        <v>#N/A</v>
      </c>
      <c r="E488" s="4" t="e">
        <v>#N/A</v>
      </c>
      <c r="F488" s="4" t="e">
        <v>#N/A</v>
      </c>
      <c r="G488" s="55" t="e">
        <v>#N/A</v>
      </c>
      <c r="H488" s="4" t="e">
        <v>#N/A</v>
      </c>
      <c r="I488" s="4" t="e">
        <v>#N/A</v>
      </c>
      <c r="J488" s="4" t="e">
        <v>#N/A</v>
      </c>
      <c r="K488" s="4"/>
      <c r="L488" s="4"/>
      <c r="M488" s="4"/>
      <c r="N488" s="4"/>
      <c r="O488" s="4"/>
      <c r="P488" s="4"/>
      <c r="Q488" s="4"/>
      <c r="R488" s="4"/>
      <c r="S488" s="4"/>
      <c r="T488" s="4"/>
      <c r="U488" s="4"/>
      <c r="V488" s="4"/>
    </row>
    <row r="489" spans="1:22" x14ac:dyDescent="0.3">
      <c r="A489" s="4">
        <v>0</v>
      </c>
      <c r="B489" s="108" t="e">
        <v>#N/A</v>
      </c>
      <c r="C489" s="4" t="e">
        <v>#N/A</v>
      </c>
      <c r="D489" s="4" t="e">
        <v>#N/A</v>
      </c>
      <c r="E489" s="4" t="e">
        <v>#N/A</v>
      </c>
      <c r="F489" s="4" t="e">
        <v>#N/A</v>
      </c>
      <c r="G489" s="55" t="e">
        <v>#N/A</v>
      </c>
      <c r="H489" s="4" t="e">
        <v>#N/A</v>
      </c>
      <c r="I489" s="4" t="e">
        <v>#N/A</v>
      </c>
      <c r="J489" s="4" t="e">
        <v>#N/A</v>
      </c>
      <c r="K489" s="4"/>
      <c r="L489" s="4"/>
      <c r="M489" s="4"/>
      <c r="N489" s="4"/>
      <c r="O489" s="4"/>
      <c r="P489" s="4"/>
      <c r="Q489" s="4"/>
      <c r="R489" s="4"/>
      <c r="S489" s="4"/>
      <c r="T489" s="4"/>
      <c r="U489" s="4"/>
      <c r="V489" s="4"/>
    </row>
    <row r="490" spans="1:22" x14ac:dyDescent="0.3">
      <c r="A490" s="4">
        <v>0</v>
      </c>
      <c r="B490" s="108" t="e">
        <v>#N/A</v>
      </c>
      <c r="C490" s="4" t="e">
        <v>#N/A</v>
      </c>
      <c r="D490" s="4" t="e">
        <v>#N/A</v>
      </c>
      <c r="E490" s="4" t="e">
        <v>#N/A</v>
      </c>
      <c r="F490" s="4" t="e">
        <v>#N/A</v>
      </c>
      <c r="G490" s="55" t="e">
        <v>#N/A</v>
      </c>
      <c r="H490" s="4" t="e">
        <v>#N/A</v>
      </c>
      <c r="I490" s="4" t="e">
        <v>#N/A</v>
      </c>
      <c r="J490" s="4" t="e">
        <v>#N/A</v>
      </c>
      <c r="K490" s="4"/>
      <c r="L490" s="4"/>
      <c r="M490" s="4"/>
      <c r="N490" s="4"/>
      <c r="O490" s="4"/>
      <c r="P490" s="4"/>
      <c r="Q490" s="4"/>
      <c r="R490" s="4"/>
      <c r="S490" s="4"/>
      <c r="T490" s="4"/>
      <c r="U490" s="4"/>
      <c r="V490" s="4"/>
    </row>
    <row r="491" spans="1:22" x14ac:dyDescent="0.3">
      <c r="A491" s="4">
        <v>0</v>
      </c>
      <c r="B491" s="108" t="e">
        <v>#N/A</v>
      </c>
      <c r="C491" s="4" t="e">
        <v>#N/A</v>
      </c>
      <c r="D491" s="4" t="e">
        <v>#N/A</v>
      </c>
      <c r="E491" s="4" t="e">
        <v>#N/A</v>
      </c>
      <c r="F491" s="4" t="e">
        <v>#N/A</v>
      </c>
      <c r="G491" s="55" t="e">
        <v>#N/A</v>
      </c>
      <c r="H491" s="4" t="e">
        <v>#N/A</v>
      </c>
      <c r="I491" s="4" t="e">
        <v>#N/A</v>
      </c>
      <c r="J491" s="4" t="e">
        <v>#N/A</v>
      </c>
      <c r="K491" s="4"/>
      <c r="L491" s="4"/>
      <c r="M491" s="4"/>
      <c r="N491" s="4"/>
      <c r="O491" s="4"/>
      <c r="P491" s="4"/>
      <c r="Q491" s="4"/>
      <c r="R491" s="4"/>
      <c r="S491" s="4"/>
      <c r="T491" s="4"/>
      <c r="U491" s="4"/>
      <c r="V491" s="4"/>
    </row>
    <row r="492" spans="1:22" x14ac:dyDescent="0.3">
      <c r="A492" s="4">
        <v>0</v>
      </c>
      <c r="B492" s="108" t="e">
        <v>#N/A</v>
      </c>
      <c r="C492" s="4" t="e">
        <v>#N/A</v>
      </c>
      <c r="D492" s="4" t="e">
        <v>#N/A</v>
      </c>
      <c r="E492" s="4" t="e">
        <v>#N/A</v>
      </c>
      <c r="F492" s="4" t="e">
        <v>#N/A</v>
      </c>
      <c r="G492" s="55" t="e">
        <v>#N/A</v>
      </c>
      <c r="H492" s="4" t="e">
        <v>#N/A</v>
      </c>
      <c r="I492" s="4" t="e">
        <v>#N/A</v>
      </c>
      <c r="J492" s="4" t="e">
        <v>#N/A</v>
      </c>
      <c r="K492" s="4"/>
      <c r="L492" s="4"/>
      <c r="M492" s="4"/>
      <c r="N492" s="4"/>
      <c r="O492" s="4"/>
      <c r="P492" s="4"/>
      <c r="Q492" s="4"/>
      <c r="R492" s="4"/>
      <c r="S492" s="4"/>
      <c r="T492" s="4"/>
      <c r="U492" s="4"/>
      <c r="V492" s="4"/>
    </row>
    <row r="493" spans="1:22" x14ac:dyDescent="0.3">
      <c r="A493" s="4">
        <v>0</v>
      </c>
      <c r="B493" s="108" t="e">
        <v>#N/A</v>
      </c>
      <c r="C493" s="4" t="e">
        <v>#N/A</v>
      </c>
      <c r="D493" s="4" t="e">
        <v>#N/A</v>
      </c>
      <c r="E493" s="4" t="e">
        <v>#N/A</v>
      </c>
      <c r="F493" s="4" t="e">
        <v>#N/A</v>
      </c>
      <c r="G493" s="55" t="e">
        <v>#N/A</v>
      </c>
      <c r="H493" s="4" t="e">
        <v>#N/A</v>
      </c>
      <c r="I493" s="4" t="e">
        <v>#N/A</v>
      </c>
      <c r="J493" s="4" t="e">
        <v>#N/A</v>
      </c>
      <c r="K493" s="4"/>
      <c r="L493" s="4"/>
      <c r="M493" s="4"/>
      <c r="N493" s="4"/>
      <c r="O493" s="4"/>
      <c r="P493" s="4"/>
      <c r="Q493" s="4"/>
      <c r="R493" s="4"/>
      <c r="S493" s="4"/>
      <c r="T493" s="4"/>
      <c r="U493" s="4"/>
      <c r="V493" s="4"/>
    </row>
    <row r="494" spans="1:22" x14ac:dyDescent="0.3">
      <c r="A494" s="4">
        <v>0</v>
      </c>
      <c r="B494" s="108" t="e">
        <v>#N/A</v>
      </c>
      <c r="C494" s="4" t="e">
        <v>#N/A</v>
      </c>
      <c r="D494" s="4" t="e">
        <v>#N/A</v>
      </c>
      <c r="E494" s="4" t="e">
        <v>#N/A</v>
      </c>
      <c r="F494" s="4" t="e">
        <v>#N/A</v>
      </c>
      <c r="G494" s="55" t="e">
        <v>#N/A</v>
      </c>
      <c r="H494" s="4" t="e">
        <v>#N/A</v>
      </c>
      <c r="I494" s="4" t="e">
        <v>#N/A</v>
      </c>
      <c r="J494" s="4" t="e">
        <v>#N/A</v>
      </c>
      <c r="K494" s="4"/>
      <c r="L494" s="4"/>
      <c r="M494" s="4"/>
      <c r="N494" s="4"/>
      <c r="O494" s="4"/>
      <c r="P494" s="4"/>
      <c r="Q494" s="4"/>
      <c r="R494" s="4"/>
      <c r="S494" s="4"/>
      <c r="T494" s="4"/>
      <c r="U494" s="4"/>
      <c r="V494" s="4"/>
    </row>
    <row r="495" spans="1:22" x14ac:dyDescent="0.3">
      <c r="A495" s="4">
        <v>0</v>
      </c>
      <c r="B495" s="108" t="e">
        <v>#N/A</v>
      </c>
      <c r="C495" s="4" t="e">
        <v>#N/A</v>
      </c>
      <c r="D495" s="4" t="e">
        <v>#N/A</v>
      </c>
      <c r="E495" s="4" t="e">
        <v>#N/A</v>
      </c>
      <c r="F495" s="4" t="e">
        <v>#N/A</v>
      </c>
      <c r="G495" s="55" t="e">
        <v>#N/A</v>
      </c>
      <c r="H495" s="4" t="e">
        <v>#N/A</v>
      </c>
      <c r="I495" s="4" t="e">
        <v>#N/A</v>
      </c>
      <c r="J495" s="4" t="e">
        <v>#N/A</v>
      </c>
      <c r="K495" s="4"/>
      <c r="L495" s="4"/>
      <c r="M495" s="4"/>
      <c r="N495" s="4"/>
      <c r="O495" s="4"/>
      <c r="P495" s="4"/>
      <c r="Q495" s="4"/>
      <c r="R495" s="4"/>
      <c r="S495" s="4"/>
      <c r="T495" s="4"/>
      <c r="U495" s="4"/>
      <c r="V495" s="4"/>
    </row>
    <row r="496" spans="1:22" x14ac:dyDescent="0.3">
      <c r="A496" s="4">
        <v>0</v>
      </c>
      <c r="B496" s="108" t="e">
        <v>#N/A</v>
      </c>
      <c r="C496" s="4" t="e">
        <v>#N/A</v>
      </c>
      <c r="D496" s="4" t="e">
        <v>#N/A</v>
      </c>
      <c r="E496" s="4" t="e">
        <v>#N/A</v>
      </c>
      <c r="F496" s="4" t="e">
        <v>#N/A</v>
      </c>
      <c r="G496" s="55" t="e">
        <v>#N/A</v>
      </c>
      <c r="H496" s="4" t="e">
        <v>#N/A</v>
      </c>
      <c r="I496" s="4" t="e">
        <v>#N/A</v>
      </c>
      <c r="J496" s="4" t="e">
        <v>#N/A</v>
      </c>
      <c r="K496" s="4"/>
      <c r="L496" s="4"/>
      <c r="M496" s="4"/>
      <c r="N496" s="4"/>
      <c r="O496" s="4"/>
      <c r="P496" s="4"/>
      <c r="Q496" s="4"/>
      <c r="R496" s="4"/>
      <c r="S496" s="4"/>
      <c r="T496" s="4"/>
      <c r="U496" s="4"/>
      <c r="V496" s="4"/>
    </row>
    <row r="497" spans="1:22" x14ac:dyDescent="0.3">
      <c r="A497" s="4">
        <v>0</v>
      </c>
      <c r="B497" s="108" t="e">
        <v>#N/A</v>
      </c>
      <c r="C497" s="4" t="e">
        <v>#N/A</v>
      </c>
      <c r="D497" s="4" t="e">
        <v>#N/A</v>
      </c>
      <c r="E497" s="4" t="e">
        <v>#N/A</v>
      </c>
      <c r="F497" s="4" t="e">
        <v>#N/A</v>
      </c>
      <c r="G497" s="55" t="e">
        <v>#N/A</v>
      </c>
      <c r="H497" s="4" t="e">
        <v>#N/A</v>
      </c>
      <c r="I497" s="4" t="e">
        <v>#N/A</v>
      </c>
      <c r="J497" s="4" t="e">
        <v>#N/A</v>
      </c>
      <c r="K497" s="4"/>
      <c r="L497" s="4"/>
      <c r="M497" s="4"/>
      <c r="N497" s="4"/>
      <c r="O497" s="4"/>
      <c r="P497" s="4"/>
      <c r="Q497" s="4"/>
      <c r="R497" s="4"/>
      <c r="S497" s="4"/>
      <c r="T497" s="4"/>
      <c r="U497" s="4"/>
      <c r="V497" s="4"/>
    </row>
    <row r="498" spans="1:22" x14ac:dyDescent="0.3">
      <c r="A498" s="4">
        <v>0</v>
      </c>
      <c r="B498" s="108" t="e">
        <v>#N/A</v>
      </c>
      <c r="C498" s="4" t="e">
        <v>#N/A</v>
      </c>
      <c r="D498" s="4" t="e">
        <v>#N/A</v>
      </c>
      <c r="E498" s="4" t="e">
        <v>#N/A</v>
      </c>
      <c r="F498" s="4" t="e">
        <v>#N/A</v>
      </c>
      <c r="G498" s="55" t="e">
        <v>#N/A</v>
      </c>
      <c r="H498" s="4" t="e">
        <v>#N/A</v>
      </c>
      <c r="I498" s="4" t="e">
        <v>#N/A</v>
      </c>
      <c r="J498" s="4" t="e">
        <v>#N/A</v>
      </c>
      <c r="K498" s="4"/>
      <c r="L498" s="4"/>
      <c r="M498" s="4"/>
      <c r="N498" s="4"/>
      <c r="O498" s="4"/>
      <c r="P498" s="4"/>
      <c r="Q498" s="4"/>
      <c r="R498" s="4"/>
      <c r="S498" s="4"/>
      <c r="T498" s="4"/>
      <c r="U498" s="4"/>
      <c r="V498" s="4"/>
    </row>
    <row r="499" spans="1:22" x14ac:dyDescent="0.3">
      <c r="A499" s="4">
        <v>0</v>
      </c>
      <c r="B499" s="108" t="e">
        <v>#N/A</v>
      </c>
      <c r="C499" s="4" t="e">
        <v>#N/A</v>
      </c>
      <c r="D499" s="4" t="e">
        <v>#N/A</v>
      </c>
      <c r="E499" s="4" t="e">
        <v>#N/A</v>
      </c>
      <c r="F499" s="4" t="e">
        <v>#N/A</v>
      </c>
      <c r="G499" s="55" t="e">
        <v>#N/A</v>
      </c>
      <c r="H499" s="4" t="e">
        <v>#N/A</v>
      </c>
      <c r="I499" s="4" t="e">
        <v>#N/A</v>
      </c>
      <c r="J499" s="4" t="e">
        <v>#N/A</v>
      </c>
      <c r="K499" s="4"/>
      <c r="L499" s="4"/>
      <c r="M499" s="4"/>
      <c r="N499" s="4"/>
      <c r="O499" s="4"/>
      <c r="P499" s="4"/>
      <c r="Q499" s="4"/>
      <c r="R499" s="4"/>
      <c r="S499" s="4"/>
      <c r="T499" s="4"/>
      <c r="U499" s="4"/>
      <c r="V499" s="4"/>
    </row>
    <row r="500" spans="1:22" x14ac:dyDescent="0.3">
      <c r="A500" s="4">
        <v>0</v>
      </c>
      <c r="B500" s="108" t="e">
        <v>#N/A</v>
      </c>
      <c r="C500" s="4" t="e">
        <v>#N/A</v>
      </c>
      <c r="D500" s="4" t="e">
        <v>#N/A</v>
      </c>
      <c r="E500" s="4" t="e">
        <v>#N/A</v>
      </c>
      <c r="F500" s="4" t="e">
        <v>#N/A</v>
      </c>
      <c r="G500" s="55" t="e">
        <v>#N/A</v>
      </c>
      <c r="H500" s="4" t="e">
        <v>#N/A</v>
      </c>
      <c r="I500" s="4" t="e">
        <v>#N/A</v>
      </c>
      <c r="J500" s="4" t="e">
        <v>#N/A</v>
      </c>
      <c r="K500" s="4"/>
      <c r="L500" s="4"/>
      <c r="M500" s="4"/>
      <c r="N500" s="4"/>
      <c r="O500" s="4"/>
      <c r="P500" s="4"/>
      <c r="Q500" s="4"/>
      <c r="R500" s="4"/>
      <c r="S500" s="4"/>
      <c r="T500" s="4"/>
      <c r="U500" s="4"/>
      <c r="V500" s="4"/>
    </row>
    <row r="501" spans="1:22" x14ac:dyDescent="0.3">
      <c r="A501" s="4">
        <v>0</v>
      </c>
      <c r="B501" s="108" t="e">
        <v>#N/A</v>
      </c>
      <c r="C501" s="4" t="e">
        <v>#N/A</v>
      </c>
      <c r="D501" s="4" t="e">
        <v>#N/A</v>
      </c>
      <c r="E501" s="4" t="e">
        <v>#N/A</v>
      </c>
      <c r="F501" s="4" t="e">
        <v>#N/A</v>
      </c>
      <c r="G501" s="55" t="e">
        <v>#N/A</v>
      </c>
      <c r="H501" s="4" t="e">
        <v>#N/A</v>
      </c>
      <c r="I501" s="4" t="e">
        <v>#N/A</v>
      </c>
      <c r="J501" s="4" t="e">
        <v>#N/A</v>
      </c>
      <c r="K501" s="4"/>
      <c r="L501" s="4"/>
      <c r="M501" s="4"/>
      <c r="N501" s="4"/>
      <c r="O501" s="4"/>
      <c r="P501" s="4"/>
      <c r="Q501" s="4"/>
      <c r="R501" s="4"/>
      <c r="S501" s="4"/>
      <c r="T501" s="4"/>
      <c r="U501" s="4"/>
      <c r="V501" s="4"/>
    </row>
    <row r="502" spans="1:22" x14ac:dyDescent="0.3">
      <c r="A502" s="4">
        <v>0</v>
      </c>
      <c r="B502" s="108" t="e">
        <v>#N/A</v>
      </c>
      <c r="C502" s="4" t="e">
        <v>#N/A</v>
      </c>
      <c r="D502" s="4" t="e">
        <v>#N/A</v>
      </c>
      <c r="E502" s="4" t="e">
        <v>#N/A</v>
      </c>
      <c r="F502" s="4" t="e">
        <v>#N/A</v>
      </c>
      <c r="G502" s="55" t="e">
        <v>#N/A</v>
      </c>
      <c r="H502" s="4" t="e">
        <v>#N/A</v>
      </c>
      <c r="I502" s="4" t="e">
        <v>#N/A</v>
      </c>
      <c r="J502" s="4" t="e">
        <v>#N/A</v>
      </c>
      <c r="K502" s="4"/>
      <c r="L502" s="4"/>
      <c r="M502" s="4"/>
      <c r="N502" s="4"/>
      <c r="O502" s="4"/>
      <c r="P502" s="4"/>
      <c r="Q502" s="4"/>
      <c r="R502" s="4"/>
      <c r="S502" s="4"/>
      <c r="T502" s="4"/>
      <c r="U502" s="4"/>
      <c r="V502" s="4"/>
    </row>
    <row r="503" spans="1:22" x14ac:dyDescent="0.3">
      <c r="A503" s="4">
        <v>0</v>
      </c>
      <c r="B503" s="108" t="e">
        <v>#N/A</v>
      </c>
      <c r="C503" s="4" t="e">
        <v>#N/A</v>
      </c>
      <c r="D503" s="4" t="e">
        <v>#N/A</v>
      </c>
      <c r="E503" s="4" t="e">
        <v>#N/A</v>
      </c>
      <c r="F503" s="4" t="e">
        <v>#N/A</v>
      </c>
      <c r="G503" s="55" t="e">
        <v>#N/A</v>
      </c>
      <c r="H503" s="4" t="e">
        <v>#N/A</v>
      </c>
      <c r="I503" s="4" t="e">
        <v>#N/A</v>
      </c>
      <c r="J503" s="4" t="e">
        <v>#N/A</v>
      </c>
      <c r="K503" s="4"/>
      <c r="L503" s="4"/>
      <c r="M503" s="4"/>
      <c r="N503" s="4"/>
      <c r="O503" s="4"/>
      <c r="P503" s="4"/>
      <c r="Q503" s="4"/>
      <c r="R503" s="4"/>
      <c r="S503" s="4"/>
      <c r="T503" s="4"/>
      <c r="U503" s="4"/>
      <c r="V503" s="4"/>
    </row>
    <row r="504" spans="1:22" x14ac:dyDescent="0.3">
      <c r="A504" s="4">
        <v>0</v>
      </c>
      <c r="B504" s="108" t="e">
        <v>#N/A</v>
      </c>
      <c r="C504" s="4" t="e">
        <v>#N/A</v>
      </c>
      <c r="D504" s="4" t="e">
        <v>#N/A</v>
      </c>
      <c r="E504" s="4" t="e">
        <v>#N/A</v>
      </c>
      <c r="F504" s="4" t="e">
        <v>#N/A</v>
      </c>
      <c r="G504" s="55" t="e">
        <v>#N/A</v>
      </c>
      <c r="H504" s="4" t="e">
        <v>#N/A</v>
      </c>
      <c r="I504" s="4" t="e">
        <v>#N/A</v>
      </c>
      <c r="J504" s="4" t="e">
        <v>#N/A</v>
      </c>
      <c r="K504" s="4"/>
      <c r="L504" s="4"/>
      <c r="M504" s="4"/>
      <c r="N504" s="4"/>
      <c r="O504" s="4"/>
      <c r="P504" s="4"/>
      <c r="Q504" s="4"/>
      <c r="R504" s="4"/>
      <c r="S504" s="4"/>
      <c r="T504" s="4"/>
      <c r="U504" s="4"/>
      <c r="V504" s="4"/>
    </row>
    <row r="505" spans="1:22" x14ac:dyDescent="0.3">
      <c r="A505" s="4">
        <v>0</v>
      </c>
      <c r="B505" s="108" t="e">
        <v>#N/A</v>
      </c>
      <c r="C505" s="4" t="e">
        <v>#N/A</v>
      </c>
      <c r="D505" s="4" t="e">
        <v>#N/A</v>
      </c>
      <c r="E505" s="4" t="e">
        <v>#N/A</v>
      </c>
      <c r="F505" s="4" t="e">
        <v>#N/A</v>
      </c>
      <c r="G505" s="55" t="e">
        <v>#N/A</v>
      </c>
      <c r="H505" s="4" t="e">
        <v>#N/A</v>
      </c>
      <c r="I505" s="4" t="e">
        <v>#N/A</v>
      </c>
      <c r="J505" s="4" t="e">
        <v>#N/A</v>
      </c>
      <c r="K505" s="4"/>
      <c r="L505" s="4"/>
      <c r="M505" s="4"/>
      <c r="N505" s="4"/>
      <c r="O505" s="4"/>
      <c r="P505" s="4"/>
      <c r="Q505" s="4"/>
      <c r="R505" s="4"/>
      <c r="S505" s="4"/>
      <c r="T505" s="4"/>
      <c r="U505" s="4"/>
      <c r="V505" s="4"/>
    </row>
    <row r="506" spans="1:22" x14ac:dyDescent="0.3">
      <c r="A506" s="4">
        <v>0</v>
      </c>
      <c r="B506" s="108" t="e">
        <v>#N/A</v>
      </c>
      <c r="C506" s="4" t="e">
        <v>#N/A</v>
      </c>
      <c r="D506" s="4" t="e">
        <v>#N/A</v>
      </c>
      <c r="E506" s="4" t="e">
        <v>#N/A</v>
      </c>
      <c r="F506" s="4" t="e">
        <v>#N/A</v>
      </c>
      <c r="G506" s="55" t="e">
        <v>#N/A</v>
      </c>
      <c r="H506" s="4" t="e">
        <v>#N/A</v>
      </c>
      <c r="I506" s="4" t="e">
        <v>#N/A</v>
      </c>
      <c r="J506" s="4" t="e">
        <v>#N/A</v>
      </c>
      <c r="K506" s="4"/>
      <c r="L506" s="4"/>
      <c r="M506" s="4"/>
      <c r="N506" s="4"/>
      <c r="O506" s="4"/>
      <c r="P506" s="4"/>
      <c r="Q506" s="4"/>
      <c r="R506" s="4"/>
      <c r="S506" s="4"/>
      <c r="T506" s="4"/>
      <c r="U506" s="4"/>
      <c r="V506" s="4"/>
    </row>
    <row r="507" spans="1:22" x14ac:dyDescent="0.3">
      <c r="A507" s="4">
        <v>0</v>
      </c>
      <c r="B507" s="108" t="e">
        <v>#N/A</v>
      </c>
      <c r="C507" s="4" t="e">
        <v>#N/A</v>
      </c>
      <c r="D507" s="4" t="e">
        <v>#N/A</v>
      </c>
      <c r="E507" s="4" t="e">
        <v>#N/A</v>
      </c>
      <c r="F507" s="4" t="e">
        <v>#N/A</v>
      </c>
      <c r="G507" s="55" t="e">
        <v>#N/A</v>
      </c>
      <c r="H507" s="4" t="e">
        <v>#N/A</v>
      </c>
      <c r="I507" s="4" t="e">
        <v>#N/A</v>
      </c>
      <c r="J507" s="4" t="e">
        <v>#N/A</v>
      </c>
      <c r="K507" s="4"/>
      <c r="L507" s="4"/>
      <c r="M507" s="4"/>
      <c r="N507" s="4"/>
      <c r="O507" s="4"/>
      <c r="P507" s="4"/>
      <c r="Q507" s="4"/>
      <c r="R507" s="4"/>
      <c r="S507" s="4"/>
      <c r="T507" s="4"/>
      <c r="U507" s="4"/>
      <c r="V507" s="4"/>
    </row>
    <row r="508" spans="1:22" x14ac:dyDescent="0.3">
      <c r="A508" s="4">
        <v>0</v>
      </c>
      <c r="B508" s="108" t="e">
        <v>#N/A</v>
      </c>
      <c r="C508" s="4" t="e">
        <v>#N/A</v>
      </c>
      <c r="D508" s="4" t="e">
        <v>#N/A</v>
      </c>
      <c r="E508" s="4" t="e">
        <v>#N/A</v>
      </c>
      <c r="F508" s="4" t="e">
        <v>#N/A</v>
      </c>
      <c r="G508" s="55" t="e">
        <v>#N/A</v>
      </c>
      <c r="H508" s="4" t="e">
        <v>#N/A</v>
      </c>
      <c r="I508" s="4" t="e">
        <v>#N/A</v>
      </c>
      <c r="J508" s="4" t="e">
        <v>#N/A</v>
      </c>
      <c r="K508" s="4"/>
      <c r="L508" s="4"/>
      <c r="M508" s="4"/>
      <c r="N508" s="4"/>
      <c r="O508" s="4"/>
      <c r="P508" s="4"/>
      <c r="Q508" s="4"/>
      <c r="R508" s="4"/>
      <c r="S508" s="4"/>
      <c r="T508" s="4"/>
      <c r="U508" s="4"/>
      <c r="V508" s="4"/>
    </row>
    <row r="509" spans="1:22" x14ac:dyDescent="0.3">
      <c r="A509" s="4">
        <v>0</v>
      </c>
      <c r="B509" s="108" t="e">
        <v>#N/A</v>
      </c>
      <c r="C509" s="4" t="e">
        <v>#N/A</v>
      </c>
      <c r="D509" s="4" t="e">
        <v>#N/A</v>
      </c>
      <c r="E509" s="4" t="e">
        <v>#N/A</v>
      </c>
      <c r="F509" s="4" t="e">
        <v>#N/A</v>
      </c>
      <c r="G509" s="55" t="e">
        <v>#N/A</v>
      </c>
      <c r="H509" s="4" t="e">
        <v>#N/A</v>
      </c>
      <c r="I509" s="4" t="e">
        <v>#N/A</v>
      </c>
      <c r="J509" s="4" t="e">
        <v>#N/A</v>
      </c>
      <c r="K509" s="4"/>
      <c r="L509" s="4"/>
      <c r="M509" s="4"/>
      <c r="N509" s="4"/>
      <c r="O509" s="4"/>
      <c r="P509" s="4"/>
      <c r="Q509" s="4"/>
      <c r="R509" s="4"/>
      <c r="S509" s="4"/>
      <c r="T509" s="4"/>
      <c r="U509" s="4"/>
      <c r="V509" s="4"/>
    </row>
    <row r="510" spans="1:22" x14ac:dyDescent="0.3">
      <c r="A510" s="4">
        <v>0</v>
      </c>
      <c r="B510" s="108" t="e">
        <v>#N/A</v>
      </c>
      <c r="C510" s="4" t="e">
        <v>#N/A</v>
      </c>
      <c r="D510" s="4" t="e">
        <v>#N/A</v>
      </c>
      <c r="E510" s="4" t="e">
        <v>#N/A</v>
      </c>
      <c r="F510" s="4" t="e">
        <v>#N/A</v>
      </c>
      <c r="G510" s="55" t="e">
        <v>#N/A</v>
      </c>
      <c r="H510" s="4" t="e">
        <v>#N/A</v>
      </c>
      <c r="I510" s="4" t="e">
        <v>#N/A</v>
      </c>
      <c r="J510" s="4" t="e">
        <v>#N/A</v>
      </c>
      <c r="K510" s="4"/>
      <c r="L510" s="4"/>
      <c r="M510" s="4"/>
      <c r="N510" s="4"/>
      <c r="O510" s="4"/>
      <c r="P510" s="4"/>
      <c r="Q510" s="4"/>
      <c r="R510" s="4"/>
      <c r="S510" s="4"/>
      <c r="T510" s="4"/>
      <c r="U510" s="4"/>
      <c r="V510" s="4"/>
    </row>
    <row r="511" spans="1:22" x14ac:dyDescent="0.3">
      <c r="A511" s="4">
        <v>0</v>
      </c>
      <c r="B511" s="108" t="e">
        <v>#N/A</v>
      </c>
      <c r="C511" s="4" t="e">
        <v>#N/A</v>
      </c>
      <c r="D511" s="4" t="e">
        <v>#N/A</v>
      </c>
      <c r="E511" s="4" t="e">
        <v>#N/A</v>
      </c>
      <c r="F511" s="4" t="e">
        <v>#N/A</v>
      </c>
      <c r="G511" s="55" t="e">
        <v>#N/A</v>
      </c>
      <c r="H511" s="4" t="e">
        <v>#N/A</v>
      </c>
      <c r="I511" s="4" t="e">
        <v>#N/A</v>
      </c>
      <c r="J511" s="4" t="e">
        <v>#N/A</v>
      </c>
      <c r="K511" s="4"/>
      <c r="L511" s="4"/>
      <c r="M511" s="4"/>
      <c r="N511" s="4"/>
      <c r="O511" s="4"/>
      <c r="P511" s="4"/>
      <c r="Q511" s="4"/>
      <c r="R511" s="4"/>
      <c r="S511" s="4"/>
      <c r="T511" s="4"/>
      <c r="U511" s="4"/>
      <c r="V511" s="4"/>
    </row>
    <row r="512" spans="1:22" x14ac:dyDescent="0.3">
      <c r="A512" s="4">
        <v>0</v>
      </c>
      <c r="B512" s="108" t="e">
        <v>#N/A</v>
      </c>
      <c r="C512" s="4" t="e">
        <v>#N/A</v>
      </c>
      <c r="D512" s="4" t="e">
        <v>#N/A</v>
      </c>
      <c r="E512" s="4" t="e">
        <v>#N/A</v>
      </c>
      <c r="F512" s="4" t="e">
        <v>#N/A</v>
      </c>
      <c r="G512" s="55" t="e">
        <v>#N/A</v>
      </c>
      <c r="H512" s="4" t="e">
        <v>#N/A</v>
      </c>
      <c r="I512" s="4" t="e">
        <v>#N/A</v>
      </c>
      <c r="J512" s="4" t="e">
        <v>#N/A</v>
      </c>
      <c r="K512" s="4"/>
      <c r="L512" s="4"/>
      <c r="M512" s="4"/>
      <c r="N512" s="4"/>
      <c r="O512" s="4"/>
      <c r="P512" s="4"/>
      <c r="Q512" s="4"/>
      <c r="R512" s="4"/>
      <c r="S512" s="4"/>
      <c r="T512" s="4"/>
      <c r="U512" s="4"/>
      <c r="V512" s="4"/>
    </row>
    <row r="513" spans="1:22" x14ac:dyDescent="0.3">
      <c r="A513" s="4">
        <v>0</v>
      </c>
      <c r="B513" s="108" t="e">
        <v>#N/A</v>
      </c>
      <c r="C513" s="4" t="e">
        <v>#N/A</v>
      </c>
      <c r="D513" s="4" t="e">
        <v>#N/A</v>
      </c>
      <c r="E513" s="4" t="e">
        <v>#N/A</v>
      </c>
      <c r="F513" s="4" t="e">
        <v>#N/A</v>
      </c>
      <c r="G513" s="55" t="e">
        <v>#N/A</v>
      </c>
      <c r="H513" s="4" t="e">
        <v>#N/A</v>
      </c>
      <c r="I513" s="4" t="e">
        <v>#N/A</v>
      </c>
      <c r="J513" s="4" t="e">
        <v>#N/A</v>
      </c>
      <c r="K513" s="4"/>
      <c r="L513" s="4"/>
      <c r="M513" s="4"/>
      <c r="N513" s="4"/>
      <c r="O513" s="4"/>
      <c r="P513" s="4"/>
      <c r="Q513" s="4"/>
      <c r="R513" s="4"/>
      <c r="S513" s="4"/>
      <c r="T513" s="4"/>
      <c r="U513" s="4"/>
      <c r="V513" s="4"/>
    </row>
    <row r="514" spans="1:22" x14ac:dyDescent="0.3">
      <c r="A514" s="4">
        <v>0</v>
      </c>
      <c r="B514" s="108" t="e">
        <v>#N/A</v>
      </c>
      <c r="C514" s="4" t="e">
        <v>#N/A</v>
      </c>
      <c r="D514" s="4" t="e">
        <v>#N/A</v>
      </c>
      <c r="E514" s="4" t="e">
        <v>#N/A</v>
      </c>
      <c r="F514" s="4" t="e">
        <v>#N/A</v>
      </c>
      <c r="G514" s="55" t="e">
        <v>#N/A</v>
      </c>
      <c r="H514" s="4" t="e">
        <v>#N/A</v>
      </c>
      <c r="I514" s="4" t="e">
        <v>#N/A</v>
      </c>
      <c r="J514" s="4" t="e">
        <v>#N/A</v>
      </c>
      <c r="K514" s="4"/>
      <c r="L514" s="4"/>
      <c r="M514" s="4"/>
      <c r="N514" s="4"/>
      <c r="O514" s="4"/>
      <c r="P514" s="4"/>
      <c r="Q514" s="4"/>
      <c r="R514" s="4"/>
      <c r="S514" s="4"/>
      <c r="T514" s="4"/>
      <c r="U514" s="4"/>
      <c r="V514" s="4"/>
    </row>
    <row r="515" spans="1:22" x14ac:dyDescent="0.3">
      <c r="A515" s="4">
        <v>0</v>
      </c>
      <c r="B515" s="108" t="e">
        <v>#N/A</v>
      </c>
      <c r="C515" s="4" t="e">
        <v>#N/A</v>
      </c>
      <c r="D515" s="4" t="e">
        <v>#N/A</v>
      </c>
      <c r="E515" s="4" t="e">
        <v>#N/A</v>
      </c>
      <c r="F515" s="4" t="e">
        <v>#N/A</v>
      </c>
      <c r="G515" s="55" t="e">
        <v>#N/A</v>
      </c>
      <c r="H515" s="4" t="e">
        <v>#N/A</v>
      </c>
      <c r="I515" s="4" t="e">
        <v>#N/A</v>
      </c>
      <c r="J515" s="4" t="e">
        <v>#N/A</v>
      </c>
      <c r="K515" s="4"/>
      <c r="L515" s="4"/>
      <c r="M515" s="4"/>
      <c r="N515" s="4"/>
      <c r="O515" s="4"/>
      <c r="P515" s="4"/>
      <c r="Q515" s="4"/>
      <c r="R515" s="4"/>
      <c r="S515" s="4"/>
      <c r="T515" s="4"/>
      <c r="U515" s="4"/>
      <c r="V515" s="4"/>
    </row>
    <row r="516" spans="1:22" x14ac:dyDescent="0.3">
      <c r="A516" s="4">
        <v>0</v>
      </c>
      <c r="B516" s="108" t="e">
        <v>#N/A</v>
      </c>
      <c r="C516" s="4" t="e">
        <v>#N/A</v>
      </c>
      <c r="D516" s="4" t="e">
        <v>#N/A</v>
      </c>
      <c r="E516" s="4" t="e">
        <v>#N/A</v>
      </c>
      <c r="F516" s="4" t="e">
        <v>#N/A</v>
      </c>
      <c r="G516" s="55" t="e">
        <v>#N/A</v>
      </c>
      <c r="H516" s="4" t="e">
        <v>#N/A</v>
      </c>
      <c r="I516" s="4" t="e">
        <v>#N/A</v>
      </c>
      <c r="J516" s="4" t="e">
        <v>#N/A</v>
      </c>
      <c r="K516" s="4"/>
      <c r="L516" s="4"/>
      <c r="M516" s="4"/>
      <c r="N516" s="4"/>
      <c r="O516" s="4"/>
      <c r="P516" s="4"/>
      <c r="Q516" s="4"/>
      <c r="R516" s="4"/>
      <c r="S516" s="4"/>
      <c r="T516" s="4"/>
      <c r="U516" s="4"/>
      <c r="V516" s="4"/>
    </row>
    <row r="517" spans="1:22" x14ac:dyDescent="0.3">
      <c r="A517" s="4">
        <v>0</v>
      </c>
      <c r="B517" s="108" t="e">
        <v>#N/A</v>
      </c>
      <c r="C517" s="4" t="e">
        <v>#N/A</v>
      </c>
      <c r="D517" s="4" t="e">
        <v>#N/A</v>
      </c>
      <c r="E517" s="4" t="e">
        <v>#N/A</v>
      </c>
      <c r="F517" s="4" t="e">
        <v>#N/A</v>
      </c>
      <c r="G517" s="55" t="e">
        <v>#N/A</v>
      </c>
      <c r="H517" s="4" t="e">
        <v>#N/A</v>
      </c>
      <c r="I517" s="4" t="e">
        <v>#N/A</v>
      </c>
      <c r="J517" s="4" t="e">
        <v>#N/A</v>
      </c>
      <c r="K517" s="4"/>
      <c r="L517" s="4"/>
      <c r="M517" s="4"/>
      <c r="N517" s="4"/>
      <c r="O517" s="4"/>
      <c r="P517" s="4"/>
      <c r="Q517" s="4"/>
      <c r="R517" s="4"/>
      <c r="S517" s="4"/>
      <c r="T517" s="4"/>
      <c r="U517" s="4"/>
      <c r="V517" s="4"/>
    </row>
    <row r="518" spans="1:22" x14ac:dyDescent="0.3">
      <c r="A518" s="4">
        <v>0</v>
      </c>
      <c r="B518" s="108" t="e">
        <v>#N/A</v>
      </c>
      <c r="C518" s="4" t="e">
        <v>#N/A</v>
      </c>
      <c r="D518" s="4" t="e">
        <v>#N/A</v>
      </c>
      <c r="E518" s="4" t="e">
        <v>#N/A</v>
      </c>
      <c r="F518" s="4" t="e">
        <v>#N/A</v>
      </c>
      <c r="G518" s="55" t="e">
        <v>#N/A</v>
      </c>
      <c r="H518" s="4" t="e">
        <v>#N/A</v>
      </c>
      <c r="I518" s="4" t="e">
        <v>#N/A</v>
      </c>
      <c r="J518" s="4" t="e">
        <v>#N/A</v>
      </c>
      <c r="K518" s="4"/>
      <c r="L518" s="4"/>
      <c r="M518" s="4"/>
      <c r="N518" s="4"/>
      <c r="O518" s="4"/>
      <c r="P518" s="4"/>
      <c r="Q518" s="4"/>
      <c r="R518" s="4"/>
      <c r="S518" s="4"/>
      <c r="T518" s="4"/>
      <c r="U518" s="4"/>
      <c r="V518" s="4"/>
    </row>
    <row r="519" spans="1:22" x14ac:dyDescent="0.3">
      <c r="A519" s="4">
        <v>0</v>
      </c>
      <c r="B519" s="108" t="e">
        <v>#N/A</v>
      </c>
      <c r="C519" s="4" t="e">
        <v>#N/A</v>
      </c>
      <c r="D519" s="4" t="e">
        <v>#N/A</v>
      </c>
      <c r="E519" s="4" t="e">
        <v>#N/A</v>
      </c>
      <c r="F519" s="4" t="e">
        <v>#N/A</v>
      </c>
      <c r="G519" s="55" t="e">
        <v>#N/A</v>
      </c>
      <c r="H519" s="4" t="e">
        <v>#N/A</v>
      </c>
      <c r="I519" s="4" t="e">
        <v>#N/A</v>
      </c>
      <c r="J519" s="4" t="e">
        <v>#N/A</v>
      </c>
      <c r="K519" s="4"/>
      <c r="L519" s="4"/>
      <c r="M519" s="4"/>
      <c r="N519" s="4"/>
      <c r="O519" s="4"/>
      <c r="P519" s="4"/>
      <c r="Q519" s="4"/>
      <c r="R519" s="4"/>
      <c r="S519" s="4"/>
      <c r="T519" s="4"/>
      <c r="U519" s="4"/>
      <c r="V519" s="4"/>
    </row>
    <row r="520" spans="1:22" x14ac:dyDescent="0.3">
      <c r="A520" s="4">
        <v>0</v>
      </c>
      <c r="B520" s="108" t="e">
        <v>#N/A</v>
      </c>
      <c r="C520" s="4" t="e">
        <v>#N/A</v>
      </c>
      <c r="D520" s="4" t="e">
        <v>#N/A</v>
      </c>
      <c r="E520" s="4" t="e">
        <v>#N/A</v>
      </c>
      <c r="F520" s="4" t="e">
        <v>#N/A</v>
      </c>
      <c r="G520" s="55" t="e">
        <v>#N/A</v>
      </c>
      <c r="H520" s="4" t="e">
        <v>#N/A</v>
      </c>
      <c r="I520" s="4" t="e">
        <v>#N/A</v>
      </c>
      <c r="J520" s="4" t="e">
        <v>#N/A</v>
      </c>
      <c r="K520" s="4"/>
      <c r="L520" s="4"/>
      <c r="M520" s="4"/>
      <c r="N520" s="4"/>
      <c r="O520" s="4"/>
      <c r="P520" s="4"/>
      <c r="Q520" s="4"/>
      <c r="R520" s="4"/>
      <c r="S520" s="4"/>
      <c r="T520" s="4"/>
      <c r="U520" s="4"/>
      <c r="V520" s="4"/>
    </row>
    <row r="521" spans="1:22" x14ac:dyDescent="0.3">
      <c r="A521" s="4">
        <v>0</v>
      </c>
      <c r="B521" s="108" t="e">
        <v>#N/A</v>
      </c>
      <c r="C521" s="4" t="e">
        <v>#N/A</v>
      </c>
      <c r="D521" s="4" t="e">
        <v>#N/A</v>
      </c>
      <c r="E521" s="4" t="e">
        <v>#N/A</v>
      </c>
      <c r="F521" s="4" t="e">
        <v>#N/A</v>
      </c>
      <c r="G521" s="55" t="e">
        <v>#N/A</v>
      </c>
      <c r="H521" s="4" t="e">
        <v>#N/A</v>
      </c>
      <c r="I521" s="4" t="e">
        <v>#N/A</v>
      </c>
      <c r="J521" s="4" t="e">
        <v>#N/A</v>
      </c>
      <c r="K521" s="4"/>
      <c r="L521" s="4"/>
      <c r="M521" s="4"/>
      <c r="N521" s="4"/>
      <c r="O521" s="4"/>
      <c r="P521" s="4"/>
      <c r="Q521" s="4"/>
      <c r="R521" s="4"/>
      <c r="S521" s="4"/>
      <c r="T521" s="4"/>
      <c r="U521" s="4"/>
      <c r="V521" s="4"/>
    </row>
    <row r="522" spans="1:22" x14ac:dyDescent="0.3">
      <c r="A522" s="4">
        <v>0</v>
      </c>
      <c r="B522" s="108" t="e">
        <v>#N/A</v>
      </c>
      <c r="C522" s="4" t="e">
        <v>#N/A</v>
      </c>
      <c r="D522" s="4" t="e">
        <v>#N/A</v>
      </c>
      <c r="E522" s="4" t="e">
        <v>#N/A</v>
      </c>
      <c r="F522" s="4" t="e">
        <v>#N/A</v>
      </c>
      <c r="G522" s="55" t="e">
        <v>#N/A</v>
      </c>
      <c r="H522" s="4" t="e">
        <v>#N/A</v>
      </c>
      <c r="I522" s="4" t="e">
        <v>#N/A</v>
      </c>
      <c r="J522" s="4" t="e">
        <v>#N/A</v>
      </c>
      <c r="K522" s="4"/>
      <c r="L522" s="4"/>
      <c r="M522" s="4"/>
      <c r="N522" s="4"/>
      <c r="O522" s="4"/>
      <c r="P522" s="4"/>
      <c r="Q522" s="4"/>
      <c r="R522" s="4"/>
      <c r="S522" s="4"/>
      <c r="T522" s="4"/>
      <c r="U522" s="4"/>
      <c r="V522" s="4"/>
    </row>
    <row r="523" spans="1:22" x14ac:dyDescent="0.3">
      <c r="A523" s="4">
        <v>0</v>
      </c>
      <c r="B523" s="108" t="e">
        <v>#N/A</v>
      </c>
      <c r="C523" s="4" t="e">
        <v>#N/A</v>
      </c>
      <c r="D523" s="4" t="e">
        <v>#N/A</v>
      </c>
      <c r="E523" s="4" t="e">
        <v>#N/A</v>
      </c>
      <c r="F523" s="4" t="e">
        <v>#N/A</v>
      </c>
      <c r="G523" s="55" t="e">
        <v>#N/A</v>
      </c>
      <c r="H523" s="4" t="e">
        <v>#N/A</v>
      </c>
      <c r="I523" s="4" t="e">
        <v>#N/A</v>
      </c>
      <c r="J523" s="4" t="e">
        <v>#N/A</v>
      </c>
      <c r="K523" s="4"/>
      <c r="L523" s="4"/>
      <c r="M523" s="4"/>
      <c r="N523" s="4"/>
      <c r="O523" s="4"/>
      <c r="P523" s="4"/>
      <c r="Q523" s="4"/>
      <c r="R523" s="4"/>
      <c r="S523" s="4"/>
      <c r="T523" s="4"/>
      <c r="U523" s="4"/>
      <c r="V523" s="4"/>
    </row>
    <row r="524" spans="1:22" x14ac:dyDescent="0.3">
      <c r="A524" s="4">
        <v>0</v>
      </c>
      <c r="B524" s="108" t="e">
        <v>#N/A</v>
      </c>
      <c r="C524" s="4" t="e">
        <v>#N/A</v>
      </c>
      <c r="D524" s="4" t="e">
        <v>#N/A</v>
      </c>
      <c r="E524" s="4" t="e">
        <v>#N/A</v>
      </c>
      <c r="F524" s="4" t="e">
        <v>#N/A</v>
      </c>
      <c r="G524" s="55" t="e">
        <v>#N/A</v>
      </c>
      <c r="H524" s="4" t="e">
        <v>#N/A</v>
      </c>
      <c r="I524" s="4" t="e">
        <v>#N/A</v>
      </c>
      <c r="J524" s="4" t="e">
        <v>#N/A</v>
      </c>
      <c r="K524" s="4"/>
      <c r="L524" s="4"/>
      <c r="M524" s="4"/>
      <c r="N524" s="4"/>
      <c r="O524" s="4"/>
      <c r="P524" s="4"/>
      <c r="Q524" s="4"/>
      <c r="R524" s="4"/>
      <c r="S524" s="4"/>
      <c r="T524" s="4"/>
      <c r="U524" s="4"/>
      <c r="V524" s="4"/>
    </row>
    <row r="525" spans="1:22" x14ac:dyDescent="0.3">
      <c r="A525" s="4">
        <v>0</v>
      </c>
      <c r="B525" s="108" t="e">
        <v>#N/A</v>
      </c>
      <c r="C525" s="4" t="e">
        <v>#N/A</v>
      </c>
      <c r="D525" s="4" t="e">
        <v>#N/A</v>
      </c>
      <c r="E525" s="4" t="e">
        <v>#N/A</v>
      </c>
      <c r="F525" s="4" t="e">
        <v>#N/A</v>
      </c>
      <c r="G525" s="55" t="e">
        <v>#N/A</v>
      </c>
      <c r="H525" s="4" t="e">
        <v>#N/A</v>
      </c>
      <c r="I525" s="4" t="e">
        <v>#N/A</v>
      </c>
      <c r="J525" s="4" t="e">
        <v>#N/A</v>
      </c>
      <c r="K525" s="4"/>
      <c r="L525" s="4"/>
      <c r="M525" s="4"/>
      <c r="N525" s="4"/>
      <c r="O525" s="4"/>
      <c r="P525" s="4"/>
      <c r="Q525" s="4"/>
      <c r="R525" s="4"/>
      <c r="S525" s="4"/>
      <c r="T525" s="4"/>
      <c r="U525" s="4"/>
      <c r="V525" s="4"/>
    </row>
    <row r="526" spans="1:22" x14ac:dyDescent="0.3">
      <c r="A526" s="4">
        <v>0</v>
      </c>
      <c r="B526" s="108" t="e">
        <v>#N/A</v>
      </c>
      <c r="C526" s="4" t="e">
        <v>#N/A</v>
      </c>
      <c r="D526" s="4" t="e">
        <v>#N/A</v>
      </c>
      <c r="E526" s="4" t="e">
        <v>#N/A</v>
      </c>
      <c r="F526" s="4" t="e">
        <v>#N/A</v>
      </c>
      <c r="G526" s="55" t="e">
        <v>#N/A</v>
      </c>
      <c r="H526" s="4" t="e">
        <v>#N/A</v>
      </c>
      <c r="I526" s="4" t="e">
        <v>#N/A</v>
      </c>
      <c r="J526" s="4" t="e">
        <v>#N/A</v>
      </c>
      <c r="K526" s="4"/>
      <c r="L526" s="4"/>
      <c r="M526" s="4"/>
      <c r="N526" s="4"/>
      <c r="O526" s="4"/>
      <c r="P526" s="4"/>
      <c r="Q526" s="4"/>
      <c r="R526" s="4"/>
      <c r="S526" s="4"/>
      <c r="T526" s="4"/>
      <c r="U526" s="4"/>
      <c r="V526" s="4"/>
    </row>
    <row r="527" spans="1:22" x14ac:dyDescent="0.3">
      <c r="A527" s="4">
        <v>0</v>
      </c>
      <c r="B527" s="108" t="e">
        <v>#N/A</v>
      </c>
      <c r="C527" s="4" t="e">
        <v>#N/A</v>
      </c>
      <c r="D527" s="4" t="e">
        <v>#N/A</v>
      </c>
      <c r="E527" s="4" t="e">
        <v>#N/A</v>
      </c>
      <c r="F527" s="4" t="e">
        <v>#N/A</v>
      </c>
      <c r="G527" s="55" t="e">
        <v>#N/A</v>
      </c>
      <c r="H527" s="4" t="e">
        <v>#N/A</v>
      </c>
      <c r="I527" s="4" t="e">
        <v>#N/A</v>
      </c>
      <c r="J527" s="4" t="e">
        <v>#N/A</v>
      </c>
      <c r="K527" s="4"/>
      <c r="L527" s="4"/>
      <c r="M527" s="4"/>
      <c r="N527" s="4"/>
      <c r="O527" s="4"/>
      <c r="P527" s="4"/>
      <c r="Q527" s="4"/>
      <c r="R527" s="4"/>
      <c r="S527" s="4"/>
      <c r="T527" s="4"/>
      <c r="U527" s="4"/>
      <c r="V527" s="4"/>
    </row>
    <row r="528" spans="1:22" x14ac:dyDescent="0.3">
      <c r="A528" s="4">
        <v>0</v>
      </c>
      <c r="B528" s="108" t="e">
        <v>#N/A</v>
      </c>
      <c r="C528" s="4" t="e">
        <v>#N/A</v>
      </c>
      <c r="D528" s="4" t="e">
        <v>#N/A</v>
      </c>
      <c r="E528" s="4" t="e">
        <v>#N/A</v>
      </c>
      <c r="F528" s="4" t="e">
        <v>#N/A</v>
      </c>
      <c r="G528" s="55" t="e">
        <v>#N/A</v>
      </c>
      <c r="H528" s="4" t="e">
        <v>#N/A</v>
      </c>
      <c r="I528" s="4" t="e">
        <v>#N/A</v>
      </c>
      <c r="J528" s="4" t="e">
        <v>#N/A</v>
      </c>
      <c r="K528" s="4"/>
      <c r="L528" s="4"/>
      <c r="M528" s="4"/>
      <c r="N528" s="4"/>
      <c r="O528" s="4"/>
      <c r="P528" s="4"/>
      <c r="Q528" s="4"/>
      <c r="R528" s="4"/>
      <c r="S528" s="4"/>
      <c r="T528" s="4"/>
      <c r="U528" s="4"/>
      <c r="V528" s="4"/>
    </row>
    <row r="529" spans="1:22" x14ac:dyDescent="0.3">
      <c r="A529" s="4">
        <v>0</v>
      </c>
      <c r="B529" s="108" t="e">
        <v>#N/A</v>
      </c>
      <c r="C529" s="4" t="e">
        <v>#N/A</v>
      </c>
      <c r="D529" s="4" t="e">
        <v>#N/A</v>
      </c>
      <c r="E529" s="4" t="e">
        <v>#N/A</v>
      </c>
      <c r="F529" s="4" t="e">
        <v>#N/A</v>
      </c>
      <c r="G529" s="55" t="e">
        <v>#N/A</v>
      </c>
      <c r="H529" s="4" t="e">
        <v>#N/A</v>
      </c>
      <c r="I529" s="4" t="e">
        <v>#N/A</v>
      </c>
      <c r="J529" s="4" t="e">
        <v>#N/A</v>
      </c>
      <c r="K529" s="4"/>
      <c r="L529" s="4"/>
      <c r="M529" s="4"/>
      <c r="N529" s="4"/>
      <c r="O529" s="4"/>
      <c r="P529" s="4"/>
      <c r="Q529" s="4"/>
      <c r="R529" s="4"/>
      <c r="S529" s="4"/>
      <c r="T529" s="4"/>
      <c r="U529" s="4"/>
      <c r="V529" s="4"/>
    </row>
    <row r="530" spans="1:22" x14ac:dyDescent="0.3">
      <c r="A530" s="4">
        <v>0</v>
      </c>
      <c r="B530" s="108" t="e">
        <v>#N/A</v>
      </c>
      <c r="C530" s="4" t="e">
        <v>#N/A</v>
      </c>
      <c r="D530" s="4" t="e">
        <v>#N/A</v>
      </c>
      <c r="E530" s="4" t="e">
        <v>#N/A</v>
      </c>
      <c r="F530" s="4" t="e">
        <v>#N/A</v>
      </c>
      <c r="G530" s="55" t="e">
        <v>#N/A</v>
      </c>
      <c r="H530" s="4" t="e">
        <v>#N/A</v>
      </c>
      <c r="I530" s="4" t="e">
        <v>#N/A</v>
      </c>
      <c r="J530" s="4" t="e">
        <v>#N/A</v>
      </c>
      <c r="K530" s="4"/>
      <c r="L530" s="4"/>
      <c r="M530" s="4"/>
      <c r="N530" s="4"/>
      <c r="O530" s="4"/>
      <c r="P530" s="4"/>
      <c r="Q530" s="4"/>
      <c r="R530" s="4"/>
      <c r="S530" s="4"/>
      <c r="T530" s="4"/>
      <c r="U530" s="4"/>
      <c r="V530" s="4"/>
    </row>
    <row r="531" spans="1:22" x14ac:dyDescent="0.3">
      <c r="A531" s="4">
        <v>0</v>
      </c>
      <c r="B531" s="108" t="e">
        <v>#N/A</v>
      </c>
      <c r="C531" s="4" t="e">
        <v>#N/A</v>
      </c>
      <c r="D531" s="4" t="e">
        <v>#N/A</v>
      </c>
      <c r="E531" s="4" t="e">
        <v>#N/A</v>
      </c>
      <c r="F531" s="4" t="e">
        <v>#N/A</v>
      </c>
      <c r="G531" s="55" t="e">
        <v>#N/A</v>
      </c>
      <c r="H531" s="4" t="e">
        <v>#N/A</v>
      </c>
      <c r="I531" s="4" t="e">
        <v>#N/A</v>
      </c>
      <c r="J531" s="4" t="e">
        <v>#N/A</v>
      </c>
      <c r="K531" s="4"/>
      <c r="L531" s="4"/>
      <c r="M531" s="4"/>
      <c r="N531" s="4"/>
      <c r="O531" s="4"/>
      <c r="P531" s="4"/>
      <c r="Q531" s="4"/>
      <c r="R531" s="4"/>
      <c r="S531" s="4"/>
      <c r="T531" s="4"/>
      <c r="U531" s="4"/>
      <c r="V531" s="4"/>
    </row>
    <row r="532" spans="1:22" x14ac:dyDescent="0.3">
      <c r="A532" s="4">
        <v>0</v>
      </c>
      <c r="B532" s="108" t="e">
        <v>#N/A</v>
      </c>
      <c r="C532" s="4" t="e">
        <v>#N/A</v>
      </c>
      <c r="D532" s="4" t="e">
        <v>#N/A</v>
      </c>
      <c r="E532" s="4" t="e">
        <v>#N/A</v>
      </c>
      <c r="F532" s="4" t="e">
        <v>#N/A</v>
      </c>
      <c r="G532" s="55" t="e">
        <v>#N/A</v>
      </c>
      <c r="H532" s="4" t="e">
        <v>#N/A</v>
      </c>
      <c r="I532" s="4" t="e">
        <v>#N/A</v>
      </c>
      <c r="J532" s="4" t="e">
        <v>#N/A</v>
      </c>
      <c r="K532" s="4"/>
      <c r="L532" s="4"/>
      <c r="M532" s="4"/>
      <c r="N532" s="4"/>
      <c r="O532" s="4"/>
      <c r="P532" s="4"/>
      <c r="Q532" s="4"/>
      <c r="R532" s="4"/>
      <c r="S532" s="4"/>
      <c r="T532" s="4"/>
      <c r="U532" s="4"/>
      <c r="V532" s="4"/>
    </row>
    <row r="533" spans="1:22" x14ac:dyDescent="0.3">
      <c r="A533" s="4">
        <v>0</v>
      </c>
      <c r="B533" s="108" t="e">
        <v>#N/A</v>
      </c>
      <c r="C533" s="4" t="e">
        <v>#N/A</v>
      </c>
      <c r="D533" s="4" t="e">
        <v>#N/A</v>
      </c>
      <c r="E533" s="4" t="e">
        <v>#N/A</v>
      </c>
      <c r="F533" s="4" t="e">
        <v>#N/A</v>
      </c>
      <c r="G533" s="55" t="e">
        <v>#N/A</v>
      </c>
      <c r="H533" s="4" t="e">
        <v>#N/A</v>
      </c>
      <c r="I533" s="4" t="e">
        <v>#N/A</v>
      </c>
      <c r="J533" s="4" t="e">
        <v>#N/A</v>
      </c>
      <c r="K533" s="4"/>
      <c r="L533" s="4"/>
      <c r="M533" s="4"/>
      <c r="N533" s="4"/>
      <c r="O533" s="4"/>
      <c r="P533" s="4"/>
      <c r="Q533" s="4"/>
      <c r="R533" s="4"/>
      <c r="S533" s="4"/>
      <c r="T533" s="4"/>
      <c r="U533" s="4"/>
      <c r="V533" s="4"/>
    </row>
    <row r="534" spans="1:22" x14ac:dyDescent="0.3">
      <c r="A534" s="4">
        <v>0</v>
      </c>
      <c r="B534" s="108" t="e">
        <v>#N/A</v>
      </c>
      <c r="C534" s="4" t="e">
        <v>#N/A</v>
      </c>
      <c r="D534" s="4" t="e">
        <v>#N/A</v>
      </c>
      <c r="E534" s="4" t="e">
        <v>#N/A</v>
      </c>
      <c r="F534" s="4" t="e">
        <v>#N/A</v>
      </c>
      <c r="G534" s="55" t="e">
        <v>#N/A</v>
      </c>
      <c r="H534" s="4" t="e">
        <v>#N/A</v>
      </c>
      <c r="I534" s="4" t="e">
        <v>#N/A</v>
      </c>
      <c r="J534" s="4" t="e">
        <v>#N/A</v>
      </c>
      <c r="K534" s="4"/>
      <c r="L534" s="4"/>
      <c r="M534" s="4"/>
      <c r="N534" s="4"/>
      <c r="O534" s="4"/>
      <c r="P534" s="4"/>
      <c r="Q534" s="4"/>
      <c r="R534" s="4"/>
      <c r="S534" s="4"/>
      <c r="T534" s="4"/>
      <c r="U534" s="4"/>
      <c r="V534" s="4"/>
    </row>
    <row r="535" spans="1:22" x14ac:dyDescent="0.3">
      <c r="A535" s="4">
        <v>0</v>
      </c>
      <c r="B535" s="108" t="e">
        <v>#N/A</v>
      </c>
      <c r="C535" s="4" t="e">
        <v>#N/A</v>
      </c>
      <c r="D535" s="4" t="e">
        <v>#N/A</v>
      </c>
      <c r="E535" s="4" t="e">
        <v>#N/A</v>
      </c>
      <c r="F535" s="4" t="e">
        <v>#N/A</v>
      </c>
      <c r="G535" s="55" t="e">
        <v>#N/A</v>
      </c>
      <c r="H535" s="4" t="e">
        <v>#N/A</v>
      </c>
      <c r="I535" s="4" t="e">
        <v>#N/A</v>
      </c>
      <c r="J535" s="4" t="e">
        <v>#N/A</v>
      </c>
      <c r="K535" s="4"/>
      <c r="L535" s="4"/>
      <c r="M535" s="4"/>
      <c r="N535" s="4"/>
      <c r="O535" s="4"/>
      <c r="P535" s="4"/>
      <c r="Q535" s="4"/>
      <c r="R535" s="4"/>
      <c r="S535" s="4"/>
      <c r="T535" s="4"/>
      <c r="U535" s="4"/>
      <c r="V535" s="4"/>
    </row>
    <row r="536" spans="1:22" x14ac:dyDescent="0.3">
      <c r="A536" s="4">
        <v>0</v>
      </c>
      <c r="B536" s="108" t="e">
        <v>#N/A</v>
      </c>
      <c r="C536" s="4" t="e">
        <v>#N/A</v>
      </c>
      <c r="D536" s="4" t="e">
        <v>#N/A</v>
      </c>
      <c r="E536" s="4" t="e">
        <v>#N/A</v>
      </c>
      <c r="F536" s="4" t="e">
        <v>#N/A</v>
      </c>
      <c r="G536" s="55" t="e">
        <v>#N/A</v>
      </c>
      <c r="H536" s="4" t="e">
        <v>#N/A</v>
      </c>
      <c r="I536" s="4" t="e">
        <v>#N/A</v>
      </c>
      <c r="J536" s="4" t="e">
        <v>#N/A</v>
      </c>
      <c r="K536" s="4"/>
      <c r="L536" s="4"/>
      <c r="M536" s="4"/>
      <c r="N536" s="4"/>
      <c r="O536" s="4"/>
      <c r="P536" s="4"/>
      <c r="Q536" s="4"/>
      <c r="R536" s="4"/>
      <c r="S536" s="4"/>
      <c r="T536" s="4"/>
      <c r="U536" s="4"/>
      <c r="V536" s="4"/>
    </row>
    <row r="537" spans="1:22" x14ac:dyDescent="0.3">
      <c r="A537" s="4">
        <v>0</v>
      </c>
      <c r="B537" s="108" t="e">
        <v>#N/A</v>
      </c>
      <c r="C537" s="4" t="e">
        <v>#N/A</v>
      </c>
      <c r="D537" s="4" t="e">
        <v>#N/A</v>
      </c>
      <c r="E537" s="4" t="e">
        <v>#N/A</v>
      </c>
      <c r="F537" s="4" t="e">
        <v>#N/A</v>
      </c>
      <c r="G537" s="55" t="e">
        <v>#N/A</v>
      </c>
      <c r="H537" s="4" t="e">
        <v>#N/A</v>
      </c>
      <c r="I537" s="4" t="e">
        <v>#N/A</v>
      </c>
      <c r="J537" s="4" t="e">
        <v>#N/A</v>
      </c>
      <c r="K537" s="4"/>
      <c r="L537" s="4"/>
      <c r="M537" s="4"/>
      <c r="N537" s="4"/>
      <c r="O537" s="4"/>
      <c r="P537" s="4"/>
      <c r="Q537" s="4"/>
      <c r="R537" s="4"/>
      <c r="S537" s="4"/>
      <c r="T537" s="4"/>
      <c r="U537" s="4"/>
      <c r="V537" s="4"/>
    </row>
    <row r="538" spans="1:22" x14ac:dyDescent="0.3">
      <c r="A538" s="4">
        <v>0</v>
      </c>
      <c r="B538" s="108" t="e">
        <v>#N/A</v>
      </c>
      <c r="C538" s="4" t="e">
        <v>#N/A</v>
      </c>
      <c r="D538" s="4" t="e">
        <v>#N/A</v>
      </c>
      <c r="E538" s="4" t="e">
        <v>#N/A</v>
      </c>
      <c r="F538" s="4" t="e">
        <v>#N/A</v>
      </c>
      <c r="G538" s="55" t="e">
        <v>#N/A</v>
      </c>
      <c r="H538" s="4" t="e">
        <v>#N/A</v>
      </c>
      <c r="I538" s="4" t="e">
        <v>#N/A</v>
      </c>
      <c r="J538" s="4" t="e">
        <v>#N/A</v>
      </c>
      <c r="K538" s="4"/>
      <c r="L538" s="4"/>
      <c r="M538" s="4"/>
      <c r="N538" s="4"/>
      <c r="O538" s="4"/>
      <c r="P538" s="4"/>
      <c r="Q538" s="4"/>
      <c r="R538" s="4"/>
      <c r="S538" s="4"/>
      <c r="T538" s="4"/>
      <c r="U538" s="4"/>
      <c r="V538" s="4"/>
    </row>
    <row r="539" spans="1:22" x14ac:dyDescent="0.3">
      <c r="A539" s="4">
        <v>0</v>
      </c>
      <c r="B539" s="108" t="e">
        <v>#N/A</v>
      </c>
      <c r="C539" s="4" t="e">
        <v>#N/A</v>
      </c>
      <c r="D539" s="4" t="e">
        <v>#N/A</v>
      </c>
      <c r="E539" s="4" t="e">
        <v>#N/A</v>
      </c>
      <c r="F539" s="4" t="e">
        <v>#N/A</v>
      </c>
      <c r="G539" s="55" t="e">
        <v>#N/A</v>
      </c>
      <c r="H539" s="4" t="e">
        <v>#N/A</v>
      </c>
      <c r="I539" s="4" t="e">
        <v>#N/A</v>
      </c>
      <c r="J539" s="4" t="e">
        <v>#N/A</v>
      </c>
      <c r="K539" s="4"/>
      <c r="L539" s="4"/>
      <c r="M539" s="4"/>
      <c r="N539" s="4"/>
      <c r="O539" s="4"/>
      <c r="P539" s="4"/>
      <c r="Q539" s="4"/>
      <c r="R539" s="4"/>
      <c r="S539" s="4"/>
      <c r="T539" s="4"/>
      <c r="U539" s="4"/>
      <c r="V539" s="4"/>
    </row>
    <row r="540" spans="1:22" x14ac:dyDescent="0.3">
      <c r="A540" s="4">
        <v>0</v>
      </c>
      <c r="B540" s="108" t="e">
        <v>#N/A</v>
      </c>
      <c r="C540" s="4" t="e">
        <v>#N/A</v>
      </c>
      <c r="D540" s="4" t="e">
        <v>#N/A</v>
      </c>
      <c r="E540" s="4" t="e">
        <v>#N/A</v>
      </c>
      <c r="F540" s="4" t="e">
        <v>#N/A</v>
      </c>
      <c r="G540" s="55" t="e">
        <v>#N/A</v>
      </c>
      <c r="H540" s="4" t="e">
        <v>#N/A</v>
      </c>
      <c r="I540" s="4" t="e">
        <v>#N/A</v>
      </c>
      <c r="J540" s="4" t="e">
        <v>#N/A</v>
      </c>
      <c r="K540" s="4"/>
      <c r="L540" s="4"/>
      <c r="M540" s="4"/>
      <c r="N540" s="4"/>
      <c r="O540" s="4"/>
      <c r="P540" s="4"/>
      <c r="Q540" s="4"/>
      <c r="R540" s="4"/>
      <c r="S540" s="4"/>
      <c r="T540" s="4"/>
      <c r="U540" s="4"/>
      <c r="V540" s="4"/>
    </row>
    <row r="541" spans="1:22" x14ac:dyDescent="0.3">
      <c r="A541" s="4">
        <v>0</v>
      </c>
      <c r="B541" s="108" t="e">
        <v>#N/A</v>
      </c>
      <c r="C541" s="4" t="e">
        <v>#N/A</v>
      </c>
      <c r="D541" s="4" t="e">
        <v>#N/A</v>
      </c>
      <c r="E541" s="4" t="e">
        <v>#N/A</v>
      </c>
      <c r="F541" s="4" t="e">
        <v>#N/A</v>
      </c>
      <c r="G541" s="55" t="e">
        <v>#N/A</v>
      </c>
      <c r="H541" s="4" t="e">
        <v>#N/A</v>
      </c>
      <c r="I541" s="4" t="e">
        <v>#N/A</v>
      </c>
      <c r="J541" s="4" t="e">
        <v>#N/A</v>
      </c>
      <c r="K541" s="4"/>
      <c r="L541" s="4"/>
      <c r="M541" s="4"/>
      <c r="N541" s="4"/>
      <c r="O541" s="4"/>
      <c r="P541" s="4"/>
      <c r="Q541" s="4"/>
      <c r="R541" s="4"/>
      <c r="S541" s="4"/>
      <c r="T541" s="4"/>
      <c r="U541" s="4"/>
      <c r="V541" s="4"/>
    </row>
    <row r="542" spans="1:22" x14ac:dyDescent="0.3">
      <c r="A542" s="4">
        <v>0</v>
      </c>
      <c r="B542" s="108" t="e">
        <v>#N/A</v>
      </c>
      <c r="C542" s="4" t="e">
        <v>#N/A</v>
      </c>
      <c r="D542" s="4" t="e">
        <v>#N/A</v>
      </c>
      <c r="E542" s="4" t="e">
        <v>#N/A</v>
      </c>
      <c r="F542" s="4" t="e">
        <v>#N/A</v>
      </c>
      <c r="G542" s="55" t="e">
        <v>#N/A</v>
      </c>
      <c r="H542" s="4" t="e">
        <v>#N/A</v>
      </c>
      <c r="I542" s="4" t="e">
        <v>#N/A</v>
      </c>
      <c r="J542" s="4" t="e">
        <v>#N/A</v>
      </c>
      <c r="K542" s="4"/>
      <c r="L542" s="4"/>
      <c r="M542" s="4"/>
      <c r="N542" s="4"/>
      <c r="O542" s="4"/>
      <c r="P542" s="4"/>
      <c r="Q542" s="4"/>
      <c r="R542" s="4"/>
      <c r="S542" s="4"/>
      <c r="T542" s="4"/>
      <c r="U542" s="4"/>
      <c r="V542" s="4"/>
    </row>
    <row r="543" spans="1:22" x14ac:dyDescent="0.3">
      <c r="A543" s="4">
        <v>0</v>
      </c>
      <c r="B543" s="108" t="e">
        <v>#N/A</v>
      </c>
      <c r="C543" s="4" t="e">
        <v>#N/A</v>
      </c>
      <c r="D543" s="4" t="e">
        <v>#N/A</v>
      </c>
      <c r="E543" s="4" t="e">
        <v>#N/A</v>
      </c>
      <c r="F543" s="4" t="e">
        <v>#N/A</v>
      </c>
      <c r="G543" s="55" t="e">
        <v>#N/A</v>
      </c>
      <c r="H543" s="4" t="e">
        <v>#N/A</v>
      </c>
      <c r="I543" s="4" t="e">
        <v>#N/A</v>
      </c>
      <c r="J543" s="4" t="e">
        <v>#N/A</v>
      </c>
      <c r="K543" s="4"/>
      <c r="L543" s="4"/>
      <c r="M543" s="4"/>
      <c r="N543" s="4"/>
      <c r="O543" s="4"/>
      <c r="P543" s="4"/>
      <c r="Q543" s="4"/>
      <c r="R543" s="4"/>
      <c r="S543" s="4"/>
      <c r="T543" s="4"/>
      <c r="U543" s="4"/>
      <c r="V543" s="4"/>
    </row>
    <row r="544" spans="1:22" x14ac:dyDescent="0.3">
      <c r="A544" s="4">
        <v>0</v>
      </c>
      <c r="B544" s="108" t="e">
        <v>#N/A</v>
      </c>
      <c r="C544" s="4" t="e">
        <v>#N/A</v>
      </c>
      <c r="D544" s="4" t="e">
        <v>#N/A</v>
      </c>
      <c r="E544" s="4" t="e">
        <v>#N/A</v>
      </c>
      <c r="F544" s="4" t="e">
        <v>#N/A</v>
      </c>
      <c r="G544" s="55" t="e">
        <v>#N/A</v>
      </c>
      <c r="H544" s="4" t="e">
        <v>#N/A</v>
      </c>
      <c r="I544" s="4" t="e">
        <v>#N/A</v>
      </c>
      <c r="J544" s="4" t="e">
        <v>#N/A</v>
      </c>
      <c r="K544" s="4"/>
      <c r="L544" s="4"/>
      <c r="M544" s="4"/>
      <c r="N544" s="4"/>
      <c r="O544" s="4"/>
      <c r="P544" s="4"/>
      <c r="Q544" s="4"/>
      <c r="R544" s="4"/>
      <c r="S544" s="4"/>
      <c r="T544" s="4"/>
      <c r="U544" s="4"/>
      <c r="V544" s="4"/>
    </row>
    <row r="545" spans="1:22" x14ac:dyDescent="0.3">
      <c r="A545" s="4">
        <v>0</v>
      </c>
      <c r="B545" s="108" t="e">
        <v>#N/A</v>
      </c>
      <c r="C545" s="4" t="e">
        <v>#N/A</v>
      </c>
      <c r="D545" s="4" t="e">
        <v>#N/A</v>
      </c>
      <c r="E545" s="4" t="e">
        <v>#N/A</v>
      </c>
      <c r="F545" s="4" t="e">
        <v>#N/A</v>
      </c>
      <c r="G545" s="55" t="e">
        <v>#N/A</v>
      </c>
      <c r="H545" s="4" t="e">
        <v>#N/A</v>
      </c>
      <c r="I545" s="4" t="e">
        <v>#N/A</v>
      </c>
      <c r="J545" s="4" t="e">
        <v>#N/A</v>
      </c>
      <c r="K545" s="4"/>
      <c r="L545" s="4"/>
      <c r="M545" s="4"/>
      <c r="N545" s="4"/>
      <c r="O545" s="4"/>
      <c r="P545" s="4"/>
      <c r="Q545" s="4"/>
      <c r="R545" s="4"/>
      <c r="S545" s="4"/>
      <c r="T545" s="4"/>
      <c r="U545" s="4"/>
      <c r="V545" s="4"/>
    </row>
    <row r="546" spans="1:22" x14ac:dyDescent="0.3">
      <c r="A546" s="4">
        <v>0</v>
      </c>
      <c r="B546" s="108" t="e">
        <v>#N/A</v>
      </c>
      <c r="C546" s="4" t="e">
        <v>#N/A</v>
      </c>
      <c r="D546" s="4" t="e">
        <v>#N/A</v>
      </c>
      <c r="E546" s="4" t="e">
        <v>#N/A</v>
      </c>
      <c r="F546" s="4" t="e">
        <v>#N/A</v>
      </c>
      <c r="G546" s="55" t="e">
        <v>#N/A</v>
      </c>
      <c r="H546" s="4" t="e">
        <v>#N/A</v>
      </c>
      <c r="I546" s="4" t="e">
        <v>#N/A</v>
      </c>
      <c r="J546" s="4" t="e">
        <v>#N/A</v>
      </c>
      <c r="K546" s="4"/>
      <c r="L546" s="4"/>
      <c r="M546" s="4"/>
      <c r="N546" s="4"/>
      <c r="O546" s="4"/>
      <c r="P546" s="4"/>
      <c r="Q546" s="4"/>
      <c r="R546" s="4"/>
      <c r="S546" s="4"/>
      <c r="T546" s="4"/>
      <c r="U546" s="4"/>
      <c r="V546" s="4"/>
    </row>
    <row r="547" spans="1:22" x14ac:dyDescent="0.3">
      <c r="A547" s="4">
        <v>0</v>
      </c>
      <c r="B547" s="108" t="e">
        <v>#N/A</v>
      </c>
      <c r="C547" s="4" t="e">
        <v>#N/A</v>
      </c>
      <c r="D547" s="4" t="e">
        <v>#N/A</v>
      </c>
      <c r="E547" s="4" t="e">
        <v>#N/A</v>
      </c>
      <c r="F547" s="4" t="e">
        <v>#N/A</v>
      </c>
      <c r="G547" s="55" t="e">
        <v>#N/A</v>
      </c>
      <c r="H547" s="4" t="e">
        <v>#N/A</v>
      </c>
      <c r="I547" s="4" t="e">
        <v>#N/A</v>
      </c>
      <c r="J547" s="4" t="e">
        <v>#N/A</v>
      </c>
      <c r="K547" s="4"/>
      <c r="L547" s="4"/>
      <c r="M547" s="4"/>
      <c r="N547" s="4"/>
      <c r="O547" s="4"/>
      <c r="P547" s="4"/>
      <c r="Q547" s="4"/>
      <c r="R547" s="4"/>
      <c r="S547" s="4"/>
      <c r="T547" s="4"/>
      <c r="U547" s="4"/>
      <c r="V547" s="4"/>
    </row>
    <row r="548" spans="1:22" x14ac:dyDescent="0.3">
      <c r="A548" s="4">
        <v>0</v>
      </c>
      <c r="B548" s="108" t="e">
        <v>#N/A</v>
      </c>
      <c r="C548" s="4" t="e">
        <v>#N/A</v>
      </c>
      <c r="D548" s="4" t="e">
        <v>#N/A</v>
      </c>
      <c r="E548" s="4" t="e">
        <v>#N/A</v>
      </c>
      <c r="F548" s="4" t="e">
        <v>#N/A</v>
      </c>
      <c r="G548" s="55" t="e">
        <v>#N/A</v>
      </c>
      <c r="H548" s="4" t="e">
        <v>#N/A</v>
      </c>
      <c r="I548" s="4" t="e">
        <v>#N/A</v>
      </c>
      <c r="J548" s="4" t="e">
        <v>#N/A</v>
      </c>
      <c r="K548" s="4"/>
      <c r="L548" s="4"/>
      <c r="M548" s="4"/>
      <c r="N548" s="4"/>
      <c r="O548" s="4"/>
      <c r="P548" s="4"/>
      <c r="Q548" s="4"/>
      <c r="R548" s="4"/>
      <c r="S548" s="4"/>
      <c r="T548" s="4"/>
      <c r="U548" s="4"/>
      <c r="V548" s="4"/>
    </row>
    <row r="549" spans="1:22" x14ac:dyDescent="0.3">
      <c r="A549" s="4">
        <v>0</v>
      </c>
      <c r="B549" s="108" t="e">
        <v>#N/A</v>
      </c>
      <c r="C549" s="4" t="e">
        <v>#N/A</v>
      </c>
      <c r="D549" s="4" t="e">
        <v>#N/A</v>
      </c>
      <c r="E549" s="4" t="e">
        <v>#N/A</v>
      </c>
      <c r="F549" s="4" t="e">
        <v>#N/A</v>
      </c>
      <c r="G549" s="55" t="e">
        <v>#N/A</v>
      </c>
      <c r="H549" s="4" t="e">
        <v>#N/A</v>
      </c>
      <c r="I549" s="4" t="e">
        <v>#N/A</v>
      </c>
      <c r="J549" s="4" t="e">
        <v>#N/A</v>
      </c>
      <c r="K549" s="4"/>
      <c r="L549" s="4"/>
      <c r="M549" s="4"/>
      <c r="N549" s="4"/>
      <c r="O549" s="4"/>
      <c r="P549" s="4"/>
      <c r="Q549" s="4"/>
      <c r="R549" s="4"/>
      <c r="S549" s="4"/>
      <c r="T549" s="4"/>
      <c r="U549" s="4"/>
      <c r="V549" s="4"/>
    </row>
    <row r="550" spans="1:22" x14ac:dyDescent="0.3">
      <c r="A550" s="4">
        <v>0</v>
      </c>
      <c r="B550" s="108" t="e">
        <v>#N/A</v>
      </c>
      <c r="C550" s="4" t="e">
        <v>#N/A</v>
      </c>
      <c r="D550" s="4" t="e">
        <v>#N/A</v>
      </c>
      <c r="E550" s="4" t="e">
        <v>#N/A</v>
      </c>
      <c r="F550" s="4" t="e">
        <v>#N/A</v>
      </c>
      <c r="G550" s="55" t="e">
        <v>#N/A</v>
      </c>
      <c r="H550" s="4" t="e">
        <v>#N/A</v>
      </c>
      <c r="I550" s="4" t="e">
        <v>#N/A</v>
      </c>
      <c r="J550" s="4" t="e">
        <v>#N/A</v>
      </c>
      <c r="K550" s="4"/>
      <c r="L550" s="4"/>
      <c r="M550" s="4"/>
      <c r="N550" s="4"/>
      <c r="O550" s="4"/>
      <c r="P550" s="4"/>
      <c r="Q550" s="4"/>
      <c r="R550" s="4"/>
      <c r="S550" s="4"/>
      <c r="T550" s="4"/>
      <c r="U550" s="4"/>
      <c r="V550" s="4"/>
    </row>
    <row r="551" spans="1:22" x14ac:dyDescent="0.3">
      <c r="A551" s="4">
        <v>0</v>
      </c>
      <c r="B551" s="108" t="e">
        <v>#N/A</v>
      </c>
      <c r="C551" s="4" t="e">
        <v>#N/A</v>
      </c>
      <c r="D551" s="4" t="e">
        <v>#N/A</v>
      </c>
      <c r="E551" s="4" t="e">
        <v>#N/A</v>
      </c>
      <c r="F551" s="4" t="e">
        <v>#N/A</v>
      </c>
      <c r="G551" s="55" t="e">
        <v>#N/A</v>
      </c>
      <c r="H551" s="4" t="e">
        <v>#N/A</v>
      </c>
      <c r="I551" s="4" t="e">
        <v>#N/A</v>
      </c>
      <c r="J551" s="4" t="e">
        <v>#N/A</v>
      </c>
      <c r="K551" s="4"/>
      <c r="L551" s="4"/>
      <c r="M551" s="4"/>
      <c r="N551" s="4"/>
      <c r="O551" s="4"/>
      <c r="P551" s="4"/>
      <c r="Q551" s="4"/>
      <c r="R551" s="4"/>
      <c r="S551" s="4"/>
      <c r="T551" s="4"/>
      <c r="U551" s="4"/>
      <c r="V551" s="4"/>
    </row>
    <row r="552" spans="1:22" x14ac:dyDescent="0.3">
      <c r="A552" s="4">
        <v>0</v>
      </c>
      <c r="B552" s="108" t="e">
        <v>#N/A</v>
      </c>
      <c r="C552" s="4" t="e">
        <v>#N/A</v>
      </c>
      <c r="D552" s="4" t="e">
        <v>#N/A</v>
      </c>
      <c r="E552" s="4" t="e">
        <v>#N/A</v>
      </c>
      <c r="F552" s="4" t="e">
        <v>#N/A</v>
      </c>
      <c r="G552" s="55" t="e">
        <v>#N/A</v>
      </c>
      <c r="H552" s="4" t="e">
        <v>#N/A</v>
      </c>
      <c r="I552" s="4" t="e">
        <v>#N/A</v>
      </c>
      <c r="J552" s="4" t="e">
        <v>#N/A</v>
      </c>
      <c r="K552" s="4"/>
      <c r="L552" s="4"/>
      <c r="M552" s="4"/>
      <c r="N552" s="4"/>
      <c r="O552" s="4"/>
      <c r="P552" s="4"/>
      <c r="Q552" s="4"/>
      <c r="R552" s="4"/>
      <c r="S552" s="4"/>
      <c r="T552" s="4"/>
      <c r="U552" s="4"/>
      <c r="V552" s="4"/>
    </row>
    <row r="553" spans="1:22" x14ac:dyDescent="0.3">
      <c r="A553" s="4">
        <v>0</v>
      </c>
      <c r="B553" s="108" t="e">
        <v>#N/A</v>
      </c>
      <c r="C553" s="4" t="e">
        <v>#N/A</v>
      </c>
      <c r="D553" s="4" t="e">
        <v>#N/A</v>
      </c>
      <c r="E553" s="4" t="e">
        <v>#N/A</v>
      </c>
      <c r="F553" s="4" t="e">
        <v>#N/A</v>
      </c>
      <c r="G553" s="55" t="e">
        <v>#N/A</v>
      </c>
      <c r="H553" s="4" t="e">
        <v>#N/A</v>
      </c>
      <c r="I553" s="4" t="e">
        <v>#N/A</v>
      </c>
      <c r="J553" s="4" t="e">
        <v>#N/A</v>
      </c>
      <c r="K553" s="4"/>
      <c r="L553" s="4"/>
      <c r="M553" s="4"/>
      <c r="N553" s="4"/>
      <c r="O553" s="4"/>
      <c r="P553" s="4"/>
      <c r="Q553" s="4"/>
      <c r="R553" s="4"/>
      <c r="S553" s="4"/>
      <c r="T553" s="4"/>
      <c r="U553" s="4"/>
      <c r="V553" s="4"/>
    </row>
    <row r="554" spans="1:22" x14ac:dyDescent="0.3">
      <c r="A554" s="4">
        <v>0</v>
      </c>
      <c r="B554" s="108" t="e">
        <v>#N/A</v>
      </c>
      <c r="C554" s="4" t="e">
        <v>#N/A</v>
      </c>
      <c r="D554" s="4" t="e">
        <v>#N/A</v>
      </c>
      <c r="E554" s="4" t="e">
        <v>#N/A</v>
      </c>
      <c r="F554" s="4" t="e">
        <v>#N/A</v>
      </c>
      <c r="G554" s="55" t="e">
        <v>#N/A</v>
      </c>
      <c r="H554" s="4" t="e">
        <v>#N/A</v>
      </c>
      <c r="I554" s="4" t="e">
        <v>#N/A</v>
      </c>
      <c r="J554" s="4" t="e">
        <v>#N/A</v>
      </c>
      <c r="K554" s="4"/>
      <c r="L554" s="4"/>
      <c r="M554" s="4"/>
      <c r="N554" s="4"/>
      <c r="O554" s="4"/>
      <c r="P554" s="4"/>
      <c r="Q554" s="4"/>
      <c r="R554" s="4"/>
      <c r="S554" s="4"/>
      <c r="T554" s="4"/>
      <c r="U554" s="4"/>
      <c r="V554" s="4"/>
    </row>
    <row r="555" spans="1:22" x14ac:dyDescent="0.3">
      <c r="A555" s="4">
        <v>0</v>
      </c>
      <c r="B555" s="108" t="e">
        <v>#N/A</v>
      </c>
      <c r="C555" s="4" t="e">
        <v>#N/A</v>
      </c>
      <c r="D555" s="4" t="e">
        <v>#N/A</v>
      </c>
      <c r="E555" s="4" t="e">
        <v>#N/A</v>
      </c>
      <c r="F555" s="4" t="e">
        <v>#N/A</v>
      </c>
      <c r="G555" s="55" t="e">
        <v>#N/A</v>
      </c>
      <c r="H555" s="4" t="e">
        <v>#N/A</v>
      </c>
      <c r="I555" s="4" t="e">
        <v>#N/A</v>
      </c>
      <c r="J555" s="4" t="e">
        <v>#N/A</v>
      </c>
      <c r="K555" s="4"/>
      <c r="L555" s="4"/>
      <c r="M555" s="4"/>
      <c r="N555" s="4"/>
      <c r="O555" s="4"/>
      <c r="P555" s="4"/>
      <c r="Q555" s="4"/>
      <c r="R555" s="4"/>
      <c r="S555" s="4"/>
      <c r="T555" s="4"/>
      <c r="U555" s="4"/>
      <c r="V555" s="4"/>
    </row>
    <row r="556" spans="1:22" x14ac:dyDescent="0.3">
      <c r="A556" s="4">
        <v>0</v>
      </c>
      <c r="B556" s="108" t="e">
        <v>#N/A</v>
      </c>
      <c r="C556" s="4" t="e">
        <v>#N/A</v>
      </c>
      <c r="D556" s="4" t="e">
        <v>#N/A</v>
      </c>
      <c r="E556" s="4" t="e">
        <v>#N/A</v>
      </c>
      <c r="F556" s="4" t="e">
        <v>#N/A</v>
      </c>
      <c r="G556" s="55" t="e">
        <v>#N/A</v>
      </c>
      <c r="H556" s="4" t="e">
        <v>#N/A</v>
      </c>
      <c r="I556" s="4" t="e">
        <v>#N/A</v>
      </c>
      <c r="J556" s="4" t="e">
        <v>#N/A</v>
      </c>
      <c r="K556" s="4"/>
      <c r="L556" s="4"/>
      <c r="M556" s="4"/>
      <c r="N556" s="4"/>
      <c r="O556" s="4"/>
      <c r="P556" s="4"/>
      <c r="Q556" s="4"/>
      <c r="R556" s="4"/>
      <c r="S556" s="4"/>
      <c r="T556" s="4"/>
      <c r="U556" s="4"/>
      <c r="V556" s="4"/>
    </row>
    <row r="557" spans="1:22" x14ac:dyDescent="0.3">
      <c r="A557" s="4">
        <v>0</v>
      </c>
      <c r="B557" s="108" t="e">
        <v>#N/A</v>
      </c>
      <c r="C557" s="4" t="e">
        <v>#N/A</v>
      </c>
      <c r="D557" s="4" t="e">
        <v>#N/A</v>
      </c>
      <c r="E557" s="4" t="e">
        <v>#N/A</v>
      </c>
      <c r="F557" s="4" t="e">
        <v>#N/A</v>
      </c>
      <c r="G557" s="55" t="e">
        <v>#N/A</v>
      </c>
      <c r="H557" s="4" t="e">
        <v>#N/A</v>
      </c>
      <c r="I557" s="4" t="e">
        <v>#N/A</v>
      </c>
      <c r="J557" s="4" t="e">
        <v>#N/A</v>
      </c>
      <c r="K557" s="4"/>
      <c r="L557" s="4"/>
      <c r="M557" s="4"/>
      <c r="N557" s="4"/>
      <c r="O557" s="4"/>
      <c r="P557" s="4"/>
      <c r="Q557" s="4"/>
      <c r="R557" s="4"/>
      <c r="S557" s="4"/>
      <c r="T557" s="4"/>
      <c r="U557" s="4"/>
      <c r="V557" s="4"/>
    </row>
    <row r="558" spans="1:22" x14ac:dyDescent="0.3">
      <c r="A558" s="4">
        <v>0</v>
      </c>
      <c r="B558" s="108" t="e">
        <v>#N/A</v>
      </c>
      <c r="C558" s="4" t="e">
        <v>#N/A</v>
      </c>
      <c r="D558" s="4" t="e">
        <v>#N/A</v>
      </c>
      <c r="E558" s="4" t="e">
        <v>#N/A</v>
      </c>
      <c r="F558" s="4" t="e">
        <v>#N/A</v>
      </c>
      <c r="G558" s="55" t="e">
        <v>#N/A</v>
      </c>
      <c r="H558" s="4" t="e">
        <v>#N/A</v>
      </c>
      <c r="I558" s="4" t="e">
        <v>#N/A</v>
      </c>
      <c r="J558" s="4" t="e">
        <v>#N/A</v>
      </c>
      <c r="K558" s="4"/>
      <c r="L558" s="4"/>
      <c r="M558" s="4"/>
      <c r="N558" s="4"/>
      <c r="O558" s="4"/>
      <c r="P558" s="4"/>
      <c r="Q558" s="4"/>
      <c r="R558" s="4"/>
      <c r="S558" s="4"/>
      <c r="T558" s="4"/>
      <c r="U558" s="4"/>
      <c r="V558" s="4"/>
    </row>
    <row r="559" spans="1:22" x14ac:dyDescent="0.3">
      <c r="A559" s="4">
        <v>0</v>
      </c>
      <c r="B559" s="108" t="e">
        <v>#N/A</v>
      </c>
      <c r="C559" s="4" t="e">
        <v>#N/A</v>
      </c>
      <c r="D559" s="4" t="e">
        <v>#N/A</v>
      </c>
      <c r="E559" s="4" t="e">
        <v>#N/A</v>
      </c>
      <c r="F559" s="4" t="e">
        <v>#N/A</v>
      </c>
      <c r="G559" s="55" t="e">
        <v>#N/A</v>
      </c>
      <c r="H559" s="4" t="e">
        <v>#N/A</v>
      </c>
      <c r="I559" s="4" t="e">
        <v>#N/A</v>
      </c>
      <c r="J559" s="4" t="e">
        <v>#N/A</v>
      </c>
      <c r="K559" s="4"/>
      <c r="L559" s="4"/>
      <c r="M559" s="4"/>
      <c r="N559" s="4"/>
      <c r="O559" s="4"/>
      <c r="P559" s="4"/>
      <c r="Q559" s="4"/>
      <c r="R559" s="4"/>
      <c r="S559" s="4"/>
      <c r="T559" s="4"/>
      <c r="U559" s="4"/>
      <c r="V559" s="4"/>
    </row>
    <row r="560" spans="1:22" x14ac:dyDescent="0.3">
      <c r="A560" s="4">
        <v>0</v>
      </c>
      <c r="B560" s="108" t="e">
        <v>#N/A</v>
      </c>
      <c r="C560" s="4" t="e">
        <v>#N/A</v>
      </c>
      <c r="D560" s="4" t="e">
        <v>#N/A</v>
      </c>
      <c r="E560" s="4" t="e">
        <v>#N/A</v>
      </c>
      <c r="F560" s="4" t="e">
        <v>#N/A</v>
      </c>
      <c r="G560" s="55" t="e">
        <v>#N/A</v>
      </c>
      <c r="H560" s="4" t="e">
        <v>#N/A</v>
      </c>
      <c r="I560" s="4" t="e">
        <v>#N/A</v>
      </c>
      <c r="J560" s="4" t="e">
        <v>#N/A</v>
      </c>
      <c r="K560" s="4"/>
      <c r="L560" s="4"/>
      <c r="M560" s="4"/>
      <c r="N560" s="4"/>
      <c r="O560" s="4"/>
      <c r="P560" s="4"/>
      <c r="Q560" s="4"/>
      <c r="R560" s="4"/>
      <c r="S560" s="4"/>
      <c r="T560" s="4"/>
      <c r="U560" s="4"/>
      <c r="V560" s="4"/>
    </row>
    <row r="561" spans="1:22" x14ac:dyDescent="0.3">
      <c r="A561" s="4">
        <v>0</v>
      </c>
      <c r="B561" s="108" t="e">
        <v>#N/A</v>
      </c>
      <c r="C561" s="4" t="e">
        <v>#N/A</v>
      </c>
      <c r="D561" s="4" t="e">
        <v>#N/A</v>
      </c>
      <c r="E561" s="4" t="e">
        <v>#N/A</v>
      </c>
      <c r="F561" s="4" t="e">
        <v>#N/A</v>
      </c>
      <c r="G561" s="55" t="e">
        <v>#N/A</v>
      </c>
      <c r="H561" s="4" t="e">
        <v>#N/A</v>
      </c>
      <c r="I561" s="4" t="e">
        <v>#N/A</v>
      </c>
      <c r="J561" s="4" t="e">
        <v>#N/A</v>
      </c>
      <c r="K561" s="4"/>
      <c r="L561" s="4"/>
      <c r="M561" s="4"/>
      <c r="N561" s="4"/>
      <c r="O561" s="4"/>
      <c r="P561" s="4"/>
      <c r="Q561" s="4"/>
      <c r="R561" s="4"/>
      <c r="S561" s="4"/>
      <c r="T561" s="4"/>
      <c r="U561" s="4"/>
      <c r="V561" s="4"/>
    </row>
    <row r="562" spans="1:22" x14ac:dyDescent="0.3">
      <c r="A562" s="4">
        <v>0</v>
      </c>
      <c r="B562" s="108" t="e">
        <v>#N/A</v>
      </c>
      <c r="C562" s="4" t="e">
        <v>#N/A</v>
      </c>
      <c r="D562" s="4" t="e">
        <v>#N/A</v>
      </c>
      <c r="E562" s="4" t="e">
        <v>#N/A</v>
      </c>
      <c r="F562" s="4" t="e">
        <v>#N/A</v>
      </c>
      <c r="G562" s="55" t="e">
        <v>#N/A</v>
      </c>
      <c r="H562" s="4" t="e">
        <v>#N/A</v>
      </c>
      <c r="I562" s="4" t="e">
        <v>#N/A</v>
      </c>
      <c r="J562" s="4" t="e">
        <v>#N/A</v>
      </c>
      <c r="K562" s="4"/>
      <c r="L562" s="4"/>
      <c r="M562" s="4"/>
      <c r="N562" s="4"/>
      <c r="O562" s="4"/>
      <c r="P562" s="4"/>
      <c r="Q562" s="4"/>
      <c r="R562" s="4"/>
      <c r="S562" s="4"/>
      <c r="T562" s="4"/>
      <c r="U562" s="4"/>
      <c r="V562" s="4"/>
    </row>
    <row r="563" spans="1:22" x14ac:dyDescent="0.3">
      <c r="A563" s="4">
        <v>0</v>
      </c>
      <c r="B563" s="108" t="e">
        <v>#N/A</v>
      </c>
      <c r="C563" s="4" t="e">
        <v>#N/A</v>
      </c>
      <c r="D563" s="4" t="e">
        <v>#N/A</v>
      </c>
      <c r="E563" s="4" t="e">
        <v>#N/A</v>
      </c>
      <c r="F563" s="4" t="e">
        <v>#N/A</v>
      </c>
      <c r="G563" s="55" t="e">
        <v>#N/A</v>
      </c>
      <c r="H563" s="4" t="e">
        <v>#N/A</v>
      </c>
      <c r="I563" s="4" t="e">
        <v>#N/A</v>
      </c>
      <c r="J563" s="4" t="e">
        <v>#N/A</v>
      </c>
      <c r="K563" s="4"/>
      <c r="L563" s="4"/>
      <c r="M563" s="4"/>
      <c r="N563" s="4"/>
      <c r="O563" s="4"/>
      <c r="P563" s="4"/>
      <c r="Q563" s="4"/>
      <c r="R563" s="4"/>
      <c r="S563" s="4"/>
      <c r="T563" s="4"/>
      <c r="U563" s="4"/>
      <c r="V563" s="4"/>
    </row>
    <row r="564" spans="1:22" x14ac:dyDescent="0.3">
      <c r="A564" s="4">
        <v>0</v>
      </c>
      <c r="B564" s="108" t="e">
        <v>#N/A</v>
      </c>
      <c r="C564" s="4" t="e">
        <v>#N/A</v>
      </c>
      <c r="D564" s="4" t="e">
        <v>#N/A</v>
      </c>
      <c r="E564" s="4" t="e">
        <v>#N/A</v>
      </c>
      <c r="F564" s="4" t="e">
        <v>#N/A</v>
      </c>
      <c r="G564" s="55" t="e">
        <v>#N/A</v>
      </c>
      <c r="H564" s="4" t="e">
        <v>#N/A</v>
      </c>
      <c r="I564" s="4" t="e">
        <v>#N/A</v>
      </c>
      <c r="J564" s="4" t="e">
        <v>#N/A</v>
      </c>
      <c r="K564" s="4"/>
      <c r="L564" s="4"/>
      <c r="M564" s="4"/>
      <c r="N564" s="4"/>
      <c r="O564" s="4"/>
      <c r="P564" s="4"/>
      <c r="Q564" s="4"/>
      <c r="R564" s="4"/>
      <c r="S564" s="4"/>
      <c r="T564" s="4"/>
      <c r="U564" s="4"/>
      <c r="V564" s="4"/>
    </row>
    <row r="565" spans="1:22" x14ac:dyDescent="0.3">
      <c r="A565" s="4">
        <v>0</v>
      </c>
      <c r="B565" s="108" t="e">
        <v>#N/A</v>
      </c>
      <c r="C565" s="4" t="e">
        <v>#N/A</v>
      </c>
      <c r="D565" s="4" t="e">
        <v>#N/A</v>
      </c>
      <c r="E565" s="4" t="e">
        <v>#N/A</v>
      </c>
      <c r="F565" s="4" t="e">
        <v>#N/A</v>
      </c>
      <c r="G565" s="55" t="e">
        <v>#N/A</v>
      </c>
      <c r="H565" s="4" t="e">
        <v>#N/A</v>
      </c>
      <c r="I565" s="4" t="e">
        <v>#N/A</v>
      </c>
      <c r="J565" s="4" t="e">
        <v>#N/A</v>
      </c>
      <c r="K565" s="4"/>
      <c r="L565" s="4"/>
      <c r="M565" s="4"/>
      <c r="N565" s="4"/>
      <c r="O565" s="4"/>
      <c r="P565" s="4"/>
      <c r="Q565" s="4"/>
      <c r="R565" s="4"/>
      <c r="S565" s="4"/>
      <c r="T565" s="4"/>
      <c r="U565" s="4"/>
      <c r="V565" s="4"/>
    </row>
    <row r="566" spans="1:22" x14ac:dyDescent="0.3">
      <c r="A566" s="4">
        <v>0</v>
      </c>
      <c r="B566" s="108" t="e">
        <v>#N/A</v>
      </c>
      <c r="C566" s="4" t="e">
        <v>#N/A</v>
      </c>
      <c r="D566" s="4" t="e">
        <v>#N/A</v>
      </c>
      <c r="E566" s="4" t="e">
        <v>#N/A</v>
      </c>
      <c r="F566" s="4" t="e">
        <v>#N/A</v>
      </c>
      <c r="G566" s="55" t="e">
        <v>#N/A</v>
      </c>
      <c r="H566" s="4" t="e">
        <v>#N/A</v>
      </c>
      <c r="I566" s="4" t="e">
        <v>#N/A</v>
      </c>
      <c r="J566" s="4" t="e">
        <v>#N/A</v>
      </c>
      <c r="K566" s="4"/>
      <c r="L566" s="4"/>
      <c r="M566" s="4"/>
      <c r="N566" s="4"/>
      <c r="O566" s="4"/>
      <c r="P566" s="4"/>
      <c r="Q566" s="4"/>
      <c r="R566" s="4"/>
      <c r="S566" s="4"/>
      <c r="T566" s="4"/>
      <c r="U566" s="4"/>
      <c r="V566" s="4"/>
    </row>
    <row r="567" spans="1:22" x14ac:dyDescent="0.3">
      <c r="A567" s="4">
        <v>0</v>
      </c>
      <c r="B567" s="108" t="e">
        <v>#N/A</v>
      </c>
      <c r="C567" s="4" t="e">
        <v>#N/A</v>
      </c>
      <c r="D567" s="4" t="e">
        <v>#N/A</v>
      </c>
      <c r="E567" s="4" t="e">
        <v>#N/A</v>
      </c>
      <c r="F567" s="4" t="e">
        <v>#N/A</v>
      </c>
      <c r="G567" s="55" t="e">
        <v>#N/A</v>
      </c>
      <c r="H567" s="4" t="e">
        <v>#N/A</v>
      </c>
      <c r="I567" s="4" t="e">
        <v>#N/A</v>
      </c>
      <c r="J567" s="4" t="e">
        <v>#N/A</v>
      </c>
      <c r="K567" s="4"/>
      <c r="L567" s="4"/>
      <c r="M567" s="4"/>
      <c r="N567" s="4"/>
      <c r="O567" s="4"/>
      <c r="P567" s="4"/>
      <c r="Q567" s="4"/>
      <c r="R567" s="4"/>
      <c r="S567" s="4"/>
      <c r="T567" s="4"/>
      <c r="U567" s="4"/>
      <c r="V567" s="4"/>
    </row>
    <row r="568" spans="1:22" x14ac:dyDescent="0.3">
      <c r="A568" s="4">
        <v>0</v>
      </c>
      <c r="B568" s="108" t="e">
        <v>#N/A</v>
      </c>
      <c r="C568" s="4" t="e">
        <v>#N/A</v>
      </c>
      <c r="D568" s="4" t="e">
        <v>#N/A</v>
      </c>
      <c r="E568" s="4" t="e">
        <v>#N/A</v>
      </c>
      <c r="F568" s="4" t="e">
        <v>#N/A</v>
      </c>
      <c r="G568" s="55" t="e">
        <v>#N/A</v>
      </c>
      <c r="H568" s="4" t="e">
        <v>#N/A</v>
      </c>
      <c r="I568" s="4" t="e">
        <v>#N/A</v>
      </c>
      <c r="J568" s="4" t="e">
        <v>#N/A</v>
      </c>
      <c r="K568" s="4"/>
      <c r="L568" s="4"/>
      <c r="M568" s="4"/>
      <c r="N568" s="4"/>
      <c r="O568" s="4"/>
      <c r="P568" s="4"/>
      <c r="Q568" s="4"/>
      <c r="R568" s="4"/>
      <c r="S568" s="4"/>
      <c r="T568" s="4"/>
      <c r="U568" s="4"/>
      <c r="V568" s="4"/>
    </row>
    <row r="569" spans="1:22" x14ac:dyDescent="0.3">
      <c r="A569" s="4">
        <v>0</v>
      </c>
      <c r="B569" s="108" t="e">
        <v>#N/A</v>
      </c>
      <c r="C569" s="4" t="e">
        <v>#N/A</v>
      </c>
      <c r="D569" s="4" t="e">
        <v>#N/A</v>
      </c>
      <c r="E569" s="4" t="e">
        <v>#N/A</v>
      </c>
      <c r="F569" s="4" t="e">
        <v>#N/A</v>
      </c>
      <c r="G569" s="55" t="e">
        <v>#N/A</v>
      </c>
      <c r="H569" s="4" t="e">
        <v>#N/A</v>
      </c>
      <c r="I569" s="4" t="e">
        <v>#N/A</v>
      </c>
      <c r="J569" s="4" t="e">
        <v>#N/A</v>
      </c>
      <c r="K569" s="4"/>
      <c r="L569" s="4"/>
      <c r="M569" s="4"/>
      <c r="N569" s="4"/>
      <c r="O569" s="4"/>
      <c r="P569" s="4"/>
      <c r="Q569" s="4"/>
      <c r="R569" s="4"/>
      <c r="S569" s="4"/>
      <c r="T569" s="4"/>
      <c r="U569" s="4"/>
      <c r="V569" s="4"/>
    </row>
    <row r="570" spans="1:22" x14ac:dyDescent="0.3">
      <c r="A570" s="4">
        <v>0</v>
      </c>
      <c r="B570" s="108" t="e">
        <v>#N/A</v>
      </c>
      <c r="C570" s="4" t="e">
        <v>#N/A</v>
      </c>
      <c r="D570" s="4" t="e">
        <v>#N/A</v>
      </c>
      <c r="E570" s="4" t="e">
        <v>#N/A</v>
      </c>
      <c r="F570" s="4" t="e">
        <v>#N/A</v>
      </c>
      <c r="G570" s="55" t="e">
        <v>#N/A</v>
      </c>
      <c r="H570" s="4" t="e">
        <v>#N/A</v>
      </c>
      <c r="I570" s="4" t="e">
        <v>#N/A</v>
      </c>
      <c r="J570" s="4" t="e">
        <v>#N/A</v>
      </c>
      <c r="K570" s="4"/>
      <c r="L570" s="4"/>
      <c r="M570" s="4"/>
      <c r="N570" s="4"/>
      <c r="O570" s="4"/>
      <c r="P570" s="4"/>
      <c r="Q570" s="4"/>
      <c r="R570" s="4"/>
      <c r="S570" s="4"/>
      <c r="T570" s="4"/>
      <c r="U570" s="4"/>
      <c r="V570" s="4"/>
    </row>
    <row r="571" spans="1:22" x14ac:dyDescent="0.3">
      <c r="A571" s="4">
        <v>0</v>
      </c>
      <c r="B571" s="108" t="e">
        <v>#N/A</v>
      </c>
      <c r="C571" s="4" t="e">
        <v>#N/A</v>
      </c>
      <c r="D571" s="4" t="e">
        <v>#N/A</v>
      </c>
      <c r="E571" s="4" t="e">
        <v>#N/A</v>
      </c>
      <c r="F571" s="4" t="e">
        <v>#N/A</v>
      </c>
      <c r="G571" s="55" t="e">
        <v>#N/A</v>
      </c>
      <c r="H571" s="4" t="e">
        <v>#N/A</v>
      </c>
      <c r="I571" s="4" t="e">
        <v>#N/A</v>
      </c>
      <c r="J571" s="4" t="e">
        <v>#N/A</v>
      </c>
      <c r="K571" s="4"/>
      <c r="L571" s="4"/>
      <c r="M571" s="4"/>
      <c r="N571" s="4"/>
      <c r="O571" s="4"/>
      <c r="P571" s="4"/>
      <c r="Q571" s="4"/>
      <c r="R571" s="4"/>
      <c r="S571" s="4"/>
      <c r="T571" s="4"/>
      <c r="U571" s="4"/>
      <c r="V571" s="4"/>
    </row>
    <row r="572" spans="1:22" x14ac:dyDescent="0.3">
      <c r="A572" s="4">
        <v>0</v>
      </c>
      <c r="B572" s="108" t="e">
        <v>#N/A</v>
      </c>
      <c r="C572" s="4" t="e">
        <v>#N/A</v>
      </c>
      <c r="D572" s="4" t="e">
        <v>#N/A</v>
      </c>
      <c r="E572" s="4" t="e">
        <v>#N/A</v>
      </c>
      <c r="F572" s="4" t="e">
        <v>#N/A</v>
      </c>
      <c r="G572" s="55" t="e">
        <v>#N/A</v>
      </c>
      <c r="H572" s="4" t="e">
        <v>#N/A</v>
      </c>
      <c r="I572" s="4" t="e">
        <v>#N/A</v>
      </c>
      <c r="J572" s="4" t="e">
        <v>#N/A</v>
      </c>
      <c r="K572" s="4"/>
      <c r="L572" s="4"/>
      <c r="M572" s="4"/>
      <c r="N572" s="4"/>
      <c r="O572" s="4"/>
      <c r="P572" s="4"/>
      <c r="Q572" s="4"/>
      <c r="R572" s="4"/>
      <c r="S572" s="4"/>
      <c r="T572" s="4"/>
      <c r="U572" s="4"/>
      <c r="V572" s="4"/>
    </row>
    <row r="573" spans="1:22" x14ac:dyDescent="0.3">
      <c r="A573" s="4">
        <v>0</v>
      </c>
      <c r="B573" s="108" t="e">
        <v>#N/A</v>
      </c>
      <c r="C573" s="4" t="e">
        <v>#N/A</v>
      </c>
      <c r="D573" s="4" t="e">
        <v>#N/A</v>
      </c>
      <c r="E573" s="4" t="e">
        <v>#N/A</v>
      </c>
      <c r="F573" s="4" t="e">
        <v>#N/A</v>
      </c>
      <c r="G573" s="55" t="e">
        <v>#N/A</v>
      </c>
      <c r="H573" s="4" t="e">
        <v>#N/A</v>
      </c>
      <c r="I573" s="4" t="e">
        <v>#N/A</v>
      </c>
      <c r="J573" s="4" t="e">
        <v>#N/A</v>
      </c>
      <c r="K573" s="4"/>
      <c r="L573" s="4"/>
      <c r="M573" s="4"/>
      <c r="N573" s="4"/>
      <c r="O573" s="4"/>
      <c r="P573" s="4"/>
      <c r="Q573" s="4"/>
      <c r="R573" s="4"/>
      <c r="S573" s="4"/>
      <c r="T573" s="4"/>
      <c r="U573" s="4"/>
      <c r="V573" s="4"/>
    </row>
    <row r="574" spans="1:22" x14ac:dyDescent="0.3">
      <c r="A574" s="4">
        <v>0</v>
      </c>
      <c r="B574" s="108" t="e">
        <v>#N/A</v>
      </c>
      <c r="C574" s="4" t="e">
        <v>#N/A</v>
      </c>
      <c r="D574" s="4" t="e">
        <v>#N/A</v>
      </c>
      <c r="E574" s="4" t="e">
        <v>#N/A</v>
      </c>
      <c r="F574" s="4" t="e">
        <v>#N/A</v>
      </c>
      <c r="G574" s="55" t="e">
        <v>#N/A</v>
      </c>
      <c r="H574" s="4" t="e">
        <v>#N/A</v>
      </c>
      <c r="I574" s="4" t="e">
        <v>#N/A</v>
      </c>
      <c r="J574" s="4" t="e">
        <v>#N/A</v>
      </c>
      <c r="K574" s="4"/>
      <c r="L574" s="4"/>
      <c r="M574" s="4"/>
      <c r="N574" s="4"/>
      <c r="O574" s="4"/>
      <c r="P574" s="4"/>
      <c r="Q574" s="4"/>
      <c r="R574" s="4"/>
      <c r="S574" s="4"/>
      <c r="T574" s="4"/>
      <c r="U574" s="4"/>
      <c r="V574" s="4"/>
    </row>
    <row r="575" spans="1:22" x14ac:dyDescent="0.3">
      <c r="A575" s="4">
        <v>0</v>
      </c>
      <c r="B575" s="108" t="e">
        <v>#N/A</v>
      </c>
      <c r="C575" s="4" t="e">
        <v>#N/A</v>
      </c>
      <c r="D575" s="4" t="e">
        <v>#N/A</v>
      </c>
      <c r="E575" s="4" t="e">
        <v>#N/A</v>
      </c>
      <c r="F575" s="4" t="e">
        <v>#N/A</v>
      </c>
      <c r="G575" s="55" t="e">
        <v>#N/A</v>
      </c>
      <c r="H575" s="4" t="e">
        <v>#N/A</v>
      </c>
      <c r="I575" s="4" t="e">
        <v>#N/A</v>
      </c>
      <c r="J575" s="4" t="e">
        <v>#N/A</v>
      </c>
      <c r="K575" s="4"/>
      <c r="L575" s="4"/>
      <c r="M575" s="4"/>
      <c r="N575" s="4"/>
      <c r="O575" s="4"/>
      <c r="P575" s="4"/>
      <c r="Q575" s="4"/>
      <c r="R575" s="4"/>
      <c r="S575" s="4"/>
      <c r="T575" s="4"/>
      <c r="U575" s="4"/>
      <c r="V575" s="4"/>
    </row>
    <row r="576" spans="1:22" x14ac:dyDescent="0.3">
      <c r="A576" s="4">
        <v>0</v>
      </c>
      <c r="B576" s="108" t="e">
        <v>#N/A</v>
      </c>
      <c r="C576" s="4" t="e">
        <v>#N/A</v>
      </c>
      <c r="D576" s="4" t="e">
        <v>#N/A</v>
      </c>
      <c r="E576" s="4" t="e">
        <v>#N/A</v>
      </c>
      <c r="F576" s="4" t="e">
        <v>#N/A</v>
      </c>
      <c r="G576" s="55" t="e">
        <v>#N/A</v>
      </c>
      <c r="H576" s="4" t="e">
        <v>#N/A</v>
      </c>
      <c r="I576" s="4" t="e">
        <v>#N/A</v>
      </c>
      <c r="J576" s="4" t="e">
        <v>#N/A</v>
      </c>
      <c r="K576" s="4"/>
      <c r="L576" s="4"/>
      <c r="M576" s="4"/>
      <c r="N576" s="4"/>
      <c r="O576" s="4"/>
      <c r="P576" s="4"/>
      <c r="Q576" s="4"/>
      <c r="R576" s="4"/>
      <c r="S576" s="4"/>
      <c r="T576" s="4"/>
      <c r="U576" s="4"/>
      <c r="V576" s="4"/>
    </row>
    <row r="577" spans="1:22" x14ac:dyDescent="0.3">
      <c r="A577" s="4">
        <v>0</v>
      </c>
      <c r="B577" s="108" t="e">
        <v>#N/A</v>
      </c>
      <c r="C577" s="4" t="e">
        <v>#N/A</v>
      </c>
      <c r="D577" s="4" t="e">
        <v>#N/A</v>
      </c>
      <c r="E577" s="4" t="e">
        <v>#N/A</v>
      </c>
      <c r="F577" s="4" t="e">
        <v>#N/A</v>
      </c>
      <c r="G577" s="55" t="e">
        <v>#N/A</v>
      </c>
      <c r="H577" s="4" t="e">
        <v>#N/A</v>
      </c>
      <c r="I577" s="4" t="e">
        <v>#N/A</v>
      </c>
      <c r="J577" s="4" t="e">
        <v>#N/A</v>
      </c>
      <c r="K577" s="4"/>
      <c r="L577" s="4"/>
      <c r="M577" s="4"/>
      <c r="N577" s="4"/>
      <c r="O577" s="4"/>
      <c r="P577" s="4"/>
      <c r="Q577" s="4"/>
      <c r="R577" s="4"/>
      <c r="S577" s="4"/>
      <c r="T577" s="4"/>
      <c r="U577" s="4"/>
      <c r="V577" s="4"/>
    </row>
    <row r="578" spans="1:22" x14ac:dyDescent="0.3">
      <c r="A578" s="4">
        <v>0</v>
      </c>
      <c r="B578" s="108" t="e">
        <v>#N/A</v>
      </c>
      <c r="C578" s="4" t="e">
        <v>#N/A</v>
      </c>
      <c r="D578" s="4" t="e">
        <v>#N/A</v>
      </c>
      <c r="E578" s="4" t="e">
        <v>#N/A</v>
      </c>
      <c r="F578" s="4" t="e">
        <v>#N/A</v>
      </c>
      <c r="G578" s="55" t="e">
        <v>#N/A</v>
      </c>
      <c r="H578" s="4" t="e">
        <v>#N/A</v>
      </c>
      <c r="I578" s="4" t="e">
        <v>#N/A</v>
      </c>
      <c r="J578" s="4" t="e">
        <v>#N/A</v>
      </c>
      <c r="K578" s="4"/>
      <c r="L578" s="4"/>
      <c r="M578" s="4"/>
      <c r="N578" s="4"/>
      <c r="O578" s="4"/>
      <c r="P578" s="4"/>
      <c r="Q578" s="4"/>
      <c r="R578" s="4"/>
      <c r="S578" s="4"/>
      <c r="T578" s="4"/>
      <c r="U578" s="4"/>
      <c r="V578" s="4"/>
    </row>
    <row r="579" spans="1:22" x14ac:dyDescent="0.3">
      <c r="A579" s="4">
        <v>0</v>
      </c>
      <c r="B579" s="108" t="e">
        <v>#N/A</v>
      </c>
      <c r="C579" s="4" t="e">
        <v>#N/A</v>
      </c>
      <c r="D579" s="4" t="e">
        <v>#N/A</v>
      </c>
      <c r="E579" s="4" t="e">
        <v>#N/A</v>
      </c>
      <c r="F579" s="4" t="e">
        <v>#N/A</v>
      </c>
      <c r="G579" s="55" t="e">
        <v>#N/A</v>
      </c>
      <c r="H579" s="4" t="e">
        <v>#N/A</v>
      </c>
      <c r="I579" s="4" t="e">
        <v>#N/A</v>
      </c>
      <c r="J579" s="4" t="e">
        <v>#N/A</v>
      </c>
      <c r="K579" s="4"/>
      <c r="L579" s="4"/>
      <c r="M579" s="4"/>
      <c r="N579" s="4"/>
      <c r="O579" s="4"/>
      <c r="P579" s="4"/>
      <c r="Q579" s="4"/>
      <c r="R579" s="4"/>
      <c r="S579" s="4"/>
      <c r="T579" s="4"/>
      <c r="U579" s="4"/>
      <c r="V579" s="4"/>
    </row>
    <row r="580" spans="1:22" x14ac:dyDescent="0.3">
      <c r="A580" s="4">
        <v>0</v>
      </c>
      <c r="B580" s="108" t="e">
        <v>#N/A</v>
      </c>
      <c r="C580" s="4" t="e">
        <v>#N/A</v>
      </c>
      <c r="D580" s="4" t="e">
        <v>#N/A</v>
      </c>
      <c r="E580" s="4" t="e">
        <v>#N/A</v>
      </c>
      <c r="F580" s="4" t="e">
        <v>#N/A</v>
      </c>
      <c r="G580" s="55" t="e">
        <v>#N/A</v>
      </c>
      <c r="H580" s="4" t="e">
        <v>#N/A</v>
      </c>
      <c r="I580" s="4" t="e">
        <v>#N/A</v>
      </c>
      <c r="J580" s="4" t="e">
        <v>#N/A</v>
      </c>
      <c r="K580" s="4"/>
      <c r="L580" s="4"/>
      <c r="M580" s="4"/>
      <c r="N580" s="4"/>
      <c r="O580" s="4"/>
      <c r="P580" s="4"/>
      <c r="Q580" s="4"/>
      <c r="R580" s="4"/>
      <c r="S580" s="4"/>
      <c r="T580" s="4"/>
      <c r="U580" s="4"/>
      <c r="V580" s="4"/>
    </row>
    <row r="581" spans="1:22" x14ac:dyDescent="0.3">
      <c r="A581" s="4">
        <v>0</v>
      </c>
      <c r="B581" s="108" t="e">
        <v>#N/A</v>
      </c>
      <c r="C581" s="4" t="e">
        <v>#N/A</v>
      </c>
      <c r="D581" s="4" t="e">
        <v>#N/A</v>
      </c>
      <c r="E581" s="4" t="e">
        <v>#N/A</v>
      </c>
      <c r="F581" s="4" t="e">
        <v>#N/A</v>
      </c>
      <c r="G581" s="55" t="e">
        <v>#N/A</v>
      </c>
      <c r="H581" s="4" t="e">
        <v>#N/A</v>
      </c>
      <c r="I581" s="4" t="e">
        <v>#N/A</v>
      </c>
      <c r="J581" s="4" t="e">
        <v>#N/A</v>
      </c>
      <c r="K581" s="4"/>
      <c r="L581" s="4"/>
      <c r="M581" s="4"/>
      <c r="N581" s="4"/>
      <c r="O581" s="4"/>
      <c r="P581" s="4"/>
      <c r="Q581" s="4"/>
      <c r="R581" s="4"/>
      <c r="S581" s="4"/>
      <c r="T581" s="4"/>
      <c r="U581" s="4"/>
      <c r="V581" s="4"/>
    </row>
    <row r="582" spans="1:22" x14ac:dyDescent="0.3">
      <c r="A582" s="4">
        <v>0</v>
      </c>
      <c r="B582" s="108" t="e">
        <v>#N/A</v>
      </c>
      <c r="C582" s="4" t="e">
        <v>#N/A</v>
      </c>
      <c r="D582" s="4" t="e">
        <v>#N/A</v>
      </c>
      <c r="E582" s="4" t="e">
        <v>#N/A</v>
      </c>
      <c r="F582" s="4" t="e">
        <v>#N/A</v>
      </c>
      <c r="G582" s="55" t="e">
        <v>#N/A</v>
      </c>
      <c r="H582" s="4" t="e">
        <v>#N/A</v>
      </c>
      <c r="I582" s="4" t="e">
        <v>#N/A</v>
      </c>
      <c r="J582" s="4" t="e">
        <v>#N/A</v>
      </c>
      <c r="K582" s="4"/>
      <c r="L582" s="4"/>
      <c r="M582" s="4"/>
      <c r="N582" s="4"/>
      <c r="O582" s="4"/>
      <c r="P582" s="4"/>
      <c r="Q582" s="4"/>
      <c r="R582" s="4"/>
      <c r="S582" s="4"/>
      <c r="T582" s="4"/>
      <c r="U582" s="4"/>
      <c r="V582" s="4"/>
    </row>
    <row r="583" spans="1:22" x14ac:dyDescent="0.3">
      <c r="A583" s="4">
        <v>0</v>
      </c>
      <c r="B583" s="108" t="e">
        <v>#N/A</v>
      </c>
      <c r="C583" s="4" t="e">
        <v>#N/A</v>
      </c>
      <c r="D583" s="4" t="e">
        <v>#N/A</v>
      </c>
      <c r="E583" s="4" t="e">
        <v>#N/A</v>
      </c>
      <c r="F583" s="4" t="e">
        <v>#N/A</v>
      </c>
      <c r="G583" s="55" t="e">
        <v>#N/A</v>
      </c>
      <c r="H583" s="4" t="e">
        <v>#N/A</v>
      </c>
      <c r="I583" s="4" t="e">
        <v>#N/A</v>
      </c>
      <c r="J583" s="4" t="e">
        <v>#N/A</v>
      </c>
      <c r="K583" s="4"/>
      <c r="L583" s="4"/>
      <c r="M583" s="4"/>
      <c r="N583" s="4"/>
      <c r="O583" s="4"/>
      <c r="P583" s="4"/>
      <c r="Q583" s="4"/>
      <c r="R583" s="4"/>
      <c r="S583" s="4"/>
      <c r="T583" s="4"/>
      <c r="U583" s="4"/>
      <c r="V583" s="4"/>
    </row>
    <row r="584" spans="1:22" x14ac:dyDescent="0.3">
      <c r="A584" s="4">
        <v>0</v>
      </c>
      <c r="B584" s="108" t="e">
        <v>#N/A</v>
      </c>
      <c r="C584" s="4" t="e">
        <v>#N/A</v>
      </c>
      <c r="D584" s="4" t="e">
        <v>#N/A</v>
      </c>
      <c r="E584" s="4" t="e">
        <v>#N/A</v>
      </c>
      <c r="F584" s="4" t="e">
        <v>#N/A</v>
      </c>
      <c r="G584" s="55" t="e">
        <v>#N/A</v>
      </c>
      <c r="H584" s="4" t="e">
        <v>#N/A</v>
      </c>
      <c r="I584" s="4" t="e">
        <v>#N/A</v>
      </c>
      <c r="J584" s="4" t="e">
        <v>#N/A</v>
      </c>
      <c r="K584" s="4"/>
      <c r="L584" s="4"/>
      <c r="M584" s="4"/>
      <c r="N584" s="4"/>
      <c r="O584" s="4"/>
      <c r="P584" s="4"/>
      <c r="Q584" s="4"/>
      <c r="R584" s="4"/>
      <c r="S584" s="4"/>
      <c r="T584" s="4"/>
      <c r="U584" s="4"/>
      <c r="V584" s="4"/>
    </row>
    <row r="585" spans="1:22" x14ac:dyDescent="0.3">
      <c r="A585" s="4">
        <v>0</v>
      </c>
      <c r="B585" s="108" t="e">
        <v>#N/A</v>
      </c>
      <c r="C585" s="4" t="e">
        <v>#N/A</v>
      </c>
      <c r="D585" s="4" t="e">
        <v>#N/A</v>
      </c>
      <c r="E585" s="4" t="e">
        <v>#N/A</v>
      </c>
      <c r="F585" s="4" t="e">
        <v>#N/A</v>
      </c>
      <c r="G585" s="55" t="e">
        <v>#N/A</v>
      </c>
      <c r="H585" s="4" t="e">
        <v>#N/A</v>
      </c>
      <c r="I585" s="4" t="e">
        <v>#N/A</v>
      </c>
      <c r="J585" s="4" t="e">
        <v>#N/A</v>
      </c>
      <c r="K585" s="4"/>
      <c r="L585" s="4"/>
      <c r="M585" s="4"/>
      <c r="N585" s="4"/>
      <c r="O585" s="4"/>
      <c r="P585" s="4"/>
      <c r="Q585" s="4"/>
      <c r="R585" s="4"/>
      <c r="S585" s="4"/>
      <c r="T585" s="4"/>
      <c r="U585" s="4"/>
      <c r="V585" s="4"/>
    </row>
    <row r="586" spans="1:22" x14ac:dyDescent="0.3">
      <c r="A586" s="4">
        <v>0</v>
      </c>
      <c r="B586" s="108" t="e">
        <v>#N/A</v>
      </c>
      <c r="C586" s="4" t="e">
        <v>#N/A</v>
      </c>
      <c r="D586" s="4" t="e">
        <v>#N/A</v>
      </c>
      <c r="E586" s="4" t="e">
        <v>#N/A</v>
      </c>
      <c r="F586" s="4" t="e">
        <v>#N/A</v>
      </c>
      <c r="G586" s="55" t="e">
        <v>#N/A</v>
      </c>
      <c r="H586" s="4" t="e">
        <v>#N/A</v>
      </c>
      <c r="I586" s="4" t="e">
        <v>#N/A</v>
      </c>
      <c r="J586" s="4" t="e">
        <v>#N/A</v>
      </c>
      <c r="K586" s="4"/>
      <c r="L586" s="4"/>
      <c r="M586" s="4"/>
      <c r="N586" s="4"/>
      <c r="O586" s="4"/>
      <c r="P586" s="4"/>
      <c r="Q586" s="4"/>
      <c r="R586" s="4"/>
      <c r="S586" s="4"/>
      <c r="T586" s="4"/>
      <c r="U586" s="4"/>
      <c r="V586" s="4"/>
    </row>
    <row r="587" spans="1:22" x14ac:dyDescent="0.3">
      <c r="A587" s="4">
        <v>0</v>
      </c>
      <c r="B587" s="108" t="e">
        <v>#N/A</v>
      </c>
      <c r="C587" s="4" t="e">
        <v>#N/A</v>
      </c>
      <c r="D587" s="4" t="e">
        <v>#N/A</v>
      </c>
      <c r="E587" s="4" t="e">
        <v>#N/A</v>
      </c>
      <c r="F587" s="4" t="e">
        <v>#N/A</v>
      </c>
      <c r="G587" s="55" t="e">
        <v>#N/A</v>
      </c>
      <c r="H587" s="4" t="e">
        <v>#N/A</v>
      </c>
      <c r="I587" s="4" t="e">
        <v>#N/A</v>
      </c>
      <c r="J587" s="4" t="e">
        <v>#N/A</v>
      </c>
      <c r="K587" s="4"/>
      <c r="L587" s="4"/>
      <c r="M587" s="4"/>
      <c r="N587" s="4"/>
      <c r="O587" s="4"/>
      <c r="P587" s="4"/>
      <c r="Q587" s="4"/>
      <c r="R587" s="4"/>
      <c r="S587" s="4"/>
      <c r="T587" s="4"/>
      <c r="U587" s="4"/>
      <c r="V587" s="4"/>
    </row>
    <row r="588" spans="1:22" x14ac:dyDescent="0.3">
      <c r="A588" s="4">
        <v>0</v>
      </c>
      <c r="B588" s="108" t="e">
        <v>#N/A</v>
      </c>
      <c r="C588" s="4" t="e">
        <v>#N/A</v>
      </c>
      <c r="D588" s="4" t="e">
        <v>#N/A</v>
      </c>
      <c r="E588" s="4" t="e">
        <v>#N/A</v>
      </c>
      <c r="F588" s="4" t="e">
        <v>#N/A</v>
      </c>
      <c r="G588" s="55" t="e">
        <v>#N/A</v>
      </c>
      <c r="H588" s="4" t="e">
        <v>#N/A</v>
      </c>
      <c r="I588" s="4" t="e">
        <v>#N/A</v>
      </c>
      <c r="J588" s="4" t="e">
        <v>#N/A</v>
      </c>
      <c r="K588" s="4"/>
      <c r="L588" s="4"/>
      <c r="M588" s="4"/>
      <c r="N588" s="4"/>
      <c r="O588" s="4"/>
      <c r="P588" s="4"/>
      <c r="Q588" s="4"/>
      <c r="R588" s="4"/>
      <c r="S588" s="4"/>
      <c r="T588" s="4"/>
      <c r="U588" s="4"/>
      <c r="V588" s="4"/>
    </row>
    <row r="589" spans="1:22" x14ac:dyDescent="0.3">
      <c r="A589" s="4">
        <v>0</v>
      </c>
      <c r="B589" s="108" t="e">
        <v>#N/A</v>
      </c>
      <c r="C589" s="4" t="e">
        <v>#N/A</v>
      </c>
      <c r="D589" s="4" t="e">
        <v>#N/A</v>
      </c>
      <c r="E589" s="4" t="e">
        <v>#N/A</v>
      </c>
      <c r="F589" s="4" t="e">
        <v>#N/A</v>
      </c>
      <c r="G589" s="55" t="e">
        <v>#N/A</v>
      </c>
      <c r="H589" s="4" t="e">
        <v>#N/A</v>
      </c>
      <c r="I589" s="4" t="e">
        <v>#N/A</v>
      </c>
      <c r="J589" s="4" t="e">
        <v>#N/A</v>
      </c>
      <c r="K589" s="4"/>
      <c r="L589" s="4"/>
      <c r="M589" s="4"/>
      <c r="N589" s="4"/>
      <c r="O589" s="4"/>
      <c r="P589" s="4"/>
      <c r="Q589" s="4"/>
      <c r="R589" s="4"/>
      <c r="S589" s="4"/>
      <c r="T589" s="4"/>
      <c r="U589" s="4"/>
      <c r="V589" s="4"/>
    </row>
    <row r="590" spans="1:22" x14ac:dyDescent="0.3">
      <c r="A590" s="4">
        <v>0</v>
      </c>
      <c r="B590" s="108" t="e">
        <v>#N/A</v>
      </c>
      <c r="C590" s="4" t="e">
        <v>#N/A</v>
      </c>
      <c r="D590" s="4" t="e">
        <v>#N/A</v>
      </c>
      <c r="E590" s="4" t="e">
        <v>#N/A</v>
      </c>
      <c r="F590" s="4" t="e">
        <v>#N/A</v>
      </c>
      <c r="G590" s="55" t="e">
        <v>#N/A</v>
      </c>
      <c r="H590" s="4" t="e">
        <v>#N/A</v>
      </c>
      <c r="I590" s="4" t="e">
        <v>#N/A</v>
      </c>
      <c r="J590" s="4" t="e">
        <v>#N/A</v>
      </c>
      <c r="K590" s="4"/>
      <c r="L590" s="4"/>
      <c r="M590" s="4"/>
      <c r="N590" s="4"/>
      <c r="O590" s="4"/>
      <c r="P590" s="4"/>
      <c r="Q590" s="4"/>
      <c r="R590" s="4"/>
      <c r="S590" s="4"/>
      <c r="T590" s="4"/>
      <c r="U590" s="4"/>
      <c r="V590" s="4"/>
    </row>
    <row r="591" spans="1:22" x14ac:dyDescent="0.3">
      <c r="A591" s="4">
        <v>0</v>
      </c>
      <c r="B591" s="108" t="e">
        <v>#N/A</v>
      </c>
      <c r="C591" s="4" t="e">
        <v>#N/A</v>
      </c>
      <c r="D591" s="4" t="e">
        <v>#N/A</v>
      </c>
      <c r="E591" s="4" t="e">
        <v>#N/A</v>
      </c>
      <c r="F591" s="4" t="e">
        <v>#N/A</v>
      </c>
      <c r="G591" s="55" t="e">
        <v>#N/A</v>
      </c>
      <c r="H591" s="4" t="e">
        <v>#N/A</v>
      </c>
      <c r="I591" s="4" t="e">
        <v>#N/A</v>
      </c>
      <c r="J591" s="4" t="e">
        <v>#N/A</v>
      </c>
      <c r="K591" s="4"/>
      <c r="L591" s="4"/>
      <c r="M591" s="4"/>
      <c r="N591" s="4"/>
      <c r="O591" s="4"/>
      <c r="P591" s="4"/>
      <c r="Q591" s="4"/>
      <c r="R591" s="4"/>
      <c r="S591" s="4"/>
      <c r="T591" s="4"/>
      <c r="U591" s="4"/>
      <c r="V591" s="4"/>
    </row>
    <row r="592" spans="1:22" x14ac:dyDescent="0.3">
      <c r="A592" s="4">
        <v>0</v>
      </c>
      <c r="B592" s="108" t="e">
        <v>#N/A</v>
      </c>
      <c r="C592" s="4" t="e">
        <v>#N/A</v>
      </c>
      <c r="D592" s="4" t="e">
        <v>#N/A</v>
      </c>
      <c r="E592" s="4" t="e">
        <v>#N/A</v>
      </c>
      <c r="F592" s="4" t="e">
        <v>#N/A</v>
      </c>
      <c r="G592" s="55" t="e">
        <v>#N/A</v>
      </c>
      <c r="H592" s="4" t="e">
        <v>#N/A</v>
      </c>
      <c r="I592" s="4" t="e">
        <v>#N/A</v>
      </c>
      <c r="J592" s="4" t="e">
        <v>#N/A</v>
      </c>
      <c r="K592" s="4"/>
      <c r="L592" s="4"/>
      <c r="M592" s="4"/>
      <c r="N592" s="4"/>
      <c r="O592" s="4"/>
      <c r="P592" s="4"/>
      <c r="Q592" s="4"/>
      <c r="R592" s="4"/>
      <c r="S592" s="4"/>
      <c r="T592" s="4"/>
      <c r="U592" s="4"/>
      <c r="V592" s="4"/>
    </row>
    <row r="593" spans="1:22" x14ac:dyDescent="0.3">
      <c r="A593" s="4">
        <v>0</v>
      </c>
      <c r="B593" s="108" t="e">
        <v>#N/A</v>
      </c>
      <c r="C593" s="4" t="e">
        <v>#N/A</v>
      </c>
      <c r="D593" s="4" t="e">
        <v>#N/A</v>
      </c>
      <c r="E593" s="4" t="e">
        <v>#N/A</v>
      </c>
      <c r="F593" s="4" t="e">
        <v>#N/A</v>
      </c>
      <c r="G593" s="55" t="e">
        <v>#N/A</v>
      </c>
      <c r="H593" s="4" t="e">
        <v>#N/A</v>
      </c>
      <c r="I593" s="4" t="e">
        <v>#N/A</v>
      </c>
      <c r="J593" s="4" t="e">
        <v>#N/A</v>
      </c>
      <c r="K593" s="4"/>
      <c r="L593" s="4"/>
      <c r="M593" s="4"/>
      <c r="N593" s="4"/>
      <c r="O593" s="4"/>
      <c r="P593" s="4"/>
      <c r="Q593" s="4"/>
      <c r="R593" s="4"/>
      <c r="S593" s="4"/>
      <c r="T593" s="4"/>
      <c r="U593" s="4"/>
      <c r="V593" s="4"/>
    </row>
    <row r="594" spans="1:22" x14ac:dyDescent="0.3">
      <c r="A594" s="4">
        <v>0</v>
      </c>
      <c r="B594" s="108" t="e">
        <v>#N/A</v>
      </c>
      <c r="C594" s="4" t="e">
        <v>#N/A</v>
      </c>
      <c r="D594" s="4" t="e">
        <v>#N/A</v>
      </c>
      <c r="E594" s="4" t="e">
        <v>#N/A</v>
      </c>
      <c r="F594" s="4" t="e">
        <v>#N/A</v>
      </c>
      <c r="G594" s="55" t="e">
        <v>#N/A</v>
      </c>
      <c r="H594" s="4" t="e">
        <v>#N/A</v>
      </c>
      <c r="I594" s="4" t="e">
        <v>#N/A</v>
      </c>
      <c r="J594" s="4" t="e">
        <v>#N/A</v>
      </c>
      <c r="K594" s="4"/>
      <c r="L594" s="4"/>
      <c r="M594" s="4"/>
      <c r="N594" s="4"/>
      <c r="O594" s="4"/>
      <c r="P594" s="4"/>
      <c r="Q594" s="4"/>
      <c r="R594" s="4"/>
      <c r="S594" s="4"/>
      <c r="T594" s="4"/>
      <c r="U594" s="4"/>
      <c r="V594" s="4"/>
    </row>
    <row r="595" spans="1:22" x14ac:dyDescent="0.3">
      <c r="A595" s="4">
        <v>0</v>
      </c>
      <c r="B595" s="108" t="e">
        <v>#N/A</v>
      </c>
      <c r="C595" s="4" t="e">
        <v>#N/A</v>
      </c>
      <c r="D595" s="4" t="e">
        <v>#N/A</v>
      </c>
      <c r="E595" s="4" t="e">
        <v>#N/A</v>
      </c>
      <c r="F595" s="4" t="e">
        <v>#N/A</v>
      </c>
      <c r="G595" s="55" t="e">
        <v>#N/A</v>
      </c>
      <c r="H595" s="4" t="e">
        <v>#N/A</v>
      </c>
      <c r="I595" s="4" t="e">
        <v>#N/A</v>
      </c>
      <c r="J595" s="4" t="e">
        <v>#N/A</v>
      </c>
      <c r="K595" s="4"/>
      <c r="L595" s="4"/>
      <c r="M595" s="4"/>
      <c r="N595" s="4"/>
      <c r="O595" s="4"/>
      <c r="P595" s="4"/>
      <c r="Q595" s="4"/>
      <c r="R595" s="4"/>
      <c r="S595" s="4"/>
      <c r="T595" s="4"/>
      <c r="U595" s="4"/>
      <c r="V595" s="4"/>
    </row>
    <row r="596" spans="1:22" x14ac:dyDescent="0.3">
      <c r="A596" s="4">
        <v>0</v>
      </c>
      <c r="B596" s="108" t="e">
        <v>#N/A</v>
      </c>
      <c r="C596" s="4" t="e">
        <v>#N/A</v>
      </c>
      <c r="D596" s="4" t="e">
        <v>#N/A</v>
      </c>
      <c r="E596" s="4" t="e">
        <v>#N/A</v>
      </c>
      <c r="F596" s="4" t="e">
        <v>#N/A</v>
      </c>
      <c r="G596" s="55" t="e">
        <v>#N/A</v>
      </c>
      <c r="H596" s="4" t="e">
        <v>#N/A</v>
      </c>
      <c r="I596" s="4" t="e">
        <v>#N/A</v>
      </c>
      <c r="J596" s="4" t="e">
        <v>#N/A</v>
      </c>
      <c r="K596" s="4"/>
      <c r="L596" s="4"/>
      <c r="M596" s="4"/>
      <c r="N596" s="4"/>
      <c r="O596" s="4"/>
      <c r="P596" s="4"/>
      <c r="Q596" s="4"/>
      <c r="R596" s="4"/>
      <c r="S596" s="4"/>
      <c r="T596" s="4"/>
      <c r="U596" s="4"/>
      <c r="V596" s="4"/>
    </row>
    <row r="597" spans="1:22" x14ac:dyDescent="0.3">
      <c r="A597" s="4">
        <v>0</v>
      </c>
      <c r="B597" s="108" t="e">
        <v>#N/A</v>
      </c>
      <c r="C597" s="4" t="e">
        <v>#N/A</v>
      </c>
      <c r="D597" s="4" t="e">
        <v>#N/A</v>
      </c>
      <c r="E597" s="4" t="e">
        <v>#N/A</v>
      </c>
      <c r="F597" s="4" t="e">
        <v>#N/A</v>
      </c>
      <c r="G597" s="55" t="e">
        <v>#N/A</v>
      </c>
      <c r="H597" s="4" t="e">
        <v>#N/A</v>
      </c>
      <c r="I597" s="4" t="e">
        <v>#N/A</v>
      </c>
      <c r="J597" s="4" t="e">
        <v>#N/A</v>
      </c>
      <c r="K597" s="4"/>
      <c r="L597" s="4"/>
      <c r="M597" s="4"/>
      <c r="N597" s="4"/>
      <c r="O597" s="4"/>
      <c r="P597" s="4"/>
      <c r="Q597" s="4"/>
      <c r="R597" s="4"/>
      <c r="S597" s="4"/>
      <c r="T597" s="4"/>
      <c r="U597" s="4"/>
      <c r="V597" s="4"/>
    </row>
    <row r="598" spans="1:22" x14ac:dyDescent="0.3">
      <c r="A598" s="4">
        <v>0</v>
      </c>
      <c r="B598" s="108" t="e">
        <v>#N/A</v>
      </c>
      <c r="C598" s="4" t="e">
        <v>#N/A</v>
      </c>
      <c r="D598" s="4" t="e">
        <v>#N/A</v>
      </c>
      <c r="E598" s="4" t="e">
        <v>#N/A</v>
      </c>
      <c r="F598" s="4" t="e">
        <v>#N/A</v>
      </c>
      <c r="G598" s="55" t="e">
        <v>#N/A</v>
      </c>
      <c r="H598" s="4" t="e">
        <v>#N/A</v>
      </c>
      <c r="I598" s="4" t="e">
        <v>#N/A</v>
      </c>
      <c r="J598" s="4" t="e">
        <v>#N/A</v>
      </c>
      <c r="K598" s="4"/>
      <c r="L598" s="4"/>
      <c r="M598" s="4"/>
      <c r="N598" s="4"/>
      <c r="O598" s="4"/>
      <c r="P598" s="4"/>
      <c r="Q598" s="4"/>
      <c r="R598" s="4"/>
      <c r="S598" s="4"/>
      <c r="T598" s="4"/>
      <c r="U598" s="4"/>
      <c r="V598" s="4"/>
    </row>
    <row r="599" spans="1:22" x14ac:dyDescent="0.3">
      <c r="A599" s="4">
        <v>0</v>
      </c>
      <c r="B599" s="108" t="e">
        <v>#N/A</v>
      </c>
      <c r="C599" s="4" t="e">
        <v>#N/A</v>
      </c>
      <c r="D599" s="4" t="e">
        <v>#N/A</v>
      </c>
      <c r="E599" s="4" t="e">
        <v>#N/A</v>
      </c>
      <c r="F599" s="4" t="e">
        <v>#N/A</v>
      </c>
      <c r="G599" s="55" t="e">
        <v>#N/A</v>
      </c>
      <c r="H599" s="4" t="e">
        <v>#N/A</v>
      </c>
      <c r="I599" s="4" t="e">
        <v>#N/A</v>
      </c>
      <c r="J599" s="4" t="e">
        <v>#N/A</v>
      </c>
      <c r="K599" s="4"/>
      <c r="L599" s="4"/>
      <c r="M599" s="4"/>
      <c r="N599" s="4"/>
      <c r="O599" s="4"/>
      <c r="P599" s="4"/>
      <c r="Q599" s="4"/>
      <c r="R599" s="4"/>
      <c r="S599" s="4"/>
      <c r="T599" s="4"/>
      <c r="U599" s="4"/>
      <c r="V599" s="4"/>
    </row>
    <row r="600" spans="1:22" x14ac:dyDescent="0.3">
      <c r="A600" s="4">
        <v>0</v>
      </c>
      <c r="B600" s="108" t="e">
        <v>#N/A</v>
      </c>
      <c r="C600" s="4" t="e">
        <v>#N/A</v>
      </c>
      <c r="D600" s="4" t="e">
        <v>#N/A</v>
      </c>
      <c r="E600" s="4" t="e">
        <v>#N/A</v>
      </c>
      <c r="F600" s="4" t="e">
        <v>#N/A</v>
      </c>
      <c r="G600" s="55" t="e">
        <v>#N/A</v>
      </c>
      <c r="H600" s="4" t="e">
        <v>#N/A</v>
      </c>
      <c r="I600" s="4" t="e">
        <v>#N/A</v>
      </c>
      <c r="J600" s="4" t="e">
        <v>#N/A</v>
      </c>
      <c r="K600" s="4"/>
      <c r="L600" s="4"/>
      <c r="M600" s="4"/>
      <c r="N600" s="4"/>
      <c r="O600" s="4"/>
      <c r="P600" s="4"/>
      <c r="Q600" s="4"/>
      <c r="R600" s="4"/>
      <c r="S600" s="4"/>
      <c r="T600" s="4"/>
      <c r="U600" s="4"/>
      <c r="V600" s="4"/>
    </row>
    <row r="601" spans="1:22" x14ac:dyDescent="0.3">
      <c r="A601" s="4">
        <v>0</v>
      </c>
      <c r="B601" s="108" t="e">
        <v>#N/A</v>
      </c>
      <c r="C601" s="4" t="e">
        <v>#N/A</v>
      </c>
      <c r="D601" s="4" t="e">
        <v>#N/A</v>
      </c>
      <c r="E601" s="4" t="e">
        <v>#N/A</v>
      </c>
      <c r="F601" s="4" t="e">
        <v>#N/A</v>
      </c>
      <c r="G601" s="55" t="e">
        <v>#N/A</v>
      </c>
      <c r="H601" s="4" t="e">
        <v>#N/A</v>
      </c>
      <c r="I601" s="4" t="e">
        <v>#N/A</v>
      </c>
      <c r="J601" s="4" t="e">
        <v>#N/A</v>
      </c>
      <c r="K601" s="4"/>
      <c r="L601" s="4"/>
      <c r="M601" s="4"/>
      <c r="N601" s="4"/>
      <c r="O601" s="4"/>
      <c r="P601" s="4"/>
      <c r="Q601" s="4"/>
      <c r="R601" s="4"/>
      <c r="S601" s="4"/>
      <c r="T601" s="4"/>
      <c r="U601" s="4"/>
      <c r="V601" s="4"/>
    </row>
    <row r="602" spans="1:22" x14ac:dyDescent="0.3">
      <c r="A602" s="4">
        <v>0</v>
      </c>
      <c r="B602" s="108" t="e">
        <v>#N/A</v>
      </c>
      <c r="C602" s="4" t="e">
        <v>#N/A</v>
      </c>
      <c r="D602" s="4" t="e">
        <v>#N/A</v>
      </c>
      <c r="E602" s="4" t="e">
        <v>#N/A</v>
      </c>
      <c r="F602" s="4" t="e">
        <v>#N/A</v>
      </c>
      <c r="G602" s="55" t="e">
        <v>#N/A</v>
      </c>
      <c r="H602" s="4" t="e">
        <v>#N/A</v>
      </c>
      <c r="I602" s="4" t="e">
        <v>#N/A</v>
      </c>
      <c r="J602" s="4" t="e">
        <v>#N/A</v>
      </c>
      <c r="K602" s="4"/>
      <c r="L602" s="4"/>
      <c r="M602" s="4"/>
      <c r="N602" s="4"/>
      <c r="O602" s="4"/>
      <c r="P602" s="4"/>
      <c r="Q602" s="4"/>
      <c r="R602" s="4"/>
      <c r="S602" s="4"/>
      <c r="T602" s="4"/>
      <c r="U602" s="4"/>
      <c r="V602" s="4"/>
    </row>
    <row r="603" spans="1:22" x14ac:dyDescent="0.3">
      <c r="A603" s="4">
        <v>0</v>
      </c>
      <c r="B603" s="108" t="e">
        <v>#N/A</v>
      </c>
      <c r="C603" s="4" t="e">
        <v>#N/A</v>
      </c>
      <c r="D603" s="4" t="e">
        <v>#N/A</v>
      </c>
      <c r="E603" s="4" t="e">
        <v>#N/A</v>
      </c>
      <c r="F603" s="4" t="e">
        <v>#N/A</v>
      </c>
      <c r="G603" s="55" t="e">
        <v>#N/A</v>
      </c>
      <c r="H603" s="4" t="e">
        <v>#N/A</v>
      </c>
      <c r="I603" s="4" t="e">
        <v>#N/A</v>
      </c>
      <c r="J603" s="4" t="e">
        <v>#N/A</v>
      </c>
      <c r="K603" s="4"/>
      <c r="L603" s="4"/>
      <c r="M603" s="4"/>
      <c r="N603" s="4"/>
      <c r="O603" s="4"/>
      <c r="P603" s="4"/>
      <c r="Q603" s="4"/>
      <c r="R603" s="4"/>
      <c r="S603" s="4"/>
      <c r="T603" s="4"/>
      <c r="U603" s="4"/>
      <c r="V603" s="4"/>
    </row>
    <row r="604" spans="1:22" x14ac:dyDescent="0.3">
      <c r="A604" s="4">
        <v>0</v>
      </c>
      <c r="B604" s="108" t="e">
        <v>#N/A</v>
      </c>
      <c r="C604" s="4" t="e">
        <v>#N/A</v>
      </c>
      <c r="D604" s="4" t="e">
        <v>#N/A</v>
      </c>
      <c r="E604" s="4" t="e">
        <v>#N/A</v>
      </c>
      <c r="F604" s="4" t="e">
        <v>#N/A</v>
      </c>
      <c r="G604" s="55" t="e">
        <v>#N/A</v>
      </c>
      <c r="H604" s="4" t="e">
        <v>#N/A</v>
      </c>
      <c r="I604" s="4" t="e">
        <v>#N/A</v>
      </c>
      <c r="J604" s="4" t="e">
        <v>#N/A</v>
      </c>
      <c r="K604" s="4"/>
      <c r="L604" s="4"/>
      <c r="M604" s="4"/>
      <c r="N604" s="4"/>
      <c r="O604" s="4"/>
      <c r="P604" s="4"/>
      <c r="Q604" s="4"/>
      <c r="R604" s="4"/>
      <c r="S604" s="4"/>
      <c r="T604" s="4"/>
      <c r="U604" s="4"/>
      <c r="V604" s="4"/>
    </row>
    <row r="605" spans="1:22" x14ac:dyDescent="0.3">
      <c r="A605" s="4">
        <v>0</v>
      </c>
      <c r="B605" s="108" t="e">
        <v>#N/A</v>
      </c>
      <c r="C605" s="4" t="e">
        <v>#N/A</v>
      </c>
      <c r="D605" s="4" t="e">
        <v>#N/A</v>
      </c>
      <c r="E605" s="4" t="e">
        <v>#N/A</v>
      </c>
      <c r="F605" s="4" t="e">
        <v>#N/A</v>
      </c>
      <c r="G605" s="55" t="e">
        <v>#N/A</v>
      </c>
      <c r="H605" s="4" t="e">
        <v>#N/A</v>
      </c>
      <c r="I605" s="4" t="e">
        <v>#N/A</v>
      </c>
      <c r="J605" s="4" t="e">
        <v>#N/A</v>
      </c>
      <c r="K605" s="4"/>
      <c r="L605" s="4"/>
      <c r="M605" s="4"/>
      <c r="N605" s="4"/>
      <c r="O605" s="4"/>
      <c r="P605" s="4"/>
      <c r="Q605" s="4"/>
      <c r="R605" s="4"/>
      <c r="S605" s="4"/>
      <c r="T605" s="4"/>
      <c r="U605" s="4"/>
      <c r="V605" s="4"/>
    </row>
    <row r="606" spans="1:22" x14ac:dyDescent="0.3">
      <c r="A606" s="4">
        <v>0</v>
      </c>
      <c r="B606" s="108" t="e">
        <v>#N/A</v>
      </c>
      <c r="C606" s="4" t="e">
        <v>#N/A</v>
      </c>
      <c r="D606" s="4" t="e">
        <v>#N/A</v>
      </c>
      <c r="E606" s="4" t="e">
        <v>#N/A</v>
      </c>
      <c r="F606" s="4" t="e">
        <v>#N/A</v>
      </c>
      <c r="G606" s="55" t="e">
        <v>#N/A</v>
      </c>
      <c r="H606" s="4" t="e">
        <v>#N/A</v>
      </c>
      <c r="I606" s="4" t="e">
        <v>#N/A</v>
      </c>
      <c r="J606" s="4" t="e">
        <v>#N/A</v>
      </c>
      <c r="K606" s="4"/>
      <c r="L606" s="4"/>
      <c r="M606" s="4"/>
      <c r="N606" s="4"/>
      <c r="O606" s="4"/>
      <c r="P606" s="4"/>
      <c r="Q606" s="4"/>
      <c r="R606" s="4"/>
      <c r="S606" s="4"/>
      <c r="T606" s="4"/>
      <c r="U606" s="4"/>
      <c r="V606" s="4"/>
    </row>
    <row r="607" spans="1:22" x14ac:dyDescent="0.3">
      <c r="A607" s="4">
        <v>0</v>
      </c>
      <c r="B607" s="108" t="e">
        <v>#N/A</v>
      </c>
      <c r="C607" s="4" t="e">
        <v>#N/A</v>
      </c>
      <c r="D607" s="4" t="e">
        <v>#N/A</v>
      </c>
      <c r="E607" s="4" t="e">
        <v>#N/A</v>
      </c>
      <c r="F607" s="4" t="e">
        <v>#N/A</v>
      </c>
      <c r="G607" s="55" t="e">
        <v>#N/A</v>
      </c>
      <c r="H607" s="4" t="e">
        <v>#N/A</v>
      </c>
      <c r="I607" s="4" t="e">
        <v>#N/A</v>
      </c>
      <c r="J607" s="4" t="e">
        <v>#N/A</v>
      </c>
      <c r="K607" s="4"/>
      <c r="L607" s="4"/>
      <c r="M607" s="4"/>
      <c r="N607" s="4"/>
      <c r="O607" s="4"/>
      <c r="P607" s="4"/>
      <c r="Q607" s="4"/>
      <c r="R607" s="4"/>
      <c r="S607" s="4"/>
      <c r="T607" s="4"/>
      <c r="U607" s="4"/>
      <c r="V607" s="4"/>
    </row>
    <row r="608" spans="1:22" x14ac:dyDescent="0.3">
      <c r="A608" s="4">
        <v>0</v>
      </c>
      <c r="B608" s="108" t="e">
        <v>#N/A</v>
      </c>
      <c r="C608" s="4" t="e">
        <v>#N/A</v>
      </c>
      <c r="D608" s="4" t="e">
        <v>#N/A</v>
      </c>
      <c r="E608" s="4" t="e">
        <v>#N/A</v>
      </c>
      <c r="F608" s="4" t="e">
        <v>#N/A</v>
      </c>
      <c r="G608" s="55" t="e">
        <v>#N/A</v>
      </c>
      <c r="H608" s="4" t="e">
        <v>#N/A</v>
      </c>
      <c r="I608" s="4" t="e">
        <v>#N/A</v>
      </c>
      <c r="J608" s="4" t="e">
        <v>#N/A</v>
      </c>
      <c r="K608" s="4"/>
      <c r="L608" s="4"/>
      <c r="M608" s="4"/>
      <c r="N608" s="4"/>
      <c r="O608" s="4"/>
      <c r="P608" s="4"/>
      <c r="Q608" s="4"/>
      <c r="R608" s="4"/>
      <c r="S608" s="4"/>
      <c r="T608" s="4"/>
      <c r="U608" s="4"/>
      <c r="V608" s="4"/>
    </row>
    <row r="609" spans="1:22" x14ac:dyDescent="0.3">
      <c r="A609" s="4">
        <v>0</v>
      </c>
      <c r="B609" s="108" t="e">
        <v>#N/A</v>
      </c>
      <c r="C609" s="4" t="e">
        <v>#N/A</v>
      </c>
      <c r="D609" s="4" t="e">
        <v>#N/A</v>
      </c>
      <c r="E609" s="4" t="e">
        <v>#N/A</v>
      </c>
      <c r="F609" s="4" t="e">
        <v>#N/A</v>
      </c>
      <c r="G609" s="55" t="e">
        <v>#N/A</v>
      </c>
      <c r="H609" s="4" t="e">
        <v>#N/A</v>
      </c>
      <c r="I609" s="4" t="e">
        <v>#N/A</v>
      </c>
      <c r="J609" s="4" t="e">
        <v>#N/A</v>
      </c>
      <c r="K609" s="4"/>
      <c r="L609" s="4"/>
      <c r="M609" s="4"/>
      <c r="N609" s="4"/>
      <c r="O609" s="4"/>
      <c r="P609" s="4"/>
      <c r="Q609" s="4"/>
      <c r="R609" s="4"/>
      <c r="S609" s="4"/>
      <c r="T609" s="4"/>
      <c r="U609" s="4"/>
      <c r="V609" s="4"/>
    </row>
    <row r="610" spans="1:22" x14ac:dyDescent="0.3">
      <c r="A610" s="4">
        <v>0</v>
      </c>
      <c r="B610" s="108" t="e">
        <v>#N/A</v>
      </c>
      <c r="C610" s="4" t="e">
        <v>#N/A</v>
      </c>
      <c r="D610" s="4" t="e">
        <v>#N/A</v>
      </c>
      <c r="E610" s="4" t="e">
        <v>#N/A</v>
      </c>
      <c r="F610" s="4" t="e">
        <v>#N/A</v>
      </c>
      <c r="G610" s="55" t="e">
        <v>#N/A</v>
      </c>
      <c r="H610" s="4" t="e">
        <v>#N/A</v>
      </c>
      <c r="I610" s="4" t="e">
        <v>#N/A</v>
      </c>
      <c r="J610" s="4" t="e">
        <v>#N/A</v>
      </c>
      <c r="K610" s="4"/>
      <c r="L610" s="4"/>
      <c r="M610" s="4"/>
      <c r="N610" s="4"/>
      <c r="O610" s="4"/>
      <c r="P610" s="4"/>
      <c r="Q610" s="4"/>
      <c r="R610" s="4"/>
      <c r="S610" s="4"/>
      <c r="T610" s="4"/>
      <c r="U610" s="4"/>
      <c r="V610" s="4"/>
    </row>
    <row r="611" spans="1:22" x14ac:dyDescent="0.3">
      <c r="A611" s="4">
        <v>0</v>
      </c>
      <c r="B611" s="108" t="e">
        <v>#N/A</v>
      </c>
      <c r="C611" s="4" t="e">
        <v>#N/A</v>
      </c>
      <c r="D611" s="4" t="e">
        <v>#N/A</v>
      </c>
      <c r="E611" s="4" t="e">
        <v>#N/A</v>
      </c>
      <c r="F611" s="4" t="e">
        <v>#N/A</v>
      </c>
      <c r="G611" s="55" t="e">
        <v>#N/A</v>
      </c>
      <c r="H611" s="4" t="e">
        <v>#N/A</v>
      </c>
      <c r="I611" s="4" t="e">
        <v>#N/A</v>
      </c>
      <c r="J611" s="4" t="e">
        <v>#N/A</v>
      </c>
      <c r="K611" s="4"/>
      <c r="L611" s="4"/>
      <c r="M611" s="4"/>
      <c r="N611" s="4"/>
      <c r="O611" s="4"/>
      <c r="P611" s="4"/>
      <c r="Q611" s="4"/>
      <c r="R611" s="4"/>
      <c r="S611" s="4"/>
      <c r="T611" s="4"/>
      <c r="U611" s="4"/>
      <c r="V611" s="4"/>
    </row>
    <row r="612" spans="1:22" x14ac:dyDescent="0.3">
      <c r="A612" s="4">
        <v>0</v>
      </c>
      <c r="B612" s="108" t="e">
        <v>#N/A</v>
      </c>
      <c r="C612" s="4" t="e">
        <v>#N/A</v>
      </c>
      <c r="D612" s="4" t="e">
        <v>#N/A</v>
      </c>
      <c r="E612" s="4" t="e">
        <v>#N/A</v>
      </c>
      <c r="F612" s="4" t="e">
        <v>#N/A</v>
      </c>
      <c r="G612" s="55" t="e">
        <v>#N/A</v>
      </c>
      <c r="H612" s="4" t="e">
        <v>#N/A</v>
      </c>
      <c r="I612" s="4" t="e">
        <v>#N/A</v>
      </c>
      <c r="J612" s="4" t="e">
        <v>#N/A</v>
      </c>
      <c r="K612" s="4"/>
      <c r="L612" s="4"/>
      <c r="M612" s="4"/>
      <c r="N612" s="4"/>
      <c r="O612" s="4"/>
      <c r="P612" s="4"/>
      <c r="Q612" s="4"/>
      <c r="R612" s="4"/>
      <c r="S612" s="4"/>
      <c r="T612" s="4"/>
      <c r="U612" s="4"/>
      <c r="V612" s="4"/>
    </row>
    <row r="613" spans="1:22" x14ac:dyDescent="0.3">
      <c r="A613" s="4">
        <v>0</v>
      </c>
      <c r="B613" s="108" t="e">
        <v>#N/A</v>
      </c>
      <c r="C613" s="4" t="e">
        <v>#N/A</v>
      </c>
      <c r="D613" s="4" t="e">
        <v>#N/A</v>
      </c>
      <c r="E613" s="4" t="e">
        <v>#N/A</v>
      </c>
      <c r="F613" s="4" t="e">
        <v>#N/A</v>
      </c>
      <c r="G613" s="55" t="e">
        <v>#N/A</v>
      </c>
      <c r="H613" s="4" t="e">
        <v>#N/A</v>
      </c>
      <c r="I613" s="4" t="e">
        <v>#N/A</v>
      </c>
      <c r="J613" s="4" t="e">
        <v>#N/A</v>
      </c>
      <c r="K613" s="4"/>
      <c r="L613" s="4"/>
      <c r="M613" s="4"/>
      <c r="N613" s="4"/>
      <c r="O613" s="4"/>
      <c r="P613" s="4"/>
      <c r="Q613" s="4"/>
      <c r="R613" s="4"/>
      <c r="S613" s="4"/>
      <c r="T613" s="4"/>
      <c r="U613" s="4"/>
      <c r="V613" s="4"/>
    </row>
    <row r="614" spans="1:22" x14ac:dyDescent="0.3">
      <c r="A614" s="4">
        <v>0</v>
      </c>
      <c r="B614" s="108" t="e">
        <v>#N/A</v>
      </c>
      <c r="C614" s="4" t="e">
        <v>#N/A</v>
      </c>
      <c r="D614" s="4" t="e">
        <v>#N/A</v>
      </c>
      <c r="E614" s="4" t="e">
        <v>#N/A</v>
      </c>
      <c r="F614" s="4" t="e">
        <v>#N/A</v>
      </c>
      <c r="G614" s="55" t="e">
        <v>#N/A</v>
      </c>
      <c r="H614" s="4" t="e">
        <v>#N/A</v>
      </c>
      <c r="I614" s="4" t="e">
        <v>#N/A</v>
      </c>
      <c r="J614" s="4" t="e">
        <v>#N/A</v>
      </c>
      <c r="K614" s="4"/>
      <c r="L614" s="4"/>
      <c r="M614" s="4"/>
      <c r="N614" s="4"/>
      <c r="O614" s="4"/>
      <c r="P614" s="4"/>
      <c r="Q614" s="4"/>
      <c r="R614" s="4"/>
      <c r="S614" s="4"/>
      <c r="T614" s="4"/>
      <c r="U614" s="4"/>
      <c r="V614" s="4"/>
    </row>
    <row r="615" spans="1:22" x14ac:dyDescent="0.3">
      <c r="A615" s="4">
        <v>0</v>
      </c>
      <c r="B615" s="108" t="e">
        <v>#N/A</v>
      </c>
      <c r="C615" s="4" t="e">
        <v>#N/A</v>
      </c>
      <c r="D615" s="4" t="e">
        <v>#N/A</v>
      </c>
      <c r="E615" s="4" t="e">
        <v>#N/A</v>
      </c>
      <c r="F615" s="4" t="e">
        <v>#N/A</v>
      </c>
      <c r="G615" s="55" t="e">
        <v>#N/A</v>
      </c>
      <c r="H615" s="4" t="e">
        <v>#N/A</v>
      </c>
      <c r="I615" s="4" t="e">
        <v>#N/A</v>
      </c>
      <c r="J615" s="4" t="e">
        <v>#N/A</v>
      </c>
      <c r="K615" s="4"/>
      <c r="L615" s="4"/>
      <c r="M615" s="4"/>
      <c r="N615" s="4"/>
      <c r="O615" s="4"/>
      <c r="P615" s="4"/>
      <c r="Q615" s="4"/>
      <c r="R615" s="4"/>
      <c r="S615" s="4"/>
      <c r="T615" s="4"/>
      <c r="U615" s="4"/>
      <c r="V615" s="4"/>
    </row>
    <row r="616" spans="1:22" x14ac:dyDescent="0.3">
      <c r="A616" s="4">
        <v>0</v>
      </c>
      <c r="B616" s="108" t="e">
        <v>#N/A</v>
      </c>
      <c r="C616" s="4" t="e">
        <v>#N/A</v>
      </c>
      <c r="D616" s="4" t="e">
        <v>#N/A</v>
      </c>
      <c r="E616" s="4" t="e">
        <v>#N/A</v>
      </c>
      <c r="F616" s="4" t="e">
        <v>#N/A</v>
      </c>
      <c r="G616" s="55" t="e">
        <v>#N/A</v>
      </c>
      <c r="H616" s="4" t="e">
        <v>#N/A</v>
      </c>
      <c r="I616" s="4" t="e">
        <v>#N/A</v>
      </c>
      <c r="J616" s="4" t="e">
        <v>#N/A</v>
      </c>
      <c r="K616" s="4"/>
      <c r="L616" s="4"/>
      <c r="M616" s="4"/>
      <c r="N616" s="4"/>
      <c r="O616" s="4"/>
      <c r="P616" s="4"/>
      <c r="Q616" s="4"/>
      <c r="R616" s="4"/>
      <c r="S616" s="4"/>
      <c r="T616" s="4"/>
      <c r="U616" s="4"/>
      <c r="V616" s="4"/>
    </row>
    <row r="617" spans="1:22" x14ac:dyDescent="0.3">
      <c r="A617" s="4">
        <v>0</v>
      </c>
      <c r="B617" s="108" t="e">
        <v>#N/A</v>
      </c>
      <c r="C617" s="4" t="e">
        <v>#N/A</v>
      </c>
      <c r="D617" s="4" t="e">
        <v>#N/A</v>
      </c>
      <c r="E617" s="4" t="e">
        <v>#N/A</v>
      </c>
      <c r="F617" s="4" t="e">
        <v>#N/A</v>
      </c>
      <c r="G617" s="55" t="e">
        <v>#N/A</v>
      </c>
      <c r="H617" s="4" t="e">
        <v>#N/A</v>
      </c>
      <c r="I617" s="4" t="e">
        <v>#N/A</v>
      </c>
      <c r="J617" s="4" t="e">
        <v>#N/A</v>
      </c>
      <c r="K617" s="4"/>
      <c r="L617" s="4"/>
      <c r="M617" s="4"/>
      <c r="N617" s="4"/>
      <c r="O617" s="4"/>
      <c r="P617" s="4"/>
      <c r="Q617" s="4"/>
      <c r="R617" s="4"/>
      <c r="S617" s="4"/>
      <c r="T617" s="4"/>
      <c r="U617" s="4"/>
      <c r="V617" s="4"/>
    </row>
    <row r="618" spans="1:22" x14ac:dyDescent="0.3">
      <c r="A618" s="4">
        <v>0</v>
      </c>
      <c r="B618" s="108" t="e">
        <v>#N/A</v>
      </c>
      <c r="C618" s="4" t="e">
        <v>#N/A</v>
      </c>
      <c r="D618" s="4" t="e">
        <v>#N/A</v>
      </c>
      <c r="E618" s="4" t="e">
        <v>#N/A</v>
      </c>
      <c r="F618" s="4" t="e">
        <v>#N/A</v>
      </c>
      <c r="G618" s="55" t="e">
        <v>#N/A</v>
      </c>
      <c r="H618" s="4" t="e">
        <v>#N/A</v>
      </c>
      <c r="I618" s="4" t="e">
        <v>#N/A</v>
      </c>
      <c r="J618" s="4" t="e">
        <v>#N/A</v>
      </c>
      <c r="K618" s="4"/>
      <c r="L618" s="4"/>
      <c r="M618" s="4"/>
      <c r="N618" s="4"/>
      <c r="O618" s="4"/>
      <c r="P618" s="4"/>
      <c r="Q618" s="4"/>
      <c r="R618" s="4"/>
      <c r="S618" s="4"/>
      <c r="T618" s="4"/>
      <c r="U618" s="4"/>
      <c r="V618" s="4"/>
    </row>
    <row r="619" spans="1:22" x14ac:dyDescent="0.3">
      <c r="A619" s="4">
        <v>0</v>
      </c>
      <c r="B619" s="108" t="e">
        <v>#N/A</v>
      </c>
      <c r="C619" s="4" t="e">
        <v>#N/A</v>
      </c>
      <c r="D619" s="4" t="e">
        <v>#N/A</v>
      </c>
      <c r="E619" s="4" t="e">
        <v>#N/A</v>
      </c>
      <c r="F619" s="4" t="e">
        <v>#N/A</v>
      </c>
      <c r="G619" s="55" t="e">
        <v>#N/A</v>
      </c>
      <c r="H619" s="4" t="e">
        <v>#N/A</v>
      </c>
      <c r="I619" s="4" t="e">
        <v>#N/A</v>
      </c>
      <c r="J619" s="4" t="e">
        <v>#N/A</v>
      </c>
      <c r="K619" s="4"/>
      <c r="L619" s="4"/>
      <c r="M619" s="4"/>
      <c r="N619" s="4"/>
      <c r="O619" s="4"/>
      <c r="P619" s="4"/>
      <c r="Q619" s="4"/>
      <c r="R619" s="4"/>
      <c r="S619" s="4"/>
      <c r="T619" s="4"/>
      <c r="U619" s="4"/>
      <c r="V619" s="4"/>
    </row>
    <row r="620" spans="1:22" x14ac:dyDescent="0.3">
      <c r="A620" s="4">
        <v>0</v>
      </c>
      <c r="B620" s="108" t="e">
        <v>#N/A</v>
      </c>
      <c r="C620" s="4" t="e">
        <v>#N/A</v>
      </c>
      <c r="D620" s="4" t="e">
        <v>#N/A</v>
      </c>
      <c r="E620" s="4" t="e">
        <v>#N/A</v>
      </c>
      <c r="F620" s="4" t="e">
        <v>#N/A</v>
      </c>
      <c r="G620" s="55" t="e">
        <v>#N/A</v>
      </c>
      <c r="H620" s="4" t="e">
        <v>#N/A</v>
      </c>
      <c r="I620" s="4" t="e">
        <v>#N/A</v>
      </c>
      <c r="J620" s="4" t="e">
        <v>#N/A</v>
      </c>
      <c r="K620" s="4"/>
      <c r="L620" s="4"/>
      <c r="M620" s="4"/>
      <c r="N620" s="4"/>
      <c r="O620" s="4"/>
      <c r="P620" s="4"/>
      <c r="Q620" s="4"/>
      <c r="R620" s="4"/>
      <c r="S620" s="4"/>
      <c r="T620" s="4"/>
      <c r="U620" s="4"/>
      <c r="V620" s="4"/>
    </row>
    <row r="621" spans="1:22" x14ac:dyDescent="0.3">
      <c r="A621" s="4">
        <v>0</v>
      </c>
      <c r="B621" s="108" t="e">
        <v>#N/A</v>
      </c>
      <c r="C621" s="4" t="e">
        <v>#N/A</v>
      </c>
      <c r="D621" s="4" t="e">
        <v>#N/A</v>
      </c>
      <c r="E621" s="4" t="e">
        <v>#N/A</v>
      </c>
      <c r="F621" s="4" t="e">
        <v>#N/A</v>
      </c>
      <c r="G621" s="55" t="e">
        <v>#N/A</v>
      </c>
      <c r="H621" s="4" t="e">
        <v>#N/A</v>
      </c>
      <c r="I621" s="4" t="e">
        <v>#N/A</v>
      </c>
      <c r="J621" s="4" t="e">
        <v>#N/A</v>
      </c>
      <c r="K621" s="4"/>
      <c r="L621" s="4"/>
      <c r="M621" s="4"/>
      <c r="N621" s="4"/>
      <c r="O621" s="4"/>
      <c r="P621" s="4"/>
      <c r="Q621" s="4"/>
      <c r="R621" s="4"/>
      <c r="S621" s="4"/>
      <c r="T621" s="4"/>
      <c r="U621" s="4"/>
      <c r="V621" s="4"/>
    </row>
    <row r="622" spans="1:22" x14ac:dyDescent="0.3">
      <c r="A622" s="4">
        <v>0</v>
      </c>
      <c r="B622" s="108" t="e">
        <v>#N/A</v>
      </c>
      <c r="C622" s="4" t="e">
        <v>#N/A</v>
      </c>
      <c r="D622" s="4" t="e">
        <v>#N/A</v>
      </c>
      <c r="E622" s="4" t="e">
        <v>#N/A</v>
      </c>
      <c r="F622" s="4" t="e">
        <v>#N/A</v>
      </c>
      <c r="G622" s="55" t="e">
        <v>#N/A</v>
      </c>
      <c r="H622" s="4" t="e">
        <v>#N/A</v>
      </c>
      <c r="I622" s="4" t="e">
        <v>#N/A</v>
      </c>
      <c r="J622" s="4" t="e">
        <v>#N/A</v>
      </c>
      <c r="K622" s="4"/>
      <c r="L622" s="4"/>
      <c r="M622" s="4"/>
      <c r="N622" s="4"/>
      <c r="O622" s="4"/>
      <c r="P622" s="4"/>
      <c r="Q622" s="4"/>
      <c r="R622" s="4"/>
      <c r="S622" s="4"/>
      <c r="T622" s="4"/>
      <c r="U622" s="4"/>
      <c r="V622" s="4"/>
    </row>
    <row r="623" spans="1:22" x14ac:dyDescent="0.3">
      <c r="A623" s="4">
        <v>0</v>
      </c>
      <c r="B623" s="108" t="e">
        <v>#N/A</v>
      </c>
      <c r="C623" s="4" t="e">
        <v>#N/A</v>
      </c>
      <c r="D623" s="4" t="e">
        <v>#N/A</v>
      </c>
      <c r="E623" s="4" t="e">
        <v>#N/A</v>
      </c>
      <c r="F623" s="4" t="e">
        <v>#N/A</v>
      </c>
      <c r="G623" s="55" t="e">
        <v>#N/A</v>
      </c>
      <c r="H623" s="4" t="e">
        <v>#N/A</v>
      </c>
      <c r="I623" s="4" t="e">
        <v>#N/A</v>
      </c>
      <c r="J623" s="4" t="e">
        <v>#N/A</v>
      </c>
      <c r="K623" s="4"/>
      <c r="L623" s="4"/>
      <c r="M623" s="4"/>
      <c r="N623" s="4"/>
      <c r="O623" s="4"/>
      <c r="P623" s="4"/>
      <c r="Q623" s="4"/>
      <c r="R623" s="4"/>
      <c r="S623" s="4"/>
      <c r="T623" s="4"/>
      <c r="U623" s="4"/>
      <c r="V623" s="4"/>
    </row>
    <row r="624" spans="1:22" x14ac:dyDescent="0.3">
      <c r="A624" s="4">
        <v>0</v>
      </c>
      <c r="B624" s="108" t="e">
        <v>#N/A</v>
      </c>
      <c r="C624" s="4" t="e">
        <v>#N/A</v>
      </c>
      <c r="D624" s="4" t="e">
        <v>#N/A</v>
      </c>
      <c r="E624" s="4" t="e">
        <v>#N/A</v>
      </c>
      <c r="F624" s="4" t="e">
        <v>#N/A</v>
      </c>
      <c r="G624" s="55" t="e">
        <v>#N/A</v>
      </c>
      <c r="H624" s="4" t="e">
        <v>#N/A</v>
      </c>
      <c r="I624" s="4" t="e">
        <v>#N/A</v>
      </c>
      <c r="J624" s="4" t="e">
        <v>#N/A</v>
      </c>
      <c r="K624" s="4"/>
      <c r="L624" s="4"/>
      <c r="M624" s="4"/>
      <c r="N624" s="4"/>
      <c r="O624" s="4"/>
      <c r="P624" s="4"/>
      <c r="Q624" s="4"/>
      <c r="R624" s="4"/>
      <c r="S624" s="4"/>
      <c r="T624" s="4"/>
      <c r="U624" s="4"/>
      <c r="V624" s="4"/>
    </row>
    <row r="625" spans="1:22" x14ac:dyDescent="0.3">
      <c r="A625" s="4">
        <v>0</v>
      </c>
      <c r="B625" s="108" t="e">
        <v>#N/A</v>
      </c>
      <c r="C625" s="4" t="e">
        <v>#N/A</v>
      </c>
      <c r="D625" s="4" t="e">
        <v>#N/A</v>
      </c>
      <c r="E625" s="4" t="e">
        <v>#N/A</v>
      </c>
      <c r="F625" s="4" t="e">
        <v>#N/A</v>
      </c>
      <c r="G625" s="55" t="e">
        <v>#N/A</v>
      </c>
      <c r="H625" s="4" t="e">
        <v>#N/A</v>
      </c>
      <c r="I625" s="4" t="e">
        <v>#N/A</v>
      </c>
      <c r="J625" s="4" t="e">
        <v>#N/A</v>
      </c>
      <c r="K625" s="4"/>
      <c r="L625" s="4"/>
      <c r="M625" s="4"/>
      <c r="N625" s="4"/>
      <c r="O625" s="4"/>
      <c r="P625" s="4"/>
      <c r="Q625" s="4"/>
      <c r="R625" s="4"/>
      <c r="S625" s="4"/>
      <c r="T625" s="4"/>
      <c r="U625" s="4"/>
      <c r="V625" s="4"/>
    </row>
    <row r="626" spans="1:22" x14ac:dyDescent="0.3">
      <c r="A626" s="4">
        <v>0</v>
      </c>
      <c r="B626" s="108" t="e">
        <v>#N/A</v>
      </c>
      <c r="C626" s="4" t="e">
        <v>#N/A</v>
      </c>
      <c r="D626" s="4" t="e">
        <v>#N/A</v>
      </c>
      <c r="E626" s="4" t="e">
        <v>#N/A</v>
      </c>
      <c r="F626" s="4" t="e">
        <v>#N/A</v>
      </c>
      <c r="G626" s="55" t="e">
        <v>#N/A</v>
      </c>
      <c r="H626" s="4" t="e">
        <v>#N/A</v>
      </c>
      <c r="I626" s="4" t="e">
        <v>#N/A</v>
      </c>
      <c r="J626" s="4" t="e">
        <v>#N/A</v>
      </c>
      <c r="K626" s="4"/>
      <c r="L626" s="4"/>
      <c r="M626" s="4"/>
      <c r="N626" s="4"/>
      <c r="O626" s="4"/>
      <c r="P626" s="4"/>
      <c r="Q626" s="4"/>
      <c r="R626" s="4"/>
      <c r="S626" s="4"/>
      <c r="T626" s="4"/>
      <c r="U626" s="4"/>
      <c r="V626" s="4"/>
    </row>
    <row r="627" spans="1:22" x14ac:dyDescent="0.3">
      <c r="A627" s="4">
        <v>0</v>
      </c>
      <c r="B627" s="108" t="e">
        <v>#N/A</v>
      </c>
      <c r="C627" s="4" t="e">
        <v>#N/A</v>
      </c>
      <c r="D627" s="4" t="e">
        <v>#N/A</v>
      </c>
      <c r="E627" s="4" t="e">
        <v>#N/A</v>
      </c>
      <c r="F627" s="4" t="e">
        <v>#N/A</v>
      </c>
      <c r="G627" s="55" t="e">
        <v>#N/A</v>
      </c>
      <c r="H627" s="4" t="e">
        <v>#N/A</v>
      </c>
      <c r="I627" s="4" t="e">
        <v>#N/A</v>
      </c>
      <c r="J627" s="4" t="e">
        <v>#N/A</v>
      </c>
      <c r="K627" s="4"/>
      <c r="L627" s="4"/>
      <c r="M627" s="4"/>
      <c r="N627" s="4"/>
      <c r="O627" s="4"/>
      <c r="P627" s="4"/>
      <c r="Q627" s="4"/>
      <c r="R627" s="4"/>
      <c r="S627" s="4"/>
      <c r="T627" s="4"/>
      <c r="U627" s="4"/>
      <c r="V627" s="4"/>
    </row>
    <row r="628" spans="1:22" x14ac:dyDescent="0.3">
      <c r="A628" s="4">
        <v>0</v>
      </c>
      <c r="B628" s="108" t="e">
        <v>#N/A</v>
      </c>
      <c r="C628" s="4" t="e">
        <v>#N/A</v>
      </c>
      <c r="D628" s="4" t="e">
        <v>#N/A</v>
      </c>
      <c r="E628" s="4" t="e">
        <v>#N/A</v>
      </c>
      <c r="F628" s="4" t="e">
        <v>#N/A</v>
      </c>
      <c r="G628" s="55" t="e">
        <v>#N/A</v>
      </c>
      <c r="H628" s="4" t="e">
        <v>#N/A</v>
      </c>
      <c r="I628" s="4" t="e">
        <v>#N/A</v>
      </c>
      <c r="J628" s="4" t="e">
        <v>#N/A</v>
      </c>
      <c r="K628" s="4"/>
      <c r="L628" s="4"/>
      <c r="M628" s="4"/>
      <c r="N628" s="4"/>
      <c r="O628" s="4"/>
      <c r="P628" s="4"/>
      <c r="Q628" s="4"/>
      <c r="R628" s="4"/>
      <c r="S628" s="4"/>
      <c r="T628" s="4"/>
      <c r="U628" s="4"/>
      <c r="V628" s="4"/>
    </row>
    <row r="629" spans="1:22" x14ac:dyDescent="0.3">
      <c r="A629" s="4">
        <v>0</v>
      </c>
      <c r="B629" s="108" t="e">
        <v>#N/A</v>
      </c>
      <c r="C629" s="4" t="e">
        <v>#N/A</v>
      </c>
      <c r="D629" s="4" t="e">
        <v>#N/A</v>
      </c>
      <c r="E629" s="4" t="e">
        <v>#N/A</v>
      </c>
      <c r="F629" s="4" t="e">
        <v>#N/A</v>
      </c>
      <c r="G629" s="55" t="e">
        <v>#N/A</v>
      </c>
      <c r="H629" s="4" t="e">
        <v>#N/A</v>
      </c>
      <c r="I629" s="4" t="e">
        <v>#N/A</v>
      </c>
      <c r="J629" s="4" t="e">
        <v>#N/A</v>
      </c>
      <c r="K629" s="4"/>
      <c r="L629" s="4"/>
      <c r="M629" s="4"/>
      <c r="N629" s="4"/>
      <c r="O629" s="4"/>
      <c r="P629" s="4"/>
      <c r="Q629" s="4"/>
      <c r="R629" s="4"/>
      <c r="S629" s="4"/>
      <c r="T629" s="4"/>
      <c r="U629" s="4"/>
      <c r="V629" s="4"/>
    </row>
    <row r="630" spans="1:22" x14ac:dyDescent="0.3">
      <c r="A630" s="4">
        <v>0</v>
      </c>
      <c r="B630" s="108" t="e">
        <v>#N/A</v>
      </c>
      <c r="C630" s="4" t="e">
        <v>#N/A</v>
      </c>
      <c r="D630" s="4" t="e">
        <v>#N/A</v>
      </c>
      <c r="E630" s="4" t="e">
        <v>#N/A</v>
      </c>
      <c r="F630" s="4" t="e">
        <v>#N/A</v>
      </c>
      <c r="G630" s="55" t="e">
        <v>#N/A</v>
      </c>
      <c r="H630" s="4" t="e">
        <v>#N/A</v>
      </c>
      <c r="I630" s="4" t="e">
        <v>#N/A</v>
      </c>
      <c r="J630" s="4" t="e">
        <v>#N/A</v>
      </c>
      <c r="K630" s="4"/>
      <c r="L630" s="4"/>
      <c r="M630" s="4"/>
      <c r="N630" s="4"/>
      <c r="O630" s="4"/>
      <c r="P630" s="4"/>
      <c r="Q630" s="4"/>
      <c r="R630" s="4"/>
      <c r="S630" s="4"/>
      <c r="T630" s="4"/>
      <c r="U630" s="4"/>
      <c r="V630" s="4"/>
    </row>
    <row r="631" spans="1:22" x14ac:dyDescent="0.3">
      <c r="A631" s="4">
        <v>0</v>
      </c>
      <c r="B631" s="108" t="e">
        <v>#N/A</v>
      </c>
      <c r="C631" s="4" t="e">
        <v>#N/A</v>
      </c>
      <c r="D631" s="4" t="e">
        <v>#N/A</v>
      </c>
      <c r="E631" s="4" t="e">
        <v>#N/A</v>
      </c>
      <c r="F631" s="4" t="e">
        <v>#N/A</v>
      </c>
      <c r="G631" s="55" t="e">
        <v>#N/A</v>
      </c>
      <c r="H631" s="4" t="e">
        <v>#N/A</v>
      </c>
      <c r="I631" s="4" t="e">
        <v>#N/A</v>
      </c>
      <c r="J631" s="4" t="e">
        <v>#N/A</v>
      </c>
      <c r="K631" s="4"/>
      <c r="L631" s="4"/>
      <c r="M631" s="4"/>
      <c r="N631" s="4"/>
      <c r="O631" s="4"/>
      <c r="P631" s="4"/>
      <c r="Q631" s="4"/>
      <c r="R631" s="4"/>
      <c r="S631" s="4"/>
      <c r="T631" s="4"/>
      <c r="U631" s="4"/>
      <c r="V631" s="4"/>
    </row>
    <row r="632" spans="1:22" x14ac:dyDescent="0.3">
      <c r="A632" s="4">
        <v>0</v>
      </c>
      <c r="B632" s="108" t="e">
        <v>#N/A</v>
      </c>
      <c r="C632" s="4" t="e">
        <v>#N/A</v>
      </c>
      <c r="D632" s="4" t="e">
        <v>#N/A</v>
      </c>
      <c r="E632" s="4" t="e">
        <v>#N/A</v>
      </c>
      <c r="F632" s="4" t="e">
        <v>#N/A</v>
      </c>
      <c r="G632" s="55" t="e">
        <v>#N/A</v>
      </c>
      <c r="H632" s="4" t="e">
        <v>#N/A</v>
      </c>
      <c r="I632" s="4" t="e">
        <v>#N/A</v>
      </c>
      <c r="J632" s="4" t="e">
        <v>#N/A</v>
      </c>
      <c r="K632" s="4"/>
      <c r="L632" s="4"/>
      <c r="M632" s="4"/>
      <c r="N632" s="4"/>
      <c r="O632" s="4"/>
      <c r="P632" s="4"/>
      <c r="Q632" s="4"/>
      <c r="R632" s="4"/>
      <c r="S632" s="4"/>
      <c r="T632" s="4"/>
      <c r="U632" s="4"/>
      <c r="V632" s="4"/>
    </row>
    <row r="633" spans="1:22" x14ac:dyDescent="0.3">
      <c r="A633" s="4">
        <v>0</v>
      </c>
      <c r="B633" s="108" t="e">
        <v>#N/A</v>
      </c>
      <c r="C633" s="4" t="e">
        <v>#N/A</v>
      </c>
      <c r="D633" s="4" t="e">
        <v>#N/A</v>
      </c>
      <c r="E633" s="4" t="e">
        <v>#N/A</v>
      </c>
      <c r="F633" s="4" t="e">
        <v>#N/A</v>
      </c>
      <c r="G633" s="55" t="e">
        <v>#N/A</v>
      </c>
      <c r="H633" s="4" t="e">
        <v>#N/A</v>
      </c>
      <c r="I633" s="4" t="e">
        <v>#N/A</v>
      </c>
      <c r="J633" s="4" t="e">
        <v>#N/A</v>
      </c>
      <c r="K633" s="4"/>
      <c r="L633" s="4"/>
      <c r="M633" s="4"/>
      <c r="N633" s="4"/>
      <c r="O633" s="4"/>
      <c r="P633" s="4"/>
      <c r="Q633" s="4"/>
      <c r="R633" s="4"/>
      <c r="S633" s="4"/>
      <c r="T633" s="4"/>
      <c r="U633" s="4"/>
      <c r="V633" s="4"/>
    </row>
    <row r="634" spans="1:22" x14ac:dyDescent="0.3">
      <c r="A634" s="4">
        <v>0</v>
      </c>
      <c r="B634" s="108" t="e">
        <v>#N/A</v>
      </c>
      <c r="C634" s="4" t="e">
        <v>#N/A</v>
      </c>
      <c r="D634" s="4" t="e">
        <v>#N/A</v>
      </c>
      <c r="E634" s="4" t="e">
        <v>#N/A</v>
      </c>
      <c r="F634" s="4" t="e">
        <v>#N/A</v>
      </c>
      <c r="G634" s="55" t="e">
        <v>#N/A</v>
      </c>
      <c r="H634" s="4" t="e">
        <v>#N/A</v>
      </c>
      <c r="I634" s="4" t="e">
        <v>#N/A</v>
      </c>
      <c r="J634" s="4" t="e">
        <v>#N/A</v>
      </c>
      <c r="K634" s="4"/>
      <c r="L634" s="4"/>
      <c r="M634" s="4"/>
      <c r="N634" s="4"/>
      <c r="O634" s="4"/>
      <c r="P634" s="4"/>
      <c r="Q634" s="4"/>
      <c r="R634" s="4"/>
      <c r="S634" s="4"/>
      <c r="T634" s="4"/>
      <c r="U634" s="4"/>
      <c r="V634" s="4"/>
    </row>
    <row r="635" spans="1:22" x14ac:dyDescent="0.3">
      <c r="A635" s="4">
        <v>0</v>
      </c>
      <c r="B635" s="108" t="e">
        <v>#N/A</v>
      </c>
      <c r="C635" s="4" t="e">
        <v>#N/A</v>
      </c>
      <c r="D635" s="4" t="e">
        <v>#N/A</v>
      </c>
      <c r="E635" s="4" t="e">
        <v>#N/A</v>
      </c>
      <c r="F635" s="4" t="e">
        <v>#N/A</v>
      </c>
      <c r="G635" s="55" t="e">
        <v>#N/A</v>
      </c>
      <c r="H635" s="4" t="e">
        <v>#N/A</v>
      </c>
      <c r="I635" s="4" t="e">
        <v>#N/A</v>
      </c>
      <c r="J635" s="4" t="e">
        <v>#N/A</v>
      </c>
      <c r="K635" s="4"/>
      <c r="L635" s="4"/>
      <c r="M635" s="4"/>
      <c r="N635" s="4"/>
      <c r="O635" s="4"/>
      <c r="P635" s="4"/>
      <c r="Q635" s="4"/>
      <c r="R635" s="4"/>
      <c r="S635" s="4"/>
      <c r="T635" s="4"/>
      <c r="U635" s="4"/>
      <c r="V635" s="4"/>
    </row>
    <row r="636" spans="1:22" x14ac:dyDescent="0.3">
      <c r="A636" s="4">
        <v>0</v>
      </c>
      <c r="B636" s="108" t="e">
        <v>#N/A</v>
      </c>
      <c r="C636" s="4" t="e">
        <v>#N/A</v>
      </c>
      <c r="D636" s="4" t="e">
        <v>#N/A</v>
      </c>
      <c r="E636" s="4" t="e">
        <v>#N/A</v>
      </c>
      <c r="F636" s="4" t="e">
        <v>#N/A</v>
      </c>
      <c r="G636" s="55" t="e">
        <v>#N/A</v>
      </c>
      <c r="H636" s="4" t="e">
        <v>#N/A</v>
      </c>
      <c r="I636" s="4" t="e">
        <v>#N/A</v>
      </c>
      <c r="J636" s="4" t="e">
        <v>#N/A</v>
      </c>
      <c r="K636" s="4"/>
      <c r="L636" s="4"/>
      <c r="M636" s="4"/>
      <c r="N636" s="4"/>
      <c r="O636" s="4"/>
      <c r="P636" s="4"/>
      <c r="Q636" s="4"/>
      <c r="R636" s="4"/>
      <c r="S636" s="4"/>
      <c r="T636" s="4"/>
      <c r="U636" s="4"/>
      <c r="V636" s="4"/>
    </row>
    <row r="637" spans="1:22" x14ac:dyDescent="0.3">
      <c r="A637" s="4">
        <v>0</v>
      </c>
      <c r="B637" s="108" t="e">
        <v>#N/A</v>
      </c>
      <c r="C637" s="4" t="e">
        <v>#N/A</v>
      </c>
      <c r="D637" s="4" t="e">
        <v>#N/A</v>
      </c>
      <c r="E637" s="4" t="e">
        <v>#N/A</v>
      </c>
      <c r="F637" s="4" t="e">
        <v>#N/A</v>
      </c>
      <c r="G637" s="55" t="e">
        <v>#N/A</v>
      </c>
      <c r="H637" s="4" t="e">
        <v>#N/A</v>
      </c>
      <c r="I637" s="4" t="e">
        <v>#N/A</v>
      </c>
      <c r="J637" s="4" t="e">
        <v>#N/A</v>
      </c>
      <c r="K637" s="4"/>
      <c r="L637" s="4"/>
      <c r="M637" s="4"/>
      <c r="N637" s="4"/>
      <c r="O637" s="4"/>
      <c r="P637" s="4"/>
      <c r="Q637" s="4"/>
      <c r="R637" s="4"/>
      <c r="S637" s="4"/>
      <c r="T637" s="4"/>
      <c r="U637" s="4"/>
      <c r="V637" s="4"/>
    </row>
    <row r="638" spans="1:22" x14ac:dyDescent="0.3">
      <c r="A638" s="4">
        <v>0</v>
      </c>
      <c r="B638" s="108" t="e">
        <v>#N/A</v>
      </c>
      <c r="C638" s="4" t="e">
        <v>#N/A</v>
      </c>
      <c r="D638" s="4" t="e">
        <v>#N/A</v>
      </c>
      <c r="E638" s="4" t="e">
        <v>#N/A</v>
      </c>
      <c r="F638" s="4" t="e">
        <v>#N/A</v>
      </c>
      <c r="G638" s="55" t="e">
        <v>#N/A</v>
      </c>
      <c r="H638" s="4" t="e">
        <v>#N/A</v>
      </c>
      <c r="I638" s="4" t="e">
        <v>#N/A</v>
      </c>
      <c r="J638" s="4" t="e">
        <v>#N/A</v>
      </c>
      <c r="K638" s="4"/>
      <c r="L638" s="4"/>
      <c r="M638" s="4"/>
      <c r="N638" s="4"/>
      <c r="O638" s="4"/>
      <c r="P638" s="4"/>
      <c r="Q638" s="4"/>
      <c r="R638" s="4"/>
      <c r="S638" s="4"/>
      <c r="T638" s="4"/>
      <c r="U638" s="4"/>
      <c r="V638" s="4"/>
    </row>
    <row r="639" spans="1:22" x14ac:dyDescent="0.3">
      <c r="A639" s="4">
        <v>0</v>
      </c>
      <c r="B639" s="108" t="e">
        <v>#N/A</v>
      </c>
      <c r="C639" s="4" t="e">
        <v>#N/A</v>
      </c>
      <c r="D639" s="4" t="e">
        <v>#N/A</v>
      </c>
      <c r="E639" s="4" t="e">
        <v>#N/A</v>
      </c>
      <c r="F639" s="4" t="e">
        <v>#N/A</v>
      </c>
      <c r="G639" s="55" t="e">
        <v>#N/A</v>
      </c>
      <c r="H639" s="4" t="e">
        <v>#N/A</v>
      </c>
      <c r="I639" s="4" t="e">
        <v>#N/A</v>
      </c>
      <c r="J639" s="4" t="e">
        <v>#N/A</v>
      </c>
      <c r="K639" s="4"/>
      <c r="L639" s="4"/>
      <c r="M639" s="4"/>
      <c r="N639" s="4"/>
      <c r="O639" s="4"/>
      <c r="P639" s="4"/>
      <c r="Q639" s="4"/>
      <c r="R639" s="4"/>
      <c r="S639" s="4"/>
      <c r="T639" s="4"/>
      <c r="U639" s="4"/>
      <c r="V639" s="4"/>
    </row>
    <row r="640" spans="1:22" x14ac:dyDescent="0.3">
      <c r="A640" s="4">
        <v>0</v>
      </c>
      <c r="B640" s="108" t="e">
        <v>#N/A</v>
      </c>
      <c r="C640" s="4" t="e">
        <v>#N/A</v>
      </c>
      <c r="D640" s="4" t="e">
        <v>#N/A</v>
      </c>
      <c r="E640" s="4" t="e">
        <v>#N/A</v>
      </c>
      <c r="F640" s="4" t="e">
        <v>#N/A</v>
      </c>
      <c r="G640" s="55" t="e">
        <v>#N/A</v>
      </c>
      <c r="H640" s="4" t="e">
        <v>#N/A</v>
      </c>
      <c r="I640" s="4" t="e">
        <v>#N/A</v>
      </c>
      <c r="J640" s="4" t="e">
        <v>#N/A</v>
      </c>
      <c r="K640" s="4"/>
      <c r="L640" s="4"/>
      <c r="M640" s="4"/>
      <c r="N640" s="4"/>
      <c r="O640" s="4"/>
      <c r="P640" s="4"/>
      <c r="Q640" s="4"/>
      <c r="R640" s="4"/>
      <c r="S640" s="4"/>
      <c r="T640" s="4"/>
      <c r="U640" s="4"/>
      <c r="V640" s="4"/>
    </row>
    <row r="641" spans="1:22" x14ac:dyDescent="0.3">
      <c r="A641" s="4">
        <v>0</v>
      </c>
      <c r="B641" s="108" t="e">
        <v>#N/A</v>
      </c>
      <c r="C641" s="4" t="e">
        <v>#N/A</v>
      </c>
      <c r="D641" s="4" t="e">
        <v>#N/A</v>
      </c>
      <c r="E641" s="4" t="e">
        <v>#N/A</v>
      </c>
      <c r="F641" s="4" t="e">
        <v>#N/A</v>
      </c>
      <c r="G641" s="55" t="e">
        <v>#N/A</v>
      </c>
      <c r="H641" s="4" t="e">
        <v>#N/A</v>
      </c>
      <c r="I641" s="4" t="e">
        <v>#N/A</v>
      </c>
      <c r="J641" s="4" t="e">
        <v>#N/A</v>
      </c>
      <c r="K641" s="4"/>
      <c r="L641" s="4"/>
      <c r="M641" s="4"/>
      <c r="N641" s="4"/>
      <c r="O641" s="4"/>
      <c r="P641" s="4"/>
      <c r="Q641" s="4"/>
      <c r="R641" s="4"/>
      <c r="S641" s="4"/>
      <c r="T641" s="4"/>
      <c r="U641" s="4"/>
      <c r="V641" s="4"/>
    </row>
    <row r="642" spans="1:22" x14ac:dyDescent="0.3">
      <c r="A642" s="4">
        <v>0</v>
      </c>
      <c r="B642" s="108" t="e">
        <v>#N/A</v>
      </c>
      <c r="C642" s="4" t="e">
        <v>#N/A</v>
      </c>
      <c r="D642" s="4" t="e">
        <v>#N/A</v>
      </c>
      <c r="E642" s="4" t="e">
        <v>#N/A</v>
      </c>
      <c r="F642" s="4" t="e">
        <v>#N/A</v>
      </c>
      <c r="G642" s="55" t="e">
        <v>#N/A</v>
      </c>
      <c r="H642" s="4" t="e">
        <v>#N/A</v>
      </c>
      <c r="I642" s="4" t="e">
        <v>#N/A</v>
      </c>
      <c r="J642" s="4" t="e">
        <v>#N/A</v>
      </c>
      <c r="K642" s="4"/>
      <c r="L642" s="4"/>
      <c r="M642" s="4"/>
      <c r="N642" s="4"/>
      <c r="O642" s="4"/>
      <c r="P642" s="4"/>
      <c r="Q642" s="4"/>
      <c r="R642" s="4"/>
      <c r="S642" s="4"/>
      <c r="T642" s="4"/>
      <c r="U642" s="4"/>
      <c r="V642" s="4"/>
    </row>
    <row r="643" spans="1:22" x14ac:dyDescent="0.3">
      <c r="A643" s="4">
        <v>0</v>
      </c>
      <c r="B643" s="108" t="e">
        <v>#N/A</v>
      </c>
      <c r="C643" s="4" t="e">
        <v>#N/A</v>
      </c>
      <c r="D643" s="4" t="e">
        <v>#N/A</v>
      </c>
      <c r="E643" s="4" t="e">
        <v>#N/A</v>
      </c>
      <c r="F643" s="4" t="e">
        <v>#N/A</v>
      </c>
      <c r="G643" s="55" t="e">
        <v>#N/A</v>
      </c>
      <c r="H643" s="4" t="e">
        <v>#N/A</v>
      </c>
      <c r="I643" s="4" t="e">
        <v>#N/A</v>
      </c>
      <c r="J643" s="4" t="e">
        <v>#N/A</v>
      </c>
      <c r="K643" s="4"/>
      <c r="L643" s="4"/>
      <c r="M643" s="4"/>
      <c r="N643" s="4"/>
      <c r="O643" s="4"/>
      <c r="P643" s="4"/>
      <c r="Q643" s="4"/>
      <c r="R643" s="4"/>
      <c r="S643" s="4"/>
      <c r="T643" s="4"/>
      <c r="U643" s="4"/>
      <c r="V643" s="4"/>
    </row>
    <row r="644" spans="1:22" x14ac:dyDescent="0.3">
      <c r="A644" s="4">
        <v>0</v>
      </c>
      <c r="B644" s="108" t="e">
        <v>#N/A</v>
      </c>
      <c r="C644" s="4" t="e">
        <v>#N/A</v>
      </c>
      <c r="D644" s="4" t="e">
        <v>#N/A</v>
      </c>
      <c r="E644" s="4" t="e">
        <v>#N/A</v>
      </c>
      <c r="F644" s="4" t="e">
        <v>#N/A</v>
      </c>
      <c r="G644" s="55" t="e">
        <v>#N/A</v>
      </c>
      <c r="H644" s="4" t="e">
        <v>#N/A</v>
      </c>
      <c r="I644" s="4" t="e">
        <v>#N/A</v>
      </c>
      <c r="J644" s="4" t="e">
        <v>#N/A</v>
      </c>
      <c r="K644" s="4"/>
      <c r="L644" s="4"/>
      <c r="M644" s="4"/>
      <c r="N644" s="4"/>
      <c r="O644" s="4"/>
      <c r="P644" s="4"/>
      <c r="Q644" s="4"/>
      <c r="R644" s="4"/>
      <c r="S644" s="4"/>
      <c r="T644" s="4"/>
      <c r="U644" s="4"/>
      <c r="V644" s="4"/>
    </row>
    <row r="645" spans="1:22" x14ac:dyDescent="0.3">
      <c r="A645" s="4">
        <v>0</v>
      </c>
      <c r="B645" s="108" t="e">
        <v>#N/A</v>
      </c>
      <c r="C645" s="4" t="e">
        <v>#N/A</v>
      </c>
      <c r="D645" s="4" t="e">
        <v>#N/A</v>
      </c>
      <c r="E645" s="4" t="e">
        <v>#N/A</v>
      </c>
      <c r="F645" s="4" t="e">
        <v>#N/A</v>
      </c>
      <c r="G645" s="55" t="e">
        <v>#N/A</v>
      </c>
      <c r="H645" s="4" t="e">
        <v>#N/A</v>
      </c>
      <c r="I645" s="4" t="e">
        <v>#N/A</v>
      </c>
      <c r="J645" s="4" t="e">
        <v>#N/A</v>
      </c>
      <c r="K645" s="4"/>
      <c r="L645" s="4"/>
      <c r="M645" s="4"/>
      <c r="N645" s="4"/>
      <c r="O645" s="4"/>
      <c r="P645" s="4"/>
      <c r="Q645" s="4"/>
      <c r="R645" s="4"/>
      <c r="S645" s="4"/>
      <c r="T645" s="4"/>
      <c r="U645" s="4"/>
      <c r="V645" s="4"/>
    </row>
    <row r="646" spans="1:22" x14ac:dyDescent="0.3">
      <c r="A646" s="4">
        <v>0</v>
      </c>
      <c r="B646" s="108" t="e">
        <v>#N/A</v>
      </c>
      <c r="C646" s="4" t="e">
        <v>#N/A</v>
      </c>
      <c r="D646" s="4" t="e">
        <v>#N/A</v>
      </c>
      <c r="E646" s="4" t="e">
        <v>#N/A</v>
      </c>
      <c r="F646" s="4" t="e">
        <v>#N/A</v>
      </c>
      <c r="G646" s="55" t="e">
        <v>#N/A</v>
      </c>
      <c r="H646" s="4" t="e">
        <v>#N/A</v>
      </c>
      <c r="I646" s="4" t="e">
        <v>#N/A</v>
      </c>
      <c r="J646" s="4" t="e">
        <v>#N/A</v>
      </c>
      <c r="K646" s="4"/>
      <c r="L646" s="4"/>
      <c r="M646" s="4"/>
      <c r="N646" s="4"/>
      <c r="O646" s="4"/>
      <c r="P646" s="4"/>
      <c r="Q646" s="4"/>
      <c r="R646" s="4"/>
      <c r="S646" s="4"/>
      <c r="T646" s="4"/>
      <c r="U646" s="4"/>
      <c r="V646" s="4"/>
    </row>
    <row r="647" spans="1:22" x14ac:dyDescent="0.3">
      <c r="A647" s="4">
        <v>0</v>
      </c>
      <c r="B647" s="108" t="e">
        <v>#N/A</v>
      </c>
      <c r="C647" s="4" t="e">
        <v>#N/A</v>
      </c>
      <c r="D647" s="4" t="e">
        <v>#N/A</v>
      </c>
      <c r="E647" s="4" t="e">
        <v>#N/A</v>
      </c>
      <c r="F647" s="4" t="e">
        <v>#N/A</v>
      </c>
      <c r="G647" s="55" t="e">
        <v>#N/A</v>
      </c>
      <c r="H647" s="4" t="e">
        <v>#N/A</v>
      </c>
      <c r="I647" s="4" t="e">
        <v>#N/A</v>
      </c>
      <c r="J647" s="4" t="e">
        <v>#N/A</v>
      </c>
      <c r="K647" s="4"/>
      <c r="L647" s="4"/>
      <c r="M647" s="4"/>
      <c r="N647" s="4"/>
      <c r="O647" s="4"/>
      <c r="P647" s="4"/>
      <c r="Q647" s="4"/>
      <c r="R647" s="4"/>
      <c r="S647" s="4"/>
      <c r="T647" s="4"/>
      <c r="U647" s="4"/>
      <c r="V647" s="4"/>
    </row>
    <row r="648" spans="1:22" x14ac:dyDescent="0.3">
      <c r="A648" s="4">
        <v>0</v>
      </c>
      <c r="B648" s="108" t="e">
        <v>#N/A</v>
      </c>
      <c r="C648" s="4" t="e">
        <v>#N/A</v>
      </c>
      <c r="D648" s="4" t="e">
        <v>#N/A</v>
      </c>
      <c r="E648" s="4" t="e">
        <v>#N/A</v>
      </c>
      <c r="F648" s="4" t="e">
        <v>#N/A</v>
      </c>
      <c r="G648" s="55" t="e">
        <v>#N/A</v>
      </c>
      <c r="H648" s="4" t="e">
        <v>#N/A</v>
      </c>
      <c r="I648" s="4" t="e">
        <v>#N/A</v>
      </c>
      <c r="J648" s="4" t="e">
        <v>#N/A</v>
      </c>
      <c r="K648" s="4"/>
      <c r="L648" s="4"/>
      <c r="M648" s="4"/>
      <c r="N648" s="4"/>
      <c r="O648" s="4"/>
      <c r="P648" s="4"/>
      <c r="Q648" s="4"/>
      <c r="R648" s="4"/>
      <c r="S648" s="4"/>
      <c r="T648" s="4"/>
      <c r="U648" s="4"/>
      <c r="V648" s="4"/>
    </row>
    <row r="649" spans="1:22" x14ac:dyDescent="0.3">
      <c r="A649" s="4">
        <v>0</v>
      </c>
      <c r="B649" s="108" t="e">
        <v>#N/A</v>
      </c>
      <c r="C649" s="4" t="e">
        <v>#N/A</v>
      </c>
      <c r="D649" s="4" t="e">
        <v>#N/A</v>
      </c>
      <c r="E649" s="4" t="e">
        <v>#N/A</v>
      </c>
      <c r="F649" s="4" t="e">
        <v>#N/A</v>
      </c>
      <c r="G649" s="55" t="e">
        <v>#N/A</v>
      </c>
      <c r="H649" s="4" t="e">
        <v>#N/A</v>
      </c>
      <c r="I649" s="4" t="e">
        <v>#N/A</v>
      </c>
      <c r="J649" s="4" t="e">
        <v>#N/A</v>
      </c>
      <c r="K649" s="4"/>
      <c r="L649" s="4"/>
      <c r="M649" s="4"/>
      <c r="N649" s="4"/>
      <c r="O649" s="4"/>
      <c r="P649" s="4"/>
      <c r="Q649" s="4"/>
      <c r="R649" s="4"/>
      <c r="S649" s="4"/>
      <c r="T649" s="4"/>
      <c r="U649" s="4"/>
      <c r="V649" s="4"/>
    </row>
    <row r="650" spans="1:22" x14ac:dyDescent="0.3">
      <c r="A650" s="4">
        <v>0</v>
      </c>
      <c r="B650" s="108" t="e">
        <v>#N/A</v>
      </c>
      <c r="C650" s="4" t="e">
        <v>#N/A</v>
      </c>
      <c r="D650" s="4" t="e">
        <v>#N/A</v>
      </c>
      <c r="E650" s="4" t="e">
        <v>#N/A</v>
      </c>
      <c r="F650" s="4" t="e">
        <v>#N/A</v>
      </c>
      <c r="G650" s="55" t="e">
        <v>#N/A</v>
      </c>
      <c r="H650" s="4" t="e">
        <v>#N/A</v>
      </c>
      <c r="I650" s="4" t="e">
        <v>#N/A</v>
      </c>
      <c r="J650" s="4" t="e">
        <v>#N/A</v>
      </c>
      <c r="K650" s="4"/>
      <c r="L650" s="4"/>
      <c r="M650" s="4"/>
      <c r="N650" s="4"/>
      <c r="O650" s="4"/>
      <c r="P650" s="4"/>
      <c r="Q650" s="4"/>
      <c r="R650" s="4"/>
      <c r="S650" s="4"/>
      <c r="T650" s="4"/>
      <c r="U650" s="4"/>
      <c r="V650" s="4"/>
    </row>
    <row r="651" spans="1:22" x14ac:dyDescent="0.3">
      <c r="A651" s="4">
        <v>0</v>
      </c>
      <c r="B651" s="108" t="e">
        <v>#N/A</v>
      </c>
      <c r="C651" s="4" t="e">
        <v>#N/A</v>
      </c>
      <c r="D651" s="4" t="e">
        <v>#N/A</v>
      </c>
      <c r="E651" s="4" t="e">
        <v>#N/A</v>
      </c>
      <c r="F651" s="4" t="e">
        <v>#N/A</v>
      </c>
      <c r="G651" s="55" t="e">
        <v>#N/A</v>
      </c>
      <c r="H651" s="4" t="e">
        <v>#N/A</v>
      </c>
      <c r="I651" s="4" t="e">
        <v>#N/A</v>
      </c>
      <c r="J651" s="4" t="e">
        <v>#N/A</v>
      </c>
      <c r="K651" s="4"/>
      <c r="L651" s="4"/>
      <c r="M651" s="4"/>
      <c r="N651" s="4"/>
      <c r="O651" s="4"/>
      <c r="P651" s="4"/>
      <c r="Q651" s="4"/>
      <c r="R651" s="4"/>
      <c r="S651" s="4"/>
      <c r="T651" s="4"/>
      <c r="U651" s="4"/>
      <c r="V651" s="4"/>
    </row>
    <row r="652" spans="1:22" x14ac:dyDescent="0.3">
      <c r="A652" s="4">
        <v>0</v>
      </c>
      <c r="B652" s="108" t="e">
        <v>#N/A</v>
      </c>
      <c r="C652" s="4" t="e">
        <v>#N/A</v>
      </c>
      <c r="D652" s="4" t="e">
        <v>#N/A</v>
      </c>
      <c r="E652" s="4" t="e">
        <v>#N/A</v>
      </c>
      <c r="F652" s="4" t="e">
        <v>#N/A</v>
      </c>
      <c r="G652" s="55" t="e">
        <v>#N/A</v>
      </c>
      <c r="H652" s="4" t="e">
        <v>#N/A</v>
      </c>
      <c r="I652" s="4" t="e">
        <v>#N/A</v>
      </c>
      <c r="J652" s="4" t="e">
        <v>#N/A</v>
      </c>
      <c r="K652" s="4"/>
      <c r="L652" s="4"/>
      <c r="M652" s="4"/>
      <c r="N652" s="4"/>
      <c r="O652" s="4"/>
      <c r="P652" s="4"/>
      <c r="Q652" s="4"/>
      <c r="R652" s="4"/>
      <c r="S652" s="4"/>
      <c r="T652" s="4"/>
      <c r="U652" s="4"/>
      <c r="V652" s="4"/>
    </row>
    <row r="653" spans="1:22" x14ac:dyDescent="0.3">
      <c r="A653" s="4">
        <v>0</v>
      </c>
      <c r="B653" s="108" t="e">
        <v>#N/A</v>
      </c>
      <c r="C653" s="4" t="e">
        <v>#N/A</v>
      </c>
      <c r="D653" s="4" t="e">
        <v>#N/A</v>
      </c>
      <c r="E653" s="4" t="e">
        <v>#N/A</v>
      </c>
      <c r="F653" s="4" t="e">
        <v>#N/A</v>
      </c>
      <c r="G653" s="55" t="e">
        <v>#N/A</v>
      </c>
      <c r="H653" s="4" t="e">
        <v>#N/A</v>
      </c>
      <c r="I653" s="4" t="e">
        <v>#N/A</v>
      </c>
      <c r="J653" s="4" t="e">
        <v>#N/A</v>
      </c>
      <c r="K653" s="4"/>
      <c r="L653" s="4"/>
      <c r="M653" s="4"/>
      <c r="N653" s="4"/>
      <c r="O653" s="4"/>
      <c r="P653" s="4"/>
      <c r="Q653" s="4"/>
      <c r="R653" s="4"/>
      <c r="S653" s="4"/>
      <c r="T653" s="4"/>
      <c r="U653" s="4"/>
      <c r="V653" s="4"/>
    </row>
    <row r="654" spans="1:22" x14ac:dyDescent="0.3">
      <c r="A654" s="4">
        <v>0</v>
      </c>
      <c r="B654" s="108" t="e">
        <v>#N/A</v>
      </c>
      <c r="C654" s="4" t="e">
        <v>#N/A</v>
      </c>
      <c r="D654" s="4" t="e">
        <v>#N/A</v>
      </c>
      <c r="E654" s="4" t="e">
        <v>#N/A</v>
      </c>
      <c r="F654" s="4" t="e">
        <v>#N/A</v>
      </c>
      <c r="G654" s="55" t="e">
        <v>#N/A</v>
      </c>
      <c r="H654" s="4" t="e">
        <v>#N/A</v>
      </c>
      <c r="I654" s="4" t="e">
        <v>#N/A</v>
      </c>
      <c r="J654" s="4" t="e">
        <v>#N/A</v>
      </c>
      <c r="K654" s="4"/>
      <c r="L654" s="4"/>
      <c r="M654" s="4"/>
      <c r="N654" s="4"/>
      <c r="O654" s="4"/>
      <c r="P654" s="4"/>
      <c r="Q654" s="4"/>
      <c r="R654" s="4"/>
      <c r="S654" s="4"/>
      <c r="T654" s="4"/>
      <c r="U654" s="4"/>
      <c r="V654" s="4"/>
    </row>
    <row r="655" spans="1:22" x14ac:dyDescent="0.3">
      <c r="A655" s="4">
        <v>0</v>
      </c>
      <c r="B655" s="108" t="e">
        <v>#N/A</v>
      </c>
      <c r="C655" s="4" t="e">
        <v>#N/A</v>
      </c>
      <c r="D655" s="4" t="e">
        <v>#N/A</v>
      </c>
      <c r="E655" s="4" t="e">
        <v>#N/A</v>
      </c>
      <c r="F655" s="4" t="e">
        <v>#N/A</v>
      </c>
      <c r="G655" s="55" t="e">
        <v>#N/A</v>
      </c>
      <c r="H655" s="4" t="e">
        <v>#N/A</v>
      </c>
      <c r="I655" s="4" t="e">
        <v>#N/A</v>
      </c>
      <c r="J655" s="4" t="e">
        <v>#N/A</v>
      </c>
      <c r="K655" s="4"/>
      <c r="L655" s="4"/>
      <c r="M655" s="4"/>
      <c r="N655" s="4"/>
      <c r="O655" s="4"/>
      <c r="P655" s="4"/>
      <c r="Q655" s="4"/>
      <c r="R655" s="4"/>
      <c r="S655" s="4"/>
      <c r="T655" s="4"/>
      <c r="U655" s="4"/>
      <c r="V655" s="4"/>
    </row>
    <row r="656" spans="1:22" x14ac:dyDescent="0.3">
      <c r="A656" s="4">
        <v>0</v>
      </c>
      <c r="B656" s="108" t="e">
        <v>#N/A</v>
      </c>
      <c r="C656" s="4" t="e">
        <v>#N/A</v>
      </c>
      <c r="D656" s="4" t="e">
        <v>#N/A</v>
      </c>
      <c r="E656" s="4" t="e">
        <v>#N/A</v>
      </c>
      <c r="F656" s="4" t="e">
        <v>#N/A</v>
      </c>
      <c r="G656" s="55" t="e">
        <v>#N/A</v>
      </c>
      <c r="H656" s="4" t="e">
        <v>#N/A</v>
      </c>
      <c r="I656" s="4" t="e">
        <v>#N/A</v>
      </c>
      <c r="J656" s="4" t="e">
        <v>#N/A</v>
      </c>
      <c r="K656" s="4"/>
      <c r="L656" s="4"/>
      <c r="M656" s="4"/>
      <c r="N656" s="4"/>
      <c r="O656" s="4"/>
      <c r="P656" s="4"/>
      <c r="Q656" s="4"/>
      <c r="R656" s="4"/>
      <c r="S656" s="4"/>
      <c r="T656" s="4"/>
      <c r="U656" s="4"/>
      <c r="V656" s="4"/>
    </row>
    <row r="657" spans="1:22" x14ac:dyDescent="0.3">
      <c r="A657" s="4">
        <v>0</v>
      </c>
      <c r="B657" s="108" t="e">
        <v>#N/A</v>
      </c>
      <c r="C657" s="4" t="e">
        <v>#N/A</v>
      </c>
      <c r="D657" s="4" t="e">
        <v>#N/A</v>
      </c>
      <c r="E657" s="4" t="e">
        <v>#N/A</v>
      </c>
      <c r="F657" s="4" t="e">
        <v>#N/A</v>
      </c>
      <c r="G657" s="55" t="e">
        <v>#N/A</v>
      </c>
      <c r="H657" s="4" t="e">
        <v>#N/A</v>
      </c>
      <c r="I657" s="4" t="e">
        <v>#N/A</v>
      </c>
      <c r="J657" s="4" t="e">
        <v>#N/A</v>
      </c>
      <c r="K657" s="4"/>
      <c r="L657" s="4"/>
      <c r="M657" s="4"/>
      <c r="N657" s="4"/>
      <c r="O657" s="4"/>
      <c r="P657" s="4"/>
      <c r="Q657" s="4"/>
      <c r="R657" s="4"/>
      <c r="S657" s="4"/>
      <c r="T657" s="4"/>
      <c r="U657" s="4"/>
      <c r="V657" s="4"/>
    </row>
    <row r="658" spans="1:22" x14ac:dyDescent="0.3">
      <c r="A658" s="4">
        <v>0</v>
      </c>
      <c r="B658" s="108" t="e">
        <v>#N/A</v>
      </c>
      <c r="C658" s="4" t="e">
        <v>#N/A</v>
      </c>
      <c r="D658" s="4" t="e">
        <v>#N/A</v>
      </c>
      <c r="E658" s="4" t="e">
        <v>#N/A</v>
      </c>
      <c r="F658" s="4" t="e">
        <v>#N/A</v>
      </c>
      <c r="G658" s="55" t="e">
        <v>#N/A</v>
      </c>
      <c r="H658" s="4" t="e">
        <v>#N/A</v>
      </c>
      <c r="I658" s="4" t="e">
        <v>#N/A</v>
      </c>
      <c r="J658" s="4" t="e">
        <v>#N/A</v>
      </c>
      <c r="K658" s="4"/>
      <c r="L658" s="4"/>
      <c r="M658" s="4"/>
      <c r="N658" s="4"/>
      <c r="O658" s="4"/>
      <c r="P658" s="4"/>
      <c r="Q658" s="4"/>
      <c r="R658" s="4"/>
      <c r="S658" s="4"/>
      <c r="T658" s="4"/>
      <c r="U658" s="4"/>
      <c r="V658" s="4"/>
    </row>
    <row r="659" spans="1:22" x14ac:dyDescent="0.3">
      <c r="A659" s="4">
        <v>0</v>
      </c>
      <c r="B659" s="108" t="e">
        <v>#N/A</v>
      </c>
      <c r="C659" s="4" t="e">
        <v>#N/A</v>
      </c>
      <c r="D659" s="4" t="e">
        <v>#N/A</v>
      </c>
      <c r="E659" s="4" t="e">
        <v>#N/A</v>
      </c>
      <c r="F659" s="4" t="e">
        <v>#N/A</v>
      </c>
      <c r="G659" s="55" t="e">
        <v>#N/A</v>
      </c>
      <c r="H659" s="4" t="e">
        <v>#N/A</v>
      </c>
      <c r="I659" s="4" t="e">
        <v>#N/A</v>
      </c>
      <c r="J659" s="4" t="e">
        <v>#N/A</v>
      </c>
      <c r="K659" s="4"/>
      <c r="L659" s="4"/>
      <c r="M659" s="4"/>
      <c r="N659" s="4"/>
      <c r="O659" s="4"/>
      <c r="P659" s="4"/>
      <c r="Q659" s="4"/>
      <c r="R659" s="4"/>
      <c r="S659" s="4"/>
      <c r="T659" s="4"/>
      <c r="U659" s="4"/>
      <c r="V659" s="4"/>
    </row>
    <row r="660" spans="1:22" x14ac:dyDescent="0.3">
      <c r="A660" s="4">
        <v>0</v>
      </c>
      <c r="B660" s="108" t="e">
        <v>#N/A</v>
      </c>
      <c r="C660" s="4" t="e">
        <v>#N/A</v>
      </c>
      <c r="D660" s="4" t="e">
        <v>#N/A</v>
      </c>
      <c r="E660" s="4" t="e">
        <v>#N/A</v>
      </c>
      <c r="F660" s="4" t="e">
        <v>#N/A</v>
      </c>
      <c r="G660" s="55" t="e">
        <v>#N/A</v>
      </c>
      <c r="H660" s="4" t="e">
        <v>#N/A</v>
      </c>
      <c r="I660" s="4" t="e">
        <v>#N/A</v>
      </c>
      <c r="J660" s="4" t="e">
        <v>#N/A</v>
      </c>
      <c r="K660" s="4"/>
      <c r="L660" s="4"/>
      <c r="M660" s="4"/>
      <c r="N660" s="4"/>
      <c r="O660" s="4"/>
      <c r="P660" s="4"/>
      <c r="Q660" s="4"/>
      <c r="R660" s="4"/>
      <c r="S660" s="4"/>
      <c r="T660" s="4"/>
      <c r="U660" s="4"/>
      <c r="V660" s="4"/>
    </row>
    <row r="661" spans="1:22" x14ac:dyDescent="0.3">
      <c r="A661" s="4">
        <v>0</v>
      </c>
      <c r="B661" s="108" t="e">
        <v>#N/A</v>
      </c>
      <c r="C661" s="4" t="e">
        <v>#N/A</v>
      </c>
      <c r="D661" s="4" t="e">
        <v>#N/A</v>
      </c>
      <c r="E661" s="4" t="e">
        <v>#N/A</v>
      </c>
      <c r="F661" s="4" t="e">
        <v>#N/A</v>
      </c>
      <c r="G661" s="55" t="e">
        <v>#N/A</v>
      </c>
      <c r="H661" s="4" t="e">
        <v>#N/A</v>
      </c>
      <c r="I661" s="4" t="e">
        <v>#N/A</v>
      </c>
      <c r="J661" s="4" t="e">
        <v>#N/A</v>
      </c>
      <c r="K661" s="4"/>
      <c r="L661" s="4"/>
      <c r="M661" s="4"/>
      <c r="N661" s="4"/>
      <c r="O661" s="4"/>
      <c r="P661" s="4"/>
      <c r="Q661" s="4"/>
      <c r="R661" s="4"/>
      <c r="S661" s="4"/>
      <c r="T661" s="4"/>
      <c r="U661" s="4"/>
      <c r="V661" s="4"/>
    </row>
  </sheetData>
  <autoFilter ref="A3:P661" xr:uid="{56FEE818-40AC-4F81-B6C4-8FDA893247D8}"/>
  <mergeCells count="229">
    <mergeCell ref="K334:M334"/>
    <mergeCell ref="K335:M335"/>
    <mergeCell ref="K358:M358"/>
    <mergeCell ref="K313:M313"/>
    <mergeCell ref="K314:M314"/>
    <mergeCell ref="K317:M317"/>
    <mergeCell ref="K321:M321"/>
    <mergeCell ref="K325:M325"/>
    <mergeCell ref="K318:M318"/>
    <mergeCell ref="K148:M148"/>
    <mergeCell ref="K149:M149"/>
    <mergeCell ref="K95:M95"/>
    <mergeCell ref="K104:M104"/>
    <mergeCell ref="K107:M107"/>
    <mergeCell ref="K131:M131"/>
    <mergeCell ref="K134:M134"/>
    <mergeCell ref="K206:M206"/>
    <mergeCell ref="K157:M157"/>
    <mergeCell ref="K190:M190"/>
    <mergeCell ref="K169:M169"/>
    <mergeCell ref="K189:M189"/>
    <mergeCell ref="K136:M136"/>
    <mergeCell ref="K137:M137"/>
    <mergeCell ref="K140:M140"/>
    <mergeCell ref="K163:M163"/>
    <mergeCell ref="K168:M168"/>
    <mergeCell ref="K197:M197"/>
    <mergeCell ref="K199:M199"/>
    <mergeCell ref="K204:M204"/>
    <mergeCell ref="K9:M9"/>
    <mergeCell ref="K10:M10"/>
    <mergeCell ref="K12:M12"/>
    <mergeCell ref="N9:P9"/>
    <mergeCell ref="N10:P10"/>
    <mergeCell ref="N12:P12"/>
    <mergeCell ref="K22:V22"/>
    <mergeCell ref="K25:M25"/>
    <mergeCell ref="N25:P25"/>
    <mergeCell ref="Q25:S25"/>
    <mergeCell ref="T25:V25"/>
    <mergeCell ref="K23:M23"/>
    <mergeCell ref="N23:P23"/>
    <mergeCell ref="Q23:S23"/>
    <mergeCell ref="T23:V23"/>
    <mergeCell ref="Q2:S2"/>
    <mergeCell ref="T2:V2"/>
    <mergeCell ref="Q8:S8"/>
    <mergeCell ref="T8:V8"/>
    <mergeCell ref="Q9:S9"/>
    <mergeCell ref="T9:V9"/>
    <mergeCell ref="N118:P118"/>
    <mergeCell ref="N86:P86"/>
    <mergeCell ref="N79:P79"/>
    <mergeCell ref="N104:P104"/>
    <mergeCell ref="N90:P90"/>
    <mergeCell ref="N93:P93"/>
    <mergeCell ref="N70:P70"/>
    <mergeCell ref="Q10:S10"/>
    <mergeCell ref="T10:V10"/>
    <mergeCell ref="Q12:S12"/>
    <mergeCell ref="T12:V12"/>
    <mergeCell ref="Q79:S79"/>
    <mergeCell ref="Q70:S70"/>
    <mergeCell ref="Q31:S31"/>
    <mergeCell ref="N95:P95"/>
    <mergeCell ref="Q95:S95"/>
    <mergeCell ref="T95:V95"/>
    <mergeCell ref="Q90:S90"/>
    <mergeCell ref="K2:M2"/>
    <mergeCell ref="N2:P2"/>
    <mergeCell ref="N8:P8"/>
    <mergeCell ref="T70:V70"/>
    <mergeCell ref="Q28:S28"/>
    <mergeCell ref="T28:V28"/>
    <mergeCell ref="K36:V36"/>
    <mergeCell ref="N290:P290"/>
    <mergeCell ref="Q290:S290"/>
    <mergeCell ref="T290:V290"/>
    <mergeCell ref="Q86:S86"/>
    <mergeCell ref="T86:V86"/>
    <mergeCell ref="Q118:S118"/>
    <mergeCell ref="T118:V118"/>
    <mergeCell ref="N273:P273"/>
    <mergeCell ref="Q273:S273"/>
    <mergeCell ref="T273:V273"/>
    <mergeCell ref="K262:V262"/>
    <mergeCell ref="N251:P251"/>
    <mergeCell ref="Q251:S251"/>
    <mergeCell ref="T251:V251"/>
    <mergeCell ref="N224:P224"/>
    <mergeCell ref="Q224:S224"/>
    <mergeCell ref="N168:P168"/>
    <mergeCell ref="T309:V309"/>
    <mergeCell ref="N310:P310"/>
    <mergeCell ref="Q310:S310"/>
    <mergeCell ref="T310:V310"/>
    <mergeCell ref="N285:P285"/>
    <mergeCell ref="Q285:S285"/>
    <mergeCell ref="T285:V285"/>
    <mergeCell ref="K273:M273"/>
    <mergeCell ref="K285:M285"/>
    <mergeCell ref="K290:M290"/>
    <mergeCell ref="K310:M310"/>
    <mergeCell ref="K267:M267"/>
    <mergeCell ref="N267:P267"/>
    <mergeCell ref="Q267:S267"/>
    <mergeCell ref="T267:V267"/>
    <mergeCell ref="K224:M224"/>
    <mergeCell ref="K251:M251"/>
    <mergeCell ref="N309:P309"/>
    <mergeCell ref="K309:M309"/>
    <mergeCell ref="Q149:S149"/>
    <mergeCell ref="T149:V149"/>
    <mergeCell ref="Q163:S163"/>
    <mergeCell ref="T163:V163"/>
    <mergeCell ref="N199:P199"/>
    <mergeCell ref="Q199:S199"/>
    <mergeCell ref="T199:V199"/>
    <mergeCell ref="Q206:S206"/>
    <mergeCell ref="N197:P197"/>
    <mergeCell ref="Q204:S204"/>
    <mergeCell ref="T204:V204"/>
    <mergeCell ref="N149:P149"/>
    <mergeCell ref="N157:P157"/>
    <mergeCell ref="Q157:S157"/>
    <mergeCell ref="T157:V157"/>
    <mergeCell ref="N163:P163"/>
    <mergeCell ref="N358:P358"/>
    <mergeCell ref="Q358:S358"/>
    <mergeCell ref="T358:V358"/>
    <mergeCell ref="T317:V317"/>
    <mergeCell ref="T325:V325"/>
    <mergeCell ref="T321:V321"/>
    <mergeCell ref="N334:P334"/>
    <mergeCell ref="Q334:S334"/>
    <mergeCell ref="T334:V334"/>
    <mergeCell ref="N317:P317"/>
    <mergeCell ref="Q317:S317"/>
    <mergeCell ref="N321:P321"/>
    <mergeCell ref="Q321:S321"/>
    <mergeCell ref="N325:P325"/>
    <mergeCell ref="Q325:S325"/>
    <mergeCell ref="N335:P335"/>
    <mergeCell ref="Q335:S335"/>
    <mergeCell ref="T335:V335"/>
    <mergeCell ref="N318:P318"/>
    <mergeCell ref="Q318:S318"/>
    <mergeCell ref="T318:V318"/>
    <mergeCell ref="N313:P313"/>
    <mergeCell ref="Q313:S313"/>
    <mergeCell ref="T313:V313"/>
    <mergeCell ref="N314:P314"/>
    <mergeCell ref="Q314:S314"/>
    <mergeCell ref="T314:V314"/>
    <mergeCell ref="T224:V224"/>
    <mergeCell ref="N206:P206"/>
    <mergeCell ref="Q168:S168"/>
    <mergeCell ref="T168:V168"/>
    <mergeCell ref="N169:P169"/>
    <mergeCell ref="Q169:S169"/>
    <mergeCell ref="T169:V169"/>
    <mergeCell ref="Q197:S197"/>
    <mergeCell ref="T197:V197"/>
    <mergeCell ref="N189:P189"/>
    <mergeCell ref="Q189:S189"/>
    <mergeCell ref="T189:V189"/>
    <mergeCell ref="N190:P190"/>
    <mergeCell ref="Q190:S190"/>
    <mergeCell ref="T190:V190"/>
    <mergeCell ref="T206:V206"/>
    <mergeCell ref="N204:P204"/>
    <mergeCell ref="Q309:S309"/>
    <mergeCell ref="T140:V140"/>
    <mergeCell ref="N136:P136"/>
    <mergeCell ref="Q136:S136"/>
    <mergeCell ref="T136:V136"/>
    <mergeCell ref="N137:P137"/>
    <mergeCell ref="Q137:S137"/>
    <mergeCell ref="T137:V137"/>
    <mergeCell ref="N140:P140"/>
    <mergeCell ref="N134:P134"/>
    <mergeCell ref="N148:P148"/>
    <mergeCell ref="Q148:S148"/>
    <mergeCell ref="T148:V148"/>
    <mergeCell ref="K70:M70"/>
    <mergeCell ref="K71:M71"/>
    <mergeCell ref="K26:M26"/>
    <mergeCell ref="K27:M27"/>
    <mergeCell ref="K28:M28"/>
    <mergeCell ref="K31:M31"/>
    <mergeCell ref="K32:M32"/>
    <mergeCell ref="N31:P31"/>
    <mergeCell ref="N28:P28"/>
    <mergeCell ref="K51:V51"/>
    <mergeCell ref="T31:V31"/>
    <mergeCell ref="N32:P32"/>
    <mergeCell ref="Q32:S32"/>
    <mergeCell ref="T32:V32"/>
    <mergeCell ref="N27:P27"/>
    <mergeCell ref="Q27:S27"/>
    <mergeCell ref="T27:V27"/>
    <mergeCell ref="N26:P26"/>
    <mergeCell ref="Q26:S26"/>
    <mergeCell ref="T26:V26"/>
    <mergeCell ref="Q140:S140"/>
    <mergeCell ref="Q71:S71"/>
    <mergeCell ref="T71:V71"/>
    <mergeCell ref="Q104:S104"/>
    <mergeCell ref="T104:V104"/>
    <mergeCell ref="N107:P107"/>
    <mergeCell ref="Q107:S107"/>
    <mergeCell ref="T107:V107"/>
    <mergeCell ref="Q134:S134"/>
    <mergeCell ref="T134:V134"/>
    <mergeCell ref="N131:P131"/>
    <mergeCell ref="Q131:S131"/>
    <mergeCell ref="T131:V131"/>
    <mergeCell ref="T79:V79"/>
    <mergeCell ref="K77:V77"/>
    <mergeCell ref="N71:P71"/>
    <mergeCell ref="K88:M88"/>
    <mergeCell ref="K90:M90"/>
    <mergeCell ref="K93:M93"/>
    <mergeCell ref="Q93:S93"/>
    <mergeCell ref="T93:V93"/>
    <mergeCell ref="T90:V90"/>
    <mergeCell ref="N88:P88"/>
    <mergeCell ref="Q88:S88"/>
    <mergeCell ref="T88:V8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9F263-AF23-4457-B52E-C94F5949F3EC}">
  <sheetPr codeName="Sheet4"/>
  <dimension ref="A1:T106"/>
  <sheetViews>
    <sheetView topLeftCell="A7" zoomScale="85" zoomScaleNormal="85" workbookViewId="0">
      <selection activeCell="K2" sqref="K2"/>
    </sheetView>
  </sheetViews>
  <sheetFormatPr defaultRowHeight="14.4" x14ac:dyDescent="0.3"/>
  <cols>
    <col min="1" max="1" width="25" customWidth="1"/>
    <col min="2" max="2" width="19.44140625" style="5" customWidth="1"/>
    <col min="3" max="4" width="15.44140625" customWidth="1"/>
    <col min="5" max="5" width="14.44140625" customWidth="1"/>
    <col min="6" max="12" width="13.5546875" customWidth="1"/>
    <col min="13" max="13" width="12.5546875" bestFit="1" customWidth="1"/>
    <col min="14" max="16" width="14.44140625" customWidth="1"/>
    <col min="17" max="17" width="15.44140625" customWidth="1"/>
    <col min="18" max="18" width="20.5546875" customWidth="1"/>
  </cols>
  <sheetData>
    <row r="1" spans="1:11" x14ac:dyDescent="0.3">
      <c r="A1" t="s">
        <v>44</v>
      </c>
      <c r="B1" s="5" t="s">
        <v>2112</v>
      </c>
      <c r="J1" t="s">
        <v>0</v>
      </c>
      <c r="K1" t="s">
        <v>2113</v>
      </c>
    </row>
    <row r="2" spans="1:11" x14ac:dyDescent="0.3">
      <c r="A2" t="s">
        <v>47</v>
      </c>
      <c r="B2" s="5" t="s">
        <v>1</v>
      </c>
      <c r="J2" t="s">
        <v>1</v>
      </c>
      <c r="K2" t="s">
        <v>2114</v>
      </c>
    </row>
    <row r="3" spans="1:11" x14ac:dyDescent="0.3">
      <c r="A3" t="s">
        <v>2113</v>
      </c>
      <c r="B3" s="5" t="s">
        <v>2115</v>
      </c>
      <c r="K3" t="s">
        <v>2116</v>
      </c>
    </row>
    <row r="4" spans="1:11" x14ac:dyDescent="0.3">
      <c r="K4" t="s">
        <v>2115</v>
      </c>
    </row>
    <row r="5" spans="1:11" x14ac:dyDescent="0.3">
      <c r="K5" t="s">
        <v>2117</v>
      </c>
    </row>
    <row r="6" spans="1:11" x14ac:dyDescent="0.3">
      <c r="A6" t="s">
        <v>2118</v>
      </c>
      <c r="B6" s="5">
        <v>0</v>
      </c>
    </row>
    <row r="7" spans="1:11" x14ac:dyDescent="0.3">
      <c r="A7" t="s">
        <v>2119</v>
      </c>
      <c r="B7" s="5">
        <v>0</v>
      </c>
    </row>
    <row r="8" spans="1:11" x14ac:dyDescent="0.3">
      <c r="A8" t="s">
        <v>2120</v>
      </c>
      <c r="B8" s="5">
        <v>1796</v>
      </c>
    </row>
    <row r="9" spans="1:11" x14ac:dyDescent="0.3">
      <c r="A9" t="s">
        <v>2121</v>
      </c>
      <c r="B9" s="5">
        <v>116</v>
      </c>
    </row>
    <row r="10" spans="1:11" x14ac:dyDescent="0.3">
      <c r="A10" t="s">
        <v>2122</v>
      </c>
      <c r="B10" s="5">
        <v>104</v>
      </c>
    </row>
    <row r="11" spans="1:11" x14ac:dyDescent="0.3">
      <c r="A11" t="s">
        <v>2123</v>
      </c>
      <c r="B11" s="5">
        <v>232</v>
      </c>
    </row>
    <row r="12" spans="1:11" x14ac:dyDescent="0.3">
      <c r="A12" t="s">
        <v>2124</v>
      </c>
      <c r="B12" s="5">
        <v>0</v>
      </c>
    </row>
    <row r="13" spans="1:11" x14ac:dyDescent="0.3">
      <c r="A13" t="s">
        <v>2125</v>
      </c>
      <c r="B13" s="5">
        <v>284</v>
      </c>
    </row>
    <row r="14" spans="1:11" x14ac:dyDescent="0.3">
      <c r="A14" t="s">
        <v>2126</v>
      </c>
      <c r="B14" s="5">
        <v>1460</v>
      </c>
    </row>
    <row r="15" spans="1:11" x14ac:dyDescent="0.3">
      <c r="A15" t="s">
        <v>2127</v>
      </c>
      <c r="B15" s="5">
        <v>336</v>
      </c>
    </row>
    <row r="16" spans="1:11" x14ac:dyDescent="0.3">
      <c r="A16" t="s">
        <v>2128</v>
      </c>
      <c r="B16" s="5">
        <v>840</v>
      </c>
    </row>
    <row r="17" spans="1:16" x14ac:dyDescent="0.3">
      <c r="A17" t="s">
        <v>2129</v>
      </c>
      <c r="B17" s="5">
        <v>84</v>
      </c>
      <c r="C17" s="6"/>
      <c r="D17" s="6"/>
      <c r="E17" s="6"/>
      <c r="F17" s="6"/>
      <c r="G17" s="6"/>
      <c r="H17" s="6"/>
      <c r="I17" s="6"/>
      <c r="J17" s="6"/>
      <c r="K17" s="6"/>
      <c r="L17" s="6"/>
      <c r="M17" s="6"/>
      <c r="N17" s="6"/>
      <c r="O17" s="6"/>
      <c r="P17" s="6"/>
    </row>
    <row r="18" spans="1:16" x14ac:dyDescent="0.3">
      <c r="A18" t="s">
        <v>2130</v>
      </c>
      <c r="B18" s="5">
        <v>0</v>
      </c>
      <c r="C18" s="6"/>
      <c r="D18" s="6"/>
      <c r="E18" s="6"/>
      <c r="F18" s="6"/>
      <c r="G18" s="6"/>
      <c r="H18" s="6"/>
      <c r="I18" s="6"/>
      <c r="J18" s="6"/>
      <c r="K18" s="6"/>
      <c r="L18" s="6"/>
      <c r="M18" s="6"/>
      <c r="N18" s="6"/>
      <c r="O18" s="6"/>
      <c r="P18" s="6"/>
    </row>
    <row r="19" spans="1:16" x14ac:dyDescent="0.3">
      <c r="C19" s="6"/>
      <c r="D19" s="6"/>
      <c r="E19" s="6"/>
      <c r="F19" s="6"/>
      <c r="G19" s="6"/>
      <c r="H19" s="6"/>
      <c r="I19" s="6"/>
      <c r="J19" s="6"/>
      <c r="K19" s="6"/>
      <c r="L19" s="6"/>
      <c r="M19" s="6"/>
      <c r="N19" s="6"/>
      <c r="O19" s="6"/>
      <c r="P19" s="6"/>
    </row>
    <row r="20" spans="1:16" x14ac:dyDescent="0.3">
      <c r="C20" s="6"/>
      <c r="D20" s="6"/>
      <c r="E20" s="6"/>
      <c r="F20" s="6"/>
      <c r="G20" s="6"/>
      <c r="H20" s="6"/>
      <c r="I20" s="6"/>
      <c r="J20" s="6"/>
      <c r="K20" s="6"/>
      <c r="L20" s="6"/>
      <c r="M20" s="6"/>
      <c r="N20" s="6"/>
      <c r="O20" s="6"/>
      <c r="P20" s="6"/>
    </row>
    <row r="21" spans="1:16" s="28" customFormat="1" ht="18" x14ac:dyDescent="0.35">
      <c r="A21" s="28" t="s">
        <v>0</v>
      </c>
      <c r="B21" s="29"/>
    </row>
    <row r="22" spans="1:16" x14ac:dyDescent="0.3">
      <c r="C22" s="6"/>
      <c r="D22" s="6"/>
      <c r="E22" s="6"/>
      <c r="F22" s="6"/>
      <c r="G22" s="6"/>
      <c r="H22" s="6"/>
      <c r="I22" s="6"/>
      <c r="J22" s="6"/>
      <c r="K22" s="6"/>
      <c r="L22" s="6"/>
      <c r="M22" s="6"/>
      <c r="N22" s="6"/>
      <c r="O22" s="6"/>
      <c r="P22" s="6"/>
    </row>
    <row r="23" spans="1:16" x14ac:dyDescent="0.3">
      <c r="A23" s="7" t="s">
        <v>2131</v>
      </c>
      <c r="B23" s="10">
        <v>1.1339999999999999</v>
      </c>
      <c r="C23" s="6" t="s">
        <v>2132</v>
      </c>
      <c r="D23" s="7" t="s">
        <v>2133</v>
      </c>
      <c r="E23" s="5">
        <v>2.278</v>
      </c>
      <c r="F23" s="5"/>
      <c r="G23" s="5"/>
      <c r="H23" s="6"/>
      <c r="I23" s="6"/>
      <c r="J23" s="6"/>
      <c r="K23" s="6"/>
      <c r="L23" s="7"/>
      <c r="M23" s="6"/>
    </row>
    <row r="24" spans="1:16" x14ac:dyDescent="0.3">
      <c r="A24" s="7" t="s">
        <v>2134</v>
      </c>
      <c r="B24" s="10">
        <v>1.1000000000000001</v>
      </c>
      <c r="C24" s="6" t="s">
        <v>2132</v>
      </c>
      <c r="D24" s="7"/>
      <c r="E24" s="5"/>
      <c r="F24" s="5"/>
      <c r="G24" s="5"/>
      <c r="H24" s="6"/>
      <c r="I24" s="6"/>
      <c r="J24" s="6"/>
      <c r="K24" s="6"/>
      <c r="L24" s="7"/>
      <c r="M24" s="6"/>
    </row>
    <row r="25" spans="1:16" x14ac:dyDescent="0.3">
      <c r="A25" s="7" t="s">
        <v>2135</v>
      </c>
      <c r="B25" s="5">
        <v>2.6</v>
      </c>
      <c r="C25" s="6" t="s">
        <v>2132</v>
      </c>
      <c r="D25" s="7"/>
      <c r="E25" s="5"/>
      <c r="F25" s="5"/>
      <c r="G25" s="5"/>
      <c r="H25" s="6"/>
      <c r="I25" s="6"/>
      <c r="J25" s="6"/>
      <c r="K25" s="6"/>
      <c r="L25" s="7"/>
      <c r="M25" s="6"/>
    </row>
    <row r="26" spans="1:16" x14ac:dyDescent="0.3">
      <c r="A26" s="7" t="s">
        <v>2136</v>
      </c>
      <c r="B26" s="5">
        <f>C40</f>
        <v>0</v>
      </c>
      <c r="M26" s="6"/>
    </row>
    <row r="27" spans="1:16" ht="14.85" customHeight="1" x14ac:dyDescent="0.3">
      <c r="L27" s="6"/>
      <c r="M27" s="6"/>
    </row>
    <row r="28" spans="1:16" ht="32.85" customHeight="1" x14ac:dyDescent="0.3">
      <c r="A28" s="1" t="s">
        <v>2137</v>
      </c>
      <c r="B28" s="9" t="s">
        <v>2138</v>
      </c>
      <c r="C28" s="1" t="s">
        <v>2139</v>
      </c>
      <c r="D28" s="1" t="s">
        <v>2129</v>
      </c>
      <c r="E28" s="1" t="s">
        <v>2140</v>
      </c>
      <c r="F28" s="1" t="s">
        <v>2141</v>
      </c>
      <c r="G28" s="1" t="s">
        <v>2142</v>
      </c>
      <c r="H28" s="1" t="s">
        <v>2128</v>
      </c>
      <c r="I28" s="1" t="s">
        <v>2143</v>
      </c>
      <c r="J28" s="1" t="s">
        <v>2144</v>
      </c>
      <c r="K28" s="1" t="s">
        <v>2145</v>
      </c>
      <c r="L28" s="2" t="s">
        <v>2146</v>
      </c>
      <c r="M28" s="8"/>
    </row>
    <row r="29" spans="1:16" ht="15.6" x14ac:dyDescent="0.3">
      <c r="A29" s="272" t="s">
        <v>2147</v>
      </c>
      <c r="B29" s="273"/>
      <c r="C29" s="273"/>
      <c r="D29" s="273"/>
      <c r="E29" s="273"/>
      <c r="F29" s="273"/>
      <c r="G29" s="273"/>
      <c r="H29" s="273"/>
      <c r="I29" s="273"/>
      <c r="J29" s="273"/>
      <c r="K29" s="273"/>
      <c r="L29" s="274"/>
      <c r="M29" s="8"/>
    </row>
    <row r="30" spans="1:16" x14ac:dyDescent="0.3">
      <c r="A30" s="30"/>
      <c r="B30" s="30"/>
      <c r="C30" s="4">
        <v>0</v>
      </c>
      <c r="D30" s="4">
        <v>0</v>
      </c>
      <c r="E30" s="4">
        <v>0</v>
      </c>
      <c r="F30" s="4">
        <v>0</v>
      </c>
      <c r="G30" s="4">
        <v>0</v>
      </c>
      <c r="H30" s="4">
        <v>0</v>
      </c>
      <c r="I30" s="4">
        <v>0</v>
      </c>
      <c r="J30" s="4">
        <v>0</v>
      </c>
      <c r="K30" s="4">
        <v>0</v>
      </c>
      <c r="L30" s="3">
        <v>0</v>
      </c>
      <c r="M30" s="6"/>
    </row>
    <row r="31" spans="1:16" x14ac:dyDescent="0.3">
      <c r="A31" s="30"/>
      <c r="B31" s="30"/>
      <c r="C31" s="4">
        <v>0</v>
      </c>
      <c r="D31" s="4">
        <v>0</v>
      </c>
      <c r="E31" s="4">
        <v>0</v>
      </c>
      <c r="F31" s="4">
        <v>0</v>
      </c>
      <c r="G31" s="4">
        <v>0</v>
      </c>
      <c r="H31" s="4">
        <v>0</v>
      </c>
      <c r="I31" s="4">
        <v>0</v>
      </c>
      <c r="J31" s="4">
        <v>0</v>
      </c>
      <c r="K31" s="4">
        <v>0</v>
      </c>
      <c r="L31" s="3">
        <v>0</v>
      </c>
      <c r="M31" s="6"/>
    </row>
    <row r="32" spans="1:16" x14ac:dyDescent="0.3">
      <c r="A32" s="30"/>
      <c r="B32" s="30"/>
      <c r="C32" s="4">
        <v>0</v>
      </c>
      <c r="D32" s="4">
        <v>0</v>
      </c>
      <c r="E32" s="4">
        <v>0</v>
      </c>
      <c r="F32" s="4">
        <v>0</v>
      </c>
      <c r="G32" s="4">
        <v>0</v>
      </c>
      <c r="H32" s="4">
        <v>0</v>
      </c>
      <c r="I32" s="4">
        <v>0</v>
      </c>
      <c r="J32" s="4">
        <v>0</v>
      </c>
      <c r="K32" s="4">
        <v>0</v>
      </c>
      <c r="L32" s="3">
        <v>0</v>
      </c>
      <c r="M32" s="6"/>
    </row>
    <row r="33" spans="1:20" x14ac:dyDescent="0.3">
      <c r="A33" s="30"/>
      <c r="B33" s="30"/>
      <c r="C33" s="4">
        <v>0</v>
      </c>
      <c r="D33" s="4">
        <v>0</v>
      </c>
      <c r="E33" s="4">
        <v>0</v>
      </c>
      <c r="F33" s="4">
        <v>0</v>
      </c>
      <c r="G33" s="4">
        <v>0</v>
      </c>
      <c r="H33" s="4">
        <v>0</v>
      </c>
      <c r="I33" s="4">
        <v>0</v>
      </c>
      <c r="J33" s="4">
        <v>0</v>
      </c>
      <c r="K33" s="4">
        <v>0</v>
      </c>
      <c r="L33" s="3">
        <v>0</v>
      </c>
      <c r="M33" s="6"/>
    </row>
    <row r="34" spans="1:20" ht="15.6" x14ac:dyDescent="0.3">
      <c r="A34" s="272" t="s">
        <v>2148</v>
      </c>
      <c r="B34" s="273"/>
      <c r="C34" s="273"/>
      <c r="D34" s="273"/>
      <c r="E34" s="273"/>
      <c r="F34" s="273"/>
      <c r="G34" s="273"/>
      <c r="H34" s="273"/>
      <c r="I34" s="273"/>
      <c r="J34" s="273"/>
      <c r="K34" s="273"/>
      <c r="L34" s="274"/>
      <c r="M34" s="6"/>
    </row>
    <row r="35" spans="1:20" x14ac:dyDescent="0.3">
      <c r="A35" s="30"/>
      <c r="B35" s="30"/>
      <c r="C35" s="4">
        <v>0</v>
      </c>
      <c r="D35" s="4">
        <v>0</v>
      </c>
      <c r="E35" s="4">
        <v>0</v>
      </c>
      <c r="F35" s="4">
        <v>0</v>
      </c>
      <c r="G35" s="4">
        <v>0</v>
      </c>
      <c r="H35" s="4">
        <v>0</v>
      </c>
      <c r="I35" s="4">
        <v>0</v>
      </c>
      <c r="J35" s="4">
        <v>0</v>
      </c>
      <c r="K35" s="4">
        <v>0</v>
      </c>
      <c r="L35" s="3">
        <v>0</v>
      </c>
      <c r="M35" s="6"/>
    </row>
    <row r="36" spans="1:20" x14ac:dyDescent="0.3">
      <c r="A36" s="30"/>
      <c r="B36" s="30"/>
      <c r="C36" s="4">
        <v>0</v>
      </c>
      <c r="D36" s="4">
        <v>0</v>
      </c>
      <c r="E36" s="4">
        <v>0</v>
      </c>
      <c r="F36" s="4">
        <v>0</v>
      </c>
      <c r="G36" s="4">
        <v>0</v>
      </c>
      <c r="H36" s="4">
        <v>0</v>
      </c>
      <c r="I36" s="4">
        <v>0</v>
      </c>
      <c r="J36" s="4">
        <v>0</v>
      </c>
      <c r="K36" s="4">
        <v>0</v>
      </c>
      <c r="L36" s="3">
        <v>0</v>
      </c>
      <c r="M36" s="6"/>
    </row>
    <row r="37" spans="1:20" x14ac:dyDescent="0.3">
      <c r="A37" s="30"/>
      <c r="B37" s="30"/>
      <c r="C37" s="4">
        <v>0</v>
      </c>
      <c r="D37" s="4">
        <v>0</v>
      </c>
      <c r="E37" s="4">
        <v>0</v>
      </c>
      <c r="F37" s="4">
        <v>0</v>
      </c>
      <c r="G37" s="4">
        <v>0</v>
      </c>
      <c r="H37" s="4">
        <v>0</v>
      </c>
      <c r="I37" s="4">
        <v>0</v>
      </c>
      <c r="J37" s="4">
        <v>0</v>
      </c>
      <c r="K37" s="4">
        <v>0</v>
      </c>
      <c r="L37" s="3">
        <v>0</v>
      </c>
      <c r="M37" s="6"/>
    </row>
    <row r="38" spans="1:20" x14ac:dyDescent="0.3">
      <c r="A38" s="30"/>
      <c r="B38" s="30"/>
      <c r="C38" s="4">
        <v>0</v>
      </c>
      <c r="D38" s="4">
        <v>0</v>
      </c>
      <c r="E38" s="4">
        <v>0</v>
      </c>
      <c r="F38" s="4">
        <v>0</v>
      </c>
      <c r="G38" s="4">
        <v>0</v>
      </c>
      <c r="H38" s="4">
        <v>0</v>
      </c>
      <c r="I38" s="4">
        <v>0</v>
      </c>
      <c r="J38" s="4">
        <v>0</v>
      </c>
      <c r="K38" s="4">
        <v>0</v>
      </c>
      <c r="L38" s="3">
        <v>0</v>
      </c>
      <c r="M38" s="6"/>
    </row>
    <row r="39" spans="1:20" ht="15" thickBot="1" x14ac:dyDescent="0.35">
      <c r="A39" s="30"/>
      <c r="B39" s="30"/>
      <c r="C39" s="4">
        <v>0</v>
      </c>
      <c r="D39" s="4">
        <v>0</v>
      </c>
      <c r="E39" s="4">
        <v>0</v>
      </c>
      <c r="F39" s="4">
        <v>0</v>
      </c>
      <c r="G39" s="4">
        <v>0</v>
      </c>
      <c r="H39" s="4">
        <v>0</v>
      </c>
      <c r="I39" s="4">
        <v>0</v>
      </c>
      <c r="J39" s="4">
        <v>0</v>
      </c>
      <c r="K39" s="4">
        <v>0</v>
      </c>
      <c r="L39" s="3">
        <v>0</v>
      </c>
      <c r="M39" s="6"/>
    </row>
    <row r="40" spans="1:20" ht="15" thickBot="1" x14ac:dyDescent="0.35">
      <c r="A40" s="36"/>
      <c r="B40" s="36"/>
      <c r="C40" s="36"/>
      <c r="D40" s="36"/>
      <c r="E40" s="36"/>
      <c r="F40" s="36"/>
      <c r="G40" s="36"/>
      <c r="H40" s="36"/>
      <c r="I40" s="36"/>
      <c r="J40" s="36"/>
      <c r="K40" s="36"/>
      <c r="L40" s="36"/>
      <c r="M40" s="6"/>
    </row>
    <row r="41" spans="1:20" x14ac:dyDescent="0.3">
      <c r="A41" s="6"/>
      <c r="B41" s="10"/>
      <c r="C41" s="6"/>
      <c r="D41" s="6"/>
      <c r="E41" s="6"/>
      <c r="F41" s="6"/>
      <c r="G41" s="6"/>
      <c r="H41" s="6"/>
      <c r="I41" s="6"/>
      <c r="J41" s="6"/>
      <c r="K41" s="6"/>
      <c r="L41" s="6"/>
      <c r="M41" s="6"/>
    </row>
    <row r="43" spans="1:20" s="28" customFormat="1" ht="18" x14ac:dyDescent="0.35">
      <c r="A43"/>
      <c r="B43" s="5"/>
      <c r="C43"/>
      <c r="D43"/>
      <c r="E43"/>
      <c r="F43"/>
      <c r="G43"/>
      <c r="H43"/>
      <c r="I43"/>
      <c r="J43"/>
      <c r="K43"/>
      <c r="L43"/>
      <c r="M43"/>
      <c r="N43"/>
      <c r="O43"/>
      <c r="P43"/>
      <c r="Q43"/>
      <c r="R43"/>
      <c r="S43"/>
      <c r="T43"/>
    </row>
    <row r="44" spans="1:20" ht="18" x14ac:dyDescent="0.35">
      <c r="A44" s="28" t="s">
        <v>1</v>
      </c>
      <c r="B44" s="29"/>
      <c r="C44" s="28"/>
      <c r="D44" s="28"/>
      <c r="E44" s="28"/>
      <c r="F44" s="28"/>
      <c r="G44" s="28"/>
      <c r="H44" s="28"/>
      <c r="I44" s="28"/>
      <c r="J44" s="28"/>
      <c r="K44" s="28"/>
      <c r="L44" s="28"/>
      <c r="M44" s="28"/>
      <c r="N44" s="28"/>
      <c r="O44" s="28"/>
      <c r="P44" s="28"/>
      <c r="Q44" s="28"/>
      <c r="R44" s="28"/>
      <c r="S44" s="28"/>
      <c r="T44" s="28"/>
    </row>
    <row r="48" spans="1:20" x14ac:dyDescent="0.3">
      <c r="A48" s="7" t="s">
        <v>2131</v>
      </c>
      <c r="B48" s="128">
        <v>1.1339999999999999</v>
      </c>
      <c r="C48" s="6" t="s">
        <v>2132</v>
      </c>
      <c r="D48" s="7" t="s">
        <v>2133</v>
      </c>
      <c r="E48" s="129">
        <v>2.3820000000000001</v>
      </c>
      <c r="F48" s="5"/>
      <c r="G48" s="5"/>
      <c r="H48" s="6"/>
      <c r="I48" s="6"/>
      <c r="J48" s="6"/>
      <c r="K48" s="6"/>
      <c r="L48" s="7"/>
    </row>
    <row r="49" spans="1:18" x14ac:dyDescent="0.3">
      <c r="A49" s="7" t="s">
        <v>2134</v>
      </c>
      <c r="B49" s="128">
        <v>1.1000000000000001</v>
      </c>
      <c r="C49" s="6" t="s">
        <v>2132</v>
      </c>
      <c r="D49" s="7"/>
      <c r="E49" s="5"/>
      <c r="F49" s="5"/>
      <c r="G49" s="5"/>
      <c r="H49" s="6"/>
      <c r="I49" s="6"/>
      <c r="J49" s="6"/>
      <c r="K49" s="6"/>
      <c r="L49" s="7"/>
    </row>
    <row r="50" spans="1:18" x14ac:dyDescent="0.3">
      <c r="A50" s="7" t="s">
        <v>2135</v>
      </c>
      <c r="B50" s="129">
        <v>0</v>
      </c>
      <c r="C50" s="6" t="s">
        <v>2132</v>
      </c>
      <c r="D50" s="7"/>
      <c r="E50" s="5"/>
      <c r="F50" s="5"/>
      <c r="G50" s="5"/>
      <c r="H50" s="6"/>
      <c r="I50" s="6"/>
      <c r="J50" s="6"/>
      <c r="K50" s="6"/>
      <c r="L50" s="7"/>
    </row>
    <row r="51" spans="1:18" x14ac:dyDescent="0.3">
      <c r="A51" s="7" t="s">
        <v>2136</v>
      </c>
      <c r="B51" s="5">
        <f>C106</f>
        <v>814</v>
      </c>
    </row>
    <row r="52" spans="1:18" x14ac:dyDescent="0.3">
      <c r="L52" s="6"/>
    </row>
    <row r="53" spans="1:18" ht="28.8" x14ac:dyDescent="0.3">
      <c r="A53" s="31" t="s">
        <v>2137</v>
      </c>
      <c r="B53" s="32" t="s">
        <v>2138</v>
      </c>
      <c r="C53" s="31" t="s">
        <v>2139</v>
      </c>
      <c r="D53" s="31" t="s">
        <v>2129</v>
      </c>
      <c r="E53" s="31" t="s">
        <v>2140</v>
      </c>
      <c r="F53" s="31" t="s">
        <v>2141</v>
      </c>
      <c r="G53" s="31" t="s">
        <v>2142</v>
      </c>
      <c r="H53" s="31" t="s">
        <v>2128</v>
      </c>
      <c r="I53" s="31" t="s">
        <v>2143</v>
      </c>
      <c r="J53" s="31" t="s">
        <v>2144</v>
      </c>
      <c r="K53" s="31">
        <v>5.3</v>
      </c>
      <c r="L53" s="31">
        <v>4.7</v>
      </c>
      <c r="M53" s="31">
        <v>3.6</v>
      </c>
      <c r="N53" s="31">
        <v>2.6</v>
      </c>
      <c r="O53" s="31" t="s">
        <v>2145</v>
      </c>
      <c r="P53" s="31" t="s">
        <v>2149</v>
      </c>
      <c r="Q53" s="33" t="s">
        <v>2146</v>
      </c>
      <c r="R53" s="33" t="s">
        <v>2150</v>
      </c>
    </row>
    <row r="54" spans="1:18" ht="15.6" x14ac:dyDescent="0.3">
      <c r="A54" s="130" t="s">
        <v>2147</v>
      </c>
      <c r="B54" s="131"/>
      <c r="C54" s="131"/>
      <c r="D54" s="131"/>
      <c r="E54" s="131"/>
      <c r="F54" s="131"/>
      <c r="G54" s="131"/>
      <c r="H54" s="131"/>
      <c r="I54" s="131"/>
      <c r="J54" s="131"/>
      <c r="K54" s="131"/>
      <c r="L54" s="131"/>
      <c r="M54" s="131"/>
      <c r="N54" s="131"/>
      <c r="O54" s="131"/>
      <c r="P54" s="131"/>
      <c r="Q54" s="131"/>
      <c r="R54" s="132"/>
    </row>
    <row r="55" spans="1:18" x14ac:dyDescent="0.3">
      <c r="A55" s="30"/>
      <c r="B55" s="30"/>
      <c r="C55" s="4">
        <f t="shared" ref="C55:C62" si="0">A55*B55</f>
        <v>0</v>
      </c>
      <c r="D55" s="4">
        <f t="shared" ref="D55:D62" si="1">B55*1</f>
        <v>0</v>
      </c>
      <c r="E55" s="4">
        <f t="shared" ref="E55:E62" si="2">(A55-1)*B55*2</f>
        <v>0</v>
      </c>
      <c r="F55" s="4">
        <f t="shared" ref="F55:F62" si="3">4*B55</f>
        <v>0</v>
      </c>
      <c r="G55" s="4">
        <f t="shared" ref="G55:G62" si="4">(O55-1)*B55*2</f>
        <v>0</v>
      </c>
      <c r="H55" s="4">
        <f t="shared" ref="H55:H62" si="5">ROUNDUP(A55/2,0)*2*B55</f>
        <v>0</v>
      </c>
      <c r="I55" s="4">
        <f>ROUNDUP(Q55/$B$49,0)*B55*2</f>
        <v>0</v>
      </c>
      <c r="J55" s="4">
        <f t="shared" ref="J55:J62" si="6">SUM(E55:F55)</f>
        <v>0</v>
      </c>
      <c r="K55" s="30"/>
      <c r="L55" s="30"/>
      <c r="M55" s="30"/>
      <c r="N55" s="30"/>
      <c r="O55" s="4">
        <f t="shared" ref="O55:O62" si="7">SUM(K54:N54)</f>
        <v>0</v>
      </c>
      <c r="P55" s="4">
        <f t="shared" ref="P55:P62" si="8">A55*$B$48+(A55-1)*0.02</f>
        <v>-0.02</v>
      </c>
      <c r="Q55" s="3">
        <f>SUMPRODUCT($K$53:$N$53,K55:N55)</f>
        <v>0</v>
      </c>
      <c r="R55" s="3">
        <f>((Q55-P55)/2)*1000</f>
        <v>10</v>
      </c>
    </row>
    <row r="56" spans="1:18" x14ac:dyDescent="0.3">
      <c r="A56" s="30"/>
      <c r="B56" s="30"/>
      <c r="C56" s="4">
        <f t="shared" si="0"/>
        <v>0</v>
      </c>
      <c r="D56" s="4">
        <f t="shared" si="1"/>
        <v>0</v>
      </c>
      <c r="E56" s="4">
        <f t="shared" si="2"/>
        <v>0</v>
      </c>
      <c r="F56" s="4">
        <f t="shared" si="3"/>
        <v>0</v>
      </c>
      <c r="G56" s="4">
        <f t="shared" si="4"/>
        <v>0</v>
      </c>
      <c r="H56" s="4">
        <f t="shared" si="5"/>
        <v>0</v>
      </c>
      <c r="I56" s="4">
        <f t="shared" ref="I56:I62" si="9">ROUNDUP(Q56/$B$49,0)*B56*2</f>
        <v>0</v>
      </c>
      <c r="J56" s="4">
        <f t="shared" si="6"/>
        <v>0</v>
      </c>
      <c r="K56" s="30"/>
      <c r="L56" s="30"/>
      <c r="M56" s="30"/>
      <c r="N56" s="30"/>
      <c r="O56" s="4">
        <f t="shared" si="7"/>
        <v>0</v>
      </c>
      <c r="P56" s="4">
        <f t="shared" si="8"/>
        <v>-0.02</v>
      </c>
      <c r="Q56" s="3">
        <f t="shared" ref="Q56:Q62" si="10">SUMPRODUCT($K$53:$N$53,K56:N56)</f>
        <v>0</v>
      </c>
      <c r="R56" s="3">
        <f t="shared" ref="R56:R64" si="11">((Q56-P56)/2)*1000</f>
        <v>10</v>
      </c>
    </row>
    <row r="57" spans="1:18" x14ac:dyDescent="0.3">
      <c r="A57" s="30"/>
      <c r="B57" s="30"/>
      <c r="C57" s="4">
        <f t="shared" si="0"/>
        <v>0</v>
      </c>
      <c r="D57" s="4">
        <f t="shared" si="1"/>
        <v>0</v>
      </c>
      <c r="E57" s="4">
        <f t="shared" si="2"/>
        <v>0</v>
      </c>
      <c r="F57" s="4">
        <f t="shared" si="3"/>
        <v>0</v>
      </c>
      <c r="G57" s="4">
        <f t="shared" si="4"/>
        <v>0</v>
      </c>
      <c r="H57" s="4">
        <f t="shared" si="5"/>
        <v>0</v>
      </c>
      <c r="I57" s="4">
        <f t="shared" si="9"/>
        <v>0</v>
      </c>
      <c r="J57" s="4">
        <f t="shared" si="6"/>
        <v>0</v>
      </c>
      <c r="K57" s="30"/>
      <c r="L57" s="30"/>
      <c r="M57" s="30"/>
      <c r="N57" s="30"/>
      <c r="O57" s="4">
        <f t="shared" si="7"/>
        <v>0</v>
      </c>
      <c r="P57" s="4">
        <f t="shared" si="8"/>
        <v>-0.02</v>
      </c>
      <c r="Q57" s="3">
        <f t="shared" si="10"/>
        <v>0</v>
      </c>
      <c r="R57" s="3">
        <f t="shared" si="11"/>
        <v>10</v>
      </c>
    </row>
    <row r="58" spans="1:18" x14ac:dyDescent="0.3">
      <c r="A58" s="30"/>
      <c r="B58" s="30"/>
      <c r="C58" s="4">
        <f t="shared" si="0"/>
        <v>0</v>
      </c>
      <c r="D58" s="4">
        <f t="shared" si="1"/>
        <v>0</v>
      </c>
      <c r="E58" s="4">
        <f t="shared" si="2"/>
        <v>0</v>
      </c>
      <c r="F58" s="4">
        <f t="shared" si="3"/>
        <v>0</v>
      </c>
      <c r="G58" s="4">
        <f t="shared" si="4"/>
        <v>0</v>
      </c>
      <c r="H58" s="4">
        <f t="shared" si="5"/>
        <v>0</v>
      </c>
      <c r="I58" s="4">
        <f t="shared" si="9"/>
        <v>0</v>
      </c>
      <c r="J58" s="4">
        <f t="shared" si="6"/>
        <v>0</v>
      </c>
      <c r="K58" s="30"/>
      <c r="L58" s="30"/>
      <c r="M58" s="30"/>
      <c r="N58" s="30"/>
      <c r="O58" s="4">
        <f t="shared" si="7"/>
        <v>0</v>
      </c>
      <c r="P58" s="4">
        <f t="shared" si="8"/>
        <v>-0.02</v>
      </c>
      <c r="Q58" s="3">
        <f t="shared" si="10"/>
        <v>0</v>
      </c>
      <c r="R58" s="3">
        <f t="shared" si="11"/>
        <v>10</v>
      </c>
    </row>
    <row r="59" spans="1:18" x14ac:dyDescent="0.3">
      <c r="A59" s="30"/>
      <c r="B59" s="30"/>
      <c r="C59" s="4">
        <f t="shared" si="0"/>
        <v>0</v>
      </c>
      <c r="D59" s="4">
        <f t="shared" si="1"/>
        <v>0</v>
      </c>
      <c r="E59" s="4">
        <f t="shared" si="2"/>
        <v>0</v>
      </c>
      <c r="F59" s="4">
        <f t="shared" si="3"/>
        <v>0</v>
      </c>
      <c r="G59" s="4">
        <f t="shared" si="4"/>
        <v>0</v>
      </c>
      <c r="H59" s="4">
        <f t="shared" si="5"/>
        <v>0</v>
      </c>
      <c r="I59" s="4">
        <f t="shared" si="9"/>
        <v>0</v>
      </c>
      <c r="J59" s="4">
        <f t="shared" si="6"/>
        <v>0</v>
      </c>
      <c r="K59" s="30"/>
      <c r="L59" s="30"/>
      <c r="M59" s="30"/>
      <c r="N59" s="30"/>
      <c r="O59" s="4">
        <f t="shared" si="7"/>
        <v>0</v>
      </c>
      <c r="P59" s="4">
        <f t="shared" si="8"/>
        <v>-0.02</v>
      </c>
      <c r="Q59" s="3">
        <f t="shared" si="10"/>
        <v>0</v>
      </c>
      <c r="R59" s="3">
        <f>((Q59-P59)/2)*1000</f>
        <v>10</v>
      </c>
    </row>
    <row r="60" spans="1:18" x14ac:dyDescent="0.3">
      <c r="A60" s="30"/>
      <c r="B60" s="30"/>
      <c r="C60" s="4">
        <f t="shared" si="0"/>
        <v>0</v>
      </c>
      <c r="D60" s="4">
        <f t="shared" si="1"/>
        <v>0</v>
      </c>
      <c r="E60" s="4">
        <f t="shared" si="2"/>
        <v>0</v>
      </c>
      <c r="F60" s="4">
        <f t="shared" si="3"/>
        <v>0</v>
      </c>
      <c r="G60" s="4">
        <f t="shared" si="4"/>
        <v>0</v>
      </c>
      <c r="H60" s="4">
        <f t="shared" si="5"/>
        <v>0</v>
      </c>
      <c r="I60" s="4">
        <f t="shared" si="9"/>
        <v>0</v>
      </c>
      <c r="J60" s="4">
        <f t="shared" si="6"/>
        <v>0</v>
      </c>
      <c r="K60" s="30"/>
      <c r="L60" s="30"/>
      <c r="M60" s="30"/>
      <c r="N60" s="30"/>
      <c r="O60" s="4">
        <f t="shared" si="7"/>
        <v>0</v>
      </c>
      <c r="P60" s="4">
        <f t="shared" si="8"/>
        <v>-0.02</v>
      </c>
      <c r="Q60" s="3">
        <f t="shared" si="10"/>
        <v>0</v>
      </c>
      <c r="R60" s="3">
        <f>((Q60-P60)/2)*1000</f>
        <v>10</v>
      </c>
    </row>
    <row r="61" spans="1:18" x14ac:dyDescent="0.3">
      <c r="A61" s="30"/>
      <c r="B61" s="30"/>
      <c r="C61" s="4">
        <f t="shared" si="0"/>
        <v>0</v>
      </c>
      <c r="D61" s="4">
        <f t="shared" si="1"/>
        <v>0</v>
      </c>
      <c r="E61" s="4">
        <f t="shared" si="2"/>
        <v>0</v>
      </c>
      <c r="F61" s="4">
        <f t="shared" si="3"/>
        <v>0</v>
      </c>
      <c r="G61" s="4">
        <f t="shared" si="4"/>
        <v>0</v>
      </c>
      <c r="H61" s="4">
        <f t="shared" si="5"/>
        <v>0</v>
      </c>
      <c r="I61" s="4">
        <f t="shared" si="9"/>
        <v>0</v>
      </c>
      <c r="J61" s="4">
        <f t="shared" si="6"/>
        <v>0</v>
      </c>
      <c r="K61" s="30"/>
      <c r="L61" s="30"/>
      <c r="M61" s="30"/>
      <c r="N61" s="30"/>
      <c r="O61" s="4">
        <f t="shared" si="7"/>
        <v>0</v>
      </c>
      <c r="P61" s="4">
        <f t="shared" si="8"/>
        <v>-0.02</v>
      </c>
      <c r="Q61" s="3">
        <f t="shared" si="10"/>
        <v>0</v>
      </c>
      <c r="R61" s="3">
        <f>((Q61-P61)/2)*1000</f>
        <v>10</v>
      </c>
    </row>
    <row r="62" spans="1:18" x14ac:dyDescent="0.3">
      <c r="A62" s="30"/>
      <c r="B62" s="30"/>
      <c r="C62" s="4">
        <f t="shared" si="0"/>
        <v>0</v>
      </c>
      <c r="D62" s="4">
        <f t="shared" si="1"/>
        <v>0</v>
      </c>
      <c r="E62" s="4">
        <f t="shared" si="2"/>
        <v>0</v>
      </c>
      <c r="F62" s="4">
        <f t="shared" si="3"/>
        <v>0</v>
      </c>
      <c r="G62" s="4">
        <f t="shared" si="4"/>
        <v>0</v>
      </c>
      <c r="H62" s="4">
        <f t="shared" si="5"/>
        <v>0</v>
      </c>
      <c r="I62" s="4">
        <f t="shared" si="9"/>
        <v>0</v>
      </c>
      <c r="J62" s="4">
        <f t="shared" si="6"/>
        <v>0</v>
      </c>
      <c r="K62" s="30"/>
      <c r="L62" s="30"/>
      <c r="M62" s="30"/>
      <c r="N62" s="30"/>
      <c r="O62" s="4">
        <f t="shared" si="7"/>
        <v>0</v>
      </c>
      <c r="P62" s="4">
        <f t="shared" si="8"/>
        <v>-0.02</v>
      </c>
      <c r="Q62" s="3">
        <f t="shared" si="10"/>
        <v>0</v>
      </c>
      <c r="R62" s="3">
        <f>((Q62-P62)/2)*1000</f>
        <v>10</v>
      </c>
    </row>
    <row r="63" spans="1:18" ht="15.6" x14ac:dyDescent="0.3">
      <c r="A63" s="130" t="s">
        <v>2148</v>
      </c>
      <c r="B63" s="131"/>
      <c r="C63" s="131"/>
      <c r="D63" s="131"/>
      <c r="E63" s="131"/>
      <c r="F63" s="131"/>
      <c r="G63" s="131"/>
      <c r="H63" s="131"/>
      <c r="I63" s="131"/>
      <c r="J63" s="131"/>
      <c r="K63" s="131"/>
      <c r="L63" s="131"/>
      <c r="M63" s="131"/>
      <c r="N63" s="131"/>
      <c r="O63" s="131"/>
      <c r="P63" s="131"/>
      <c r="Q63" s="131"/>
      <c r="R63" s="132"/>
    </row>
    <row r="64" spans="1:18" x14ac:dyDescent="0.3">
      <c r="A64" s="30">
        <v>9</v>
      </c>
      <c r="B64" s="30">
        <v>2</v>
      </c>
      <c r="C64" s="4">
        <f t="shared" ref="C64:C86" si="12">A64*B64</f>
        <v>18</v>
      </c>
      <c r="D64" s="4">
        <f t="shared" ref="D64:D86" si="13">B64*1</f>
        <v>2</v>
      </c>
      <c r="E64" s="4">
        <f t="shared" ref="E64:E86" si="14">(A64-1)*B64*2</f>
        <v>32</v>
      </c>
      <c r="F64" s="4">
        <f t="shared" ref="F64:F86" si="15">4*B64</f>
        <v>8</v>
      </c>
      <c r="G64" s="4">
        <f>(O64-1)*B64*2</f>
        <v>4</v>
      </c>
      <c r="H64" s="4">
        <f t="shared" ref="H64:H86" si="16">ROUNDUP(A64/2,0)*2*B64</f>
        <v>20</v>
      </c>
      <c r="I64" s="4">
        <f>ROUNDUP(Q64/$B$49,0)*B64*2</f>
        <v>40</v>
      </c>
      <c r="J64" s="4">
        <f t="shared" ref="J64:J86" si="17">SUM(E64:F64)</f>
        <v>40</v>
      </c>
      <c r="K64" s="30">
        <v>2</v>
      </c>
      <c r="L64" s="30"/>
      <c r="M64" s="30"/>
      <c r="N64" s="30"/>
      <c r="O64" s="4">
        <f t="shared" ref="O64:O86" si="18">SUM(K64:N64)</f>
        <v>2</v>
      </c>
      <c r="P64" s="4">
        <f>A64*$B$48+(A64-1)*0.02</f>
        <v>10.366</v>
      </c>
      <c r="Q64" s="3">
        <f>SUMPRODUCT($K$53:$N$53,K64:N64)</f>
        <v>10.6</v>
      </c>
      <c r="R64" s="3">
        <f t="shared" si="11"/>
        <v>117</v>
      </c>
    </row>
    <row r="65" spans="1:18" hidden="1" x14ac:dyDescent="0.3">
      <c r="A65" s="30">
        <v>9</v>
      </c>
      <c r="B65" s="30">
        <v>2</v>
      </c>
      <c r="C65" s="4">
        <f t="shared" si="12"/>
        <v>18</v>
      </c>
      <c r="D65" s="4">
        <f t="shared" si="13"/>
        <v>2</v>
      </c>
      <c r="E65" s="4">
        <f t="shared" si="14"/>
        <v>32</v>
      </c>
      <c r="F65" s="4">
        <f t="shared" si="15"/>
        <v>8</v>
      </c>
      <c r="G65" s="4">
        <f t="shared" ref="G65:G86" si="19">(O65-1)*B65*2</f>
        <v>4</v>
      </c>
      <c r="H65" s="4">
        <f t="shared" si="16"/>
        <v>20</v>
      </c>
      <c r="I65" s="4">
        <f t="shared" ref="I65:I86" si="20">ROUNDUP(Q65/$B$49,0)*B65*2</f>
        <v>40</v>
      </c>
      <c r="J65" s="4">
        <f t="shared" si="17"/>
        <v>40</v>
      </c>
      <c r="K65" s="30">
        <v>2</v>
      </c>
      <c r="L65" s="30"/>
      <c r="M65" s="30"/>
      <c r="N65" s="30"/>
      <c r="O65" s="4">
        <f t="shared" si="18"/>
        <v>2</v>
      </c>
      <c r="P65" s="4">
        <f t="shared" ref="P65:P86" si="21">A65*$B$48+(A65-1)*0.02</f>
        <v>10.366</v>
      </c>
      <c r="Q65" s="3">
        <f t="shared" ref="Q65:Q86" si="22">SUMPRODUCT($K$53:$N$53,K65:N65)</f>
        <v>10.6</v>
      </c>
      <c r="R65" s="3">
        <f t="shared" ref="R65:R86" si="23">((Q65-P65)/2)*1000</f>
        <v>117</v>
      </c>
    </row>
    <row r="66" spans="1:18" hidden="1" x14ac:dyDescent="0.3">
      <c r="A66" s="30">
        <v>9</v>
      </c>
      <c r="B66" s="30">
        <v>2</v>
      </c>
      <c r="C66" s="4">
        <f t="shared" si="12"/>
        <v>18</v>
      </c>
      <c r="D66" s="4">
        <f t="shared" si="13"/>
        <v>2</v>
      </c>
      <c r="E66" s="4">
        <f t="shared" si="14"/>
        <v>32</v>
      </c>
      <c r="F66" s="4">
        <f t="shared" si="15"/>
        <v>8</v>
      </c>
      <c r="G66" s="4">
        <f t="shared" si="19"/>
        <v>4</v>
      </c>
      <c r="H66" s="4">
        <f t="shared" si="16"/>
        <v>20</v>
      </c>
      <c r="I66" s="4">
        <f t="shared" si="20"/>
        <v>40</v>
      </c>
      <c r="J66" s="4">
        <f t="shared" si="17"/>
        <v>40</v>
      </c>
      <c r="K66" s="30">
        <v>2</v>
      </c>
      <c r="L66" s="30"/>
      <c r="M66" s="30"/>
      <c r="N66" s="30"/>
      <c r="O66" s="4">
        <f t="shared" si="18"/>
        <v>2</v>
      </c>
      <c r="P66" s="4">
        <f t="shared" si="21"/>
        <v>10.366</v>
      </c>
      <c r="Q66" s="3">
        <f t="shared" si="22"/>
        <v>10.6</v>
      </c>
      <c r="R66" s="3">
        <f t="shared" si="23"/>
        <v>117</v>
      </c>
    </row>
    <row r="67" spans="1:18" hidden="1" x14ac:dyDescent="0.3">
      <c r="A67" s="30">
        <v>9</v>
      </c>
      <c r="B67" s="30">
        <v>2</v>
      </c>
      <c r="C67" s="4">
        <f t="shared" si="12"/>
        <v>18</v>
      </c>
      <c r="D67" s="4">
        <f t="shared" si="13"/>
        <v>2</v>
      </c>
      <c r="E67" s="4">
        <f t="shared" si="14"/>
        <v>32</v>
      </c>
      <c r="F67" s="4">
        <f t="shared" si="15"/>
        <v>8</v>
      </c>
      <c r="G67" s="4">
        <f t="shared" si="19"/>
        <v>4</v>
      </c>
      <c r="H67" s="4">
        <f t="shared" si="16"/>
        <v>20</v>
      </c>
      <c r="I67" s="4">
        <f t="shared" si="20"/>
        <v>40</v>
      </c>
      <c r="J67" s="4">
        <f t="shared" si="17"/>
        <v>40</v>
      </c>
      <c r="K67" s="30">
        <v>2</v>
      </c>
      <c r="L67" s="30"/>
      <c r="M67" s="30"/>
      <c r="N67" s="30"/>
      <c r="O67" s="4">
        <f t="shared" si="18"/>
        <v>2</v>
      </c>
      <c r="P67" s="4">
        <f t="shared" si="21"/>
        <v>10.366</v>
      </c>
      <c r="Q67" s="3">
        <f t="shared" si="22"/>
        <v>10.6</v>
      </c>
      <c r="R67" s="3">
        <f t="shared" si="23"/>
        <v>117</v>
      </c>
    </row>
    <row r="68" spans="1:18" hidden="1" x14ac:dyDescent="0.3">
      <c r="A68" s="30">
        <v>9</v>
      </c>
      <c r="B68" s="30">
        <v>2</v>
      </c>
      <c r="C68" s="4">
        <f t="shared" si="12"/>
        <v>18</v>
      </c>
      <c r="D68" s="4">
        <f t="shared" si="13"/>
        <v>2</v>
      </c>
      <c r="E68" s="4">
        <f t="shared" si="14"/>
        <v>32</v>
      </c>
      <c r="F68" s="4">
        <f t="shared" si="15"/>
        <v>8</v>
      </c>
      <c r="G68" s="4">
        <f t="shared" si="19"/>
        <v>4</v>
      </c>
      <c r="H68" s="4">
        <f t="shared" si="16"/>
        <v>20</v>
      </c>
      <c r="I68" s="4">
        <f t="shared" si="20"/>
        <v>40</v>
      </c>
      <c r="J68" s="4">
        <f t="shared" si="17"/>
        <v>40</v>
      </c>
      <c r="K68" s="30">
        <v>2</v>
      </c>
      <c r="L68" s="30"/>
      <c r="M68" s="30"/>
      <c r="N68" s="30"/>
      <c r="O68" s="4">
        <f t="shared" si="18"/>
        <v>2</v>
      </c>
      <c r="P68" s="4">
        <f t="shared" si="21"/>
        <v>10.366</v>
      </c>
      <c r="Q68" s="3">
        <f t="shared" si="22"/>
        <v>10.6</v>
      </c>
      <c r="R68" s="3">
        <f t="shared" si="23"/>
        <v>117</v>
      </c>
    </row>
    <row r="69" spans="1:18" hidden="1" x14ac:dyDescent="0.3">
      <c r="A69" s="30">
        <v>9</v>
      </c>
      <c r="B69" s="30">
        <v>2</v>
      </c>
      <c r="C69" s="4">
        <f t="shared" si="12"/>
        <v>18</v>
      </c>
      <c r="D69" s="4">
        <f t="shared" si="13"/>
        <v>2</v>
      </c>
      <c r="E69" s="4">
        <f t="shared" si="14"/>
        <v>32</v>
      </c>
      <c r="F69" s="4">
        <f t="shared" si="15"/>
        <v>8</v>
      </c>
      <c r="G69" s="4">
        <f t="shared" si="19"/>
        <v>4</v>
      </c>
      <c r="H69" s="4">
        <f t="shared" si="16"/>
        <v>20</v>
      </c>
      <c r="I69" s="4">
        <f t="shared" si="20"/>
        <v>40</v>
      </c>
      <c r="J69" s="4">
        <f t="shared" si="17"/>
        <v>40</v>
      </c>
      <c r="K69" s="30">
        <v>2</v>
      </c>
      <c r="L69" s="30"/>
      <c r="M69" s="30"/>
      <c r="N69" s="30"/>
      <c r="O69" s="4">
        <f t="shared" si="18"/>
        <v>2</v>
      </c>
      <c r="P69" s="4">
        <f t="shared" si="21"/>
        <v>10.366</v>
      </c>
      <c r="Q69" s="3">
        <f t="shared" si="22"/>
        <v>10.6</v>
      </c>
      <c r="R69" s="3">
        <f t="shared" si="23"/>
        <v>117</v>
      </c>
    </row>
    <row r="70" spans="1:18" hidden="1" x14ac:dyDescent="0.3">
      <c r="A70" s="30">
        <v>9</v>
      </c>
      <c r="B70" s="30">
        <v>2</v>
      </c>
      <c r="C70" s="4">
        <f t="shared" si="12"/>
        <v>18</v>
      </c>
      <c r="D70" s="4">
        <f t="shared" si="13"/>
        <v>2</v>
      </c>
      <c r="E70" s="4">
        <f t="shared" si="14"/>
        <v>32</v>
      </c>
      <c r="F70" s="4">
        <f t="shared" si="15"/>
        <v>8</v>
      </c>
      <c r="G70" s="4">
        <f t="shared" si="19"/>
        <v>4</v>
      </c>
      <c r="H70" s="4">
        <f t="shared" si="16"/>
        <v>20</v>
      </c>
      <c r="I70" s="4">
        <f t="shared" si="20"/>
        <v>40</v>
      </c>
      <c r="J70" s="4">
        <f t="shared" si="17"/>
        <v>40</v>
      </c>
      <c r="K70" s="30">
        <v>2</v>
      </c>
      <c r="L70" s="30"/>
      <c r="M70" s="30"/>
      <c r="N70" s="30"/>
      <c r="O70" s="4">
        <f t="shared" si="18"/>
        <v>2</v>
      </c>
      <c r="P70" s="4">
        <f t="shared" si="21"/>
        <v>10.366</v>
      </c>
      <c r="Q70" s="3">
        <f t="shared" si="22"/>
        <v>10.6</v>
      </c>
      <c r="R70" s="3">
        <f t="shared" si="23"/>
        <v>117</v>
      </c>
    </row>
    <row r="71" spans="1:18" hidden="1" x14ac:dyDescent="0.3">
      <c r="A71" s="30">
        <v>10</v>
      </c>
      <c r="B71" s="30">
        <v>2</v>
      </c>
      <c r="C71" s="4">
        <f t="shared" si="12"/>
        <v>20</v>
      </c>
      <c r="D71" s="4">
        <f t="shared" si="13"/>
        <v>2</v>
      </c>
      <c r="E71" s="4">
        <f t="shared" si="14"/>
        <v>36</v>
      </c>
      <c r="F71" s="4">
        <f t="shared" si="15"/>
        <v>8</v>
      </c>
      <c r="G71" s="4">
        <f t="shared" si="19"/>
        <v>8</v>
      </c>
      <c r="H71" s="4">
        <f t="shared" si="16"/>
        <v>20</v>
      </c>
      <c r="I71" s="4">
        <f t="shared" si="20"/>
        <v>44</v>
      </c>
      <c r="J71" s="4">
        <f t="shared" si="17"/>
        <v>44</v>
      </c>
      <c r="K71" s="30"/>
      <c r="L71" s="30">
        <v>2</v>
      </c>
      <c r="M71" s="30"/>
      <c r="N71" s="30">
        <v>1</v>
      </c>
      <c r="O71" s="4">
        <f t="shared" si="18"/>
        <v>3</v>
      </c>
      <c r="P71" s="4">
        <f t="shared" si="21"/>
        <v>11.52</v>
      </c>
      <c r="Q71" s="3">
        <f t="shared" si="22"/>
        <v>12</v>
      </c>
      <c r="R71" s="3">
        <f t="shared" si="23"/>
        <v>240.00000000000023</v>
      </c>
    </row>
    <row r="72" spans="1:18" hidden="1" x14ac:dyDescent="0.3">
      <c r="A72" s="30">
        <v>10</v>
      </c>
      <c r="B72" s="30">
        <v>2</v>
      </c>
      <c r="C72" s="4">
        <f t="shared" si="12"/>
        <v>20</v>
      </c>
      <c r="D72" s="4">
        <f t="shared" si="13"/>
        <v>2</v>
      </c>
      <c r="E72" s="4">
        <f t="shared" si="14"/>
        <v>36</v>
      </c>
      <c r="F72" s="4">
        <f t="shared" si="15"/>
        <v>8</v>
      </c>
      <c r="G72" s="4">
        <f t="shared" si="19"/>
        <v>8</v>
      </c>
      <c r="H72" s="4">
        <f t="shared" si="16"/>
        <v>20</v>
      </c>
      <c r="I72" s="4">
        <f t="shared" si="20"/>
        <v>44</v>
      </c>
      <c r="J72" s="4">
        <f t="shared" si="17"/>
        <v>44</v>
      </c>
      <c r="K72" s="30"/>
      <c r="L72" s="30">
        <v>2</v>
      </c>
      <c r="M72" s="30"/>
      <c r="N72" s="30">
        <v>1</v>
      </c>
      <c r="O72" s="4">
        <f t="shared" si="18"/>
        <v>3</v>
      </c>
      <c r="P72" s="4">
        <f t="shared" si="21"/>
        <v>11.52</v>
      </c>
      <c r="Q72" s="3">
        <f t="shared" si="22"/>
        <v>12</v>
      </c>
      <c r="R72" s="3">
        <f t="shared" si="23"/>
        <v>240.00000000000023</v>
      </c>
    </row>
    <row r="73" spans="1:18" hidden="1" x14ac:dyDescent="0.3">
      <c r="A73" s="30">
        <v>10</v>
      </c>
      <c r="B73" s="30">
        <v>2</v>
      </c>
      <c r="C73" s="4">
        <f t="shared" si="12"/>
        <v>20</v>
      </c>
      <c r="D73" s="4">
        <f t="shared" si="13"/>
        <v>2</v>
      </c>
      <c r="E73" s="4">
        <f t="shared" si="14"/>
        <v>36</v>
      </c>
      <c r="F73" s="4">
        <f t="shared" si="15"/>
        <v>8</v>
      </c>
      <c r="G73" s="4">
        <f t="shared" si="19"/>
        <v>8</v>
      </c>
      <c r="H73" s="4">
        <f t="shared" si="16"/>
        <v>20</v>
      </c>
      <c r="I73" s="4">
        <f t="shared" si="20"/>
        <v>44</v>
      </c>
      <c r="J73" s="4">
        <f t="shared" si="17"/>
        <v>44</v>
      </c>
      <c r="K73" s="30"/>
      <c r="L73" s="30">
        <v>2</v>
      </c>
      <c r="M73" s="30"/>
      <c r="N73" s="30">
        <v>1</v>
      </c>
      <c r="O73" s="4">
        <f t="shared" si="18"/>
        <v>3</v>
      </c>
      <c r="P73" s="4">
        <f t="shared" si="21"/>
        <v>11.52</v>
      </c>
      <c r="Q73" s="3">
        <f t="shared" si="22"/>
        <v>12</v>
      </c>
      <c r="R73" s="3">
        <f t="shared" si="23"/>
        <v>240.00000000000023</v>
      </c>
    </row>
    <row r="74" spans="1:18" hidden="1" x14ac:dyDescent="0.3">
      <c r="A74" s="30">
        <v>10</v>
      </c>
      <c r="B74" s="30">
        <v>2</v>
      </c>
      <c r="C74" s="4">
        <f t="shared" si="12"/>
        <v>20</v>
      </c>
      <c r="D74" s="4">
        <f t="shared" si="13"/>
        <v>2</v>
      </c>
      <c r="E74" s="4">
        <f t="shared" si="14"/>
        <v>36</v>
      </c>
      <c r="F74" s="4">
        <f t="shared" si="15"/>
        <v>8</v>
      </c>
      <c r="G74" s="4">
        <f t="shared" si="19"/>
        <v>8</v>
      </c>
      <c r="H74" s="4">
        <f t="shared" si="16"/>
        <v>20</v>
      </c>
      <c r="I74" s="4">
        <f t="shared" si="20"/>
        <v>44</v>
      </c>
      <c r="J74" s="4">
        <f t="shared" si="17"/>
        <v>44</v>
      </c>
      <c r="K74" s="30"/>
      <c r="L74" s="30">
        <v>2</v>
      </c>
      <c r="M74" s="30"/>
      <c r="N74" s="30">
        <v>1</v>
      </c>
      <c r="O74" s="4">
        <f t="shared" si="18"/>
        <v>3</v>
      </c>
      <c r="P74" s="4">
        <f t="shared" si="21"/>
        <v>11.52</v>
      </c>
      <c r="Q74" s="3">
        <f t="shared" si="22"/>
        <v>12</v>
      </c>
      <c r="R74" s="3">
        <f t="shared" si="23"/>
        <v>240.00000000000023</v>
      </c>
    </row>
    <row r="75" spans="1:18" hidden="1" x14ac:dyDescent="0.3">
      <c r="A75" s="30">
        <v>10</v>
      </c>
      <c r="B75" s="30">
        <v>2</v>
      </c>
      <c r="C75" s="4">
        <f t="shared" si="12"/>
        <v>20</v>
      </c>
      <c r="D75" s="4">
        <f t="shared" si="13"/>
        <v>2</v>
      </c>
      <c r="E75" s="4">
        <f t="shared" si="14"/>
        <v>36</v>
      </c>
      <c r="F75" s="4">
        <f t="shared" si="15"/>
        <v>8</v>
      </c>
      <c r="G75" s="4">
        <f t="shared" si="19"/>
        <v>8</v>
      </c>
      <c r="H75" s="4">
        <f t="shared" si="16"/>
        <v>20</v>
      </c>
      <c r="I75" s="4">
        <f t="shared" si="20"/>
        <v>44</v>
      </c>
      <c r="J75" s="4">
        <f t="shared" si="17"/>
        <v>44</v>
      </c>
      <c r="K75" s="30"/>
      <c r="L75" s="30">
        <v>2</v>
      </c>
      <c r="M75" s="30"/>
      <c r="N75" s="30">
        <v>1</v>
      </c>
      <c r="O75" s="4">
        <f t="shared" si="18"/>
        <v>3</v>
      </c>
      <c r="P75" s="4">
        <f t="shared" si="21"/>
        <v>11.52</v>
      </c>
      <c r="Q75" s="3">
        <f t="shared" si="22"/>
        <v>12</v>
      </c>
      <c r="R75" s="3">
        <f t="shared" si="23"/>
        <v>240.00000000000023</v>
      </c>
    </row>
    <row r="76" spans="1:18" hidden="1" x14ac:dyDescent="0.3">
      <c r="A76" s="30">
        <v>10</v>
      </c>
      <c r="B76" s="30">
        <v>2</v>
      </c>
      <c r="C76" s="4">
        <f t="shared" si="12"/>
        <v>20</v>
      </c>
      <c r="D76" s="4">
        <f t="shared" si="13"/>
        <v>2</v>
      </c>
      <c r="E76" s="4">
        <f t="shared" si="14"/>
        <v>36</v>
      </c>
      <c r="F76" s="4">
        <f t="shared" si="15"/>
        <v>8</v>
      </c>
      <c r="G76" s="4">
        <f t="shared" si="19"/>
        <v>8</v>
      </c>
      <c r="H76" s="4">
        <f t="shared" si="16"/>
        <v>20</v>
      </c>
      <c r="I76" s="4">
        <f t="shared" si="20"/>
        <v>44</v>
      </c>
      <c r="J76" s="4">
        <f t="shared" si="17"/>
        <v>44</v>
      </c>
      <c r="K76" s="30"/>
      <c r="L76" s="30">
        <v>2</v>
      </c>
      <c r="M76" s="30"/>
      <c r="N76" s="30">
        <v>1</v>
      </c>
      <c r="O76" s="4">
        <f t="shared" si="18"/>
        <v>3</v>
      </c>
      <c r="P76" s="4">
        <f t="shared" si="21"/>
        <v>11.52</v>
      </c>
      <c r="Q76" s="3">
        <f t="shared" si="22"/>
        <v>12</v>
      </c>
      <c r="R76" s="3">
        <f t="shared" si="23"/>
        <v>240.00000000000023</v>
      </c>
    </row>
    <row r="77" spans="1:18" hidden="1" x14ac:dyDescent="0.3">
      <c r="A77" s="30">
        <v>10</v>
      </c>
      <c r="B77" s="30">
        <v>2</v>
      </c>
      <c r="C77" s="4">
        <f t="shared" si="12"/>
        <v>20</v>
      </c>
      <c r="D77" s="4">
        <f t="shared" si="13"/>
        <v>2</v>
      </c>
      <c r="E77" s="4">
        <f t="shared" si="14"/>
        <v>36</v>
      </c>
      <c r="F77" s="4">
        <f t="shared" si="15"/>
        <v>8</v>
      </c>
      <c r="G77" s="4">
        <f t="shared" si="19"/>
        <v>8</v>
      </c>
      <c r="H77" s="4">
        <f t="shared" si="16"/>
        <v>20</v>
      </c>
      <c r="I77" s="4">
        <f t="shared" si="20"/>
        <v>44</v>
      </c>
      <c r="J77" s="4">
        <f t="shared" si="17"/>
        <v>44</v>
      </c>
      <c r="K77" s="30"/>
      <c r="L77" s="30">
        <v>2</v>
      </c>
      <c r="M77" s="30"/>
      <c r="N77" s="30">
        <v>1</v>
      </c>
      <c r="O77" s="4">
        <f t="shared" si="18"/>
        <v>3</v>
      </c>
      <c r="P77" s="4">
        <f t="shared" si="21"/>
        <v>11.52</v>
      </c>
      <c r="Q77" s="3">
        <f t="shared" si="22"/>
        <v>12</v>
      </c>
      <c r="R77" s="3">
        <f t="shared" si="23"/>
        <v>240.00000000000023</v>
      </c>
    </row>
    <row r="78" spans="1:18" hidden="1" x14ac:dyDescent="0.3">
      <c r="A78" s="30">
        <v>10</v>
      </c>
      <c r="B78" s="30">
        <v>2</v>
      </c>
      <c r="C78" s="4">
        <f t="shared" si="12"/>
        <v>20</v>
      </c>
      <c r="D78" s="4">
        <f t="shared" si="13"/>
        <v>2</v>
      </c>
      <c r="E78" s="4">
        <f t="shared" si="14"/>
        <v>36</v>
      </c>
      <c r="F78" s="4">
        <f t="shared" si="15"/>
        <v>8</v>
      </c>
      <c r="G78" s="4">
        <f t="shared" si="19"/>
        <v>8</v>
      </c>
      <c r="H78" s="4">
        <f t="shared" si="16"/>
        <v>20</v>
      </c>
      <c r="I78" s="4">
        <f t="shared" si="20"/>
        <v>44</v>
      </c>
      <c r="J78" s="4">
        <f t="shared" si="17"/>
        <v>44</v>
      </c>
      <c r="K78" s="30"/>
      <c r="L78" s="30">
        <v>2</v>
      </c>
      <c r="M78" s="30"/>
      <c r="N78" s="30">
        <v>1</v>
      </c>
      <c r="O78" s="4">
        <f t="shared" si="18"/>
        <v>3</v>
      </c>
      <c r="P78" s="4">
        <f t="shared" si="21"/>
        <v>11.52</v>
      </c>
      <c r="Q78" s="3">
        <f t="shared" si="22"/>
        <v>12</v>
      </c>
      <c r="R78" s="3">
        <f t="shared" si="23"/>
        <v>240.00000000000023</v>
      </c>
    </row>
    <row r="79" spans="1:18" hidden="1" x14ac:dyDescent="0.3">
      <c r="A79" s="30">
        <v>10</v>
      </c>
      <c r="B79" s="30">
        <v>2</v>
      </c>
      <c r="C79" s="4">
        <f t="shared" si="12"/>
        <v>20</v>
      </c>
      <c r="D79" s="4">
        <f t="shared" si="13"/>
        <v>2</v>
      </c>
      <c r="E79" s="4">
        <f t="shared" si="14"/>
        <v>36</v>
      </c>
      <c r="F79" s="4">
        <f t="shared" si="15"/>
        <v>8</v>
      </c>
      <c r="G79" s="4">
        <f t="shared" si="19"/>
        <v>8</v>
      </c>
      <c r="H79" s="4">
        <f t="shared" si="16"/>
        <v>20</v>
      </c>
      <c r="I79" s="4">
        <f t="shared" si="20"/>
        <v>44</v>
      </c>
      <c r="J79" s="4">
        <f t="shared" si="17"/>
        <v>44</v>
      </c>
      <c r="K79" s="30"/>
      <c r="L79" s="30">
        <v>2</v>
      </c>
      <c r="M79" s="30"/>
      <c r="N79" s="30">
        <v>1</v>
      </c>
      <c r="O79" s="4">
        <f t="shared" si="18"/>
        <v>3</v>
      </c>
      <c r="P79" s="4">
        <f t="shared" si="21"/>
        <v>11.52</v>
      </c>
      <c r="Q79" s="3">
        <f t="shared" si="22"/>
        <v>12</v>
      </c>
      <c r="R79" s="3">
        <f t="shared" si="23"/>
        <v>240.00000000000023</v>
      </c>
    </row>
    <row r="80" spans="1:18" hidden="1" x14ac:dyDescent="0.3">
      <c r="A80" s="30">
        <v>10</v>
      </c>
      <c r="B80" s="30">
        <v>2</v>
      </c>
      <c r="C80" s="4">
        <f t="shared" si="12"/>
        <v>20</v>
      </c>
      <c r="D80" s="4">
        <f t="shared" si="13"/>
        <v>2</v>
      </c>
      <c r="E80" s="4">
        <f t="shared" si="14"/>
        <v>36</v>
      </c>
      <c r="F80" s="4">
        <f t="shared" si="15"/>
        <v>8</v>
      </c>
      <c r="G80" s="4">
        <f t="shared" si="19"/>
        <v>8</v>
      </c>
      <c r="H80" s="4">
        <f t="shared" si="16"/>
        <v>20</v>
      </c>
      <c r="I80" s="4">
        <f t="shared" si="20"/>
        <v>44</v>
      </c>
      <c r="J80" s="4">
        <f t="shared" si="17"/>
        <v>44</v>
      </c>
      <c r="K80" s="30"/>
      <c r="L80" s="30">
        <v>2</v>
      </c>
      <c r="M80" s="30"/>
      <c r="N80" s="30">
        <v>1</v>
      </c>
      <c r="O80" s="4">
        <f t="shared" si="18"/>
        <v>3</v>
      </c>
      <c r="P80" s="4">
        <f t="shared" si="21"/>
        <v>11.52</v>
      </c>
      <c r="Q80" s="3">
        <f t="shared" si="22"/>
        <v>12</v>
      </c>
      <c r="R80" s="3">
        <f t="shared" si="23"/>
        <v>240.00000000000023</v>
      </c>
    </row>
    <row r="81" spans="1:18" hidden="1" x14ac:dyDescent="0.3">
      <c r="A81" s="30">
        <v>10</v>
      </c>
      <c r="B81" s="30">
        <v>2</v>
      </c>
      <c r="C81" s="4">
        <f t="shared" si="12"/>
        <v>20</v>
      </c>
      <c r="D81" s="4">
        <f t="shared" si="13"/>
        <v>2</v>
      </c>
      <c r="E81" s="4">
        <f t="shared" si="14"/>
        <v>36</v>
      </c>
      <c r="F81" s="4">
        <f t="shared" si="15"/>
        <v>8</v>
      </c>
      <c r="G81" s="4">
        <f t="shared" si="19"/>
        <v>8</v>
      </c>
      <c r="H81" s="4">
        <f t="shared" si="16"/>
        <v>20</v>
      </c>
      <c r="I81" s="4">
        <f t="shared" si="20"/>
        <v>44</v>
      </c>
      <c r="J81" s="4">
        <f t="shared" si="17"/>
        <v>44</v>
      </c>
      <c r="K81" s="30"/>
      <c r="L81" s="30">
        <v>2</v>
      </c>
      <c r="M81" s="30"/>
      <c r="N81" s="30">
        <v>1</v>
      </c>
      <c r="O81" s="4">
        <f t="shared" si="18"/>
        <v>3</v>
      </c>
      <c r="P81" s="4">
        <f t="shared" si="21"/>
        <v>11.52</v>
      </c>
      <c r="Q81" s="3">
        <f t="shared" si="22"/>
        <v>12</v>
      </c>
      <c r="R81" s="3">
        <f t="shared" si="23"/>
        <v>240.00000000000023</v>
      </c>
    </row>
    <row r="82" spans="1:18" hidden="1" x14ac:dyDescent="0.3">
      <c r="A82" s="30">
        <v>10</v>
      </c>
      <c r="B82" s="30">
        <v>2</v>
      </c>
      <c r="C82" s="4">
        <f t="shared" si="12"/>
        <v>20</v>
      </c>
      <c r="D82" s="4">
        <f t="shared" si="13"/>
        <v>2</v>
      </c>
      <c r="E82" s="4">
        <f t="shared" si="14"/>
        <v>36</v>
      </c>
      <c r="F82" s="4">
        <f t="shared" si="15"/>
        <v>8</v>
      </c>
      <c r="G82" s="4">
        <f t="shared" si="19"/>
        <v>8</v>
      </c>
      <c r="H82" s="4">
        <f t="shared" si="16"/>
        <v>20</v>
      </c>
      <c r="I82" s="4">
        <f t="shared" si="20"/>
        <v>44</v>
      </c>
      <c r="J82" s="4">
        <f t="shared" si="17"/>
        <v>44</v>
      </c>
      <c r="K82" s="30"/>
      <c r="L82" s="30">
        <v>2</v>
      </c>
      <c r="M82" s="30"/>
      <c r="N82" s="30">
        <v>1</v>
      </c>
      <c r="O82" s="4">
        <f t="shared" si="18"/>
        <v>3</v>
      </c>
      <c r="P82" s="4">
        <f t="shared" si="21"/>
        <v>11.52</v>
      </c>
      <c r="Q82" s="3">
        <f t="shared" si="22"/>
        <v>12</v>
      </c>
      <c r="R82" s="3">
        <f t="shared" si="23"/>
        <v>240.00000000000023</v>
      </c>
    </row>
    <row r="83" spans="1:18" hidden="1" x14ac:dyDescent="0.3">
      <c r="A83" s="30">
        <v>10</v>
      </c>
      <c r="B83" s="30">
        <v>2</v>
      </c>
      <c r="C83" s="4">
        <f t="shared" si="12"/>
        <v>20</v>
      </c>
      <c r="D83" s="4">
        <f t="shared" si="13"/>
        <v>2</v>
      </c>
      <c r="E83" s="4">
        <f t="shared" si="14"/>
        <v>36</v>
      </c>
      <c r="F83" s="4">
        <f t="shared" si="15"/>
        <v>8</v>
      </c>
      <c r="G83" s="4">
        <f t="shared" si="19"/>
        <v>8</v>
      </c>
      <c r="H83" s="4">
        <f t="shared" si="16"/>
        <v>20</v>
      </c>
      <c r="I83" s="4">
        <f t="shared" si="20"/>
        <v>44</v>
      </c>
      <c r="J83" s="4">
        <f t="shared" si="17"/>
        <v>44</v>
      </c>
      <c r="K83" s="30"/>
      <c r="L83" s="30">
        <v>2</v>
      </c>
      <c r="M83" s="30"/>
      <c r="N83" s="30">
        <v>1</v>
      </c>
      <c r="O83" s="4">
        <f t="shared" si="18"/>
        <v>3</v>
      </c>
      <c r="P83" s="4">
        <f t="shared" si="21"/>
        <v>11.52</v>
      </c>
      <c r="Q83" s="3">
        <f t="shared" si="22"/>
        <v>12</v>
      </c>
      <c r="R83" s="3">
        <f t="shared" si="23"/>
        <v>240.00000000000023</v>
      </c>
    </row>
    <row r="84" spans="1:18" hidden="1" x14ac:dyDescent="0.3">
      <c r="A84" s="30">
        <v>10</v>
      </c>
      <c r="B84" s="30">
        <v>2</v>
      </c>
      <c r="C84" s="4">
        <f t="shared" si="12"/>
        <v>20</v>
      </c>
      <c r="D84" s="4">
        <f t="shared" si="13"/>
        <v>2</v>
      </c>
      <c r="E84" s="4">
        <f t="shared" si="14"/>
        <v>36</v>
      </c>
      <c r="F84" s="4">
        <f t="shared" si="15"/>
        <v>8</v>
      </c>
      <c r="G84" s="4">
        <f t="shared" si="19"/>
        <v>8</v>
      </c>
      <c r="H84" s="4">
        <f t="shared" si="16"/>
        <v>20</v>
      </c>
      <c r="I84" s="4">
        <f t="shared" si="20"/>
        <v>44</v>
      </c>
      <c r="J84" s="4">
        <f t="shared" si="17"/>
        <v>44</v>
      </c>
      <c r="K84" s="30"/>
      <c r="L84" s="30">
        <v>2</v>
      </c>
      <c r="M84" s="30"/>
      <c r="N84" s="30">
        <v>1</v>
      </c>
      <c r="O84" s="4">
        <f t="shared" si="18"/>
        <v>3</v>
      </c>
      <c r="P84" s="4">
        <f t="shared" si="21"/>
        <v>11.52</v>
      </c>
      <c r="Q84" s="3">
        <f t="shared" si="22"/>
        <v>12</v>
      </c>
      <c r="R84" s="3">
        <f t="shared" si="23"/>
        <v>240.00000000000023</v>
      </c>
    </row>
    <row r="85" spans="1:18" hidden="1" x14ac:dyDescent="0.3">
      <c r="A85" s="30">
        <v>9</v>
      </c>
      <c r="B85" s="30">
        <v>2</v>
      </c>
      <c r="C85" s="4">
        <f t="shared" si="12"/>
        <v>18</v>
      </c>
      <c r="D85" s="4">
        <f t="shared" si="13"/>
        <v>2</v>
      </c>
      <c r="E85" s="4">
        <f t="shared" si="14"/>
        <v>32</v>
      </c>
      <c r="F85" s="4">
        <f t="shared" si="15"/>
        <v>8</v>
      </c>
      <c r="G85" s="4">
        <f t="shared" si="19"/>
        <v>4</v>
      </c>
      <c r="H85" s="4">
        <f t="shared" si="16"/>
        <v>20</v>
      </c>
      <c r="I85" s="4">
        <f t="shared" si="20"/>
        <v>40</v>
      </c>
      <c r="J85" s="4">
        <f t="shared" si="17"/>
        <v>40</v>
      </c>
      <c r="K85" s="30">
        <v>2</v>
      </c>
      <c r="L85" s="30"/>
      <c r="M85" s="30"/>
      <c r="N85" s="30"/>
      <c r="O85" s="4">
        <f t="shared" si="18"/>
        <v>2</v>
      </c>
      <c r="P85" s="4">
        <f t="shared" si="21"/>
        <v>10.366</v>
      </c>
      <c r="Q85" s="3">
        <f t="shared" si="22"/>
        <v>10.6</v>
      </c>
      <c r="R85" s="3">
        <f t="shared" si="23"/>
        <v>117</v>
      </c>
    </row>
    <row r="86" spans="1:18" hidden="1" x14ac:dyDescent="0.3">
      <c r="A86" s="30">
        <v>9</v>
      </c>
      <c r="B86" s="30">
        <v>2</v>
      </c>
      <c r="C86" s="4">
        <f t="shared" si="12"/>
        <v>18</v>
      </c>
      <c r="D86" s="4">
        <f t="shared" si="13"/>
        <v>2</v>
      </c>
      <c r="E86" s="4">
        <f t="shared" si="14"/>
        <v>32</v>
      </c>
      <c r="F86" s="4">
        <f t="shared" si="15"/>
        <v>8</v>
      </c>
      <c r="G86" s="4">
        <f t="shared" si="19"/>
        <v>4</v>
      </c>
      <c r="H86" s="4">
        <f t="shared" si="16"/>
        <v>20</v>
      </c>
      <c r="I86" s="4">
        <f t="shared" si="20"/>
        <v>40</v>
      </c>
      <c r="J86" s="4">
        <f t="shared" si="17"/>
        <v>40</v>
      </c>
      <c r="K86" s="30">
        <v>2</v>
      </c>
      <c r="L86" s="30"/>
      <c r="M86" s="30"/>
      <c r="N86" s="30"/>
      <c r="O86" s="4">
        <f t="shared" si="18"/>
        <v>2</v>
      </c>
      <c r="P86" s="4">
        <f t="shared" si="21"/>
        <v>10.366</v>
      </c>
      <c r="Q86" s="3">
        <f t="shared" si="22"/>
        <v>10.6</v>
      </c>
      <c r="R86" s="3">
        <f t="shared" si="23"/>
        <v>117</v>
      </c>
    </row>
    <row r="87" spans="1:18" hidden="1" x14ac:dyDescent="0.3">
      <c r="A87" s="30">
        <v>9</v>
      </c>
      <c r="B87" s="30">
        <v>2</v>
      </c>
      <c r="C87" s="4">
        <f t="shared" ref="C87:C105" si="24">A87*B87</f>
        <v>18</v>
      </c>
      <c r="D87" s="4">
        <f t="shared" ref="D87:D105" si="25">B87*1</f>
        <v>2</v>
      </c>
      <c r="E87" s="4">
        <f t="shared" ref="E87:E105" si="26">(A87-1)*B87*2</f>
        <v>32</v>
      </c>
      <c r="F87" s="4">
        <f t="shared" ref="F87:F105" si="27">4*B87</f>
        <v>8</v>
      </c>
      <c r="G87" s="4">
        <f t="shared" ref="G87:G105" si="28">(O87-1)*B87*2</f>
        <v>4</v>
      </c>
      <c r="H87" s="4">
        <f t="shared" ref="H87:H105" si="29">ROUNDUP(A87/2,0)*2*B87</f>
        <v>20</v>
      </c>
      <c r="I87" s="4">
        <f t="shared" ref="I87:I105" si="30">ROUNDUP(Q87/$B$49,0)*B87*2</f>
        <v>40</v>
      </c>
      <c r="J87" s="4">
        <f t="shared" ref="J87:J105" si="31">SUM(E87:F87)</f>
        <v>40</v>
      </c>
      <c r="K87" s="30">
        <v>2</v>
      </c>
      <c r="L87" s="30"/>
      <c r="M87" s="30"/>
      <c r="N87" s="30"/>
      <c r="O87" s="4">
        <f t="shared" ref="O87:O105" si="32">SUM(K87:N87)</f>
        <v>2</v>
      </c>
      <c r="P87" s="4">
        <f t="shared" ref="P87:P105" si="33">A87*$B$48+(A87-1)*0.02</f>
        <v>10.366</v>
      </c>
      <c r="Q87" s="3">
        <f t="shared" ref="Q87:Q105" si="34">SUMPRODUCT($K$53:$N$53,K87:N87)</f>
        <v>10.6</v>
      </c>
      <c r="R87" s="3">
        <f t="shared" ref="R87:R105" si="35">((Q87-P87)/2)*1000</f>
        <v>117</v>
      </c>
    </row>
    <row r="88" spans="1:18" hidden="1" x14ac:dyDescent="0.3">
      <c r="A88" s="30">
        <v>9</v>
      </c>
      <c r="B88" s="30">
        <v>2</v>
      </c>
      <c r="C88" s="4">
        <f t="shared" si="24"/>
        <v>18</v>
      </c>
      <c r="D88" s="4">
        <f t="shared" si="25"/>
        <v>2</v>
      </c>
      <c r="E88" s="4">
        <f t="shared" si="26"/>
        <v>32</v>
      </c>
      <c r="F88" s="4">
        <f t="shared" si="27"/>
        <v>8</v>
      </c>
      <c r="G88" s="4">
        <f t="shared" si="28"/>
        <v>4</v>
      </c>
      <c r="H88" s="4">
        <f t="shared" si="29"/>
        <v>20</v>
      </c>
      <c r="I88" s="4">
        <f t="shared" si="30"/>
        <v>40</v>
      </c>
      <c r="J88" s="4">
        <f t="shared" si="31"/>
        <v>40</v>
      </c>
      <c r="K88" s="30">
        <v>2</v>
      </c>
      <c r="L88" s="30"/>
      <c r="M88" s="30"/>
      <c r="N88" s="30"/>
      <c r="O88" s="4">
        <f t="shared" si="32"/>
        <v>2</v>
      </c>
      <c r="P88" s="4">
        <f t="shared" si="33"/>
        <v>10.366</v>
      </c>
      <c r="Q88" s="3">
        <f t="shared" si="34"/>
        <v>10.6</v>
      </c>
      <c r="R88" s="3">
        <f t="shared" si="35"/>
        <v>117</v>
      </c>
    </row>
    <row r="89" spans="1:18" hidden="1" x14ac:dyDescent="0.3">
      <c r="A89" s="30">
        <v>9</v>
      </c>
      <c r="B89" s="30">
        <v>2</v>
      </c>
      <c r="C89" s="4">
        <f t="shared" si="24"/>
        <v>18</v>
      </c>
      <c r="D89" s="4">
        <f t="shared" si="25"/>
        <v>2</v>
      </c>
      <c r="E89" s="4">
        <f t="shared" si="26"/>
        <v>32</v>
      </c>
      <c r="F89" s="4">
        <f t="shared" si="27"/>
        <v>8</v>
      </c>
      <c r="G89" s="4">
        <f t="shared" si="28"/>
        <v>4</v>
      </c>
      <c r="H89" s="4">
        <f t="shared" si="29"/>
        <v>20</v>
      </c>
      <c r="I89" s="4">
        <f t="shared" si="30"/>
        <v>40</v>
      </c>
      <c r="J89" s="4">
        <f t="shared" si="31"/>
        <v>40</v>
      </c>
      <c r="K89" s="30">
        <v>2</v>
      </c>
      <c r="L89" s="30"/>
      <c r="M89" s="30"/>
      <c r="N89" s="30"/>
      <c r="O89" s="4">
        <f t="shared" si="32"/>
        <v>2</v>
      </c>
      <c r="P89" s="4">
        <f t="shared" si="33"/>
        <v>10.366</v>
      </c>
      <c r="Q89" s="3">
        <f t="shared" si="34"/>
        <v>10.6</v>
      </c>
      <c r="R89" s="3">
        <f t="shared" si="35"/>
        <v>117</v>
      </c>
    </row>
    <row r="90" spans="1:18" hidden="1" x14ac:dyDescent="0.3">
      <c r="A90" s="30">
        <v>9</v>
      </c>
      <c r="B90" s="30">
        <v>2</v>
      </c>
      <c r="C90" s="4">
        <f t="shared" si="24"/>
        <v>18</v>
      </c>
      <c r="D90" s="4">
        <f t="shared" si="25"/>
        <v>2</v>
      </c>
      <c r="E90" s="4">
        <f t="shared" si="26"/>
        <v>32</v>
      </c>
      <c r="F90" s="4">
        <f t="shared" si="27"/>
        <v>8</v>
      </c>
      <c r="G90" s="4">
        <f t="shared" si="28"/>
        <v>4</v>
      </c>
      <c r="H90" s="4">
        <f t="shared" si="29"/>
        <v>20</v>
      </c>
      <c r="I90" s="4">
        <f t="shared" si="30"/>
        <v>40</v>
      </c>
      <c r="J90" s="4">
        <f t="shared" si="31"/>
        <v>40</v>
      </c>
      <c r="K90" s="30">
        <v>2</v>
      </c>
      <c r="L90" s="30"/>
      <c r="M90" s="30"/>
      <c r="N90" s="30"/>
      <c r="O90" s="4">
        <f t="shared" si="32"/>
        <v>2</v>
      </c>
      <c r="P90" s="4">
        <f t="shared" si="33"/>
        <v>10.366</v>
      </c>
      <c r="Q90" s="3">
        <f t="shared" si="34"/>
        <v>10.6</v>
      </c>
      <c r="R90" s="3">
        <f t="shared" si="35"/>
        <v>117</v>
      </c>
    </row>
    <row r="91" spans="1:18" hidden="1" x14ac:dyDescent="0.3">
      <c r="A91" s="30">
        <v>10</v>
      </c>
      <c r="B91" s="30">
        <v>2</v>
      </c>
      <c r="C91" s="4">
        <f t="shared" si="24"/>
        <v>20</v>
      </c>
      <c r="D91" s="4">
        <f t="shared" si="25"/>
        <v>2</v>
      </c>
      <c r="E91" s="4">
        <f t="shared" si="26"/>
        <v>36</v>
      </c>
      <c r="F91" s="4">
        <f t="shared" si="27"/>
        <v>8</v>
      </c>
      <c r="G91" s="4">
        <f t="shared" si="28"/>
        <v>8</v>
      </c>
      <c r="H91" s="4">
        <f t="shared" si="29"/>
        <v>20</v>
      </c>
      <c r="I91" s="4">
        <f t="shared" si="30"/>
        <v>44</v>
      </c>
      <c r="J91" s="4">
        <f t="shared" si="31"/>
        <v>44</v>
      </c>
      <c r="K91" s="30"/>
      <c r="L91" s="30">
        <v>2</v>
      </c>
      <c r="M91" s="30"/>
      <c r="N91" s="30">
        <v>1</v>
      </c>
      <c r="O91" s="4">
        <f t="shared" si="32"/>
        <v>3</v>
      </c>
      <c r="P91" s="4">
        <f t="shared" si="33"/>
        <v>11.52</v>
      </c>
      <c r="Q91" s="3">
        <f t="shared" si="34"/>
        <v>12</v>
      </c>
      <c r="R91" s="3">
        <f t="shared" si="35"/>
        <v>240.00000000000023</v>
      </c>
    </row>
    <row r="92" spans="1:18" hidden="1" x14ac:dyDescent="0.3">
      <c r="A92" s="30">
        <v>10</v>
      </c>
      <c r="B92" s="30">
        <v>2</v>
      </c>
      <c r="C92" s="4">
        <f t="shared" si="24"/>
        <v>20</v>
      </c>
      <c r="D92" s="4">
        <f t="shared" si="25"/>
        <v>2</v>
      </c>
      <c r="E92" s="4">
        <f t="shared" si="26"/>
        <v>36</v>
      </c>
      <c r="F92" s="4">
        <f t="shared" si="27"/>
        <v>8</v>
      </c>
      <c r="G92" s="4">
        <f t="shared" si="28"/>
        <v>8</v>
      </c>
      <c r="H92" s="4">
        <f t="shared" si="29"/>
        <v>20</v>
      </c>
      <c r="I92" s="4">
        <f t="shared" si="30"/>
        <v>44</v>
      </c>
      <c r="J92" s="4">
        <f t="shared" si="31"/>
        <v>44</v>
      </c>
      <c r="K92" s="30"/>
      <c r="L92" s="30">
        <v>2</v>
      </c>
      <c r="M92" s="30"/>
      <c r="N92" s="30">
        <v>1</v>
      </c>
      <c r="O92" s="4">
        <f t="shared" si="32"/>
        <v>3</v>
      </c>
      <c r="P92" s="4">
        <f t="shared" si="33"/>
        <v>11.52</v>
      </c>
      <c r="Q92" s="3">
        <f t="shared" si="34"/>
        <v>12</v>
      </c>
      <c r="R92" s="3">
        <f t="shared" si="35"/>
        <v>240.00000000000023</v>
      </c>
    </row>
    <row r="93" spans="1:18" hidden="1" x14ac:dyDescent="0.3">
      <c r="A93" s="30">
        <v>10</v>
      </c>
      <c r="B93" s="30">
        <v>2</v>
      </c>
      <c r="C93" s="4">
        <f t="shared" si="24"/>
        <v>20</v>
      </c>
      <c r="D93" s="4">
        <f t="shared" si="25"/>
        <v>2</v>
      </c>
      <c r="E93" s="4">
        <f t="shared" si="26"/>
        <v>36</v>
      </c>
      <c r="F93" s="4">
        <f t="shared" si="27"/>
        <v>8</v>
      </c>
      <c r="G93" s="4">
        <f t="shared" si="28"/>
        <v>8</v>
      </c>
      <c r="H93" s="4">
        <f t="shared" si="29"/>
        <v>20</v>
      </c>
      <c r="I93" s="4">
        <f t="shared" si="30"/>
        <v>44</v>
      </c>
      <c r="J93" s="4">
        <f t="shared" si="31"/>
        <v>44</v>
      </c>
      <c r="K93" s="30"/>
      <c r="L93" s="30">
        <v>2</v>
      </c>
      <c r="M93" s="30"/>
      <c r="N93" s="30">
        <v>1</v>
      </c>
      <c r="O93" s="4">
        <f t="shared" si="32"/>
        <v>3</v>
      </c>
      <c r="P93" s="4">
        <f t="shared" si="33"/>
        <v>11.52</v>
      </c>
      <c r="Q93" s="3">
        <f t="shared" si="34"/>
        <v>12</v>
      </c>
      <c r="R93" s="3">
        <f t="shared" si="35"/>
        <v>240.00000000000023</v>
      </c>
    </row>
    <row r="94" spans="1:18" hidden="1" x14ac:dyDescent="0.3">
      <c r="A94" s="30">
        <v>10</v>
      </c>
      <c r="B94" s="30">
        <v>2</v>
      </c>
      <c r="C94" s="4">
        <f t="shared" si="24"/>
        <v>20</v>
      </c>
      <c r="D94" s="4">
        <f t="shared" si="25"/>
        <v>2</v>
      </c>
      <c r="E94" s="4">
        <f t="shared" si="26"/>
        <v>36</v>
      </c>
      <c r="F94" s="4">
        <f t="shared" si="27"/>
        <v>8</v>
      </c>
      <c r="G94" s="4">
        <f t="shared" si="28"/>
        <v>8</v>
      </c>
      <c r="H94" s="4">
        <f t="shared" si="29"/>
        <v>20</v>
      </c>
      <c r="I94" s="4">
        <f t="shared" si="30"/>
        <v>44</v>
      </c>
      <c r="J94" s="4">
        <f t="shared" si="31"/>
        <v>44</v>
      </c>
      <c r="K94" s="30"/>
      <c r="L94" s="30">
        <v>2</v>
      </c>
      <c r="M94" s="30"/>
      <c r="N94" s="30">
        <v>1</v>
      </c>
      <c r="O94" s="4">
        <f t="shared" si="32"/>
        <v>3</v>
      </c>
      <c r="P94" s="4">
        <f t="shared" si="33"/>
        <v>11.52</v>
      </c>
      <c r="Q94" s="3">
        <f t="shared" si="34"/>
        <v>12</v>
      </c>
      <c r="R94" s="3">
        <f t="shared" si="35"/>
        <v>240.00000000000023</v>
      </c>
    </row>
    <row r="95" spans="1:18" hidden="1" x14ac:dyDescent="0.3">
      <c r="A95" s="30">
        <v>10</v>
      </c>
      <c r="B95" s="30">
        <v>2</v>
      </c>
      <c r="C95" s="4">
        <f t="shared" si="24"/>
        <v>20</v>
      </c>
      <c r="D95" s="4">
        <f t="shared" si="25"/>
        <v>2</v>
      </c>
      <c r="E95" s="4">
        <f t="shared" si="26"/>
        <v>36</v>
      </c>
      <c r="F95" s="4">
        <f t="shared" si="27"/>
        <v>8</v>
      </c>
      <c r="G95" s="4">
        <f t="shared" si="28"/>
        <v>8</v>
      </c>
      <c r="H95" s="4">
        <f t="shared" si="29"/>
        <v>20</v>
      </c>
      <c r="I95" s="4">
        <f t="shared" si="30"/>
        <v>44</v>
      </c>
      <c r="J95" s="4">
        <f t="shared" si="31"/>
        <v>44</v>
      </c>
      <c r="K95" s="30"/>
      <c r="L95" s="30">
        <v>2</v>
      </c>
      <c r="M95" s="30"/>
      <c r="N95" s="30">
        <v>1</v>
      </c>
      <c r="O95" s="4">
        <f t="shared" si="32"/>
        <v>3</v>
      </c>
      <c r="P95" s="4">
        <f t="shared" si="33"/>
        <v>11.52</v>
      </c>
      <c r="Q95" s="3">
        <f t="shared" si="34"/>
        <v>12</v>
      </c>
      <c r="R95" s="3">
        <f t="shared" si="35"/>
        <v>240.00000000000023</v>
      </c>
    </row>
    <row r="96" spans="1:18" hidden="1" x14ac:dyDescent="0.3">
      <c r="A96" s="30">
        <v>10</v>
      </c>
      <c r="B96" s="30">
        <v>2</v>
      </c>
      <c r="C96" s="4">
        <f t="shared" si="24"/>
        <v>20</v>
      </c>
      <c r="D96" s="4">
        <f t="shared" si="25"/>
        <v>2</v>
      </c>
      <c r="E96" s="4">
        <f t="shared" si="26"/>
        <v>36</v>
      </c>
      <c r="F96" s="4">
        <f t="shared" si="27"/>
        <v>8</v>
      </c>
      <c r="G96" s="4">
        <f t="shared" si="28"/>
        <v>8</v>
      </c>
      <c r="H96" s="4">
        <f t="shared" si="29"/>
        <v>20</v>
      </c>
      <c r="I96" s="4">
        <f t="shared" si="30"/>
        <v>44</v>
      </c>
      <c r="J96" s="4">
        <f t="shared" si="31"/>
        <v>44</v>
      </c>
      <c r="K96" s="30"/>
      <c r="L96" s="30">
        <v>2</v>
      </c>
      <c r="M96" s="30"/>
      <c r="N96" s="30">
        <v>1</v>
      </c>
      <c r="O96" s="4">
        <f t="shared" si="32"/>
        <v>3</v>
      </c>
      <c r="P96" s="4">
        <f t="shared" si="33"/>
        <v>11.52</v>
      </c>
      <c r="Q96" s="3">
        <f t="shared" si="34"/>
        <v>12</v>
      </c>
      <c r="R96" s="3">
        <f t="shared" si="35"/>
        <v>240.00000000000023</v>
      </c>
    </row>
    <row r="97" spans="1:18" hidden="1" x14ac:dyDescent="0.3">
      <c r="A97" s="30">
        <v>10</v>
      </c>
      <c r="B97" s="30">
        <v>2</v>
      </c>
      <c r="C97" s="4">
        <f t="shared" si="24"/>
        <v>20</v>
      </c>
      <c r="D97" s="4">
        <f t="shared" si="25"/>
        <v>2</v>
      </c>
      <c r="E97" s="4">
        <f t="shared" si="26"/>
        <v>36</v>
      </c>
      <c r="F97" s="4">
        <f t="shared" si="27"/>
        <v>8</v>
      </c>
      <c r="G97" s="4">
        <f t="shared" si="28"/>
        <v>8</v>
      </c>
      <c r="H97" s="4">
        <f t="shared" si="29"/>
        <v>20</v>
      </c>
      <c r="I97" s="4">
        <f t="shared" si="30"/>
        <v>44</v>
      </c>
      <c r="J97" s="4">
        <f t="shared" si="31"/>
        <v>44</v>
      </c>
      <c r="K97" s="30"/>
      <c r="L97" s="30">
        <v>2</v>
      </c>
      <c r="M97" s="30"/>
      <c r="N97" s="30">
        <v>1</v>
      </c>
      <c r="O97" s="4">
        <f t="shared" si="32"/>
        <v>3</v>
      </c>
      <c r="P97" s="4">
        <f t="shared" si="33"/>
        <v>11.52</v>
      </c>
      <c r="Q97" s="3">
        <f t="shared" si="34"/>
        <v>12</v>
      </c>
      <c r="R97" s="3">
        <f t="shared" si="35"/>
        <v>240.00000000000023</v>
      </c>
    </row>
    <row r="98" spans="1:18" hidden="1" x14ac:dyDescent="0.3">
      <c r="A98" s="30">
        <v>10</v>
      </c>
      <c r="B98" s="30">
        <v>2</v>
      </c>
      <c r="C98" s="4">
        <f t="shared" si="24"/>
        <v>20</v>
      </c>
      <c r="D98" s="4">
        <f t="shared" si="25"/>
        <v>2</v>
      </c>
      <c r="E98" s="4">
        <f t="shared" si="26"/>
        <v>36</v>
      </c>
      <c r="F98" s="4">
        <f t="shared" si="27"/>
        <v>8</v>
      </c>
      <c r="G98" s="4">
        <f t="shared" si="28"/>
        <v>8</v>
      </c>
      <c r="H98" s="4">
        <f t="shared" si="29"/>
        <v>20</v>
      </c>
      <c r="I98" s="4">
        <f t="shared" si="30"/>
        <v>44</v>
      </c>
      <c r="J98" s="4">
        <f t="shared" si="31"/>
        <v>44</v>
      </c>
      <c r="K98" s="30"/>
      <c r="L98" s="30">
        <v>2</v>
      </c>
      <c r="M98" s="30"/>
      <c r="N98" s="30">
        <v>1</v>
      </c>
      <c r="O98" s="4">
        <f t="shared" si="32"/>
        <v>3</v>
      </c>
      <c r="P98" s="4">
        <f t="shared" si="33"/>
        <v>11.52</v>
      </c>
      <c r="Q98" s="3">
        <f t="shared" si="34"/>
        <v>12</v>
      </c>
      <c r="R98" s="3">
        <f t="shared" si="35"/>
        <v>240.00000000000023</v>
      </c>
    </row>
    <row r="99" spans="1:18" hidden="1" x14ac:dyDescent="0.3">
      <c r="A99" s="30">
        <v>10</v>
      </c>
      <c r="B99" s="30">
        <v>2</v>
      </c>
      <c r="C99" s="4">
        <f t="shared" si="24"/>
        <v>20</v>
      </c>
      <c r="D99" s="4">
        <f t="shared" si="25"/>
        <v>2</v>
      </c>
      <c r="E99" s="4">
        <f t="shared" si="26"/>
        <v>36</v>
      </c>
      <c r="F99" s="4">
        <f t="shared" si="27"/>
        <v>8</v>
      </c>
      <c r="G99" s="4">
        <f t="shared" si="28"/>
        <v>8</v>
      </c>
      <c r="H99" s="4">
        <f t="shared" si="29"/>
        <v>20</v>
      </c>
      <c r="I99" s="4">
        <f t="shared" si="30"/>
        <v>44</v>
      </c>
      <c r="J99" s="4">
        <f t="shared" si="31"/>
        <v>44</v>
      </c>
      <c r="K99" s="30"/>
      <c r="L99" s="30">
        <v>2</v>
      </c>
      <c r="M99" s="30"/>
      <c r="N99" s="30">
        <v>1</v>
      </c>
      <c r="O99" s="4">
        <f t="shared" si="32"/>
        <v>3</v>
      </c>
      <c r="P99" s="4">
        <f t="shared" si="33"/>
        <v>11.52</v>
      </c>
      <c r="Q99" s="3">
        <f t="shared" si="34"/>
        <v>12</v>
      </c>
      <c r="R99" s="3">
        <f t="shared" si="35"/>
        <v>240.00000000000023</v>
      </c>
    </row>
    <row r="100" spans="1:18" hidden="1" x14ac:dyDescent="0.3">
      <c r="A100" s="30">
        <v>10</v>
      </c>
      <c r="B100" s="30">
        <v>2</v>
      </c>
      <c r="C100" s="4">
        <f t="shared" si="24"/>
        <v>20</v>
      </c>
      <c r="D100" s="4">
        <f t="shared" si="25"/>
        <v>2</v>
      </c>
      <c r="E100" s="4">
        <f t="shared" si="26"/>
        <v>36</v>
      </c>
      <c r="F100" s="4">
        <f t="shared" si="27"/>
        <v>8</v>
      </c>
      <c r="G100" s="4">
        <f t="shared" si="28"/>
        <v>8</v>
      </c>
      <c r="H100" s="4">
        <f t="shared" si="29"/>
        <v>20</v>
      </c>
      <c r="I100" s="4">
        <f t="shared" si="30"/>
        <v>44</v>
      </c>
      <c r="J100" s="4">
        <f t="shared" si="31"/>
        <v>44</v>
      </c>
      <c r="K100" s="30"/>
      <c r="L100" s="30">
        <v>2</v>
      </c>
      <c r="M100" s="30"/>
      <c r="N100" s="30">
        <v>1</v>
      </c>
      <c r="O100" s="4">
        <f t="shared" si="32"/>
        <v>3</v>
      </c>
      <c r="P100" s="4">
        <f t="shared" si="33"/>
        <v>11.52</v>
      </c>
      <c r="Q100" s="3">
        <f t="shared" si="34"/>
        <v>12</v>
      </c>
      <c r="R100" s="3">
        <f t="shared" si="35"/>
        <v>240.00000000000023</v>
      </c>
    </row>
    <row r="101" spans="1:18" hidden="1" x14ac:dyDescent="0.3">
      <c r="A101" s="30">
        <v>10</v>
      </c>
      <c r="B101" s="30">
        <v>2</v>
      </c>
      <c r="C101" s="4">
        <f t="shared" si="24"/>
        <v>20</v>
      </c>
      <c r="D101" s="4">
        <f t="shared" si="25"/>
        <v>2</v>
      </c>
      <c r="E101" s="4">
        <f t="shared" si="26"/>
        <v>36</v>
      </c>
      <c r="F101" s="4">
        <f t="shared" si="27"/>
        <v>8</v>
      </c>
      <c r="G101" s="4">
        <f t="shared" si="28"/>
        <v>8</v>
      </c>
      <c r="H101" s="4">
        <f t="shared" si="29"/>
        <v>20</v>
      </c>
      <c r="I101" s="4">
        <f t="shared" si="30"/>
        <v>44</v>
      </c>
      <c r="J101" s="4">
        <f t="shared" si="31"/>
        <v>44</v>
      </c>
      <c r="K101" s="30"/>
      <c r="L101" s="30">
        <v>2</v>
      </c>
      <c r="M101" s="30"/>
      <c r="N101" s="30">
        <v>1</v>
      </c>
      <c r="O101" s="4">
        <f t="shared" si="32"/>
        <v>3</v>
      </c>
      <c r="P101" s="4">
        <f t="shared" si="33"/>
        <v>11.52</v>
      </c>
      <c r="Q101" s="3">
        <f t="shared" si="34"/>
        <v>12</v>
      </c>
      <c r="R101" s="3">
        <f t="shared" si="35"/>
        <v>240.00000000000023</v>
      </c>
    </row>
    <row r="102" spans="1:18" hidden="1" x14ac:dyDescent="0.3">
      <c r="A102" s="30">
        <v>10</v>
      </c>
      <c r="B102" s="30">
        <v>2</v>
      </c>
      <c r="C102" s="4">
        <f t="shared" si="24"/>
        <v>20</v>
      </c>
      <c r="D102" s="4">
        <f t="shared" si="25"/>
        <v>2</v>
      </c>
      <c r="E102" s="4">
        <f t="shared" si="26"/>
        <v>36</v>
      </c>
      <c r="F102" s="4">
        <f t="shared" si="27"/>
        <v>8</v>
      </c>
      <c r="G102" s="4">
        <f t="shared" si="28"/>
        <v>8</v>
      </c>
      <c r="H102" s="4">
        <f t="shared" si="29"/>
        <v>20</v>
      </c>
      <c r="I102" s="4">
        <f t="shared" si="30"/>
        <v>44</v>
      </c>
      <c r="J102" s="4">
        <f t="shared" si="31"/>
        <v>44</v>
      </c>
      <c r="K102" s="30"/>
      <c r="L102" s="30">
        <v>2</v>
      </c>
      <c r="M102" s="30"/>
      <c r="N102" s="30">
        <v>1</v>
      </c>
      <c r="O102" s="4">
        <f t="shared" si="32"/>
        <v>3</v>
      </c>
      <c r="P102" s="4">
        <f t="shared" si="33"/>
        <v>11.52</v>
      </c>
      <c r="Q102" s="3">
        <f t="shared" si="34"/>
        <v>12</v>
      </c>
      <c r="R102" s="3">
        <f t="shared" si="35"/>
        <v>240.00000000000023</v>
      </c>
    </row>
    <row r="103" spans="1:18" hidden="1" x14ac:dyDescent="0.3">
      <c r="A103" s="30">
        <v>10</v>
      </c>
      <c r="B103" s="30">
        <v>2</v>
      </c>
      <c r="C103" s="4">
        <f t="shared" si="24"/>
        <v>20</v>
      </c>
      <c r="D103" s="4">
        <f t="shared" si="25"/>
        <v>2</v>
      </c>
      <c r="E103" s="4">
        <f t="shared" si="26"/>
        <v>36</v>
      </c>
      <c r="F103" s="4">
        <f t="shared" si="27"/>
        <v>8</v>
      </c>
      <c r="G103" s="4">
        <f t="shared" si="28"/>
        <v>8</v>
      </c>
      <c r="H103" s="4">
        <f t="shared" si="29"/>
        <v>20</v>
      </c>
      <c r="I103" s="4">
        <f t="shared" si="30"/>
        <v>44</v>
      </c>
      <c r="J103" s="4">
        <f t="shared" si="31"/>
        <v>44</v>
      </c>
      <c r="K103" s="30"/>
      <c r="L103" s="30">
        <v>2</v>
      </c>
      <c r="M103" s="30"/>
      <c r="N103" s="30">
        <v>1</v>
      </c>
      <c r="O103" s="4">
        <f t="shared" si="32"/>
        <v>3</v>
      </c>
      <c r="P103" s="4">
        <f t="shared" si="33"/>
        <v>11.52</v>
      </c>
      <c r="Q103" s="3">
        <f t="shared" si="34"/>
        <v>12</v>
      </c>
      <c r="R103" s="3">
        <f t="shared" si="35"/>
        <v>240.00000000000023</v>
      </c>
    </row>
    <row r="104" spans="1:18" x14ac:dyDescent="0.3">
      <c r="A104" s="30">
        <v>10</v>
      </c>
      <c r="B104" s="30">
        <v>2</v>
      </c>
      <c r="C104" s="4">
        <f t="shared" si="24"/>
        <v>20</v>
      </c>
      <c r="D104" s="4">
        <f t="shared" si="25"/>
        <v>2</v>
      </c>
      <c r="E104" s="4">
        <f t="shared" si="26"/>
        <v>36</v>
      </c>
      <c r="F104" s="4">
        <f t="shared" si="27"/>
        <v>8</v>
      </c>
      <c r="G104" s="4">
        <f t="shared" si="28"/>
        <v>8</v>
      </c>
      <c r="H104" s="4">
        <f t="shared" si="29"/>
        <v>20</v>
      </c>
      <c r="I104" s="4">
        <f t="shared" si="30"/>
        <v>44</v>
      </c>
      <c r="J104" s="4">
        <f t="shared" si="31"/>
        <v>44</v>
      </c>
      <c r="K104" s="30"/>
      <c r="L104" s="30">
        <v>2</v>
      </c>
      <c r="M104" s="30"/>
      <c r="N104" s="30">
        <v>1</v>
      </c>
      <c r="O104" s="4">
        <f t="shared" si="32"/>
        <v>3</v>
      </c>
      <c r="P104" s="4">
        <f t="shared" si="33"/>
        <v>11.52</v>
      </c>
      <c r="Q104" s="3">
        <f t="shared" si="34"/>
        <v>12</v>
      </c>
      <c r="R104" s="3">
        <f t="shared" si="35"/>
        <v>240.00000000000023</v>
      </c>
    </row>
    <row r="105" spans="1:18" ht="15" thickBot="1" x14ac:dyDescent="0.35">
      <c r="A105" s="30">
        <v>10</v>
      </c>
      <c r="B105" s="30">
        <v>2</v>
      </c>
      <c r="C105" s="4">
        <f t="shared" si="24"/>
        <v>20</v>
      </c>
      <c r="D105" s="4">
        <f t="shared" si="25"/>
        <v>2</v>
      </c>
      <c r="E105" s="4">
        <f t="shared" si="26"/>
        <v>36</v>
      </c>
      <c r="F105" s="4">
        <f t="shared" si="27"/>
        <v>8</v>
      </c>
      <c r="G105" s="4">
        <f t="shared" si="28"/>
        <v>8</v>
      </c>
      <c r="H105" s="4">
        <f t="shared" si="29"/>
        <v>20</v>
      </c>
      <c r="I105" s="4">
        <f t="shared" si="30"/>
        <v>44</v>
      </c>
      <c r="J105" s="4">
        <f t="shared" si="31"/>
        <v>44</v>
      </c>
      <c r="K105" s="30"/>
      <c r="L105" s="30">
        <v>2</v>
      </c>
      <c r="M105" s="30"/>
      <c r="N105" s="30">
        <v>1</v>
      </c>
      <c r="O105" s="4">
        <f t="shared" si="32"/>
        <v>3</v>
      </c>
      <c r="P105" s="4">
        <f t="shared" si="33"/>
        <v>11.52</v>
      </c>
      <c r="Q105" s="3">
        <f t="shared" si="34"/>
        <v>12</v>
      </c>
      <c r="R105" s="3">
        <f t="shared" si="35"/>
        <v>240.00000000000023</v>
      </c>
    </row>
    <row r="106" spans="1:18" ht="15" thickBot="1" x14ac:dyDescent="0.35">
      <c r="C106" s="34">
        <f t="shared" ref="C106:J106" si="36">SUM(C55:C105)</f>
        <v>814</v>
      </c>
      <c r="D106" s="35">
        <f t="shared" si="36"/>
        <v>84</v>
      </c>
      <c r="E106" s="35">
        <f t="shared" si="36"/>
        <v>1460</v>
      </c>
      <c r="F106" s="35">
        <f t="shared" si="36"/>
        <v>336</v>
      </c>
      <c r="G106" s="35">
        <f t="shared" si="36"/>
        <v>284</v>
      </c>
      <c r="H106" s="35">
        <f t="shared" si="36"/>
        <v>840</v>
      </c>
      <c r="I106" s="35">
        <f t="shared" si="36"/>
        <v>1796</v>
      </c>
      <c r="J106" s="35">
        <f t="shared" si="36"/>
        <v>1796</v>
      </c>
      <c r="K106" s="35">
        <f>SUMPRODUCT(K55:K105,$B$55:$B$105)*2</f>
        <v>104</v>
      </c>
      <c r="L106" s="35">
        <f>SUMPRODUCT(L55:L105,$B$55:$B$105)*2</f>
        <v>232</v>
      </c>
      <c r="M106" s="35">
        <f>SUMPRODUCT(M55:M105,$B$55:$B$105)*2</f>
        <v>0</v>
      </c>
      <c r="N106" s="35">
        <f>SUMPRODUCT(N55:N105,$B$55:$B$105)*2</f>
        <v>116</v>
      </c>
      <c r="O106" s="35">
        <f>SUMPRODUCT(O55:O86, $B55:$B86)*2</f>
        <v>240</v>
      </c>
      <c r="P106" s="35"/>
      <c r="Q106" s="36"/>
      <c r="R106" s="36"/>
    </row>
  </sheetData>
  <mergeCells count="2">
    <mergeCell ref="A29:L29"/>
    <mergeCell ref="A34:L34"/>
  </mergeCells>
  <dataValidations count="2">
    <dataValidation type="list" allowBlank="1" showInputMessage="1" showErrorMessage="1" sqref="B3" xr:uid="{51986CE8-C82E-497A-BFF6-623E6138B6C6}">
      <formula1>$K$2:$K$7</formula1>
    </dataValidation>
    <dataValidation type="list" allowBlank="1" showInputMessage="1" showErrorMessage="1" sqref="B2" xr:uid="{AC744834-BCAC-44BA-B2A6-56510DD9C3E9}">
      <formula1>$J$1:$J$3</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B89DD-2BDB-4A2D-BB95-824CEF48D97A}">
  <sheetPr codeName="Sheet8"/>
  <dimension ref="A1:T92"/>
  <sheetViews>
    <sheetView zoomScale="80" zoomScaleNormal="80" workbookViewId="0">
      <selection activeCell="B3" sqref="B3"/>
    </sheetView>
  </sheetViews>
  <sheetFormatPr defaultRowHeight="14.4" x14ac:dyDescent="0.3"/>
  <cols>
    <col min="1" max="1" width="25" customWidth="1"/>
    <col min="2" max="2" width="19.44140625" style="5" customWidth="1"/>
    <col min="3" max="4" width="15.44140625" customWidth="1"/>
    <col min="5" max="5" width="14.44140625" customWidth="1"/>
    <col min="6" max="12" width="13.5546875" customWidth="1"/>
    <col min="13" max="13" width="12.5546875" bestFit="1" customWidth="1"/>
    <col min="14" max="16" width="14.44140625" customWidth="1"/>
    <col min="17" max="17" width="15.44140625" customWidth="1"/>
    <col min="18" max="18" width="20.5546875" customWidth="1"/>
  </cols>
  <sheetData>
    <row r="1" spans="1:11" x14ac:dyDescent="0.3">
      <c r="A1" t="s">
        <v>44</v>
      </c>
      <c r="B1" s="5" t="s">
        <v>2112</v>
      </c>
      <c r="J1" t="s">
        <v>0</v>
      </c>
      <c r="K1" t="s">
        <v>2113</v>
      </c>
    </row>
    <row r="2" spans="1:11" x14ac:dyDescent="0.3">
      <c r="A2" t="s">
        <v>47</v>
      </c>
      <c r="B2" s="5" t="s">
        <v>1</v>
      </c>
      <c r="J2" t="s">
        <v>1</v>
      </c>
      <c r="K2" t="s">
        <v>2114</v>
      </c>
    </row>
    <row r="3" spans="1:11" x14ac:dyDescent="0.3">
      <c r="A3" t="s">
        <v>2113</v>
      </c>
      <c r="B3" s="5" t="s">
        <v>2116</v>
      </c>
      <c r="K3" t="s">
        <v>2116</v>
      </c>
    </row>
    <row r="4" spans="1:11" x14ac:dyDescent="0.3">
      <c r="K4" t="s">
        <v>2115</v>
      </c>
    </row>
    <row r="5" spans="1:11" x14ac:dyDescent="0.3">
      <c r="K5" t="s">
        <v>2117</v>
      </c>
    </row>
    <row r="6" spans="1:11" x14ac:dyDescent="0.3">
      <c r="A6" t="s">
        <v>2118</v>
      </c>
      <c r="B6" s="5" cm="1">
        <f t="array" ref="B6">_xlfn.IFS(AND($B$2="Residential",$B$3="Tiles Roof"),$I$40,AND($B$2="C&amp;I",$B$3="Tiles Roof"),$I$92,Roof_Type&lt;&gt;"Tiles Roof",0)</f>
        <v>0</v>
      </c>
    </row>
    <row r="7" spans="1:11" x14ac:dyDescent="0.3">
      <c r="A7" t="s">
        <v>2119</v>
      </c>
      <c r="B7" s="5" cm="1">
        <f t="array" ref="B7">_xlfn.IFS(AND($B$2="Residential",OR($B$3="Metal Deck", $B$3="RC Roof")),$I$40,AND($B$2="C&amp;I",OR($B$3="Metal Deck", $B$3="RC Roof")),$I$92,Roof_Type&lt;&gt;"Metal Deck",0)</f>
        <v>0</v>
      </c>
    </row>
    <row r="8" spans="1:11" x14ac:dyDescent="0.3">
      <c r="A8" t="s">
        <v>2120</v>
      </c>
      <c r="B8" s="5" cm="1">
        <f t="array" ref="B8">_xlfn.IFS(AND($B$2="Residential",$B$3="Klip Lok Roof"),$J$40,AND($B$2="C&amp;I",$B$3="Klip Lok Roof"),$J$92,Roof_Type&lt;&gt;"Klip Lok Roof",0)</f>
        <v>0</v>
      </c>
    </row>
    <row r="9" spans="1:11" x14ac:dyDescent="0.3">
      <c r="A9" t="s">
        <v>2121</v>
      </c>
      <c r="B9" s="5" cm="1">
        <f t="array" ref="B9">_xlfn.IFS($B$2="Residential",K40,$B$2="C&amp;I",P92)</f>
        <v>0</v>
      </c>
    </row>
    <row r="10" spans="1:11" x14ac:dyDescent="0.3">
      <c r="A10" t="s">
        <v>2122</v>
      </c>
      <c r="B10" s="5">
        <f>IF($B$2="Residential",0,IF($B$2="C&amp;I",K92,0))</f>
        <v>0</v>
      </c>
    </row>
    <row r="11" spans="1:11" x14ac:dyDescent="0.3">
      <c r="A11" t="s">
        <v>2123</v>
      </c>
      <c r="B11" s="5" cm="1">
        <f t="array" ref="B11">_xlfn.IFS($B$2="Residential",0,$B$2="C&amp;I",L92)</f>
        <v>0</v>
      </c>
    </row>
    <row r="12" spans="1:11" x14ac:dyDescent="0.3">
      <c r="A12" t="s">
        <v>2124</v>
      </c>
      <c r="B12" s="5" cm="1">
        <f t="array" ref="B12">_xlfn.IFS($B$2="Residential",0,$B$2="C&amp;I",O92)</f>
        <v>0</v>
      </c>
    </row>
    <row r="13" spans="1:11" x14ac:dyDescent="0.3">
      <c r="A13" t="s">
        <v>2125</v>
      </c>
      <c r="B13" s="5" cm="1">
        <f t="array" ref="B13">_xlfn.IFS($B$2="Residential",G40,$B$2="C&amp;I",G92)</f>
        <v>-80</v>
      </c>
    </row>
    <row r="14" spans="1:11" x14ac:dyDescent="0.3">
      <c r="A14" t="s">
        <v>2126</v>
      </c>
      <c r="B14" s="5" cm="1">
        <f t="array" ref="B14">_xlfn.IFS($B$2="Residential",E40,$B$2="C&amp;I",E92)</f>
        <v>828</v>
      </c>
    </row>
    <row r="15" spans="1:11" x14ac:dyDescent="0.3">
      <c r="A15" t="s">
        <v>2127</v>
      </c>
      <c r="B15" s="5" cm="1">
        <f t="array" ref="B15">_xlfn.IFS($B$2="Residential",F40,$B$2="C&amp;I",F92)</f>
        <v>160</v>
      </c>
    </row>
    <row r="16" spans="1:11" x14ac:dyDescent="0.3">
      <c r="A16" t="s">
        <v>2128</v>
      </c>
      <c r="B16" s="5" cm="1">
        <f t="array" ref="B16">_xlfn.IFS($B$2="Residential",H40,$B$2="C&amp;I",H92)</f>
        <v>464</v>
      </c>
    </row>
    <row r="17" spans="1:13" x14ac:dyDescent="0.3">
      <c r="A17" t="s">
        <v>2129</v>
      </c>
      <c r="B17" s="5" cm="1">
        <f t="array" ref="B17">_xlfn.IFS($B$2="Residential",D40,$B$2="C&amp;I",D92)</f>
        <v>40</v>
      </c>
    </row>
    <row r="18" spans="1:13" x14ac:dyDescent="0.3">
      <c r="A18" t="s">
        <v>2130</v>
      </c>
      <c r="B18" s="5" cm="1">
        <f t="array" ref="B18">_xlfn.IFS(AND($B$2="Residential",$B$3="RC Roof"),$B$26*6,AND($B$2="C&amp;I",$B$3="RC Roof"),$B$51*6,Roof_Type&lt;&gt;"RC Roof",0)</f>
        <v>0</v>
      </c>
    </row>
    <row r="21" spans="1:13" s="28" customFormat="1" ht="18" x14ac:dyDescent="0.35">
      <c r="A21" s="28" t="s">
        <v>0</v>
      </c>
      <c r="B21" s="29"/>
    </row>
    <row r="23" spans="1:13" x14ac:dyDescent="0.3">
      <c r="A23" s="7" t="s">
        <v>2131</v>
      </c>
      <c r="B23" s="5">
        <v>1.1339999999999999</v>
      </c>
      <c r="C23" t="s">
        <v>2132</v>
      </c>
      <c r="D23" s="7" t="s">
        <v>2133</v>
      </c>
      <c r="E23" s="5">
        <v>2.278</v>
      </c>
      <c r="F23" s="5"/>
      <c r="G23" s="5"/>
      <c r="L23" s="7"/>
    </row>
    <row r="24" spans="1:13" x14ac:dyDescent="0.3">
      <c r="A24" s="7" t="s">
        <v>2134</v>
      </c>
      <c r="B24" s="5">
        <v>1.1000000000000001</v>
      </c>
      <c r="C24" t="s">
        <v>2132</v>
      </c>
      <c r="D24" s="7"/>
      <c r="E24" s="5"/>
      <c r="F24" s="5"/>
      <c r="G24" s="5"/>
      <c r="L24" s="7"/>
    </row>
    <row r="25" spans="1:13" x14ac:dyDescent="0.3">
      <c r="A25" s="7" t="s">
        <v>2135</v>
      </c>
      <c r="B25" s="5">
        <v>2.6</v>
      </c>
      <c r="C25" t="s">
        <v>2132</v>
      </c>
      <c r="D25" s="7"/>
      <c r="E25" s="5"/>
      <c r="F25" s="5"/>
      <c r="G25" s="5"/>
      <c r="L25" s="7"/>
    </row>
    <row r="26" spans="1:13" x14ac:dyDescent="0.3">
      <c r="A26" s="7" t="s">
        <v>2136</v>
      </c>
      <c r="B26" s="5">
        <f>C40</f>
        <v>0</v>
      </c>
    </row>
    <row r="27" spans="1:13" ht="14.85" customHeight="1" x14ac:dyDescent="0.3"/>
    <row r="28" spans="1:13" ht="32.85" customHeight="1" x14ac:dyDescent="0.3">
      <c r="A28" s="1" t="s">
        <v>2137</v>
      </c>
      <c r="B28" s="9" t="s">
        <v>2138</v>
      </c>
      <c r="C28" s="1" t="s">
        <v>2139</v>
      </c>
      <c r="D28" s="1" t="s">
        <v>2129</v>
      </c>
      <c r="E28" s="1" t="s">
        <v>2140</v>
      </c>
      <c r="F28" s="1" t="s">
        <v>2141</v>
      </c>
      <c r="G28" s="1" t="s">
        <v>2142</v>
      </c>
      <c r="H28" s="1" t="s">
        <v>2128</v>
      </c>
      <c r="I28" s="1" t="s">
        <v>2143</v>
      </c>
      <c r="J28" s="1" t="s">
        <v>2144</v>
      </c>
      <c r="K28" s="1" t="s">
        <v>2145</v>
      </c>
      <c r="L28" s="2" t="s">
        <v>2146</v>
      </c>
      <c r="M28" s="138"/>
    </row>
    <row r="29" spans="1:13" ht="15.6" x14ac:dyDescent="0.3">
      <c r="A29" s="272" t="s">
        <v>2147</v>
      </c>
      <c r="B29" s="273"/>
      <c r="C29" s="273"/>
      <c r="D29" s="273"/>
      <c r="E29" s="273"/>
      <c r="F29" s="273"/>
      <c r="G29" s="273"/>
      <c r="H29" s="273"/>
      <c r="I29" s="273"/>
      <c r="J29" s="273"/>
      <c r="K29" s="273"/>
      <c r="L29" s="274"/>
      <c r="M29" s="138"/>
    </row>
    <row r="30" spans="1:13" x14ac:dyDescent="0.3">
      <c r="A30" s="30"/>
      <c r="B30" s="30"/>
      <c r="C30" s="4">
        <f>A30*B30</f>
        <v>0</v>
      </c>
      <c r="D30" s="4">
        <f>B30*1</f>
        <v>0</v>
      </c>
      <c r="E30" s="4">
        <f>(A30-1)*B30*2</f>
        <v>0</v>
      </c>
      <c r="F30" s="4">
        <f>4*B30</f>
        <v>0</v>
      </c>
      <c r="G30" s="4">
        <f>(K30-1)*B30*2</f>
        <v>0</v>
      </c>
      <c r="H30" s="4">
        <f>ROUNDUP(A30/2,0)*2*B30</f>
        <v>0</v>
      </c>
      <c r="I30" s="4">
        <f>ROUNDUP(L30/$B$24,0)*B30*2</f>
        <v>0</v>
      </c>
      <c r="J30" s="4">
        <f>SUM(E30:F30)</f>
        <v>0</v>
      </c>
      <c r="K30" s="4">
        <f>ROUNDUP((A30*$B$23)/$B$25,0)</f>
        <v>0</v>
      </c>
      <c r="L30" s="3">
        <f>K30*$B$25</f>
        <v>0</v>
      </c>
    </row>
    <row r="31" spans="1:13" x14ac:dyDescent="0.3">
      <c r="A31" s="30"/>
      <c r="B31" s="30"/>
      <c r="C31" s="4">
        <f>A31*B31</f>
        <v>0</v>
      </c>
      <c r="D31" s="4">
        <f>B31*1</f>
        <v>0</v>
      </c>
      <c r="E31" s="4">
        <f>(A31-1)*B31*2</f>
        <v>0</v>
      </c>
      <c r="F31" s="4">
        <f>4*B31</f>
        <v>0</v>
      </c>
      <c r="G31" s="4">
        <f>(K31-1)*B31*2</f>
        <v>0</v>
      </c>
      <c r="H31" s="4">
        <f>ROUNDUP(A31/2,0)*2*B31</f>
        <v>0</v>
      </c>
      <c r="I31" s="4">
        <f>ROUNDUP(L31/$B$24,0)*B31*2</f>
        <v>0</v>
      </c>
      <c r="J31" s="4">
        <f>SUM(E31:F31)</f>
        <v>0</v>
      </c>
      <c r="K31" s="4">
        <f>ROUNDUP((A31*$B$23)/$B$25,0)</f>
        <v>0</v>
      </c>
      <c r="L31" s="3">
        <f>K31*$B$25</f>
        <v>0</v>
      </c>
    </row>
    <row r="32" spans="1:13" x14ac:dyDescent="0.3">
      <c r="A32" s="30"/>
      <c r="B32" s="30"/>
      <c r="C32" s="4">
        <f>A32*B32</f>
        <v>0</v>
      </c>
      <c r="D32" s="4">
        <f>B32*1</f>
        <v>0</v>
      </c>
      <c r="E32" s="4">
        <f>(A32-1)*B32*2</f>
        <v>0</v>
      </c>
      <c r="F32" s="4">
        <f>4*B32</f>
        <v>0</v>
      </c>
      <c r="G32" s="4">
        <f>(K32-1)*B32*2</f>
        <v>0</v>
      </c>
      <c r="H32" s="4">
        <f>ROUNDUP(A32/2,0)*2*B32</f>
        <v>0</v>
      </c>
      <c r="I32" s="4">
        <f>ROUNDUP(L32/$B$24,0)*B32*2</f>
        <v>0</v>
      </c>
      <c r="J32" s="4">
        <f>SUM(E32:F32)</f>
        <v>0</v>
      </c>
      <c r="K32" s="4">
        <f>ROUNDUP((A32*$B$23)/$B$25,0)</f>
        <v>0</v>
      </c>
      <c r="L32" s="3">
        <f>K32*$B$25</f>
        <v>0</v>
      </c>
    </row>
    <row r="33" spans="1:20" x14ac:dyDescent="0.3">
      <c r="A33" s="30"/>
      <c r="B33" s="30"/>
      <c r="C33" s="4">
        <f>A33*B33</f>
        <v>0</v>
      </c>
      <c r="D33" s="4">
        <f>B33*1</f>
        <v>0</v>
      </c>
      <c r="E33" s="4">
        <f>(A33-1)*B33*2</f>
        <v>0</v>
      </c>
      <c r="F33" s="4">
        <f>4*B33</f>
        <v>0</v>
      </c>
      <c r="G33" s="4">
        <f>(K33-1)*B33*2</f>
        <v>0</v>
      </c>
      <c r="H33" s="4">
        <f>ROUNDUP(A33/2,0)*2*B33</f>
        <v>0</v>
      </c>
      <c r="I33" s="4">
        <f>ROUNDUP(L33/$B$24,0)*B33*2</f>
        <v>0</v>
      </c>
      <c r="J33" s="4">
        <f>SUM(E33:F33)</f>
        <v>0</v>
      </c>
      <c r="K33" s="4">
        <f>ROUNDUP((A33*$B$23)/$B$25,0)</f>
        <v>0</v>
      </c>
      <c r="L33" s="3">
        <f>K33*$B$25</f>
        <v>0</v>
      </c>
    </row>
    <row r="34" spans="1:20" ht="15.6" x14ac:dyDescent="0.3">
      <c r="A34" s="272" t="s">
        <v>2148</v>
      </c>
      <c r="B34" s="273"/>
      <c r="C34" s="273"/>
      <c r="D34" s="273"/>
      <c r="E34" s="273"/>
      <c r="F34" s="273"/>
      <c r="G34" s="273"/>
      <c r="H34" s="273"/>
      <c r="I34" s="273"/>
      <c r="J34" s="273"/>
      <c r="K34" s="273"/>
      <c r="L34" s="274"/>
    </row>
    <row r="35" spans="1:20" x14ac:dyDescent="0.3">
      <c r="A35" s="30"/>
      <c r="B35" s="30"/>
      <c r="C35" s="4">
        <f>A35*B35</f>
        <v>0</v>
      </c>
      <c r="D35" s="4">
        <f>B35*1</f>
        <v>0</v>
      </c>
      <c r="E35" s="4">
        <f>(A35-1)*B35*2</f>
        <v>0</v>
      </c>
      <c r="F35" s="4">
        <f>4*B35</f>
        <v>0</v>
      </c>
      <c r="G35" s="4">
        <f>(K35-1)*B35*2</f>
        <v>0</v>
      </c>
      <c r="H35" s="4">
        <f>ROUNDUP(A35/2,0)*2*B35</f>
        <v>0</v>
      </c>
      <c r="I35" s="4">
        <f>ROUNDUP(L35/$B$24,0)*B35*2</f>
        <v>0</v>
      </c>
      <c r="J35" s="4">
        <f>SUM(E35:F35)</f>
        <v>0</v>
      </c>
      <c r="K35" s="4">
        <f>ROUNDUP((A35*$E$23)/$B$25,0)</f>
        <v>0</v>
      </c>
      <c r="L35" s="3">
        <f>K35*$B$25</f>
        <v>0</v>
      </c>
    </row>
    <row r="36" spans="1:20" x14ac:dyDescent="0.3">
      <c r="A36" s="30"/>
      <c r="B36" s="30"/>
      <c r="C36" s="4">
        <f>A36*B36</f>
        <v>0</v>
      </c>
      <c r="D36" s="4">
        <f>B36*1</f>
        <v>0</v>
      </c>
      <c r="E36" s="4">
        <f>(A36-1)*B36*2</f>
        <v>0</v>
      </c>
      <c r="F36" s="4">
        <f>4*B36</f>
        <v>0</v>
      </c>
      <c r="G36" s="4">
        <f>(K36-1)*B36*2</f>
        <v>0</v>
      </c>
      <c r="H36" s="4">
        <f>ROUNDUP(A36/2,0)*2*B36</f>
        <v>0</v>
      </c>
      <c r="I36" s="4">
        <f>ROUNDUP(L36/$B$24,0)*B36*2</f>
        <v>0</v>
      </c>
      <c r="J36" s="4">
        <f>SUM(E36:F36)</f>
        <v>0</v>
      </c>
      <c r="K36" s="4">
        <f>ROUNDUP((A36*$E$23)/$B$25,0)</f>
        <v>0</v>
      </c>
      <c r="L36" s="3">
        <f>K36*$B$25</f>
        <v>0</v>
      </c>
    </row>
    <row r="37" spans="1:20" x14ac:dyDescent="0.3">
      <c r="A37" s="30"/>
      <c r="B37" s="30"/>
      <c r="C37" s="4">
        <f>A37*B37</f>
        <v>0</v>
      </c>
      <c r="D37" s="4">
        <f>B37*1</f>
        <v>0</v>
      </c>
      <c r="E37" s="4">
        <f>(A37-1)*B37*2</f>
        <v>0</v>
      </c>
      <c r="F37" s="4">
        <f>4*B37</f>
        <v>0</v>
      </c>
      <c r="G37" s="4">
        <f>(K37-1)*B37*2</f>
        <v>0</v>
      </c>
      <c r="H37" s="4">
        <f>ROUNDUP(A37/2,0)*2*B37</f>
        <v>0</v>
      </c>
      <c r="I37" s="4">
        <f>ROUNDUP(L37/$B$24,0)*B37*2</f>
        <v>0</v>
      </c>
      <c r="J37" s="4">
        <f>SUM(E37:F37)</f>
        <v>0</v>
      </c>
      <c r="K37" s="4">
        <f>ROUNDUP((A37*$E$23)/$B$25,0)</f>
        <v>0</v>
      </c>
      <c r="L37" s="3">
        <f>K37*$B$25</f>
        <v>0</v>
      </c>
    </row>
    <row r="38" spans="1:20" x14ac:dyDescent="0.3">
      <c r="A38" s="30"/>
      <c r="B38" s="30"/>
      <c r="C38" s="4">
        <f>A38*B38</f>
        <v>0</v>
      </c>
      <c r="D38" s="4">
        <f>B38*1</f>
        <v>0</v>
      </c>
      <c r="E38" s="4">
        <f>(A38-1)*B38*2</f>
        <v>0</v>
      </c>
      <c r="F38" s="4">
        <f>4*B38</f>
        <v>0</v>
      </c>
      <c r="G38" s="4">
        <f>(K38-1)*B38*2</f>
        <v>0</v>
      </c>
      <c r="H38" s="4">
        <f>ROUNDUP(A38/2,0)*2*B38</f>
        <v>0</v>
      </c>
      <c r="I38" s="4">
        <f>ROUNDUP(L38/$B$24,0)*B38*2</f>
        <v>0</v>
      </c>
      <c r="J38" s="4">
        <f>SUM(E38:F38)</f>
        <v>0</v>
      </c>
      <c r="K38" s="4">
        <f>ROUNDUP((A38*$E$23)/$B$25,0)</f>
        <v>0</v>
      </c>
      <c r="L38" s="3">
        <f>K38*$B$25</f>
        <v>0</v>
      </c>
    </row>
    <row r="39" spans="1:20" ht="15" thickBot="1" x14ac:dyDescent="0.35">
      <c r="A39" s="30"/>
      <c r="B39" s="30"/>
      <c r="C39" s="4">
        <f>A39*B39</f>
        <v>0</v>
      </c>
      <c r="D39" s="4">
        <f>B39*1</f>
        <v>0</v>
      </c>
      <c r="E39" s="4">
        <f>(A39-1)*B39*2</f>
        <v>0</v>
      </c>
      <c r="F39" s="4">
        <f>4*B39</f>
        <v>0</v>
      </c>
      <c r="G39" s="4">
        <f>(K39-1)*B39*2</f>
        <v>0</v>
      </c>
      <c r="H39" s="4">
        <f>ROUNDUP(A39/2,0)*2*B39</f>
        <v>0</v>
      </c>
      <c r="I39" s="4">
        <f>ROUNDUP(L39/$B$24,0)*B39*2</f>
        <v>0</v>
      </c>
      <c r="J39" s="4">
        <f>SUM(E39:F39)</f>
        <v>0</v>
      </c>
      <c r="K39" s="4">
        <f>ROUNDUP((A39*$E$23)/$B$25,0)</f>
        <v>0</v>
      </c>
      <c r="L39" s="3">
        <f>K39*$B$25</f>
        <v>0</v>
      </c>
    </row>
    <row r="40" spans="1:20" ht="15" thickBot="1" x14ac:dyDescent="0.35">
      <c r="C40" s="37">
        <f t="shared" ref="C40:J40" si="0">SUM(C30:C39)</f>
        <v>0</v>
      </c>
      <c r="D40" s="36">
        <f t="shared" si="0"/>
        <v>0</v>
      </c>
      <c r="E40" s="36">
        <f t="shared" si="0"/>
        <v>0</v>
      </c>
      <c r="F40" s="36">
        <f t="shared" si="0"/>
        <v>0</v>
      </c>
      <c r="G40" s="36">
        <f t="shared" si="0"/>
        <v>0</v>
      </c>
      <c r="H40" s="36">
        <f t="shared" si="0"/>
        <v>0</v>
      </c>
      <c r="I40" s="36">
        <f t="shared" si="0"/>
        <v>0</v>
      </c>
      <c r="J40" s="36">
        <f t="shared" si="0"/>
        <v>0</v>
      </c>
      <c r="K40" s="36">
        <f>SUMPRODUCT(K30:K39, $B30:$B39)*2</f>
        <v>0</v>
      </c>
      <c r="L40" s="36"/>
    </row>
    <row r="43" spans="1:20" s="28" customFormat="1" ht="18" x14ac:dyDescent="0.35">
      <c r="A43"/>
      <c r="B43" s="5"/>
      <c r="C43"/>
      <c r="D43"/>
      <c r="E43"/>
      <c r="F43"/>
      <c r="G43"/>
      <c r="H43"/>
      <c r="I43"/>
      <c r="J43"/>
      <c r="K43"/>
      <c r="L43"/>
      <c r="M43"/>
      <c r="N43"/>
      <c r="O43"/>
      <c r="P43"/>
      <c r="Q43"/>
      <c r="R43"/>
      <c r="S43"/>
      <c r="T43"/>
    </row>
    <row r="44" spans="1:20" ht="18" x14ac:dyDescent="0.35">
      <c r="A44" s="28" t="s">
        <v>1</v>
      </c>
      <c r="B44" s="29"/>
      <c r="C44" s="28"/>
      <c r="D44" s="28"/>
      <c r="E44" s="28"/>
      <c r="F44" s="28"/>
      <c r="G44" s="28"/>
      <c r="H44" s="28"/>
      <c r="I44" s="28"/>
      <c r="J44" s="28"/>
      <c r="K44" s="28"/>
      <c r="L44" s="28"/>
      <c r="M44" s="28"/>
      <c r="N44" s="28"/>
      <c r="O44" s="28"/>
      <c r="P44" s="28"/>
      <c r="Q44" s="28"/>
      <c r="R44" s="28"/>
      <c r="S44" s="28"/>
      <c r="T44" s="28"/>
    </row>
    <row r="48" spans="1:20" x14ac:dyDescent="0.3">
      <c r="A48" s="7" t="s">
        <v>2131</v>
      </c>
      <c r="B48" s="129">
        <v>1.1339999999999999</v>
      </c>
      <c r="C48" t="s">
        <v>2132</v>
      </c>
      <c r="D48" s="7" t="s">
        <v>2133</v>
      </c>
      <c r="E48" s="129">
        <v>2.3820000000000001</v>
      </c>
      <c r="F48" s="5"/>
      <c r="G48" s="5"/>
      <c r="L48" s="7"/>
      <c r="M48" s="7"/>
      <c r="N48" s="7"/>
    </row>
    <row r="49" spans="1:20" x14ac:dyDescent="0.3">
      <c r="A49" s="7" t="s">
        <v>2134</v>
      </c>
      <c r="B49" s="129">
        <v>1.1000000000000001</v>
      </c>
      <c r="C49" t="s">
        <v>2132</v>
      </c>
      <c r="D49" s="7"/>
      <c r="E49" s="5"/>
      <c r="F49" s="5"/>
      <c r="G49" s="5"/>
      <c r="L49" s="7"/>
      <c r="M49" s="7"/>
      <c r="N49" s="7"/>
    </row>
    <row r="50" spans="1:20" x14ac:dyDescent="0.3">
      <c r="A50" s="7" t="s">
        <v>2135</v>
      </c>
      <c r="B50" s="129">
        <v>0</v>
      </c>
      <c r="C50" t="s">
        <v>2132</v>
      </c>
      <c r="D50" s="7"/>
      <c r="E50" s="5"/>
      <c r="F50" s="5"/>
      <c r="G50" s="5"/>
      <c r="L50" s="7"/>
      <c r="M50" s="7"/>
      <c r="N50" s="7"/>
    </row>
    <row r="51" spans="1:20" x14ac:dyDescent="0.3">
      <c r="A51" s="7" t="s">
        <v>2136</v>
      </c>
      <c r="B51" s="5">
        <f>C92</f>
        <v>454</v>
      </c>
    </row>
    <row r="53" spans="1:20" ht="57.6" x14ac:dyDescent="0.3">
      <c r="A53" s="31" t="s">
        <v>2137</v>
      </c>
      <c r="B53" s="32" t="s">
        <v>2138</v>
      </c>
      <c r="C53" s="31" t="s">
        <v>2139</v>
      </c>
      <c r="D53" s="31" t="s">
        <v>2129</v>
      </c>
      <c r="E53" s="31" t="s">
        <v>2140</v>
      </c>
      <c r="F53" s="31" t="s">
        <v>2141</v>
      </c>
      <c r="G53" s="31" t="s">
        <v>2142</v>
      </c>
      <c r="H53" s="31" t="s">
        <v>2128</v>
      </c>
      <c r="I53" s="31" t="s">
        <v>2143</v>
      </c>
      <c r="J53" s="31" t="s">
        <v>2144</v>
      </c>
      <c r="K53" s="31">
        <v>5.3</v>
      </c>
      <c r="L53" s="31">
        <v>4.7</v>
      </c>
      <c r="M53" s="31">
        <v>3.6</v>
      </c>
      <c r="N53" s="31">
        <v>1.8</v>
      </c>
      <c r="O53" s="31">
        <v>2.6</v>
      </c>
      <c r="P53" s="31">
        <v>1.3</v>
      </c>
      <c r="Q53" s="31" t="s">
        <v>2145</v>
      </c>
      <c r="R53" s="31" t="s">
        <v>2149</v>
      </c>
      <c r="S53" s="33" t="s">
        <v>2146</v>
      </c>
      <c r="T53" s="33" t="s">
        <v>2150</v>
      </c>
    </row>
    <row r="54" spans="1:20" ht="15.6" x14ac:dyDescent="0.3">
      <c r="A54" s="130" t="s">
        <v>2147</v>
      </c>
      <c r="B54" s="131"/>
      <c r="C54" s="131"/>
      <c r="D54" s="131"/>
      <c r="E54" s="131"/>
      <c r="F54" s="131"/>
      <c r="G54" s="131"/>
      <c r="H54" s="131"/>
      <c r="I54" s="131"/>
      <c r="J54" s="131"/>
      <c r="K54" s="131"/>
      <c r="L54" s="131"/>
      <c r="M54" s="131"/>
      <c r="N54" s="131"/>
      <c r="O54" s="131"/>
      <c r="P54" s="131"/>
      <c r="Q54" s="131"/>
      <c r="R54" s="131"/>
      <c r="S54" s="131"/>
      <c r="T54" s="132"/>
    </row>
    <row r="55" spans="1:20" x14ac:dyDescent="0.3">
      <c r="A55" s="30"/>
      <c r="B55" s="30"/>
      <c r="C55" s="4">
        <f t="shared" ref="C55:C62" si="1">A55*B55</f>
        <v>0</v>
      </c>
      <c r="D55" s="4">
        <f t="shared" ref="D55:D62" si="2">B55*1</f>
        <v>0</v>
      </c>
      <c r="E55" s="4">
        <f t="shared" ref="E55:E62" si="3">(A55-1)*B55*2</f>
        <v>0</v>
      </c>
      <c r="F55" s="4">
        <f t="shared" ref="F55:F62" si="4">4*B55</f>
        <v>0</v>
      </c>
      <c r="G55" s="4">
        <f t="shared" ref="G55:G62" si="5">(Q55-1)*B55*2</f>
        <v>0</v>
      </c>
      <c r="H55" s="4">
        <f t="shared" ref="H55:H62" si="6">ROUNDUP(A55/2,0)*2*B55</f>
        <v>0</v>
      </c>
      <c r="I55" s="4">
        <f t="shared" ref="I55:I62" si="7">ROUNDUP(S55/$B$49,0)*B55*2</f>
        <v>0</v>
      </c>
      <c r="J55" s="4">
        <f t="shared" ref="J55:J62" si="8">SUM(E55:F55)</f>
        <v>0</v>
      </c>
      <c r="K55" s="30"/>
      <c r="L55" s="30"/>
      <c r="M55" s="30"/>
      <c r="N55" s="30"/>
      <c r="O55" s="30"/>
      <c r="P55" s="30"/>
      <c r="Q55" s="4">
        <f t="shared" ref="Q55:Q62" si="9">SUM(K54:P54)</f>
        <v>0</v>
      </c>
      <c r="R55" s="4">
        <f t="shared" ref="R55:R62" si="10">A55*$B$48+(A55-1)*0.02</f>
        <v>-0.02</v>
      </c>
      <c r="S55" s="3">
        <f t="shared" ref="S55:S62" si="11">SUMPRODUCT($K$53:$P$53,K55:P55)</f>
        <v>0</v>
      </c>
      <c r="T55" s="3">
        <f t="shared" ref="T55:T62" si="12">((S55-R55)/2)*1000</f>
        <v>10</v>
      </c>
    </row>
    <row r="56" spans="1:20" x14ac:dyDescent="0.3">
      <c r="A56" s="30"/>
      <c r="B56" s="30"/>
      <c r="C56" s="4">
        <f t="shared" si="1"/>
        <v>0</v>
      </c>
      <c r="D56" s="4">
        <f t="shared" si="2"/>
        <v>0</v>
      </c>
      <c r="E56" s="4">
        <f t="shared" si="3"/>
        <v>0</v>
      </c>
      <c r="F56" s="4">
        <f t="shared" si="4"/>
        <v>0</v>
      </c>
      <c r="G56" s="4">
        <f t="shared" si="5"/>
        <v>0</v>
      </c>
      <c r="H56" s="4">
        <f t="shared" si="6"/>
        <v>0</v>
      </c>
      <c r="I56" s="4">
        <f t="shared" si="7"/>
        <v>0</v>
      </c>
      <c r="J56" s="4">
        <f t="shared" si="8"/>
        <v>0</v>
      </c>
      <c r="K56" s="30"/>
      <c r="L56" s="30"/>
      <c r="M56" s="30"/>
      <c r="N56" s="30"/>
      <c r="O56" s="30"/>
      <c r="P56" s="30"/>
      <c r="Q56" s="4">
        <f t="shared" si="9"/>
        <v>0</v>
      </c>
      <c r="R56" s="4">
        <f t="shared" si="10"/>
        <v>-0.02</v>
      </c>
      <c r="S56" s="3">
        <f t="shared" si="11"/>
        <v>0</v>
      </c>
      <c r="T56" s="3">
        <f t="shared" si="12"/>
        <v>10</v>
      </c>
    </row>
    <row r="57" spans="1:20" x14ac:dyDescent="0.3">
      <c r="A57" s="30"/>
      <c r="B57" s="30"/>
      <c r="C57" s="4">
        <f t="shared" si="1"/>
        <v>0</v>
      </c>
      <c r="D57" s="4">
        <f t="shared" si="2"/>
        <v>0</v>
      </c>
      <c r="E57" s="4">
        <f t="shared" si="3"/>
        <v>0</v>
      </c>
      <c r="F57" s="4">
        <f t="shared" si="4"/>
        <v>0</v>
      </c>
      <c r="G57" s="4">
        <f t="shared" si="5"/>
        <v>0</v>
      </c>
      <c r="H57" s="4">
        <f t="shared" si="6"/>
        <v>0</v>
      </c>
      <c r="I57" s="4">
        <f t="shared" si="7"/>
        <v>0</v>
      </c>
      <c r="J57" s="4">
        <f t="shared" si="8"/>
        <v>0</v>
      </c>
      <c r="K57" s="30"/>
      <c r="L57" s="30"/>
      <c r="M57" s="30"/>
      <c r="N57" s="30"/>
      <c r="O57" s="30"/>
      <c r="P57" s="30"/>
      <c r="Q57" s="4">
        <f t="shared" si="9"/>
        <v>0</v>
      </c>
      <c r="R57" s="4">
        <f t="shared" si="10"/>
        <v>-0.02</v>
      </c>
      <c r="S57" s="3">
        <f t="shared" si="11"/>
        <v>0</v>
      </c>
      <c r="T57" s="3">
        <f t="shared" si="12"/>
        <v>10</v>
      </c>
    </row>
    <row r="58" spans="1:20" x14ac:dyDescent="0.3">
      <c r="A58" s="30"/>
      <c r="B58" s="30"/>
      <c r="C58" s="4">
        <f t="shared" si="1"/>
        <v>0</v>
      </c>
      <c r="D58" s="4">
        <f t="shared" si="2"/>
        <v>0</v>
      </c>
      <c r="E58" s="4">
        <f t="shared" si="3"/>
        <v>0</v>
      </c>
      <c r="F58" s="4">
        <f t="shared" si="4"/>
        <v>0</v>
      </c>
      <c r="G58" s="4">
        <f t="shared" si="5"/>
        <v>0</v>
      </c>
      <c r="H58" s="4">
        <f t="shared" si="6"/>
        <v>0</v>
      </c>
      <c r="I58" s="4">
        <f t="shared" si="7"/>
        <v>0</v>
      </c>
      <c r="J58" s="4">
        <f t="shared" si="8"/>
        <v>0</v>
      </c>
      <c r="K58" s="30"/>
      <c r="L58" s="30"/>
      <c r="M58" s="30"/>
      <c r="N58" s="30"/>
      <c r="O58" s="30"/>
      <c r="P58" s="30"/>
      <c r="Q58" s="4">
        <f t="shared" si="9"/>
        <v>0</v>
      </c>
      <c r="R58" s="4">
        <f t="shared" si="10"/>
        <v>-0.02</v>
      </c>
      <c r="S58" s="3">
        <f t="shared" si="11"/>
        <v>0</v>
      </c>
      <c r="T58" s="3">
        <f t="shared" si="12"/>
        <v>10</v>
      </c>
    </row>
    <row r="59" spans="1:20" x14ac:dyDescent="0.3">
      <c r="A59" s="30"/>
      <c r="B59" s="30"/>
      <c r="C59" s="4">
        <f t="shared" si="1"/>
        <v>0</v>
      </c>
      <c r="D59" s="4">
        <f t="shared" si="2"/>
        <v>0</v>
      </c>
      <c r="E59" s="4">
        <f t="shared" si="3"/>
        <v>0</v>
      </c>
      <c r="F59" s="4">
        <f t="shared" si="4"/>
        <v>0</v>
      </c>
      <c r="G59" s="4">
        <f t="shared" si="5"/>
        <v>0</v>
      </c>
      <c r="H59" s="4">
        <f t="shared" si="6"/>
        <v>0</v>
      </c>
      <c r="I59" s="4">
        <f t="shared" si="7"/>
        <v>0</v>
      </c>
      <c r="J59" s="4">
        <f t="shared" si="8"/>
        <v>0</v>
      </c>
      <c r="K59" s="30"/>
      <c r="L59" s="30"/>
      <c r="M59" s="30"/>
      <c r="N59" s="30"/>
      <c r="O59" s="30"/>
      <c r="P59" s="30"/>
      <c r="Q59" s="4">
        <f t="shared" si="9"/>
        <v>0</v>
      </c>
      <c r="R59" s="4">
        <f t="shared" si="10"/>
        <v>-0.02</v>
      </c>
      <c r="S59" s="3">
        <f t="shared" si="11"/>
        <v>0</v>
      </c>
      <c r="T59" s="3">
        <f t="shared" si="12"/>
        <v>10</v>
      </c>
    </row>
    <row r="60" spans="1:20" x14ac:dyDescent="0.3">
      <c r="A60" s="30"/>
      <c r="B60" s="30"/>
      <c r="C60" s="4">
        <f t="shared" si="1"/>
        <v>0</v>
      </c>
      <c r="D60" s="4">
        <f t="shared" si="2"/>
        <v>0</v>
      </c>
      <c r="E60" s="4">
        <f t="shared" si="3"/>
        <v>0</v>
      </c>
      <c r="F60" s="4">
        <f t="shared" si="4"/>
        <v>0</v>
      </c>
      <c r="G60" s="4">
        <f t="shared" si="5"/>
        <v>0</v>
      </c>
      <c r="H60" s="4">
        <f t="shared" si="6"/>
        <v>0</v>
      </c>
      <c r="I60" s="4">
        <f t="shared" si="7"/>
        <v>0</v>
      </c>
      <c r="J60" s="4">
        <f t="shared" si="8"/>
        <v>0</v>
      </c>
      <c r="K60" s="30"/>
      <c r="L60" s="30"/>
      <c r="M60" s="30"/>
      <c r="N60" s="30"/>
      <c r="O60" s="30"/>
      <c r="P60" s="30"/>
      <c r="Q60" s="4">
        <f t="shared" si="9"/>
        <v>0</v>
      </c>
      <c r="R60" s="4">
        <f t="shared" si="10"/>
        <v>-0.02</v>
      </c>
      <c r="S60" s="3">
        <f t="shared" si="11"/>
        <v>0</v>
      </c>
      <c r="T60" s="3">
        <f t="shared" si="12"/>
        <v>10</v>
      </c>
    </row>
    <row r="61" spans="1:20" x14ac:dyDescent="0.3">
      <c r="A61" s="30"/>
      <c r="B61" s="30"/>
      <c r="C61" s="4">
        <f t="shared" si="1"/>
        <v>0</v>
      </c>
      <c r="D61" s="4">
        <f t="shared" si="2"/>
        <v>0</v>
      </c>
      <c r="E61" s="4">
        <f t="shared" si="3"/>
        <v>0</v>
      </c>
      <c r="F61" s="4">
        <f t="shared" si="4"/>
        <v>0</v>
      </c>
      <c r="G61" s="4">
        <f t="shared" si="5"/>
        <v>0</v>
      </c>
      <c r="H61" s="4">
        <f t="shared" si="6"/>
        <v>0</v>
      </c>
      <c r="I61" s="4">
        <f t="shared" si="7"/>
        <v>0</v>
      </c>
      <c r="J61" s="4">
        <f t="shared" si="8"/>
        <v>0</v>
      </c>
      <c r="K61" s="30"/>
      <c r="L61" s="30"/>
      <c r="M61" s="30"/>
      <c r="N61" s="30"/>
      <c r="O61" s="30"/>
      <c r="P61" s="30"/>
      <c r="Q61" s="4">
        <f t="shared" si="9"/>
        <v>0</v>
      </c>
      <c r="R61" s="4">
        <f t="shared" si="10"/>
        <v>-0.02</v>
      </c>
      <c r="S61" s="3">
        <f t="shared" si="11"/>
        <v>0</v>
      </c>
      <c r="T61" s="3">
        <f t="shared" si="12"/>
        <v>10</v>
      </c>
    </row>
    <row r="62" spans="1:20" x14ac:dyDescent="0.3">
      <c r="A62" s="30"/>
      <c r="B62" s="30"/>
      <c r="C62" s="4">
        <f t="shared" si="1"/>
        <v>0</v>
      </c>
      <c r="D62" s="4">
        <f t="shared" si="2"/>
        <v>0</v>
      </c>
      <c r="E62" s="4">
        <f t="shared" si="3"/>
        <v>0</v>
      </c>
      <c r="F62" s="4">
        <f t="shared" si="4"/>
        <v>0</v>
      </c>
      <c r="G62" s="4">
        <f t="shared" si="5"/>
        <v>0</v>
      </c>
      <c r="H62" s="4">
        <f t="shared" si="6"/>
        <v>0</v>
      </c>
      <c r="I62" s="4">
        <f t="shared" si="7"/>
        <v>0</v>
      </c>
      <c r="J62" s="4">
        <f t="shared" si="8"/>
        <v>0</v>
      </c>
      <c r="K62" s="30"/>
      <c r="L62" s="30"/>
      <c r="M62" s="30"/>
      <c r="N62" s="30"/>
      <c r="O62" s="30"/>
      <c r="P62" s="30"/>
      <c r="Q62" s="4">
        <f t="shared" si="9"/>
        <v>0</v>
      </c>
      <c r="R62" s="4">
        <f t="shared" si="10"/>
        <v>-0.02</v>
      </c>
      <c r="S62" s="3">
        <f t="shared" si="11"/>
        <v>0</v>
      </c>
      <c r="T62" s="3">
        <f t="shared" si="12"/>
        <v>10</v>
      </c>
    </row>
    <row r="63" spans="1:20" ht="15.6" x14ac:dyDescent="0.3">
      <c r="A63" s="130" t="s">
        <v>2148</v>
      </c>
      <c r="B63" s="131"/>
      <c r="C63" s="131"/>
      <c r="D63" s="131"/>
      <c r="E63" s="131"/>
      <c r="F63" s="131"/>
      <c r="G63" s="131"/>
      <c r="H63" s="131"/>
      <c r="I63" s="131"/>
      <c r="J63" s="131"/>
      <c r="K63" s="131"/>
      <c r="L63" s="131"/>
      <c r="M63" s="131"/>
      <c r="N63" s="131"/>
      <c r="O63" s="131"/>
      <c r="P63" s="131"/>
      <c r="Q63" s="131"/>
      <c r="R63" s="131"/>
      <c r="S63" s="131"/>
      <c r="T63" s="132"/>
    </row>
    <row r="64" spans="1:20" x14ac:dyDescent="0.3">
      <c r="A64" s="30">
        <v>12</v>
      </c>
      <c r="B64" s="30">
        <v>3</v>
      </c>
      <c r="C64" s="4">
        <f t="shared" ref="C64:C91" si="13">A64*B64</f>
        <v>36</v>
      </c>
      <c r="D64" s="4">
        <f t="shared" ref="D64:D91" si="14">B64*1</f>
        <v>3</v>
      </c>
      <c r="E64" s="4">
        <f t="shared" ref="E64:E91" si="15">(A64-1)*B64*2</f>
        <v>66</v>
      </c>
      <c r="F64" s="4">
        <f t="shared" ref="F64:F91" si="16">4*B64</f>
        <v>12</v>
      </c>
      <c r="G64" s="4">
        <f t="shared" ref="G64:G91" si="17">(Q64-1)*B64*2</f>
        <v>-6</v>
      </c>
      <c r="H64" s="4">
        <f t="shared" ref="H64:H91" si="18">ROUNDUP(A64/2,0)*2*B64</f>
        <v>36</v>
      </c>
      <c r="I64" s="4">
        <f t="shared" ref="I64:I91" si="19">ROUNDUP(S64/$B$49,0)*B64*2</f>
        <v>0</v>
      </c>
      <c r="J64" s="4">
        <f t="shared" ref="J64:J91" si="20">SUM(E64:F64)</f>
        <v>78</v>
      </c>
      <c r="K64" s="30"/>
      <c r="L64" s="30"/>
      <c r="M64" s="30"/>
      <c r="N64" s="30"/>
      <c r="O64" s="30"/>
      <c r="P64" s="30"/>
      <c r="Q64" s="4">
        <f t="shared" ref="Q64:Q91" si="21">SUM(K64:P64)</f>
        <v>0</v>
      </c>
      <c r="R64" s="4">
        <f t="shared" ref="R64:R91" si="22">A64*$B$48+(A64-1)*0.02</f>
        <v>13.827999999999999</v>
      </c>
      <c r="S64" s="3">
        <f t="shared" ref="S64:S91" si="23">SUMPRODUCT($K$53:$P$53,K64:P64)</f>
        <v>0</v>
      </c>
      <c r="T64" s="3">
        <f t="shared" ref="T64:T91" si="24">((S64-R64)/2)*1000</f>
        <v>-6914</v>
      </c>
    </row>
    <row r="65" spans="1:20" x14ac:dyDescent="0.3">
      <c r="A65" s="30">
        <v>12</v>
      </c>
      <c r="B65" s="30">
        <v>3</v>
      </c>
      <c r="C65" s="4">
        <f t="shared" ref="C65:C69" si="25">A65*B65</f>
        <v>36</v>
      </c>
      <c r="D65" s="4">
        <f t="shared" ref="D65:D69" si="26">B65*1</f>
        <v>3</v>
      </c>
      <c r="E65" s="4">
        <f t="shared" ref="E65:E69" si="27">(A65-1)*B65*2</f>
        <v>66</v>
      </c>
      <c r="F65" s="4">
        <f t="shared" ref="F65:F69" si="28">4*B65</f>
        <v>12</v>
      </c>
      <c r="G65" s="4">
        <f t="shared" ref="G65:G69" si="29">(Q65-1)*B65*2</f>
        <v>-6</v>
      </c>
      <c r="H65" s="4">
        <f t="shared" ref="H65:H69" si="30">ROUNDUP(A65/2,0)*2*B65</f>
        <v>36</v>
      </c>
      <c r="I65" s="4">
        <f t="shared" ref="I65:I69" si="31">ROUNDUP(S65/$B$49,0)*B65*2</f>
        <v>0</v>
      </c>
      <c r="J65" s="4">
        <f t="shared" ref="J65:J69" si="32">SUM(E65:F65)</f>
        <v>78</v>
      </c>
      <c r="K65" s="30"/>
      <c r="L65" s="30"/>
      <c r="M65" s="30"/>
      <c r="N65" s="30"/>
      <c r="O65" s="30"/>
      <c r="P65" s="30"/>
      <c r="Q65" s="4">
        <f t="shared" ref="Q65:Q69" si="33">SUM(K65:P65)</f>
        <v>0</v>
      </c>
      <c r="R65" s="4">
        <f t="shared" ref="R65:R69" si="34">A65*$B$48+(A65-1)*0.02</f>
        <v>13.827999999999999</v>
      </c>
      <c r="S65" s="3">
        <f t="shared" ref="S65:S69" si="35">SUMPRODUCT($K$53:$P$53,K65:P65)</f>
        <v>0</v>
      </c>
      <c r="T65" s="3">
        <f t="shared" ref="T65:T69" si="36">((S65-R65)/2)*1000</f>
        <v>-6914</v>
      </c>
    </row>
    <row r="66" spans="1:20" x14ac:dyDescent="0.3">
      <c r="A66" s="30">
        <v>12</v>
      </c>
      <c r="B66" s="30">
        <v>3</v>
      </c>
      <c r="C66" s="4">
        <f t="shared" si="25"/>
        <v>36</v>
      </c>
      <c r="D66" s="4">
        <f t="shared" si="26"/>
        <v>3</v>
      </c>
      <c r="E66" s="4">
        <f t="shared" si="27"/>
        <v>66</v>
      </c>
      <c r="F66" s="4">
        <f t="shared" si="28"/>
        <v>12</v>
      </c>
      <c r="G66" s="4">
        <f t="shared" si="29"/>
        <v>-6</v>
      </c>
      <c r="H66" s="4">
        <f t="shared" si="30"/>
        <v>36</v>
      </c>
      <c r="I66" s="4">
        <f t="shared" si="31"/>
        <v>0</v>
      </c>
      <c r="J66" s="4">
        <f t="shared" si="32"/>
        <v>78</v>
      </c>
      <c r="K66" s="30"/>
      <c r="L66" s="30"/>
      <c r="M66" s="30"/>
      <c r="N66" s="30"/>
      <c r="O66" s="30"/>
      <c r="P66" s="30"/>
      <c r="Q66" s="4">
        <f t="shared" si="33"/>
        <v>0</v>
      </c>
      <c r="R66" s="4">
        <f t="shared" si="34"/>
        <v>13.827999999999999</v>
      </c>
      <c r="S66" s="3">
        <f t="shared" si="35"/>
        <v>0</v>
      </c>
      <c r="T66" s="3">
        <f t="shared" si="36"/>
        <v>-6914</v>
      </c>
    </row>
    <row r="67" spans="1:20" x14ac:dyDescent="0.3">
      <c r="A67" s="30">
        <v>12</v>
      </c>
      <c r="B67" s="30">
        <v>3</v>
      </c>
      <c r="C67" s="4">
        <f t="shared" si="25"/>
        <v>36</v>
      </c>
      <c r="D67" s="4">
        <f t="shared" si="26"/>
        <v>3</v>
      </c>
      <c r="E67" s="4">
        <f t="shared" si="27"/>
        <v>66</v>
      </c>
      <c r="F67" s="4">
        <f t="shared" si="28"/>
        <v>12</v>
      </c>
      <c r="G67" s="4">
        <f t="shared" si="29"/>
        <v>-6</v>
      </c>
      <c r="H67" s="4">
        <f t="shared" si="30"/>
        <v>36</v>
      </c>
      <c r="I67" s="4">
        <f t="shared" si="31"/>
        <v>0</v>
      </c>
      <c r="J67" s="4">
        <f t="shared" si="32"/>
        <v>78</v>
      </c>
      <c r="K67" s="30"/>
      <c r="L67" s="30"/>
      <c r="M67" s="30"/>
      <c r="N67" s="30"/>
      <c r="O67" s="30"/>
      <c r="P67" s="30"/>
      <c r="Q67" s="4">
        <f t="shared" si="33"/>
        <v>0</v>
      </c>
      <c r="R67" s="4">
        <f t="shared" si="34"/>
        <v>13.827999999999999</v>
      </c>
      <c r="S67" s="3">
        <f t="shared" si="35"/>
        <v>0</v>
      </c>
      <c r="T67" s="3">
        <f t="shared" si="36"/>
        <v>-6914</v>
      </c>
    </row>
    <row r="68" spans="1:20" x14ac:dyDescent="0.3">
      <c r="A68" s="30">
        <v>12</v>
      </c>
      <c r="B68" s="30">
        <v>3</v>
      </c>
      <c r="C68" s="4">
        <f t="shared" si="25"/>
        <v>36</v>
      </c>
      <c r="D68" s="4">
        <f t="shared" si="26"/>
        <v>3</v>
      </c>
      <c r="E68" s="4">
        <f t="shared" si="27"/>
        <v>66</v>
      </c>
      <c r="F68" s="4">
        <f t="shared" si="28"/>
        <v>12</v>
      </c>
      <c r="G68" s="4">
        <f t="shared" si="29"/>
        <v>-6</v>
      </c>
      <c r="H68" s="4">
        <f t="shared" si="30"/>
        <v>36</v>
      </c>
      <c r="I68" s="4">
        <f t="shared" si="31"/>
        <v>0</v>
      </c>
      <c r="J68" s="4">
        <f t="shared" si="32"/>
        <v>78</v>
      </c>
      <c r="K68" s="30"/>
      <c r="L68" s="30"/>
      <c r="M68" s="30"/>
      <c r="N68" s="30"/>
      <c r="O68" s="30"/>
      <c r="P68" s="30"/>
      <c r="Q68" s="4">
        <f t="shared" si="33"/>
        <v>0</v>
      </c>
      <c r="R68" s="4">
        <f t="shared" si="34"/>
        <v>13.827999999999999</v>
      </c>
      <c r="S68" s="3">
        <f t="shared" si="35"/>
        <v>0</v>
      </c>
      <c r="T68" s="3">
        <f t="shared" si="36"/>
        <v>-6914</v>
      </c>
    </row>
    <row r="69" spans="1:20" x14ac:dyDescent="0.3">
      <c r="A69" s="30">
        <v>12</v>
      </c>
      <c r="B69" s="30">
        <v>3</v>
      </c>
      <c r="C69" s="4">
        <f t="shared" si="25"/>
        <v>36</v>
      </c>
      <c r="D69" s="4">
        <f t="shared" si="26"/>
        <v>3</v>
      </c>
      <c r="E69" s="4">
        <f t="shared" si="27"/>
        <v>66</v>
      </c>
      <c r="F69" s="4">
        <f t="shared" si="28"/>
        <v>12</v>
      </c>
      <c r="G69" s="4">
        <f t="shared" si="29"/>
        <v>-6</v>
      </c>
      <c r="H69" s="4">
        <f t="shared" si="30"/>
        <v>36</v>
      </c>
      <c r="I69" s="4">
        <f t="shared" si="31"/>
        <v>0</v>
      </c>
      <c r="J69" s="4">
        <f t="shared" si="32"/>
        <v>78</v>
      </c>
      <c r="K69" s="30"/>
      <c r="L69" s="30"/>
      <c r="M69" s="30"/>
      <c r="N69" s="30"/>
      <c r="O69" s="30"/>
      <c r="P69" s="30"/>
      <c r="Q69" s="4">
        <f t="shared" si="33"/>
        <v>0</v>
      </c>
      <c r="R69" s="4">
        <f t="shared" si="34"/>
        <v>13.827999999999999</v>
      </c>
      <c r="S69" s="3">
        <f t="shared" si="35"/>
        <v>0</v>
      </c>
      <c r="T69" s="3">
        <f t="shared" si="36"/>
        <v>-6914</v>
      </c>
    </row>
    <row r="70" spans="1:20" x14ac:dyDescent="0.3">
      <c r="A70" s="30">
        <v>12</v>
      </c>
      <c r="B70" s="30">
        <v>2</v>
      </c>
      <c r="C70" s="4">
        <f t="shared" si="13"/>
        <v>24</v>
      </c>
      <c r="D70" s="4">
        <f t="shared" si="14"/>
        <v>2</v>
      </c>
      <c r="E70" s="4">
        <f t="shared" si="15"/>
        <v>44</v>
      </c>
      <c r="F70" s="4">
        <f t="shared" si="16"/>
        <v>8</v>
      </c>
      <c r="G70" s="4">
        <f t="shared" si="17"/>
        <v>-4</v>
      </c>
      <c r="H70" s="4">
        <f t="shared" si="18"/>
        <v>24</v>
      </c>
      <c r="I70" s="4">
        <f t="shared" si="19"/>
        <v>0</v>
      </c>
      <c r="J70" s="4">
        <f t="shared" si="20"/>
        <v>52</v>
      </c>
      <c r="K70" s="30"/>
      <c r="L70" s="30"/>
      <c r="M70" s="30"/>
      <c r="N70" s="30"/>
      <c r="O70" s="30"/>
      <c r="P70" s="30"/>
      <c r="Q70" s="4">
        <f t="shared" si="21"/>
        <v>0</v>
      </c>
      <c r="R70" s="4">
        <f t="shared" si="22"/>
        <v>13.827999999999999</v>
      </c>
      <c r="S70" s="3">
        <f t="shared" si="23"/>
        <v>0</v>
      </c>
      <c r="T70" s="3">
        <f t="shared" si="24"/>
        <v>-6914</v>
      </c>
    </row>
    <row r="71" spans="1:20" x14ac:dyDescent="0.3">
      <c r="A71" s="30">
        <v>6</v>
      </c>
      <c r="B71" s="30">
        <v>1</v>
      </c>
      <c r="C71" s="4">
        <f t="shared" si="13"/>
        <v>6</v>
      </c>
      <c r="D71" s="4">
        <f t="shared" si="14"/>
        <v>1</v>
      </c>
      <c r="E71" s="4">
        <f t="shared" si="15"/>
        <v>10</v>
      </c>
      <c r="F71" s="4">
        <f t="shared" si="16"/>
        <v>4</v>
      </c>
      <c r="G71" s="4">
        <f t="shared" si="17"/>
        <v>-2</v>
      </c>
      <c r="H71" s="4">
        <f t="shared" si="18"/>
        <v>6</v>
      </c>
      <c r="I71" s="4">
        <f t="shared" si="19"/>
        <v>0</v>
      </c>
      <c r="J71" s="4">
        <f t="shared" si="20"/>
        <v>14</v>
      </c>
      <c r="K71" s="30"/>
      <c r="L71" s="30"/>
      <c r="M71" s="30"/>
      <c r="N71" s="30"/>
      <c r="O71" s="30"/>
      <c r="P71" s="30"/>
      <c r="Q71" s="4">
        <f t="shared" si="21"/>
        <v>0</v>
      </c>
      <c r="R71" s="4">
        <f t="shared" si="22"/>
        <v>6.903999999999999</v>
      </c>
      <c r="S71" s="3">
        <f t="shared" si="23"/>
        <v>0</v>
      </c>
      <c r="T71" s="3">
        <f t="shared" si="24"/>
        <v>-3451.9999999999995</v>
      </c>
    </row>
    <row r="72" spans="1:20" x14ac:dyDescent="0.3">
      <c r="A72" s="30">
        <v>11</v>
      </c>
      <c r="B72" s="30">
        <v>2</v>
      </c>
      <c r="C72" s="4">
        <f t="shared" si="13"/>
        <v>22</v>
      </c>
      <c r="D72" s="4">
        <f t="shared" si="14"/>
        <v>2</v>
      </c>
      <c r="E72" s="4">
        <f t="shared" si="15"/>
        <v>40</v>
      </c>
      <c r="F72" s="4">
        <f t="shared" si="16"/>
        <v>8</v>
      </c>
      <c r="G72" s="4">
        <f t="shared" si="17"/>
        <v>-4</v>
      </c>
      <c r="H72" s="4">
        <f t="shared" si="18"/>
        <v>24</v>
      </c>
      <c r="I72" s="4">
        <f t="shared" si="19"/>
        <v>0</v>
      </c>
      <c r="J72" s="4">
        <f t="shared" si="20"/>
        <v>48</v>
      </c>
      <c r="K72" s="30"/>
      <c r="L72" s="30"/>
      <c r="M72" s="30"/>
      <c r="N72" s="30"/>
      <c r="O72" s="30"/>
      <c r="P72" s="30"/>
      <c r="Q72" s="4">
        <f t="shared" si="21"/>
        <v>0</v>
      </c>
      <c r="R72" s="4">
        <f t="shared" si="22"/>
        <v>12.673999999999998</v>
      </c>
      <c r="S72" s="3">
        <f t="shared" si="23"/>
        <v>0</v>
      </c>
      <c r="T72" s="3">
        <f t="shared" si="24"/>
        <v>-6336.9999999999991</v>
      </c>
    </row>
    <row r="73" spans="1:20" x14ac:dyDescent="0.3">
      <c r="A73" s="30">
        <v>11</v>
      </c>
      <c r="B73" s="30">
        <v>3</v>
      </c>
      <c r="C73" s="4">
        <f t="shared" si="13"/>
        <v>33</v>
      </c>
      <c r="D73" s="4">
        <f t="shared" si="14"/>
        <v>3</v>
      </c>
      <c r="E73" s="4">
        <f t="shared" si="15"/>
        <v>60</v>
      </c>
      <c r="F73" s="4">
        <f t="shared" si="16"/>
        <v>12</v>
      </c>
      <c r="G73" s="4">
        <f t="shared" si="17"/>
        <v>-6</v>
      </c>
      <c r="H73" s="4">
        <f t="shared" si="18"/>
        <v>36</v>
      </c>
      <c r="I73" s="4">
        <f t="shared" si="19"/>
        <v>0</v>
      </c>
      <c r="J73" s="4">
        <f t="shared" si="20"/>
        <v>72</v>
      </c>
      <c r="K73" s="30"/>
      <c r="L73" s="30"/>
      <c r="M73" s="30"/>
      <c r="N73" s="30"/>
      <c r="O73" s="30"/>
      <c r="P73" s="30"/>
      <c r="Q73" s="4">
        <f t="shared" si="21"/>
        <v>0</v>
      </c>
      <c r="R73" s="4">
        <f t="shared" si="22"/>
        <v>12.673999999999998</v>
      </c>
      <c r="S73" s="3">
        <f t="shared" si="23"/>
        <v>0</v>
      </c>
      <c r="T73" s="3">
        <f t="shared" si="24"/>
        <v>-6336.9999999999991</v>
      </c>
    </row>
    <row r="74" spans="1:20" x14ac:dyDescent="0.3">
      <c r="A74" s="30">
        <v>12</v>
      </c>
      <c r="B74" s="30">
        <v>3</v>
      </c>
      <c r="C74" s="4">
        <f t="shared" si="13"/>
        <v>36</v>
      </c>
      <c r="D74" s="4">
        <f t="shared" si="14"/>
        <v>3</v>
      </c>
      <c r="E74" s="4">
        <f t="shared" si="15"/>
        <v>66</v>
      </c>
      <c r="F74" s="4">
        <f t="shared" si="16"/>
        <v>12</v>
      </c>
      <c r="G74" s="4">
        <f t="shared" si="17"/>
        <v>-6</v>
      </c>
      <c r="H74" s="4">
        <f t="shared" si="18"/>
        <v>36</v>
      </c>
      <c r="I74" s="4">
        <f t="shared" si="19"/>
        <v>0</v>
      </c>
      <c r="J74" s="4">
        <f t="shared" si="20"/>
        <v>78</v>
      </c>
      <c r="K74" s="30"/>
      <c r="L74" s="30"/>
      <c r="M74" s="30"/>
      <c r="N74" s="30"/>
      <c r="O74" s="30"/>
      <c r="P74" s="30"/>
      <c r="Q74" s="4">
        <f t="shared" si="21"/>
        <v>0</v>
      </c>
      <c r="R74" s="4">
        <f t="shared" si="22"/>
        <v>13.827999999999999</v>
      </c>
      <c r="S74" s="3">
        <f t="shared" si="23"/>
        <v>0</v>
      </c>
      <c r="T74" s="3">
        <f t="shared" si="24"/>
        <v>-6914</v>
      </c>
    </row>
    <row r="75" spans="1:20" x14ac:dyDescent="0.3">
      <c r="A75" s="30">
        <v>12</v>
      </c>
      <c r="B75" s="30">
        <v>3</v>
      </c>
      <c r="C75" s="4">
        <f t="shared" si="13"/>
        <v>36</v>
      </c>
      <c r="D75" s="4">
        <f t="shared" si="14"/>
        <v>3</v>
      </c>
      <c r="E75" s="4">
        <f t="shared" si="15"/>
        <v>66</v>
      </c>
      <c r="F75" s="4">
        <f t="shared" si="16"/>
        <v>12</v>
      </c>
      <c r="G75" s="4">
        <f t="shared" si="17"/>
        <v>-6</v>
      </c>
      <c r="H75" s="4">
        <f t="shared" si="18"/>
        <v>36</v>
      </c>
      <c r="I75" s="4">
        <f t="shared" si="19"/>
        <v>0</v>
      </c>
      <c r="J75" s="4">
        <f t="shared" si="20"/>
        <v>78</v>
      </c>
      <c r="K75" s="30"/>
      <c r="L75" s="30"/>
      <c r="M75" s="30"/>
      <c r="N75" s="30"/>
      <c r="O75" s="30"/>
      <c r="P75" s="30"/>
      <c r="Q75" s="4">
        <f t="shared" si="21"/>
        <v>0</v>
      </c>
      <c r="R75" s="4">
        <f t="shared" si="22"/>
        <v>13.827999999999999</v>
      </c>
      <c r="S75" s="3">
        <f t="shared" si="23"/>
        <v>0</v>
      </c>
      <c r="T75" s="3">
        <f t="shared" si="24"/>
        <v>-6914</v>
      </c>
    </row>
    <row r="76" spans="1:20" x14ac:dyDescent="0.3">
      <c r="A76" s="30">
        <v>12</v>
      </c>
      <c r="B76" s="30">
        <v>3</v>
      </c>
      <c r="C76" s="4">
        <f t="shared" si="13"/>
        <v>36</v>
      </c>
      <c r="D76" s="4">
        <f t="shared" si="14"/>
        <v>3</v>
      </c>
      <c r="E76" s="4">
        <f t="shared" si="15"/>
        <v>66</v>
      </c>
      <c r="F76" s="4">
        <f t="shared" si="16"/>
        <v>12</v>
      </c>
      <c r="G76" s="4">
        <f t="shared" si="17"/>
        <v>-6</v>
      </c>
      <c r="H76" s="4">
        <f t="shared" si="18"/>
        <v>36</v>
      </c>
      <c r="I76" s="4">
        <f t="shared" si="19"/>
        <v>0</v>
      </c>
      <c r="J76" s="4">
        <f t="shared" si="20"/>
        <v>78</v>
      </c>
      <c r="K76" s="30"/>
      <c r="L76" s="30"/>
      <c r="M76" s="30"/>
      <c r="N76" s="30"/>
      <c r="O76" s="30"/>
      <c r="P76" s="30"/>
      <c r="Q76" s="4">
        <f t="shared" si="21"/>
        <v>0</v>
      </c>
      <c r="R76" s="4">
        <f t="shared" si="22"/>
        <v>13.827999999999999</v>
      </c>
      <c r="S76" s="3">
        <f t="shared" si="23"/>
        <v>0</v>
      </c>
      <c r="T76" s="3">
        <f t="shared" si="24"/>
        <v>-6914</v>
      </c>
    </row>
    <row r="77" spans="1:20" x14ac:dyDescent="0.3">
      <c r="A77" s="30">
        <v>9</v>
      </c>
      <c r="B77" s="30">
        <v>3</v>
      </c>
      <c r="C77" s="4">
        <f t="shared" si="13"/>
        <v>27</v>
      </c>
      <c r="D77" s="4">
        <f t="shared" si="14"/>
        <v>3</v>
      </c>
      <c r="E77" s="4">
        <f t="shared" si="15"/>
        <v>48</v>
      </c>
      <c r="F77" s="4">
        <f t="shared" si="16"/>
        <v>12</v>
      </c>
      <c r="G77" s="4">
        <f t="shared" si="17"/>
        <v>-6</v>
      </c>
      <c r="H77" s="4">
        <f t="shared" si="18"/>
        <v>30</v>
      </c>
      <c r="I77" s="4">
        <f t="shared" si="19"/>
        <v>0</v>
      </c>
      <c r="J77" s="4">
        <f t="shared" si="20"/>
        <v>60</v>
      </c>
      <c r="K77" s="30"/>
      <c r="L77" s="30"/>
      <c r="M77" s="30"/>
      <c r="N77" s="30"/>
      <c r="O77" s="30"/>
      <c r="P77" s="30"/>
      <c r="Q77" s="4">
        <f t="shared" si="21"/>
        <v>0</v>
      </c>
      <c r="R77" s="4">
        <f t="shared" si="22"/>
        <v>10.366</v>
      </c>
      <c r="S77" s="3">
        <f t="shared" si="23"/>
        <v>0</v>
      </c>
      <c r="T77" s="3">
        <f t="shared" si="24"/>
        <v>-5183</v>
      </c>
    </row>
    <row r="78" spans="1:20" ht="15" thickBot="1" x14ac:dyDescent="0.35">
      <c r="A78" s="30">
        <v>9</v>
      </c>
      <c r="B78" s="30">
        <v>2</v>
      </c>
      <c r="C78" s="4">
        <f t="shared" si="13"/>
        <v>18</v>
      </c>
      <c r="D78" s="4">
        <f t="shared" si="14"/>
        <v>2</v>
      </c>
      <c r="E78" s="4">
        <f t="shared" si="15"/>
        <v>32</v>
      </c>
      <c r="F78" s="4">
        <f t="shared" si="16"/>
        <v>8</v>
      </c>
      <c r="G78" s="4">
        <f t="shared" si="17"/>
        <v>-4</v>
      </c>
      <c r="H78" s="4">
        <f t="shared" si="18"/>
        <v>20</v>
      </c>
      <c r="I78" s="4">
        <f t="shared" si="19"/>
        <v>0</v>
      </c>
      <c r="J78" s="4">
        <f t="shared" si="20"/>
        <v>40</v>
      </c>
      <c r="K78" s="30"/>
      <c r="L78" s="30"/>
      <c r="M78" s="30"/>
      <c r="N78" s="30"/>
      <c r="O78" s="30"/>
      <c r="P78" s="30"/>
      <c r="Q78" s="4">
        <f t="shared" si="21"/>
        <v>0</v>
      </c>
      <c r="R78" s="4">
        <f t="shared" si="22"/>
        <v>10.366</v>
      </c>
      <c r="S78" s="3">
        <f t="shared" si="23"/>
        <v>0</v>
      </c>
      <c r="T78" s="3">
        <f t="shared" si="24"/>
        <v>-5183</v>
      </c>
    </row>
    <row r="79" spans="1:20" hidden="1" x14ac:dyDescent="0.3">
      <c r="A79" s="30"/>
      <c r="B79" s="30"/>
      <c r="C79" s="4">
        <f t="shared" si="13"/>
        <v>0</v>
      </c>
      <c r="D79" s="4">
        <f t="shared" si="14"/>
        <v>0</v>
      </c>
      <c r="E79" s="4">
        <f t="shared" si="15"/>
        <v>0</v>
      </c>
      <c r="F79" s="4">
        <f t="shared" si="16"/>
        <v>0</v>
      </c>
      <c r="G79" s="4">
        <f t="shared" si="17"/>
        <v>0</v>
      </c>
      <c r="H79" s="4">
        <f t="shared" si="18"/>
        <v>0</v>
      </c>
      <c r="I79" s="4">
        <f t="shared" si="19"/>
        <v>0</v>
      </c>
      <c r="J79" s="4">
        <f t="shared" si="20"/>
        <v>0</v>
      </c>
      <c r="K79" s="30"/>
      <c r="L79" s="30"/>
      <c r="M79" s="30"/>
      <c r="N79" s="30"/>
      <c r="O79" s="30"/>
      <c r="P79" s="30"/>
      <c r="Q79" s="4">
        <f t="shared" si="21"/>
        <v>0</v>
      </c>
      <c r="R79" s="4">
        <f t="shared" si="22"/>
        <v>-0.02</v>
      </c>
      <c r="S79" s="3">
        <f t="shared" si="23"/>
        <v>0</v>
      </c>
      <c r="T79" s="3">
        <f t="shared" si="24"/>
        <v>10</v>
      </c>
    </row>
    <row r="80" spans="1:20" hidden="1" x14ac:dyDescent="0.3">
      <c r="A80" s="30"/>
      <c r="B80" s="30"/>
      <c r="C80" s="4">
        <f t="shared" si="13"/>
        <v>0</v>
      </c>
      <c r="D80" s="4">
        <f t="shared" si="14"/>
        <v>0</v>
      </c>
      <c r="E80" s="4">
        <f t="shared" si="15"/>
        <v>0</v>
      </c>
      <c r="F80" s="4">
        <f t="shared" si="16"/>
        <v>0</v>
      </c>
      <c r="G80" s="4">
        <f t="shared" si="17"/>
        <v>0</v>
      </c>
      <c r="H80" s="4">
        <f t="shared" si="18"/>
        <v>0</v>
      </c>
      <c r="I80" s="4">
        <f t="shared" si="19"/>
        <v>0</v>
      </c>
      <c r="J80" s="4">
        <f t="shared" si="20"/>
        <v>0</v>
      </c>
      <c r="K80" s="30"/>
      <c r="L80" s="30"/>
      <c r="M80" s="30"/>
      <c r="N80" s="30"/>
      <c r="O80" s="30"/>
      <c r="P80" s="30"/>
      <c r="Q80" s="4">
        <f t="shared" si="21"/>
        <v>0</v>
      </c>
      <c r="R80" s="4">
        <f t="shared" si="22"/>
        <v>-0.02</v>
      </c>
      <c r="S80" s="3">
        <f t="shared" si="23"/>
        <v>0</v>
      </c>
      <c r="T80" s="3">
        <f t="shared" si="24"/>
        <v>10</v>
      </c>
    </row>
    <row r="81" spans="1:20" hidden="1" x14ac:dyDescent="0.3">
      <c r="A81" s="30"/>
      <c r="B81" s="30"/>
      <c r="C81" s="4">
        <f t="shared" si="13"/>
        <v>0</v>
      </c>
      <c r="D81" s="4">
        <f t="shared" si="14"/>
        <v>0</v>
      </c>
      <c r="E81" s="4">
        <f t="shared" si="15"/>
        <v>0</v>
      </c>
      <c r="F81" s="4">
        <f t="shared" si="16"/>
        <v>0</v>
      </c>
      <c r="G81" s="4">
        <f t="shared" si="17"/>
        <v>0</v>
      </c>
      <c r="H81" s="4">
        <f t="shared" si="18"/>
        <v>0</v>
      </c>
      <c r="I81" s="4">
        <f t="shared" si="19"/>
        <v>0</v>
      </c>
      <c r="J81" s="4">
        <f t="shared" si="20"/>
        <v>0</v>
      </c>
      <c r="K81" s="30"/>
      <c r="L81" s="30"/>
      <c r="M81" s="30"/>
      <c r="N81" s="30"/>
      <c r="O81" s="30"/>
      <c r="P81" s="30"/>
      <c r="Q81" s="4">
        <f t="shared" si="21"/>
        <v>0</v>
      </c>
      <c r="R81" s="4">
        <f t="shared" si="22"/>
        <v>-0.02</v>
      </c>
      <c r="S81" s="3">
        <f t="shared" si="23"/>
        <v>0</v>
      </c>
      <c r="T81" s="3">
        <f t="shared" si="24"/>
        <v>10</v>
      </c>
    </row>
    <row r="82" spans="1:20" hidden="1" x14ac:dyDescent="0.3">
      <c r="A82" s="30"/>
      <c r="B82" s="30"/>
      <c r="C82" s="4">
        <f t="shared" si="13"/>
        <v>0</v>
      </c>
      <c r="D82" s="4">
        <f t="shared" si="14"/>
        <v>0</v>
      </c>
      <c r="E82" s="4">
        <f t="shared" si="15"/>
        <v>0</v>
      </c>
      <c r="F82" s="4">
        <f t="shared" si="16"/>
        <v>0</v>
      </c>
      <c r="G82" s="4">
        <f t="shared" si="17"/>
        <v>0</v>
      </c>
      <c r="H82" s="4">
        <f t="shared" si="18"/>
        <v>0</v>
      </c>
      <c r="I82" s="4">
        <f t="shared" si="19"/>
        <v>0</v>
      </c>
      <c r="J82" s="4">
        <f t="shared" si="20"/>
        <v>0</v>
      </c>
      <c r="K82" s="30"/>
      <c r="L82" s="30"/>
      <c r="M82" s="30"/>
      <c r="N82" s="30"/>
      <c r="O82" s="30"/>
      <c r="P82" s="30"/>
      <c r="Q82" s="4">
        <f t="shared" si="21"/>
        <v>0</v>
      </c>
      <c r="R82" s="4">
        <f t="shared" si="22"/>
        <v>-0.02</v>
      </c>
      <c r="S82" s="3">
        <f t="shared" si="23"/>
        <v>0</v>
      </c>
      <c r="T82" s="3">
        <f t="shared" si="24"/>
        <v>10</v>
      </c>
    </row>
    <row r="83" spans="1:20" hidden="1" x14ac:dyDescent="0.3">
      <c r="A83" s="30"/>
      <c r="B83" s="30"/>
      <c r="C83" s="4">
        <f t="shared" si="13"/>
        <v>0</v>
      </c>
      <c r="D83" s="4">
        <f t="shared" si="14"/>
        <v>0</v>
      </c>
      <c r="E83" s="4">
        <f t="shared" si="15"/>
        <v>0</v>
      </c>
      <c r="F83" s="4">
        <f t="shared" si="16"/>
        <v>0</v>
      </c>
      <c r="G83" s="4">
        <f t="shared" si="17"/>
        <v>0</v>
      </c>
      <c r="H83" s="4">
        <f t="shared" si="18"/>
        <v>0</v>
      </c>
      <c r="I83" s="4">
        <f t="shared" si="19"/>
        <v>0</v>
      </c>
      <c r="J83" s="4">
        <f t="shared" si="20"/>
        <v>0</v>
      </c>
      <c r="K83" s="30"/>
      <c r="L83" s="30"/>
      <c r="M83" s="30"/>
      <c r="N83" s="30"/>
      <c r="O83" s="30"/>
      <c r="P83" s="30"/>
      <c r="Q83" s="4">
        <f t="shared" si="21"/>
        <v>0</v>
      </c>
      <c r="R83" s="4">
        <f t="shared" si="22"/>
        <v>-0.02</v>
      </c>
      <c r="S83" s="3">
        <f t="shared" si="23"/>
        <v>0</v>
      </c>
      <c r="T83" s="3">
        <f t="shared" si="24"/>
        <v>10</v>
      </c>
    </row>
    <row r="84" spans="1:20" hidden="1" x14ac:dyDescent="0.3">
      <c r="A84" s="30"/>
      <c r="B84" s="30"/>
      <c r="C84" s="4">
        <f t="shared" si="13"/>
        <v>0</v>
      </c>
      <c r="D84" s="4">
        <f t="shared" si="14"/>
        <v>0</v>
      </c>
      <c r="E84" s="4">
        <f t="shared" si="15"/>
        <v>0</v>
      </c>
      <c r="F84" s="4">
        <f t="shared" si="16"/>
        <v>0</v>
      </c>
      <c r="G84" s="4">
        <f t="shared" si="17"/>
        <v>0</v>
      </c>
      <c r="H84" s="4">
        <f t="shared" si="18"/>
        <v>0</v>
      </c>
      <c r="I84" s="4">
        <f t="shared" si="19"/>
        <v>0</v>
      </c>
      <c r="J84" s="4">
        <f t="shared" si="20"/>
        <v>0</v>
      </c>
      <c r="K84" s="30"/>
      <c r="L84" s="30"/>
      <c r="M84" s="30"/>
      <c r="N84" s="30"/>
      <c r="O84" s="30"/>
      <c r="P84" s="30"/>
      <c r="Q84" s="4">
        <f t="shared" si="21"/>
        <v>0</v>
      </c>
      <c r="R84" s="4">
        <f t="shared" si="22"/>
        <v>-0.02</v>
      </c>
      <c r="S84" s="3">
        <f t="shared" si="23"/>
        <v>0</v>
      </c>
      <c r="T84" s="3">
        <f t="shared" si="24"/>
        <v>10</v>
      </c>
    </row>
    <row r="85" spans="1:20" hidden="1" x14ac:dyDescent="0.3">
      <c r="A85" s="30"/>
      <c r="B85" s="30"/>
      <c r="C85" s="4">
        <f t="shared" si="13"/>
        <v>0</v>
      </c>
      <c r="D85" s="4">
        <f t="shared" si="14"/>
        <v>0</v>
      </c>
      <c r="E85" s="4">
        <f t="shared" si="15"/>
        <v>0</v>
      </c>
      <c r="F85" s="4">
        <f t="shared" si="16"/>
        <v>0</v>
      </c>
      <c r="G85" s="4">
        <f t="shared" si="17"/>
        <v>0</v>
      </c>
      <c r="H85" s="4">
        <f t="shared" si="18"/>
        <v>0</v>
      </c>
      <c r="I85" s="4">
        <f t="shared" si="19"/>
        <v>0</v>
      </c>
      <c r="J85" s="4">
        <f t="shared" si="20"/>
        <v>0</v>
      </c>
      <c r="K85" s="30"/>
      <c r="L85" s="30"/>
      <c r="M85" s="30"/>
      <c r="N85" s="30"/>
      <c r="O85" s="30"/>
      <c r="P85" s="30"/>
      <c r="Q85" s="4">
        <f t="shared" si="21"/>
        <v>0</v>
      </c>
      <c r="R85" s="4">
        <f t="shared" si="22"/>
        <v>-0.02</v>
      </c>
      <c r="S85" s="3">
        <f t="shared" si="23"/>
        <v>0</v>
      </c>
      <c r="T85" s="3">
        <f t="shared" si="24"/>
        <v>10</v>
      </c>
    </row>
    <row r="86" spans="1:20" hidden="1" x14ac:dyDescent="0.3">
      <c r="A86" s="30"/>
      <c r="B86" s="30"/>
      <c r="C86" s="4">
        <f t="shared" si="13"/>
        <v>0</v>
      </c>
      <c r="D86" s="4">
        <f t="shared" si="14"/>
        <v>0</v>
      </c>
      <c r="E86" s="4">
        <f t="shared" si="15"/>
        <v>0</v>
      </c>
      <c r="F86" s="4">
        <f t="shared" si="16"/>
        <v>0</v>
      </c>
      <c r="G86" s="4">
        <f t="shared" si="17"/>
        <v>0</v>
      </c>
      <c r="H86" s="4">
        <f t="shared" si="18"/>
        <v>0</v>
      </c>
      <c r="I86" s="4">
        <f t="shared" si="19"/>
        <v>0</v>
      </c>
      <c r="J86" s="4">
        <f t="shared" si="20"/>
        <v>0</v>
      </c>
      <c r="K86" s="30"/>
      <c r="L86" s="30"/>
      <c r="M86" s="30"/>
      <c r="N86" s="30"/>
      <c r="O86" s="30"/>
      <c r="P86" s="30"/>
      <c r="Q86" s="4">
        <f t="shared" si="21"/>
        <v>0</v>
      </c>
      <c r="R86" s="4">
        <f t="shared" si="22"/>
        <v>-0.02</v>
      </c>
      <c r="S86" s="3">
        <f t="shared" si="23"/>
        <v>0</v>
      </c>
      <c r="T86" s="3">
        <f t="shared" si="24"/>
        <v>10</v>
      </c>
    </row>
    <row r="87" spans="1:20" hidden="1" x14ac:dyDescent="0.3">
      <c r="A87" s="30"/>
      <c r="B87" s="30"/>
      <c r="C87" s="4">
        <f t="shared" si="13"/>
        <v>0</v>
      </c>
      <c r="D87" s="4">
        <f t="shared" si="14"/>
        <v>0</v>
      </c>
      <c r="E87" s="4">
        <f t="shared" si="15"/>
        <v>0</v>
      </c>
      <c r="F87" s="4">
        <f t="shared" si="16"/>
        <v>0</v>
      </c>
      <c r="G87" s="4">
        <f t="shared" si="17"/>
        <v>0</v>
      </c>
      <c r="H87" s="4">
        <f t="shared" si="18"/>
        <v>0</v>
      </c>
      <c r="I87" s="4">
        <f t="shared" si="19"/>
        <v>0</v>
      </c>
      <c r="J87" s="4">
        <f t="shared" si="20"/>
        <v>0</v>
      </c>
      <c r="K87" s="30"/>
      <c r="L87" s="30"/>
      <c r="M87" s="30"/>
      <c r="N87" s="30"/>
      <c r="O87" s="30"/>
      <c r="P87" s="30"/>
      <c r="Q87" s="4">
        <f t="shared" si="21"/>
        <v>0</v>
      </c>
      <c r="R87" s="4">
        <f t="shared" si="22"/>
        <v>-0.02</v>
      </c>
      <c r="S87" s="3">
        <f t="shared" si="23"/>
        <v>0</v>
      </c>
      <c r="T87" s="3">
        <f t="shared" si="24"/>
        <v>10</v>
      </c>
    </row>
    <row r="88" spans="1:20" hidden="1" x14ac:dyDescent="0.3">
      <c r="A88" s="30"/>
      <c r="B88" s="30"/>
      <c r="C88" s="4">
        <f t="shared" si="13"/>
        <v>0</v>
      </c>
      <c r="D88" s="4">
        <f t="shared" si="14"/>
        <v>0</v>
      </c>
      <c r="E88" s="4">
        <f t="shared" si="15"/>
        <v>0</v>
      </c>
      <c r="F88" s="4">
        <f t="shared" si="16"/>
        <v>0</v>
      </c>
      <c r="G88" s="4">
        <f t="shared" si="17"/>
        <v>0</v>
      </c>
      <c r="H88" s="4">
        <f t="shared" si="18"/>
        <v>0</v>
      </c>
      <c r="I88" s="4">
        <f t="shared" si="19"/>
        <v>0</v>
      </c>
      <c r="J88" s="4">
        <f t="shared" si="20"/>
        <v>0</v>
      </c>
      <c r="K88" s="30"/>
      <c r="L88" s="30"/>
      <c r="M88" s="30"/>
      <c r="N88" s="30"/>
      <c r="O88" s="30"/>
      <c r="P88" s="30"/>
      <c r="Q88" s="4">
        <f t="shared" si="21"/>
        <v>0</v>
      </c>
      <c r="R88" s="4">
        <f t="shared" si="22"/>
        <v>-0.02</v>
      </c>
      <c r="S88" s="3">
        <f t="shared" si="23"/>
        <v>0</v>
      </c>
      <c r="T88" s="3">
        <f t="shared" si="24"/>
        <v>10</v>
      </c>
    </row>
    <row r="89" spans="1:20" hidden="1" x14ac:dyDescent="0.3">
      <c r="A89" s="30"/>
      <c r="B89" s="30"/>
      <c r="C89" s="4">
        <f t="shared" si="13"/>
        <v>0</v>
      </c>
      <c r="D89" s="4">
        <f t="shared" si="14"/>
        <v>0</v>
      </c>
      <c r="E89" s="4">
        <f t="shared" si="15"/>
        <v>0</v>
      </c>
      <c r="F89" s="4">
        <f t="shared" si="16"/>
        <v>0</v>
      </c>
      <c r="G89" s="4">
        <f t="shared" si="17"/>
        <v>0</v>
      </c>
      <c r="H89" s="4">
        <f t="shared" si="18"/>
        <v>0</v>
      </c>
      <c r="I89" s="4">
        <f t="shared" si="19"/>
        <v>0</v>
      </c>
      <c r="J89" s="4">
        <f t="shared" si="20"/>
        <v>0</v>
      </c>
      <c r="K89" s="30"/>
      <c r="L89" s="30"/>
      <c r="M89" s="30"/>
      <c r="N89" s="30"/>
      <c r="O89" s="30"/>
      <c r="P89" s="30"/>
      <c r="Q89" s="4">
        <f t="shared" si="21"/>
        <v>0</v>
      </c>
      <c r="R89" s="4">
        <f t="shared" si="22"/>
        <v>-0.02</v>
      </c>
      <c r="S89" s="3">
        <f t="shared" si="23"/>
        <v>0</v>
      </c>
      <c r="T89" s="3">
        <f t="shared" si="24"/>
        <v>10</v>
      </c>
    </row>
    <row r="90" spans="1:20" hidden="1" x14ac:dyDescent="0.3">
      <c r="A90" s="30"/>
      <c r="B90" s="30"/>
      <c r="C90" s="4">
        <f t="shared" si="13"/>
        <v>0</v>
      </c>
      <c r="D90" s="4">
        <f t="shared" si="14"/>
        <v>0</v>
      </c>
      <c r="E90" s="4">
        <f t="shared" si="15"/>
        <v>0</v>
      </c>
      <c r="F90" s="4">
        <f t="shared" si="16"/>
        <v>0</v>
      </c>
      <c r="G90" s="4">
        <f t="shared" si="17"/>
        <v>0</v>
      </c>
      <c r="H90" s="4">
        <f t="shared" si="18"/>
        <v>0</v>
      </c>
      <c r="I90" s="4">
        <f t="shared" si="19"/>
        <v>0</v>
      </c>
      <c r="J90" s="4">
        <f t="shared" si="20"/>
        <v>0</v>
      </c>
      <c r="K90" s="30"/>
      <c r="L90" s="30"/>
      <c r="M90" s="30"/>
      <c r="N90" s="30"/>
      <c r="O90" s="30"/>
      <c r="P90" s="30"/>
      <c r="Q90" s="4">
        <f t="shared" si="21"/>
        <v>0</v>
      </c>
      <c r="R90" s="4">
        <f t="shared" si="22"/>
        <v>-0.02</v>
      </c>
      <c r="S90" s="3">
        <f t="shared" si="23"/>
        <v>0</v>
      </c>
      <c r="T90" s="3">
        <f t="shared" si="24"/>
        <v>10</v>
      </c>
    </row>
    <row r="91" spans="1:20" ht="15" hidden="1" thickBot="1" x14ac:dyDescent="0.35">
      <c r="A91" s="30"/>
      <c r="B91" s="30"/>
      <c r="C91" s="4">
        <f t="shared" si="13"/>
        <v>0</v>
      </c>
      <c r="D91" s="4">
        <f t="shared" si="14"/>
        <v>0</v>
      </c>
      <c r="E91" s="4">
        <f t="shared" si="15"/>
        <v>0</v>
      </c>
      <c r="F91" s="4">
        <f t="shared" si="16"/>
        <v>0</v>
      </c>
      <c r="G91" s="4">
        <f t="shared" si="17"/>
        <v>0</v>
      </c>
      <c r="H91" s="4">
        <f t="shared" si="18"/>
        <v>0</v>
      </c>
      <c r="I91" s="4">
        <f t="shared" si="19"/>
        <v>0</v>
      </c>
      <c r="J91" s="4">
        <f t="shared" si="20"/>
        <v>0</v>
      </c>
      <c r="K91" s="30"/>
      <c r="L91" s="30"/>
      <c r="M91" s="30"/>
      <c r="N91" s="30"/>
      <c r="O91" s="30"/>
      <c r="P91" s="30"/>
      <c r="Q91" s="4">
        <f t="shared" si="21"/>
        <v>0</v>
      </c>
      <c r="R91" s="4">
        <f t="shared" si="22"/>
        <v>-0.02</v>
      </c>
      <c r="S91" s="3">
        <f t="shared" si="23"/>
        <v>0</v>
      </c>
      <c r="T91" s="3">
        <f t="shared" si="24"/>
        <v>10</v>
      </c>
    </row>
    <row r="92" spans="1:20" ht="15" thickBot="1" x14ac:dyDescent="0.35">
      <c r="C92" s="34">
        <f t="shared" ref="C92:J92" si="37">SUM(C55:C91)</f>
        <v>454</v>
      </c>
      <c r="D92" s="35">
        <f t="shared" si="37"/>
        <v>40</v>
      </c>
      <c r="E92" s="35">
        <f t="shared" si="37"/>
        <v>828</v>
      </c>
      <c r="F92" s="35">
        <f t="shared" si="37"/>
        <v>160</v>
      </c>
      <c r="G92" s="35">
        <f t="shared" si="37"/>
        <v>-80</v>
      </c>
      <c r="H92" s="35">
        <f>SUM(H55:H91)</f>
        <v>464</v>
      </c>
      <c r="I92" s="35">
        <f t="shared" si="37"/>
        <v>0</v>
      </c>
      <c r="J92" s="35">
        <f t="shared" si="37"/>
        <v>988</v>
      </c>
      <c r="K92" s="35">
        <f t="shared" ref="K92:P92" si="38">SUMPRODUCT(K55:K91,$B$55:$B$91)*2</f>
        <v>0</v>
      </c>
      <c r="L92" s="35">
        <f t="shared" si="38"/>
        <v>0</v>
      </c>
      <c r="M92" s="35">
        <f t="shared" si="38"/>
        <v>0</v>
      </c>
      <c r="N92" s="35">
        <f t="shared" si="38"/>
        <v>0</v>
      </c>
      <c r="O92" s="35">
        <f t="shared" si="38"/>
        <v>0</v>
      </c>
      <c r="P92" s="35">
        <f t="shared" si="38"/>
        <v>0</v>
      </c>
      <c r="Q92" s="35">
        <f>SUMPRODUCT(Q55:Q91, $B55:$B91)*2</f>
        <v>0</v>
      </c>
      <c r="R92" s="35"/>
      <c r="S92" s="36"/>
      <c r="T92" s="36"/>
    </row>
  </sheetData>
  <mergeCells count="2">
    <mergeCell ref="A29:L29"/>
    <mergeCell ref="A34:L34"/>
  </mergeCells>
  <dataValidations count="2">
    <dataValidation type="list" allowBlank="1" showInputMessage="1" showErrorMessage="1" sqref="B2" xr:uid="{5F45CBA5-1C1C-4596-96C3-ECFEF5730748}">
      <formula1>$J$1:$J$3</formula1>
    </dataValidation>
    <dataValidation type="list" allowBlank="1" showInputMessage="1" showErrorMessage="1" sqref="B3" xr:uid="{4EC261A2-1C2B-407D-9011-D183633C4464}">
      <formula1>$K$2:$K$7</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0FDA-1AB0-4036-B6BE-D0157FF0E9F5}">
  <sheetPr codeName="Sheet5"/>
  <dimension ref="A1:AJ150"/>
  <sheetViews>
    <sheetView zoomScale="85" zoomScaleNormal="85" workbookViewId="0">
      <pane xSplit="1" ySplit="11" topLeftCell="H22" activePane="bottomRight" state="frozenSplit"/>
      <selection pane="topRight" activeCell="B1" sqref="B1"/>
      <selection pane="bottomLeft" activeCell="A12" sqref="A12"/>
      <selection pane="bottomRight" activeCell="A142" sqref="A142"/>
    </sheetView>
  </sheetViews>
  <sheetFormatPr defaultColWidth="8.5546875" defaultRowHeight="14.4" x14ac:dyDescent="0.3"/>
  <cols>
    <col min="1" max="1" width="24" style="15" customWidth="1"/>
    <col min="2" max="2" width="23.5546875" style="14" hidden="1" customWidth="1"/>
    <col min="3" max="7" width="23.5546875" style="5" hidden="1" customWidth="1"/>
    <col min="8" max="8" width="26.109375" style="5" customWidth="1"/>
    <col min="9" max="9" width="15.44140625" style="5" customWidth="1"/>
    <col min="10" max="10" width="9" style="5" customWidth="1"/>
    <col min="11" max="11" width="10.44140625" style="5" customWidth="1"/>
    <col min="12" max="15" width="11.5546875" style="5" customWidth="1"/>
    <col min="16" max="16" width="9" style="5" customWidth="1"/>
    <col min="17" max="18" width="11.5546875" style="5" customWidth="1"/>
    <col min="19" max="19" width="15.44140625" style="5" customWidth="1"/>
    <col min="20" max="20" width="14.5546875" style="5" customWidth="1"/>
    <col min="21" max="21" width="9" style="5" customWidth="1"/>
    <col min="22" max="22" width="22.44140625" style="5" customWidth="1"/>
    <col min="23" max="24" width="18.5546875" style="5" customWidth="1"/>
    <col min="25" max="26" width="9" style="5" customWidth="1"/>
    <col min="27" max="27" width="17.5546875" style="5" customWidth="1"/>
    <col min="28" max="29" width="18.5546875" style="5" customWidth="1"/>
    <col min="30" max="30" width="10.44140625" style="5" customWidth="1"/>
    <col min="31" max="31" width="12.44140625" style="5" customWidth="1"/>
    <col min="32" max="32" width="16.44140625" style="5" customWidth="1"/>
    <col min="33" max="33" width="16" style="5" customWidth="1"/>
    <col min="34" max="34" width="11.5546875" style="5" customWidth="1"/>
    <col min="35" max="35" width="11.44140625" style="5" customWidth="1"/>
    <col min="36" max="36" width="20.44140625" style="5" customWidth="1"/>
    <col min="37" max="16384" width="8.5546875" style="5"/>
  </cols>
  <sheetData>
    <row r="1" spans="1:36" hidden="1" x14ac:dyDescent="0.3">
      <c r="AD1" s="5" t="s">
        <v>2151</v>
      </c>
    </row>
    <row r="2" spans="1:36" hidden="1" x14ac:dyDescent="0.3">
      <c r="AD2" s="5" t="s">
        <v>2152</v>
      </c>
    </row>
    <row r="3" spans="1:36" hidden="1" x14ac:dyDescent="0.3">
      <c r="AD3" s="5" t="s">
        <v>2153</v>
      </c>
    </row>
    <row r="4" spans="1:36" hidden="1" x14ac:dyDescent="0.3"/>
    <row r="5" spans="1:36" hidden="1" x14ac:dyDescent="0.3"/>
    <row r="6" spans="1:36" hidden="1" x14ac:dyDescent="0.3"/>
    <row r="7" spans="1:36" hidden="1" x14ac:dyDescent="0.3"/>
    <row r="8" spans="1:36" hidden="1" x14ac:dyDescent="0.3"/>
    <row r="11" spans="1:36" s="14" customFormat="1" ht="43.2" x14ac:dyDescent="0.3">
      <c r="A11" s="16" t="s">
        <v>44</v>
      </c>
      <c r="B11" s="14" t="s">
        <v>2154</v>
      </c>
      <c r="C11" s="14" t="s">
        <v>2</v>
      </c>
      <c r="D11" s="14" t="s">
        <v>47</v>
      </c>
      <c r="E11" s="14" t="s">
        <v>56</v>
      </c>
      <c r="F11" s="14" t="s">
        <v>57</v>
      </c>
      <c r="G11" s="14" t="s">
        <v>58</v>
      </c>
      <c r="H11" s="14" t="s">
        <v>2113</v>
      </c>
      <c r="I11" s="14" t="s">
        <v>2120</v>
      </c>
      <c r="J11" s="14" t="s">
        <v>2119</v>
      </c>
      <c r="K11" s="14" t="s">
        <v>2118</v>
      </c>
      <c r="L11" s="14" t="s">
        <v>2121</v>
      </c>
      <c r="M11" s="14" t="s">
        <v>2122</v>
      </c>
      <c r="N11" s="14" t="s">
        <v>2123</v>
      </c>
      <c r="O11" s="14" t="s">
        <v>2124</v>
      </c>
      <c r="P11" s="14" t="s">
        <v>2125</v>
      </c>
      <c r="Q11" s="14" t="s">
        <v>2126</v>
      </c>
      <c r="R11" s="14" t="s">
        <v>2127</v>
      </c>
      <c r="S11" s="14" t="s">
        <v>2128</v>
      </c>
      <c r="T11" s="14" t="s">
        <v>2129</v>
      </c>
      <c r="U11" s="14" t="s">
        <v>2155</v>
      </c>
      <c r="V11" s="14" t="s">
        <v>2130</v>
      </c>
      <c r="W11" s="14" t="s">
        <v>2156</v>
      </c>
      <c r="X11" s="14" t="s">
        <v>2157</v>
      </c>
      <c r="Y11" s="14" t="s">
        <v>2158</v>
      </c>
      <c r="Z11" s="14" t="s">
        <v>2159</v>
      </c>
      <c r="AA11" s="14" t="s">
        <v>2160</v>
      </c>
      <c r="AB11" s="14" t="s">
        <v>2161</v>
      </c>
      <c r="AC11" s="14" t="s">
        <v>2162</v>
      </c>
      <c r="AD11" s="14" t="s">
        <v>2163</v>
      </c>
      <c r="AE11" s="14" t="s">
        <v>2164</v>
      </c>
      <c r="AF11" s="14" t="s">
        <v>2165</v>
      </c>
      <c r="AG11" s="14" t="s">
        <v>2166</v>
      </c>
      <c r="AH11" s="14" t="s">
        <v>206</v>
      </c>
      <c r="AI11" s="14" t="s">
        <v>2167</v>
      </c>
      <c r="AJ11" s="14" t="s">
        <v>2168</v>
      </c>
    </row>
    <row r="12" spans="1:36" hidden="1" x14ac:dyDescent="0.3">
      <c r="A12" s="15" t="s">
        <v>70</v>
      </c>
      <c r="B12" s="14" t="s">
        <v>2151</v>
      </c>
      <c r="C12" s="5">
        <v>8.0500000000000007</v>
      </c>
      <c r="D12" s="5" t="s">
        <v>0</v>
      </c>
      <c r="E12" s="5" t="s">
        <v>74</v>
      </c>
      <c r="F12" s="5">
        <v>14.000000000000002</v>
      </c>
      <c r="G12" s="5" t="s">
        <v>75</v>
      </c>
      <c r="H12" s="5" t="s">
        <v>2169</v>
      </c>
      <c r="K12" s="5">
        <v>40</v>
      </c>
      <c r="L12" s="5">
        <v>14</v>
      </c>
      <c r="P12" s="5">
        <v>8</v>
      </c>
      <c r="Q12" s="5">
        <v>20</v>
      </c>
      <c r="R12" s="5">
        <v>16</v>
      </c>
      <c r="S12" s="5">
        <v>8</v>
      </c>
      <c r="T12" s="5">
        <v>4</v>
      </c>
      <c r="W12" s="5">
        <v>80</v>
      </c>
      <c r="Y12" s="5">
        <v>8</v>
      </c>
      <c r="Z12" s="5">
        <v>8</v>
      </c>
      <c r="AA12" s="5">
        <v>1</v>
      </c>
      <c r="AC12" s="5">
        <v>1</v>
      </c>
    </row>
    <row r="13" spans="1:36" hidden="1" x14ac:dyDescent="0.3">
      <c r="A13" s="15" t="s">
        <v>82</v>
      </c>
      <c r="B13" s="14" t="s">
        <v>2151</v>
      </c>
      <c r="C13" s="5">
        <v>12.65</v>
      </c>
      <c r="D13" s="5" t="s">
        <v>0</v>
      </c>
      <c r="E13" s="5" t="s">
        <v>74</v>
      </c>
      <c r="F13" s="5">
        <v>22.000000000000004</v>
      </c>
      <c r="G13" s="5" t="s">
        <v>83</v>
      </c>
      <c r="H13" s="5" t="s">
        <v>2169</v>
      </c>
      <c r="K13" s="5">
        <v>62</v>
      </c>
      <c r="L13" s="5">
        <v>22</v>
      </c>
      <c r="P13" s="5">
        <v>16</v>
      </c>
      <c r="Q13" s="5">
        <v>36</v>
      </c>
      <c r="R13" s="5">
        <v>16</v>
      </c>
      <c r="S13" s="5">
        <v>18</v>
      </c>
      <c r="T13" s="5">
        <v>4</v>
      </c>
      <c r="W13" s="5">
        <v>80</v>
      </c>
      <c r="Y13" s="5">
        <v>8</v>
      </c>
      <c r="Z13" s="5">
        <v>8</v>
      </c>
      <c r="AA13" s="5">
        <v>1</v>
      </c>
      <c r="AC13" s="5">
        <v>1</v>
      </c>
    </row>
    <row r="14" spans="1:36" hidden="1" x14ac:dyDescent="0.3">
      <c r="A14" s="15" t="s">
        <v>181</v>
      </c>
      <c r="B14" s="14" t="s">
        <v>2151</v>
      </c>
      <c r="C14" s="5">
        <v>13.625</v>
      </c>
      <c r="D14" s="5" t="s">
        <v>0</v>
      </c>
      <c r="F14" s="5">
        <v>0</v>
      </c>
      <c r="G14" s="5" t="s">
        <v>221</v>
      </c>
      <c r="H14" s="5" t="s">
        <v>2170</v>
      </c>
      <c r="I14" s="5">
        <v>62</v>
      </c>
      <c r="K14" s="5">
        <v>0</v>
      </c>
      <c r="Q14" s="5">
        <v>38</v>
      </c>
      <c r="R14" s="5">
        <v>24</v>
      </c>
      <c r="S14" s="5">
        <v>19</v>
      </c>
      <c r="T14" s="5">
        <v>6</v>
      </c>
      <c r="W14" s="5">
        <v>80</v>
      </c>
      <c r="Y14" s="5">
        <v>8</v>
      </c>
      <c r="Z14" s="5">
        <v>8</v>
      </c>
      <c r="AA14" s="5">
        <v>1</v>
      </c>
      <c r="AC14" s="5">
        <v>1</v>
      </c>
      <c r="AJ14" s="5" t="s">
        <v>2171</v>
      </c>
    </row>
    <row r="15" spans="1:36" hidden="1" x14ac:dyDescent="0.3">
      <c r="A15" s="15" t="s">
        <v>88</v>
      </c>
      <c r="B15" s="14" t="s">
        <v>2151</v>
      </c>
      <c r="C15" s="5">
        <v>8.0500000000000007</v>
      </c>
      <c r="D15" s="5" t="s">
        <v>0</v>
      </c>
      <c r="E15" s="5" t="s">
        <v>74</v>
      </c>
      <c r="F15" s="5">
        <v>14.000000000000002</v>
      </c>
      <c r="G15" s="5" t="s">
        <v>75</v>
      </c>
      <c r="H15" s="5" t="s">
        <v>2169</v>
      </c>
      <c r="K15" s="5">
        <v>40</v>
      </c>
      <c r="L15" s="5">
        <v>14</v>
      </c>
      <c r="P15" s="5">
        <v>10</v>
      </c>
      <c r="Q15" s="5">
        <v>22</v>
      </c>
      <c r="R15" s="5">
        <v>12</v>
      </c>
      <c r="S15" s="5">
        <v>11</v>
      </c>
      <c r="T15" s="5">
        <v>3</v>
      </c>
      <c r="W15" s="5">
        <v>80</v>
      </c>
      <c r="Y15" s="5">
        <v>8</v>
      </c>
      <c r="Z15" s="5">
        <v>8</v>
      </c>
      <c r="AA15" s="5">
        <v>1</v>
      </c>
      <c r="AC15" s="5">
        <v>1</v>
      </c>
    </row>
    <row r="16" spans="1:36" hidden="1" x14ac:dyDescent="0.3">
      <c r="A16" s="15" t="s">
        <v>93</v>
      </c>
      <c r="B16" s="14" t="s">
        <v>2151</v>
      </c>
      <c r="C16" s="5">
        <v>4.5999999999999996</v>
      </c>
      <c r="D16" s="5" t="s">
        <v>0</v>
      </c>
      <c r="E16" s="5" t="s">
        <v>74</v>
      </c>
      <c r="F16" s="5">
        <v>8</v>
      </c>
      <c r="G16" s="5" t="s">
        <v>94</v>
      </c>
      <c r="H16" s="5" t="s">
        <v>2169</v>
      </c>
      <c r="K16" s="5">
        <v>23</v>
      </c>
      <c r="L16" s="5">
        <v>8</v>
      </c>
      <c r="P16" s="5">
        <v>4</v>
      </c>
      <c r="Q16" s="5">
        <v>12</v>
      </c>
      <c r="R16" s="5">
        <v>8</v>
      </c>
      <c r="S16" s="5">
        <v>6</v>
      </c>
      <c r="T16" s="5">
        <v>2</v>
      </c>
      <c r="W16" s="5">
        <v>80</v>
      </c>
      <c r="Y16" s="5">
        <v>5</v>
      </c>
      <c r="Z16" s="5">
        <v>5</v>
      </c>
      <c r="AA16" s="5">
        <v>1</v>
      </c>
      <c r="AB16" s="5">
        <v>1</v>
      </c>
    </row>
    <row r="17" spans="1:36" hidden="1" x14ac:dyDescent="0.3">
      <c r="A17" s="15" t="s">
        <v>104</v>
      </c>
      <c r="B17" s="14" t="s">
        <v>2151</v>
      </c>
      <c r="C17" s="5">
        <v>4.5999999999999996</v>
      </c>
      <c r="D17" s="5" t="s">
        <v>0</v>
      </c>
      <c r="E17" s="5" t="s">
        <v>74</v>
      </c>
      <c r="F17" s="5">
        <v>8</v>
      </c>
      <c r="G17" s="5" t="s">
        <v>94</v>
      </c>
      <c r="H17" s="5" t="s">
        <v>2169</v>
      </c>
      <c r="K17" s="5">
        <v>23</v>
      </c>
      <c r="L17" s="5">
        <v>8</v>
      </c>
      <c r="P17" s="5">
        <v>4</v>
      </c>
      <c r="Q17" s="5">
        <v>12</v>
      </c>
      <c r="R17" s="5">
        <v>8</v>
      </c>
      <c r="S17" s="5">
        <v>6</v>
      </c>
      <c r="T17" s="5">
        <v>2</v>
      </c>
      <c r="W17" s="5">
        <v>80</v>
      </c>
      <c r="Y17" s="5">
        <v>5</v>
      </c>
      <c r="Z17" s="5">
        <v>5</v>
      </c>
      <c r="AA17" s="5">
        <v>1</v>
      </c>
      <c r="AB17" s="5">
        <v>1</v>
      </c>
    </row>
    <row r="18" spans="1:36" hidden="1" x14ac:dyDescent="0.3">
      <c r="A18" s="15" t="s">
        <v>99</v>
      </c>
      <c r="B18" s="14" t="s">
        <v>2151</v>
      </c>
      <c r="C18" s="5">
        <v>12.65</v>
      </c>
      <c r="D18" s="5" t="s">
        <v>0</v>
      </c>
      <c r="E18" s="5" t="s">
        <v>74</v>
      </c>
      <c r="F18" s="5">
        <v>22.000000000000004</v>
      </c>
      <c r="G18" s="5" t="s">
        <v>83</v>
      </c>
      <c r="H18" s="5" t="s">
        <v>2169</v>
      </c>
      <c r="K18" s="5">
        <v>68</v>
      </c>
      <c r="L18" s="5">
        <v>24</v>
      </c>
      <c r="P18" s="5">
        <v>6</v>
      </c>
      <c r="Q18" s="5">
        <v>22</v>
      </c>
      <c r="R18" s="5">
        <v>48</v>
      </c>
      <c r="S18" s="5">
        <v>11</v>
      </c>
      <c r="T18" s="5">
        <v>12</v>
      </c>
      <c r="W18" s="5">
        <v>80</v>
      </c>
      <c r="Y18" s="5">
        <v>8</v>
      </c>
      <c r="Z18" s="5">
        <v>8</v>
      </c>
      <c r="AA18" s="5">
        <v>1</v>
      </c>
      <c r="AC18" s="5">
        <v>1</v>
      </c>
    </row>
    <row r="19" spans="1:36" hidden="1" x14ac:dyDescent="0.3">
      <c r="A19" s="15" t="s">
        <v>169</v>
      </c>
      <c r="B19" s="14" t="s">
        <v>2151</v>
      </c>
      <c r="C19" s="5">
        <v>12.65</v>
      </c>
      <c r="D19" s="5" t="s">
        <v>0</v>
      </c>
      <c r="E19" s="5" t="s">
        <v>74</v>
      </c>
      <c r="F19" s="5">
        <v>22.000000000000004</v>
      </c>
      <c r="G19" s="5" t="s">
        <v>170</v>
      </c>
      <c r="H19" s="5" t="s">
        <v>2170</v>
      </c>
      <c r="I19" s="5">
        <v>52</v>
      </c>
      <c r="K19" s="5">
        <v>0</v>
      </c>
      <c r="Q19" s="5">
        <v>36</v>
      </c>
      <c r="R19" s="5">
        <v>16</v>
      </c>
      <c r="S19" s="5">
        <v>18</v>
      </c>
      <c r="T19" s="5">
        <v>4</v>
      </c>
      <c r="W19" s="5">
        <v>80</v>
      </c>
      <c r="Y19" s="5">
        <v>8</v>
      </c>
      <c r="Z19" s="5">
        <v>8</v>
      </c>
      <c r="AA19" s="5">
        <v>1</v>
      </c>
      <c r="AC19" s="5">
        <v>1</v>
      </c>
    </row>
    <row r="20" spans="1:36" hidden="1" x14ac:dyDescent="0.3">
      <c r="A20" s="15" t="s">
        <v>117</v>
      </c>
      <c r="B20" s="14" t="s">
        <v>2151</v>
      </c>
      <c r="C20" s="5">
        <v>12.65</v>
      </c>
      <c r="D20" s="5" t="s">
        <v>0</v>
      </c>
      <c r="E20" s="5" t="s">
        <v>74</v>
      </c>
      <c r="F20" s="5">
        <v>22.000000000000004</v>
      </c>
      <c r="G20" s="5" t="s">
        <v>83</v>
      </c>
      <c r="H20" s="5" t="s">
        <v>2169</v>
      </c>
      <c r="K20" s="5">
        <v>62</v>
      </c>
      <c r="L20" s="5">
        <v>22</v>
      </c>
      <c r="P20" s="5">
        <v>4</v>
      </c>
      <c r="Q20" s="5">
        <v>18</v>
      </c>
      <c r="R20" s="5">
        <v>52</v>
      </c>
      <c r="S20" s="5">
        <v>9</v>
      </c>
      <c r="T20" s="5">
        <v>13</v>
      </c>
      <c r="W20" s="5">
        <v>80</v>
      </c>
      <c r="Y20" s="5">
        <v>8</v>
      </c>
      <c r="Z20" s="5">
        <v>8</v>
      </c>
      <c r="AA20" s="5">
        <v>1</v>
      </c>
      <c r="AC20" s="5">
        <v>1</v>
      </c>
    </row>
    <row r="21" spans="1:36" hidden="1" x14ac:dyDescent="0.3">
      <c r="A21" s="15" t="s">
        <v>110</v>
      </c>
      <c r="B21" s="14" t="s">
        <v>2151</v>
      </c>
      <c r="C21" s="5">
        <v>10.925000000000001</v>
      </c>
      <c r="D21" s="5" t="s">
        <v>0</v>
      </c>
      <c r="E21" s="5" t="s">
        <v>74</v>
      </c>
      <c r="F21" s="5">
        <v>19.000000000000004</v>
      </c>
      <c r="G21" s="5" t="s">
        <v>111</v>
      </c>
      <c r="H21" s="5" t="s">
        <v>2169</v>
      </c>
      <c r="K21" s="5">
        <v>56</v>
      </c>
      <c r="L21" s="5">
        <v>20</v>
      </c>
      <c r="P21" s="5">
        <v>8</v>
      </c>
      <c r="Q21" s="5">
        <v>20</v>
      </c>
      <c r="R21" s="5">
        <v>36</v>
      </c>
      <c r="S21" s="5">
        <v>11</v>
      </c>
      <c r="T21" s="5">
        <v>9</v>
      </c>
      <c r="W21" s="5">
        <v>80</v>
      </c>
      <c r="Y21" s="5">
        <v>8</v>
      </c>
      <c r="Z21" s="5">
        <v>8</v>
      </c>
      <c r="AA21" s="5">
        <v>1</v>
      </c>
      <c r="AC21" s="5">
        <v>1</v>
      </c>
    </row>
    <row r="22" spans="1:36" x14ac:dyDescent="0.3">
      <c r="A22" s="15" t="s">
        <v>2172</v>
      </c>
      <c r="B22" s="14" t="s">
        <v>2151</v>
      </c>
      <c r="C22" s="5">
        <v>51.75</v>
      </c>
      <c r="D22" s="5" t="s">
        <v>1</v>
      </c>
      <c r="E22" s="5" t="s">
        <v>74</v>
      </c>
      <c r="F22" s="5">
        <v>90</v>
      </c>
      <c r="G22" s="5" t="s">
        <v>2173</v>
      </c>
      <c r="H22" s="5" t="s">
        <v>2174</v>
      </c>
      <c r="K22" s="5">
        <v>0</v>
      </c>
      <c r="W22" s="5">
        <v>1552.5</v>
      </c>
      <c r="AD22" s="5">
        <v>1</v>
      </c>
      <c r="AE22" s="5">
        <v>1</v>
      </c>
      <c r="AJ22" s="5" t="s">
        <v>2175</v>
      </c>
    </row>
    <row r="23" spans="1:36" x14ac:dyDescent="0.3">
      <c r="A23" s="15" t="s">
        <v>2176</v>
      </c>
      <c r="B23" s="14" t="s">
        <v>2151</v>
      </c>
      <c r="C23" s="5">
        <v>283.94499999999999</v>
      </c>
      <c r="D23" s="5" t="s">
        <v>1</v>
      </c>
      <c r="F23" s="5">
        <v>0</v>
      </c>
      <c r="G23" s="5" t="s">
        <v>2177</v>
      </c>
      <c r="H23" s="5" t="s">
        <v>2178</v>
      </c>
      <c r="K23" s="5">
        <v>0</v>
      </c>
      <c r="W23" s="5">
        <v>4259.1750000000002</v>
      </c>
      <c r="X23" s="5">
        <v>4259.1750000000002</v>
      </c>
      <c r="AD23" s="5">
        <v>1</v>
      </c>
      <c r="AE23" s="5">
        <v>1</v>
      </c>
      <c r="AJ23" s="5" t="s">
        <v>2179</v>
      </c>
    </row>
    <row r="24" spans="1:36" hidden="1" x14ac:dyDescent="0.3">
      <c r="A24" s="15" t="s">
        <v>175</v>
      </c>
      <c r="B24" s="14" t="s">
        <v>2151</v>
      </c>
      <c r="C24" s="5">
        <v>4.5999999999999996</v>
      </c>
      <c r="D24" s="5" t="s">
        <v>0</v>
      </c>
      <c r="E24" s="5" t="s">
        <v>74</v>
      </c>
      <c r="F24" s="5">
        <v>8</v>
      </c>
      <c r="G24" s="5" t="s">
        <v>94</v>
      </c>
      <c r="H24" s="5" t="s">
        <v>2169</v>
      </c>
      <c r="K24" s="5">
        <v>23</v>
      </c>
      <c r="L24" s="5">
        <v>8</v>
      </c>
      <c r="P24" s="5">
        <v>4</v>
      </c>
      <c r="Q24" s="5">
        <v>12</v>
      </c>
      <c r="R24" s="5">
        <v>8</v>
      </c>
      <c r="S24" s="5">
        <v>6</v>
      </c>
      <c r="T24" s="5">
        <v>2</v>
      </c>
      <c r="V24" s="5">
        <v>0</v>
      </c>
      <c r="W24" s="5">
        <v>80</v>
      </c>
      <c r="Y24" s="5">
        <v>5</v>
      </c>
      <c r="Z24" s="5">
        <v>5</v>
      </c>
      <c r="AA24" s="5">
        <v>1</v>
      </c>
      <c r="AB24" s="5">
        <v>1</v>
      </c>
    </row>
    <row r="25" spans="1:36" hidden="1" x14ac:dyDescent="0.3">
      <c r="A25" s="15" t="s">
        <v>136</v>
      </c>
      <c r="B25" s="14" t="s">
        <v>2151</v>
      </c>
      <c r="C25" s="5">
        <v>6.9</v>
      </c>
      <c r="D25" s="5" t="s">
        <v>0</v>
      </c>
      <c r="E25" s="5" t="s">
        <v>74</v>
      </c>
      <c r="F25" s="5">
        <v>12.000000000000002</v>
      </c>
      <c r="G25" s="5" t="s">
        <v>137</v>
      </c>
      <c r="H25" s="5" t="s">
        <v>2169</v>
      </c>
      <c r="K25" s="5">
        <v>34</v>
      </c>
      <c r="L25" s="5">
        <v>12</v>
      </c>
      <c r="P25" s="5">
        <v>8</v>
      </c>
      <c r="Q25" s="5">
        <v>16</v>
      </c>
      <c r="R25" s="5">
        <v>16</v>
      </c>
      <c r="S25" s="5">
        <v>8</v>
      </c>
      <c r="T25" s="5">
        <v>4</v>
      </c>
      <c r="W25" s="5">
        <v>80</v>
      </c>
      <c r="Y25" s="5">
        <v>5</v>
      </c>
      <c r="Z25" s="5">
        <v>5</v>
      </c>
      <c r="AA25" s="5">
        <v>1</v>
      </c>
      <c r="AC25" s="5">
        <v>1</v>
      </c>
    </row>
    <row r="26" spans="1:36" hidden="1" x14ac:dyDescent="0.3">
      <c r="A26" s="15" t="s">
        <v>2180</v>
      </c>
      <c r="B26" s="14" t="s">
        <v>2151</v>
      </c>
      <c r="C26" s="5">
        <v>16.100000000000001</v>
      </c>
      <c r="D26" s="5" t="s">
        <v>0</v>
      </c>
      <c r="E26" s="5" t="s">
        <v>74</v>
      </c>
      <c r="F26" s="5">
        <v>28.000000000000004</v>
      </c>
      <c r="G26" s="5" t="s">
        <v>131</v>
      </c>
      <c r="H26" s="5" t="s">
        <v>2169</v>
      </c>
      <c r="K26" s="5">
        <v>79</v>
      </c>
      <c r="L26" s="5">
        <v>28</v>
      </c>
      <c r="P26" s="5">
        <v>18</v>
      </c>
      <c r="Q26" s="5">
        <v>44</v>
      </c>
      <c r="R26" s="5">
        <v>24</v>
      </c>
      <c r="S26" s="5">
        <v>22</v>
      </c>
      <c r="T26" s="5">
        <v>6</v>
      </c>
      <c r="W26" s="5">
        <v>80</v>
      </c>
      <c r="Y26" s="5">
        <v>4</v>
      </c>
      <c r="Z26" s="5">
        <v>4</v>
      </c>
      <c r="AA26" s="5">
        <v>1</v>
      </c>
      <c r="AC26" s="5">
        <v>1</v>
      </c>
    </row>
    <row r="27" spans="1:36" hidden="1" x14ac:dyDescent="0.3">
      <c r="A27" s="15" t="s">
        <v>2181</v>
      </c>
      <c r="B27" s="14" t="s">
        <v>2151</v>
      </c>
      <c r="C27" s="5">
        <v>8.625</v>
      </c>
      <c r="D27" s="5" t="s">
        <v>0</v>
      </c>
      <c r="E27" s="5" t="s">
        <v>74</v>
      </c>
      <c r="F27" s="5">
        <v>15.000000000000002</v>
      </c>
      <c r="G27" s="5" t="s">
        <v>75</v>
      </c>
      <c r="H27" s="5" t="s">
        <v>2170</v>
      </c>
      <c r="I27" s="5">
        <v>36</v>
      </c>
      <c r="K27" s="5">
        <v>0</v>
      </c>
      <c r="Q27" s="5">
        <v>24</v>
      </c>
      <c r="R27" s="5">
        <v>12</v>
      </c>
      <c r="S27" s="5">
        <v>12</v>
      </c>
      <c r="T27" s="5">
        <v>3</v>
      </c>
      <c r="W27" s="5">
        <v>80</v>
      </c>
      <c r="Y27" s="5">
        <v>4</v>
      </c>
      <c r="Z27" s="5">
        <v>4</v>
      </c>
      <c r="AA27" s="5">
        <v>1</v>
      </c>
      <c r="AC27" s="5">
        <v>1</v>
      </c>
    </row>
    <row r="28" spans="1:36" hidden="1" x14ac:dyDescent="0.3">
      <c r="A28" s="15" t="s">
        <v>2182</v>
      </c>
      <c r="B28" s="14" t="s">
        <v>2151</v>
      </c>
      <c r="C28" s="5">
        <v>85.1</v>
      </c>
      <c r="D28" s="5" t="s">
        <v>2183</v>
      </c>
      <c r="E28" s="5" t="s">
        <v>74</v>
      </c>
      <c r="F28" s="5">
        <v>148</v>
      </c>
      <c r="K28" s="5">
        <v>0</v>
      </c>
    </row>
    <row r="29" spans="1:36" hidden="1" x14ac:dyDescent="0.3">
      <c r="A29" s="15" t="s">
        <v>153</v>
      </c>
      <c r="B29" s="14" t="s">
        <v>2151</v>
      </c>
      <c r="C29" s="5">
        <v>16.100000000000001</v>
      </c>
      <c r="D29" s="5" t="s">
        <v>0</v>
      </c>
      <c r="E29" s="5" t="s">
        <v>74</v>
      </c>
      <c r="F29" s="5">
        <v>28.000000000000004</v>
      </c>
      <c r="G29" s="5" t="s">
        <v>131</v>
      </c>
      <c r="H29" s="5" t="s">
        <v>2169</v>
      </c>
      <c r="K29" s="5">
        <v>79</v>
      </c>
      <c r="L29" s="5">
        <v>28</v>
      </c>
      <c r="P29" s="5">
        <v>24</v>
      </c>
      <c r="Q29" s="5">
        <v>48</v>
      </c>
      <c r="R29" s="5">
        <v>16</v>
      </c>
      <c r="S29" s="5">
        <v>24</v>
      </c>
      <c r="T29" s="5">
        <v>4</v>
      </c>
      <c r="W29" s="5">
        <v>80</v>
      </c>
      <c r="Y29" s="5">
        <v>4</v>
      </c>
      <c r="Z29" s="5">
        <v>4</v>
      </c>
      <c r="AA29" s="5">
        <v>1</v>
      </c>
      <c r="AC29" s="5">
        <v>1</v>
      </c>
    </row>
    <row r="30" spans="1:36" hidden="1" x14ac:dyDescent="0.3">
      <c r="A30" s="15" t="s">
        <v>2184</v>
      </c>
      <c r="B30" s="14" t="s">
        <v>2151</v>
      </c>
      <c r="C30" s="5">
        <v>6.9</v>
      </c>
      <c r="D30" s="5" t="s">
        <v>0</v>
      </c>
      <c r="E30" s="5" t="s">
        <v>74</v>
      </c>
      <c r="F30" s="5">
        <v>12.000000000000002</v>
      </c>
      <c r="G30" s="5" t="s">
        <v>137</v>
      </c>
      <c r="H30" s="5" t="s">
        <v>2169</v>
      </c>
      <c r="K30" s="5">
        <v>34</v>
      </c>
      <c r="L30" s="5">
        <v>12</v>
      </c>
      <c r="P30" s="5">
        <v>8</v>
      </c>
      <c r="Q30" s="5">
        <v>20</v>
      </c>
      <c r="R30" s="5">
        <v>8</v>
      </c>
      <c r="S30" s="5">
        <v>10</v>
      </c>
      <c r="T30" s="5">
        <v>2</v>
      </c>
      <c r="W30" s="5">
        <v>80</v>
      </c>
      <c r="Y30" s="5">
        <v>2</v>
      </c>
      <c r="Z30" s="5">
        <v>2</v>
      </c>
      <c r="AA30" s="5">
        <v>1</v>
      </c>
      <c r="AC30" s="5">
        <v>1</v>
      </c>
    </row>
    <row r="31" spans="1:36" hidden="1" x14ac:dyDescent="0.3">
      <c r="A31" s="15" t="s">
        <v>158</v>
      </c>
      <c r="B31" s="14" t="s">
        <v>2151</v>
      </c>
      <c r="C31" s="5">
        <v>8.0500000000000007</v>
      </c>
      <c r="D31" s="5" t="s">
        <v>0</v>
      </c>
      <c r="E31" s="5" t="s">
        <v>74</v>
      </c>
      <c r="F31" s="5">
        <v>14.000000000000002</v>
      </c>
      <c r="G31" s="5" t="s">
        <v>75</v>
      </c>
      <c r="H31" s="5" t="s">
        <v>2178</v>
      </c>
      <c r="J31" s="5">
        <v>40</v>
      </c>
      <c r="L31" s="5">
        <v>14</v>
      </c>
      <c r="P31" s="5">
        <v>12</v>
      </c>
      <c r="Q31" s="5">
        <v>24</v>
      </c>
      <c r="R31" s="5">
        <v>8</v>
      </c>
      <c r="S31" s="5">
        <v>12</v>
      </c>
      <c r="T31" s="5">
        <v>2</v>
      </c>
      <c r="W31" s="5">
        <v>80</v>
      </c>
      <c r="Y31" s="5">
        <v>2</v>
      </c>
      <c r="Z31" s="5">
        <v>2</v>
      </c>
      <c r="AA31" s="5">
        <v>1</v>
      </c>
      <c r="AC31" s="5">
        <v>1</v>
      </c>
    </row>
    <row r="32" spans="1:36" hidden="1" x14ac:dyDescent="0.3">
      <c r="A32" s="15" t="s">
        <v>163</v>
      </c>
      <c r="B32" s="14" t="s">
        <v>2151</v>
      </c>
      <c r="C32" s="5">
        <v>8.0500000000000007</v>
      </c>
      <c r="D32" s="5" t="s">
        <v>0</v>
      </c>
      <c r="E32" s="5" t="s">
        <v>74</v>
      </c>
      <c r="F32" s="5">
        <v>14.000000000000002</v>
      </c>
      <c r="G32" s="5" t="s">
        <v>75</v>
      </c>
      <c r="H32" s="5" t="s">
        <v>2178</v>
      </c>
      <c r="J32" s="5">
        <v>40</v>
      </c>
      <c r="L32" s="5">
        <v>14</v>
      </c>
      <c r="P32" s="5">
        <v>12</v>
      </c>
      <c r="Q32" s="5">
        <v>24</v>
      </c>
      <c r="R32" s="5">
        <v>8</v>
      </c>
      <c r="S32" s="5">
        <v>12</v>
      </c>
      <c r="T32" s="5">
        <v>2</v>
      </c>
      <c r="W32" s="5">
        <v>80</v>
      </c>
      <c r="Y32" s="5">
        <v>2</v>
      </c>
      <c r="Z32" s="5">
        <v>2</v>
      </c>
      <c r="AA32" s="5">
        <v>1</v>
      </c>
      <c r="AC32" s="5">
        <v>1</v>
      </c>
    </row>
    <row r="33" spans="1:29" hidden="1" x14ac:dyDescent="0.3">
      <c r="A33" s="15" t="s">
        <v>208</v>
      </c>
      <c r="B33" s="14" t="s">
        <v>2151</v>
      </c>
      <c r="C33" s="5">
        <v>9.7750000000000004</v>
      </c>
      <c r="D33" s="5" t="s">
        <v>0</v>
      </c>
      <c r="E33" s="5" t="s">
        <v>74</v>
      </c>
      <c r="F33" s="5">
        <v>17.000000000000004</v>
      </c>
      <c r="G33" s="5" t="s">
        <v>75</v>
      </c>
      <c r="H33" s="5" t="s">
        <v>2169</v>
      </c>
      <c r="K33" s="5">
        <v>48</v>
      </c>
      <c r="L33" s="5">
        <v>17</v>
      </c>
      <c r="P33" s="5">
        <v>8</v>
      </c>
      <c r="Q33" s="5">
        <v>20</v>
      </c>
      <c r="R33" s="5">
        <v>30</v>
      </c>
      <c r="S33" s="5">
        <v>9</v>
      </c>
      <c r="T33" s="5">
        <v>8</v>
      </c>
      <c r="W33" s="5">
        <v>80</v>
      </c>
      <c r="Y33" s="5">
        <v>2</v>
      </c>
      <c r="Z33" s="5">
        <v>2</v>
      </c>
      <c r="AA33" s="5">
        <v>1</v>
      </c>
      <c r="AC33" s="5">
        <v>1</v>
      </c>
    </row>
    <row r="34" spans="1:29" hidden="1" x14ac:dyDescent="0.3">
      <c r="A34" s="15" t="s">
        <v>2185</v>
      </c>
      <c r="B34" s="14" t="s">
        <v>2151</v>
      </c>
      <c r="C34" s="5">
        <v>12.65</v>
      </c>
      <c r="D34" s="5" t="s">
        <v>0</v>
      </c>
      <c r="E34" s="5" t="s">
        <v>74</v>
      </c>
      <c r="F34" s="5">
        <v>22.000000000000004</v>
      </c>
      <c r="G34" s="5" t="s">
        <v>83</v>
      </c>
      <c r="H34" s="5" t="s">
        <v>2169</v>
      </c>
      <c r="K34" s="5">
        <v>62</v>
      </c>
      <c r="L34" s="5">
        <v>22</v>
      </c>
      <c r="P34" s="5">
        <v>14</v>
      </c>
      <c r="Q34" s="5">
        <v>34</v>
      </c>
      <c r="R34" s="5">
        <v>20</v>
      </c>
      <c r="S34" s="5">
        <v>17</v>
      </c>
      <c r="T34" s="5">
        <v>5</v>
      </c>
      <c r="W34" s="5">
        <v>80</v>
      </c>
      <c r="Y34" s="5">
        <v>2</v>
      </c>
      <c r="Z34" s="5">
        <v>2</v>
      </c>
      <c r="AA34" s="5">
        <v>1</v>
      </c>
      <c r="AC34" s="5">
        <v>1</v>
      </c>
    </row>
    <row r="35" spans="1:29" hidden="1" x14ac:dyDescent="0.3">
      <c r="A35" s="15" t="s">
        <v>142</v>
      </c>
      <c r="B35" s="14" t="s">
        <v>2151</v>
      </c>
      <c r="C35" s="5">
        <v>12.65</v>
      </c>
      <c r="D35" s="5" t="s">
        <v>0</v>
      </c>
      <c r="E35" s="5" t="s">
        <v>74</v>
      </c>
      <c r="F35" s="5">
        <v>22.000000000000004</v>
      </c>
      <c r="G35" s="5" t="s">
        <v>143</v>
      </c>
      <c r="H35" s="5" t="s">
        <v>2169</v>
      </c>
      <c r="K35" s="5">
        <v>62</v>
      </c>
      <c r="L35" s="5">
        <v>22</v>
      </c>
      <c r="P35" s="5">
        <v>16</v>
      </c>
      <c r="Q35" s="5">
        <v>38</v>
      </c>
      <c r="R35" s="5">
        <v>12</v>
      </c>
      <c r="S35" s="5">
        <v>19</v>
      </c>
      <c r="T35" s="5">
        <v>3</v>
      </c>
      <c r="W35" s="5">
        <v>80</v>
      </c>
      <c r="Y35" s="5">
        <v>2</v>
      </c>
      <c r="Z35" s="5">
        <v>2</v>
      </c>
      <c r="AA35" s="5">
        <v>1</v>
      </c>
      <c r="AC35" s="5">
        <v>1</v>
      </c>
    </row>
    <row r="36" spans="1:29" hidden="1" x14ac:dyDescent="0.3">
      <c r="A36" s="15" t="s">
        <v>2186</v>
      </c>
      <c r="B36" s="14" t="s">
        <v>2151</v>
      </c>
      <c r="C36" s="5">
        <v>13.8</v>
      </c>
      <c r="D36" s="5" t="s">
        <v>0</v>
      </c>
      <c r="E36" s="5" t="s">
        <v>74</v>
      </c>
      <c r="F36" s="5">
        <v>24.000000000000004</v>
      </c>
      <c r="G36" s="5" t="s">
        <v>131</v>
      </c>
      <c r="H36" s="5" t="s">
        <v>2169</v>
      </c>
      <c r="K36" s="5">
        <v>68</v>
      </c>
      <c r="L36" s="5">
        <v>24</v>
      </c>
      <c r="P36" s="5">
        <v>12</v>
      </c>
      <c r="Q36" s="5">
        <v>32</v>
      </c>
      <c r="R36" s="5">
        <v>24</v>
      </c>
      <c r="S36" s="5">
        <v>16</v>
      </c>
      <c r="T36" s="5">
        <v>8</v>
      </c>
      <c r="W36" s="5">
        <v>80</v>
      </c>
      <c r="Y36" s="5">
        <v>2</v>
      </c>
      <c r="Z36" s="5">
        <v>2</v>
      </c>
      <c r="AA36" s="5">
        <v>1</v>
      </c>
      <c r="AC36" s="5">
        <v>1</v>
      </c>
    </row>
    <row r="37" spans="1:29" hidden="1" x14ac:dyDescent="0.3">
      <c r="A37" s="15" t="s">
        <v>249</v>
      </c>
      <c r="B37" s="14" t="s">
        <v>2151</v>
      </c>
      <c r="C37" s="5">
        <v>12.074999999999999</v>
      </c>
      <c r="D37" s="5" t="s">
        <v>0</v>
      </c>
      <c r="E37" s="5" t="s">
        <v>74</v>
      </c>
      <c r="F37" s="5">
        <v>21</v>
      </c>
      <c r="G37" s="5" t="s">
        <v>83</v>
      </c>
      <c r="H37" s="5" t="s">
        <v>2169</v>
      </c>
      <c r="K37" s="5">
        <v>59</v>
      </c>
      <c r="L37" s="5">
        <v>21</v>
      </c>
      <c r="P37" s="5">
        <v>10</v>
      </c>
      <c r="Q37" s="5">
        <v>30</v>
      </c>
      <c r="R37" s="5">
        <v>28</v>
      </c>
      <c r="S37" s="5">
        <v>14</v>
      </c>
      <c r="T37" s="5">
        <v>8</v>
      </c>
      <c r="W37" s="5">
        <v>80</v>
      </c>
      <c r="Y37" s="5">
        <v>2</v>
      </c>
      <c r="Z37" s="5">
        <v>2</v>
      </c>
      <c r="AA37" s="5">
        <v>1</v>
      </c>
      <c r="AC37" s="5">
        <v>1</v>
      </c>
    </row>
    <row r="38" spans="1:29" hidden="1" x14ac:dyDescent="0.3">
      <c r="A38" s="15" t="s">
        <v>2187</v>
      </c>
      <c r="B38" s="14" t="s">
        <v>2151</v>
      </c>
      <c r="C38" s="5">
        <v>11.5</v>
      </c>
      <c r="D38" s="5" t="s">
        <v>0</v>
      </c>
      <c r="E38" s="5" t="s">
        <v>74</v>
      </c>
      <c r="F38" s="5">
        <v>20</v>
      </c>
      <c r="G38" s="5" t="s">
        <v>221</v>
      </c>
      <c r="H38" s="5" t="s">
        <v>2178</v>
      </c>
      <c r="J38" s="5">
        <v>56</v>
      </c>
      <c r="L38" s="5">
        <v>20</v>
      </c>
      <c r="P38" s="5">
        <v>14</v>
      </c>
      <c r="Q38" s="5">
        <v>28</v>
      </c>
      <c r="R38" s="5">
        <v>28</v>
      </c>
      <c r="S38" s="5">
        <v>14</v>
      </c>
      <c r="T38" s="5">
        <v>7</v>
      </c>
      <c r="W38" s="5">
        <v>80</v>
      </c>
      <c r="Y38" s="5">
        <v>2</v>
      </c>
      <c r="Z38" s="5">
        <v>2</v>
      </c>
      <c r="AC38" s="5">
        <v>1</v>
      </c>
    </row>
    <row r="39" spans="1:29" hidden="1" x14ac:dyDescent="0.3">
      <c r="A39" s="15" t="s">
        <v>358</v>
      </c>
      <c r="B39" s="14" t="s">
        <v>2151</v>
      </c>
      <c r="C39" s="5">
        <v>5.75</v>
      </c>
      <c r="D39" s="5" t="s">
        <v>0</v>
      </c>
      <c r="E39" s="5" t="s">
        <v>74</v>
      </c>
      <c r="F39" s="5">
        <v>10</v>
      </c>
      <c r="G39" s="5" t="s">
        <v>309</v>
      </c>
      <c r="H39" s="5" t="s">
        <v>2169</v>
      </c>
      <c r="K39" s="5">
        <v>28</v>
      </c>
      <c r="L39" s="5">
        <v>10</v>
      </c>
      <c r="P39" s="5">
        <v>4</v>
      </c>
      <c r="Q39" s="5">
        <v>12</v>
      </c>
      <c r="R39" s="5">
        <v>16</v>
      </c>
      <c r="S39" s="5">
        <v>6</v>
      </c>
      <c r="T39" s="5">
        <v>4</v>
      </c>
      <c r="W39" s="5">
        <v>80</v>
      </c>
      <c r="Y39" s="5">
        <v>2</v>
      </c>
      <c r="Z39" s="5">
        <v>2</v>
      </c>
      <c r="AA39" s="5">
        <v>1</v>
      </c>
      <c r="AC39" s="5">
        <v>1</v>
      </c>
    </row>
    <row r="40" spans="1:29" hidden="1" x14ac:dyDescent="0.3">
      <c r="A40" s="15" t="s">
        <v>2188</v>
      </c>
      <c r="B40" s="14" t="s">
        <v>2151</v>
      </c>
      <c r="C40" s="5">
        <v>13.8</v>
      </c>
      <c r="D40" s="5" t="s">
        <v>0</v>
      </c>
      <c r="E40" s="5" t="s">
        <v>74</v>
      </c>
      <c r="F40" s="5">
        <v>24.000000000000004</v>
      </c>
      <c r="G40" s="5" t="s">
        <v>131</v>
      </c>
      <c r="H40" s="5" t="s">
        <v>2169</v>
      </c>
      <c r="K40" s="5">
        <v>68</v>
      </c>
      <c r="L40" s="5">
        <v>24</v>
      </c>
      <c r="P40" s="5">
        <v>18</v>
      </c>
      <c r="Q40" s="5">
        <v>36</v>
      </c>
      <c r="R40" s="5">
        <v>24</v>
      </c>
      <c r="S40" s="5">
        <v>18</v>
      </c>
      <c r="T40" s="5">
        <v>6</v>
      </c>
      <c r="W40" s="5">
        <v>80</v>
      </c>
      <c r="Y40" s="5">
        <v>2</v>
      </c>
      <c r="Z40" s="5">
        <v>2</v>
      </c>
      <c r="AC40" s="5">
        <v>1</v>
      </c>
    </row>
    <row r="41" spans="1:29" x14ac:dyDescent="0.3">
      <c r="A41" s="15" t="s">
        <v>196</v>
      </c>
      <c r="B41" s="14" t="s">
        <v>2151</v>
      </c>
      <c r="C41" s="5">
        <v>23</v>
      </c>
      <c r="D41" s="5" t="s">
        <v>1</v>
      </c>
      <c r="E41" s="5" t="s">
        <v>74</v>
      </c>
      <c r="F41" s="5">
        <v>40</v>
      </c>
      <c r="G41" s="5" t="s">
        <v>2189</v>
      </c>
      <c r="H41" s="5" t="s">
        <v>2178</v>
      </c>
      <c r="J41" s="5">
        <v>112</v>
      </c>
      <c r="L41" s="5">
        <v>40</v>
      </c>
      <c r="P41" s="5">
        <v>36</v>
      </c>
      <c r="Q41" s="5">
        <v>74</v>
      </c>
      <c r="R41" s="5">
        <v>12</v>
      </c>
      <c r="S41" s="5">
        <v>37</v>
      </c>
      <c r="T41" s="5">
        <v>3</v>
      </c>
      <c r="W41" s="5">
        <v>80</v>
      </c>
      <c r="Y41" s="5">
        <v>2</v>
      </c>
      <c r="Z41" s="5">
        <v>2</v>
      </c>
      <c r="AA41" s="5">
        <v>1</v>
      </c>
      <c r="AC41" s="5">
        <v>1</v>
      </c>
    </row>
    <row r="42" spans="1:29" hidden="1" x14ac:dyDescent="0.3">
      <c r="A42" s="15" t="s">
        <v>2190</v>
      </c>
      <c r="B42" s="14" t="s">
        <v>2151</v>
      </c>
      <c r="C42" s="5">
        <v>14.625</v>
      </c>
      <c r="D42" s="5" t="s">
        <v>0</v>
      </c>
      <c r="E42" s="5" t="s">
        <v>237</v>
      </c>
      <c r="F42" s="5">
        <v>25</v>
      </c>
      <c r="G42" s="5" t="s">
        <v>131</v>
      </c>
      <c r="H42" s="5" t="s">
        <v>2169</v>
      </c>
      <c r="K42" s="5">
        <v>70</v>
      </c>
      <c r="L42" s="5">
        <v>25</v>
      </c>
      <c r="P42" s="5">
        <v>18</v>
      </c>
      <c r="Q42" s="5">
        <v>36</v>
      </c>
      <c r="R42" s="5">
        <v>28</v>
      </c>
      <c r="S42" s="5">
        <v>18</v>
      </c>
      <c r="T42" s="5">
        <v>7</v>
      </c>
      <c r="W42" s="5">
        <v>80</v>
      </c>
      <c r="Y42" s="5">
        <v>2</v>
      </c>
      <c r="Z42" s="5">
        <v>2</v>
      </c>
      <c r="AA42" s="5">
        <v>1</v>
      </c>
      <c r="AC42" s="5">
        <v>1</v>
      </c>
    </row>
    <row r="43" spans="1:29" hidden="1" x14ac:dyDescent="0.3">
      <c r="A43" s="15" t="s">
        <v>259</v>
      </c>
      <c r="B43" s="14" t="s">
        <v>2151</v>
      </c>
      <c r="C43" s="5">
        <v>11.7</v>
      </c>
      <c r="D43" s="5" t="s">
        <v>0</v>
      </c>
      <c r="E43" s="5" t="s">
        <v>237</v>
      </c>
      <c r="F43" s="5">
        <v>20</v>
      </c>
      <c r="G43" s="5" t="s">
        <v>83</v>
      </c>
      <c r="H43" s="5" t="s">
        <v>2169</v>
      </c>
      <c r="K43" s="5">
        <v>56</v>
      </c>
      <c r="L43" s="5">
        <v>20</v>
      </c>
      <c r="P43" s="5">
        <v>16</v>
      </c>
      <c r="Q43" s="5">
        <v>32</v>
      </c>
      <c r="R43" s="5">
        <v>16</v>
      </c>
      <c r="S43" s="5">
        <v>16</v>
      </c>
      <c r="T43" s="5">
        <v>4</v>
      </c>
      <c r="W43" s="5">
        <v>80</v>
      </c>
      <c r="Y43" s="5">
        <v>2</v>
      </c>
      <c r="Z43" s="5">
        <v>2</v>
      </c>
      <c r="AA43" s="5">
        <v>1</v>
      </c>
      <c r="AC43" s="5">
        <v>1</v>
      </c>
    </row>
    <row r="44" spans="1:29" hidden="1" x14ac:dyDescent="0.3">
      <c r="A44" s="15" t="s">
        <v>275</v>
      </c>
      <c r="B44" s="14" t="s">
        <v>2151</v>
      </c>
      <c r="C44" s="5">
        <v>11.7</v>
      </c>
      <c r="D44" s="5" t="s">
        <v>0</v>
      </c>
      <c r="E44" s="5" t="s">
        <v>237</v>
      </c>
      <c r="F44" s="5">
        <v>20</v>
      </c>
      <c r="G44" s="5" t="s">
        <v>111</v>
      </c>
      <c r="H44" s="5" t="s">
        <v>2169</v>
      </c>
      <c r="K44" s="5">
        <v>56</v>
      </c>
      <c r="L44" s="5">
        <v>20</v>
      </c>
      <c r="P44" s="5">
        <v>10</v>
      </c>
      <c r="Q44" s="5">
        <v>30</v>
      </c>
      <c r="R44" s="5">
        <v>20</v>
      </c>
      <c r="S44" s="5">
        <v>15</v>
      </c>
      <c r="T44" s="5">
        <v>5</v>
      </c>
      <c r="W44" s="5">
        <v>80</v>
      </c>
      <c r="Y44" s="5">
        <v>2</v>
      </c>
      <c r="Z44" s="5">
        <v>2</v>
      </c>
      <c r="AA44" s="5">
        <v>1</v>
      </c>
      <c r="AC44" s="5">
        <v>1</v>
      </c>
    </row>
    <row r="45" spans="1:29" hidden="1" x14ac:dyDescent="0.3">
      <c r="A45" s="15" t="s">
        <v>280</v>
      </c>
      <c r="B45" s="14" t="s">
        <v>2151</v>
      </c>
      <c r="C45" s="5">
        <v>11.7</v>
      </c>
      <c r="D45" s="5" t="s">
        <v>0</v>
      </c>
      <c r="E45" s="5" t="s">
        <v>237</v>
      </c>
      <c r="F45" s="5">
        <v>20</v>
      </c>
      <c r="G45" s="5" t="s">
        <v>111</v>
      </c>
      <c r="H45" s="5" t="s">
        <v>2169</v>
      </c>
      <c r="K45" s="5">
        <v>56</v>
      </c>
      <c r="L45" s="5">
        <v>20</v>
      </c>
      <c r="P45" s="5">
        <v>14</v>
      </c>
      <c r="Q45" s="5">
        <v>30</v>
      </c>
      <c r="R45" s="5">
        <v>20</v>
      </c>
      <c r="S45" s="5">
        <v>15</v>
      </c>
      <c r="T45" s="5">
        <v>5</v>
      </c>
      <c r="W45" s="5">
        <v>80</v>
      </c>
      <c r="Y45" s="5">
        <v>2</v>
      </c>
      <c r="Z45" s="5">
        <v>2</v>
      </c>
      <c r="AA45" s="5">
        <v>1</v>
      </c>
      <c r="AC45" s="5">
        <v>1</v>
      </c>
    </row>
    <row r="46" spans="1:29" hidden="1" x14ac:dyDescent="0.3">
      <c r="A46" s="15" t="s">
        <v>285</v>
      </c>
      <c r="B46" s="14" t="s">
        <v>2151</v>
      </c>
      <c r="C46" s="5">
        <v>7.02</v>
      </c>
      <c r="D46" s="5" t="s">
        <v>0</v>
      </c>
      <c r="E46" s="5" t="s">
        <v>237</v>
      </c>
      <c r="F46" s="5">
        <v>12</v>
      </c>
      <c r="G46" s="5" t="s">
        <v>286</v>
      </c>
      <c r="H46" s="5" t="s">
        <v>2169</v>
      </c>
      <c r="K46" s="5">
        <v>34</v>
      </c>
      <c r="L46" s="5">
        <v>12</v>
      </c>
      <c r="P46" s="5">
        <v>4</v>
      </c>
      <c r="Q46" s="5">
        <v>16</v>
      </c>
      <c r="R46" s="5">
        <v>16</v>
      </c>
      <c r="S46" s="5">
        <v>8</v>
      </c>
      <c r="T46" s="5">
        <v>4</v>
      </c>
      <c r="W46" s="5">
        <v>80</v>
      </c>
      <c r="Y46" s="5">
        <v>2</v>
      </c>
      <c r="Z46" s="5">
        <v>2</v>
      </c>
      <c r="AA46" s="5">
        <v>1</v>
      </c>
      <c r="AC46" s="5">
        <v>1</v>
      </c>
    </row>
    <row r="47" spans="1:29" hidden="1" x14ac:dyDescent="0.3">
      <c r="A47" s="15" t="s">
        <v>291</v>
      </c>
      <c r="B47" s="14" t="s">
        <v>2151</v>
      </c>
      <c r="C47" s="5">
        <v>17.55</v>
      </c>
      <c r="D47" s="5" t="s">
        <v>0</v>
      </c>
      <c r="E47" s="5" t="s">
        <v>237</v>
      </c>
      <c r="F47" s="5">
        <v>30.000000000000004</v>
      </c>
      <c r="G47" s="5" t="s">
        <v>143</v>
      </c>
      <c r="H47" s="5" t="s">
        <v>2169</v>
      </c>
      <c r="K47" s="5">
        <v>78</v>
      </c>
      <c r="L47" s="5">
        <v>30</v>
      </c>
      <c r="P47" s="5">
        <v>20</v>
      </c>
      <c r="Q47" s="5">
        <v>42</v>
      </c>
      <c r="R47" s="5">
        <v>36</v>
      </c>
      <c r="S47" s="5">
        <v>22</v>
      </c>
      <c r="T47" s="5">
        <v>11</v>
      </c>
      <c r="W47" s="5">
        <v>80</v>
      </c>
      <c r="Y47" s="5">
        <v>2</v>
      </c>
      <c r="Z47" s="5">
        <v>2</v>
      </c>
      <c r="AA47" s="5">
        <v>1</v>
      </c>
      <c r="AC47" s="5">
        <v>1</v>
      </c>
    </row>
    <row r="48" spans="1:29" hidden="1" x14ac:dyDescent="0.3">
      <c r="A48" s="15" t="s">
        <v>296</v>
      </c>
      <c r="B48" s="14" t="s">
        <v>2151</v>
      </c>
      <c r="C48" s="5">
        <v>10.53</v>
      </c>
      <c r="D48" s="5" t="s">
        <v>0</v>
      </c>
      <c r="E48" s="5" t="s">
        <v>237</v>
      </c>
      <c r="F48" s="5">
        <v>18</v>
      </c>
      <c r="G48" s="5" t="s">
        <v>75</v>
      </c>
      <c r="H48" s="5" t="s">
        <v>2169</v>
      </c>
      <c r="K48" s="5">
        <v>47</v>
      </c>
      <c r="L48" s="5">
        <v>18</v>
      </c>
      <c r="P48" s="5">
        <v>10</v>
      </c>
      <c r="Q48" s="5">
        <v>26</v>
      </c>
      <c r="R48" s="5">
        <v>20</v>
      </c>
      <c r="S48" s="5">
        <v>13</v>
      </c>
      <c r="T48" s="5">
        <v>5</v>
      </c>
      <c r="W48" s="5">
        <v>80</v>
      </c>
      <c r="Y48" s="5">
        <v>2</v>
      </c>
      <c r="Z48" s="5">
        <v>2</v>
      </c>
      <c r="AA48" s="5">
        <v>1</v>
      </c>
      <c r="AC48" s="5">
        <v>1</v>
      </c>
    </row>
    <row r="49" spans="1:36" hidden="1" x14ac:dyDescent="0.3">
      <c r="A49" s="15" t="s">
        <v>2191</v>
      </c>
      <c r="B49" s="14" t="s">
        <v>2151</v>
      </c>
      <c r="C49" s="5">
        <v>4.68</v>
      </c>
      <c r="D49" s="5" t="s">
        <v>0</v>
      </c>
      <c r="E49" s="5" t="s">
        <v>237</v>
      </c>
      <c r="F49" s="5">
        <v>8</v>
      </c>
      <c r="G49" s="5" t="s">
        <v>302</v>
      </c>
      <c r="H49" s="5" t="s">
        <v>2169</v>
      </c>
      <c r="K49" s="5">
        <v>23</v>
      </c>
      <c r="L49" s="5">
        <v>8</v>
      </c>
      <c r="P49" s="5">
        <v>2</v>
      </c>
      <c r="Q49" s="5">
        <v>2</v>
      </c>
      <c r="R49" s="5">
        <v>13</v>
      </c>
      <c r="S49" s="5">
        <v>2</v>
      </c>
      <c r="T49" s="5">
        <v>8</v>
      </c>
      <c r="W49" s="5">
        <v>80</v>
      </c>
      <c r="Y49" s="5">
        <v>2</v>
      </c>
      <c r="Z49" s="5">
        <v>2</v>
      </c>
      <c r="AA49" s="5">
        <v>1</v>
      </c>
      <c r="AC49" s="5">
        <v>1</v>
      </c>
    </row>
    <row r="50" spans="1:36" hidden="1" x14ac:dyDescent="0.3">
      <c r="A50" s="15" t="s">
        <v>2192</v>
      </c>
      <c r="B50" s="14" t="s">
        <v>2151</v>
      </c>
      <c r="C50" s="5">
        <v>7.02</v>
      </c>
      <c r="D50" s="5" t="s">
        <v>0</v>
      </c>
      <c r="E50" s="5" t="s">
        <v>237</v>
      </c>
      <c r="F50" s="5">
        <v>12</v>
      </c>
      <c r="G50" s="5" t="s">
        <v>309</v>
      </c>
      <c r="H50" s="5" t="s">
        <v>2169</v>
      </c>
      <c r="K50" s="5">
        <v>34</v>
      </c>
      <c r="L50" s="5">
        <v>12</v>
      </c>
      <c r="P50" s="5">
        <v>6</v>
      </c>
      <c r="Q50" s="5">
        <v>18</v>
      </c>
      <c r="R50" s="5">
        <v>12</v>
      </c>
      <c r="S50" s="5">
        <v>9</v>
      </c>
      <c r="T50" s="5">
        <v>3</v>
      </c>
      <c r="W50" s="5">
        <v>80</v>
      </c>
      <c r="Y50" s="5">
        <v>2</v>
      </c>
      <c r="Z50" s="5">
        <v>2</v>
      </c>
      <c r="AA50" s="5">
        <v>1</v>
      </c>
      <c r="AC50" s="5">
        <v>1</v>
      </c>
    </row>
    <row r="51" spans="1:36" hidden="1" x14ac:dyDescent="0.3">
      <c r="A51" s="15" t="s">
        <v>314</v>
      </c>
      <c r="B51" s="14" t="s">
        <v>2151</v>
      </c>
      <c r="C51" s="5">
        <v>7.02</v>
      </c>
      <c r="D51" s="5" t="s">
        <v>0</v>
      </c>
      <c r="E51" s="5" t="s">
        <v>237</v>
      </c>
      <c r="F51" s="5">
        <v>12</v>
      </c>
      <c r="G51" s="5" t="s">
        <v>309</v>
      </c>
      <c r="H51" s="5" t="s">
        <v>2169</v>
      </c>
      <c r="K51" s="5">
        <v>34</v>
      </c>
      <c r="L51" s="5">
        <v>12</v>
      </c>
      <c r="P51" s="5">
        <v>6</v>
      </c>
      <c r="Q51" s="5">
        <v>18</v>
      </c>
      <c r="R51" s="5">
        <v>12</v>
      </c>
      <c r="S51" s="5">
        <v>9</v>
      </c>
      <c r="T51" s="5">
        <v>3</v>
      </c>
      <c r="W51" s="5">
        <v>80</v>
      </c>
      <c r="Y51" s="5">
        <v>2</v>
      </c>
      <c r="Z51" s="5">
        <v>2</v>
      </c>
      <c r="AA51" s="5">
        <v>1</v>
      </c>
      <c r="AC51" s="5">
        <v>1</v>
      </c>
    </row>
    <row r="52" spans="1:36" hidden="1" x14ac:dyDescent="0.3">
      <c r="A52" s="15" t="s">
        <v>319</v>
      </c>
      <c r="B52" s="14" t="s">
        <v>2151</v>
      </c>
      <c r="C52" s="5">
        <v>16.38</v>
      </c>
      <c r="D52" s="5" t="s">
        <v>0</v>
      </c>
      <c r="E52" s="5" t="s">
        <v>237</v>
      </c>
      <c r="F52" s="5">
        <v>28</v>
      </c>
      <c r="G52" s="5" t="s">
        <v>131</v>
      </c>
      <c r="H52" s="5" t="s">
        <v>2169</v>
      </c>
      <c r="K52" s="5">
        <v>79</v>
      </c>
      <c r="L52" s="5">
        <v>28</v>
      </c>
      <c r="P52" s="5">
        <v>24</v>
      </c>
      <c r="Q52" s="5">
        <v>48</v>
      </c>
      <c r="R52" s="5">
        <v>16</v>
      </c>
      <c r="S52" s="5">
        <v>24</v>
      </c>
      <c r="T52" s="5">
        <v>4</v>
      </c>
      <c r="W52" s="5">
        <v>80</v>
      </c>
      <c r="Y52" s="5">
        <v>2</v>
      </c>
      <c r="Z52" s="5">
        <v>2</v>
      </c>
      <c r="AA52" s="5">
        <v>1</v>
      </c>
      <c r="AC52" s="5">
        <v>1</v>
      </c>
    </row>
    <row r="53" spans="1:36" hidden="1" x14ac:dyDescent="0.3">
      <c r="A53" s="15" t="s">
        <v>325</v>
      </c>
      <c r="B53" s="14" t="s">
        <v>2151</v>
      </c>
      <c r="C53" s="5">
        <v>7.02</v>
      </c>
      <c r="D53" s="5" t="s">
        <v>0</v>
      </c>
      <c r="E53" s="5" t="s">
        <v>237</v>
      </c>
      <c r="F53" s="5">
        <v>12</v>
      </c>
      <c r="G53" s="5" t="s">
        <v>286</v>
      </c>
      <c r="H53" s="5" t="s">
        <v>2169</v>
      </c>
      <c r="K53" s="5">
        <v>34</v>
      </c>
      <c r="L53" s="5">
        <v>12</v>
      </c>
      <c r="P53" s="5">
        <v>6</v>
      </c>
      <c r="Q53" s="5">
        <v>18</v>
      </c>
      <c r="R53" s="5">
        <v>12</v>
      </c>
      <c r="S53" s="5">
        <v>9</v>
      </c>
      <c r="T53" s="5">
        <v>3</v>
      </c>
      <c r="W53" s="5">
        <v>80</v>
      </c>
      <c r="Y53" s="5">
        <v>2</v>
      </c>
      <c r="Z53" s="5">
        <v>2</v>
      </c>
      <c r="AA53" s="5">
        <v>1</v>
      </c>
      <c r="AC53" s="5">
        <v>1</v>
      </c>
    </row>
    <row r="54" spans="1:36" x14ac:dyDescent="0.3">
      <c r="A54" s="15" t="s">
        <v>343</v>
      </c>
      <c r="B54" s="14" t="s">
        <v>2151</v>
      </c>
      <c r="C54" s="5">
        <v>290.375</v>
      </c>
      <c r="D54" s="5" t="s">
        <v>1</v>
      </c>
      <c r="E54" s="5" t="s">
        <v>344</v>
      </c>
      <c r="F54" s="5">
        <v>505.00000000000006</v>
      </c>
      <c r="G54" s="5" t="s">
        <v>345</v>
      </c>
      <c r="H54" s="5" t="s">
        <v>2178</v>
      </c>
      <c r="J54" s="5">
        <v>1140</v>
      </c>
      <c r="L54" s="5">
        <v>0</v>
      </c>
      <c r="P54" s="5">
        <v>210</v>
      </c>
      <c r="Q54" s="5">
        <v>980</v>
      </c>
      <c r="R54" s="5">
        <v>110</v>
      </c>
      <c r="S54" s="5">
        <v>525</v>
      </c>
      <c r="T54" s="5">
        <v>35</v>
      </c>
      <c r="W54" s="5">
        <v>5000</v>
      </c>
      <c r="Y54" s="5">
        <v>30</v>
      </c>
      <c r="Z54" s="5">
        <v>30</v>
      </c>
      <c r="AD54" s="5">
        <v>1</v>
      </c>
      <c r="AE54" s="5" t="s">
        <v>2193</v>
      </c>
    </row>
    <row r="55" spans="1:36" x14ac:dyDescent="0.3">
      <c r="A55" s="15" t="s">
        <v>340</v>
      </c>
      <c r="B55" s="14" t="s">
        <v>2151</v>
      </c>
      <c r="C55" s="5">
        <v>26.91</v>
      </c>
      <c r="D55" s="5" t="s">
        <v>1</v>
      </c>
      <c r="E55" s="5" t="s">
        <v>237</v>
      </c>
      <c r="F55" s="5">
        <v>46</v>
      </c>
      <c r="G55" s="5" t="s">
        <v>341</v>
      </c>
      <c r="H55" s="5" t="s">
        <v>2178</v>
      </c>
      <c r="J55" s="5">
        <v>126</v>
      </c>
      <c r="L55" s="5">
        <v>2</v>
      </c>
      <c r="P55" s="5">
        <v>0</v>
      </c>
      <c r="Q55" s="5">
        <v>72</v>
      </c>
      <c r="R55" s="5">
        <v>52</v>
      </c>
      <c r="S55" s="5">
        <v>50</v>
      </c>
      <c r="T55" s="5">
        <v>16</v>
      </c>
      <c r="W55" s="5">
        <v>295</v>
      </c>
      <c r="Y55" s="5">
        <v>4</v>
      </c>
      <c r="Z55" s="5">
        <v>4</v>
      </c>
      <c r="AE55" s="5" t="s">
        <v>2193</v>
      </c>
    </row>
    <row r="56" spans="1:36" x14ac:dyDescent="0.3">
      <c r="A56" s="15" t="s">
        <v>350</v>
      </c>
      <c r="B56" s="14" t="s">
        <v>2151</v>
      </c>
      <c r="C56" s="5">
        <v>43.29</v>
      </c>
      <c r="D56" s="5" t="s">
        <v>1</v>
      </c>
      <c r="E56" s="5" t="s">
        <v>237</v>
      </c>
      <c r="F56" s="5">
        <v>74</v>
      </c>
      <c r="G56" s="5" t="s">
        <v>351</v>
      </c>
      <c r="H56" s="5" t="s">
        <v>2178</v>
      </c>
      <c r="J56" s="5">
        <v>174</v>
      </c>
      <c r="L56" s="5">
        <v>4</v>
      </c>
      <c r="P56" s="5">
        <v>22</v>
      </c>
      <c r="Q56" s="5">
        <v>136</v>
      </c>
      <c r="R56" s="5">
        <v>35</v>
      </c>
      <c r="S56" s="5">
        <v>84</v>
      </c>
      <c r="T56" s="5">
        <v>12</v>
      </c>
      <c r="W56" s="5">
        <v>1000</v>
      </c>
      <c r="Y56" s="5">
        <v>4</v>
      </c>
      <c r="Z56" s="5">
        <v>4</v>
      </c>
      <c r="AE56" s="5" t="s">
        <v>2193</v>
      </c>
    </row>
    <row r="57" spans="1:36" ht="57.6" hidden="1" x14ac:dyDescent="0.3">
      <c r="A57" s="15" t="s">
        <v>347</v>
      </c>
      <c r="B57" s="14" t="s">
        <v>2151</v>
      </c>
      <c r="C57" s="5">
        <v>46.8</v>
      </c>
      <c r="D57" s="5" t="s">
        <v>2194</v>
      </c>
      <c r="E57" s="5" t="s">
        <v>237</v>
      </c>
      <c r="F57" s="5">
        <v>80</v>
      </c>
      <c r="G57" s="5" t="s">
        <v>348</v>
      </c>
      <c r="H57" s="5" t="s">
        <v>2178</v>
      </c>
      <c r="J57" s="5">
        <v>200</v>
      </c>
      <c r="L57" s="5">
        <v>0</v>
      </c>
      <c r="P57" s="5">
        <v>35</v>
      </c>
      <c r="Q57" s="5">
        <v>134</v>
      </c>
      <c r="R57" s="5">
        <v>70</v>
      </c>
      <c r="S57" s="5">
        <v>102</v>
      </c>
      <c r="T57" s="5">
        <v>22</v>
      </c>
      <c r="W57" s="5">
        <v>1100</v>
      </c>
      <c r="Y57" s="5">
        <v>6</v>
      </c>
      <c r="Z57" s="5">
        <v>6</v>
      </c>
      <c r="AD57" s="5">
        <v>1</v>
      </c>
      <c r="AE57" s="5" t="s">
        <v>2193</v>
      </c>
      <c r="AG57" s="17" t="s">
        <v>2195</v>
      </c>
      <c r="AH57" s="18" t="s">
        <v>2196</v>
      </c>
      <c r="AI57" s="18" t="s">
        <v>2197</v>
      </c>
      <c r="AJ57" s="19" t="s">
        <v>2198</v>
      </c>
    </row>
    <row r="58" spans="1:36" hidden="1" x14ac:dyDescent="0.3">
      <c r="A58" s="15" t="s">
        <v>353</v>
      </c>
      <c r="B58" s="14" t="s">
        <v>2151</v>
      </c>
      <c r="C58" s="5">
        <v>7.6050000000000004</v>
      </c>
      <c r="D58" s="5" t="s">
        <v>0</v>
      </c>
      <c r="E58" s="5" t="s">
        <v>237</v>
      </c>
      <c r="F58" s="5">
        <v>13.000000000000002</v>
      </c>
      <c r="G58" s="5" t="s">
        <v>244</v>
      </c>
      <c r="H58" s="5" t="s">
        <v>2169</v>
      </c>
      <c r="K58" s="5">
        <v>34</v>
      </c>
      <c r="L58" s="5">
        <v>13</v>
      </c>
      <c r="P58" s="5">
        <v>4</v>
      </c>
      <c r="Q58" s="5">
        <v>16</v>
      </c>
      <c r="R58" s="5">
        <v>20</v>
      </c>
      <c r="S58" s="5">
        <v>8</v>
      </c>
      <c r="T58" s="5">
        <v>5</v>
      </c>
      <c r="W58" s="5">
        <v>80</v>
      </c>
      <c r="Y58" s="5">
        <v>2</v>
      </c>
      <c r="Z58" s="5">
        <v>2</v>
      </c>
      <c r="AA58" s="5">
        <v>1</v>
      </c>
      <c r="AC58" s="5">
        <v>1</v>
      </c>
    </row>
    <row r="59" spans="1:36" hidden="1" x14ac:dyDescent="0.3">
      <c r="A59" s="15" t="s">
        <v>264</v>
      </c>
      <c r="B59" s="14" t="s">
        <v>2151</v>
      </c>
      <c r="C59" s="5">
        <v>17.55</v>
      </c>
      <c r="D59" s="5" t="s">
        <v>0</v>
      </c>
      <c r="E59" s="5" t="s">
        <v>237</v>
      </c>
      <c r="F59" s="5">
        <v>30.000000000000004</v>
      </c>
      <c r="G59" s="5" t="s">
        <v>143</v>
      </c>
      <c r="H59" s="5" t="s">
        <v>2178</v>
      </c>
      <c r="J59" s="5">
        <v>84</v>
      </c>
      <c r="L59" s="5">
        <v>30</v>
      </c>
      <c r="P59" s="5">
        <v>26</v>
      </c>
      <c r="Q59" s="5">
        <v>50</v>
      </c>
      <c r="R59" s="5">
        <v>20</v>
      </c>
      <c r="S59" s="5">
        <v>25</v>
      </c>
      <c r="T59" s="5">
        <v>5</v>
      </c>
      <c r="W59" s="5">
        <v>80</v>
      </c>
      <c r="Y59" s="5">
        <v>2</v>
      </c>
      <c r="Z59" s="5">
        <v>2</v>
      </c>
      <c r="AA59" s="5">
        <v>1</v>
      </c>
      <c r="AC59" s="5">
        <v>1</v>
      </c>
      <c r="AE59" s="5" t="s">
        <v>2193</v>
      </c>
    </row>
    <row r="60" spans="1:36" hidden="1" x14ac:dyDescent="0.3">
      <c r="A60" s="15" t="s">
        <v>330</v>
      </c>
      <c r="B60" s="14" t="s">
        <v>2151</v>
      </c>
      <c r="C60" s="5">
        <v>8.19</v>
      </c>
      <c r="D60" s="5" t="s">
        <v>0</v>
      </c>
      <c r="E60" s="5" t="s">
        <v>237</v>
      </c>
      <c r="F60" s="5">
        <v>14</v>
      </c>
      <c r="G60" s="5" t="s">
        <v>244</v>
      </c>
      <c r="H60" s="5" t="s">
        <v>2169</v>
      </c>
      <c r="K60" s="5">
        <v>37</v>
      </c>
      <c r="L60" s="5">
        <v>14</v>
      </c>
      <c r="P60" s="5">
        <v>8</v>
      </c>
      <c r="Q60" s="5">
        <v>22</v>
      </c>
      <c r="R60" s="5">
        <v>12</v>
      </c>
      <c r="S60" s="5">
        <v>11</v>
      </c>
      <c r="T60" s="5">
        <v>3</v>
      </c>
      <c r="W60" s="5">
        <v>80</v>
      </c>
      <c r="Y60" s="5">
        <v>2</v>
      </c>
      <c r="Z60" s="5">
        <v>2</v>
      </c>
      <c r="AA60" s="5">
        <v>1</v>
      </c>
      <c r="AC60" s="5">
        <v>1</v>
      </c>
    </row>
    <row r="61" spans="1:36" hidden="1" x14ac:dyDescent="0.3">
      <c r="A61" s="15" t="s">
        <v>335</v>
      </c>
      <c r="B61" s="14" t="s">
        <v>2151</v>
      </c>
      <c r="C61" s="5">
        <v>7.02</v>
      </c>
      <c r="D61" s="5" t="s">
        <v>0</v>
      </c>
      <c r="E61" s="5" t="s">
        <v>237</v>
      </c>
      <c r="F61" s="5">
        <v>12</v>
      </c>
      <c r="G61" s="5" t="s">
        <v>286</v>
      </c>
      <c r="H61" s="5" t="s">
        <v>2169</v>
      </c>
      <c r="K61" s="5">
        <v>34</v>
      </c>
      <c r="L61" s="5">
        <v>12</v>
      </c>
      <c r="P61" s="5">
        <v>8</v>
      </c>
      <c r="Q61" s="5">
        <v>16</v>
      </c>
      <c r="R61" s="5">
        <v>16</v>
      </c>
      <c r="S61" s="5">
        <v>8</v>
      </c>
      <c r="T61" s="5">
        <v>4</v>
      </c>
      <c r="W61" s="5">
        <v>80</v>
      </c>
      <c r="Y61" s="5">
        <v>2</v>
      </c>
      <c r="Z61" s="5">
        <v>2</v>
      </c>
      <c r="AA61" s="5">
        <v>1</v>
      </c>
      <c r="AC61" s="5">
        <v>1</v>
      </c>
    </row>
    <row r="62" spans="1:36" hidden="1" x14ac:dyDescent="0.3">
      <c r="A62" s="15" t="s">
        <v>2199</v>
      </c>
      <c r="B62" s="14" t="s">
        <v>2151</v>
      </c>
      <c r="C62" s="5">
        <v>8.19</v>
      </c>
      <c r="D62" s="5" t="s">
        <v>0</v>
      </c>
      <c r="E62" s="5" t="s">
        <v>237</v>
      </c>
      <c r="F62" s="5">
        <v>14</v>
      </c>
      <c r="G62" s="5" t="s">
        <v>244</v>
      </c>
      <c r="H62" s="5" t="s">
        <v>2169</v>
      </c>
      <c r="K62" s="5">
        <v>40</v>
      </c>
      <c r="L62" s="5">
        <v>14</v>
      </c>
      <c r="P62" s="5">
        <v>8</v>
      </c>
      <c r="Q62" s="5">
        <v>20</v>
      </c>
      <c r="R62" s="5">
        <v>16</v>
      </c>
      <c r="S62" s="5">
        <v>10</v>
      </c>
      <c r="T62" s="5">
        <v>4</v>
      </c>
      <c r="W62" s="5">
        <v>80</v>
      </c>
      <c r="Y62" s="5">
        <v>2</v>
      </c>
      <c r="Z62" s="5">
        <v>2</v>
      </c>
      <c r="AA62" s="5">
        <v>1</v>
      </c>
      <c r="AC62" s="5">
        <v>1</v>
      </c>
    </row>
    <row r="63" spans="1:36" hidden="1" x14ac:dyDescent="0.3">
      <c r="A63" s="15" t="s">
        <v>369</v>
      </c>
      <c r="B63" s="14" t="s">
        <v>2151</v>
      </c>
      <c r="C63" s="5">
        <v>8.7750000000000004</v>
      </c>
      <c r="D63" s="5" t="s">
        <v>0</v>
      </c>
      <c r="E63" s="5" t="s">
        <v>237</v>
      </c>
      <c r="F63" s="5">
        <v>15.000000000000002</v>
      </c>
      <c r="G63" s="5" t="s">
        <v>364</v>
      </c>
      <c r="H63" s="5" t="s">
        <v>2169</v>
      </c>
      <c r="K63" s="5">
        <v>42</v>
      </c>
      <c r="L63" s="5">
        <v>15</v>
      </c>
      <c r="P63" s="5">
        <v>8</v>
      </c>
      <c r="Q63" s="5">
        <v>20</v>
      </c>
      <c r="R63" s="5">
        <v>20</v>
      </c>
      <c r="S63" s="5">
        <v>10</v>
      </c>
      <c r="T63" s="5">
        <v>5</v>
      </c>
      <c r="W63" s="5">
        <v>80</v>
      </c>
      <c r="Y63" s="5">
        <v>2</v>
      </c>
      <c r="Z63" s="5">
        <v>2</v>
      </c>
      <c r="AA63" s="5">
        <v>1</v>
      </c>
    </row>
    <row r="64" spans="1:36" hidden="1" x14ac:dyDescent="0.3">
      <c r="A64" s="15" t="s">
        <v>2200</v>
      </c>
      <c r="B64" s="14" t="s">
        <v>2151</v>
      </c>
      <c r="C64" s="5">
        <v>8.7750000000000004</v>
      </c>
      <c r="D64" s="5" t="s">
        <v>0</v>
      </c>
      <c r="E64" s="5" t="s">
        <v>237</v>
      </c>
      <c r="F64" s="5">
        <v>15.000000000000002</v>
      </c>
      <c r="G64" s="5" t="s">
        <v>364</v>
      </c>
      <c r="H64" s="5" t="s">
        <v>2169</v>
      </c>
      <c r="K64" s="5">
        <v>42</v>
      </c>
      <c r="L64" s="5">
        <v>15</v>
      </c>
      <c r="P64" s="5">
        <v>8</v>
      </c>
      <c r="Q64" s="5">
        <v>22</v>
      </c>
      <c r="R64" s="5">
        <v>16</v>
      </c>
      <c r="S64" s="5">
        <v>11</v>
      </c>
      <c r="T64" s="5">
        <v>4</v>
      </c>
      <c r="W64" s="5">
        <v>80</v>
      </c>
      <c r="Y64" s="5">
        <v>2</v>
      </c>
      <c r="Z64" s="5">
        <v>2</v>
      </c>
      <c r="AA64" s="5">
        <v>1</v>
      </c>
    </row>
    <row r="65" spans="1:31" hidden="1" x14ac:dyDescent="0.3">
      <c r="A65" s="15" t="s">
        <v>374</v>
      </c>
      <c r="B65" s="14" t="s">
        <v>2151</v>
      </c>
      <c r="C65" s="5">
        <v>17.55</v>
      </c>
      <c r="D65" s="5" t="s">
        <v>0</v>
      </c>
      <c r="E65" s="5" t="s">
        <v>237</v>
      </c>
      <c r="F65" s="5">
        <v>30.000000000000004</v>
      </c>
      <c r="G65" s="5" t="s">
        <v>143</v>
      </c>
      <c r="H65" s="5" t="s">
        <v>2170</v>
      </c>
      <c r="I65" s="5">
        <v>70</v>
      </c>
      <c r="Q65" s="5">
        <v>50</v>
      </c>
      <c r="R65" s="5">
        <v>20</v>
      </c>
      <c r="S65" s="5">
        <v>25</v>
      </c>
      <c r="T65" s="5">
        <v>5</v>
      </c>
      <c r="W65" s="5">
        <v>80</v>
      </c>
      <c r="Y65" s="5">
        <v>2</v>
      </c>
      <c r="Z65" s="5">
        <v>2</v>
      </c>
      <c r="AA65" s="5">
        <v>1</v>
      </c>
      <c r="AE65" s="5" t="s">
        <v>2193</v>
      </c>
    </row>
    <row r="66" spans="1:31" hidden="1" x14ac:dyDescent="0.3">
      <c r="A66" s="15" t="s">
        <v>2201</v>
      </c>
      <c r="B66" s="14" t="s">
        <v>2151</v>
      </c>
      <c r="C66" s="5">
        <v>6.4349999999999996</v>
      </c>
      <c r="D66" s="5" t="s">
        <v>0</v>
      </c>
      <c r="E66" s="5" t="s">
        <v>237</v>
      </c>
      <c r="F66" s="5">
        <v>11</v>
      </c>
      <c r="G66" s="5" t="s">
        <v>380</v>
      </c>
      <c r="H66" s="5" t="s">
        <v>2174</v>
      </c>
      <c r="K66" s="5">
        <v>31</v>
      </c>
      <c r="L66" s="5">
        <v>11</v>
      </c>
      <c r="P66" s="5">
        <v>14</v>
      </c>
      <c r="Q66" s="5">
        <v>14</v>
      </c>
      <c r="R66" s="5">
        <v>16</v>
      </c>
      <c r="S66" s="5">
        <v>7</v>
      </c>
      <c r="T66" s="5">
        <v>4</v>
      </c>
      <c r="W66" s="5">
        <v>80</v>
      </c>
      <c r="Y66" s="5">
        <v>2</v>
      </c>
      <c r="Z66" s="5">
        <v>2</v>
      </c>
      <c r="AA66" s="5">
        <v>1</v>
      </c>
    </row>
    <row r="67" spans="1:31" hidden="1" x14ac:dyDescent="0.3">
      <c r="A67" s="15" t="s">
        <v>385</v>
      </c>
      <c r="B67" s="14" t="s">
        <v>2151</v>
      </c>
      <c r="C67" s="5">
        <v>14.625</v>
      </c>
      <c r="D67" s="5" t="s">
        <v>0</v>
      </c>
      <c r="E67" s="5" t="s">
        <v>237</v>
      </c>
      <c r="F67" s="5">
        <v>25</v>
      </c>
      <c r="G67" s="5" t="s">
        <v>143</v>
      </c>
      <c r="H67" s="5" t="s">
        <v>2169</v>
      </c>
      <c r="K67" s="5">
        <v>70</v>
      </c>
      <c r="L67" s="5">
        <v>25</v>
      </c>
      <c r="P67" s="5">
        <v>20</v>
      </c>
      <c r="Q67" s="5">
        <v>42</v>
      </c>
      <c r="R67" s="5">
        <v>16</v>
      </c>
      <c r="S67" s="5">
        <v>21</v>
      </c>
      <c r="T67" s="5">
        <v>4</v>
      </c>
      <c r="W67" s="5">
        <v>80</v>
      </c>
      <c r="Y67" s="5">
        <v>2</v>
      </c>
      <c r="Z67" s="5">
        <v>2</v>
      </c>
      <c r="AA67" s="5">
        <v>1</v>
      </c>
      <c r="AE67" s="5" t="s">
        <v>2193</v>
      </c>
    </row>
    <row r="68" spans="1:31" hidden="1" x14ac:dyDescent="0.3">
      <c r="A68" s="15" t="s">
        <v>392</v>
      </c>
      <c r="B68" s="14" t="s">
        <v>2151</v>
      </c>
      <c r="C68" s="5">
        <v>17.55</v>
      </c>
      <c r="D68" s="5" t="s">
        <v>0</v>
      </c>
      <c r="E68" s="5" t="s">
        <v>237</v>
      </c>
      <c r="F68" s="5">
        <v>30.000000000000004</v>
      </c>
      <c r="G68" s="5" t="s">
        <v>143</v>
      </c>
      <c r="H68" s="5" t="s">
        <v>2169</v>
      </c>
      <c r="K68" s="5">
        <v>84</v>
      </c>
      <c r="L68" s="5">
        <v>30</v>
      </c>
      <c r="P68" s="5">
        <v>15</v>
      </c>
      <c r="Q68" s="5">
        <v>40</v>
      </c>
      <c r="R68" s="5">
        <v>38</v>
      </c>
      <c r="S68" s="5">
        <v>21</v>
      </c>
      <c r="T68" s="5">
        <v>11</v>
      </c>
      <c r="W68" s="5">
        <v>80</v>
      </c>
      <c r="Y68" s="5">
        <v>2</v>
      </c>
      <c r="Z68" s="5">
        <v>2</v>
      </c>
      <c r="AA68" s="5">
        <v>1</v>
      </c>
      <c r="AE68" s="5" t="s">
        <v>2193</v>
      </c>
    </row>
    <row r="69" spans="1:31" hidden="1" x14ac:dyDescent="0.3">
      <c r="A69" s="15" t="s">
        <v>399</v>
      </c>
      <c r="B69" s="14" t="s">
        <v>2151</v>
      </c>
      <c r="C69" s="5">
        <v>17.55</v>
      </c>
      <c r="D69" s="5" t="s">
        <v>0</v>
      </c>
      <c r="E69" s="5" t="s">
        <v>237</v>
      </c>
      <c r="F69" s="5">
        <v>30.000000000000004</v>
      </c>
      <c r="G69" s="5" t="s">
        <v>143</v>
      </c>
      <c r="H69" s="5" t="s">
        <v>2174</v>
      </c>
      <c r="K69" s="5">
        <v>84</v>
      </c>
      <c r="L69" s="5">
        <v>30</v>
      </c>
      <c r="P69" s="5">
        <v>44</v>
      </c>
      <c r="Q69" s="5">
        <v>42</v>
      </c>
      <c r="R69" s="5">
        <v>40</v>
      </c>
      <c r="S69" s="5">
        <v>21</v>
      </c>
      <c r="T69" s="5">
        <v>11</v>
      </c>
    </row>
    <row r="70" spans="1:31" hidden="1" x14ac:dyDescent="0.3">
      <c r="A70" s="15" t="s">
        <v>404</v>
      </c>
      <c r="B70" s="14" t="s">
        <v>2151</v>
      </c>
      <c r="C70" s="5">
        <v>15.795</v>
      </c>
      <c r="D70" s="5" t="s">
        <v>0</v>
      </c>
      <c r="E70" s="5" t="s">
        <v>237</v>
      </c>
      <c r="F70" s="5">
        <v>27</v>
      </c>
      <c r="G70" s="5" t="s">
        <v>143</v>
      </c>
      <c r="H70" s="5" t="s">
        <v>2169</v>
      </c>
      <c r="K70" s="5">
        <v>76</v>
      </c>
      <c r="L70" s="5">
        <v>27</v>
      </c>
      <c r="P70" s="5">
        <v>24</v>
      </c>
      <c r="Q70" s="5">
        <v>50</v>
      </c>
      <c r="R70" s="5">
        <v>8</v>
      </c>
      <c r="S70" s="5">
        <v>25</v>
      </c>
      <c r="T70" s="5">
        <v>2</v>
      </c>
      <c r="W70" s="5">
        <v>80</v>
      </c>
      <c r="Y70" s="5">
        <v>2</v>
      </c>
      <c r="Z70" s="5">
        <v>2</v>
      </c>
      <c r="AA70" s="5">
        <v>1</v>
      </c>
      <c r="AE70" s="5" t="s">
        <v>2193</v>
      </c>
    </row>
    <row r="71" spans="1:31" x14ac:dyDescent="0.3">
      <c r="A71" s="15" t="s">
        <v>397</v>
      </c>
      <c r="B71" s="14" t="s">
        <v>2151</v>
      </c>
      <c r="C71" s="5">
        <v>26.91</v>
      </c>
      <c r="D71" s="5" t="s">
        <v>1</v>
      </c>
      <c r="E71" s="5" t="s">
        <v>237</v>
      </c>
      <c r="F71" s="5">
        <v>46</v>
      </c>
      <c r="G71" s="5" t="s">
        <v>341</v>
      </c>
      <c r="H71" s="5" t="s">
        <v>2178</v>
      </c>
      <c r="J71" s="5">
        <v>116</v>
      </c>
      <c r="K71" s="5">
        <v>6</v>
      </c>
      <c r="L71" s="5">
        <v>2</v>
      </c>
      <c r="P71" s="5">
        <v>0</v>
      </c>
      <c r="Q71" s="5">
        <v>68</v>
      </c>
      <c r="R71" s="5">
        <v>48</v>
      </c>
      <c r="S71" s="5">
        <v>46</v>
      </c>
      <c r="T71" s="5">
        <v>15</v>
      </c>
      <c r="AE71" s="5" t="s">
        <v>2193</v>
      </c>
    </row>
    <row r="72" spans="1:31" x14ac:dyDescent="0.3">
      <c r="A72" s="15" t="s">
        <v>2202</v>
      </c>
      <c r="B72" s="14" t="s">
        <v>2151</v>
      </c>
      <c r="C72" s="5">
        <v>345.15</v>
      </c>
      <c r="D72" s="5" t="s">
        <v>1</v>
      </c>
      <c r="E72" s="5" t="s">
        <v>237</v>
      </c>
      <c r="F72" s="5">
        <v>590</v>
      </c>
      <c r="G72" s="5" t="s">
        <v>413</v>
      </c>
      <c r="H72" s="5" t="s">
        <v>2170</v>
      </c>
      <c r="I72" s="5">
        <v>1326</v>
      </c>
      <c r="K72" s="5">
        <v>0</v>
      </c>
      <c r="Q72" s="5">
        <v>1118</v>
      </c>
      <c r="R72" s="5">
        <v>124</v>
      </c>
      <c r="S72" s="5">
        <v>1118</v>
      </c>
      <c r="T72" s="5">
        <v>34</v>
      </c>
      <c r="AE72" s="5" t="s">
        <v>2203</v>
      </c>
    </row>
    <row r="73" spans="1:31" hidden="1" x14ac:dyDescent="0.3">
      <c r="A73" s="15" t="s">
        <v>453</v>
      </c>
      <c r="B73" s="14" t="s">
        <v>2151</v>
      </c>
      <c r="C73" s="5">
        <v>17.55</v>
      </c>
      <c r="D73" s="5" t="s">
        <v>0</v>
      </c>
      <c r="E73" s="5" t="s">
        <v>237</v>
      </c>
      <c r="F73" s="5">
        <v>30.000000000000004</v>
      </c>
      <c r="G73" s="5" t="s">
        <v>143</v>
      </c>
      <c r="H73" s="5" t="s">
        <v>2170</v>
      </c>
      <c r="K73" s="5">
        <v>84</v>
      </c>
      <c r="L73" s="5">
        <v>30</v>
      </c>
      <c r="P73" s="5">
        <v>24</v>
      </c>
      <c r="Q73" s="5">
        <v>54</v>
      </c>
      <c r="R73" s="5">
        <v>12</v>
      </c>
      <c r="S73" s="5">
        <v>27</v>
      </c>
      <c r="T73" s="5">
        <v>4</v>
      </c>
    </row>
    <row r="74" spans="1:31" hidden="1" x14ac:dyDescent="0.3">
      <c r="A74" s="15" t="s">
        <v>420</v>
      </c>
      <c r="B74" s="14" t="s">
        <v>2151</v>
      </c>
      <c r="C74" s="5">
        <v>12.285</v>
      </c>
      <c r="D74" s="5" t="s">
        <v>0</v>
      </c>
      <c r="E74" s="5" t="s">
        <v>237</v>
      </c>
      <c r="F74" s="5">
        <v>21</v>
      </c>
      <c r="G74" s="5" t="s">
        <v>364</v>
      </c>
      <c r="H74" s="5" t="s">
        <v>2169</v>
      </c>
      <c r="K74" s="5">
        <v>56</v>
      </c>
      <c r="L74" s="5">
        <v>20</v>
      </c>
      <c r="P74" s="5">
        <v>12</v>
      </c>
      <c r="Q74" s="5">
        <v>28</v>
      </c>
      <c r="R74" s="5">
        <v>16</v>
      </c>
      <c r="S74" s="5">
        <v>14</v>
      </c>
      <c r="T74" s="5">
        <v>5</v>
      </c>
    </row>
    <row r="75" spans="1:31" hidden="1" x14ac:dyDescent="0.3">
      <c r="A75" s="15" t="s">
        <v>415</v>
      </c>
      <c r="B75" s="14" t="s">
        <v>2151</v>
      </c>
      <c r="C75" s="5">
        <v>7.6050000000000004</v>
      </c>
      <c r="D75" s="5" t="s">
        <v>0</v>
      </c>
      <c r="E75" s="5" t="s">
        <v>237</v>
      </c>
      <c r="F75" s="5">
        <v>13.000000000000002</v>
      </c>
      <c r="G75" s="5" t="s">
        <v>244</v>
      </c>
      <c r="K75" s="5">
        <v>59</v>
      </c>
      <c r="L75" s="5">
        <v>21</v>
      </c>
      <c r="P75" s="5">
        <v>8</v>
      </c>
      <c r="Q75" s="5">
        <v>14</v>
      </c>
      <c r="R75" s="5">
        <v>24</v>
      </c>
      <c r="S75" s="5">
        <v>7</v>
      </c>
      <c r="T75" s="5">
        <v>7</v>
      </c>
    </row>
    <row r="76" spans="1:31" hidden="1" x14ac:dyDescent="0.3">
      <c r="A76" s="15" t="s">
        <v>2204</v>
      </c>
      <c r="B76" s="14" t="s">
        <v>2151</v>
      </c>
      <c r="C76" s="5">
        <v>13.455</v>
      </c>
      <c r="D76" s="5" t="s">
        <v>0</v>
      </c>
      <c r="E76" s="5" t="s">
        <v>237</v>
      </c>
      <c r="F76" s="5">
        <v>23</v>
      </c>
      <c r="G76" s="5" t="s">
        <v>111</v>
      </c>
      <c r="H76" s="5" t="s">
        <v>2169</v>
      </c>
      <c r="K76" s="5">
        <v>82</v>
      </c>
      <c r="L76" s="5">
        <v>29</v>
      </c>
      <c r="P76" s="5">
        <v>14</v>
      </c>
      <c r="Q76" s="5">
        <v>28</v>
      </c>
      <c r="R76" s="5">
        <v>48</v>
      </c>
      <c r="S76" s="5">
        <v>15</v>
      </c>
      <c r="T76" s="5">
        <v>9</v>
      </c>
      <c r="W76" s="5">
        <v>80</v>
      </c>
      <c r="Y76" s="5">
        <v>8</v>
      </c>
      <c r="Z76" s="5">
        <v>8</v>
      </c>
      <c r="AA76" s="5">
        <v>1</v>
      </c>
    </row>
    <row r="77" spans="1:31" hidden="1" x14ac:dyDescent="0.3">
      <c r="A77" s="15" t="s">
        <v>426</v>
      </c>
      <c r="B77" s="14" t="s">
        <v>2151</v>
      </c>
      <c r="C77" s="5">
        <v>9.36</v>
      </c>
      <c r="D77" s="5" t="s">
        <v>0</v>
      </c>
      <c r="E77" s="5" t="s">
        <v>237</v>
      </c>
      <c r="F77" s="5">
        <v>16</v>
      </c>
      <c r="G77" s="5" t="s">
        <v>364</v>
      </c>
      <c r="K77" s="5">
        <v>45</v>
      </c>
      <c r="L77" s="5">
        <v>16</v>
      </c>
      <c r="P77" s="5">
        <v>8</v>
      </c>
      <c r="Q77" s="5">
        <v>24</v>
      </c>
      <c r="R77" s="5">
        <v>16</v>
      </c>
      <c r="S77" s="5">
        <v>12</v>
      </c>
      <c r="T77" s="5">
        <v>5</v>
      </c>
    </row>
    <row r="78" spans="1:31" hidden="1" x14ac:dyDescent="0.3">
      <c r="A78" s="15" t="s">
        <v>436</v>
      </c>
      <c r="B78" s="14" t="s">
        <v>2151</v>
      </c>
      <c r="C78" s="5">
        <v>9.36</v>
      </c>
      <c r="D78" s="5" t="s">
        <v>0</v>
      </c>
      <c r="E78" s="5" t="s">
        <v>237</v>
      </c>
      <c r="F78" s="5">
        <v>16</v>
      </c>
      <c r="G78" s="5" t="s">
        <v>364</v>
      </c>
      <c r="K78" s="5">
        <v>0</v>
      </c>
    </row>
    <row r="79" spans="1:31" hidden="1" x14ac:dyDescent="0.3">
      <c r="A79" s="15" t="s">
        <v>441</v>
      </c>
      <c r="B79" s="14" t="s">
        <v>2151</v>
      </c>
      <c r="C79" s="5">
        <v>7.02</v>
      </c>
      <c r="D79" s="5" t="s">
        <v>0</v>
      </c>
      <c r="E79" s="5" t="s">
        <v>237</v>
      </c>
      <c r="F79" s="5">
        <v>12</v>
      </c>
      <c r="G79" s="5" t="s">
        <v>286</v>
      </c>
      <c r="K79" s="5">
        <v>0</v>
      </c>
    </row>
    <row r="80" spans="1:31" hidden="1" x14ac:dyDescent="0.3">
      <c r="A80" s="15" t="s">
        <v>443</v>
      </c>
      <c r="B80" s="14" t="s">
        <v>2151</v>
      </c>
      <c r="C80" s="5">
        <v>8.7750000000000004</v>
      </c>
      <c r="D80" s="5" t="s">
        <v>0</v>
      </c>
      <c r="E80" s="5" t="s">
        <v>237</v>
      </c>
      <c r="F80" s="5">
        <v>15.000000000000002</v>
      </c>
      <c r="G80" s="5" t="s">
        <v>364</v>
      </c>
      <c r="H80" s="5" t="s">
        <v>2169</v>
      </c>
      <c r="K80" s="5">
        <v>56</v>
      </c>
      <c r="L80" s="5">
        <v>20</v>
      </c>
      <c r="P80" s="5">
        <v>10</v>
      </c>
      <c r="Q80" s="5">
        <v>20</v>
      </c>
      <c r="R80" s="5">
        <v>22</v>
      </c>
      <c r="S80" s="5">
        <v>10</v>
      </c>
      <c r="T80" s="5">
        <v>6</v>
      </c>
    </row>
    <row r="81" spans="1:31" hidden="1" x14ac:dyDescent="0.3">
      <c r="A81" s="15" t="s">
        <v>2205</v>
      </c>
      <c r="B81" s="14" t="s">
        <v>2151</v>
      </c>
      <c r="C81" s="5">
        <v>8.19</v>
      </c>
      <c r="D81" s="5" t="s">
        <v>0</v>
      </c>
      <c r="E81" s="5" t="s">
        <v>237</v>
      </c>
      <c r="F81" s="5">
        <v>14</v>
      </c>
      <c r="G81" s="5" t="s">
        <v>244</v>
      </c>
      <c r="H81" s="5" t="s">
        <v>2169</v>
      </c>
      <c r="K81" s="5">
        <v>45</v>
      </c>
      <c r="L81" s="5">
        <v>16</v>
      </c>
      <c r="P81" s="5">
        <v>10</v>
      </c>
      <c r="Q81" s="5">
        <v>22</v>
      </c>
      <c r="R81" s="5">
        <v>12</v>
      </c>
      <c r="S81" s="5">
        <v>11</v>
      </c>
      <c r="T81" s="5">
        <v>4</v>
      </c>
    </row>
    <row r="82" spans="1:31" hidden="1" x14ac:dyDescent="0.3">
      <c r="A82" s="15" t="s">
        <v>458</v>
      </c>
      <c r="B82" s="14" t="s">
        <v>2151</v>
      </c>
      <c r="C82" s="5">
        <v>13.455</v>
      </c>
      <c r="D82" s="5" t="s">
        <v>0</v>
      </c>
      <c r="E82" s="5" t="s">
        <v>237</v>
      </c>
      <c r="F82" s="5">
        <v>23</v>
      </c>
      <c r="G82" s="5" t="s">
        <v>111</v>
      </c>
      <c r="K82" s="5">
        <v>0</v>
      </c>
    </row>
    <row r="83" spans="1:31" hidden="1" x14ac:dyDescent="0.3">
      <c r="A83" s="15" t="s">
        <v>463</v>
      </c>
      <c r="B83" s="14" t="s">
        <v>2151</v>
      </c>
      <c r="C83" s="5">
        <v>7.02</v>
      </c>
      <c r="D83" s="5" t="s">
        <v>0</v>
      </c>
      <c r="E83" s="5" t="s">
        <v>237</v>
      </c>
      <c r="F83" s="5">
        <v>12</v>
      </c>
      <c r="G83" s="5" t="s">
        <v>286</v>
      </c>
      <c r="H83" s="5" t="s">
        <v>2169</v>
      </c>
      <c r="K83" s="5">
        <v>45</v>
      </c>
      <c r="L83" s="5">
        <v>16</v>
      </c>
      <c r="P83" s="5">
        <v>9</v>
      </c>
      <c r="Q83" s="5">
        <v>20</v>
      </c>
      <c r="R83" s="5">
        <v>12</v>
      </c>
      <c r="S83" s="5">
        <v>11</v>
      </c>
      <c r="T83" s="5">
        <v>5</v>
      </c>
    </row>
    <row r="84" spans="1:31" hidden="1" x14ac:dyDescent="0.3">
      <c r="A84" s="15" t="s">
        <v>468</v>
      </c>
      <c r="B84" s="14" t="s">
        <v>2151</v>
      </c>
      <c r="C84" s="5">
        <v>12.285</v>
      </c>
      <c r="D84" s="5" t="s">
        <v>0</v>
      </c>
      <c r="E84" s="5" t="s">
        <v>237</v>
      </c>
      <c r="F84" s="5">
        <v>21</v>
      </c>
      <c r="G84" s="5" t="s">
        <v>111</v>
      </c>
      <c r="H84" s="5" t="s">
        <v>2169</v>
      </c>
      <c r="K84" s="5">
        <v>0</v>
      </c>
    </row>
    <row r="85" spans="1:31" hidden="1" x14ac:dyDescent="0.3">
      <c r="A85" s="15" t="s">
        <v>473</v>
      </c>
      <c r="B85" s="14" t="s">
        <v>2151</v>
      </c>
      <c r="C85" s="5">
        <v>8.7750000000000004</v>
      </c>
      <c r="D85" s="5" t="s">
        <v>0</v>
      </c>
      <c r="E85" s="5" t="s">
        <v>237</v>
      </c>
      <c r="F85" s="5">
        <v>14</v>
      </c>
      <c r="G85" s="5" t="s">
        <v>75</v>
      </c>
      <c r="H85" s="5" t="s">
        <v>2169</v>
      </c>
      <c r="K85" s="5">
        <v>0</v>
      </c>
    </row>
    <row r="86" spans="1:31" hidden="1" x14ac:dyDescent="0.3">
      <c r="A86" s="15" t="s">
        <v>478</v>
      </c>
      <c r="B86" s="14" t="s">
        <v>2151</v>
      </c>
      <c r="C86" s="5">
        <v>14.04</v>
      </c>
      <c r="D86" s="5" t="s">
        <v>0</v>
      </c>
      <c r="E86" s="5" t="s">
        <v>237</v>
      </c>
      <c r="F86" s="5">
        <v>24</v>
      </c>
      <c r="G86" s="5" t="s">
        <v>143</v>
      </c>
      <c r="H86" s="5" t="s">
        <v>2170</v>
      </c>
      <c r="I86" s="5">
        <v>68</v>
      </c>
      <c r="K86" s="5">
        <v>0</v>
      </c>
      <c r="Q86" s="5">
        <v>28</v>
      </c>
      <c r="R86" s="5">
        <v>40</v>
      </c>
      <c r="S86" s="5">
        <v>14</v>
      </c>
      <c r="T86" s="5">
        <v>10</v>
      </c>
      <c r="W86" s="5">
        <v>80</v>
      </c>
      <c r="Y86" s="5">
        <v>8</v>
      </c>
      <c r="Z86" s="5">
        <v>8</v>
      </c>
      <c r="AA86" s="5">
        <v>1</v>
      </c>
      <c r="AE86" s="5" t="s">
        <v>2193</v>
      </c>
    </row>
    <row r="87" spans="1:31" hidden="1" x14ac:dyDescent="0.3">
      <c r="A87" s="15" t="s">
        <v>483</v>
      </c>
      <c r="B87" s="14" t="s">
        <v>2151</v>
      </c>
      <c r="C87" s="5">
        <v>11.7</v>
      </c>
      <c r="D87" s="5" t="s">
        <v>0</v>
      </c>
      <c r="E87" s="5" t="s">
        <v>237</v>
      </c>
      <c r="F87" s="5">
        <v>20</v>
      </c>
      <c r="G87" s="5" t="s">
        <v>111</v>
      </c>
      <c r="H87" s="5" t="s">
        <v>2169</v>
      </c>
      <c r="K87" s="5">
        <v>0</v>
      </c>
    </row>
    <row r="88" spans="1:31" hidden="1" x14ac:dyDescent="0.3">
      <c r="A88" s="15" t="s">
        <v>488</v>
      </c>
      <c r="B88" s="14" t="s">
        <v>2151</v>
      </c>
      <c r="C88" s="5">
        <v>7.02</v>
      </c>
      <c r="D88" s="5" t="s">
        <v>0</v>
      </c>
      <c r="E88" s="5" t="s">
        <v>237</v>
      </c>
      <c r="F88" s="5">
        <v>12</v>
      </c>
      <c r="G88" s="5" t="s">
        <v>286</v>
      </c>
      <c r="H88" s="5" t="s">
        <v>2169</v>
      </c>
      <c r="K88" s="5">
        <v>34</v>
      </c>
      <c r="L88" s="5">
        <v>12</v>
      </c>
      <c r="P88" s="5">
        <v>6</v>
      </c>
      <c r="Q88" s="5">
        <v>18</v>
      </c>
      <c r="R88" s="5">
        <v>12</v>
      </c>
      <c r="S88" s="5">
        <v>9</v>
      </c>
      <c r="T88" s="5">
        <v>4</v>
      </c>
    </row>
    <row r="89" spans="1:31" hidden="1" x14ac:dyDescent="0.3">
      <c r="A89" s="15" t="s">
        <v>493</v>
      </c>
      <c r="B89" s="14" t="s">
        <v>2151</v>
      </c>
      <c r="C89" s="5">
        <v>9.36</v>
      </c>
      <c r="D89" s="5" t="s">
        <v>0</v>
      </c>
      <c r="E89" s="5" t="s">
        <v>237</v>
      </c>
      <c r="F89" s="5">
        <v>16</v>
      </c>
      <c r="G89" s="5" t="s">
        <v>364</v>
      </c>
      <c r="H89" s="5" t="s">
        <v>2170</v>
      </c>
      <c r="I89" s="5">
        <v>62</v>
      </c>
      <c r="K89" s="5">
        <v>0</v>
      </c>
      <c r="L89" s="5">
        <v>22</v>
      </c>
      <c r="P89" s="5">
        <v>16</v>
      </c>
      <c r="Q89" s="5">
        <v>26</v>
      </c>
      <c r="R89" s="5">
        <v>12</v>
      </c>
      <c r="S89" s="5">
        <v>13</v>
      </c>
      <c r="T89" s="5">
        <v>4</v>
      </c>
    </row>
    <row r="90" spans="1:31" hidden="1" x14ac:dyDescent="0.3">
      <c r="A90" s="15" t="s">
        <v>498</v>
      </c>
      <c r="B90" s="14" t="s">
        <v>2151</v>
      </c>
      <c r="C90" s="5">
        <v>12.285</v>
      </c>
      <c r="D90" s="5" t="s">
        <v>0</v>
      </c>
      <c r="E90" s="5" t="s">
        <v>237</v>
      </c>
      <c r="F90" s="5">
        <v>21</v>
      </c>
      <c r="G90" s="5" t="s">
        <v>111</v>
      </c>
      <c r="H90" s="5" t="s">
        <v>2178</v>
      </c>
      <c r="J90" s="5">
        <v>62</v>
      </c>
      <c r="K90" s="5">
        <v>0</v>
      </c>
      <c r="L90" s="5">
        <v>22</v>
      </c>
      <c r="P90" s="5">
        <v>0</v>
      </c>
      <c r="Q90" s="5">
        <v>20</v>
      </c>
      <c r="R90" s="5">
        <v>44</v>
      </c>
      <c r="S90" s="5">
        <v>10</v>
      </c>
      <c r="T90" s="5">
        <v>12</v>
      </c>
    </row>
    <row r="91" spans="1:31" hidden="1" x14ac:dyDescent="0.3">
      <c r="A91" s="15" t="s">
        <v>505</v>
      </c>
      <c r="B91" s="14" t="s">
        <v>2151</v>
      </c>
      <c r="C91" s="5">
        <v>9.36</v>
      </c>
      <c r="D91" s="5" t="s">
        <v>0</v>
      </c>
      <c r="E91" s="5" t="s">
        <v>237</v>
      </c>
      <c r="F91" s="5">
        <v>16</v>
      </c>
      <c r="G91" s="5" t="s">
        <v>364</v>
      </c>
      <c r="H91" s="5" t="s">
        <v>2169</v>
      </c>
      <c r="K91" s="5">
        <v>56</v>
      </c>
      <c r="L91" s="5">
        <v>20</v>
      </c>
      <c r="P91" s="5">
        <v>12</v>
      </c>
      <c r="Q91" s="5">
        <v>24</v>
      </c>
      <c r="R91" s="5">
        <v>16</v>
      </c>
      <c r="S91" s="5">
        <v>12</v>
      </c>
      <c r="T91" s="5">
        <v>5</v>
      </c>
    </row>
    <row r="92" spans="1:31" hidden="1" x14ac:dyDescent="0.3">
      <c r="A92" s="15" t="s">
        <v>510</v>
      </c>
      <c r="B92" s="14" t="s">
        <v>2151</v>
      </c>
      <c r="C92" s="5">
        <v>14.04</v>
      </c>
      <c r="D92" s="5" t="s">
        <v>0</v>
      </c>
      <c r="E92" s="5" t="s">
        <v>237</v>
      </c>
      <c r="F92" s="5">
        <v>24</v>
      </c>
      <c r="G92" s="5" t="s">
        <v>143</v>
      </c>
      <c r="H92" s="5" t="s">
        <v>2170</v>
      </c>
      <c r="I92" s="5">
        <v>70</v>
      </c>
      <c r="K92" s="5">
        <v>0</v>
      </c>
      <c r="L92" s="5">
        <v>24</v>
      </c>
      <c r="P92" s="5">
        <v>16</v>
      </c>
      <c r="Q92" s="5">
        <v>40</v>
      </c>
      <c r="R92" s="5">
        <v>16</v>
      </c>
      <c r="S92" s="5">
        <v>20</v>
      </c>
      <c r="T92" s="5">
        <v>5</v>
      </c>
    </row>
    <row r="93" spans="1:31" hidden="1" x14ac:dyDescent="0.3">
      <c r="A93" s="15" t="s">
        <v>515</v>
      </c>
      <c r="B93" s="14" t="s">
        <v>2151</v>
      </c>
      <c r="C93" s="5">
        <v>8.19</v>
      </c>
      <c r="D93" s="5" t="s">
        <v>0</v>
      </c>
      <c r="E93" s="5" t="s">
        <v>237</v>
      </c>
      <c r="F93" s="5">
        <v>14</v>
      </c>
      <c r="G93" s="5" t="s">
        <v>244</v>
      </c>
      <c r="H93" s="5" t="s">
        <v>2169</v>
      </c>
      <c r="K93" s="5">
        <v>45</v>
      </c>
      <c r="L93" s="5">
        <v>16</v>
      </c>
      <c r="P93" s="5">
        <v>8</v>
      </c>
      <c r="Q93" s="5">
        <v>20</v>
      </c>
      <c r="R93" s="5">
        <v>16</v>
      </c>
      <c r="S93" s="5">
        <v>10</v>
      </c>
      <c r="T93" s="5">
        <v>5</v>
      </c>
    </row>
    <row r="94" spans="1:31" hidden="1" x14ac:dyDescent="0.3">
      <c r="A94" s="15" t="s">
        <v>520</v>
      </c>
      <c r="B94" s="14" t="s">
        <v>2151</v>
      </c>
      <c r="C94" s="5">
        <v>14.04</v>
      </c>
      <c r="D94" s="5" t="s">
        <v>0</v>
      </c>
      <c r="E94" s="5" t="s">
        <v>237</v>
      </c>
      <c r="F94" s="5">
        <v>24</v>
      </c>
      <c r="G94" s="5" t="s">
        <v>143</v>
      </c>
      <c r="H94" s="5" t="s">
        <v>2169</v>
      </c>
      <c r="K94" s="5">
        <v>68</v>
      </c>
      <c r="L94" s="5">
        <v>24</v>
      </c>
      <c r="P94" s="5">
        <v>18</v>
      </c>
      <c r="Q94" s="5">
        <v>40</v>
      </c>
      <c r="R94" s="5">
        <v>16</v>
      </c>
      <c r="S94" s="5">
        <v>20</v>
      </c>
      <c r="T94" s="5">
        <v>5</v>
      </c>
    </row>
    <row r="95" spans="1:31" hidden="1" x14ac:dyDescent="0.3">
      <c r="A95" s="15" t="s">
        <v>525</v>
      </c>
      <c r="B95" s="14" t="s">
        <v>2151</v>
      </c>
      <c r="C95" s="5">
        <v>5.2649999999999997</v>
      </c>
      <c r="D95" s="5" t="s">
        <v>0</v>
      </c>
      <c r="E95" s="5" t="s">
        <v>237</v>
      </c>
      <c r="F95" s="5">
        <v>9</v>
      </c>
      <c r="G95" s="5" t="s">
        <v>309</v>
      </c>
      <c r="H95" s="5" t="s">
        <v>2169</v>
      </c>
      <c r="K95" s="5">
        <v>34</v>
      </c>
      <c r="L95" s="5">
        <v>12</v>
      </c>
      <c r="P95" s="5">
        <v>6</v>
      </c>
      <c r="Q95" s="5">
        <v>12</v>
      </c>
      <c r="R95" s="5">
        <v>12</v>
      </c>
      <c r="S95" s="5">
        <v>6</v>
      </c>
      <c r="T95" s="5">
        <v>4</v>
      </c>
    </row>
    <row r="96" spans="1:31" hidden="1" x14ac:dyDescent="0.3">
      <c r="A96" s="15" t="s">
        <v>531</v>
      </c>
      <c r="B96" s="14" t="s">
        <v>2151</v>
      </c>
      <c r="C96" s="5">
        <v>12.87</v>
      </c>
      <c r="D96" s="5" t="s">
        <v>0</v>
      </c>
      <c r="E96" s="5" t="s">
        <v>237</v>
      </c>
      <c r="F96" s="5">
        <v>22</v>
      </c>
      <c r="G96" s="5" t="s">
        <v>111</v>
      </c>
      <c r="H96" s="5" t="s">
        <v>2169</v>
      </c>
      <c r="K96" s="5">
        <v>62</v>
      </c>
      <c r="L96" s="5">
        <v>22</v>
      </c>
      <c r="P96" s="5">
        <v>10</v>
      </c>
      <c r="Q96" s="5">
        <v>32</v>
      </c>
      <c r="R96" s="5">
        <v>24</v>
      </c>
      <c r="S96" s="5">
        <v>16</v>
      </c>
      <c r="T96" s="5">
        <v>7</v>
      </c>
    </row>
    <row r="97" spans="1:20" hidden="1" x14ac:dyDescent="0.3">
      <c r="A97" s="15" t="s">
        <v>536</v>
      </c>
      <c r="B97" s="14" t="s">
        <v>2151</v>
      </c>
      <c r="C97" s="5">
        <v>12.285</v>
      </c>
      <c r="D97" s="5" t="s">
        <v>0</v>
      </c>
      <c r="E97" s="5" t="s">
        <v>237</v>
      </c>
      <c r="F97" s="5">
        <v>21</v>
      </c>
      <c r="G97" s="5" t="s">
        <v>111</v>
      </c>
      <c r="H97" s="5" t="s">
        <v>2169</v>
      </c>
      <c r="K97" s="5">
        <v>79</v>
      </c>
      <c r="L97" s="5">
        <v>28</v>
      </c>
      <c r="P97" s="5">
        <v>13</v>
      </c>
      <c r="Q97" s="5">
        <v>30</v>
      </c>
      <c r="R97" s="5">
        <v>30</v>
      </c>
      <c r="S97" s="5">
        <v>16</v>
      </c>
      <c r="T97" s="5">
        <v>6</v>
      </c>
    </row>
    <row r="98" spans="1:20" hidden="1" x14ac:dyDescent="0.3">
      <c r="A98" s="15" t="s">
        <v>541</v>
      </c>
      <c r="B98" s="14" t="s">
        <v>2151</v>
      </c>
      <c r="C98" s="5">
        <v>8.7750000000000004</v>
      </c>
      <c r="D98" s="5" t="s">
        <v>0</v>
      </c>
      <c r="E98" s="5" t="s">
        <v>237</v>
      </c>
      <c r="F98" s="5">
        <v>15.000000000000002</v>
      </c>
      <c r="G98" s="5" t="s">
        <v>364</v>
      </c>
      <c r="H98" s="5" t="s">
        <v>2170</v>
      </c>
      <c r="I98" s="5">
        <v>56</v>
      </c>
      <c r="K98" s="5">
        <v>28</v>
      </c>
      <c r="L98" s="5">
        <v>10</v>
      </c>
      <c r="P98" s="5">
        <v>5</v>
      </c>
      <c r="Q98" s="5">
        <v>20</v>
      </c>
      <c r="R98" s="5">
        <v>20</v>
      </c>
      <c r="S98" s="5">
        <v>10</v>
      </c>
      <c r="T98" s="5">
        <v>6</v>
      </c>
    </row>
    <row r="99" spans="1:20" hidden="1" x14ac:dyDescent="0.3">
      <c r="A99" s="15" t="s">
        <v>545</v>
      </c>
      <c r="B99" s="14" t="s">
        <v>2151</v>
      </c>
      <c r="C99" s="5">
        <v>14.04</v>
      </c>
      <c r="D99" s="5" t="s">
        <v>0</v>
      </c>
      <c r="E99" s="5" t="s">
        <v>237</v>
      </c>
      <c r="F99" s="5">
        <v>24</v>
      </c>
      <c r="G99" s="5" t="s">
        <v>143</v>
      </c>
      <c r="H99" s="5" t="s">
        <v>2169</v>
      </c>
      <c r="K99" s="5">
        <v>68</v>
      </c>
      <c r="L99" s="5">
        <v>24</v>
      </c>
      <c r="P99" s="5">
        <v>18</v>
      </c>
      <c r="Q99" s="5">
        <v>40</v>
      </c>
      <c r="R99" s="5">
        <v>16</v>
      </c>
      <c r="S99" s="5">
        <v>20</v>
      </c>
      <c r="T99" s="5">
        <v>5</v>
      </c>
    </row>
    <row r="100" spans="1:20" hidden="1" x14ac:dyDescent="0.3">
      <c r="A100" s="15" t="s">
        <v>550</v>
      </c>
      <c r="B100" s="14" t="s">
        <v>2151</v>
      </c>
      <c r="C100" s="5">
        <v>12.285</v>
      </c>
      <c r="D100" s="5" t="s">
        <v>0</v>
      </c>
      <c r="E100" s="5" t="s">
        <v>237</v>
      </c>
      <c r="F100" s="5">
        <v>21</v>
      </c>
      <c r="G100" s="5" t="s">
        <v>111</v>
      </c>
      <c r="H100" s="5" t="s">
        <v>2178</v>
      </c>
      <c r="K100" s="5">
        <v>68</v>
      </c>
      <c r="L100" s="5">
        <v>24</v>
      </c>
      <c r="P100" s="5">
        <v>14</v>
      </c>
      <c r="Q100" s="5">
        <v>32</v>
      </c>
      <c r="R100" s="5">
        <v>20</v>
      </c>
      <c r="S100" s="5">
        <v>16</v>
      </c>
      <c r="T100" s="5">
        <v>5</v>
      </c>
    </row>
    <row r="101" spans="1:20" hidden="1" x14ac:dyDescent="0.3">
      <c r="A101" s="15" t="s">
        <v>555</v>
      </c>
      <c r="B101" s="14" t="s">
        <v>2151</v>
      </c>
      <c r="C101" s="5">
        <v>15.21</v>
      </c>
      <c r="D101" s="5" t="s">
        <v>0</v>
      </c>
      <c r="E101" s="5" t="s">
        <v>237</v>
      </c>
      <c r="F101" s="5">
        <v>26.000000000000004</v>
      </c>
      <c r="G101" s="5" t="s">
        <v>131</v>
      </c>
      <c r="H101" s="5" t="s">
        <v>2178</v>
      </c>
      <c r="J101" s="5">
        <v>79</v>
      </c>
      <c r="K101" s="5">
        <v>0</v>
      </c>
      <c r="L101" s="5">
        <v>28</v>
      </c>
      <c r="P101" s="5">
        <v>20</v>
      </c>
      <c r="Q101" s="5">
        <v>44</v>
      </c>
      <c r="R101" s="5">
        <v>16</v>
      </c>
      <c r="S101" s="5">
        <v>12</v>
      </c>
      <c r="T101" s="5">
        <v>5</v>
      </c>
    </row>
    <row r="102" spans="1:20" hidden="1" x14ac:dyDescent="0.3">
      <c r="A102" s="15" t="s">
        <v>569</v>
      </c>
      <c r="B102" s="14" t="s">
        <v>2151</v>
      </c>
      <c r="C102" s="5">
        <v>11.7</v>
      </c>
      <c r="D102" s="5" t="s">
        <v>0</v>
      </c>
      <c r="E102" s="5" t="s">
        <v>237</v>
      </c>
      <c r="F102" s="5">
        <v>20</v>
      </c>
      <c r="G102" s="5" t="s">
        <v>111</v>
      </c>
      <c r="H102" s="5" t="s">
        <v>2169</v>
      </c>
      <c r="K102" s="5">
        <v>79</v>
      </c>
      <c r="L102" s="5">
        <v>28</v>
      </c>
      <c r="P102" s="5">
        <v>8</v>
      </c>
      <c r="Q102" s="5">
        <v>20</v>
      </c>
      <c r="R102" s="5">
        <v>40</v>
      </c>
      <c r="S102" s="5">
        <v>10</v>
      </c>
      <c r="T102" s="5">
        <v>10</v>
      </c>
    </row>
    <row r="103" spans="1:20" hidden="1" x14ac:dyDescent="0.3">
      <c r="A103" s="15" t="s">
        <v>574</v>
      </c>
      <c r="B103" s="14" t="s">
        <v>2151</v>
      </c>
      <c r="C103" s="5">
        <v>12.285</v>
      </c>
      <c r="D103" s="5" t="s">
        <v>0</v>
      </c>
      <c r="E103" s="5" t="s">
        <v>237</v>
      </c>
      <c r="F103" s="5">
        <v>21</v>
      </c>
      <c r="G103" s="5" t="s">
        <v>111</v>
      </c>
      <c r="H103" s="5" t="s">
        <v>2169</v>
      </c>
      <c r="K103" s="5">
        <v>68</v>
      </c>
      <c r="L103" s="5">
        <v>24</v>
      </c>
      <c r="P103" s="5">
        <v>16</v>
      </c>
      <c r="Q103" s="5">
        <v>34</v>
      </c>
      <c r="R103" s="5">
        <v>16</v>
      </c>
      <c r="S103" s="5">
        <v>18</v>
      </c>
      <c r="T103" s="5">
        <v>5</v>
      </c>
    </row>
    <row r="104" spans="1:20" hidden="1" x14ac:dyDescent="0.3">
      <c r="A104" s="15" t="s">
        <v>584</v>
      </c>
      <c r="B104" s="14" t="s">
        <v>2151</v>
      </c>
      <c r="C104" s="5">
        <v>7.02</v>
      </c>
      <c r="D104" s="5" t="s">
        <v>0</v>
      </c>
      <c r="E104" s="5" t="s">
        <v>237</v>
      </c>
      <c r="F104" s="5">
        <v>12</v>
      </c>
      <c r="G104" s="5" t="s">
        <v>286</v>
      </c>
      <c r="H104" s="5" t="s">
        <v>2169</v>
      </c>
      <c r="K104" s="5">
        <v>45</v>
      </c>
      <c r="L104" s="5">
        <v>16</v>
      </c>
      <c r="P104" s="5">
        <v>6</v>
      </c>
      <c r="Q104" s="5">
        <v>14</v>
      </c>
      <c r="R104" s="5">
        <v>20</v>
      </c>
      <c r="S104" s="5">
        <v>10</v>
      </c>
      <c r="T104" s="5">
        <v>6</v>
      </c>
    </row>
    <row r="105" spans="1:20" hidden="1" x14ac:dyDescent="0.3">
      <c r="A105" s="15" t="s">
        <v>2206</v>
      </c>
      <c r="B105" s="14" t="s">
        <v>2151</v>
      </c>
      <c r="C105" s="5">
        <v>12.285</v>
      </c>
      <c r="D105" s="5" t="s">
        <v>0</v>
      </c>
      <c r="E105" s="5" t="s">
        <v>237</v>
      </c>
      <c r="F105" s="5">
        <v>21</v>
      </c>
      <c r="G105" s="5" t="s">
        <v>83</v>
      </c>
      <c r="H105" s="5" t="s">
        <v>2178</v>
      </c>
      <c r="J105" s="5">
        <v>68</v>
      </c>
      <c r="K105" s="5">
        <v>0</v>
      </c>
      <c r="L105" s="5">
        <v>24</v>
      </c>
      <c r="P105" s="5">
        <v>18</v>
      </c>
      <c r="Q105" s="5">
        <v>36</v>
      </c>
      <c r="R105" s="5">
        <v>12</v>
      </c>
      <c r="S105" s="5">
        <v>6</v>
      </c>
      <c r="T105" s="5">
        <v>4</v>
      </c>
    </row>
    <row r="106" spans="1:20" hidden="1" x14ac:dyDescent="0.3">
      <c r="A106" s="15" t="s">
        <v>2207</v>
      </c>
      <c r="B106" s="14" t="s">
        <v>2151</v>
      </c>
      <c r="C106" s="5">
        <v>7.02</v>
      </c>
      <c r="D106" s="5" t="s">
        <v>0</v>
      </c>
      <c r="E106" s="5" t="s">
        <v>237</v>
      </c>
      <c r="F106" s="5">
        <v>12</v>
      </c>
      <c r="G106" s="5" t="s">
        <v>286</v>
      </c>
      <c r="H106" s="5" t="s">
        <v>2169</v>
      </c>
      <c r="K106" s="5">
        <v>34</v>
      </c>
      <c r="L106" s="5">
        <v>12</v>
      </c>
      <c r="P106" s="5">
        <v>6</v>
      </c>
      <c r="Q106" s="5">
        <v>18</v>
      </c>
      <c r="R106" s="5">
        <v>12</v>
      </c>
      <c r="S106" s="5">
        <v>9</v>
      </c>
      <c r="T106" s="5">
        <v>4</v>
      </c>
    </row>
    <row r="107" spans="1:20" hidden="1" x14ac:dyDescent="0.3">
      <c r="A107" s="15" t="s">
        <v>594</v>
      </c>
      <c r="B107" s="14" t="s">
        <v>2151</v>
      </c>
      <c r="C107" s="5">
        <v>10.53</v>
      </c>
      <c r="D107" s="5" t="s">
        <v>0</v>
      </c>
      <c r="E107" s="5" t="s">
        <v>237</v>
      </c>
      <c r="F107" s="5">
        <v>18</v>
      </c>
      <c r="G107" s="5" t="s">
        <v>364</v>
      </c>
      <c r="H107" s="5" t="s">
        <v>2169</v>
      </c>
      <c r="K107" s="5">
        <v>45</v>
      </c>
      <c r="L107" s="5">
        <v>16</v>
      </c>
      <c r="P107" s="5">
        <v>8</v>
      </c>
      <c r="Q107" s="5">
        <v>28</v>
      </c>
      <c r="R107" s="5">
        <v>16</v>
      </c>
      <c r="S107" s="5">
        <v>14</v>
      </c>
      <c r="T107" s="5">
        <v>5</v>
      </c>
    </row>
    <row r="108" spans="1:20" hidden="1" x14ac:dyDescent="0.3">
      <c r="A108" s="15" t="s">
        <v>2208</v>
      </c>
      <c r="B108" s="14" t="s">
        <v>2151</v>
      </c>
      <c r="C108" s="5">
        <v>11.7</v>
      </c>
      <c r="D108" s="5" t="s">
        <v>0</v>
      </c>
      <c r="E108" s="5" t="s">
        <v>237</v>
      </c>
      <c r="F108" s="5">
        <v>20</v>
      </c>
      <c r="G108" s="5" t="s">
        <v>111</v>
      </c>
      <c r="H108" s="5" t="s">
        <v>2170</v>
      </c>
      <c r="I108" s="5">
        <v>75</v>
      </c>
      <c r="K108" s="5">
        <v>0</v>
      </c>
      <c r="L108" s="5">
        <v>24</v>
      </c>
      <c r="P108" s="5">
        <v>6</v>
      </c>
      <c r="Q108" s="5">
        <v>24</v>
      </c>
      <c r="R108" s="5">
        <v>36</v>
      </c>
      <c r="S108" s="5">
        <v>16</v>
      </c>
      <c r="T108" s="5">
        <v>10</v>
      </c>
    </row>
    <row r="109" spans="1:20" hidden="1" x14ac:dyDescent="0.3">
      <c r="A109" s="15" t="s">
        <v>604</v>
      </c>
      <c r="B109" s="14" t="s">
        <v>2151</v>
      </c>
      <c r="C109" s="5">
        <v>7.02</v>
      </c>
      <c r="D109" s="5" t="s">
        <v>0</v>
      </c>
      <c r="E109" s="5" t="s">
        <v>237</v>
      </c>
      <c r="F109" s="5">
        <v>12</v>
      </c>
      <c r="G109" s="5" t="s">
        <v>286</v>
      </c>
      <c r="H109" s="5" t="s">
        <v>2178</v>
      </c>
      <c r="J109" s="5">
        <v>34</v>
      </c>
      <c r="K109" s="5">
        <v>0</v>
      </c>
      <c r="L109" s="5">
        <v>12</v>
      </c>
      <c r="P109" s="5">
        <v>0</v>
      </c>
      <c r="Q109" s="5">
        <v>12</v>
      </c>
      <c r="R109" s="5">
        <v>24</v>
      </c>
      <c r="S109" s="5">
        <v>6</v>
      </c>
      <c r="T109" s="5">
        <v>7</v>
      </c>
    </row>
    <row r="110" spans="1:20" hidden="1" x14ac:dyDescent="0.3">
      <c r="A110" s="15" t="s">
        <v>609</v>
      </c>
      <c r="B110" s="14" t="s">
        <v>2151</v>
      </c>
      <c r="C110" s="5">
        <v>15.21</v>
      </c>
      <c r="D110" s="5" t="s">
        <v>0</v>
      </c>
      <c r="E110" s="5" t="s">
        <v>237</v>
      </c>
      <c r="F110" s="5">
        <v>26.000000000000004</v>
      </c>
      <c r="G110" s="5" t="s">
        <v>143</v>
      </c>
      <c r="H110" s="5" t="s">
        <v>2169</v>
      </c>
      <c r="K110" s="5">
        <v>79</v>
      </c>
      <c r="L110" s="5">
        <v>28</v>
      </c>
      <c r="P110" s="5">
        <v>20</v>
      </c>
      <c r="Q110" s="5">
        <v>44</v>
      </c>
      <c r="R110" s="5">
        <v>16</v>
      </c>
      <c r="S110" s="5">
        <v>22</v>
      </c>
      <c r="T110" s="5">
        <v>5</v>
      </c>
    </row>
    <row r="111" spans="1:20" hidden="1" x14ac:dyDescent="0.3">
      <c r="A111" s="15" t="s">
        <v>940</v>
      </c>
      <c r="B111" s="14" t="s">
        <v>2151</v>
      </c>
      <c r="C111" s="5">
        <v>10.53</v>
      </c>
      <c r="D111" s="5" t="s">
        <v>0</v>
      </c>
      <c r="E111" s="5" t="s">
        <v>237</v>
      </c>
      <c r="F111" s="5">
        <v>18</v>
      </c>
      <c r="G111" s="5" t="s">
        <v>364</v>
      </c>
      <c r="H111" s="5" t="s">
        <v>2169</v>
      </c>
      <c r="K111" s="5">
        <v>56</v>
      </c>
      <c r="L111" s="5">
        <v>20</v>
      </c>
      <c r="P111" s="5">
        <v>12</v>
      </c>
      <c r="Q111" s="5">
        <v>28</v>
      </c>
      <c r="R111" s="5">
        <v>16</v>
      </c>
      <c r="S111" s="5">
        <v>14</v>
      </c>
      <c r="T111" s="5">
        <v>5</v>
      </c>
    </row>
    <row r="112" spans="1:20" hidden="1" x14ac:dyDescent="0.3">
      <c r="A112" s="15" t="s">
        <v>614</v>
      </c>
      <c r="B112" s="14" t="s">
        <v>2151</v>
      </c>
      <c r="C112" s="5">
        <v>17.55</v>
      </c>
      <c r="D112" s="5" t="s">
        <v>0</v>
      </c>
      <c r="E112" s="5" t="s">
        <v>237</v>
      </c>
      <c r="F112" s="5">
        <v>30.000000000000004</v>
      </c>
      <c r="G112" s="5" t="s">
        <v>143</v>
      </c>
      <c r="H112" s="5" t="s">
        <v>2209</v>
      </c>
      <c r="K112" s="5">
        <v>56</v>
      </c>
      <c r="L112" s="5">
        <v>20</v>
      </c>
      <c r="P112" s="5">
        <v>20</v>
      </c>
      <c r="Q112" s="5">
        <v>50</v>
      </c>
      <c r="R112" s="5">
        <v>20</v>
      </c>
      <c r="S112" s="5">
        <v>25</v>
      </c>
      <c r="T112" s="5">
        <v>6</v>
      </c>
    </row>
    <row r="113" spans="1:22" hidden="1" x14ac:dyDescent="0.3">
      <c r="A113" s="15" t="s">
        <v>619</v>
      </c>
      <c r="B113" s="14" t="s">
        <v>2151</v>
      </c>
      <c r="C113" s="5">
        <v>10.53</v>
      </c>
      <c r="D113" s="5" t="s">
        <v>0</v>
      </c>
      <c r="E113" s="5" t="s">
        <v>237</v>
      </c>
      <c r="F113" s="5">
        <v>18</v>
      </c>
      <c r="G113" s="5" t="s">
        <v>364</v>
      </c>
      <c r="H113" s="5" t="s">
        <v>2169</v>
      </c>
      <c r="K113" s="5">
        <v>62</v>
      </c>
      <c r="L113" s="5">
        <v>22</v>
      </c>
      <c r="P113" s="5">
        <v>11</v>
      </c>
      <c r="Q113" s="5">
        <v>28</v>
      </c>
      <c r="R113" s="5">
        <v>18</v>
      </c>
      <c r="S113" s="5">
        <v>14</v>
      </c>
      <c r="T113" s="5">
        <v>6</v>
      </c>
    </row>
    <row r="114" spans="1:22" hidden="1" x14ac:dyDescent="0.3">
      <c r="A114" s="15" t="s">
        <v>2191</v>
      </c>
      <c r="B114" s="14" t="s">
        <v>2151</v>
      </c>
      <c r="C114" s="5">
        <v>7.02</v>
      </c>
      <c r="D114" s="5" t="s">
        <v>0</v>
      </c>
      <c r="E114" s="5" t="s">
        <v>237</v>
      </c>
      <c r="F114" s="5">
        <v>12</v>
      </c>
      <c r="G114" s="5" t="s">
        <v>286</v>
      </c>
      <c r="H114" s="5" t="s">
        <v>2178</v>
      </c>
      <c r="J114" s="5">
        <v>34</v>
      </c>
      <c r="K114" s="5">
        <v>0</v>
      </c>
      <c r="L114" s="5">
        <v>12</v>
      </c>
      <c r="P114" s="5">
        <v>4</v>
      </c>
      <c r="Q114" s="5">
        <v>16</v>
      </c>
      <c r="R114" s="5">
        <v>16</v>
      </c>
      <c r="S114" s="5">
        <v>8</v>
      </c>
      <c r="T114" s="5">
        <v>5</v>
      </c>
    </row>
    <row r="115" spans="1:22" hidden="1" x14ac:dyDescent="0.3">
      <c r="A115" s="15" t="s">
        <v>630</v>
      </c>
      <c r="B115" s="14" t="s">
        <v>2151</v>
      </c>
      <c r="C115" s="5">
        <v>15.21</v>
      </c>
      <c r="D115" s="5" t="s">
        <v>0</v>
      </c>
      <c r="E115" s="5" t="s">
        <v>237</v>
      </c>
      <c r="F115" s="5">
        <v>26.000000000000004</v>
      </c>
      <c r="G115" s="5" t="s">
        <v>143</v>
      </c>
      <c r="H115" s="5" t="s">
        <v>2178</v>
      </c>
      <c r="J115" s="5">
        <v>79</v>
      </c>
      <c r="K115" s="5">
        <v>0</v>
      </c>
      <c r="L115" s="5">
        <v>28</v>
      </c>
      <c r="P115" s="5">
        <v>14</v>
      </c>
      <c r="Q115" s="5">
        <v>38</v>
      </c>
      <c r="R115" s="5">
        <v>28</v>
      </c>
      <c r="S115" s="5">
        <v>20</v>
      </c>
      <c r="T115" s="5">
        <v>8</v>
      </c>
    </row>
    <row r="116" spans="1:22" hidden="1" x14ac:dyDescent="0.3">
      <c r="A116" s="15" t="s">
        <v>635</v>
      </c>
      <c r="B116" s="14" t="s">
        <v>2151</v>
      </c>
      <c r="C116" s="5">
        <v>11.7</v>
      </c>
      <c r="D116" s="5" t="s">
        <v>0</v>
      </c>
      <c r="E116" s="5" t="s">
        <v>237</v>
      </c>
      <c r="F116" s="5">
        <v>20</v>
      </c>
      <c r="G116" s="5" t="s">
        <v>111</v>
      </c>
      <c r="H116" s="5" t="s">
        <v>2169</v>
      </c>
      <c r="K116" s="5">
        <v>79</v>
      </c>
      <c r="L116" s="5">
        <v>28</v>
      </c>
      <c r="P116" s="5">
        <v>8</v>
      </c>
      <c r="Q116" s="5">
        <v>20</v>
      </c>
      <c r="R116" s="5">
        <v>40</v>
      </c>
      <c r="S116" s="5">
        <v>10</v>
      </c>
      <c r="T116" s="5">
        <v>10</v>
      </c>
    </row>
    <row r="117" spans="1:22" hidden="1" x14ac:dyDescent="0.3">
      <c r="A117" s="15" t="s">
        <v>695</v>
      </c>
      <c r="B117" s="14" t="s">
        <v>2151</v>
      </c>
      <c r="C117" s="5" t="s">
        <v>71</v>
      </c>
      <c r="D117" s="5" t="s">
        <v>0</v>
      </c>
      <c r="E117" s="5" t="s">
        <v>14</v>
      </c>
      <c r="F117" s="5">
        <v>10.53</v>
      </c>
      <c r="G117" s="5" t="s">
        <v>237</v>
      </c>
      <c r="H117" s="5" t="s">
        <v>2114</v>
      </c>
      <c r="I117" s="5">
        <v>0</v>
      </c>
      <c r="J117" s="5">
        <v>0</v>
      </c>
      <c r="K117" s="5">
        <v>70</v>
      </c>
      <c r="L117" s="5">
        <v>24</v>
      </c>
      <c r="M117" s="5">
        <v>0</v>
      </c>
      <c r="N117" s="5">
        <v>0</v>
      </c>
      <c r="O117" s="5">
        <v>0</v>
      </c>
      <c r="P117" s="5">
        <v>2</v>
      </c>
      <c r="Q117" s="5">
        <v>14</v>
      </c>
      <c r="R117" s="5">
        <v>44</v>
      </c>
      <c r="S117" s="5">
        <v>24</v>
      </c>
      <c r="T117" s="5">
        <v>11</v>
      </c>
      <c r="V117" s="5">
        <v>0</v>
      </c>
    </row>
    <row r="118" spans="1:22" hidden="1" x14ac:dyDescent="0.3">
      <c r="A118" s="15" t="s">
        <v>727</v>
      </c>
      <c r="B118" s="14" t="s">
        <v>2151</v>
      </c>
      <c r="C118" s="5" t="s">
        <v>71</v>
      </c>
      <c r="D118" s="5" t="s">
        <v>0</v>
      </c>
      <c r="E118" s="5" t="s">
        <v>14</v>
      </c>
      <c r="F118" s="5">
        <v>9.36</v>
      </c>
      <c r="G118" s="5" t="s">
        <v>237</v>
      </c>
      <c r="H118" s="5" t="s">
        <v>2114</v>
      </c>
      <c r="I118" s="5">
        <v>0</v>
      </c>
      <c r="J118" s="5">
        <v>0</v>
      </c>
      <c r="K118" s="5">
        <v>40</v>
      </c>
      <c r="L118" s="5">
        <v>16</v>
      </c>
      <c r="M118" s="5">
        <v>0</v>
      </c>
      <c r="N118" s="5">
        <v>0</v>
      </c>
      <c r="O118" s="5">
        <v>0</v>
      </c>
      <c r="P118" s="5">
        <v>8</v>
      </c>
      <c r="Q118" s="5">
        <v>24</v>
      </c>
      <c r="R118" s="5">
        <v>16</v>
      </c>
      <c r="S118" s="5">
        <v>16</v>
      </c>
      <c r="T118" s="5">
        <v>4</v>
      </c>
      <c r="V118" s="5">
        <v>0</v>
      </c>
    </row>
    <row r="119" spans="1:22" x14ac:dyDescent="0.3">
      <c r="A119" s="20" t="s">
        <v>897</v>
      </c>
      <c r="B119" s="14" t="s">
        <v>2151</v>
      </c>
      <c r="C119" s="5" t="s">
        <v>124</v>
      </c>
      <c r="D119" s="5" t="s">
        <v>1</v>
      </c>
      <c r="E119" s="5" t="s">
        <v>14</v>
      </c>
      <c r="F119" s="5">
        <v>67.275000000000006</v>
      </c>
      <c r="G119" s="5" t="s">
        <v>890</v>
      </c>
      <c r="H119" s="5" t="s">
        <v>2116</v>
      </c>
      <c r="I119" s="5">
        <v>0</v>
      </c>
      <c r="J119" s="5">
        <v>260</v>
      </c>
      <c r="K119" s="5">
        <v>0</v>
      </c>
      <c r="L119" s="5">
        <v>6</v>
      </c>
      <c r="M119" s="5">
        <v>4</v>
      </c>
      <c r="N119" s="5">
        <v>44</v>
      </c>
      <c r="O119" s="5">
        <v>8</v>
      </c>
      <c r="P119" s="5">
        <v>46</v>
      </c>
      <c r="Q119" s="5">
        <v>214</v>
      </c>
      <c r="R119" s="5">
        <v>32</v>
      </c>
      <c r="S119" s="5">
        <v>120</v>
      </c>
      <c r="T119" s="5">
        <v>8</v>
      </c>
      <c r="V119" s="5">
        <v>0</v>
      </c>
    </row>
    <row r="120" spans="1:22" x14ac:dyDescent="0.3">
      <c r="A120" s="20" t="s">
        <v>906</v>
      </c>
      <c r="B120" s="14" t="s">
        <v>2151</v>
      </c>
      <c r="C120" s="5" t="s">
        <v>124</v>
      </c>
      <c r="D120" s="5" t="s">
        <v>1</v>
      </c>
      <c r="E120" s="5" t="s">
        <v>14</v>
      </c>
      <c r="F120" s="5">
        <v>26.55</v>
      </c>
      <c r="G120" s="5" t="s">
        <v>243</v>
      </c>
      <c r="H120" s="5" t="s">
        <v>2116</v>
      </c>
      <c r="I120" s="5">
        <v>0</v>
      </c>
      <c r="J120" s="5">
        <v>112</v>
      </c>
      <c r="K120" s="5">
        <v>0</v>
      </c>
      <c r="L120" s="5">
        <v>0</v>
      </c>
      <c r="M120" s="5">
        <v>0</v>
      </c>
      <c r="N120" s="5">
        <v>0</v>
      </c>
      <c r="O120" s="5">
        <v>30</v>
      </c>
      <c r="P120" s="5">
        <v>8</v>
      </c>
      <c r="Q120" s="5">
        <v>68</v>
      </c>
      <c r="R120" s="5">
        <v>44</v>
      </c>
      <c r="S120" s="5">
        <v>52</v>
      </c>
      <c r="T120" s="5">
        <v>11</v>
      </c>
      <c r="V120" s="5">
        <v>0</v>
      </c>
    </row>
    <row r="121" spans="1:22" x14ac:dyDescent="0.3">
      <c r="A121" s="15" t="s">
        <v>889</v>
      </c>
      <c r="B121" s="14" t="s">
        <v>2151</v>
      </c>
      <c r="C121" s="5" t="s">
        <v>124</v>
      </c>
      <c r="D121" s="5" t="s">
        <v>1</v>
      </c>
      <c r="E121" s="5" t="s">
        <v>14</v>
      </c>
      <c r="F121" s="5">
        <v>109.395</v>
      </c>
      <c r="G121" s="5" t="s">
        <v>890</v>
      </c>
      <c r="H121" s="5" t="s">
        <v>2116</v>
      </c>
      <c r="I121" s="5">
        <v>0</v>
      </c>
      <c r="J121" s="5">
        <v>412</v>
      </c>
      <c r="K121" s="5">
        <v>0</v>
      </c>
      <c r="L121" s="5">
        <v>2</v>
      </c>
      <c r="M121" s="5">
        <v>32</v>
      </c>
      <c r="N121" s="5">
        <v>46</v>
      </c>
      <c r="O121" s="5">
        <v>14</v>
      </c>
      <c r="P121" s="5">
        <v>72</v>
      </c>
      <c r="Q121" s="5">
        <v>352</v>
      </c>
      <c r="R121" s="5">
        <v>44</v>
      </c>
      <c r="S121" s="5">
        <v>194</v>
      </c>
      <c r="T121" s="5">
        <v>11</v>
      </c>
      <c r="V121" s="5">
        <v>0</v>
      </c>
    </row>
    <row r="122" spans="1:22" x14ac:dyDescent="0.3">
      <c r="A122" s="15" t="s">
        <v>894</v>
      </c>
      <c r="B122" s="14" t="s">
        <v>2151</v>
      </c>
      <c r="C122" s="5" t="s">
        <v>124</v>
      </c>
      <c r="D122" s="5" t="s">
        <v>1</v>
      </c>
      <c r="E122" s="5" t="s">
        <v>14</v>
      </c>
      <c r="F122" s="5">
        <v>26.91</v>
      </c>
      <c r="G122" s="5" t="s">
        <v>890</v>
      </c>
      <c r="H122" s="5" t="s">
        <v>2116</v>
      </c>
      <c r="I122" s="5">
        <v>0</v>
      </c>
      <c r="J122" s="5">
        <v>104</v>
      </c>
      <c r="K122" s="5">
        <v>0</v>
      </c>
      <c r="L122" s="5">
        <v>0</v>
      </c>
      <c r="M122" s="5">
        <v>0</v>
      </c>
      <c r="N122" s="5">
        <v>20</v>
      </c>
      <c r="O122" s="5">
        <v>4</v>
      </c>
      <c r="P122" s="5">
        <v>16</v>
      </c>
      <c r="Q122" s="5">
        <v>84</v>
      </c>
      <c r="R122" s="5">
        <v>16</v>
      </c>
      <c r="S122" s="5">
        <v>48</v>
      </c>
      <c r="T122" s="5">
        <v>4</v>
      </c>
      <c r="V122" s="5">
        <v>0</v>
      </c>
    </row>
    <row r="123" spans="1:22" x14ac:dyDescent="0.3">
      <c r="A123" s="15" t="s">
        <v>564</v>
      </c>
      <c r="B123" s="14" t="s">
        <v>2151</v>
      </c>
      <c r="C123" s="5" t="s">
        <v>124</v>
      </c>
      <c r="D123" s="5" t="s">
        <v>1</v>
      </c>
      <c r="E123" s="5" t="s">
        <v>14</v>
      </c>
      <c r="F123" s="5">
        <v>37.44</v>
      </c>
      <c r="G123" s="5" t="s">
        <v>237</v>
      </c>
      <c r="H123" s="5" t="s">
        <v>2116</v>
      </c>
      <c r="I123" s="5">
        <v>0</v>
      </c>
      <c r="J123" s="5">
        <v>144</v>
      </c>
      <c r="K123" s="5">
        <v>0</v>
      </c>
      <c r="L123" s="5">
        <v>0</v>
      </c>
      <c r="M123" s="5">
        <v>0</v>
      </c>
      <c r="N123" s="5">
        <v>32</v>
      </c>
      <c r="O123" s="5">
        <v>0</v>
      </c>
      <c r="P123" s="5">
        <v>16</v>
      </c>
      <c r="Q123" s="5">
        <v>112</v>
      </c>
      <c r="R123" s="5">
        <v>32</v>
      </c>
      <c r="S123" s="5">
        <v>64</v>
      </c>
      <c r="T123" s="5">
        <v>8</v>
      </c>
      <c r="V123" s="5">
        <v>0</v>
      </c>
    </row>
    <row r="124" spans="1:22" x14ac:dyDescent="0.3">
      <c r="A124" s="15" t="s">
        <v>902</v>
      </c>
      <c r="B124" s="14" t="s">
        <v>2151</v>
      </c>
      <c r="C124" s="5" t="s">
        <v>124</v>
      </c>
      <c r="D124" s="5" t="s">
        <v>1</v>
      </c>
      <c r="E124" s="5" t="s">
        <v>14</v>
      </c>
      <c r="F124" s="5">
        <v>107.64</v>
      </c>
      <c r="G124" s="5" t="s">
        <v>237</v>
      </c>
      <c r="H124" s="5" t="s">
        <v>2116</v>
      </c>
      <c r="I124" s="5">
        <v>0</v>
      </c>
      <c r="J124" s="5">
        <v>418</v>
      </c>
      <c r="K124" s="5">
        <v>0</v>
      </c>
      <c r="L124" s="5">
        <v>0</v>
      </c>
      <c r="M124" s="5">
        <v>0</v>
      </c>
      <c r="N124" s="5">
        <v>92</v>
      </c>
      <c r="O124" s="5">
        <v>0</v>
      </c>
      <c r="P124" s="5">
        <v>42</v>
      </c>
      <c r="Q124" s="5">
        <v>318</v>
      </c>
      <c r="R124" s="5">
        <v>100</v>
      </c>
      <c r="S124" s="5">
        <v>184</v>
      </c>
      <c r="T124" s="5">
        <v>25</v>
      </c>
      <c r="V124" s="5">
        <v>0</v>
      </c>
    </row>
    <row r="125" spans="1:22" x14ac:dyDescent="0.3">
      <c r="A125" s="15" t="s">
        <v>908</v>
      </c>
      <c r="B125" s="14" t="s">
        <v>2151</v>
      </c>
      <c r="C125" s="5" t="s">
        <v>124</v>
      </c>
      <c r="D125" s="5" t="s">
        <v>1</v>
      </c>
      <c r="E125" s="5" t="s">
        <v>14</v>
      </c>
      <c r="F125" s="5">
        <v>26.55</v>
      </c>
      <c r="G125" s="5" t="s">
        <v>243</v>
      </c>
      <c r="H125" s="5" t="s">
        <v>2116</v>
      </c>
      <c r="I125" s="5">
        <v>0</v>
      </c>
      <c r="J125" s="5">
        <v>100</v>
      </c>
      <c r="K125" s="5">
        <v>0</v>
      </c>
      <c r="L125" s="5">
        <v>0</v>
      </c>
      <c r="M125" s="5">
        <v>20</v>
      </c>
      <c r="N125" s="5">
        <v>0</v>
      </c>
      <c r="O125" s="5">
        <v>0</v>
      </c>
      <c r="P125" s="5">
        <v>10</v>
      </c>
      <c r="Q125" s="5">
        <v>80</v>
      </c>
      <c r="R125" s="5">
        <v>20</v>
      </c>
      <c r="S125" s="5">
        <v>50</v>
      </c>
      <c r="T125" s="5">
        <v>5</v>
      </c>
      <c r="V125" s="5">
        <v>0</v>
      </c>
    </row>
    <row r="126" spans="1:22" ht="36" hidden="1" customHeight="1" x14ac:dyDescent="0.3">
      <c r="A126" s="15" t="s">
        <v>1033</v>
      </c>
      <c r="B126" s="14" t="s">
        <v>2151</v>
      </c>
      <c r="C126" s="5" t="s">
        <v>71</v>
      </c>
      <c r="D126" s="5" t="s">
        <v>0</v>
      </c>
      <c r="E126" s="5" t="s">
        <v>14</v>
      </c>
      <c r="F126" s="5">
        <v>12.98</v>
      </c>
      <c r="G126" s="5" t="s">
        <v>243</v>
      </c>
      <c r="H126" s="5" t="s">
        <v>2114</v>
      </c>
      <c r="I126" s="5">
        <v>0</v>
      </c>
      <c r="J126" s="5">
        <v>0</v>
      </c>
      <c r="K126" s="5">
        <v>60</v>
      </c>
      <c r="L126" s="5">
        <v>24</v>
      </c>
      <c r="M126" s="5">
        <v>0</v>
      </c>
      <c r="N126" s="5">
        <v>0</v>
      </c>
      <c r="O126" s="5">
        <v>0</v>
      </c>
      <c r="P126" s="5">
        <v>16</v>
      </c>
      <c r="Q126" s="5">
        <v>36</v>
      </c>
      <c r="R126" s="5">
        <v>16</v>
      </c>
      <c r="S126" s="5">
        <v>24</v>
      </c>
      <c r="T126" s="5">
        <v>4</v>
      </c>
      <c r="V126" s="5">
        <v>0</v>
      </c>
    </row>
    <row r="127" spans="1:22" ht="36" hidden="1" customHeight="1" x14ac:dyDescent="0.3">
      <c r="A127" s="15" t="s">
        <v>1038</v>
      </c>
      <c r="B127" s="14" t="s">
        <v>2151</v>
      </c>
      <c r="C127" s="5" t="s">
        <v>71</v>
      </c>
      <c r="D127" s="5" t="s">
        <v>0</v>
      </c>
      <c r="E127" s="5" t="s">
        <v>14</v>
      </c>
      <c r="F127" s="5">
        <v>15.34</v>
      </c>
      <c r="G127" s="5" t="s">
        <v>243</v>
      </c>
      <c r="H127" s="5" t="s">
        <v>2114</v>
      </c>
      <c r="I127" s="5">
        <v>0</v>
      </c>
      <c r="J127" s="5">
        <v>0</v>
      </c>
      <c r="K127" s="5">
        <v>60</v>
      </c>
      <c r="L127" s="5">
        <v>24</v>
      </c>
      <c r="M127" s="5">
        <v>0</v>
      </c>
      <c r="N127" s="5">
        <v>0</v>
      </c>
      <c r="O127" s="5">
        <v>0</v>
      </c>
      <c r="P127" s="5">
        <v>16</v>
      </c>
      <c r="Q127" s="5">
        <v>44</v>
      </c>
      <c r="R127" s="5">
        <v>16</v>
      </c>
      <c r="S127" s="5">
        <v>28</v>
      </c>
      <c r="T127" s="5">
        <v>4</v>
      </c>
      <c r="V127" s="5">
        <v>0</v>
      </c>
    </row>
    <row r="128" spans="1:22" ht="36" hidden="1" customHeight="1" x14ac:dyDescent="0.3">
      <c r="A128" s="15" t="s">
        <v>1043</v>
      </c>
      <c r="B128" s="14" t="s">
        <v>2151</v>
      </c>
      <c r="C128" s="5" t="s">
        <v>71</v>
      </c>
      <c r="D128" s="5" t="s">
        <v>0</v>
      </c>
      <c r="E128" s="5" t="s">
        <v>14</v>
      </c>
      <c r="F128" s="5">
        <v>14.16</v>
      </c>
      <c r="G128" s="5" t="s">
        <v>243</v>
      </c>
      <c r="H128" s="5" t="s">
        <v>2114</v>
      </c>
      <c r="I128" s="5">
        <v>0</v>
      </c>
      <c r="J128" s="5">
        <v>0</v>
      </c>
      <c r="K128" s="5">
        <v>98</v>
      </c>
      <c r="L128" s="5">
        <v>36</v>
      </c>
      <c r="M128" s="5">
        <v>0</v>
      </c>
      <c r="N128" s="5">
        <v>0</v>
      </c>
      <c r="O128" s="5">
        <v>0</v>
      </c>
      <c r="P128" s="5">
        <v>16</v>
      </c>
      <c r="Q128" s="5">
        <v>28</v>
      </c>
      <c r="R128" s="5">
        <v>40</v>
      </c>
      <c r="S128" s="5">
        <v>34</v>
      </c>
      <c r="T128" s="5">
        <v>10</v>
      </c>
      <c r="V128" s="5">
        <v>0</v>
      </c>
    </row>
    <row r="129" spans="1:22" ht="36" hidden="1" customHeight="1" x14ac:dyDescent="0.3">
      <c r="A129" s="15" t="s">
        <v>254</v>
      </c>
      <c r="B129" s="14" t="s">
        <v>2151</v>
      </c>
      <c r="C129" s="5" t="s">
        <v>71</v>
      </c>
      <c r="D129" s="5" t="s">
        <v>0</v>
      </c>
      <c r="E129" s="5" t="s">
        <v>14</v>
      </c>
      <c r="F129" s="5">
        <v>13.8</v>
      </c>
      <c r="G129" s="5" t="s">
        <v>74</v>
      </c>
      <c r="H129" s="5" t="s">
        <v>2114</v>
      </c>
      <c r="I129" s="5">
        <v>0</v>
      </c>
      <c r="J129" s="5">
        <v>0</v>
      </c>
      <c r="K129" s="5">
        <v>72</v>
      </c>
      <c r="L129" s="5">
        <v>28</v>
      </c>
      <c r="M129" s="5">
        <v>0</v>
      </c>
      <c r="N129" s="5">
        <v>0</v>
      </c>
      <c r="O129" s="5">
        <v>0</v>
      </c>
      <c r="P129" s="5">
        <v>20</v>
      </c>
      <c r="Q129" s="5">
        <v>40</v>
      </c>
      <c r="R129" s="5">
        <v>16</v>
      </c>
      <c r="S129" s="5">
        <v>28</v>
      </c>
      <c r="T129" s="5">
        <v>4</v>
      </c>
      <c r="V129" s="5">
        <v>0</v>
      </c>
    </row>
    <row r="130" spans="1:22" ht="36" hidden="1" customHeight="1" x14ac:dyDescent="0.3">
      <c r="A130" s="15" t="s">
        <v>753</v>
      </c>
      <c r="B130" s="14" t="s">
        <v>2151</v>
      </c>
      <c r="C130" s="5" t="s">
        <v>71</v>
      </c>
      <c r="D130" s="5" t="s">
        <v>0</v>
      </c>
      <c r="E130" s="5" t="s">
        <v>14</v>
      </c>
      <c r="F130" s="5">
        <v>9.44</v>
      </c>
      <c r="G130" s="5" t="s">
        <v>243</v>
      </c>
      <c r="H130" s="5" t="s">
        <v>2116</v>
      </c>
      <c r="I130" s="5">
        <v>0</v>
      </c>
      <c r="J130" s="5">
        <v>80</v>
      </c>
      <c r="K130" s="5">
        <v>0</v>
      </c>
      <c r="L130" s="5">
        <v>32</v>
      </c>
      <c r="M130" s="5">
        <v>0</v>
      </c>
      <c r="N130" s="5">
        <v>0</v>
      </c>
      <c r="O130" s="5">
        <v>0</v>
      </c>
      <c r="P130" s="5">
        <v>24</v>
      </c>
      <c r="Q130" s="5">
        <v>24</v>
      </c>
      <c r="R130" s="5">
        <v>16</v>
      </c>
      <c r="S130" s="5">
        <v>16</v>
      </c>
      <c r="T130" s="5">
        <v>4</v>
      </c>
      <c r="V130" s="5">
        <v>0</v>
      </c>
    </row>
    <row r="131" spans="1:22" ht="36" hidden="1" customHeight="1" x14ac:dyDescent="0.3">
      <c r="A131" s="15" t="s">
        <v>915</v>
      </c>
      <c r="B131" s="14" t="s">
        <v>2151</v>
      </c>
      <c r="C131" s="5" t="s">
        <v>71</v>
      </c>
      <c r="D131" s="5" t="s">
        <v>0</v>
      </c>
      <c r="E131" s="5" t="s">
        <v>14</v>
      </c>
      <c r="F131" s="5">
        <v>11.7</v>
      </c>
      <c r="G131" s="5" t="s">
        <v>237</v>
      </c>
      <c r="H131" s="5" t="s">
        <v>2116</v>
      </c>
      <c r="I131" s="5">
        <v>0</v>
      </c>
      <c r="J131" s="5">
        <v>48</v>
      </c>
      <c r="K131" s="5">
        <v>0</v>
      </c>
      <c r="L131" s="5">
        <v>20</v>
      </c>
      <c r="M131" s="5">
        <v>0</v>
      </c>
      <c r="N131" s="5">
        <v>0</v>
      </c>
      <c r="O131" s="5">
        <v>0</v>
      </c>
      <c r="P131" s="5">
        <v>16</v>
      </c>
      <c r="Q131" s="5">
        <v>36</v>
      </c>
      <c r="R131" s="5">
        <v>8</v>
      </c>
      <c r="S131" s="5">
        <v>20</v>
      </c>
      <c r="T131" s="5">
        <v>2</v>
      </c>
      <c r="V131" s="5">
        <v>0</v>
      </c>
    </row>
    <row r="132" spans="1:22" ht="36" hidden="1" customHeight="1" x14ac:dyDescent="0.3">
      <c r="A132" s="15" t="s">
        <v>1060</v>
      </c>
      <c r="B132" s="14" t="s">
        <v>2151</v>
      </c>
      <c r="C132" s="5" t="s">
        <v>71</v>
      </c>
      <c r="D132" s="5" t="s">
        <v>0</v>
      </c>
      <c r="E132" s="5" t="s">
        <v>14</v>
      </c>
      <c r="F132" s="5">
        <v>17.7</v>
      </c>
      <c r="G132" s="5" t="s">
        <v>243</v>
      </c>
      <c r="H132" s="5" t="s">
        <v>2114</v>
      </c>
      <c r="I132" s="5">
        <v>0</v>
      </c>
      <c r="J132" s="5">
        <v>0</v>
      </c>
      <c r="K132" s="5">
        <v>70</v>
      </c>
      <c r="L132" s="5">
        <v>28</v>
      </c>
      <c r="M132" s="5">
        <v>0</v>
      </c>
      <c r="N132" s="5">
        <v>0</v>
      </c>
      <c r="O132" s="5">
        <v>0</v>
      </c>
      <c r="P132" s="5">
        <v>22</v>
      </c>
      <c r="Q132" s="5">
        <v>50</v>
      </c>
      <c r="R132" s="5">
        <v>12</v>
      </c>
      <c r="S132" s="5">
        <v>28</v>
      </c>
      <c r="T132" s="5">
        <v>3</v>
      </c>
      <c r="V132" s="5">
        <v>0</v>
      </c>
    </row>
    <row r="133" spans="1:22" ht="36" hidden="1" customHeight="1" x14ac:dyDescent="0.3">
      <c r="A133" s="15" t="s">
        <v>816</v>
      </c>
      <c r="B133" s="14" t="s">
        <v>2151</v>
      </c>
      <c r="C133" s="5" t="s">
        <v>71</v>
      </c>
      <c r="D133" s="5" t="s">
        <v>0</v>
      </c>
      <c r="E133" s="5" t="s">
        <v>14</v>
      </c>
      <c r="F133" s="5">
        <v>7.02</v>
      </c>
      <c r="G133" s="5" t="s">
        <v>237</v>
      </c>
      <c r="H133" s="5" t="s">
        <v>2114</v>
      </c>
      <c r="I133" s="5">
        <v>0</v>
      </c>
      <c r="J133" s="5">
        <v>0</v>
      </c>
      <c r="K133" s="5">
        <v>56</v>
      </c>
      <c r="L133" s="5">
        <v>20</v>
      </c>
      <c r="M133" s="5">
        <v>0</v>
      </c>
      <c r="N133" s="5">
        <v>0</v>
      </c>
      <c r="O133" s="5">
        <v>0</v>
      </c>
      <c r="P133" s="5">
        <v>4</v>
      </c>
      <c r="Q133" s="5">
        <v>8</v>
      </c>
      <c r="R133" s="5">
        <v>32</v>
      </c>
      <c r="S133" s="5">
        <v>20</v>
      </c>
      <c r="T133" s="5">
        <v>8</v>
      </c>
      <c r="V133" s="5">
        <v>0</v>
      </c>
    </row>
    <row r="134" spans="1:22" ht="36" hidden="1" customHeight="1" x14ac:dyDescent="0.3">
      <c r="A134" s="15" t="s">
        <v>803</v>
      </c>
      <c r="B134" s="14" t="s">
        <v>2151</v>
      </c>
      <c r="C134" s="5" t="s">
        <v>71</v>
      </c>
      <c r="D134" s="5" t="s">
        <v>0</v>
      </c>
      <c r="E134" s="5" t="s">
        <v>14</v>
      </c>
      <c r="F134" s="5">
        <v>17.55</v>
      </c>
      <c r="G134" s="5" t="s">
        <v>237</v>
      </c>
      <c r="H134" s="5" t="s">
        <v>2116</v>
      </c>
      <c r="I134" s="5">
        <v>0</v>
      </c>
      <c r="J134" s="5">
        <v>148</v>
      </c>
      <c r="K134" s="5">
        <v>0</v>
      </c>
      <c r="L134" s="5">
        <v>60</v>
      </c>
      <c r="M134" s="5">
        <v>0</v>
      </c>
      <c r="N134" s="5">
        <v>0</v>
      </c>
      <c r="O134" s="5">
        <v>0</v>
      </c>
      <c r="P134" s="5">
        <v>48</v>
      </c>
      <c r="Q134" s="5">
        <v>48</v>
      </c>
      <c r="R134" s="5">
        <v>24</v>
      </c>
      <c r="S134" s="5">
        <v>36</v>
      </c>
      <c r="T134" s="5">
        <v>6</v>
      </c>
      <c r="V134" s="5">
        <v>0</v>
      </c>
    </row>
    <row r="135" spans="1:22" ht="36" hidden="1" customHeight="1" x14ac:dyDescent="0.3">
      <c r="A135" s="15" t="s">
        <v>743</v>
      </c>
      <c r="B135" s="14" t="s">
        <v>2151</v>
      </c>
      <c r="C135" s="5" t="s">
        <v>71</v>
      </c>
      <c r="D135" s="5" t="s">
        <v>0</v>
      </c>
      <c r="E135" s="5" t="s">
        <v>14</v>
      </c>
      <c r="F135" s="5">
        <v>7.02</v>
      </c>
      <c r="G135" s="5" t="s">
        <v>237</v>
      </c>
      <c r="H135" s="5" t="s">
        <v>2114</v>
      </c>
      <c r="I135" s="5">
        <v>0</v>
      </c>
      <c r="J135" s="5">
        <v>0</v>
      </c>
      <c r="K135" s="5">
        <v>40</v>
      </c>
      <c r="L135" s="5">
        <v>16</v>
      </c>
      <c r="M135" s="5">
        <v>0</v>
      </c>
      <c r="N135" s="5">
        <v>0</v>
      </c>
      <c r="O135" s="5">
        <v>0</v>
      </c>
      <c r="P135" s="5">
        <v>8</v>
      </c>
      <c r="Q135" s="5">
        <v>16</v>
      </c>
      <c r="R135" s="5">
        <v>16</v>
      </c>
      <c r="S135" s="5">
        <v>16</v>
      </c>
      <c r="T135" s="5">
        <v>4</v>
      </c>
      <c r="V135" s="5">
        <v>0</v>
      </c>
    </row>
    <row r="136" spans="1:22" ht="36" hidden="1" customHeight="1" x14ac:dyDescent="0.3">
      <c r="A136" s="15" t="s">
        <v>821</v>
      </c>
      <c r="B136" s="14" t="s">
        <v>2151</v>
      </c>
      <c r="C136" s="5" t="s">
        <v>71</v>
      </c>
      <c r="D136" s="5" t="s">
        <v>0</v>
      </c>
      <c r="E136" s="5" t="s">
        <v>14</v>
      </c>
      <c r="F136" s="5">
        <v>8.26</v>
      </c>
      <c r="G136" s="5" t="s">
        <v>243</v>
      </c>
      <c r="H136" s="5" t="s">
        <v>2114</v>
      </c>
      <c r="I136" s="5">
        <v>0</v>
      </c>
      <c r="J136" s="5">
        <v>0</v>
      </c>
      <c r="K136" s="5">
        <v>50</v>
      </c>
      <c r="L136" s="5">
        <v>20</v>
      </c>
      <c r="M136" s="5">
        <v>0</v>
      </c>
      <c r="N136" s="5">
        <v>0</v>
      </c>
      <c r="O136" s="5">
        <v>0</v>
      </c>
      <c r="P136" s="5">
        <v>10</v>
      </c>
      <c r="Q136" s="5">
        <v>18</v>
      </c>
      <c r="R136" s="5">
        <v>20</v>
      </c>
      <c r="S136" s="5">
        <v>18</v>
      </c>
      <c r="T136" s="5">
        <v>5</v>
      </c>
      <c r="V136" s="5">
        <v>0</v>
      </c>
    </row>
    <row r="137" spans="1:22" ht="36" hidden="1" customHeight="1" x14ac:dyDescent="0.3">
      <c r="A137" s="15" t="s">
        <v>1055</v>
      </c>
      <c r="B137" s="14" t="s">
        <v>2151</v>
      </c>
      <c r="C137" s="5" t="s">
        <v>71</v>
      </c>
      <c r="D137" s="5" t="s">
        <v>0</v>
      </c>
      <c r="E137" s="5" t="s">
        <v>14</v>
      </c>
      <c r="F137" s="5">
        <v>9.44</v>
      </c>
      <c r="G137" s="5" t="s">
        <v>243</v>
      </c>
      <c r="H137" s="5" t="s">
        <v>2114</v>
      </c>
      <c r="I137" s="5">
        <v>0</v>
      </c>
      <c r="J137" s="5">
        <v>0</v>
      </c>
      <c r="K137" s="5">
        <v>40</v>
      </c>
      <c r="L137" s="5">
        <v>16</v>
      </c>
      <c r="M137" s="5">
        <v>0</v>
      </c>
      <c r="N137" s="5">
        <v>0</v>
      </c>
      <c r="O137" s="5">
        <v>0</v>
      </c>
      <c r="P137" s="5">
        <v>8</v>
      </c>
      <c r="Q137" s="5">
        <v>24</v>
      </c>
      <c r="R137" s="5">
        <v>16</v>
      </c>
      <c r="S137" s="5">
        <v>16</v>
      </c>
      <c r="T137" s="5">
        <v>4</v>
      </c>
      <c r="V137" s="5">
        <v>0</v>
      </c>
    </row>
    <row r="138" spans="1:22" hidden="1" x14ac:dyDescent="0.3">
      <c r="A138" s="15" t="s">
        <v>1081</v>
      </c>
      <c r="C138" s="5" t="s">
        <v>124</v>
      </c>
      <c r="D138" s="5" t="s">
        <v>1</v>
      </c>
      <c r="E138" s="5" t="s">
        <v>14</v>
      </c>
      <c r="F138" s="5">
        <v>14.16</v>
      </c>
      <c r="G138" s="5" t="s">
        <v>243</v>
      </c>
      <c r="H138" s="5" t="s">
        <v>2116</v>
      </c>
      <c r="I138" s="5">
        <v>0</v>
      </c>
      <c r="J138" s="5">
        <v>68</v>
      </c>
      <c r="K138" s="5">
        <v>0</v>
      </c>
      <c r="L138" s="5">
        <v>0</v>
      </c>
      <c r="M138" s="5">
        <v>8</v>
      </c>
      <c r="N138" s="5">
        <v>6</v>
      </c>
      <c r="O138" s="5">
        <v>0</v>
      </c>
      <c r="P138" s="5">
        <v>6</v>
      </c>
      <c r="Q138" s="5">
        <v>40</v>
      </c>
      <c r="R138" s="5">
        <v>16</v>
      </c>
      <c r="S138" s="5">
        <v>24</v>
      </c>
      <c r="T138" s="5">
        <v>4</v>
      </c>
      <c r="V138" s="5">
        <v>0</v>
      </c>
    </row>
    <row r="139" spans="1:22" hidden="1" x14ac:dyDescent="0.3">
      <c r="A139" s="15" t="s">
        <v>1243</v>
      </c>
      <c r="C139" s="5" t="s">
        <v>14</v>
      </c>
      <c r="D139" s="5" t="s">
        <v>1</v>
      </c>
      <c r="E139" s="5">
        <v>26.55</v>
      </c>
      <c r="F139" s="5">
        <v>26.55</v>
      </c>
      <c r="G139" s="5">
        <v>20</v>
      </c>
      <c r="H139" s="5" t="s">
        <v>2114</v>
      </c>
      <c r="I139" s="5">
        <v>0</v>
      </c>
      <c r="J139" s="5">
        <v>0</v>
      </c>
      <c r="K139" s="5">
        <v>120</v>
      </c>
      <c r="L139" s="5">
        <v>0</v>
      </c>
      <c r="M139" s="5">
        <v>0</v>
      </c>
      <c r="N139" s="5">
        <v>0</v>
      </c>
      <c r="O139" s="5">
        <v>30</v>
      </c>
      <c r="P139" s="5">
        <v>0</v>
      </c>
      <c r="Q139" s="5">
        <v>60</v>
      </c>
      <c r="R139" s="5">
        <v>60</v>
      </c>
      <c r="S139" s="5">
        <v>60</v>
      </c>
      <c r="T139" s="5">
        <v>15</v>
      </c>
      <c r="V139" s="5">
        <v>0</v>
      </c>
    </row>
    <row r="140" spans="1:22" hidden="1" x14ac:dyDescent="0.3">
      <c r="A140" s="15" t="s">
        <v>1345</v>
      </c>
      <c r="D140" s="5" t="s">
        <v>1</v>
      </c>
      <c r="H140" s="5" t="s">
        <v>2116</v>
      </c>
      <c r="I140" s="5">
        <v>0</v>
      </c>
      <c r="J140" s="5">
        <v>368</v>
      </c>
      <c r="K140" s="5">
        <v>0</v>
      </c>
      <c r="L140" s="5">
        <v>16</v>
      </c>
      <c r="M140" s="5">
        <v>32</v>
      </c>
      <c r="N140" s="5">
        <v>16</v>
      </c>
      <c r="O140" s="5">
        <v>24</v>
      </c>
      <c r="P140" s="5">
        <v>4</v>
      </c>
      <c r="Q140" s="5">
        <v>256</v>
      </c>
      <c r="R140" s="5">
        <v>104</v>
      </c>
      <c r="S140" s="5">
        <v>172</v>
      </c>
      <c r="T140" s="5">
        <v>26</v>
      </c>
      <c r="V140" s="5">
        <v>0</v>
      </c>
    </row>
    <row r="141" spans="1:22" x14ac:dyDescent="0.3">
      <c r="A141" s="15" t="s">
        <v>1452</v>
      </c>
      <c r="D141" s="5" t="s">
        <v>1</v>
      </c>
      <c r="H141" s="5" t="s">
        <v>2116</v>
      </c>
      <c r="I141" s="5">
        <v>0</v>
      </c>
      <c r="J141" s="5">
        <v>224</v>
      </c>
      <c r="K141" s="5">
        <v>0</v>
      </c>
      <c r="L141" s="5">
        <v>4</v>
      </c>
      <c r="M141" s="5">
        <v>20</v>
      </c>
      <c r="N141" s="5">
        <v>20</v>
      </c>
      <c r="O141" s="5">
        <v>4</v>
      </c>
      <c r="P141" s="5">
        <v>24</v>
      </c>
      <c r="Q141" s="5">
        <v>156</v>
      </c>
      <c r="R141" s="5">
        <v>48</v>
      </c>
      <c r="S141" s="5">
        <v>92</v>
      </c>
      <c r="T141" s="5">
        <v>12</v>
      </c>
      <c r="V141" s="5">
        <v>0</v>
      </c>
    </row>
    <row r="142" spans="1:22" x14ac:dyDescent="0.3">
      <c r="A142" s="15" t="s">
        <v>2210</v>
      </c>
      <c r="D142" s="5" t="s">
        <v>1</v>
      </c>
      <c r="H142" s="5" t="s">
        <v>2116</v>
      </c>
      <c r="I142" s="5">
        <v>0</v>
      </c>
      <c r="J142" s="5">
        <v>448</v>
      </c>
      <c r="K142" s="5">
        <v>0</v>
      </c>
      <c r="L142" s="5">
        <v>0</v>
      </c>
      <c r="M142" s="5">
        <v>68</v>
      </c>
      <c r="N142" s="5">
        <v>24</v>
      </c>
      <c r="O142" s="5">
        <v>0</v>
      </c>
      <c r="P142" s="5">
        <v>60</v>
      </c>
      <c r="Q142" s="5">
        <v>356</v>
      </c>
      <c r="R142" s="5">
        <v>64</v>
      </c>
      <c r="S142" s="5">
        <v>204</v>
      </c>
      <c r="T142" s="5">
        <v>16</v>
      </c>
      <c r="V142" s="5">
        <v>0</v>
      </c>
    </row>
    <row r="143" spans="1:22" x14ac:dyDescent="0.3">
      <c r="A143" s="15" t="s">
        <v>2211</v>
      </c>
      <c r="D143" s="5" t="s">
        <v>1</v>
      </c>
      <c r="H143" s="5" t="s">
        <v>2116</v>
      </c>
      <c r="I143" s="5">
        <v>0</v>
      </c>
      <c r="J143" s="5">
        <v>396</v>
      </c>
      <c r="K143" s="5">
        <v>0</v>
      </c>
      <c r="L143" s="5">
        <v>36</v>
      </c>
      <c r="M143" s="5">
        <v>20</v>
      </c>
      <c r="N143" s="5">
        <v>0</v>
      </c>
      <c r="O143" s="5">
        <v>56</v>
      </c>
      <c r="P143" s="5">
        <v>56</v>
      </c>
      <c r="Q143" s="5">
        <v>264</v>
      </c>
      <c r="R143" s="5">
        <v>112</v>
      </c>
      <c r="S143" s="5">
        <v>188</v>
      </c>
      <c r="T143" s="5">
        <v>28</v>
      </c>
      <c r="V143" s="5">
        <v>0</v>
      </c>
    </row>
    <row r="144" spans="1:22" ht="15.6" customHeight="1" x14ac:dyDescent="0.3">
      <c r="A144" s="15" t="s">
        <v>2212</v>
      </c>
      <c r="D144" s="5" t="s">
        <v>1</v>
      </c>
      <c r="H144" s="5" t="s">
        <v>2115</v>
      </c>
      <c r="I144" s="5">
        <v>1676</v>
      </c>
      <c r="J144" s="5">
        <v>0</v>
      </c>
      <c r="K144" s="5">
        <v>0</v>
      </c>
      <c r="L144" s="5">
        <v>0</v>
      </c>
      <c r="M144" s="5">
        <v>0</v>
      </c>
      <c r="N144" s="5">
        <v>0</v>
      </c>
      <c r="O144" s="5">
        <v>0</v>
      </c>
      <c r="P144" s="5">
        <v>-112</v>
      </c>
      <c r="Q144" s="5">
        <v>1452</v>
      </c>
      <c r="R144" s="5">
        <v>224</v>
      </c>
      <c r="S144" s="5">
        <v>836</v>
      </c>
      <c r="T144" s="5">
        <v>56</v>
      </c>
      <c r="V144" s="5">
        <v>0</v>
      </c>
    </row>
    <row r="145" spans="1:22" x14ac:dyDescent="0.3">
      <c r="A145" s="15" t="s">
        <v>2213</v>
      </c>
      <c r="D145" s="5" t="s">
        <v>1</v>
      </c>
      <c r="H145" s="5" t="s">
        <v>2115</v>
      </c>
      <c r="I145" s="5">
        <v>1360</v>
      </c>
      <c r="J145" s="5">
        <v>0</v>
      </c>
      <c r="K145" s="5">
        <v>0</v>
      </c>
      <c r="L145" s="5">
        <v>0</v>
      </c>
      <c r="M145" s="5">
        <v>0</v>
      </c>
      <c r="N145" s="5">
        <v>0</v>
      </c>
      <c r="O145" s="5">
        <v>0</v>
      </c>
      <c r="P145" s="5">
        <v>-152</v>
      </c>
      <c r="Q145" s="5">
        <v>1056</v>
      </c>
      <c r="R145" s="5">
        <v>304</v>
      </c>
      <c r="S145" s="5">
        <v>608</v>
      </c>
      <c r="T145" s="5">
        <v>76</v>
      </c>
      <c r="V145" s="5">
        <v>0</v>
      </c>
    </row>
    <row r="146" spans="1:22" x14ac:dyDescent="0.3">
      <c r="A146" s="15" t="s">
        <v>2214</v>
      </c>
      <c r="D146" s="5" t="s">
        <v>1</v>
      </c>
      <c r="H146" s="5" t="s">
        <v>2115</v>
      </c>
      <c r="I146" s="5">
        <v>362</v>
      </c>
      <c r="J146" s="5">
        <v>0</v>
      </c>
      <c r="K146" s="5">
        <v>0</v>
      </c>
      <c r="L146" s="5">
        <v>0</v>
      </c>
      <c r="M146" s="5">
        <v>0</v>
      </c>
      <c r="N146" s="5">
        <v>82</v>
      </c>
      <c r="O146" s="5">
        <v>2</v>
      </c>
      <c r="P146" s="5">
        <v>56</v>
      </c>
      <c r="Q146" s="5">
        <v>306</v>
      </c>
      <c r="R146" s="5">
        <v>56</v>
      </c>
      <c r="S146" s="5">
        <v>168</v>
      </c>
      <c r="T146" s="5">
        <v>14</v>
      </c>
      <c r="V146" s="5">
        <v>0</v>
      </c>
    </row>
    <row r="147" spans="1:22" x14ac:dyDescent="0.3">
      <c r="A147" s="15" t="s">
        <v>2215</v>
      </c>
      <c r="D147" s="5" t="s">
        <v>1</v>
      </c>
      <c r="H147" s="5" t="s">
        <v>2115</v>
      </c>
      <c r="I147" s="5">
        <v>358</v>
      </c>
      <c r="J147" s="5">
        <v>0</v>
      </c>
      <c r="K147" s="5">
        <v>0</v>
      </c>
      <c r="L147" s="5">
        <v>22</v>
      </c>
      <c r="M147" s="5">
        <v>6</v>
      </c>
      <c r="N147" s="5">
        <v>66</v>
      </c>
      <c r="O147" s="5">
        <v>0</v>
      </c>
      <c r="P147" s="5">
        <v>70</v>
      </c>
      <c r="Q147" s="5">
        <v>310</v>
      </c>
      <c r="R147" s="5">
        <v>48</v>
      </c>
      <c r="S147" s="5">
        <v>168</v>
      </c>
      <c r="T147" s="5">
        <v>12</v>
      </c>
      <c r="V147" s="5">
        <v>0</v>
      </c>
    </row>
    <row r="148" spans="1:22" x14ac:dyDescent="0.3">
      <c r="A148" s="15" t="s">
        <v>2216</v>
      </c>
      <c r="D148" s="5" t="s">
        <v>1</v>
      </c>
      <c r="H148" s="5" t="s">
        <v>2116</v>
      </c>
      <c r="I148" s="5">
        <v>0</v>
      </c>
      <c r="J148" s="5">
        <v>194</v>
      </c>
      <c r="K148" s="5">
        <v>0</v>
      </c>
      <c r="L148" s="5">
        <v>8</v>
      </c>
      <c r="M148" s="5">
        <v>26</v>
      </c>
      <c r="N148" s="5">
        <v>0</v>
      </c>
      <c r="O148" s="5">
        <v>12</v>
      </c>
      <c r="P148" s="5">
        <v>8</v>
      </c>
      <c r="Q148" s="5">
        <v>118</v>
      </c>
      <c r="R148" s="5">
        <v>76</v>
      </c>
      <c r="S148" s="5">
        <v>84</v>
      </c>
      <c r="T148" s="5">
        <v>19</v>
      </c>
      <c r="V148" s="5">
        <v>0</v>
      </c>
    </row>
    <row r="149" spans="1:22" x14ac:dyDescent="0.3">
      <c r="A149" s="15" t="s">
        <v>2112</v>
      </c>
      <c r="D149" s="5" t="s">
        <v>1</v>
      </c>
      <c r="H149" s="5" t="s">
        <v>2116</v>
      </c>
      <c r="I149" s="5">
        <v>0</v>
      </c>
      <c r="J149" s="5">
        <v>242</v>
      </c>
      <c r="K149" s="5">
        <v>0</v>
      </c>
      <c r="L149" s="5">
        <v>2</v>
      </c>
      <c r="M149" s="5">
        <v>24</v>
      </c>
      <c r="N149" s="5">
        <v>0</v>
      </c>
      <c r="O149" s="5">
        <v>30</v>
      </c>
      <c r="P149" s="5">
        <v>28</v>
      </c>
      <c r="Q149" s="5">
        <v>162</v>
      </c>
      <c r="R149" s="5">
        <v>56</v>
      </c>
      <c r="S149" s="5">
        <v>108</v>
      </c>
      <c r="T149" s="5">
        <v>14</v>
      </c>
      <c r="V149" s="5">
        <v>0</v>
      </c>
    </row>
    <row r="150" spans="1:22" x14ac:dyDescent="0.3">
      <c r="A150" s="15" t="s">
        <v>2112</v>
      </c>
      <c r="D150" s="5" t="s">
        <v>1</v>
      </c>
      <c r="H150" s="5" t="s">
        <v>2116</v>
      </c>
      <c r="I150" s="5">
        <v>0</v>
      </c>
      <c r="J150" s="5">
        <v>230</v>
      </c>
      <c r="K150" s="5">
        <v>0</v>
      </c>
      <c r="L150" s="5">
        <v>0</v>
      </c>
      <c r="M150" s="5">
        <v>0</v>
      </c>
      <c r="N150" s="5">
        <v>28</v>
      </c>
      <c r="O150" s="5">
        <v>10</v>
      </c>
      <c r="P150" s="5">
        <v>36</v>
      </c>
      <c r="Q150" s="5">
        <v>150</v>
      </c>
      <c r="R150" s="5">
        <v>80</v>
      </c>
      <c r="S150" s="5">
        <v>114</v>
      </c>
      <c r="T150" s="5">
        <v>20</v>
      </c>
      <c r="V150" s="5">
        <v>0</v>
      </c>
    </row>
  </sheetData>
  <conditionalFormatting sqref="AG57:AJ57">
    <cfRule type="expression" dxfId="1" priority="2">
      <formula>$C57="01. Installation Completed"</formula>
    </cfRule>
  </conditionalFormatting>
  <dataValidations count="3">
    <dataValidation type="list" allowBlank="1" showInputMessage="1" showErrorMessage="1" sqref="B12:B24" xr:uid="{91015110-49AB-4083-8D6A-586A40FF76EB}">
      <formula1>"01. Installation Completed, 02. Stock Ready, 03. Placed Order"</formula1>
    </dataValidation>
    <dataValidation type="list" allowBlank="1" showInputMessage="1" showErrorMessage="1" sqref="H12:H23" xr:uid="{5316488C-AF5B-47C7-93F1-ADF439F10532}">
      <formula1>"Tiles, Metal (screw), Klip-lok, RC"</formula1>
    </dataValidation>
    <dataValidation type="list" allowBlank="1" showInputMessage="1" showErrorMessage="1" sqref="D12:D23" xr:uid="{397C3FE3-8A0B-4C37-A677-47C1F03E8620}">
      <formula1>"Residential, C&amp;I, Utility, Off-grid, Mixed"</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5AA92-285D-4F51-8F6B-1B6C597C92E3}">
  <sheetPr codeName="Sheet9"/>
  <dimension ref="A2:E28"/>
  <sheetViews>
    <sheetView workbookViewId="0">
      <selection activeCell="E22" sqref="E22"/>
    </sheetView>
  </sheetViews>
  <sheetFormatPr defaultRowHeight="14.4" x14ac:dyDescent="0.3"/>
  <cols>
    <col min="1" max="1" width="27.44140625" customWidth="1"/>
    <col min="2" max="5" width="21.5546875" style="5" customWidth="1"/>
  </cols>
  <sheetData>
    <row r="2" spans="1:5" x14ac:dyDescent="0.3">
      <c r="A2" t="s">
        <v>2217</v>
      </c>
      <c r="B2" s="5" t="s">
        <v>2218</v>
      </c>
      <c r="C2" s="5" t="s">
        <v>2219</v>
      </c>
      <c r="D2" s="5" t="s">
        <v>2220</v>
      </c>
      <c r="E2" s="5" t="s">
        <v>2221</v>
      </c>
    </row>
    <row r="3" spans="1:5" x14ac:dyDescent="0.3">
      <c r="A3" t="s">
        <v>74</v>
      </c>
      <c r="E3" s="5">
        <f>SUMIFS('ECN Project Tracker'!I:I,'ECN Project Tracker'!H:H,$A$3,'ECN Project Tracker'!AA:AA,"&gt;="&amp;DATE(2024,12,1),'ECN Project Tracker'!AA:AA,"&lt;="&amp;DATE(2024,12,31))</f>
        <v>0</v>
      </c>
    </row>
    <row r="4" spans="1:5" x14ac:dyDescent="0.3">
      <c r="A4" t="s">
        <v>237</v>
      </c>
      <c r="E4" s="5">
        <f>SUMIFS('ECN Project Tracker'!I:I,'ECN Project Tracker'!H:H,$A$4,'ECN Project Tracker'!AA:AA,"&gt;="&amp;DATE(2024,12,1),'ECN Project Tracker'!AA:AA,"&lt;="&amp;DATE(2024,12,31))</f>
        <v>346</v>
      </c>
    </row>
    <row r="5" spans="1:5" x14ac:dyDescent="0.3">
      <c r="A5" t="s">
        <v>243</v>
      </c>
      <c r="E5" s="5">
        <f>SUMIFS('ECN Project Tracker'!I:I,'ECN Project Tracker'!H:H,$A$5,'ECN Project Tracker'!AA:AA,"&gt;="&amp;DATE(2024,12,1),'ECN Project Tracker'!AA:AA,"&lt;="&amp;DATE(2024,12,31))</f>
        <v>45</v>
      </c>
    </row>
    <row r="6" spans="1:5" x14ac:dyDescent="0.3">
      <c r="A6" t="s">
        <v>2222</v>
      </c>
    </row>
    <row r="7" spans="1:5" x14ac:dyDescent="0.3">
      <c r="A7" t="s">
        <v>2223</v>
      </c>
    </row>
    <row r="8" spans="1:5" x14ac:dyDescent="0.3">
      <c r="A8" t="s">
        <v>2224</v>
      </c>
    </row>
    <row r="9" spans="1:5" x14ac:dyDescent="0.3">
      <c r="A9" t="s">
        <v>2225</v>
      </c>
    </row>
    <row r="10" spans="1:5" ht="13.35" customHeight="1" x14ac:dyDescent="0.3">
      <c r="A10" t="s">
        <v>2226</v>
      </c>
    </row>
    <row r="11" spans="1:5" x14ac:dyDescent="0.3">
      <c r="A11" t="s">
        <v>2227</v>
      </c>
    </row>
    <row r="16" spans="1:5" x14ac:dyDescent="0.3">
      <c r="A16" t="s">
        <v>2118</v>
      </c>
      <c r="B16" s="5">
        <f>SUM(Table2[Tile Hook])</f>
        <v>4592</v>
      </c>
      <c r="C16" s="5">
        <f>SUMIF('Material List'!B:B,"*Installation Completed*",'Material List'!K:K)</f>
        <v>4472</v>
      </c>
      <c r="D16" s="5">
        <f>B16-C16</f>
        <v>120</v>
      </c>
    </row>
    <row r="17" spans="1:4" x14ac:dyDescent="0.3">
      <c r="A17" t="s">
        <v>2119</v>
      </c>
      <c r="B17" s="5">
        <f>SUM(Table2[L-Foot])</f>
        <v>6440</v>
      </c>
      <c r="C17" s="5">
        <f>SUMIF('Material List'!B:B,"*Installation Completed*",'Material List'!J:J)</f>
        <v>4270</v>
      </c>
      <c r="D17" s="5">
        <f t="shared" ref="D17:D28" si="0">B17-C17</f>
        <v>2170</v>
      </c>
    </row>
    <row r="18" spans="1:4" x14ac:dyDescent="0.3">
      <c r="A18" t="s">
        <v>2120</v>
      </c>
      <c r="B18" s="5">
        <f>SUM(Table2[Klip Lok Clamp])</f>
        <v>5633</v>
      </c>
      <c r="C18" s="5">
        <f>SUMIF('Material List'!B:B,"*Installation Completed*",'Material List'!I:I)</f>
        <v>1877</v>
      </c>
      <c r="D18" s="5">
        <f t="shared" si="0"/>
        <v>3756</v>
      </c>
    </row>
    <row r="19" spans="1:4" x14ac:dyDescent="0.3">
      <c r="A19" t="s">
        <v>2121</v>
      </c>
      <c r="B19" s="5">
        <f>SUM(Table2[2.6m rail])</f>
        <v>2139</v>
      </c>
      <c r="C19" s="5">
        <f>SUMIF('Material List'!B:B,"*Installation Completed*",'Material List'!L:L)</f>
        <v>2051</v>
      </c>
      <c r="D19" s="5">
        <f t="shared" si="0"/>
        <v>88</v>
      </c>
    </row>
    <row r="20" spans="1:4" x14ac:dyDescent="0.3">
      <c r="A20" t="s">
        <v>2122</v>
      </c>
      <c r="B20" s="5">
        <f>SUM(Table2[5.3m rail])</f>
        <v>260</v>
      </c>
      <c r="C20" s="5">
        <f>SUMIF('Material List'!B:B,"*Installation Completed*",'Material List'!M:M)</f>
        <v>56</v>
      </c>
      <c r="D20" s="5">
        <f t="shared" si="0"/>
        <v>204</v>
      </c>
    </row>
    <row r="21" spans="1:4" x14ac:dyDescent="0.3">
      <c r="A21" t="s">
        <v>2123</v>
      </c>
      <c r="B21" s="5">
        <f>SUM(Table2[4.7m rail])</f>
        <v>476</v>
      </c>
      <c r="C21" s="5">
        <f>SUMIF('Material List'!B:B,"*Installation Completed*",'Material List'!N:N)</f>
        <v>234</v>
      </c>
      <c r="D21" s="5">
        <f t="shared" si="0"/>
        <v>242</v>
      </c>
    </row>
    <row r="22" spans="1:4" x14ac:dyDescent="0.3">
      <c r="A22" t="s">
        <v>2124</v>
      </c>
      <c r="B22" s="5">
        <f>SUM(Table2[3.6m rail])</f>
        <v>224</v>
      </c>
      <c r="C22" s="5">
        <f>SUMIF('Material List'!B:B,"*Installation Completed*",'Material List'!O:O)</f>
        <v>56</v>
      </c>
      <c r="D22" s="5">
        <f t="shared" si="0"/>
        <v>168</v>
      </c>
    </row>
    <row r="23" spans="1:4" x14ac:dyDescent="0.3">
      <c r="A23" t="s">
        <v>2125</v>
      </c>
      <c r="B23" s="5">
        <f>SUM(Table2[Splicer])</f>
        <v>1794</v>
      </c>
      <c r="C23" s="5">
        <f>SUMIF('Material List'!B:B,"*Installation Completed*",'Material List'!P:P)</f>
        <v>1710</v>
      </c>
      <c r="D23" s="5">
        <f t="shared" si="0"/>
        <v>84</v>
      </c>
    </row>
    <row r="24" spans="1:4" x14ac:dyDescent="0.3">
      <c r="A24" t="s">
        <v>2126</v>
      </c>
      <c r="B24" s="5">
        <f>SUM(Table2[Mid Clamp])</f>
        <v>11350</v>
      </c>
      <c r="C24" s="5">
        <f>SUMIF('Material List'!B:B,"*Installation Completed*",'Material List'!Q:Q)</f>
        <v>6664</v>
      </c>
      <c r="D24" s="5">
        <f t="shared" si="0"/>
        <v>4686</v>
      </c>
    </row>
    <row r="25" spans="1:4" x14ac:dyDescent="0.3">
      <c r="A25" t="s">
        <v>2127</v>
      </c>
      <c r="B25" s="5">
        <f>SUM(Table2[End Clamp])</f>
        <v>4078</v>
      </c>
      <c r="C25" s="5">
        <f>SUMIF('Material List'!B:B,"*Installation Completed*",'Material List'!R:R)</f>
        <v>2830</v>
      </c>
      <c r="D25" s="5">
        <f t="shared" si="0"/>
        <v>1248</v>
      </c>
    </row>
    <row r="26" spans="1:4" x14ac:dyDescent="0.3">
      <c r="A26" t="s">
        <v>2128</v>
      </c>
      <c r="B26" s="5">
        <f>SUM(Table2[Grounding Clip])</f>
        <v>7036</v>
      </c>
      <c r="C26" s="5">
        <f>SUMIF('Material List'!B:B,"*Installation Completed*",'Material List'!S:S)</f>
        <v>4210</v>
      </c>
      <c r="D26" s="5">
        <f t="shared" si="0"/>
        <v>2826</v>
      </c>
    </row>
    <row r="27" spans="1:4" x14ac:dyDescent="0.3">
      <c r="A27" t="s">
        <v>2129</v>
      </c>
      <c r="B27" s="5">
        <f>SUM(Table2[Grounding Lug])</f>
        <v>1085</v>
      </c>
      <c r="C27" s="5">
        <f>SUMIF('Material List'!B:B,"*Installation Completed*",'Material List'!T:T)</f>
        <v>773</v>
      </c>
      <c r="D27" s="5">
        <f t="shared" si="0"/>
        <v>312</v>
      </c>
    </row>
    <row r="28" spans="1:4" x14ac:dyDescent="0.3">
      <c r="A28" t="s">
        <v>2130</v>
      </c>
      <c r="B28" s="5">
        <f>SUM(Table2[Precast Concrete Block])</f>
        <v>0</v>
      </c>
      <c r="C28" s="5">
        <f>SUMIF('Material List'!B:B,"*Installation Completed*",'Material List'!V:V)</f>
        <v>0</v>
      </c>
      <c r="D28" s="5">
        <f t="shared" si="0"/>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4FDF8AB664B1546AE32A81E9E107510" ma:contentTypeVersion="4" ma:contentTypeDescription="Create a new document." ma:contentTypeScope="" ma:versionID="5f3349355640f3d7a99115c67acab101">
  <xsd:schema xmlns:xsd="http://www.w3.org/2001/XMLSchema" xmlns:xs="http://www.w3.org/2001/XMLSchema" xmlns:p="http://schemas.microsoft.com/office/2006/metadata/properties" xmlns:ns2="7b187c95-76c4-4fa3-8d96-c70a2c30be60" targetNamespace="http://schemas.microsoft.com/office/2006/metadata/properties" ma:root="true" ma:fieldsID="2073da9c6db4a7faa4e39dec9c7087dd" ns2:_="">
    <xsd:import namespace="7b187c95-76c4-4fa3-8d96-c70a2c30be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187c95-76c4-4fa3-8d96-c70a2c30b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8646F258-F8C1-4C85-AE47-DD987B6F5A3C}">
  <ds:schemaRefs>
    <ds:schemaRef ds:uri="http://schemas.microsoft.com/sharepoint/v3/contenttype/forms"/>
  </ds:schemaRefs>
</ds:datastoreItem>
</file>

<file path=customXml/itemProps2.xml><?xml version="1.0" encoding="utf-8"?>
<ds:datastoreItem xmlns:ds="http://schemas.openxmlformats.org/officeDocument/2006/customXml" ds:itemID="{3E8FE917-D2FA-47C1-B66B-F7B95F41B0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187c95-76c4-4fa3-8d96-c70a2c30be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CD0B848-A965-4914-B93A-EABD55437269}">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56B736D6-B40A-4825-AC2A-49453BBE4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vt:i4>
      </vt:variant>
    </vt:vector>
  </HeadingPairs>
  <TitlesOfParts>
    <vt:vector size="48" baseType="lpstr">
      <vt:lpstr>Dashboard</vt:lpstr>
      <vt:lpstr>Pivot</vt:lpstr>
      <vt:lpstr>Master Data</vt:lpstr>
      <vt:lpstr>Data</vt:lpstr>
      <vt:lpstr>ECN Project Tracker</vt:lpstr>
      <vt:lpstr>In Progress</vt:lpstr>
      <vt:lpstr>Finance Tracker</vt:lpstr>
      <vt:lpstr>Insurance Tracker</vt:lpstr>
      <vt:lpstr>Material Input</vt:lpstr>
      <vt:lpstr>Material Input (2)</vt:lpstr>
      <vt:lpstr>Material List</vt:lpstr>
      <vt:lpstr>Warehouse Stock</vt:lpstr>
      <vt:lpstr>'Material Input (2)'!Category</vt:lpstr>
      <vt:lpstr>Category</vt:lpstr>
      <vt:lpstr>'Material Input (2)'!Client_Name</vt:lpstr>
      <vt:lpstr>Client_Name</vt:lpstr>
      <vt:lpstr>'Material Input (2)'!End_Clamp</vt:lpstr>
      <vt:lpstr>End_Clamp</vt:lpstr>
      <vt:lpstr>'Material Input (2)'!Grounding_Clip</vt:lpstr>
      <vt:lpstr>Grounding_Clip</vt:lpstr>
      <vt:lpstr>'Material Input (2)'!Grounding_Lug</vt:lpstr>
      <vt:lpstr>Grounding_Lug</vt:lpstr>
      <vt:lpstr>'Material Input (2)'!Klip_Lok_Clamp</vt:lpstr>
      <vt:lpstr>Klip_Lok_Clamp</vt:lpstr>
      <vt:lpstr>'Material Input (2)'!L_Foot</vt:lpstr>
      <vt:lpstr>L_Foot</vt:lpstr>
      <vt:lpstr>'Material Input (2)'!Mid_Clamp</vt:lpstr>
      <vt:lpstr>Mid_Clamp</vt:lpstr>
      <vt:lpstr>'Material Input (2)'!Precast_Concrete_Block</vt:lpstr>
      <vt:lpstr>Precast_Concrete_Block</vt:lpstr>
      <vt:lpstr>'Material Input (2)'!Rail</vt:lpstr>
      <vt:lpstr>Rail</vt:lpstr>
      <vt:lpstr>'Material Input (2)'!Rail_2.6</vt:lpstr>
      <vt:lpstr>Rail_2.6</vt:lpstr>
      <vt:lpstr>'Material Input (2)'!Rail_26</vt:lpstr>
      <vt:lpstr>Rail_26</vt:lpstr>
      <vt:lpstr>'Material Input (2)'!Rail_36</vt:lpstr>
      <vt:lpstr>Rail_36</vt:lpstr>
      <vt:lpstr>'Material Input (2)'!Rail_47</vt:lpstr>
      <vt:lpstr>Rail_47</vt:lpstr>
      <vt:lpstr>'Material Input (2)'!Rail_53</vt:lpstr>
      <vt:lpstr>Rail_53</vt:lpstr>
      <vt:lpstr>'Material Input (2)'!Roof_Type</vt:lpstr>
      <vt:lpstr>Roof_Type</vt:lpstr>
      <vt:lpstr>'Material Input (2)'!Splicer</vt:lpstr>
      <vt:lpstr>Splicer</vt:lpstr>
      <vt:lpstr>'Material Input (2)'!Tile_Hook</vt:lpstr>
      <vt:lpstr>Tile_Hook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Jolyn KHOO</dc:creator>
  <cp:keywords/>
  <dc:description/>
  <cp:lastModifiedBy>MUHAMMAD AZRUL BIN ABDUL RAHIM</cp:lastModifiedBy>
  <cp:revision/>
  <dcterms:created xsi:type="dcterms:W3CDTF">2024-09-18T05:51:52Z</dcterms:created>
  <dcterms:modified xsi:type="dcterms:W3CDTF">2025-12-27T15:03:08Z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0x01010094FDF8AB664B1546AE32A81E9E107510</vt:lpwstr>
  </property>
  <property fmtid="{D5CDD505-2E9C-101B-9397-08002B2CF9AE}" pid="3" name="MediaServiceImageTags">
    <vt:lpwstr/>
  </property>
</Properties>
</file>