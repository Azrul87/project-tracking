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namedSheetViews/namedSheetView3.xml" ContentType="application/vnd.ms-excel.namedsheetview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Azrul\Desktop\"/>
    </mc:Choice>
  </mc:AlternateContent>
  <xr:revisionPtr revIDLastSave="0" documentId="8_{7BD1499D-6F1B-4C94-A1B8-177737398A12}" xr6:coauthVersionLast="47" xr6:coauthVersionMax="47" xr10:uidLastSave="{00000000-0000-0000-0000-000000000000}"/>
  <bookViews>
    <workbookView xWindow="-108" yWindow="-108" windowWidth="23256" windowHeight="13896" tabRatio="699" activeTab="4" xr2:uid="{23ED2DF0-5D21-4D23-AE67-0BBD761A9BC3}"/>
  </bookViews>
  <sheets>
    <sheet name="Dashboard" sheetId="9" r:id="rId1"/>
    <sheet name="Pivot" sheetId="11" state="hidden" r:id="rId2"/>
    <sheet name="Master Data" sheetId="1" r:id="rId3"/>
    <sheet name="Data" sheetId="10" state="hidden" r:id="rId4"/>
    <sheet name="ECN Master Project Tracker new" sheetId="2" r:id="rId5"/>
    <sheet name="In Progress" sheetId="14" r:id="rId6"/>
    <sheet name="Finance Tracker" sheetId="3" r:id="rId7"/>
    <sheet name="Insurance Tracker" sheetId="7" r:id="rId8"/>
    <sheet name="Material Input" sheetId="4" r:id="rId9"/>
    <sheet name="Material Input (2)" sheetId="12" state="hidden" r:id="rId10"/>
    <sheet name="Material List" sheetId="5" r:id="rId11"/>
    <sheet name="Warehouse Stock" sheetId="6" state="hidden" r:id="rId12"/>
  </sheets>
  <definedNames>
    <definedName name="_xlnm._FilterDatabase" localSheetId="4" hidden="1">'ECN Master Project Tracker new'!$A$4:$AK$372</definedName>
    <definedName name="_xlnm._FilterDatabase" localSheetId="6" hidden="1">'Finance Tracker'!$A$3:$AI$403</definedName>
    <definedName name="_xlnm._FilterDatabase" localSheetId="5" hidden="1">'In Progress'!$B$11:$M$188</definedName>
    <definedName name="_xlnm._FilterDatabase" localSheetId="7" hidden="1">'Insurance Tracker'!$A$3:$P$661</definedName>
    <definedName name="_xlchart.v6.0" hidden="1">Dashboard!$A$139</definedName>
    <definedName name="_xlchart.v6.1" hidden="1">Dashboard!$A$140:$A$153</definedName>
    <definedName name="_xlchart.v6.2" hidden="1">Dashboard!$B$139</definedName>
    <definedName name="_xlchart.v6.3" hidden="1">Dashboard!$B$140:$B$153</definedName>
    <definedName name="Category" localSheetId="9">'Material Input (2)'!$B$2</definedName>
    <definedName name="Category">'Material Input'!$B$2</definedName>
    <definedName name="Client_Name" localSheetId="9">'Material Input (2)'!$B$1</definedName>
    <definedName name="Client_Name">'Material Input'!$B$1</definedName>
    <definedName name="End_Clamp" localSheetId="9">'Material Input (2)'!$B$15</definedName>
    <definedName name="End_Clamp">'Material Input'!$B$15</definedName>
    <definedName name="Grounding_Clip" localSheetId="9">'Material Input (2)'!$B$16</definedName>
    <definedName name="Grounding_Clip">'Material Input'!$B$16</definedName>
    <definedName name="Grounding_Lug" localSheetId="9">'Material Input (2)'!$B$17</definedName>
    <definedName name="Grounding_Lug">'Material Input'!$B$17</definedName>
    <definedName name="Klip_Lok_Clamp" localSheetId="9">'Material Input (2)'!$B$8</definedName>
    <definedName name="Klip_Lok_Clamp">'Material Input'!$B$8</definedName>
    <definedName name="L_Foot" localSheetId="9">'Material Input (2)'!$B$7</definedName>
    <definedName name="L_Foot">'Material Input'!$B$7</definedName>
    <definedName name="Mid_Clamp" localSheetId="9">'Material Input (2)'!$B$14</definedName>
    <definedName name="Mid_Clamp">'Material Input'!$B$14</definedName>
    <definedName name="Precast_Concrete_Block" localSheetId="9">'Material Input (2)'!$B$18</definedName>
    <definedName name="Precast_Concrete_Block">'Material Input'!$B$18</definedName>
    <definedName name="Rail" localSheetId="9">'Material Input (2)'!$B$9</definedName>
    <definedName name="Rail">'Material Input'!$B$9</definedName>
    <definedName name="Rail_2.6" localSheetId="9">'Material Input (2)'!$B$9</definedName>
    <definedName name="Rail_2.6">'Material Input'!$B$9</definedName>
    <definedName name="Rail_26" localSheetId="9">'Material Input (2)'!$B$9</definedName>
    <definedName name="Rail_26">'Material Input'!$B$9</definedName>
    <definedName name="Rail_36" localSheetId="9">'Material Input (2)'!$B$12</definedName>
    <definedName name="Rail_36">'Material Input'!$B$12</definedName>
    <definedName name="Rail_47" localSheetId="9">'Material Input (2)'!$B$11</definedName>
    <definedName name="Rail_47">'Material Input'!$B$11</definedName>
    <definedName name="Rail_53" localSheetId="9">'Material Input (2)'!$B$10</definedName>
    <definedName name="Rail_53">'Material Input'!$B$10</definedName>
    <definedName name="Roof_Type" localSheetId="9">'Material Input (2)'!$B$3</definedName>
    <definedName name="Roof_Type">'Material Input'!$B$3</definedName>
    <definedName name="Splicer" localSheetId="9">'Material Input (2)'!$B$13</definedName>
    <definedName name="Splicer">'Material Input'!$B$13</definedName>
    <definedName name="Tile_Hook" localSheetId="9">'Material Input (2)'!$B$6</definedName>
    <definedName name="Tile_Hook">'Material Input'!$B$6</definedName>
  </definedNames>
  <calcPr calcId="191028"/>
  <pivotCaches>
    <pivotCache cacheId="6"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4" l="1"/>
  <c r="C7" i="14"/>
  <c r="D7" i="14"/>
  <c r="E7" i="14"/>
  <c r="C6" i="14"/>
  <c r="D6" i="14" a="1"/>
  <c r="D6" i="14" s="1"/>
  <c r="E6" i="14"/>
  <c r="C5" i="14"/>
  <c r="D5" i="14"/>
  <c r="E5" i="14"/>
  <c r="C4" i="14"/>
  <c r="D4" i="14" a="1"/>
  <c r="D4" i="14" s="1"/>
  <c r="B11" i="14" a="1"/>
  <c r="B11" i="14" s="1"/>
  <c r="T102" i="9"/>
  <c r="U102" i="9"/>
  <c r="V102" i="9"/>
  <c r="W102" i="9"/>
  <c r="X102" i="9"/>
  <c r="T103" i="9"/>
  <c r="U103" i="9"/>
  <c r="V103" i="9"/>
  <c r="W103" i="9"/>
  <c r="X103" i="9"/>
  <c r="X101" i="9"/>
  <c r="X100" i="9"/>
  <c r="X99" i="9"/>
  <c r="X98" i="9"/>
  <c r="N102" i="9"/>
  <c r="O102" i="9"/>
  <c r="P102" i="9"/>
  <c r="Q102" i="9"/>
  <c r="R102" i="9"/>
  <c r="N103" i="9"/>
  <c r="O103" i="9"/>
  <c r="P103" i="9"/>
  <c r="Q103" i="9"/>
  <c r="R103" i="9"/>
  <c r="R101" i="9"/>
  <c r="R100" i="9"/>
  <c r="R99" i="9"/>
  <c r="R98" i="9"/>
  <c r="H102" i="9"/>
  <c r="I102" i="9"/>
  <c r="J102" i="9"/>
  <c r="K102" i="9"/>
  <c r="L102" i="9"/>
  <c r="H103" i="9"/>
  <c r="I103" i="9"/>
  <c r="J103" i="9"/>
  <c r="K103" i="9"/>
  <c r="L103" i="9"/>
  <c r="L101" i="9"/>
  <c r="L100" i="9"/>
  <c r="L99" i="9"/>
  <c r="L98" i="9"/>
  <c r="B102" i="9"/>
  <c r="C102" i="9"/>
  <c r="D102" i="9"/>
  <c r="E102" i="9"/>
  <c r="F102" i="9"/>
  <c r="B103" i="9"/>
  <c r="C103" i="9"/>
  <c r="D103" i="9"/>
  <c r="E103" i="9"/>
  <c r="F103" i="9"/>
  <c r="F101" i="9"/>
  <c r="F100" i="9"/>
  <c r="F99" i="9"/>
  <c r="F98" i="9"/>
  <c r="H90" i="9"/>
  <c r="I90" i="9"/>
  <c r="J90" i="9"/>
  <c r="K90" i="9"/>
  <c r="L90" i="9"/>
  <c r="H89" i="9"/>
  <c r="I89" i="9"/>
  <c r="J89" i="9"/>
  <c r="K89" i="9"/>
  <c r="L89" i="9"/>
  <c r="L88" i="9"/>
  <c r="L87" i="9"/>
  <c r="L86" i="9"/>
  <c r="L85" i="9"/>
  <c r="B90" i="9"/>
  <c r="C90" i="9"/>
  <c r="D90" i="9"/>
  <c r="E90" i="9"/>
  <c r="F90" i="9"/>
  <c r="F89" i="9"/>
  <c r="F88" i="9"/>
  <c r="F87" i="9"/>
  <c r="F86" i="9"/>
  <c r="F85" i="9"/>
  <c r="B89" i="9"/>
  <c r="C89" i="9"/>
  <c r="D89" i="9"/>
  <c r="E89" i="9"/>
  <c r="E84" i="9"/>
  <c r="X50" i="9"/>
  <c r="W50" i="9"/>
  <c r="V50" i="9"/>
  <c r="U50" i="9"/>
  <c r="T50" i="9"/>
  <c r="R50" i="9"/>
  <c r="Q50" i="9"/>
  <c r="P50" i="9"/>
  <c r="O50" i="9"/>
  <c r="N50" i="9"/>
  <c r="L50" i="9"/>
  <c r="K50" i="9"/>
  <c r="J50" i="9"/>
  <c r="I50" i="9"/>
  <c r="H50" i="9"/>
  <c r="F50" i="9"/>
  <c r="E50" i="9"/>
  <c r="D50" i="9"/>
  <c r="C50" i="9"/>
  <c r="B50" i="9"/>
  <c r="X49" i="9"/>
  <c r="X48" i="9"/>
  <c r="R49" i="9"/>
  <c r="R48" i="9"/>
  <c r="L49" i="9"/>
  <c r="L48" i="9"/>
  <c r="F49" i="9"/>
  <c r="F48" i="9"/>
  <c r="AD41" i="9"/>
  <c r="AD40" i="9"/>
  <c r="AD39" i="9"/>
  <c r="AD38" i="9"/>
  <c r="AD37" i="9"/>
  <c r="L41" i="9"/>
  <c r="D41" i="11" s="1"/>
  <c r="L40" i="9"/>
  <c r="D37" i="11" s="1"/>
  <c r="L39" i="9"/>
  <c r="D33" i="11" s="1"/>
  <c r="L38" i="9"/>
  <c r="D29" i="11" s="1"/>
  <c r="L37" i="9"/>
  <c r="F40" i="9"/>
  <c r="D17" i="11" s="1"/>
  <c r="F41" i="9"/>
  <c r="D21" i="11" s="1"/>
  <c r="F39" i="9"/>
  <c r="D13" i="11" s="1"/>
  <c r="F38" i="9"/>
  <c r="D9" i="11" s="1"/>
  <c r="F37" i="9"/>
  <c r="D5" i="11" s="1"/>
  <c r="F91" i="9" l="1"/>
  <c r="L91" i="9"/>
  <c r="AD42" i="9"/>
  <c r="L42" i="9"/>
  <c r="D25" i="11"/>
  <c r="J286" i="3" l="1"/>
  <c r="AP6" i="2" l="1"/>
  <c r="AP7" i="2"/>
  <c r="AP8" i="2"/>
  <c r="AP9" i="2"/>
  <c r="AP10" i="2"/>
  <c r="AP11" i="2"/>
  <c r="AP12" i="2"/>
  <c r="AP13" i="2"/>
  <c r="AP14" i="2"/>
  <c r="AP15" i="2"/>
  <c r="AP16" i="2"/>
  <c r="AP17" i="2"/>
  <c r="AP18" i="2"/>
  <c r="AP19" i="2"/>
  <c r="AP20"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AP106" i="2"/>
  <c r="AP107" i="2"/>
  <c r="AP108" i="2"/>
  <c r="AP109" i="2"/>
  <c r="AP110" i="2"/>
  <c r="AP111" i="2"/>
  <c r="AP112" i="2"/>
  <c r="AP113" i="2"/>
  <c r="AP114" i="2"/>
  <c r="AP115" i="2"/>
  <c r="AP116" i="2"/>
  <c r="AP117" i="2"/>
  <c r="AP118" i="2"/>
  <c r="AP119" i="2"/>
  <c r="AP120" i="2"/>
  <c r="AP121" i="2"/>
  <c r="AP122" i="2"/>
  <c r="AP123" i="2"/>
  <c r="AP124" i="2"/>
  <c r="AP125" i="2"/>
  <c r="AP126" i="2"/>
  <c r="AP127" i="2"/>
  <c r="AP128" i="2"/>
  <c r="AP129" i="2"/>
  <c r="AP130" i="2"/>
  <c r="AP131" i="2"/>
  <c r="AP132" i="2"/>
  <c r="AP133" i="2"/>
  <c r="AP134" i="2"/>
  <c r="AP135" i="2"/>
  <c r="AP136" i="2"/>
  <c r="AP137" i="2"/>
  <c r="AP138" i="2"/>
  <c r="AP139" i="2"/>
  <c r="AP140" i="2"/>
  <c r="AP141" i="2"/>
  <c r="AP142" i="2"/>
  <c r="AP143" i="2"/>
  <c r="AP144" i="2"/>
  <c r="AP145" i="2"/>
  <c r="AP146" i="2"/>
  <c r="AP147" i="2"/>
  <c r="AP148" i="2"/>
  <c r="AP149" i="2"/>
  <c r="AP150" i="2"/>
  <c r="AP151" i="2"/>
  <c r="AP152" i="2"/>
  <c r="AP153" i="2"/>
  <c r="AP154" i="2"/>
  <c r="AP155" i="2"/>
  <c r="AP156" i="2"/>
  <c r="AP157" i="2"/>
  <c r="AP158" i="2"/>
  <c r="AP159" i="2"/>
  <c r="AP160" i="2"/>
  <c r="AP161" i="2"/>
  <c r="AP162" i="2"/>
  <c r="AP163" i="2"/>
  <c r="AP164" i="2"/>
  <c r="AP165" i="2"/>
  <c r="AP166" i="2"/>
  <c r="AP167" i="2"/>
  <c r="AP168" i="2"/>
  <c r="AP169" i="2"/>
  <c r="AP170" i="2"/>
  <c r="AP171" i="2"/>
  <c r="AP172" i="2"/>
  <c r="AP173" i="2"/>
  <c r="AP174" i="2"/>
  <c r="AP175" i="2"/>
  <c r="AP176" i="2"/>
  <c r="AP177" i="2"/>
  <c r="AP178" i="2"/>
  <c r="AP179" i="2"/>
  <c r="AP180" i="2"/>
  <c r="AP181" i="2"/>
  <c r="AP182" i="2"/>
  <c r="AP183" i="2"/>
  <c r="AP184" i="2"/>
  <c r="AP185" i="2"/>
  <c r="AP186" i="2"/>
  <c r="AP187" i="2"/>
  <c r="AP188" i="2"/>
  <c r="AP189" i="2"/>
  <c r="AP190" i="2"/>
  <c r="AP191" i="2"/>
  <c r="AP192" i="2"/>
  <c r="AP193" i="2"/>
  <c r="AP194" i="2"/>
  <c r="AP195" i="2"/>
  <c r="AP196" i="2"/>
  <c r="AP197" i="2"/>
  <c r="AP198" i="2"/>
  <c r="AP199" i="2"/>
  <c r="AP200" i="2"/>
  <c r="AP201" i="2"/>
  <c r="AP202" i="2"/>
  <c r="AP203" i="2"/>
  <c r="AP204" i="2"/>
  <c r="AP205" i="2"/>
  <c r="AP206" i="2"/>
  <c r="AP207" i="2"/>
  <c r="AP208" i="2"/>
  <c r="AP209" i="2"/>
  <c r="AP210" i="2"/>
  <c r="AP211" i="2"/>
  <c r="AP212" i="2"/>
  <c r="AP213" i="2"/>
  <c r="AP214" i="2"/>
  <c r="AP215" i="2"/>
  <c r="AP216" i="2"/>
  <c r="AP217" i="2"/>
  <c r="AP218" i="2"/>
  <c r="AP219" i="2"/>
  <c r="AP220" i="2"/>
  <c r="AP221" i="2"/>
  <c r="AP222" i="2"/>
  <c r="AP223" i="2"/>
  <c r="AP224" i="2"/>
  <c r="AP225" i="2"/>
  <c r="AP226" i="2"/>
  <c r="AP227" i="2"/>
  <c r="AP228" i="2"/>
  <c r="AP229" i="2"/>
  <c r="AP230" i="2"/>
  <c r="AP231" i="2"/>
  <c r="AP232" i="2"/>
  <c r="AP233" i="2"/>
  <c r="AP234" i="2"/>
  <c r="AP235" i="2"/>
  <c r="AP236" i="2"/>
  <c r="AP237" i="2"/>
  <c r="AP238" i="2"/>
  <c r="AP239" i="2"/>
  <c r="AP240" i="2"/>
  <c r="AP241" i="2"/>
  <c r="AP242" i="2"/>
  <c r="AP243" i="2"/>
  <c r="AP244" i="2"/>
  <c r="AP245" i="2"/>
  <c r="AP246" i="2"/>
  <c r="AP247" i="2"/>
  <c r="AP248" i="2"/>
  <c r="AP249" i="2"/>
  <c r="AP250" i="2"/>
  <c r="AP251" i="2"/>
  <c r="AP252" i="2"/>
  <c r="AP253" i="2"/>
  <c r="AP254" i="2"/>
  <c r="AP255" i="2"/>
  <c r="AP352" i="2"/>
  <c r="AP353" i="2"/>
  <c r="AP354" i="2"/>
  <c r="AP355" i="2"/>
  <c r="AP356" i="2"/>
  <c r="AP357" i="2"/>
  <c r="AP358" i="2"/>
  <c r="AP359" i="2"/>
  <c r="AP360" i="2"/>
  <c r="AP361" i="2"/>
  <c r="AP362" i="2"/>
  <c r="AP363" i="2"/>
  <c r="AP364" i="2"/>
  <c r="AP365" i="2"/>
  <c r="AP366" i="2"/>
  <c r="AP367" i="2"/>
  <c r="AP368" i="2"/>
  <c r="AP369" i="2"/>
  <c r="L359" i="2" l="1"/>
  <c r="M106" i="4" l="1"/>
  <c r="N106" i="4"/>
  <c r="L106" i="4"/>
  <c r="K106" i="4"/>
  <c r="C102" i="4"/>
  <c r="D102" i="4"/>
  <c r="E102" i="4"/>
  <c r="F102" i="4"/>
  <c r="H102" i="4"/>
  <c r="J102" i="4"/>
  <c r="O102" i="4"/>
  <c r="G102" i="4" s="1"/>
  <c r="P102" i="4"/>
  <c r="Q102" i="4"/>
  <c r="C103" i="4"/>
  <c r="D103" i="4"/>
  <c r="E103" i="4"/>
  <c r="F103" i="4"/>
  <c r="H103" i="4"/>
  <c r="O103" i="4"/>
  <c r="G103" i="4" s="1"/>
  <c r="P103" i="4"/>
  <c r="Q103" i="4"/>
  <c r="C104" i="4"/>
  <c r="D104" i="4"/>
  <c r="E104" i="4"/>
  <c r="F104" i="4"/>
  <c r="G104" i="4"/>
  <c r="H104" i="4"/>
  <c r="O104" i="4"/>
  <c r="P104" i="4"/>
  <c r="R104" i="4" s="1"/>
  <c r="Q104" i="4"/>
  <c r="I104" i="4" s="1"/>
  <c r="C105" i="4"/>
  <c r="D105" i="4"/>
  <c r="E105" i="4"/>
  <c r="J105" i="4" s="1"/>
  <c r="F105" i="4"/>
  <c r="H105" i="4"/>
  <c r="O105" i="4"/>
  <c r="G105" i="4" s="1"/>
  <c r="P105" i="4"/>
  <c r="Q105" i="4"/>
  <c r="I105" i="4" s="1"/>
  <c r="C87" i="4"/>
  <c r="D87" i="4"/>
  <c r="E87" i="4"/>
  <c r="F87" i="4"/>
  <c r="C88" i="4"/>
  <c r="D88" i="4"/>
  <c r="E88" i="4"/>
  <c r="F88" i="4"/>
  <c r="C89" i="4"/>
  <c r="D89" i="4"/>
  <c r="E89" i="4"/>
  <c r="F89" i="4"/>
  <c r="C90" i="4"/>
  <c r="D90" i="4"/>
  <c r="E90" i="4"/>
  <c r="F90" i="4"/>
  <c r="C91" i="4"/>
  <c r="D91" i="4"/>
  <c r="E91" i="4"/>
  <c r="F91" i="4"/>
  <c r="C92" i="4"/>
  <c r="D92" i="4"/>
  <c r="E92" i="4"/>
  <c r="F92" i="4"/>
  <c r="C93" i="4"/>
  <c r="D93" i="4"/>
  <c r="E93" i="4"/>
  <c r="F93" i="4"/>
  <c r="C94" i="4"/>
  <c r="D94" i="4"/>
  <c r="E94" i="4"/>
  <c r="J94" i="4" s="1"/>
  <c r="F94" i="4"/>
  <c r="C95" i="4"/>
  <c r="D95" i="4"/>
  <c r="E95" i="4"/>
  <c r="F95" i="4"/>
  <c r="C96" i="4"/>
  <c r="D96" i="4"/>
  <c r="E96" i="4"/>
  <c r="F96" i="4"/>
  <c r="C97" i="4"/>
  <c r="D97" i="4"/>
  <c r="E97" i="4"/>
  <c r="F97" i="4"/>
  <c r="J97" i="4" s="1"/>
  <c r="C98" i="4"/>
  <c r="D98" i="4"/>
  <c r="E98" i="4"/>
  <c r="F98" i="4"/>
  <c r="C99" i="4"/>
  <c r="D99" i="4"/>
  <c r="E99" i="4"/>
  <c r="F99" i="4"/>
  <c r="C100" i="4"/>
  <c r="D100" i="4"/>
  <c r="E100" i="4"/>
  <c r="F100" i="4"/>
  <c r="C101" i="4"/>
  <c r="D101" i="4"/>
  <c r="E101" i="4"/>
  <c r="F101" i="4"/>
  <c r="H87" i="4"/>
  <c r="O87" i="4"/>
  <c r="G87" i="4" s="1"/>
  <c r="P87" i="4"/>
  <c r="Q87" i="4"/>
  <c r="I87" i="4" s="1"/>
  <c r="G88" i="4"/>
  <c r="H88" i="4"/>
  <c r="O88" i="4"/>
  <c r="P88" i="4"/>
  <c r="Q88" i="4"/>
  <c r="I88" i="4" s="1"/>
  <c r="H89" i="4"/>
  <c r="O89" i="4"/>
  <c r="G89" i="4" s="1"/>
  <c r="P89" i="4"/>
  <c r="R89" i="4" s="1"/>
  <c r="Q89" i="4"/>
  <c r="I89" i="4" s="1"/>
  <c r="H90" i="4"/>
  <c r="J90" i="4"/>
  <c r="O90" i="4"/>
  <c r="G90" i="4" s="1"/>
  <c r="P90" i="4"/>
  <c r="Q90" i="4"/>
  <c r="I90" i="4" s="1"/>
  <c r="H91" i="4"/>
  <c r="O91" i="4"/>
  <c r="G91" i="4" s="1"/>
  <c r="P91" i="4"/>
  <c r="Q91" i="4"/>
  <c r="I91" i="4" s="1"/>
  <c r="H92" i="4"/>
  <c r="J92" i="4"/>
  <c r="O92" i="4"/>
  <c r="G92" i="4" s="1"/>
  <c r="P92" i="4"/>
  <c r="Q92" i="4"/>
  <c r="I92" i="4" s="1"/>
  <c r="H93" i="4"/>
  <c r="O93" i="4"/>
  <c r="G93" i="4" s="1"/>
  <c r="P93" i="4"/>
  <c r="Q93" i="4"/>
  <c r="I93" i="4" s="1"/>
  <c r="H94" i="4"/>
  <c r="O94" i="4"/>
  <c r="G94" i="4" s="1"/>
  <c r="P94" i="4"/>
  <c r="R94" i="4" s="1"/>
  <c r="Q94" i="4"/>
  <c r="I94" i="4" s="1"/>
  <c r="G95" i="4"/>
  <c r="H95" i="4"/>
  <c r="O95" i="4"/>
  <c r="P95" i="4"/>
  <c r="Q95" i="4"/>
  <c r="I95" i="4" s="1"/>
  <c r="R95" i="4"/>
  <c r="H96" i="4"/>
  <c r="J96" i="4"/>
  <c r="O96" i="4"/>
  <c r="G96" i="4" s="1"/>
  <c r="P96" i="4"/>
  <c r="Q96" i="4"/>
  <c r="I96" i="4" s="1"/>
  <c r="R96" i="4"/>
  <c r="G97" i="4"/>
  <c r="H97" i="4"/>
  <c r="O97" i="4"/>
  <c r="P97" i="4"/>
  <c r="R97" i="4" s="1"/>
  <c r="Q97" i="4"/>
  <c r="I97" i="4" s="1"/>
  <c r="H98" i="4"/>
  <c r="J98" i="4"/>
  <c r="O98" i="4"/>
  <c r="G98" i="4" s="1"/>
  <c r="P98" i="4"/>
  <c r="Q98" i="4"/>
  <c r="I98" i="4" s="1"/>
  <c r="H99" i="4"/>
  <c r="O99" i="4"/>
  <c r="G99" i="4" s="1"/>
  <c r="P99" i="4"/>
  <c r="Q99" i="4"/>
  <c r="I99" i="4" s="1"/>
  <c r="H100" i="4"/>
  <c r="J100" i="4"/>
  <c r="O100" i="4"/>
  <c r="G100" i="4" s="1"/>
  <c r="P100" i="4"/>
  <c r="Q100" i="4"/>
  <c r="I100" i="4" s="1"/>
  <c r="H101" i="4"/>
  <c r="O101" i="4"/>
  <c r="G101" i="4" s="1"/>
  <c r="P101" i="4"/>
  <c r="Q101" i="4"/>
  <c r="I101" i="4" s="1"/>
  <c r="R101" i="4"/>
  <c r="J101" i="4" l="1"/>
  <c r="J95" i="4"/>
  <c r="J91" i="4"/>
  <c r="R87" i="4"/>
  <c r="J99" i="4"/>
  <c r="J93" i="4"/>
  <c r="J87" i="4"/>
  <c r="R93" i="4"/>
  <c r="R88" i="4"/>
  <c r="J88" i="4"/>
  <c r="J104" i="4"/>
  <c r="J103" i="4"/>
  <c r="R98" i="4"/>
  <c r="R90" i="4"/>
  <c r="R99" i="4"/>
  <c r="R91" i="4"/>
  <c r="R103" i="4"/>
  <c r="R102" i="4"/>
  <c r="R100" i="4"/>
  <c r="R92" i="4"/>
  <c r="J89" i="4"/>
  <c r="I102" i="4"/>
  <c r="R105" i="4"/>
  <c r="I103" i="4"/>
  <c r="L252" i="2" l="1"/>
  <c r="AP348" i="2"/>
  <c r="H92" i="12" l="1"/>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60" i="2"/>
  <c r="L361" i="2"/>
  <c r="L362" i="2"/>
  <c r="L363" i="2"/>
  <c r="L364" i="2"/>
  <c r="L365" i="2"/>
  <c r="L366" i="2"/>
  <c r="L367" i="2"/>
  <c r="L368" i="2"/>
  <c r="L369" i="2"/>
  <c r="L370" i="2"/>
  <c r="L371" i="2"/>
  <c r="L372"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A192" i="2" l="1"/>
  <c r="D192" i="2" s="1"/>
  <c r="A150" i="2" l="1"/>
  <c r="D150" i="2" s="1"/>
  <c r="S69" i="12" l="1"/>
  <c r="I69" i="12" s="1"/>
  <c r="R69" i="12"/>
  <c r="Q69" i="12"/>
  <c r="G69" i="12" s="1"/>
  <c r="H69" i="12"/>
  <c r="F69" i="12"/>
  <c r="E69" i="12"/>
  <c r="J69" i="12" s="1"/>
  <c r="D69" i="12"/>
  <c r="C69" i="12"/>
  <c r="S68" i="12"/>
  <c r="I68" i="12" s="1"/>
  <c r="R68" i="12"/>
  <c r="Q68" i="12"/>
  <c r="G68" i="12" s="1"/>
  <c r="H68" i="12"/>
  <c r="F68" i="12"/>
  <c r="E68" i="12"/>
  <c r="J68" i="12" s="1"/>
  <c r="D68" i="12"/>
  <c r="C68" i="12"/>
  <c r="S67" i="12"/>
  <c r="R67" i="12"/>
  <c r="Q67" i="12"/>
  <c r="G67" i="12" s="1"/>
  <c r="H67" i="12"/>
  <c r="F67" i="12"/>
  <c r="E67" i="12"/>
  <c r="D67" i="12"/>
  <c r="C67" i="12"/>
  <c r="S66" i="12"/>
  <c r="I66" i="12" s="1"/>
  <c r="R66" i="12"/>
  <c r="Q66" i="12"/>
  <c r="G66" i="12" s="1"/>
  <c r="H66" i="12"/>
  <c r="F66" i="12"/>
  <c r="E66" i="12"/>
  <c r="J66" i="12" s="1"/>
  <c r="D66" i="12"/>
  <c r="C66" i="12"/>
  <c r="S65" i="12"/>
  <c r="I65" i="12" s="1"/>
  <c r="R65" i="12"/>
  <c r="Q65" i="12"/>
  <c r="G65" i="12" s="1"/>
  <c r="H65" i="12"/>
  <c r="F65" i="12"/>
  <c r="E65" i="12"/>
  <c r="D65" i="12"/>
  <c r="C65" i="12"/>
  <c r="T67" i="12" l="1"/>
  <c r="I67" i="12"/>
  <c r="T65" i="12"/>
  <c r="T68" i="12"/>
  <c r="T66" i="12"/>
  <c r="T69" i="12"/>
  <c r="J67" i="12"/>
  <c r="J65" i="12"/>
  <c r="P92" i="12"/>
  <c r="B9" i="12" s="1" a="1"/>
  <c r="B9" i="12" s="1"/>
  <c r="M92" i="12"/>
  <c r="N92" i="12"/>
  <c r="B8" i="12" a="1"/>
  <c r="B8" i="12" s="1"/>
  <c r="B6" i="12" a="1"/>
  <c r="B6" i="12" s="1"/>
  <c r="C55" i="12"/>
  <c r="D55" i="12"/>
  <c r="E55" i="12"/>
  <c r="J55" i="12" s="1"/>
  <c r="F55" i="12"/>
  <c r="G55" i="12"/>
  <c r="H55" i="12"/>
  <c r="I55" i="12"/>
  <c r="Q55" i="12"/>
  <c r="R55" i="12"/>
  <c r="S55" i="12"/>
  <c r="T55" i="12"/>
  <c r="C56" i="12"/>
  <c r="D56" i="12"/>
  <c r="E56" i="12"/>
  <c r="J56" i="12" s="1"/>
  <c r="F56" i="12"/>
  <c r="G56" i="12"/>
  <c r="H56" i="12"/>
  <c r="I56" i="12"/>
  <c r="Q56" i="12"/>
  <c r="R56" i="12"/>
  <c r="S56" i="12"/>
  <c r="T56" i="12"/>
  <c r="C57" i="12"/>
  <c r="D57" i="12"/>
  <c r="E57" i="12"/>
  <c r="J57" i="12" s="1"/>
  <c r="F57" i="12"/>
  <c r="G57" i="12"/>
  <c r="H57" i="12"/>
  <c r="I57" i="12"/>
  <c r="Q57" i="12"/>
  <c r="R57" i="12"/>
  <c r="S57" i="12"/>
  <c r="T57" i="12"/>
  <c r="C58" i="12"/>
  <c r="D58" i="12"/>
  <c r="E58" i="12"/>
  <c r="J58" i="12" s="1"/>
  <c r="F58" i="12"/>
  <c r="G58" i="12"/>
  <c r="H58" i="12"/>
  <c r="I58" i="12"/>
  <c r="Q58" i="12"/>
  <c r="R58" i="12"/>
  <c r="S58" i="12"/>
  <c r="T58" i="12"/>
  <c r="C59" i="12"/>
  <c r="D59" i="12"/>
  <c r="E59" i="12"/>
  <c r="J59" i="12" s="1"/>
  <c r="F59" i="12"/>
  <c r="G59" i="12"/>
  <c r="H59" i="12"/>
  <c r="I59" i="12"/>
  <c r="Q59" i="12"/>
  <c r="R59" i="12"/>
  <c r="S59" i="12"/>
  <c r="T59" i="12"/>
  <c r="C60" i="12"/>
  <c r="D60" i="12"/>
  <c r="E60" i="12"/>
  <c r="J60" i="12" s="1"/>
  <c r="F60" i="12"/>
  <c r="G60" i="12"/>
  <c r="H60" i="12"/>
  <c r="I60" i="12"/>
  <c r="Q60" i="12"/>
  <c r="R60" i="12"/>
  <c r="S60" i="12"/>
  <c r="T60" i="12"/>
  <c r="C61" i="12"/>
  <c r="D61" i="12"/>
  <c r="E61" i="12"/>
  <c r="J61" i="12" s="1"/>
  <c r="F61" i="12"/>
  <c r="G61" i="12"/>
  <c r="H61" i="12"/>
  <c r="I61" i="12"/>
  <c r="Q61" i="12"/>
  <c r="R61" i="12"/>
  <c r="S61" i="12"/>
  <c r="T61" i="12"/>
  <c r="C62" i="12"/>
  <c r="D62" i="12"/>
  <c r="E62" i="12"/>
  <c r="J62" i="12" s="1"/>
  <c r="F62" i="12"/>
  <c r="G62" i="12"/>
  <c r="H62" i="12"/>
  <c r="I62" i="12"/>
  <c r="Q62" i="12"/>
  <c r="R62" i="12"/>
  <c r="S62" i="12"/>
  <c r="T62" i="12"/>
  <c r="C64" i="12"/>
  <c r="D64" i="12"/>
  <c r="E64" i="12"/>
  <c r="F64" i="12"/>
  <c r="H64" i="12"/>
  <c r="Q64" i="12"/>
  <c r="R64" i="12"/>
  <c r="S64" i="12"/>
  <c r="I64" i="12" s="1"/>
  <c r="C70" i="12"/>
  <c r="D70" i="12"/>
  <c r="E70" i="12"/>
  <c r="F70" i="12"/>
  <c r="H70" i="12"/>
  <c r="Q70" i="12"/>
  <c r="G70" i="12" s="1"/>
  <c r="R70" i="12"/>
  <c r="S70" i="12"/>
  <c r="I70" i="12" s="1"/>
  <c r="C71" i="12"/>
  <c r="D71" i="12"/>
  <c r="E71" i="12"/>
  <c r="F71" i="12"/>
  <c r="H71" i="12"/>
  <c r="Q71" i="12"/>
  <c r="G71" i="12" s="1"/>
  <c r="R71" i="12"/>
  <c r="S71" i="12"/>
  <c r="I71" i="12" s="1"/>
  <c r="C72" i="12"/>
  <c r="D72" i="12"/>
  <c r="E72" i="12"/>
  <c r="F72" i="12"/>
  <c r="H72" i="12"/>
  <c r="Q72" i="12"/>
  <c r="G72" i="12" s="1"/>
  <c r="R72" i="12"/>
  <c r="S72" i="12"/>
  <c r="I72" i="12" s="1"/>
  <c r="C73" i="12"/>
  <c r="D73" i="12"/>
  <c r="E73" i="12"/>
  <c r="F73" i="12"/>
  <c r="H73" i="12"/>
  <c r="Q73" i="12"/>
  <c r="G73" i="12" s="1"/>
  <c r="R73" i="12"/>
  <c r="S73" i="12"/>
  <c r="I73" i="12" s="1"/>
  <c r="C74" i="12"/>
  <c r="D74" i="12"/>
  <c r="E74" i="12"/>
  <c r="F74" i="12"/>
  <c r="H74" i="12"/>
  <c r="Q74" i="12"/>
  <c r="G74" i="12" s="1"/>
  <c r="R74" i="12"/>
  <c r="S74" i="12"/>
  <c r="I74" i="12" s="1"/>
  <c r="C75" i="12"/>
  <c r="D75" i="12"/>
  <c r="E75" i="12"/>
  <c r="J75" i="12" s="1"/>
  <c r="F75" i="12"/>
  <c r="H75" i="12"/>
  <c r="Q75" i="12"/>
  <c r="G75" i="12" s="1"/>
  <c r="R75" i="12"/>
  <c r="S75" i="12"/>
  <c r="I75" i="12" s="1"/>
  <c r="C76" i="12"/>
  <c r="D76" i="12"/>
  <c r="E76" i="12"/>
  <c r="J76" i="12" s="1"/>
  <c r="F76" i="12"/>
  <c r="H76" i="12"/>
  <c r="Q76" i="12"/>
  <c r="G76" i="12" s="1"/>
  <c r="R76" i="12"/>
  <c r="S76" i="12"/>
  <c r="T76" i="12" s="1"/>
  <c r="C77" i="12"/>
  <c r="D77" i="12"/>
  <c r="E77" i="12"/>
  <c r="F77" i="12"/>
  <c r="H77" i="12"/>
  <c r="Q77" i="12"/>
  <c r="G77" i="12" s="1"/>
  <c r="R77" i="12"/>
  <c r="S77" i="12"/>
  <c r="T77" i="12" s="1"/>
  <c r="C78" i="12"/>
  <c r="D78" i="12"/>
  <c r="E78" i="12"/>
  <c r="F78" i="12"/>
  <c r="H78" i="12"/>
  <c r="Q78" i="12"/>
  <c r="G78" i="12" s="1"/>
  <c r="R78" i="12"/>
  <c r="S78" i="12"/>
  <c r="C79" i="12"/>
  <c r="D79" i="12"/>
  <c r="E79" i="12"/>
  <c r="J79" i="12" s="1"/>
  <c r="F79" i="12"/>
  <c r="H79" i="12"/>
  <c r="Q79" i="12"/>
  <c r="G79" i="12" s="1"/>
  <c r="R79" i="12"/>
  <c r="S79" i="12"/>
  <c r="I79" i="12" s="1"/>
  <c r="C80" i="12"/>
  <c r="D80" i="12"/>
  <c r="E80" i="12"/>
  <c r="J80" i="12" s="1"/>
  <c r="F80" i="12"/>
  <c r="H80" i="12"/>
  <c r="Q80" i="12"/>
  <c r="G80" i="12" s="1"/>
  <c r="R80" i="12"/>
  <c r="S80" i="12"/>
  <c r="I80" i="12" s="1"/>
  <c r="C81" i="12"/>
  <c r="D81" i="12"/>
  <c r="E81" i="12"/>
  <c r="J81" i="12" s="1"/>
  <c r="F81" i="12"/>
  <c r="H81" i="12"/>
  <c r="Q81" i="12"/>
  <c r="G81" i="12" s="1"/>
  <c r="R81" i="12"/>
  <c r="S81" i="12"/>
  <c r="C82" i="12"/>
  <c r="D82" i="12"/>
  <c r="E82" i="12"/>
  <c r="J82" i="12" s="1"/>
  <c r="F82" i="12"/>
  <c r="H82" i="12"/>
  <c r="Q82" i="12"/>
  <c r="G82" i="12" s="1"/>
  <c r="R82" i="12"/>
  <c r="S82" i="12"/>
  <c r="T82" i="12" s="1"/>
  <c r="C83" i="12"/>
  <c r="D83" i="12"/>
  <c r="E83" i="12"/>
  <c r="F83" i="12"/>
  <c r="H83" i="12"/>
  <c r="Q83" i="12"/>
  <c r="G83" i="12" s="1"/>
  <c r="R83" i="12"/>
  <c r="S83" i="12"/>
  <c r="T83" i="12" s="1"/>
  <c r="C84" i="12"/>
  <c r="D84" i="12"/>
  <c r="E84" i="12"/>
  <c r="F84" i="12"/>
  <c r="H84" i="12"/>
  <c r="Q84" i="12"/>
  <c r="G84" i="12" s="1"/>
  <c r="R84" i="12"/>
  <c r="S84" i="12"/>
  <c r="T84" i="12" s="1"/>
  <c r="C85" i="12"/>
  <c r="D85" i="12"/>
  <c r="E85" i="12"/>
  <c r="F85" i="12"/>
  <c r="H85" i="12"/>
  <c r="Q85" i="12"/>
  <c r="G85" i="12" s="1"/>
  <c r="R85" i="12"/>
  <c r="S85" i="12"/>
  <c r="I85" i="12" s="1"/>
  <c r="C86" i="12"/>
  <c r="D86" i="12"/>
  <c r="E86" i="12"/>
  <c r="J86" i="12" s="1"/>
  <c r="F86" i="12"/>
  <c r="H86" i="12"/>
  <c r="Q86" i="12"/>
  <c r="G86" i="12" s="1"/>
  <c r="R86" i="12"/>
  <c r="S86" i="12"/>
  <c r="I86" i="12" s="1"/>
  <c r="C87" i="12"/>
  <c r="D87" i="12"/>
  <c r="E87" i="12"/>
  <c r="J87" i="12" s="1"/>
  <c r="F87" i="12"/>
  <c r="H87" i="12"/>
  <c r="Q87" i="12"/>
  <c r="G87" i="12" s="1"/>
  <c r="R87" i="12"/>
  <c r="S87" i="12"/>
  <c r="T87" i="12" s="1"/>
  <c r="C88" i="12"/>
  <c r="D88" i="12"/>
  <c r="E88" i="12"/>
  <c r="F88" i="12"/>
  <c r="H88" i="12"/>
  <c r="Q88" i="12"/>
  <c r="G88" i="12" s="1"/>
  <c r="R88" i="12"/>
  <c r="S88" i="12"/>
  <c r="T88" i="12" s="1"/>
  <c r="C89" i="12"/>
  <c r="D89" i="12"/>
  <c r="E89" i="12"/>
  <c r="F89" i="12"/>
  <c r="H89" i="12"/>
  <c r="Q89" i="12"/>
  <c r="G89" i="12" s="1"/>
  <c r="R89" i="12"/>
  <c r="S89" i="12"/>
  <c r="T89" i="12" s="1"/>
  <c r="C90" i="12"/>
  <c r="D90" i="12"/>
  <c r="E90" i="12"/>
  <c r="F90" i="12"/>
  <c r="H90" i="12"/>
  <c r="Q90" i="12"/>
  <c r="G90" i="12" s="1"/>
  <c r="R90" i="12"/>
  <c r="S90" i="12"/>
  <c r="I90" i="12" s="1"/>
  <c r="C91" i="12"/>
  <c r="D91" i="12"/>
  <c r="E91" i="12"/>
  <c r="F91" i="12"/>
  <c r="H91" i="12"/>
  <c r="J91" i="12"/>
  <c r="Q91" i="12"/>
  <c r="G91" i="12" s="1"/>
  <c r="R91" i="12"/>
  <c r="S91" i="12"/>
  <c r="I91" i="12" s="1"/>
  <c r="K92" i="12"/>
  <c r="B10" i="12" s="1"/>
  <c r="L92" i="12"/>
  <c r="B11" i="12" s="1" a="1"/>
  <c r="B11" i="12" s="1"/>
  <c r="O92" i="12"/>
  <c r="B12" i="12" s="1" a="1"/>
  <c r="B12" i="12" s="1"/>
  <c r="C30" i="12"/>
  <c r="C40" i="12" s="1"/>
  <c r="B26" i="12" s="1"/>
  <c r="D30" i="12"/>
  <c r="D40" i="12" s="1"/>
  <c r="E30" i="12"/>
  <c r="J30" i="12" s="1"/>
  <c r="F30" i="12"/>
  <c r="F40" i="12" s="1"/>
  <c r="G30" i="12"/>
  <c r="H30" i="12"/>
  <c r="H40" i="12" s="1"/>
  <c r="I30" i="12"/>
  <c r="K30" i="12"/>
  <c r="L30" i="12"/>
  <c r="C31" i="12"/>
  <c r="D31" i="12"/>
  <c r="E31" i="12"/>
  <c r="F31" i="12"/>
  <c r="G31" i="12"/>
  <c r="H31" i="12"/>
  <c r="J31" i="12"/>
  <c r="K31" i="12"/>
  <c r="L31" i="12" s="1"/>
  <c r="I31" i="12" s="1"/>
  <c r="C32" i="12"/>
  <c r="D32" i="12"/>
  <c r="E32" i="12"/>
  <c r="F32" i="12"/>
  <c r="H32" i="12"/>
  <c r="J32" i="12"/>
  <c r="K32" i="12"/>
  <c r="G32" i="12" s="1"/>
  <c r="L32" i="12"/>
  <c r="I32" i="12" s="1"/>
  <c r="C33" i="12"/>
  <c r="D33" i="12"/>
  <c r="E33" i="12"/>
  <c r="F33" i="12"/>
  <c r="H33" i="12"/>
  <c r="J33" i="12"/>
  <c r="K33" i="12"/>
  <c r="G33" i="12" s="1"/>
  <c r="L33" i="12"/>
  <c r="I33" i="12" s="1"/>
  <c r="C35" i="12"/>
  <c r="D35" i="12"/>
  <c r="E35" i="12"/>
  <c r="F35" i="12"/>
  <c r="H35" i="12"/>
  <c r="J35" i="12"/>
  <c r="K35" i="12"/>
  <c r="G35" i="12" s="1"/>
  <c r="L35" i="12"/>
  <c r="I35" i="12" s="1"/>
  <c r="C36" i="12"/>
  <c r="D36" i="12"/>
  <c r="E36" i="12"/>
  <c r="J36" i="12" s="1"/>
  <c r="F36" i="12"/>
  <c r="H36" i="12"/>
  <c r="K36" i="12"/>
  <c r="G36" i="12" s="1"/>
  <c r="L36" i="12"/>
  <c r="I36" i="12" s="1"/>
  <c r="C37" i="12"/>
  <c r="D37" i="12"/>
  <c r="E37" i="12"/>
  <c r="J37" i="12" s="1"/>
  <c r="F37" i="12"/>
  <c r="G37" i="12"/>
  <c r="H37" i="12"/>
  <c r="I37" i="12"/>
  <c r="K37" i="12"/>
  <c r="L37" i="12"/>
  <c r="C38" i="12"/>
  <c r="D38" i="12"/>
  <c r="E38" i="12"/>
  <c r="F38" i="12"/>
  <c r="G38" i="12"/>
  <c r="H38" i="12"/>
  <c r="J38" i="12"/>
  <c r="K38" i="12"/>
  <c r="L38" i="12" s="1"/>
  <c r="I38" i="12" s="1"/>
  <c r="C39" i="12"/>
  <c r="D39" i="12"/>
  <c r="E39" i="12"/>
  <c r="F39" i="12"/>
  <c r="H39" i="12"/>
  <c r="J39" i="12"/>
  <c r="K39" i="12"/>
  <c r="G39" i="12" s="1"/>
  <c r="L39" i="12"/>
  <c r="I39" i="12" s="1"/>
  <c r="J74" i="12" l="1"/>
  <c r="J85" i="12"/>
  <c r="J83" i="12"/>
  <c r="T81" i="12"/>
  <c r="J89" i="12"/>
  <c r="J90" i="12"/>
  <c r="J88" i="12"/>
  <c r="I84" i="12"/>
  <c r="T90" i="12"/>
  <c r="I89" i="12"/>
  <c r="Q92" i="12"/>
  <c r="I87" i="12"/>
  <c r="I82" i="12"/>
  <c r="T78" i="12"/>
  <c r="I77" i="12"/>
  <c r="I88" i="12"/>
  <c r="I83" i="12"/>
  <c r="J84" i="12"/>
  <c r="I81" i="12"/>
  <c r="I78" i="12"/>
  <c r="J77" i="12"/>
  <c r="J78" i="12"/>
  <c r="I76" i="12"/>
  <c r="T75" i="12"/>
  <c r="J70" i="12"/>
  <c r="J73" i="12"/>
  <c r="J71" i="12"/>
  <c r="T91" i="12"/>
  <c r="T85" i="12"/>
  <c r="T79" i="12"/>
  <c r="T86" i="12"/>
  <c r="T80" i="12"/>
  <c r="J72" i="12"/>
  <c r="I40" i="12"/>
  <c r="G40" i="12"/>
  <c r="J40" i="12"/>
  <c r="G64" i="12"/>
  <c r="G92" i="12" s="1"/>
  <c r="B13" i="12" s="1" a="1"/>
  <c r="B13" i="12" s="1"/>
  <c r="K40" i="12"/>
  <c r="E40" i="12"/>
  <c r="F92" i="12"/>
  <c r="B15" i="12" s="1" a="1"/>
  <c r="B15" i="12" s="1"/>
  <c r="D92" i="12"/>
  <c r="B17" i="12" s="1" a="1"/>
  <c r="B17" i="12" s="1"/>
  <c r="B16" i="12" a="1"/>
  <c r="B16" i="12" s="1"/>
  <c r="C92" i="12"/>
  <c r="B51" i="12" s="1"/>
  <c r="B18" i="12" s="1" a="1"/>
  <c r="B18" i="12" s="1"/>
  <c r="J64" i="12"/>
  <c r="E92" i="12"/>
  <c r="B14" i="12" s="1" a="1"/>
  <c r="B14" i="12" s="1"/>
  <c r="T74" i="12"/>
  <c r="T73" i="12"/>
  <c r="T72" i="12"/>
  <c r="T71" i="12"/>
  <c r="T70" i="12"/>
  <c r="T64" i="12"/>
  <c r="J347" i="3"/>
  <c r="K347" i="3"/>
  <c r="J348" i="3"/>
  <c r="K348" i="3"/>
  <c r="J349" i="3"/>
  <c r="K349" i="3"/>
  <c r="J350" i="3"/>
  <c r="K350" i="3"/>
  <c r="J351" i="3"/>
  <c r="K351" i="3"/>
  <c r="J352" i="3"/>
  <c r="K352" i="3"/>
  <c r="J353" i="3"/>
  <c r="K353" i="3"/>
  <c r="J354" i="3"/>
  <c r="K354" i="3"/>
  <c r="J355" i="3"/>
  <c r="K355" i="3"/>
  <c r="J356" i="3"/>
  <c r="K356" i="3"/>
  <c r="J357" i="3"/>
  <c r="K357" i="3"/>
  <c r="J358" i="3"/>
  <c r="K358" i="3"/>
  <c r="J359" i="3"/>
  <c r="K359" i="3"/>
  <c r="J360" i="3"/>
  <c r="K360" i="3"/>
  <c r="J361" i="3"/>
  <c r="K361" i="3"/>
  <c r="J362" i="3"/>
  <c r="K362" i="3"/>
  <c r="J363" i="3"/>
  <c r="K363" i="3"/>
  <c r="J364" i="3"/>
  <c r="K364" i="3"/>
  <c r="J365" i="3"/>
  <c r="K365" i="3"/>
  <c r="J366" i="3"/>
  <c r="K366" i="3"/>
  <c r="J367" i="3"/>
  <c r="K367" i="3"/>
  <c r="J368" i="3"/>
  <c r="K368" i="3"/>
  <c r="J369" i="3"/>
  <c r="K369" i="3"/>
  <c r="J370" i="3"/>
  <c r="K370" i="3"/>
  <c r="J371" i="3"/>
  <c r="K371" i="3"/>
  <c r="J372" i="3"/>
  <c r="K372" i="3"/>
  <c r="J373" i="3"/>
  <c r="K373" i="3"/>
  <c r="J374" i="3"/>
  <c r="K374" i="3"/>
  <c r="J375" i="3"/>
  <c r="K375" i="3"/>
  <c r="J376" i="3"/>
  <c r="K376" i="3"/>
  <c r="J377" i="3"/>
  <c r="K377" i="3"/>
  <c r="J378" i="3"/>
  <c r="K378" i="3"/>
  <c r="J379" i="3"/>
  <c r="K379" i="3"/>
  <c r="J380" i="3"/>
  <c r="K380" i="3"/>
  <c r="J381" i="3"/>
  <c r="K381" i="3"/>
  <c r="J382" i="3"/>
  <c r="K382" i="3"/>
  <c r="J383" i="3"/>
  <c r="K383" i="3"/>
  <c r="J384" i="3"/>
  <c r="K384" i="3"/>
  <c r="J385" i="3"/>
  <c r="K385" i="3"/>
  <c r="J386" i="3"/>
  <c r="K386" i="3"/>
  <c r="J387" i="3"/>
  <c r="K387" i="3"/>
  <c r="J388" i="3"/>
  <c r="K388" i="3"/>
  <c r="J389" i="3"/>
  <c r="K389" i="3"/>
  <c r="J390" i="3"/>
  <c r="K390" i="3"/>
  <c r="J391" i="3"/>
  <c r="K391" i="3"/>
  <c r="J392" i="3"/>
  <c r="K392" i="3"/>
  <c r="J393" i="3"/>
  <c r="K393" i="3"/>
  <c r="J394" i="3"/>
  <c r="K394" i="3"/>
  <c r="J395" i="3"/>
  <c r="K395" i="3"/>
  <c r="J396" i="3"/>
  <c r="K396" i="3"/>
  <c r="J397" i="3"/>
  <c r="K397" i="3"/>
  <c r="J398" i="3"/>
  <c r="K398" i="3"/>
  <c r="J399" i="3"/>
  <c r="K399" i="3"/>
  <c r="J400" i="3"/>
  <c r="K400" i="3"/>
  <c r="J401" i="3"/>
  <c r="K401" i="3"/>
  <c r="J402" i="3"/>
  <c r="K402" i="3"/>
  <c r="J403" i="3"/>
  <c r="K403" i="3"/>
  <c r="I92" i="12" l="1"/>
  <c r="B7" i="12" s="1" a="1"/>
  <c r="B7" i="12" s="1"/>
  <c r="J92" i="12"/>
  <c r="Q56" i="4"/>
  <c r="Q57" i="4"/>
  <c r="Q58" i="4"/>
  <c r="Q59" i="4"/>
  <c r="Q60" i="4"/>
  <c r="Q61" i="4"/>
  <c r="Q62" i="4"/>
  <c r="Q55" i="4"/>
  <c r="I55" i="4" s="1"/>
  <c r="C65" i="4" l="1"/>
  <c r="D65" i="4"/>
  <c r="E65" i="4"/>
  <c r="F65" i="4"/>
  <c r="H65" i="4"/>
  <c r="O65" i="4"/>
  <c r="G65" i="4" s="1"/>
  <c r="P65" i="4"/>
  <c r="Q65" i="4"/>
  <c r="C66" i="4"/>
  <c r="D66" i="4"/>
  <c r="E66" i="4"/>
  <c r="F66" i="4"/>
  <c r="H66" i="4"/>
  <c r="O66" i="4"/>
  <c r="G66" i="4" s="1"/>
  <c r="P66" i="4"/>
  <c r="Q66" i="4"/>
  <c r="C67" i="4"/>
  <c r="D67" i="4"/>
  <c r="E67" i="4"/>
  <c r="F67" i="4"/>
  <c r="H67" i="4"/>
  <c r="O67" i="4"/>
  <c r="G67" i="4" s="1"/>
  <c r="P67" i="4"/>
  <c r="Q67" i="4"/>
  <c r="C68" i="4"/>
  <c r="D68" i="4"/>
  <c r="E68" i="4"/>
  <c r="F68" i="4"/>
  <c r="H68" i="4"/>
  <c r="O68" i="4"/>
  <c r="G68" i="4" s="1"/>
  <c r="P68" i="4"/>
  <c r="Q68" i="4"/>
  <c r="C69" i="4"/>
  <c r="D69" i="4"/>
  <c r="E69" i="4"/>
  <c r="F69" i="4"/>
  <c r="H69" i="4"/>
  <c r="O69" i="4"/>
  <c r="G69" i="4" s="1"/>
  <c r="P69" i="4"/>
  <c r="Q69" i="4"/>
  <c r="C70" i="4"/>
  <c r="D70" i="4"/>
  <c r="E70" i="4"/>
  <c r="F70" i="4"/>
  <c r="H70" i="4"/>
  <c r="O70" i="4"/>
  <c r="G70" i="4" s="1"/>
  <c r="P70" i="4"/>
  <c r="Q70" i="4"/>
  <c r="I70" i="4" s="1"/>
  <c r="C71" i="4"/>
  <c r="D71" i="4"/>
  <c r="E71" i="4"/>
  <c r="F71" i="4"/>
  <c r="H71" i="4"/>
  <c r="O71" i="4"/>
  <c r="G71" i="4" s="1"/>
  <c r="P71" i="4"/>
  <c r="Q71" i="4"/>
  <c r="C72" i="4"/>
  <c r="D72" i="4"/>
  <c r="E72" i="4"/>
  <c r="F72" i="4"/>
  <c r="H72" i="4"/>
  <c r="I72" i="4"/>
  <c r="O72" i="4"/>
  <c r="G72" i="4" s="1"/>
  <c r="P72" i="4"/>
  <c r="Q72" i="4"/>
  <c r="C73" i="4"/>
  <c r="D73" i="4"/>
  <c r="E73" i="4"/>
  <c r="F73" i="4"/>
  <c r="H73" i="4"/>
  <c r="O73" i="4"/>
  <c r="G73" i="4" s="1"/>
  <c r="P73" i="4"/>
  <c r="Q73" i="4"/>
  <c r="C74" i="4"/>
  <c r="D74" i="4"/>
  <c r="E74" i="4"/>
  <c r="F74" i="4"/>
  <c r="H74" i="4"/>
  <c r="O74" i="4"/>
  <c r="G74" i="4" s="1"/>
  <c r="P74" i="4"/>
  <c r="Q74" i="4"/>
  <c r="I74" i="4" s="1"/>
  <c r="C75" i="4"/>
  <c r="D75" i="4"/>
  <c r="E75" i="4"/>
  <c r="F75" i="4"/>
  <c r="H75" i="4"/>
  <c r="O75" i="4"/>
  <c r="G75" i="4" s="1"/>
  <c r="P75" i="4"/>
  <c r="Q75" i="4"/>
  <c r="C76" i="4"/>
  <c r="D76" i="4"/>
  <c r="E76" i="4"/>
  <c r="F76" i="4"/>
  <c r="H76" i="4"/>
  <c r="O76" i="4"/>
  <c r="G76" i="4" s="1"/>
  <c r="P76" i="4"/>
  <c r="Q76" i="4"/>
  <c r="R76" i="4" s="1"/>
  <c r="C77" i="4"/>
  <c r="D77" i="4"/>
  <c r="E77" i="4"/>
  <c r="F77" i="4"/>
  <c r="H77" i="4"/>
  <c r="O77" i="4"/>
  <c r="G77" i="4" s="1"/>
  <c r="P77" i="4"/>
  <c r="Q77" i="4"/>
  <c r="R77" i="4" s="1"/>
  <c r="C78" i="4"/>
  <c r="D78" i="4"/>
  <c r="E78" i="4"/>
  <c r="F78" i="4"/>
  <c r="H78" i="4"/>
  <c r="O78" i="4"/>
  <c r="G78" i="4" s="1"/>
  <c r="P78" i="4"/>
  <c r="Q78" i="4"/>
  <c r="R78" i="4" s="1"/>
  <c r="C79" i="4"/>
  <c r="D79" i="4"/>
  <c r="E79" i="4"/>
  <c r="F79" i="4"/>
  <c r="H79" i="4"/>
  <c r="O79" i="4"/>
  <c r="G79" i="4" s="1"/>
  <c r="P79" i="4"/>
  <c r="Q79" i="4"/>
  <c r="R79" i="4" s="1"/>
  <c r="C80" i="4"/>
  <c r="D80" i="4"/>
  <c r="E80" i="4"/>
  <c r="F80" i="4"/>
  <c r="G80" i="4"/>
  <c r="H80" i="4"/>
  <c r="O80" i="4"/>
  <c r="P80" i="4"/>
  <c r="Q80" i="4"/>
  <c r="I80" i="4" s="1"/>
  <c r="C81" i="4"/>
  <c r="D81" i="4"/>
  <c r="E81" i="4"/>
  <c r="F81" i="4"/>
  <c r="H81" i="4"/>
  <c r="O81" i="4"/>
  <c r="G81" i="4" s="1"/>
  <c r="P81" i="4"/>
  <c r="Q81" i="4"/>
  <c r="C82" i="4"/>
  <c r="D82" i="4"/>
  <c r="E82" i="4"/>
  <c r="F82" i="4"/>
  <c r="H82" i="4"/>
  <c r="O82" i="4"/>
  <c r="G82" i="4" s="1"/>
  <c r="P82" i="4"/>
  <c r="Q82" i="4"/>
  <c r="I82" i="4" s="1"/>
  <c r="C83" i="4"/>
  <c r="D83" i="4"/>
  <c r="E83" i="4"/>
  <c r="F83" i="4"/>
  <c r="H83" i="4"/>
  <c r="O83" i="4"/>
  <c r="G83" i="4" s="1"/>
  <c r="P83" i="4"/>
  <c r="Q83" i="4"/>
  <c r="C84" i="4"/>
  <c r="D84" i="4"/>
  <c r="E84" i="4"/>
  <c r="F84" i="4"/>
  <c r="H84" i="4"/>
  <c r="O84" i="4"/>
  <c r="G84" i="4" s="1"/>
  <c r="P84" i="4"/>
  <c r="Q84" i="4"/>
  <c r="R84" i="4" s="1"/>
  <c r="C85" i="4"/>
  <c r="D85" i="4"/>
  <c r="E85" i="4"/>
  <c r="F85" i="4"/>
  <c r="H85" i="4"/>
  <c r="O85" i="4"/>
  <c r="G85" i="4" s="1"/>
  <c r="P85" i="4"/>
  <c r="Q85" i="4"/>
  <c r="R85" i="4" s="1"/>
  <c r="C86" i="4"/>
  <c r="D86" i="4"/>
  <c r="E86" i="4"/>
  <c r="F86" i="4"/>
  <c r="H86" i="4"/>
  <c r="O86" i="4"/>
  <c r="G86" i="4" s="1"/>
  <c r="P86" i="4"/>
  <c r="Q86" i="4"/>
  <c r="R86" i="4" s="1"/>
  <c r="O64" i="4"/>
  <c r="R70" i="4" l="1"/>
  <c r="J86" i="4"/>
  <c r="H106" i="4"/>
  <c r="F106" i="4"/>
  <c r="J85" i="4"/>
  <c r="G106" i="4"/>
  <c r="E106" i="4"/>
  <c r="G64" i="4"/>
  <c r="O106" i="4"/>
  <c r="J77" i="4"/>
  <c r="I86" i="4"/>
  <c r="J78" i="4"/>
  <c r="J80" i="4"/>
  <c r="J79" i="4"/>
  <c r="I78" i="4"/>
  <c r="I84" i="4"/>
  <c r="R72" i="4"/>
  <c r="I76" i="4"/>
  <c r="R67" i="4"/>
  <c r="R68" i="4"/>
  <c r="J68" i="4"/>
  <c r="R66" i="4"/>
  <c r="R65" i="4"/>
  <c r="J67" i="4"/>
  <c r="I68" i="4"/>
  <c r="J65" i="4"/>
  <c r="J82" i="4"/>
  <c r="J81" i="4"/>
  <c r="J74" i="4"/>
  <c r="J73" i="4"/>
  <c r="I66" i="4"/>
  <c r="R83" i="4"/>
  <c r="R82" i="4"/>
  <c r="R75" i="4"/>
  <c r="R74" i="4"/>
  <c r="R69" i="4"/>
  <c r="R81" i="4"/>
  <c r="R80" i="4"/>
  <c r="R73" i="4"/>
  <c r="J72" i="4"/>
  <c r="J71" i="4"/>
  <c r="J66" i="4"/>
  <c r="J84" i="4"/>
  <c r="J83" i="4"/>
  <c r="J76" i="4"/>
  <c r="J75" i="4"/>
  <c r="R71" i="4"/>
  <c r="J70" i="4"/>
  <c r="J69" i="4"/>
  <c r="I81" i="4"/>
  <c r="I79" i="4"/>
  <c r="I65" i="4"/>
  <c r="I85" i="4"/>
  <c r="I83" i="4"/>
  <c r="I77" i="4"/>
  <c r="I75" i="4"/>
  <c r="I73" i="4"/>
  <c r="I71" i="4"/>
  <c r="I69" i="4"/>
  <c r="I67" i="4"/>
  <c r="I106" i="4" l="1"/>
  <c r="A331" i="2"/>
  <c r="AP331" i="2"/>
  <c r="A332" i="2"/>
  <c r="AP332" i="2"/>
  <c r="A333" i="2"/>
  <c r="AP333" i="2"/>
  <c r="A334" i="2"/>
  <c r="AP334" i="2"/>
  <c r="A335" i="2"/>
  <c r="AP335" i="2"/>
  <c r="A336" i="2"/>
  <c r="AP336" i="2"/>
  <c r="A337" i="2"/>
  <c r="AP337" i="2"/>
  <c r="A338" i="2"/>
  <c r="AP338" i="2"/>
  <c r="A339" i="2"/>
  <c r="AP339" i="2"/>
  <c r="A340" i="2"/>
  <c r="AP340" i="2"/>
  <c r="A341" i="2"/>
  <c r="AP341" i="2"/>
  <c r="A342" i="2"/>
  <c r="AP342" i="2"/>
  <c r="A343" i="2"/>
  <c r="AP343" i="2"/>
  <c r="A344" i="2"/>
  <c r="AP344" i="2"/>
  <c r="A345" i="2"/>
  <c r="AP345" i="2"/>
  <c r="A346" i="2"/>
  <c r="AP346" i="2"/>
  <c r="A347" i="2"/>
  <c r="AP347" i="2"/>
  <c r="A348" i="2"/>
  <c r="AP349" i="2"/>
  <c r="A349" i="2"/>
  <c r="AP350" i="2"/>
  <c r="A350" i="2"/>
  <c r="AP351" i="2"/>
  <c r="A351" i="2"/>
  <c r="A352" i="2"/>
  <c r="A353" i="2"/>
  <c r="A354" i="2"/>
  <c r="A355" i="2"/>
  <c r="A356" i="2"/>
  <c r="A357" i="2"/>
  <c r="A358" i="2"/>
  <c r="A359" i="2"/>
  <c r="A360" i="2"/>
  <c r="A361" i="2"/>
  <c r="A362" i="2"/>
  <c r="A363" i="2"/>
  <c r="D363" i="2" s="1"/>
  <c r="A364" i="2"/>
  <c r="A365" i="2"/>
  <c r="A366" i="2"/>
  <c r="A367" i="2"/>
  <c r="A368" i="2"/>
  <c r="A369" i="2"/>
  <c r="AP370" i="2"/>
  <c r="A370" i="2"/>
  <c r="AP371" i="2"/>
  <c r="A371" i="2"/>
  <c r="AP372" i="2"/>
  <c r="A372" i="2"/>
  <c r="J269" i="3"/>
  <c r="K269" i="3"/>
  <c r="J270" i="3"/>
  <c r="K270" i="3"/>
  <c r="J271" i="3"/>
  <c r="K271" i="3"/>
  <c r="J272" i="3"/>
  <c r="K272" i="3"/>
  <c r="J273" i="3"/>
  <c r="K273" i="3"/>
  <c r="J274" i="3"/>
  <c r="K274" i="3"/>
  <c r="J275" i="3"/>
  <c r="K275" i="3"/>
  <c r="J276" i="3"/>
  <c r="K276" i="3"/>
  <c r="J277" i="3"/>
  <c r="K277" i="3"/>
  <c r="J278" i="3"/>
  <c r="K278" i="3"/>
  <c r="J279" i="3"/>
  <c r="K279" i="3"/>
  <c r="J280" i="3"/>
  <c r="K280" i="3"/>
  <c r="J281" i="3"/>
  <c r="K281" i="3"/>
  <c r="J282" i="3"/>
  <c r="K282" i="3"/>
  <c r="J283" i="3"/>
  <c r="K283" i="3"/>
  <c r="J284" i="3"/>
  <c r="K284" i="3"/>
  <c r="J285" i="3"/>
  <c r="K285" i="3"/>
  <c r="K286" i="3"/>
  <c r="J287" i="3"/>
  <c r="K287" i="3"/>
  <c r="J288" i="3"/>
  <c r="K288" i="3"/>
  <c r="J289" i="3"/>
  <c r="K289" i="3"/>
  <c r="J290" i="3"/>
  <c r="K290" i="3"/>
  <c r="J291" i="3"/>
  <c r="K291" i="3"/>
  <c r="J292" i="3"/>
  <c r="K292" i="3"/>
  <c r="J293" i="3"/>
  <c r="K293" i="3"/>
  <c r="J294" i="3"/>
  <c r="K294" i="3"/>
  <c r="J295" i="3"/>
  <c r="K295" i="3"/>
  <c r="J296" i="3"/>
  <c r="K296" i="3"/>
  <c r="J297" i="3"/>
  <c r="K297" i="3"/>
  <c r="J298" i="3"/>
  <c r="K298" i="3"/>
  <c r="J299" i="3"/>
  <c r="K299" i="3"/>
  <c r="J300" i="3"/>
  <c r="K300" i="3"/>
  <c r="J301" i="3"/>
  <c r="K301" i="3"/>
  <c r="J302" i="3"/>
  <c r="K302" i="3"/>
  <c r="J303" i="3"/>
  <c r="K303" i="3"/>
  <c r="J304" i="3"/>
  <c r="K304" i="3"/>
  <c r="J305" i="3"/>
  <c r="K305" i="3"/>
  <c r="J306" i="3"/>
  <c r="K306" i="3"/>
  <c r="J307" i="3"/>
  <c r="K307" i="3"/>
  <c r="J308" i="3"/>
  <c r="K308" i="3"/>
  <c r="J309" i="3"/>
  <c r="K309" i="3"/>
  <c r="J310" i="3"/>
  <c r="K310" i="3"/>
  <c r="J311" i="3"/>
  <c r="K311" i="3"/>
  <c r="J312" i="3"/>
  <c r="K312" i="3"/>
  <c r="J313" i="3"/>
  <c r="K313" i="3"/>
  <c r="J314" i="3"/>
  <c r="K314" i="3"/>
  <c r="J315" i="3"/>
  <c r="K315" i="3"/>
  <c r="J316" i="3"/>
  <c r="K316" i="3"/>
  <c r="J317" i="3"/>
  <c r="K317" i="3"/>
  <c r="J318" i="3"/>
  <c r="K318" i="3"/>
  <c r="J319" i="3"/>
  <c r="K319" i="3"/>
  <c r="J320" i="3"/>
  <c r="K320" i="3"/>
  <c r="J321" i="3"/>
  <c r="K321" i="3"/>
  <c r="J322" i="3"/>
  <c r="K322" i="3"/>
  <c r="J323" i="3"/>
  <c r="K323" i="3"/>
  <c r="J324" i="3"/>
  <c r="K324" i="3"/>
  <c r="J325" i="3"/>
  <c r="K325" i="3"/>
  <c r="J326" i="3"/>
  <c r="K326" i="3"/>
  <c r="J327" i="3"/>
  <c r="K327" i="3"/>
  <c r="J328" i="3"/>
  <c r="K328" i="3"/>
  <c r="J329" i="3"/>
  <c r="K329" i="3"/>
  <c r="J330" i="3"/>
  <c r="K330" i="3"/>
  <c r="J331" i="3"/>
  <c r="K331" i="3"/>
  <c r="J332" i="3"/>
  <c r="K332" i="3"/>
  <c r="J333" i="3"/>
  <c r="K333" i="3"/>
  <c r="J334" i="3"/>
  <c r="K334" i="3"/>
  <c r="J335" i="3"/>
  <c r="K335" i="3"/>
  <c r="J336" i="3"/>
  <c r="K336" i="3"/>
  <c r="J337" i="3"/>
  <c r="K337" i="3"/>
  <c r="J338" i="3"/>
  <c r="K338" i="3"/>
  <c r="J339" i="3"/>
  <c r="K339" i="3"/>
  <c r="J340" i="3"/>
  <c r="K340" i="3"/>
  <c r="J341" i="3"/>
  <c r="K341" i="3"/>
  <c r="J342" i="3"/>
  <c r="K342" i="3"/>
  <c r="J343" i="3"/>
  <c r="K343" i="3"/>
  <c r="J344" i="3"/>
  <c r="K344" i="3"/>
  <c r="J345" i="3"/>
  <c r="K345" i="3"/>
  <c r="J346" i="3"/>
  <c r="K346" i="3"/>
  <c r="J268" i="3"/>
  <c r="K268" i="3"/>
  <c r="A401" i="3" l="1"/>
  <c r="F401" i="3" s="1"/>
  <c r="A396" i="3"/>
  <c r="A365" i="3"/>
  <c r="D365" i="3" s="1"/>
  <c r="D366" i="2"/>
  <c r="I362" i="2"/>
  <c r="D362" i="2"/>
  <c r="D358" i="2"/>
  <c r="B354" i="2"/>
  <c r="D354" i="2"/>
  <c r="B350" i="2"/>
  <c r="D350" i="2"/>
  <c r="B342" i="2"/>
  <c r="D342" i="2"/>
  <c r="B334" i="2"/>
  <c r="D334" i="2"/>
  <c r="B346" i="2"/>
  <c r="D346" i="2"/>
  <c r="A384" i="3"/>
  <c r="B384" i="3" s="1"/>
  <c r="A380" i="3"/>
  <c r="E380" i="3" s="1"/>
  <c r="A376" i="3"/>
  <c r="D376" i="3" s="1"/>
  <c r="E369" i="2"/>
  <c r="D369" i="2"/>
  <c r="I365" i="2"/>
  <c r="D365" i="2"/>
  <c r="E361" i="2"/>
  <c r="D361" i="2"/>
  <c r="I357" i="2"/>
  <c r="D357" i="2"/>
  <c r="E353" i="2"/>
  <c r="D353" i="2"/>
  <c r="I349" i="2"/>
  <c r="D349" i="2"/>
  <c r="E345" i="2"/>
  <c r="D345" i="2"/>
  <c r="I341" i="2"/>
  <c r="D341" i="2"/>
  <c r="E337" i="2"/>
  <c r="D337" i="2"/>
  <c r="I333" i="2"/>
  <c r="D333" i="2"/>
  <c r="I370" i="2"/>
  <c r="D370" i="2"/>
  <c r="H338" i="2"/>
  <c r="D338" i="2"/>
  <c r="B372" i="2"/>
  <c r="D372" i="2"/>
  <c r="I364" i="2"/>
  <c r="D364" i="2"/>
  <c r="I356" i="2"/>
  <c r="D356" i="2"/>
  <c r="I348" i="2"/>
  <c r="D348" i="2"/>
  <c r="I340" i="2"/>
  <c r="D340" i="2"/>
  <c r="I332" i="2"/>
  <c r="D332" i="2"/>
  <c r="A375" i="3"/>
  <c r="E375" i="3" s="1"/>
  <c r="G368" i="2"/>
  <c r="D368" i="2"/>
  <c r="D360" i="2"/>
  <c r="B352" i="2"/>
  <c r="D352" i="2"/>
  <c r="J344" i="2"/>
  <c r="D344" i="2"/>
  <c r="J336" i="2"/>
  <c r="D336" i="2"/>
  <c r="A390" i="3"/>
  <c r="F390" i="3" s="1"/>
  <c r="B371" i="2"/>
  <c r="D371" i="2"/>
  <c r="E367" i="2"/>
  <c r="D367" i="2"/>
  <c r="G359" i="2"/>
  <c r="D359" i="2"/>
  <c r="B355" i="2"/>
  <c r="D355" i="2"/>
  <c r="A350" i="3"/>
  <c r="C350" i="3" s="1"/>
  <c r="D351" i="2"/>
  <c r="I347" i="2"/>
  <c r="D347" i="2"/>
  <c r="G343" i="2"/>
  <c r="D343" i="2"/>
  <c r="B339" i="2"/>
  <c r="D339" i="2"/>
  <c r="H335" i="2"/>
  <c r="D335" i="2"/>
  <c r="C331" i="2"/>
  <c r="D331" i="2"/>
  <c r="B363" i="2"/>
  <c r="G360" i="2"/>
  <c r="C360" i="2"/>
  <c r="B337" i="2"/>
  <c r="E365" i="2"/>
  <c r="B360" i="2"/>
  <c r="H337" i="2"/>
  <c r="I331" i="2"/>
  <c r="B348" i="2"/>
  <c r="C337" i="2"/>
  <c r="H334" i="2"/>
  <c r="I369" i="2"/>
  <c r="J339" i="2"/>
  <c r="G369" i="2"/>
  <c r="I339" i="2"/>
  <c r="I371" i="2"/>
  <c r="F362" i="2"/>
  <c r="G352" i="2"/>
  <c r="F368" i="2"/>
  <c r="C368" i="2"/>
  <c r="B396" i="3"/>
  <c r="D396" i="3"/>
  <c r="E396" i="3"/>
  <c r="J369" i="2"/>
  <c r="B368" i="2"/>
  <c r="B365" i="2"/>
  <c r="E362" i="2"/>
  <c r="E350" i="2"/>
  <c r="B340" i="2"/>
  <c r="G332" i="2"/>
  <c r="A399" i="3"/>
  <c r="G399" i="3" s="1"/>
  <c r="G356" i="2"/>
  <c r="F332" i="2"/>
  <c r="A403" i="3"/>
  <c r="C403" i="3" s="1"/>
  <c r="A402" i="3"/>
  <c r="A400" i="3"/>
  <c r="F400" i="3" s="1"/>
  <c r="A398" i="3"/>
  <c r="A397" i="3"/>
  <c r="A395" i="3"/>
  <c r="D395" i="3" s="1"/>
  <c r="A394" i="3"/>
  <c r="J371" i="2"/>
  <c r="H369" i="2"/>
  <c r="F359" i="2"/>
  <c r="F356" i="2"/>
  <c r="G337" i="2"/>
  <c r="B332" i="2"/>
  <c r="F348" i="2"/>
  <c r="J350" i="2"/>
  <c r="J348" i="2"/>
  <c r="J368" i="2"/>
  <c r="B356" i="2"/>
  <c r="I350" i="2"/>
  <c r="H348" i="2"/>
  <c r="J346" i="2"/>
  <c r="J343" i="2"/>
  <c r="G340" i="2"/>
  <c r="J360" i="2"/>
  <c r="J352" i="2"/>
  <c r="H350" i="2"/>
  <c r="G348" i="2"/>
  <c r="E343" i="2"/>
  <c r="F340" i="2"/>
  <c r="H349" i="2"/>
  <c r="J349" i="2"/>
  <c r="G349" i="2"/>
  <c r="F349" i="2"/>
  <c r="F357" i="2"/>
  <c r="E349" i="2"/>
  <c r="E357" i="2"/>
  <c r="C349" i="2"/>
  <c r="E370" i="2"/>
  <c r="F364" i="2"/>
  <c r="C357" i="2"/>
  <c r="B349" i="2"/>
  <c r="E342" i="2"/>
  <c r="I337" i="2"/>
  <c r="J332" i="2"/>
  <c r="J338" i="2"/>
  <c r="I338" i="2"/>
  <c r="B357" i="2"/>
  <c r="G338" i="2"/>
  <c r="J335" i="2"/>
  <c r="H333" i="2"/>
  <c r="A392" i="3"/>
  <c r="F392" i="3" s="1"/>
  <c r="J370" i="2"/>
  <c r="F338" i="2"/>
  <c r="H370" i="2"/>
  <c r="J362" i="2"/>
  <c r="I361" i="2"/>
  <c r="J357" i="2"/>
  <c r="J345" i="2"/>
  <c r="E338" i="2"/>
  <c r="E333" i="2"/>
  <c r="F333" i="2"/>
  <c r="G370" i="2"/>
  <c r="H362" i="2"/>
  <c r="H361" i="2"/>
  <c r="H357" i="2"/>
  <c r="J356" i="2"/>
  <c r="F345" i="2"/>
  <c r="J340" i="2"/>
  <c r="C338" i="2"/>
  <c r="J334" i="2"/>
  <c r="C333" i="2"/>
  <c r="A387" i="3"/>
  <c r="G387" i="3" s="1"/>
  <c r="J361" i="2"/>
  <c r="F370" i="2"/>
  <c r="G362" i="2"/>
  <c r="G361" i="2"/>
  <c r="G357" i="2"/>
  <c r="H356" i="2"/>
  <c r="J354" i="2"/>
  <c r="B345" i="2"/>
  <c r="H340" i="2"/>
  <c r="B338" i="2"/>
  <c r="I334" i="2"/>
  <c r="B333" i="2"/>
  <c r="D380" i="3"/>
  <c r="A382" i="3"/>
  <c r="A381" i="3"/>
  <c r="A358" i="3"/>
  <c r="C365" i="2"/>
  <c r="B364" i="2"/>
  <c r="E359" i="2"/>
  <c r="I354" i="2"/>
  <c r="I346" i="2"/>
  <c r="J341" i="2"/>
  <c r="A374" i="3"/>
  <c r="A373" i="3"/>
  <c r="A363" i="3"/>
  <c r="G363" i="3" s="1"/>
  <c r="A360" i="3"/>
  <c r="B360" i="3" s="1"/>
  <c r="A393" i="3"/>
  <c r="F393" i="3" s="1"/>
  <c r="G335" i="2"/>
  <c r="A388" i="3"/>
  <c r="C388" i="3" s="1"/>
  <c r="A385" i="3"/>
  <c r="G385" i="3" s="1"/>
  <c r="G346" i="2"/>
  <c r="I345" i="2"/>
  <c r="J342" i="2"/>
  <c r="G341" i="2"/>
  <c r="F354" i="2"/>
  <c r="H353" i="2"/>
  <c r="F346" i="2"/>
  <c r="H345" i="2"/>
  <c r="I342" i="2"/>
  <c r="F341" i="2"/>
  <c r="F335" i="2"/>
  <c r="A377" i="3"/>
  <c r="F377" i="3" s="1"/>
  <c r="C370" i="2"/>
  <c r="C369" i="2"/>
  <c r="J365" i="2"/>
  <c r="C362" i="2"/>
  <c r="C361" i="2"/>
  <c r="J372" i="2"/>
  <c r="B370" i="2"/>
  <c r="B369" i="2"/>
  <c r="H365" i="2"/>
  <c r="J364" i="2"/>
  <c r="B362" i="2"/>
  <c r="B361" i="2"/>
  <c r="E354" i="2"/>
  <c r="G353" i="2"/>
  <c r="E346" i="2"/>
  <c r="G345" i="2"/>
  <c r="H342" i="2"/>
  <c r="E341" i="2"/>
  <c r="E335" i="2"/>
  <c r="J333" i="2"/>
  <c r="J331" i="2"/>
  <c r="A391" i="3"/>
  <c r="G391" i="3" s="1"/>
  <c r="A372" i="3"/>
  <c r="E372" i="3" s="1"/>
  <c r="H341" i="2"/>
  <c r="J359" i="2"/>
  <c r="C346" i="2"/>
  <c r="A386" i="3"/>
  <c r="A383" i="3"/>
  <c r="H354" i="2"/>
  <c r="J353" i="2"/>
  <c r="H346" i="2"/>
  <c r="G354" i="2"/>
  <c r="I353" i="2"/>
  <c r="I372" i="2"/>
  <c r="G365" i="2"/>
  <c r="H364" i="2"/>
  <c r="C354" i="2"/>
  <c r="C353" i="2"/>
  <c r="C341" i="2"/>
  <c r="H372" i="2"/>
  <c r="F365" i="2"/>
  <c r="G364" i="2"/>
  <c r="B353" i="2"/>
  <c r="C345" i="2"/>
  <c r="F343" i="2"/>
  <c r="B341" i="2"/>
  <c r="J337" i="2"/>
  <c r="G333" i="2"/>
  <c r="H332" i="2"/>
  <c r="B331" i="2"/>
  <c r="A389" i="3"/>
  <c r="A379" i="3"/>
  <c r="G379" i="3" s="1"/>
  <c r="A378" i="3"/>
  <c r="D384" i="3"/>
  <c r="G396" i="3"/>
  <c r="G380" i="3"/>
  <c r="F396" i="3"/>
  <c r="C396" i="3"/>
  <c r="J347" i="2"/>
  <c r="C363" i="2"/>
  <c r="E363" i="2"/>
  <c r="G363" i="2"/>
  <c r="H363" i="2"/>
  <c r="F363" i="2"/>
  <c r="I363" i="2"/>
  <c r="J363" i="2"/>
  <c r="C355" i="2"/>
  <c r="E355" i="2"/>
  <c r="G355" i="2"/>
  <c r="H355" i="2"/>
  <c r="F355" i="2"/>
  <c r="I355" i="2"/>
  <c r="J355" i="2"/>
  <c r="H367" i="2"/>
  <c r="B367" i="2"/>
  <c r="C367" i="2"/>
  <c r="F367" i="2"/>
  <c r="G367" i="2"/>
  <c r="I367" i="2"/>
  <c r="J367" i="2"/>
  <c r="G351" i="2"/>
  <c r="H351" i="2"/>
  <c r="I351" i="2"/>
  <c r="B351" i="2"/>
  <c r="C351" i="2"/>
  <c r="E351" i="2"/>
  <c r="F351" i="2"/>
  <c r="J351" i="2"/>
  <c r="B344" i="2"/>
  <c r="C344" i="2"/>
  <c r="E344" i="2"/>
  <c r="F344" i="2"/>
  <c r="G344" i="2"/>
  <c r="H344" i="2"/>
  <c r="I344" i="2"/>
  <c r="B366" i="2"/>
  <c r="F366" i="2"/>
  <c r="G366" i="2"/>
  <c r="C366" i="2"/>
  <c r="E366" i="2"/>
  <c r="H366" i="2"/>
  <c r="I366" i="2"/>
  <c r="J366" i="2"/>
  <c r="B358" i="2"/>
  <c r="C358" i="2"/>
  <c r="F358" i="2"/>
  <c r="G358" i="2"/>
  <c r="E358" i="2"/>
  <c r="H358" i="2"/>
  <c r="I358" i="2"/>
  <c r="J358" i="2"/>
  <c r="G372" i="2"/>
  <c r="F371" i="2"/>
  <c r="E368" i="2"/>
  <c r="H368" i="2"/>
  <c r="I368" i="2"/>
  <c r="H359" i="2"/>
  <c r="I359" i="2"/>
  <c r="B359" i="2"/>
  <c r="C359" i="2"/>
  <c r="F372" i="2"/>
  <c r="E371" i="2"/>
  <c r="C352" i="2"/>
  <c r="E352" i="2"/>
  <c r="F352" i="2"/>
  <c r="H352" i="2"/>
  <c r="I352" i="2"/>
  <c r="B347" i="2"/>
  <c r="C347" i="2"/>
  <c r="E347" i="2"/>
  <c r="F347" i="2"/>
  <c r="G347" i="2"/>
  <c r="H347" i="2"/>
  <c r="C371" i="2"/>
  <c r="E360" i="2"/>
  <c r="F360" i="2"/>
  <c r="H360" i="2"/>
  <c r="I360" i="2"/>
  <c r="C372" i="2"/>
  <c r="E372" i="2"/>
  <c r="G371" i="2"/>
  <c r="H371" i="2"/>
  <c r="B336" i="2"/>
  <c r="C336" i="2"/>
  <c r="E336" i="2"/>
  <c r="F336" i="2"/>
  <c r="G336" i="2"/>
  <c r="H336" i="2"/>
  <c r="I336" i="2"/>
  <c r="F369" i="2"/>
  <c r="E364" i="2"/>
  <c r="F361" i="2"/>
  <c r="E356" i="2"/>
  <c r="F353" i="2"/>
  <c r="G350" i="2"/>
  <c r="E348" i="2"/>
  <c r="C343" i="2"/>
  <c r="G342" i="2"/>
  <c r="E340" i="2"/>
  <c r="H339" i="2"/>
  <c r="F337" i="2"/>
  <c r="C335" i="2"/>
  <c r="G334" i="2"/>
  <c r="E332" i="2"/>
  <c r="H331" i="2"/>
  <c r="C364" i="2"/>
  <c r="C356" i="2"/>
  <c r="F350" i="2"/>
  <c r="C348" i="2"/>
  <c r="B343" i="2"/>
  <c r="F342" i="2"/>
  <c r="C340" i="2"/>
  <c r="G339" i="2"/>
  <c r="B335" i="2"/>
  <c r="F334" i="2"/>
  <c r="C332" i="2"/>
  <c r="G331" i="2"/>
  <c r="F339" i="2"/>
  <c r="E334" i="2"/>
  <c r="F331" i="2"/>
  <c r="C350" i="2"/>
  <c r="I343" i="2"/>
  <c r="C342" i="2"/>
  <c r="E339" i="2"/>
  <c r="I335" i="2"/>
  <c r="C334" i="2"/>
  <c r="E331" i="2"/>
  <c r="H343" i="2"/>
  <c r="C339" i="2"/>
  <c r="A312" i="2"/>
  <c r="D312" i="2" s="1"/>
  <c r="AP313" i="2"/>
  <c r="A313" i="2"/>
  <c r="D313" i="2" s="1"/>
  <c r="AP314" i="2"/>
  <c r="A314" i="2"/>
  <c r="D314" i="2" s="1"/>
  <c r="AP315" i="2"/>
  <c r="A315" i="2"/>
  <c r="D315" i="2" s="1"/>
  <c r="AP316" i="2"/>
  <c r="A316" i="2"/>
  <c r="D316" i="2" s="1"/>
  <c r="AP317" i="2"/>
  <c r="A317" i="2"/>
  <c r="D317" i="2" s="1"/>
  <c r="AP318" i="2"/>
  <c r="A318" i="2"/>
  <c r="D318" i="2" s="1"/>
  <c r="AP319" i="2"/>
  <c r="A319" i="2"/>
  <c r="D319" i="2" s="1"/>
  <c r="AP320" i="2"/>
  <c r="A320" i="2"/>
  <c r="D320" i="2" s="1"/>
  <c r="AP321" i="2"/>
  <c r="A321" i="2"/>
  <c r="D321" i="2" s="1"/>
  <c r="AP322" i="2"/>
  <c r="A322" i="2"/>
  <c r="D322" i="2" s="1"/>
  <c r="AP323" i="2"/>
  <c r="A323" i="2"/>
  <c r="D323" i="2" s="1"/>
  <c r="AP324" i="2"/>
  <c r="A324" i="2"/>
  <c r="D324" i="2" s="1"/>
  <c r="AP325" i="2"/>
  <c r="A325" i="2"/>
  <c r="D325" i="2" s="1"/>
  <c r="AP326" i="2"/>
  <c r="A326" i="2"/>
  <c r="D326" i="2" s="1"/>
  <c r="AP327" i="2"/>
  <c r="A327" i="2"/>
  <c r="D327" i="2" s="1"/>
  <c r="AP328" i="2"/>
  <c r="A328" i="2"/>
  <c r="D328" i="2" s="1"/>
  <c r="AP329" i="2"/>
  <c r="A329" i="2"/>
  <c r="D329" i="2" s="1"/>
  <c r="AP330" i="2"/>
  <c r="A330" i="2"/>
  <c r="C401" i="3" l="1"/>
  <c r="G401" i="3"/>
  <c r="D401" i="3"/>
  <c r="E401" i="3"/>
  <c r="D330" i="2"/>
  <c r="A353" i="3"/>
  <c r="C353" i="3" s="1"/>
  <c r="F380" i="3"/>
  <c r="D390" i="3"/>
  <c r="B401" i="3"/>
  <c r="C390" i="3"/>
  <c r="C380" i="3"/>
  <c r="H380" i="3" s="1" a="1"/>
  <c r="H380" i="3" s="1"/>
  <c r="B380" i="3"/>
  <c r="B390" i="3"/>
  <c r="E376" i="3"/>
  <c r="F376" i="3"/>
  <c r="G376" i="3"/>
  <c r="C376" i="3"/>
  <c r="H376" i="3" s="1" a="1"/>
  <c r="H376" i="3" s="1"/>
  <c r="G390" i="3"/>
  <c r="E390" i="3"/>
  <c r="B350" i="3"/>
  <c r="B375" i="3"/>
  <c r="G350" i="3"/>
  <c r="C375" i="3"/>
  <c r="F350" i="3"/>
  <c r="D375" i="3"/>
  <c r="B376" i="3"/>
  <c r="F365" i="3"/>
  <c r="C365" i="3"/>
  <c r="I365" i="3" s="1" a="1"/>
  <c r="I365" i="3" s="1"/>
  <c r="G375" i="3"/>
  <c r="C384" i="3"/>
  <c r="H384" i="3" s="1" a="1"/>
  <c r="H384" i="3" s="1"/>
  <c r="F384" i="3"/>
  <c r="B365" i="3"/>
  <c r="E350" i="3"/>
  <c r="G365" i="3"/>
  <c r="D350" i="3"/>
  <c r="I350" i="3" s="1" a="1"/>
  <c r="I350" i="3" s="1"/>
  <c r="E384" i="3"/>
  <c r="F375" i="3"/>
  <c r="E365" i="3"/>
  <c r="G384" i="3"/>
  <c r="G403" i="3"/>
  <c r="I396" i="3" a="1"/>
  <c r="I396" i="3" s="1"/>
  <c r="E403" i="3"/>
  <c r="B403" i="3"/>
  <c r="I401" i="3" a="1"/>
  <c r="I401" i="3" s="1"/>
  <c r="E400" i="3"/>
  <c r="H396" i="3" a="1"/>
  <c r="H396" i="3" s="1"/>
  <c r="D400" i="3"/>
  <c r="H401" i="3" a="1"/>
  <c r="H401" i="3" s="1"/>
  <c r="F403" i="3"/>
  <c r="D403" i="3"/>
  <c r="H403" i="3" s="1" a="1"/>
  <c r="H403" i="3" s="1"/>
  <c r="C395" i="3"/>
  <c r="I395" i="3" s="1" a="1"/>
  <c r="I395" i="3" s="1"/>
  <c r="C400" i="3"/>
  <c r="G400" i="3"/>
  <c r="B395" i="3"/>
  <c r="G395" i="3"/>
  <c r="B400" i="3"/>
  <c r="E395" i="3"/>
  <c r="D392" i="3"/>
  <c r="F395" i="3"/>
  <c r="F363" i="3"/>
  <c r="E385" i="3"/>
  <c r="G353" i="3"/>
  <c r="C363" i="3"/>
  <c r="C387" i="3"/>
  <c r="G392" i="3"/>
  <c r="B363" i="3"/>
  <c r="D399" i="3"/>
  <c r="B399" i="3"/>
  <c r="C399" i="3"/>
  <c r="E399" i="3"/>
  <c r="F399" i="3"/>
  <c r="E402" i="3"/>
  <c r="C402" i="3"/>
  <c r="D402" i="3"/>
  <c r="F402" i="3"/>
  <c r="G402" i="3"/>
  <c r="B402" i="3"/>
  <c r="E394" i="3"/>
  <c r="C394" i="3"/>
  <c r="D394" i="3"/>
  <c r="F394" i="3"/>
  <c r="G394" i="3"/>
  <c r="B394" i="3"/>
  <c r="F397" i="3"/>
  <c r="C397" i="3"/>
  <c r="D397" i="3"/>
  <c r="E397" i="3"/>
  <c r="G397" i="3"/>
  <c r="B397" i="3"/>
  <c r="C398" i="3"/>
  <c r="D398" i="3"/>
  <c r="E398" i="3"/>
  <c r="F398" i="3"/>
  <c r="G398" i="3"/>
  <c r="B398" i="3"/>
  <c r="F379" i="3"/>
  <c r="G372" i="3"/>
  <c r="F372" i="3"/>
  <c r="B379" i="3"/>
  <c r="D387" i="3"/>
  <c r="G388" i="3"/>
  <c r="C392" i="3"/>
  <c r="G360" i="3"/>
  <c r="C379" i="3"/>
  <c r="E387" i="3"/>
  <c r="F388" i="3"/>
  <c r="E388" i="3"/>
  <c r="C372" i="3"/>
  <c r="D379" i="3"/>
  <c r="G393" i="3"/>
  <c r="E379" i="3"/>
  <c r="B392" i="3"/>
  <c r="D360" i="3"/>
  <c r="E393" i="3"/>
  <c r="C360" i="3"/>
  <c r="E363" i="3"/>
  <c r="E392" i="3"/>
  <c r="F387" i="3"/>
  <c r="B387" i="3"/>
  <c r="D363" i="3"/>
  <c r="F385" i="3"/>
  <c r="F389" i="3"/>
  <c r="B389" i="3"/>
  <c r="C389" i="3"/>
  <c r="D389" i="3"/>
  <c r="E389" i="3"/>
  <c r="G389" i="3"/>
  <c r="B377" i="3"/>
  <c r="C377" i="3"/>
  <c r="D377" i="3"/>
  <c r="C374" i="3"/>
  <c r="D374" i="3"/>
  <c r="E374" i="3"/>
  <c r="F374" i="3"/>
  <c r="G374" i="3"/>
  <c r="B374" i="3"/>
  <c r="E377" i="3"/>
  <c r="B353" i="3"/>
  <c r="D353" i="3"/>
  <c r="H353" i="3" s="1" a="1"/>
  <c r="H353" i="3" s="1"/>
  <c r="B388" i="3"/>
  <c r="D388" i="3"/>
  <c r="I388" i="3" s="1" a="1"/>
  <c r="I388" i="3" s="1"/>
  <c r="B393" i="3"/>
  <c r="C393" i="3"/>
  <c r="D393" i="3"/>
  <c r="F381" i="3"/>
  <c r="B381" i="3"/>
  <c r="C381" i="3"/>
  <c r="D381" i="3"/>
  <c r="E381" i="3"/>
  <c r="G381" i="3"/>
  <c r="F373" i="3"/>
  <c r="C373" i="3"/>
  <c r="D373" i="3"/>
  <c r="E373" i="3"/>
  <c r="G373" i="3"/>
  <c r="B373" i="3"/>
  <c r="G377" i="3"/>
  <c r="D383" i="3"/>
  <c r="B383" i="3"/>
  <c r="C383" i="3"/>
  <c r="E383" i="3"/>
  <c r="F383" i="3"/>
  <c r="B385" i="3"/>
  <c r="C385" i="3"/>
  <c r="D385" i="3"/>
  <c r="G383" i="3"/>
  <c r="E378" i="3"/>
  <c r="B378" i="3"/>
  <c r="C378" i="3"/>
  <c r="D378" i="3"/>
  <c r="F378" i="3"/>
  <c r="G378" i="3"/>
  <c r="B372" i="3"/>
  <c r="D372" i="3"/>
  <c r="F360" i="3"/>
  <c r="E360" i="3"/>
  <c r="B382" i="3"/>
  <c r="C382" i="3"/>
  <c r="D382" i="3"/>
  <c r="E382" i="3"/>
  <c r="F382" i="3"/>
  <c r="G382" i="3"/>
  <c r="E386" i="3"/>
  <c r="B386" i="3"/>
  <c r="C386" i="3"/>
  <c r="D386" i="3"/>
  <c r="F386" i="3"/>
  <c r="G386" i="3"/>
  <c r="B358" i="3"/>
  <c r="C358" i="3"/>
  <c r="D358" i="3"/>
  <c r="E358" i="3"/>
  <c r="F358" i="3"/>
  <c r="G358" i="3"/>
  <c r="D391" i="3"/>
  <c r="B391" i="3"/>
  <c r="C391" i="3"/>
  <c r="E391" i="3"/>
  <c r="F391" i="3"/>
  <c r="G323" i="2"/>
  <c r="J323" i="2"/>
  <c r="B315" i="2"/>
  <c r="J315" i="2"/>
  <c r="I326" i="2"/>
  <c r="J326" i="2"/>
  <c r="I318" i="2"/>
  <c r="J318" i="2"/>
  <c r="G329" i="2"/>
  <c r="J329" i="2"/>
  <c r="G313" i="2"/>
  <c r="J313" i="2"/>
  <c r="E327" i="2"/>
  <c r="J327" i="2"/>
  <c r="E319" i="2"/>
  <c r="J319" i="2"/>
  <c r="C330" i="2"/>
  <c r="J330" i="2"/>
  <c r="C322" i="2"/>
  <c r="J322" i="2"/>
  <c r="C314" i="2"/>
  <c r="J314" i="2"/>
  <c r="B325" i="2"/>
  <c r="J325" i="2"/>
  <c r="G321" i="2"/>
  <c r="J321" i="2"/>
  <c r="B317" i="2"/>
  <c r="J317" i="2"/>
  <c r="B328" i="2"/>
  <c r="J328" i="2"/>
  <c r="F324" i="2"/>
  <c r="J324" i="2"/>
  <c r="B320" i="2"/>
  <c r="J320" i="2"/>
  <c r="F316" i="2"/>
  <c r="J316" i="2"/>
  <c r="B312" i="2"/>
  <c r="J312" i="2"/>
  <c r="E328" i="2"/>
  <c r="B313" i="2"/>
  <c r="F321" i="2"/>
  <c r="B330" i="2"/>
  <c r="E318" i="2"/>
  <c r="B326" i="2"/>
  <c r="I320" i="2"/>
  <c r="C318" i="2"/>
  <c r="E312" i="2"/>
  <c r="G328" i="2"/>
  <c r="H320" i="2"/>
  <c r="B318" i="2"/>
  <c r="C312" i="2"/>
  <c r="F328" i="2"/>
  <c r="G320" i="2"/>
  <c r="B319" i="2"/>
  <c r="E313" i="2"/>
  <c r="C313" i="2"/>
  <c r="G312" i="2"/>
  <c r="F312" i="2"/>
  <c r="C316" i="2"/>
  <c r="F323" i="2"/>
  <c r="E323" i="2"/>
  <c r="E329" i="2"/>
  <c r="H318" i="2"/>
  <c r="C329" i="2"/>
  <c r="C323" i="2"/>
  <c r="E321" i="2"/>
  <c r="G318" i="2"/>
  <c r="B329" i="2"/>
  <c r="C324" i="2"/>
  <c r="B323" i="2"/>
  <c r="F318" i="2"/>
  <c r="B324" i="2"/>
  <c r="C319" i="2"/>
  <c r="E316" i="2"/>
  <c r="B314" i="2"/>
  <c r="G326" i="2"/>
  <c r="F326" i="2"/>
  <c r="I323" i="2"/>
  <c r="C321" i="2"/>
  <c r="F320" i="2"/>
  <c r="B316" i="2"/>
  <c r="E315" i="2"/>
  <c r="G315" i="2"/>
  <c r="F315" i="2"/>
  <c r="I328" i="2"/>
  <c r="C327" i="2"/>
  <c r="E326" i="2"/>
  <c r="H323" i="2"/>
  <c r="B321" i="2"/>
  <c r="E320" i="2"/>
  <c r="C315" i="2"/>
  <c r="I312" i="2"/>
  <c r="I315" i="2"/>
  <c r="H315" i="2"/>
  <c r="H326" i="2"/>
  <c r="F329" i="2"/>
  <c r="H328" i="2"/>
  <c r="B327" i="2"/>
  <c r="C326" i="2"/>
  <c r="E324" i="2"/>
  <c r="B322" i="2"/>
  <c r="F313" i="2"/>
  <c r="H312" i="2"/>
  <c r="I325" i="2"/>
  <c r="I322" i="2"/>
  <c r="H317" i="2"/>
  <c r="I327" i="2"/>
  <c r="H322" i="2"/>
  <c r="G317" i="2"/>
  <c r="H327" i="2"/>
  <c r="F325" i="2"/>
  <c r="I324" i="2"/>
  <c r="H319" i="2"/>
  <c r="F317" i="2"/>
  <c r="I316" i="2"/>
  <c r="G314" i="2"/>
  <c r="F330" i="2"/>
  <c r="I329" i="2"/>
  <c r="C328" i="2"/>
  <c r="G327" i="2"/>
  <c r="I321" i="2"/>
  <c r="C320" i="2"/>
  <c r="E317" i="2"/>
  <c r="H316" i="2"/>
  <c r="F314" i="2"/>
  <c r="I313" i="2"/>
  <c r="I330" i="2"/>
  <c r="I314" i="2"/>
  <c r="G322" i="2"/>
  <c r="E325" i="2"/>
  <c r="H324" i="2"/>
  <c r="F322" i="2"/>
  <c r="G319" i="2"/>
  <c r="E330" i="2"/>
  <c r="H329" i="2"/>
  <c r="F327" i="2"/>
  <c r="C325" i="2"/>
  <c r="G324" i="2"/>
  <c r="E322" i="2"/>
  <c r="H321" i="2"/>
  <c r="F319" i="2"/>
  <c r="C317" i="2"/>
  <c r="G316" i="2"/>
  <c r="E314" i="2"/>
  <c r="H313" i="2"/>
  <c r="I317" i="2"/>
  <c r="H325" i="2"/>
  <c r="H330" i="2"/>
  <c r="G325" i="2"/>
  <c r="I319" i="2"/>
  <c r="H314" i="2"/>
  <c r="G330" i="2"/>
  <c r="C28" i="6"/>
  <c r="B28" i="6"/>
  <c r="C27" i="6"/>
  <c r="B27" i="6"/>
  <c r="C26" i="6"/>
  <c r="B26" i="6"/>
  <c r="C25" i="6"/>
  <c r="B25" i="6"/>
  <c r="C24" i="6"/>
  <c r="B24" i="6"/>
  <c r="C23" i="6"/>
  <c r="B23" i="6"/>
  <c r="C22" i="6"/>
  <c r="B22" i="6"/>
  <c r="C21" i="6"/>
  <c r="B21" i="6"/>
  <c r="C20" i="6"/>
  <c r="B20" i="6"/>
  <c r="C19" i="6"/>
  <c r="B19" i="6"/>
  <c r="C18" i="6"/>
  <c r="B18" i="6"/>
  <c r="C17" i="6"/>
  <c r="B17" i="6"/>
  <c r="C16" i="6"/>
  <c r="B16" i="6"/>
  <c r="B9" i="4" a="1"/>
  <c r="B9" i="4" s="1"/>
  <c r="B12" i="4" a="1"/>
  <c r="B12" i="4" s="1"/>
  <c r="B11" i="4" a="1"/>
  <c r="B11" i="4" s="1"/>
  <c r="B10" i="4"/>
  <c r="Q64" i="4"/>
  <c r="I64" i="4" s="1"/>
  <c r="P64" i="4"/>
  <c r="H64" i="4"/>
  <c r="F64" i="4"/>
  <c r="E64" i="4"/>
  <c r="D64" i="4"/>
  <c r="D106" i="4" s="1"/>
  <c r="C64" i="4"/>
  <c r="P62" i="4"/>
  <c r="R62" i="4" s="1"/>
  <c r="O62" i="4"/>
  <c r="G62" i="4" s="1"/>
  <c r="I62" i="4"/>
  <c r="H62" i="4"/>
  <c r="F62" i="4"/>
  <c r="E62" i="4"/>
  <c r="J62" i="4" s="1"/>
  <c r="D62" i="4"/>
  <c r="C62" i="4"/>
  <c r="I61" i="4"/>
  <c r="P61" i="4"/>
  <c r="O61" i="4"/>
  <c r="G61" i="4" s="1"/>
  <c r="H61" i="4"/>
  <c r="F61" i="4"/>
  <c r="E61" i="4"/>
  <c r="J61" i="4" s="1"/>
  <c r="D61" i="4"/>
  <c r="C61" i="4"/>
  <c r="P60" i="4"/>
  <c r="R60" i="4" s="1"/>
  <c r="O60" i="4"/>
  <c r="G60" i="4" s="1"/>
  <c r="I60" i="4"/>
  <c r="H60" i="4"/>
  <c r="F60" i="4"/>
  <c r="E60" i="4"/>
  <c r="J60" i="4" s="1"/>
  <c r="D60" i="4"/>
  <c r="C60" i="4"/>
  <c r="I59" i="4"/>
  <c r="P59" i="4"/>
  <c r="O59" i="4"/>
  <c r="G59" i="4" s="1"/>
  <c r="H59" i="4"/>
  <c r="F59" i="4"/>
  <c r="E59" i="4"/>
  <c r="J59" i="4" s="1"/>
  <c r="D59" i="4"/>
  <c r="C59" i="4"/>
  <c r="P58" i="4"/>
  <c r="R58" i="4" s="1"/>
  <c r="O58" i="4"/>
  <c r="G58" i="4" s="1"/>
  <c r="J58" i="4"/>
  <c r="I58" i="4"/>
  <c r="H58" i="4"/>
  <c r="F58" i="4"/>
  <c r="E58" i="4"/>
  <c r="D58" i="4"/>
  <c r="C58" i="4"/>
  <c r="I57" i="4"/>
  <c r="P57" i="4"/>
  <c r="O57" i="4"/>
  <c r="G57" i="4" s="1"/>
  <c r="H57" i="4"/>
  <c r="F57" i="4"/>
  <c r="E57" i="4"/>
  <c r="J57" i="4" s="1"/>
  <c r="D57" i="4"/>
  <c r="C57" i="4"/>
  <c r="P56" i="4"/>
  <c r="R56" i="4" s="1"/>
  <c r="O56" i="4"/>
  <c r="G56" i="4" s="1"/>
  <c r="H56" i="4"/>
  <c r="F56" i="4"/>
  <c r="E56" i="4"/>
  <c r="D56" i="4"/>
  <c r="C56" i="4"/>
  <c r="P55" i="4"/>
  <c r="O55" i="4"/>
  <c r="H55" i="4"/>
  <c r="F55" i="4"/>
  <c r="E55" i="4"/>
  <c r="D55" i="4"/>
  <c r="C55" i="4"/>
  <c r="K39" i="4"/>
  <c r="L39" i="4" s="1"/>
  <c r="I39" i="4" s="1"/>
  <c r="H39" i="4"/>
  <c r="G39" i="4"/>
  <c r="F39" i="4"/>
  <c r="E39" i="4"/>
  <c r="J39" i="4" s="1"/>
  <c r="D39" i="4"/>
  <c r="C39" i="4"/>
  <c r="K38" i="4"/>
  <c r="G38" i="4" s="1"/>
  <c r="H38" i="4"/>
  <c r="F38" i="4"/>
  <c r="J38" i="4" s="1"/>
  <c r="E38" i="4"/>
  <c r="D38" i="4"/>
  <c r="C38" i="4"/>
  <c r="K37" i="4"/>
  <c r="G37" i="4" s="1"/>
  <c r="H37" i="4"/>
  <c r="F37" i="4"/>
  <c r="E37" i="4"/>
  <c r="J37" i="4" s="1"/>
  <c r="D37" i="4"/>
  <c r="C37" i="4"/>
  <c r="K36" i="4"/>
  <c r="L36" i="4" s="1"/>
  <c r="I36" i="4" s="1"/>
  <c r="H36" i="4"/>
  <c r="G36" i="4"/>
  <c r="F36" i="4"/>
  <c r="E36" i="4"/>
  <c r="J36" i="4" s="1"/>
  <c r="D36" i="4"/>
  <c r="C36" i="4"/>
  <c r="K35" i="4"/>
  <c r="L35" i="4" s="1"/>
  <c r="I35" i="4" s="1"/>
  <c r="H35" i="4"/>
  <c r="F35" i="4"/>
  <c r="E35" i="4"/>
  <c r="J35" i="4" s="1"/>
  <c r="D35" i="4"/>
  <c r="C35" i="4"/>
  <c r="K33" i="4"/>
  <c r="G33" i="4" s="1"/>
  <c r="H33" i="4"/>
  <c r="F33" i="4"/>
  <c r="E33" i="4"/>
  <c r="J33" i="4" s="1"/>
  <c r="D33" i="4"/>
  <c r="C33" i="4"/>
  <c r="K32" i="4"/>
  <c r="G32" i="4" s="1"/>
  <c r="H32" i="4"/>
  <c r="F32" i="4"/>
  <c r="E32" i="4"/>
  <c r="J32" i="4" s="1"/>
  <c r="D32" i="4"/>
  <c r="C32" i="4"/>
  <c r="K31" i="4"/>
  <c r="L31" i="4" s="1"/>
  <c r="I31" i="4" s="1"/>
  <c r="H31" i="4"/>
  <c r="F31" i="4"/>
  <c r="E31" i="4"/>
  <c r="J31" i="4" s="1"/>
  <c r="D31" i="4"/>
  <c r="C31" i="4"/>
  <c r="K30" i="4"/>
  <c r="L30" i="4" s="1"/>
  <c r="I30" i="4" s="1"/>
  <c r="J30" i="4"/>
  <c r="H30" i="4"/>
  <c r="F30" i="4"/>
  <c r="E30" i="4"/>
  <c r="D30" i="4"/>
  <c r="C30" i="4"/>
  <c r="B6" i="4" a="1"/>
  <c r="B6" i="4" s="1"/>
  <c r="A661" i="7"/>
  <c r="H661" i="7" s="1"/>
  <c r="A660" i="7"/>
  <c r="D660" i="7" s="1"/>
  <c r="A659" i="7"/>
  <c r="I659" i="7" s="1"/>
  <c r="A658" i="7"/>
  <c r="G658" i="7" s="1"/>
  <c r="A657" i="7"/>
  <c r="H657" i="7" s="1"/>
  <c r="A656" i="7"/>
  <c r="G656" i="7" s="1"/>
  <c r="A655" i="7"/>
  <c r="I655" i="7" s="1"/>
  <c r="A654" i="7"/>
  <c r="I654" i="7" s="1"/>
  <c r="A653" i="7"/>
  <c r="I653" i="7" s="1"/>
  <c r="A652" i="7"/>
  <c r="C652" i="7" s="1"/>
  <c r="A651" i="7"/>
  <c r="I651" i="7" s="1"/>
  <c r="A650" i="7"/>
  <c r="D650" i="7" s="1"/>
  <c r="A649" i="7"/>
  <c r="A648" i="7"/>
  <c r="A647" i="7"/>
  <c r="I647" i="7" s="1"/>
  <c r="A646" i="7"/>
  <c r="A645" i="7"/>
  <c r="A644" i="7"/>
  <c r="A643" i="7"/>
  <c r="I643" i="7" s="1"/>
  <c r="A642" i="7"/>
  <c r="A641" i="7"/>
  <c r="G641" i="7" s="1"/>
  <c r="A640" i="7"/>
  <c r="G640" i="7" s="1"/>
  <c r="A639" i="7"/>
  <c r="J639" i="7" s="1"/>
  <c r="A638" i="7"/>
  <c r="J638" i="7" s="1"/>
  <c r="A637" i="7"/>
  <c r="J637" i="7" s="1"/>
  <c r="A636" i="7"/>
  <c r="H636" i="7" s="1"/>
  <c r="A635" i="7"/>
  <c r="I635" i="7" s="1"/>
  <c r="A634" i="7"/>
  <c r="A633" i="7"/>
  <c r="C633" i="7" s="1"/>
  <c r="A632" i="7"/>
  <c r="G632" i="7" s="1"/>
  <c r="A631" i="7"/>
  <c r="J631" i="7" s="1"/>
  <c r="A630" i="7"/>
  <c r="A629" i="7"/>
  <c r="G629" i="7" s="1"/>
  <c r="A628" i="7"/>
  <c r="A627" i="7"/>
  <c r="I627" i="7" s="1"/>
  <c r="A626" i="7"/>
  <c r="A625" i="7"/>
  <c r="G625" i="7" s="1"/>
  <c r="A624" i="7"/>
  <c r="G624" i="7" s="1"/>
  <c r="A623" i="7"/>
  <c r="I623" i="7" s="1"/>
  <c r="A622" i="7"/>
  <c r="B622" i="7" s="1"/>
  <c r="A621" i="7"/>
  <c r="H621" i="7" s="1"/>
  <c r="A620" i="7"/>
  <c r="I620" i="7" s="1"/>
  <c r="A619" i="7"/>
  <c r="I619" i="7" s="1"/>
  <c r="A618" i="7"/>
  <c r="A617" i="7"/>
  <c r="B617" i="7" s="1"/>
  <c r="A616" i="7"/>
  <c r="F616" i="7" s="1"/>
  <c r="A615" i="7"/>
  <c r="I615" i="7" s="1"/>
  <c r="A614" i="7"/>
  <c r="A613" i="7"/>
  <c r="A612" i="7"/>
  <c r="F612" i="7" s="1"/>
  <c r="A611" i="7"/>
  <c r="I611" i="7" s="1"/>
  <c r="A610" i="7"/>
  <c r="E610" i="7" s="1"/>
  <c r="A609" i="7"/>
  <c r="B609" i="7" s="1"/>
  <c r="A608" i="7"/>
  <c r="G608" i="7" s="1"/>
  <c r="A607" i="7"/>
  <c r="I607" i="7" s="1"/>
  <c r="A606" i="7"/>
  <c r="J606" i="7" s="1"/>
  <c r="A605" i="7"/>
  <c r="A604" i="7"/>
  <c r="J604" i="7" s="1"/>
  <c r="A603" i="7"/>
  <c r="C603" i="7" s="1"/>
  <c r="A602" i="7"/>
  <c r="F602" i="7" s="1"/>
  <c r="A601" i="7"/>
  <c r="D601" i="7" s="1"/>
  <c r="A600" i="7"/>
  <c r="H600" i="7" s="1"/>
  <c r="A599" i="7"/>
  <c r="J599" i="7" s="1"/>
  <c r="A598" i="7"/>
  <c r="A597" i="7"/>
  <c r="A596" i="7"/>
  <c r="J596" i="7" s="1"/>
  <c r="A595" i="7"/>
  <c r="I595" i="7" s="1"/>
  <c r="A594" i="7"/>
  <c r="F594" i="7" s="1"/>
  <c r="A593" i="7"/>
  <c r="A592" i="7"/>
  <c r="F592" i="7" s="1"/>
  <c r="A591" i="7"/>
  <c r="I591" i="7" s="1"/>
  <c r="A590" i="7"/>
  <c r="A589" i="7"/>
  <c r="A588" i="7"/>
  <c r="I588" i="7" s="1"/>
  <c r="A587" i="7"/>
  <c r="I587" i="7" s="1"/>
  <c r="A586" i="7"/>
  <c r="J586" i="7" s="1"/>
  <c r="A585" i="7"/>
  <c r="A584" i="7"/>
  <c r="G584" i="7" s="1"/>
  <c r="A583" i="7"/>
  <c r="I583" i="7" s="1"/>
  <c r="A582" i="7"/>
  <c r="J582" i="7" s="1"/>
  <c r="A581" i="7"/>
  <c r="F581" i="7" s="1"/>
  <c r="A580" i="7"/>
  <c r="F580" i="7" s="1"/>
  <c r="A579" i="7"/>
  <c r="C579" i="7" s="1"/>
  <c r="A578" i="7"/>
  <c r="B578" i="7" s="1"/>
  <c r="A577" i="7"/>
  <c r="C577" i="7" s="1"/>
  <c r="A576" i="7"/>
  <c r="C576" i="7" s="1"/>
  <c r="A575" i="7"/>
  <c r="A574" i="7"/>
  <c r="G574" i="7" s="1"/>
  <c r="A573" i="7"/>
  <c r="J573" i="7" s="1"/>
  <c r="A572" i="7"/>
  <c r="A571" i="7"/>
  <c r="A570" i="7"/>
  <c r="C570" i="7" s="1"/>
  <c r="A569" i="7"/>
  <c r="A568" i="7"/>
  <c r="A567" i="7"/>
  <c r="E567" i="7" s="1"/>
  <c r="A566" i="7"/>
  <c r="B566" i="7" s="1"/>
  <c r="A565" i="7"/>
  <c r="C565" i="7" s="1"/>
  <c r="A564" i="7"/>
  <c r="D564" i="7" s="1"/>
  <c r="A563" i="7"/>
  <c r="D563" i="7" s="1"/>
  <c r="A562" i="7"/>
  <c r="G562" i="7" s="1"/>
  <c r="A561" i="7"/>
  <c r="E561" i="7" s="1"/>
  <c r="A560" i="7"/>
  <c r="I560" i="7" s="1"/>
  <c r="A559" i="7"/>
  <c r="H559" i="7" s="1"/>
  <c r="A558" i="7"/>
  <c r="A557" i="7"/>
  <c r="E557" i="7" s="1"/>
  <c r="A556" i="7"/>
  <c r="E556" i="7" s="1"/>
  <c r="A555" i="7"/>
  <c r="B555" i="7" s="1"/>
  <c r="A554" i="7"/>
  <c r="I554" i="7" s="1"/>
  <c r="A553" i="7"/>
  <c r="A552" i="7"/>
  <c r="F552" i="7" s="1"/>
  <c r="A551" i="7"/>
  <c r="H551" i="7" s="1"/>
  <c r="A550" i="7"/>
  <c r="G550" i="7" s="1"/>
  <c r="A549" i="7"/>
  <c r="A548" i="7"/>
  <c r="D548" i="7" s="1"/>
  <c r="A547" i="7"/>
  <c r="J547" i="7" s="1"/>
  <c r="A546" i="7"/>
  <c r="A545" i="7"/>
  <c r="B545" i="7" s="1"/>
  <c r="A544" i="7"/>
  <c r="D544" i="7" s="1"/>
  <c r="A543" i="7"/>
  <c r="E543" i="7" s="1"/>
  <c r="A542" i="7"/>
  <c r="I542" i="7" s="1"/>
  <c r="A541" i="7"/>
  <c r="A540" i="7"/>
  <c r="A539" i="7"/>
  <c r="B539" i="7" s="1"/>
  <c r="A538" i="7"/>
  <c r="B538" i="7" s="1"/>
  <c r="A537" i="7"/>
  <c r="B537" i="7" s="1"/>
  <c r="A536" i="7"/>
  <c r="E536" i="7" s="1"/>
  <c r="A535" i="7"/>
  <c r="F535" i="7" s="1"/>
  <c r="A534" i="7"/>
  <c r="A533" i="7"/>
  <c r="I533" i="7" s="1"/>
  <c r="A532" i="7"/>
  <c r="A531" i="7"/>
  <c r="A530" i="7"/>
  <c r="A529" i="7"/>
  <c r="A528" i="7"/>
  <c r="F528" i="7" s="1"/>
  <c r="A527" i="7"/>
  <c r="I527" i="7" s="1"/>
  <c r="A526" i="7"/>
  <c r="J526" i="7" s="1"/>
  <c r="A525" i="7"/>
  <c r="I525" i="7" s="1"/>
  <c r="A524" i="7"/>
  <c r="D524" i="7" s="1"/>
  <c r="C523" i="7"/>
  <c r="A523" i="7"/>
  <c r="H523" i="7" s="1"/>
  <c r="A522" i="7"/>
  <c r="A521" i="7"/>
  <c r="G521" i="7" s="1"/>
  <c r="A520" i="7"/>
  <c r="A519" i="7"/>
  <c r="G519" i="7" s="1"/>
  <c r="A518" i="7"/>
  <c r="A517" i="7"/>
  <c r="A516" i="7"/>
  <c r="G516" i="7" s="1"/>
  <c r="A515" i="7"/>
  <c r="F515" i="7" s="1"/>
  <c r="A514" i="7"/>
  <c r="A513" i="7"/>
  <c r="J513" i="7" s="1"/>
  <c r="A512" i="7"/>
  <c r="H512" i="7" s="1"/>
  <c r="A511" i="7"/>
  <c r="G511" i="7" s="1"/>
  <c r="A510" i="7"/>
  <c r="J510" i="7" s="1"/>
  <c r="A509" i="7"/>
  <c r="B509" i="7" s="1"/>
  <c r="A508" i="7"/>
  <c r="A507" i="7"/>
  <c r="D507" i="7" s="1"/>
  <c r="A506" i="7"/>
  <c r="F506" i="7" s="1"/>
  <c r="A505" i="7"/>
  <c r="A504" i="7"/>
  <c r="E504" i="7" s="1"/>
  <c r="A503" i="7"/>
  <c r="H503" i="7" s="1"/>
  <c r="A502" i="7"/>
  <c r="A501" i="7"/>
  <c r="C501" i="7" s="1"/>
  <c r="A500" i="7"/>
  <c r="A499" i="7"/>
  <c r="F499" i="7" s="1"/>
  <c r="A498" i="7"/>
  <c r="A497" i="7"/>
  <c r="D497" i="7" s="1"/>
  <c r="A496" i="7"/>
  <c r="I496" i="7" s="1"/>
  <c r="A495" i="7"/>
  <c r="E495" i="7" s="1"/>
  <c r="A494" i="7"/>
  <c r="H494" i="7" s="1"/>
  <c r="A493" i="7"/>
  <c r="B493" i="7" s="1"/>
  <c r="A492" i="7"/>
  <c r="B492" i="7" s="1"/>
  <c r="A491" i="7"/>
  <c r="A490" i="7"/>
  <c r="J490" i="7" s="1"/>
  <c r="A489" i="7"/>
  <c r="D489" i="7" s="1"/>
  <c r="A488" i="7"/>
  <c r="A487" i="7"/>
  <c r="C487" i="7" s="1"/>
  <c r="A486" i="7"/>
  <c r="H486" i="7" s="1"/>
  <c r="A485" i="7"/>
  <c r="A484" i="7"/>
  <c r="C484" i="7" s="1"/>
  <c r="A483" i="7"/>
  <c r="A482" i="7"/>
  <c r="J482" i="7" s="1"/>
  <c r="A481" i="7"/>
  <c r="D481" i="7" s="1"/>
  <c r="A480" i="7"/>
  <c r="A479" i="7"/>
  <c r="C479" i="7" s="1"/>
  <c r="A478" i="7"/>
  <c r="F478" i="7" s="1"/>
  <c r="A477" i="7"/>
  <c r="A476" i="7"/>
  <c r="J476" i="7" s="1"/>
  <c r="A475" i="7"/>
  <c r="A474" i="7"/>
  <c r="J474" i="7" s="1"/>
  <c r="A473" i="7"/>
  <c r="E473" i="7" s="1"/>
  <c r="A472" i="7"/>
  <c r="A471" i="7"/>
  <c r="C471" i="7" s="1"/>
  <c r="A470" i="7"/>
  <c r="H470" i="7" s="1"/>
  <c r="A469" i="7"/>
  <c r="A468" i="7"/>
  <c r="B468" i="7" s="1"/>
  <c r="A467" i="7"/>
  <c r="A466" i="7"/>
  <c r="B466" i="7" s="1"/>
  <c r="A465" i="7"/>
  <c r="D465" i="7" s="1"/>
  <c r="A464" i="7"/>
  <c r="A463" i="7"/>
  <c r="A462" i="7"/>
  <c r="H462" i="7" s="1"/>
  <c r="A461" i="7"/>
  <c r="A460" i="7"/>
  <c r="B460" i="7" s="1"/>
  <c r="A459" i="7"/>
  <c r="A458" i="7"/>
  <c r="D458" i="7" s="1"/>
  <c r="A457" i="7"/>
  <c r="E457" i="7" s="1"/>
  <c r="A456" i="7"/>
  <c r="A455" i="7"/>
  <c r="C455" i="7" s="1"/>
  <c r="A454" i="7"/>
  <c r="J454" i="7" s="1"/>
  <c r="A453" i="7"/>
  <c r="A452" i="7"/>
  <c r="B452" i="7" s="1"/>
  <c r="A451" i="7"/>
  <c r="A450" i="7"/>
  <c r="H450" i="7" s="1"/>
  <c r="A449" i="7"/>
  <c r="D449" i="7" s="1"/>
  <c r="A448" i="7"/>
  <c r="A447" i="7"/>
  <c r="A446" i="7"/>
  <c r="H446" i="7" s="1"/>
  <c r="A445" i="7"/>
  <c r="A444" i="7"/>
  <c r="J444" i="7" s="1"/>
  <c r="A443" i="7"/>
  <c r="A442" i="7"/>
  <c r="H442" i="7" s="1"/>
  <c r="A441" i="7"/>
  <c r="E441" i="7" s="1"/>
  <c r="A440" i="7"/>
  <c r="A439" i="7"/>
  <c r="C439" i="7" s="1"/>
  <c r="A438" i="7"/>
  <c r="E438" i="7" s="1"/>
  <c r="A437" i="7"/>
  <c r="A436" i="7"/>
  <c r="B436" i="7" s="1"/>
  <c r="A435" i="7"/>
  <c r="A434" i="7"/>
  <c r="D434" i="7" s="1"/>
  <c r="A433" i="7"/>
  <c r="A432" i="7"/>
  <c r="A431" i="7"/>
  <c r="A430" i="7"/>
  <c r="F430" i="7" s="1"/>
  <c r="A429" i="7"/>
  <c r="A428" i="7"/>
  <c r="B428" i="7" s="1"/>
  <c r="A427" i="7"/>
  <c r="A426" i="7"/>
  <c r="H426" i="7" s="1"/>
  <c r="A425" i="7"/>
  <c r="E425" i="7" s="1"/>
  <c r="A424" i="7"/>
  <c r="A423" i="7"/>
  <c r="C423" i="7" s="1"/>
  <c r="A422" i="7"/>
  <c r="A421" i="7"/>
  <c r="A420" i="7"/>
  <c r="B420" i="7" s="1"/>
  <c r="A419" i="7"/>
  <c r="A418" i="7"/>
  <c r="G418" i="7" s="1"/>
  <c r="A417" i="7"/>
  <c r="E417" i="7" s="1"/>
  <c r="A416" i="7"/>
  <c r="A415" i="7"/>
  <c r="C415" i="7" s="1"/>
  <c r="A414" i="7"/>
  <c r="J414" i="7" s="1"/>
  <c r="A413" i="7"/>
  <c r="A412" i="7"/>
  <c r="B412" i="7" s="1"/>
  <c r="A411" i="7"/>
  <c r="A410" i="7"/>
  <c r="D410" i="7" s="1"/>
  <c r="A409" i="7"/>
  <c r="E409" i="7" s="1"/>
  <c r="A408" i="7"/>
  <c r="A407" i="7"/>
  <c r="C407" i="7" s="1"/>
  <c r="A406" i="7"/>
  <c r="H406" i="7" s="1"/>
  <c r="A405" i="7"/>
  <c r="B405" i="7" s="1"/>
  <c r="A404" i="7"/>
  <c r="I404" i="7" s="1"/>
  <c r="A403" i="7"/>
  <c r="I403" i="7" s="1"/>
  <c r="A402" i="7"/>
  <c r="C402" i="7" s="1"/>
  <c r="A401" i="7"/>
  <c r="I401" i="7" s="1"/>
  <c r="A400" i="7"/>
  <c r="A399" i="7"/>
  <c r="A398" i="7"/>
  <c r="J398" i="7" s="1"/>
  <c r="A397" i="7"/>
  <c r="J397" i="7" s="1"/>
  <c r="A396" i="7"/>
  <c r="C396" i="7" s="1"/>
  <c r="A395" i="7"/>
  <c r="H395" i="7" s="1"/>
  <c r="A394" i="7"/>
  <c r="F394" i="7" s="1"/>
  <c r="A393" i="7"/>
  <c r="H393" i="7" s="1"/>
  <c r="A392" i="7"/>
  <c r="A391" i="7"/>
  <c r="A390" i="7"/>
  <c r="E390" i="7" s="1"/>
  <c r="A389" i="7"/>
  <c r="A388" i="7"/>
  <c r="H388" i="7" s="1"/>
  <c r="A387" i="7"/>
  <c r="F387" i="7" s="1"/>
  <c r="A386" i="7"/>
  <c r="I386" i="7" s="1"/>
  <c r="A385" i="7"/>
  <c r="C385" i="7" s="1"/>
  <c r="A384" i="7"/>
  <c r="A383" i="7"/>
  <c r="H383" i="7" s="1"/>
  <c r="A382" i="7"/>
  <c r="H382" i="7" s="1"/>
  <c r="A381" i="7"/>
  <c r="A380" i="7"/>
  <c r="H380" i="7" s="1"/>
  <c r="A379" i="7"/>
  <c r="H379" i="7" s="1"/>
  <c r="A378" i="7"/>
  <c r="B378" i="7" s="1"/>
  <c r="A377" i="7"/>
  <c r="H377" i="7" s="1"/>
  <c r="A376" i="7"/>
  <c r="H376" i="7" s="1"/>
  <c r="A375" i="7"/>
  <c r="J375" i="7" s="1"/>
  <c r="A374" i="7"/>
  <c r="F374" i="7" s="1"/>
  <c r="A373" i="7"/>
  <c r="A372" i="7"/>
  <c r="F372" i="7" s="1"/>
  <c r="A365" i="7"/>
  <c r="D365" i="7" s="1"/>
  <c r="A363" i="7"/>
  <c r="I363" i="7" s="1"/>
  <c r="A360" i="7"/>
  <c r="J360" i="7" s="1"/>
  <c r="A358" i="7"/>
  <c r="I358" i="7" s="1"/>
  <c r="A353" i="7"/>
  <c r="C353" i="7" s="1"/>
  <c r="A350" i="7"/>
  <c r="G350" i="7" s="1"/>
  <c r="A336" i="7"/>
  <c r="A329" i="7"/>
  <c r="I329" i="7" s="1"/>
  <c r="A327" i="7"/>
  <c r="A326" i="7"/>
  <c r="G326" i="7" s="1"/>
  <c r="A325" i="7"/>
  <c r="J325" i="7" s="1"/>
  <c r="A324" i="7"/>
  <c r="H324" i="7" s="1"/>
  <c r="A317" i="7"/>
  <c r="J317" i="7" s="1"/>
  <c r="A316" i="7"/>
  <c r="D316" i="7" s="1"/>
  <c r="A312" i="7"/>
  <c r="C312" i="7" s="1"/>
  <c r="A336" i="3"/>
  <c r="A329" i="3"/>
  <c r="G329" i="3" s="1"/>
  <c r="A327" i="3"/>
  <c r="C327" i="3" s="1"/>
  <c r="A326" i="3"/>
  <c r="G326" i="3" s="1"/>
  <c r="A325" i="3"/>
  <c r="A324" i="3"/>
  <c r="G324" i="3" s="1"/>
  <c r="A317" i="3"/>
  <c r="D317" i="3" s="1"/>
  <c r="A316" i="3"/>
  <c r="F316" i="3" s="1"/>
  <c r="A312" i="3"/>
  <c r="D312" i="3" s="1"/>
  <c r="K267" i="3"/>
  <c r="J267" i="3"/>
  <c r="K266" i="3"/>
  <c r="J266" i="3"/>
  <c r="K265" i="3"/>
  <c r="J265" i="3"/>
  <c r="K264" i="3"/>
  <c r="J264" i="3"/>
  <c r="K263" i="3"/>
  <c r="J263" i="3"/>
  <c r="K262" i="3"/>
  <c r="J262" i="3"/>
  <c r="K261" i="3"/>
  <c r="J261" i="3"/>
  <c r="K260" i="3"/>
  <c r="J260" i="3"/>
  <c r="K259" i="3"/>
  <c r="J259" i="3"/>
  <c r="K258" i="3"/>
  <c r="J258" i="3"/>
  <c r="K257" i="3"/>
  <c r="J257" i="3"/>
  <c r="K256" i="3"/>
  <c r="J256" i="3"/>
  <c r="K255" i="3"/>
  <c r="J255" i="3"/>
  <c r="K254" i="3"/>
  <c r="J254" i="3"/>
  <c r="K253" i="3"/>
  <c r="J253" i="3"/>
  <c r="K252" i="3"/>
  <c r="J252" i="3"/>
  <c r="K251" i="3"/>
  <c r="J251" i="3"/>
  <c r="K250" i="3"/>
  <c r="J250" i="3"/>
  <c r="K249" i="3"/>
  <c r="J249" i="3"/>
  <c r="K248" i="3"/>
  <c r="J248" i="3"/>
  <c r="K247" i="3"/>
  <c r="J247" i="3"/>
  <c r="K246" i="3"/>
  <c r="J246" i="3"/>
  <c r="K245" i="3"/>
  <c r="J245" i="3"/>
  <c r="K244" i="3"/>
  <c r="J244" i="3"/>
  <c r="K243" i="3"/>
  <c r="J243" i="3"/>
  <c r="K242" i="3"/>
  <c r="J242" i="3"/>
  <c r="K241" i="3"/>
  <c r="J241" i="3"/>
  <c r="K240" i="3"/>
  <c r="J240" i="3"/>
  <c r="K239" i="3"/>
  <c r="J239" i="3"/>
  <c r="K238" i="3"/>
  <c r="J238" i="3"/>
  <c r="K237" i="3"/>
  <c r="J237" i="3"/>
  <c r="K236" i="3"/>
  <c r="J236" i="3"/>
  <c r="K235" i="3"/>
  <c r="J235" i="3"/>
  <c r="K234" i="3"/>
  <c r="J234" i="3"/>
  <c r="K233" i="3"/>
  <c r="J233" i="3"/>
  <c r="K232" i="3"/>
  <c r="J232" i="3"/>
  <c r="K231" i="3"/>
  <c r="J231" i="3"/>
  <c r="K230" i="3"/>
  <c r="J230" i="3"/>
  <c r="K229" i="3"/>
  <c r="J229" i="3"/>
  <c r="K228" i="3"/>
  <c r="J228" i="3"/>
  <c r="K227" i="3"/>
  <c r="J227" i="3"/>
  <c r="K226" i="3"/>
  <c r="J226" i="3"/>
  <c r="K225" i="3"/>
  <c r="J225" i="3"/>
  <c r="K224" i="3"/>
  <c r="J224" i="3"/>
  <c r="K223" i="3"/>
  <c r="J223" i="3"/>
  <c r="K222" i="3"/>
  <c r="J222" i="3"/>
  <c r="K221" i="3"/>
  <c r="J221" i="3"/>
  <c r="K220" i="3"/>
  <c r="J220" i="3"/>
  <c r="K219" i="3"/>
  <c r="J219" i="3"/>
  <c r="K218" i="3"/>
  <c r="J218" i="3"/>
  <c r="K217" i="3"/>
  <c r="J217" i="3"/>
  <c r="K216" i="3"/>
  <c r="J216" i="3"/>
  <c r="K215" i="3"/>
  <c r="J215" i="3"/>
  <c r="K214" i="3"/>
  <c r="J214" i="3"/>
  <c r="K213" i="3"/>
  <c r="J213" i="3"/>
  <c r="K212" i="3"/>
  <c r="J212" i="3"/>
  <c r="K211" i="3"/>
  <c r="J211" i="3"/>
  <c r="K210" i="3"/>
  <c r="J210" i="3"/>
  <c r="K209" i="3"/>
  <c r="J209" i="3"/>
  <c r="K208" i="3"/>
  <c r="J208" i="3"/>
  <c r="K207" i="3"/>
  <c r="J207" i="3"/>
  <c r="K206" i="3"/>
  <c r="J206" i="3"/>
  <c r="K205" i="3"/>
  <c r="J205" i="3"/>
  <c r="K204" i="3"/>
  <c r="J204" i="3"/>
  <c r="K203" i="3"/>
  <c r="J203" i="3"/>
  <c r="K202" i="3"/>
  <c r="J202" i="3"/>
  <c r="K201" i="3"/>
  <c r="J201" i="3"/>
  <c r="K200" i="3"/>
  <c r="J200" i="3"/>
  <c r="K199" i="3"/>
  <c r="J199" i="3"/>
  <c r="K198" i="3"/>
  <c r="J198" i="3"/>
  <c r="K197" i="3"/>
  <c r="J197" i="3"/>
  <c r="K196" i="3"/>
  <c r="J196" i="3"/>
  <c r="K195" i="3"/>
  <c r="J195" i="3"/>
  <c r="K194" i="3"/>
  <c r="J194" i="3"/>
  <c r="K193" i="3"/>
  <c r="J193" i="3"/>
  <c r="K192" i="3"/>
  <c r="J192" i="3"/>
  <c r="K191" i="3"/>
  <c r="J191" i="3"/>
  <c r="K190" i="3"/>
  <c r="J190" i="3"/>
  <c r="K189" i="3"/>
  <c r="J189" i="3"/>
  <c r="K188" i="3"/>
  <c r="J188" i="3"/>
  <c r="K187" i="3"/>
  <c r="J187" i="3"/>
  <c r="K186" i="3"/>
  <c r="J186" i="3"/>
  <c r="K185" i="3"/>
  <c r="J185" i="3"/>
  <c r="K184" i="3"/>
  <c r="J184" i="3"/>
  <c r="K183" i="3"/>
  <c r="J183" i="3"/>
  <c r="K182" i="3"/>
  <c r="J182" i="3"/>
  <c r="K181" i="3"/>
  <c r="J181" i="3"/>
  <c r="K180" i="3"/>
  <c r="J180" i="3"/>
  <c r="K179" i="3"/>
  <c r="J179" i="3"/>
  <c r="K178" i="3"/>
  <c r="J178" i="3"/>
  <c r="K177" i="3"/>
  <c r="J177" i="3"/>
  <c r="K176" i="3"/>
  <c r="J176" i="3"/>
  <c r="K175" i="3"/>
  <c r="J175" i="3"/>
  <c r="K174" i="3"/>
  <c r="J174" i="3"/>
  <c r="K173" i="3"/>
  <c r="J173" i="3"/>
  <c r="K172" i="3"/>
  <c r="J172" i="3"/>
  <c r="K171" i="3"/>
  <c r="J171" i="3"/>
  <c r="S170" i="3"/>
  <c r="Q170" i="3"/>
  <c r="O170" i="3"/>
  <c r="M170" i="3"/>
  <c r="J170" i="3" s="1"/>
  <c r="K169" i="3"/>
  <c r="J169" i="3"/>
  <c r="K168" i="3"/>
  <c r="J168" i="3"/>
  <c r="K167" i="3"/>
  <c r="J167" i="3"/>
  <c r="K166" i="3"/>
  <c r="J166" i="3"/>
  <c r="K165" i="3"/>
  <c r="J165" i="3"/>
  <c r="K164" i="3"/>
  <c r="J164" i="3"/>
  <c r="K163" i="3"/>
  <c r="J163" i="3"/>
  <c r="K162" i="3"/>
  <c r="J162" i="3"/>
  <c r="K161" i="3"/>
  <c r="J161" i="3"/>
  <c r="K160" i="3"/>
  <c r="J160" i="3"/>
  <c r="K159" i="3"/>
  <c r="J159" i="3"/>
  <c r="K158" i="3"/>
  <c r="J158" i="3"/>
  <c r="K157" i="3"/>
  <c r="J157" i="3"/>
  <c r="K156" i="3"/>
  <c r="J156" i="3"/>
  <c r="K155" i="3"/>
  <c r="J155" i="3"/>
  <c r="K154" i="3"/>
  <c r="J154" i="3"/>
  <c r="K153" i="3"/>
  <c r="J153" i="3"/>
  <c r="K152" i="3"/>
  <c r="J152" i="3"/>
  <c r="K151" i="3"/>
  <c r="J151" i="3"/>
  <c r="K150" i="3"/>
  <c r="J150" i="3"/>
  <c r="K149" i="3"/>
  <c r="J149" i="3"/>
  <c r="K148" i="3"/>
  <c r="J148" i="3"/>
  <c r="K147" i="3"/>
  <c r="J147" i="3"/>
  <c r="K146" i="3"/>
  <c r="J146" i="3"/>
  <c r="K145" i="3"/>
  <c r="J145" i="3"/>
  <c r="K144" i="3"/>
  <c r="J144" i="3"/>
  <c r="K143" i="3"/>
  <c r="J143" i="3"/>
  <c r="K142" i="3"/>
  <c r="J142" i="3"/>
  <c r="K141" i="3"/>
  <c r="J141" i="3"/>
  <c r="K140" i="3"/>
  <c r="J140" i="3"/>
  <c r="K139" i="3"/>
  <c r="J139" i="3"/>
  <c r="K138" i="3"/>
  <c r="J138" i="3"/>
  <c r="K137" i="3"/>
  <c r="J137" i="3"/>
  <c r="K136" i="3"/>
  <c r="J136" i="3"/>
  <c r="K135" i="3"/>
  <c r="J135" i="3"/>
  <c r="K134" i="3"/>
  <c r="J134" i="3"/>
  <c r="K133" i="3"/>
  <c r="J133" i="3"/>
  <c r="K132" i="3"/>
  <c r="J132" i="3"/>
  <c r="K131" i="3"/>
  <c r="J131" i="3"/>
  <c r="K130" i="3"/>
  <c r="J130" i="3"/>
  <c r="K129" i="3"/>
  <c r="J129" i="3"/>
  <c r="K128" i="3"/>
  <c r="J128" i="3"/>
  <c r="K127" i="3"/>
  <c r="J127" i="3"/>
  <c r="K126" i="3"/>
  <c r="J126" i="3"/>
  <c r="K125" i="3"/>
  <c r="J125" i="3"/>
  <c r="K124" i="3"/>
  <c r="J124" i="3"/>
  <c r="K123" i="3"/>
  <c r="J123" i="3"/>
  <c r="K122" i="3"/>
  <c r="J122" i="3"/>
  <c r="K121" i="3"/>
  <c r="J121" i="3"/>
  <c r="K120" i="3"/>
  <c r="J120" i="3"/>
  <c r="K119" i="3"/>
  <c r="J119" i="3"/>
  <c r="K118" i="3"/>
  <c r="J118" i="3"/>
  <c r="K117" i="3"/>
  <c r="J117" i="3"/>
  <c r="K116" i="3"/>
  <c r="J116" i="3"/>
  <c r="K115" i="3"/>
  <c r="J115" i="3"/>
  <c r="K114" i="3"/>
  <c r="J114" i="3"/>
  <c r="K113" i="3"/>
  <c r="J113" i="3"/>
  <c r="K112" i="3"/>
  <c r="J112" i="3"/>
  <c r="K111" i="3"/>
  <c r="J111" i="3"/>
  <c r="K110" i="3"/>
  <c r="J110" i="3"/>
  <c r="K109" i="3"/>
  <c r="J109" i="3"/>
  <c r="K108" i="3"/>
  <c r="J108" i="3"/>
  <c r="K107" i="3"/>
  <c r="J107" i="3"/>
  <c r="K106" i="3"/>
  <c r="J106" i="3"/>
  <c r="K105" i="3"/>
  <c r="J105" i="3"/>
  <c r="K104" i="3"/>
  <c r="J104" i="3"/>
  <c r="K103" i="3"/>
  <c r="J103" i="3"/>
  <c r="K102" i="3"/>
  <c r="J102" i="3"/>
  <c r="K101" i="3"/>
  <c r="J101" i="3"/>
  <c r="K100" i="3"/>
  <c r="J100" i="3"/>
  <c r="K99" i="3"/>
  <c r="J99" i="3"/>
  <c r="K98" i="3"/>
  <c r="J98" i="3"/>
  <c r="K97" i="3"/>
  <c r="J97" i="3"/>
  <c r="K96" i="3"/>
  <c r="J96" i="3"/>
  <c r="K95" i="3"/>
  <c r="J95" i="3"/>
  <c r="K94" i="3"/>
  <c r="J94" i="3"/>
  <c r="K93" i="3"/>
  <c r="J93" i="3"/>
  <c r="K92" i="3"/>
  <c r="J92" i="3"/>
  <c r="K91" i="3"/>
  <c r="J91" i="3"/>
  <c r="K90" i="3"/>
  <c r="J90" i="3"/>
  <c r="K89" i="3"/>
  <c r="J89" i="3"/>
  <c r="K88" i="3"/>
  <c r="J88" i="3"/>
  <c r="K87" i="3"/>
  <c r="J87" i="3"/>
  <c r="K86" i="3"/>
  <c r="J86" i="3"/>
  <c r="K85" i="3"/>
  <c r="J85" i="3"/>
  <c r="K84" i="3"/>
  <c r="J84" i="3"/>
  <c r="K83" i="3"/>
  <c r="J83" i="3"/>
  <c r="K82" i="3"/>
  <c r="J82" i="3"/>
  <c r="K81" i="3"/>
  <c r="J81" i="3"/>
  <c r="K80" i="3"/>
  <c r="J80" i="3"/>
  <c r="K79" i="3"/>
  <c r="J79" i="3"/>
  <c r="K78" i="3"/>
  <c r="J78" i="3"/>
  <c r="K77" i="3"/>
  <c r="J77" i="3"/>
  <c r="K76" i="3"/>
  <c r="J76" i="3"/>
  <c r="K75" i="3"/>
  <c r="J75" i="3"/>
  <c r="K74" i="3"/>
  <c r="J74" i="3"/>
  <c r="K73" i="3"/>
  <c r="J73" i="3"/>
  <c r="K72" i="3"/>
  <c r="J72" i="3"/>
  <c r="K71" i="3"/>
  <c r="J71" i="3"/>
  <c r="K70" i="3"/>
  <c r="J70" i="3"/>
  <c r="K69" i="3"/>
  <c r="J69" i="3"/>
  <c r="K68" i="3"/>
  <c r="J68" i="3"/>
  <c r="K67" i="3"/>
  <c r="J67" i="3"/>
  <c r="K66" i="3"/>
  <c r="J66" i="3"/>
  <c r="K65" i="3"/>
  <c r="J65" i="3"/>
  <c r="K64" i="3"/>
  <c r="J64" i="3"/>
  <c r="K63" i="3"/>
  <c r="J63" i="3"/>
  <c r="K62" i="3"/>
  <c r="J62" i="3"/>
  <c r="K61" i="3"/>
  <c r="J61" i="3"/>
  <c r="K60" i="3"/>
  <c r="J60" i="3"/>
  <c r="K59" i="3"/>
  <c r="J59" i="3"/>
  <c r="K58" i="3"/>
  <c r="J58" i="3"/>
  <c r="K57" i="3"/>
  <c r="J57" i="3"/>
  <c r="K56" i="3"/>
  <c r="J56" i="3"/>
  <c r="K55" i="3"/>
  <c r="J55" i="3"/>
  <c r="K54" i="3"/>
  <c r="J54" i="3"/>
  <c r="K53" i="3"/>
  <c r="J53" i="3"/>
  <c r="K52" i="3"/>
  <c r="J52" i="3"/>
  <c r="K51" i="3"/>
  <c r="J51" i="3"/>
  <c r="K50" i="3"/>
  <c r="J50" i="3"/>
  <c r="K49" i="3"/>
  <c r="J49" i="3"/>
  <c r="K48" i="3"/>
  <c r="J48" i="3"/>
  <c r="K47" i="3"/>
  <c r="J47" i="3"/>
  <c r="K46" i="3"/>
  <c r="J46" i="3"/>
  <c r="K45" i="3"/>
  <c r="J45" i="3"/>
  <c r="K44" i="3"/>
  <c r="J44" i="3"/>
  <c r="K43" i="3"/>
  <c r="J43" i="3"/>
  <c r="K42" i="3"/>
  <c r="J42" i="3"/>
  <c r="K41" i="3"/>
  <c r="J41" i="3"/>
  <c r="K40" i="3"/>
  <c r="J40" i="3"/>
  <c r="K39" i="3"/>
  <c r="J39" i="3"/>
  <c r="K38" i="3"/>
  <c r="J38" i="3"/>
  <c r="K37" i="3"/>
  <c r="J37" i="3"/>
  <c r="K36" i="3"/>
  <c r="J36" i="3"/>
  <c r="K35" i="3"/>
  <c r="J35" i="3"/>
  <c r="K34" i="3"/>
  <c r="J34" i="3"/>
  <c r="K33" i="3"/>
  <c r="J33" i="3"/>
  <c r="K32" i="3"/>
  <c r="J32" i="3"/>
  <c r="K31" i="3"/>
  <c r="J31" i="3"/>
  <c r="K30" i="3"/>
  <c r="J30" i="3"/>
  <c r="K29" i="3"/>
  <c r="J29" i="3"/>
  <c r="K28" i="3"/>
  <c r="J28" i="3"/>
  <c r="K27" i="3"/>
  <c r="J27" i="3"/>
  <c r="K26" i="3"/>
  <c r="J26" i="3"/>
  <c r="K25" i="3"/>
  <c r="J25" i="3"/>
  <c r="K24" i="3"/>
  <c r="J24" i="3"/>
  <c r="K23" i="3"/>
  <c r="J23" i="3"/>
  <c r="K22" i="3"/>
  <c r="J22" i="3"/>
  <c r="K21" i="3"/>
  <c r="J21" i="3"/>
  <c r="K20" i="3"/>
  <c r="J20" i="3"/>
  <c r="K19" i="3"/>
  <c r="J19" i="3"/>
  <c r="K18" i="3"/>
  <c r="J18" i="3"/>
  <c r="K17" i="3"/>
  <c r="J17" i="3"/>
  <c r="K16" i="3"/>
  <c r="J16" i="3"/>
  <c r="K15" i="3"/>
  <c r="J15" i="3"/>
  <c r="K14" i="3"/>
  <c r="J14" i="3"/>
  <c r="K13" i="3"/>
  <c r="J13" i="3"/>
  <c r="K12" i="3"/>
  <c r="J12" i="3"/>
  <c r="K11" i="3"/>
  <c r="J11" i="3"/>
  <c r="K10" i="3"/>
  <c r="J10" i="3"/>
  <c r="K9" i="3"/>
  <c r="J9" i="3"/>
  <c r="K8" i="3"/>
  <c r="J8" i="3"/>
  <c r="K7" i="3"/>
  <c r="J7" i="3"/>
  <c r="K6" i="3"/>
  <c r="J6" i="3"/>
  <c r="K5" i="3"/>
  <c r="J5" i="3"/>
  <c r="K4" i="3"/>
  <c r="J4" i="3"/>
  <c r="AP312" i="2"/>
  <c r="A311" i="2"/>
  <c r="AP311" i="2"/>
  <c r="A310" i="2"/>
  <c r="AP310" i="2"/>
  <c r="A309" i="2"/>
  <c r="AP309" i="2"/>
  <c r="A308" i="2"/>
  <c r="D308" i="2" s="1"/>
  <c r="AP308" i="2"/>
  <c r="A307" i="2"/>
  <c r="AP307" i="2"/>
  <c r="A306" i="2"/>
  <c r="D306" i="2" s="1"/>
  <c r="AP306" i="2"/>
  <c r="A305" i="2"/>
  <c r="D305" i="2" s="1"/>
  <c r="AP305" i="2"/>
  <c r="A304" i="2"/>
  <c r="AP304" i="2"/>
  <c r="A303" i="2"/>
  <c r="D303" i="2" s="1"/>
  <c r="AP303" i="2"/>
  <c r="A302" i="2"/>
  <c r="AP302" i="2"/>
  <c r="A301" i="2"/>
  <c r="AP301" i="2"/>
  <c r="A300" i="2"/>
  <c r="D300" i="2" s="1"/>
  <c r="AP300" i="2"/>
  <c r="A299" i="2"/>
  <c r="AP299" i="2"/>
  <c r="A298" i="2"/>
  <c r="D298" i="2" s="1"/>
  <c r="AP298" i="2"/>
  <c r="A297" i="2"/>
  <c r="AP297" i="2"/>
  <c r="A296" i="2"/>
  <c r="D296" i="2" s="1"/>
  <c r="AP296" i="2"/>
  <c r="A295" i="2"/>
  <c r="D295" i="2" s="1"/>
  <c r="AP295" i="2"/>
  <c r="A294" i="2"/>
  <c r="AP294" i="2"/>
  <c r="A293" i="2"/>
  <c r="AP293" i="2"/>
  <c r="A292" i="2"/>
  <c r="AP292" i="2"/>
  <c r="A291" i="2"/>
  <c r="AP291" i="2"/>
  <c r="A290" i="2"/>
  <c r="AP290" i="2"/>
  <c r="A289" i="2"/>
  <c r="D289" i="2" s="1"/>
  <c r="AP289" i="2"/>
  <c r="A288" i="2"/>
  <c r="AP288" i="2"/>
  <c r="A287" i="2"/>
  <c r="AP287" i="2"/>
  <c r="A286" i="2"/>
  <c r="AP286" i="2"/>
  <c r="A285" i="2"/>
  <c r="D285" i="2" s="1"/>
  <c r="AP285" i="2"/>
  <c r="A284" i="2"/>
  <c r="D284" i="2" s="1"/>
  <c r="AP284" i="2"/>
  <c r="A283" i="2"/>
  <c r="AP283" i="2"/>
  <c r="A282" i="2"/>
  <c r="D282" i="2" s="1"/>
  <c r="AP282" i="2"/>
  <c r="A281" i="2"/>
  <c r="AP281" i="2"/>
  <c r="A280" i="2"/>
  <c r="D280" i="2" s="1"/>
  <c r="AP280" i="2"/>
  <c r="A279" i="2"/>
  <c r="D279" i="2" s="1"/>
  <c r="AP279" i="2"/>
  <c r="A278" i="2"/>
  <c r="D278" i="2" s="1"/>
  <c r="AP278" i="2"/>
  <c r="A277" i="2"/>
  <c r="AP277" i="2"/>
  <c r="A276" i="2"/>
  <c r="AP276" i="2"/>
  <c r="A275" i="2"/>
  <c r="AP275" i="2"/>
  <c r="A274" i="2"/>
  <c r="AP274" i="2"/>
  <c r="A273" i="2"/>
  <c r="AP273" i="2"/>
  <c r="A272" i="2"/>
  <c r="AP272" i="2"/>
  <c r="A271" i="2"/>
  <c r="D271" i="2" s="1"/>
  <c r="AP271" i="2"/>
  <c r="A270" i="2"/>
  <c r="D270" i="2" s="1"/>
  <c r="AP270" i="2"/>
  <c r="A269" i="2"/>
  <c r="D269" i="2" s="1"/>
  <c r="AP268" i="2"/>
  <c r="A268" i="2"/>
  <c r="AP267" i="2"/>
  <c r="A267" i="2"/>
  <c r="AP266" i="2"/>
  <c r="A266" i="2"/>
  <c r="AP265" i="2"/>
  <c r="A265" i="2"/>
  <c r="AP264" i="2"/>
  <c r="A264" i="2"/>
  <c r="AP263" i="2"/>
  <c r="A263" i="2"/>
  <c r="D263" i="2" s="1"/>
  <c r="AP262" i="2"/>
  <c r="A262" i="2"/>
  <c r="AP261" i="2"/>
  <c r="A261" i="2"/>
  <c r="AP260" i="2"/>
  <c r="A260" i="2"/>
  <c r="AP259" i="2"/>
  <c r="A259" i="2"/>
  <c r="AP258" i="2"/>
  <c r="A258" i="2"/>
  <c r="AP257" i="2"/>
  <c r="A257" i="2"/>
  <c r="AP256" i="2"/>
  <c r="A256" i="2"/>
  <c r="A255" i="2"/>
  <c r="D255" i="2" s="1"/>
  <c r="A254" i="2"/>
  <c r="A253" i="2"/>
  <c r="A252" i="2"/>
  <c r="A251" i="2"/>
  <c r="AQ250" i="2"/>
  <c r="A250" i="2"/>
  <c r="AQ249" i="2"/>
  <c r="A249" i="2"/>
  <c r="AQ248" i="2"/>
  <c r="A248" i="2"/>
  <c r="AQ247" i="2"/>
  <c r="A247" i="2"/>
  <c r="AQ246" i="2"/>
  <c r="A246" i="2"/>
  <c r="AQ245" i="2"/>
  <c r="A245" i="2"/>
  <c r="D245" i="2" s="1"/>
  <c r="AQ244" i="2"/>
  <c r="A244" i="2"/>
  <c r="AQ243" i="2"/>
  <c r="A243" i="2"/>
  <c r="AQ242" i="2"/>
  <c r="A242" i="2"/>
  <c r="AQ241" i="2"/>
  <c r="A241" i="2"/>
  <c r="AQ240" i="2"/>
  <c r="A240" i="2"/>
  <c r="AQ239" i="2"/>
  <c r="A239" i="2"/>
  <c r="AQ238" i="2"/>
  <c r="A238" i="2"/>
  <c r="AQ237" i="2"/>
  <c r="A237" i="2"/>
  <c r="D237" i="2" s="1"/>
  <c r="AQ236" i="2"/>
  <c r="A236" i="2"/>
  <c r="AQ235" i="2"/>
  <c r="A235" i="2"/>
  <c r="AQ234" i="2"/>
  <c r="A234" i="2"/>
  <c r="AQ233" i="2"/>
  <c r="A233" i="2"/>
  <c r="AQ232" i="2"/>
  <c r="A232" i="2"/>
  <c r="AQ231" i="2"/>
  <c r="A231" i="2"/>
  <c r="AQ230" i="2"/>
  <c r="A230" i="2"/>
  <c r="D230" i="2" s="1"/>
  <c r="AQ229" i="2"/>
  <c r="A229" i="2"/>
  <c r="AQ228" i="2"/>
  <c r="A228" i="2"/>
  <c r="D228" i="2" s="1"/>
  <c r="AQ227" i="2"/>
  <c r="A227" i="2"/>
  <c r="D227" i="2" s="1"/>
  <c r="AQ226" i="2"/>
  <c r="A226" i="2"/>
  <c r="AQ225" i="2"/>
  <c r="A225" i="2"/>
  <c r="AQ224" i="2"/>
  <c r="A224" i="2"/>
  <c r="D224" i="2" s="1"/>
  <c r="AQ223" i="2"/>
  <c r="A223" i="2"/>
  <c r="D223" i="2" s="1"/>
  <c r="AQ222" i="2"/>
  <c r="A222" i="2"/>
  <c r="AQ221" i="2"/>
  <c r="A221" i="2"/>
  <c r="D221" i="2" s="1"/>
  <c r="AQ220" i="2"/>
  <c r="A220" i="2"/>
  <c r="AQ219" i="2"/>
  <c r="A219" i="2"/>
  <c r="D219" i="2" s="1"/>
  <c r="AQ218" i="2"/>
  <c r="A218" i="2"/>
  <c r="D218" i="2" s="1"/>
  <c r="AQ217" i="2"/>
  <c r="A217" i="2"/>
  <c r="AQ216" i="2"/>
  <c r="A216" i="2"/>
  <c r="AQ215" i="2"/>
  <c r="A215" i="2"/>
  <c r="D215" i="2" s="1"/>
  <c r="AQ214" i="2"/>
  <c r="A214" i="2"/>
  <c r="D214" i="2" s="1"/>
  <c r="AQ213" i="2"/>
  <c r="A213" i="2"/>
  <c r="AQ212" i="2"/>
  <c r="A212" i="2"/>
  <c r="AQ211" i="2"/>
  <c r="A211" i="2"/>
  <c r="AQ210" i="2"/>
  <c r="A210" i="2"/>
  <c r="AQ209" i="2"/>
  <c r="A209" i="2"/>
  <c r="AQ208" i="2"/>
  <c r="A208" i="2"/>
  <c r="AQ207" i="2"/>
  <c r="A207" i="2"/>
  <c r="D207" i="2" s="1"/>
  <c r="AQ206" i="2"/>
  <c r="A206" i="2"/>
  <c r="AQ205" i="2"/>
  <c r="A205" i="2"/>
  <c r="AQ204" i="2"/>
  <c r="A204" i="2"/>
  <c r="AQ203" i="2"/>
  <c r="A203" i="2"/>
  <c r="AQ202" i="2"/>
  <c r="A202" i="2"/>
  <c r="AQ201" i="2"/>
  <c r="A201" i="2"/>
  <c r="AQ200" i="2"/>
  <c r="A200" i="2"/>
  <c r="AQ199" i="2"/>
  <c r="A199" i="2"/>
  <c r="AQ198" i="2"/>
  <c r="A198" i="2"/>
  <c r="AQ197" i="2"/>
  <c r="A197" i="2"/>
  <c r="D197" i="2" s="1"/>
  <c r="AQ196" i="2"/>
  <c r="A196" i="2"/>
  <c r="AQ195" i="2"/>
  <c r="A195" i="2"/>
  <c r="D195" i="2" s="1"/>
  <c r="AQ194" i="2"/>
  <c r="A194" i="2"/>
  <c r="AQ193" i="2"/>
  <c r="A193" i="2"/>
  <c r="AQ192" i="2"/>
  <c r="AQ191" i="2"/>
  <c r="A191" i="2"/>
  <c r="AQ190" i="2"/>
  <c r="A190" i="2"/>
  <c r="AQ189" i="2"/>
  <c r="A189" i="2"/>
  <c r="AQ188" i="2"/>
  <c r="A188" i="2"/>
  <c r="AQ187" i="2"/>
  <c r="A187" i="2"/>
  <c r="AQ186" i="2"/>
  <c r="A186" i="2"/>
  <c r="D186" i="2" s="1"/>
  <c r="AQ185" i="2"/>
  <c r="A185" i="2"/>
  <c r="AQ184" i="2"/>
  <c r="A184" i="2"/>
  <c r="AQ183" i="2"/>
  <c r="A183" i="2"/>
  <c r="AQ182" i="2"/>
  <c r="A182" i="2"/>
  <c r="AQ181" i="2"/>
  <c r="A181" i="2"/>
  <c r="AQ180" i="2"/>
  <c r="A180" i="2"/>
  <c r="AQ179" i="2"/>
  <c r="A179" i="2"/>
  <c r="AQ178" i="2"/>
  <c r="A178" i="2"/>
  <c r="AQ177" i="2"/>
  <c r="A177" i="2"/>
  <c r="AQ176" i="2"/>
  <c r="A176" i="2"/>
  <c r="AQ175" i="2"/>
  <c r="A175" i="2"/>
  <c r="D175" i="2" s="1"/>
  <c r="AQ174" i="2"/>
  <c r="A174" i="2"/>
  <c r="AQ173" i="2"/>
  <c r="A173" i="2"/>
  <c r="AQ172" i="2"/>
  <c r="A172" i="2"/>
  <c r="AQ171" i="2"/>
  <c r="A171" i="2"/>
  <c r="AQ170" i="2"/>
  <c r="A170" i="2"/>
  <c r="AQ169" i="2"/>
  <c r="A169" i="2"/>
  <c r="D169" i="2" s="1"/>
  <c r="AQ168" i="2"/>
  <c r="A168" i="2"/>
  <c r="AQ167" i="2"/>
  <c r="A167" i="2"/>
  <c r="AQ166" i="2"/>
  <c r="A166" i="2"/>
  <c r="AQ165" i="2"/>
  <c r="A165" i="2"/>
  <c r="AQ164" i="2"/>
  <c r="A164" i="2"/>
  <c r="AQ163" i="2"/>
  <c r="A163" i="2"/>
  <c r="D163" i="2" s="1"/>
  <c r="AQ162" i="2"/>
  <c r="A162" i="2"/>
  <c r="D162" i="2" s="1"/>
  <c r="AQ161" i="2"/>
  <c r="A161" i="2"/>
  <c r="AQ160" i="2"/>
  <c r="A160" i="2"/>
  <c r="AQ159" i="2"/>
  <c r="A159" i="2"/>
  <c r="AQ158" i="2"/>
  <c r="A158" i="2"/>
  <c r="AQ157" i="2"/>
  <c r="A157" i="2"/>
  <c r="AQ156" i="2"/>
  <c r="A156" i="2"/>
  <c r="AQ155" i="2"/>
  <c r="A155" i="2"/>
  <c r="AQ154" i="2"/>
  <c r="A154" i="2"/>
  <c r="D154" i="2" s="1"/>
  <c r="AQ153" i="2"/>
  <c r="A153" i="2"/>
  <c r="D153" i="2" s="1"/>
  <c r="AQ152" i="2"/>
  <c r="A152" i="2"/>
  <c r="AQ151" i="2"/>
  <c r="A151" i="2"/>
  <c r="AQ150" i="2"/>
  <c r="J150" i="2"/>
  <c r="AQ149" i="2"/>
  <c r="A149" i="2"/>
  <c r="AQ148" i="2"/>
  <c r="A148" i="2"/>
  <c r="AQ147" i="2"/>
  <c r="A147" i="2"/>
  <c r="D147" i="2" s="1"/>
  <c r="AQ146" i="2"/>
  <c r="A146" i="2"/>
  <c r="D146" i="2" s="1"/>
  <c r="AQ145" i="2"/>
  <c r="A145" i="2"/>
  <c r="AQ144" i="2"/>
  <c r="A144" i="2"/>
  <c r="D144" i="2" s="1"/>
  <c r="AQ143" i="2"/>
  <c r="A143" i="2"/>
  <c r="D143" i="2" s="1"/>
  <c r="AQ142" i="2"/>
  <c r="A142" i="2"/>
  <c r="AQ141" i="2"/>
  <c r="A141" i="2"/>
  <c r="AQ140" i="2"/>
  <c r="A140" i="2"/>
  <c r="AQ139" i="2"/>
  <c r="A139" i="2"/>
  <c r="AQ138" i="2"/>
  <c r="A138" i="2"/>
  <c r="AQ137" i="2"/>
  <c r="A137" i="2"/>
  <c r="AQ136" i="2"/>
  <c r="A136" i="2"/>
  <c r="AQ135" i="2"/>
  <c r="A135" i="2"/>
  <c r="D135" i="2" s="1"/>
  <c r="AQ134" i="2"/>
  <c r="A134" i="2"/>
  <c r="AQ133" i="2"/>
  <c r="A133" i="2"/>
  <c r="AQ132" i="2"/>
  <c r="A132" i="2"/>
  <c r="D132" i="2" s="1"/>
  <c r="AQ131" i="2"/>
  <c r="A131" i="2"/>
  <c r="AQ130" i="2"/>
  <c r="A130" i="2"/>
  <c r="AQ129" i="2"/>
  <c r="A129" i="2"/>
  <c r="AQ128" i="2"/>
  <c r="A128" i="2"/>
  <c r="D128" i="2" s="1"/>
  <c r="AQ127" i="2"/>
  <c r="A127" i="2"/>
  <c r="AQ126" i="2"/>
  <c r="A126" i="2"/>
  <c r="AQ125" i="2"/>
  <c r="A125" i="2"/>
  <c r="AQ124" i="2"/>
  <c r="A124" i="2"/>
  <c r="AQ123" i="2"/>
  <c r="A123" i="2"/>
  <c r="AQ122" i="2"/>
  <c r="A122" i="2"/>
  <c r="AQ121" i="2"/>
  <c r="A121" i="2"/>
  <c r="D121" i="2" s="1"/>
  <c r="AQ120" i="2"/>
  <c r="A120" i="2"/>
  <c r="D120" i="2" s="1"/>
  <c r="AQ119" i="2"/>
  <c r="A119" i="2"/>
  <c r="AQ118" i="2"/>
  <c r="A118" i="2"/>
  <c r="AQ117" i="2"/>
  <c r="A117" i="2"/>
  <c r="AQ116" i="2"/>
  <c r="A116" i="2"/>
  <c r="AQ115" i="2"/>
  <c r="A115" i="2"/>
  <c r="AQ114" i="2"/>
  <c r="A114" i="2"/>
  <c r="D114" i="2" s="1"/>
  <c r="AQ113" i="2"/>
  <c r="A113" i="2"/>
  <c r="AQ112" i="2"/>
  <c r="A112" i="2"/>
  <c r="AQ111" i="2"/>
  <c r="A111" i="2"/>
  <c r="D111" i="2" s="1"/>
  <c r="AQ110" i="2"/>
  <c r="A110" i="2"/>
  <c r="AQ109" i="2"/>
  <c r="A109" i="2"/>
  <c r="AQ108" i="2"/>
  <c r="A108" i="2"/>
  <c r="AQ107" i="2"/>
  <c r="A107" i="2"/>
  <c r="AQ106" i="2"/>
  <c r="A106" i="2"/>
  <c r="D106" i="2" s="1"/>
  <c r="AQ105" i="2"/>
  <c r="A105" i="2"/>
  <c r="AQ104" i="2"/>
  <c r="A104" i="2"/>
  <c r="AQ103" i="2"/>
  <c r="A103" i="2"/>
  <c r="AQ102" i="2"/>
  <c r="A102" i="2"/>
  <c r="AQ101" i="2"/>
  <c r="A101" i="2"/>
  <c r="AQ100" i="2"/>
  <c r="A100" i="2"/>
  <c r="AQ99" i="2"/>
  <c r="A99" i="2"/>
  <c r="D99" i="2" s="1"/>
  <c r="AQ98" i="2"/>
  <c r="A98" i="2"/>
  <c r="D98" i="2" s="1"/>
  <c r="AQ97" i="2"/>
  <c r="A97" i="2"/>
  <c r="AQ96" i="2"/>
  <c r="A96" i="2"/>
  <c r="AQ95" i="2"/>
  <c r="A95" i="2"/>
  <c r="AQ94" i="2"/>
  <c r="A94" i="2"/>
  <c r="AQ93" i="2"/>
  <c r="A93" i="2"/>
  <c r="AQ92" i="2"/>
  <c r="A92" i="2"/>
  <c r="AQ91" i="2"/>
  <c r="A91" i="2"/>
  <c r="AQ90" i="2"/>
  <c r="A90" i="2"/>
  <c r="AQ89" i="2"/>
  <c r="A89" i="2"/>
  <c r="AQ88" i="2"/>
  <c r="A88" i="2"/>
  <c r="AQ87" i="2"/>
  <c r="A87" i="2"/>
  <c r="AQ86" i="2"/>
  <c r="A86" i="2"/>
  <c r="AQ85" i="2"/>
  <c r="A85" i="2"/>
  <c r="D85" i="2" s="1"/>
  <c r="AQ84" i="2"/>
  <c r="A84" i="2"/>
  <c r="AQ83" i="2"/>
  <c r="A83" i="2"/>
  <c r="D83" i="2" s="1"/>
  <c r="AQ82" i="2"/>
  <c r="A82" i="2"/>
  <c r="AQ81" i="2"/>
  <c r="A81" i="2"/>
  <c r="AQ80" i="2"/>
  <c r="A80" i="2"/>
  <c r="D80" i="2" s="1"/>
  <c r="AQ79" i="2"/>
  <c r="A79" i="2"/>
  <c r="AQ78" i="2"/>
  <c r="A78" i="2"/>
  <c r="AQ77" i="2"/>
  <c r="A77" i="2"/>
  <c r="AQ76" i="2"/>
  <c r="A76" i="2"/>
  <c r="AQ75" i="2"/>
  <c r="A75" i="2"/>
  <c r="AQ74" i="2"/>
  <c r="A74" i="2"/>
  <c r="AQ73" i="2"/>
  <c r="A73" i="2"/>
  <c r="AQ72" i="2"/>
  <c r="A72" i="2"/>
  <c r="AQ71" i="2"/>
  <c r="A71" i="2"/>
  <c r="AQ70" i="2"/>
  <c r="A70" i="2"/>
  <c r="D70" i="2" s="1"/>
  <c r="AQ69" i="2"/>
  <c r="A69" i="2"/>
  <c r="AQ68" i="2"/>
  <c r="A68" i="2"/>
  <c r="AQ67" i="2"/>
  <c r="A67" i="2"/>
  <c r="AQ66" i="2"/>
  <c r="A66" i="2"/>
  <c r="AQ65" i="2"/>
  <c r="A65" i="2"/>
  <c r="AQ64" i="2"/>
  <c r="A64" i="2"/>
  <c r="AQ63" i="2"/>
  <c r="A63" i="2"/>
  <c r="AQ62" i="2"/>
  <c r="A62" i="2"/>
  <c r="AQ61" i="2"/>
  <c r="A61" i="2"/>
  <c r="AQ60" i="2"/>
  <c r="A60" i="2"/>
  <c r="D60" i="2" s="1"/>
  <c r="AQ59" i="2"/>
  <c r="A59" i="2"/>
  <c r="AQ58" i="2"/>
  <c r="A58" i="2"/>
  <c r="AQ57" i="2"/>
  <c r="A57" i="2"/>
  <c r="AQ56" i="2"/>
  <c r="A56" i="2"/>
  <c r="AQ55" i="2"/>
  <c r="A55" i="2"/>
  <c r="AQ54" i="2"/>
  <c r="A54" i="2"/>
  <c r="AQ53" i="2"/>
  <c r="A53" i="2"/>
  <c r="AQ52" i="2"/>
  <c r="A52" i="2"/>
  <c r="AQ51" i="2"/>
  <c r="A51" i="2"/>
  <c r="AQ50" i="2"/>
  <c r="A50" i="2"/>
  <c r="AQ49" i="2"/>
  <c r="A49" i="2"/>
  <c r="AQ48" i="2"/>
  <c r="A48" i="2"/>
  <c r="AQ47" i="2"/>
  <c r="A47" i="2"/>
  <c r="D47" i="2" s="1"/>
  <c r="AQ46" i="2"/>
  <c r="A46" i="2"/>
  <c r="AQ45" i="2"/>
  <c r="A45" i="2"/>
  <c r="AQ44" i="2"/>
  <c r="A44" i="2"/>
  <c r="AQ43" i="2"/>
  <c r="A43" i="2"/>
  <c r="AQ42" i="2"/>
  <c r="A42" i="2"/>
  <c r="D42" i="2" s="1"/>
  <c r="AQ41" i="2"/>
  <c r="A41" i="2"/>
  <c r="AQ40" i="2"/>
  <c r="A40" i="2"/>
  <c r="AQ39" i="2"/>
  <c r="A39" i="2"/>
  <c r="AQ38" i="2"/>
  <c r="A38" i="2"/>
  <c r="AQ37" i="2"/>
  <c r="A37" i="2"/>
  <c r="AQ36" i="2"/>
  <c r="A36" i="2"/>
  <c r="AQ35" i="2"/>
  <c r="A35" i="2"/>
  <c r="AQ34" i="2"/>
  <c r="A34" i="2"/>
  <c r="AQ33" i="2"/>
  <c r="A33" i="2"/>
  <c r="AQ32" i="2"/>
  <c r="A32" i="2"/>
  <c r="AQ31" i="2"/>
  <c r="A31" i="2"/>
  <c r="AQ30" i="2"/>
  <c r="A30" i="2"/>
  <c r="AQ29" i="2"/>
  <c r="A29" i="2"/>
  <c r="AQ28" i="2"/>
  <c r="A28" i="2"/>
  <c r="D28" i="2" s="1"/>
  <c r="AQ27" i="2"/>
  <c r="A27" i="2"/>
  <c r="AQ26" i="2"/>
  <c r="A26" i="2"/>
  <c r="AQ25" i="2"/>
  <c r="A25" i="2"/>
  <c r="AQ24" i="2"/>
  <c r="A24" i="2"/>
  <c r="AQ23" i="2"/>
  <c r="A23" i="2"/>
  <c r="AQ22" i="2"/>
  <c r="A22" i="2"/>
  <c r="AQ21" i="2"/>
  <c r="A21" i="2"/>
  <c r="AQ20" i="2"/>
  <c r="A20" i="2"/>
  <c r="AQ19" i="2"/>
  <c r="A19" i="2"/>
  <c r="AQ18" i="2"/>
  <c r="A18" i="2"/>
  <c r="D18" i="2" s="1"/>
  <c r="AQ17" i="2"/>
  <c r="A17" i="2"/>
  <c r="AQ16" i="2"/>
  <c r="A16" i="2"/>
  <c r="AQ15" i="2"/>
  <c r="A15" i="2"/>
  <c r="AQ14" i="2"/>
  <c r="A14" i="2"/>
  <c r="AQ13" i="2"/>
  <c r="A13" i="2"/>
  <c r="D13" i="2" s="1"/>
  <c r="AQ12" i="2"/>
  <c r="A12" i="2"/>
  <c r="AQ11" i="2"/>
  <c r="A11" i="2"/>
  <c r="AQ10" i="2"/>
  <c r="A10" i="2"/>
  <c r="AQ9" i="2"/>
  <c r="A9" i="2"/>
  <c r="AQ8" i="2"/>
  <c r="A8" i="2"/>
  <c r="AQ7" i="2"/>
  <c r="A7" i="2"/>
  <c r="AQ6" i="2"/>
  <c r="A6" i="2"/>
  <c r="AQ5" i="2"/>
  <c r="AP5" i="2"/>
  <c r="A5" i="2"/>
  <c r="B153" i="9"/>
  <c r="B152" i="9"/>
  <c r="B151" i="9"/>
  <c r="B150" i="9"/>
  <c r="B149" i="9"/>
  <c r="B148" i="9"/>
  <c r="B147" i="9"/>
  <c r="B146" i="9"/>
  <c r="B145" i="9"/>
  <c r="B144" i="9"/>
  <c r="B143" i="9"/>
  <c r="B142" i="9"/>
  <c r="B141" i="9"/>
  <c r="B140" i="9"/>
  <c r="W101" i="9"/>
  <c r="V101" i="9"/>
  <c r="U101" i="9"/>
  <c r="T101" i="9"/>
  <c r="Q101" i="9"/>
  <c r="P101" i="9"/>
  <c r="O101" i="9"/>
  <c r="N101" i="9"/>
  <c r="K101" i="9"/>
  <c r="J101" i="9"/>
  <c r="I101" i="9"/>
  <c r="H101" i="9"/>
  <c r="E101" i="9"/>
  <c r="D101" i="9"/>
  <c r="C101" i="9"/>
  <c r="B101" i="9"/>
  <c r="W100" i="9"/>
  <c r="V100" i="9"/>
  <c r="U100" i="9"/>
  <c r="T100" i="9"/>
  <c r="Q100" i="9"/>
  <c r="P100" i="9"/>
  <c r="O100" i="9"/>
  <c r="N100" i="9"/>
  <c r="K100" i="9"/>
  <c r="J100" i="9"/>
  <c r="I100" i="9"/>
  <c r="H100" i="9"/>
  <c r="E100" i="9"/>
  <c r="D100" i="9"/>
  <c r="C100" i="9"/>
  <c r="B100" i="9"/>
  <c r="W99" i="9"/>
  <c r="V99" i="9"/>
  <c r="U99" i="9"/>
  <c r="T99" i="9"/>
  <c r="Q99" i="9"/>
  <c r="P99" i="9"/>
  <c r="O99" i="9"/>
  <c r="N99" i="9"/>
  <c r="K99" i="9"/>
  <c r="J99" i="9"/>
  <c r="I99" i="9"/>
  <c r="H99" i="9"/>
  <c r="E99" i="9"/>
  <c r="D99" i="9"/>
  <c r="C99" i="9"/>
  <c r="B99" i="9"/>
  <c r="W98" i="9"/>
  <c r="V98" i="9"/>
  <c r="U98" i="9"/>
  <c r="T98" i="9"/>
  <c r="Q98" i="9"/>
  <c r="P98" i="9"/>
  <c r="O98" i="9"/>
  <c r="N98" i="9"/>
  <c r="K98" i="9"/>
  <c r="J98" i="9"/>
  <c r="I98" i="9"/>
  <c r="H98" i="9"/>
  <c r="E98" i="9"/>
  <c r="D98" i="9"/>
  <c r="C98" i="9"/>
  <c r="B98" i="9"/>
  <c r="W97" i="9"/>
  <c r="V97" i="9"/>
  <c r="U97" i="9"/>
  <c r="T97" i="9"/>
  <c r="Q97" i="9"/>
  <c r="P97" i="9"/>
  <c r="O97" i="9"/>
  <c r="N97" i="9"/>
  <c r="K97" i="9"/>
  <c r="J97" i="9"/>
  <c r="I97" i="9"/>
  <c r="H97" i="9"/>
  <c r="E97" i="9"/>
  <c r="D97" i="9"/>
  <c r="C97" i="9"/>
  <c r="B97" i="9"/>
  <c r="K88" i="9"/>
  <c r="J88" i="9"/>
  <c r="I88" i="9"/>
  <c r="H88" i="9"/>
  <c r="E88" i="9"/>
  <c r="D88" i="9"/>
  <c r="C88" i="9"/>
  <c r="B88" i="9"/>
  <c r="K87" i="9"/>
  <c r="J87" i="9"/>
  <c r="I87" i="9"/>
  <c r="H87" i="9"/>
  <c r="E87" i="9"/>
  <c r="D87" i="9"/>
  <c r="C87" i="9"/>
  <c r="B87" i="9"/>
  <c r="K86" i="9"/>
  <c r="J86" i="9"/>
  <c r="I86" i="9"/>
  <c r="H86" i="9"/>
  <c r="E86" i="9"/>
  <c r="D86" i="9"/>
  <c r="C86" i="9"/>
  <c r="B86" i="9"/>
  <c r="K85" i="9"/>
  <c r="J85" i="9"/>
  <c r="I85" i="9"/>
  <c r="H85" i="9"/>
  <c r="E85" i="9"/>
  <c r="E91" i="9" s="1"/>
  <c r="D85" i="9"/>
  <c r="C85" i="9"/>
  <c r="B85" i="9"/>
  <c r="K84" i="9"/>
  <c r="K91" i="9" s="1"/>
  <c r="J84" i="9"/>
  <c r="J91" i="9" s="1"/>
  <c r="I84" i="9"/>
  <c r="I91" i="9" s="1"/>
  <c r="H84" i="9"/>
  <c r="H91" i="9" s="1"/>
  <c r="D84" i="9"/>
  <c r="D91" i="9" s="1"/>
  <c r="C84" i="9"/>
  <c r="B84" i="9"/>
  <c r="W49" i="9"/>
  <c r="V49" i="9"/>
  <c r="U49" i="9"/>
  <c r="T49" i="9"/>
  <c r="Q49" i="9"/>
  <c r="P49" i="9"/>
  <c r="O49" i="9"/>
  <c r="N49" i="9"/>
  <c r="K49" i="9"/>
  <c r="J49" i="9"/>
  <c r="I49" i="9"/>
  <c r="H49" i="9"/>
  <c r="E49" i="9"/>
  <c r="D49" i="9"/>
  <c r="C49" i="9"/>
  <c r="B49" i="9"/>
  <c r="W48" i="9"/>
  <c r="V48" i="9"/>
  <c r="U48" i="9"/>
  <c r="T48" i="9"/>
  <c r="Q48" i="9"/>
  <c r="P48" i="9"/>
  <c r="O48" i="9"/>
  <c r="N48" i="9"/>
  <c r="K48" i="9"/>
  <c r="J48" i="9"/>
  <c r="I48" i="9"/>
  <c r="H48" i="9"/>
  <c r="E48" i="9"/>
  <c r="D48" i="9"/>
  <c r="C48" i="9"/>
  <c r="B48" i="9"/>
  <c r="AC41" i="9"/>
  <c r="AB41" i="9"/>
  <c r="AA41" i="9"/>
  <c r="Z41" i="9"/>
  <c r="K41" i="9"/>
  <c r="D40" i="11" s="1"/>
  <c r="J41" i="9"/>
  <c r="D39" i="11" s="1"/>
  <c r="I41" i="9"/>
  <c r="D38" i="11" s="1"/>
  <c r="H41" i="9"/>
  <c r="E41" i="9"/>
  <c r="D20" i="11" s="1"/>
  <c r="D41" i="9"/>
  <c r="D19" i="11" s="1"/>
  <c r="C41" i="9"/>
  <c r="D18" i="11" s="1"/>
  <c r="B41" i="9"/>
  <c r="AC40" i="9"/>
  <c r="AB40" i="9"/>
  <c r="AA40" i="9"/>
  <c r="Z40" i="9"/>
  <c r="K40" i="9"/>
  <c r="D36" i="11" s="1"/>
  <c r="J40" i="9"/>
  <c r="D35" i="11" s="1"/>
  <c r="I40" i="9"/>
  <c r="D34" i="11" s="1"/>
  <c r="H40" i="9"/>
  <c r="E40" i="9"/>
  <c r="D16" i="11" s="1"/>
  <c r="D40" i="9"/>
  <c r="D15" i="11" s="1"/>
  <c r="C40" i="9"/>
  <c r="D14" i="11" s="1"/>
  <c r="B40" i="9"/>
  <c r="AC39" i="9"/>
  <c r="AB39" i="9"/>
  <c r="AA39" i="9"/>
  <c r="Z39" i="9"/>
  <c r="K39" i="9"/>
  <c r="D32" i="11" s="1"/>
  <c r="J39" i="9"/>
  <c r="D31" i="11" s="1"/>
  <c r="I39" i="9"/>
  <c r="D30" i="11" s="1"/>
  <c r="H39" i="9"/>
  <c r="E39" i="9"/>
  <c r="D12" i="11" s="1"/>
  <c r="D39" i="9"/>
  <c r="D11" i="11" s="1"/>
  <c r="C39" i="9"/>
  <c r="D10" i="11" s="1"/>
  <c r="B39" i="9"/>
  <c r="AC38" i="9"/>
  <c r="AB38" i="9"/>
  <c r="AA38" i="9"/>
  <c r="Z38" i="9"/>
  <c r="K38" i="9"/>
  <c r="D28" i="11" s="1"/>
  <c r="J38" i="9"/>
  <c r="D27" i="11" s="1"/>
  <c r="I38" i="9"/>
  <c r="D26" i="11" s="1"/>
  <c r="H38" i="9"/>
  <c r="E38" i="9"/>
  <c r="D8" i="11" s="1"/>
  <c r="D38" i="9"/>
  <c r="D7" i="11" s="1"/>
  <c r="C38" i="9"/>
  <c r="D6" i="11" s="1"/>
  <c r="B38" i="9"/>
  <c r="Z8" i="9" s="1"/>
  <c r="AC37" i="9"/>
  <c r="AB37" i="9"/>
  <c r="AA37" i="9"/>
  <c r="Z37" i="9"/>
  <c r="K37" i="9"/>
  <c r="J37" i="9"/>
  <c r="D23" i="11" s="1"/>
  <c r="I37" i="9"/>
  <c r="D22" i="11" s="1"/>
  <c r="H37" i="9"/>
  <c r="E37" i="9"/>
  <c r="D4" i="11" s="1"/>
  <c r="D37" i="9"/>
  <c r="D3" i="11" s="1"/>
  <c r="C37" i="9"/>
  <c r="D2" i="11" s="1"/>
  <c r="B37" i="9"/>
  <c r="Z3" i="9" s="1"/>
  <c r="E353" i="3" l="1"/>
  <c r="F353" i="3"/>
  <c r="A343" i="7"/>
  <c r="A343" i="3"/>
  <c r="A330" i="7"/>
  <c r="G330" i="7" s="1"/>
  <c r="A330" i="3"/>
  <c r="G330" i="3" s="1"/>
  <c r="A341" i="7"/>
  <c r="A341" i="3"/>
  <c r="E341" i="3" s="1"/>
  <c r="A348" i="3"/>
  <c r="A348" i="7"/>
  <c r="E348" i="7" s="1"/>
  <c r="A337" i="7"/>
  <c r="C337" i="7" s="1"/>
  <c r="A337" i="3"/>
  <c r="E337" i="3" s="1"/>
  <c r="D61" i="2"/>
  <c r="A318" i="7"/>
  <c r="G318" i="7" s="1"/>
  <c r="A318" i="3"/>
  <c r="G318" i="3" s="1"/>
  <c r="A351" i="3"/>
  <c r="A351" i="7"/>
  <c r="J351" i="7" s="1"/>
  <c r="A315" i="7"/>
  <c r="E315" i="7" s="1"/>
  <c r="A315" i="3"/>
  <c r="A359" i="3"/>
  <c r="A359" i="7"/>
  <c r="B359" i="7" s="1"/>
  <c r="A340" i="7"/>
  <c r="C340" i="7" s="1"/>
  <c r="A340" i="3"/>
  <c r="C340" i="3" s="1"/>
  <c r="A368" i="3"/>
  <c r="A368" i="7"/>
  <c r="J368" i="7" s="1"/>
  <c r="D107" i="2"/>
  <c r="A362" i="3"/>
  <c r="A362" i="7"/>
  <c r="E362" i="7" s="1"/>
  <c r="D113" i="2"/>
  <c r="A349" i="3"/>
  <c r="A349" i="7"/>
  <c r="B349" i="7" s="1"/>
  <c r="A334" i="7"/>
  <c r="F334" i="7" s="1"/>
  <c r="A334" i="3"/>
  <c r="B334" i="3" s="1"/>
  <c r="D118" i="2"/>
  <c r="A311" i="7"/>
  <c r="A311" i="3"/>
  <c r="G311" i="3" s="1"/>
  <c r="D127" i="2"/>
  <c r="A354" i="3"/>
  <c r="A354" i="7"/>
  <c r="D354" i="7" s="1"/>
  <c r="A352" i="3"/>
  <c r="A352" i="7"/>
  <c r="G352" i="7" s="1"/>
  <c r="A323" i="7"/>
  <c r="I323" i="7" s="1"/>
  <c r="A323" i="3"/>
  <c r="F323" i="3" s="1"/>
  <c r="A366" i="3"/>
  <c r="A366" i="7"/>
  <c r="I366" i="7" s="1"/>
  <c r="D165" i="2"/>
  <c r="A369" i="3"/>
  <c r="A369" i="7"/>
  <c r="C369" i="7" s="1"/>
  <c r="A370" i="3"/>
  <c r="A370" i="7"/>
  <c r="J370" i="7" s="1"/>
  <c r="A331" i="7"/>
  <c r="C331" i="7" s="1"/>
  <c r="A331" i="3"/>
  <c r="A314" i="7"/>
  <c r="G314" i="7" s="1"/>
  <c r="A314" i="3"/>
  <c r="B314" i="3" s="1"/>
  <c r="D185" i="2"/>
  <c r="A313" i="7"/>
  <c r="I313" i="7" s="1"/>
  <c r="A313" i="3"/>
  <c r="C313" i="3" s="1"/>
  <c r="A332" i="7"/>
  <c r="F332" i="7" s="1"/>
  <c r="A332" i="3"/>
  <c r="B332" i="3" s="1"/>
  <c r="D196" i="2"/>
  <c r="A321" i="7"/>
  <c r="I321" i="7" s="1"/>
  <c r="A321" i="3"/>
  <c r="C321" i="3" s="1"/>
  <c r="A361" i="3"/>
  <c r="A361" i="7"/>
  <c r="C361" i="7" s="1"/>
  <c r="D210" i="2"/>
  <c r="A344" i="7"/>
  <c r="I344" i="7" s="1"/>
  <c r="A344" i="3"/>
  <c r="A345" i="7"/>
  <c r="C345" i="7" s="1"/>
  <c r="A345" i="3"/>
  <c r="A364" i="3"/>
  <c r="A364" i="7"/>
  <c r="I364" i="7" s="1"/>
  <c r="A347" i="7"/>
  <c r="G347" i="7" s="1"/>
  <c r="A347" i="3"/>
  <c r="A322" i="7"/>
  <c r="G322" i="7" s="1"/>
  <c r="A322" i="3"/>
  <c r="G322" i="3" s="1"/>
  <c r="A342" i="7"/>
  <c r="F342" i="7" s="1"/>
  <c r="A342" i="3"/>
  <c r="G342" i="3" s="1"/>
  <c r="A346" i="7"/>
  <c r="I346" i="7" s="1"/>
  <c r="A346" i="3"/>
  <c r="C346" i="3" s="1"/>
  <c r="A357" i="3"/>
  <c r="A357" i="7"/>
  <c r="J357" i="7" s="1"/>
  <c r="A333" i="7"/>
  <c r="J333" i="7" s="1"/>
  <c r="A333" i="3"/>
  <c r="E333" i="3" s="1"/>
  <c r="D262" i="2"/>
  <c r="A339" i="7"/>
  <c r="I339" i="7" s="1"/>
  <c r="A339" i="3"/>
  <c r="E339" i="3" s="1"/>
  <c r="D266" i="2"/>
  <c r="A367" i="3"/>
  <c r="A367" i="7"/>
  <c r="B367" i="7" s="1"/>
  <c r="D274" i="2"/>
  <c r="A356" i="3"/>
  <c r="A356" i="7"/>
  <c r="I356" i="7" s="1"/>
  <c r="D276" i="2"/>
  <c r="A328" i="7"/>
  <c r="C328" i="7" s="1"/>
  <c r="A328" i="3"/>
  <c r="D328" i="3" s="1"/>
  <c r="A338" i="7"/>
  <c r="J338" i="7" s="1"/>
  <c r="A338" i="3"/>
  <c r="G338" i="3" s="1"/>
  <c r="D288" i="2"/>
  <c r="A335" i="7"/>
  <c r="A335" i="3"/>
  <c r="A371" i="3"/>
  <c r="A371" i="7"/>
  <c r="H371" i="7" s="1"/>
  <c r="D294" i="2"/>
  <c r="A319" i="7"/>
  <c r="H319" i="7" s="1"/>
  <c r="A319" i="3"/>
  <c r="D319" i="3" s="1"/>
  <c r="D304" i="2"/>
  <c r="A355" i="3"/>
  <c r="A355" i="7"/>
  <c r="G355" i="7" s="1"/>
  <c r="D311" i="2"/>
  <c r="A320" i="7"/>
  <c r="D320" i="7" s="1"/>
  <c r="A320" i="3"/>
  <c r="F320" i="3" s="1"/>
  <c r="C91" i="9"/>
  <c r="B91" i="9"/>
  <c r="R38" i="9"/>
  <c r="D49" i="11" s="1"/>
  <c r="X40" i="9"/>
  <c r="D77" i="11" s="1"/>
  <c r="R40" i="9"/>
  <c r="D57" i="11" s="1"/>
  <c r="R37" i="9"/>
  <c r="X39" i="9"/>
  <c r="D73" i="11" s="1"/>
  <c r="X41" i="9"/>
  <c r="D81" i="11" s="1"/>
  <c r="X38" i="9"/>
  <c r="D69" i="11" s="1"/>
  <c r="R39" i="9"/>
  <c r="D53" i="11" s="1"/>
  <c r="R41" i="9"/>
  <c r="D61" i="11" s="1"/>
  <c r="AC42" i="9"/>
  <c r="I390" i="3" a="1"/>
  <c r="I390" i="3" s="1"/>
  <c r="I380" i="3" a="1"/>
  <c r="I380" i="3" s="1"/>
  <c r="H390" i="3" a="1"/>
  <c r="H390" i="3" s="1"/>
  <c r="I376" i="3" a="1"/>
  <c r="I376" i="3" s="1"/>
  <c r="I384" i="3" a="1"/>
  <c r="I384" i="3" s="1"/>
  <c r="H365" i="3" a="1"/>
  <c r="H365" i="3" s="1"/>
  <c r="I375" i="3" a="1"/>
  <c r="I375" i="3" s="1"/>
  <c r="H375" i="3" a="1"/>
  <c r="H375" i="3" s="1"/>
  <c r="H350" i="3" a="1"/>
  <c r="H350" i="3" s="1"/>
  <c r="J7" i="2"/>
  <c r="D7" i="2"/>
  <c r="J15" i="2"/>
  <c r="D15" i="2"/>
  <c r="J23" i="2"/>
  <c r="D23" i="2"/>
  <c r="J31" i="2"/>
  <c r="D31" i="2"/>
  <c r="H39" i="2"/>
  <c r="D39" i="2"/>
  <c r="C55" i="2"/>
  <c r="D55" i="2"/>
  <c r="B63" i="2"/>
  <c r="D63" i="2"/>
  <c r="J71" i="2"/>
  <c r="D71" i="2"/>
  <c r="J79" i="2"/>
  <c r="D79" i="2"/>
  <c r="J87" i="2"/>
  <c r="D87" i="2"/>
  <c r="H95" i="2"/>
  <c r="D95" i="2"/>
  <c r="E103" i="2"/>
  <c r="D103" i="2"/>
  <c r="B119" i="2"/>
  <c r="D119" i="2"/>
  <c r="B170" i="2"/>
  <c r="D170" i="2"/>
  <c r="C178" i="2"/>
  <c r="D178" i="2"/>
  <c r="F205" i="2"/>
  <c r="D205" i="2"/>
  <c r="C208" i="2"/>
  <c r="D208" i="2"/>
  <c r="J216" i="2"/>
  <c r="D216" i="2"/>
  <c r="J232" i="2"/>
  <c r="D232" i="2"/>
  <c r="H240" i="2"/>
  <c r="D240" i="2"/>
  <c r="I248" i="2"/>
  <c r="D248" i="2"/>
  <c r="B259" i="2"/>
  <c r="D259" i="2"/>
  <c r="B267" i="2"/>
  <c r="D267" i="2"/>
  <c r="J275" i="2"/>
  <c r="D275" i="2"/>
  <c r="J283" i="2"/>
  <c r="D283" i="2"/>
  <c r="J287" i="2"/>
  <c r="D287" i="2"/>
  <c r="J291" i="2"/>
  <c r="D291" i="2"/>
  <c r="J299" i="2"/>
  <c r="D299" i="2"/>
  <c r="J307" i="2"/>
  <c r="D307" i="2"/>
  <c r="G10" i="2"/>
  <c r="D10" i="2"/>
  <c r="I26" i="2"/>
  <c r="D26" i="2"/>
  <c r="C34" i="2"/>
  <c r="D34" i="2"/>
  <c r="J50" i="2"/>
  <c r="D50" i="2"/>
  <c r="A57" i="3"/>
  <c r="B57" i="3" s="1"/>
  <c r="D58" i="2"/>
  <c r="E66" i="2"/>
  <c r="D66" i="2"/>
  <c r="J74" i="2"/>
  <c r="D74" i="2"/>
  <c r="E82" i="2"/>
  <c r="D82" i="2"/>
  <c r="G90" i="2"/>
  <c r="D90" i="2"/>
  <c r="I122" i="2"/>
  <c r="D122" i="2"/>
  <c r="I130" i="2"/>
  <c r="D130" i="2"/>
  <c r="J138" i="2"/>
  <c r="D138" i="2"/>
  <c r="J149" i="2"/>
  <c r="D149" i="2"/>
  <c r="J157" i="2"/>
  <c r="D157" i="2"/>
  <c r="B173" i="2"/>
  <c r="D173" i="2"/>
  <c r="C181" i="2"/>
  <c r="D181" i="2"/>
  <c r="J189" i="2"/>
  <c r="D189" i="2"/>
  <c r="E200" i="2"/>
  <c r="D200" i="2"/>
  <c r="J211" i="2"/>
  <c r="D211" i="2"/>
  <c r="E235" i="2"/>
  <c r="D235" i="2"/>
  <c r="J243" i="2"/>
  <c r="D243" i="2"/>
  <c r="B251" i="2"/>
  <c r="D251" i="2"/>
  <c r="J5" i="2"/>
  <c r="D5" i="2"/>
  <c r="I21" i="2"/>
  <c r="D21" i="2"/>
  <c r="J29" i="2"/>
  <c r="D29" i="2"/>
  <c r="F37" i="2"/>
  <c r="D37" i="2"/>
  <c r="J45" i="2"/>
  <c r="D45" i="2"/>
  <c r="I53" i="2"/>
  <c r="D53" i="2"/>
  <c r="C69" i="2"/>
  <c r="D69" i="2"/>
  <c r="B77" i="2"/>
  <c r="D77" i="2"/>
  <c r="I93" i="2"/>
  <c r="D93" i="2"/>
  <c r="I101" i="2"/>
  <c r="D101" i="2"/>
  <c r="J109" i="2"/>
  <c r="D109" i="2"/>
  <c r="F117" i="2"/>
  <c r="D117" i="2"/>
  <c r="C125" i="2"/>
  <c r="D125" i="2"/>
  <c r="C133" i="2"/>
  <c r="D133" i="2"/>
  <c r="B141" i="2"/>
  <c r="D141" i="2"/>
  <c r="H152" i="2"/>
  <c r="D152" i="2"/>
  <c r="C160" i="2"/>
  <c r="D160" i="2"/>
  <c r="J168" i="2"/>
  <c r="D168" i="2"/>
  <c r="H176" i="2"/>
  <c r="D176" i="2"/>
  <c r="I184" i="2"/>
  <c r="D184" i="2"/>
  <c r="I203" i="2"/>
  <c r="D203" i="2"/>
  <c r="G222" i="2"/>
  <c r="D222" i="2"/>
  <c r="G238" i="2"/>
  <c r="D238" i="2"/>
  <c r="H246" i="2"/>
  <c r="D246" i="2"/>
  <c r="I256" i="2"/>
  <c r="D256" i="2"/>
  <c r="E260" i="2"/>
  <c r="D260" i="2"/>
  <c r="C264" i="2"/>
  <c r="D264" i="2"/>
  <c r="A267" i="7"/>
  <c r="H267" i="7" s="1"/>
  <c r="D268" i="2"/>
  <c r="J272" i="2"/>
  <c r="D272" i="2"/>
  <c r="J292" i="2"/>
  <c r="D292" i="2"/>
  <c r="H8" i="2"/>
  <c r="D8" i="2"/>
  <c r="I16" i="2"/>
  <c r="D16" i="2"/>
  <c r="A23" i="3"/>
  <c r="F23" i="3" s="1"/>
  <c r="D24" i="2"/>
  <c r="J32" i="2"/>
  <c r="D32" i="2"/>
  <c r="B40" i="2"/>
  <c r="D40" i="2"/>
  <c r="E48" i="2"/>
  <c r="D48" i="2"/>
  <c r="B56" i="2"/>
  <c r="D56" i="2"/>
  <c r="A63" i="3"/>
  <c r="F63" i="3" s="1"/>
  <c r="D64" i="2"/>
  <c r="J72" i="2"/>
  <c r="D72" i="2"/>
  <c r="H88" i="2"/>
  <c r="D88" i="2"/>
  <c r="H96" i="2"/>
  <c r="D96" i="2"/>
  <c r="E104" i="2"/>
  <c r="D104" i="2"/>
  <c r="B112" i="2"/>
  <c r="D112" i="2"/>
  <c r="I136" i="2"/>
  <c r="D136" i="2"/>
  <c r="H155" i="2"/>
  <c r="D155" i="2"/>
  <c r="A170" i="3"/>
  <c r="E170" i="3" s="1"/>
  <c r="D171" i="2"/>
  <c r="G179" i="2"/>
  <c r="D179" i="2"/>
  <c r="I187" i="2"/>
  <c r="D187" i="2"/>
  <c r="I198" i="2"/>
  <c r="D198" i="2"/>
  <c r="I206" i="2"/>
  <c r="D206" i="2"/>
  <c r="F209" i="2"/>
  <c r="D209" i="2"/>
  <c r="A216" i="7"/>
  <c r="J216" i="7" s="1"/>
  <c r="D217" i="2"/>
  <c r="I225" i="2"/>
  <c r="D225" i="2"/>
  <c r="A232" i="7"/>
  <c r="G232" i="7" s="1"/>
  <c r="D233" i="2"/>
  <c r="E241" i="2"/>
  <c r="D241" i="2"/>
  <c r="H249" i="2"/>
  <c r="D249" i="2"/>
  <c r="H252" i="2"/>
  <c r="D252" i="2"/>
  <c r="B11" i="2"/>
  <c r="D11" i="2"/>
  <c r="J19" i="2"/>
  <c r="D19" i="2"/>
  <c r="C27" i="2"/>
  <c r="D27" i="2"/>
  <c r="C35" i="2"/>
  <c r="D35" i="2"/>
  <c r="J43" i="2"/>
  <c r="D43" i="2"/>
  <c r="I51" i="2"/>
  <c r="D51" i="2"/>
  <c r="H59" i="2"/>
  <c r="D59" i="2"/>
  <c r="I67" i="2"/>
  <c r="D67" i="2"/>
  <c r="J75" i="2"/>
  <c r="D75" i="2"/>
  <c r="F91" i="2"/>
  <c r="D91" i="2"/>
  <c r="J115" i="2"/>
  <c r="D115" i="2"/>
  <c r="H123" i="2"/>
  <c r="D123" i="2"/>
  <c r="I131" i="2"/>
  <c r="D131" i="2"/>
  <c r="H139" i="2"/>
  <c r="D139" i="2"/>
  <c r="H158" i="2"/>
  <c r="D158" i="2"/>
  <c r="D166" i="2"/>
  <c r="J174" i="2"/>
  <c r="D174" i="2"/>
  <c r="C182" i="2"/>
  <c r="D182" i="2"/>
  <c r="H190" i="2"/>
  <c r="D190" i="2"/>
  <c r="B193" i="2"/>
  <c r="D193" i="2"/>
  <c r="A200" i="3"/>
  <c r="E200" i="3" s="1"/>
  <c r="D201" i="2"/>
  <c r="J212" i="2"/>
  <c r="D212" i="2"/>
  <c r="G220" i="2"/>
  <c r="D220" i="2"/>
  <c r="A235" i="3"/>
  <c r="D235" i="3" s="1"/>
  <c r="D236" i="2"/>
  <c r="J244" i="2"/>
  <c r="D244" i="2"/>
  <c r="G253" i="2"/>
  <c r="D253" i="2"/>
  <c r="G257" i="2"/>
  <c r="D257" i="2"/>
  <c r="J261" i="2"/>
  <c r="D261" i="2"/>
  <c r="J265" i="2"/>
  <c r="D265" i="2"/>
  <c r="J273" i="2"/>
  <c r="D273" i="2"/>
  <c r="J277" i="2"/>
  <c r="D277" i="2"/>
  <c r="J281" i="2"/>
  <c r="D281" i="2"/>
  <c r="J293" i="2"/>
  <c r="D293" i="2"/>
  <c r="J297" i="2"/>
  <c r="D297" i="2"/>
  <c r="J301" i="2"/>
  <c r="D301" i="2"/>
  <c r="J309" i="2"/>
  <c r="D309" i="2"/>
  <c r="J6" i="2"/>
  <c r="D6" i="2"/>
  <c r="G14" i="2"/>
  <c r="D14" i="2"/>
  <c r="F22" i="2"/>
  <c r="D22" i="2"/>
  <c r="I30" i="2"/>
  <c r="D30" i="2"/>
  <c r="E38" i="2"/>
  <c r="D38" i="2"/>
  <c r="H46" i="2"/>
  <c r="D46" i="2"/>
  <c r="E54" i="2"/>
  <c r="D54" i="2"/>
  <c r="E62" i="2"/>
  <c r="D62" i="2"/>
  <c r="I78" i="2"/>
  <c r="D78" i="2"/>
  <c r="I86" i="2"/>
  <c r="D86" i="2"/>
  <c r="B94" i="2"/>
  <c r="D94" i="2"/>
  <c r="E102" i="2"/>
  <c r="D102" i="2"/>
  <c r="H110" i="2"/>
  <c r="D110" i="2"/>
  <c r="H126" i="2"/>
  <c r="D126" i="2"/>
  <c r="B134" i="2"/>
  <c r="D134" i="2"/>
  <c r="I142" i="2"/>
  <c r="D142" i="2"/>
  <c r="H161" i="2"/>
  <c r="D161" i="2"/>
  <c r="I177" i="2"/>
  <c r="D177" i="2"/>
  <c r="F204" i="2"/>
  <c r="D204" i="2"/>
  <c r="J231" i="2"/>
  <c r="D231" i="2"/>
  <c r="F239" i="2"/>
  <c r="D239" i="2"/>
  <c r="J247" i="2"/>
  <c r="D247" i="2"/>
  <c r="H9" i="2"/>
  <c r="D9" i="2"/>
  <c r="J17" i="2"/>
  <c r="D17" i="2"/>
  <c r="J25" i="2"/>
  <c r="D25" i="2"/>
  <c r="H33" i="2"/>
  <c r="D33" i="2"/>
  <c r="E41" i="2"/>
  <c r="D41" i="2"/>
  <c r="C49" i="2"/>
  <c r="D49" i="2"/>
  <c r="J57" i="2"/>
  <c r="D57" i="2"/>
  <c r="H65" i="2"/>
  <c r="D65" i="2"/>
  <c r="A72" i="3"/>
  <c r="G72" i="3" s="1"/>
  <c r="D73" i="2"/>
  <c r="H81" i="2"/>
  <c r="D81" i="2"/>
  <c r="H89" i="2"/>
  <c r="D89" i="2"/>
  <c r="G97" i="2"/>
  <c r="D97" i="2"/>
  <c r="E105" i="2"/>
  <c r="D105" i="2"/>
  <c r="A128" i="3"/>
  <c r="E128" i="3" s="1"/>
  <c r="D129" i="2"/>
  <c r="J137" i="2"/>
  <c r="D137" i="2"/>
  <c r="G145" i="2"/>
  <c r="D145" i="2"/>
  <c r="C156" i="2"/>
  <c r="D156" i="2"/>
  <c r="H164" i="2"/>
  <c r="D164" i="2"/>
  <c r="F172" i="2"/>
  <c r="D172" i="2"/>
  <c r="I180" i="2"/>
  <c r="D180" i="2"/>
  <c r="F188" i="2"/>
  <c r="D188" i="2"/>
  <c r="F199" i="2"/>
  <c r="D199" i="2"/>
  <c r="J226" i="2"/>
  <c r="D226" i="2"/>
  <c r="A233" i="3"/>
  <c r="G233" i="3" s="1"/>
  <c r="D234" i="2"/>
  <c r="B242" i="2"/>
  <c r="D242" i="2"/>
  <c r="J250" i="2"/>
  <c r="D250" i="2"/>
  <c r="J254" i="2"/>
  <c r="D254" i="2"/>
  <c r="B258" i="2"/>
  <c r="D258" i="2"/>
  <c r="J286" i="2"/>
  <c r="D286" i="2"/>
  <c r="J290" i="2"/>
  <c r="D290" i="2"/>
  <c r="J302" i="2"/>
  <c r="D302" i="2"/>
  <c r="J310" i="2"/>
  <c r="D310" i="2"/>
  <c r="C12" i="2"/>
  <c r="D12" i="2"/>
  <c r="F20" i="2"/>
  <c r="D20" i="2"/>
  <c r="G36" i="2"/>
  <c r="D36" i="2"/>
  <c r="I44" i="2"/>
  <c r="D44" i="2"/>
  <c r="E52" i="2"/>
  <c r="D52" i="2"/>
  <c r="A67" i="7"/>
  <c r="I67" i="7" s="1"/>
  <c r="D68" i="2"/>
  <c r="C76" i="2"/>
  <c r="D76" i="2"/>
  <c r="B84" i="2"/>
  <c r="D84" i="2"/>
  <c r="B92" i="2"/>
  <c r="D92" i="2"/>
  <c r="H100" i="2"/>
  <c r="D100" i="2"/>
  <c r="I108" i="2"/>
  <c r="D108" i="2"/>
  <c r="I116" i="2"/>
  <c r="D116" i="2"/>
  <c r="I124" i="2"/>
  <c r="D124" i="2"/>
  <c r="A139" i="7"/>
  <c r="C139" i="7" s="1"/>
  <c r="D140" i="2"/>
  <c r="H148" i="2"/>
  <c r="D148" i="2"/>
  <c r="H151" i="2"/>
  <c r="D151" i="2"/>
  <c r="I159" i="2"/>
  <c r="D159" i="2"/>
  <c r="I167" i="2"/>
  <c r="D167" i="2"/>
  <c r="I183" i="2"/>
  <c r="D183" i="2"/>
  <c r="I191" i="2"/>
  <c r="D191" i="2"/>
  <c r="B194" i="2"/>
  <c r="D194" i="2"/>
  <c r="B202" i="2"/>
  <c r="D202" i="2"/>
  <c r="G213" i="2"/>
  <c r="D213" i="2"/>
  <c r="J229" i="2"/>
  <c r="D229" i="2"/>
  <c r="I521" i="7"/>
  <c r="G30" i="4"/>
  <c r="G31" i="4"/>
  <c r="H40" i="4"/>
  <c r="L32" i="4"/>
  <c r="I32" i="4" s="1"/>
  <c r="C40" i="4"/>
  <c r="B26" i="4" s="1"/>
  <c r="D40" i="4"/>
  <c r="G35" i="4"/>
  <c r="E40" i="4"/>
  <c r="L37" i="4"/>
  <c r="I37" i="4" s="1"/>
  <c r="C106" i="4"/>
  <c r="B51" i="4" s="1"/>
  <c r="B18" i="4" s="1" a="1"/>
  <c r="B18" i="4" s="1"/>
  <c r="F40" i="4"/>
  <c r="J56" i="4"/>
  <c r="F556" i="7"/>
  <c r="I510" i="7"/>
  <c r="F607" i="7"/>
  <c r="E611" i="7"/>
  <c r="H607" i="7"/>
  <c r="H611" i="7"/>
  <c r="I551" i="7"/>
  <c r="D557" i="7"/>
  <c r="B523" i="7"/>
  <c r="B607" i="7"/>
  <c r="B611" i="7"/>
  <c r="E607" i="7"/>
  <c r="D611" i="7"/>
  <c r="J484" i="7"/>
  <c r="F507" i="7"/>
  <c r="G559" i="7"/>
  <c r="H526" i="7"/>
  <c r="I526" i="7"/>
  <c r="E640" i="7"/>
  <c r="G611" i="7"/>
  <c r="C478" i="7"/>
  <c r="H507" i="7"/>
  <c r="F545" i="7"/>
  <c r="H478" i="7"/>
  <c r="E490" i="7"/>
  <c r="D565" i="7"/>
  <c r="E583" i="7"/>
  <c r="G633" i="7"/>
  <c r="B653" i="7"/>
  <c r="F659" i="7"/>
  <c r="J478" i="7"/>
  <c r="H653" i="7"/>
  <c r="I499" i="7"/>
  <c r="D506" i="7"/>
  <c r="E566" i="7"/>
  <c r="G573" i="7"/>
  <c r="E584" i="7"/>
  <c r="F606" i="7"/>
  <c r="J479" i="7"/>
  <c r="H506" i="7"/>
  <c r="B510" i="7"/>
  <c r="I573" i="7"/>
  <c r="B507" i="7"/>
  <c r="C574" i="7"/>
  <c r="B594" i="7"/>
  <c r="H623" i="7"/>
  <c r="B637" i="7"/>
  <c r="D643" i="7"/>
  <c r="I574" i="7"/>
  <c r="E638" i="7"/>
  <c r="C497" i="7"/>
  <c r="D510" i="7"/>
  <c r="G609" i="7"/>
  <c r="B623" i="7"/>
  <c r="I497" i="7"/>
  <c r="C623" i="7"/>
  <c r="B486" i="7"/>
  <c r="G504" i="7"/>
  <c r="H542" i="7"/>
  <c r="H548" i="7"/>
  <c r="D554" i="7"/>
  <c r="D602" i="7"/>
  <c r="B612" i="7"/>
  <c r="D623" i="7"/>
  <c r="B640" i="7"/>
  <c r="E651" i="7"/>
  <c r="H655" i="7"/>
  <c r="H504" i="7"/>
  <c r="J612" i="7"/>
  <c r="E623" i="7"/>
  <c r="D640" i="7"/>
  <c r="H651" i="7"/>
  <c r="I656" i="7"/>
  <c r="E478" i="7"/>
  <c r="I538" i="7"/>
  <c r="D556" i="7"/>
  <c r="C637" i="7"/>
  <c r="I640" i="7"/>
  <c r="E608" i="7"/>
  <c r="F611" i="7"/>
  <c r="E622" i="7"/>
  <c r="H372" i="3" a="1"/>
  <c r="H372" i="3" s="1"/>
  <c r="H363" i="3" a="1"/>
  <c r="H363" i="3" s="1"/>
  <c r="I391" i="3" a="1"/>
  <c r="I391" i="3" s="1"/>
  <c r="H393" i="3" a="1"/>
  <c r="H393" i="3" s="1"/>
  <c r="H394" i="3" a="1"/>
  <c r="H394" i="3" s="1"/>
  <c r="I360" i="3" a="1"/>
  <c r="I360" i="3" s="1"/>
  <c r="H373" i="3" a="1"/>
  <c r="H373" i="3" s="1"/>
  <c r="I400" i="3" a="1"/>
  <c r="I400" i="3" s="1"/>
  <c r="I358" i="3" a="1"/>
  <c r="I358" i="3" s="1"/>
  <c r="I385" i="3" a="1"/>
  <c r="I385" i="3" s="1"/>
  <c r="I383" i="3" a="1"/>
  <c r="I383" i="3" s="1"/>
  <c r="I381" i="3" a="1"/>
  <c r="I381" i="3" s="1"/>
  <c r="I374" i="3" a="1"/>
  <c r="I374" i="3" s="1"/>
  <c r="I399" i="3" a="1"/>
  <c r="I399" i="3" s="1"/>
  <c r="I392" i="3" a="1"/>
  <c r="I392" i="3" s="1"/>
  <c r="H389" i="3" a="1"/>
  <c r="H389" i="3" s="1"/>
  <c r="H379" i="3" a="1"/>
  <c r="H379" i="3" s="1"/>
  <c r="I398" i="3" a="1"/>
  <c r="I398" i="3" s="1"/>
  <c r="I387" i="3" a="1"/>
  <c r="I387" i="3" s="1"/>
  <c r="H402" i="3" a="1"/>
  <c r="H402" i="3" s="1"/>
  <c r="I386" i="3" a="1"/>
  <c r="I386" i="3" s="1"/>
  <c r="I382" i="3" a="1"/>
  <c r="I382" i="3" s="1"/>
  <c r="H378" i="3" a="1"/>
  <c r="H378" i="3" s="1"/>
  <c r="H377" i="3" a="1"/>
  <c r="H377" i="3" s="1"/>
  <c r="H397" i="3" a="1"/>
  <c r="H397" i="3" s="1"/>
  <c r="I373" i="3" a="1"/>
  <c r="I373" i="3" s="1"/>
  <c r="I372" i="3" a="1"/>
  <c r="I372" i="3" s="1"/>
  <c r="H398" i="3" a="1"/>
  <c r="H398" i="3" s="1"/>
  <c r="H383" i="3" a="1"/>
  <c r="H383" i="3" s="1"/>
  <c r="H360" i="3" a="1"/>
  <c r="H360" i="3" s="1"/>
  <c r="H399" i="3" a="1"/>
  <c r="H399" i="3" s="1"/>
  <c r="I363" i="3" a="1"/>
  <c r="I363" i="3" s="1"/>
  <c r="H392" i="3" a="1"/>
  <c r="H392" i="3" s="1"/>
  <c r="I353" i="3" a="1"/>
  <c r="I353" i="3" s="1"/>
  <c r="I403" i="3" a="1"/>
  <c r="I403" i="3" s="1"/>
  <c r="H386" i="3" a="1"/>
  <c r="H386" i="3" s="1"/>
  <c r="H382" i="3" a="1"/>
  <c r="H382" i="3" s="1"/>
  <c r="I393" i="3" a="1"/>
  <c r="I393" i="3" s="1"/>
  <c r="H400" i="3" a="1"/>
  <c r="H400" i="3" s="1"/>
  <c r="H387" i="3" a="1"/>
  <c r="H387" i="3" s="1"/>
  <c r="I394" i="3" a="1"/>
  <c r="I394" i="3" s="1"/>
  <c r="I402" i="3" a="1"/>
  <c r="I402" i="3" s="1"/>
  <c r="I378" i="3" a="1"/>
  <c r="I378" i="3" s="1"/>
  <c r="H388" i="3" a="1"/>
  <c r="H388" i="3" s="1"/>
  <c r="I389" i="3" a="1"/>
  <c r="I389" i="3" s="1"/>
  <c r="H395" i="3" a="1"/>
  <c r="H395" i="3" s="1"/>
  <c r="H391" i="3" a="1"/>
  <c r="H391" i="3" s="1"/>
  <c r="H358" i="3" a="1"/>
  <c r="H358" i="3" s="1"/>
  <c r="H385" i="3" a="1"/>
  <c r="H385" i="3" s="1"/>
  <c r="H381" i="3" a="1"/>
  <c r="H381" i="3" s="1"/>
  <c r="H374" i="3" a="1"/>
  <c r="H374" i="3" s="1"/>
  <c r="I377" i="3" a="1"/>
  <c r="I377" i="3" s="1"/>
  <c r="I379" i="3" a="1"/>
  <c r="I379" i="3" s="1"/>
  <c r="I397" i="3" a="1"/>
  <c r="I397" i="3" s="1"/>
  <c r="F497" i="7"/>
  <c r="G506" i="7"/>
  <c r="G507" i="7"/>
  <c r="E510" i="7"/>
  <c r="J521" i="7"/>
  <c r="D525" i="7"/>
  <c r="D528" i="7"/>
  <c r="J538" i="7"/>
  <c r="J551" i="7"/>
  <c r="I557" i="7"/>
  <c r="B580" i="7"/>
  <c r="F583" i="7"/>
  <c r="B586" i="7"/>
  <c r="B592" i="7"/>
  <c r="D596" i="7"/>
  <c r="C600" i="7"/>
  <c r="D607" i="7"/>
  <c r="F608" i="7"/>
  <c r="C611" i="7"/>
  <c r="B625" i="7"/>
  <c r="C640" i="7"/>
  <c r="E643" i="7"/>
  <c r="J653" i="7"/>
  <c r="E525" i="7"/>
  <c r="G528" i="7"/>
  <c r="J557" i="7"/>
  <c r="J580" i="7"/>
  <c r="E586" i="7"/>
  <c r="C592" i="7"/>
  <c r="F596" i="7"/>
  <c r="I600" i="7"/>
  <c r="B490" i="7"/>
  <c r="G494" i="7"/>
  <c r="I506" i="7"/>
  <c r="I507" i="7"/>
  <c r="H528" i="7"/>
  <c r="E550" i="7"/>
  <c r="E552" i="7"/>
  <c r="H562" i="7"/>
  <c r="G576" i="7"/>
  <c r="B584" i="7"/>
  <c r="C609" i="7"/>
  <c r="I632" i="7"/>
  <c r="D490" i="7"/>
  <c r="I528" i="7"/>
  <c r="G552" i="7"/>
  <c r="D584" i="7"/>
  <c r="F609" i="7"/>
  <c r="G478" i="7"/>
  <c r="E482" i="7"/>
  <c r="G490" i="7"/>
  <c r="J499" i="7"/>
  <c r="C507" i="7"/>
  <c r="J523" i="7"/>
  <c r="C542" i="7"/>
  <c r="G551" i="7"/>
  <c r="B557" i="7"/>
  <c r="E574" i="7"/>
  <c r="G578" i="7"/>
  <c r="B583" i="7"/>
  <c r="F584" i="7"/>
  <c r="C599" i="7"/>
  <c r="E602" i="7"/>
  <c r="G606" i="7"/>
  <c r="B608" i="7"/>
  <c r="F629" i="7"/>
  <c r="G482" i="7"/>
  <c r="E507" i="7"/>
  <c r="E542" i="7"/>
  <c r="C557" i="7"/>
  <c r="H574" i="7"/>
  <c r="D583" i="7"/>
  <c r="D599" i="7"/>
  <c r="D608" i="7"/>
  <c r="H629" i="7"/>
  <c r="C653" i="7"/>
  <c r="K170" i="3"/>
  <c r="I535" i="7"/>
  <c r="E544" i="7"/>
  <c r="B547" i="7"/>
  <c r="B591" i="7"/>
  <c r="J515" i="7"/>
  <c r="F543" i="7"/>
  <c r="G563" i="7"/>
  <c r="J567" i="7"/>
  <c r="F587" i="7"/>
  <c r="J588" i="7"/>
  <c r="F591" i="7"/>
  <c r="G595" i="7"/>
  <c r="F647" i="7"/>
  <c r="E656" i="7"/>
  <c r="I661" i="7"/>
  <c r="I503" i="7"/>
  <c r="E481" i="7"/>
  <c r="B484" i="7"/>
  <c r="J487" i="7"/>
  <c r="J494" i="7"/>
  <c r="J503" i="7"/>
  <c r="E506" i="7"/>
  <c r="C510" i="7"/>
  <c r="E521" i="7"/>
  <c r="D526" i="7"/>
  <c r="D542" i="7"/>
  <c r="H543" i="7"/>
  <c r="J545" i="7"/>
  <c r="B554" i="7"/>
  <c r="E562" i="7"/>
  <c r="H563" i="7"/>
  <c r="C566" i="7"/>
  <c r="E573" i="7"/>
  <c r="E578" i="7"/>
  <c r="C583" i="7"/>
  <c r="C584" i="7"/>
  <c r="D586" i="7"/>
  <c r="G587" i="7"/>
  <c r="G591" i="7"/>
  <c r="H595" i="7"/>
  <c r="B606" i="7"/>
  <c r="C607" i="7"/>
  <c r="C608" i="7"/>
  <c r="D609" i="7"/>
  <c r="F625" i="7"/>
  <c r="F638" i="7"/>
  <c r="B643" i="7"/>
  <c r="G647" i="7"/>
  <c r="D655" i="7"/>
  <c r="F656" i="7"/>
  <c r="J661" i="7"/>
  <c r="E526" i="7"/>
  <c r="I543" i="7"/>
  <c r="C554" i="7"/>
  <c r="I563" i="7"/>
  <c r="D566" i="7"/>
  <c r="F573" i="7"/>
  <c r="F578" i="7"/>
  <c r="H587" i="7"/>
  <c r="E606" i="7"/>
  <c r="G638" i="7"/>
  <c r="C643" i="7"/>
  <c r="G655" i="7"/>
  <c r="H656" i="7"/>
  <c r="B615" i="7"/>
  <c r="B624" i="7"/>
  <c r="E627" i="7"/>
  <c r="B641" i="7"/>
  <c r="B647" i="7"/>
  <c r="H482" i="7"/>
  <c r="C492" i="7"/>
  <c r="D496" i="7"/>
  <c r="F503" i="7"/>
  <c r="I504" i="7"/>
  <c r="C515" i="7"/>
  <c r="F519" i="7"/>
  <c r="J535" i="7"/>
  <c r="B543" i="7"/>
  <c r="F544" i="7"/>
  <c r="C547" i="7"/>
  <c r="H552" i="7"/>
  <c r="C563" i="7"/>
  <c r="C567" i="7"/>
  <c r="G570" i="7"/>
  <c r="B579" i="7"/>
  <c r="E582" i="7"/>
  <c r="G583" i="7"/>
  <c r="H584" i="7"/>
  <c r="C587" i="7"/>
  <c r="C588" i="7"/>
  <c r="C591" i="7"/>
  <c r="D592" i="7"/>
  <c r="D595" i="7"/>
  <c r="H596" i="7"/>
  <c r="H599" i="7"/>
  <c r="C604" i="7"/>
  <c r="H606" i="7"/>
  <c r="G607" i="7"/>
  <c r="H608" i="7"/>
  <c r="C615" i="7"/>
  <c r="B619" i="7"/>
  <c r="C624" i="7"/>
  <c r="H627" i="7"/>
  <c r="B635" i="7"/>
  <c r="I637" i="7"/>
  <c r="F641" i="7"/>
  <c r="F643" i="7"/>
  <c r="C647" i="7"/>
  <c r="B656" i="7"/>
  <c r="B657" i="7"/>
  <c r="F661" i="7"/>
  <c r="B503" i="7"/>
  <c r="B587" i="7"/>
  <c r="B604" i="7"/>
  <c r="G496" i="7"/>
  <c r="G503" i="7"/>
  <c r="E515" i="7"/>
  <c r="C543" i="7"/>
  <c r="G544" i="7"/>
  <c r="E547" i="7"/>
  <c r="I552" i="7"/>
  <c r="E563" i="7"/>
  <c r="F567" i="7"/>
  <c r="H583" i="7"/>
  <c r="D587" i="7"/>
  <c r="H588" i="7"/>
  <c r="D591" i="7"/>
  <c r="E592" i="7"/>
  <c r="E595" i="7"/>
  <c r="I596" i="7"/>
  <c r="D604" i="7"/>
  <c r="I606" i="7"/>
  <c r="G615" i="7"/>
  <c r="C619" i="7"/>
  <c r="H624" i="7"/>
  <c r="C635" i="7"/>
  <c r="G643" i="7"/>
  <c r="D647" i="7"/>
  <c r="C656" i="7"/>
  <c r="G661" i="7"/>
  <c r="E489" i="7"/>
  <c r="B515" i="7"/>
  <c r="B588" i="7"/>
  <c r="F563" i="7"/>
  <c r="I567" i="7"/>
  <c r="E587" i="7"/>
  <c r="E591" i="7"/>
  <c r="F595" i="7"/>
  <c r="G619" i="7"/>
  <c r="E632" i="7"/>
  <c r="G635" i="7"/>
  <c r="B638" i="7"/>
  <c r="H643" i="7"/>
  <c r="E647" i="7"/>
  <c r="D656" i="7"/>
  <c r="I56" i="4"/>
  <c r="B7" i="4" s="1" a="1"/>
  <c r="B7" i="4" s="1"/>
  <c r="J55" i="4"/>
  <c r="B16" i="4" a="1"/>
  <c r="B16" i="4" s="1"/>
  <c r="B15" i="4" a="1"/>
  <c r="B15" i="4" s="1"/>
  <c r="J64" i="4"/>
  <c r="J106" i="4" s="1"/>
  <c r="B17" i="4" a="1"/>
  <c r="B17" i="4" s="1"/>
  <c r="D16" i="6"/>
  <c r="D24" i="6"/>
  <c r="J40" i="4"/>
  <c r="L33" i="4"/>
  <c r="I33" i="4" s="1"/>
  <c r="I40" i="4" s="1"/>
  <c r="L38" i="4"/>
  <c r="I38" i="4" s="1"/>
  <c r="R55" i="4"/>
  <c r="R57" i="4"/>
  <c r="R59" i="4"/>
  <c r="R61" i="4"/>
  <c r="D25" i="6"/>
  <c r="G55" i="4"/>
  <c r="B13" i="4" s="1" a="1"/>
  <c r="B13" i="4" s="1"/>
  <c r="D22" i="6"/>
  <c r="D17" i="6"/>
  <c r="D23" i="6"/>
  <c r="R64" i="4"/>
  <c r="K40" i="4"/>
  <c r="C444" i="7"/>
  <c r="G396" i="7"/>
  <c r="E458" i="7"/>
  <c r="E465" i="7"/>
  <c r="J470" i="7"/>
  <c r="J407" i="7"/>
  <c r="J466" i="7"/>
  <c r="D417" i="7"/>
  <c r="G398" i="7"/>
  <c r="C468" i="7"/>
  <c r="C406" i="7"/>
  <c r="F450" i="7"/>
  <c r="C452" i="7"/>
  <c r="J428" i="7"/>
  <c r="E434" i="7"/>
  <c r="G394" i="7"/>
  <c r="B444" i="7"/>
  <c r="E449" i="7"/>
  <c r="J452" i="7"/>
  <c r="C412" i="7"/>
  <c r="C436" i="7"/>
  <c r="D441" i="7"/>
  <c r="B450" i="7"/>
  <c r="B396" i="7"/>
  <c r="G401" i="7"/>
  <c r="B407" i="7"/>
  <c r="J412" i="7"/>
  <c r="D426" i="7"/>
  <c r="D450" i="7"/>
  <c r="H438" i="7"/>
  <c r="F442" i="7"/>
  <c r="C428" i="7"/>
  <c r="B434" i="7"/>
  <c r="J438" i="7"/>
  <c r="E418" i="7"/>
  <c r="C470" i="7"/>
  <c r="D394" i="7"/>
  <c r="D403" i="7"/>
  <c r="H418" i="7"/>
  <c r="B423" i="7"/>
  <c r="G438" i="7"/>
  <c r="E450" i="7"/>
  <c r="C460" i="7"/>
  <c r="G466" i="7"/>
  <c r="E470" i="7"/>
  <c r="F474" i="7"/>
  <c r="J415" i="7"/>
  <c r="E395" i="7"/>
  <c r="C420" i="7"/>
  <c r="D425" i="7"/>
  <c r="D457" i="7"/>
  <c r="B471" i="7"/>
  <c r="B476" i="7"/>
  <c r="J420" i="7"/>
  <c r="J471" i="7"/>
  <c r="C476" i="7"/>
  <c r="I387" i="7"/>
  <c r="I360" i="7"/>
  <c r="E330" i="7"/>
  <c r="J330" i="7"/>
  <c r="F354" i="7"/>
  <c r="D358" i="7"/>
  <c r="C379" i="7"/>
  <c r="G390" i="7"/>
  <c r="C358" i="7"/>
  <c r="B340" i="3"/>
  <c r="G354" i="7"/>
  <c r="H390" i="7"/>
  <c r="J354" i="7"/>
  <c r="J390" i="7"/>
  <c r="G360" i="7"/>
  <c r="H387" i="7"/>
  <c r="J382" i="7"/>
  <c r="F330" i="7"/>
  <c r="H363" i="7"/>
  <c r="C380" i="7"/>
  <c r="F388" i="7"/>
  <c r="D331" i="7"/>
  <c r="H353" i="7"/>
  <c r="D380" i="7"/>
  <c r="H385" i="7"/>
  <c r="I388" i="7"/>
  <c r="E331" i="7"/>
  <c r="I353" i="7"/>
  <c r="C330" i="7"/>
  <c r="F331" i="7"/>
  <c r="C374" i="7"/>
  <c r="C378" i="7"/>
  <c r="G393" i="7"/>
  <c r="D330" i="7"/>
  <c r="H331" i="7"/>
  <c r="F358" i="7"/>
  <c r="E374" i="7"/>
  <c r="F382" i="7"/>
  <c r="C387" i="7"/>
  <c r="G343" i="3"/>
  <c r="C339" i="7"/>
  <c r="I345" i="7"/>
  <c r="G358" i="7"/>
  <c r="D378" i="7"/>
  <c r="C386" i="7"/>
  <c r="E387" i="7"/>
  <c r="J394" i="7"/>
  <c r="H401" i="7"/>
  <c r="B404" i="7"/>
  <c r="E406" i="7"/>
  <c r="C414" i="7"/>
  <c r="J418" i="7"/>
  <c r="C430" i="7"/>
  <c r="F434" i="7"/>
  <c r="J436" i="7"/>
  <c r="J450" i="7"/>
  <c r="B454" i="7"/>
  <c r="B455" i="7"/>
  <c r="F458" i="7"/>
  <c r="J460" i="7"/>
  <c r="J468" i="7"/>
  <c r="F330" i="3"/>
  <c r="G335" i="3"/>
  <c r="B330" i="7"/>
  <c r="F339" i="7"/>
  <c r="H358" i="7"/>
  <c r="H364" i="7"/>
  <c r="G378" i="7"/>
  <c r="D386" i="7"/>
  <c r="F393" i="7"/>
  <c r="C404" i="7"/>
  <c r="F406" i="7"/>
  <c r="E414" i="7"/>
  <c r="G434" i="7"/>
  <c r="C454" i="7"/>
  <c r="J455" i="7"/>
  <c r="G458" i="7"/>
  <c r="B336" i="3"/>
  <c r="H339" i="7"/>
  <c r="J378" i="7"/>
  <c r="E386" i="7"/>
  <c r="D404" i="7"/>
  <c r="J406" i="7"/>
  <c r="F414" i="7"/>
  <c r="H434" i="7"/>
  <c r="E454" i="7"/>
  <c r="H458" i="7"/>
  <c r="C336" i="3"/>
  <c r="B358" i="7"/>
  <c r="B382" i="7"/>
  <c r="F385" i="7"/>
  <c r="F386" i="7"/>
  <c r="H398" i="7"/>
  <c r="G404" i="7"/>
  <c r="G414" i="7"/>
  <c r="J434" i="7"/>
  <c r="F454" i="7"/>
  <c r="J458" i="7"/>
  <c r="B470" i="7"/>
  <c r="E331" i="3"/>
  <c r="D336" i="3"/>
  <c r="B347" i="3"/>
  <c r="C382" i="7"/>
  <c r="G385" i="7"/>
  <c r="G386" i="7"/>
  <c r="H414" i="7"/>
  <c r="G454" i="7"/>
  <c r="H386" i="7"/>
  <c r="H454" i="7"/>
  <c r="I348" i="7"/>
  <c r="C333" i="3"/>
  <c r="D340" i="3"/>
  <c r="H340" i="3" s="1" a="1"/>
  <c r="H340" i="3" s="1"/>
  <c r="E358" i="7"/>
  <c r="E363" i="7"/>
  <c r="J374" i="7"/>
  <c r="I385" i="7"/>
  <c r="B406" i="7"/>
  <c r="C446" i="7"/>
  <c r="F470" i="7"/>
  <c r="D474" i="7"/>
  <c r="B270" i="2"/>
  <c r="J270" i="2"/>
  <c r="A273" i="3"/>
  <c r="D273" i="3" s="1"/>
  <c r="J274" i="2"/>
  <c r="B278" i="2"/>
  <c r="J278" i="2"/>
  <c r="I282" i="2"/>
  <c r="J282" i="2"/>
  <c r="E294" i="2"/>
  <c r="J294" i="2"/>
  <c r="E298" i="2"/>
  <c r="J298" i="2"/>
  <c r="C306" i="2"/>
  <c r="J306" i="2"/>
  <c r="I271" i="2"/>
  <c r="J271" i="2"/>
  <c r="I279" i="2"/>
  <c r="J279" i="2"/>
  <c r="B295" i="2"/>
  <c r="J295" i="2"/>
  <c r="I303" i="2"/>
  <c r="J303" i="2"/>
  <c r="F311" i="2"/>
  <c r="J311" i="2"/>
  <c r="E276" i="2"/>
  <c r="J276" i="2"/>
  <c r="C280" i="2"/>
  <c r="J280" i="2"/>
  <c r="I284" i="2"/>
  <c r="J284" i="2"/>
  <c r="H288" i="2"/>
  <c r="J288" i="2"/>
  <c r="A295" i="7"/>
  <c r="J295" i="7" s="1"/>
  <c r="J296" i="2"/>
  <c r="A299" i="7"/>
  <c r="E299" i="7" s="1"/>
  <c r="J300" i="2"/>
  <c r="B304" i="2"/>
  <c r="J304" i="2"/>
  <c r="A307" i="3"/>
  <c r="E307" i="3" s="1"/>
  <c r="J308" i="2"/>
  <c r="G285" i="2"/>
  <c r="J285" i="2"/>
  <c r="C289" i="2"/>
  <c r="J289" i="2"/>
  <c r="A304" i="3"/>
  <c r="B304" i="3" s="1"/>
  <c r="J305" i="2"/>
  <c r="G269" i="2"/>
  <c r="J269" i="2"/>
  <c r="C335" i="3"/>
  <c r="E336" i="3"/>
  <c r="B339" i="3"/>
  <c r="E340" i="3"/>
  <c r="B343" i="3"/>
  <c r="D335" i="3"/>
  <c r="F336" i="3"/>
  <c r="F340" i="3"/>
  <c r="C343" i="3"/>
  <c r="E335" i="3"/>
  <c r="G336" i="3"/>
  <c r="G340" i="3"/>
  <c r="D343" i="3"/>
  <c r="F335" i="3"/>
  <c r="E343" i="3"/>
  <c r="B335" i="3"/>
  <c r="F333" i="3"/>
  <c r="F343" i="3"/>
  <c r="D331" i="3"/>
  <c r="F331" i="3"/>
  <c r="G331" i="3"/>
  <c r="C431" i="7"/>
  <c r="B431" i="7"/>
  <c r="C447" i="7"/>
  <c r="B447" i="7"/>
  <c r="E505" i="7"/>
  <c r="J505" i="7"/>
  <c r="I505" i="7"/>
  <c r="G505" i="7"/>
  <c r="J350" i="7"/>
  <c r="E372" i="7"/>
  <c r="G372" i="7"/>
  <c r="D372" i="7"/>
  <c r="C372" i="7"/>
  <c r="H391" i="7"/>
  <c r="J391" i="7"/>
  <c r="I391" i="7"/>
  <c r="I402" i="7"/>
  <c r="E402" i="7"/>
  <c r="H402" i="7"/>
  <c r="F402" i="7"/>
  <c r="D402" i="7"/>
  <c r="C463" i="7"/>
  <c r="J463" i="7"/>
  <c r="B463" i="7"/>
  <c r="B498" i="7"/>
  <c r="J498" i="7"/>
  <c r="G498" i="7"/>
  <c r="E498" i="7"/>
  <c r="D498" i="7"/>
  <c r="I384" i="7"/>
  <c r="H384" i="7"/>
  <c r="G333" i="3"/>
  <c r="I332" i="7"/>
  <c r="H332" i="7"/>
  <c r="I354" i="7"/>
  <c r="C354" i="7"/>
  <c r="B354" i="7"/>
  <c r="H360" i="7"/>
  <c r="F363" i="7"/>
  <c r="B372" i="7"/>
  <c r="D374" i="7"/>
  <c r="C377" i="7"/>
  <c r="I377" i="7"/>
  <c r="G377" i="7"/>
  <c r="F377" i="7"/>
  <c r="G379" i="7"/>
  <c r="I379" i="7"/>
  <c r="F379" i="7"/>
  <c r="E379" i="7"/>
  <c r="B402" i="7"/>
  <c r="F522" i="7"/>
  <c r="E522" i="7"/>
  <c r="D522" i="7"/>
  <c r="C522" i="7"/>
  <c r="I522" i="7"/>
  <c r="H522" i="7"/>
  <c r="G522" i="7"/>
  <c r="B522" i="7"/>
  <c r="B571" i="7"/>
  <c r="H571" i="7"/>
  <c r="G571" i="7"/>
  <c r="I330" i="7"/>
  <c r="H330" i="7"/>
  <c r="G331" i="7"/>
  <c r="I331" i="7"/>
  <c r="C332" i="7"/>
  <c r="E340" i="7"/>
  <c r="B350" i="7"/>
  <c r="E354" i="7"/>
  <c r="B365" i="7"/>
  <c r="H372" i="7"/>
  <c r="I378" i="7"/>
  <c r="H378" i="7"/>
  <c r="F378" i="7"/>
  <c r="E378" i="7"/>
  <c r="D379" i="7"/>
  <c r="I382" i="7"/>
  <c r="G382" i="7"/>
  <c r="E382" i="7"/>
  <c r="D382" i="7"/>
  <c r="J384" i="7"/>
  <c r="I390" i="7"/>
  <c r="C390" i="7"/>
  <c r="F390" i="7"/>
  <c r="D390" i="7"/>
  <c r="B390" i="7"/>
  <c r="G395" i="7"/>
  <c r="I395" i="7"/>
  <c r="F395" i="7"/>
  <c r="D395" i="7"/>
  <c r="C395" i="7"/>
  <c r="E397" i="7"/>
  <c r="G402" i="7"/>
  <c r="J431" i="7"/>
  <c r="J447" i="7"/>
  <c r="H520" i="7"/>
  <c r="G520" i="7"/>
  <c r="H553" i="7"/>
  <c r="F553" i="7"/>
  <c r="I553" i="7"/>
  <c r="G553" i="7"/>
  <c r="E553" i="7"/>
  <c r="D553" i="7"/>
  <c r="C553" i="7"/>
  <c r="I410" i="7"/>
  <c r="C410" i="7"/>
  <c r="B410" i="7"/>
  <c r="J410" i="7"/>
  <c r="H410" i="7"/>
  <c r="G410" i="7"/>
  <c r="C350" i="7"/>
  <c r="E364" i="7"/>
  <c r="D364" i="7"/>
  <c r="C364" i="7"/>
  <c r="I372" i="7"/>
  <c r="J402" i="7"/>
  <c r="E410" i="7"/>
  <c r="I422" i="7"/>
  <c r="D422" i="7"/>
  <c r="H422" i="7"/>
  <c r="F422" i="7"/>
  <c r="E422" i="7"/>
  <c r="C422" i="7"/>
  <c r="G532" i="7"/>
  <c r="E532" i="7"/>
  <c r="D532" i="7"/>
  <c r="C532" i="7"/>
  <c r="I532" i="7"/>
  <c r="H532" i="7"/>
  <c r="F532" i="7"/>
  <c r="F345" i="7"/>
  <c r="F350" i="7"/>
  <c r="F353" i="7"/>
  <c r="B364" i="7"/>
  <c r="H367" i="7"/>
  <c r="J373" i="7"/>
  <c r="E373" i="7"/>
  <c r="E380" i="7"/>
  <c r="I380" i="7"/>
  <c r="G380" i="7"/>
  <c r="F380" i="7"/>
  <c r="I398" i="7"/>
  <c r="E398" i="7"/>
  <c r="F398" i="7"/>
  <c r="C398" i="7"/>
  <c r="B398" i="7"/>
  <c r="G403" i="7"/>
  <c r="E403" i="7"/>
  <c r="H403" i="7"/>
  <c r="F403" i="7"/>
  <c r="F410" i="7"/>
  <c r="B422" i="7"/>
  <c r="E433" i="7"/>
  <c r="D433" i="7"/>
  <c r="D330" i="3"/>
  <c r="G339" i="7"/>
  <c r="E339" i="7"/>
  <c r="D339" i="7"/>
  <c r="G345" i="7"/>
  <c r="G353" i="7"/>
  <c r="H354" i="7"/>
  <c r="F364" i="7"/>
  <c r="I367" i="7"/>
  <c r="D373" i="7"/>
  <c r="B380" i="7"/>
  <c r="E388" i="7"/>
  <c r="D388" i="7"/>
  <c r="G388" i="7"/>
  <c r="C388" i="7"/>
  <c r="B388" i="7"/>
  <c r="I394" i="7"/>
  <c r="H394" i="7"/>
  <c r="E394" i="7"/>
  <c r="C394" i="7"/>
  <c r="B394" i="7"/>
  <c r="E396" i="7"/>
  <c r="I396" i="7"/>
  <c r="H396" i="7"/>
  <c r="F396" i="7"/>
  <c r="D396" i="7"/>
  <c r="D398" i="7"/>
  <c r="C403" i="7"/>
  <c r="G422" i="7"/>
  <c r="I426" i="7"/>
  <c r="C426" i="7"/>
  <c r="J426" i="7"/>
  <c r="G426" i="7"/>
  <c r="F426" i="7"/>
  <c r="E426" i="7"/>
  <c r="B426" i="7"/>
  <c r="I442" i="7"/>
  <c r="C442" i="7"/>
  <c r="G442" i="7"/>
  <c r="E442" i="7"/>
  <c r="D442" i="7"/>
  <c r="B442" i="7"/>
  <c r="J442" i="7"/>
  <c r="I462" i="7"/>
  <c r="D462" i="7"/>
  <c r="G462" i="7"/>
  <c r="F462" i="7"/>
  <c r="E462" i="7"/>
  <c r="C462" i="7"/>
  <c r="B462" i="7"/>
  <c r="J462" i="7"/>
  <c r="J534" i="7"/>
  <c r="H534" i="7"/>
  <c r="G534" i="7"/>
  <c r="E534" i="7"/>
  <c r="D534" i="7"/>
  <c r="I350" i="7"/>
  <c r="E350" i="7"/>
  <c r="D350" i="7"/>
  <c r="H345" i="7"/>
  <c r="H350" i="7"/>
  <c r="G363" i="7"/>
  <c r="D363" i="7"/>
  <c r="C363" i="7"/>
  <c r="G364" i="7"/>
  <c r="J367" i="7"/>
  <c r="I374" i="7"/>
  <c r="B374" i="7"/>
  <c r="H374" i="7"/>
  <c r="G374" i="7"/>
  <c r="J422" i="7"/>
  <c r="I430" i="7"/>
  <c r="D430" i="7"/>
  <c r="B430" i="7"/>
  <c r="J430" i="7"/>
  <c r="H430" i="7"/>
  <c r="G430" i="7"/>
  <c r="E430" i="7"/>
  <c r="I446" i="7"/>
  <c r="D446" i="7"/>
  <c r="J446" i="7"/>
  <c r="G446" i="7"/>
  <c r="F446" i="7"/>
  <c r="E446" i="7"/>
  <c r="B446" i="7"/>
  <c r="E512" i="7"/>
  <c r="D512" i="7"/>
  <c r="G533" i="7"/>
  <c r="D575" i="7"/>
  <c r="E575" i="7"/>
  <c r="H575" i="7"/>
  <c r="G575" i="7"/>
  <c r="F575" i="7"/>
  <c r="C575" i="7"/>
  <c r="B575" i="7"/>
  <c r="I575" i="7"/>
  <c r="I466" i="7"/>
  <c r="C466" i="7"/>
  <c r="E474" i="7"/>
  <c r="I486" i="7"/>
  <c r="D486" i="7"/>
  <c r="E486" i="7"/>
  <c r="B487" i="7"/>
  <c r="D495" i="7"/>
  <c r="H495" i="7"/>
  <c r="C495" i="7"/>
  <c r="F496" i="7"/>
  <c r="C512" i="7"/>
  <c r="C525" i="7"/>
  <c r="G537" i="7"/>
  <c r="J537" i="7"/>
  <c r="I537" i="7"/>
  <c r="E537" i="7"/>
  <c r="H565" i="7"/>
  <c r="B565" i="7"/>
  <c r="I565" i="7"/>
  <c r="G565" i="7"/>
  <c r="F565" i="7"/>
  <c r="E565" i="7"/>
  <c r="I418" i="7"/>
  <c r="C418" i="7"/>
  <c r="J423" i="7"/>
  <c r="I438" i="7"/>
  <c r="D438" i="7"/>
  <c r="D466" i="7"/>
  <c r="G474" i="7"/>
  <c r="I482" i="7"/>
  <c r="C482" i="7"/>
  <c r="C486" i="7"/>
  <c r="F495" i="7"/>
  <c r="D511" i="7"/>
  <c r="I511" i="7"/>
  <c r="C511" i="7"/>
  <c r="B511" i="7"/>
  <c r="G527" i="7"/>
  <c r="E527" i="7"/>
  <c r="I549" i="7"/>
  <c r="G549" i="7"/>
  <c r="F549" i="7"/>
  <c r="C549" i="7"/>
  <c r="B549" i="7"/>
  <c r="J605" i="7"/>
  <c r="H605" i="7"/>
  <c r="B605" i="7"/>
  <c r="I605" i="7"/>
  <c r="G605" i="7"/>
  <c r="F605" i="7"/>
  <c r="C605" i="7"/>
  <c r="J386" i="7"/>
  <c r="H404" i="7"/>
  <c r="G406" i="7"/>
  <c r="D409" i="7"/>
  <c r="I414" i="7"/>
  <c r="D414" i="7"/>
  <c r="B418" i="7"/>
  <c r="B438" i="7"/>
  <c r="B439" i="7"/>
  <c r="G450" i="7"/>
  <c r="I458" i="7"/>
  <c r="C458" i="7"/>
  <c r="E466" i="7"/>
  <c r="G470" i="7"/>
  <c r="D473" i="7"/>
  <c r="H474" i="7"/>
  <c r="I478" i="7"/>
  <c r="D478" i="7"/>
  <c r="B482" i="7"/>
  <c r="F486" i="7"/>
  <c r="H490" i="7"/>
  <c r="D494" i="7"/>
  <c r="G495" i="7"/>
  <c r="H497" i="7"/>
  <c r="G497" i="7"/>
  <c r="E497" i="7"/>
  <c r="B501" i="7"/>
  <c r="E511" i="7"/>
  <c r="E516" i="7"/>
  <c r="F524" i="7"/>
  <c r="I524" i="7"/>
  <c r="G524" i="7"/>
  <c r="F525" i="7"/>
  <c r="C527" i="7"/>
  <c r="J549" i="7"/>
  <c r="C558" i="7"/>
  <c r="J558" i="7"/>
  <c r="I558" i="7"/>
  <c r="H558" i="7"/>
  <c r="D558" i="7"/>
  <c r="B593" i="7"/>
  <c r="G593" i="7"/>
  <c r="J358" i="7"/>
  <c r="B386" i="7"/>
  <c r="G387" i="7"/>
  <c r="D387" i="7"/>
  <c r="C401" i="7"/>
  <c r="F401" i="7"/>
  <c r="B414" i="7"/>
  <c r="B415" i="7"/>
  <c r="D418" i="7"/>
  <c r="I434" i="7"/>
  <c r="C434" i="7"/>
  <c r="C438" i="7"/>
  <c r="J439" i="7"/>
  <c r="I454" i="7"/>
  <c r="D454" i="7"/>
  <c r="B458" i="7"/>
  <c r="F466" i="7"/>
  <c r="B478" i="7"/>
  <c r="B479" i="7"/>
  <c r="D482" i="7"/>
  <c r="G486" i="7"/>
  <c r="E494" i="7"/>
  <c r="I495" i="7"/>
  <c r="B497" i="7"/>
  <c r="F511" i="7"/>
  <c r="F521" i="7"/>
  <c r="D521" i="7"/>
  <c r="C521" i="7"/>
  <c r="C524" i="7"/>
  <c r="J525" i="7"/>
  <c r="H527" i="7"/>
  <c r="J550" i="7"/>
  <c r="I550" i="7"/>
  <c r="H550" i="7"/>
  <c r="I568" i="7"/>
  <c r="H568" i="7"/>
  <c r="E568" i="7"/>
  <c r="I474" i="7"/>
  <c r="C474" i="7"/>
  <c r="H496" i="7"/>
  <c r="E496" i="7"/>
  <c r="F529" i="7"/>
  <c r="J529" i="7"/>
  <c r="H533" i="7"/>
  <c r="F533" i="7"/>
  <c r="E533" i="7"/>
  <c r="D533" i="7"/>
  <c r="C533" i="7"/>
  <c r="C393" i="7"/>
  <c r="I393" i="7"/>
  <c r="E404" i="7"/>
  <c r="F404" i="7"/>
  <c r="I406" i="7"/>
  <c r="D406" i="7"/>
  <c r="F418" i="7"/>
  <c r="F438" i="7"/>
  <c r="I450" i="7"/>
  <c r="C450" i="7"/>
  <c r="H466" i="7"/>
  <c r="I470" i="7"/>
  <c r="D470" i="7"/>
  <c r="B474" i="7"/>
  <c r="F482" i="7"/>
  <c r="J486" i="7"/>
  <c r="I490" i="7"/>
  <c r="C490" i="7"/>
  <c r="F490" i="7"/>
  <c r="I494" i="7"/>
  <c r="C496" i="7"/>
  <c r="H511" i="7"/>
  <c r="H519" i="7"/>
  <c r="E519" i="7"/>
  <c r="B519" i="7"/>
  <c r="F523" i="7"/>
  <c r="G523" i="7"/>
  <c r="E523" i="7"/>
  <c r="E524" i="7"/>
  <c r="J527" i="7"/>
  <c r="I529" i="7"/>
  <c r="B533" i="7"/>
  <c r="E540" i="7"/>
  <c r="G540" i="7"/>
  <c r="F540" i="7"/>
  <c r="C564" i="7"/>
  <c r="I564" i="7"/>
  <c r="H564" i="7"/>
  <c r="G564" i="7"/>
  <c r="F564" i="7"/>
  <c r="E564" i="7"/>
  <c r="I579" i="7"/>
  <c r="E579" i="7"/>
  <c r="D579" i="7"/>
  <c r="F601" i="7"/>
  <c r="H601" i="7"/>
  <c r="G601" i="7"/>
  <c r="I603" i="7"/>
  <c r="F603" i="7"/>
  <c r="H603" i="7"/>
  <c r="G603" i="7"/>
  <c r="B614" i="7"/>
  <c r="J614" i="7"/>
  <c r="F614" i="7"/>
  <c r="E614" i="7"/>
  <c r="C601" i="7"/>
  <c r="B603" i="7"/>
  <c r="G614" i="7"/>
  <c r="C617" i="7"/>
  <c r="H617" i="7"/>
  <c r="D617" i="7"/>
  <c r="E554" i="7"/>
  <c r="G566" i="7"/>
  <c r="F579" i="7"/>
  <c r="I586" i="7"/>
  <c r="H597" i="7"/>
  <c r="J597" i="7"/>
  <c r="I597" i="7"/>
  <c r="G600" i="7"/>
  <c r="D600" i="7"/>
  <c r="F600" i="7"/>
  <c r="E600" i="7"/>
  <c r="J601" i="7"/>
  <c r="D603" i="7"/>
  <c r="J617" i="7"/>
  <c r="I626" i="7"/>
  <c r="G626" i="7"/>
  <c r="F504" i="7"/>
  <c r="C506" i="7"/>
  <c r="C526" i="7"/>
  <c r="D543" i="7"/>
  <c r="G543" i="7"/>
  <c r="D552" i="7"/>
  <c r="H554" i="7"/>
  <c r="J566" i="7"/>
  <c r="F574" i="7"/>
  <c r="D574" i="7"/>
  <c r="G579" i="7"/>
  <c r="G592" i="7"/>
  <c r="I592" i="7"/>
  <c r="H592" i="7"/>
  <c r="B600" i="7"/>
  <c r="G602" i="7"/>
  <c r="J602" i="7"/>
  <c r="I602" i="7"/>
  <c r="E603" i="7"/>
  <c r="J626" i="7"/>
  <c r="J636" i="7"/>
  <c r="C636" i="7"/>
  <c r="B636" i="7"/>
  <c r="I636" i="7"/>
  <c r="F636" i="7"/>
  <c r="D636" i="7"/>
  <c r="H579" i="7"/>
  <c r="I599" i="7"/>
  <c r="E599" i="7"/>
  <c r="G599" i="7"/>
  <c r="F599" i="7"/>
  <c r="J603" i="7"/>
  <c r="J645" i="7"/>
  <c r="G645" i="7"/>
  <c r="F645" i="7"/>
  <c r="C645" i="7"/>
  <c r="B645" i="7"/>
  <c r="F542" i="7"/>
  <c r="G542" i="7"/>
  <c r="J579" i="7"/>
  <c r="B599" i="7"/>
  <c r="G616" i="7"/>
  <c r="C616" i="7"/>
  <c r="I616" i="7"/>
  <c r="H616" i="7"/>
  <c r="E616" i="7"/>
  <c r="D616" i="7"/>
  <c r="I631" i="7"/>
  <c r="C631" i="7"/>
  <c r="B631" i="7"/>
  <c r="H631" i="7"/>
  <c r="G631" i="7"/>
  <c r="E631" i="7"/>
  <c r="D631" i="7"/>
  <c r="E634" i="7"/>
  <c r="D634" i="7"/>
  <c r="J634" i="7"/>
  <c r="G634" i="7"/>
  <c r="F634" i="7"/>
  <c r="G648" i="7"/>
  <c r="F648" i="7"/>
  <c r="E648" i="7"/>
  <c r="D648" i="7"/>
  <c r="C648" i="7"/>
  <c r="B648" i="7"/>
  <c r="I648" i="7"/>
  <c r="H648" i="7"/>
  <c r="F554" i="7"/>
  <c r="G554" i="7"/>
  <c r="D580" i="7"/>
  <c r="C580" i="7"/>
  <c r="B616" i="7"/>
  <c r="F631" i="7"/>
  <c r="I634" i="7"/>
  <c r="I639" i="7"/>
  <c r="F639" i="7"/>
  <c r="E639" i="7"/>
  <c r="D639" i="7"/>
  <c r="C639" i="7"/>
  <c r="B639" i="7"/>
  <c r="H639" i="7"/>
  <c r="G639" i="7"/>
  <c r="J649" i="7"/>
  <c r="H649" i="7"/>
  <c r="J583" i="7"/>
  <c r="I584" i="7"/>
  <c r="J587" i="7"/>
  <c r="H591" i="7"/>
  <c r="B595" i="7"/>
  <c r="H604" i="7"/>
  <c r="J607" i="7"/>
  <c r="I608" i="7"/>
  <c r="J611" i="7"/>
  <c r="E615" i="7"/>
  <c r="E619" i="7"/>
  <c r="F623" i="7"/>
  <c r="E624" i="7"/>
  <c r="H625" i="7"/>
  <c r="C627" i="7"/>
  <c r="C632" i="7"/>
  <c r="D633" i="7"/>
  <c r="E635" i="7"/>
  <c r="G637" i="7"/>
  <c r="H638" i="7"/>
  <c r="F640" i="7"/>
  <c r="J643" i="7"/>
  <c r="H647" i="7"/>
  <c r="C651" i="7"/>
  <c r="B655" i="7"/>
  <c r="D659" i="7"/>
  <c r="J591" i="7"/>
  <c r="C595" i="7"/>
  <c r="I604" i="7"/>
  <c r="F615" i="7"/>
  <c r="F619" i="7"/>
  <c r="G623" i="7"/>
  <c r="F624" i="7"/>
  <c r="J625" i="7"/>
  <c r="D627" i="7"/>
  <c r="D632" i="7"/>
  <c r="F633" i="7"/>
  <c r="F635" i="7"/>
  <c r="H637" i="7"/>
  <c r="I638" i="7"/>
  <c r="H640" i="7"/>
  <c r="J647" i="7"/>
  <c r="D651" i="7"/>
  <c r="C655" i="7"/>
  <c r="E659" i="7"/>
  <c r="H615" i="7"/>
  <c r="H619" i="7"/>
  <c r="J623" i="7"/>
  <c r="I624" i="7"/>
  <c r="F627" i="7"/>
  <c r="F632" i="7"/>
  <c r="H633" i="7"/>
  <c r="H635" i="7"/>
  <c r="F651" i="7"/>
  <c r="E655" i="7"/>
  <c r="G659" i="7"/>
  <c r="J615" i="7"/>
  <c r="J619" i="7"/>
  <c r="G627" i="7"/>
  <c r="H632" i="7"/>
  <c r="J633" i="7"/>
  <c r="J635" i="7"/>
  <c r="G651" i="7"/>
  <c r="F655" i="7"/>
  <c r="H659" i="7"/>
  <c r="J659" i="7"/>
  <c r="J627" i="7"/>
  <c r="J651" i="7"/>
  <c r="B659" i="7"/>
  <c r="J595" i="7"/>
  <c r="F604" i="7"/>
  <c r="D615" i="7"/>
  <c r="D619" i="7"/>
  <c r="D624" i="7"/>
  <c r="B627" i="7"/>
  <c r="B632" i="7"/>
  <c r="D635" i="7"/>
  <c r="F637" i="7"/>
  <c r="B651" i="7"/>
  <c r="J655" i="7"/>
  <c r="C659" i="7"/>
  <c r="I134" i="2"/>
  <c r="E134" i="2"/>
  <c r="B294" i="2"/>
  <c r="I6" i="2"/>
  <c r="H45" i="2"/>
  <c r="I190" i="2"/>
  <c r="F216" i="2"/>
  <c r="H226" i="2"/>
  <c r="C247" i="2"/>
  <c r="E252" i="2"/>
  <c r="H256" i="2"/>
  <c r="B279" i="2"/>
  <c r="G216" i="2"/>
  <c r="E247" i="2"/>
  <c r="F276" i="2"/>
  <c r="B69" i="2"/>
  <c r="G148" i="2"/>
  <c r="F212" i="2"/>
  <c r="J51" i="2"/>
  <c r="H212" i="2"/>
  <c r="F10" i="2"/>
  <c r="J10" i="2"/>
  <c r="G96" i="2"/>
  <c r="H124" i="2"/>
  <c r="G172" i="2"/>
  <c r="E182" i="2"/>
  <c r="I9" i="2"/>
  <c r="H172" i="2"/>
  <c r="F182" i="2"/>
  <c r="F246" i="2"/>
  <c r="E284" i="2"/>
  <c r="E303" i="2"/>
  <c r="G104" i="2"/>
  <c r="I152" i="2"/>
  <c r="I246" i="2"/>
  <c r="J104" i="2"/>
  <c r="B140" i="2"/>
  <c r="J152" i="2"/>
  <c r="G140" i="2"/>
  <c r="E6" i="2"/>
  <c r="B10" i="2"/>
  <c r="G38" i="2"/>
  <c r="H140" i="2"/>
  <c r="E183" i="2"/>
  <c r="G329" i="7"/>
  <c r="F6" i="2"/>
  <c r="E10" i="2"/>
  <c r="I38" i="2"/>
  <c r="H183" i="2"/>
  <c r="I59" i="2"/>
  <c r="H75" i="2"/>
  <c r="C26" i="2"/>
  <c r="I74" i="2"/>
  <c r="E78" i="2"/>
  <c r="I157" i="2"/>
  <c r="E238" i="2"/>
  <c r="C249" i="2"/>
  <c r="A74" i="3"/>
  <c r="D74" i="3" s="1"/>
  <c r="J24" i="2"/>
  <c r="E26" i="2"/>
  <c r="E124" i="2"/>
  <c r="E148" i="2"/>
  <c r="H200" i="2"/>
  <c r="E226" i="2"/>
  <c r="I247" i="2"/>
  <c r="B252" i="2"/>
  <c r="I280" i="2"/>
  <c r="G17" i="2"/>
  <c r="I148" i="2"/>
  <c r="H203" i="2"/>
  <c r="E213" i="2"/>
  <c r="C217" i="2"/>
  <c r="E234" i="2"/>
  <c r="J26" i="2"/>
  <c r="F59" i="2"/>
  <c r="B66" i="2"/>
  <c r="J73" i="2"/>
  <c r="F75" i="2"/>
  <c r="E97" i="2"/>
  <c r="I176" i="2"/>
  <c r="E178" i="2"/>
  <c r="J184" i="2"/>
  <c r="H199" i="2"/>
  <c r="E217" i="2"/>
  <c r="C268" i="2"/>
  <c r="G59" i="2"/>
  <c r="G66" i="2"/>
  <c r="G75" i="2"/>
  <c r="J123" i="2"/>
  <c r="J176" i="2"/>
  <c r="F178" i="2"/>
  <c r="I199" i="2"/>
  <c r="I217" i="2"/>
  <c r="G261" i="2"/>
  <c r="G268" i="2"/>
  <c r="B306" i="2"/>
  <c r="C68" i="2"/>
  <c r="H125" i="2"/>
  <c r="B171" i="2"/>
  <c r="I10" i="2"/>
  <c r="H17" i="2"/>
  <c r="J59" i="2"/>
  <c r="I66" i="2"/>
  <c r="E68" i="2"/>
  <c r="I125" i="2"/>
  <c r="C151" i="2"/>
  <c r="B167" i="2"/>
  <c r="G171" i="2"/>
  <c r="B181" i="2"/>
  <c r="E220" i="2"/>
  <c r="C222" i="2"/>
  <c r="F238" i="2"/>
  <c r="E249" i="2"/>
  <c r="F264" i="2"/>
  <c r="B269" i="2"/>
  <c r="G276" i="2"/>
  <c r="G284" i="2"/>
  <c r="C311" i="2"/>
  <c r="A219" i="3"/>
  <c r="F219" i="3" s="1"/>
  <c r="I17" i="2"/>
  <c r="H68" i="2"/>
  <c r="I151" i="2"/>
  <c r="E167" i="2"/>
  <c r="I171" i="2"/>
  <c r="F181" i="2"/>
  <c r="F220" i="2"/>
  <c r="I222" i="2"/>
  <c r="G264" i="2"/>
  <c r="G311" i="2"/>
  <c r="J37" i="2"/>
  <c r="I68" i="2"/>
  <c r="F86" i="2"/>
  <c r="F92" i="2"/>
  <c r="G158" i="2"/>
  <c r="H167" i="2"/>
  <c r="C173" i="2"/>
  <c r="J181" i="2"/>
  <c r="I200" i="2"/>
  <c r="E204" i="2"/>
  <c r="B209" i="2"/>
  <c r="H234" i="2"/>
  <c r="G241" i="2"/>
  <c r="F248" i="2"/>
  <c r="C252" i="2"/>
  <c r="H264" i="2"/>
  <c r="F303" i="2"/>
  <c r="F306" i="2"/>
  <c r="I311" i="2"/>
  <c r="A67" i="3"/>
  <c r="G67" i="3" s="1"/>
  <c r="A267" i="3"/>
  <c r="E267" i="3" s="1"/>
  <c r="G20" i="2"/>
  <c r="I22" i="2"/>
  <c r="H24" i="2"/>
  <c r="E73" i="2"/>
  <c r="H86" i="2"/>
  <c r="I88" i="2"/>
  <c r="H92" i="2"/>
  <c r="F108" i="2"/>
  <c r="I115" i="2"/>
  <c r="I158" i="2"/>
  <c r="G204" i="2"/>
  <c r="H241" i="2"/>
  <c r="G248" i="2"/>
  <c r="G306" i="2"/>
  <c r="A260" i="3"/>
  <c r="B260" i="3" s="1"/>
  <c r="H20" i="2"/>
  <c r="J22" i="2"/>
  <c r="I24" i="2"/>
  <c r="B26" i="2"/>
  <c r="C59" i="2"/>
  <c r="F73" i="2"/>
  <c r="J88" i="2"/>
  <c r="I92" i="2"/>
  <c r="H108" i="2"/>
  <c r="I126" i="2"/>
  <c r="C148" i="2"/>
  <c r="J158" i="2"/>
  <c r="C176" i="2"/>
  <c r="B190" i="2"/>
  <c r="F203" i="2"/>
  <c r="C212" i="2"/>
  <c r="I241" i="2"/>
  <c r="I252" i="2"/>
  <c r="C256" i="2"/>
  <c r="E280" i="2"/>
  <c r="H306" i="2"/>
  <c r="J199" i="2"/>
  <c r="G203" i="2"/>
  <c r="E212" i="2"/>
  <c r="H217" i="2"/>
  <c r="I233" i="2"/>
  <c r="E246" i="2"/>
  <c r="F247" i="2"/>
  <c r="G256" i="2"/>
  <c r="H268" i="2"/>
  <c r="I278" i="2"/>
  <c r="G280" i="2"/>
  <c r="I306" i="2"/>
  <c r="A268" i="3"/>
  <c r="B268" i="3" s="1"/>
  <c r="E329" i="7"/>
  <c r="E5" i="2"/>
  <c r="B19" i="2"/>
  <c r="B116" i="2"/>
  <c r="I52" i="2"/>
  <c r="E89" i="2"/>
  <c r="F235" i="2"/>
  <c r="F5" i="2"/>
  <c r="I20" i="2"/>
  <c r="F25" i="2"/>
  <c r="B30" i="2"/>
  <c r="H31" i="2"/>
  <c r="E44" i="2"/>
  <c r="J66" i="2"/>
  <c r="F81" i="2"/>
  <c r="B87" i="2"/>
  <c r="F89" i="2"/>
  <c r="F116" i="2"/>
  <c r="J125" i="2"/>
  <c r="H129" i="2"/>
  <c r="C137" i="2"/>
  <c r="E138" i="2"/>
  <c r="I140" i="2"/>
  <c r="E142" i="2"/>
  <c r="F159" i="2"/>
  <c r="F161" i="2"/>
  <c r="F174" i="2"/>
  <c r="B177" i="2"/>
  <c r="B179" i="2"/>
  <c r="F180" i="2"/>
  <c r="G182" i="2"/>
  <c r="C187" i="2"/>
  <c r="E188" i="2"/>
  <c r="F198" i="2"/>
  <c r="J200" i="2"/>
  <c r="J204" i="2"/>
  <c r="G206" i="2"/>
  <c r="B225" i="2"/>
  <c r="B232" i="2"/>
  <c r="B233" i="2"/>
  <c r="B239" i="2"/>
  <c r="G240" i="2"/>
  <c r="C260" i="2"/>
  <c r="I268" i="2"/>
  <c r="H276" i="2"/>
  <c r="G303" i="2"/>
  <c r="I307" i="2"/>
  <c r="A198" i="3"/>
  <c r="F198" i="3" s="1"/>
  <c r="A205" i="3"/>
  <c r="G205" i="3" s="1"/>
  <c r="E31" i="2"/>
  <c r="J65" i="2"/>
  <c r="C180" i="2"/>
  <c r="B188" i="2"/>
  <c r="E206" i="2"/>
  <c r="F240" i="2"/>
  <c r="H5" i="2"/>
  <c r="J16" i="2"/>
  <c r="H25" i="2"/>
  <c r="G26" i="2"/>
  <c r="F30" i="2"/>
  <c r="I36" i="2"/>
  <c r="G44" i="2"/>
  <c r="B68" i="2"/>
  <c r="C73" i="2"/>
  <c r="I75" i="2"/>
  <c r="H79" i="2"/>
  <c r="C87" i="2"/>
  <c r="G88" i="2"/>
  <c r="G89" i="2"/>
  <c r="C108" i="2"/>
  <c r="H116" i="2"/>
  <c r="H131" i="2"/>
  <c r="E137" i="2"/>
  <c r="G138" i="2"/>
  <c r="G142" i="2"/>
  <c r="G161" i="2"/>
  <c r="J171" i="2"/>
  <c r="G174" i="2"/>
  <c r="E177" i="2"/>
  <c r="B178" i="2"/>
  <c r="H179" i="2"/>
  <c r="G180" i="2"/>
  <c r="H182" i="2"/>
  <c r="G187" i="2"/>
  <c r="G188" i="2"/>
  <c r="H206" i="2"/>
  <c r="G212" i="2"/>
  <c r="C216" i="2"/>
  <c r="B217" i="2"/>
  <c r="C220" i="2"/>
  <c r="C225" i="2"/>
  <c r="C226" i="2"/>
  <c r="G232" i="2"/>
  <c r="C233" i="2"/>
  <c r="C238" i="2"/>
  <c r="E239" i="2"/>
  <c r="I240" i="2"/>
  <c r="C246" i="2"/>
  <c r="B248" i="2"/>
  <c r="B249" i="2"/>
  <c r="F252" i="2"/>
  <c r="F260" i="2"/>
  <c r="I264" i="2"/>
  <c r="C284" i="2"/>
  <c r="H303" i="2"/>
  <c r="A31" i="3"/>
  <c r="F31" i="3" s="1"/>
  <c r="A93" i="3"/>
  <c r="C93" i="3" s="1"/>
  <c r="A224" i="3"/>
  <c r="E224" i="3" s="1"/>
  <c r="D329" i="7"/>
  <c r="I5" i="2"/>
  <c r="I25" i="2"/>
  <c r="G30" i="2"/>
  <c r="E87" i="2"/>
  <c r="G137" i="2"/>
  <c r="I138" i="2"/>
  <c r="I174" i="2"/>
  <c r="F177" i="2"/>
  <c r="I179" i="2"/>
  <c r="H180" i="2"/>
  <c r="I182" i="2"/>
  <c r="H187" i="2"/>
  <c r="I188" i="2"/>
  <c r="F225" i="2"/>
  <c r="H232" i="2"/>
  <c r="E233" i="2"/>
  <c r="I239" i="2"/>
  <c r="J240" i="2"/>
  <c r="G260" i="2"/>
  <c r="A232" i="3"/>
  <c r="F232" i="3" s="1"/>
  <c r="G177" i="2"/>
  <c r="J179" i="2"/>
  <c r="J187" i="2"/>
  <c r="J188" i="2"/>
  <c r="G225" i="2"/>
  <c r="I260" i="2"/>
  <c r="C193" i="2"/>
  <c r="A192" i="7"/>
  <c r="B192" i="7" s="1"/>
  <c r="F87" i="2"/>
  <c r="H137" i="2"/>
  <c r="I232" i="2"/>
  <c r="F233" i="2"/>
  <c r="J239" i="2"/>
  <c r="G9" i="2"/>
  <c r="B20" i="2"/>
  <c r="H21" i="2"/>
  <c r="H32" i="2"/>
  <c r="C66" i="2"/>
  <c r="H67" i="2"/>
  <c r="F68" i="2"/>
  <c r="G73" i="2"/>
  <c r="H78" i="2"/>
  <c r="H87" i="2"/>
  <c r="J93" i="2"/>
  <c r="B125" i="2"/>
  <c r="F126" i="2"/>
  <c r="C130" i="2"/>
  <c r="G134" i="2"/>
  <c r="E140" i="2"/>
  <c r="G151" i="2"/>
  <c r="C157" i="2"/>
  <c r="J173" i="2"/>
  <c r="H177" i="2"/>
  <c r="J178" i="2"/>
  <c r="B182" i="2"/>
  <c r="F184" i="2"/>
  <c r="B200" i="2"/>
  <c r="E201" i="2"/>
  <c r="B204" i="2"/>
  <c r="H216" i="2"/>
  <c r="F217" i="2"/>
  <c r="F222" i="2"/>
  <c r="H225" i="2"/>
  <c r="I226" i="2"/>
  <c r="G233" i="2"/>
  <c r="H238" i="2"/>
  <c r="G246" i="2"/>
  <c r="H248" i="2"/>
  <c r="G249" i="2"/>
  <c r="E256" i="2"/>
  <c r="E268" i="2"/>
  <c r="C276" i="2"/>
  <c r="H284" i="2"/>
  <c r="E308" i="2"/>
  <c r="E311" i="2"/>
  <c r="A9" i="3"/>
  <c r="C9" i="3" s="1"/>
  <c r="A310" i="3"/>
  <c r="G310" i="3" s="1"/>
  <c r="F17" i="2"/>
  <c r="H37" i="2"/>
  <c r="J67" i="2"/>
  <c r="G68" i="2"/>
  <c r="I72" i="2"/>
  <c r="H73" i="2"/>
  <c r="F125" i="2"/>
  <c r="H134" i="2"/>
  <c r="F140" i="2"/>
  <c r="E157" i="2"/>
  <c r="B199" i="2"/>
  <c r="G200" i="2"/>
  <c r="J201" i="2"/>
  <c r="C203" i="2"/>
  <c r="C204" i="2"/>
  <c r="I216" i="2"/>
  <c r="G217" i="2"/>
  <c r="H233" i="2"/>
  <c r="J248" i="2"/>
  <c r="F256" i="2"/>
  <c r="F268" i="2"/>
  <c r="A211" i="3"/>
  <c r="C211" i="3" s="1"/>
  <c r="A16" i="7"/>
  <c r="F16" i="7" s="1"/>
  <c r="C300" i="2"/>
  <c r="E300" i="2"/>
  <c r="G300" i="2"/>
  <c r="H300" i="2"/>
  <c r="I300" i="2"/>
  <c r="F300" i="2"/>
  <c r="C298" i="2"/>
  <c r="B329" i="7"/>
  <c r="C329" i="7"/>
  <c r="E329" i="3"/>
  <c r="F329" i="7"/>
  <c r="D19" i="6"/>
  <c r="D26" i="6"/>
  <c r="D20" i="6"/>
  <c r="D27" i="6"/>
  <c r="D21" i="6"/>
  <c r="D28" i="6"/>
  <c r="D18" i="6"/>
  <c r="F312" i="7"/>
  <c r="B312" i="3"/>
  <c r="B313" i="3"/>
  <c r="F327" i="3"/>
  <c r="G312" i="7"/>
  <c r="F324" i="7"/>
  <c r="C312" i="3"/>
  <c r="I312" i="3" s="1" a="1"/>
  <c r="I312" i="3" s="1"/>
  <c r="D313" i="3"/>
  <c r="H313" i="3" s="1" a="1"/>
  <c r="H313" i="3" s="1"/>
  <c r="G317" i="3"/>
  <c r="G327" i="3"/>
  <c r="H312" i="7"/>
  <c r="C317" i="7"/>
  <c r="G324" i="7"/>
  <c r="D311" i="3"/>
  <c r="E312" i="3"/>
  <c r="E313" i="3"/>
  <c r="E326" i="3"/>
  <c r="D317" i="7"/>
  <c r="F311" i="3"/>
  <c r="F312" i="3"/>
  <c r="F313" i="3"/>
  <c r="F326" i="3"/>
  <c r="D329" i="3"/>
  <c r="H314" i="7"/>
  <c r="F317" i="7"/>
  <c r="J329" i="7"/>
  <c r="G312" i="3"/>
  <c r="G313" i="3"/>
  <c r="G317" i="7"/>
  <c r="F329" i="3"/>
  <c r="H322" i="7"/>
  <c r="G344" i="3"/>
  <c r="F344" i="3"/>
  <c r="E344" i="3"/>
  <c r="C344" i="3"/>
  <c r="D344" i="3"/>
  <c r="E336" i="7"/>
  <c r="F336" i="7"/>
  <c r="D336" i="7"/>
  <c r="C336" i="7"/>
  <c r="B336" i="7"/>
  <c r="J336" i="7"/>
  <c r="E400" i="7"/>
  <c r="F400" i="7"/>
  <c r="C400" i="7"/>
  <c r="D400" i="7"/>
  <c r="B400" i="7"/>
  <c r="J400" i="7"/>
  <c r="E416" i="7"/>
  <c r="D416" i="7"/>
  <c r="I416" i="7"/>
  <c r="G416" i="7"/>
  <c r="F416" i="7"/>
  <c r="H416" i="7"/>
  <c r="J416" i="7"/>
  <c r="C416" i="7"/>
  <c r="B416" i="7"/>
  <c r="E432" i="7"/>
  <c r="D432" i="7"/>
  <c r="I432" i="7"/>
  <c r="G432" i="7"/>
  <c r="F432" i="7"/>
  <c r="H432" i="7"/>
  <c r="J432" i="7"/>
  <c r="B432" i="7"/>
  <c r="C432" i="7"/>
  <c r="E448" i="7"/>
  <c r="D448" i="7"/>
  <c r="I448" i="7"/>
  <c r="G448" i="7"/>
  <c r="F448" i="7"/>
  <c r="H448" i="7"/>
  <c r="B448" i="7"/>
  <c r="J448" i="7"/>
  <c r="C448" i="7"/>
  <c r="E464" i="7"/>
  <c r="D464" i="7"/>
  <c r="I464" i="7"/>
  <c r="G464" i="7"/>
  <c r="H464" i="7"/>
  <c r="F464" i="7"/>
  <c r="J464" i="7"/>
  <c r="C464" i="7"/>
  <c r="B464" i="7"/>
  <c r="E480" i="7"/>
  <c r="D480" i="7"/>
  <c r="I480" i="7"/>
  <c r="G480" i="7"/>
  <c r="F480" i="7"/>
  <c r="H480" i="7"/>
  <c r="B480" i="7"/>
  <c r="J480" i="7"/>
  <c r="C480" i="7"/>
  <c r="B344" i="3"/>
  <c r="E311" i="7"/>
  <c r="G311" i="7"/>
  <c r="H311" i="7"/>
  <c r="G336" i="7"/>
  <c r="C341" i="7"/>
  <c r="I341" i="7"/>
  <c r="H341" i="7"/>
  <c r="G341" i="7"/>
  <c r="F341" i="7"/>
  <c r="J341" i="7"/>
  <c r="D341" i="7"/>
  <c r="E341" i="7"/>
  <c r="H541" i="7"/>
  <c r="C541" i="7"/>
  <c r="B541" i="7"/>
  <c r="J541" i="7"/>
  <c r="G541" i="7"/>
  <c r="E541" i="7"/>
  <c r="F541" i="7"/>
  <c r="D541" i="7"/>
  <c r="I541" i="7"/>
  <c r="F311" i="7"/>
  <c r="H336" i="7"/>
  <c r="B341" i="7"/>
  <c r="H400" i="7"/>
  <c r="C413" i="7"/>
  <c r="J413" i="7"/>
  <c r="B413" i="7"/>
  <c r="I413" i="7"/>
  <c r="H413" i="7"/>
  <c r="G413" i="7"/>
  <c r="F413" i="7"/>
  <c r="D413" i="7"/>
  <c r="E413" i="7"/>
  <c r="C421" i="7"/>
  <c r="J421" i="7"/>
  <c r="B421" i="7"/>
  <c r="I421" i="7"/>
  <c r="H421" i="7"/>
  <c r="G421" i="7"/>
  <c r="F421" i="7"/>
  <c r="D421" i="7"/>
  <c r="E421" i="7"/>
  <c r="C429" i="7"/>
  <c r="J429" i="7"/>
  <c r="B429" i="7"/>
  <c r="I429" i="7"/>
  <c r="H429" i="7"/>
  <c r="G429" i="7"/>
  <c r="F429" i="7"/>
  <c r="D429" i="7"/>
  <c r="E429" i="7"/>
  <c r="C437" i="7"/>
  <c r="J437" i="7"/>
  <c r="B437" i="7"/>
  <c r="I437" i="7"/>
  <c r="H437" i="7"/>
  <c r="G437" i="7"/>
  <c r="F437" i="7"/>
  <c r="E437" i="7"/>
  <c r="D437" i="7"/>
  <c r="C445" i="7"/>
  <c r="J445" i="7"/>
  <c r="B445" i="7"/>
  <c r="I445" i="7"/>
  <c r="H445" i="7"/>
  <c r="G445" i="7"/>
  <c r="F445" i="7"/>
  <c r="D445" i="7"/>
  <c r="E445" i="7"/>
  <c r="C453" i="7"/>
  <c r="J453" i="7"/>
  <c r="B453" i="7"/>
  <c r="I453" i="7"/>
  <c r="H453" i="7"/>
  <c r="G453" i="7"/>
  <c r="F453" i="7"/>
  <c r="D453" i="7"/>
  <c r="E453" i="7"/>
  <c r="C461" i="7"/>
  <c r="J461" i="7"/>
  <c r="B461" i="7"/>
  <c r="I461" i="7"/>
  <c r="H461" i="7"/>
  <c r="G461" i="7"/>
  <c r="F461" i="7"/>
  <c r="E461" i="7"/>
  <c r="D461" i="7"/>
  <c r="C469" i="7"/>
  <c r="J469" i="7"/>
  <c r="B469" i="7"/>
  <c r="I469" i="7"/>
  <c r="F469" i="7"/>
  <c r="H469" i="7"/>
  <c r="G469" i="7"/>
  <c r="D469" i="7"/>
  <c r="E469" i="7"/>
  <c r="C477" i="7"/>
  <c r="J477" i="7"/>
  <c r="B477" i="7"/>
  <c r="I477" i="7"/>
  <c r="H477" i="7"/>
  <c r="G477" i="7"/>
  <c r="F477" i="7"/>
  <c r="D477" i="7"/>
  <c r="E477" i="7"/>
  <c r="C485" i="7"/>
  <c r="J485" i="7"/>
  <c r="B485" i="7"/>
  <c r="I485" i="7"/>
  <c r="F485" i="7"/>
  <c r="H485" i="7"/>
  <c r="G485" i="7"/>
  <c r="D485" i="7"/>
  <c r="E485" i="7"/>
  <c r="F514" i="7"/>
  <c r="H514" i="7"/>
  <c r="I514" i="7"/>
  <c r="G514" i="7"/>
  <c r="E514" i="7"/>
  <c r="D514" i="7"/>
  <c r="J514" i="7"/>
  <c r="C514" i="7"/>
  <c r="B514" i="7"/>
  <c r="I325" i="7"/>
  <c r="E325" i="7"/>
  <c r="F325" i="7"/>
  <c r="C325" i="7"/>
  <c r="D325" i="7"/>
  <c r="B325" i="7"/>
  <c r="G383" i="7"/>
  <c r="F383" i="7"/>
  <c r="D383" i="7"/>
  <c r="E383" i="7"/>
  <c r="C383" i="7"/>
  <c r="I383" i="7"/>
  <c r="J383" i="7"/>
  <c r="E408" i="7"/>
  <c r="D408" i="7"/>
  <c r="I408" i="7"/>
  <c r="G408" i="7"/>
  <c r="F408" i="7"/>
  <c r="H408" i="7"/>
  <c r="J408" i="7"/>
  <c r="C408" i="7"/>
  <c r="B408" i="7"/>
  <c r="E424" i="7"/>
  <c r="D424" i="7"/>
  <c r="I424" i="7"/>
  <c r="G424" i="7"/>
  <c r="F424" i="7"/>
  <c r="H424" i="7"/>
  <c r="B424" i="7"/>
  <c r="J424" i="7"/>
  <c r="C424" i="7"/>
  <c r="E440" i="7"/>
  <c r="D440" i="7"/>
  <c r="I440" i="7"/>
  <c r="G440" i="7"/>
  <c r="F440" i="7"/>
  <c r="H440" i="7"/>
  <c r="J440" i="7"/>
  <c r="C440" i="7"/>
  <c r="B440" i="7"/>
  <c r="E456" i="7"/>
  <c r="D456" i="7"/>
  <c r="I456" i="7"/>
  <c r="G456" i="7"/>
  <c r="F456" i="7"/>
  <c r="H456" i="7"/>
  <c r="B456" i="7"/>
  <c r="J456" i="7"/>
  <c r="C456" i="7"/>
  <c r="E472" i="7"/>
  <c r="D472" i="7"/>
  <c r="I472" i="7"/>
  <c r="G472" i="7"/>
  <c r="H472" i="7"/>
  <c r="F472" i="7"/>
  <c r="J472" i="7"/>
  <c r="B472" i="7"/>
  <c r="C472" i="7"/>
  <c r="E488" i="7"/>
  <c r="D488" i="7"/>
  <c r="I488" i="7"/>
  <c r="G488" i="7"/>
  <c r="F488" i="7"/>
  <c r="H488" i="7"/>
  <c r="J488" i="7"/>
  <c r="B488" i="7"/>
  <c r="C488" i="7"/>
  <c r="H513" i="7"/>
  <c r="I513" i="7"/>
  <c r="G513" i="7"/>
  <c r="F513" i="7"/>
  <c r="E513" i="7"/>
  <c r="B513" i="7"/>
  <c r="D513" i="7"/>
  <c r="C513" i="7"/>
  <c r="G644" i="7"/>
  <c r="E644" i="7"/>
  <c r="I644" i="7"/>
  <c r="H644" i="7"/>
  <c r="J644" i="7"/>
  <c r="F644" i="7"/>
  <c r="C644" i="7"/>
  <c r="D644" i="7"/>
  <c r="B644" i="7"/>
  <c r="G325" i="7"/>
  <c r="E352" i="7"/>
  <c r="F352" i="7"/>
  <c r="D352" i="7"/>
  <c r="C352" i="7"/>
  <c r="B352" i="7"/>
  <c r="J352" i="7"/>
  <c r="H352" i="7"/>
  <c r="I352" i="7"/>
  <c r="B383" i="7"/>
  <c r="G400" i="7"/>
  <c r="C405" i="7"/>
  <c r="J405" i="7"/>
  <c r="I405" i="7"/>
  <c r="H405" i="7"/>
  <c r="G405" i="7"/>
  <c r="F405" i="7"/>
  <c r="E405" i="7"/>
  <c r="D405" i="7"/>
  <c r="H493" i="7"/>
  <c r="D493" i="7"/>
  <c r="C493" i="7"/>
  <c r="J493" i="7"/>
  <c r="I493" i="7"/>
  <c r="G493" i="7"/>
  <c r="E493" i="7"/>
  <c r="F493" i="7"/>
  <c r="H509" i="7"/>
  <c r="I509" i="7"/>
  <c r="G509" i="7"/>
  <c r="F509" i="7"/>
  <c r="E509" i="7"/>
  <c r="J509" i="7"/>
  <c r="D509" i="7"/>
  <c r="J536" i="7"/>
  <c r="B536" i="7"/>
  <c r="G536" i="7"/>
  <c r="D536" i="7"/>
  <c r="C536" i="7"/>
  <c r="H536" i="7"/>
  <c r="F536" i="7"/>
  <c r="I536" i="7"/>
  <c r="C316" i="7"/>
  <c r="E316" i="7"/>
  <c r="H316" i="7"/>
  <c r="G316" i="7"/>
  <c r="F316" i="7"/>
  <c r="H323" i="7"/>
  <c r="G323" i="7"/>
  <c r="I336" i="7"/>
  <c r="G359" i="7"/>
  <c r="F359" i="7"/>
  <c r="D359" i="7"/>
  <c r="C359" i="7"/>
  <c r="E359" i="7"/>
  <c r="J359" i="7"/>
  <c r="H359" i="7"/>
  <c r="I359" i="7"/>
  <c r="I400" i="7"/>
  <c r="C509" i="7"/>
  <c r="D559" i="7"/>
  <c r="F559" i="7"/>
  <c r="E559" i="7"/>
  <c r="C559" i="7"/>
  <c r="B559" i="7"/>
  <c r="J559" i="7"/>
  <c r="I559" i="7"/>
  <c r="C594" i="7"/>
  <c r="H594" i="7"/>
  <c r="E594" i="7"/>
  <c r="D594" i="7"/>
  <c r="G594" i="7"/>
  <c r="J594" i="7"/>
  <c r="I594" i="7"/>
  <c r="G343" i="7"/>
  <c r="F343" i="7"/>
  <c r="D343" i="7"/>
  <c r="C343" i="7"/>
  <c r="E343" i="7"/>
  <c r="J343" i="7"/>
  <c r="C389" i="7"/>
  <c r="I389" i="7"/>
  <c r="G389" i="7"/>
  <c r="H389" i="7"/>
  <c r="F389" i="7"/>
  <c r="J389" i="7"/>
  <c r="B389" i="7"/>
  <c r="E392" i="7"/>
  <c r="F392" i="7"/>
  <c r="B392" i="7"/>
  <c r="D392" i="7"/>
  <c r="C392" i="7"/>
  <c r="J392" i="7"/>
  <c r="I392" i="7"/>
  <c r="G392" i="7"/>
  <c r="H392" i="7"/>
  <c r="G419" i="7"/>
  <c r="F419" i="7"/>
  <c r="I419" i="7"/>
  <c r="H419" i="7"/>
  <c r="E419" i="7"/>
  <c r="D419" i="7"/>
  <c r="B419" i="7"/>
  <c r="J419" i="7"/>
  <c r="C419" i="7"/>
  <c r="G427" i="7"/>
  <c r="F427" i="7"/>
  <c r="I427" i="7"/>
  <c r="H427" i="7"/>
  <c r="E427" i="7"/>
  <c r="D427" i="7"/>
  <c r="J427" i="7"/>
  <c r="B427" i="7"/>
  <c r="C427" i="7"/>
  <c r="G435" i="7"/>
  <c r="F435" i="7"/>
  <c r="I435" i="7"/>
  <c r="H435" i="7"/>
  <c r="E435" i="7"/>
  <c r="D435" i="7"/>
  <c r="J435" i="7"/>
  <c r="B435" i="7"/>
  <c r="C435" i="7"/>
  <c r="G443" i="7"/>
  <c r="F443" i="7"/>
  <c r="I443" i="7"/>
  <c r="H443" i="7"/>
  <c r="E443" i="7"/>
  <c r="D443" i="7"/>
  <c r="B443" i="7"/>
  <c r="J443" i="7"/>
  <c r="C443" i="7"/>
  <c r="G467" i="7"/>
  <c r="F467" i="7"/>
  <c r="I467" i="7"/>
  <c r="D467" i="7"/>
  <c r="H467" i="7"/>
  <c r="E467" i="7"/>
  <c r="J467" i="7"/>
  <c r="C467" i="7"/>
  <c r="B467" i="7"/>
  <c r="G475" i="7"/>
  <c r="F475" i="7"/>
  <c r="I475" i="7"/>
  <c r="H475" i="7"/>
  <c r="E475" i="7"/>
  <c r="D475" i="7"/>
  <c r="B475" i="7"/>
  <c r="J475" i="7"/>
  <c r="C475" i="7"/>
  <c r="G483" i="7"/>
  <c r="F483" i="7"/>
  <c r="I483" i="7"/>
  <c r="D483" i="7"/>
  <c r="H483" i="7"/>
  <c r="E483" i="7"/>
  <c r="B483" i="7"/>
  <c r="J483" i="7"/>
  <c r="C483" i="7"/>
  <c r="G491" i="7"/>
  <c r="F491" i="7"/>
  <c r="I491" i="7"/>
  <c r="H491" i="7"/>
  <c r="E491" i="7"/>
  <c r="D491" i="7"/>
  <c r="J491" i="7"/>
  <c r="B491" i="7"/>
  <c r="C491" i="7"/>
  <c r="F518" i="7"/>
  <c r="D518" i="7"/>
  <c r="J518" i="7"/>
  <c r="I518" i="7"/>
  <c r="H518" i="7"/>
  <c r="G518" i="7"/>
  <c r="E518" i="7"/>
  <c r="G345" i="3"/>
  <c r="F345" i="3"/>
  <c r="E345" i="3"/>
  <c r="D345" i="3"/>
  <c r="G411" i="7"/>
  <c r="F411" i="7"/>
  <c r="I411" i="7"/>
  <c r="H411" i="7"/>
  <c r="E411" i="7"/>
  <c r="D411" i="7"/>
  <c r="J411" i="7"/>
  <c r="C411" i="7"/>
  <c r="B411" i="7"/>
  <c r="G451" i="7"/>
  <c r="F451" i="7"/>
  <c r="I451" i="7"/>
  <c r="H451" i="7"/>
  <c r="E451" i="7"/>
  <c r="D451" i="7"/>
  <c r="B451" i="7"/>
  <c r="J451" i="7"/>
  <c r="C451" i="7"/>
  <c r="H343" i="7"/>
  <c r="E376" i="7"/>
  <c r="F376" i="7"/>
  <c r="B376" i="7"/>
  <c r="D376" i="7"/>
  <c r="C376" i="7"/>
  <c r="J376" i="7"/>
  <c r="I376" i="7"/>
  <c r="C381" i="7"/>
  <c r="I381" i="7"/>
  <c r="F381" i="7"/>
  <c r="H381" i="7"/>
  <c r="G381" i="7"/>
  <c r="J381" i="7"/>
  <c r="E381" i="7"/>
  <c r="D381" i="7"/>
  <c r="B381" i="7"/>
  <c r="D389" i="7"/>
  <c r="F502" i="7"/>
  <c r="E502" i="7"/>
  <c r="D502" i="7"/>
  <c r="I502" i="7"/>
  <c r="J502" i="7"/>
  <c r="H502" i="7"/>
  <c r="C502" i="7"/>
  <c r="G502" i="7"/>
  <c r="B518" i="7"/>
  <c r="F530" i="7"/>
  <c r="C530" i="7"/>
  <c r="D530" i="7"/>
  <c r="B530" i="7"/>
  <c r="J530" i="7"/>
  <c r="G530" i="7"/>
  <c r="I530" i="7"/>
  <c r="H530" i="7"/>
  <c r="E530" i="7"/>
  <c r="C590" i="7"/>
  <c r="D590" i="7"/>
  <c r="G590" i="7"/>
  <c r="F590" i="7"/>
  <c r="I590" i="7"/>
  <c r="H590" i="7"/>
  <c r="J590" i="7"/>
  <c r="E590" i="7"/>
  <c r="C642" i="7"/>
  <c r="H642" i="7"/>
  <c r="J642" i="7"/>
  <c r="I642" i="7"/>
  <c r="G642" i="7"/>
  <c r="F642" i="7"/>
  <c r="B642" i="7"/>
  <c r="E642" i="7"/>
  <c r="D642" i="7"/>
  <c r="E347" i="3"/>
  <c r="G347" i="3"/>
  <c r="F347" i="3"/>
  <c r="D347" i="3"/>
  <c r="C347" i="3"/>
  <c r="B345" i="3"/>
  <c r="B343" i="7"/>
  <c r="G459" i="7"/>
  <c r="F459" i="7"/>
  <c r="I459" i="7"/>
  <c r="H459" i="7"/>
  <c r="E459" i="7"/>
  <c r="D459" i="7"/>
  <c r="J459" i="7"/>
  <c r="C459" i="7"/>
  <c r="B459" i="7"/>
  <c r="F325" i="3"/>
  <c r="G325" i="3"/>
  <c r="C345" i="3"/>
  <c r="G335" i="7"/>
  <c r="F335" i="7"/>
  <c r="E335" i="7"/>
  <c r="D335" i="7"/>
  <c r="C335" i="7"/>
  <c r="J335" i="7"/>
  <c r="I335" i="7"/>
  <c r="H335" i="7"/>
  <c r="B335" i="7"/>
  <c r="I343" i="7"/>
  <c r="C365" i="7"/>
  <c r="I365" i="7"/>
  <c r="F365" i="7"/>
  <c r="H365" i="7"/>
  <c r="G365" i="7"/>
  <c r="J365" i="7"/>
  <c r="E365" i="7"/>
  <c r="G376" i="7"/>
  <c r="E389" i="7"/>
  <c r="G399" i="7"/>
  <c r="F399" i="7"/>
  <c r="E399" i="7"/>
  <c r="D399" i="7"/>
  <c r="C399" i="7"/>
  <c r="J399" i="7"/>
  <c r="I399" i="7"/>
  <c r="B399" i="7"/>
  <c r="H399" i="7"/>
  <c r="B502" i="7"/>
  <c r="C518" i="7"/>
  <c r="E585" i="7"/>
  <c r="I585" i="7"/>
  <c r="G585" i="7"/>
  <c r="F585" i="7"/>
  <c r="J585" i="7"/>
  <c r="H585" i="7"/>
  <c r="C585" i="7"/>
  <c r="B585" i="7"/>
  <c r="D585" i="7"/>
  <c r="B590" i="7"/>
  <c r="C622" i="7"/>
  <c r="D622" i="7"/>
  <c r="G622" i="7"/>
  <c r="F622" i="7"/>
  <c r="J622" i="7"/>
  <c r="I622" i="7"/>
  <c r="H622" i="7"/>
  <c r="E613" i="7"/>
  <c r="D613" i="7"/>
  <c r="I613" i="7"/>
  <c r="H613" i="7"/>
  <c r="J613" i="7"/>
  <c r="G613" i="7"/>
  <c r="B613" i="7"/>
  <c r="F613" i="7"/>
  <c r="C613" i="7"/>
  <c r="E368" i="7"/>
  <c r="F368" i="7"/>
  <c r="C368" i="7"/>
  <c r="D368" i="7"/>
  <c r="B368" i="7"/>
  <c r="G375" i="7"/>
  <c r="F375" i="7"/>
  <c r="C375" i="7"/>
  <c r="E375" i="7"/>
  <c r="D375" i="7"/>
  <c r="D531" i="7"/>
  <c r="B531" i="7"/>
  <c r="E531" i="7"/>
  <c r="C531" i="7"/>
  <c r="J531" i="7"/>
  <c r="I531" i="7"/>
  <c r="C630" i="7"/>
  <c r="D630" i="7"/>
  <c r="E630" i="7"/>
  <c r="B630" i="7"/>
  <c r="I630" i="7"/>
  <c r="G630" i="7"/>
  <c r="F630" i="7"/>
  <c r="H630" i="7"/>
  <c r="H326" i="7"/>
  <c r="G368" i="7"/>
  <c r="B375" i="7"/>
  <c r="C397" i="7"/>
  <c r="I397" i="7"/>
  <c r="F397" i="7"/>
  <c r="H397" i="7"/>
  <c r="G397" i="7"/>
  <c r="J500" i="7"/>
  <c r="B500" i="7"/>
  <c r="G500" i="7"/>
  <c r="F500" i="7"/>
  <c r="H500" i="7"/>
  <c r="D500" i="7"/>
  <c r="E500" i="7"/>
  <c r="C500" i="7"/>
  <c r="F531" i="7"/>
  <c r="H569" i="7"/>
  <c r="F569" i="7"/>
  <c r="E569" i="7"/>
  <c r="G569" i="7"/>
  <c r="D569" i="7"/>
  <c r="J569" i="7"/>
  <c r="C569" i="7"/>
  <c r="B569" i="7"/>
  <c r="I569" i="7"/>
  <c r="J572" i="7"/>
  <c r="B572" i="7"/>
  <c r="D572" i="7"/>
  <c r="C572" i="7"/>
  <c r="I572" i="7"/>
  <c r="G572" i="7"/>
  <c r="F572" i="7"/>
  <c r="H572" i="7"/>
  <c r="J630" i="7"/>
  <c r="B652" i="7"/>
  <c r="G660" i="7"/>
  <c r="E660" i="7"/>
  <c r="C660" i="7"/>
  <c r="B660" i="7"/>
  <c r="J660" i="7"/>
  <c r="F660" i="7"/>
  <c r="I660" i="7"/>
  <c r="H660" i="7"/>
  <c r="F546" i="7"/>
  <c r="H546" i="7"/>
  <c r="G546" i="7"/>
  <c r="E546" i="7"/>
  <c r="D546" i="7"/>
  <c r="C546" i="7"/>
  <c r="J546" i="7"/>
  <c r="I546" i="7"/>
  <c r="G620" i="7"/>
  <c r="E620" i="7"/>
  <c r="F620" i="7"/>
  <c r="D620" i="7"/>
  <c r="H620" i="7"/>
  <c r="C620" i="7"/>
  <c r="J620" i="7"/>
  <c r="D539" i="7"/>
  <c r="E539" i="7"/>
  <c r="C539" i="7"/>
  <c r="H539" i="7"/>
  <c r="G539" i="7"/>
  <c r="J539" i="7"/>
  <c r="I539" i="7"/>
  <c r="F539" i="7"/>
  <c r="D555" i="7"/>
  <c r="I555" i="7"/>
  <c r="H555" i="7"/>
  <c r="G555" i="7"/>
  <c r="F555" i="7"/>
  <c r="J555" i="7"/>
  <c r="E555" i="7"/>
  <c r="E581" i="7"/>
  <c r="D581" i="7"/>
  <c r="I581" i="7"/>
  <c r="H581" i="7"/>
  <c r="C581" i="7"/>
  <c r="B581" i="7"/>
  <c r="G581" i="7"/>
  <c r="J581" i="7"/>
  <c r="C610" i="7"/>
  <c r="H610" i="7"/>
  <c r="J610" i="7"/>
  <c r="I610" i="7"/>
  <c r="D610" i="7"/>
  <c r="B610" i="7"/>
  <c r="F610" i="7"/>
  <c r="G610" i="7"/>
  <c r="H368" i="7"/>
  <c r="C373" i="7"/>
  <c r="I373" i="7"/>
  <c r="G373" i="7"/>
  <c r="H373" i="7"/>
  <c r="F373" i="7"/>
  <c r="H375" i="7"/>
  <c r="E384" i="7"/>
  <c r="F384" i="7"/>
  <c r="C384" i="7"/>
  <c r="D384" i="7"/>
  <c r="B384" i="7"/>
  <c r="G391" i="7"/>
  <c r="F391" i="7"/>
  <c r="C391" i="7"/>
  <c r="E391" i="7"/>
  <c r="D391" i="7"/>
  <c r="B397" i="7"/>
  <c r="I500" i="7"/>
  <c r="J508" i="7"/>
  <c r="B508" i="7"/>
  <c r="I508" i="7"/>
  <c r="H508" i="7"/>
  <c r="G508" i="7"/>
  <c r="D508" i="7"/>
  <c r="F508" i="7"/>
  <c r="E508" i="7"/>
  <c r="H517" i="7"/>
  <c r="E517" i="7"/>
  <c r="J517" i="7"/>
  <c r="I517" i="7"/>
  <c r="G517" i="7"/>
  <c r="F517" i="7"/>
  <c r="D517" i="7"/>
  <c r="C517" i="7"/>
  <c r="G531" i="7"/>
  <c r="C555" i="7"/>
  <c r="H561" i="7"/>
  <c r="D561" i="7"/>
  <c r="C561" i="7"/>
  <c r="I561" i="7"/>
  <c r="G561" i="7"/>
  <c r="J561" i="7"/>
  <c r="F561" i="7"/>
  <c r="F570" i="7"/>
  <c r="E570" i="7"/>
  <c r="D570" i="7"/>
  <c r="I570" i="7"/>
  <c r="H570" i="7"/>
  <c r="J570" i="7"/>
  <c r="E572" i="7"/>
  <c r="E577" i="7"/>
  <c r="I577" i="7"/>
  <c r="J577" i="7"/>
  <c r="H577" i="7"/>
  <c r="G577" i="7"/>
  <c r="F577" i="7"/>
  <c r="D577" i="7"/>
  <c r="C598" i="7"/>
  <c r="D598" i="7"/>
  <c r="E598" i="7"/>
  <c r="B598" i="7"/>
  <c r="I598" i="7"/>
  <c r="H598" i="7"/>
  <c r="G598" i="7"/>
  <c r="J598" i="7"/>
  <c r="E649" i="7"/>
  <c r="I649" i="7"/>
  <c r="G649" i="7"/>
  <c r="F649" i="7"/>
  <c r="D649" i="7"/>
  <c r="C649" i="7"/>
  <c r="B546" i="7"/>
  <c r="B620" i="7"/>
  <c r="C646" i="7"/>
  <c r="D646" i="7"/>
  <c r="I646" i="7"/>
  <c r="H646" i="7"/>
  <c r="E646" i="7"/>
  <c r="B646" i="7"/>
  <c r="F646" i="7"/>
  <c r="J646" i="7"/>
  <c r="G646" i="7"/>
  <c r="G652" i="7"/>
  <c r="E652" i="7"/>
  <c r="F652" i="7"/>
  <c r="D652" i="7"/>
  <c r="J652" i="7"/>
  <c r="H652" i="7"/>
  <c r="I652" i="7"/>
  <c r="B333" i="7"/>
  <c r="B311" i="3"/>
  <c r="E311" i="3"/>
  <c r="F317" i="3"/>
  <c r="B319" i="3"/>
  <c r="G319" i="3"/>
  <c r="F319" i="3"/>
  <c r="E319" i="3"/>
  <c r="E360" i="7"/>
  <c r="F360" i="7"/>
  <c r="C360" i="7"/>
  <c r="B360" i="7"/>
  <c r="D360" i="7"/>
  <c r="G367" i="7"/>
  <c r="F367" i="7"/>
  <c r="D367" i="7"/>
  <c r="E367" i="7"/>
  <c r="C367" i="7"/>
  <c r="I368" i="7"/>
  <c r="B373" i="7"/>
  <c r="I375" i="7"/>
  <c r="G384" i="7"/>
  <c r="B391" i="7"/>
  <c r="D397" i="7"/>
  <c r="G407" i="7"/>
  <c r="F407" i="7"/>
  <c r="I407" i="7"/>
  <c r="E407" i="7"/>
  <c r="D407" i="7"/>
  <c r="H407" i="7"/>
  <c r="C409" i="7"/>
  <c r="J409" i="7"/>
  <c r="B409" i="7"/>
  <c r="I409" i="7"/>
  <c r="G409" i="7"/>
  <c r="F409" i="7"/>
  <c r="H409" i="7"/>
  <c r="E412" i="7"/>
  <c r="D412" i="7"/>
  <c r="I412" i="7"/>
  <c r="H412" i="7"/>
  <c r="G412" i="7"/>
  <c r="F412" i="7"/>
  <c r="G415" i="7"/>
  <c r="F415" i="7"/>
  <c r="I415" i="7"/>
  <c r="E415" i="7"/>
  <c r="D415" i="7"/>
  <c r="H415" i="7"/>
  <c r="C417" i="7"/>
  <c r="J417" i="7"/>
  <c r="B417" i="7"/>
  <c r="I417" i="7"/>
  <c r="G417" i="7"/>
  <c r="F417" i="7"/>
  <c r="H417" i="7"/>
  <c r="E420" i="7"/>
  <c r="D420" i="7"/>
  <c r="I420" i="7"/>
  <c r="H420" i="7"/>
  <c r="G420" i="7"/>
  <c r="F420" i="7"/>
  <c r="G423" i="7"/>
  <c r="F423" i="7"/>
  <c r="I423" i="7"/>
  <c r="E423" i="7"/>
  <c r="D423" i="7"/>
  <c r="H423" i="7"/>
  <c r="C425" i="7"/>
  <c r="J425" i="7"/>
  <c r="B425" i="7"/>
  <c r="I425" i="7"/>
  <c r="G425" i="7"/>
  <c r="F425" i="7"/>
  <c r="H425" i="7"/>
  <c r="E428" i="7"/>
  <c r="D428" i="7"/>
  <c r="I428" i="7"/>
  <c r="H428" i="7"/>
  <c r="G428" i="7"/>
  <c r="F428" i="7"/>
  <c r="G431" i="7"/>
  <c r="F431" i="7"/>
  <c r="I431" i="7"/>
  <c r="E431" i="7"/>
  <c r="D431" i="7"/>
  <c r="H431" i="7"/>
  <c r="C433" i="7"/>
  <c r="J433" i="7"/>
  <c r="B433" i="7"/>
  <c r="I433" i="7"/>
  <c r="G433" i="7"/>
  <c r="F433" i="7"/>
  <c r="H433" i="7"/>
  <c r="E436" i="7"/>
  <c r="D436" i="7"/>
  <c r="I436" i="7"/>
  <c r="H436" i="7"/>
  <c r="G436" i="7"/>
  <c r="F436" i="7"/>
  <c r="G439" i="7"/>
  <c r="F439" i="7"/>
  <c r="I439" i="7"/>
  <c r="E439" i="7"/>
  <c r="D439" i="7"/>
  <c r="H439" i="7"/>
  <c r="C441" i="7"/>
  <c r="J441" i="7"/>
  <c r="B441" i="7"/>
  <c r="I441" i="7"/>
  <c r="G441" i="7"/>
  <c r="F441" i="7"/>
  <c r="H441" i="7"/>
  <c r="E444" i="7"/>
  <c r="D444" i="7"/>
  <c r="I444" i="7"/>
  <c r="H444" i="7"/>
  <c r="G444" i="7"/>
  <c r="F444" i="7"/>
  <c r="G447" i="7"/>
  <c r="F447" i="7"/>
  <c r="I447" i="7"/>
  <c r="E447" i="7"/>
  <c r="D447" i="7"/>
  <c r="H447" i="7"/>
  <c r="C449" i="7"/>
  <c r="J449" i="7"/>
  <c r="B449" i="7"/>
  <c r="I449" i="7"/>
  <c r="G449" i="7"/>
  <c r="F449" i="7"/>
  <c r="H449" i="7"/>
  <c r="E452" i="7"/>
  <c r="D452" i="7"/>
  <c r="I452" i="7"/>
  <c r="H452" i="7"/>
  <c r="G452" i="7"/>
  <c r="F452" i="7"/>
  <c r="G455" i="7"/>
  <c r="F455" i="7"/>
  <c r="I455" i="7"/>
  <c r="E455" i="7"/>
  <c r="D455" i="7"/>
  <c r="H455" i="7"/>
  <c r="C457" i="7"/>
  <c r="J457" i="7"/>
  <c r="B457" i="7"/>
  <c r="I457" i="7"/>
  <c r="G457" i="7"/>
  <c r="F457" i="7"/>
  <c r="H457" i="7"/>
  <c r="E460" i="7"/>
  <c r="D460" i="7"/>
  <c r="I460" i="7"/>
  <c r="H460" i="7"/>
  <c r="G460" i="7"/>
  <c r="F460" i="7"/>
  <c r="G463" i="7"/>
  <c r="F463" i="7"/>
  <c r="I463" i="7"/>
  <c r="E463" i="7"/>
  <c r="H463" i="7"/>
  <c r="D463" i="7"/>
  <c r="C465" i="7"/>
  <c r="J465" i="7"/>
  <c r="B465" i="7"/>
  <c r="I465" i="7"/>
  <c r="G465" i="7"/>
  <c r="H465" i="7"/>
  <c r="F465" i="7"/>
  <c r="E468" i="7"/>
  <c r="D468" i="7"/>
  <c r="I468" i="7"/>
  <c r="F468" i="7"/>
  <c r="H468" i="7"/>
  <c r="G468" i="7"/>
  <c r="G471" i="7"/>
  <c r="F471" i="7"/>
  <c r="I471" i="7"/>
  <c r="E471" i="7"/>
  <c r="H471" i="7"/>
  <c r="D471" i="7"/>
  <c r="C473" i="7"/>
  <c r="J473" i="7"/>
  <c r="B473" i="7"/>
  <c r="I473" i="7"/>
  <c r="G473" i="7"/>
  <c r="H473" i="7"/>
  <c r="F473" i="7"/>
  <c r="E476" i="7"/>
  <c r="D476" i="7"/>
  <c r="I476" i="7"/>
  <c r="H476" i="7"/>
  <c r="G476" i="7"/>
  <c r="F476" i="7"/>
  <c r="G479" i="7"/>
  <c r="F479" i="7"/>
  <c r="I479" i="7"/>
  <c r="E479" i="7"/>
  <c r="D479" i="7"/>
  <c r="H479" i="7"/>
  <c r="C481" i="7"/>
  <c r="J481" i="7"/>
  <c r="B481" i="7"/>
  <c r="I481" i="7"/>
  <c r="G481" i="7"/>
  <c r="F481" i="7"/>
  <c r="H481" i="7"/>
  <c r="E484" i="7"/>
  <c r="D484" i="7"/>
  <c r="I484" i="7"/>
  <c r="F484" i="7"/>
  <c r="H484" i="7"/>
  <c r="G484" i="7"/>
  <c r="G487" i="7"/>
  <c r="F487" i="7"/>
  <c r="I487" i="7"/>
  <c r="E487" i="7"/>
  <c r="D487" i="7"/>
  <c r="H487" i="7"/>
  <c r="C489" i="7"/>
  <c r="J489" i="7"/>
  <c r="B489" i="7"/>
  <c r="I489" i="7"/>
  <c r="G489" i="7"/>
  <c r="F489" i="7"/>
  <c r="H489" i="7"/>
  <c r="J492" i="7"/>
  <c r="E492" i="7"/>
  <c r="D492" i="7"/>
  <c r="I492" i="7"/>
  <c r="H492" i="7"/>
  <c r="G492" i="7"/>
  <c r="F492" i="7"/>
  <c r="H501" i="7"/>
  <c r="F501" i="7"/>
  <c r="E501" i="7"/>
  <c r="J501" i="7"/>
  <c r="G501" i="7"/>
  <c r="I501" i="7"/>
  <c r="D501" i="7"/>
  <c r="C508" i="7"/>
  <c r="B517" i="7"/>
  <c r="H531" i="7"/>
  <c r="B561" i="7"/>
  <c r="B570" i="7"/>
  <c r="B577" i="7"/>
  <c r="F598" i="7"/>
  <c r="G628" i="7"/>
  <c r="E628" i="7"/>
  <c r="C628" i="7"/>
  <c r="B628" i="7"/>
  <c r="H628" i="7"/>
  <c r="F628" i="7"/>
  <c r="I628" i="7"/>
  <c r="D628" i="7"/>
  <c r="J628" i="7"/>
  <c r="B649" i="7"/>
  <c r="E657" i="7"/>
  <c r="I657" i="7"/>
  <c r="D657" i="7"/>
  <c r="C657" i="7"/>
  <c r="G657" i="7"/>
  <c r="F657" i="7"/>
  <c r="J657" i="7"/>
  <c r="E327" i="7"/>
  <c r="G327" i="7"/>
  <c r="J345" i="7"/>
  <c r="J377" i="7"/>
  <c r="J393" i="7"/>
  <c r="D499" i="7"/>
  <c r="H499" i="7"/>
  <c r="G499" i="7"/>
  <c r="J520" i="7"/>
  <c r="B520" i="7"/>
  <c r="C520" i="7"/>
  <c r="I520" i="7"/>
  <c r="E589" i="7"/>
  <c r="D589" i="7"/>
  <c r="G589" i="7"/>
  <c r="F589" i="7"/>
  <c r="C589" i="7"/>
  <c r="B589" i="7"/>
  <c r="C618" i="7"/>
  <c r="H618" i="7"/>
  <c r="G618" i="7"/>
  <c r="F618" i="7"/>
  <c r="D618" i="7"/>
  <c r="B618" i="7"/>
  <c r="B353" i="7"/>
  <c r="B377" i="7"/>
  <c r="B393" i="7"/>
  <c r="B401" i="7"/>
  <c r="J516" i="7"/>
  <c r="B516" i="7"/>
  <c r="F516" i="7"/>
  <c r="I516" i="7"/>
  <c r="H516" i="7"/>
  <c r="D520" i="7"/>
  <c r="E535" i="7"/>
  <c r="J560" i="7"/>
  <c r="B560" i="7"/>
  <c r="E560" i="7"/>
  <c r="D560" i="7"/>
  <c r="G560" i="7"/>
  <c r="F560" i="7"/>
  <c r="H589" i="7"/>
  <c r="E618" i="7"/>
  <c r="E621" i="7"/>
  <c r="D621" i="7"/>
  <c r="G621" i="7"/>
  <c r="F621" i="7"/>
  <c r="J621" i="7"/>
  <c r="I621" i="7"/>
  <c r="B650" i="7"/>
  <c r="H654" i="7"/>
  <c r="C658" i="7"/>
  <c r="H658" i="7"/>
  <c r="E658" i="7"/>
  <c r="D658" i="7"/>
  <c r="J658" i="7"/>
  <c r="I658" i="7"/>
  <c r="G316" i="3"/>
  <c r="B329" i="3"/>
  <c r="B330" i="3"/>
  <c r="B333" i="3"/>
  <c r="I317" i="7"/>
  <c r="E317" i="7"/>
  <c r="C324" i="7"/>
  <c r="E324" i="7"/>
  <c r="H327" i="7"/>
  <c r="J331" i="7"/>
  <c r="J339" i="7"/>
  <c r="D345" i="7"/>
  <c r="D353" i="7"/>
  <c r="J363" i="7"/>
  <c r="D377" i="7"/>
  <c r="J379" i="7"/>
  <c r="D385" i="7"/>
  <c r="J387" i="7"/>
  <c r="D393" i="7"/>
  <c r="J395" i="7"/>
  <c r="D401" i="7"/>
  <c r="J403" i="7"/>
  <c r="C499" i="7"/>
  <c r="J504" i="7"/>
  <c r="B504" i="7"/>
  <c r="D504" i="7"/>
  <c r="C504" i="7"/>
  <c r="J512" i="7"/>
  <c r="B512" i="7"/>
  <c r="I512" i="7"/>
  <c r="G512" i="7"/>
  <c r="F512" i="7"/>
  <c r="C516" i="7"/>
  <c r="D519" i="7"/>
  <c r="C519" i="7"/>
  <c r="J519" i="7"/>
  <c r="I519" i="7"/>
  <c r="E520" i="7"/>
  <c r="F534" i="7"/>
  <c r="I534" i="7"/>
  <c r="C534" i="7"/>
  <c r="B534" i="7"/>
  <c r="D551" i="7"/>
  <c r="C551" i="7"/>
  <c r="B551" i="7"/>
  <c r="F551" i="7"/>
  <c r="E551" i="7"/>
  <c r="J556" i="7"/>
  <c r="B556" i="7"/>
  <c r="H556" i="7"/>
  <c r="G556" i="7"/>
  <c r="I556" i="7"/>
  <c r="C560" i="7"/>
  <c r="F562" i="7"/>
  <c r="C562" i="7"/>
  <c r="B562" i="7"/>
  <c r="J562" i="7"/>
  <c r="I562" i="7"/>
  <c r="C582" i="7"/>
  <c r="D582" i="7"/>
  <c r="I582" i="7"/>
  <c r="H582" i="7"/>
  <c r="G582" i="7"/>
  <c r="F582" i="7"/>
  <c r="I589" i="7"/>
  <c r="E597" i="7"/>
  <c r="D597" i="7"/>
  <c r="C597" i="7"/>
  <c r="B597" i="7"/>
  <c r="G597" i="7"/>
  <c r="F597" i="7"/>
  <c r="I618" i="7"/>
  <c r="B621" i="7"/>
  <c r="C626" i="7"/>
  <c r="H626" i="7"/>
  <c r="E626" i="7"/>
  <c r="D626" i="7"/>
  <c r="F626" i="7"/>
  <c r="B626" i="7"/>
  <c r="B658" i="7"/>
  <c r="J353" i="7"/>
  <c r="J385" i="7"/>
  <c r="J401" i="7"/>
  <c r="H505" i="7"/>
  <c r="C505" i="7"/>
  <c r="B505" i="7"/>
  <c r="H529" i="7"/>
  <c r="D529" i="7"/>
  <c r="C529" i="7"/>
  <c r="B529" i="7"/>
  <c r="D535" i="7"/>
  <c r="H535" i="7"/>
  <c r="C535" i="7"/>
  <c r="B535" i="7"/>
  <c r="J548" i="7"/>
  <c r="B548" i="7"/>
  <c r="F548" i="7"/>
  <c r="E548" i="7"/>
  <c r="I548" i="7"/>
  <c r="C650" i="7"/>
  <c r="H650" i="7"/>
  <c r="G650" i="7"/>
  <c r="F650" i="7"/>
  <c r="J650" i="7"/>
  <c r="I650" i="7"/>
  <c r="C654" i="7"/>
  <c r="D654" i="7"/>
  <c r="G654" i="7"/>
  <c r="F654" i="7"/>
  <c r="E654" i="7"/>
  <c r="B654" i="7"/>
  <c r="F327" i="7"/>
  <c r="B345" i="7"/>
  <c r="B385" i="7"/>
  <c r="F498" i="7"/>
  <c r="I498" i="7"/>
  <c r="H498" i="7"/>
  <c r="B499" i="7"/>
  <c r="D505" i="7"/>
  <c r="E529" i="7"/>
  <c r="F538" i="7"/>
  <c r="E538" i="7"/>
  <c r="D538" i="7"/>
  <c r="G538" i="7"/>
  <c r="C538" i="7"/>
  <c r="H545" i="7"/>
  <c r="I545" i="7"/>
  <c r="G545" i="7"/>
  <c r="D545" i="7"/>
  <c r="C545" i="7"/>
  <c r="C548" i="7"/>
  <c r="D571" i="7"/>
  <c r="E571" i="7"/>
  <c r="C571" i="7"/>
  <c r="J571" i="7"/>
  <c r="I571" i="7"/>
  <c r="J576" i="7"/>
  <c r="B576" i="7"/>
  <c r="I576" i="7"/>
  <c r="H576" i="7"/>
  <c r="E576" i="7"/>
  <c r="D576" i="7"/>
  <c r="C578" i="7"/>
  <c r="H578" i="7"/>
  <c r="J578" i="7"/>
  <c r="I578" i="7"/>
  <c r="E593" i="7"/>
  <c r="I593" i="7"/>
  <c r="D593" i="7"/>
  <c r="C593" i="7"/>
  <c r="J593" i="7"/>
  <c r="H593" i="7"/>
  <c r="D327" i="3"/>
  <c r="H327" i="3" s="1" a="1"/>
  <c r="H327" i="3" s="1"/>
  <c r="B331" i="3"/>
  <c r="D312" i="7"/>
  <c r="E327" i="3"/>
  <c r="C329" i="3"/>
  <c r="C330" i="3"/>
  <c r="C331" i="3"/>
  <c r="D333" i="3"/>
  <c r="E312" i="7"/>
  <c r="B317" i="7"/>
  <c r="E319" i="7"/>
  <c r="G319" i="7"/>
  <c r="D324" i="7"/>
  <c r="B331" i="7"/>
  <c r="J332" i="7"/>
  <c r="B339" i="7"/>
  <c r="J340" i="7"/>
  <c r="E345" i="7"/>
  <c r="J348" i="7"/>
  <c r="E353" i="7"/>
  <c r="B363" i="7"/>
  <c r="J364" i="7"/>
  <c r="J372" i="7"/>
  <c r="E377" i="7"/>
  <c r="B379" i="7"/>
  <c r="J380" i="7"/>
  <c r="E385" i="7"/>
  <c r="B387" i="7"/>
  <c r="J388" i="7"/>
  <c r="E393" i="7"/>
  <c r="B395" i="7"/>
  <c r="J396" i="7"/>
  <c r="E401" i="7"/>
  <c r="B403" i="7"/>
  <c r="J404" i="7"/>
  <c r="F494" i="7"/>
  <c r="C494" i="7"/>
  <c r="B494" i="7"/>
  <c r="C498" i="7"/>
  <c r="E499" i="7"/>
  <c r="D503" i="7"/>
  <c r="E503" i="7"/>
  <c r="C503" i="7"/>
  <c r="F505" i="7"/>
  <c r="F510" i="7"/>
  <c r="H510" i="7"/>
  <c r="G510" i="7"/>
  <c r="D515" i="7"/>
  <c r="G515" i="7"/>
  <c r="I515" i="7"/>
  <c r="H515" i="7"/>
  <c r="D516" i="7"/>
  <c r="F520" i="7"/>
  <c r="G529" i="7"/>
  <c r="G535" i="7"/>
  <c r="H537" i="7"/>
  <c r="F537" i="7"/>
  <c r="D537" i="7"/>
  <c r="C537" i="7"/>
  <c r="H538" i="7"/>
  <c r="J540" i="7"/>
  <c r="B540" i="7"/>
  <c r="D540" i="7"/>
  <c r="C540" i="7"/>
  <c r="I540" i="7"/>
  <c r="H540" i="7"/>
  <c r="E545" i="7"/>
  <c r="D547" i="7"/>
  <c r="G547" i="7"/>
  <c r="F547" i="7"/>
  <c r="I547" i="7"/>
  <c r="H547" i="7"/>
  <c r="G548" i="7"/>
  <c r="C556" i="7"/>
  <c r="H560" i="7"/>
  <c r="D562" i="7"/>
  <c r="J568" i="7"/>
  <c r="B568" i="7"/>
  <c r="G568" i="7"/>
  <c r="F568" i="7"/>
  <c r="D568" i="7"/>
  <c r="C568" i="7"/>
  <c r="F571" i="7"/>
  <c r="F576" i="7"/>
  <c r="D578" i="7"/>
  <c r="B582" i="7"/>
  <c r="C586" i="7"/>
  <c r="H586" i="7"/>
  <c r="G586" i="7"/>
  <c r="F586" i="7"/>
  <c r="J589" i="7"/>
  <c r="F593" i="7"/>
  <c r="G612" i="7"/>
  <c r="E612" i="7"/>
  <c r="I612" i="7"/>
  <c r="H612" i="7"/>
  <c r="D612" i="7"/>
  <c r="C612" i="7"/>
  <c r="C614" i="7"/>
  <c r="D614" i="7"/>
  <c r="I614" i="7"/>
  <c r="H614" i="7"/>
  <c r="J618" i="7"/>
  <c r="C621" i="7"/>
  <c r="E629" i="7"/>
  <c r="D629" i="7"/>
  <c r="C629" i="7"/>
  <c r="B629" i="7"/>
  <c r="J629" i="7"/>
  <c r="I629" i="7"/>
  <c r="E641" i="7"/>
  <c r="I641" i="7"/>
  <c r="J641" i="7"/>
  <c r="H641" i="7"/>
  <c r="D641" i="7"/>
  <c r="C641" i="7"/>
  <c r="E650" i="7"/>
  <c r="J654" i="7"/>
  <c r="F658" i="7"/>
  <c r="J495" i="7"/>
  <c r="J506" i="7"/>
  <c r="H525" i="7"/>
  <c r="G525" i="7"/>
  <c r="F526" i="7"/>
  <c r="G526" i="7"/>
  <c r="D527" i="7"/>
  <c r="F527" i="7"/>
  <c r="J528" i="7"/>
  <c r="B528" i="7"/>
  <c r="E528" i="7"/>
  <c r="J544" i="7"/>
  <c r="B544" i="7"/>
  <c r="I544" i="7"/>
  <c r="H544" i="7"/>
  <c r="F550" i="7"/>
  <c r="D550" i="7"/>
  <c r="C550" i="7"/>
  <c r="F558" i="7"/>
  <c r="G558" i="7"/>
  <c r="E558" i="7"/>
  <c r="D567" i="7"/>
  <c r="H567" i="7"/>
  <c r="G567" i="7"/>
  <c r="H573" i="7"/>
  <c r="C573" i="7"/>
  <c r="B573" i="7"/>
  <c r="B495" i="7"/>
  <c r="J496" i="7"/>
  <c r="B496" i="7"/>
  <c r="J497" i="7"/>
  <c r="B506" i="7"/>
  <c r="J507" i="7"/>
  <c r="H521" i="7"/>
  <c r="B521" i="7"/>
  <c r="D523" i="7"/>
  <c r="I523" i="7"/>
  <c r="J524" i="7"/>
  <c r="B524" i="7"/>
  <c r="H524" i="7"/>
  <c r="B525" i="7"/>
  <c r="B526" i="7"/>
  <c r="B527" i="7"/>
  <c r="C528" i="7"/>
  <c r="C544" i="7"/>
  <c r="H549" i="7"/>
  <c r="E549" i="7"/>
  <c r="D549" i="7"/>
  <c r="B550" i="7"/>
  <c r="H557" i="7"/>
  <c r="G557" i="7"/>
  <c r="F557" i="7"/>
  <c r="B558" i="7"/>
  <c r="F566" i="7"/>
  <c r="I566" i="7"/>
  <c r="H566" i="7"/>
  <c r="B567" i="7"/>
  <c r="D573" i="7"/>
  <c r="G580" i="7"/>
  <c r="E580" i="7"/>
  <c r="I580" i="7"/>
  <c r="H580" i="7"/>
  <c r="G588" i="7"/>
  <c r="E588" i="7"/>
  <c r="F588" i="7"/>
  <c r="D588" i="7"/>
  <c r="G596" i="7"/>
  <c r="E596" i="7"/>
  <c r="C596" i="7"/>
  <c r="B596" i="7"/>
  <c r="E609" i="7"/>
  <c r="I609" i="7"/>
  <c r="J609" i="7"/>
  <c r="H609" i="7"/>
  <c r="E617" i="7"/>
  <c r="I617" i="7"/>
  <c r="G617" i="7"/>
  <c r="F617" i="7"/>
  <c r="E625" i="7"/>
  <c r="I625" i="7"/>
  <c r="D625" i="7"/>
  <c r="C625" i="7"/>
  <c r="E645" i="7"/>
  <c r="D645" i="7"/>
  <c r="I645" i="7"/>
  <c r="H645" i="7"/>
  <c r="E653" i="7"/>
  <c r="D653" i="7"/>
  <c r="G653" i="7"/>
  <c r="F653" i="7"/>
  <c r="E661" i="7"/>
  <c r="D661" i="7"/>
  <c r="C661" i="7"/>
  <c r="B661" i="7"/>
  <c r="J542" i="7"/>
  <c r="J552" i="7"/>
  <c r="B552" i="7"/>
  <c r="J553" i="7"/>
  <c r="J563" i="7"/>
  <c r="J574" i="7"/>
  <c r="E601" i="7"/>
  <c r="I601" i="7"/>
  <c r="C602" i="7"/>
  <c r="H602" i="7"/>
  <c r="E633" i="7"/>
  <c r="I633" i="7"/>
  <c r="C634" i="7"/>
  <c r="H634" i="7"/>
  <c r="J511" i="7"/>
  <c r="J522" i="7"/>
  <c r="J532" i="7"/>
  <c r="B532" i="7"/>
  <c r="J533" i="7"/>
  <c r="B542" i="7"/>
  <c r="J543" i="7"/>
  <c r="C552" i="7"/>
  <c r="B553" i="7"/>
  <c r="J554" i="7"/>
  <c r="B563" i="7"/>
  <c r="J564" i="7"/>
  <c r="B564" i="7"/>
  <c r="J565" i="7"/>
  <c r="B574" i="7"/>
  <c r="J575" i="7"/>
  <c r="B601" i="7"/>
  <c r="B602" i="7"/>
  <c r="G604" i="7"/>
  <c r="E604" i="7"/>
  <c r="E605" i="7"/>
  <c r="D605" i="7"/>
  <c r="C606" i="7"/>
  <c r="D606" i="7"/>
  <c r="B633" i="7"/>
  <c r="B634" i="7"/>
  <c r="G636" i="7"/>
  <c r="E636" i="7"/>
  <c r="E637" i="7"/>
  <c r="D637" i="7"/>
  <c r="C638" i="7"/>
  <c r="D638" i="7"/>
  <c r="J584" i="7"/>
  <c r="J592" i="7"/>
  <c r="J600" i="7"/>
  <c r="J608" i="7"/>
  <c r="J616" i="7"/>
  <c r="J624" i="7"/>
  <c r="J632" i="7"/>
  <c r="J640" i="7"/>
  <c r="J648" i="7"/>
  <c r="J656" i="7"/>
  <c r="I314" i="7"/>
  <c r="I322" i="7"/>
  <c r="B315" i="3"/>
  <c r="B314" i="7"/>
  <c r="J314" i="7"/>
  <c r="B322" i="7"/>
  <c r="J322" i="7"/>
  <c r="B324" i="3"/>
  <c r="C314" i="7"/>
  <c r="D315" i="3"/>
  <c r="C316" i="3"/>
  <c r="B317" i="3"/>
  <c r="J311" i="7"/>
  <c r="D326" i="7"/>
  <c r="J327" i="7"/>
  <c r="E315" i="3"/>
  <c r="D324" i="3"/>
  <c r="C325" i="3"/>
  <c r="B326" i="3"/>
  <c r="E314" i="7"/>
  <c r="I316" i="7"/>
  <c r="E326" i="7"/>
  <c r="C327" i="7"/>
  <c r="F315" i="3"/>
  <c r="E316" i="3"/>
  <c r="E324" i="3"/>
  <c r="D325" i="3"/>
  <c r="C326" i="3"/>
  <c r="B327" i="3"/>
  <c r="D311" i="7"/>
  <c r="B312" i="7"/>
  <c r="J312" i="7"/>
  <c r="F314" i="7"/>
  <c r="B316" i="7"/>
  <c r="J316" i="7"/>
  <c r="H317" i="7"/>
  <c r="F322" i="7"/>
  <c r="B324" i="7"/>
  <c r="J324" i="7"/>
  <c r="H325" i="7"/>
  <c r="F326" i="7"/>
  <c r="D327" i="7"/>
  <c r="H329" i="7"/>
  <c r="I326" i="7"/>
  <c r="B326" i="7"/>
  <c r="J326" i="7"/>
  <c r="C315" i="3"/>
  <c r="B316" i="3"/>
  <c r="I311" i="7"/>
  <c r="C326" i="7"/>
  <c r="I327" i="7"/>
  <c r="E314" i="3"/>
  <c r="C324" i="3"/>
  <c r="B325" i="3"/>
  <c r="B311" i="7"/>
  <c r="D314" i="7"/>
  <c r="B327" i="7"/>
  <c r="D316" i="3"/>
  <c r="C317" i="3"/>
  <c r="I317" i="3" s="1" a="1"/>
  <c r="I317" i="3" s="1"/>
  <c r="C311" i="7"/>
  <c r="I312" i="7"/>
  <c r="C323" i="7"/>
  <c r="I324" i="7"/>
  <c r="C311" i="3"/>
  <c r="G315" i="3"/>
  <c r="E317" i="3"/>
  <c r="C319" i="3"/>
  <c r="I319" i="3" s="1" a="1"/>
  <c r="I319" i="3" s="1"/>
  <c r="F324" i="3"/>
  <c r="E325" i="3"/>
  <c r="D326" i="3"/>
  <c r="H296" i="2"/>
  <c r="A295" i="3"/>
  <c r="B295" i="3" s="1"/>
  <c r="E296" i="2"/>
  <c r="F296" i="2"/>
  <c r="C296" i="2"/>
  <c r="G296" i="2"/>
  <c r="I296" i="2"/>
  <c r="G18" i="2"/>
  <c r="B18" i="2"/>
  <c r="J28" i="2"/>
  <c r="F28" i="2"/>
  <c r="A79" i="3"/>
  <c r="F79" i="3" s="1"/>
  <c r="I80" i="2"/>
  <c r="G80" i="2"/>
  <c r="A59" i="7"/>
  <c r="D59" i="7" s="1"/>
  <c r="I60" i="2"/>
  <c r="B80" i="2"/>
  <c r="I169" i="2"/>
  <c r="H169" i="2"/>
  <c r="C196" i="2"/>
  <c r="I196" i="2"/>
  <c r="I8" i="2"/>
  <c r="B12" i="2"/>
  <c r="J13" i="2"/>
  <c r="E13" i="2"/>
  <c r="F14" i="2"/>
  <c r="E18" i="2"/>
  <c r="C28" i="2"/>
  <c r="I29" i="2"/>
  <c r="H47" i="2"/>
  <c r="F47" i="2"/>
  <c r="B54" i="2"/>
  <c r="B60" i="2"/>
  <c r="I61" i="2"/>
  <c r="J61" i="2"/>
  <c r="F61" i="2"/>
  <c r="A69" i="7"/>
  <c r="H69" i="7" s="1"/>
  <c r="B70" i="2"/>
  <c r="E80" i="2"/>
  <c r="I83" i="2"/>
  <c r="A82" i="3"/>
  <c r="F82" i="3" s="1"/>
  <c r="H83" i="2"/>
  <c r="F95" i="2"/>
  <c r="C100" i="2"/>
  <c r="B101" i="2"/>
  <c r="B102" i="2"/>
  <c r="H111" i="2"/>
  <c r="E111" i="2"/>
  <c r="B111" i="2"/>
  <c r="A117" i="7"/>
  <c r="E117" i="7" s="1"/>
  <c r="A117" i="3"/>
  <c r="C117" i="3" s="1"/>
  <c r="G118" i="2"/>
  <c r="E118" i="2"/>
  <c r="H132" i="2"/>
  <c r="F132" i="2"/>
  <c r="J136" i="2"/>
  <c r="F153" i="2"/>
  <c r="G153" i="2"/>
  <c r="B153" i="2"/>
  <c r="B169" i="2"/>
  <c r="C170" i="2"/>
  <c r="B175" i="2"/>
  <c r="F175" i="2"/>
  <c r="C175" i="2"/>
  <c r="B192" i="2"/>
  <c r="G192" i="2"/>
  <c r="E192" i="2"/>
  <c r="G195" i="2"/>
  <c r="J195" i="2"/>
  <c r="B196" i="2"/>
  <c r="G208" i="2"/>
  <c r="I211" i="2"/>
  <c r="A229" i="7"/>
  <c r="G229" i="7" s="1"/>
  <c r="H230" i="2"/>
  <c r="I230" i="2"/>
  <c r="G230" i="2"/>
  <c r="F230" i="2"/>
  <c r="A17" i="3"/>
  <c r="D17" i="3" s="1"/>
  <c r="A61" i="7"/>
  <c r="B61" i="7" s="1"/>
  <c r="A61" i="3"/>
  <c r="F61" i="3" s="1"/>
  <c r="H62" i="2"/>
  <c r="F62" i="2"/>
  <c r="J103" i="2"/>
  <c r="E154" i="2"/>
  <c r="J154" i="2"/>
  <c r="C154" i="2"/>
  <c r="I40" i="2"/>
  <c r="E40" i="2"/>
  <c r="A75" i="7"/>
  <c r="I75" i="7" s="1"/>
  <c r="B76" i="2"/>
  <c r="I76" i="2"/>
  <c r="A83" i="7"/>
  <c r="D83" i="7" s="1"/>
  <c r="H84" i="2"/>
  <c r="F84" i="2"/>
  <c r="A93" i="7"/>
  <c r="I93" i="7" s="1"/>
  <c r="I94" i="2"/>
  <c r="G94" i="2"/>
  <c r="I156" i="2"/>
  <c r="G156" i="2"/>
  <c r="H211" i="2"/>
  <c r="H292" i="2"/>
  <c r="I292" i="2"/>
  <c r="B292" i="2"/>
  <c r="J8" i="2"/>
  <c r="F13" i="2"/>
  <c r="F18" i="2"/>
  <c r="E28" i="2"/>
  <c r="C33" i="2"/>
  <c r="B34" i="2"/>
  <c r="B36" i="2"/>
  <c r="J39" i="2"/>
  <c r="C39" i="2"/>
  <c r="G40" i="2"/>
  <c r="A43" i="3"/>
  <c r="D43" i="3" s="1"/>
  <c r="H44" i="2"/>
  <c r="A43" i="7"/>
  <c r="E43" i="7" s="1"/>
  <c r="B46" i="2"/>
  <c r="B47" i="2"/>
  <c r="B52" i="2"/>
  <c r="J53" i="2"/>
  <c r="C53" i="2"/>
  <c r="F54" i="2"/>
  <c r="C60" i="2"/>
  <c r="B61" i="2"/>
  <c r="G62" i="2"/>
  <c r="E70" i="2"/>
  <c r="E76" i="2"/>
  <c r="H80" i="2"/>
  <c r="C83" i="2"/>
  <c r="C84" i="2"/>
  <c r="A89" i="3"/>
  <c r="F89" i="3" s="1"/>
  <c r="B90" i="2"/>
  <c r="E94" i="2"/>
  <c r="J95" i="2"/>
  <c r="E100" i="2"/>
  <c r="C101" i="2"/>
  <c r="H103" i="2"/>
  <c r="A109" i="7"/>
  <c r="D109" i="7" s="1"/>
  <c r="G110" i="2"/>
  <c r="A109" i="3"/>
  <c r="C109" i="3" s="1"/>
  <c r="E110" i="2"/>
  <c r="C111" i="2"/>
  <c r="B118" i="2"/>
  <c r="J122" i="2"/>
  <c r="B132" i="2"/>
  <c r="I145" i="2"/>
  <c r="E145" i="2"/>
  <c r="H145" i="2"/>
  <c r="E153" i="2"/>
  <c r="E156" i="2"/>
  <c r="I164" i="2"/>
  <c r="E164" i="2"/>
  <c r="C164" i="2"/>
  <c r="E169" i="2"/>
  <c r="F170" i="2"/>
  <c r="E175" i="2"/>
  <c r="F192" i="2"/>
  <c r="C195" i="2"/>
  <c r="E196" i="2"/>
  <c r="C205" i="2"/>
  <c r="I210" i="2"/>
  <c r="C210" i="2"/>
  <c r="C214" i="2"/>
  <c r="A213" i="3"/>
  <c r="F213" i="3" s="1"/>
  <c r="E214" i="2"/>
  <c r="C230" i="2"/>
  <c r="E243" i="2"/>
  <c r="I258" i="2"/>
  <c r="A271" i="7"/>
  <c r="F271" i="7" s="1"/>
  <c r="H272" i="2"/>
  <c r="I272" i="2"/>
  <c r="G272" i="2"/>
  <c r="F272" i="2"/>
  <c r="A169" i="3"/>
  <c r="E169" i="3" s="1"/>
  <c r="A209" i="3"/>
  <c r="C209" i="3" s="1"/>
  <c r="H14" i="2"/>
  <c r="E14" i="2"/>
  <c r="A11" i="7"/>
  <c r="D11" i="7" s="1"/>
  <c r="A11" i="3"/>
  <c r="F11" i="3" s="1"/>
  <c r="E12" i="2"/>
  <c r="I102" i="2"/>
  <c r="G102" i="2"/>
  <c r="C103" i="2"/>
  <c r="B237" i="2"/>
  <c r="I237" i="2"/>
  <c r="A83" i="3"/>
  <c r="C83" i="3" s="1"/>
  <c r="H6" i="2"/>
  <c r="A5" i="3"/>
  <c r="C5" i="3" s="1"/>
  <c r="B6" i="2"/>
  <c r="F12" i="2"/>
  <c r="H13" i="2"/>
  <c r="I14" i="2"/>
  <c r="H16" i="2"/>
  <c r="I18" i="2"/>
  <c r="H22" i="2"/>
  <c r="E22" i="2"/>
  <c r="G28" i="2"/>
  <c r="E32" i="2"/>
  <c r="E33" i="2"/>
  <c r="C36" i="2"/>
  <c r="B37" i="2"/>
  <c r="B38" i="2"/>
  <c r="E39" i="2"/>
  <c r="H40" i="2"/>
  <c r="B44" i="2"/>
  <c r="E46" i="2"/>
  <c r="C47" i="2"/>
  <c r="C52" i="2"/>
  <c r="F53" i="2"/>
  <c r="G54" i="2"/>
  <c r="I58" i="2"/>
  <c r="E60" i="2"/>
  <c r="C61" i="2"/>
  <c r="I62" i="2"/>
  <c r="F70" i="2"/>
  <c r="E74" i="2"/>
  <c r="F76" i="2"/>
  <c r="J80" i="2"/>
  <c r="J82" i="2"/>
  <c r="G82" i="2"/>
  <c r="F83" i="2"/>
  <c r="E84" i="2"/>
  <c r="A85" i="7"/>
  <c r="E85" i="7" s="1"/>
  <c r="A85" i="3"/>
  <c r="C85" i="3" s="1"/>
  <c r="B86" i="2"/>
  <c r="C90" i="2"/>
  <c r="F94" i="2"/>
  <c r="H97" i="2"/>
  <c r="J97" i="2"/>
  <c r="F100" i="2"/>
  <c r="F101" i="2"/>
  <c r="F102" i="2"/>
  <c r="B110" i="2"/>
  <c r="F111" i="2"/>
  <c r="F118" i="2"/>
  <c r="F124" i="2"/>
  <c r="C124" i="2"/>
  <c r="A125" i="7"/>
  <c r="J125" i="7" s="1"/>
  <c r="A125" i="3"/>
  <c r="G125" i="3" s="1"/>
  <c r="B126" i="2"/>
  <c r="C132" i="2"/>
  <c r="J139" i="2"/>
  <c r="F139" i="2"/>
  <c r="C145" i="2"/>
  <c r="H153" i="2"/>
  <c r="I155" i="2"/>
  <c r="J155" i="2"/>
  <c r="F156" i="2"/>
  <c r="H159" i="2"/>
  <c r="E159" i="2"/>
  <c r="B159" i="2"/>
  <c r="F164" i="2"/>
  <c r="F169" i="2"/>
  <c r="J170" i="2"/>
  <c r="G175" i="2"/>
  <c r="H184" i="2"/>
  <c r="B184" i="2"/>
  <c r="E191" i="2"/>
  <c r="H191" i="2"/>
  <c r="B191" i="2"/>
  <c r="H192" i="2"/>
  <c r="F195" i="2"/>
  <c r="F196" i="2"/>
  <c r="A197" i="7"/>
  <c r="H197" i="7" s="1"/>
  <c r="G198" i="2"/>
  <c r="E198" i="2"/>
  <c r="B198" i="2"/>
  <c r="J205" i="2"/>
  <c r="B210" i="2"/>
  <c r="J214" i="2"/>
  <c r="C218" i="2"/>
  <c r="B218" i="2"/>
  <c r="J218" i="2"/>
  <c r="E230" i="2"/>
  <c r="F243" i="2"/>
  <c r="C272" i="2"/>
  <c r="A130" i="3"/>
  <c r="E130" i="3" s="1"/>
  <c r="J208" i="2"/>
  <c r="I208" i="2"/>
  <c r="H208" i="2"/>
  <c r="F208" i="2"/>
  <c r="B28" i="2"/>
  <c r="B62" i="2"/>
  <c r="C189" i="2"/>
  <c r="B189" i="2"/>
  <c r="F305" i="2"/>
  <c r="G12" i="2"/>
  <c r="I13" i="2"/>
  <c r="J14" i="2"/>
  <c r="J18" i="2"/>
  <c r="A19" i="7"/>
  <c r="H19" i="7" s="1"/>
  <c r="E20" i="2"/>
  <c r="A19" i="3"/>
  <c r="E19" i="3" s="1"/>
  <c r="B22" i="2"/>
  <c r="H28" i="2"/>
  <c r="A29" i="7"/>
  <c r="F29" i="7" s="1"/>
  <c r="H30" i="2"/>
  <c r="G32" i="2"/>
  <c r="F33" i="2"/>
  <c r="E36" i="2"/>
  <c r="C37" i="2"/>
  <c r="F38" i="2"/>
  <c r="F39" i="2"/>
  <c r="J40" i="2"/>
  <c r="C44" i="2"/>
  <c r="F45" i="2"/>
  <c r="F46" i="2"/>
  <c r="E47" i="2"/>
  <c r="F52" i="2"/>
  <c r="H53" i="2"/>
  <c r="H54" i="2"/>
  <c r="J58" i="2"/>
  <c r="F60" i="2"/>
  <c r="H61" i="2"/>
  <c r="G67" i="2"/>
  <c r="G70" i="2"/>
  <c r="G74" i="2"/>
  <c r="G76" i="2"/>
  <c r="A77" i="7"/>
  <c r="G77" i="7" s="1"/>
  <c r="F78" i="2"/>
  <c r="B78" i="2"/>
  <c r="A77" i="3"/>
  <c r="B77" i="3" s="1"/>
  <c r="C82" i="2"/>
  <c r="G83" i="2"/>
  <c r="G84" i="2"/>
  <c r="E86" i="2"/>
  <c r="E90" i="2"/>
  <c r="A91" i="7"/>
  <c r="G91" i="7" s="1"/>
  <c r="G92" i="2"/>
  <c r="A91" i="3"/>
  <c r="D91" i="3" s="1"/>
  <c r="E92" i="2"/>
  <c r="H94" i="2"/>
  <c r="C97" i="2"/>
  <c r="G100" i="2"/>
  <c r="H101" i="2"/>
  <c r="H102" i="2"/>
  <c r="F110" i="2"/>
  <c r="J111" i="2"/>
  <c r="G116" i="2"/>
  <c r="E116" i="2"/>
  <c r="J117" i="2"/>
  <c r="H117" i="2"/>
  <c r="C117" i="2"/>
  <c r="H118" i="2"/>
  <c r="B124" i="2"/>
  <c r="E126" i="2"/>
  <c r="G131" i="2"/>
  <c r="E132" i="2"/>
  <c r="G139" i="2"/>
  <c r="F145" i="2"/>
  <c r="E151" i="2"/>
  <c r="B151" i="2"/>
  <c r="I153" i="2"/>
  <c r="G155" i="2"/>
  <c r="H156" i="2"/>
  <c r="C159" i="2"/>
  <c r="G164" i="2"/>
  <c r="G169" i="2"/>
  <c r="H175" i="2"/>
  <c r="J183" i="2"/>
  <c r="B183" i="2"/>
  <c r="E184" i="2"/>
  <c r="F190" i="2"/>
  <c r="G190" i="2"/>
  <c r="C190" i="2"/>
  <c r="F191" i="2"/>
  <c r="I192" i="2"/>
  <c r="H194" i="2"/>
  <c r="J194" i="2"/>
  <c r="H195" i="2"/>
  <c r="G196" i="2"/>
  <c r="C198" i="2"/>
  <c r="A206" i="3"/>
  <c r="E206" i="3" s="1"/>
  <c r="J207" i="2"/>
  <c r="I207" i="2"/>
  <c r="G207" i="2"/>
  <c r="A208" i="7"/>
  <c r="E208" i="7" s="1"/>
  <c r="G209" i="2"/>
  <c r="I209" i="2"/>
  <c r="H209" i="2"/>
  <c r="E209" i="2"/>
  <c r="J210" i="2"/>
  <c r="E272" i="2"/>
  <c r="I290" i="2"/>
  <c r="G290" i="2"/>
  <c r="F290" i="2"/>
  <c r="E290" i="2"/>
  <c r="C302" i="2"/>
  <c r="J9" i="2"/>
  <c r="A8" i="3"/>
  <c r="C8" i="3" s="1"/>
  <c r="H12" i="2"/>
  <c r="J21" i="2"/>
  <c r="E21" i="2"/>
  <c r="I28" i="2"/>
  <c r="G33" i="2"/>
  <c r="F36" i="2"/>
  <c r="G46" i="2"/>
  <c r="J47" i="2"/>
  <c r="G52" i="2"/>
  <c r="I54" i="2"/>
  <c r="G60" i="2"/>
  <c r="H70" i="2"/>
  <c r="H76" i="2"/>
  <c r="J83" i="2"/>
  <c r="I84" i="2"/>
  <c r="J96" i="2"/>
  <c r="I96" i="2"/>
  <c r="J101" i="2"/>
  <c r="I104" i="2"/>
  <c r="H104" i="2"/>
  <c r="A107" i="7"/>
  <c r="H107" i="7" s="1"/>
  <c r="A107" i="3"/>
  <c r="D107" i="3" s="1"/>
  <c r="G108" i="2"/>
  <c r="E108" i="2"/>
  <c r="I109" i="2"/>
  <c r="F109" i="2"/>
  <c r="I118" i="2"/>
  <c r="I123" i="2"/>
  <c r="F123" i="2"/>
  <c r="J130" i="2"/>
  <c r="G130" i="2"/>
  <c r="G132" i="2"/>
  <c r="B161" i="2"/>
  <c r="I161" i="2"/>
  <c r="I172" i="2"/>
  <c r="C172" i="2"/>
  <c r="I175" i="2"/>
  <c r="J192" i="2"/>
  <c r="I195" i="2"/>
  <c r="J196" i="2"/>
  <c r="A75" i="3"/>
  <c r="D75" i="3" s="1"/>
  <c r="A281" i="3"/>
  <c r="E281" i="3" s="1"/>
  <c r="A27" i="7"/>
  <c r="B27" i="7" s="1"/>
  <c r="B14" i="2"/>
  <c r="C18" i="2"/>
  <c r="C41" i="2"/>
  <c r="E95" i="2"/>
  <c r="B100" i="2"/>
  <c r="I100" i="2"/>
  <c r="F154" i="2"/>
  <c r="G6" i="2"/>
  <c r="F9" i="2"/>
  <c r="C10" i="2"/>
  <c r="I12" i="2"/>
  <c r="C20" i="2"/>
  <c r="F21" i="2"/>
  <c r="G22" i="2"/>
  <c r="G25" i="2"/>
  <c r="E30" i="2"/>
  <c r="F31" i="2"/>
  <c r="I32" i="2"/>
  <c r="J33" i="2"/>
  <c r="H36" i="2"/>
  <c r="I37" i="2"/>
  <c r="H38" i="2"/>
  <c r="F44" i="2"/>
  <c r="I45" i="2"/>
  <c r="I46" i="2"/>
  <c r="H52" i="2"/>
  <c r="H60" i="2"/>
  <c r="I70" i="2"/>
  <c r="G78" i="2"/>
  <c r="A80" i="3"/>
  <c r="B80" i="3" s="1"/>
  <c r="J81" i="2"/>
  <c r="G81" i="2"/>
  <c r="I82" i="2"/>
  <c r="G86" i="2"/>
  <c r="J90" i="2"/>
  <c r="C92" i="2"/>
  <c r="E96" i="2"/>
  <c r="F97" i="2"/>
  <c r="B104" i="2"/>
  <c r="B108" i="2"/>
  <c r="H109" i="2"/>
  <c r="I110" i="2"/>
  <c r="C116" i="2"/>
  <c r="I117" i="2"/>
  <c r="C123" i="2"/>
  <c r="G124" i="2"/>
  <c r="G126" i="2"/>
  <c r="B130" i="2"/>
  <c r="J131" i="2"/>
  <c r="I132" i="2"/>
  <c r="F134" i="2"/>
  <c r="I139" i="2"/>
  <c r="A141" i="7"/>
  <c r="J141" i="7" s="1"/>
  <c r="B142" i="2"/>
  <c r="H142" i="2"/>
  <c r="F142" i="2"/>
  <c r="F148" i="2"/>
  <c r="B148" i="2"/>
  <c r="F151" i="2"/>
  <c r="G159" i="2"/>
  <c r="E161" i="2"/>
  <c r="F167" i="2"/>
  <c r="G167" i="2"/>
  <c r="C167" i="2"/>
  <c r="E172" i="2"/>
  <c r="I173" i="2"/>
  <c r="F183" i="2"/>
  <c r="G184" i="2"/>
  <c r="E190" i="2"/>
  <c r="J191" i="2"/>
  <c r="I194" i="2"/>
  <c r="H198" i="2"/>
  <c r="J202" i="2"/>
  <c r="H202" i="2"/>
  <c r="A205" i="7"/>
  <c r="G205" i="7" s="1"/>
  <c r="F206" i="2"/>
  <c r="C206" i="2"/>
  <c r="B206" i="2"/>
  <c r="C209" i="2"/>
  <c r="J267" i="2"/>
  <c r="I267" i="2"/>
  <c r="C294" i="2"/>
  <c r="A307" i="7"/>
  <c r="B307" i="7" s="1"/>
  <c r="G308" i="2"/>
  <c r="I308" i="2"/>
  <c r="H308" i="2"/>
  <c r="F308" i="2"/>
  <c r="A116" i="3"/>
  <c r="F116" i="3" s="1"/>
  <c r="A221" i="7"/>
  <c r="H221" i="7" s="1"/>
  <c r="E222" i="2"/>
  <c r="F241" i="2"/>
  <c r="J257" i="2"/>
  <c r="A279" i="7"/>
  <c r="J279" i="7" s="1"/>
  <c r="F280" i="2"/>
  <c r="A221" i="3"/>
  <c r="B221" i="3" s="1"/>
  <c r="J203" i="2"/>
  <c r="I204" i="2"/>
  <c r="H222" i="2"/>
  <c r="I238" i="2"/>
  <c r="F249" i="2"/>
  <c r="G252" i="2"/>
  <c r="H260" i="2"/>
  <c r="H280" i="2"/>
  <c r="A279" i="3"/>
  <c r="B279" i="3" s="1"/>
  <c r="J89" i="2"/>
  <c r="A88" i="3"/>
  <c r="E88" i="3" s="1"/>
  <c r="J129" i="2"/>
  <c r="C140" i="2"/>
  <c r="E180" i="2"/>
  <c r="F187" i="2"/>
  <c r="C188" i="2"/>
  <c r="E199" i="2"/>
  <c r="F200" i="2"/>
  <c r="J220" i="2"/>
  <c r="H220" i="2"/>
  <c r="A224" i="7"/>
  <c r="J224" i="7" s="1"/>
  <c r="E225" i="2"/>
  <c r="C229" i="2"/>
  <c r="B241" i="2"/>
  <c r="I249" i="2"/>
  <c r="B257" i="2"/>
  <c r="A263" i="7"/>
  <c r="E263" i="7" s="1"/>
  <c r="A263" i="3"/>
  <c r="D263" i="3" s="1"/>
  <c r="E264" i="2"/>
  <c r="A275" i="7"/>
  <c r="I275" i="7" s="1"/>
  <c r="I276" i="2"/>
  <c r="A283" i="7"/>
  <c r="C283" i="7" s="1"/>
  <c r="F284" i="2"/>
  <c r="G288" i="2"/>
  <c r="F295" i="2"/>
  <c r="E306" i="2"/>
  <c r="A25" i="3"/>
  <c r="D25" i="3" s="1"/>
  <c r="A225" i="3"/>
  <c r="F225" i="3" s="1"/>
  <c r="B226" i="2"/>
  <c r="C241" i="2"/>
  <c r="A302" i="7"/>
  <c r="B302" i="7" s="1"/>
  <c r="C303" i="2"/>
  <c r="A216" i="3"/>
  <c r="C216" i="3" s="1"/>
  <c r="A299" i="3"/>
  <c r="D299" i="3" s="1"/>
  <c r="A293" i="3"/>
  <c r="E293" i="3" s="1"/>
  <c r="A113" i="7"/>
  <c r="A113" i="3"/>
  <c r="H114" i="2"/>
  <c r="F114" i="2"/>
  <c r="I114" i="2"/>
  <c r="G114" i="2"/>
  <c r="E114" i="2"/>
  <c r="C114" i="2"/>
  <c r="B114" i="2"/>
  <c r="A119" i="7"/>
  <c r="F120" i="2"/>
  <c r="C120" i="2"/>
  <c r="J120" i="2"/>
  <c r="I120" i="2"/>
  <c r="H120" i="2"/>
  <c r="G120" i="2"/>
  <c r="E120" i="2"/>
  <c r="A119" i="3"/>
  <c r="A227" i="7"/>
  <c r="I228" i="2"/>
  <c r="H228" i="2"/>
  <c r="J228" i="2"/>
  <c r="G228" i="2"/>
  <c r="F228" i="2"/>
  <c r="A227" i="3"/>
  <c r="E228" i="2"/>
  <c r="B274" i="2"/>
  <c r="A296" i="7"/>
  <c r="I297" i="2"/>
  <c r="A296" i="3"/>
  <c r="H297" i="2"/>
  <c r="G297" i="2"/>
  <c r="F297" i="2"/>
  <c r="E297" i="2"/>
  <c r="C297" i="2"/>
  <c r="A22" i="7"/>
  <c r="A22" i="3"/>
  <c r="I23" i="2"/>
  <c r="H23" i="2"/>
  <c r="G23" i="2"/>
  <c r="F23" i="2"/>
  <c r="E23" i="2"/>
  <c r="C23" i="2"/>
  <c r="A47" i="7"/>
  <c r="A47" i="3"/>
  <c r="F48" i="2"/>
  <c r="C48" i="2"/>
  <c r="J48" i="2"/>
  <c r="I48" i="2"/>
  <c r="H48" i="2"/>
  <c r="G48" i="2"/>
  <c r="A90" i="7"/>
  <c r="E91" i="2"/>
  <c r="A90" i="3"/>
  <c r="B91" i="2"/>
  <c r="J91" i="2"/>
  <c r="I91" i="2"/>
  <c r="H91" i="2"/>
  <c r="G91" i="2"/>
  <c r="A98" i="7"/>
  <c r="A98" i="3"/>
  <c r="E99" i="2"/>
  <c r="B99" i="2"/>
  <c r="J99" i="2"/>
  <c r="I99" i="2"/>
  <c r="H99" i="2"/>
  <c r="G99" i="2"/>
  <c r="F99" i="2"/>
  <c r="C105" i="2"/>
  <c r="A106" i="7"/>
  <c r="A106" i="3"/>
  <c r="E107" i="2"/>
  <c r="B107" i="2"/>
  <c r="I107" i="2"/>
  <c r="H107" i="2"/>
  <c r="G107" i="2"/>
  <c r="F107" i="2"/>
  <c r="C107" i="2"/>
  <c r="E112" i="2"/>
  <c r="J114" i="2"/>
  <c r="B120" i="2"/>
  <c r="A126" i="7"/>
  <c r="A126" i="3"/>
  <c r="I127" i="2"/>
  <c r="G127" i="2"/>
  <c r="J127" i="2"/>
  <c r="H127" i="2"/>
  <c r="F127" i="2"/>
  <c r="E127" i="2"/>
  <c r="C127" i="2"/>
  <c r="A145" i="7"/>
  <c r="A145" i="3"/>
  <c r="H146" i="2"/>
  <c r="G146" i="2"/>
  <c r="F146" i="2"/>
  <c r="J146" i="2"/>
  <c r="I146" i="2"/>
  <c r="E146" i="2"/>
  <c r="C146" i="2"/>
  <c r="B146" i="2"/>
  <c r="A162" i="7"/>
  <c r="A162" i="3"/>
  <c r="F163" i="2"/>
  <c r="E163" i="2"/>
  <c r="C163" i="2"/>
  <c r="J163" i="2"/>
  <c r="I163" i="2"/>
  <c r="H163" i="2"/>
  <c r="G163" i="2"/>
  <c r="A165" i="3"/>
  <c r="A165" i="7"/>
  <c r="E166" i="2"/>
  <c r="C166" i="2"/>
  <c r="B166" i="2"/>
  <c r="J166" i="2"/>
  <c r="I166" i="2"/>
  <c r="H166" i="2"/>
  <c r="G166" i="2"/>
  <c r="A185" i="7"/>
  <c r="A185" i="3"/>
  <c r="F186" i="2"/>
  <c r="G186" i="2"/>
  <c r="E186" i="2"/>
  <c r="C186" i="2"/>
  <c r="J186" i="2"/>
  <c r="I186" i="2"/>
  <c r="H186" i="2"/>
  <c r="B186" i="2"/>
  <c r="A196" i="7"/>
  <c r="E197" i="2"/>
  <c r="A196" i="3"/>
  <c r="I197" i="2"/>
  <c r="H197" i="2"/>
  <c r="G197" i="2"/>
  <c r="J197" i="2"/>
  <c r="F197" i="2"/>
  <c r="C197" i="2"/>
  <c r="A222" i="7"/>
  <c r="H223" i="2"/>
  <c r="G223" i="2"/>
  <c r="F223" i="2"/>
  <c r="A222" i="3"/>
  <c r="E223" i="2"/>
  <c r="C223" i="2"/>
  <c r="J223" i="2"/>
  <c r="I223" i="2"/>
  <c r="B223" i="2"/>
  <c r="B228" i="2"/>
  <c r="A252" i="7"/>
  <c r="A252" i="3"/>
  <c r="I253" i="2"/>
  <c r="H253" i="2"/>
  <c r="F253" i="2"/>
  <c r="E253" i="2"/>
  <c r="C253" i="2"/>
  <c r="J253" i="2"/>
  <c r="I274" i="2"/>
  <c r="A280" i="7"/>
  <c r="A280" i="3"/>
  <c r="I281" i="2"/>
  <c r="H281" i="2"/>
  <c r="F281" i="2"/>
  <c r="E281" i="2"/>
  <c r="C281" i="2"/>
  <c r="G281" i="2"/>
  <c r="A286" i="7"/>
  <c r="E286" i="7" s="1"/>
  <c r="E287" i="2"/>
  <c r="C287" i="2"/>
  <c r="I287" i="2"/>
  <c r="G287" i="2"/>
  <c r="B287" i="2"/>
  <c r="B297" i="2"/>
  <c r="A300" i="7"/>
  <c r="I301" i="2"/>
  <c r="H301" i="2"/>
  <c r="A300" i="3"/>
  <c r="G301" i="2"/>
  <c r="F301" i="2"/>
  <c r="E301" i="2"/>
  <c r="A309" i="7"/>
  <c r="F310" i="2"/>
  <c r="E310" i="2"/>
  <c r="C310" i="2"/>
  <c r="I310" i="2"/>
  <c r="H310" i="2"/>
  <c r="G310" i="2"/>
  <c r="A309" i="3"/>
  <c r="A14" i="7"/>
  <c r="A14" i="3"/>
  <c r="I15" i="2"/>
  <c r="H15" i="2"/>
  <c r="G15" i="2"/>
  <c r="F15" i="2"/>
  <c r="E15" i="2"/>
  <c r="C15" i="2"/>
  <c r="A41" i="7"/>
  <c r="A41" i="3"/>
  <c r="H42" i="2"/>
  <c r="F42" i="2"/>
  <c r="J42" i="2"/>
  <c r="I42" i="2"/>
  <c r="G42" i="2"/>
  <c r="E42" i="2"/>
  <c r="C42" i="2"/>
  <c r="A159" i="7"/>
  <c r="A159" i="3"/>
  <c r="G160" i="2"/>
  <c r="F160" i="2"/>
  <c r="E160" i="2"/>
  <c r="J160" i="2"/>
  <c r="I160" i="2"/>
  <c r="H160" i="2"/>
  <c r="A10" i="7"/>
  <c r="E11" i="2"/>
  <c r="A10" i="3"/>
  <c r="I11" i="2"/>
  <c r="H11" i="2"/>
  <c r="G11" i="2"/>
  <c r="F11" i="2"/>
  <c r="C11" i="2"/>
  <c r="B15" i="2"/>
  <c r="J64" i="2"/>
  <c r="A70" i="7"/>
  <c r="A70" i="3"/>
  <c r="I71" i="2"/>
  <c r="G71" i="2"/>
  <c r="H71" i="2"/>
  <c r="F71" i="2"/>
  <c r="E71" i="2"/>
  <c r="C71" i="2"/>
  <c r="B71" i="2"/>
  <c r="J11" i="2"/>
  <c r="A18" i="7"/>
  <c r="A18" i="3"/>
  <c r="E19" i="2"/>
  <c r="I19" i="2"/>
  <c r="H19" i="2"/>
  <c r="G19" i="2"/>
  <c r="F19" i="2"/>
  <c r="C19" i="2"/>
  <c r="B23" i="2"/>
  <c r="A40" i="7"/>
  <c r="A40" i="3"/>
  <c r="B41" i="2"/>
  <c r="I41" i="2"/>
  <c r="J41" i="2"/>
  <c r="H41" i="2"/>
  <c r="G41" i="2"/>
  <c r="F41" i="2"/>
  <c r="B48" i="2"/>
  <c r="A49" i="7"/>
  <c r="A49" i="3"/>
  <c r="H50" i="2"/>
  <c r="F50" i="2"/>
  <c r="I50" i="2"/>
  <c r="G50" i="2"/>
  <c r="E50" i="2"/>
  <c r="C50" i="2"/>
  <c r="B50" i="2"/>
  <c r="A55" i="7"/>
  <c r="A55" i="3"/>
  <c r="F56" i="2"/>
  <c r="C56" i="2"/>
  <c r="J56" i="2"/>
  <c r="I56" i="2"/>
  <c r="H56" i="2"/>
  <c r="G56" i="2"/>
  <c r="E56" i="2"/>
  <c r="A68" i="7"/>
  <c r="G69" i="2"/>
  <c r="E69" i="2"/>
  <c r="A68" i="3"/>
  <c r="J69" i="2"/>
  <c r="I69" i="2"/>
  <c r="H69" i="2"/>
  <c r="F69" i="2"/>
  <c r="A76" i="7"/>
  <c r="G77" i="2"/>
  <c r="A76" i="3"/>
  <c r="E77" i="2"/>
  <c r="J77" i="2"/>
  <c r="I77" i="2"/>
  <c r="H77" i="2"/>
  <c r="F77" i="2"/>
  <c r="C77" i="2"/>
  <c r="C91" i="2"/>
  <c r="C99" i="2"/>
  <c r="J107" i="2"/>
  <c r="B127" i="2"/>
  <c r="B163" i="2"/>
  <c r="F166" i="2"/>
  <c r="A192" i="3"/>
  <c r="I193" i="2"/>
  <c r="H193" i="2"/>
  <c r="G193" i="2"/>
  <c r="F193" i="2"/>
  <c r="J193" i="2"/>
  <c r="E193" i="2"/>
  <c r="B197" i="2"/>
  <c r="C228" i="2"/>
  <c r="B253" i="2"/>
  <c r="B281" i="2"/>
  <c r="A284" i="7"/>
  <c r="I285" i="2"/>
  <c r="H285" i="2"/>
  <c r="A284" i="3"/>
  <c r="F285" i="2"/>
  <c r="E285" i="2"/>
  <c r="C285" i="2"/>
  <c r="B301" i="2"/>
  <c r="B310" i="2"/>
  <c r="B42" i="2"/>
  <c r="A26" i="7"/>
  <c r="E27" i="2"/>
  <c r="B27" i="2"/>
  <c r="A26" i="3"/>
  <c r="J27" i="2"/>
  <c r="I27" i="2"/>
  <c r="H27" i="2"/>
  <c r="G27" i="2"/>
  <c r="A34" i="7"/>
  <c r="A34" i="3"/>
  <c r="E35" i="2"/>
  <c r="B35" i="2"/>
  <c r="J35" i="2"/>
  <c r="I35" i="2"/>
  <c r="H35" i="2"/>
  <c r="G35" i="2"/>
  <c r="F35" i="2"/>
  <c r="A42" i="7"/>
  <c r="A42" i="3"/>
  <c r="E43" i="2"/>
  <c r="B43" i="2"/>
  <c r="I43" i="2"/>
  <c r="H43" i="2"/>
  <c r="G43" i="2"/>
  <c r="F43" i="2"/>
  <c r="C43" i="2"/>
  <c r="A62" i="7"/>
  <c r="A62" i="3"/>
  <c r="I63" i="2"/>
  <c r="G63" i="2"/>
  <c r="J63" i="2"/>
  <c r="H63" i="2"/>
  <c r="F63" i="2"/>
  <c r="E63" i="2"/>
  <c r="C63" i="2"/>
  <c r="A118" i="7"/>
  <c r="A118" i="3"/>
  <c r="I119" i="2"/>
  <c r="G119" i="2"/>
  <c r="J119" i="2"/>
  <c r="H119" i="2"/>
  <c r="F119" i="2"/>
  <c r="E119" i="2"/>
  <c r="A142" i="7"/>
  <c r="A142" i="3"/>
  <c r="I143" i="2"/>
  <c r="H143" i="2"/>
  <c r="G143" i="2"/>
  <c r="J143" i="2"/>
  <c r="F143" i="2"/>
  <c r="E143" i="2"/>
  <c r="C143" i="2"/>
  <c r="B143" i="2"/>
  <c r="A235" i="7"/>
  <c r="I236" i="2"/>
  <c r="H236" i="2"/>
  <c r="G236" i="2"/>
  <c r="F236" i="2"/>
  <c r="E236" i="2"/>
  <c r="J236" i="2"/>
  <c r="C236" i="2"/>
  <c r="B236" i="2"/>
  <c r="A258" i="7"/>
  <c r="A258" i="3"/>
  <c r="E259" i="2"/>
  <c r="C259" i="2"/>
  <c r="H259" i="2"/>
  <c r="G259" i="2"/>
  <c r="F259" i="2"/>
  <c r="J259" i="2"/>
  <c r="I259" i="2"/>
  <c r="A265" i="7"/>
  <c r="G266" i="2"/>
  <c r="A265" i="3"/>
  <c r="F266" i="2"/>
  <c r="H266" i="2"/>
  <c r="E266" i="2"/>
  <c r="C266" i="2"/>
  <c r="J266" i="2"/>
  <c r="I266" i="2"/>
  <c r="B266" i="2"/>
  <c r="B285" i="2"/>
  <c r="C301" i="2"/>
  <c r="A63" i="7"/>
  <c r="F64" i="2"/>
  <c r="C64" i="2"/>
  <c r="I64" i="2"/>
  <c r="H64" i="2"/>
  <c r="G64" i="2"/>
  <c r="E64" i="2"/>
  <c r="B64" i="2"/>
  <c r="A132" i="7"/>
  <c r="A132" i="3"/>
  <c r="G133" i="2"/>
  <c r="E133" i="2"/>
  <c r="J133" i="2"/>
  <c r="I133" i="2"/>
  <c r="H133" i="2"/>
  <c r="F133" i="2"/>
  <c r="A273" i="7"/>
  <c r="G274" i="2"/>
  <c r="F274" i="2"/>
  <c r="H274" i="2"/>
  <c r="E274" i="2"/>
  <c r="C274" i="2"/>
  <c r="A104" i="7"/>
  <c r="A104" i="3"/>
  <c r="B105" i="2"/>
  <c r="I105" i="2"/>
  <c r="J105" i="2"/>
  <c r="H105" i="2"/>
  <c r="G105" i="2"/>
  <c r="F105" i="2"/>
  <c r="A254" i="7"/>
  <c r="A254" i="3"/>
  <c r="E255" i="2"/>
  <c r="C255" i="2"/>
  <c r="H255" i="2"/>
  <c r="G255" i="2"/>
  <c r="F255" i="2"/>
  <c r="J255" i="2"/>
  <c r="I255" i="2"/>
  <c r="B255" i="2"/>
  <c r="A97" i="7"/>
  <c r="A97" i="3"/>
  <c r="H98" i="2"/>
  <c r="F98" i="2"/>
  <c r="J98" i="2"/>
  <c r="I98" i="2"/>
  <c r="G98" i="2"/>
  <c r="E98" i="2"/>
  <c r="A112" i="7"/>
  <c r="B113" i="2"/>
  <c r="A112" i="3"/>
  <c r="I113" i="2"/>
  <c r="J113" i="2"/>
  <c r="H113" i="2"/>
  <c r="G113" i="2"/>
  <c r="F113" i="2"/>
  <c r="E113" i="2"/>
  <c r="A120" i="7"/>
  <c r="A120" i="3"/>
  <c r="B121" i="2"/>
  <c r="I121" i="2"/>
  <c r="H121" i="2"/>
  <c r="G121" i="2"/>
  <c r="F121" i="2"/>
  <c r="E121" i="2"/>
  <c r="C121" i="2"/>
  <c r="A146" i="7"/>
  <c r="A146" i="3"/>
  <c r="E147" i="2"/>
  <c r="C147" i="2"/>
  <c r="B147" i="2"/>
  <c r="J147" i="2"/>
  <c r="I147" i="2"/>
  <c r="H147" i="2"/>
  <c r="G147" i="2"/>
  <c r="F147" i="2"/>
  <c r="A223" i="7"/>
  <c r="E224" i="2"/>
  <c r="A223" i="3"/>
  <c r="C224" i="2"/>
  <c r="G224" i="2"/>
  <c r="F224" i="2"/>
  <c r="B224" i="2"/>
  <c r="J224" i="2"/>
  <c r="A226" i="7"/>
  <c r="A226" i="3"/>
  <c r="C227" i="2"/>
  <c r="B227" i="2"/>
  <c r="J227" i="2"/>
  <c r="I227" i="2"/>
  <c r="H227" i="2"/>
  <c r="G227" i="2"/>
  <c r="F227" i="2"/>
  <c r="A262" i="7"/>
  <c r="E263" i="2"/>
  <c r="C263" i="2"/>
  <c r="H263" i="2"/>
  <c r="G263" i="2"/>
  <c r="F263" i="2"/>
  <c r="A262" i="3"/>
  <c r="J263" i="2"/>
  <c r="A111" i="7"/>
  <c r="A111" i="3"/>
  <c r="F112" i="2"/>
  <c r="C112" i="2"/>
  <c r="J112" i="2"/>
  <c r="I112" i="2"/>
  <c r="H112" i="2"/>
  <c r="G112" i="2"/>
  <c r="B160" i="2"/>
  <c r="A6" i="7"/>
  <c r="A6" i="3"/>
  <c r="I7" i="2"/>
  <c r="H7" i="2"/>
  <c r="G7" i="2"/>
  <c r="F7" i="2"/>
  <c r="E7" i="2"/>
  <c r="C7" i="2"/>
  <c r="F27" i="2"/>
  <c r="A54" i="7"/>
  <c r="A54" i="3"/>
  <c r="I55" i="2"/>
  <c r="G55" i="2"/>
  <c r="J55" i="2"/>
  <c r="H55" i="2"/>
  <c r="F55" i="2"/>
  <c r="E55" i="2"/>
  <c r="G85" i="2"/>
  <c r="A84" i="3"/>
  <c r="E85" i="2"/>
  <c r="A84" i="7"/>
  <c r="I85" i="2"/>
  <c r="H85" i="2"/>
  <c r="F85" i="2"/>
  <c r="C85" i="2"/>
  <c r="B85" i="2"/>
  <c r="B98" i="2"/>
  <c r="A105" i="7"/>
  <c r="A105" i="3"/>
  <c r="H106" i="2"/>
  <c r="F106" i="2"/>
  <c r="J106" i="2"/>
  <c r="I106" i="2"/>
  <c r="G106" i="2"/>
  <c r="E106" i="2"/>
  <c r="C106" i="2"/>
  <c r="C113" i="2"/>
  <c r="C119" i="2"/>
  <c r="J121" i="2"/>
  <c r="F128" i="2"/>
  <c r="C128" i="2"/>
  <c r="A127" i="7"/>
  <c r="I128" i="2"/>
  <c r="H128" i="2"/>
  <c r="G128" i="2"/>
  <c r="A127" i="3"/>
  <c r="E128" i="2"/>
  <c r="B128" i="2"/>
  <c r="A134" i="7"/>
  <c r="A134" i="3"/>
  <c r="I135" i="2"/>
  <c r="G135" i="2"/>
  <c r="H135" i="2"/>
  <c r="F135" i="2"/>
  <c r="E135" i="2"/>
  <c r="C135" i="2"/>
  <c r="B135" i="2"/>
  <c r="A161" i="7"/>
  <c r="A161" i="3"/>
  <c r="I162" i="2"/>
  <c r="H162" i="2"/>
  <c r="G162" i="2"/>
  <c r="J162" i="2"/>
  <c r="F162" i="2"/>
  <c r="E162" i="2"/>
  <c r="C162" i="2"/>
  <c r="A164" i="7"/>
  <c r="A164" i="3"/>
  <c r="H165" i="2"/>
  <c r="G165" i="2"/>
  <c r="F165" i="2"/>
  <c r="J165" i="2"/>
  <c r="I165" i="2"/>
  <c r="E165" i="2"/>
  <c r="C165" i="2"/>
  <c r="A220" i="7"/>
  <c r="A220" i="3"/>
  <c r="F221" i="2"/>
  <c r="J221" i="2"/>
  <c r="I221" i="2"/>
  <c r="H221" i="2"/>
  <c r="G221" i="2"/>
  <c r="E221" i="2"/>
  <c r="C221" i="2"/>
  <c r="B221" i="2"/>
  <c r="H224" i="2"/>
  <c r="E227" i="2"/>
  <c r="B263" i="2"/>
  <c r="B133" i="2"/>
  <c r="B7" i="2"/>
  <c r="A33" i="7"/>
  <c r="A33" i="3"/>
  <c r="H34" i="2"/>
  <c r="F34" i="2"/>
  <c r="J34" i="2"/>
  <c r="I34" i="2"/>
  <c r="G34" i="2"/>
  <c r="E34" i="2"/>
  <c r="A48" i="7"/>
  <c r="A48" i="3"/>
  <c r="B49" i="2"/>
  <c r="I49" i="2"/>
  <c r="J49" i="2"/>
  <c r="H49" i="2"/>
  <c r="G49" i="2"/>
  <c r="F49" i="2"/>
  <c r="E49" i="2"/>
  <c r="B55" i="2"/>
  <c r="A56" i="7"/>
  <c r="B57" i="2"/>
  <c r="I57" i="2"/>
  <c r="H57" i="2"/>
  <c r="G57" i="2"/>
  <c r="F57" i="2"/>
  <c r="A56" i="3"/>
  <c r="E57" i="2"/>
  <c r="C57" i="2"/>
  <c r="J85" i="2"/>
  <c r="C98" i="2"/>
  <c r="B106" i="2"/>
  <c r="J128" i="2"/>
  <c r="J135" i="2"/>
  <c r="A140" i="3"/>
  <c r="G141" i="2"/>
  <c r="F141" i="2"/>
  <c r="E141" i="2"/>
  <c r="A140" i="7"/>
  <c r="J141" i="2"/>
  <c r="I141" i="2"/>
  <c r="H141" i="2"/>
  <c r="C141" i="2"/>
  <c r="A143" i="7"/>
  <c r="A143" i="3"/>
  <c r="F144" i="2"/>
  <c r="E144" i="2"/>
  <c r="C144" i="2"/>
  <c r="J144" i="2"/>
  <c r="I144" i="2"/>
  <c r="H144" i="2"/>
  <c r="G144" i="2"/>
  <c r="B144" i="2"/>
  <c r="B162" i="2"/>
  <c r="B165" i="2"/>
  <c r="I224" i="2"/>
  <c r="A236" i="7"/>
  <c r="A236" i="3"/>
  <c r="F237" i="2"/>
  <c r="E237" i="2"/>
  <c r="H237" i="2"/>
  <c r="G237" i="2"/>
  <c r="C237" i="2"/>
  <c r="J237" i="2"/>
  <c r="A241" i="7"/>
  <c r="A241" i="3"/>
  <c r="G242" i="2"/>
  <c r="F242" i="2"/>
  <c r="J242" i="2"/>
  <c r="I242" i="2"/>
  <c r="H242" i="2"/>
  <c r="E242" i="2"/>
  <c r="C242" i="2"/>
  <c r="I263" i="2"/>
  <c r="A269" i="7"/>
  <c r="G270" i="2"/>
  <c r="F270" i="2"/>
  <c r="A269" i="3"/>
  <c r="H270" i="2"/>
  <c r="E270" i="2"/>
  <c r="C270" i="2"/>
  <c r="I270" i="2"/>
  <c r="A276" i="7"/>
  <c r="I277" i="2"/>
  <c r="H277" i="2"/>
  <c r="A276" i="3"/>
  <c r="F277" i="2"/>
  <c r="E277" i="2"/>
  <c r="C277" i="2"/>
  <c r="G277" i="2"/>
  <c r="B277" i="2"/>
  <c r="A304" i="7"/>
  <c r="E305" i="2"/>
  <c r="C305" i="2"/>
  <c r="B305" i="2"/>
  <c r="I305" i="2"/>
  <c r="H305" i="2"/>
  <c r="G305" i="2"/>
  <c r="A15" i="7"/>
  <c r="A15" i="3"/>
  <c r="F16" i="2"/>
  <c r="A23" i="7"/>
  <c r="F24" i="2"/>
  <c r="A28" i="7"/>
  <c r="G29" i="2"/>
  <c r="E29" i="2"/>
  <c r="A78" i="7"/>
  <c r="A78" i="3"/>
  <c r="I79" i="2"/>
  <c r="G79" i="2"/>
  <c r="A92" i="7"/>
  <c r="A92" i="3"/>
  <c r="G93" i="2"/>
  <c r="E93" i="2"/>
  <c r="A114" i="7"/>
  <c r="A114" i="3"/>
  <c r="E115" i="2"/>
  <c r="B115" i="2"/>
  <c r="A128" i="7"/>
  <c r="B129" i="2"/>
  <c r="I129" i="2"/>
  <c r="A149" i="7"/>
  <c r="A149" i="3"/>
  <c r="E150" i="2"/>
  <c r="C150" i="2"/>
  <c r="B150" i="2"/>
  <c r="A214" i="7"/>
  <c r="H215" i="2"/>
  <c r="E215" i="2"/>
  <c r="A214" i="3"/>
  <c r="C215" i="2"/>
  <c r="B215" i="2"/>
  <c r="A218" i="7"/>
  <c r="A218" i="3"/>
  <c r="C219" i="2"/>
  <c r="F219" i="2"/>
  <c r="E219" i="2"/>
  <c r="B219" i="2"/>
  <c r="A244" i="7"/>
  <c r="A244" i="3"/>
  <c r="F245" i="2"/>
  <c r="E245" i="2"/>
  <c r="G245" i="2"/>
  <c r="C245" i="2"/>
  <c r="B245" i="2"/>
  <c r="A250" i="7"/>
  <c r="A250" i="3"/>
  <c r="C251" i="2"/>
  <c r="H251" i="2"/>
  <c r="G251" i="2"/>
  <c r="F251" i="2"/>
  <c r="A272" i="7"/>
  <c r="I273" i="2"/>
  <c r="H273" i="2"/>
  <c r="F273" i="2"/>
  <c r="E273" i="2"/>
  <c r="A272" i="3"/>
  <c r="C273" i="2"/>
  <c r="A290" i="7"/>
  <c r="C291" i="2"/>
  <c r="B291" i="2"/>
  <c r="I291" i="2"/>
  <c r="A298" i="7"/>
  <c r="E299" i="2"/>
  <c r="C299" i="2"/>
  <c r="I299" i="2"/>
  <c r="H299" i="2"/>
  <c r="A7" i="7"/>
  <c r="F8" i="2"/>
  <c r="A7" i="3"/>
  <c r="A50" i="7"/>
  <c r="A50" i="3"/>
  <c r="E51" i="2"/>
  <c r="B51" i="2"/>
  <c r="A57" i="7"/>
  <c r="H58" i="2"/>
  <c r="F58" i="2"/>
  <c r="A64" i="7"/>
  <c r="B65" i="2"/>
  <c r="I65" i="2"/>
  <c r="A71" i="7"/>
  <c r="F72" i="2"/>
  <c r="C72" i="2"/>
  <c r="A121" i="7"/>
  <c r="H122" i="2"/>
  <c r="A121" i="3"/>
  <c r="F122" i="2"/>
  <c r="A135" i="7"/>
  <c r="F136" i="2"/>
  <c r="C136" i="2"/>
  <c r="A148" i="7"/>
  <c r="A148" i="3"/>
  <c r="H149" i="2"/>
  <c r="G149" i="2"/>
  <c r="F149" i="2"/>
  <c r="A167" i="7"/>
  <c r="A167" i="3"/>
  <c r="G168" i="2"/>
  <c r="F168" i="2"/>
  <c r="E168" i="2"/>
  <c r="A184" i="7"/>
  <c r="A184" i="3"/>
  <c r="I185" i="2"/>
  <c r="H185" i="2"/>
  <c r="G185" i="2"/>
  <c r="F185" i="2"/>
  <c r="A261" i="7"/>
  <c r="G262" i="2"/>
  <c r="F262" i="2"/>
  <c r="H262" i="2"/>
  <c r="A261" i="3"/>
  <c r="E262" i="2"/>
  <c r="C262" i="2"/>
  <c r="A282" i="7"/>
  <c r="A282" i="3"/>
  <c r="E283" i="2"/>
  <c r="C283" i="2"/>
  <c r="H283" i="2"/>
  <c r="G283" i="2"/>
  <c r="F283" i="2"/>
  <c r="A308" i="7"/>
  <c r="I309" i="2"/>
  <c r="A308" i="3"/>
  <c r="H309" i="2"/>
  <c r="G309" i="2"/>
  <c r="F309" i="2"/>
  <c r="E309" i="2"/>
  <c r="C309" i="2"/>
  <c r="A135" i="3"/>
  <c r="C200" i="3"/>
  <c r="F200" i="3"/>
  <c r="B8" i="2"/>
  <c r="B16" i="2"/>
  <c r="B24" i="2"/>
  <c r="B29" i="2"/>
  <c r="A36" i="7"/>
  <c r="A36" i="3"/>
  <c r="G37" i="2"/>
  <c r="E37" i="2"/>
  <c r="C51" i="2"/>
  <c r="B58" i="2"/>
  <c r="A58" i="7"/>
  <c r="A58" i="3"/>
  <c r="E59" i="2"/>
  <c r="B59" i="2"/>
  <c r="C65" i="2"/>
  <c r="A65" i="7"/>
  <c r="A65" i="3"/>
  <c r="H66" i="2"/>
  <c r="F66" i="2"/>
  <c r="B72" i="2"/>
  <c r="B73" i="2"/>
  <c r="A72" i="7"/>
  <c r="I73" i="2"/>
  <c r="B79" i="2"/>
  <c r="A79" i="7"/>
  <c r="F80" i="2"/>
  <c r="C80" i="2"/>
  <c r="A86" i="7"/>
  <c r="A86" i="3"/>
  <c r="I87" i="2"/>
  <c r="G87" i="2"/>
  <c r="I90" i="2"/>
  <c r="B93" i="2"/>
  <c r="A100" i="7"/>
  <c r="A100" i="3"/>
  <c r="G101" i="2"/>
  <c r="E101" i="2"/>
  <c r="C115" i="2"/>
  <c r="B122" i="2"/>
  <c r="A122" i="7"/>
  <c r="A122" i="3"/>
  <c r="E123" i="2"/>
  <c r="B123" i="2"/>
  <c r="C129" i="2"/>
  <c r="A129" i="7"/>
  <c r="H130" i="2"/>
  <c r="A129" i="3"/>
  <c r="F130" i="2"/>
  <c r="B136" i="2"/>
  <c r="A136" i="7"/>
  <c r="B137" i="2"/>
  <c r="I137" i="2"/>
  <c r="B149" i="2"/>
  <c r="F150" i="2"/>
  <c r="B168" i="2"/>
  <c r="A169" i="7"/>
  <c r="I170" i="2"/>
  <c r="H170" i="2"/>
  <c r="G170" i="2"/>
  <c r="A170" i="7"/>
  <c r="F171" i="2"/>
  <c r="E171" i="2"/>
  <c r="C171" i="2"/>
  <c r="A172" i="7"/>
  <c r="A172" i="3"/>
  <c r="H173" i="2"/>
  <c r="G173" i="2"/>
  <c r="F173" i="2"/>
  <c r="A173" i="7"/>
  <c r="A173" i="3"/>
  <c r="E174" i="2"/>
  <c r="C174" i="2"/>
  <c r="B174" i="2"/>
  <c r="B185" i="2"/>
  <c r="A188" i="7"/>
  <c r="A188" i="3"/>
  <c r="E189" i="2"/>
  <c r="I189" i="2"/>
  <c r="H189" i="2"/>
  <c r="G189" i="2"/>
  <c r="A201" i="7"/>
  <c r="F202" i="2"/>
  <c r="G202" i="2"/>
  <c r="E202" i="2"/>
  <c r="C202" i="2"/>
  <c r="A213" i="7"/>
  <c r="B214" i="2"/>
  <c r="H214" i="2"/>
  <c r="G214" i="2"/>
  <c r="F214" i="2"/>
  <c r="F215" i="2"/>
  <c r="A217" i="7"/>
  <c r="A217" i="3"/>
  <c r="G218" i="2"/>
  <c r="H218" i="2"/>
  <c r="F218" i="2"/>
  <c r="E218" i="2"/>
  <c r="G219" i="2"/>
  <c r="A234" i="7"/>
  <c r="A234" i="3"/>
  <c r="C235" i="2"/>
  <c r="B235" i="2"/>
  <c r="J235" i="2"/>
  <c r="I235" i="2"/>
  <c r="H235" i="2"/>
  <c r="H245" i="2"/>
  <c r="E251" i="2"/>
  <c r="A257" i="7"/>
  <c r="A257" i="3"/>
  <c r="G258" i="2"/>
  <c r="F258" i="2"/>
  <c r="H258" i="2"/>
  <c r="E258" i="2"/>
  <c r="C258" i="2"/>
  <c r="B262" i="2"/>
  <c r="A268" i="7"/>
  <c r="I269" i="2"/>
  <c r="H269" i="2"/>
  <c r="F269" i="2"/>
  <c r="E269" i="2"/>
  <c r="C269" i="2"/>
  <c r="B273" i="2"/>
  <c r="A278" i="7"/>
  <c r="E279" i="2"/>
  <c r="C279" i="2"/>
  <c r="A278" i="3"/>
  <c r="H279" i="2"/>
  <c r="G279" i="2"/>
  <c r="F279" i="2"/>
  <c r="B283" i="2"/>
  <c r="E291" i="2"/>
  <c r="A294" i="7"/>
  <c r="E295" i="2"/>
  <c r="C295" i="2"/>
  <c r="A294" i="3"/>
  <c r="I295" i="2"/>
  <c r="H295" i="2"/>
  <c r="B299" i="2"/>
  <c r="A303" i="7"/>
  <c r="H304" i="2"/>
  <c r="G304" i="2"/>
  <c r="F304" i="2"/>
  <c r="I304" i="2"/>
  <c r="E304" i="2"/>
  <c r="A303" i="3"/>
  <c r="C304" i="2"/>
  <c r="B309" i="2"/>
  <c r="A298" i="3"/>
  <c r="A4" i="7"/>
  <c r="G5" i="2"/>
  <c r="C8" i="2"/>
  <c r="A8" i="7"/>
  <c r="B9" i="2"/>
  <c r="A12" i="7"/>
  <c r="G13" i="2"/>
  <c r="C16" i="2"/>
  <c r="B17" i="2"/>
  <c r="A16" i="3"/>
  <c r="A20" i="7"/>
  <c r="G21" i="2"/>
  <c r="C24" i="2"/>
  <c r="A24" i="7"/>
  <c r="B25" i="2"/>
  <c r="A24" i="3"/>
  <c r="C29" i="2"/>
  <c r="A30" i="7"/>
  <c r="A30" i="3"/>
  <c r="I31" i="2"/>
  <c r="G31" i="2"/>
  <c r="A44" i="7"/>
  <c r="A44" i="3"/>
  <c r="G45" i="2"/>
  <c r="E45" i="2"/>
  <c r="F51" i="2"/>
  <c r="C58" i="2"/>
  <c r="E65" i="2"/>
  <c r="A66" i="7"/>
  <c r="E67" i="2"/>
  <c r="A66" i="3"/>
  <c r="B67" i="2"/>
  <c r="E72" i="2"/>
  <c r="A73" i="7"/>
  <c r="H74" i="2"/>
  <c r="A73" i="3"/>
  <c r="F74" i="2"/>
  <c r="C79" i="2"/>
  <c r="A80" i="7"/>
  <c r="B81" i="2"/>
  <c r="I81" i="2"/>
  <c r="A87" i="7"/>
  <c r="F88" i="2"/>
  <c r="A87" i="3"/>
  <c r="C88" i="2"/>
  <c r="C93" i="2"/>
  <c r="A94" i="7"/>
  <c r="A94" i="3"/>
  <c r="I95" i="2"/>
  <c r="G95" i="2"/>
  <c r="A108" i="7"/>
  <c r="G109" i="2"/>
  <c r="E109" i="2"/>
  <c r="F115" i="2"/>
  <c r="C122" i="2"/>
  <c r="E129" i="2"/>
  <c r="A130" i="7"/>
  <c r="E131" i="2"/>
  <c r="B131" i="2"/>
  <c r="E136" i="2"/>
  <c r="A137" i="7"/>
  <c r="A137" i="3"/>
  <c r="H138" i="2"/>
  <c r="F138" i="2"/>
  <c r="C149" i="2"/>
  <c r="G150" i="2"/>
  <c r="A151" i="7"/>
  <c r="A151" i="3"/>
  <c r="G152" i="2"/>
  <c r="F152" i="2"/>
  <c r="E152" i="2"/>
  <c r="C168" i="2"/>
  <c r="C185" i="2"/>
  <c r="A200" i="7"/>
  <c r="I201" i="2"/>
  <c r="H201" i="2"/>
  <c r="G201" i="2"/>
  <c r="F201" i="2"/>
  <c r="A212" i="7"/>
  <c r="F213" i="2"/>
  <c r="A212" i="3"/>
  <c r="J213" i="2"/>
  <c r="I213" i="2"/>
  <c r="H213" i="2"/>
  <c r="G215" i="2"/>
  <c r="H219" i="2"/>
  <c r="A230" i="7"/>
  <c r="H231" i="2"/>
  <c r="G231" i="2"/>
  <c r="E231" i="2"/>
  <c r="C231" i="2"/>
  <c r="A230" i="3"/>
  <c r="B231" i="2"/>
  <c r="A233" i="7"/>
  <c r="B233" i="7" s="1"/>
  <c r="G234" i="2"/>
  <c r="F234" i="2"/>
  <c r="J234" i="2"/>
  <c r="I234" i="2"/>
  <c r="A243" i="7"/>
  <c r="A243" i="3"/>
  <c r="I244" i="2"/>
  <c r="H244" i="2"/>
  <c r="F244" i="2"/>
  <c r="E244" i="2"/>
  <c r="C244" i="2"/>
  <c r="I245" i="2"/>
  <c r="A249" i="7"/>
  <c r="A249" i="3"/>
  <c r="G250" i="2"/>
  <c r="F250" i="2"/>
  <c r="I250" i="2"/>
  <c r="H250" i="2"/>
  <c r="E250" i="2"/>
  <c r="I251" i="2"/>
  <c r="A253" i="7"/>
  <c r="A253" i="3"/>
  <c r="G254" i="2"/>
  <c r="F254" i="2"/>
  <c r="H254" i="2"/>
  <c r="E254" i="2"/>
  <c r="C254" i="2"/>
  <c r="I262" i="2"/>
  <c r="A264" i="7"/>
  <c r="A264" i="3"/>
  <c r="I265" i="2"/>
  <c r="H265" i="2"/>
  <c r="F265" i="2"/>
  <c r="E265" i="2"/>
  <c r="C265" i="2"/>
  <c r="G273" i="2"/>
  <c r="A274" i="7"/>
  <c r="A274" i="3"/>
  <c r="E275" i="2"/>
  <c r="C275" i="2"/>
  <c r="H275" i="2"/>
  <c r="G275" i="2"/>
  <c r="F275" i="2"/>
  <c r="I283" i="2"/>
  <c r="A285" i="7"/>
  <c r="G286" i="2"/>
  <c r="F286" i="2"/>
  <c r="H286" i="2"/>
  <c r="E286" i="2"/>
  <c r="C286" i="2"/>
  <c r="A287" i="7"/>
  <c r="A287" i="3"/>
  <c r="F288" i="2"/>
  <c r="E288" i="2"/>
  <c r="I288" i="2"/>
  <c r="F291" i="2"/>
  <c r="E293" i="2"/>
  <c r="A292" i="7"/>
  <c r="I292" i="7" s="1"/>
  <c r="A292" i="3"/>
  <c r="D292" i="3" s="1"/>
  <c r="H293" i="2"/>
  <c r="G293" i="2"/>
  <c r="I293" i="2"/>
  <c r="F293" i="2"/>
  <c r="C293" i="2"/>
  <c r="F299" i="2"/>
  <c r="A64" i="3"/>
  <c r="A71" i="3"/>
  <c r="B5" i="2"/>
  <c r="E8" i="2"/>
  <c r="C9" i="2"/>
  <c r="B13" i="2"/>
  <c r="E16" i="2"/>
  <c r="C17" i="2"/>
  <c r="B21" i="2"/>
  <c r="E24" i="2"/>
  <c r="C25" i="2"/>
  <c r="F29" i="2"/>
  <c r="B31" i="2"/>
  <c r="A31" i="7"/>
  <c r="F32" i="2"/>
  <c r="C32" i="2"/>
  <c r="A38" i="7"/>
  <c r="A38" i="3"/>
  <c r="I39" i="2"/>
  <c r="G39" i="2"/>
  <c r="B45" i="2"/>
  <c r="G51" i="2"/>
  <c r="A52" i="7"/>
  <c r="A52" i="3"/>
  <c r="G53" i="2"/>
  <c r="E53" i="2"/>
  <c r="E58" i="2"/>
  <c r="F65" i="2"/>
  <c r="C67" i="2"/>
  <c r="G72" i="2"/>
  <c r="B74" i="2"/>
  <c r="A74" i="7"/>
  <c r="E75" i="2"/>
  <c r="B75" i="2"/>
  <c r="E79" i="2"/>
  <c r="C81" i="2"/>
  <c r="A81" i="7"/>
  <c r="A81" i="3"/>
  <c r="H82" i="2"/>
  <c r="F82" i="2"/>
  <c r="B88" i="2"/>
  <c r="A88" i="7"/>
  <c r="B89" i="2"/>
  <c r="I89" i="2"/>
  <c r="F93" i="2"/>
  <c r="B95" i="2"/>
  <c r="A95" i="7"/>
  <c r="F96" i="2"/>
  <c r="A95" i="3"/>
  <c r="C96" i="2"/>
  <c r="A102" i="7"/>
  <c r="A102" i="3"/>
  <c r="I103" i="2"/>
  <c r="G103" i="2"/>
  <c r="B109" i="2"/>
  <c r="G115" i="2"/>
  <c r="A116" i="7"/>
  <c r="G117" i="2"/>
  <c r="E117" i="2"/>
  <c r="E122" i="2"/>
  <c r="F129" i="2"/>
  <c r="C131" i="2"/>
  <c r="G136" i="2"/>
  <c r="B138" i="2"/>
  <c r="A138" i="7"/>
  <c r="E139" i="2"/>
  <c r="B139" i="2"/>
  <c r="E149" i="2"/>
  <c r="H150" i="2"/>
  <c r="B152" i="2"/>
  <c r="A153" i="7"/>
  <c r="A153" i="3"/>
  <c r="I154" i="2"/>
  <c r="H154" i="2"/>
  <c r="G154" i="2"/>
  <c r="A154" i="7"/>
  <c r="A154" i="3"/>
  <c r="F155" i="2"/>
  <c r="E155" i="2"/>
  <c r="C155" i="2"/>
  <c r="A156" i="7"/>
  <c r="A156" i="3"/>
  <c r="H157" i="2"/>
  <c r="G157" i="2"/>
  <c r="F157" i="2"/>
  <c r="A157" i="7"/>
  <c r="A157" i="3"/>
  <c r="E158" i="2"/>
  <c r="C158" i="2"/>
  <c r="B158" i="2"/>
  <c r="H168" i="2"/>
  <c r="A175" i="7"/>
  <c r="A175" i="3"/>
  <c r="G176" i="2"/>
  <c r="F176" i="2"/>
  <c r="E176" i="2"/>
  <c r="E185" i="2"/>
  <c r="B201" i="2"/>
  <c r="A204" i="7"/>
  <c r="E205" i="2"/>
  <c r="A204" i="3"/>
  <c r="I205" i="2"/>
  <c r="H205" i="2"/>
  <c r="G205" i="2"/>
  <c r="A206" i="7"/>
  <c r="H207" i="2"/>
  <c r="E207" i="2"/>
  <c r="C207" i="2"/>
  <c r="B207" i="2"/>
  <c r="A210" i="7"/>
  <c r="A210" i="3"/>
  <c r="C211" i="2"/>
  <c r="F211" i="2"/>
  <c r="E211" i="2"/>
  <c r="B211" i="2"/>
  <c r="B213" i="2"/>
  <c r="I215" i="2"/>
  <c r="I219" i="2"/>
  <c r="A228" i="7"/>
  <c r="F229" i="2"/>
  <c r="E229" i="2"/>
  <c r="I229" i="2"/>
  <c r="A228" i="3"/>
  <c r="H229" i="2"/>
  <c r="G229" i="2"/>
  <c r="F231" i="2"/>
  <c r="B234" i="2"/>
  <c r="B244" i="2"/>
  <c r="J245" i="2"/>
  <c r="B250" i="2"/>
  <c r="J251" i="2"/>
  <c r="B254" i="2"/>
  <c r="A260" i="7"/>
  <c r="I261" i="2"/>
  <c r="H261" i="2"/>
  <c r="F261" i="2"/>
  <c r="E261" i="2"/>
  <c r="C261" i="2"/>
  <c r="J262" i="2"/>
  <c r="B265" i="2"/>
  <c r="A270" i="7"/>
  <c r="A270" i="3"/>
  <c r="E271" i="2"/>
  <c r="C271" i="2"/>
  <c r="H271" i="2"/>
  <c r="G271" i="2"/>
  <c r="F271" i="2"/>
  <c r="B275" i="2"/>
  <c r="A281" i="7"/>
  <c r="G282" i="2"/>
  <c r="F282" i="2"/>
  <c r="H282" i="2"/>
  <c r="E282" i="2"/>
  <c r="C282" i="2"/>
  <c r="B286" i="2"/>
  <c r="B288" i="2"/>
  <c r="G291" i="2"/>
  <c r="A297" i="7"/>
  <c r="A297" i="3"/>
  <c r="G298" i="2"/>
  <c r="F298" i="2"/>
  <c r="I298" i="2"/>
  <c r="H298" i="2"/>
  <c r="G299" i="2"/>
  <c r="A301" i="7"/>
  <c r="F302" i="2"/>
  <c r="E302" i="2"/>
  <c r="I302" i="2"/>
  <c r="H302" i="2"/>
  <c r="G302" i="2"/>
  <c r="A301" i="3"/>
  <c r="A4" i="3"/>
  <c r="A20" i="3"/>
  <c r="A28" i="3"/>
  <c r="A108" i="3"/>
  <c r="A136" i="3"/>
  <c r="A201" i="3"/>
  <c r="A285" i="3"/>
  <c r="A290" i="3"/>
  <c r="C5" i="2"/>
  <c r="A5" i="7"/>
  <c r="C6" i="2"/>
  <c r="G8" i="2"/>
  <c r="E9" i="2"/>
  <c r="A9" i="7"/>
  <c r="H10" i="2"/>
  <c r="C13" i="2"/>
  <c r="A13" i="7"/>
  <c r="C14" i="2"/>
  <c r="A13" i="3"/>
  <c r="G16" i="2"/>
  <c r="E17" i="2"/>
  <c r="A17" i="7"/>
  <c r="H18" i="2"/>
  <c r="C21" i="2"/>
  <c r="A21" i="7"/>
  <c r="C22" i="2"/>
  <c r="A21" i="3"/>
  <c r="G24" i="2"/>
  <c r="E25" i="2"/>
  <c r="A25" i="7"/>
  <c r="H26" i="2"/>
  <c r="F26" i="2"/>
  <c r="H29" i="2"/>
  <c r="C31" i="2"/>
  <c r="B32" i="2"/>
  <c r="A32" i="7"/>
  <c r="A32" i="3"/>
  <c r="B33" i="2"/>
  <c r="I33" i="2"/>
  <c r="B39" i="2"/>
  <c r="A39" i="7"/>
  <c r="A39" i="3"/>
  <c r="F40" i="2"/>
  <c r="C40" i="2"/>
  <c r="C45" i="2"/>
  <c r="A46" i="7"/>
  <c r="A46" i="3"/>
  <c r="I47" i="2"/>
  <c r="G47" i="2"/>
  <c r="H51" i="2"/>
  <c r="B53" i="2"/>
  <c r="G58" i="2"/>
  <c r="A60" i="7"/>
  <c r="G61" i="2"/>
  <c r="A60" i="3"/>
  <c r="E61" i="2"/>
  <c r="G65" i="2"/>
  <c r="F67" i="2"/>
  <c r="H72" i="2"/>
  <c r="C74" i="2"/>
  <c r="C75" i="2"/>
  <c r="F79" i="2"/>
  <c r="E81" i="2"/>
  <c r="B82" i="2"/>
  <c r="A82" i="7"/>
  <c r="E83" i="2"/>
  <c r="B83" i="2"/>
  <c r="E88" i="2"/>
  <c r="C89" i="2"/>
  <c r="A89" i="7"/>
  <c r="H90" i="2"/>
  <c r="F90" i="2"/>
  <c r="H93" i="2"/>
  <c r="C95" i="2"/>
  <c r="B96" i="2"/>
  <c r="A96" i="7"/>
  <c r="A96" i="3"/>
  <c r="B97" i="2"/>
  <c r="I97" i="2"/>
  <c r="B103" i="2"/>
  <c r="A103" i="7"/>
  <c r="A103" i="3"/>
  <c r="F104" i="2"/>
  <c r="C104" i="2"/>
  <c r="C109" i="2"/>
  <c r="A110" i="7"/>
  <c r="A110" i="3"/>
  <c r="I111" i="2"/>
  <c r="G111" i="2"/>
  <c r="H115" i="2"/>
  <c r="B117" i="2"/>
  <c r="G122" i="2"/>
  <c r="G123" i="2"/>
  <c r="A124" i="7"/>
  <c r="A124" i="3"/>
  <c r="G125" i="2"/>
  <c r="E125" i="2"/>
  <c r="G129" i="2"/>
  <c r="E130" i="2"/>
  <c r="F131" i="2"/>
  <c r="H136" i="2"/>
  <c r="F137" i="2"/>
  <c r="C138" i="2"/>
  <c r="C139" i="2"/>
  <c r="I149" i="2"/>
  <c r="I150" i="2"/>
  <c r="C152" i="2"/>
  <c r="B154" i="2"/>
  <c r="B155" i="2"/>
  <c r="B157" i="2"/>
  <c r="F158" i="2"/>
  <c r="I168" i="2"/>
  <c r="E170" i="2"/>
  <c r="H171" i="2"/>
  <c r="E173" i="2"/>
  <c r="H174" i="2"/>
  <c r="B176" i="2"/>
  <c r="A177" i="7"/>
  <c r="A177" i="3"/>
  <c r="I178" i="2"/>
  <c r="H178" i="2"/>
  <c r="G178" i="2"/>
  <c r="A178" i="7"/>
  <c r="A178" i="3"/>
  <c r="F179" i="2"/>
  <c r="E179" i="2"/>
  <c r="C179" i="2"/>
  <c r="A180" i="7"/>
  <c r="A180" i="3"/>
  <c r="E181" i="2"/>
  <c r="I181" i="2"/>
  <c r="H181" i="2"/>
  <c r="G181" i="2"/>
  <c r="J185" i="2"/>
  <c r="F189" i="2"/>
  <c r="A193" i="7"/>
  <c r="A193" i="3"/>
  <c r="F194" i="2"/>
  <c r="G194" i="2"/>
  <c r="E194" i="2"/>
  <c r="C194" i="2"/>
  <c r="C201" i="2"/>
  <c r="I202" i="2"/>
  <c r="B205" i="2"/>
  <c r="F207" i="2"/>
  <c r="A209" i="7"/>
  <c r="G210" i="2"/>
  <c r="H210" i="2"/>
  <c r="F210" i="2"/>
  <c r="E210" i="2"/>
  <c r="G211" i="2"/>
  <c r="C213" i="2"/>
  <c r="I214" i="2"/>
  <c r="J215" i="2"/>
  <c r="I218" i="2"/>
  <c r="J219" i="2"/>
  <c r="B229" i="2"/>
  <c r="I231" i="2"/>
  <c r="C234" i="2"/>
  <c r="G235" i="2"/>
  <c r="A242" i="7"/>
  <c r="A242" i="3"/>
  <c r="C243" i="2"/>
  <c r="B243" i="2"/>
  <c r="I243" i="2"/>
  <c r="H243" i="2"/>
  <c r="G243" i="2"/>
  <c r="G244" i="2"/>
  <c r="C250" i="2"/>
  <c r="I254" i="2"/>
  <c r="A256" i="7"/>
  <c r="A256" i="3"/>
  <c r="G256" i="3" s="1"/>
  <c r="I257" i="2"/>
  <c r="H257" i="2"/>
  <c r="F257" i="2"/>
  <c r="E257" i="2"/>
  <c r="C257" i="2"/>
  <c r="J258" i="2"/>
  <c r="B261" i="2"/>
  <c r="G265" i="2"/>
  <c r="A266" i="7"/>
  <c r="A266" i="3"/>
  <c r="E267" i="2"/>
  <c r="C267" i="2"/>
  <c r="H267" i="2"/>
  <c r="G267" i="2"/>
  <c r="F267" i="2"/>
  <c r="B271" i="2"/>
  <c r="I275" i="2"/>
  <c r="A277" i="7"/>
  <c r="G278" i="2"/>
  <c r="F278" i="2"/>
  <c r="H278" i="2"/>
  <c r="E278" i="2"/>
  <c r="C278" i="2"/>
  <c r="B282" i="2"/>
  <c r="I286" i="2"/>
  <c r="C288" i="2"/>
  <c r="H291" i="2"/>
  <c r="A293" i="7"/>
  <c r="G294" i="2"/>
  <c r="F294" i="2"/>
  <c r="I294" i="2"/>
  <c r="H294" i="2"/>
  <c r="G295" i="2"/>
  <c r="B298" i="2"/>
  <c r="B302" i="2"/>
  <c r="A306" i="7"/>
  <c r="G307" i="2"/>
  <c r="F307" i="2"/>
  <c r="E307" i="2"/>
  <c r="H307" i="2"/>
  <c r="C307" i="2"/>
  <c r="B307" i="2"/>
  <c r="A12" i="3"/>
  <c r="A138" i="3"/>
  <c r="A277" i="3"/>
  <c r="A306" i="3"/>
  <c r="J30" i="2"/>
  <c r="A37" i="7"/>
  <c r="A37" i="3"/>
  <c r="J38" i="2"/>
  <c r="A45" i="7"/>
  <c r="A45" i="3"/>
  <c r="J46" i="2"/>
  <c r="A53" i="7"/>
  <c r="A53" i="3"/>
  <c r="J54" i="2"/>
  <c r="J62" i="2"/>
  <c r="J70" i="2"/>
  <c r="J78" i="2"/>
  <c r="J86" i="2"/>
  <c r="J94" i="2"/>
  <c r="A101" i="7"/>
  <c r="A101" i="3"/>
  <c r="J102" i="2"/>
  <c r="J110" i="2"/>
  <c r="J118" i="2"/>
  <c r="J126" i="2"/>
  <c r="A133" i="7"/>
  <c r="A133" i="3"/>
  <c r="J134" i="2"/>
  <c r="J142" i="2"/>
  <c r="A152" i="7"/>
  <c r="A152" i="3"/>
  <c r="J153" i="2"/>
  <c r="A160" i="3"/>
  <c r="A160" i="7"/>
  <c r="J161" i="2"/>
  <c r="A168" i="7"/>
  <c r="A168" i="3"/>
  <c r="J169" i="2"/>
  <c r="A176" i="7"/>
  <c r="A176" i="3"/>
  <c r="J177" i="2"/>
  <c r="A182" i="7"/>
  <c r="A182" i="3"/>
  <c r="G183" i="2"/>
  <c r="A186" i="7"/>
  <c r="A186" i="3"/>
  <c r="B187" i="2"/>
  <c r="A190" i="7"/>
  <c r="A190" i="3"/>
  <c r="G191" i="2"/>
  <c r="A194" i="7"/>
  <c r="A194" i="3"/>
  <c r="B195" i="2"/>
  <c r="A198" i="7"/>
  <c r="G199" i="2"/>
  <c r="A202" i="7"/>
  <c r="A202" i="3"/>
  <c r="B203" i="2"/>
  <c r="A231" i="7"/>
  <c r="A231" i="3"/>
  <c r="E232" i="2"/>
  <c r="C232" i="2"/>
  <c r="A238" i="7"/>
  <c r="A238" i="3"/>
  <c r="H239" i="2"/>
  <c r="G239" i="2"/>
  <c r="A27" i="3"/>
  <c r="A144" i="7"/>
  <c r="A144" i="3"/>
  <c r="J145" i="2"/>
  <c r="A155" i="7"/>
  <c r="A155" i="3"/>
  <c r="J156" i="2"/>
  <c r="A163" i="7"/>
  <c r="A163" i="3"/>
  <c r="J164" i="2"/>
  <c r="A171" i="7"/>
  <c r="A171" i="3"/>
  <c r="J172" i="2"/>
  <c r="A179" i="7"/>
  <c r="A179" i="3"/>
  <c r="J180" i="2"/>
  <c r="A207" i="7"/>
  <c r="E208" i="2"/>
  <c r="A211" i="7"/>
  <c r="I212" i="2"/>
  <c r="A215" i="7"/>
  <c r="E216" i="2"/>
  <c r="A215" i="3"/>
  <c r="A219" i="7"/>
  <c r="I220" i="2"/>
  <c r="A239" i="7"/>
  <c r="A239" i="3"/>
  <c r="E240" i="2"/>
  <c r="C240" i="2"/>
  <c r="A246" i="7"/>
  <c r="A246" i="3"/>
  <c r="H247" i="2"/>
  <c r="G247" i="2"/>
  <c r="A59" i="3"/>
  <c r="A139" i="3"/>
  <c r="A141" i="3"/>
  <c r="J12" i="2"/>
  <c r="J20" i="2"/>
  <c r="C30" i="2"/>
  <c r="A35" i="7"/>
  <c r="A35" i="3"/>
  <c r="J36" i="2"/>
  <c r="C38" i="2"/>
  <c r="J44" i="2"/>
  <c r="C46" i="2"/>
  <c r="A51" i="7"/>
  <c r="A51" i="3"/>
  <c r="J52" i="2"/>
  <c r="C54" i="2"/>
  <c r="J60" i="2"/>
  <c r="C62" i="2"/>
  <c r="J68" i="2"/>
  <c r="C70" i="2"/>
  <c r="J76" i="2"/>
  <c r="C78" i="2"/>
  <c r="J84" i="2"/>
  <c r="C86" i="2"/>
  <c r="J92" i="2"/>
  <c r="C94" i="2"/>
  <c r="A99" i="7"/>
  <c r="A99" i="3"/>
  <c r="J100" i="2"/>
  <c r="C102" i="2"/>
  <c r="J108" i="2"/>
  <c r="C110" i="2"/>
  <c r="A115" i="7"/>
  <c r="A115" i="3"/>
  <c r="J116" i="2"/>
  <c r="C118" i="2"/>
  <c r="A123" i="7"/>
  <c r="A123" i="3"/>
  <c r="J124" i="2"/>
  <c r="C126" i="2"/>
  <c r="A131" i="7"/>
  <c r="A131" i="3"/>
  <c r="J132" i="2"/>
  <c r="C134" i="2"/>
  <c r="J140" i="2"/>
  <c r="C142" i="2"/>
  <c r="B145" i="2"/>
  <c r="A147" i="7"/>
  <c r="A147" i="3"/>
  <c r="J148" i="2"/>
  <c r="A150" i="3"/>
  <c r="A150" i="7"/>
  <c r="J151" i="2"/>
  <c r="C153" i="2"/>
  <c r="B156" i="2"/>
  <c r="A158" i="7"/>
  <c r="A158" i="3"/>
  <c r="J159" i="2"/>
  <c r="C161" i="2"/>
  <c r="B164" i="2"/>
  <c r="A166" i="7"/>
  <c r="A166" i="3"/>
  <c r="J167" i="2"/>
  <c r="C169" i="2"/>
  <c r="B172" i="2"/>
  <c r="A174" i="7"/>
  <c r="A174" i="3"/>
  <c r="J175" i="2"/>
  <c r="C177" i="2"/>
  <c r="B180" i="2"/>
  <c r="C183" i="2"/>
  <c r="A183" i="7"/>
  <c r="A183" i="3"/>
  <c r="C184" i="2"/>
  <c r="E187" i="2"/>
  <c r="A187" i="7"/>
  <c r="A187" i="3"/>
  <c r="H188" i="2"/>
  <c r="C191" i="2"/>
  <c r="A191" i="7"/>
  <c r="A191" i="3"/>
  <c r="C192" i="2"/>
  <c r="E195" i="2"/>
  <c r="A195" i="7"/>
  <c r="A195" i="3"/>
  <c r="H196" i="2"/>
  <c r="C199" i="2"/>
  <c r="A199" i="7"/>
  <c r="C200" i="2"/>
  <c r="E203" i="2"/>
  <c r="A203" i="7"/>
  <c r="A203" i="3"/>
  <c r="H204" i="2"/>
  <c r="B208" i="2"/>
  <c r="B212" i="2"/>
  <c r="B216" i="2"/>
  <c r="B220" i="2"/>
  <c r="A225" i="7"/>
  <c r="G226" i="2"/>
  <c r="F226" i="2"/>
  <c r="F232" i="2"/>
  <c r="C239" i="2"/>
  <c r="B240" i="2"/>
  <c r="B247" i="2"/>
  <c r="A247" i="7"/>
  <c r="A247" i="3"/>
  <c r="E248" i="2"/>
  <c r="C248" i="2"/>
  <c r="A29" i="3"/>
  <c r="A69" i="3"/>
  <c r="A199" i="3"/>
  <c r="A207" i="3"/>
  <c r="A197" i="3"/>
  <c r="A229" i="3"/>
  <c r="A271" i="3"/>
  <c r="A275" i="3"/>
  <c r="J222" i="2"/>
  <c r="J230" i="2"/>
  <c r="A237" i="7"/>
  <c r="A237" i="3"/>
  <c r="J238" i="2"/>
  <c r="A245" i="7"/>
  <c r="B245" i="7" s="1"/>
  <c r="A245" i="3"/>
  <c r="J246" i="2"/>
  <c r="A255" i="7"/>
  <c r="A255" i="3"/>
  <c r="J256" i="2"/>
  <c r="A259" i="7"/>
  <c r="A259" i="3"/>
  <c r="J260" i="2"/>
  <c r="J264" i="2"/>
  <c r="J268" i="2"/>
  <c r="B308" i="2"/>
  <c r="A310" i="7"/>
  <c r="H311" i="2"/>
  <c r="A208" i="3"/>
  <c r="A283" i="3"/>
  <c r="A181" i="7"/>
  <c r="A181" i="3"/>
  <c r="J182" i="2"/>
  <c r="A189" i="7"/>
  <c r="A189" i="3"/>
  <c r="J190" i="2"/>
  <c r="J198" i="2"/>
  <c r="J206" i="2"/>
  <c r="J209" i="2"/>
  <c r="J217" i="2"/>
  <c r="B222" i="2"/>
  <c r="J225" i="2"/>
  <c r="B230" i="2"/>
  <c r="J233" i="2"/>
  <c r="B238" i="2"/>
  <c r="A240" i="7"/>
  <c r="A240" i="3"/>
  <c r="J241" i="2"/>
  <c r="B246" i="2"/>
  <c r="A248" i="7"/>
  <c r="A248" i="3"/>
  <c r="J249" i="2"/>
  <c r="A251" i="7"/>
  <c r="A251" i="3"/>
  <c r="J252" i="2"/>
  <c r="B256" i="2"/>
  <c r="B260" i="2"/>
  <c r="B264" i="2"/>
  <c r="B268" i="2"/>
  <c r="B272" i="2"/>
  <c r="B276" i="2"/>
  <c r="B280" i="2"/>
  <c r="B284" i="2"/>
  <c r="C290" i="2"/>
  <c r="A289" i="7"/>
  <c r="I289" i="7" s="1"/>
  <c r="A289" i="3"/>
  <c r="F289" i="3" s="1"/>
  <c r="B296" i="2"/>
  <c r="B300" i="2"/>
  <c r="B303" i="2"/>
  <c r="A305" i="7"/>
  <c r="A305" i="3"/>
  <c r="C308" i="2"/>
  <c r="B311" i="2"/>
  <c r="A302" i="3"/>
  <c r="B293" i="2"/>
  <c r="A291" i="7"/>
  <c r="C292" i="2"/>
  <c r="F292" i="2"/>
  <c r="E292" i="2"/>
  <c r="G292" i="2"/>
  <c r="A291" i="3"/>
  <c r="B291" i="3" s="1"/>
  <c r="H290" i="2"/>
  <c r="B290" i="2"/>
  <c r="Z42" i="9"/>
  <c r="K42" i="9"/>
  <c r="AA42" i="9"/>
  <c r="E289" i="2"/>
  <c r="A288" i="3"/>
  <c r="F289" i="2"/>
  <c r="G289" i="2"/>
  <c r="A288" i="7"/>
  <c r="H289" i="2"/>
  <c r="I289" i="2"/>
  <c r="B289" i="2"/>
  <c r="F287" i="2"/>
  <c r="A286" i="3"/>
  <c r="H287" i="2"/>
  <c r="H42" i="9"/>
  <c r="AB42" i="9"/>
  <c r="D24" i="11"/>
  <c r="I42" i="9"/>
  <c r="J42" i="9"/>
  <c r="D323" i="7" l="1"/>
  <c r="F323" i="7"/>
  <c r="E322" i="7"/>
  <c r="C322" i="7"/>
  <c r="E323" i="7"/>
  <c r="D332" i="7"/>
  <c r="J323" i="7"/>
  <c r="B323" i="7"/>
  <c r="D322" i="7"/>
  <c r="G332" i="7"/>
  <c r="G348" i="7"/>
  <c r="B348" i="7"/>
  <c r="G337" i="7"/>
  <c r="B337" i="7"/>
  <c r="E322" i="3"/>
  <c r="C371" i="7"/>
  <c r="F339" i="3"/>
  <c r="G313" i="7"/>
  <c r="D371" i="7"/>
  <c r="G340" i="7"/>
  <c r="H347" i="7"/>
  <c r="G314" i="3"/>
  <c r="F319" i="7"/>
  <c r="I371" i="7"/>
  <c r="F371" i="7"/>
  <c r="B371" i="7"/>
  <c r="G371" i="7"/>
  <c r="D340" i="7"/>
  <c r="D319" i="7"/>
  <c r="J371" i="7"/>
  <c r="F340" i="7"/>
  <c r="D339" i="3"/>
  <c r="H340" i="7"/>
  <c r="B340" i="7"/>
  <c r="F314" i="3"/>
  <c r="D314" i="3"/>
  <c r="C314" i="3"/>
  <c r="C339" i="3"/>
  <c r="E371" i="7"/>
  <c r="C347" i="7"/>
  <c r="I340" i="7"/>
  <c r="E330" i="3"/>
  <c r="G339" i="3"/>
  <c r="F347" i="7"/>
  <c r="C319" i="7"/>
  <c r="I319" i="7"/>
  <c r="B313" i="7"/>
  <c r="D341" i="3"/>
  <c r="E347" i="7"/>
  <c r="I347" i="7"/>
  <c r="B319" i="7"/>
  <c r="H313" i="7"/>
  <c r="J313" i="7"/>
  <c r="B341" i="3"/>
  <c r="F313" i="7"/>
  <c r="G341" i="3"/>
  <c r="B347" i="7"/>
  <c r="J347" i="7"/>
  <c r="E313" i="7"/>
  <c r="C313" i="7"/>
  <c r="D347" i="7"/>
  <c r="C341" i="3"/>
  <c r="H341" i="3" s="1" a="1"/>
  <c r="H341" i="3" s="1"/>
  <c r="M342" i="2" s="1"/>
  <c r="D313" i="7"/>
  <c r="J319" i="7"/>
  <c r="F341" i="3"/>
  <c r="E337" i="7"/>
  <c r="D337" i="7"/>
  <c r="C366" i="7"/>
  <c r="J355" i="7"/>
  <c r="C321" i="7"/>
  <c r="B233" i="3"/>
  <c r="C323" i="3"/>
  <c r="E332" i="3"/>
  <c r="G323" i="3"/>
  <c r="B323" i="3"/>
  <c r="H342" i="7"/>
  <c r="C337" i="3"/>
  <c r="D342" i="7"/>
  <c r="B322" i="3"/>
  <c r="B337" i="3"/>
  <c r="D233" i="3"/>
  <c r="F337" i="3"/>
  <c r="D323" i="3"/>
  <c r="E323" i="3"/>
  <c r="D322" i="3"/>
  <c r="I337" i="7"/>
  <c r="F322" i="3"/>
  <c r="F332" i="3"/>
  <c r="H337" i="7"/>
  <c r="D355" i="7"/>
  <c r="F321" i="3"/>
  <c r="J362" i="7"/>
  <c r="G332" i="3"/>
  <c r="D332" i="3"/>
  <c r="I355" i="7"/>
  <c r="G321" i="3"/>
  <c r="H362" i="7"/>
  <c r="J356" i="7"/>
  <c r="C322" i="3"/>
  <c r="B355" i="7"/>
  <c r="C332" i="3"/>
  <c r="J337" i="7"/>
  <c r="G342" i="7"/>
  <c r="F337" i="7"/>
  <c r="F356" i="7"/>
  <c r="B366" i="7"/>
  <c r="E321" i="7"/>
  <c r="J342" i="7"/>
  <c r="B342" i="3"/>
  <c r="B321" i="7"/>
  <c r="G321" i="7"/>
  <c r="D321" i="7"/>
  <c r="F366" i="7"/>
  <c r="H366" i="7"/>
  <c r="E366" i="7"/>
  <c r="H321" i="7"/>
  <c r="C342" i="7"/>
  <c r="F362" i="7"/>
  <c r="C342" i="3"/>
  <c r="G366" i="7"/>
  <c r="H356" i="7"/>
  <c r="G337" i="3"/>
  <c r="I342" i="7"/>
  <c r="H355" i="7"/>
  <c r="J321" i="7"/>
  <c r="B342" i="7"/>
  <c r="F355" i="7"/>
  <c r="J366" i="7"/>
  <c r="B356" i="7"/>
  <c r="G362" i="7"/>
  <c r="B362" i="7"/>
  <c r="C362" i="7"/>
  <c r="D342" i="3"/>
  <c r="C356" i="7"/>
  <c r="D362" i="7"/>
  <c r="C355" i="7"/>
  <c r="E356" i="7"/>
  <c r="E342" i="7"/>
  <c r="I362" i="7"/>
  <c r="E342" i="3"/>
  <c r="D337" i="3"/>
  <c r="H337" i="3" s="1" a="1"/>
  <c r="H337" i="3" s="1"/>
  <c r="M338" i="2" s="1"/>
  <c r="D356" i="7"/>
  <c r="F321" i="7"/>
  <c r="D366" i="7"/>
  <c r="E355" i="7"/>
  <c r="F361" i="7"/>
  <c r="H349" i="7"/>
  <c r="G361" i="7"/>
  <c r="B315" i="7"/>
  <c r="F348" i="7"/>
  <c r="C348" i="7"/>
  <c r="J315" i="7"/>
  <c r="F315" i="7"/>
  <c r="D344" i="7"/>
  <c r="E332" i="7"/>
  <c r="D348" i="7"/>
  <c r="D315" i="7"/>
  <c r="B344" i="7"/>
  <c r="B370" i="7"/>
  <c r="H315" i="7"/>
  <c r="H370" i="7"/>
  <c r="C315" i="7"/>
  <c r="H344" i="7"/>
  <c r="C344" i="7"/>
  <c r="C370" i="7"/>
  <c r="H348" i="7"/>
  <c r="D333" i="7"/>
  <c r="F344" i="7"/>
  <c r="D370" i="7"/>
  <c r="J344" i="7"/>
  <c r="E344" i="7"/>
  <c r="F370" i="7"/>
  <c r="E333" i="7"/>
  <c r="I315" i="7"/>
  <c r="H333" i="7"/>
  <c r="I370" i="7"/>
  <c r="B332" i="7"/>
  <c r="G315" i="7"/>
  <c r="G344" i="7"/>
  <c r="F333" i="7"/>
  <c r="G333" i="7"/>
  <c r="I333" i="7"/>
  <c r="E370" i="7"/>
  <c r="C333" i="7"/>
  <c r="G370" i="7"/>
  <c r="J334" i="7"/>
  <c r="E318" i="7"/>
  <c r="F328" i="7"/>
  <c r="C233" i="3"/>
  <c r="J318" i="7"/>
  <c r="D321" i="3"/>
  <c r="H321" i="3" s="1" a="1"/>
  <c r="H321" i="3" s="1"/>
  <c r="J346" i="7"/>
  <c r="B318" i="7"/>
  <c r="F320" i="7"/>
  <c r="E321" i="3"/>
  <c r="J320" i="7"/>
  <c r="G320" i="7"/>
  <c r="F342" i="3"/>
  <c r="G356" i="7"/>
  <c r="B320" i="7"/>
  <c r="E320" i="7"/>
  <c r="E328" i="7"/>
  <c r="H320" i="7"/>
  <c r="G328" i="7"/>
  <c r="B346" i="7"/>
  <c r="I318" i="7"/>
  <c r="F318" i="7"/>
  <c r="C320" i="7"/>
  <c r="C320" i="3"/>
  <c r="I328" i="7"/>
  <c r="F233" i="3"/>
  <c r="J328" i="7"/>
  <c r="B321" i="3"/>
  <c r="C318" i="7"/>
  <c r="B328" i="7"/>
  <c r="I320" i="7"/>
  <c r="D318" i="7"/>
  <c r="B346" i="3"/>
  <c r="D328" i="7"/>
  <c r="H318" i="7"/>
  <c r="E318" i="3"/>
  <c r="F318" i="3"/>
  <c r="F349" i="7"/>
  <c r="D320" i="3"/>
  <c r="B72" i="3"/>
  <c r="B318" i="3"/>
  <c r="C318" i="3"/>
  <c r="G349" i="7"/>
  <c r="B320" i="3"/>
  <c r="C72" i="3"/>
  <c r="E369" i="7"/>
  <c r="C328" i="3"/>
  <c r="I328" i="3" s="1" a="1"/>
  <c r="I328" i="3" s="1"/>
  <c r="I349" i="7"/>
  <c r="E320" i="3"/>
  <c r="C349" i="7"/>
  <c r="G320" i="3"/>
  <c r="E346" i="3"/>
  <c r="G346" i="3"/>
  <c r="E328" i="3"/>
  <c r="D346" i="3"/>
  <c r="I346" i="3" s="1" a="1"/>
  <c r="I346" i="3" s="1"/>
  <c r="F346" i="3"/>
  <c r="D318" i="3"/>
  <c r="G328" i="3"/>
  <c r="B328" i="3"/>
  <c r="C357" i="7"/>
  <c r="C338" i="7"/>
  <c r="B338" i="3"/>
  <c r="G369" i="7"/>
  <c r="J361" i="7"/>
  <c r="D369" i="7"/>
  <c r="D338" i="7"/>
  <c r="E361" i="7"/>
  <c r="C334" i="3"/>
  <c r="E338" i="7"/>
  <c r="F338" i="7"/>
  <c r="D361" i="7"/>
  <c r="I338" i="7"/>
  <c r="F369" i="7"/>
  <c r="D334" i="3"/>
  <c r="H334" i="7"/>
  <c r="I369" i="7"/>
  <c r="I361" i="7"/>
  <c r="E357" i="7"/>
  <c r="G334" i="3"/>
  <c r="B357" i="7"/>
  <c r="I351" i="7"/>
  <c r="H351" i="7"/>
  <c r="D357" i="7"/>
  <c r="H369" i="7"/>
  <c r="B338" i="7"/>
  <c r="B351" i="7"/>
  <c r="H361" i="7"/>
  <c r="B369" i="7"/>
  <c r="C351" i="7"/>
  <c r="C334" i="7"/>
  <c r="D334" i="7"/>
  <c r="B361" i="7"/>
  <c r="F357" i="7"/>
  <c r="D351" i="7"/>
  <c r="G338" i="7"/>
  <c r="E334" i="7"/>
  <c r="G357" i="7"/>
  <c r="E351" i="7"/>
  <c r="G334" i="7"/>
  <c r="B334" i="7"/>
  <c r="I334" i="7"/>
  <c r="H338" i="7"/>
  <c r="J349" i="7"/>
  <c r="J369" i="7"/>
  <c r="H357" i="7"/>
  <c r="F351" i="7"/>
  <c r="I357" i="7"/>
  <c r="G351" i="7"/>
  <c r="F334" i="3"/>
  <c r="E334" i="3"/>
  <c r="D349" i="7"/>
  <c r="C338" i="3"/>
  <c r="H328" i="7"/>
  <c r="F328" i="3"/>
  <c r="D338" i="3"/>
  <c r="F338" i="3"/>
  <c r="H346" i="7"/>
  <c r="G346" i="7"/>
  <c r="F346" i="7"/>
  <c r="D346" i="7"/>
  <c r="C346" i="7"/>
  <c r="E346" i="7"/>
  <c r="E338" i="3"/>
  <c r="E349" i="7"/>
  <c r="F355" i="3"/>
  <c r="C355" i="3"/>
  <c r="B355" i="3"/>
  <c r="E355" i="3"/>
  <c r="G355" i="3"/>
  <c r="D355" i="3"/>
  <c r="G371" i="3"/>
  <c r="F371" i="3"/>
  <c r="E371" i="3"/>
  <c r="B371" i="3"/>
  <c r="D371" i="3"/>
  <c r="C371" i="3"/>
  <c r="B356" i="3"/>
  <c r="C356" i="3"/>
  <c r="E356" i="3"/>
  <c r="F356" i="3"/>
  <c r="G356" i="3"/>
  <c r="D356" i="3"/>
  <c r="B367" i="3"/>
  <c r="E367" i="3"/>
  <c r="F367" i="3"/>
  <c r="G367" i="3"/>
  <c r="D367" i="3"/>
  <c r="C367" i="3"/>
  <c r="E357" i="3"/>
  <c r="D357" i="3"/>
  <c r="G357" i="3"/>
  <c r="C357" i="3"/>
  <c r="B357" i="3"/>
  <c r="F357" i="3"/>
  <c r="B364" i="3"/>
  <c r="D364" i="3"/>
  <c r="F364" i="3"/>
  <c r="G364" i="3"/>
  <c r="E364" i="3"/>
  <c r="C364" i="3"/>
  <c r="C361" i="3"/>
  <c r="F361" i="3"/>
  <c r="E361" i="3"/>
  <c r="B361" i="3"/>
  <c r="D361" i="3"/>
  <c r="G361" i="3"/>
  <c r="F370" i="3"/>
  <c r="D370" i="3"/>
  <c r="G370" i="3"/>
  <c r="E370" i="3"/>
  <c r="C370" i="3"/>
  <c r="B370" i="3"/>
  <c r="F369" i="3"/>
  <c r="B369" i="3"/>
  <c r="C369" i="3"/>
  <c r="D369" i="3"/>
  <c r="E369" i="3"/>
  <c r="G369" i="3"/>
  <c r="D366" i="3"/>
  <c r="E366" i="3"/>
  <c r="F366" i="3"/>
  <c r="G366" i="3"/>
  <c r="B366" i="3"/>
  <c r="C366" i="3"/>
  <c r="F352" i="3"/>
  <c r="E352" i="3"/>
  <c r="C352" i="3"/>
  <c r="D352" i="3"/>
  <c r="G352" i="3"/>
  <c r="B352" i="3"/>
  <c r="E354" i="3"/>
  <c r="D354" i="3"/>
  <c r="F354" i="3"/>
  <c r="G354" i="3"/>
  <c r="B354" i="3"/>
  <c r="C354" i="3"/>
  <c r="E349" i="3"/>
  <c r="C349" i="3"/>
  <c r="G349" i="3"/>
  <c r="F349" i="3"/>
  <c r="B349" i="3"/>
  <c r="D349" i="3"/>
  <c r="C362" i="3"/>
  <c r="F362" i="3"/>
  <c r="G362" i="3"/>
  <c r="E362" i="3"/>
  <c r="B362" i="3"/>
  <c r="D362" i="3"/>
  <c r="F368" i="3"/>
  <c r="E368" i="3"/>
  <c r="C368" i="3"/>
  <c r="B368" i="3"/>
  <c r="D368" i="3"/>
  <c r="G368" i="3"/>
  <c r="F359" i="3"/>
  <c r="B359" i="3"/>
  <c r="G359" i="3"/>
  <c r="E359" i="3"/>
  <c r="C359" i="3"/>
  <c r="D359" i="3"/>
  <c r="F351" i="3"/>
  <c r="E351" i="3"/>
  <c r="D351" i="3"/>
  <c r="C351" i="3"/>
  <c r="G351" i="3"/>
  <c r="B351" i="3"/>
  <c r="F348" i="3"/>
  <c r="C348" i="3"/>
  <c r="B348" i="3"/>
  <c r="D348" i="3"/>
  <c r="E348" i="3"/>
  <c r="G348" i="3"/>
  <c r="D45" i="11"/>
  <c r="R42" i="9"/>
  <c r="H232" i="7"/>
  <c r="G63" i="3"/>
  <c r="C232" i="7"/>
  <c r="E233" i="3"/>
  <c r="F232" i="7"/>
  <c r="E232" i="7"/>
  <c r="C170" i="3"/>
  <c r="I232" i="7"/>
  <c r="B170" i="3"/>
  <c r="D170" i="3"/>
  <c r="C57" i="3"/>
  <c r="J232" i="7"/>
  <c r="B232" i="7"/>
  <c r="F170" i="3"/>
  <c r="D57" i="3"/>
  <c r="G170" i="3"/>
  <c r="F57" i="3"/>
  <c r="D232" i="7"/>
  <c r="B63" i="3"/>
  <c r="C63" i="3"/>
  <c r="D63" i="3"/>
  <c r="E63" i="3"/>
  <c r="D267" i="7"/>
  <c r="G200" i="3"/>
  <c r="B200" i="3"/>
  <c r="D200" i="3"/>
  <c r="H200" i="3" s="1" a="1"/>
  <c r="H200" i="3" s="1"/>
  <c r="M201" i="2" s="1"/>
  <c r="D72" i="3"/>
  <c r="E72" i="3"/>
  <c r="F72" i="3"/>
  <c r="C216" i="7"/>
  <c r="G267" i="7"/>
  <c r="E216" i="7"/>
  <c r="B267" i="7"/>
  <c r="I267" i="7"/>
  <c r="I216" i="7"/>
  <c r="J267" i="7"/>
  <c r="B216" i="7"/>
  <c r="C267" i="7"/>
  <c r="F216" i="7"/>
  <c r="F267" i="7"/>
  <c r="H216" i="7"/>
  <c r="D216" i="7"/>
  <c r="E267" i="7"/>
  <c r="G216" i="7"/>
  <c r="E57" i="3"/>
  <c r="G57" i="3"/>
  <c r="J67" i="7"/>
  <c r="F128" i="3"/>
  <c r="D67" i="7"/>
  <c r="C128" i="3"/>
  <c r="E235" i="3"/>
  <c r="B23" i="3"/>
  <c r="F235" i="3"/>
  <c r="F139" i="7"/>
  <c r="B139" i="7"/>
  <c r="J139" i="7"/>
  <c r="F67" i="7"/>
  <c r="G128" i="3"/>
  <c r="G23" i="3"/>
  <c r="G235" i="3"/>
  <c r="E139" i="7"/>
  <c r="D139" i="7"/>
  <c r="B67" i="7"/>
  <c r="C23" i="3"/>
  <c r="B235" i="3"/>
  <c r="G139" i="7"/>
  <c r="C67" i="7"/>
  <c r="B128" i="3"/>
  <c r="D23" i="3"/>
  <c r="C235" i="3"/>
  <c r="I235" i="3" s="1" a="1"/>
  <c r="I235" i="3" s="1"/>
  <c r="H139" i="7"/>
  <c r="E67" i="7"/>
  <c r="E23" i="3"/>
  <c r="I139" i="7"/>
  <c r="H67" i="7"/>
  <c r="G67" i="7"/>
  <c r="D128" i="3"/>
  <c r="G40" i="4"/>
  <c r="C31" i="3"/>
  <c r="M351" i="2"/>
  <c r="F74" i="3"/>
  <c r="D31" i="3"/>
  <c r="G74" i="3"/>
  <c r="I330" i="3" a="1"/>
  <c r="I330" i="3" s="1"/>
  <c r="E283" i="7"/>
  <c r="D295" i="7"/>
  <c r="B8" i="4" a="1"/>
  <c r="B8" i="4" s="1"/>
  <c r="H326" i="3" a="1"/>
  <c r="H326" i="3" s="1"/>
  <c r="I331" i="3" a="1"/>
  <c r="I331" i="3" s="1"/>
  <c r="H333" i="3" a="1"/>
  <c r="H333" i="3" s="1"/>
  <c r="M334" i="2" s="1"/>
  <c r="I332" i="3" a="1"/>
  <c r="I332" i="3" s="1"/>
  <c r="M366" i="2"/>
  <c r="H316" i="3" a="1"/>
  <c r="H316" i="3" s="1"/>
  <c r="I345" i="3" a="1"/>
  <c r="I345" i="3" s="1"/>
  <c r="H314" i="3" a="1"/>
  <c r="H314" i="3" s="1"/>
  <c r="M315" i="2" s="1"/>
  <c r="H322" i="3" a="1"/>
  <c r="H322" i="3" s="1"/>
  <c r="I347" i="3" a="1"/>
  <c r="I347" i="3" s="1"/>
  <c r="I329" i="3" a="1"/>
  <c r="I329" i="3" s="1"/>
  <c r="H336" i="3" a="1"/>
  <c r="H336" i="3" s="1"/>
  <c r="M337" i="2" s="1"/>
  <c r="H315" i="3" a="1"/>
  <c r="H315" i="3" s="1"/>
  <c r="H343" i="3" a="1"/>
  <c r="H343" i="3" s="1"/>
  <c r="M344" i="2" s="1"/>
  <c r="H344" i="3" a="1"/>
  <c r="H344" i="3" s="1"/>
  <c r="M345" i="2" s="1"/>
  <c r="H311" i="3" a="1"/>
  <c r="H311" i="3" s="1"/>
  <c r="I339" i="3" a="1"/>
  <c r="I339" i="3" s="1"/>
  <c r="I325" i="3" a="1"/>
  <c r="I325" i="3" s="1"/>
  <c r="I335" i="3" a="1"/>
  <c r="I335" i="3" s="1"/>
  <c r="H312" i="3" a="1"/>
  <c r="H312" i="3" s="1"/>
  <c r="I324" i="3" a="1"/>
  <c r="I324" i="3" s="1"/>
  <c r="I314" i="3" a="1"/>
  <c r="I314" i="3" s="1"/>
  <c r="E273" i="3"/>
  <c r="H347" i="3" a="1"/>
  <c r="H347" i="3" s="1"/>
  <c r="M348" i="2" s="1"/>
  <c r="I311" i="3" a="1"/>
  <c r="I311" i="3" s="1"/>
  <c r="I326" i="3" a="1"/>
  <c r="I326" i="3" s="1"/>
  <c r="I344" i="3" a="1"/>
  <c r="I344" i="3" s="1"/>
  <c r="H330" i="3" a="1"/>
  <c r="H330" i="3" s="1"/>
  <c r="M331" i="2" s="1"/>
  <c r="I340" i="3" a="1"/>
  <c r="I340" i="3" s="1"/>
  <c r="D9" i="3"/>
  <c r="H9" i="3" s="1" a="1"/>
  <c r="H9" i="3" s="1"/>
  <c r="H325" i="3" a="1"/>
  <c r="H325" i="3" s="1"/>
  <c r="H324" i="3" a="1"/>
  <c r="H324" i="3" s="1"/>
  <c r="H331" i="3" a="1"/>
  <c r="H331" i="3" s="1"/>
  <c r="M332" i="2" s="1"/>
  <c r="H339" i="3" a="1"/>
  <c r="H339" i="3" s="1"/>
  <c r="M340" i="2" s="1"/>
  <c r="H335" i="3" a="1"/>
  <c r="H335" i="3" s="1"/>
  <c r="M336" i="2" s="1"/>
  <c r="H345" i="3" a="1"/>
  <c r="H345" i="3" s="1"/>
  <c r="M346" i="2" s="1"/>
  <c r="I333" i="3" a="1"/>
  <c r="I333" i="3" s="1"/>
  <c r="I336" i="3" a="1"/>
  <c r="I336" i="3" s="1"/>
  <c r="I313" i="3" a="1"/>
  <c r="I313" i="3" s="1"/>
  <c r="I327" i="3" a="1"/>
  <c r="I327" i="3" s="1"/>
  <c r="I315" i="3" a="1"/>
  <c r="I315" i="3" s="1"/>
  <c r="H329" i="3" a="1"/>
  <c r="H329" i="3" s="1"/>
  <c r="H319" i="3" a="1"/>
  <c r="H319" i="3" s="1"/>
  <c r="H317" i="3" a="1"/>
  <c r="H317" i="3" s="1"/>
  <c r="I316" i="3" a="1"/>
  <c r="I316" i="3" s="1"/>
  <c r="I343" i="3" a="1"/>
  <c r="I343" i="3" s="1"/>
  <c r="G16" i="7"/>
  <c r="D299" i="7"/>
  <c r="G299" i="7"/>
  <c r="M364" i="2"/>
  <c r="M361" i="2"/>
  <c r="J299" i="7"/>
  <c r="B273" i="3"/>
  <c r="F205" i="3"/>
  <c r="E232" i="3"/>
  <c r="B205" i="3"/>
  <c r="G232" i="3"/>
  <c r="M359" i="2"/>
  <c r="E74" i="3"/>
  <c r="B295" i="7"/>
  <c r="D224" i="3"/>
  <c r="F299" i="7"/>
  <c r="B232" i="3"/>
  <c r="F273" i="3"/>
  <c r="H299" i="7"/>
  <c r="D232" i="3"/>
  <c r="D16" i="7"/>
  <c r="G273" i="3"/>
  <c r="B299" i="7"/>
  <c r="E9" i="3"/>
  <c r="C205" i="3"/>
  <c r="C299" i="7"/>
  <c r="D205" i="3"/>
  <c r="E205" i="3"/>
  <c r="C273" i="3"/>
  <c r="I273" i="3" s="1" a="1"/>
  <c r="I273" i="3" s="1"/>
  <c r="C232" i="3"/>
  <c r="I299" i="7"/>
  <c r="F295" i="7"/>
  <c r="C295" i="7"/>
  <c r="I295" i="7"/>
  <c r="E295" i="7"/>
  <c r="G295" i="7"/>
  <c r="H295" i="7"/>
  <c r="M341" i="2"/>
  <c r="C310" i="3"/>
  <c r="B307" i="3"/>
  <c r="C307" i="3"/>
  <c r="B93" i="3"/>
  <c r="M354" i="2"/>
  <c r="B219" i="3"/>
  <c r="J302" i="7"/>
  <c r="C304" i="3"/>
  <c r="D304" i="3"/>
  <c r="E109" i="7"/>
  <c r="E260" i="3"/>
  <c r="D67" i="3"/>
  <c r="I208" i="7"/>
  <c r="C260" i="3"/>
  <c r="B67" i="3"/>
  <c r="D260" i="3"/>
  <c r="B198" i="3"/>
  <c r="E211" i="3"/>
  <c r="F304" i="3"/>
  <c r="G307" i="3"/>
  <c r="G260" i="3"/>
  <c r="E304" i="3"/>
  <c r="F307" i="3"/>
  <c r="E67" i="3"/>
  <c r="F67" i="3"/>
  <c r="G304" i="3"/>
  <c r="D307" i="3"/>
  <c r="F260" i="3"/>
  <c r="C67" i="3"/>
  <c r="B267" i="3"/>
  <c r="E83" i="3"/>
  <c r="C302" i="7"/>
  <c r="G224" i="3"/>
  <c r="G279" i="7"/>
  <c r="C198" i="3"/>
  <c r="C267" i="3"/>
  <c r="D267" i="3"/>
  <c r="G219" i="3"/>
  <c r="G198" i="3"/>
  <c r="F211" i="3"/>
  <c r="G211" i="3"/>
  <c r="F267" i="3"/>
  <c r="D219" i="3"/>
  <c r="E198" i="3"/>
  <c r="B211" i="3"/>
  <c r="G267" i="3"/>
  <c r="E219" i="3"/>
  <c r="C219" i="3"/>
  <c r="B75" i="3"/>
  <c r="D268" i="3"/>
  <c r="F268" i="3"/>
  <c r="G268" i="3"/>
  <c r="E268" i="3"/>
  <c r="C268" i="3"/>
  <c r="D198" i="3"/>
  <c r="D211" i="3"/>
  <c r="B224" i="3"/>
  <c r="F224" i="3"/>
  <c r="C224" i="3"/>
  <c r="F221" i="3"/>
  <c r="B74" i="3"/>
  <c r="B310" i="3"/>
  <c r="C74" i="3"/>
  <c r="I74" i="3" s="1" a="1"/>
  <c r="I74" i="3" s="1"/>
  <c r="E82" i="3"/>
  <c r="D93" i="3"/>
  <c r="H93" i="3" s="1" a="1"/>
  <c r="H93" i="3" s="1"/>
  <c r="C16" i="7"/>
  <c r="G31" i="3"/>
  <c r="E310" i="3"/>
  <c r="J16" i="7"/>
  <c r="E93" i="3"/>
  <c r="E16" i="7"/>
  <c r="B31" i="3"/>
  <c r="F75" i="3"/>
  <c r="H16" i="7"/>
  <c r="F310" i="3"/>
  <c r="G9" i="3"/>
  <c r="F197" i="7"/>
  <c r="I77" i="7"/>
  <c r="F93" i="3"/>
  <c r="B9" i="3"/>
  <c r="I16" i="7"/>
  <c r="D310" i="3"/>
  <c r="F9" i="3"/>
  <c r="E271" i="7"/>
  <c r="G93" i="3"/>
  <c r="B16" i="7"/>
  <c r="E31" i="3"/>
  <c r="D209" i="3"/>
  <c r="F85" i="7"/>
  <c r="I85" i="7"/>
  <c r="E209" i="3"/>
  <c r="B293" i="3"/>
  <c r="I224" i="7"/>
  <c r="C224" i="7"/>
  <c r="E75" i="7"/>
  <c r="B93" i="7"/>
  <c r="D8" i="3"/>
  <c r="F117" i="7"/>
  <c r="D93" i="7"/>
  <c r="C125" i="3"/>
  <c r="F25" i="3"/>
  <c r="E8" i="3"/>
  <c r="D141" i="7"/>
  <c r="C93" i="7"/>
  <c r="D125" i="3"/>
  <c r="H91" i="7"/>
  <c r="G141" i="7"/>
  <c r="G116" i="3"/>
  <c r="D302" i="7"/>
  <c r="G302" i="7"/>
  <c r="C79" i="3"/>
  <c r="C116" i="3"/>
  <c r="D79" i="3"/>
  <c r="F279" i="3"/>
  <c r="F91" i="3"/>
  <c r="G11" i="3"/>
  <c r="D11" i="3"/>
  <c r="B225" i="3"/>
  <c r="I197" i="7"/>
  <c r="B141" i="7"/>
  <c r="H141" i="7"/>
  <c r="F93" i="7"/>
  <c r="B85" i="7"/>
  <c r="G209" i="3"/>
  <c r="E125" i="3"/>
  <c r="B85" i="3"/>
  <c r="D80" i="3"/>
  <c r="D61" i="3"/>
  <c r="G8" i="3"/>
  <c r="I279" i="7"/>
  <c r="F80" i="3"/>
  <c r="J85" i="7"/>
  <c r="F125" i="3"/>
  <c r="F275" i="7"/>
  <c r="F224" i="7"/>
  <c r="C197" i="7"/>
  <c r="F279" i="7"/>
  <c r="D275" i="7"/>
  <c r="B229" i="7"/>
  <c r="G93" i="7"/>
  <c r="B77" i="7"/>
  <c r="B209" i="3"/>
  <c r="B125" i="3"/>
  <c r="G25" i="3"/>
  <c r="E61" i="3"/>
  <c r="G75" i="3"/>
  <c r="F141" i="7"/>
  <c r="E93" i="7"/>
  <c r="C85" i="7"/>
  <c r="F209" i="3"/>
  <c r="E85" i="3"/>
  <c r="C141" i="7"/>
  <c r="G85" i="7"/>
  <c r="G224" i="7"/>
  <c r="B279" i="7"/>
  <c r="E275" i="7"/>
  <c r="E229" i="7"/>
  <c r="E141" i="7"/>
  <c r="H93" i="7"/>
  <c r="H85" i="7"/>
  <c r="E77" i="7"/>
  <c r="C75" i="3"/>
  <c r="B25" i="3"/>
  <c r="G61" i="3"/>
  <c r="B82" i="3"/>
  <c r="J197" i="7"/>
  <c r="F8" i="3"/>
  <c r="H224" i="7"/>
  <c r="C279" i="7"/>
  <c r="I229" i="7"/>
  <c r="I141" i="7"/>
  <c r="D85" i="7"/>
  <c r="E25" i="3"/>
  <c r="C25" i="3"/>
  <c r="I25" i="3" s="1" a="1"/>
  <c r="I25" i="3" s="1"/>
  <c r="B61" i="3"/>
  <c r="G82" i="3"/>
  <c r="B8" i="3"/>
  <c r="B224" i="7"/>
  <c r="E224" i="7"/>
  <c r="E197" i="7"/>
  <c r="J229" i="7"/>
  <c r="C80" i="3"/>
  <c r="C61" i="3"/>
  <c r="D224" i="7"/>
  <c r="H229" i="7"/>
  <c r="H275" i="7"/>
  <c r="J93" i="7"/>
  <c r="H77" i="7"/>
  <c r="D197" i="7"/>
  <c r="E279" i="7"/>
  <c r="C275" i="7"/>
  <c r="C229" i="7"/>
  <c r="J77" i="7"/>
  <c r="E75" i="3"/>
  <c r="C82" i="3"/>
  <c r="I109" i="7"/>
  <c r="D117" i="3"/>
  <c r="H117" i="3" s="1" a="1"/>
  <c r="H117" i="3" s="1"/>
  <c r="F117" i="3"/>
  <c r="J208" i="7"/>
  <c r="D283" i="7"/>
  <c r="F283" i="7"/>
  <c r="H27" i="7"/>
  <c r="F83" i="3"/>
  <c r="F289" i="7"/>
  <c r="B43" i="3"/>
  <c r="C11" i="7"/>
  <c r="B109" i="7"/>
  <c r="H286" i="7"/>
  <c r="J283" i="7"/>
  <c r="C208" i="7"/>
  <c r="F11" i="7"/>
  <c r="H109" i="7"/>
  <c r="E117" i="3"/>
  <c r="D83" i="3"/>
  <c r="H83" i="3" s="1" a="1"/>
  <c r="H83" i="3" s="1"/>
  <c r="D27" i="7"/>
  <c r="B283" i="7"/>
  <c r="H11" i="7"/>
  <c r="J109" i="7"/>
  <c r="G117" i="3"/>
  <c r="F27" i="7"/>
  <c r="G283" i="7"/>
  <c r="B117" i="3"/>
  <c r="D208" i="7"/>
  <c r="B11" i="7"/>
  <c r="C109" i="7"/>
  <c r="I27" i="7"/>
  <c r="I283" i="7"/>
  <c r="E11" i="7"/>
  <c r="D221" i="3"/>
  <c r="D295" i="3"/>
  <c r="J27" i="7"/>
  <c r="G221" i="3"/>
  <c r="G208" i="7"/>
  <c r="H208" i="7"/>
  <c r="G11" i="7"/>
  <c r="G109" i="7"/>
  <c r="G29" i="7"/>
  <c r="E221" i="3"/>
  <c r="F281" i="3"/>
  <c r="E27" i="7"/>
  <c r="J271" i="7"/>
  <c r="I91" i="7"/>
  <c r="B75" i="7"/>
  <c r="G75" i="7"/>
  <c r="I117" i="7"/>
  <c r="D29" i="7"/>
  <c r="C293" i="3"/>
  <c r="E295" i="3"/>
  <c r="G281" i="3"/>
  <c r="H271" i="7"/>
  <c r="C91" i="7"/>
  <c r="J91" i="7"/>
  <c r="C75" i="7"/>
  <c r="B117" i="7"/>
  <c r="C117" i="7"/>
  <c r="I29" i="7"/>
  <c r="D293" i="3"/>
  <c r="F295" i="3"/>
  <c r="B281" i="3"/>
  <c r="G271" i="7"/>
  <c r="E91" i="7"/>
  <c r="D75" i="7"/>
  <c r="G117" i="7"/>
  <c r="C29" i="7"/>
  <c r="F293" i="3"/>
  <c r="G295" i="3"/>
  <c r="B271" i="7"/>
  <c r="I271" i="7"/>
  <c r="F75" i="7"/>
  <c r="J29" i="7"/>
  <c r="H117" i="7"/>
  <c r="H29" i="7"/>
  <c r="G293" i="3"/>
  <c r="C295" i="3"/>
  <c r="C271" i="7"/>
  <c r="J75" i="7"/>
  <c r="J117" i="7"/>
  <c r="B29" i="7"/>
  <c r="C281" i="3"/>
  <c r="D271" i="7"/>
  <c r="H75" i="7"/>
  <c r="D117" i="7"/>
  <c r="E29" i="7"/>
  <c r="D281" i="3"/>
  <c r="F43" i="7"/>
  <c r="I205" i="7"/>
  <c r="D109" i="3"/>
  <c r="H109" i="3" s="1" a="1"/>
  <c r="H109" i="3" s="1"/>
  <c r="B292" i="7"/>
  <c r="C292" i="7"/>
  <c r="F107" i="3"/>
  <c r="J286" i="7"/>
  <c r="F286" i="7"/>
  <c r="I286" i="7"/>
  <c r="C286" i="7"/>
  <c r="B289" i="7"/>
  <c r="E292" i="7"/>
  <c r="J221" i="7"/>
  <c r="J69" i="7"/>
  <c r="B89" i="3"/>
  <c r="G286" i="7"/>
  <c r="D292" i="7"/>
  <c r="F208" i="7"/>
  <c r="J205" i="7"/>
  <c r="B197" i="7"/>
  <c r="H283" i="7"/>
  <c r="D279" i="7"/>
  <c r="B275" i="7"/>
  <c r="D229" i="7"/>
  <c r="J11" i="7"/>
  <c r="F109" i="7"/>
  <c r="D77" i="7"/>
  <c r="E69" i="7"/>
  <c r="C221" i="3"/>
  <c r="G79" i="3"/>
  <c r="F85" i="3"/>
  <c r="B11" i="3"/>
  <c r="C27" i="7"/>
  <c r="G27" i="7"/>
  <c r="E225" i="3"/>
  <c r="B286" i="7"/>
  <c r="B17" i="3"/>
  <c r="G43" i="7"/>
  <c r="G17" i="3"/>
  <c r="F83" i="7"/>
  <c r="C279" i="3"/>
  <c r="G85" i="3"/>
  <c r="E80" i="3"/>
  <c r="F263" i="7"/>
  <c r="B88" i="3"/>
  <c r="D286" i="7"/>
  <c r="J292" i="7"/>
  <c r="G197" i="7"/>
  <c r="I302" i="7"/>
  <c r="H279" i="7"/>
  <c r="G275" i="7"/>
  <c r="G263" i="7"/>
  <c r="F229" i="7"/>
  <c r="F77" i="7"/>
  <c r="C77" i="7"/>
  <c r="D82" i="3"/>
  <c r="E5" i="3"/>
  <c r="E89" i="3"/>
  <c r="B208" i="7"/>
  <c r="J275" i="7"/>
  <c r="I263" i="7"/>
  <c r="G221" i="7"/>
  <c r="I107" i="7"/>
  <c r="I11" i="7"/>
  <c r="B79" i="3"/>
  <c r="E279" i="3"/>
  <c r="D85" i="3"/>
  <c r="H85" i="3" s="1" a="1"/>
  <c r="H85" i="3" s="1"/>
  <c r="G80" i="3"/>
  <c r="G89" i="3"/>
  <c r="C205" i="7"/>
  <c r="E216" i="3"/>
  <c r="B107" i="3"/>
  <c r="F216" i="3"/>
  <c r="F205" i="7"/>
  <c r="E302" i="7"/>
  <c r="J263" i="7"/>
  <c r="E107" i="7"/>
  <c r="E83" i="7"/>
  <c r="J19" i="7"/>
  <c r="G216" i="3"/>
  <c r="E79" i="3"/>
  <c r="G279" i="3"/>
  <c r="E77" i="3"/>
  <c r="B91" i="3"/>
  <c r="E107" i="3"/>
  <c r="F19" i="3"/>
  <c r="B116" i="3"/>
  <c r="E17" i="3"/>
  <c r="B213" i="3"/>
  <c r="C89" i="3"/>
  <c r="H263" i="7"/>
  <c r="H83" i="7"/>
  <c r="H205" i="7"/>
  <c r="F302" i="7"/>
  <c r="D263" i="7"/>
  <c r="G83" i="7"/>
  <c r="B19" i="7"/>
  <c r="D279" i="3"/>
  <c r="F77" i="3"/>
  <c r="C91" i="3"/>
  <c r="G107" i="3"/>
  <c r="C11" i="3"/>
  <c r="D116" i="3"/>
  <c r="F17" i="3"/>
  <c r="D213" i="3"/>
  <c r="D89" i="3"/>
  <c r="D205" i="7"/>
  <c r="B263" i="7"/>
  <c r="C17" i="3"/>
  <c r="E205" i="7"/>
  <c r="I221" i="7"/>
  <c r="J107" i="7"/>
  <c r="C107" i="3"/>
  <c r="I107" i="3" s="1" a="1"/>
  <c r="I107" i="3" s="1"/>
  <c r="F109" i="3"/>
  <c r="B205" i="7"/>
  <c r="H302" i="7"/>
  <c r="C263" i="7"/>
  <c r="E19" i="7"/>
  <c r="G77" i="3"/>
  <c r="E91" i="3"/>
  <c r="E11" i="3"/>
  <c r="E116" i="3"/>
  <c r="G19" i="7"/>
  <c r="G91" i="3"/>
  <c r="C43" i="7"/>
  <c r="F88" i="3"/>
  <c r="D69" i="7"/>
  <c r="E109" i="3"/>
  <c r="D43" i="7"/>
  <c r="D5" i="3"/>
  <c r="C213" i="3"/>
  <c r="B221" i="7"/>
  <c r="C221" i="7"/>
  <c r="B107" i="7"/>
  <c r="I69" i="7"/>
  <c r="G109" i="3"/>
  <c r="J43" i="7"/>
  <c r="F5" i="3"/>
  <c r="E213" i="3"/>
  <c r="I83" i="7"/>
  <c r="D221" i="7"/>
  <c r="C107" i="7"/>
  <c r="J83" i="7"/>
  <c r="F19" i="7"/>
  <c r="E299" i="3"/>
  <c r="B69" i="7"/>
  <c r="C69" i="7"/>
  <c r="B109" i="3"/>
  <c r="B43" i="7"/>
  <c r="G5" i="3"/>
  <c r="D130" i="3"/>
  <c r="G213" i="3"/>
  <c r="G107" i="7"/>
  <c r="C19" i="7"/>
  <c r="E221" i="7"/>
  <c r="D107" i="7"/>
  <c r="B83" i="7"/>
  <c r="I19" i="7"/>
  <c r="D125" i="7"/>
  <c r="F69" i="7"/>
  <c r="H43" i="7"/>
  <c r="B5" i="3"/>
  <c r="F221" i="7"/>
  <c r="F107" i="7"/>
  <c r="C83" i="7"/>
  <c r="D19" i="7"/>
  <c r="G69" i="7"/>
  <c r="H61" i="7"/>
  <c r="B169" i="3"/>
  <c r="I43" i="7"/>
  <c r="D307" i="7"/>
  <c r="F59" i="7"/>
  <c r="F299" i="3"/>
  <c r="G125" i="7"/>
  <c r="D19" i="3"/>
  <c r="C169" i="3"/>
  <c r="C206" i="3"/>
  <c r="F130" i="3"/>
  <c r="I307" i="7"/>
  <c r="C307" i="7"/>
  <c r="E263" i="3"/>
  <c r="D169" i="3"/>
  <c r="D206" i="3"/>
  <c r="B130" i="3"/>
  <c r="G130" i="3"/>
  <c r="C88" i="3"/>
  <c r="J59" i="7"/>
  <c r="J61" i="7"/>
  <c r="H59" i="7"/>
  <c r="G299" i="3"/>
  <c r="F125" i="7"/>
  <c r="I61" i="7"/>
  <c r="C289" i="7"/>
  <c r="F307" i="7"/>
  <c r="I59" i="7"/>
  <c r="B125" i="7"/>
  <c r="H125" i="7"/>
  <c r="C61" i="7"/>
  <c r="F263" i="3"/>
  <c r="G169" i="3"/>
  <c r="F206" i="3"/>
  <c r="C130" i="3"/>
  <c r="D88" i="3"/>
  <c r="C225" i="3"/>
  <c r="D289" i="3"/>
  <c r="E307" i="7"/>
  <c r="E59" i="7"/>
  <c r="C125" i="7"/>
  <c r="D61" i="7"/>
  <c r="C263" i="3"/>
  <c r="I263" i="3" s="1" a="1"/>
  <c r="I263" i="3" s="1"/>
  <c r="B263" i="3"/>
  <c r="G263" i="3"/>
  <c r="B206" i="3"/>
  <c r="B19" i="3"/>
  <c r="F169" i="3"/>
  <c r="G206" i="3"/>
  <c r="G88" i="3"/>
  <c r="G225" i="3"/>
  <c r="H307" i="7"/>
  <c r="G307" i="7"/>
  <c r="B59" i="7"/>
  <c r="G59" i="7"/>
  <c r="E125" i="7"/>
  <c r="E61" i="7"/>
  <c r="G19" i="3"/>
  <c r="D225" i="3"/>
  <c r="J307" i="7"/>
  <c r="C59" i="7"/>
  <c r="I125" i="7"/>
  <c r="F61" i="7"/>
  <c r="C19" i="3"/>
  <c r="G61" i="7"/>
  <c r="D216" i="3"/>
  <c r="H216" i="3" s="1" a="1"/>
  <c r="H216" i="3" s="1"/>
  <c r="B216" i="3"/>
  <c r="J289" i="7"/>
  <c r="D77" i="3"/>
  <c r="C77" i="3"/>
  <c r="H289" i="7"/>
  <c r="B91" i="7"/>
  <c r="F91" i="7"/>
  <c r="D91" i="7"/>
  <c r="G83" i="3"/>
  <c r="B83" i="3"/>
  <c r="G43" i="3"/>
  <c r="C43" i="3"/>
  <c r="I43" i="3" s="1" a="1"/>
  <c r="I43" i="3" s="1"/>
  <c r="F43" i="3"/>
  <c r="E43" i="3"/>
  <c r="E289" i="7"/>
  <c r="B299" i="3"/>
  <c r="C299" i="3"/>
  <c r="I299" i="3" s="1" a="1"/>
  <c r="I299" i="3" s="1"/>
  <c r="C134" i="5"/>
  <c r="C132" i="5"/>
  <c r="G118" i="5"/>
  <c r="C136" i="5"/>
  <c r="C123" i="5"/>
  <c r="F134" i="5"/>
  <c r="E168" i="9"/>
  <c r="G120" i="5"/>
  <c r="G138" i="5"/>
  <c r="G126" i="5"/>
  <c r="C135" i="5"/>
  <c r="F128" i="5"/>
  <c r="C131" i="5"/>
  <c r="C127" i="5"/>
  <c r="I310" i="7"/>
  <c r="G310" i="7"/>
  <c r="H310" i="7"/>
  <c r="E310" i="7"/>
  <c r="F310" i="7"/>
  <c r="C310" i="7"/>
  <c r="D310" i="7"/>
  <c r="B310" i="7"/>
  <c r="J310" i="7"/>
  <c r="D255" i="3"/>
  <c r="G255" i="3"/>
  <c r="F255" i="3"/>
  <c r="E255" i="3"/>
  <c r="B255" i="3"/>
  <c r="C255" i="3"/>
  <c r="D147" i="7"/>
  <c r="J147" i="7"/>
  <c r="B147" i="7"/>
  <c r="H147" i="7"/>
  <c r="G147" i="7"/>
  <c r="F147" i="7"/>
  <c r="E147" i="7"/>
  <c r="I147" i="7"/>
  <c r="C147" i="7"/>
  <c r="D131" i="7"/>
  <c r="J131" i="7"/>
  <c r="B131" i="7"/>
  <c r="H131" i="7"/>
  <c r="I131" i="7"/>
  <c r="G131" i="7"/>
  <c r="F131" i="7"/>
  <c r="E131" i="7"/>
  <c r="C131" i="7"/>
  <c r="B141" i="3"/>
  <c r="E141" i="3"/>
  <c r="D141" i="3"/>
  <c r="C141" i="3"/>
  <c r="G141" i="3"/>
  <c r="F141" i="3"/>
  <c r="E176" i="7"/>
  <c r="C176" i="7"/>
  <c r="I176" i="7"/>
  <c r="G176" i="7"/>
  <c r="F176" i="7"/>
  <c r="D176" i="7"/>
  <c r="J176" i="7"/>
  <c r="H176" i="7"/>
  <c r="B176" i="7"/>
  <c r="B37" i="3"/>
  <c r="D37" i="3"/>
  <c r="C37" i="3"/>
  <c r="G37" i="3"/>
  <c r="F37" i="3"/>
  <c r="E37" i="3"/>
  <c r="F277" i="3"/>
  <c r="G277" i="3"/>
  <c r="E277" i="3"/>
  <c r="D277" i="3"/>
  <c r="C277" i="3"/>
  <c r="B277" i="3"/>
  <c r="C290" i="3"/>
  <c r="E290" i="3"/>
  <c r="D290" i="3"/>
  <c r="B290" i="3"/>
  <c r="G290" i="3"/>
  <c r="F290" i="3"/>
  <c r="C108" i="3"/>
  <c r="G108" i="3"/>
  <c r="F108" i="3"/>
  <c r="E108" i="3"/>
  <c r="D108" i="3"/>
  <c r="B108" i="3"/>
  <c r="F173" i="3"/>
  <c r="C173" i="3"/>
  <c r="B173" i="3"/>
  <c r="D173" i="3"/>
  <c r="G173" i="3"/>
  <c r="E173" i="3"/>
  <c r="G167" i="7"/>
  <c r="E167" i="7"/>
  <c r="F167" i="7"/>
  <c r="C167" i="7"/>
  <c r="I167" i="7"/>
  <c r="J167" i="7"/>
  <c r="H167" i="7"/>
  <c r="D167" i="7"/>
  <c r="B167" i="7"/>
  <c r="D135" i="7"/>
  <c r="J135" i="7"/>
  <c r="B135" i="7"/>
  <c r="C135" i="7"/>
  <c r="I135" i="7"/>
  <c r="F135" i="7"/>
  <c r="E135" i="7"/>
  <c r="H135" i="7"/>
  <c r="G135" i="7"/>
  <c r="H290" i="7"/>
  <c r="F290" i="7"/>
  <c r="J290" i="7"/>
  <c r="G290" i="7"/>
  <c r="D290" i="7"/>
  <c r="B290" i="7"/>
  <c r="E290" i="7"/>
  <c r="C290" i="7"/>
  <c r="I290" i="7"/>
  <c r="E134" i="3"/>
  <c r="D134" i="3"/>
  <c r="G134" i="3"/>
  <c r="F134" i="3"/>
  <c r="C134" i="3"/>
  <c r="B134" i="3"/>
  <c r="I34" i="7"/>
  <c r="G34" i="7"/>
  <c r="C34" i="7"/>
  <c r="B34" i="7"/>
  <c r="F34" i="7"/>
  <c r="D34" i="7"/>
  <c r="J34" i="7"/>
  <c r="H34" i="7"/>
  <c r="E34" i="7"/>
  <c r="I26" i="7"/>
  <c r="G26" i="7"/>
  <c r="B26" i="7"/>
  <c r="J26" i="7"/>
  <c r="H26" i="7"/>
  <c r="F26" i="7"/>
  <c r="E26" i="7"/>
  <c r="D26" i="7"/>
  <c r="C26" i="7"/>
  <c r="E76" i="7"/>
  <c r="C76" i="7"/>
  <c r="I76" i="7"/>
  <c r="H76" i="7"/>
  <c r="J76" i="7"/>
  <c r="G76" i="7"/>
  <c r="F76" i="7"/>
  <c r="D76" i="7"/>
  <c r="B76" i="7"/>
  <c r="I14" i="7"/>
  <c r="G14" i="7"/>
  <c r="D14" i="7"/>
  <c r="B14" i="7"/>
  <c r="J14" i="7"/>
  <c r="H14" i="7"/>
  <c r="F14" i="7"/>
  <c r="E14" i="7"/>
  <c r="C14" i="7"/>
  <c r="E126" i="3"/>
  <c r="G126" i="3"/>
  <c r="F126" i="3"/>
  <c r="D126" i="3"/>
  <c r="B126" i="3"/>
  <c r="C126" i="3"/>
  <c r="E127" i="5"/>
  <c r="E132" i="5"/>
  <c r="E118" i="5"/>
  <c r="C168" i="9"/>
  <c r="C181" i="7"/>
  <c r="I181" i="7"/>
  <c r="E181" i="7"/>
  <c r="B181" i="7"/>
  <c r="J181" i="7"/>
  <c r="H181" i="7"/>
  <c r="G181" i="7"/>
  <c r="F181" i="7"/>
  <c r="D181" i="7"/>
  <c r="D207" i="3"/>
  <c r="G207" i="3"/>
  <c r="F207" i="3"/>
  <c r="C207" i="3"/>
  <c r="B207" i="3"/>
  <c r="E207" i="3"/>
  <c r="I239" i="7"/>
  <c r="G239" i="7"/>
  <c r="H239" i="7"/>
  <c r="C239" i="7"/>
  <c r="E239" i="7"/>
  <c r="D239" i="7"/>
  <c r="B239" i="7"/>
  <c r="J239" i="7"/>
  <c r="F239" i="7"/>
  <c r="I186" i="7"/>
  <c r="G186" i="7"/>
  <c r="H186" i="7"/>
  <c r="E186" i="7"/>
  <c r="F186" i="7"/>
  <c r="D186" i="7"/>
  <c r="C186" i="7"/>
  <c r="J186" i="7"/>
  <c r="B186" i="7"/>
  <c r="B53" i="3"/>
  <c r="F53" i="3"/>
  <c r="E53" i="3"/>
  <c r="D53" i="3"/>
  <c r="C53" i="3"/>
  <c r="G53" i="3"/>
  <c r="C25" i="7"/>
  <c r="I25" i="7"/>
  <c r="H25" i="7"/>
  <c r="E25" i="7"/>
  <c r="D25" i="7"/>
  <c r="B25" i="7"/>
  <c r="J25" i="7"/>
  <c r="G25" i="7"/>
  <c r="F25" i="7"/>
  <c r="C17" i="7"/>
  <c r="I17" i="7"/>
  <c r="F17" i="7"/>
  <c r="D17" i="7"/>
  <c r="J17" i="7"/>
  <c r="H17" i="7"/>
  <c r="G17" i="7"/>
  <c r="E17" i="7"/>
  <c r="B17" i="7"/>
  <c r="C9" i="7"/>
  <c r="I9" i="7"/>
  <c r="H9" i="7"/>
  <c r="G9" i="7"/>
  <c r="F9" i="7"/>
  <c r="E9" i="7"/>
  <c r="D9" i="7"/>
  <c r="B9" i="7"/>
  <c r="J9" i="7"/>
  <c r="C28" i="3"/>
  <c r="E28" i="3"/>
  <c r="D28" i="3"/>
  <c r="B28" i="3"/>
  <c r="F28" i="3"/>
  <c r="G28" i="3"/>
  <c r="D38" i="3"/>
  <c r="C38" i="3"/>
  <c r="B38" i="3"/>
  <c r="G38" i="3"/>
  <c r="F38" i="3"/>
  <c r="E38" i="3"/>
  <c r="E200" i="7"/>
  <c r="C200" i="7"/>
  <c r="G200" i="7"/>
  <c r="D200" i="7"/>
  <c r="I200" i="7"/>
  <c r="H200" i="7"/>
  <c r="F200" i="7"/>
  <c r="J200" i="7"/>
  <c r="B200" i="7"/>
  <c r="G87" i="7"/>
  <c r="E87" i="7"/>
  <c r="H87" i="7"/>
  <c r="F87" i="7"/>
  <c r="D87" i="7"/>
  <c r="C87" i="7"/>
  <c r="B87" i="7"/>
  <c r="J87" i="7"/>
  <c r="I87" i="7"/>
  <c r="I294" i="7"/>
  <c r="G294" i="7"/>
  <c r="H294" i="7"/>
  <c r="E294" i="7"/>
  <c r="F294" i="7"/>
  <c r="J294" i="7"/>
  <c r="D294" i="7"/>
  <c r="C294" i="7"/>
  <c r="B294" i="7"/>
  <c r="E234" i="3"/>
  <c r="D234" i="3"/>
  <c r="C234" i="3"/>
  <c r="F234" i="3"/>
  <c r="B234" i="3"/>
  <c r="G234" i="3"/>
  <c r="D135" i="3"/>
  <c r="C135" i="3"/>
  <c r="G135" i="3"/>
  <c r="F135" i="3"/>
  <c r="E135" i="3"/>
  <c r="B135" i="3"/>
  <c r="E64" i="7"/>
  <c r="C64" i="7"/>
  <c r="J64" i="7"/>
  <c r="G64" i="7"/>
  <c r="F64" i="7"/>
  <c r="D64" i="7"/>
  <c r="B64" i="7"/>
  <c r="I64" i="7"/>
  <c r="H64" i="7"/>
  <c r="G7" i="3"/>
  <c r="F7" i="3"/>
  <c r="E7" i="3"/>
  <c r="B7" i="3"/>
  <c r="D7" i="3"/>
  <c r="C7" i="3"/>
  <c r="C272" i="3"/>
  <c r="G272" i="3"/>
  <c r="F272" i="3"/>
  <c r="E272" i="3"/>
  <c r="D272" i="3"/>
  <c r="B272" i="3"/>
  <c r="G48" i="3"/>
  <c r="F48" i="3"/>
  <c r="E48" i="3"/>
  <c r="D48" i="3"/>
  <c r="C48" i="3"/>
  <c r="B48" i="3"/>
  <c r="G111" i="7"/>
  <c r="E111" i="7"/>
  <c r="B111" i="7"/>
  <c r="J111" i="7"/>
  <c r="D111" i="7"/>
  <c r="C111" i="7"/>
  <c r="F111" i="7"/>
  <c r="I111" i="7"/>
  <c r="H111" i="7"/>
  <c r="G284" i="3"/>
  <c r="E284" i="3"/>
  <c r="D284" i="3"/>
  <c r="C284" i="3"/>
  <c r="F284" i="3"/>
  <c r="B284" i="3"/>
  <c r="C49" i="7"/>
  <c r="I49" i="7"/>
  <c r="B49" i="7"/>
  <c r="H49" i="7"/>
  <c r="J49" i="7"/>
  <c r="G49" i="7"/>
  <c r="F49" i="7"/>
  <c r="D49" i="7"/>
  <c r="E49" i="7"/>
  <c r="G40" i="3"/>
  <c r="B40" i="3"/>
  <c r="C40" i="3"/>
  <c r="F40" i="3"/>
  <c r="E40" i="3"/>
  <c r="D40" i="3"/>
  <c r="F300" i="3"/>
  <c r="G300" i="3"/>
  <c r="E300" i="3"/>
  <c r="D300" i="3"/>
  <c r="C300" i="3"/>
  <c r="B300" i="3"/>
  <c r="E196" i="7"/>
  <c r="C196" i="7"/>
  <c r="D196" i="7"/>
  <c r="G196" i="7"/>
  <c r="F196" i="7"/>
  <c r="B196" i="7"/>
  <c r="J196" i="7"/>
  <c r="I196" i="7"/>
  <c r="H196" i="7"/>
  <c r="B296" i="3"/>
  <c r="G296" i="3"/>
  <c r="F296" i="3"/>
  <c r="C296" i="3"/>
  <c r="E296" i="3"/>
  <c r="D296" i="3"/>
  <c r="F139" i="5"/>
  <c r="G135" i="5"/>
  <c r="G131" i="5"/>
  <c r="G127" i="5"/>
  <c r="G123" i="5"/>
  <c r="F118" i="5"/>
  <c r="F138" i="5"/>
  <c r="F126" i="5"/>
  <c r="G130" i="5"/>
  <c r="C117" i="5"/>
  <c r="C119" i="5"/>
  <c r="C248" i="3"/>
  <c r="B248" i="3"/>
  <c r="G248" i="3"/>
  <c r="E248" i="3"/>
  <c r="D248" i="3"/>
  <c r="F248" i="3"/>
  <c r="F245" i="3"/>
  <c r="B245" i="3"/>
  <c r="G245" i="3"/>
  <c r="C245" i="3"/>
  <c r="D245" i="3"/>
  <c r="E245" i="3"/>
  <c r="B29" i="3"/>
  <c r="E29" i="3"/>
  <c r="D29" i="3"/>
  <c r="C29" i="3"/>
  <c r="G29" i="3"/>
  <c r="F29" i="3"/>
  <c r="G195" i="3"/>
  <c r="B195" i="3"/>
  <c r="F195" i="3"/>
  <c r="E195" i="3"/>
  <c r="D195" i="3"/>
  <c r="C195" i="3"/>
  <c r="B187" i="3"/>
  <c r="C187" i="3"/>
  <c r="G187" i="3"/>
  <c r="F187" i="3"/>
  <c r="E187" i="3"/>
  <c r="D187" i="3"/>
  <c r="I166" i="7"/>
  <c r="F166" i="7"/>
  <c r="D166" i="7"/>
  <c r="H166" i="7"/>
  <c r="E166" i="7"/>
  <c r="C166" i="7"/>
  <c r="B166" i="7"/>
  <c r="J166" i="7"/>
  <c r="G166" i="7"/>
  <c r="D123" i="3"/>
  <c r="E123" i="3"/>
  <c r="B123" i="3"/>
  <c r="G123" i="3"/>
  <c r="F123" i="3"/>
  <c r="C123" i="3"/>
  <c r="G207" i="7"/>
  <c r="E207" i="7"/>
  <c r="I207" i="7"/>
  <c r="J207" i="7"/>
  <c r="H207" i="7"/>
  <c r="F207" i="7"/>
  <c r="B207" i="7"/>
  <c r="D207" i="7"/>
  <c r="C207" i="7"/>
  <c r="D163" i="3"/>
  <c r="G163" i="3"/>
  <c r="F163" i="3"/>
  <c r="E163" i="3"/>
  <c r="C163" i="3"/>
  <c r="B163" i="3"/>
  <c r="D231" i="3"/>
  <c r="E231" i="3"/>
  <c r="C231" i="3"/>
  <c r="B231" i="3"/>
  <c r="G231" i="3"/>
  <c r="F231" i="3"/>
  <c r="B194" i="3"/>
  <c r="E194" i="3"/>
  <c r="D194" i="3"/>
  <c r="C194" i="3"/>
  <c r="G194" i="3"/>
  <c r="F194" i="3"/>
  <c r="E168" i="7"/>
  <c r="C168" i="7"/>
  <c r="G168" i="7"/>
  <c r="D168" i="7"/>
  <c r="B168" i="7"/>
  <c r="J168" i="7"/>
  <c r="I168" i="7"/>
  <c r="H168" i="7"/>
  <c r="F168" i="7"/>
  <c r="C53" i="7"/>
  <c r="I53" i="7"/>
  <c r="E53" i="7"/>
  <c r="D53" i="7"/>
  <c r="J53" i="7"/>
  <c r="H53" i="7"/>
  <c r="G53" i="7"/>
  <c r="F53" i="7"/>
  <c r="B53" i="7"/>
  <c r="E138" i="3"/>
  <c r="D138" i="3"/>
  <c r="C138" i="3"/>
  <c r="B138" i="3"/>
  <c r="G138" i="3"/>
  <c r="F138" i="3"/>
  <c r="C266" i="7"/>
  <c r="I266" i="7"/>
  <c r="G266" i="7"/>
  <c r="E266" i="7"/>
  <c r="B266" i="7"/>
  <c r="F266" i="7"/>
  <c r="D266" i="7"/>
  <c r="J266" i="7"/>
  <c r="H266" i="7"/>
  <c r="B251" i="3"/>
  <c r="F251" i="3"/>
  <c r="E251" i="3"/>
  <c r="D251" i="3"/>
  <c r="G251" i="3"/>
  <c r="C251" i="3"/>
  <c r="G240" i="7"/>
  <c r="E240" i="7"/>
  <c r="I240" i="7"/>
  <c r="F240" i="7"/>
  <c r="C240" i="7"/>
  <c r="J240" i="7"/>
  <c r="H240" i="7"/>
  <c r="D240" i="7"/>
  <c r="B240" i="7"/>
  <c r="I158" i="7"/>
  <c r="D158" i="7"/>
  <c r="B158" i="7"/>
  <c r="C158" i="7"/>
  <c r="E158" i="7"/>
  <c r="H158" i="7"/>
  <c r="G158" i="7"/>
  <c r="F158" i="7"/>
  <c r="J158" i="7"/>
  <c r="E8" i="7"/>
  <c r="C8" i="7"/>
  <c r="J8" i="7"/>
  <c r="H8" i="7"/>
  <c r="D8" i="7"/>
  <c r="B8" i="7"/>
  <c r="I8" i="7"/>
  <c r="G8" i="7"/>
  <c r="F8" i="7"/>
  <c r="E278" i="3"/>
  <c r="G278" i="3"/>
  <c r="F278" i="3"/>
  <c r="D278" i="3"/>
  <c r="C278" i="3"/>
  <c r="B278" i="3"/>
  <c r="E304" i="7"/>
  <c r="C304" i="7"/>
  <c r="D304" i="7"/>
  <c r="I304" i="7"/>
  <c r="G304" i="7"/>
  <c r="H304" i="7"/>
  <c r="F304" i="7"/>
  <c r="B304" i="7"/>
  <c r="J304" i="7"/>
  <c r="E68" i="7"/>
  <c r="C68" i="7"/>
  <c r="D68" i="7"/>
  <c r="B68" i="7"/>
  <c r="I68" i="7"/>
  <c r="H68" i="7"/>
  <c r="G68" i="7"/>
  <c r="F68" i="7"/>
  <c r="J68" i="7"/>
  <c r="G196" i="3"/>
  <c r="F196" i="3"/>
  <c r="B196" i="3"/>
  <c r="E196" i="3"/>
  <c r="D196" i="3"/>
  <c r="C196" i="3"/>
  <c r="C118" i="5"/>
  <c r="E134" i="5"/>
  <c r="E126" i="5"/>
  <c r="B69" i="3"/>
  <c r="G69" i="3"/>
  <c r="F69" i="3"/>
  <c r="E69" i="3"/>
  <c r="D69" i="3"/>
  <c r="C69" i="3"/>
  <c r="G266" i="3"/>
  <c r="D266" i="3"/>
  <c r="C266" i="3"/>
  <c r="B266" i="3"/>
  <c r="F266" i="3"/>
  <c r="E266" i="3"/>
  <c r="C177" i="7"/>
  <c r="I177" i="7"/>
  <c r="B177" i="7"/>
  <c r="J177" i="7"/>
  <c r="H177" i="7"/>
  <c r="G177" i="7"/>
  <c r="E177" i="7"/>
  <c r="D177" i="7"/>
  <c r="F177" i="7"/>
  <c r="E257" i="7"/>
  <c r="C257" i="7"/>
  <c r="I257" i="7"/>
  <c r="G257" i="7"/>
  <c r="D257" i="7"/>
  <c r="J257" i="7"/>
  <c r="B257" i="7"/>
  <c r="H257" i="7"/>
  <c r="F257" i="7"/>
  <c r="E120" i="5"/>
  <c r="G119" i="5"/>
  <c r="G132" i="5"/>
  <c r="F33" i="3"/>
  <c r="C33" i="3"/>
  <c r="B33" i="3"/>
  <c r="G33" i="3"/>
  <c r="E33" i="3"/>
  <c r="D33" i="3"/>
  <c r="F97" i="3"/>
  <c r="C97" i="3"/>
  <c r="B97" i="3"/>
  <c r="G97" i="3"/>
  <c r="E97" i="3"/>
  <c r="D97" i="3"/>
  <c r="C254" i="7"/>
  <c r="I254" i="7"/>
  <c r="J254" i="7"/>
  <c r="G254" i="7"/>
  <c r="H254" i="7"/>
  <c r="E254" i="7"/>
  <c r="F254" i="7"/>
  <c r="D254" i="7"/>
  <c r="B254" i="7"/>
  <c r="C137" i="5"/>
  <c r="C133" i="5"/>
  <c r="C129" i="5"/>
  <c r="C125" i="5"/>
  <c r="C121" i="5"/>
  <c r="G122" i="5"/>
  <c r="G124" i="5"/>
  <c r="C130" i="5"/>
  <c r="E117" i="5"/>
  <c r="E119" i="5"/>
  <c r="C120" i="5"/>
  <c r="G289" i="3"/>
  <c r="B289" i="3"/>
  <c r="E289" i="3"/>
  <c r="C289" i="3"/>
  <c r="G248" i="7"/>
  <c r="E248" i="7"/>
  <c r="F248" i="7"/>
  <c r="C248" i="7"/>
  <c r="I248" i="7"/>
  <c r="J248" i="7"/>
  <c r="H248" i="7"/>
  <c r="D248" i="7"/>
  <c r="B248" i="7"/>
  <c r="F283" i="3"/>
  <c r="E283" i="3"/>
  <c r="D283" i="3"/>
  <c r="B283" i="3"/>
  <c r="G283" i="3"/>
  <c r="C283" i="3"/>
  <c r="E245" i="7"/>
  <c r="C245" i="7"/>
  <c r="D245" i="7"/>
  <c r="I245" i="7"/>
  <c r="F245" i="7"/>
  <c r="J245" i="7"/>
  <c r="H245" i="7"/>
  <c r="G245" i="7"/>
  <c r="G203" i="3"/>
  <c r="F203" i="3"/>
  <c r="D203" i="3"/>
  <c r="C203" i="3"/>
  <c r="B203" i="3"/>
  <c r="E203" i="3"/>
  <c r="G195" i="7"/>
  <c r="E195" i="7"/>
  <c r="C195" i="7"/>
  <c r="B195" i="7"/>
  <c r="H195" i="7"/>
  <c r="F195" i="7"/>
  <c r="D195" i="7"/>
  <c r="J195" i="7"/>
  <c r="I195" i="7"/>
  <c r="G187" i="7"/>
  <c r="E187" i="7"/>
  <c r="I187" i="7"/>
  <c r="F187" i="7"/>
  <c r="J187" i="7"/>
  <c r="H187" i="7"/>
  <c r="D187" i="7"/>
  <c r="C187" i="7"/>
  <c r="B187" i="7"/>
  <c r="F150" i="7"/>
  <c r="D150" i="7"/>
  <c r="B150" i="7"/>
  <c r="J150" i="7"/>
  <c r="G150" i="7"/>
  <c r="E150" i="7"/>
  <c r="C150" i="7"/>
  <c r="I150" i="7"/>
  <c r="H150" i="7"/>
  <c r="D123" i="7"/>
  <c r="J123" i="7"/>
  <c r="B123" i="7"/>
  <c r="F123" i="7"/>
  <c r="C123" i="7"/>
  <c r="G123" i="7"/>
  <c r="E123" i="7"/>
  <c r="I123" i="7"/>
  <c r="H123" i="7"/>
  <c r="G219" i="7"/>
  <c r="E219" i="7"/>
  <c r="I219" i="7"/>
  <c r="F219" i="7"/>
  <c r="C219" i="7"/>
  <c r="B219" i="7"/>
  <c r="J219" i="7"/>
  <c r="H219" i="7"/>
  <c r="D219" i="7"/>
  <c r="G163" i="7"/>
  <c r="I163" i="7"/>
  <c r="F163" i="7"/>
  <c r="B163" i="7"/>
  <c r="C163" i="7"/>
  <c r="J163" i="7"/>
  <c r="H163" i="7"/>
  <c r="E163" i="7"/>
  <c r="D163" i="7"/>
  <c r="D27" i="3"/>
  <c r="E27" i="3"/>
  <c r="C27" i="3"/>
  <c r="B27" i="3"/>
  <c r="G27" i="3"/>
  <c r="F27" i="3"/>
  <c r="G231" i="7"/>
  <c r="E231" i="7"/>
  <c r="F231" i="7"/>
  <c r="C231" i="7"/>
  <c r="J231" i="7"/>
  <c r="I231" i="7"/>
  <c r="H231" i="7"/>
  <c r="D231" i="7"/>
  <c r="B231" i="7"/>
  <c r="I194" i="7"/>
  <c r="G194" i="7"/>
  <c r="C194" i="7"/>
  <c r="J194" i="7"/>
  <c r="H194" i="7"/>
  <c r="F194" i="7"/>
  <c r="E194" i="7"/>
  <c r="D194" i="7"/>
  <c r="B194" i="7"/>
  <c r="E182" i="3"/>
  <c r="B182" i="3"/>
  <c r="G182" i="3"/>
  <c r="F182" i="3"/>
  <c r="D182" i="3"/>
  <c r="C182" i="3"/>
  <c r="G152" i="3"/>
  <c r="B152" i="3"/>
  <c r="F152" i="3"/>
  <c r="E152" i="3"/>
  <c r="D152" i="3"/>
  <c r="C152" i="3"/>
  <c r="C193" i="7"/>
  <c r="I193" i="7"/>
  <c r="B193" i="7"/>
  <c r="J193" i="7"/>
  <c r="G193" i="7"/>
  <c r="F193" i="7"/>
  <c r="E193" i="7"/>
  <c r="D193" i="7"/>
  <c r="H193" i="7"/>
  <c r="E180" i="7"/>
  <c r="C180" i="7"/>
  <c r="D180" i="7"/>
  <c r="I180" i="7"/>
  <c r="H180" i="7"/>
  <c r="G180" i="7"/>
  <c r="J180" i="7"/>
  <c r="B180" i="7"/>
  <c r="F180" i="7"/>
  <c r="E166" i="9"/>
  <c r="G71" i="3"/>
  <c r="F71" i="3"/>
  <c r="E71" i="3"/>
  <c r="D71" i="3"/>
  <c r="C71" i="3"/>
  <c r="B71" i="3"/>
  <c r="E87" i="3"/>
  <c r="D87" i="3"/>
  <c r="C87" i="3"/>
  <c r="F87" i="3"/>
  <c r="B87" i="3"/>
  <c r="G87" i="3"/>
  <c r="E50" i="3"/>
  <c r="B50" i="3"/>
  <c r="G50" i="3"/>
  <c r="F50" i="3"/>
  <c r="D50" i="3"/>
  <c r="C50" i="3"/>
  <c r="G6" i="3"/>
  <c r="F6" i="3"/>
  <c r="C6" i="3"/>
  <c r="B6" i="3"/>
  <c r="E6" i="3"/>
  <c r="D6" i="3"/>
  <c r="E262" i="3"/>
  <c r="G262" i="3"/>
  <c r="F262" i="3"/>
  <c r="D262" i="3"/>
  <c r="C262" i="3"/>
  <c r="B262" i="3"/>
  <c r="G55" i="3"/>
  <c r="F55" i="3"/>
  <c r="E55" i="3"/>
  <c r="B55" i="3"/>
  <c r="D55" i="3"/>
  <c r="C55" i="3"/>
  <c r="E135" i="5"/>
  <c r="E167" i="9"/>
  <c r="F127" i="5"/>
  <c r="F132" i="5"/>
  <c r="J144" i="7"/>
  <c r="B144" i="7"/>
  <c r="H144" i="7"/>
  <c r="I144" i="7"/>
  <c r="F144" i="7"/>
  <c r="G144" i="7"/>
  <c r="E144" i="7"/>
  <c r="D144" i="7"/>
  <c r="C144" i="7"/>
  <c r="J124" i="7"/>
  <c r="B124" i="7"/>
  <c r="H124" i="7"/>
  <c r="F124" i="7"/>
  <c r="D124" i="7"/>
  <c r="I124" i="7"/>
  <c r="G124" i="7"/>
  <c r="E124" i="7"/>
  <c r="C124" i="7"/>
  <c r="C89" i="7"/>
  <c r="I89" i="7"/>
  <c r="H89" i="7"/>
  <c r="G89" i="7"/>
  <c r="F89" i="7"/>
  <c r="B89" i="7"/>
  <c r="J89" i="7"/>
  <c r="E89" i="7"/>
  <c r="D89" i="7"/>
  <c r="I46" i="7"/>
  <c r="G46" i="7"/>
  <c r="J46" i="7"/>
  <c r="B46" i="7"/>
  <c r="E46" i="7"/>
  <c r="D46" i="7"/>
  <c r="C46" i="7"/>
  <c r="H46" i="7"/>
  <c r="F46" i="7"/>
  <c r="C156" i="3"/>
  <c r="B156" i="3"/>
  <c r="G156" i="3"/>
  <c r="F156" i="3"/>
  <c r="E156" i="3"/>
  <c r="D156" i="3"/>
  <c r="G292" i="3"/>
  <c r="B292" i="3"/>
  <c r="C287" i="3"/>
  <c r="D287" i="3"/>
  <c r="B287" i="3"/>
  <c r="G287" i="3"/>
  <c r="F287" i="3"/>
  <c r="E287" i="3"/>
  <c r="C73" i="7"/>
  <c r="I73" i="7"/>
  <c r="G73" i="7"/>
  <c r="F73" i="7"/>
  <c r="B73" i="7"/>
  <c r="J73" i="7"/>
  <c r="H73" i="7"/>
  <c r="E73" i="7"/>
  <c r="D73" i="7"/>
  <c r="I30" i="7"/>
  <c r="G30" i="7"/>
  <c r="J30" i="7"/>
  <c r="D30" i="7"/>
  <c r="B30" i="7"/>
  <c r="H30" i="7"/>
  <c r="F30" i="7"/>
  <c r="C30" i="7"/>
  <c r="E30" i="7"/>
  <c r="G16" i="3"/>
  <c r="E16" i="3"/>
  <c r="D16" i="3"/>
  <c r="C16" i="3"/>
  <c r="F16" i="3"/>
  <c r="B16" i="3"/>
  <c r="G303" i="7"/>
  <c r="E303" i="7"/>
  <c r="C303" i="7"/>
  <c r="F303" i="7"/>
  <c r="B303" i="7"/>
  <c r="J303" i="7"/>
  <c r="I303" i="7"/>
  <c r="H303" i="7"/>
  <c r="D303" i="7"/>
  <c r="F121" i="3"/>
  <c r="D121" i="3"/>
  <c r="C121" i="3"/>
  <c r="B121" i="3"/>
  <c r="G121" i="3"/>
  <c r="E121" i="3"/>
  <c r="J120" i="7"/>
  <c r="E120" i="7"/>
  <c r="C120" i="7"/>
  <c r="H120" i="7"/>
  <c r="G120" i="7"/>
  <c r="F120" i="7"/>
  <c r="I120" i="7"/>
  <c r="D120" i="7"/>
  <c r="B120" i="7"/>
  <c r="E104" i="7"/>
  <c r="C104" i="7"/>
  <c r="H104" i="7"/>
  <c r="G104" i="7"/>
  <c r="F104" i="7"/>
  <c r="D104" i="7"/>
  <c r="B104" i="7"/>
  <c r="J104" i="7"/>
  <c r="I104" i="7"/>
  <c r="E137" i="5"/>
  <c r="E133" i="5"/>
  <c r="E129" i="5"/>
  <c r="E125" i="5"/>
  <c r="E121" i="5"/>
  <c r="C122" i="5"/>
  <c r="C124" i="5"/>
  <c r="G128" i="5"/>
  <c r="E130" i="5"/>
  <c r="F117" i="5"/>
  <c r="F119" i="5"/>
  <c r="F120" i="5"/>
  <c r="F292" i="3"/>
  <c r="G289" i="7"/>
  <c r="D289" i="7"/>
  <c r="C208" i="3"/>
  <c r="G208" i="3"/>
  <c r="F208" i="3"/>
  <c r="B208" i="3"/>
  <c r="E208" i="3"/>
  <c r="D208" i="3"/>
  <c r="G259" i="3"/>
  <c r="E259" i="3"/>
  <c r="D259" i="3"/>
  <c r="C259" i="3"/>
  <c r="F259" i="3"/>
  <c r="B259" i="3"/>
  <c r="G275" i="3"/>
  <c r="F275" i="3"/>
  <c r="E275" i="3"/>
  <c r="C275" i="3"/>
  <c r="B275" i="3"/>
  <c r="D275" i="3"/>
  <c r="G203" i="7"/>
  <c r="E203" i="7"/>
  <c r="I203" i="7"/>
  <c r="F203" i="7"/>
  <c r="H203" i="7"/>
  <c r="D203" i="7"/>
  <c r="C203" i="7"/>
  <c r="J203" i="7"/>
  <c r="B203" i="7"/>
  <c r="E174" i="3"/>
  <c r="C174" i="3"/>
  <c r="B174" i="3"/>
  <c r="F174" i="3"/>
  <c r="D174" i="3"/>
  <c r="G174" i="3"/>
  <c r="D150" i="3"/>
  <c r="C150" i="3"/>
  <c r="B150" i="3"/>
  <c r="G150" i="3"/>
  <c r="E150" i="3"/>
  <c r="F150" i="3"/>
  <c r="D51" i="3"/>
  <c r="C51" i="3"/>
  <c r="B51" i="3"/>
  <c r="F51" i="3"/>
  <c r="E51" i="3"/>
  <c r="G51" i="3"/>
  <c r="D35" i="3"/>
  <c r="C35" i="3"/>
  <c r="B35" i="3"/>
  <c r="F35" i="3"/>
  <c r="E35" i="3"/>
  <c r="G35" i="3"/>
  <c r="E246" i="3"/>
  <c r="B246" i="3"/>
  <c r="D246" i="3"/>
  <c r="C246" i="3"/>
  <c r="F246" i="3"/>
  <c r="G246" i="3"/>
  <c r="D215" i="3"/>
  <c r="G215" i="3"/>
  <c r="F215" i="3"/>
  <c r="E215" i="3"/>
  <c r="C215" i="3"/>
  <c r="B215" i="3"/>
  <c r="C179" i="3"/>
  <c r="B179" i="3"/>
  <c r="D179" i="3"/>
  <c r="E179" i="3"/>
  <c r="G179" i="3"/>
  <c r="F179" i="3"/>
  <c r="D102" i="3"/>
  <c r="C102" i="3"/>
  <c r="B102" i="3"/>
  <c r="F102" i="3"/>
  <c r="E102" i="3"/>
  <c r="G102" i="3"/>
  <c r="C264" i="3"/>
  <c r="G264" i="3"/>
  <c r="F264" i="3"/>
  <c r="E264" i="3"/>
  <c r="D264" i="3"/>
  <c r="B264" i="3"/>
  <c r="F73" i="3"/>
  <c r="G73" i="3"/>
  <c r="E73" i="3"/>
  <c r="D73" i="3"/>
  <c r="B73" i="3"/>
  <c r="C73" i="3"/>
  <c r="C213" i="7"/>
  <c r="I213" i="7"/>
  <c r="E213" i="7"/>
  <c r="B213" i="7"/>
  <c r="G213" i="7"/>
  <c r="F213" i="7"/>
  <c r="D213" i="7"/>
  <c r="J213" i="7"/>
  <c r="H213" i="7"/>
  <c r="E72" i="7"/>
  <c r="C72" i="7"/>
  <c r="G72" i="7"/>
  <c r="F72" i="7"/>
  <c r="J72" i="7"/>
  <c r="I72" i="7"/>
  <c r="H72" i="7"/>
  <c r="B72" i="7"/>
  <c r="D72" i="7"/>
  <c r="C36" i="3"/>
  <c r="D36" i="3"/>
  <c r="B36" i="3"/>
  <c r="G36" i="3"/>
  <c r="E36" i="3"/>
  <c r="F36" i="3"/>
  <c r="F269" i="3"/>
  <c r="G269" i="3"/>
  <c r="E269" i="3"/>
  <c r="D269" i="3"/>
  <c r="C269" i="3"/>
  <c r="B269" i="3"/>
  <c r="D127" i="7"/>
  <c r="J127" i="7"/>
  <c r="B127" i="7"/>
  <c r="H127" i="7"/>
  <c r="F127" i="7"/>
  <c r="I127" i="7"/>
  <c r="G127" i="7"/>
  <c r="E127" i="7"/>
  <c r="C127" i="7"/>
  <c r="E123" i="5"/>
  <c r="C138" i="5"/>
  <c r="E136" i="5"/>
  <c r="F135" i="5"/>
  <c r="F123" i="5"/>
  <c r="F136" i="5"/>
  <c r="D302" i="3"/>
  <c r="G302" i="3"/>
  <c r="F302" i="3"/>
  <c r="E302" i="3"/>
  <c r="B302" i="3"/>
  <c r="C302" i="3"/>
  <c r="E88" i="7"/>
  <c r="C88" i="7"/>
  <c r="H88" i="7"/>
  <c r="G88" i="7"/>
  <c r="F88" i="7"/>
  <c r="J88" i="7"/>
  <c r="I88" i="7"/>
  <c r="D88" i="7"/>
  <c r="B88" i="7"/>
  <c r="G268" i="7"/>
  <c r="E268" i="7"/>
  <c r="I268" i="7"/>
  <c r="F268" i="7"/>
  <c r="H268" i="7"/>
  <c r="J268" i="7"/>
  <c r="D268" i="7"/>
  <c r="C268" i="7"/>
  <c r="B268" i="7"/>
  <c r="C217" i="7"/>
  <c r="I217" i="7"/>
  <c r="G217" i="7"/>
  <c r="E217" i="7"/>
  <c r="J217" i="7"/>
  <c r="H217" i="7"/>
  <c r="F217" i="7"/>
  <c r="D217" i="7"/>
  <c r="B217" i="7"/>
  <c r="C184" i="3"/>
  <c r="B184" i="3"/>
  <c r="F184" i="3"/>
  <c r="E184" i="3"/>
  <c r="D184" i="3"/>
  <c r="G184" i="3"/>
  <c r="G218" i="3"/>
  <c r="F218" i="3"/>
  <c r="E218" i="3"/>
  <c r="D218" i="3"/>
  <c r="C218" i="3"/>
  <c r="B218" i="3"/>
  <c r="G276" i="7"/>
  <c r="E276" i="7"/>
  <c r="C276" i="7"/>
  <c r="B276" i="7"/>
  <c r="J276" i="7"/>
  <c r="I276" i="7"/>
  <c r="H276" i="7"/>
  <c r="F276" i="7"/>
  <c r="D276" i="7"/>
  <c r="F137" i="5"/>
  <c r="F133" i="5"/>
  <c r="F129" i="5"/>
  <c r="F125" i="5"/>
  <c r="F121" i="5"/>
  <c r="E122" i="5"/>
  <c r="E124" i="5"/>
  <c r="C128" i="5"/>
  <c r="F130" i="5"/>
  <c r="G117" i="5"/>
  <c r="C166" i="9"/>
  <c r="C292" i="3"/>
  <c r="I292" i="3" s="1" a="1"/>
  <c r="I292" i="3" s="1"/>
  <c r="G305" i="3"/>
  <c r="F305" i="3"/>
  <c r="E305" i="3"/>
  <c r="C305" i="3"/>
  <c r="B305" i="3"/>
  <c r="D305" i="3"/>
  <c r="F189" i="3"/>
  <c r="D189" i="3"/>
  <c r="C189" i="3"/>
  <c r="B189" i="3"/>
  <c r="G189" i="3"/>
  <c r="E189" i="3"/>
  <c r="I259" i="7"/>
  <c r="G259" i="7"/>
  <c r="C259" i="7"/>
  <c r="B259" i="7"/>
  <c r="J259" i="7"/>
  <c r="H259" i="7"/>
  <c r="F259" i="7"/>
  <c r="E259" i="7"/>
  <c r="D259" i="7"/>
  <c r="F237" i="3"/>
  <c r="C237" i="3"/>
  <c r="B237" i="3"/>
  <c r="E237" i="3"/>
  <c r="D237" i="3"/>
  <c r="G237" i="3"/>
  <c r="D271" i="3"/>
  <c r="G271" i="3"/>
  <c r="F271" i="3"/>
  <c r="C271" i="3"/>
  <c r="B271" i="3"/>
  <c r="E271" i="3"/>
  <c r="D247" i="3"/>
  <c r="B247" i="3"/>
  <c r="G247" i="3"/>
  <c r="F247" i="3"/>
  <c r="E247" i="3"/>
  <c r="C247" i="3"/>
  <c r="C225" i="7"/>
  <c r="I225" i="7"/>
  <c r="B225" i="7"/>
  <c r="J225" i="7"/>
  <c r="E225" i="7"/>
  <c r="D225" i="7"/>
  <c r="H225" i="7"/>
  <c r="G225" i="7"/>
  <c r="F225" i="7"/>
  <c r="I174" i="7"/>
  <c r="G174" i="7"/>
  <c r="H174" i="7"/>
  <c r="J174" i="7"/>
  <c r="F174" i="7"/>
  <c r="E174" i="7"/>
  <c r="D174" i="7"/>
  <c r="C174" i="7"/>
  <c r="B174" i="7"/>
  <c r="D99" i="3"/>
  <c r="C99" i="3"/>
  <c r="B99" i="3"/>
  <c r="G99" i="3"/>
  <c r="F99" i="3"/>
  <c r="E99" i="3"/>
  <c r="G51" i="7"/>
  <c r="E51" i="7"/>
  <c r="C51" i="7"/>
  <c r="B51" i="7"/>
  <c r="H51" i="7"/>
  <c r="D51" i="7"/>
  <c r="J51" i="7"/>
  <c r="I51" i="7"/>
  <c r="F51" i="7"/>
  <c r="G35" i="7"/>
  <c r="E35" i="7"/>
  <c r="C35" i="7"/>
  <c r="B35" i="7"/>
  <c r="J35" i="7"/>
  <c r="H35" i="7"/>
  <c r="I35" i="7"/>
  <c r="F35" i="7"/>
  <c r="D35" i="7"/>
  <c r="C246" i="7"/>
  <c r="I246" i="7"/>
  <c r="E246" i="7"/>
  <c r="B246" i="7"/>
  <c r="D246" i="7"/>
  <c r="J246" i="7"/>
  <c r="H246" i="7"/>
  <c r="G246" i="7"/>
  <c r="F246" i="7"/>
  <c r="G179" i="7"/>
  <c r="E179" i="7"/>
  <c r="C179" i="7"/>
  <c r="F179" i="7"/>
  <c r="D179" i="7"/>
  <c r="B179" i="7"/>
  <c r="I179" i="7"/>
  <c r="H179" i="7"/>
  <c r="J179" i="7"/>
  <c r="D155" i="3"/>
  <c r="B155" i="3"/>
  <c r="E155" i="3"/>
  <c r="C155" i="3"/>
  <c r="G155" i="3"/>
  <c r="F155" i="3"/>
  <c r="G202" i="3"/>
  <c r="C202" i="3"/>
  <c r="B202" i="3"/>
  <c r="F202" i="3"/>
  <c r="E202" i="3"/>
  <c r="D202" i="3"/>
  <c r="E190" i="3"/>
  <c r="F190" i="3"/>
  <c r="D190" i="3"/>
  <c r="C190" i="3"/>
  <c r="G190" i="3"/>
  <c r="B190" i="3"/>
  <c r="G160" i="3"/>
  <c r="D160" i="3"/>
  <c r="C160" i="3"/>
  <c r="B160" i="3"/>
  <c r="E160" i="3"/>
  <c r="F160" i="3"/>
  <c r="H133" i="7"/>
  <c r="F133" i="7"/>
  <c r="B133" i="7"/>
  <c r="J133" i="7"/>
  <c r="E133" i="7"/>
  <c r="D133" i="7"/>
  <c r="C133" i="7"/>
  <c r="I133" i="7"/>
  <c r="G133" i="7"/>
  <c r="B101" i="3"/>
  <c r="D101" i="3"/>
  <c r="C101" i="3"/>
  <c r="G101" i="3"/>
  <c r="F101" i="3"/>
  <c r="E101" i="3"/>
  <c r="C45" i="7"/>
  <c r="I45" i="7"/>
  <c r="J45" i="7"/>
  <c r="H45" i="7"/>
  <c r="F45" i="7"/>
  <c r="G45" i="7"/>
  <c r="E45" i="7"/>
  <c r="D45" i="7"/>
  <c r="B45" i="7"/>
  <c r="C293" i="7"/>
  <c r="I293" i="7"/>
  <c r="G293" i="7"/>
  <c r="E293" i="7"/>
  <c r="F293" i="7"/>
  <c r="B293" i="7"/>
  <c r="D293" i="7"/>
  <c r="J293" i="7"/>
  <c r="H293" i="7"/>
  <c r="F197" i="3"/>
  <c r="G197" i="3"/>
  <c r="C197" i="3"/>
  <c r="B197" i="3"/>
  <c r="D197" i="3"/>
  <c r="E197" i="3"/>
  <c r="G199" i="7"/>
  <c r="E199" i="7"/>
  <c r="F199" i="7"/>
  <c r="C199" i="7"/>
  <c r="D199" i="7"/>
  <c r="B199" i="7"/>
  <c r="J199" i="7"/>
  <c r="I199" i="7"/>
  <c r="H199" i="7"/>
  <c r="G191" i="7"/>
  <c r="E191" i="7"/>
  <c r="I191" i="7"/>
  <c r="J191" i="7"/>
  <c r="C191" i="7"/>
  <c r="B191" i="7"/>
  <c r="H191" i="7"/>
  <c r="F191" i="7"/>
  <c r="D191" i="7"/>
  <c r="G183" i="7"/>
  <c r="E183" i="7"/>
  <c r="F183" i="7"/>
  <c r="C183" i="7"/>
  <c r="I183" i="7"/>
  <c r="H183" i="7"/>
  <c r="D183" i="7"/>
  <c r="J183" i="7"/>
  <c r="B183" i="7"/>
  <c r="G115" i="7"/>
  <c r="E115" i="7"/>
  <c r="D115" i="7"/>
  <c r="C115" i="7"/>
  <c r="B115" i="7"/>
  <c r="J115" i="7"/>
  <c r="I115" i="7"/>
  <c r="H115" i="7"/>
  <c r="F115" i="7"/>
  <c r="D171" i="3"/>
  <c r="C171" i="3"/>
  <c r="B171" i="3"/>
  <c r="E171" i="3"/>
  <c r="G171" i="3"/>
  <c r="F171" i="3"/>
  <c r="I238" i="7"/>
  <c r="J238" i="7"/>
  <c r="G238" i="7"/>
  <c r="H238" i="7"/>
  <c r="F238" i="7"/>
  <c r="E238" i="7"/>
  <c r="D238" i="7"/>
  <c r="C238" i="7"/>
  <c r="B238" i="7"/>
  <c r="G175" i="7"/>
  <c r="E175" i="7"/>
  <c r="I175" i="7"/>
  <c r="C175" i="7"/>
  <c r="B175" i="7"/>
  <c r="D175" i="7"/>
  <c r="J175" i="7"/>
  <c r="H175" i="7"/>
  <c r="F175" i="7"/>
  <c r="I154" i="7"/>
  <c r="G154" i="7"/>
  <c r="E154" i="7"/>
  <c r="F154" i="7"/>
  <c r="C154" i="7"/>
  <c r="J154" i="7"/>
  <c r="H154" i="7"/>
  <c r="D154" i="7"/>
  <c r="B154" i="7"/>
  <c r="G274" i="3"/>
  <c r="F274" i="3"/>
  <c r="B274" i="3"/>
  <c r="C274" i="3"/>
  <c r="E274" i="3"/>
  <c r="D274" i="3"/>
  <c r="F253" i="3"/>
  <c r="G253" i="3"/>
  <c r="E253" i="3"/>
  <c r="D253" i="3"/>
  <c r="C253" i="3"/>
  <c r="B253" i="3"/>
  <c r="B249" i="3"/>
  <c r="C249" i="3"/>
  <c r="G249" i="3"/>
  <c r="F249" i="3"/>
  <c r="E249" i="3"/>
  <c r="D249" i="3"/>
  <c r="C243" i="3"/>
  <c r="B243" i="3"/>
  <c r="G243" i="3"/>
  <c r="F243" i="3"/>
  <c r="E243" i="3"/>
  <c r="D243" i="3"/>
  <c r="E230" i="3"/>
  <c r="D230" i="3"/>
  <c r="C230" i="3"/>
  <c r="B230" i="3"/>
  <c r="G230" i="3"/>
  <c r="F230" i="3"/>
  <c r="C151" i="3"/>
  <c r="B151" i="3"/>
  <c r="E151" i="3"/>
  <c r="D151" i="3"/>
  <c r="G151" i="3"/>
  <c r="F151" i="3"/>
  <c r="C92" i="3"/>
  <c r="E92" i="3"/>
  <c r="D92" i="3"/>
  <c r="B92" i="3"/>
  <c r="G92" i="3"/>
  <c r="F92" i="3"/>
  <c r="E28" i="7"/>
  <c r="C28" i="7"/>
  <c r="B28" i="7"/>
  <c r="J28" i="7"/>
  <c r="D28" i="7"/>
  <c r="I28" i="7"/>
  <c r="H28" i="7"/>
  <c r="G28" i="7"/>
  <c r="F28" i="7"/>
  <c r="C161" i="7"/>
  <c r="J161" i="7"/>
  <c r="H161" i="7"/>
  <c r="I161" i="7"/>
  <c r="F161" i="7"/>
  <c r="E161" i="7"/>
  <c r="D161" i="7"/>
  <c r="B161" i="7"/>
  <c r="G161" i="7"/>
  <c r="I54" i="7"/>
  <c r="G54" i="7"/>
  <c r="E54" i="7"/>
  <c r="D54" i="7"/>
  <c r="F54" i="7"/>
  <c r="B54" i="7"/>
  <c r="J54" i="7"/>
  <c r="H54" i="7"/>
  <c r="C54" i="7"/>
  <c r="E146" i="3"/>
  <c r="C146" i="3"/>
  <c r="B146" i="3"/>
  <c r="G146" i="3"/>
  <c r="F146" i="3"/>
  <c r="D146" i="3"/>
  <c r="C132" i="3"/>
  <c r="D132" i="3"/>
  <c r="B132" i="3"/>
  <c r="F132" i="3"/>
  <c r="G132" i="3"/>
  <c r="E132" i="3"/>
  <c r="C192" i="3"/>
  <c r="G192" i="3"/>
  <c r="F192" i="3"/>
  <c r="E192" i="3"/>
  <c r="B192" i="3"/>
  <c r="D192" i="3"/>
  <c r="C41" i="7"/>
  <c r="I41" i="7"/>
  <c r="G41" i="7"/>
  <c r="F41" i="7"/>
  <c r="H41" i="7"/>
  <c r="D41" i="7"/>
  <c r="B41" i="7"/>
  <c r="E41" i="7"/>
  <c r="J41" i="7"/>
  <c r="H145" i="7"/>
  <c r="F145" i="7"/>
  <c r="J145" i="7"/>
  <c r="G145" i="7"/>
  <c r="I145" i="7"/>
  <c r="E145" i="7"/>
  <c r="D145" i="7"/>
  <c r="C145" i="7"/>
  <c r="B145" i="7"/>
  <c r="E131" i="5"/>
  <c r="C126" i="5"/>
  <c r="F131" i="5"/>
  <c r="E138" i="5"/>
  <c r="B166" i="3"/>
  <c r="C166" i="3"/>
  <c r="F166" i="3"/>
  <c r="E166" i="3"/>
  <c r="D166" i="3"/>
  <c r="G166" i="3"/>
  <c r="D59" i="3"/>
  <c r="G59" i="3"/>
  <c r="B59" i="3"/>
  <c r="C59" i="3"/>
  <c r="E59" i="3"/>
  <c r="F59" i="3"/>
  <c r="G168" i="3"/>
  <c r="F168" i="3"/>
  <c r="C168" i="3"/>
  <c r="B168" i="3"/>
  <c r="E168" i="3"/>
  <c r="D168" i="3"/>
  <c r="I110" i="7"/>
  <c r="G110" i="7"/>
  <c r="B110" i="7"/>
  <c r="J110" i="7"/>
  <c r="H110" i="7"/>
  <c r="F110" i="7"/>
  <c r="E110" i="7"/>
  <c r="D110" i="7"/>
  <c r="C110" i="7"/>
  <c r="G188" i="3"/>
  <c r="C188" i="3"/>
  <c r="B188" i="3"/>
  <c r="F188" i="3"/>
  <c r="E188" i="3"/>
  <c r="D188" i="3"/>
  <c r="I170" i="7"/>
  <c r="G170" i="7"/>
  <c r="H170" i="7"/>
  <c r="E170" i="7"/>
  <c r="J170" i="7"/>
  <c r="F170" i="7"/>
  <c r="D170" i="7"/>
  <c r="C170" i="7"/>
  <c r="B170" i="7"/>
  <c r="I86" i="7"/>
  <c r="G86" i="7"/>
  <c r="F86" i="7"/>
  <c r="E86" i="7"/>
  <c r="D86" i="7"/>
  <c r="J86" i="7"/>
  <c r="H86" i="7"/>
  <c r="C86" i="7"/>
  <c r="B86" i="7"/>
  <c r="E58" i="3"/>
  <c r="G58" i="3"/>
  <c r="F58" i="3"/>
  <c r="D58" i="3"/>
  <c r="C58" i="3"/>
  <c r="B58" i="3"/>
  <c r="G23" i="7"/>
  <c r="E23" i="7"/>
  <c r="J23" i="7"/>
  <c r="H23" i="7"/>
  <c r="I23" i="7"/>
  <c r="F23" i="7"/>
  <c r="D23" i="7"/>
  <c r="C23" i="7"/>
  <c r="B23" i="7"/>
  <c r="D143" i="7"/>
  <c r="J143" i="7"/>
  <c r="B143" i="7"/>
  <c r="H143" i="7"/>
  <c r="F143" i="7"/>
  <c r="E143" i="7"/>
  <c r="C143" i="7"/>
  <c r="I143" i="7"/>
  <c r="G143" i="7"/>
  <c r="C258" i="7"/>
  <c r="I258" i="7"/>
  <c r="B258" i="7"/>
  <c r="J258" i="7"/>
  <c r="G258" i="7"/>
  <c r="E258" i="7"/>
  <c r="D258" i="7"/>
  <c r="H258" i="7"/>
  <c r="F258" i="7"/>
  <c r="G137" i="5"/>
  <c r="G133" i="5"/>
  <c r="G129" i="5"/>
  <c r="G125" i="5"/>
  <c r="G121" i="5"/>
  <c r="F122" i="5"/>
  <c r="F124" i="5"/>
  <c r="E128" i="5"/>
  <c r="C167" i="9"/>
  <c r="G134" i="5"/>
  <c r="G136" i="5"/>
  <c r="E292" i="3"/>
  <c r="C305" i="7"/>
  <c r="I305" i="7"/>
  <c r="E305" i="7"/>
  <c r="B305" i="7"/>
  <c r="J305" i="7"/>
  <c r="H305" i="7"/>
  <c r="G305" i="7"/>
  <c r="F305" i="7"/>
  <c r="D305" i="7"/>
  <c r="C240" i="3"/>
  <c r="D240" i="3"/>
  <c r="B240" i="3"/>
  <c r="G240" i="3"/>
  <c r="F240" i="3"/>
  <c r="E240" i="3"/>
  <c r="C189" i="7"/>
  <c r="I189" i="7"/>
  <c r="J189" i="7"/>
  <c r="G189" i="7"/>
  <c r="E189" i="7"/>
  <c r="D189" i="7"/>
  <c r="B189" i="7"/>
  <c r="H189" i="7"/>
  <c r="F189" i="7"/>
  <c r="C237" i="7"/>
  <c r="I237" i="7"/>
  <c r="J237" i="7"/>
  <c r="G237" i="7"/>
  <c r="H237" i="7"/>
  <c r="F237" i="7"/>
  <c r="E237" i="7"/>
  <c r="D237" i="7"/>
  <c r="B237" i="7"/>
  <c r="F229" i="3"/>
  <c r="D229" i="3"/>
  <c r="C229" i="3"/>
  <c r="B229" i="3"/>
  <c r="G229" i="3"/>
  <c r="E229" i="3"/>
  <c r="I247" i="7"/>
  <c r="G247" i="7"/>
  <c r="E247" i="7"/>
  <c r="C247" i="7"/>
  <c r="H247" i="7"/>
  <c r="D247" i="7"/>
  <c r="J247" i="7"/>
  <c r="F247" i="7"/>
  <c r="B247" i="7"/>
  <c r="D191" i="3"/>
  <c r="G191" i="3"/>
  <c r="F191" i="3"/>
  <c r="E191" i="3"/>
  <c r="C191" i="3"/>
  <c r="B191" i="3"/>
  <c r="D183" i="3"/>
  <c r="B183" i="3"/>
  <c r="C183" i="3"/>
  <c r="G183" i="3"/>
  <c r="F183" i="3"/>
  <c r="E183" i="3"/>
  <c r="C158" i="3"/>
  <c r="B158" i="3"/>
  <c r="G158" i="3"/>
  <c r="F158" i="3"/>
  <c r="E158" i="3"/>
  <c r="D158" i="3"/>
  <c r="D147" i="3"/>
  <c r="C147" i="3"/>
  <c r="B147" i="3"/>
  <c r="G147" i="3"/>
  <c r="F147" i="3"/>
  <c r="E147" i="3"/>
  <c r="D131" i="3"/>
  <c r="C131" i="3"/>
  <c r="G131" i="3"/>
  <c r="F131" i="3"/>
  <c r="E131" i="3"/>
  <c r="B131" i="3"/>
  <c r="D115" i="3"/>
  <c r="F115" i="3"/>
  <c r="C115" i="3"/>
  <c r="B115" i="3"/>
  <c r="G115" i="3"/>
  <c r="E115" i="3"/>
  <c r="G99" i="7"/>
  <c r="E99" i="7"/>
  <c r="D99" i="7"/>
  <c r="C99" i="7"/>
  <c r="B99" i="7"/>
  <c r="F99" i="7"/>
  <c r="J99" i="7"/>
  <c r="I99" i="7"/>
  <c r="H99" i="7"/>
  <c r="G215" i="7"/>
  <c r="E215" i="7"/>
  <c r="F215" i="7"/>
  <c r="C215" i="7"/>
  <c r="J215" i="7"/>
  <c r="I215" i="7"/>
  <c r="H215" i="7"/>
  <c r="D215" i="7"/>
  <c r="B215" i="7"/>
  <c r="G155" i="7"/>
  <c r="F155" i="7"/>
  <c r="D155" i="7"/>
  <c r="I155" i="7"/>
  <c r="E155" i="7"/>
  <c r="J155" i="7"/>
  <c r="H155" i="7"/>
  <c r="C155" i="7"/>
  <c r="B155" i="7"/>
  <c r="E238" i="3"/>
  <c r="C238" i="3"/>
  <c r="B238" i="3"/>
  <c r="G238" i="3"/>
  <c r="F238" i="3"/>
  <c r="D238" i="3"/>
  <c r="I202" i="7"/>
  <c r="G202" i="7"/>
  <c r="H202" i="7"/>
  <c r="E202" i="7"/>
  <c r="C202" i="7"/>
  <c r="B202" i="7"/>
  <c r="F202" i="7"/>
  <c r="D202" i="7"/>
  <c r="J202" i="7"/>
  <c r="I190" i="7"/>
  <c r="G190" i="7"/>
  <c r="H190" i="7"/>
  <c r="J190" i="7"/>
  <c r="F190" i="7"/>
  <c r="E190" i="7"/>
  <c r="D190" i="7"/>
  <c r="C190" i="7"/>
  <c r="B190" i="7"/>
  <c r="C176" i="3"/>
  <c r="D176" i="3"/>
  <c r="B176" i="3"/>
  <c r="G176" i="3"/>
  <c r="F176" i="3"/>
  <c r="E176" i="3"/>
  <c r="C101" i="7"/>
  <c r="I101" i="7"/>
  <c r="F101" i="7"/>
  <c r="E101" i="7"/>
  <c r="D101" i="7"/>
  <c r="J101" i="7"/>
  <c r="H101" i="7"/>
  <c r="G101" i="7"/>
  <c r="B101" i="7"/>
  <c r="F306" i="3"/>
  <c r="E306" i="3"/>
  <c r="D306" i="3"/>
  <c r="G306" i="3"/>
  <c r="C306" i="3"/>
  <c r="B306" i="3"/>
  <c r="I251" i="7"/>
  <c r="G251" i="7"/>
  <c r="H251" i="7"/>
  <c r="E251" i="7"/>
  <c r="F251" i="7"/>
  <c r="C251" i="7"/>
  <c r="B251" i="7"/>
  <c r="J251" i="7"/>
  <c r="D251" i="7"/>
  <c r="F181" i="3"/>
  <c r="B181" i="3"/>
  <c r="G181" i="3"/>
  <c r="E181" i="3"/>
  <c r="C181" i="3"/>
  <c r="D181" i="3"/>
  <c r="I255" i="7"/>
  <c r="G255" i="7"/>
  <c r="H255" i="7"/>
  <c r="J255" i="7"/>
  <c r="F255" i="7"/>
  <c r="E255" i="7"/>
  <c r="D255" i="7"/>
  <c r="C255" i="7"/>
  <c r="B255" i="7"/>
  <c r="D199" i="3"/>
  <c r="G199" i="3"/>
  <c r="F199" i="3"/>
  <c r="E199" i="3"/>
  <c r="C199" i="3"/>
  <c r="B199" i="3"/>
  <c r="D139" i="3"/>
  <c r="E139" i="3"/>
  <c r="C139" i="3"/>
  <c r="B139" i="3"/>
  <c r="F139" i="3"/>
  <c r="G139" i="3"/>
  <c r="D239" i="3"/>
  <c r="C239" i="3"/>
  <c r="B239" i="3"/>
  <c r="G239" i="3"/>
  <c r="F239" i="3"/>
  <c r="E239" i="3"/>
  <c r="G211" i="7"/>
  <c r="E211" i="7"/>
  <c r="C211" i="7"/>
  <c r="J211" i="7"/>
  <c r="I211" i="7"/>
  <c r="F211" i="7"/>
  <c r="D211" i="7"/>
  <c r="B211" i="7"/>
  <c r="H211" i="7"/>
  <c r="G171" i="7"/>
  <c r="E171" i="7"/>
  <c r="I171" i="7"/>
  <c r="F171" i="7"/>
  <c r="J171" i="7"/>
  <c r="H171" i="7"/>
  <c r="D171" i="7"/>
  <c r="C171" i="7"/>
  <c r="B171" i="7"/>
  <c r="G144" i="3"/>
  <c r="C144" i="3"/>
  <c r="B144" i="3"/>
  <c r="F144" i="3"/>
  <c r="E144" i="3"/>
  <c r="D144" i="3"/>
  <c r="I198" i="7"/>
  <c r="G198" i="7"/>
  <c r="E198" i="7"/>
  <c r="C198" i="7"/>
  <c r="B198" i="7"/>
  <c r="D198" i="7"/>
  <c r="J198" i="7"/>
  <c r="H198" i="7"/>
  <c r="F198" i="7"/>
  <c r="C186" i="3"/>
  <c r="B186" i="3"/>
  <c r="F186" i="3"/>
  <c r="E186" i="3"/>
  <c r="D186" i="3"/>
  <c r="G186" i="3"/>
  <c r="J152" i="7"/>
  <c r="B152" i="7"/>
  <c r="H152" i="7"/>
  <c r="D152" i="7"/>
  <c r="I152" i="7"/>
  <c r="G152" i="7"/>
  <c r="F152" i="7"/>
  <c r="E152" i="7"/>
  <c r="C152" i="7"/>
  <c r="C37" i="7"/>
  <c r="I37" i="7"/>
  <c r="E37" i="7"/>
  <c r="D37" i="7"/>
  <c r="F37" i="7"/>
  <c r="J37" i="7"/>
  <c r="H37" i="7"/>
  <c r="G37" i="7"/>
  <c r="B37" i="7"/>
  <c r="E277" i="7"/>
  <c r="C277" i="7"/>
  <c r="D277" i="7"/>
  <c r="G277" i="7"/>
  <c r="B277" i="7"/>
  <c r="F277" i="7"/>
  <c r="J277" i="7"/>
  <c r="I277" i="7"/>
  <c r="H277" i="7"/>
  <c r="B177" i="3"/>
  <c r="D177" i="3"/>
  <c r="C177" i="3"/>
  <c r="G177" i="3"/>
  <c r="F177" i="3"/>
  <c r="E177" i="3"/>
  <c r="C124" i="3"/>
  <c r="E124" i="3"/>
  <c r="D124" i="3"/>
  <c r="B124" i="3"/>
  <c r="F124" i="3"/>
  <c r="G124" i="3"/>
  <c r="G110" i="3"/>
  <c r="F110" i="3"/>
  <c r="D110" i="3"/>
  <c r="C110" i="3"/>
  <c r="B110" i="3"/>
  <c r="E110" i="3"/>
  <c r="C60" i="3"/>
  <c r="G60" i="3"/>
  <c r="D60" i="3"/>
  <c r="B60" i="3"/>
  <c r="F60" i="3"/>
  <c r="E60" i="3"/>
  <c r="C46" i="3"/>
  <c r="B46" i="3"/>
  <c r="G46" i="3"/>
  <c r="F46" i="3"/>
  <c r="E46" i="3"/>
  <c r="D46" i="3"/>
  <c r="F285" i="3"/>
  <c r="E285" i="3"/>
  <c r="D285" i="3"/>
  <c r="C285" i="3"/>
  <c r="G285" i="3"/>
  <c r="B285" i="3"/>
  <c r="G228" i="3"/>
  <c r="D228" i="3"/>
  <c r="C228" i="3"/>
  <c r="B228" i="3"/>
  <c r="E228" i="3"/>
  <c r="F228" i="3"/>
  <c r="E204" i="7"/>
  <c r="C204" i="7"/>
  <c r="I204" i="7"/>
  <c r="G204" i="7"/>
  <c r="J204" i="7"/>
  <c r="H204" i="7"/>
  <c r="F204" i="7"/>
  <c r="D204" i="7"/>
  <c r="B204" i="7"/>
  <c r="I102" i="7"/>
  <c r="G102" i="7"/>
  <c r="F102" i="7"/>
  <c r="E102" i="7"/>
  <c r="D102" i="7"/>
  <c r="J102" i="7"/>
  <c r="H102" i="7"/>
  <c r="C102" i="7"/>
  <c r="B102" i="7"/>
  <c r="G64" i="3"/>
  <c r="F64" i="3"/>
  <c r="E64" i="3"/>
  <c r="C64" i="3"/>
  <c r="B64" i="3"/>
  <c r="D64" i="3"/>
  <c r="E285" i="7"/>
  <c r="C285" i="7"/>
  <c r="I285" i="7"/>
  <c r="G285" i="7"/>
  <c r="H285" i="7"/>
  <c r="J285" i="7"/>
  <c r="F285" i="7"/>
  <c r="D285" i="7"/>
  <c r="B285" i="7"/>
  <c r="C274" i="7"/>
  <c r="I274" i="7"/>
  <c r="B274" i="7"/>
  <c r="J274" i="7"/>
  <c r="G274" i="7"/>
  <c r="E274" i="7"/>
  <c r="H274" i="7"/>
  <c r="F274" i="7"/>
  <c r="D274" i="7"/>
  <c r="G264" i="7"/>
  <c r="E264" i="7"/>
  <c r="F264" i="7"/>
  <c r="C264" i="7"/>
  <c r="I264" i="7"/>
  <c r="D264" i="7"/>
  <c r="J264" i="7"/>
  <c r="H264" i="7"/>
  <c r="B264" i="7"/>
  <c r="E253" i="7"/>
  <c r="C253" i="7"/>
  <c r="I253" i="7"/>
  <c r="G253" i="7"/>
  <c r="D253" i="7"/>
  <c r="J253" i="7"/>
  <c r="H253" i="7"/>
  <c r="F253" i="7"/>
  <c r="B253" i="7"/>
  <c r="E249" i="7"/>
  <c r="C249" i="7"/>
  <c r="G249" i="7"/>
  <c r="D249" i="7"/>
  <c r="J249" i="7"/>
  <c r="I249" i="7"/>
  <c r="H249" i="7"/>
  <c r="F249" i="7"/>
  <c r="B249" i="7"/>
  <c r="I243" i="7"/>
  <c r="G243" i="7"/>
  <c r="C243" i="7"/>
  <c r="E243" i="7"/>
  <c r="B243" i="7"/>
  <c r="D243" i="7"/>
  <c r="J243" i="7"/>
  <c r="H243" i="7"/>
  <c r="F243" i="7"/>
  <c r="D151" i="7"/>
  <c r="J151" i="7"/>
  <c r="B151" i="7"/>
  <c r="C151" i="7"/>
  <c r="I151" i="7"/>
  <c r="H151" i="7"/>
  <c r="G151" i="7"/>
  <c r="E151" i="7"/>
  <c r="F151" i="7"/>
  <c r="E108" i="7"/>
  <c r="C108" i="7"/>
  <c r="J108" i="7"/>
  <c r="I108" i="7"/>
  <c r="H108" i="7"/>
  <c r="G108" i="7"/>
  <c r="F108" i="7"/>
  <c r="D108" i="7"/>
  <c r="B108" i="7"/>
  <c r="E30" i="3"/>
  <c r="D30" i="3"/>
  <c r="C30" i="3"/>
  <c r="G30" i="3"/>
  <c r="F30" i="3"/>
  <c r="B30" i="3"/>
  <c r="E20" i="7"/>
  <c r="C20" i="7"/>
  <c r="H20" i="7"/>
  <c r="F20" i="7"/>
  <c r="J20" i="7"/>
  <c r="I20" i="7"/>
  <c r="G20" i="7"/>
  <c r="D20" i="7"/>
  <c r="B20" i="7"/>
  <c r="B257" i="3"/>
  <c r="D257" i="3"/>
  <c r="C257" i="3"/>
  <c r="G257" i="3"/>
  <c r="F257" i="3"/>
  <c r="E257" i="3"/>
  <c r="B217" i="3"/>
  <c r="G217" i="3"/>
  <c r="F217" i="3"/>
  <c r="E217" i="3"/>
  <c r="C217" i="3"/>
  <c r="D217" i="3"/>
  <c r="C173" i="7"/>
  <c r="I173" i="7"/>
  <c r="J173" i="7"/>
  <c r="G173" i="7"/>
  <c r="H173" i="7"/>
  <c r="F173" i="7"/>
  <c r="E173" i="7"/>
  <c r="D173" i="7"/>
  <c r="B173" i="7"/>
  <c r="H129" i="7"/>
  <c r="F129" i="7"/>
  <c r="J129" i="7"/>
  <c r="G129" i="7"/>
  <c r="C129" i="7"/>
  <c r="B129" i="7"/>
  <c r="I129" i="7"/>
  <c r="E129" i="7"/>
  <c r="D129" i="7"/>
  <c r="F86" i="3"/>
  <c r="E86" i="3"/>
  <c r="D86" i="3"/>
  <c r="G86" i="3"/>
  <c r="C86" i="3"/>
  <c r="B86" i="3"/>
  <c r="E36" i="7"/>
  <c r="C36" i="7"/>
  <c r="D36" i="7"/>
  <c r="B36" i="7"/>
  <c r="J36" i="7"/>
  <c r="I36" i="7"/>
  <c r="H36" i="7"/>
  <c r="G36" i="7"/>
  <c r="F36" i="7"/>
  <c r="F261" i="3"/>
  <c r="G261" i="3"/>
  <c r="E261" i="3"/>
  <c r="D261" i="3"/>
  <c r="B261" i="3"/>
  <c r="C261" i="3"/>
  <c r="I50" i="7"/>
  <c r="G50" i="7"/>
  <c r="C50" i="7"/>
  <c r="B50" i="7"/>
  <c r="D50" i="7"/>
  <c r="E50" i="7"/>
  <c r="J50" i="7"/>
  <c r="H50" i="7"/>
  <c r="F50" i="7"/>
  <c r="I214" i="7"/>
  <c r="G214" i="7"/>
  <c r="E214" i="7"/>
  <c r="C214" i="7"/>
  <c r="J214" i="7"/>
  <c r="H214" i="7"/>
  <c r="F214" i="7"/>
  <c r="D214" i="7"/>
  <c r="B214" i="7"/>
  <c r="J128" i="7"/>
  <c r="B128" i="7"/>
  <c r="H128" i="7"/>
  <c r="I128" i="7"/>
  <c r="F128" i="7"/>
  <c r="E128" i="7"/>
  <c r="D128" i="7"/>
  <c r="C128" i="7"/>
  <c r="G128" i="7"/>
  <c r="E92" i="7"/>
  <c r="C92" i="7"/>
  <c r="J92" i="7"/>
  <c r="I92" i="7"/>
  <c r="H92" i="7"/>
  <c r="F92" i="7"/>
  <c r="D92" i="7"/>
  <c r="B92" i="7"/>
  <c r="G92" i="7"/>
  <c r="D143" i="3"/>
  <c r="C143" i="3"/>
  <c r="B143" i="3"/>
  <c r="F143" i="3"/>
  <c r="E143" i="3"/>
  <c r="G143" i="3"/>
  <c r="E56" i="7"/>
  <c r="C56" i="7"/>
  <c r="G56" i="7"/>
  <c r="F56" i="7"/>
  <c r="J56" i="7"/>
  <c r="I56" i="7"/>
  <c r="H56" i="7"/>
  <c r="D56" i="7"/>
  <c r="B56" i="7"/>
  <c r="F134" i="7"/>
  <c r="D134" i="7"/>
  <c r="B134" i="7"/>
  <c r="J134" i="7"/>
  <c r="I134" i="7"/>
  <c r="H134" i="7"/>
  <c r="G134" i="7"/>
  <c r="E134" i="7"/>
  <c r="C134" i="7"/>
  <c r="I6" i="7"/>
  <c r="G6" i="7"/>
  <c r="J6" i="7"/>
  <c r="F6" i="7"/>
  <c r="H6" i="7"/>
  <c r="E6" i="7"/>
  <c r="D6" i="7"/>
  <c r="C6" i="7"/>
  <c r="B6" i="7"/>
  <c r="F111" i="3"/>
  <c r="G111" i="3"/>
  <c r="E111" i="3"/>
  <c r="D111" i="3"/>
  <c r="C111" i="3"/>
  <c r="B111" i="3"/>
  <c r="F146" i="7"/>
  <c r="D146" i="7"/>
  <c r="J146" i="7"/>
  <c r="H146" i="7"/>
  <c r="C146" i="7"/>
  <c r="B146" i="7"/>
  <c r="I146" i="7"/>
  <c r="G146" i="7"/>
  <c r="E146" i="7"/>
  <c r="G120" i="3"/>
  <c r="D120" i="3"/>
  <c r="F120" i="3"/>
  <c r="C120" i="3"/>
  <c r="E120" i="3"/>
  <c r="B120" i="3"/>
  <c r="G112" i="3"/>
  <c r="E112" i="3"/>
  <c r="B112" i="3"/>
  <c r="F112" i="3"/>
  <c r="D112" i="3"/>
  <c r="C112" i="3"/>
  <c r="E254" i="3"/>
  <c r="G254" i="3"/>
  <c r="F254" i="3"/>
  <c r="D254" i="3"/>
  <c r="C254" i="3"/>
  <c r="B254" i="3"/>
  <c r="G104" i="3"/>
  <c r="B104" i="3"/>
  <c r="E104" i="3"/>
  <c r="D104" i="3"/>
  <c r="C104" i="3"/>
  <c r="F104" i="3"/>
  <c r="E273" i="7"/>
  <c r="C273" i="7"/>
  <c r="I273" i="7"/>
  <c r="D273" i="7"/>
  <c r="G273" i="7"/>
  <c r="F273" i="7"/>
  <c r="B273" i="7"/>
  <c r="J273" i="7"/>
  <c r="H273" i="7"/>
  <c r="J132" i="7"/>
  <c r="B132" i="7"/>
  <c r="H132" i="7"/>
  <c r="I132" i="7"/>
  <c r="C132" i="7"/>
  <c r="G132" i="7"/>
  <c r="F132" i="7"/>
  <c r="E132" i="7"/>
  <c r="D132" i="7"/>
  <c r="G63" i="7"/>
  <c r="E63" i="7"/>
  <c r="J63" i="7"/>
  <c r="C63" i="7"/>
  <c r="B63" i="7"/>
  <c r="I63" i="7"/>
  <c r="H63" i="7"/>
  <c r="F63" i="7"/>
  <c r="D63" i="7"/>
  <c r="E265" i="7"/>
  <c r="C265" i="7"/>
  <c r="G265" i="7"/>
  <c r="D265" i="7"/>
  <c r="I265" i="7"/>
  <c r="J265" i="7"/>
  <c r="H265" i="7"/>
  <c r="F265" i="7"/>
  <c r="B265" i="7"/>
  <c r="B258" i="3"/>
  <c r="E258" i="3"/>
  <c r="D258" i="3"/>
  <c r="C258" i="3"/>
  <c r="G258" i="3"/>
  <c r="F258" i="3"/>
  <c r="E192" i="7"/>
  <c r="C192" i="7"/>
  <c r="I192" i="7"/>
  <c r="D192" i="7"/>
  <c r="J192" i="7"/>
  <c r="H192" i="7"/>
  <c r="G192" i="7"/>
  <c r="F192" i="7"/>
  <c r="G55" i="7"/>
  <c r="E55" i="7"/>
  <c r="F55" i="7"/>
  <c r="D55" i="7"/>
  <c r="J55" i="7"/>
  <c r="H55" i="7"/>
  <c r="I55" i="7"/>
  <c r="C55" i="7"/>
  <c r="B55" i="7"/>
  <c r="F49" i="3"/>
  <c r="G49" i="3"/>
  <c r="E49" i="3"/>
  <c r="D49" i="3"/>
  <c r="C49" i="3"/>
  <c r="B49" i="3"/>
  <c r="I10" i="7"/>
  <c r="G10" i="7"/>
  <c r="B10" i="7"/>
  <c r="J10" i="7"/>
  <c r="H10" i="7"/>
  <c r="F10" i="7"/>
  <c r="E10" i="7"/>
  <c r="D10" i="7"/>
  <c r="C10" i="7"/>
  <c r="I222" i="7"/>
  <c r="G222" i="7"/>
  <c r="H222" i="7"/>
  <c r="C222" i="7"/>
  <c r="B222" i="7"/>
  <c r="J222" i="7"/>
  <c r="F222" i="7"/>
  <c r="E222" i="7"/>
  <c r="D222" i="7"/>
  <c r="F126" i="7"/>
  <c r="D126" i="7"/>
  <c r="H126" i="7"/>
  <c r="E126" i="7"/>
  <c r="C126" i="7"/>
  <c r="B126" i="7"/>
  <c r="G126" i="7"/>
  <c r="J126" i="7"/>
  <c r="I126" i="7"/>
  <c r="G96" i="3"/>
  <c r="C96" i="3"/>
  <c r="B96" i="3"/>
  <c r="F96" i="3"/>
  <c r="E96" i="3"/>
  <c r="D96" i="3"/>
  <c r="E60" i="7"/>
  <c r="C60" i="7"/>
  <c r="I60" i="7"/>
  <c r="H60" i="7"/>
  <c r="D60" i="7"/>
  <c r="B60" i="7"/>
  <c r="F60" i="7"/>
  <c r="G60" i="7"/>
  <c r="J60" i="7"/>
  <c r="G32" i="3"/>
  <c r="C32" i="3"/>
  <c r="B32" i="3"/>
  <c r="D32" i="3"/>
  <c r="F32" i="3"/>
  <c r="E32" i="3"/>
  <c r="C20" i="3"/>
  <c r="F20" i="3"/>
  <c r="E20" i="3"/>
  <c r="D20" i="3"/>
  <c r="B20" i="3"/>
  <c r="G20" i="3"/>
  <c r="G297" i="3"/>
  <c r="F297" i="3"/>
  <c r="E297" i="3"/>
  <c r="D297" i="3"/>
  <c r="C297" i="3"/>
  <c r="B297" i="3"/>
  <c r="I206" i="7"/>
  <c r="G206" i="7"/>
  <c r="H206" i="7"/>
  <c r="E206" i="7"/>
  <c r="D206" i="7"/>
  <c r="C206" i="7"/>
  <c r="J206" i="7"/>
  <c r="F206" i="7"/>
  <c r="B206" i="7"/>
  <c r="E156" i="7"/>
  <c r="F156" i="7"/>
  <c r="C156" i="7"/>
  <c r="J156" i="7"/>
  <c r="H156" i="7"/>
  <c r="G156" i="7"/>
  <c r="D156" i="7"/>
  <c r="B156" i="7"/>
  <c r="I156" i="7"/>
  <c r="F138" i="7"/>
  <c r="D138" i="7"/>
  <c r="E138" i="7"/>
  <c r="B138" i="7"/>
  <c r="J138" i="7"/>
  <c r="I138" i="7"/>
  <c r="H138" i="7"/>
  <c r="G138" i="7"/>
  <c r="C138" i="7"/>
  <c r="E116" i="7"/>
  <c r="C116" i="7"/>
  <c r="F116" i="7"/>
  <c r="D116" i="7"/>
  <c r="B116" i="7"/>
  <c r="G116" i="7"/>
  <c r="J116" i="7"/>
  <c r="I116" i="7"/>
  <c r="H116" i="7"/>
  <c r="D95" i="3"/>
  <c r="C95" i="3"/>
  <c r="B95" i="3"/>
  <c r="E95" i="3"/>
  <c r="G95" i="3"/>
  <c r="F95" i="3"/>
  <c r="I38" i="7"/>
  <c r="G38" i="7"/>
  <c r="E38" i="7"/>
  <c r="D38" i="7"/>
  <c r="J38" i="7"/>
  <c r="F38" i="7"/>
  <c r="H38" i="7"/>
  <c r="C38" i="7"/>
  <c r="B38" i="7"/>
  <c r="F292" i="7"/>
  <c r="H292" i="7"/>
  <c r="G292" i="7"/>
  <c r="C287" i="7"/>
  <c r="I287" i="7"/>
  <c r="J287" i="7"/>
  <c r="G287" i="7"/>
  <c r="B287" i="7"/>
  <c r="H287" i="7"/>
  <c r="F287" i="7"/>
  <c r="E287" i="7"/>
  <c r="D287" i="7"/>
  <c r="G212" i="3"/>
  <c r="F212" i="3"/>
  <c r="E212" i="3"/>
  <c r="D212" i="3"/>
  <c r="B212" i="3"/>
  <c r="C212" i="3"/>
  <c r="F130" i="7"/>
  <c r="D130" i="7"/>
  <c r="J130" i="7"/>
  <c r="H130" i="7"/>
  <c r="G130" i="7"/>
  <c r="E130" i="7"/>
  <c r="C130" i="7"/>
  <c r="I130" i="7"/>
  <c r="B130" i="7"/>
  <c r="E4" i="7"/>
  <c r="C4" i="7"/>
  <c r="H4" i="7"/>
  <c r="F4" i="7"/>
  <c r="J4" i="7"/>
  <c r="I4" i="7"/>
  <c r="G4" i="7"/>
  <c r="D4" i="7"/>
  <c r="B4" i="7"/>
  <c r="C278" i="7"/>
  <c r="I278" i="7"/>
  <c r="E278" i="7"/>
  <c r="B278" i="7"/>
  <c r="J278" i="7"/>
  <c r="G278" i="7"/>
  <c r="H278" i="7"/>
  <c r="D278" i="7"/>
  <c r="F278" i="7"/>
  <c r="I234" i="7"/>
  <c r="G234" i="7"/>
  <c r="H234" i="7"/>
  <c r="E234" i="7"/>
  <c r="J234" i="7"/>
  <c r="F234" i="7"/>
  <c r="C234" i="7"/>
  <c r="B234" i="7"/>
  <c r="D234" i="7"/>
  <c r="E188" i="7"/>
  <c r="C188" i="7"/>
  <c r="I188" i="7"/>
  <c r="G188" i="7"/>
  <c r="H188" i="7"/>
  <c r="F188" i="7"/>
  <c r="D188" i="7"/>
  <c r="B188" i="7"/>
  <c r="J188" i="7"/>
  <c r="C100" i="3"/>
  <c r="D100" i="3"/>
  <c r="B100" i="3"/>
  <c r="E100" i="3"/>
  <c r="G100" i="3"/>
  <c r="F100" i="3"/>
  <c r="I58" i="7"/>
  <c r="G58" i="7"/>
  <c r="H58" i="7"/>
  <c r="F58" i="7"/>
  <c r="J58" i="7"/>
  <c r="D58" i="7"/>
  <c r="E58" i="7"/>
  <c r="C58" i="7"/>
  <c r="B58" i="7"/>
  <c r="E184" i="7"/>
  <c r="C184" i="7"/>
  <c r="G184" i="7"/>
  <c r="D184" i="7"/>
  <c r="J184" i="7"/>
  <c r="I184" i="7"/>
  <c r="B184" i="7"/>
  <c r="H184" i="7"/>
  <c r="F184" i="7"/>
  <c r="I298" i="7"/>
  <c r="G298" i="7"/>
  <c r="H298" i="7"/>
  <c r="J298" i="7"/>
  <c r="F298" i="7"/>
  <c r="E298" i="7"/>
  <c r="C298" i="7"/>
  <c r="B298" i="7"/>
  <c r="D298" i="7"/>
  <c r="I218" i="7"/>
  <c r="G218" i="7"/>
  <c r="H218" i="7"/>
  <c r="E218" i="7"/>
  <c r="D218" i="7"/>
  <c r="C218" i="7"/>
  <c r="B218" i="7"/>
  <c r="J218" i="7"/>
  <c r="F218" i="7"/>
  <c r="E269" i="7"/>
  <c r="C269" i="7"/>
  <c r="I269" i="7"/>
  <c r="G269" i="7"/>
  <c r="H269" i="7"/>
  <c r="F269" i="7"/>
  <c r="D269" i="7"/>
  <c r="B269" i="7"/>
  <c r="J269" i="7"/>
  <c r="C140" i="3"/>
  <c r="E140" i="3"/>
  <c r="D140" i="3"/>
  <c r="B140" i="3"/>
  <c r="F140" i="3"/>
  <c r="G140" i="3"/>
  <c r="G56" i="3"/>
  <c r="F56" i="3"/>
  <c r="E56" i="3"/>
  <c r="D56" i="3"/>
  <c r="C56" i="3"/>
  <c r="B56" i="3"/>
  <c r="E48" i="7"/>
  <c r="C48" i="7"/>
  <c r="J48" i="7"/>
  <c r="H48" i="7"/>
  <c r="F48" i="7"/>
  <c r="D48" i="7"/>
  <c r="B48" i="7"/>
  <c r="I48" i="7"/>
  <c r="G48" i="7"/>
  <c r="C33" i="7"/>
  <c r="I33" i="7"/>
  <c r="B33" i="7"/>
  <c r="D33" i="7"/>
  <c r="E33" i="7"/>
  <c r="J33" i="7"/>
  <c r="H33" i="7"/>
  <c r="G33" i="7"/>
  <c r="F33" i="7"/>
  <c r="E112" i="7"/>
  <c r="C112" i="7"/>
  <c r="B112" i="7"/>
  <c r="J112" i="7"/>
  <c r="I112" i="7"/>
  <c r="H112" i="7"/>
  <c r="G112" i="7"/>
  <c r="F112" i="7"/>
  <c r="D112" i="7"/>
  <c r="C97" i="7"/>
  <c r="I97" i="7"/>
  <c r="D97" i="7"/>
  <c r="B97" i="7"/>
  <c r="G97" i="7"/>
  <c r="F97" i="7"/>
  <c r="E97" i="7"/>
  <c r="J97" i="7"/>
  <c r="H97" i="7"/>
  <c r="G235" i="7"/>
  <c r="E235" i="7"/>
  <c r="I235" i="7"/>
  <c r="F235" i="7"/>
  <c r="J235" i="7"/>
  <c r="H235" i="7"/>
  <c r="D235" i="7"/>
  <c r="C235" i="7"/>
  <c r="B235" i="7"/>
  <c r="E40" i="7"/>
  <c r="C40" i="7"/>
  <c r="G40" i="7"/>
  <c r="F40" i="7"/>
  <c r="B40" i="7"/>
  <c r="I40" i="7"/>
  <c r="H40" i="7"/>
  <c r="D40" i="7"/>
  <c r="J40" i="7"/>
  <c r="E18" i="3"/>
  <c r="F18" i="3"/>
  <c r="D18" i="3"/>
  <c r="C18" i="3"/>
  <c r="B18" i="3"/>
  <c r="G18" i="3"/>
  <c r="B185" i="3"/>
  <c r="C185" i="3"/>
  <c r="G185" i="3"/>
  <c r="F185" i="3"/>
  <c r="D185" i="3"/>
  <c r="E185" i="3"/>
  <c r="I306" i="7"/>
  <c r="G306" i="7"/>
  <c r="E306" i="7"/>
  <c r="C306" i="7"/>
  <c r="D306" i="7"/>
  <c r="H306" i="7"/>
  <c r="F306" i="7"/>
  <c r="B306" i="7"/>
  <c r="J306" i="7"/>
  <c r="C256" i="3"/>
  <c r="B256" i="3"/>
  <c r="D256" i="3"/>
  <c r="F256" i="3"/>
  <c r="E256" i="3"/>
  <c r="D178" i="3"/>
  <c r="C178" i="3"/>
  <c r="B178" i="3"/>
  <c r="G178" i="3"/>
  <c r="F178" i="3"/>
  <c r="E178" i="3"/>
  <c r="E96" i="7"/>
  <c r="C96" i="7"/>
  <c r="B96" i="7"/>
  <c r="J96" i="7"/>
  <c r="I96" i="7"/>
  <c r="H96" i="7"/>
  <c r="G96" i="7"/>
  <c r="F96" i="7"/>
  <c r="D96" i="7"/>
  <c r="E32" i="7"/>
  <c r="C32" i="7"/>
  <c r="J32" i="7"/>
  <c r="H32" i="7"/>
  <c r="I32" i="7"/>
  <c r="G32" i="7"/>
  <c r="F32" i="7"/>
  <c r="D32" i="7"/>
  <c r="B32" i="7"/>
  <c r="B201" i="3"/>
  <c r="G201" i="3"/>
  <c r="F201" i="3"/>
  <c r="C201" i="3"/>
  <c r="D201" i="3"/>
  <c r="E201" i="3"/>
  <c r="C4" i="3"/>
  <c r="G4" i="3"/>
  <c r="F4" i="3"/>
  <c r="E4" i="3"/>
  <c r="D4" i="3"/>
  <c r="B4" i="3"/>
  <c r="C301" i="7"/>
  <c r="I301" i="7"/>
  <c r="B301" i="7"/>
  <c r="J301" i="7"/>
  <c r="G301" i="7"/>
  <c r="E301" i="7"/>
  <c r="D301" i="7"/>
  <c r="H301" i="7"/>
  <c r="F301" i="7"/>
  <c r="C297" i="7"/>
  <c r="I297" i="7"/>
  <c r="J297" i="7"/>
  <c r="G297" i="7"/>
  <c r="H297" i="7"/>
  <c r="E297" i="7"/>
  <c r="B297" i="7"/>
  <c r="F297" i="7"/>
  <c r="D297" i="7"/>
  <c r="F153" i="3"/>
  <c r="B153" i="3"/>
  <c r="G153" i="3"/>
  <c r="E153" i="3"/>
  <c r="D153" i="3"/>
  <c r="C153" i="3"/>
  <c r="I74" i="7"/>
  <c r="G74" i="7"/>
  <c r="H74" i="7"/>
  <c r="F74" i="7"/>
  <c r="E74" i="7"/>
  <c r="D74" i="7"/>
  <c r="C74" i="7"/>
  <c r="B74" i="7"/>
  <c r="J74" i="7"/>
  <c r="C52" i="3"/>
  <c r="E52" i="3"/>
  <c r="D52" i="3"/>
  <c r="B52" i="3"/>
  <c r="G52" i="3"/>
  <c r="F52" i="3"/>
  <c r="E94" i="3"/>
  <c r="D94" i="3"/>
  <c r="C94" i="3"/>
  <c r="B94" i="3"/>
  <c r="G94" i="3"/>
  <c r="F94" i="3"/>
  <c r="G24" i="3"/>
  <c r="D24" i="3"/>
  <c r="C24" i="3"/>
  <c r="B24" i="3"/>
  <c r="E24" i="3"/>
  <c r="F24" i="3"/>
  <c r="C303" i="3"/>
  <c r="G303" i="3"/>
  <c r="F303" i="3"/>
  <c r="E303" i="3"/>
  <c r="D303" i="3"/>
  <c r="B303" i="3"/>
  <c r="J136" i="7"/>
  <c r="B136" i="7"/>
  <c r="H136" i="7"/>
  <c r="D136" i="7"/>
  <c r="E136" i="7"/>
  <c r="C136" i="7"/>
  <c r="I136" i="7"/>
  <c r="G136" i="7"/>
  <c r="F136" i="7"/>
  <c r="E100" i="7"/>
  <c r="C100" i="7"/>
  <c r="F100" i="7"/>
  <c r="D100" i="7"/>
  <c r="B100" i="7"/>
  <c r="J100" i="7"/>
  <c r="I100" i="7"/>
  <c r="H100" i="7"/>
  <c r="G100" i="7"/>
  <c r="C148" i="3"/>
  <c r="D148" i="3"/>
  <c r="B148" i="3"/>
  <c r="E148" i="3"/>
  <c r="G148" i="3"/>
  <c r="F148" i="3"/>
  <c r="H121" i="7"/>
  <c r="F121" i="7"/>
  <c r="D121" i="7"/>
  <c r="B121" i="7"/>
  <c r="J121" i="7"/>
  <c r="I121" i="7"/>
  <c r="G121" i="7"/>
  <c r="E121" i="7"/>
  <c r="C121" i="7"/>
  <c r="G7" i="7"/>
  <c r="E7" i="7"/>
  <c r="J7" i="7"/>
  <c r="H7" i="7"/>
  <c r="I7" i="7"/>
  <c r="B7" i="7"/>
  <c r="F7" i="7"/>
  <c r="D7" i="7"/>
  <c r="C7" i="7"/>
  <c r="G244" i="3"/>
  <c r="B244" i="3"/>
  <c r="F244" i="3"/>
  <c r="E244" i="3"/>
  <c r="D244" i="3"/>
  <c r="C244" i="3"/>
  <c r="E114" i="3"/>
  <c r="F114" i="3"/>
  <c r="B114" i="3"/>
  <c r="G114" i="3"/>
  <c r="D114" i="3"/>
  <c r="C114" i="3"/>
  <c r="G78" i="3"/>
  <c r="F78" i="3"/>
  <c r="E78" i="3"/>
  <c r="B78" i="3"/>
  <c r="D78" i="3"/>
  <c r="C78" i="3"/>
  <c r="F15" i="3"/>
  <c r="E15" i="3"/>
  <c r="D15" i="3"/>
  <c r="G15" i="3"/>
  <c r="C15" i="3"/>
  <c r="B15" i="3"/>
  <c r="B241" i="3"/>
  <c r="D241" i="3"/>
  <c r="C241" i="3"/>
  <c r="G241" i="3"/>
  <c r="F241" i="3"/>
  <c r="E241" i="3"/>
  <c r="G236" i="3"/>
  <c r="C236" i="3"/>
  <c r="B236" i="3"/>
  <c r="F236" i="3"/>
  <c r="E236" i="3"/>
  <c r="D236" i="3"/>
  <c r="D127" i="3"/>
  <c r="G127" i="3"/>
  <c r="F127" i="3"/>
  <c r="E127" i="3"/>
  <c r="C127" i="3"/>
  <c r="B127" i="3"/>
  <c r="E142" i="3"/>
  <c r="D142" i="3"/>
  <c r="C142" i="3"/>
  <c r="G142" i="3"/>
  <c r="F142" i="3"/>
  <c r="B142" i="3"/>
  <c r="F118" i="3"/>
  <c r="G118" i="3"/>
  <c r="E118" i="3"/>
  <c r="D118" i="3"/>
  <c r="C118" i="3"/>
  <c r="B118" i="3"/>
  <c r="I18" i="7"/>
  <c r="G18" i="7"/>
  <c r="F18" i="7"/>
  <c r="D18" i="7"/>
  <c r="C18" i="7"/>
  <c r="B18" i="7"/>
  <c r="J18" i="7"/>
  <c r="H18" i="7"/>
  <c r="E18" i="7"/>
  <c r="C309" i="7"/>
  <c r="I309" i="7"/>
  <c r="G309" i="7"/>
  <c r="E309" i="7"/>
  <c r="B309" i="7"/>
  <c r="J309" i="7"/>
  <c r="H309" i="7"/>
  <c r="F309" i="7"/>
  <c r="D309" i="7"/>
  <c r="C280" i="3"/>
  <c r="G280" i="3"/>
  <c r="F280" i="3"/>
  <c r="E280" i="3"/>
  <c r="B280" i="3"/>
  <c r="D280" i="3"/>
  <c r="C185" i="7"/>
  <c r="I185" i="7"/>
  <c r="G185" i="7"/>
  <c r="E185" i="7"/>
  <c r="B185" i="7"/>
  <c r="J185" i="7"/>
  <c r="H185" i="7"/>
  <c r="F185" i="7"/>
  <c r="D185" i="7"/>
  <c r="C165" i="7"/>
  <c r="G165" i="7"/>
  <c r="E165" i="7"/>
  <c r="F165" i="7"/>
  <c r="B165" i="7"/>
  <c r="J165" i="7"/>
  <c r="I165" i="7"/>
  <c r="H165" i="7"/>
  <c r="D165" i="7"/>
  <c r="E106" i="3"/>
  <c r="G106" i="3"/>
  <c r="C106" i="3"/>
  <c r="B106" i="3"/>
  <c r="D106" i="3"/>
  <c r="F106" i="3"/>
  <c r="B47" i="3"/>
  <c r="G47" i="3"/>
  <c r="F47" i="3"/>
  <c r="D47" i="3"/>
  <c r="C47" i="3"/>
  <c r="E47" i="3"/>
  <c r="F22" i="3"/>
  <c r="E22" i="3"/>
  <c r="D22" i="3"/>
  <c r="G22" i="3"/>
  <c r="C22" i="3"/>
  <c r="B22" i="3"/>
  <c r="E296" i="7"/>
  <c r="C296" i="7"/>
  <c r="I296" i="7"/>
  <c r="G296" i="7"/>
  <c r="D296" i="7"/>
  <c r="J296" i="7"/>
  <c r="H296" i="7"/>
  <c r="F296" i="7"/>
  <c r="B296" i="7"/>
  <c r="I182" i="7"/>
  <c r="G182" i="7"/>
  <c r="E182" i="7"/>
  <c r="C182" i="7"/>
  <c r="D182" i="7"/>
  <c r="B182" i="7"/>
  <c r="J182" i="7"/>
  <c r="H182" i="7"/>
  <c r="F182" i="7"/>
  <c r="E160" i="7"/>
  <c r="B160" i="7"/>
  <c r="I160" i="7"/>
  <c r="G160" i="7"/>
  <c r="D160" i="7"/>
  <c r="J160" i="7"/>
  <c r="H160" i="7"/>
  <c r="F160" i="7"/>
  <c r="C160" i="7"/>
  <c r="B133" i="3"/>
  <c r="D133" i="3"/>
  <c r="E133" i="3"/>
  <c r="C133" i="3"/>
  <c r="G133" i="3"/>
  <c r="F133" i="3"/>
  <c r="B45" i="3"/>
  <c r="C45" i="3"/>
  <c r="E45" i="3"/>
  <c r="D45" i="3"/>
  <c r="F45" i="3"/>
  <c r="G45" i="3"/>
  <c r="C12" i="3"/>
  <c r="G12" i="3"/>
  <c r="F12" i="3"/>
  <c r="E12" i="3"/>
  <c r="B12" i="3"/>
  <c r="D12" i="3"/>
  <c r="G256" i="7"/>
  <c r="E256" i="7"/>
  <c r="I256" i="7"/>
  <c r="C256" i="7"/>
  <c r="F256" i="7"/>
  <c r="D256" i="7"/>
  <c r="B256" i="7"/>
  <c r="J256" i="7"/>
  <c r="H256" i="7"/>
  <c r="I178" i="7"/>
  <c r="G178" i="7"/>
  <c r="C178" i="7"/>
  <c r="B178" i="7"/>
  <c r="J178" i="7"/>
  <c r="H178" i="7"/>
  <c r="F178" i="7"/>
  <c r="E178" i="7"/>
  <c r="D178" i="7"/>
  <c r="B21" i="3"/>
  <c r="F21" i="3"/>
  <c r="E21" i="3"/>
  <c r="D21" i="3"/>
  <c r="C21" i="3"/>
  <c r="G21" i="3"/>
  <c r="B13" i="3"/>
  <c r="G13" i="3"/>
  <c r="F13" i="3"/>
  <c r="E13" i="3"/>
  <c r="D13" i="3"/>
  <c r="C13" i="3"/>
  <c r="E228" i="7"/>
  <c r="C228" i="7"/>
  <c r="D228" i="7"/>
  <c r="J228" i="7"/>
  <c r="I228" i="7"/>
  <c r="H228" i="7"/>
  <c r="G228" i="7"/>
  <c r="F228" i="7"/>
  <c r="B228" i="7"/>
  <c r="G210" i="3"/>
  <c r="F210" i="3"/>
  <c r="E210" i="3"/>
  <c r="D210" i="3"/>
  <c r="C210" i="3"/>
  <c r="B210" i="3"/>
  <c r="B157" i="3"/>
  <c r="C157" i="3"/>
  <c r="G157" i="3"/>
  <c r="D157" i="3"/>
  <c r="F157" i="3"/>
  <c r="E157" i="3"/>
  <c r="H153" i="7"/>
  <c r="F153" i="7"/>
  <c r="D153" i="7"/>
  <c r="B153" i="7"/>
  <c r="E153" i="7"/>
  <c r="C153" i="7"/>
  <c r="I153" i="7"/>
  <c r="G153" i="7"/>
  <c r="J153" i="7"/>
  <c r="G95" i="7"/>
  <c r="E95" i="7"/>
  <c r="B95" i="7"/>
  <c r="J95" i="7"/>
  <c r="I95" i="7"/>
  <c r="H95" i="7"/>
  <c r="F95" i="7"/>
  <c r="D95" i="7"/>
  <c r="C95" i="7"/>
  <c r="E52" i="7"/>
  <c r="C52" i="7"/>
  <c r="D52" i="7"/>
  <c r="B52" i="7"/>
  <c r="J52" i="7"/>
  <c r="H52" i="7"/>
  <c r="I52" i="7"/>
  <c r="G52" i="7"/>
  <c r="F52" i="7"/>
  <c r="I230" i="7"/>
  <c r="G230" i="7"/>
  <c r="E230" i="7"/>
  <c r="C230" i="7"/>
  <c r="H230" i="7"/>
  <c r="F230" i="7"/>
  <c r="D230" i="7"/>
  <c r="J230" i="7"/>
  <c r="B230" i="7"/>
  <c r="E212" i="7"/>
  <c r="C212" i="7"/>
  <c r="D212" i="7"/>
  <c r="B212" i="7"/>
  <c r="J212" i="7"/>
  <c r="I212" i="7"/>
  <c r="H212" i="7"/>
  <c r="G212" i="7"/>
  <c r="F212" i="7"/>
  <c r="I94" i="7"/>
  <c r="G94" i="7"/>
  <c r="B94" i="7"/>
  <c r="J94" i="7"/>
  <c r="D94" i="7"/>
  <c r="C94" i="7"/>
  <c r="H94" i="7"/>
  <c r="F94" i="7"/>
  <c r="E94" i="7"/>
  <c r="E80" i="7"/>
  <c r="C80" i="7"/>
  <c r="B80" i="7"/>
  <c r="J80" i="7"/>
  <c r="G80" i="7"/>
  <c r="F80" i="7"/>
  <c r="D80" i="7"/>
  <c r="I80" i="7"/>
  <c r="H80" i="7"/>
  <c r="E66" i="3"/>
  <c r="G66" i="3"/>
  <c r="F66" i="3"/>
  <c r="C66" i="3"/>
  <c r="B66" i="3"/>
  <c r="D66" i="3"/>
  <c r="C44" i="3"/>
  <c r="B44" i="3"/>
  <c r="G44" i="3"/>
  <c r="F44" i="3"/>
  <c r="E44" i="3"/>
  <c r="D44" i="3"/>
  <c r="C201" i="7"/>
  <c r="I201" i="7"/>
  <c r="G201" i="7"/>
  <c r="E201" i="7"/>
  <c r="J201" i="7"/>
  <c r="H201" i="7"/>
  <c r="F201" i="7"/>
  <c r="D201" i="7"/>
  <c r="B201" i="7"/>
  <c r="G172" i="3"/>
  <c r="C172" i="3"/>
  <c r="B172" i="3"/>
  <c r="F172" i="3"/>
  <c r="E172" i="3"/>
  <c r="D172" i="3"/>
  <c r="E122" i="3"/>
  <c r="D122" i="3"/>
  <c r="G122" i="3"/>
  <c r="F122" i="3"/>
  <c r="C122" i="3"/>
  <c r="B122" i="3"/>
  <c r="G79" i="7"/>
  <c r="E79" i="7"/>
  <c r="B79" i="7"/>
  <c r="J79" i="7"/>
  <c r="I79" i="7"/>
  <c r="H79" i="7"/>
  <c r="F79" i="7"/>
  <c r="D79" i="7"/>
  <c r="C79" i="7"/>
  <c r="F65" i="3"/>
  <c r="G65" i="3"/>
  <c r="E65" i="3"/>
  <c r="D65" i="3"/>
  <c r="C65" i="3"/>
  <c r="B65" i="3"/>
  <c r="F308" i="3"/>
  <c r="E308" i="3"/>
  <c r="D308" i="3"/>
  <c r="C308" i="3"/>
  <c r="B308" i="3"/>
  <c r="G308" i="3"/>
  <c r="G282" i="3"/>
  <c r="F282" i="3"/>
  <c r="E282" i="3"/>
  <c r="C282" i="3"/>
  <c r="B282" i="3"/>
  <c r="D282" i="3"/>
  <c r="E261" i="7"/>
  <c r="C261" i="7"/>
  <c r="D261" i="7"/>
  <c r="I261" i="7"/>
  <c r="G261" i="7"/>
  <c r="J261" i="7"/>
  <c r="H261" i="7"/>
  <c r="F261" i="7"/>
  <c r="B261" i="7"/>
  <c r="J148" i="7"/>
  <c r="B148" i="7"/>
  <c r="H148" i="7"/>
  <c r="I148" i="7"/>
  <c r="G148" i="7"/>
  <c r="F148" i="7"/>
  <c r="E148" i="7"/>
  <c r="D148" i="7"/>
  <c r="C148" i="7"/>
  <c r="C57" i="7"/>
  <c r="I57" i="7"/>
  <c r="G57" i="7"/>
  <c r="F57" i="7"/>
  <c r="D57" i="7"/>
  <c r="J57" i="7"/>
  <c r="H57" i="7"/>
  <c r="E57" i="7"/>
  <c r="B57" i="7"/>
  <c r="C250" i="3"/>
  <c r="B250" i="3"/>
  <c r="E250" i="3"/>
  <c r="D250" i="3"/>
  <c r="G250" i="3"/>
  <c r="F250" i="3"/>
  <c r="G244" i="7"/>
  <c r="E244" i="7"/>
  <c r="C244" i="7"/>
  <c r="I244" i="7"/>
  <c r="F244" i="7"/>
  <c r="J244" i="7"/>
  <c r="H244" i="7"/>
  <c r="D244" i="7"/>
  <c r="B244" i="7"/>
  <c r="B149" i="3"/>
  <c r="D149" i="3"/>
  <c r="C149" i="3"/>
  <c r="G149" i="3"/>
  <c r="F149" i="3"/>
  <c r="E149" i="3"/>
  <c r="I114" i="7"/>
  <c r="G114" i="7"/>
  <c r="D114" i="7"/>
  <c r="C114" i="7"/>
  <c r="B114" i="7"/>
  <c r="H114" i="7"/>
  <c r="F114" i="7"/>
  <c r="E114" i="7"/>
  <c r="J114" i="7"/>
  <c r="I78" i="7"/>
  <c r="G78" i="7"/>
  <c r="J78" i="7"/>
  <c r="H78" i="7"/>
  <c r="F78" i="7"/>
  <c r="E78" i="7"/>
  <c r="D78" i="7"/>
  <c r="C78" i="7"/>
  <c r="B78" i="7"/>
  <c r="G15" i="7"/>
  <c r="E15" i="7"/>
  <c r="D15" i="7"/>
  <c r="B15" i="7"/>
  <c r="F15" i="7"/>
  <c r="C15" i="7"/>
  <c r="I15" i="7"/>
  <c r="H15" i="7"/>
  <c r="J15" i="7"/>
  <c r="E241" i="7"/>
  <c r="C241" i="7"/>
  <c r="I241" i="7"/>
  <c r="J241" i="7"/>
  <c r="G241" i="7"/>
  <c r="D241" i="7"/>
  <c r="B241" i="7"/>
  <c r="H241" i="7"/>
  <c r="F241" i="7"/>
  <c r="E236" i="7"/>
  <c r="C236" i="7"/>
  <c r="I236" i="7"/>
  <c r="G236" i="7"/>
  <c r="D236" i="7"/>
  <c r="B236" i="7"/>
  <c r="H236" i="7"/>
  <c r="F236" i="7"/>
  <c r="J236" i="7"/>
  <c r="G220" i="3"/>
  <c r="E220" i="3"/>
  <c r="D220" i="3"/>
  <c r="C220" i="3"/>
  <c r="B220" i="3"/>
  <c r="F220" i="3"/>
  <c r="F105" i="3"/>
  <c r="G105" i="3"/>
  <c r="B105" i="3"/>
  <c r="E105" i="3"/>
  <c r="D105" i="3"/>
  <c r="C105" i="3"/>
  <c r="E84" i="7"/>
  <c r="C84" i="7"/>
  <c r="F84" i="7"/>
  <c r="D84" i="7"/>
  <c r="B84" i="7"/>
  <c r="J84" i="7"/>
  <c r="I84" i="7"/>
  <c r="H84" i="7"/>
  <c r="G84" i="7"/>
  <c r="D223" i="3"/>
  <c r="F223" i="3"/>
  <c r="E223" i="3"/>
  <c r="C223" i="3"/>
  <c r="B223" i="3"/>
  <c r="G223" i="3"/>
  <c r="F142" i="7"/>
  <c r="D142" i="7"/>
  <c r="H142" i="7"/>
  <c r="E142" i="7"/>
  <c r="C142" i="7"/>
  <c r="B142" i="7"/>
  <c r="J142" i="7"/>
  <c r="I142" i="7"/>
  <c r="G142" i="7"/>
  <c r="I118" i="7"/>
  <c r="G118" i="7"/>
  <c r="F118" i="7"/>
  <c r="E118" i="7"/>
  <c r="D118" i="7"/>
  <c r="B118" i="7"/>
  <c r="J118" i="7"/>
  <c r="H118" i="7"/>
  <c r="C118" i="7"/>
  <c r="G62" i="3"/>
  <c r="F62" i="3"/>
  <c r="E62" i="3"/>
  <c r="D62" i="3"/>
  <c r="C62" i="3"/>
  <c r="B62" i="3"/>
  <c r="E26" i="3"/>
  <c r="D26" i="3"/>
  <c r="C26" i="3"/>
  <c r="B26" i="3"/>
  <c r="G26" i="3"/>
  <c r="F26" i="3"/>
  <c r="G284" i="7"/>
  <c r="E284" i="7"/>
  <c r="I284" i="7"/>
  <c r="F284" i="7"/>
  <c r="H284" i="7"/>
  <c r="C284" i="7"/>
  <c r="J284" i="7"/>
  <c r="D284" i="7"/>
  <c r="B284" i="7"/>
  <c r="C68" i="3"/>
  <c r="G68" i="3"/>
  <c r="F68" i="3"/>
  <c r="E68" i="3"/>
  <c r="D68" i="3"/>
  <c r="B68" i="3"/>
  <c r="E309" i="3"/>
  <c r="F309" i="3"/>
  <c r="D309" i="3"/>
  <c r="C309" i="3"/>
  <c r="G309" i="3"/>
  <c r="B309" i="3"/>
  <c r="E300" i="7"/>
  <c r="C300" i="7"/>
  <c r="I300" i="7"/>
  <c r="G300" i="7"/>
  <c r="D300" i="7"/>
  <c r="J300" i="7"/>
  <c r="H300" i="7"/>
  <c r="F300" i="7"/>
  <c r="B300" i="7"/>
  <c r="G280" i="7"/>
  <c r="E280" i="7"/>
  <c r="F280" i="7"/>
  <c r="C280" i="7"/>
  <c r="D280" i="7"/>
  <c r="J280" i="7"/>
  <c r="I280" i="7"/>
  <c r="H280" i="7"/>
  <c r="B280" i="7"/>
  <c r="G252" i="3"/>
  <c r="F252" i="3"/>
  <c r="E252" i="3"/>
  <c r="D252" i="3"/>
  <c r="C252" i="3"/>
  <c r="B252" i="3"/>
  <c r="E222" i="3"/>
  <c r="F222" i="3"/>
  <c r="D222" i="3"/>
  <c r="C222" i="3"/>
  <c r="B222" i="3"/>
  <c r="G222" i="3"/>
  <c r="B165" i="3"/>
  <c r="D165" i="3"/>
  <c r="C165" i="3"/>
  <c r="G165" i="3"/>
  <c r="F165" i="3"/>
  <c r="E165" i="3"/>
  <c r="E162" i="3"/>
  <c r="G162" i="3"/>
  <c r="F162" i="3"/>
  <c r="D162" i="3"/>
  <c r="B162" i="3"/>
  <c r="C162" i="3"/>
  <c r="I106" i="7"/>
  <c r="G106" i="7"/>
  <c r="J106" i="7"/>
  <c r="H106" i="7"/>
  <c r="F106" i="7"/>
  <c r="C106" i="7"/>
  <c r="B106" i="7"/>
  <c r="E106" i="7"/>
  <c r="D106" i="7"/>
  <c r="E90" i="3"/>
  <c r="D90" i="3"/>
  <c r="C90" i="3"/>
  <c r="B90" i="3"/>
  <c r="G90" i="3"/>
  <c r="F90" i="3"/>
  <c r="G47" i="7"/>
  <c r="E47" i="7"/>
  <c r="J47" i="7"/>
  <c r="D47" i="7"/>
  <c r="B47" i="7"/>
  <c r="I47" i="7"/>
  <c r="H47" i="7"/>
  <c r="F47" i="7"/>
  <c r="C47" i="7"/>
  <c r="I22" i="7"/>
  <c r="G22" i="7"/>
  <c r="J22" i="7"/>
  <c r="F22" i="7"/>
  <c r="E22" i="7"/>
  <c r="D22" i="7"/>
  <c r="C22" i="7"/>
  <c r="B22" i="7"/>
  <c r="H22" i="7"/>
  <c r="G227" i="7"/>
  <c r="E227" i="7"/>
  <c r="C227" i="7"/>
  <c r="I227" i="7"/>
  <c r="H227" i="7"/>
  <c r="F227" i="7"/>
  <c r="D227" i="7"/>
  <c r="B227" i="7"/>
  <c r="J227" i="7"/>
  <c r="D242" i="3"/>
  <c r="C242" i="3"/>
  <c r="B242" i="3"/>
  <c r="E242" i="3"/>
  <c r="G242" i="3"/>
  <c r="F242" i="3"/>
  <c r="C209" i="7"/>
  <c r="I209" i="7"/>
  <c r="B209" i="7"/>
  <c r="J209" i="7"/>
  <c r="E209" i="7"/>
  <c r="D209" i="7"/>
  <c r="F209" i="7"/>
  <c r="H209" i="7"/>
  <c r="G209" i="7"/>
  <c r="C103" i="3"/>
  <c r="B103" i="3"/>
  <c r="D103" i="3"/>
  <c r="G103" i="3"/>
  <c r="F103" i="3"/>
  <c r="E103" i="3"/>
  <c r="C39" i="3"/>
  <c r="B39" i="3"/>
  <c r="G39" i="3"/>
  <c r="F39" i="3"/>
  <c r="E39" i="3"/>
  <c r="D39" i="3"/>
  <c r="C5" i="7"/>
  <c r="I5" i="7"/>
  <c r="H5" i="7"/>
  <c r="F5" i="7"/>
  <c r="E5" i="7"/>
  <c r="D5" i="7"/>
  <c r="B5" i="7"/>
  <c r="J5" i="7"/>
  <c r="G5" i="7"/>
  <c r="G136" i="3"/>
  <c r="C136" i="3"/>
  <c r="B136" i="3"/>
  <c r="D136" i="3"/>
  <c r="F136" i="3"/>
  <c r="E136" i="3"/>
  <c r="E301" i="3"/>
  <c r="G301" i="3"/>
  <c r="F301" i="3"/>
  <c r="D301" i="3"/>
  <c r="C301" i="3"/>
  <c r="B301" i="3"/>
  <c r="E281" i="7"/>
  <c r="C281" i="7"/>
  <c r="G281" i="7"/>
  <c r="D281" i="7"/>
  <c r="I281" i="7"/>
  <c r="F281" i="7"/>
  <c r="H281" i="7"/>
  <c r="B281" i="7"/>
  <c r="J281" i="7"/>
  <c r="E270" i="3"/>
  <c r="G270" i="3"/>
  <c r="F270" i="3"/>
  <c r="D270" i="3"/>
  <c r="C270" i="3"/>
  <c r="B270" i="3"/>
  <c r="I210" i="7"/>
  <c r="G210" i="7"/>
  <c r="C210" i="7"/>
  <c r="H210" i="7"/>
  <c r="F210" i="7"/>
  <c r="E210" i="7"/>
  <c r="J210" i="7"/>
  <c r="D210" i="7"/>
  <c r="B210" i="7"/>
  <c r="C157" i="7"/>
  <c r="E157" i="7"/>
  <c r="B157" i="7"/>
  <c r="I157" i="7"/>
  <c r="J157" i="7"/>
  <c r="H157" i="7"/>
  <c r="G157" i="7"/>
  <c r="F157" i="7"/>
  <c r="D157" i="7"/>
  <c r="F81" i="3"/>
  <c r="E81" i="3"/>
  <c r="D81" i="3"/>
  <c r="C81" i="3"/>
  <c r="G81" i="3"/>
  <c r="B81" i="3"/>
  <c r="G31" i="7"/>
  <c r="E31" i="7"/>
  <c r="J31" i="7"/>
  <c r="H31" i="7"/>
  <c r="D31" i="7"/>
  <c r="C31" i="7"/>
  <c r="B31" i="7"/>
  <c r="I31" i="7"/>
  <c r="F31" i="7"/>
  <c r="C233" i="7"/>
  <c r="I233" i="7"/>
  <c r="G233" i="7"/>
  <c r="E233" i="7"/>
  <c r="F233" i="7"/>
  <c r="D233" i="7"/>
  <c r="J233" i="7"/>
  <c r="H233" i="7"/>
  <c r="F137" i="3"/>
  <c r="D137" i="3"/>
  <c r="C137" i="3"/>
  <c r="B137" i="3"/>
  <c r="E137" i="3"/>
  <c r="G137" i="3"/>
  <c r="E44" i="7"/>
  <c r="C44" i="7"/>
  <c r="I44" i="7"/>
  <c r="H44" i="7"/>
  <c r="F44" i="7"/>
  <c r="B44" i="7"/>
  <c r="G44" i="7"/>
  <c r="D44" i="7"/>
  <c r="J44" i="7"/>
  <c r="E24" i="7"/>
  <c r="C24" i="7"/>
  <c r="J24" i="7"/>
  <c r="H24" i="7"/>
  <c r="I24" i="7"/>
  <c r="F24" i="7"/>
  <c r="D24" i="7"/>
  <c r="B24" i="7"/>
  <c r="G24" i="7"/>
  <c r="E12" i="7"/>
  <c r="C12" i="7"/>
  <c r="B12" i="7"/>
  <c r="J12" i="7"/>
  <c r="G12" i="7"/>
  <c r="F12" i="7"/>
  <c r="D12" i="7"/>
  <c r="I12" i="7"/>
  <c r="H12" i="7"/>
  <c r="G298" i="3"/>
  <c r="F298" i="3"/>
  <c r="E298" i="3"/>
  <c r="D298" i="3"/>
  <c r="C298" i="3"/>
  <c r="B298" i="3"/>
  <c r="D294" i="3"/>
  <c r="G294" i="3"/>
  <c r="F294" i="3"/>
  <c r="E294" i="3"/>
  <c r="B294" i="3"/>
  <c r="C294" i="3"/>
  <c r="E172" i="7"/>
  <c r="C172" i="7"/>
  <c r="I172" i="7"/>
  <c r="G172" i="7"/>
  <c r="D172" i="7"/>
  <c r="B172" i="7"/>
  <c r="J172" i="7"/>
  <c r="H172" i="7"/>
  <c r="F172" i="7"/>
  <c r="C169" i="7"/>
  <c r="I169" i="7"/>
  <c r="G169" i="7"/>
  <c r="E169" i="7"/>
  <c r="F169" i="7"/>
  <c r="D169" i="7"/>
  <c r="B169" i="7"/>
  <c r="J169" i="7"/>
  <c r="H169" i="7"/>
  <c r="F122" i="7"/>
  <c r="D122" i="7"/>
  <c r="E122" i="7"/>
  <c r="B122" i="7"/>
  <c r="J122" i="7"/>
  <c r="I122" i="7"/>
  <c r="H122" i="7"/>
  <c r="G122" i="7"/>
  <c r="C122" i="7"/>
  <c r="C65" i="7"/>
  <c r="I65" i="7"/>
  <c r="B65" i="7"/>
  <c r="J65" i="7"/>
  <c r="H65" i="7"/>
  <c r="G65" i="7"/>
  <c r="F65" i="7"/>
  <c r="E65" i="7"/>
  <c r="D65" i="7"/>
  <c r="C282" i="7"/>
  <c r="I282" i="7"/>
  <c r="G282" i="7"/>
  <c r="E282" i="7"/>
  <c r="J282" i="7"/>
  <c r="H282" i="7"/>
  <c r="F282" i="7"/>
  <c r="D282" i="7"/>
  <c r="B282" i="7"/>
  <c r="C250" i="7"/>
  <c r="I250" i="7"/>
  <c r="G250" i="7"/>
  <c r="E250" i="7"/>
  <c r="F250" i="7"/>
  <c r="B250" i="7"/>
  <c r="J250" i="7"/>
  <c r="H250" i="7"/>
  <c r="D250" i="7"/>
  <c r="E214" i="3"/>
  <c r="G214" i="3"/>
  <c r="F214" i="3"/>
  <c r="D214" i="3"/>
  <c r="B214" i="3"/>
  <c r="C214" i="3"/>
  <c r="H149" i="7"/>
  <c r="F149" i="7"/>
  <c r="B149" i="7"/>
  <c r="J149" i="7"/>
  <c r="C149" i="7"/>
  <c r="D149" i="7"/>
  <c r="I149" i="7"/>
  <c r="G149" i="7"/>
  <c r="E149" i="7"/>
  <c r="E220" i="7"/>
  <c r="C220" i="7"/>
  <c r="I220" i="7"/>
  <c r="G220" i="7"/>
  <c r="H220" i="7"/>
  <c r="F220" i="7"/>
  <c r="D220" i="7"/>
  <c r="J220" i="7"/>
  <c r="B220" i="7"/>
  <c r="C164" i="3"/>
  <c r="G164" i="3"/>
  <c r="F164" i="3"/>
  <c r="E164" i="3"/>
  <c r="D164" i="3"/>
  <c r="B164" i="3"/>
  <c r="C105" i="7"/>
  <c r="I105" i="7"/>
  <c r="H105" i="7"/>
  <c r="G105" i="7"/>
  <c r="F105" i="7"/>
  <c r="J105" i="7"/>
  <c r="E105" i="7"/>
  <c r="D105" i="7"/>
  <c r="B105" i="7"/>
  <c r="C262" i="7"/>
  <c r="I262" i="7"/>
  <c r="E262" i="7"/>
  <c r="B262" i="7"/>
  <c r="J262" i="7"/>
  <c r="D262" i="7"/>
  <c r="H262" i="7"/>
  <c r="G262" i="7"/>
  <c r="F262" i="7"/>
  <c r="F226" i="3"/>
  <c r="E226" i="3"/>
  <c r="D226" i="3"/>
  <c r="G226" i="3"/>
  <c r="C226" i="3"/>
  <c r="B226" i="3"/>
  <c r="I62" i="7"/>
  <c r="G62" i="7"/>
  <c r="J62" i="7"/>
  <c r="H62" i="7"/>
  <c r="F62" i="7"/>
  <c r="E62" i="7"/>
  <c r="D62" i="7"/>
  <c r="C62" i="7"/>
  <c r="B62" i="7"/>
  <c r="E42" i="3"/>
  <c r="B42" i="3"/>
  <c r="G42" i="3"/>
  <c r="F42" i="3"/>
  <c r="D42" i="3"/>
  <c r="C42" i="3"/>
  <c r="C76" i="3"/>
  <c r="G76" i="3"/>
  <c r="F76" i="3"/>
  <c r="E76" i="3"/>
  <c r="D76" i="3"/>
  <c r="B76" i="3"/>
  <c r="G70" i="3"/>
  <c r="F70" i="3"/>
  <c r="D70" i="3"/>
  <c r="C70" i="3"/>
  <c r="B70" i="3"/>
  <c r="E70" i="3"/>
  <c r="B159" i="3"/>
  <c r="D159" i="3"/>
  <c r="C159" i="3"/>
  <c r="F159" i="3"/>
  <c r="G159" i="3"/>
  <c r="E159" i="3"/>
  <c r="G252" i="7"/>
  <c r="E252" i="7"/>
  <c r="I252" i="7"/>
  <c r="F252" i="7"/>
  <c r="H252" i="7"/>
  <c r="D252" i="7"/>
  <c r="C252" i="7"/>
  <c r="J252" i="7"/>
  <c r="B252" i="7"/>
  <c r="I162" i="7"/>
  <c r="J162" i="7"/>
  <c r="G162" i="7"/>
  <c r="H162" i="7"/>
  <c r="F162" i="7"/>
  <c r="E162" i="7"/>
  <c r="D162" i="7"/>
  <c r="C162" i="7"/>
  <c r="B162" i="7"/>
  <c r="E98" i="3"/>
  <c r="C98" i="3"/>
  <c r="B98" i="3"/>
  <c r="F98" i="3"/>
  <c r="D98" i="3"/>
  <c r="G98" i="3"/>
  <c r="E119" i="3"/>
  <c r="G119" i="3"/>
  <c r="F119" i="3"/>
  <c r="D119" i="3"/>
  <c r="C119" i="3"/>
  <c r="B119" i="3"/>
  <c r="G119" i="7"/>
  <c r="E119" i="7"/>
  <c r="H119" i="7"/>
  <c r="F119" i="7"/>
  <c r="D119" i="7"/>
  <c r="J119" i="7"/>
  <c r="I119" i="7"/>
  <c r="C119" i="7"/>
  <c r="B119" i="7"/>
  <c r="F113" i="3"/>
  <c r="E113" i="3"/>
  <c r="D113" i="3"/>
  <c r="C113" i="3"/>
  <c r="B113" i="3"/>
  <c r="G113" i="3"/>
  <c r="C242" i="7"/>
  <c r="I242" i="7"/>
  <c r="B242" i="7"/>
  <c r="J242" i="7"/>
  <c r="H242" i="7"/>
  <c r="G242" i="7"/>
  <c r="D242" i="7"/>
  <c r="F242" i="7"/>
  <c r="E242" i="7"/>
  <c r="B193" i="3"/>
  <c r="G193" i="3"/>
  <c r="C193" i="3"/>
  <c r="F193" i="3"/>
  <c r="E193" i="3"/>
  <c r="D193" i="3"/>
  <c r="G180" i="3"/>
  <c r="B180" i="3"/>
  <c r="E180" i="3"/>
  <c r="D180" i="3"/>
  <c r="C180" i="3"/>
  <c r="F180" i="3"/>
  <c r="G103" i="7"/>
  <c r="E103" i="7"/>
  <c r="H103" i="7"/>
  <c r="F103" i="7"/>
  <c r="D103" i="7"/>
  <c r="J103" i="7"/>
  <c r="I103" i="7"/>
  <c r="C103" i="7"/>
  <c r="B103" i="7"/>
  <c r="I82" i="7"/>
  <c r="G82" i="7"/>
  <c r="D82" i="7"/>
  <c r="C82" i="7"/>
  <c r="B82" i="7"/>
  <c r="E82" i="7"/>
  <c r="J82" i="7"/>
  <c r="H82" i="7"/>
  <c r="F82" i="7"/>
  <c r="G39" i="7"/>
  <c r="E39" i="7"/>
  <c r="F39" i="7"/>
  <c r="D39" i="7"/>
  <c r="J39" i="7"/>
  <c r="I39" i="7"/>
  <c r="H39" i="7"/>
  <c r="C39" i="7"/>
  <c r="B39" i="7"/>
  <c r="C21" i="7"/>
  <c r="I21" i="7"/>
  <c r="H21" i="7"/>
  <c r="F21" i="7"/>
  <c r="B21" i="7"/>
  <c r="J21" i="7"/>
  <c r="G21" i="7"/>
  <c r="E21" i="7"/>
  <c r="D21" i="7"/>
  <c r="C13" i="7"/>
  <c r="I13" i="7"/>
  <c r="D13" i="7"/>
  <c r="J13" i="7"/>
  <c r="H13" i="7"/>
  <c r="G13" i="7"/>
  <c r="F13" i="7"/>
  <c r="E13" i="7"/>
  <c r="B13" i="7"/>
  <c r="C270" i="7"/>
  <c r="I270" i="7"/>
  <c r="J270" i="7"/>
  <c r="G270" i="7"/>
  <c r="E270" i="7"/>
  <c r="B270" i="7"/>
  <c r="H270" i="7"/>
  <c r="F270" i="7"/>
  <c r="D270" i="7"/>
  <c r="G260" i="7"/>
  <c r="E260" i="7"/>
  <c r="C260" i="7"/>
  <c r="F260" i="7"/>
  <c r="B260" i="7"/>
  <c r="D260" i="7"/>
  <c r="H260" i="7"/>
  <c r="J260" i="7"/>
  <c r="I260" i="7"/>
  <c r="G204" i="3"/>
  <c r="F204" i="3"/>
  <c r="E204" i="3"/>
  <c r="B204" i="3"/>
  <c r="D204" i="3"/>
  <c r="C204" i="3"/>
  <c r="D175" i="3"/>
  <c r="C175" i="3"/>
  <c r="B175" i="3"/>
  <c r="G175" i="3"/>
  <c r="E175" i="3"/>
  <c r="F175" i="3"/>
  <c r="E154" i="3"/>
  <c r="B154" i="3"/>
  <c r="G154" i="3"/>
  <c r="D154" i="3"/>
  <c r="C154" i="3"/>
  <c r="F154" i="3"/>
  <c r="C81" i="7"/>
  <c r="I81" i="7"/>
  <c r="D81" i="7"/>
  <c r="B81" i="7"/>
  <c r="J81" i="7"/>
  <c r="H81" i="7"/>
  <c r="G81" i="7"/>
  <c r="F81" i="7"/>
  <c r="E81" i="7"/>
  <c r="H137" i="7"/>
  <c r="F137" i="7"/>
  <c r="D137" i="7"/>
  <c r="B137" i="7"/>
  <c r="I137" i="7"/>
  <c r="G137" i="7"/>
  <c r="E137" i="7"/>
  <c r="J137" i="7"/>
  <c r="C137" i="7"/>
  <c r="I66" i="7"/>
  <c r="G66" i="7"/>
  <c r="C66" i="7"/>
  <c r="B66" i="7"/>
  <c r="J66" i="7"/>
  <c r="H66" i="7"/>
  <c r="F66" i="7"/>
  <c r="E66" i="7"/>
  <c r="D66" i="7"/>
  <c r="F129" i="3"/>
  <c r="C129" i="3"/>
  <c r="G129" i="3"/>
  <c r="D129" i="3"/>
  <c r="B129" i="3"/>
  <c r="E129" i="3"/>
  <c r="E308" i="7"/>
  <c r="C308" i="7"/>
  <c r="G308" i="7"/>
  <c r="D308" i="7"/>
  <c r="I308" i="7"/>
  <c r="F308" i="7"/>
  <c r="B308" i="7"/>
  <c r="J308" i="7"/>
  <c r="H308" i="7"/>
  <c r="G167" i="3"/>
  <c r="C167" i="3"/>
  <c r="B167" i="3"/>
  <c r="F167" i="3"/>
  <c r="D167" i="3"/>
  <c r="E167" i="3"/>
  <c r="G71" i="7"/>
  <c r="E71" i="7"/>
  <c r="F71" i="7"/>
  <c r="D71" i="7"/>
  <c r="I71" i="7"/>
  <c r="H71" i="7"/>
  <c r="C71" i="7"/>
  <c r="B71" i="7"/>
  <c r="J71" i="7"/>
  <c r="G272" i="7"/>
  <c r="E272" i="7"/>
  <c r="I272" i="7"/>
  <c r="J272" i="7"/>
  <c r="D272" i="7"/>
  <c r="C272" i="7"/>
  <c r="B272" i="7"/>
  <c r="H272" i="7"/>
  <c r="F272" i="7"/>
  <c r="G276" i="3"/>
  <c r="F276" i="3"/>
  <c r="E276" i="3"/>
  <c r="D276" i="3"/>
  <c r="C276" i="3"/>
  <c r="B276" i="3"/>
  <c r="J140" i="7"/>
  <c r="B140" i="7"/>
  <c r="H140" i="7"/>
  <c r="F140" i="7"/>
  <c r="D140" i="7"/>
  <c r="G140" i="7"/>
  <c r="E140" i="7"/>
  <c r="C140" i="7"/>
  <c r="I140" i="7"/>
  <c r="E164" i="7"/>
  <c r="H164" i="7"/>
  <c r="F164" i="7"/>
  <c r="C164" i="7"/>
  <c r="I164" i="7"/>
  <c r="G164" i="7"/>
  <c r="D164" i="7"/>
  <c r="J164" i="7"/>
  <c r="B164" i="7"/>
  <c r="F161" i="3"/>
  <c r="E161" i="3"/>
  <c r="D161" i="3"/>
  <c r="C161" i="3"/>
  <c r="G161" i="3"/>
  <c r="B161" i="3"/>
  <c r="C84" i="3"/>
  <c r="F84" i="3"/>
  <c r="E84" i="3"/>
  <c r="D84" i="3"/>
  <c r="B84" i="3"/>
  <c r="G84" i="3"/>
  <c r="B54" i="3"/>
  <c r="G54" i="3"/>
  <c r="F54" i="3"/>
  <c r="E54" i="3"/>
  <c r="D54" i="3"/>
  <c r="C54" i="3"/>
  <c r="I226" i="7"/>
  <c r="G226" i="7"/>
  <c r="C226" i="7"/>
  <c r="E226" i="7"/>
  <c r="D226" i="7"/>
  <c r="B226" i="7"/>
  <c r="J226" i="7"/>
  <c r="H226" i="7"/>
  <c r="F226" i="7"/>
  <c r="G223" i="7"/>
  <c r="E223" i="7"/>
  <c r="I223" i="7"/>
  <c r="F223" i="7"/>
  <c r="D223" i="7"/>
  <c r="C223" i="7"/>
  <c r="J223" i="7"/>
  <c r="H223" i="7"/>
  <c r="B223" i="7"/>
  <c r="B265" i="3"/>
  <c r="G265" i="3"/>
  <c r="C265" i="3"/>
  <c r="E265" i="3"/>
  <c r="D265" i="3"/>
  <c r="F265" i="3"/>
  <c r="I42" i="7"/>
  <c r="G42" i="7"/>
  <c r="H42" i="7"/>
  <c r="F42" i="7"/>
  <c r="J42" i="7"/>
  <c r="E42" i="7"/>
  <c r="D42" i="7"/>
  <c r="C42" i="7"/>
  <c r="B42" i="7"/>
  <c r="E34" i="3"/>
  <c r="C34" i="3"/>
  <c r="B34" i="3"/>
  <c r="D34" i="3"/>
  <c r="G34" i="3"/>
  <c r="F34" i="3"/>
  <c r="I70" i="7"/>
  <c r="G70" i="7"/>
  <c r="E70" i="7"/>
  <c r="D70" i="7"/>
  <c r="C70" i="7"/>
  <c r="B70" i="7"/>
  <c r="J70" i="7"/>
  <c r="H70" i="7"/>
  <c r="F70" i="7"/>
  <c r="E10" i="3"/>
  <c r="G10" i="3"/>
  <c r="F10" i="3"/>
  <c r="D10" i="3"/>
  <c r="B10" i="3"/>
  <c r="C10" i="3"/>
  <c r="G159" i="7"/>
  <c r="C159" i="7"/>
  <c r="J159" i="7"/>
  <c r="E159" i="7"/>
  <c r="B159" i="7"/>
  <c r="I159" i="7"/>
  <c r="H159" i="7"/>
  <c r="F159" i="7"/>
  <c r="D159" i="7"/>
  <c r="F41" i="3"/>
  <c r="B41" i="3"/>
  <c r="D41" i="3"/>
  <c r="C41" i="3"/>
  <c r="G41" i="3"/>
  <c r="E41" i="3"/>
  <c r="G14" i="3"/>
  <c r="F14" i="3"/>
  <c r="E14" i="3"/>
  <c r="C14" i="3"/>
  <c r="B14" i="3"/>
  <c r="D14" i="3"/>
  <c r="F145" i="3"/>
  <c r="C145" i="3"/>
  <c r="B145" i="3"/>
  <c r="E145" i="3"/>
  <c r="D145" i="3"/>
  <c r="G145" i="3"/>
  <c r="I98" i="7"/>
  <c r="G98" i="7"/>
  <c r="D98" i="7"/>
  <c r="C98" i="7"/>
  <c r="B98" i="7"/>
  <c r="J98" i="7"/>
  <c r="H98" i="7"/>
  <c r="E98" i="7"/>
  <c r="F98" i="7"/>
  <c r="I90" i="7"/>
  <c r="G90" i="7"/>
  <c r="J90" i="7"/>
  <c r="H90" i="7"/>
  <c r="F90" i="7"/>
  <c r="E90" i="7"/>
  <c r="D90" i="7"/>
  <c r="C90" i="7"/>
  <c r="B90" i="7"/>
  <c r="E227" i="3"/>
  <c r="D227" i="3"/>
  <c r="C227" i="3"/>
  <c r="G227" i="3"/>
  <c r="F227" i="3"/>
  <c r="B227" i="3"/>
  <c r="C113" i="7"/>
  <c r="I113" i="7"/>
  <c r="D113" i="7"/>
  <c r="B113" i="7"/>
  <c r="J113" i="7"/>
  <c r="H113" i="7"/>
  <c r="G113" i="7"/>
  <c r="F113" i="7"/>
  <c r="E113" i="7"/>
  <c r="E3" i="6"/>
  <c r="G291" i="3"/>
  <c r="F291" i="3"/>
  <c r="E291" i="3"/>
  <c r="C291" i="3"/>
  <c r="D291" i="3"/>
  <c r="H291" i="7"/>
  <c r="G291" i="7"/>
  <c r="F291" i="7"/>
  <c r="E291" i="7"/>
  <c r="D291" i="7"/>
  <c r="C291" i="7"/>
  <c r="J291" i="7"/>
  <c r="B291" i="7"/>
  <c r="I291" i="7"/>
  <c r="E5" i="6"/>
  <c r="E4" i="6"/>
  <c r="F288" i="7"/>
  <c r="E288" i="7"/>
  <c r="D288" i="7"/>
  <c r="C288" i="7"/>
  <c r="J288" i="7"/>
  <c r="B288" i="7"/>
  <c r="I288" i="7"/>
  <c r="H288" i="7"/>
  <c r="G288" i="7"/>
  <c r="G288" i="3"/>
  <c r="F288" i="3"/>
  <c r="E288" i="3"/>
  <c r="D288" i="3"/>
  <c r="C288" i="3"/>
  <c r="B288" i="3"/>
  <c r="D286" i="3"/>
  <c r="C286" i="3"/>
  <c r="B286" i="3"/>
  <c r="G286" i="3"/>
  <c r="F286" i="3"/>
  <c r="E286" i="3"/>
  <c r="I341" i="3" l="1" a="1"/>
  <c r="I341" i="3" s="1"/>
  <c r="I322" i="3" a="1"/>
  <c r="I322" i="3" s="1"/>
  <c r="H332" i="3" a="1"/>
  <c r="H332" i="3" s="1"/>
  <c r="M333" i="2" s="1"/>
  <c r="I323" i="3" a="1"/>
  <c r="I323" i="3" s="1"/>
  <c r="H323" i="3" a="1"/>
  <c r="H323" i="3" s="1"/>
  <c r="H233" i="3" a="1"/>
  <c r="H233" i="3" s="1"/>
  <c r="M234" i="2" s="1"/>
  <c r="I342" i="3" a="1"/>
  <c r="I342" i="3" s="1"/>
  <c r="H342" i="3" a="1"/>
  <c r="H342" i="3" s="1"/>
  <c r="M343" i="2" s="1"/>
  <c r="I337" i="3" a="1"/>
  <c r="I337" i="3" s="1"/>
  <c r="I233" i="3" a="1"/>
  <c r="I233" i="3" s="1"/>
  <c r="I320" i="3" a="1"/>
  <c r="I320" i="3" s="1"/>
  <c r="H338" i="3" a="1"/>
  <c r="H338" i="3" s="1"/>
  <c r="M339" i="2" s="1"/>
  <c r="H318" i="3" a="1"/>
  <c r="H318" i="3" s="1"/>
  <c r="M319" i="2" s="1"/>
  <c r="H320" i="3" a="1"/>
  <c r="H320" i="3" s="1"/>
  <c r="M321" i="2" s="1"/>
  <c r="H346" i="3" a="1"/>
  <c r="H346" i="3" s="1"/>
  <c r="M347" i="2" s="1"/>
  <c r="I318" i="3" a="1"/>
  <c r="I318" i="3" s="1"/>
  <c r="I321" i="3" a="1"/>
  <c r="I321" i="3" s="1"/>
  <c r="I351" i="3" a="1"/>
  <c r="I351" i="3" s="1"/>
  <c r="H369" i="3" a="1"/>
  <c r="H369" i="3" s="1"/>
  <c r="M370" i="2" s="1"/>
  <c r="I72" i="3" a="1"/>
  <c r="I72" i="3" s="1"/>
  <c r="H328" i="3" a="1"/>
  <c r="H328" i="3" s="1"/>
  <c r="M329" i="2" s="1"/>
  <c r="I338" i="3" a="1"/>
  <c r="I338" i="3" s="1"/>
  <c r="I371" i="3" a="1"/>
  <c r="I371" i="3" s="1"/>
  <c r="I19" i="3" a="1"/>
  <c r="I19" i="3" s="1"/>
  <c r="I334" i="3" a="1"/>
  <c r="I334" i="3" s="1"/>
  <c r="H361" i="3" a="1"/>
  <c r="H361" i="3" s="1"/>
  <c r="M362" i="2" s="1"/>
  <c r="I354" i="3" a="1"/>
  <c r="I354" i="3" s="1"/>
  <c r="I370" i="3" a="1"/>
  <c r="I370" i="3" s="1"/>
  <c r="H348" i="3" a="1"/>
  <c r="H348" i="3" s="1"/>
  <c r="M349" i="2" s="1"/>
  <c r="H334" i="3" a="1"/>
  <c r="H334" i="3" s="1"/>
  <c r="M335" i="2" s="1"/>
  <c r="H356" i="3" a="1"/>
  <c r="H356" i="3" s="1"/>
  <c r="M357" i="2" s="1"/>
  <c r="H359" i="3" a="1"/>
  <c r="H359" i="3" s="1"/>
  <c r="M360" i="2" s="1"/>
  <c r="H352" i="3" a="1"/>
  <c r="H352" i="3" s="1"/>
  <c r="M353" i="2" s="1"/>
  <c r="H349" i="3" a="1"/>
  <c r="H349" i="3" s="1"/>
  <c r="M350" i="2" s="1"/>
  <c r="I366" i="3" a="1"/>
  <c r="I366" i="3" s="1"/>
  <c r="I357" i="3" a="1"/>
  <c r="I357" i="3" s="1"/>
  <c r="H368" i="3" a="1"/>
  <c r="H368" i="3" s="1"/>
  <c r="M369" i="2" s="1"/>
  <c r="I367" i="3" a="1"/>
  <c r="I367" i="3" s="1"/>
  <c r="H355" i="3" a="1"/>
  <c r="H355" i="3" s="1"/>
  <c r="M356" i="2" s="1"/>
  <c r="H362" i="3" a="1"/>
  <c r="H362" i="3" s="1"/>
  <c r="M363" i="2" s="1"/>
  <c r="I364" i="3" a="1"/>
  <c r="I364" i="3" s="1"/>
  <c r="I348" i="3" a="1"/>
  <c r="I348" i="3" s="1"/>
  <c r="H351" i="3" a="1"/>
  <c r="H351" i="3" s="1"/>
  <c r="M352" i="2" s="1"/>
  <c r="I359" i="3" a="1"/>
  <c r="I359" i="3" s="1"/>
  <c r="I368" i="3" a="1"/>
  <c r="I368" i="3" s="1"/>
  <c r="I362" i="3" a="1"/>
  <c r="I362" i="3" s="1"/>
  <c r="I349" i="3" a="1"/>
  <c r="I349" i="3" s="1"/>
  <c r="H354" i="3" a="1"/>
  <c r="H354" i="3" s="1"/>
  <c r="M355" i="2" s="1"/>
  <c r="I352" i="3" a="1"/>
  <c r="I352" i="3" s="1"/>
  <c r="H366" i="3" a="1"/>
  <c r="H366" i="3" s="1"/>
  <c r="M367" i="2" s="1"/>
  <c r="I369" i="3" a="1"/>
  <c r="I369" i="3" s="1"/>
  <c r="H370" i="3" a="1"/>
  <c r="H370" i="3" s="1"/>
  <c r="M371" i="2" s="1"/>
  <c r="I361" i="3" a="1"/>
  <c r="I361" i="3" s="1"/>
  <c r="H364" i="3" a="1"/>
  <c r="H364" i="3" s="1"/>
  <c r="M365" i="2" s="1"/>
  <c r="H357" i="3" a="1"/>
  <c r="H357" i="3" s="1"/>
  <c r="M358" i="2" s="1"/>
  <c r="H367" i="3" a="1"/>
  <c r="H367" i="3" s="1"/>
  <c r="M368" i="2" s="1"/>
  <c r="I356" i="3" a="1"/>
  <c r="I356" i="3" s="1"/>
  <c r="H371" i="3" a="1"/>
  <c r="H371" i="3" s="1"/>
  <c r="M372" i="2" s="1"/>
  <c r="I355" i="3" a="1"/>
  <c r="I355" i="3" s="1"/>
  <c r="H63" i="3" a="1"/>
  <c r="H63" i="3" s="1"/>
  <c r="I63" i="3" a="1"/>
  <c r="I63" i="3" s="1"/>
  <c r="H89" i="3" a="1"/>
  <c r="H89" i="3" s="1"/>
  <c r="M90" i="2" s="1"/>
  <c r="W40" i="9"/>
  <c r="D76" i="11" s="1"/>
  <c r="W41" i="9"/>
  <c r="D80" i="11" s="1"/>
  <c r="W38" i="9"/>
  <c r="D68" i="11" s="1"/>
  <c r="W39" i="9"/>
  <c r="D72" i="11" s="1"/>
  <c r="W37" i="9"/>
  <c r="U37" i="9"/>
  <c r="U40" i="9"/>
  <c r="U38" i="9"/>
  <c r="U41" i="9"/>
  <c r="U39" i="9"/>
  <c r="V37" i="9"/>
  <c r="V40" i="9"/>
  <c r="D75" i="11" s="1"/>
  <c r="V38" i="9"/>
  <c r="D67" i="11" s="1"/>
  <c r="V41" i="9"/>
  <c r="D79" i="11" s="1"/>
  <c r="V39" i="9"/>
  <c r="D71" i="11" s="1"/>
  <c r="X37" i="9"/>
  <c r="D65" i="11" s="1"/>
  <c r="I170" i="3" a="1"/>
  <c r="I170" i="3" s="1"/>
  <c r="H57" i="3" a="1"/>
  <c r="H57" i="3" s="1"/>
  <c r="H170" i="3" a="1"/>
  <c r="H170" i="3" s="1"/>
  <c r="M171" i="2" s="1"/>
  <c r="I57" i="3" a="1"/>
  <c r="I57" i="3" s="1"/>
  <c r="I200" i="3" a="1"/>
  <c r="I200" i="3" s="1"/>
  <c r="H72" i="3" a="1"/>
  <c r="H72" i="3" s="1"/>
  <c r="H128" i="3" a="1"/>
  <c r="H128" i="3" s="1"/>
  <c r="M129" i="2" s="1"/>
  <c r="I23" i="3" a="1"/>
  <c r="I23" i="3" s="1"/>
  <c r="H23" i="3" a="1"/>
  <c r="H23" i="3" s="1"/>
  <c r="M24" i="2" s="1"/>
  <c r="I128" i="3" a="1"/>
  <c r="I128" i="3" s="1"/>
  <c r="H235" i="3" a="1"/>
  <c r="H235" i="3" s="1"/>
  <c r="M236" i="2" s="1"/>
  <c r="H31" i="3" a="1"/>
  <c r="H31" i="3" s="1"/>
  <c r="I31" i="3" a="1"/>
  <c r="I31" i="3" s="1"/>
  <c r="H58" i="3" a="1"/>
  <c r="H58" i="3" s="1"/>
  <c r="I224" i="3" a="1"/>
  <c r="I224" i="3" s="1"/>
  <c r="H198" i="3" a="1"/>
  <c r="H198" i="3" s="1"/>
  <c r="M199" i="2" s="1"/>
  <c r="I289" i="3" a="1"/>
  <c r="I289" i="3" s="1"/>
  <c r="H310" i="3" a="1"/>
  <c r="H310" i="3" s="1"/>
  <c r="I11" i="3" a="1"/>
  <c r="I11" i="3" s="1"/>
  <c r="H127" i="3" a="1"/>
  <c r="H127" i="3" s="1"/>
  <c r="H303" i="3" a="1"/>
  <c r="H303" i="3" s="1"/>
  <c r="H96" i="3" a="1"/>
  <c r="H96" i="3" s="1"/>
  <c r="I144" i="3" a="1"/>
  <c r="I144" i="3" s="1"/>
  <c r="I146" i="3" a="1"/>
  <c r="I146" i="3" s="1"/>
  <c r="I264" i="3" a="1"/>
  <c r="I264" i="3" s="1"/>
  <c r="I194" i="3" a="1"/>
  <c r="I194" i="3" s="1"/>
  <c r="I7" i="3" a="1"/>
  <c r="I7" i="3" s="1"/>
  <c r="I234" i="3" a="1"/>
  <c r="I234" i="3" s="1"/>
  <c r="I126" i="3" a="1"/>
  <c r="I126" i="3" s="1"/>
  <c r="H81" i="3" a="1"/>
  <c r="H81" i="3" s="1"/>
  <c r="M82" i="2" s="1"/>
  <c r="H243" i="3" a="1"/>
  <c r="H243" i="3" s="1"/>
  <c r="I247" i="3" a="1"/>
  <c r="I247" i="3" s="1"/>
  <c r="I68" i="3" a="1"/>
  <c r="I68" i="3" s="1"/>
  <c r="H111" i="3" a="1"/>
  <c r="H111" i="3" s="1"/>
  <c r="M112" i="2" s="1"/>
  <c r="I237" i="3" a="1"/>
  <c r="I237" i="3" s="1"/>
  <c r="I295" i="3" a="1"/>
  <c r="I295" i="3" s="1"/>
  <c r="I190" i="3" a="1"/>
  <c r="I190" i="3" s="1"/>
  <c r="I99" i="3" a="1"/>
  <c r="I99" i="3" s="1"/>
  <c r="I51" i="3" a="1"/>
  <c r="I51" i="3" s="1"/>
  <c r="H73" i="3" a="1"/>
  <c r="H73" i="3" s="1"/>
  <c r="M74" i="2" s="1"/>
  <c r="I174" i="3" a="1"/>
  <c r="I174" i="3" s="1"/>
  <c r="H164" i="3" a="1"/>
  <c r="H164" i="3" s="1"/>
  <c r="M165" i="2" s="1"/>
  <c r="H10" i="3" a="1"/>
  <c r="H10" i="3" s="1"/>
  <c r="M11" i="2" s="1"/>
  <c r="I124" i="3" a="1"/>
  <c r="I124" i="3" s="1"/>
  <c r="H115" i="3" a="1"/>
  <c r="H115" i="3" s="1"/>
  <c r="H183" i="3" a="1"/>
  <c r="H183" i="3" s="1"/>
  <c r="M184" i="2" s="1"/>
  <c r="I274" i="3" a="1"/>
  <c r="I274" i="3" s="1"/>
  <c r="I172" i="3" a="1"/>
  <c r="I172" i="3" s="1"/>
  <c r="I236" i="3" a="1"/>
  <c r="I236" i="3" s="1"/>
  <c r="H199" i="3" a="1"/>
  <c r="H199" i="3" s="1"/>
  <c r="H238" i="3" a="1"/>
  <c r="H238" i="3" s="1"/>
  <c r="M239" i="2" s="1"/>
  <c r="I191" i="3" a="1"/>
  <c r="I191" i="3" s="1"/>
  <c r="I214" i="3" a="1"/>
  <c r="I214" i="3" s="1"/>
  <c r="H103" i="3" a="1"/>
  <c r="H103" i="3" s="1"/>
  <c r="M104" i="2" s="1"/>
  <c r="I306" i="3" a="1"/>
  <c r="I306" i="3" s="1"/>
  <c r="I308" i="3" a="1"/>
  <c r="I308" i="3" s="1"/>
  <c r="I13" i="3" a="1"/>
  <c r="I13" i="3" s="1"/>
  <c r="I118" i="3" a="1"/>
  <c r="I118" i="3" s="1"/>
  <c r="I142" i="3" a="1"/>
  <c r="I142" i="3" s="1"/>
  <c r="I24" i="3" a="1"/>
  <c r="I24" i="3" s="1"/>
  <c r="I153" i="3" a="1"/>
  <c r="I153" i="3" s="1"/>
  <c r="I143" i="3" a="1"/>
  <c r="I143" i="3" s="1"/>
  <c r="I285" i="3" a="1"/>
  <c r="I285" i="3" s="1"/>
  <c r="I239" i="3" a="1"/>
  <c r="I239" i="3" s="1"/>
  <c r="I131" i="3" a="1"/>
  <c r="I131" i="3" s="1"/>
  <c r="I269" i="3" a="1"/>
  <c r="I269" i="3" s="1"/>
  <c r="I270" i="3" a="1"/>
  <c r="I270" i="3" s="1"/>
  <c r="I149" i="3" a="1"/>
  <c r="I149" i="3" s="1"/>
  <c r="I78" i="3" a="1"/>
  <c r="I78" i="3" s="1"/>
  <c r="H148" i="3" a="1"/>
  <c r="H148" i="3" s="1"/>
  <c r="M149" i="2" s="1"/>
  <c r="I104" i="3" a="1"/>
  <c r="I104" i="3" s="1"/>
  <c r="I228" i="3" a="1"/>
  <c r="I228" i="3" s="1"/>
  <c r="I168" i="3" a="1"/>
  <c r="I168" i="3" s="1"/>
  <c r="H59" i="3" a="1"/>
  <c r="H59" i="3" s="1"/>
  <c r="H276" i="3" a="1"/>
  <c r="H276" i="3" s="1"/>
  <c r="H165" i="3" a="1"/>
  <c r="H165" i="3" s="1"/>
  <c r="M166" i="2" s="1"/>
  <c r="I158" i="3" a="1"/>
  <c r="I158" i="3" s="1"/>
  <c r="H41" i="3" a="1"/>
  <c r="H41" i="3" s="1"/>
  <c r="M42" i="2" s="1"/>
  <c r="H154" i="3" a="1"/>
  <c r="H154" i="3" s="1"/>
  <c r="H291" i="3" a="1"/>
  <c r="H291" i="3" s="1"/>
  <c r="I54" i="3" a="1"/>
  <c r="I54" i="3" s="1"/>
  <c r="I167" i="3" a="1"/>
  <c r="I167" i="3" s="1"/>
  <c r="I204" i="3" a="1"/>
  <c r="I204" i="3" s="1"/>
  <c r="I242" i="3" a="1"/>
  <c r="I242" i="3" s="1"/>
  <c r="I90" i="3" a="1"/>
  <c r="I90" i="3" s="1"/>
  <c r="I309" i="3" a="1"/>
  <c r="I309" i="3" s="1"/>
  <c r="I105" i="3" a="1"/>
  <c r="I105" i="3" s="1"/>
  <c r="I220" i="3" a="1"/>
  <c r="I220" i="3" s="1"/>
  <c r="H122" i="3" a="1"/>
  <c r="H122" i="3" s="1"/>
  <c r="M123" i="2" s="1"/>
  <c r="I21" i="3" a="1"/>
  <c r="I21" i="3" s="1"/>
  <c r="H280" i="3" a="1"/>
  <c r="H280" i="3" s="1"/>
  <c r="I244" i="3" a="1"/>
  <c r="I244" i="3" s="1"/>
  <c r="H201" i="3" a="1"/>
  <c r="H201" i="3" s="1"/>
  <c r="M202" i="2" s="1"/>
  <c r="I95" i="3" a="1"/>
  <c r="I95" i="3" s="1"/>
  <c r="I177" i="3" a="1"/>
  <c r="I177" i="3" s="1"/>
  <c r="H181" i="3" a="1"/>
  <c r="H181" i="3" s="1"/>
  <c r="H240" i="3" a="1"/>
  <c r="H240" i="3" s="1"/>
  <c r="I101" i="3" a="1"/>
  <c r="I101" i="3" s="1"/>
  <c r="I182" i="3" a="1"/>
  <c r="I182" i="3" s="1"/>
  <c r="H141" i="3" a="1"/>
  <c r="H141" i="3" s="1"/>
  <c r="I156" i="3" a="1"/>
  <c r="I156" i="3" s="1"/>
  <c r="H40" i="3" a="1"/>
  <c r="H40" i="3" s="1"/>
  <c r="M41" i="2" s="1"/>
  <c r="H134" i="3" a="1"/>
  <c r="H134" i="3" s="1"/>
  <c r="M135" i="2" s="1"/>
  <c r="H169" i="3" a="1"/>
  <c r="H169" i="3" s="1"/>
  <c r="M170" i="2" s="1"/>
  <c r="H268" i="3" a="1"/>
  <c r="H268" i="3" s="1"/>
  <c r="M269" i="2" s="1"/>
  <c r="I113" i="3" a="1"/>
  <c r="I113" i="3" s="1"/>
  <c r="H296" i="3" a="1"/>
  <c r="H296" i="3" s="1"/>
  <c r="I213" i="3" a="1"/>
  <c r="I213" i="3" s="1"/>
  <c r="I161" i="3" a="1"/>
  <c r="I161" i="3" s="1"/>
  <c r="I175" i="3" a="1"/>
  <c r="I175" i="3" s="1"/>
  <c r="I180" i="3" a="1"/>
  <c r="I180" i="3" s="1"/>
  <c r="I137" i="3" a="1"/>
  <c r="I137" i="3" s="1"/>
  <c r="I26" i="3" a="1"/>
  <c r="I26" i="3" s="1"/>
  <c r="I65" i="3" a="1"/>
  <c r="I65" i="3" s="1"/>
  <c r="I56" i="3" a="1"/>
  <c r="I56" i="3" s="1"/>
  <c r="H290" i="3" a="1"/>
  <c r="H290" i="3" s="1"/>
  <c r="H279" i="3" a="1"/>
  <c r="H279" i="3" s="1"/>
  <c r="M280" i="2" s="1"/>
  <c r="H288" i="3" a="1"/>
  <c r="H288" i="3" s="1"/>
  <c r="H70" i="3" a="1"/>
  <c r="H70" i="3" s="1"/>
  <c r="M71" i="2" s="1"/>
  <c r="H252" i="3" a="1"/>
  <c r="H252" i="3" s="1"/>
  <c r="M253" i="2" s="1"/>
  <c r="H94" i="3" a="1"/>
  <c r="H94" i="3" s="1"/>
  <c r="H297" i="3" a="1"/>
  <c r="H297" i="3" s="1"/>
  <c r="H112" i="3" a="1"/>
  <c r="H112" i="3" s="1"/>
  <c r="M113" i="2" s="1"/>
  <c r="H257" i="3" a="1"/>
  <c r="H257" i="3" s="1"/>
  <c r="M258" i="2" s="1"/>
  <c r="H147" i="3" a="1"/>
  <c r="H147" i="3" s="1"/>
  <c r="H229" i="3" a="1"/>
  <c r="H229" i="3" s="1"/>
  <c r="M230" i="2" s="1"/>
  <c r="H171" i="3" a="1"/>
  <c r="H171" i="3" s="1"/>
  <c r="M172" i="2" s="1"/>
  <c r="H160" i="3" a="1"/>
  <c r="H160" i="3" s="1"/>
  <c r="I245" i="3" a="1"/>
  <c r="I245" i="3" s="1"/>
  <c r="H135" i="3" a="1"/>
  <c r="H135" i="3" s="1"/>
  <c r="H125" i="3" a="1"/>
  <c r="H125" i="3" s="1"/>
  <c r="M126" i="2" s="1"/>
  <c r="I52" i="3" a="1"/>
  <c r="I52" i="3" s="1"/>
  <c r="H102" i="3" a="1"/>
  <c r="H102" i="3" s="1"/>
  <c r="M103" i="2" s="1"/>
  <c r="H246" i="3" a="1"/>
  <c r="H246" i="3" s="1"/>
  <c r="M247" i="2" s="1"/>
  <c r="H35" i="3" a="1"/>
  <c r="H35" i="3" s="1"/>
  <c r="H87" i="3" a="1"/>
  <c r="H87" i="3" s="1"/>
  <c r="H284" i="3" a="1"/>
  <c r="H284" i="3" s="1"/>
  <c r="M285" i="2" s="1"/>
  <c r="I32" i="3" a="1"/>
  <c r="I32" i="3" s="1"/>
  <c r="H6" i="3" a="1"/>
  <c r="H6" i="3" s="1"/>
  <c r="M7" i="2" s="1"/>
  <c r="I76" i="3" a="1"/>
  <c r="I76" i="3" s="1"/>
  <c r="H202" i="3" a="1"/>
  <c r="H202" i="3" s="1"/>
  <c r="M203" i="2" s="1"/>
  <c r="I121" i="3" a="1"/>
  <c r="I121" i="3" s="1"/>
  <c r="H116" i="3" a="1"/>
  <c r="H116" i="3" s="1"/>
  <c r="M117" i="2" s="1"/>
  <c r="I232" i="3" a="1"/>
  <c r="I232" i="3" s="1"/>
  <c r="I53" i="3" a="1"/>
  <c r="I53" i="3" s="1"/>
  <c r="I136" i="3" a="1"/>
  <c r="I136" i="3" s="1"/>
  <c r="I42" i="3" a="1"/>
  <c r="I42" i="3" s="1"/>
  <c r="H287" i="3" a="1"/>
  <c r="H287" i="3" s="1"/>
  <c r="M288" i="2" s="1"/>
  <c r="I277" i="3" a="1"/>
  <c r="I277" i="3" s="1"/>
  <c r="I37" i="3" a="1"/>
  <c r="I37" i="3" s="1"/>
  <c r="I157" i="3" a="1"/>
  <c r="I157" i="3" s="1"/>
  <c r="I140" i="3" a="1"/>
  <c r="I140" i="3" s="1"/>
  <c r="I60" i="3" a="1"/>
  <c r="I60" i="3" s="1"/>
  <c r="H139" i="3" a="1"/>
  <c r="H139" i="3" s="1"/>
  <c r="I197" i="3" a="1"/>
  <c r="I197" i="3" s="1"/>
  <c r="H16" i="3" a="1"/>
  <c r="H16" i="3" s="1"/>
  <c r="I166" i="3" a="1"/>
  <c r="I166" i="3" s="1"/>
  <c r="H192" i="3" a="1"/>
  <c r="H192" i="3" s="1"/>
  <c r="M193" i="2" s="1"/>
  <c r="I151" i="3" a="1"/>
  <c r="I151" i="3" s="1"/>
  <c r="I108" i="3" a="1"/>
  <c r="I108" i="3" s="1"/>
  <c r="H227" i="3" a="1"/>
  <c r="H227" i="3" s="1"/>
  <c r="M228" i="2" s="1"/>
  <c r="H34" i="3" a="1"/>
  <c r="H34" i="3" s="1"/>
  <c r="M35" i="2" s="1"/>
  <c r="H119" i="3" a="1"/>
  <c r="H119" i="3" s="1"/>
  <c r="H159" i="3" a="1"/>
  <c r="H159" i="3" s="1"/>
  <c r="M160" i="2" s="1"/>
  <c r="H222" i="3" a="1"/>
  <c r="H222" i="3" s="1"/>
  <c r="M223" i="2" s="1"/>
  <c r="H62" i="3" a="1"/>
  <c r="H62" i="3" s="1"/>
  <c r="M63" i="2" s="1"/>
  <c r="H114" i="3" a="1"/>
  <c r="H114" i="3" s="1"/>
  <c r="M115" i="2" s="1"/>
  <c r="H179" i="3" a="1"/>
  <c r="H179" i="3" s="1"/>
  <c r="M180" i="2" s="1"/>
  <c r="H275" i="3" a="1"/>
  <c r="H275" i="3" s="1"/>
  <c r="I27" i="3" a="1"/>
  <c r="I27" i="3" s="1"/>
  <c r="I221" i="3" a="1"/>
  <c r="I221" i="3" s="1"/>
  <c r="H267" i="3" a="1"/>
  <c r="H267" i="3" s="1"/>
  <c r="M268" i="2" s="1"/>
  <c r="H205" i="3" a="1"/>
  <c r="H205" i="3" s="1"/>
  <c r="M206" i="2" s="1"/>
  <c r="H189" i="3" a="1"/>
  <c r="H189" i="3" s="1"/>
  <c r="M190" i="2" s="1"/>
  <c r="I230" i="3" a="1"/>
  <c r="I230" i="3" s="1"/>
  <c r="I253" i="3" a="1"/>
  <c r="I253" i="3" s="1"/>
  <c r="I218" i="3" a="1"/>
  <c r="I218" i="3" s="1"/>
  <c r="I138" i="3" a="1"/>
  <c r="I138" i="3" s="1"/>
  <c r="H231" i="3" a="1"/>
  <c r="H231" i="3" s="1"/>
  <c r="M232" i="2" s="1"/>
  <c r="I300" i="3" a="1"/>
  <c r="I300" i="3" s="1"/>
  <c r="I28" i="3" a="1"/>
  <c r="I28" i="3" s="1"/>
  <c r="H88" i="3" a="1"/>
  <c r="H88" i="3" s="1"/>
  <c r="M89" i="2" s="1"/>
  <c r="I281" i="3" a="1"/>
  <c r="I281" i="3" s="1"/>
  <c r="I61" i="3" a="1"/>
  <c r="I61" i="3" s="1"/>
  <c r="I255" i="3" a="1"/>
  <c r="I255" i="3" s="1"/>
  <c r="H203" i="3" a="1"/>
  <c r="H203" i="3" s="1"/>
  <c r="M204" i="2" s="1"/>
  <c r="H266" i="3" a="1"/>
  <c r="H266" i="3" s="1"/>
  <c r="M267" i="2" s="1"/>
  <c r="I163" i="3" a="1"/>
  <c r="I163" i="3" s="1"/>
  <c r="H294" i="3" a="1"/>
  <c r="H294" i="3" s="1"/>
  <c r="H173" i="3" a="1"/>
  <c r="H173" i="3" s="1"/>
  <c r="M174" i="2" s="1"/>
  <c r="I100" i="3" a="1"/>
  <c r="I100" i="3" s="1"/>
  <c r="H254" i="3" a="1"/>
  <c r="H254" i="3" s="1"/>
  <c r="M255" i="2" s="1"/>
  <c r="I176" i="3" a="1"/>
  <c r="I176" i="3" s="1"/>
  <c r="I283" i="3" a="1"/>
  <c r="I283" i="3" s="1"/>
  <c r="H272" i="3" a="1"/>
  <c r="H272" i="3" s="1"/>
  <c r="H38" i="3" a="1"/>
  <c r="H38" i="3" s="1"/>
  <c r="H44" i="3" a="1"/>
  <c r="H44" i="3" s="1"/>
  <c r="I66" i="3" a="1"/>
  <c r="I66" i="3" s="1"/>
  <c r="I45" i="3" a="1"/>
  <c r="I45" i="3" s="1"/>
  <c r="H15" i="3" a="1"/>
  <c r="H15" i="3" s="1"/>
  <c r="M16" i="2" s="1"/>
  <c r="I256" i="3" a="1"/>
  <c r="I256" i="3" s="1"/>
  <c r="I20" i="3" a="1"/>
  <c r="I20" i="3" s="1"/>
  <c r="H120" i="3" a="1"/>
  <c r="H120" i="3" s="1"/>
  <c r="H261" i="3" a="1"/>
  <c r="H261" i="3" s="1"/>
  <c r="M262" i="2" s="1"/>
  <c r="H86" i="3" a="1"/>
  <c r="H86" i="3" s="1"/>
  <c r="M87" i="2" s="1"/>
  <c r="I69" i="3" a="1"/>
  <c r="I69" i="3" s="1"/>
  <c r="I248" i="3" a="1"/>
  <c r="I248" i="3" s="1"/>
  <c r="I48" i="3" a="1"/>
  <c r="I48" i="3" s="1"/>
  <c r="H206" i="3" a="1"/>
  <c r="H206" i="3" s="1"/>
  <c r="M207" i="2" s="1"/>
  <c r="H130" i="3" a="1"/>
  <c r="H130" i="3" s="1"/>
  <c r="M131" i="2" s="1"/>
  <c r="I82" i="3" a="1"/>
  <c r="I82" i="3" s="1"/>
  <c r="H260" i="3" a="1"/>
  <c r="H260" i="3" s="1"/>
  <c r="M261" i="2" s="1"/>
  <c r="I304" i="3" a="1"/>
  <c r="I304" i="3" s="1"/>
  <c r="H250" i="3" a="1"/>
  <c r="H250" i="3" s="1"/>
  <c r="M251" i="2" s="1"/>
  <c r="I46" i="3" a="1"/>
  <c r="I46" i="3" s="1"/>
  <c r="H188" i="3" a="1"/>
  <c r="H188" i="3" s="1"/>
  <c r="M189" i="2" s="1"/>
  <c r="I249" i="3" a="1"/>
  <c r="I249" i="3" s="1"/>
  <c r="I145" i="3" a="1"/>
  <c r="I145" i="3" s="1"/>
  <c r="I265" i="3" a="1"/>
  <c r="I265" i="3" s="1"/>
  <c r="I84" i="3" a="1"/>
  <c r="I84" i="3" s="1"/>
  <c r="H193" i="3" a="1"/>
  <c r="H193" i="3" s="1"/>
  <c r="I98" i="3" a="1"/>
  <c r="I98" i="3" s="1"/>
  <c r="H226" i="3" a="1"/>
  <c r="H226" i="3" s="1"/>
  <c r="M227" i="2" s="1"/>
  <c r="I298" i="3" a="1"/>
  <c r="I298" i="3" s="1"/>
  <c r="I301" i="3" a="1"/>
  <c r="I301" i="3" s="1"/>
  <c r="I223" i="3" a="1"/>
  <c r="I223" i="3" s="1"/>
  <c r="I282" i="3" a="1"/>
  <c r="I282" i="3" s="1"/>
  <c r="I210" i="3" a="1"/>
  <c r="I210" i="3" s="1"/>
  <c r="I47" i="3" a="1"/>
  <c r="I47" i="3" s="1"/>
  <c r="I106" i="3" a="1"/>
  <c r="I106" i="3" s="1"/>
  <c r="I241" i="3" a="1"/>
  <c r="I241" i="3" s="1"/>
  <c r="I178" i="3" a="1"/>
  <c r="I178" i="3" s="1"/>
  <c r="I18" i="3" a="1"/>
  <c r="I18" i="3" s="1"/>
  <c r="H212" i="3" a="1"/>
  <c r="H212" i="3" s="1"/>
  <c r="M213" i="2" s="1"/>
  <c r="I49" i="3" a="1"/>
  <c r="I49" i="3" s="1"/>
  <c r="I258" i="3" a="1"/>
  <c r="I258" i="3" s="1"/>
  <c r="I64" i="3" a="1"/>
  <c r="I64" i="3" s="1"/>
  <c r="I110" i="3" a="1"/>
  <c r="I110" i="3" s="1"/>
  <c r="I186" i="3" a="1"/>
  <c r="I186" i="3" s="1"/>
  <c r="I58" i="3" a="1"/>
  <c r="I58" i="3" s="1"/>
  <c r="H132" i="3" a="1"/>
  <c r="H132" i="3" s="1"/>
  <c r="M133" i="2" s="1"/>
  <c r="I92" i="3" a="1"/>
  <c r="I92" i="3" s="1"/>
  <c r="H155" i="3" a="1"/>
  <c r="H155" i="3" s="1"/>
  <c r="M156" i="2" s="1"/>
  <c r="H271" i="3" a="1"/>
  <c r="H271" i="3" s="1"/>
  <c r="I305" i="3" a="1"/>
  <c r="I305" i="3" s="1"/>
  <c r="H184" i="3" a="1"/>
  <c r="H184" i="3" s="1"/>
  <c r="M185" i="2" s="1"/>
  <c r="I302" i="3" a="1"/>
  <c r="I302" i="3" s="1"/>
  <c r="I36" i="3" a="1"/>
  <c r="I36" i="3" s="1"/>
  <c r="H215" i="3" a="1"/>
  <c r="H215" i="3" s="1"/>
  <c r="M216" i="2" s="1"/>
  <c r="H150" i="3" a="1"/>
  <c r="H150" i="3" s="1"/>
  <c r="I259" i="3" a="1"/>
  <c r="I259" i="3" s="1"/>
  <c r="I55" i="3" a="1"/>
  <c r="I55" i="3" s="1"/>
  <c r="H262" i="3" a="1"/>
  <c r="H262" i="3" s="1"/>
  <c r="M263" i="2" s="1"/>
  <c r="H71" i="3" a="1"/>
  <c r="H71" i="3" s="1"/>
  <c r="M72" i="2" s="1"/>
  <c r="H152" i="3" a="1"/>
  <c r="H152" i="3" s="1"/>
  <c r="M153" i="2" s="1"/>
  <c r="H196" i="3" a="1"/>
  <c r="H196" i="3" s="1"/>
  <c r="M197" i="2" s="1"/>
  <c r="I278" i="3" a="1"/>
  <c r="I278" i="3" s="1"/>
  <c r="I251" i="3" a="1"/>
  <c r="I251" i="3" s="1"/>
  <c r="H195" i="3" a="1"/>
  <c r="H195" i="3" s="1"/>
  <c r="M196" i="2" s="1"/>
  <c r="H29" i="3" a="1"/>
  <c r="H29" i="3" s="1"/>
  <c r="I307" i="3" a="1"/>
  <c r="I307" i="3" s="1"/>
  <c r="I286" i="3" a="1"/>
  <c r="I286" i="3" s="1"/>
  <c r="I39" i="3" a="1"/>
  <c r="I39" i="3" s="1"/>
  <c r="I162" i="3" a="1"/>
  <c r="I162" i="3" s="1"/>
  <c r="I12" i="3" a="1"/>
  <c r="I12" i="3" s="1"/>
  <c r="H185" i="3" a="1"/>
  <c r="H185" i="3" s="1"/>
  <c r="M186" i="2" s="1"/>
  <c r="I208" i="3" a="1"/>
  <c r="I208" i="3" s="1"/>
  <c r="I33" i="3" a="1"/>
  <c r="I33" i="3" s="1"/>
  <c r="H187" i="3" a="1"/>
  <c r="H187" i="3" s="1"/>
  <c r="M188" i="2" s="1"/>
  <c r="H77" i="3" a="1"/>
  <c r="H77" i="3" s="1"/>
  <c r="M78" i="2" s="1"/>
  <c r="I225" i="3" a="1"/>
  <c r="I225" i="3" s="1"/>
  <c r="H14" i="3" a="1"/>
  <c r="H14" i="3" s="1"/>
  <c r="H129" i="3" a="1"/>
  <c r="H129" i="3" s="1"/>
  <c r="M130" i="2" s="1"/>
  <c r="I133" i="3" a="1"/>
  <c r="I133" i="3" s="1"/>
  <c r="I22" i="3" a="1"/>
  <c r="I22" i="3" s="1"/>
  <c r="I50" i="3" a="1"/>
  <c r="I50" i="3" s="1"/>
  <c r="I123" i="3" a="1"/>
  <c r="I123" i="3" s="1"/>
  <c r="I293" i="3" a="1"/>
  <c r="I293" i="3" s="1"/>
  <c r="H80" i="3" a="1"/>
  <c r="H80" i="3" s="1"/>
  <c r="M81" i="2" s="1"/>
  <c r="I79" i="3" a="1"/>
  <c r="I79" i="3" s="1"/>
  <c r="I219" i="3" a="1"/>
  <c r="I219" i="3" s="1"/>
  <c r="H67" i="3" a="1"/>
  <c r="H67" i="3" s="1"/>
  <c r="M68" i="2" s="1"/>
  <c r="H217" i="3" a="1"/>
  <c r="H217" i="3" s="1"/>
  <c r="M218" i="2" s="1"/>
  <c r="I30" i="3" a="1"/>
  <c r="I30" i="3" s="1"/>
  <c r="I97" i="3" a="1"/>
  <c r="I97" i="3" s="1"/>
  <c r="H300" i="3" a="1"/>
  <c r="H300" i="3" s="1"/>
  <c r="H207" i="3" a="1"/>
  <c r="H207" i="3" s="1"/>
  <c r="M208" i="2" s="1"/>
  <c r="H145" i="3" a="1"/>
  <c r="H145" i="3" s="1"/>
  <c r="I291" i="3" a="1"/>
  <c r="I291" i="3" s="1"/>
  <c r="H265" i="3" a="1"/>
  <c r="H265" i="3" s="1"/>
  <c r="M266" i="2" s="1"/>
  <c r="H54" i="3" a="1"/>
  <c r="H54" i="3" s="1"/>
  <c r="M55" i="2" s="1"/>
  <c r="I227" i="3" a="1"/>
  <c r="I227" i="3" s="1"/>
  <c r="I10" i="3" a="1"/>
  <c r="I10" i="3" s="1"/>
  <c r="I119" i="3" a="1"/>
  <c r="I119" i="3" s="1"/>
  <c r="I159" i="3" a="1"/>
  <c r="I159" i="3" s="1"/>
  <c r="H42" i="3" a="1"/>
  <c r="H42" i="3" s="1"/>
  <c r="M43" i="2" s="1"/>
  <c r="H214" i="3" a="1"/>
  <c r="H214" i="3" s="1"/>
  <c r="M215" i="2" s="1"/>
  <c r="H136" i="3" a="1"/>
  <c r="H136" i="3" s="1"/>
  <c r="I103" i="3" a="1"/>
  <c r="I103" i="3" s="1"/>
  <c r="I222" i="3" a="1"/>
  <c r="I222" i="3" s="1"/>
  <c r="I62" i="3" a="1"/>
  <c r="I62" i="3" s="1"/>
  <c r="H308" i="3" a="1"/>
  <c r="H308" i="3" s="1"/>
  <c r="M309" i="2" s="1"/>
  <c r="H172" i="3" a="1"/>
  <c r="H172" i="3" s="1"/>
  <c r="M173" i="2" s="1"/>
  <c r="H13" i="3" a="1"/>
  <c r="H13" i="3" s="1"/>
  <c r="H118" i="3" a="1"/>
  <c r="H118" i="3" s="1"/>
  <c r="M119" i="2" s="1"/>
  <c r="H142" i="3" a="1"/>
  <c r="H142" i="3" s="1"/>
  <c r="H236" i="3" a="1"/>
  <c r="H236" i="3" s="1"/>
  <c r="M237" i="2" s="1"/>
  <c r="I114" i="3" a="1"/>
  <c r="I114" i="3" s="1"/>
  <c r="H24" i="3" a="1"/>
  <c r="H24" i="3" s="1"/>
  <c r="H153" i="3" a="1"/>
  <c r="H153" i="3" s="1"/>
  <c r="H100" i="3" a="1"/>
  <c r="H100" i="3" s="1"/>
  <c r="M101" i="2" s="1"/>
  <c r="I254" i="3" a="1"/>
  <c r="I254" i="3" s="1"/>
  <c r="H143" i="3" a="1"/>
  <c r="H143" i="3" s="1"/>
  <c r="M144" i="2" s="1"/>
  <c r="H285" i="3" a="1"/>
  <c r="H285" i="3" s="1"/>
  <c r="M286" i="2" s="1"/>
  <c r="H124" i="3" a="1"/>
  <c r="H124" i="3" s="1"/>
  <c r="M125" i="2" s="1"/>
  <c r="H239" i="3" a="1"/>
  <c r="H239" i="3" s="1"/>
  <c r="M240" i="2" s="1"/>
  <c r="I199" i="3" a="1"/>
  <c r="I199" i="3" s="1"/>
  <c r="H306" i="3" a="1"/>
  <c r="H306" i="3" s="1"/>
  <c r="H176" i="3" a="1"/>
  <c r="H176" i="3" s="1"/>
  <c r="M177" i="2" s="1"/>
  <c r="I238" i="3" a="1"/>
  <c r="I238" i="3" s="1"/>
  <c r="I115" i="3" a="1"/>
  <c r="I115" i="3" s="1"/>
  <c r="H131" i="3" a="1"/>
  <c r="H131" i="3" s="1"/>
  <c r="I183" i="3" a="1"/>
  <c r="I183" i="3" s="1"/>
  <c r="H191" i="3" a="1"/>
  <c r="H191" i="3" s="1"/>
  <c r="M192" i="2" s="1"/>
  <c r="H274" i="3" a="1"/>
  <c r="H274" i="3" s="1"/>
  <c r="H269" i="3" a="1"/>
  <c r="H269" i="3" s="1"/>
  <c r="H36" i="3" a="1"/>
  <c r="H36" i="3" s="1"/>
  <c r="I150" i="3" a="1"/>
  <c r="I150" i="3" s="1"/>
  <c r="H121" i="3" a="1"/>
  <c r="H121" i="3" s="1"/>
  <c r="I287" i="3" a="1"/>
  <c r="I287" i="3" s="1"/>
  <c r="I262" i="3" a="1"/>
  <c r="I262" i="3" s="1"/>
  <c r="I6" i="3" a="1"/>
  <c r="I6" i="3" s="1"/>
  <c r="I71" i="3" a="1"/>
  <c r="I71" i="3" s="1"/>
  <c r="I152" i="3" a="1"/>
  <c r="I152" i="3" s="1"/>
  <c r="H97" i="3" a="1"/>
  <c r="H97" i="3" s="1"/>
  <c r="H69" i="3" a="1"/>
  <c r="H69" i="3" s="1"/>
  <c r="M70" i="2" s="1"/>
  <c r="I196" i="3" a="1"/>
  <c r="I196" i="3" s="1"/>
  <c r="H123" i="3" a="1"/>
  <c r="H123" i="3" s="1"/>
  <c r="M124" i="2" s="1"/>
  <c r="I195" i="3" a="1"/>
  <c r="I195" i="3" s="1"/>
  <c r="I29" i="3" a="1"/>
  <c r="I29" i="3" s="1"/>
  <c r="H48" i="3" a="1"/>
  <c r="H48" i="3" s="1"/>
  <c r="I75" i="3" a="1"/>
  <c r="I75" i="3" s="1"/>
  <c r="H43" i="3" a="1"/>
  <c r="H43" i="3" s="1"/>
  <c r="M44" i="2" s="1"/>
  <c r="H292" i="3" a="1"/>
  <c r="H292" i="3" s="1"/>
  <c r="H75" i="3" a="1"/>
  <c r="H75" i="3" s="1"/>
  <c r="I231" i="3" a="1"/>
  <c r="I231" i="3" s="1"/>
  <c r="H163" i="3" a="1"/>
  <c r="H163" i="3" s="1"/>
  <c r="I284" i="3" a="1"/>
  <c r="I284" i="3" s="1"/>
  <c r="I272" i="3" a="1"/>
  <c r="I272" i="3" s="1"/>
  <c r="H28" i="3" a="1"/>
  <c r="H28" i="3" s="1"/>
  <c r="M29" i="2" s="1"/>
  <c r="H53" i="3" a="1"/>
  <c r="H53" i="3" s="1"/>
  <c r="M54" i="2" s="1"/>
  <c r="I207" i="3" a="1"/>
  <c r="I207" i="3" s="1"/>
  <c r="I173" i="3" a="1"/>
  <c r="I173" i="3" s="1"/>
  <c r="H277" i="3" a="1"/>
  <c r="H277" i="3" s="1"/>
  <c r="H37" i="3" a="1"/>
  <c r="H37" i="3" s="1"/>
  <c r="H255" i="3" a="1"/>
  <c r="H255" i="3" s="1"/>
  <c r="M256" i="2" s="1"/>
  <c r="I77" i="3" a="1"/>
  <c r="I77" i="3" s="1"/>
  <c r="H289" i="3" a="1"/>
  <c r="H289" i="3" s="1"/>
  <c r="I17" i="3" a="1"/>
  <c r="I17" i="3" s="1"/>
  <c r="H293" i="3" a="1"/>
  <c r="H293" i="3" s="1"/>
  <c r="M294" i="2" s="1"/>
  <c r="H79" i="3" a="1"/>
  <c r="H79" i="3" s="1"/>
  <c r="H8" i="3" a="1"/>
  <c r="H8" i="3" s="1"/>
  <c r="M9" i="2" s="1"/>
  <c r="H219" i="3" a="1"/>
  <c r="H219" i="3" s="1"/>
  <c r="M220" i="2" s="1"/>
  <c r="I260" i="3" a="1"/>
  <c r="I260" i="3" s="1"/>
  <c r="I83" i="3" a="1"/>
  <c r="I83" i="3" s="1"/>
  <c r="I117" i="3" a="1"/>
  <c r="I117" i="3" s="1"/>
  <c r="H76" i="3" a="1"/>
  <c r="H76" i="3" s="1"/>
  <c r="M77" i="2" s="1"/>
  <c r="I294" i="3" a="1"/>
  <c r="I294" i="3" s="1"/>
  <c r="H298" i="3" a="1"/>
  <c r="H298" i="3" s="1"/>
  <c r="H301" i="3" a="1"/>
  <c r="H301" i="3" s="1"/>
  <c r="H210" i="3" a="1"/>
  <c r="H210" i="3" s="1"/>
  <c r="M211" i="2" s="1"/>
  <c r="H47" i="3" a="1"/>
  <c r="H47" i="3" s="1"/>
  <c r="M48" i="2" s="1"/>
  <c r="H241" i="3" a="1"/>
  <c r="H241" i="3" s="1"/>
  <c r="M242" i="2" s="1"/>
  <c r="H178" i="3" a="1"/>
  <c r="H178" i="3" s="1"/>
  <c r="H18" i="3" a="1"/>
  <c r="H18" i="3" s="1"/>
  <c r="M19" i="2" s="1"/>
  <c r="H32" i="3" a="1"/>
  <c r="H32" i="3" s="1"/>
  <c r="M33" i="2" s="1"/>
  <c r="H49" i="3" a="1"/>
  <c r="H49" i="3" s="1"/>
  <c r="M50" i="2" s="1"/>
  <c r="H258" i="3" a="1"/>
  <c r="H258" i="3" s="1"/>
  <c r="M259" i="2" s="1"/>
  <c r="H110" i="3" a="1"/>
  <c r="H110" i="3" s="1"/>
  <c r="M111" i="2" s="1"/>
  <c r="I132" i="3" a="1"/>
  <c r="I132" i="3" s="1"/>
  <c r="I202" i="3" a="1"/>
  <c r="I202" i="3" s="1"/>
  <c r="H259" i="3" a="1"/>
  <c r="H259" i="3" s="1"/>
  <c r="M260" i="2" s="1"/>
  <c r="H55" i="3" a="1"/>
  <c r="H55" i="3" s="1"/>
  <c r="M56" i="2" s="1"/>
  <c r="H278" i="3" a="1"/>
  <c r="H278" i="3" s="1"/>
  <c r="I91" i="3" a="1"/>
  <c r="I91" i="3" s="1"/>
  <c r="H61" i="3" a="1"/>
  <c r="H61" i="3" s="1"/>
  <c r="M62" i="2" s="1"/>
  <c r="I116" i="3" a="1"/>
  <c r="I116" i="3" s="1"/>
  <c r="H209" i="3" a="1"/>
  <c r="H209" i="3" s="1"/>
  <c r="M210" i="2" s="1"/>
  <c r="H211" i="3" a="1"/>
  <c r="H211" i="3" s="1"/>
  <c r="M212" i="2" s="1"/>
  <c r="I267" i="3" a="1"/>
  <c r="I267" i="3" s="1"/>
  <c r="I67" i="3" a="1"/>
  <c r="I67" i="3" s="1"/>
  <c r="H232" i="3" a="1"/>
  <c r="H232" i="3" s="1"/>
  <c r="M233" i="2" s="1"/>
  <c r="H91" i="3" a="1"/>
  <c r="H91" i="3" s="1"/>
  <c r="I216" i="3" a="1"/>
  <c r="I216" i="3" s="1"/>
  <c r="I85" i="3" a="1"/>
  <c r="I85" i="3" s="1"/>
  <c r="H286" i="3" a="1"/>
  <c r="H286" i="3" s="1"/>
  <c r="I41" i="3" a="1"/>
  <c r="I41" i="3" s="1"/>
  <c r="I34" i="3" a="1"/>
  <c r="I34" i="3" s="1"/>
  <c r="I276" i="3" a="1"/>
  <c r="I276" i="3" s="1"/>
  <c r="H167" i="3" a="1"/>
  <c r="H167" i="3" s="1"/>
  <c r="M168" i="2" s="1"/>
  <c r="I154" i="3" a="1"/>
  <c r="I154" i="3" s="1"/>
  <c r="H113" i="3" a="1"/>
  <c r="H113" i="3" s="1"/>
  <c r="M114" i="2" s="1"/>
  <c r="I164" i="3" a="1"/>
  <c r="I164" i="3" s="1"/>
  <c r="I81" i="3" a="1"/>
  <c r="I81" i="3" s="1"/>
  <c r="H270" i="3" a="1"/>
  <c r="H270" i="3" s="1"/>
  <c r="M271" i="2" s="1"/>
  <c r="I165" i="3" a="1"/>
  <c r="I165" i="3" s="1"/>
  <c r="H68" i="3" a="1"/>
  <c r="H68" i="3" s="1"/>
  <c r="M69" i="2" s="1"/>
  <c r="H149" i="3" a="1"/>
  <c r="H149" i="3" s="1"/>
  <c r="M150" i="2" s="1"/>
  <c r="I250" i="3" a="1"/>
  <c r="I250" i="3" s="1"/>
  <c r="I122" i="3" a="1"/>
  <c r="I122" i="3" s="1"/>
  <c r="I280" i="3" a="1"/>
  <c r="I280" i="3" s="1"/>
  <c r="I127" i="3" a="1"/>
  <c r="I127" i="3" s="1"/>
  <c r="H78" i="3" a="1"/>
  <c r="H78" i="3" s="1"/>
  <c r="M79" i="2" s="1"/>
  <c r="I148" i="3" a="1"/>
  <c r="I148" i="3" s="1"/>
  <c r="I303" i="3" a="1"/>
  <c r="I303" i="3" s="1"/>
  <c r="H52" i="3" a="1"/>
  <c r="H52" i="3" s="1"/>
  <c r="I96" i="3" a="1"/>
  <c r="I96" i="3" s="1"/>
  <c r="H104" i="3" a="1"/>
  <c r="H104" i="3" s="1"/>
  <c r="M105" i="2" s="1"/>
  <c r="I111" i="3" a="1"/>
  <c r="I111" i="3" s="1"/>
  <c r="H228" i="3" a="1"/>
  <c r="H228" i="3" s="1"/>
  <c r="M229" i="2" s="1"/>
  <c r="H46" i="3" a="1"/>
  <c r="H46" i="3" s="1"/>
  <c r="M47" i="2" s="1"/>
  <c r="H144" i="3" a="1"/>
  <c r="H144" i="3" s="1"/>
  <c r="M145" i="2" s="1"/>
  <c r="H146" i="3" a="1"/>
  <c r="H146" i="3" s="1"/>
  <c r="I243" i="3" a="1"/>
  <c r="I243" i="3" s="1"/>
  <c r="H190" i="3" a="1"/>
  <c r="H190" i="3" s="1"/>
  <c r="M191" i="2" s="1"/>
  <c r="H99" i="3" a="1"/>
  <c r="H99" i="3" s="1"/>
  <c r="M100" i="2" s="1"/>
  <c r="H247" i="3" a="1"/>
  <c r="H247" i="3" s="1"/>
  <c r="M248" i="2" s="1"/>
  <c r="H237" i="3" a="1"/>
  <c r="H237" i="3" s="1"/>
  <c r="M238" i="2" s="1"/>
  <c r="H264" i="3" a="1"/>
  <c r="H264" i="3" s="1"/>
  <c r="M265" i="2" s="1"/>
  <c r="I179" i="3" a="1"/>
  <c r="I179" i="3" s="1"/>
  <c r="H51" i="3" a="1"/>
  <c r="H51" i="3" s="1"/>
  <c r="H174" i="3" a="1"/>
  <c r="H174" i="3" s="1"/>
  <c r="M175" i="2" s="1"/>
  <c r="I275" i="3" a="1"/>
  <c r="I275" i="3" s="1"/>
  <c r="H156" i="3" a="1"/>
  <c r="H156" i="3" s="1"/>
  <c r="H27" i="3" a="1"/>
  <c r="H27" i="3" s="1"/>
  <c r="M28" i="2" s="1"/>
  <c r="H251" i="3" a="1"/>
  <c r="H251" i="3" s="1"/>
  <c r="M252" i="2" s="1"/>
  <c r="H194" i="3" a="1"/>
  <c r="H194" i="3" s="1"/>
  <c r="M195" i="2" s="1"/>
  <c r="H248" i="3" a="1"/>
  <c r="H248" i="3" s="1"/>
  <c r="M249" i="2" s="1"/>
  <c r="I40" i="3" a="1"/>
  <c r="I40" i="3" s="1"/>
  <c r="H7" i="3" a="1"/>
  <c r="H7" i="3" s="1"/>
  <c r="M8" i="2" s="1"/>
  <c r="H234" i="3" a="1"/>
  <c r="H234" i="3" s="1"/>
  <c r="M235" i="2" s="1"/>
  <c r="I198" i="3" a="1"/>
  <c r="I198" i="3" s="1"/>
  <c r="I310" i="3" a="1"/>
  <c r="I310" i="3" s="1"/>
  <c r="I109" i="3" a="1"/>
  <c r="I109" i="3" s="1"/>
  <c r="H273" i="3" a="1"/>
  <c r="H273" i="3" s="1"/>
  <c r="M274" i="2" s="1"/>
  <c r="H17" i="3" a="1"/>
  <c r="H17" i="3" s="1"/>
  <c r="I193" i="3" a="1"/>
  <c r="I193" i="3" s="1"/>
  <c r="H162" i="3" a="1"/>
  <c r="H162" i="3" s="1"/>
  <c r="M163" i="2" s="1"/>
  <c r="H223" i="3" a="1"/>
  <c r="H223" i="3" s="1"/>
  <c r="M224" i="2" s="1"/>
  <c r="I44" i="3" a="1"/>
  <c r="I44" i="3" s="1"/>
  <c r="H157" i="3" a="1"/>
  <c r="H157" i="3" s="1"/>
  <c r="M158" i="2" s="1"/>
  <c r="H140" i="3" a="1"/>
  <c r="H140" i="3" s="1"/>
  <c r="M141" i="2" s="1"/>
  <c r="H20" i="3" a="1"/>
  <c r="H20" i="3" s="1"/>
  <c r="H60" i="3" a="1"/>
  <c r="H60" i="3" s="1"/>
  <c r="M61" i="2" s="1"/>
  <c r="I139" i="3" a="1"/>
  <c r="I139" i="3" s="1"/>
  <c r="I188" i="3" a="1"/>
  <c r="I188" i="3" s="1"/>
  <c r="H166" i="3" a="1"/>
  <c r="H166" i="3" s="1"/>
  <c r="I192" i="3" a="1"/>
  <c r="I192" i="3" s="1"/>
  <c r="H151" i="3" a="1"/>
  <c r="H151" i="3" s="1"/>
  <c r="M152" i="2" s="1"/>
  <c r="H230" i="3" a="1"/>
  <c r="H230" i="3" s="1"/>
  <c r="M231" i="2" s="1"/>
  <c r="H249" i="3" a="1"/>
  <c r="H249" i="3" s="1"/>
  <c r="M250" i="2" s="1"/>
  <c r="H253" i="3" a="1"/>
  <c r="H253" i="3" s="1"/>
  <c r="M254" i="2" s="1"/>
  <c r="H197" i="3" a="1"/>
  <c r="H197" i="3" s="1"/>
  <c r="M198" i="2" s="1"/>
  <c r="I189" i="3" a="1"/>
  <c r="I189" i="3" s="1"/>
  <c r="H218" i="3" a="1"/>
  <c r="H218" i="3" s="1"/>
  <c r="M219" i="2" s="1"/>
  <c r="I73" i="3" a="1"/>
  <c r="I73" i="3" s="1"/>
  <c r="I102" i="3" a="1"/>
  <c r="I102" i="3" s="1"/>
  <c r="I246" i="3" a="1"/>
  <c r="I246" i="3" s="1"/>
  <c r="I35" i="3" a="1"/>
  <c r="I35" i="3" s="1"/>
  <c r="H50" i="3" a="1"/>
  <c r="H50" i="3" s="1"/>
  <c r="M51" i="2" s="1"/>
  <c r="I87" i="3" a="1"/>
  <c r="I87" i="3" s="1"/>
  <c r="I203" i="3" a="1"/>
  <c r="I203" i="3" s="1"/>
  <c r="H283" i="3" a="1"/>
  <c r="H283" i="3" s="1"/>
  <c r="I266" i="3" a="1"/>
  <c r="I266" i="3" s="1"/>
  <c r="H138" i="3" a="1"/>
  <c r="H138" i="3" s="1"/>
  <c r="M139" i="2" s="1"/>
  <c r="I38" i="3" a="1"/>
  <c r="I38" i="3" s="1"/>
  <c r="H126" i="3" a="1"/>
  <c r="H126" i="3" s="1"/>
  <c r="M127" i="2" s="1"/>
  <c r="H108" i="3" a="1"/>
  <c r="H108" i="3" s="1"/>
  <c r="M109" i="2" s="1"/>
  <c r="H225" i="3" a="1"/>
  <c r="H225" i="3" s="1"/>
  <c r="M226" i="2" s="1"/>
  <c r="I130" i="3" a="1"/>
  <c r="I130" i="3" s="1"/>
  <c r="I88" i="3" a="1"/>
  <c r="I88" i="3" s="1"/>
  <c r="H5" i="3" a="1"/>
  <c r="H5" i="3" s="1"/>
  <c r="I89" i="3" a="1"/>
  <c r="I89" i="3" s="1"/>
  <c r="H295" i="3" a="1"/>
  <c r="H295" i="3" s="1"/>
  <c r="I80" i="3" a="1"/>
  <c r="I80" i="3" s="1"/>
  <c r="I268" i="3" a="1"/>
  <c r="I268" i="3" s="1"/>
  <c r="H307" i="3" a="1"/>
  <c r="H307" i="3" s="1"/>
  <c r="I205" i="3" a="1"/>
  <c r="I205" i="3" s="1"/>
  <c r="I5" i="3" a="1"/>
  <c r="I5" i="3" s="1"/>
  <c r="I9" i="3" a="1"/>
  <c r="I9" i="3" s="1"/>
  <c r="I8" i="3" a="1"/>
  <c r="I8" i="3" s="1"/>
  <c r="I211" i="3" a="1"/>
  <c r="I211" i="3" s="1"/>
  <c r="I288" i="3" a="1"/>
  <c r="I288" i="3" s="1"/>
  <c r="I14" i="3" a="1"/>
  <c r="I14" i="3" s="1"/>
  <c r="H161" i="3" a="1"/>
  <c r="H161" i="3" s="1"/>
  <c r="M162" i="2" s="1"/>
  <c r="I129" i="3" a="1"/>
  <c r="I129" i="3" s="1"/>
  <c r="H175" i="3" a="1"/>
  <c r="H175" i="3" s="1"/>
  <c r="M176" i="2" s="1"/>
  <c r="H180" i="3" a="1"/>
  <c r="H180" i="3" s="1"/>
  <c r="M181" i="2" s="1"/>
  <c r="I70" i="3" a="1"/>
  <c r="I70" i="3" s="1"/>
  <c r="H137" i="3" a="1"/>
  <c r="H137" i="3" s="1"/>
  <c r="M138" i="2" s="1"/>
  <c r="H39" i="3" a="1"/>
  <c r="H39" i="3" s="1"/>
  <c r="M40" i="2" s="1"/>
  <c r="I252" i="3" a="1"/>
  <c r="I252" i="3" s="1"/>
  <c r="H26" i="3" a="1"/>
  <c r="H26" i="3" s="1"/>
  <c r="M27" i="2" s="1"/>
  <c r="H65" i="3" a="1"/>
  <c r="H65" i="3" s="1"/>
  <c r="M66" i="2" s="1"/>
  <c r="H66" i="3" a="1"/>
  <c r="H66" i="3" s="1"/>
  <c r="H12" i="3" a="1"/>
  <c r="H12" i="3" s="1"/>
  <c r="M13" i="2" s="1"/>
  <c r="H45" i="3" a="1"/>
  <c r="H45" i="3" s="1"/>
  <c r="M46" i="2" s="1"/>
  <c r="H133" i="3" a="1"/>
  <c r="H133" i="3" s="1"/>
  <c r="M134" i="2" s="1"/>
  <c r="H22" i="3" a="1"/>
  <c r="H22" i="3" s="1"/>
  <c r="M23" i="2" s="1"/>
  <c r="I15" i="3" a="1"/>
  <c r="I15" i="3" s="1"/>
  <c r="I94" i="3" a="1"/>
  <c r="I94" i="3" s="1"/>
  <c r="H256" i="3" a="1"/>
  <c r="H256" i="3" s="1"/>
  <c r="M257" i="2" s="1"/>
  <c r="I185" i="3" a="1"/>
  <c r="I185" i="3" s="1"/>
  <c r="H56" i="3" a="1"/>
  <c r="H56" i="3" s="1"/>
  <c r="I297" i="3" a="1"/>
  <c r="I297" i="3" s="1"/>
  <c r="I112" i="3" a="1"/>
  <c r="I112" i="3" s="1"/>
  <c r="I120" i="3" a="1"/>
  <c r="I120" i="3" s="1"/>
  <c r="I261" i="3" a="1"/>
  <c r="I261" i="3" s="1"/>
  <c r="I86" i="3" a="1"/>
  <c r="I86" i="3" s="1"/>
  <c r="I217" i="3" a="1"/>
  <c r="I217" i="3" s="1"/>
  <c r="I257" i="3" a="1"/>
  <c r="I257" i="3" s="1"/>
  <c r="H30" i="3" a="1"/>
  <c r="H30" i="3" s="1"/>
  <c r="M31" i="2" s="1"/>
  <c r="H186" i="3" a="1"/>
  <c r="H186" i="3" s="1"/>
  <c r="M187" i="2" s="1"/>
  <c r="I147" i="3" a="1"/>
  <c r="I147" i="3" s="1"/>
  <c r="I229" i="3" a="1"/>
  <c r="I229" i="3" s="1"/>
  <c r="I171" i="3" a="1"/>
  <c r="I171" i="3" s="1"/>
  <c r="I160" i="3" a="1"/>
  <c r="I160" i="3" s="1"/>
  <c r="I184" i="3" a="1"/>
  <c r="I184" i="3" s="1"/>
  <c r="I215" i="3" a="1"/>
  <c r="I215" i="3" s="1"/>
  <c r="H208" i="3" a="1"/>
  <c r="H208" i="3" s="1"/>
  <c r="M209" i="2" s="1"/>
  <c r="I16" i="3" a="1"/>
  <c r="I16" i="3" s="1"/>
  <c r="H245" i="3" a="1"/>
  <c r="H245" i="3" s="1"/>
  <c r="M246" i="2" s="1"/>
  <c r="I296" i="3" a="1"/>
  <c r="I296" i="3" s="1"/>
  <c r="I135" i="3" a="1"/>
  <c r="I135" i="3" s="1"/>
  <c r="I134" i="3" a="1"/>
  <c r="I134" i="3" s="1"/>
  <c r="I206" i="3" a="1"/>
  <c r="I206" i="3" s="1"/>
  <c r="H213" i="3" a="1"/>
  <c r="H213" i="3" s="1"/>
  <c r="M214" i="2" s="1"/>
  <c r="I279" i="3" a="1"/>
  <c r="I279" i="3" s="1"/>
  <c r="H221" i="3" a="1"/>
  <c r="H221" i="3" s="1"/>
  <c r="M222" i="2" s="1"/>
  <c r="H11" i="3" a="1"/>
  <c r="H11" i="3" s="1"/>
  <c r="M12" i="2" s="1"/>
  <c r="I93" i="3" a="1"/>
  <c r="I93" i="3" s="1"/>
  <c r="H107" i="3" a="1"/>
  <c r="H107" i="3" s="1"/>
  <c r="M108" i="2" s="1"/>
  <c r="H84" i="3" a="1"/>
  <c r="H84" i="3" s="1"/>
  <c r="M85" i="2" s="1"/>
  <c r="H98" i="3" a="1"/>
  <c r="H98" i="3" s="1"/>
  <c r="M99" i="2" s="1"/>
  <c r="I155" i="3" a="1"/>
  <c r="I155" i="3" s="1"/>
  <c r="I271" i="3" a="1"/>
  <c r="I271" i="3" s="1"/>
  <c r="H302" i="3" a="1"/>
  <c r="H302" i="3" s="1"/>
  <c r="H33" i="3" a="1"/>
  <c r="H33" i="3" s="1"/>
  <c r="M34" i="2" s="1"/>
  <c r="I187" i="3" a="1"/>
  <c r="I187" i="3" s="1"/>
  <c r="I290" i="3" a="1"/>
  <c r="I290" i="3" s="1"/>
  <c r="I141" i="3" a="1"/>
  <c r="I141" i="3" s="1"/>
  <c r="I169" i="3" a="1"/>
  <c r="I169" i="3" s="1"/>
  <c r="H82" i="3" a="1"/>
  <c r="H82" i="3" s="1"/>
  <c r="M83" i="2" s="1"/>
  <c r="H281" i="3" a="1"/>
  <c r="H281" i="3" s="1"/>
  <c r="M282" i="2" s="1"/>
  <c r="I125" i="3" a="1"/>
  <c r="I125" i="3" s="1"/>
  <c r="H304" i="3" a="1"/>
  <c r="H304" i="3" s="1"/>
  <c r="H74" i="3" a="1"/>
  <c r="H74" i="3" s="1"/>
  <c r="M75" i="2" s="1"/>
  <c r="H263" i="3" a="1"/>
  <c r="H263" i="3" s="1"/>
  <c r="M264" i="2" s="1"/>
  <c r="H204" i="3" a="1"/>
  <c r="H204" i="3" s="1"/>
  <c r="M205" i="2" s="1"/>
  <c r="I226" i="3" a="1"/>
  <c r="I226" i="3" s="1"/>
  <c r="H242" i="3" a="1"/>
  <c r="H242" i="3" s="1"/>
  <c r="M243" i="2" s="1"/>
  <c r="H90" i="3" a="1"/>
  <c r="H90" i="3" s="1"/>
  <c r="M91" i="2" s="1"/>
  <c r="H309" i="3" a="1"/>
  <c r="H309" i="3" s="1"/>
  <c r="H105" i="3" a="1"/>
  <c r="H105" i="3" s="1"/>
  <c r="M106" i="2" s="1"/>
  <c r="H220" i="3" a="1"/>
  <c r="H220" i="3" s="1"/>
  <c r="M221" i="2" s="1"/>
  <c r="H282" i="3" a="1"/>
  <c r="H282" i="3" s="1"/>
  <c r="H21" i="3" a="1"/>
  <c r="H21" i="3" s="1"/>
  <c r="M22" i="2" s="1"/>
  <c r="H106" i="3" a="1"/>
  <c r="H106" i="3" s="1"/>
  <c r="M107" i="2" s="1"/>
  <c r="H244" i="3" a="1"/>
  <c r="H244" i="3" s="1"/>
  <c r="M245" i="2" s="1"/>
  <c r="I201" i="3" a="1"/>
  <c r="I201" i="3" s="1"/>
  <c r="I212" i="3" a="1"/>
  <c r="I212" i="3" s="1"/>
  <c r="H95" i="3" a="1"/>
  <c r="H95" i="3" s="1"/>
  <c r="M96" i="2" s="1"/>
  <c r="H64" i="3" a="1"/>
  <c r="H64" i="3" s="1"/>
  <c r="M65" i="2" s="1"/>
  <c r="H177" i="3" a="1"/>
  <c r="H177" i="3" s="1"/>
  <c r="M178" i="2" s="1"/>
  <c r="I181" i="3" a="1"/>
  <c r="I181" i="3" s="1"/>
  <c r="H158" i="3" a="1"/>
  <c r="H158" i="3" s="1"/>
  <c r="M159" i="2" s="1"/>
  <c r="I240" i="3" a="1"/>
  <c r="I240" i="3" s="1"/>
  <c r="H168" i="3" a="1"/>
  <c r="H168" i="3" s="1"/>
  <c r="M169" i="2" s="1"/>
  <c r="I59" i="3" a="1"/>
  <c r="I59" i="3" s="1"/>
  <c r="H92" i="3" a="1"/>
  <c r="H92" i="3" s="1"/>
  <c r="M93" i="2" s="1"/>
  <c r="H101" i="3" a="1"/>
  <c r="H101" i="3" s="1"/>
  <c r="M102" i="2" s="1"/>
  <c r="H305" i="3" a="1"/>
  <c r="H305" i="3" s="1"/>
  <c r="H182" i="3" a="1"/>
  <c r="H182" i="3" s="1"/>
  <c r="M183" i="2" s="1"/>
  <c r="H19" i="3" a="1"/>
  <c r="H19" i="3" s="1"/>
  <c r="M20" i="2" s="1"/>
  <c r="H224" i="3" a="1"/>
  <c r="H224" i="3" s="1"/>
  <c r="M225" i="2" s="1"/>
  <c r="H299" i="3" a="1"/>
  <c r="H299" i="3" s="1"/>
  <c r="H25" i="3" a="1"/>
  <c r="H25" i="3" s="1"/>
  <c r="M26" i="2" s="1"/>
  <c r="I209" i="3" a="1"/>
  <c r="I209" i="3" s="1"/>
  <c r="M94" i="2"/>
  <c r="M330" i="2"/>
  <c r="M328" i="2"/>
  <c r="M327" i="2"/>
  <c r="M326" i="2"/>
  <c r="M323" i="2"/>
  <c r="M325" i="2"/>
  <c r="M324" i="2"/>
  <c r="M322" i="2"/>
  <c r="M312" i="2"/>
  <c r="M320" i="2"/>
  <c r="M316" i="2"/>
  <c r="M317" i="2"/>
  <c r="M318" i="2"/>
  <c r="M217" i="2"/>
  <c r="M84" i="2"/>
  <c r="M118" i="2"/>
  <c r="M110" i="2"/>
  <c r="M86" i="2"/>
  <c r="I4" i="3" a="1"/>
  <c r="I4" i="3" s="1"/>
  <c r="M314" i="2"/>
  <c r="M313" i="2"/>
  <c r="H4" i="3" a="1"/>
  <c r="H4" i="3" s="1"/>
  <c r="M5" i="2" s="1"/>
  <c r="P38" i="9"/>
  <c r="D47" i="11" s="1"/>
  <c r="P37" i="9"/>
  <c r="P39" i="9"/>
  <c r="D51" i="11" s="1"/>
  <c r="P40" i="9"/>
  <c r="D55" i="11" s="1"/>
  <c r="P41" i="9"/>
  <c r="D59" i="11" s="1"/>
  <c r="O39" i="9"/>
  <c r="O38" i="9"/>
  <c r="O37" i="9"/>
  <c r="O41" i="9"/>
  <c r="O40" i="9"/>
  <c r="Q40" i="9"/>
  <c r="D56" i="11" s="1"/>
  <c r="Q37" i="9"/>
  <c r="Q39" i="9"/>
  <c r="D52" i="11" s="1"/>
  <c r="Q41" i="9"/>
  <c r="D60" i="11" s="1"/>
  <c r="Q38" i="9"/>
  <c r="D48" i="11" s="1"/>
  <c r="M57" i="2" l="1"/>
  <c r="M67" i="2"/>
  <c r="M6" i="2"/>
  <c r="M167" i="2"/>
  <c r="M21" i="2"/>
  <c r="M18" i="2"/>
  <c r="M157" i="2"/>
  <c r="M52" i="2"/>
  <c r="M147" i="2"/>
  <c r="M53" i="2"/>
  <c r="M92" i="2"/>
  <c r="M179" i="2"/>
  <c r="M80" i="2"/>
  <c r="M38" i="2"/>
  <c r="M164" i="2"/>
  <c r="M76" i="2"/>
  <c r="M49" i="2"/>
  <c r="M98" i="2"/>
  <c r="M10" i="2"/>
  <c r="M122" i="2"/>
  <c r="M37" i="2"/>
  <c r="M132" i="2"/>
  <c r="M154" i="2"/>
  <c r="M25" i="2"/>
  <c r="M143" i="2"/>
  <c r="M14" i="2"/>
  <c r="M137" i="2"/>
  <c r="M146" i="2"/>
  <c r="M15" i="2"/>
  <c r="M30" i="2"/>
  <c r="M151" i="2"/>
  <c r="M194" i="2"/>
  <c r="M121" i="2"/>
  <c r="M45" i="2"/>
  <c r="M39" i="2"/>
  <c r="M120" i="2"/>
  <c r="M17" i="2"/>
  <c r="M140" i="2"/>
  <c r="M88" i="2"/>
  <c r="M36" i="2"/>
  <c r="M136" i="2"/>
  <c r="M161" i="2"/>
  <c r="M148" i="2"/>
  <c r="M95" i="2"/>
  <c r="M142" i="2"/>
  <c r="M241" i="2"/>
  <c r="M182" i="2"/>
  <c r="M155" i="2"/>
  <c r="M60" i="2"/>
  <c r="M200" i="2"/>
  <c r="M116" i="2"/>
  <c r="M244" i="2"/>
  <c r="M97" i="2"/>
  <c r="M128" i="2"/>
  <c r="M59" i="2"/>
  <c r="M32" i="2"/>
  <c r="M73" i="2"/>
  <c r="M58" i="2"/>
  <c r="M64" i="2"/>
  <c r="T39" i="9"/>
  <c r="T41" i="9"/>
  <c r="N40" i="9"/>
  <c r="N41" i="9"/>
  <c r="T38" i="9"/>
  <c r="N37" i="9"/>
  <c r="T40" i="9"/>
  <c r="N39" i="9"/>
  <c r="N38" i="9"/>
  <c r="T37" i="9"/>
  <c r="X42" i="9"/>
  <c r="M277" i="2"/>
  <c r="M278" i="2"/>
  <c r="M283" i="2"/>
  <c r="M273" i="2"/>
  <c r="M287" i="2"/>
  <c r="M306" i="2"/>
  <c r="M272" i="2"/>
  <c r="M281" i="2"/>
  <c r="M276" i="2"/>
  <c r="M284" i="2"/>
  <c r="M275" i="2"/>
  <c r="M279" i="2"/>
  <c r="M291" i="2"/>
  <c r="M270" i="2"/>
  <c r="M305" i="2"/>
  <c r="M307" i="2"/>
  <c r="M308" i="2"/>
  <c r="M310" i="2"/>
  <c r="M311" i="2"/>
  <c r="M304" i="2"/>
  <c r="M303" i="2"/>
  <c r="M302" i="2"/>
  <c r="M295" i="2"/>
  <c r="M292" i="2"/>
  <c r="M301" i="2"/>
  <c r="M300" i="2"/>
  <c r="M296" i="2"/>
  <c r="M299" i="2"/>
  <c r="M298" i="2"/>
  <c r="M297" i="2"/>
  <c r="M289" i="2"/>
  <c r="D64" i="11"/>
  <c r="W42" i="9"/>
  <c r="D74" i="11"/>
  <c r="D63" i="11"/>
  <c r="V42" i="9"/>
  <c r="D78" i="11"/>
  <c r="D70" i="11"/>
  <c r="D58" i="11"/>
  <c r="D42" i="11"/>
  <c r="O42" i="9"/>
  <c r="D50" i="11"/>
  <c r="D44" i="11"/>
  <c r="Q42" i="9"/>
  <c r="D66" i="11"/>
  <c r="D43" i="11"/>
  <c r="P42" i="9"/>
  <c r="D46" i="11"/>
  <c r="D54" i="11"/>
  <c r="D62" i="11"/>
  <c r="U42" i="9"/>
  <c r="M293" i="2"/>
  <c r="M290" i="2"/>
  <c r="T42" i="9" l="1"/>
  <c r="N42" i="9"/>
  <c r="B14" i="4" a="1"/>
  <c r="B1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tc={49D72903-9A10-4902-95DF-7839C942EED2}</author>
    <author>tc={9AADDB99-9FAE-40CE-983F-51C4994D2AB0}</author>
    <author>tc={07E4CE06-0259-44BA-BCEB-222F4C1CC16F}</author>
    <author>tc={A76FE31D-E4D6-45AB-A739-CBC82F8808D5}</author>
  </authors>
  <commentList>
    <comment ref="L59" authorId="0" shapeId="0" xr:uid="{49D72903-9A10-4902-95DF-7839C942EED2}">
      <text>
        <t>[Threaded comment]
Your version of Excel allows you to read this threaded comment; however, any edits to it will get removed if the file is opened in a newer version of Excel. Learn more: https://go.microsoft.com/fwlink/?linkid=870924
Comment:
    RSA VO = RM 2,500
Lights Deduction = - RM 1,000</t>
      </text>
    </comment>
    <comment ref="B71" authorId="1" shapeId="0" xr:uid="{9AADDB99-9FAE-40CE-983F-51C4994D2AB0}">
      <text>
        <t>[Threaded comment]
Your version of Excel allows you to read this threaded comment; however, any edits to it will get removed if the file is opened in a newer version of Excel. Learn more: https://go.microsoft.com/fwlink/?linkid=870924
Comment:
    ST Login details:
sleepmaticssdnbhd@gmail.com
Abcd1234</t>
      </text>
    </comment>
    <comment ref="B72" authorId="2" shapeId="0" xr:uid="{07E4CE06-0259-44BA-BCEB-222F4C1CC16F}">
      <text>
        <t>[Threaded comment]
Your version of Excel allows you to read this threaded comment; however, any edits to it will get removed if the file is opened in a newer version of Excel. Learn more: https://go.microsoft.com/fwlink/?linkid=870924
Comment:
    ST Login:
Username: chlfoamsdnbhd@gmail.com
Password: Abcd1234</t>
      </text>
    </comment>
    <comment ref="B247" authorId="3" shapeId="0" xr:uid="{A76FE31D-E4D6-45AB-A739-CBC82F8808D5}">
      <text>
        <t>[Threaded comment]
Your version of Excel allows you to read this threaded comment; however, any edits to it will get removed if the file is opened in a newer version of Excel. Learn more: https://go.microsoft.com/fwlink/?linkid=870924
Comment:
    ST Portal Login:
Username: meishunfangmanufacturingsdnbhd@gmail.com
Password: Abcd1234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tc={A8F49A17-EBE7-4656-8BB1-D8D9AC868569}</author>
    <author>tc={ACE0D1D1-9F79-424A-8F24-9EF5B3657173}</author>
    <author>tc={820EC73D-3F88-4D90-8F18-B2DE40E65383}</author>
    <author>tc={DA0D0F06-B99B-4C6A-BE0F-158C2E452F00}</author>
  </authors>
  <commentList>
    <comment ref="R209" authorId="0" shapeId="0" xr:uid="{A8F49A17-EBE7-4656-8BB1-D8D9AC868569}">
      <text>
        <t xml:space="preserve">[Threaded comment]
Your version of Excel allows you to read this threaded comment; however, any edits to it will get removed if the file is opened in a newer version of Excel. Learn more: https://go.microsoft.com/fwlink/?linkid=870924
Comment:
    Change to 17.7kWp
</t>
      </text>
    </comment>
    <comment ref="S218" authorId="1" shapeId="0" xr:uid="{ACE0D1D1-9F79-424A-8F24-9EF5B3657173}">
      <text>
        <t>[Threaded comment]
Your version of Excel allows you to read this threaded comment; however, any edits to it will get removed if the file is opened in a newer version of Excel. Learn more: https://go.microsoft.com/fwlink/?linkid=870924
Comment:
    SEDA queries on the voltage</t>
      </text>
    </comment>
    <comment ref="R221" authorId="2" shapeId="0" xr:uid="{820EC73D-3F88-4D90-8F18-B2DE40E65383}">
      <text>
        <t xml:space="preserve">[Threaded comment]
Your version of Excel allows you to read this threaded comment; however, any edits to it will get removed if the file is opened in a newer version of Excel. Learn more: https://go.microsoft.com/fwlink/?linkid=870924
Comment:
    Change to three phase 
</t>
      </text>
    </comment>
    <comment ref="R222" authorId="3" shapeId="0" xr:uid="{DA0D0F06-B99B-4C6A-BE0F-158C2E452F00}">
      <text>
        <t>[Threaded comment]
Your version of Excel allows you to read this threaded comment; however, any edits to it will get removed if the file is opened in a newer version of Excel. Learn more: https://go.microsoft.com/fwlink/?linkid=870924
Comment:
    Change in PV capacity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28" authorId="0" shapeId="0" xr:uid="{79946625-C6DE-40CD-98DE-4447557AE6F7}">
      <text>
        <r>
          <rPr>
            <b/>
            <sz val="9"/>
            <color indexed="81"/>
            <rFont val="Tahoma"/>
            <family val="2"/>
          </rPr>
          <t>user:</t>
        </r>
        <r>
          <rPr>
            <sz val="9"/>
            <color indexed="81"/>
            <rFont val="Tahoma"/>
            <family val="2"/>
          </rPr>
          <t xml:space="preserve">
Assumed 1.2m purlin-to-purlin distance</t>
        </r>
      </text>
    </comment>
    <comment ref="I53" authorId="0" shapeId="0" xr:uid="{D867E630-D962-4CB1-9E69-29B3EFDDB599}">
      <text>
        <r>
          <rPr>
            <b/>
            <sz val="9"/>
            <color indexed="81"/>
            <rFont val="Tahoma"/>
            <family val="2"/>
          </rPr>
          <t>user:</t>
        </r>
        <r>
          <rPr>
            <sz val="9"/>
            <color indexed="81"/>
            <rFont val="Tahoma"/>
            <family val="2"/>
          </rPr>
          <t xml:space="preserve">
Assumed 1.2m purlin-to-purlin distance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28" authorId="0" shapeId="0" xr:uid="{5BDAA4EA-4105-4741-BD44-281F70CD87E8}">
      <text>
        <r>
          <rPr>
            <b/>
            <sz val="9"/>
            <color indexed="81"/>
            <rFont val="Tahoma"/>
            <family val="2"/>
          </rPr>
          <t>user:</t>
        </r>
        <r>
          <rPr>
            <sz val="9"/>
            <color indexed="81"/>
            <rFont val="Tahoma"/>
            <family val="2"/>
          </rPr>
          <t xml:space="preserve">
Assumed 1.2m purlin-to-purlin distance</t>
        </r>
      </text>
    </comment>
    <comment ref="I53" authorId="0" shapeId="0" xr:uid="{6D40D546-85EF-40F0-BDEA-21F38FA94D36}">
      <text>
        <r>
          <rPr>
            <b/>
            <sz val="9"/>
            <color indexed="81"/>
            <rFont val="Tahoma"/>
            <family val="2"/>
          </rPr>
          <t>user:</t>
        </r>
        <r>
          <rPr>
            <sz val="9"/>
            <color indexed="81"/>
            <rFont val="Tahoma"/>
            <family val="2"/>
          </rPr>
          <t xml:space="preserve">
Assumed 1.2m purlin-to-purlin distance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4">
    <bk>
      <extLst>
        <ext uri="{3e2802c4-a4d2-4d8b-9148-e3be6c30e623}">
          <xlrd:rvb i="0"/>
        </ext>
      </extLst>
    </bk>
    <bk>
      <extLst>
        <ext uri="{3e2802c4-a4d2-4d8b-9148-e3be6c30e623}">
          <xlrd:rvb i="9"/>
        </ext>
      </extLst>
    </bk>
    <bk>
      <extLst>
        <ext uri="{3e2802c4-a4d2-4d8b-9148-e3be6c30e623}">
          <xlrd:rvb i="19"/>
        </ext>
      </extLst>
    </bk>
    <bk>
      <extLst>
        <ext uri="{3e2802c4-a4d2-4d8b-9148-e3be6c30e623}">
          <xlrd:rvb i="29"/>
        </ext>
      </extLst>
    </bk>
    <bk>
      <extLst>
        <ext uri="{3e2802c4-a4d2-4d8b-9148-e3be6c30e623}">
          <xlrd:rvb i="38"/>
        </ext>
      </extLst>
    </bk>
    <bk>
      <extLst>
        <ext uri="{3e2802c4-a4d2-4d8b-9148-e3be6c30e623}">
          <xlrd:rvb i="48"/>
        </ext>
      </extLst>
    </bk>
    <bk>
      <extLst>
        <ext uri="{3e2802c4-a4d2-4d8b-9148-e3be6c30e623}">
          <xlrd:rvb i="55"/>
        </ext>
      </extLst>
    </bk>
    <bk>
      <extLst>
        <ext uri="{3e2802c4-a4d2-4d8b-9148-e3be6c30e623}">
          <xlrd:rvb i="64"/>
        </ext>
      </extLst>
    </bk>
    <bk>
      <extLst>
        <ext uri="{3e2802c4-a4d2-4d8b-9148-e3be6c30e623}">
          <xlrd:rvb i="75"/>
        </ext>
      </extLst>
    </bk>
    <bk>
      <extLst>
        <ext uri="{3e2802c4-a4d2-4d8b-9148-e3be6c30e623}">
          <xlrd:rvb i="84"/>
        </ext>
      </extLst>
    </bk>
    <bk>
      <extLst>
        <ext uri="{3e2802c4-a4d2-4d8b-9148-e3be6c30e623}">
          <xlrd:rvb i="93"/>
        </ext>
      </extLst>
    </bk>
    <bk>
      <extLst>
        <ext uri="{3e2802c4-a4d2-4d8b-9148-e3be6c30e623}">
          <xlrd:rvb i="102"/>
        </ext>
      </extLst>
    </bk>
    <bk>
      <extLst>
        <ext uri="{3e2802c4-a4d2-4d8b-9148-e3be6c30e623}">
          <xlrd:rvb i="110"/>
        </ext>
      </extLst>
    </bk>
    <bk>
      <extLst>
        <ext uri="{3e2802c4-a4d2-4d8b-9148-e3be6c30e623}">
          <xlrd:rvb i="119"/>
        </ext>
      </extLst>
    </bk>
    <bk>
      <extLst>
        <ext uri="{3e2802c4-a4d2-4d8b-9148-e3be6c30e623}">
          <xlrd:rvb i="129"/>
        </ext>
      </extLst>
    </bk>
    <bk>
      <extLst>
        <ext uri="{3e2802c4-a4d2-4d8b-9148-e3be6c30e623}">
          <xlrd:rvb i="136"/>
        </ext>
      </extLst>
    </bk>
    <bk>
      <extLst>
        <ext uri="{3e2802c4-a4d2-4d8b-9148-e3be6c30e623}">
          <xlrd:rvb i="141"/>
        </ext>
      </extLst>
    </bk>
    <bk>
      <extLst>
        <ext uri="{3e2802c4-a4d2-4d8b-9148-e3be6c30e623}">
          <xlrd:rvb i="146"/>
        </ext>
      </extLst>
    </bk>
    <bk>
      <extLst>
        <ext uri="{3e2802c4-a4d2-4d8b-9148-e3be6c30e623}">
          <xlrd:rvb i="150"/>
        </ext>
      </extLst>
    </bk>
    <bk>
      <extLst>
        <ext uri="{3e2802c4-a4d2-4d8b-9148-e3be6c30e623}">
          <xlrd:rvb i="155"/>
        </ext>
      </extLst>
    </bk>
    <bk>
      <extLst>
        <ext uri="{3e2802c4-a4d2-4d8b-9148-e3be6c30e623}">
          <xlrd:rvb i="160"/>
        </ext>
      </extLst>
    </bk>
    <bk>
      <extLst>
        <ext uri="{3e2802c4-a4d2-4d8b-9148-e3be6c30e623}">
          <xlrd:rvb i="169"/>
        </ext>
      </extLst>
    </bk>
    <bk>
      <extLst>
        <ext uri="{3e2802c4-a4d2-4d8b-9148-e3be6c30e623}">
          <xlrd:rvb i="174"/>
        </ext>
      </extLst>
    </bk>
    <bk>
      <extLst>
        <ext uri="{3e2802c4-a4d2-4d8b-9148-e3be6c30e623}">
          <xlrd:rvb i="177"/>
        </ext>
      </extLst>
    </bk>
  </futureMetadata>
  <cellMetadata count="1">
    <bk>
      <rc t="1" v="0"/>
    </bk>
  </cellMetadata>
  <valueMetadata count="2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valueMetadata>
</metadata>
</file>

<file path=xl/sharedStrings.xml><?xml version="1.0" encoding="utf-8"?>
<sst xmlns="http://schemas.openxmlformats.org/spreadsheetml/2006/main" count="12937" uniqueCount="2236">
  <si>
    <t>Residential</t>
  </si>
  <si>
    <t>C&amp;I</t>
  </si>
  <si>
    <t>System Capacity</t>
  </si>
  <si>
    <t>Project Value (RM)</t>
  </si>
  <si>
    <t>Revenue (RM)</t>
  </si>
  <si>
    <t>Collection (RM)</t>
  </si>
  <si>
    <t>No of Sites</t>
  </si>
  <si>
    <t>Total</t>
  </si>
  <si>
    <t>Residential (PV System)</t>
  </si>
  <si>
    <t>C&amp;I (PV System)</t>
  </si>
  <si>
    <t>Residential BESS</t>
  </si>
  <si>
    <t>C&amp;I BESS</t>
  </si>
  <si>
    <t>EV Chargers</t>
  </si>
  <si>
    <t>System Capacity (kWp)</t>
  </si>
  <si>
    <t>NEM</t>
  </si>
  <si>
    <t>SELCO</t>
  </si>
  <si>
    <t>ATAP</t>
  </si>
  <si>
    <t>Tham</t>
  </si>
  <si>
    <t>-</t>
  </si>
  <si>
    <t>Chean Bang</t>
  </si>
  <si>
    <t>Simon</t>
  </si>
  <si>
    <t>Ong</t>
  </si>
  <si>
    <t>Patricia</t>
  </si>
  <si>
    <t>Reeve</t>
  </si>
  <si>
    <t>Malaysia</t>
  </si>
  <si>
    <t>Authority Submission Summary Data</t>
  </si>
  <si>
    <t>NEM Rakyat</t>
  </si>
  <si>
    <t>NOVA (C&amp;I)</t>
  </si>
  <si>
    <t>Max No. of Days for SEDA Approval</t>
  </si>
  <si>
    <t>Min No. of Days for SEDA Approval</t>
  </si>
  <si>
    <t>Ave No. of Days for SEDA Approval</t>
  </si>
  <si>
    <t>Business</t>
  </si>
  <si>
    <t>Metric</t>
  </si>
  <si>
    <t>Year</t>
  </si>
  <si>
    <t>Value</t>
  </si>
  <si>
    <t>(All)</t>
  </si>
  <si>
    <t>Sum of Value</t>
  </si>
  <si>
    <t>Column Labels</t>
  </si>
  <si>
    <t>Row Labels</t>
  </si>
  <si>
    <t>Project Value</t>
  </si>
  <si>
    <t>Revenue</t>
  </si>
  <si>
    <t>Collection</t>
  </si>
  <si>
    <t>Grand Total</t>
  </si>
  <si>
    <t>Project No</t>
  </si>
  <si>
    <t>Client Name</t>
  </si>
  <si>
    <t>Closed Date</t>
  </si>
  <si>
    <t>Sales PIC</t>
  </si>
  <si>
    <t>Category</t>
  </si>
  <si>
    <t>Scheme</t>
  </si>
  <si>
    <t>Location</t>
  </si>
  <si>
    <t>PV System Capacity (kWp)</t>
  </si>
  <si>
    <t>EV Charger Capacity</t>
  </si>
  <si>
    <t>BESS Capacity</t>
  </si>
  <si>
    <t>VO (RM)</t>
  </si>
  <si>
    <t>Payment Method</t>
  </si>
  <si>
    <t>Outright/PPA</t>
  </si>
  <si>
    <t>Module</t>
  </si>
  <si>
    <t>Module Quantity</t>
  </si>
  <si>
    <t>Inverter</t>
  </si>
  <si>
    <t>Inverter Warranty</t>
  </si>
  <si>
    <t>I/C Number</t>
  </si>
  <si>
    <t>Installation Address</t>
  </si>
  <si>
    <t>Phone Number</t>
  </si>
  <si>
    <t>Email Address</t>
  </si>
  <si>
    <t>Insurance Warranty</t>
  </si>
  <si>
    <t>DLP Period</t>
  </si>
  <si>
    <t>O&amp;M</t>
  </si>
  <si>
    <t>Partner</t>
  </si>
  <si>
    <t>Services Exclusion</t>
  </si>
  <si>
    <t>Additional Remark</t>
  </si>
  <si>
    <t>Wong Kim Mei</t>
  </si>
  <si>
    <t>R-PV</t>
  </si>
  <si>
    <t>Self finance</t>
  </si>
  <si>
    <t>Outright</t>
  </si>
  <si>
    <t>Astronergy 575Wp</t>
  </si>
  <si>
    <t>Solinteg MHT-8K-25 hybrid</t>
  </si>
  <si>
    <t>731013-10-5784</t>
  </si>
  <si>
    <t>No. 24, Jalan Seri Muka 36/27A, Taman Menegun Indah, 41000 Klang, Selangor.</t>
  </si>
  <si>
    <t>016-335 4884</t>
  </si>
  <si>
    <t>wongkimmei73@gmail.com</t>
  </si>
  <si>
    <t>5 years</t>
  </si>
  <si>
    <t>1 year</t>
  </si>
  <si>
    <t>Ang Ching Ming</t>
  </si>
  <si>
    <t>Solinteg MHT-10K-25 hybrid</t>
  </si>
  <si>
    <t>931003-10-6105</t>
  </si>
  <si>
    <t>1, Jalan Ulek Mayang 2C/KU5, Bandar Bukit Raja, 41050 Klang, Selangpr</t>
  </si>
  <si>
    <t>017-9666099</t>
  </si>
  <si>
    <t>cmang_02@outlook.com</t>
  </si>
  <si>
    <t>Tan Sei Choon</t>
  </si>
  <si>
    <t>650818-06-5287</t>
  </si>
  <si>
    <t>2, Lorong Bukit Setongkol Perdana 52, Taman Fairmont Jaya, 25200 Kuantan, Pahang.</t>
  </si>
  <si>
    <t>016-922 3868</t>
  </si>
  <si>
    <t>tesoon12@gmail.com</t>
  </si>
  <si>
    <t>Ho Hon Kit</t>
  </si>
  <si>
    <t>Solinteg MHS-3.6K-30 hybrid</t>
  </si>
  <si>
    <t>670422-10-5607</t>
  </si>
  <si>
    <t>No 32, Jalan Puteri 12/7, Bandar Puteri, 47100 Puchong, Selangor.</t>
  </si>
  <si>
    <t>012-3979968</t>
  </si>
  <si>
    <t>hkho@trident-x.com</t>
  </si>
  <si>
    <t>Stanley Ang Leng Chuan</t>
  </si>
  <si>
    <t>751007-10-5671</t>
  </si>
  <si>
    <t>5, Jalan Bidara 9, Bandar Botanic, 41200 Klang, Selangor.</t>
  </si>
  <si>
    <t>016-6767999</t>
  </si>
  <si>
    <t>stanleyang9@gmail.com</t>
  </si>
  <si>
    <t>Foo Tuang Lee</t>
  </si>
  <si>
    <t>741128-01-5075</t>
  </si>
  <si>
    <t>No 20, Jln Pelangi 15, Tmn Pelangi, 86000 Kluang, Johor</t>
  </si>
  <si>
    <t>016-2368221</t>
  </si>
  <si>
    <t>ericfoo8888@gmail.com</t>
  </si>
  <si>
    <t>N/A</t>
  </si>
  <si>
    <t>Tan Hong Guan</t>
  </si>
  <si>
    <t>Huawei SUN2000-10KTL</t>
  </si>
  <si>
    <t>680512-07-5359</t>
  </si>
  <si>
    <t>No 6, Pinggir Bukit Segar 2, Tmn Bkt Segar, 56100 Cheras, Kuala Lumpur</t>
  </si>
  <si>
    <t>012-4380246</t>
  </si>
  <si>
    <t>hongguan.tan@gmail.com</t>
  </si>
  <si>
    <t>EDCA</t>
  </si>
  <si>
    <t>Law Soo Chin</t>
  </si>
  <si>
    <t>640407-07-5713</t>
  </si>
  <si>
    <t>6, Jalan BS 3/8, Taman Bukit Serdang, 43300 Seri Kembangan, Selangor.</t>
  </si>
  <si>
    <t>016-2013221</t>
  </si>
  <si>
    <t>lawsc123@hotmail.com</t>
  </si>
  <si>
    <t>3 years</t>
  </si>
  <si>
    <t>Kossan FRP Marketing (M) Sdn Bhd</t>
  </si>
  <si>
    <t>C&amp;I-PV</t>
  </si>
  <si>
    <t>Cash</t>
  </si>
  <si>
    <t>PT 2019, Jln Keretapi Lama Off, Jln Kapar, BT 4 3/4, Kg Rantau Panjang, 42100 Klang, Selangor</t>
  </si>
  <si>
    <t>MTJ Development Sdn Bhd (Intercontinental KL)</t>
  </si>
  <si>
    <t>Goodwe 50kW</t>
  </si>
  <si>
    <t>No 165, Jln Ampang, 50450 Kuala Lumpur, WP Kuala Lumpur</t>
  </si>
  <si>
    <t>Dato' Sri Ng Chong Keong</t>
  </si>
  <si>
    <t>Solinteg MHT-12K-25 hybrid</t>
  </si>
  <si>
    <t>650309-08-5407</t>
  </si>
  <si>
    <t>9, Lorong Tok Sira 4, Taman Melor, 25050 Kuantan, Pahang.</t>
  </si>
  <si>
    <t>016-9907409</t>
  </si>
  <si>
    <t>ng_xinnee@hotmail.com</t>
  </si>
  <si>
    <t>Cheong Yik Yin</t>
  </si>
  <si>
    <t>Solinteg MHT-5K-25 hybrid</t>
  </si>
  <si>
    <t>950710-14-6004</t>
  </si>
  <si>
    <t>No. 18, Jalan Setia Utama U13/39D, Setia Alam, Seksyen U13, 40170 Shah Alam, Selangor.</t>
  </si>
  <si>
    <t>016-6530107</t>
  </si>
  <si>
    <t>yikyin_cheong@hotmail.com</t>
  </si>
  <si>
    <t>Lim Chin Joo</t>
  </si>
  <si>
    <t>Huawei SUN2000-12KTL</t>
  </si>
  <si>
    <t>6905020-02-5211</t>
  </si>
  <si>
    <t xml:space="preserve">8, Jln BK 6A/2A, Bandar Kinrara, 47100 Puchong, Selangor Darul Ehsan </t>
  </si>
  <si>
    <t>012-6151020</t>
  </si>
  <si>
    <t>chinjoolim@gmail.com</t>
  </si>
  <si>
    <t>Kee Siew Chuan (Ngo Woon Wah)</t>
  </si>
  <si>
    <t>730119-08-5342</t>
  </si>
  <si>
    <t>No 12-A, Lrg Bukit Setongkol Jaya 32, Bkt Setongkol, 25200, Kuantan, Pahang Darul Makmur</t>
  </si>
  <si>
    <t>019-9631028</t>
  </si>
  <si>
    <t>siewchuan639@gmail.com</t>
  </si>
  <si>
    <t>Lee Nyok Cheng</t>
  </si>
  <si>
    <t>581227-05-5427</t>
  </si>
  <si>
    <t>No. 1, Lorong IM 1/62, Perumahan Indera Mahkota 1, 25200 Kuantan, Pahang.</t>
  </si>
  <si>
    <t>016-9221189</t>
  </si>
  <si>
    <t>songlee1188@gmail.com</t>
  </si>
  <si>
    <t>Ong Eng Guan</t>
  </si>
  <si>
    <t>451011-02-5493</t>
  </si>
  <si>
    <t>No. 9 Lorong Im 11/12, Mahkota Heights, 25200 Kuantan, Pahang Darul Makmur</t>
  </si>
  <si>
    <t>012-9853289</t>
  </si>
  <si>
    <t>daniel_8632@yahoo.com</t>
  </si>
  <si>
    <t>Chia Le Chin</t>
  </si>
  <si>
    <t>Cash + instalment</t>
  </si>
  <si>
    <t>730219-06-5090</t>
  </si>
  <si>
    <t>No 11, Lorong Im 11/12, Mahkota Heights, 25200 Kuantan, Pahang Darul Makmur</t>
  </si>
  <si>
    <t>013-9318778</t>
  </si>
  <si>
    <t>health_trading@yahoo</t>
  </si>
  <si>
    <t>Beh Poh Loh</t>
  </si>
  <si>
    <t>GoodWe GW10KN-ET</t>
  </si>
  <si>
    <t>890620-06-5065</t>
  </si>
  <si>
    <t>No 10, Lorong Peramu Jaya 1/3, Perumahan Peramu Jaya 1, 26060 Kuantan, Pahang Darul Makmur</t>
  </si>
  <si>
    <t>016-9862270</t>
  </si>
  <si>
    <t>graybackboy@hotmail.com</t>
  </si>
  <si>
    <t>Ngoh Win Nee</t>
  </si>
  <si>
    <t>Credit Card Instalment</t>
  </si>
  <si>
    <t>851017-06-5456</t>
  </si>
  <si>
    <t>No 49, Lrg Tiram Jaya 5, Perumahan Tiram Jaya, 25200 Kuantan, Pahang</t>
  </si>
  <si>
    <t>012-9860700</t>
  </si>
  <si>
    <t>winneengoh@gmail.com</t>
  </si>
  <si>
    <t>Tung Seng Chang</t>
  </si>
  <si>
    <t>Goodwe GW10K-SDT-20</t>
  </si>
  <si>
    <t>720703-10-5665</t>
  </si>
  <si>
    <t>18, Jalan Setia Perdana U13/29C, Setia Alam, 40170 Shah Alam, Selangor</t>
  </si>
  <si>
    <t>019-2933333</t>
  </si>
  <si>
    <t>tungsc6@gmail.com</t>
  </si>
  <si>
    <t xml:space="preserve">Pua Hock Meng </t>
  </si>
  <si>
    <t>830524-06-5271</t>
  </si>
  <si>
    <t>No. 18, Lorong Peramu Jaya 1/2, Perumahan Peramu Jaya 1, 26060 Kuantan, Pahang Darul Makmur</t>
  </si>
  <si>
    <t>019-9956536</t>
  </si>
  <si>
    <t>prinze.pua@gmail.com</t>
  </si>
  <si>
    <t>Dato Arif Stephen bin Abdullah</t>
  </si>
  <si>
    <t>R-BESS</t>
  </si>
  <si>
    <t>Solax X3-Ultra 20kW x 3</t>
  </si>
  <si>
    <t>Lot 12193, Jalan Felcra Semungkis, Batu 14 Hulu Langat, 43100 Hulu Langat, Selangor Darul Ehsan</t>
  </si>
  <si>
    <t>Greenlast Housing Development Sdn Bhd</t>
  </si>
  <si>
    <t>Goodwe GW20K-SDT-20</t>
  </si>
  <si>
    <t>Lot 1-5, Jalan Semambu,Kawasan Perindustrian Semambu, Kuantan Pahang 25350 Malaysia</t>
  </si>
  <si>
    <t>Others</t>
  </si>
  <si>
    <t>Panel Cleaning 3 years (Once per year)</t>
  </si>
  <si>
    <t>DBTS Industries Sdn Bhd</t>
  </si>
  <si>
    <t>SImon</t>
  </si>
  <si>
    <t>Lot 2199, Jalan Nuri, Kampung Batu 9 Kebun Baru, 42500 Telok Panglima Garang, Selangor</t>
  </si>
  <si>
    <t xml:space="preserve">Full O&amp;M - 1 year </t>
  </si>
  <si>
    <t>EV Connection Sdn Bhd (The Pines Melaka)</t>
  </si>
  <si>
    <t>EV Charger</t>
  </si>
  <si>
    <t>33, Jalan Tun Sri Lanang, 75100 Melaka</t>
  </si>
  <si>
    <t>Ching Kok Keong</t>
  </si>
  <si>
    <t>670428-11-5021</t>
  </si>
  <si>
    <t>Lot 10997, Jln Kenanga, Kg Sura Jeti, 23000 Dungun, Terengganu Darul Iman</t>
  </si>
  <si>
    <t>017-9767388</t>
  </si>
  <si>
    <t>ckkcsk6666@gmail.com</t>
  </si>
  <si>
    <t>Chu Yin Siong</t>
  </si>
  <si>
    <t>620818-11-5371</t>
  </si>
  <si>
    <t>No 11, Jln Paka, Tmn Bunga Raya, 23000 Dungun, Terengganu Darul Iman</t>
  </si>
  <si>
    <t>019-9836811</t>
  </si>
  <si>
    <t>cca6668@gmail.com</t>
  </si>
  <si>
    <t>DC Handal EV Charging Hub</t>
  </si>
  <si>
    <t>EV Connection Sdn Bhd (IOI Citymall, Putrajaya)</t>
  </si>
  <si>
    <t>Susan Lau Shiew Hung</t>
  </si>
  <si>
    <t>GoodWe GW10K-SDT-20</t>
  </si>
  <si>
    <t>821226-13-5150</t>
  </si>
  <si>
    <t>27, Jalan SS 22A/8, Damansara Jaya, 47400 Petaling Jaya, Selangor Darul Ehsan</t>
  </si>
  <si>
    <t>012-2777019</t>
  </si>
  <si>
    <t>san99lau@gmail.com</t>
  </si>
  <si>
    <t>Dr Suntheresan A/L Ganapathy</t>
  </si>
  <si>
    <t>680926-02-5351</t>
  </si>
  <si>
    <t>No 27, Jalan Aman Elemen 3, Bandar Tropicana Aman, 42500 Telok Panglima Garang, Selangor Darul Ehsan</t>
  </si>
  <si>
    <t>019-2262119</t>
  </si>
  <si>
    <t>sunthe26@gmail.com</t>
  </si>
  <si>
    <t>Saiful Lizan Bin Ibrahim</t>
  </si>
  <si>
    <t>731112-06-5749</t>
  </si>
  <si>
    <t>16, Jalan Suadamai 6/2, Bandar Tun Hussein Onn, 43200 Cheras, Selangor Darul Ehsan</t>
  </si>
  <si>
    <t>019-2611759</t>
  </si>
  <si>
    <t>gunner2490@yahoo.com</t>
  </si>
  <si>
    <t>Chong Fong Chin(Jessie)</t>
  </si>
  <si>
    <t>Astronergy 585Wp</t>
  </si>
  <si>
    <t>861207-33-5276</t>
  </si>
  <si>
    <t>No 11, Lrg Bkt Setongkol Perdana 29, Perkpgn Bkt Setongkol, Tmn Bukit Setongkol,  25200 Kuantan, Pahang Darul Makmur</t>
  </si>
  <si>
    <t>019-9351188</t>
  </si>
  <si>
    <t>jessie.cfc@gmail.com</t>
  </si>
  <si>
    <t>Loo Thiam Seng</t>
  </si>
  <si>
    <t>Astronergy 590Wp</t>
  </si>
  <si>
    <t>Huawei SUN2000-6KTL</t>
  </si>
  <si>
    <t>560426-07-5479</t>
  </si>
  <si>
    <t>61, Jln Tasik Indah 2, Tmn Tasik Indah, 51200 WP Kuala Lumpur</t>
  </si>
  <si>
    <t>019-2263229</t>
  </si>
  <si>
    <t>tsloo1956@gmail.com</t>
  </si>
  <si>
    <t>Chew Mei May</t>
  </si>
  <si>
    <t>721025-10-5598</t>
  </si>
  <si>
    <t>67, Jln BK 5B/5A, Bdr Kinrara, 47180 Puchong, Selangor Darul Ehsan</t>
  </si>
  <si>
    <t>012-2203402</t>
  </si>
  <si>
    <t>meimaychew@gmail.com</t>
  </si>
  <si>
    <t>Razman Bin Samsudin</t>
  </si>
  <si>
    <t>760713-71-5025</t>
  </si>
  <si>
    <t>No.8, Jalan SS20/25, Damansara Utama, 47400 Petaling Jaya, Selangor</t>
  </si>
  <si>
    <t>019-3371313</t>
  </si>
  <si>
    <t>razmanbinsamsudin@gmailcom</t>
  </si>
  <si>
    <t>Chen Ah Hin</t>
  </si>
  <si>
    <t>480824-10-5119</t>
  </si>
  <si>
    <t>Lot 1325-79B, Jalan Jinjang Damai 7, JinJang Utara, 52000 Kuala Lumpur</t>
  </si>
  <si>
    <t>019-3281707</t>
  </si>
  <si>
    <t>chen2.luma@gmail.com</t>
  </si>
  <si>
    <t>Lim Kok Teong</t>
  </si>
  <si>
    <t>790418-07-5747</t>
  </si>
  <si>
    <t>3 Jalan Kenyalang 11/4E, PJU 5, Kota Damansara, 47810 Petaling Jaya, Selangor Darul Ehsan</t>
  </si>
  <si>
    <t>019-4134865</t>
  </si>
  <si>
    <t>cmjasonlim311@gmail.com</t>
  </si>
  <si>
    <t>Unitrade</t>
  </si>
  <si>
    <t>Chan Po Kok (JC Chan KEB)</t>
  </si>
  <si>
    <t>830506-14-6019</t>
  </si>
  <si>
    <t>16, Jalan Sunville 4, Taman Sunville, 43000 Kajang, Selangor Darul Ehsan</t>
  </si>
  <si>
    <t>017-8786050</t>
  </si>
  <si>
    <t>cpokok0506@hotmail.com</t>
  </si>
  <si>
    <t>Lim Kok Liang</t>
  </si>
  <si>
    <t>830112-02-5169</t>
  </si>
  <si>
    <t>1, Jalan Metafasa, U16/160. Elmina West, Seksyen U16, 40160, Shah Alam , Selangor Darul Ehsan</t>
  </si>
  <si>
    <t>016-2173777</t>
  </si>
  <si>
    <t>steelmerchantssb@gmail.com</t>
  </si>
  <si>
    <t>Susan Sung Fong Thieng</t>
  </si>
  <si>
    <t>691205-12-5030</t>
  </si>
  <si>
    <t>37, Southlake Terraces, Jalan Denai Selatan 5, Desa Parkcity. 52200 Kuala Lumpur</t>
  </si>
  <si>
    <t>012-2393003</t>
  </si>
  <si>
    <t>susansung37@gmail.com</t>
  </si>
  <si>
    <t>Lee Boon Huet</t>
  </si>
  <si>
    <t>Huawei SUN2000-5KTL-L1</t>
  </si>
  <si>
    <t>720825-05-5109</t>
  </si>
  <si>
    <t>31, Jln Cassia 4, Bdr Botanic, 41200 Klang, Selangor Darul Ehsan</t>
  </si>
  <si>
    <t>012-2045618</t>
  </si>
  <si>
    <t>blee@fp-group.com</t>
  </si>
  <si>
    <t>Ng Yunn Chong</t>
  </si>
  <si>
    <t>620205-08-6037</t>
  </si>
  <si>
    <t>97, Jalan Selasar Rokam 11, Kampung Sri Ampang, 31350 Ipoh, Perak Darul Ridzuan</t>
  </si>
  <si>
    <t>012-5127295</t>
  </si>
  <si>
    <t>ngyunnchong123@gmail.com</t>
  </si>
  <si>
    <t>Wong Hoon Sang</t>
  </si>
  <si>
    <t>630220-10-7149</t>
  </si>
  <si>
    <t>75, Jalan Uranus U5/122B, Seksyen U5, 40150 Shah Alam. Selangor Darul Ehsan</t>
  </si>
  <si>
    <t>014-9159789</t>
  </si>
  <si>
    <t>wonghoonsang@gmail.com</t>
  </si>
  <si>
    <t>Nor Aini binti Mohd Ashari</t>
  </si>
  <si>
    <t>Huawei SUN2000-4KTL-L1</t>
  </si>
  <si>
    <t>731105-08-6402</t>
  </si>
  <si>
    <t>No 61, Jln Sigma U6/16A, Sek U6 (Taman Subang Permata), 40150 Subang, Selangor Darul Ehsan</t>
  </si>
  <si>
    <t>011-28584486</t>
  </si>
  <si>
    <t>norazam4446@yahoo.com.sg</t>
  </si>
  <si>
    <t>Bioserasi</t>
  </si>
  <si>
    <t>Lai Kim Soon (Stella)</t>
  </si>
  <si>
    <t>Solinteg MHS-5K-30 hybrid</t>
  </si>
  <si>
    <t>910301-06-5675</t>
  </si>
  <si>
    <t>No 36, Lrg Seri Teruntum 13, Tmn Sri Teru, Tanah Putih, 25200 Kuantan. Pahang Darul Makmur</t>
  </si>
  <si>
    <t>011-55090155</t>
  </si>
  <si>
    <t>miiao_maomao520@hotmail.com</t>
  </si>
  <si>
    <t>Tan Poh Poh</t>
  </si>
  <si>
    <t>710625-08-5224</t>
  </si>
  <si>
    <t>6, Lrg Seri Setali, 115 Off Jln Air Putih, Air Putih, 25300 Kuantan, Pahang Darul Makmur</t>
  </si>
  <si>
    <t>012-9831939</t>
  </si>
  <si>
    <t xml:space="preserve">may014215@gmail.com </t>
  </si>
  <si>
    <t>Leau Koo Sien (Eric)</t>
  </si>
  <si>
    <t>740722-06-5097</t>
  </si>
  <si>
    <t>No 12A, Lorong Pelindung 95, Perumahan Pelindung, 25050 Kuantan, Pahang Darul makmur</t>
  </si>
  <si>
    <t>019-9270778</t>
  </si>
  <si>
    <t>Leaueric@gmail.com</t>
  </si>
  <si>
    <t>2403197-1</t>
  </si>
  <si>
    <t>Koon Kok Leong</t>
  </si>
  <si>
    <t>741008-01-5759</t>
  </si>
  <si>
    <t>No 80, Lrg Delima 5/KS6, Bdr Parklands, Pandamar, 42000 Klang, Selangor Darul Ehsan</t>
  </si>
  <si>
    <t>012-3988909</t>
  </si>
  <si>
    <t>klkoon8882@gmail.com</t>
  </si>
  <si>
    <t>Wong Wai Kwong</t>
  </si>
  <si>
    <t>790114-06-5467</t>
  </si>
  <si>
    <t>No 55, Lrg Im 1/41, Tmn Putra Aman, 25200 Bandar Indera Mahkota, Pahang Darul Makmur</t>
  </si>
  <si>
    <t>016-9233066</t>
  </si>
  <si>
    <t>ww_kwong@yahoo.com.sg</t>
  </si>
  <si>
    <t>Jimmy Kok Aik Lim</t>
  </si>
  <si>
    <t>621013-11-5109</t>
  </si>
  <si>
    <t>3 Jalan Telawi 7, Bangsar Baru, Bangsar,59100 Kuala Lumpur, WP Kuala Lumpur</t>
  </si>
  <si>
    <t>012-3709905</t>
  </si>
  <si>
    <t>lytan63@hotmail.com</t>
  </si>
  <si>
    <t>Weller Air-Cond Parts Enterprise Sdn Bhd</t>
  </si>
  <si>
    <t>Huawei SUN2000-20KTL</t>
  </si>
  <si>
    <t>Lot 8324, Kg Makau Bt 1, 43100 Hulu Langat, Selangor</t>
  </si>
  <si>
    <t>Enviri Industries Sdn Bhd</t>
  </si>
  <si>
    <t>Jinko Solar 575Wp</t>
  </si>
  <si>
    <t>Huawei SUN2000-100KTL x 2
Huawei SUN2000-36KTL x 1</t>
  </si>
  <si>
    <t>PT71179, Jalan Lapis 2, 42100 Klang, Selangor</t>
  </si>
  <si>
    <t>Intergreen Holdings Sdn Bhd</t>
  </si>
  <si>
    <t>Huawei SUN2000-12KTL-M5 x 2
Huawei SUN2000-12KTL-MB0 x 1</t>
  </si>
  <si>
    <t>Pusat Perdagangan Amcorp, 3, Jalan Timur, Seksyen 9, 46000 Petaling Jaya, Selangor</t>
  </si>
  <si>
    <t>CK Fresh Sdn Bhd</t>
  </si>
  <si>
    <t>Huawei SUN2000-30KTL</t>
  </si>
  <si>
    <t>Lot 8393, Jln Air Hitam, Kelapa Sawit, 81000 Kulai, Johor</t>
  </si>
  <si>
    <t>Ling Duon Kwan</t>
  </si>
  <si>
    <t>780817-13--5437</t>
  </si>
  <si>
    <t>No 58, Jln TP 1/3, Tiara Putra, 47000 Sungai Buloh, Selangor Darul Ehsan</t>
  </si>
  <si>
    <t>012-3799638</t>
  </si>
  <si>
    <t>duncanling@yahoo.com</t>
  </si>
  <si>
    <t>Tham Chee Man</t>
  </si>
  <si>
    <t>590601-06-5153</t>
  </si>
  <si>
    <t>33, Jalan Flora 3, Saujana Utama, 47000 Sungai Buloh, Selangor Darul Ehsan</t>
  </si>
  <si>
    <t>017-9034540</t>
  </si>
  <si>
    <t>thamcheongsheng@gmail.com</t>
  </si>
  <si>
    <t>Yap Bee Im Marianne</t>
  </si>
  <si>
    <t>Huawei SUN2000-8KTL</t>
  </si>
  <si>
    <t>831021-14-6242</t>
  </si>
  <si>
    <t>No 8, Jln Hijau Alam U9/14C, Cahaya SPK, Sek U9, 40150 Shah Alam, Selangor Darul Ehsan</t>
  </si>
  <si>
    <t>012-3050288</t>
  </si>
  <si>
    <t>marianneyap21@gmail.com</t>
  </si>
  <si>
    <t>Cheong Sau Ling</t>
  </si>
  <si>
    <t>740823-02-5825</t>
  </si>
  <si>
    <t>15, Jalan Kemuning Bayu 33/32L, Kemuning Utama,40400 Shah Alam, Selangor Darul Ehsan</t>
  </si>
  <si>
    <t>013-7274135</t>
  </si>
  <si>
    <t>lingling822@hotmail.my</t>
  </si>
  <si>
    <t>Sim Keng Chor</t>
  </si>
  <si>
    <t>470725-01-5629</t>
  </si>
  <si>
    <t>8, Lorong Kemaris 6, Bangsar Baru, 59100 Kuala Lumpur, WP Kuala Lumpur</t>
  </si>
  <si>
    <t>012-2789488</t>
  </si>
  <si>
    <t>simson@unitrade.com.my</t>
  </si>
  <si>
    <t>Nor Hana binti Supiran @ Soviran</t>
  </si>
  <si>
    <t>Huawei SUN2000-5KTL-M1</t>
  </si>
  <si>
    <t>801003-08-5944</t>
  </si>
  <si>
    <t>Lot 84327, Lorong Merbau 1, Kampung Melayu, 68000 Ampang, Selangor Darul Ehsan</t>
  </si>
  <si>
    <t>019-3170725</t>
  </si>
  <si>
    <t>hanatrading78@yahoo.com</t>
  </si>
  <si>
    <t>Ng Lay Ping</t>
  </si>
  <si>
    <t>15 years</t>
  </si>
  <si>
    <t>700919-10-5236</t>
  </si>
  <si>
    <t>Lot 27838, Jln BRP 2/2C, Bkt Rahman Putra, 40160 Sungai Buloh, Selangor Darul Ehsan</t>
  </si>
  <si>
    <t>012-3999903</t>
  </si>
  <si>
    <t>lpng_lew@yahoo.com</t>
  </si>
  <si>
    <t>Inverter Warranty Extend to 15 years</t>
  </si>
  <si>
    <t>Nor Fadillah</t>
  </si>
  <si>
    <t>630327-04-5398</t>
  </si>
  <si>
    <t>17, Jalan Laman Jasmin 5A, Laman Jasmin, 71800 Nilai Negeri Sembilan Darul Khusus</t>
  </si>
  <si>
    <t>016-2477797</t>
  </si>
  <si>
    <t>drnorfadillah@gmail.com</t>
  </si>
  <si>
    <t>Budi Jelas Sdn Bhd</t>
  </si>
  <si>
    <t>PT 12887, Kaw Asan Perindustrian LKNP Benus, 28700 Bentong, Pahang</t>
  </si>
  <si>
    <t>Billy Teoh Wee Wei</t>
  </si>
  <si>
    <t>830811-07-5405</t>
  </si>
  <si>
    <t>No 5082, Lrg Bagan Vista, Jln Telaga Air, 12200 Butterworth Pulau Pinang</t>
  </si>
  <si>
    <t>012-4215656</t>
  </si>
  <si>
    <t>billyteoh19@hotmail.com</t>
  </si>
  <si>
    <t>Teo En Chie</t>
  </si>
  <si>
    <t>910530-01-6505</t>
  </si>
  <si>
    <t>18, Jalan Senibong 1, Teluk Senibong, 81750 Masai, Johor Darul Takzim</t>
  </si>
  <si>
    <t>010-8820636</t>
  </si>
  <si>
    <t>enchie@live.com.my</t>
  </si>
  <si>
    <t>Sleep Matics (Asia) Sdn Bhd</t>
  </si>
  <si>
    <t>Huawei SUN2000-115KTL x 2
Huawei SUN2000-50KTL x 1</t>
  </si>
  <si>
    <t>Lot 37133, Kg Baru Sg Buloh, 47000 Sungai Buloh, Selangor</t>
  </si>
  <si>
    <t>CHL Foam Industries Sdn Bhd</t>
  </si>
  <si>
    <t>Huawei SUN2000-115KTL x 2
Huawei SUN2000-30KTL x 1</t>
  </si>
  <si>
    <t>Lot 37174, Kg Baru Sg Buloh, 47000 Sungai Buloh, Selangor</t>
  </si>
  <si>
    <t>Ong Pui Fen</t>
  </si>
  <si>
    <t>760801-04-5180</t>
  </si>
  <si>
    <t>51, Jalan USJ 2/5H, USJ 2, 47600 Subang Jaya, Selangor Darul Ehsan</t>
  </si>
  <si>
    <t>016-2100039</t>
  </si>
  <si>
    <t>tattmun@gmail.com</t>
  </si>
  <si>
    <t>Chua Boon Seng</t>
  </si>
  <si>
    <t>Azra</t>
  </si>
  <si>
    <t>750927-06-5137</t>
  </si>
  <si>
    <t>No 1B, Lrg Seri Kuantan 28/1, Kuantan Garden, 25300 Kuantan, Pahang Darul Makmur</t>
  </si>
  <si>
    <t>018-9094538</t>
  </si>
  <si>
    <t>cboonhuang@gmail.com</t>
  </si>
  <si>
    <t>Chan Hui Li</t>
  </si>
  <si>
    <t>700521-06--5318</t>
  </si>
  <si>
    <t>No 111, Lrg Air Putih 21, Jln Air Putih, Tmn Dahlia Astana, 25350 Kuantan, Pahang Darul Makmur</t>
  </si>
  <si>
    <t>012-2392000</t>
  </si>
  <si>
    <t>conniechan2105@yahoo.com</t>
  </si>
  <si>
    <t>Goh Wee Bang (Goh Swee Teng)</t>
  </si>
  <si>
    <t>750605-10-5255</t>
  </si>
  <si>
    <t>No 12A, Jln Cokmar 2 K, Tmn Mutiara Bkt Raja, 41050 Klang, Selangor Darul Ehsan</t>
  </si>
  <si>
    <t>012-2313922</t>
  </si>
  <si>
    <t>vbangoh1975@gmail.com</t>
  </si>
  <si>
    <t>Teoh Kah Ming</t>
  </si>
  <si>
    <t>880326-14-5807</t>
  </si>
  <si>
    <t>No 5, Jln Kemuning Indah 32/141J, Kemuning Utama, 40460 Shah Alam, Selangor Darul Ehsan</t>
  </si>
  <si>
    <t>012-6777309</t>
  </si>
  <si>
    <t>kahming.teoh@gmail.com</t>
  </si>
  <si>
    <t>Gan Wei Kuan</t>
  </si>
  <si>
    <t>Cancelled</t>
  </si>
  <si>
    <t>Haiu Chan Lai</t>
  </si>
  <si>
    <t>670120-11-5324</t>
  </si>
  <si>
    <t>41, Jln Daun Inai 7, Sunway SPK Damansara, 52200 Kuala Lumpur, WP Kuala Lumpur</t>
  </si>
  <si>
    <t>012-3760333</t>
  </si>
  <si>
    <t>jacquelinehaiu@gmail.com</t>
  </si>
  <si>
    <t>Shreeram Nadarajah</t>
  </si>
  <si>
    <t>760726-14-5391</t>
  </si>
  <si>
    <t>123, Jalan Terasek 1, Bangsar Baru, Bangsar, 59100 Kuala Lumpur, WP Kuala Lumpur</t>
  </si>
  <si>
    <t>019-2619729</t>
  </si>
  <si>
    <t>shreeram.nadarajah@gmail.com</t>
  </si>
  <si>
    <t>Datin Tai Bee Choon</t>
  </si>
  <si>
    <t>760817-01-5584</t>
  </si>
  <si>
    <t>No 16, Jln Setia Tropika 15/1, Tmn Setia Tropika, 81200 Johor Bahru. Johor Darul Takzim</t>
  </si>
  <si>
    <t>013-8222255</t>
  </si>
  <si>
    <t>datoivan@ungguhgroup.com</t>
  </si>
  <si>
    <t>Yeap Say Woei</t>
  </si>
  <si>
    <t>800117-02-5697</t>
  </si>
  <si>
    <t>10, Bukit Dumbar Residences, Lorong Batu Gajah, 11600 Jelutong, Pulau Pinang</t>
  </si>
  <si>
    <t>012-4776246</t>
  </si>
  <si>
    <t>saywoei@yahoo.com</t>
  </si>
  <si>
    <t>Tan Zhi Cheng</t>
  </si>
  <si>
    <t>840518-09-5203</t>
  </si>
  <si>
    <t>15, Jalan BK 2/7, Bandar Kinrara, 47180 Puchong, Selangor Darul Ehsan</t>
  </si>
  <si>
    <t>016-4010372</t>
  </si>
  <si>
    <t>tzcheng07@gmail.com</t>
  </si>
  <si>
    <t>Teh Siew Eng</t>
  </si>
  <si>
    <t>531030-08-5440</t>
  </si>
  <si>
    <t>No 49, Jln Kasipillay, 51200 Kuala Lumpur, WP Kuala Lumpur</t>
  </si>
  <si>
    <t>012-2290951</t>
  </si>
  <si>
    <t>fattychuah@gmail.com</t>
  </si>
  <si>
    <t>Lai Chun Wai</t>
  </si>
  <si>
    <t>711015-14-5159</t>
  </si>
  <si>
    <t>No  31, Lrg Sri Kuantan 55, Tmn Timur, 25150 Kuantan, Pahang Darul Makmur</t>
  </si>
  <si>
    <t>012-3879932</t>
  </si>
  <si>
    <t>chunwai103@gmail.com</t>
  </si>
  <si>
    <t>Tay Poh Chai</t>
  </si>
  <si>
    <t>730209-04-5037</t>
  </si>
  <si>
    <t>53, Jalan Saujana Duta 7, Saujana Duta, Seremban 2 Heights, 70300 Seremban, Negeri Sembilan Darul Khusus</t>
  </si>
  <si>
    <t>019-6616826</t>
  </si>
  <si>
    <t>alextaypohchai@hotmail.com</t>
  </si>
  <si>
    <t>Alex How Chee Keong</t>
  </si>
  <si>
    <t>770202-14-5437</t>
  </si>
  <si>
    <t>Unit 16, Zenia Jalan Residen 2, Desa Parkcity, 52200 Kuala Lumpur, WP Kuala Lumpur</t>
  </si>
  <si>
    <t>012-3453457</t>
  </si>
  <si>
    <t>keongko@hotmail.com</t>
  </si>
  <si>
    <t>How Mei Cheng</t>
  </si>
  <si>
    <t>811203-14-5656</t>
  </si>
  <si>
    <t>2-134, Jalan Udang Ketak, Taman Sri Segambut, 52000 Kuala Lumpur, WP Kuala Lumpur</t>
  </si>
  <si>
    <t>012-2012123</t>
  </si>
  <si>
    <t>joe_hmc@hotmail.com</t>
  </si>
  <si>
    <t>Windy Ng</t>
  </si>
  <si>
    <t>820717-01-5204</t>
  </si>
  <si>
    <t>13, Jalan U13/53H, Eco Ardence, Seksyen U13, 40170 Shah Alam, Selangor Darul Ehsan</t>
  </si>
  <si>
    <t>017-7753119</t>
  </si>
  <si>
    <t>yellowwindy@hotmail.com</t>
  </si>
  <si>
    <t>Zainuddin Zin</t>
  </si>
  <si>
    <t>590911-06-5319</t>
  </si>
  <si>
    <t>8, Lrg Kg Panching 10, Kg Panching, 26090 Kuantan, Pahang Darul Makmur</t>
  </si>
  <si>
    <t>019-9774850</t>
  </si>
  <si>
    <t>zainudinzin@gmail.com</t>
  </si>
  <si>
    <t>Handal Green Mobility Sdn Bhd (Encore Melaka)</t>
  </si>
  <si>
    <t>No 3, Jalan KSB - Impression 8, Impression City @ Kota Syahbandar, 75200 Melaka</t>
  </si>
  <si>
    <t>Kwan Li Shan</t>
  </si>
  <si>
    <t>800718-08-5978</t>
  </si>
  <si>
    <t>Lot 387509, Laluan Sri Ampang 2, Kampung Sri Ampang, 31350 Ipoh, Perak Darul Ridzuan</t>
  </si>
  <si>
    <t>012-5142483</t>
  </si>
  <si>
    <t>lishankwan@gmail.com</t>
  </si>
  <si>
    <t>Liau Hui Kiem</t>
  </si>
  <si>
    <t>780419-10-5734</t>
  </si>
  <si>
    <t>20, Jalan Setia Damai U13/15F, Setia Alam 40170 Shah Alam, Selangor Darul Ehsan</t>
  </si>
  <si>
    <t>019-2338688</t>
  </si>
  <si>
    <t>hkliau8688@gmail.com</t>
  </si>
  <si>
    <t>Mohd Nasir Man</t>
  </si>
  <si>
    <t>640103-09-5029</t>
  </si>
  <si>
    <t>No B3075, Jln Beserah, Tmn Multiply, 25300 Kuantan, Pahang Darul Makmur</t>
  </si>
  <si>
    <t>012-9003767</t>
  </si>
  <si>
    <t>mnasirman17@gmail.com</t>
  </si>
  <si>
    <t>Tan Ger Ber</t>
  </si>
  <si>
    <t>560608-01-6090</t>
  </si>
  <si>
    <t>10, Jalan Kenyalang 11/15G, Seksyen 11, Kota Damansara, 47810, Petaling Jaya, Selangor Darul Ehsan</t>
  </si>
  <si>
    <t>012-5273664</t>
  </si>
  <si>
    <t>tangerber@gmail.com</t>
  </si>
  <si>
    <t>Ng Boon Kiat (Daniel)</t>
  </si>
  <si>
    <t>Cash + Credit Card Instalment</t>
  </si>
  <si>
    <t>840903-01-5679</t>
  </si>
  <si>
    <t>No 4, Jalan KS 14/12, Kota Sultan Ahmad Shah, 25200 Kuantan, Pahang</t>
  </si>
  <si>
    <t>012-6121112</t>
  </si>
  <si>
    <t>danielngbk84@gmail.com</t>
  </si>
  <si>
    <t>How Yee Seun</t>
  </si>
  <si>
    <t>840202-06-5008</t>
  </si>
  <si>
    <t>32A, Jalan Aman Arahsia 7, Bandar Tropicana Aman, 42500 Telok Panglima Garang, Selangor Darul Ehsan</t>
  </si>
  <si>
    <t>012-9370766</t>
  </si>
  <si>
    <t>yeesuen02@yahoo.com</t>
  </si>
  <si>
    <t>Lau Ah Leng</t>
  </si>
  <si>
    <t>550425-02-5403</t>
  </si>
  <si>
    <t>19, Jln Kenyalang 11/15I, Seksyen 11, Kota Damansara, 47810 Petaling Jaya, Selangor Darul Ehsan</t>
  </si>
  <si>
    <t>019-3128863</t>
  </si>
  <si>
    <t>allan@gmail.com</t>
  </si>
  <si>
    <t>Leong Tack Ming</t>
  </si>
  <si>
    <t>530501-05-5607</t>
  </si>
  <si>
    <t>3, Jalan SS 22/24, Damansara jaya. 47400 Petaling Jaya, Selangor</t>
  </si>
  <si>
    <t>012-2011132</t>
  </si>
  <si>
    <t>Charles Lew Chow Leng</t>
  </si>
  <si>
    <t>620529-07-5406</t>
  </si>
  <si>
    <t>6, Jalan Kenyalang 11/15A, Seksyen 11, Kota Damansara, 47810 Petaling Jaya, Selangor Darul Ehsan</t>
  </si>
  <si>
    <t>012-3999189</t>
  </si>
  <si>
    <t>clew62@gmail.com</t>
  </si>
  <si>
    <t>Loh Fook Khew</t>
  </si>
  <si>
    <t>560512-08-5307</t>
  </si>
  <si>
    <t>8, Jalan Kenyalang 11/15A, Seksyen 11, Kota Damansara, 47810 Petaling Jaya, Selangor Darul Ehsan</t>
  </si>
  <si>
    <t>012-3351801</t>
  </si>
  <si>
    <t>chinmei_fashion@hotmail.com</t>
  </si>
  <si>
    <t>Cheong Chin Meng</t>
  </si>
  <si>
    <t>730422-06-5301</t>
  </si>
  <si>
    <t>145, Jln Bkt Setongkol 3, Tmn Muhibah FAS, Bukit Setongkol, 25200 Kuantan, Pahang Darul Makmur</t>
  </si>
  <si>
    <t>012-9103893</t>
  </si>
  <si>
    <t>ioienterprisektn@gmail.com</t>
  </si>
  <si>
    <t>Advantic Nutraceuticals</t>
  </si>
  <si>
    <t>Astronergy 610Wp</t>
  </si>
  <si>
    <t xml:space="preserve">Huawei SUN2000-30KTL + Huawei SUN2000-36KTL </t>
  </si>
  <si>
    <t>Full O&amp;M - 3 years</t>
  </si>
  <si>
    <t>Chua Tong Hin Hardware Sdn Bhd</t>
  </si>
  <si>
    <t>Lot 37679, Jln 3/37A, Tmn Bukit Maluri Kepong, 52100 Kuala Lumpur</t>
  </si>
  <si>
    <t>NMSY Capital Sdn Bhd (Mohd Nasir)</t>
  </si>
  <si>
    <t>Huawei SUN2000-17KTL</t>
  </si>
  <si>
    <t>N-1332, G Floor, Jln Tg Lumpur, 26060 Kuantan, Pahang</t>
  </si>
  <si>
    <t>Chua Ling Ling</t>
  </si>
  <si>
    <t>760115-14-5448</t>
  </si>
  <si>
    <t>132A, Jln Desa Residen, Desa Parkcity, 52200 Kuala Lumpur, WP Kuala Lumpur</t>
  </si>
  <si>
    <t>011-11428999</t>
  </si>
  <si>
    <t>llchua00@hotmail.com</t>
  </si>
  <si>
    <t>Yeo Chen Kok</t>
  </si>
  <si>
    <t>830625-07-5049</t>
  </si>
  <si>
    <t>10, Jln Hujan Emas 11, Overseas Union Garden, 58200 Kuala Lumpur, WP Kuala Lumpur</t>
  </si>
  <si>
    <t>012-9283828</t>
  </si>
  <si>
    <t>yeochenkok@gmail.com</t>
  </si>
  <si>
    <t>Amirluddin bin Awang</t>
  </si>
  <si>
    <t>671111-11-5079</t>
  </si>
  <si>
    <t>No 8, Lorong Im 11/10, Mahkota Heights, 25200 Kuantan, Pahang Darul Makmur</t>
  </si>
  <si>
    <t>012-7992686</t>
  </si>
  <si>
    <t>tidzariah@gmail.com</t>
  </si>
  <si>
    <t>Ong Gin Chin</t>
  </si>
  <si>
    <t>600218-01-5432</t>
  </si>
  <si>
    <t>9, Jalan Anggerik Liparis 31/152, Kota Kemuning, 40460 Shah Alam, Selangor Darul Ehsan</t>
  </si>
  <si>
    <t>016-2792625</t>
  </si>
  <si>
    <t>cyschin@hotmail.com</t>
  </si>
  <si>
    <t>Ng Seow Fong</t>
  </si>
  <si>
    <t>790812-14-5854</t>
  </si>
  <si>
    <t>21, Jalan Suria 6, Taman Suria, 43000 Kajang, Selangor Darul Ehsan</t>
  </si>
  <si>
    <t>012-2624548</t>
  </si>
  <si>
    <t>esther@unitrade.com.my</t>
  </si>
  <si>
    <t>Chuah Teah Soo</t>
  </si>
  <si>
    <t>500224-08-5017</t>
  </si>
  <si>
    <t>No 11, PT 28561, Jalan Bukit Indah, Taman Bukit Indah, 27600 Raub, Pahang Darul Makmur</t>
  </si>
  <si>
    <t>019-9867505</t>
  </si>
  <si>
    <t>sykt_pern_chuah@yahoo.com.my</t>
  </si>
  <si>
    <t>Ecila Sim Ju-Inn</t>
  </si>
  <si>
    <t>781228-14-5762</t>
  </si>
  <si>
    <t>49, Jalan Duta Villa 1, Setia Alam, 40170 Shah Alam, Selangor Darul Ehsan</t>
  </si>
  <si>
    <t>019-6668520</t>
  </si>
  <si>
    <t>juinn@unitrade.com.my</t>
  </si>
  <si>
    <t>Wong Yoke Chon</t>
  </si>
  <si>
    <t>740422-08-5002</t>
  </si>
  <si>
    <t>368, Jalan Tasek Permai, Kampung Tasek Permai, 68000 Ampang, Selangor Darul Ehsan</t>
  </si>
  <si>
    <t>016-2081788</t>
  </si>
  <si>
    <t>traceywong92@gmail.com</t>
  </si>
  <si>
    <t>Foo Su Hoong</t>
  </si>
  <si>
    <t>640115-10-5474</t>
  </si>
  <si>
    <t>3, Jln Kenyalang 11/15D, Seksyen 11, Kota Damansara, 47810 Petaling Jaya, Selangor Darul Ehsan</t>
  </si>
  <si>
    <t>012-3739780</t>
  </si>
  <si>
    <t>suhoongfoo@gmail.com</t>
  </si>
  <si>
    <t>Wan Johan Bin Rahim</t>
  </si>
  <si>
    <t>860724-43-6847</t>
  </si>
  <si>
    <t>12A, Jalan Setia Tropika U13/20B, Setia Alam, 40170 Shah Alam, Selangor Darul Ehsan</t>
  </si>
  <si>
    <t>012-3906522</t>
  </si>
  <si>
    <t>aminrahim@msn.com</t>
  </si>
  <si>
    <t>Koo Woon Kee</t>
  </si>
  <si>
    <t>540804-10-6087</t>
  </si>
  <si>
    <t>50B, Jln Merah Mawar Tujuh U9/6G, Cahaya SPK, Sek U9, 40150 Shah Alam, Selangor Darul Ehsan</t>
  </si>
  <si>
    <t>012-2426698</t>
  </si>
  <si>
    <t>koowoonkee@gmail.com</t>
  </si>
  <si>
    <t>Exc Smart Meter</t>
  </si>
  <si>
    <t>Nor Aini binti Mat Saman (Nazrul Latif)</t>
  </si>
  <si>
    <t>760923-08-6124</t>
  </si>
  <si>
    <t>No 49, Lorong Pinggiran Putra 3/122, Pinggiran Putra 3, 26060 Kuantan, Pahang</t>
  </si>
  <si>
    <t>019-9598431</t>
  </si>
  <si>
    <t>2407397-1</t>
  </si>
  <si>
    <t>Teo Kai Yun</t>
  </si>
  <si>
    <t>950515-05-5334</t>
  </si>
  <si>
    <t>138, Lorong Warisan Villa 2/3, Taman Warisan Villa, 71800 Nilai, Negeri Sembilan Darul Khusus</t>
  </si>
  <si>
    <t>012-2531773</t>
  </si>
  <si>
    <t>allyssa_pinky@hotmail.com</t>
  </si>
  <si>
    <t>Chua Teng Teng</t>
  </si>
  <si>
    <t>771115-14-5820</t>
  </si>
  <si>
    <t>130, Jln Desa Residen, Desa Parkcity, 52200 Kuala Lumpur, WP Kuala Lumpur</t>
  </si>
  <si>
    <t>012-3354488</t>
  </si>
  <si>
    <t>ttchua77@hotmail.com</t>
  </si>
  <si>
    <t>Lee Yoon Huat</t>
  </si>
  <si>
    <t>780620-05-5273</t>
  </si>
  <si>
    <t>No 18, Jln Jalil Perkasa 19, Tmn Esplanad, 57100 Bukit Jalil, WP Kuala Lumpur</t>
  </si>
  <si>
    <t>016-2226469</t>
  </si>
  <si>
    <t>thomas119@hotmail.com</t>
  </si>
  <si>
    <t>Tan Boon Siang (Han Father)</t>
  </si>
  <si>
    <t>610216-02-5417</t>
  </si>
  <si>
    <t>360, Tmn Saga Jln Alor Mengkudu, 05400 Alor Setar, Kedah Darul Aman</t>
  </si>
  <si>
    <t>017-4732831</t>
  </si>
  <si>
    <t>boon.siang@hotmail.com</t>
  </si>
  <si>
    <t>Tee Cheong Tuan</t>
  </si>
  <si>
    <t>621029-06-5273</t>
  </si>
  <si>
    <t>No 3, Jln BK 6A/2A, Bandar Kinrara, 47100 Puchong, Selangor</t>
  </si>
  <si>
    <t>012-3290810</t>
  </si>
  <si>
    <t>tuantee2010@gmail.com</t>
  </si>
  <si>
    <t>Dato Tay Tong Ben</t>
  </si>
  <si>
    <t>900522-01-5829</t>
  </si>
  <si>
    <t>15, PTD207737, Jalan Danga Sutera 12/3, Taman Danga Sutera, 81300 Johor Bahru, Johor Darul Takzim</t>
  </si>
  <si>
    <t>016-7132622</t>
  </si>
  <si>
    <t>legendtay@hotmail.com</t>
  </si>
  <si>
    <t>Lim Choon Huat</t>
  </si>
  <si>
    <t>820818-01-6265</t>
  </si>
  <si>
    <t>64, Jalan Eko Botani 1/9, Taman Eko Botani, 79100 Iskandar Puteri, Johor Darul Takzim</t>
  </si>
  <si>
    <t>012-7731700</t>
  </si>
  <si>
    <t>otakibc@gmail.com</t>
  </si>
  <si>
    <t>Ong Ling Gee</t>
  </si>
  <si>
    <t>690508-01-5643</t>
  </si>
  <si>
    <t>57, Jln Melawati Tmn Melawati, 83700 Yong Peng, Johor Darul Takzim</t>
  </si>
  <si>
    <t>013-7448833</t>
  </si>
  <si>
    <t>onglinggee@yahoo.com</t>
  </si>
  <si>
    <t>Kuek Soon Yeam</t>
  </si>
  <si>
    <t>560722-10-6137</t>
  </si>
  <si>
    <t>No 95, Jln Hujan Bubuk, Overseas Union Garden, 58200 Kuala Lumpur, WP Kuala Lumpur</t>
  </si>
  <si>
    <t>012-3107766</t>
  </si>
  <si>
    <t>danielkuek56@hotmail.com</t>
  </si>
  <si>
    <t>Yap Siok Ching</t>
  </si>
  <si>
    <t>620404-10-6408</t>
  </si>
  <si>
    <t>No 33, Lrg Burhanuddin Helmi 1, Tmn Tun Dr Ismail, 60000 Kuala Lumpur, WP Kuala Lumpur</t>
  </si>
  <si>
    <t>017-2783248</t>
  </si>
  <si>
    <t>ginayap@gmail.com</t>
  </si>
  <si>
    <t>Shahrin Merican</t>
  </si>
  <si>
    <t>610228-71-5001</t>
  </si>
  <si>
    <t>36, Jalan Lanai Kiara, Taman Sri Hartamas, 50480 Kuala Lumpur</t>
  </si>
  <si>
    <t>012-2967681</t>
  </si>
  <si>
    <t>sitiomar19@yahoo.com</t>
  </si>
  <si>
    <t>Chua Shen Huat</t>
  </si>
  <si>
    <t>600508-11-5247</t>
  </si>
  <si>
    <t>PT PT 26137, Jln USJ 3D/6, USJ Avenue, 47500 Subang Jaya, Selangor</t>
  </si>
  <si>
    <t>013-2767764</t>
  </si>
  <si>
    <t>shchua60@hotmail.com</t>
  </si>
  <si>
    <t>Yap Kee Leong</t>
  </si>
  <si>
    <t>640318-10-6143</t>
  </si>
  <si>
    <t>Jalan Klang Batu 16, Kampung Tambak Jawa, 45800 Jeram, Selangor</t>
  </si>
  <si>
    <t>019-6642542</t>
  </si>
  <si>
    <t>klyap1964@hotmail.com</t>
  </si>
  <si>
    <t>Tiong Nguong Kiong</t>
  </si>
  <si>
    <t>560304-01-5435</t>
  </si>
  <si>
    <t>No 8, Jln Mawar 6, Tmn Mawar, 28300 Triang, Pahang</t>
  </si>
  <si>
    <t>012-6628908</t>
  </si>
  <si>
    <t>meeting1210@gmail.com</t>
  </si>
  <si>
    <t>Lua Peck Lay</t>
  </si>
  <si>
    <t>680419-11-5184</t>
  </si>
  <si>
    <t>No 25, Lrg Kubang Buaya 78, 25050 Kuantan, Pahang</t>
  </si>
  <si>
    <t>012-9218033</t>
  </si>
  <si>
    <t>luapecklay@yahoo.com</t>
  </si>
  <si>
    <t>Akhman Aidi Putra</t>
  </si>
  <si>
    <t>850804-06-5063</t>
  </si>
  <si>
    <t>No 7, Lrg Seberang Balok Aman 22, Kg Seberang Balok, 26100 Kuantan, Pahang</t>
  </si>
  <si>
    <t>017-3054551</t>
  </si>
  <si>
    <t xml:space="preserve">mr_akhman85@yahoo.com </t>
  </si>
  <si>
    <t>Chiang Yoke Har</t>
  </si>
  <si>
    <t>620610-06-5002</t>
  </si>
  <si>
    <t>2, Lrg Bukit Setongkol 45, Tmn Cenderawasih Indah, 25200 Kuantan, Pahang</t>
  </si>
  <si>
    <t>019-9896028</t>
  </si>
  <si>
    <t>yhchiang62@gmail.com</t>
  </si>
  <si>
    <t>Handal Green Mobility Sdn Bhd (ICE Gallery @ Pantai Sentral)</t>
  </si>
  <si>
    <t>No 2, Jalan Pantai Sentral 1, Pantai Sentral, 59200 Kuala Lumpur</t>
  </si>
  <si>
    <t>Lor Yean Yean</t>
  </si>
  <si>
    <t>600919-03-5372</t>
  </si>
  <si>
    <t>Lot 2206, Jln Bkt Losong Kg Losong Atap Zin, 21000 Kuala Terengganu</t>
  </si>
  <si>
    <t>012-9873293</t>
  </si>
  <si>
    <t>keemajujaya@gmail.com</t>
  </si>
  <si>
    <t>Lin Mok Kwai Yin</t>
  </si>
  <si>
    <t>521023-06-5194</t>
  </si>
  <si>
    <t>24, Lrg Seri Setali 17, Taman Tunas Baru, 25300 Kuantan, Pahang</t>
  </si>
  <si>
    <t>013-9310848</t>
  </si>
  <si>
    <t>datoedd@gmail.com</t>
  </si>
  <si>
    <t>Kwong Wui Ee</t>
  </si>
  <si>
    <t>760907-06-5366</t>
  </si>
  <si>
    <t>No. 8, Lorong Bukit Setongkol Perdana 10, Perumahan Bukit Setongkol Perdana, 25200 Kuantan, Pahang</t>
  </si>
  <si>
    <t>012-9500330</t>
  </si>
  <si>
    <t>wuiee@hotmail.com</t>
  </si>
  <si>
    <t>Cheu Chow Sew @ Chew Chow Sew</t>
  </si>
  <si>
    <t>550726-06-5257</t>
  </si>
  <si>
    <t>Lot 690-B PPRT, Jln Paka, Kg Batu 50, 23000 Dungun Terengganu</t>
  </si>
  <si>
    <t>019-982 4668</t>
  </si>
  <si>
    <t>pnhuphin@gmail.com</t>
  </si>
  <si>
    <t>Invoice to Perniagaan Hup Hin</t>
  </si>
  <si>
    <t>Ng Ek Hoo</t>
  </si>
  <si>
    <t>500712-06-5197</t>
  </si>
  <si>
    <t>41, Lrg Sekilau 64, Jalan Hj Ahmad, 25300 Kuantan</t>
  </si>
  <si>
    <t>010-2198138</t>
  </si>
  <si>
    <t>sping26@hotmail.com</t>
  </si>
  <si>
    <t>Phang Kar Teck</t>
  </si>
  <si>
    <t>560510-01-6383</t>
  </si>
  <si>
    <t>B4308, Jln Hj Ahmad, Tmn Rasa Sayang, 25300 Kuantan, Pahang</t>
  </si>
  <si>
    <t>019-9862354</t>
  </si>
  <si>
    <t>centralphang@gmail.com</t>
  </si>
  <si>
    <t>Lim Ye Soon</t>
  </si>
  <si>
    <t>870920-06-5675</t>
  </si>
  <si>
    <t>Lot 7822, Lrg SJ 6-3, Tmn Emas - Sri Jaya, 26500 Maran, Pahang</t>
  </si>
  <si>
    <t>017-2152133</t>
  </si>
  <si>
    <t>limyesoon@gmail.com</t>
  </si>
  <si>
    <t>Lee Chiou Horng</t>
  </si>
  <si>
    <t>820611-07-5743</t>
  </si>
  <si>
    <t xml:space="preserve">38, Jalan Udang Gantung, Taman Cuepacs, Segambut, 52000 Kuala Lumpur, </t>
  </si>
  <si>
    <t>016-2030140</t>
  </si>
  <si>
    <t>alch51@yahoo.com</t>
  </si>
  <si>
    <t>On-site service system electrical checking (once a year) for 1 year</t>
  </si>
  <si>
    <t>Dato Lim Zhen Peng</t>
  </si>
  <si>
    <t>910607-01-5085</t>
  </si>
  <si>
    <t>15, Jalan Sentral 23/2, Taman Nusa Sentral, 79100 Iskandar Puteri, Johor</t>
  </si>
  <si>
    <t>017-6885686</t>
  </si>
  <si>
    <t>lindasushen@gmail.com</t>
  </si>
  <si>
    <t>Mohmad Nazeri bin Abdul Wahab</t>
  </si>
  <si>
    <t>670812-10-6015</t>
  </si>
  <si>
    <t>2, Jalan Merbuk 7/23, Taman Bentara, 42500 Telok Panglima Garang, Selangor</t>
  </si>
  <si>
    <t>017-2051100</t>
  </si>
  <si>
    <t>Tan Say Kheng</t>
  </si>
  <si>
    <t>810115-10-5115</t>
  </si>
  <si>
    <t>22, Jalan Jelok Impian 4, Taman Jelok Impian, 43000 Kajang, Selangor</t>
  </si>
  <si>
    <t>012-3850884</t>
  </si>
  <si>
    <t>tansaykheng@hotmail.com</t>
  </si>
  <si>
    <t>Leong Ah Seng</t>
  </si>
  <si>
    <t>570405-71-5931</t>
  </si>
  <si>
    <t>22A, Jln PJU 3/12, Tropicana Indah, 47410 Petaling Jaya, Selangor</t>
  </si>
  <si>
    <t>012-2809511</t>
  </si>
  <si>
    <t>alicia@rossi.com.my</t>
  </si>
  <si>
    <t>Low Yin Jun</t>
  </si>
  <si>
    <t>910313-07-5138</t>
  </si>
  <si>
    <t>16, Jalan CV 4B/1, Selangor Cyber Valley, 63300 Cyberjaya. Selangor Darul Ehsan</t>
  </si>
  <si>
    <t>019-3797922</t>
  </si>
  <si>
    <t>yinjunlow@gmail.com</t>
  </si>
  <si>
    <t>Chan Chee Tuck</t>
  </si>
  <si>
    <t>830427-06-5499</t>
  </si>
  <si>
    <t>No 43, Lorong Sri Jaya 7/4, Taman Sri Jaya Indah, 26500 Maran, Pahang</t>
  </si>
  <si>
    <t>011-51393543</t>
  </si>
  <si>
    <t>xiaoying2501@gmail.com</t>
  </si>
  <si>
    <t>Tuan Noraizan Bt Tuan Long</t>
  </si>
  <si>
    <t>750714-11-5284</t>
  </si>
  <si>
    <t>Lot 339, Kg Raja Baran, Chendering, 21080 Kuala Terengganu, Terengganu</t>
  </si>
  <si>
    <t>019-4705537</t>
  </si>
  <si>
    <t>tuan_noraizan@arb.com.my</t>
  </si>
  <si>
    <t>Noor Izzah Akmal Bt Mohd Nordin</t>
  </si>
  <si>
    <t>871023-06-5530</t>
  </si>
  <si>
    <t>Lot 104149, Lrg Pak Mahat, Kg Kempadang, 26060 Kuantan. Pahang</t>
  </si>
  <si>
    <t>010-7058844</t>
  </si>
  <si>
    <t>izzahnordeen87@gmail.com</t>
  </si>
  <si>
    <t>Guok Diong Chong</t>
  </si>
  <si>
    <t>640715-08-5235</t>
  </si>
  <si>
    <t>85, Jln BU 11/6, Bandar Utama, 47800 Petaling Jaya, Selangor</t>
  </si>
  <si>
    <t>012-2685691</t>
  </si>
  <si>
    <t>dc.guok@gmail.com</t>
  </si>
  <si>
    <t>Tan Kheng Guan</t>
  </si>
  <si>
    <t>550603-11-5293</t>
  </si>
  <si>
    <t>PT 19441, Jln Jakar, 24000 Cukai, Terengganu</t>
  </si>
  <si>
    <t>017-9083355</t>
  </si>
  <si>
    <t>kianhui89@gmail.com</t>
  </si>
  <si>
    <t>2408424-1</t>
  </si>
  <si>
    <t>Low Bok Tek</t>
  </si>
  <si>
    <t>580321-08-5097</t>
  </si>
  <si>
    <t>18, Lrg 20 Tmn Lake View, 34000 Taiping, Perak</t>
  </si>
  <si>
    <t>019-4799999</t>
  </si>
  <si>
    <t>btcap@hotmail.com</t>
  </si>
  <si>
    <t>2408424-2</t>
  </si>
  <si>
    <t>530321-08-5097</t>
  </si>
  <si>
    <t>Amirul Hakim bin Omar</t>
  </si>
  <si>
    <t>940311-10-5273</t>
  </si>
  <si>
    <t>1, Jalan Beting Dua 8/13B, Seksyen 8, 40000 Shah Alam, Selangor</t>
  </si>
  <si>
    <t>010-3825802</t>
  </si>
  <si>
    <t>akembsp5@gmail.com</t>
  </si>
  <si>
    <t>Pang Chong Han</t>
  </si>
  <si>
    <t>Solinteg MHS-8K-25</t>
  </si>
  <si>
    <t>860301-43-5893</t>
  </si>
  <si>
    <t>12, Jln Gamelan 1E, Bdr Bukit Raja, 41050 Klang, Selangor</t>
  </si>
  <si>
    <t>016-9704005</t>
  </si>
  <si>
    <t>chonghan1386@hotmail.com</t>
  </si>
  <si>
    <t>Oh Chai Ean</t>
  </si>
  <si>
    <t>830417-08-5066</t>
  </si>
  <si>
    <t>A7468, Jln Galing  Kecil, 25250 Kuantan,Pahang</t>
  </si>
  <si>
    <t>019-9128777</t>
  </si>
  <si>
    <t>wcyyoong123@gmail.com</t>
  </si>
  <si>
    <t>2409449-1</t>
  </si>
  <si>
    <t>Nurul Ain Binti Yahaya</t>
  </si>
  <si>
    <t>Cash+Credit Card Instalment</t>
  </si>
  <si>
    <t>861226-23-5908</t>
  </si>
  <si>
    <t>No 24, Jalan KS 5/18, 25200 Kuantan, Pahang</t>
  </si>
  <si>
    <t>011-19423302</t>
  </si>
  <si>
    <t>nurulainyahaya@gmail.com</t>
  </si>
  <si>
    <t>Yio Pee Ban</t>
  </si>
  <si>
    <t>810215-06-5157</t>
  </si>
  <si>
    <t>135, Jln Bkt Setongkol 3, Tmn Muhibah Fasa 2, Bukit Setongkol, 25200 Kuantan, Pahang</t>
  </si>
  <si>
    <t>019-9142311</t>
  </si>
  <si>
    <t>pee.banyio@yahoo.com</t>
  </si>
  <si>
    <t>Tan Hock Seng</t>
  </si>
  <si>
    <t>700111-13-5045</t>
  </si>
  <si>
    <t>107, Jalan Udang Pasir 3, Taman Megah, Kepong, 52100 Kuala Lumpur</t>
  </si>
  <si>
    <t>012-2383954</t>
  </si>
  <si>
    <t>tan.hockseng111@gmail.com</t>
  </si>
  <si>
    <t>2409448-1</t>
  </si>
  <si>
    <t>Claris Lim Jink Niee (Lim Chin Horng)</t>
  </si>
  <si>
    <t>020529-10-1062</t>
  </si>
  <si>
    <t>No 16, Jln Setia Nusantara U13/22T, Bandar Eco Setia, Setia Alam, 40170 Shah Alam, Selangor</t>
  </si>
  <si>
    <t>016-2176116</t>
  </si>
  <si>
    <t>clarislim2002@hmail.com</t>
  </si>
  <si>
    <t>Dato Sim Keng Piao</t>
  </si>
  <si>
    <t>810623-05-5361</t>
  </si>
  <si>
    <t>632, Jalan Sri Pulai 34, Taman Sri Pulai 3, 70400 Seremban, Negeri Sembilan</t>
  </si>
  <si>
    <t>012-3599293</t>
  </si>
  <si>
    <t>piew831@gmail.com</t>
  </si>
  <si>
    <t>Muhamad Syamil bin Zulkafli</t>
  </si>
  <si>
    <t>850401-11-5337</t>
  </si>
  <si>
    <t>15, Lrg Im 6/6 Indera Kayangan, Indera Mahkota, 25200 Kuantan, Pahang</t>
  </si>
  <si>
    <t>013-7196919</t>
  </si>
  <si>
    <t>syamale1985@gmail.com</t>
  </si>
  <si>
    <t>Zarita binti Saliman</t>
  </si>
  <si>
    <t>720113-01-5002</t>
  </si>
  <si>
    <t>Lot 1183, Jalan Felcra, Kampung Batu 14, 43100 Hulu Langat, Selangor</t>
  </si>
  <si>
    <t>012-8888661</t>
  </si>
  <si>
    <t>capt.arifstephen@yahoo.com</t>
  </si>
  <si>
    <t>Chan Woei Jye</t>
  </si>
  <si>
    <t>750414-01-6647</t>
  </si>
  <si>
    <t>No 7, Jln Anggerik Eria Tujuh 31/109G, Kota Kemuning, Seksyen 31, 40460 Shah Alam, Selangor</t>
  </si>
  <si>
    <t>016-2100036</t>
  </si>
  <si>
    <t>cwoei_jye@hotmail.com</t>
  </si>
  <si>
    <t>Low Hong Chin</t>
  </si>
  <si>
    <t>791203-01-5725</t>
  </si>
  <si>
    <t>9, Jalan Panorama 2, Taman Kota Panorama, 83700 Yong Peng</t>
  </si>
  <si>
    <t>013-3533328</t>
  </si>
  <si>
    <t>aiping8113@gmail.com</t>
  </si>
  <si>
    <t>Low Hong Choon</t>
  </si>
  <si>
    <t>830209-01-6269</t>
  </si>
  <si>
    <t>No 21, Jln Bayu 8, Tmn Sri Bayu, 83700 Yong Peng, Johor</t>
  </si>
  <si>
    <t>012-5103669</t>
  </si>
  <si>
    <t>Handal Green Mobility Sdn Bhd (Mazda Kuantan Showroom)</t>
  </si>
  <si>
    <t>A557, Jalan Padang lalang, Padang Lalang Industrial Area, Kuantan, Pahang</t>
  </si>
  <si>
    <t>Handal Green Mobility Sdn Bhd (United Point Mall, Kuala Lumpur)</t>
  </si>
  <si>
    <t>10, Jalan Lang Emas, Segambut, 51200 Kuala Lumpur</t>
  </si>
  <si>
    <t>2407167-1</t>
  </si>
  <si>
    <t>Econframe Marketing Sdn Bhd (Kilang 1 &amp; 3)</t>
  </si>
  <si>
    <t>Yingli Solar 585Wp</t>
  </si>
  <si>
    <t>Huawei SUN2000-50KTL + SUN2000-36KTL</t>
  </si>
  <si>
    <t>No 1, Jln Sg Rasa 27 A Off, Jln Dato Mohd Sidin, 41300 Klang, Selangor</t>
  </si>
  <si>
    <t>2407167-2</t>
  </si>
  <si>
    <t>Econframe Marketing Sdn Bhd (Kilang 4)</t>
  </si>
  <si>
    <t>Lot 4, Jln Sg Rasa 27 A Off, Jln Dato Mohd Sidin, 41300 Klang,Selangor</t>
  </si>
  <si>
    <t>2407167-3</t>
  </si>
  <si>
    <t>Econframe Marketing Sdn Bhd (Kilang 20)</t>
  </si>
  <si>
    <t>Huawei SUN2000-50KTL</t>
  </si>
  <si>
    <t>Lot 63272, Lrg Sg Rasau 27A, 41300 Klang, Selangor</t>
  </si>
  <si>
    <t>Zimandy Construction Sdn Bhd (Bandar Tenggara)</t>
  </si>
  <si>
    <t>Huawei SUN2000-40KTL +SUN2000-30KTL + SUN2000-20KTL</t>
  </si>
  <si>
    <t>Pelita Hijrah Sdn Bhd</t>
  </si>
  <si>
    <t>Huawei SUN2000-20KTL x  4</t>
  </si>
  <si>
    <t>Lot 71104-A, Jln Teratai, Kg Paya Jaras Hilir, 40160 Sungai Buloh, Selangor</t>
  </si>
  <si>
    <t>PX</t>
  </si>
  <si>
    <t>Kim Chong Mechanical Services Sdn Bhd</t>
  </si>
  <si>
    <t>3-KB 12, Jalan KPB 18. Kawasan Perindustrian Balakong, 43300 Seri Kembangan, Selangor</t>
  </si>
  <si>
    <t>Unilink Machinery Sdn Bhd</t>
  </si>
  <si>
    <t>PT 85915, Jln KPG Tok Muda, Kapar, 42200 Klang. Selangor</t>
  </si>
  <si>
    <t>Koe Ban Seng</t>
  </si>
  <si>
    <t>621130-12-5429</t>
  </si>
  <si>
    <t>8, Jln Kenyalang 11/15C, Seksyen 11, Kota Damansara, 47810 Petaling Jaya, Selangor</t>
  </si>
  <si>
    <t>012-3983893</t>
  </si>
  <si>
    <t>koebanseng@yahoo.com</t>
  </si>
  <si>
    <t>Teo Boon Ling</t>
  </si>
  <si>
    <t>760505-06-5312</t>
  </si>
  <si>
    <t>1, Jalan Daun Imai 10, Sunway SPK Damansara, 52200 Kuala Lumpur</t>
  </si>
  <si>
    <t>019-2221381</t>
  </si>
  <si>
    <t>boonlingteo@yahoo.com</t>
  </si>
  <si>
    <t>David Hie Wen Jian</t>
  </si>
  <si>
    <t>890928-10-5553</t>
  </si>
  <si>
    <t>52, Jln BU 1/9, Bandar Utama, 47800 Petaling Jaya, Selangor</t>
  </si>
  <si>
    <t>012-3756770</t>
  </si>
  <si>
    <t>hiedavid89@gmail.com</t>
  </si>
  <si>
    <t>Tan Kong Ling</t>
  </si>
  <si>
    <t>661024-08-5861</t>
  </si>
  <si>
    <t>No 2, Lrg SJ 6-3, Tmn Emas-Sri Jaya, 26500 Maran, Selangor</t>
  </si>
  <si>
    <t>013-9365933</t>
  </si>
  <si>
    <t>ysy0723@hotmail.com</t>
  </si>
  <si>
    <t>Lim Daw Woei</t>
  </si>
  <si>
    <t>660927-01-5907</t>
  </si>
  <si>
    <t>6, Jalan Kenyalang 11/15H, Seksyen 11, Kota Damansara, 47810 Petaling Jaya, Selangor</t>
  </si>
  <si>
    <t>012-3321852</t>
  </si>
  <si>
    <t>jolimdw@gmail.com</t>
  </si>
  <si>
    <t>Choong Chin Fong</t>
  </si>
  <si>
    <t>801219-01-5419</t>
  </si>
  <si>
    <t>42, Jalan Setia 9/11, Taman Setia Indah, 81100 Johor Bahru</t>
  </si>
  <si>
    <t>013-7679113</t>
  </si>
  <si>
    <t>berny9113bc@gmail.com</t>
  </si>
  <si>
    <t>Teoh Eng Siong</t>
  </si>
  <si>
    <t>801211-08-5615</t>
  </si>
  <si>
    <t>No 46, Lorong Sri Jaya 7/4, Taman Sri Jaya Indah, 26500 Maran, Pahang</t>
  </si>
  <si>
    <t>019-9153886</t>
  </si>
  <si>
    <t>teoh114@gmail.com</t>
  </si>
  <si>
    <t>Teo Thian Keong</t>
  </si>
  <si>
    <t>870218-23-5523</t>
  </si>
  <si>
    <t>31, Jalan SS 22/30, Petaling, 47400 Petaling Jaya, Selangor</t>
  </si>
  <si>
    <t>017-7584843</t>
  </si>
  <si>
    <t>tianqiang87@gmail.com</t>
  </si>
  <si>
    <t>Chua Lu Chuan</t>
  </si>
  <si>
    <t>420804-10-5133</t>
  </si>
  <si>
    <t>No 1, Lrg Seri Kuantan 28/1, Kuantan Garden, 25300 Kuantan, Pahang</t>
  </si>
  <si>
    <t>010-3959313</t>
  </si>
  <si>
    <t>Referral</t>
  </si>
  <si>
    <t>Quah Ewe Lee</t>
  </si>
  <si>
    <t>560319-07-5561</t>
  </si>
  <si>
    <t>11, Jalan Kenyalang 11/15F, Seksyen 11, Kota Damansara, 47810 Petaling Jaya, Selangor</t>
  </si>
  <si>
    <t>019-3126618</t>
  </si>
  <si>
    <t>qel1888@hotmail.com</t>
  </si>
  <si>
    <t>Lim Chee Keong</t>
  </si>
  <si>
    <t>570825-10-5283</t>
  </si>
  <si>
    <t>5, SD 10/1E, Jln Margosa, Bdr Sri Damansara PJU 9, 52200 Kuala Lumpur, WP Kuala Lumpur</t>
  </si>
  <si>
    <t>018-7636292</t>
  </si>
  <si>
    <t>lim.jianwen0@gmail.com</t>
  </si>
  <si>
    <t xml:space="preserve">3 years </t>
  </si>
  <si>
    <t>Ho Maw Chun</t>
  </si>
  <si>
    <t>691208-08-5361</t>
  </si>
  <si>
    <t>16, Jalan Kantan 5/KS6, Bandar Botanic, 41200 Klang, Selangor</t>
  </si>
  <si>
    <t>012-3306639</t>
  </si>
  <si>
    <t>hmc8925@gmail.com</t>
  </si>
  <si>
    <t>Handal Green Mobility Sdn Bhd (Pulse Grande Hotel)</t>
  </si>
  <si>
    <t>Taman Putra perdana, Jalan Putra Perdana, Presint 1, 62000 Putrajaya</t>
  </si>
  <si>
    <t>Pang Kim Soon</t>
  </si>
  <si>
    <t>770123-06-5463</t>
  </si>
  <si>
    <t>44, Jalan KS 5/5, Kota Sultan Ahmad Shah, 25200 Kuantan, Pahang</t>
  </si>
  <si>
    <t>012-9833998</t>
  </si>
  <si>
    <t>ks.kspang@gmail.com</t>
  </si>
  <si>
    <t>Teong Lian Aik</t>
  </si>
  <si>
    <t>550907-08-5791</t>
  </si>
  <si>
    <t>9(5), Regat Tasik Tmn Tasik Permai Fasa, 34000 Taiping, Perak</t>
  </si>
  <si>
    <t>012-5381739</t>
  </si>
  <si>
    <t>la_teong@yahoo.com</t>
  </si>
  <si>
    <t>Vijayalakshmi a/p Krishnaswamy (Tan Sri Rama Iyer)</t>
  </si>
  <si>
    <t>450528-71-5062</t>
  </si>
  <si>
    <t>Lot 310, Jln 3, Tmn Ampang Utama, 68000 Ampang, Selangor</t>
  </si>
  <si>
    <t>012-3030154</t>
  </si>
  <si>
    <t xml:space="preserve"> ramavijayam10@gmail.com</t>
  </si>
  <si>
    <t>Exclude Smart Meter</t>
  </si>
  <si>
    <t>Unitrade request FOC for installing SSO for EV Charger</t>
  </si>
  <si>
    <t>Low Kim Keong</t>
  </si>
  <si>
    <t>821109-06-5309</t>
  </si>
  <si>
    <t>13, Lrg Seri Setali 11 Off Jln Galing Kem, Tmn Sri Galing, 25300 Kuantan, Pahang</t>
  </si>
  <si>
    <t>016-9210888</t>
  </si>
  <si>
    <t>adwardlow.co@gmail.com</t>
  </si>
  <si>
    <t>Chear Eng Soon</t>
  </si>
  <si>
    <t>840409-01-5489</t>
  </si>
  <si>
    <t>PTD 144930, No 7, Jln Pinggiran 3/2, Horizon Hills, 79100 Nusajaya, Johor</t>
  </si>
  <si>
    <t>012-7840881</t>
  </si>
  <si>
    <t>nick.chear@gmail.com</t>
  </si>
  <si>
    <t>BNI</t>
  </si>
  <si>
    <t>Thiong Jeng Ell</t>
  </si>
  <si>
    <t>790424-06-5465</t>
  </si>
  <si>
    <t>Lot 7929, Jln Hock Bee Kg Sri Jaya, 26500 Sri Jaya, Pahang</t>
  </si>
  <si>
    <t>013-9355351</t>
  </si>
  <si>
    <t>jethiong@hotmail.com</t>
  </si>
  <si>
    <t>Lian Hock Seng</t>
  </si>
  <si>
    <t>781225-06-5185</t>
  </si>
  <si>
    <t>70, Lrg SJ 4-4, Tmn Sri Jaya Indah, 26500 Maran, Pahang</t>
  </si>
  <si>
    <t>013-9933228</t>
  </si>
  <si>
    <t>hockseng8168@gmail.com</t>
  </si>
  <si>
    <t>Handal Green Mobility Sdn Bhd (Kuantan City Mall)</t>
  </si>
  <si>
    <t>Jalan Putra Square 6, Putra Square, 25300 Kuantan, Pahang</t>
  </si>
  <si>
    <t>Dong Mee Hong</t>
  </si>
  <si>
    <t>511231-08-5676</t>
  </si>
  <si>
    <t>Lot 7824, Lrg Sj 6-3, Tmn Emas-Sri Jaya, 26500 Maran, Pahang</t>
  </si>
  <si>
    <t>012-9371615</t>
  </si>
  <si>
    <t>Muck Bei lee (Le Lodge Mansion)</t>
  </si>
  <si>
    <t>861105-33-5208</t>
  </si>
  <si>
    <t>No 2, Lrg Air Putih 97, Tmn Sri Air Putih, Air Putih, 25300 Kuantan, Pahang</t>
  </si>
  <si>
    <t>012-9533751</t>
  </si>
  <si>
    <t>beilee86@gmail.com</t>
  </si>
  <si>
    <t>Exclude smart meter and insurance</t>
  </si>
  <si>
    <t>Liew Mun Meng</t>
  </si>
  <si>
    <t>641211-08-6159</t>
  </si>
  <si>
    <t>77, Jalan Taming Indah 2, Taman Taming Indah 2, 43000 Kajang, Selangor</t>
  </si>
  <si>
    <t>010-5642088</t>
  </si>
  <si>
    <t>weinnyliew88@gmail.com</t>
  </si>
  <si>
    <t>Yee Mei Ling</t>
  </si>
  <si>
    <t>680106-07-5302</t>
  </si>
  <si>
    <t>19, Jalan Mas 3/2, Taman Mas 3, 43200 Cheras, Selangor</t>
  </si>
  <si>
    <t>019-2233298</t>
  </si>
  <si>
    <t>pmcoatings2010@gmail.com</t>
  </si>
  <si>
    <t>Chareon Phromsuwan</t>
  </si>
  <si>
    <t>680901-07-5379</t>
  </si>
  <si>
    <t>7, Jln Kenyalang 11/15C, Seksyen 11, Kota Damansara, 47810, Petaling Jaya, Selangor</t>
  </si>
  <si>
    <t>019-3102054</t>
  </si>
  <si>
    <t>chareonp@gmail.com</t>
  </si>
  <si>
    <t>Christopher A De Souza</t>
  </si>
  <si>
    <t>600427-10-6373</t>
  </si>
  <si>
    <t xml:space="preserve">24, Jalan Kenyalang 11/15G, Seksyen 11, Kota Damansara, 47810 Petaling Jaya, Selangor </t>
  </si>
  <si>
    <t>012-3328366</t>
  </si>
  <si>
    <t>christophera.desouza@gmail.com</t>
  </si>
  <si>
    <t>Teng Lee Xung</t>
  </si>
  <si>
    <t>850803-02-5617</t>
  </si>
  <si>
    <t>No 6, Lrg Seri Setali 119, Jln Air Putih, Tmn Semambu, 25350 Kuantan, Pahang</t>
  </si>
  <si>
    <t>012-8860611</t>
  </si>
  <si>
    <t>danileteng777@gmail.com</t>
  </si>
  <si>
    <t>Ganapathy Srihari a/l Rama Iyer</t>
  </si>
  <si>
    <t>720101-10-7073</t>
  </si>
  <si>
    <t>68, Jalan Athinahapan, Taman Tun Dr Ismail, 60000 Kuala Lumpur, WP Kuala Lumpur</t>
  </si>
  <si>
    <t>012-2000599</t>
  </si>
  <si>
    <t>srihari.iyer@gmail.com</t>
  </si>
  <si>
    <t>Florence Poon</t>
  </si>
  <si>
    <t xml:space="preserve">8, Lorong PJU 3/28C, 28 Residency Sunway, Damansara, 47810 Petaling Jaya, Selangor </t>
  </si>
  <si>
    <t>Prasert Phromsuwan</t>
  </si>
  <si>
    <t>650114-07-5321</t>
  </si>
  <si>
    <t>No 37, Jln Setia Damai U13/14E, Seksyen U 13, 40170 Shah Alam, Selangor</t>
  </si>
  <si>
    <t>019-2867788</t>
  </si>
  <si>
    <t>pphromsuwan@gmail.com</t>
  </si>
  <si>
    <t>Gan Tek Chuan</t>
  </si>
  <si>
    <t>660508-10-5393</t>
  </si>
  <si>
    <t>Lot 11013, B26, Jln Hock Bee Kg Sri Jaya, 26500 Sri Jaya, Pahang</t>
  </si>
  <si>
    <t>011-53019513</t>
  </si>
  <si>
    <t>pekjin123@gmail.com</t>
  </si>
  <si>
    <t>Add 1k for smart meter</t>
  </si>
  <si>
    <t>Wong Kok Wai</t>
  </si>
  <si>
    <t>910323-06-5427</t>
  </si>
  <si>
    <t>11, Lrg Sekilau 38, Tmn Sekilau Perdana, 25200 Kuantan, Pahang</t>
  </si>
  <si>
    <t>011-16233292</t>
  </si>
  <si>
    <t>rambowongkokwai@gmail.com</t>
  </si>
  <si>
    <t>Lee Tian Look</t>
  </si>
  <si>
    <t>610115-06-5321</t>
  </si>
  <si>
    <t>53A Lrg Sj 6-3, Tmn Emas-Sri Jaya, 26500 Maran, Pahang Darul Makmur</t>
  </si>
  <si>
    <t>010-2109882</t>
  </si>
  <si>
    <t>leeweisen@gmail.com</t>
  </si>
  <si>
    <t>Lee Chean Chung</t>
  </si>
  <si>
    <t>810411-06-5277</t>
  </si>
  <si>
    <t>5, Jalan 6/5, Seksyen 6. 46000 Petaling Jaya, Selangor</t>
  </si>
  <si>
    <t>012-9540498</t>
  </si>
  <si>
    <t>cheanchung@gmail.com</t>
  </si>
  <si>
    <t>Low Yi Chin</t>
  </si>
  <si>
    <t>730830-14-5255</t>
  </si>
  <si>
    <t>Lot 4358, Jln Kuantan Kg Sri Jaya, 26500 Sri Jaya, Pahang</t>
  </si>
  <si>
    <t>012-2529900</t>
  </si>
  <si>
    <t>chipseng.srijaya@yahoo.com.my</t>
  </si>
  <si>
    <t>Salim Majid Zain Bin  Abdul Majid</t>
  </si>
  <si>
    <t>690717-10-5637</t>
  </si>
  <si>
    <t>48, Jalan Lanai Kiara, Taman Sri Haratamas, 50480 Kuala Lumpur, WP Kuala Lumpur</t>
  </si>
  <si>
    <t>019-2200333</t>
  </si>
  <si>
    <t>salimmaa@gmail.com</t>
  </si>
  <si>
    <t>Anandan a/l Balakrishnan</t>
  </si>
  <si>
    <t>670720-05-5097</t>
  </si>
  <si>
    <t>79, Jalan SS 18/4, SS 18, 47500 Subang Jaya, Selangor</t>
  </si>
  <si>
    <t>012-2070181</t>
  </si>
  <si>
    <t>dan.anandan@yahoo.com</t>
  </si>
  <si>
    <t>Liew Swee Fah</t>
  </si>
  <si>
    <t>700204-06-5293</t>
  </si>
  <si>
    <t>203, Kg Baru, Sungai Lui, 27600 Raub, Pahang</t>
  </si>
  <si>
    <t>011-37587569</t>
  </si>
  <si>
    <t>liewsweefah5379@gmail.com</t>
  </si>
  <si>
    <t>Chong Chee Hoo</t>
  </si>
  <si>
    <t>860527-23-6635</t>
  </si>
  <si>
    <t>9, Jalan Eko Botani 1/7, Taman Eko Botani, 79100 Iskandar Puteri, Johor</t>
  </si>
  <si>
    <t>012-2556708</t>
  </si>
  <si>
    <t>cheehoo1450@gmail.com</t>
  </si>
  <si>
    <t>Boo Kee Meng</t>
  </si>
  <si>
    <t>690901-01-5903</t>
  </si>
  <si>
    <t>6, Jalan Bertam 21, Taman Daya, 81100 Johor Bahru</t>
  </si>
  <si>
    <t>016-7255360</t>
  </si>
  <si>
    <t>lucasboo123@hotmail.com</t>
  </si>
  <si>
    <t>Gan Chong Sing</t>
  </si>
  <si>
    <t>900427-06-5131</t>
  </si>
  <si>
    <t>No A53, Jln Hock Bee Kg Sri Jaya, 26500 Sri Jaya, Pahang</t>
  </si>
  <si>
    <t>010-2399409</t>
  </si>
  <si>
    <t>chongsing90@hotmail.com</t>
  </si>
  <si>
    <t>Tan Seng Shen</t>
  </si>
  <si>
    <t>680116-01-5493</t>
  </si>
  <si>
    <t>20, Jalan BK 6A/2G, Bandar Kinrara, 47180 Puchong, Selangor</t>
  </si>
  <si>
    <t>012-2329310</t>
  </si>
  <si>
    <t>samtan@insutex.my</t>
  </si>
  <si>
    <t>Jordan Tan Heng Xiang</t>
  </si>
  <si>
    <t>920619-10-5001</t>
  </si>
  <si>
    <t>47, Jln Bungor 7, Bdr Botanic, 41200 Klang, Selangor</t>
  </si>
  <si>
    <t>016-3030529</t>
  </si>
  <si>
    <t>jordantan.1992@gmail.com</t>
  </si>
  <si>
    <t>Wong Peng Soon</t>
  </si>
  <si>
    <t>570816-10-5679</t>
  </si>
  <si>
    <t>1, Lrg Im 13/7, Jln Sg Lembing (Astana Golf Resort), Indera Mahkota, 25200 Kuantan, Pahang</t>
  </si>
  <si>
    <t>012-9832681</t>
  </si>
  <si>
    <t>miaoshun@live.com.my</t>
  </si>
  <si>
    <t>Chan My Ling</t>
  </si>
  <si>
    <t>651015-06-5528</t>
  </si>
  <si>
    <t>No 2, Jln Mandarina 2, Bkt Manda'rina, 56000 Cheras, WP Kuala Lumpur</t>
  </si>
  <si>
    <t>011-16262901</t>
  </si>
  <si>
    <t>irenechan2708@gmail.com</t>
  </si>
  <si>
    <t>Ricky Goh Hoon Kan</t>
  </si>
  <si>
    <t>K2270382D</t>
  </si>
  <si>
    <t>5, Jln Pahang Tmn Canning, 31400 Ipoh, Perak</t>
  </si>
  <si>
    <t>017-4380711</t>
  </si>
  <si>
    <t>rickygohhk@yahoo.com</t>
  </si>
  <si>
    <t>Chow Leong Choon</t>
  </si>
  <si>
    <t>790829-14-5017</t>
  </si>
  <si>
    <t>41, Jln USJ 16/3, Mukim Damansara, 47630 Petaling Jaya, Selangor</t>
  </si>
  <si>
    <t>011-33111419</t>
  </si>
  <si>
    <t>lcchow2k@yahoo.com</t>
  </si>
  <si>
    <t>Lim Sooi Poh</t>
  </si>
  <si>
    <t>600828-01-5237</t>
  </si>
  <si>
    <t>17, Double Storey Semi-Detached, Jln Panorama 2, Tmn Kota Panorama, 83700 Yong Peng, Johor</t>
  </si>
  <si>
    <t>019-7137352</t>
  </si>
  <si>
    <t>c2pxian92@hotmail.com</t>
  </si>
  <si>
    <t>2408411-1</t>
  </si>
  <si>
    <t>Eng Khai Shu</t>
  </si>
  <si>
    <t>880903-14-5138</t>
  </si>
  <si>
    <t>72, WP Kuala Lumpur, Jalan Kasipillay, 51200 Kuala Lumpur, WP Kuala Lumpur</t>
  </si>
  <si>
    <t>012-5030513</t>
  </si>
  <si>
    <t>celinebellea0903@gmail.com</t>
  </si>
  <si>
    <t>Chew Beng Hock</t>
  </si>
  <si>
    <t>670201-04-5153</t>
  </si>
  <si>
    <t>51, Jln USJ 11/1F, UEP Subang Jaya, 47600 Subang Jaya, Selangor</t>
  </si>
  <si>
    <t>017-8779033</t>
  </si>
  <si>
    <t>ameliachew76@yahoo.com</t>
  </si>
  <si>
    <t>Yeo Shu Jin</t>
  </si>
  <si>
    <t>820817-10-5821</t>
  </si>
  <si>
    <t>8, Jalan Aman Perdana 8E/KU5, Taman Aman Perdana, 41050 Klang, Selangor</t>
  </si>
  <si>
    <t>012-2111891</t>
  </si>
  <si>
    <t>sjyeo82@yahoo.com</t>
  </si>
  <si>
    <t>Har Hock Lee</t>
  </si>
  <si>
    <t>650217-08-5143</t>
  </si>
  <si>
    <t>Lot 5361, Lrg SJ 6-3, Tmn Emas-Sri  Jaya, 26500 Maran, Pahang</t>
  </si>
  <si>
    <t>013-9304377</t>
  </si>
  <si>
    <t>harwanhong99@gmail.com</t>
  </si>
  <si>
    <t>Wong Wai Hung</t>
  </si>
  <si>
    <t>760329-14-5793</t>
  </si>
  <si>
    <t>25, Jalan SS 3/86, Taman Universiti, 47300 Petaling Jaya, Selangor</t>
  </si>
  <si>
    <t>019-2266120</t>
  </si>
  <si>
    <t>w.waihung@gmail.com</t>
  </si>
  <si>
    <t>Kuan Guan Chong</t>
  </si>
  <si>
    <t>551212-03-5215</t>
  </si>
  <si>
    <t>7, Jln Impian 1, Tmn Impian Villa, 27600 Raub, Pahang</t>
  </si>
  <si>
    <t>017-9331115</t>
  </si>
  <si>
    <t>kuankianyang@hotmail.com</t>
  </si>
  <si>
    <t>Kuan Kian Yang</t>
  </si>
  <si>
    <t>831207-03-5225</t>
  </si>
  <si>
    <t>No 93, Jalan Impian 4, Taman Impian Villa, 27600 Raub Pahang</t>
  </si>
  <si>
    <t>Loh Chee Kuan</t>
  </si>
  <si>
    <t>810227-14-5381</t>
  </si>
  <si>
    <t>No 12, Jln Megah 11A, Tmn Megah, 43200 Batu 11 Cheras, Selangor</t>
  </si>
  <si>
    <t>012-6269463</t>
  </si>
  <si>
    <t>stanleyloh33@gmail.com</t>
  </si>
  <si>
    <t>Mohd Rushdi Bin Haji Abu Bakar</t>
  </si>
  <si>
    <t>Cash + CC Instalment</t>
  </si>
  <si>
    <t>730408-06-5049</t>
  </si>
  <si>
    <t>No 59, Lrg Seri Damai Aman 52, Jln Gambang, Tmn Seri Damai Aman, 25150 Kuantan, Pahang</t>
  </si>
  <si>
    <t>010-5767058</t>
  </si>
  <si>
    <t>mohd.rushdi.abu.bakar@gmail.com</t>
  </si>
  <si>
    <t>Ting Kam Peng</t>
  </si>
  <si>
    <t>500414-08-5173</t>
  </si>
  <si>
    <t>13, Jln 13 Jln Klang Lama Bt 5, Tmn Lee Yan Lian, 58200 WP Kuala Lumpur</t>
  </si>
  <si>
    <t>019-3211233</t>
  </si>
  <si>
    <t>tingkampeng@gmail.com</t>
  </si>
  <si>
    <t>Lim See Peng</t>
  </si>
  <si>
    <t>Huawei SUN2000-6KTL-M1</t>
  </si>
  <si>
    <t>300102-10-5815</t>
  </si>
  <si>
    <t>16, Jln Kemuning Indah 32/142, Kemuning Utama, Seksyen 32, 40460 Shah Alam, Selangor</t>
  </si>
  <si>
    <t>012-3178932</t>
  </si>
  <si>
    <t>seepeng.lim@gmail.com</t>
  </si>
  <si>
    <t>Completion of physical by Sept 2025</t>
  </si>
  <si>
    <t>Chan Yee  Wan</t>
  </si>
  <si>
    <t>801016-14-6283</t>
  </si>
  <si>
    <t>52A, Jalan Aman Arahsia 2, Bandar Tropicana Aman, 42500 Telok Panglima Garang, Selangor</t>
  </si>
  <si>
    <t>012-2912577</t>
  </si>
  <si>
    <t>jason_dasb@hotmail.com</t>
  </si>
  <si>
    <t>Lee Xue Cheng</t>
  </si>
  <si>
    <t>051028-01-1415</t>
  </si>
  <si>
    <t>No 70, Jln Bestari 3/1, Tmn Nusa Bestari, 79150 Johor Bahru, Johor</t>
  </si>
  <si>
    <t>017-7857783</t>
  </si>
  <si>
    <t>xuechenglee1028@gmail.com</t>
  </si>
  <si>
    <t>Dennis Lee Jia Seng</t>
  </si>
  <si>
    <t>970507-01-6675</t>
  </si>
  <si>
    <t>No 6, Jln Panorama 7, Tmn Kota Panorama, 83700 Yong Peng, Johor</t>
  </si>
  <si>
    <t>016-7139920</t>
  </si>
  <si>
    <t>leedennis507@gmail.com</t>
  </si>
  <si>
    <t>Teh Wee Loon</t>
  </si>
  <si>
    <t>830510-10-5973</t>
  </si>
  <si>
    <t>1, Jalan Aman Perdana 11K/KU5, Taman Aman Perdana, 41050 Klang, Selangor</t>
  </si>
  <si>
    <t>019-6483333</t>
  </si>
  <si>
    <t>tehweeloon@gmail.com</t>
  </si>
  <si>
    <t>Tang Wei Keong</t>
  </si>
  <si>
    <t>780524-14-5949</t>
  </si>
  <si>
    <t>No 5, Jln Kemuning Damai 32/147D, Kemuning Utama, Seksyen 32, 40460 Shah Alam, Selangor</t>
  </si>
  <si>
    <t>012-2398993</t>
  </si>
  <si>
    <t>wktang@synteq.com.my</t>
  </si>
  <si>
    <t>Wong Jun Kit</t>
  </si>
  <si>
    <t>801127-10-2417</t>
  </si>
  <si>
    <t>No 1, Lrg Mohd Tahir 14A/KS2, Tmn Saujana, Kg Jawa, 41000 Klang, Selangor</t>
  </si>
  <si>
    <t>019-3840060</t>
  </si>
  <si>
    <t>junkit143@yahoo.com.sg</t>
  </si>
  <si>
    <t>Rashid Bin Darlan</t>
  </si>
  <si>
    <t>680415-01-5223</t>
  </si>
  <si>
    <t>No 6, Jalan Sungai Soi Jaya 3, Perumahan Sungai Soi Jaya 2, 26060 Kuantan Pahang</t>
  </si>
  <si>
    <t>012-4424191</t>
  </si>
  <si>
    <t>rash.darl@gmail.com</t>
  </si>
  <si>
    <t>Great Beauty Furniture Sdn Bhd</t>
  </si>
  <si>
    <t>A 483, Jalan Beserah, Taman Sri Pelindung Satu, 25300 Kuantan, Pahang</t>
  </si>
  <si>
    <t>No GITA application</t>
  </si>
  <si>
    <t>Chin Kok Leng</t>
  </si>
  <si>
    <t>761030-06-5371</t>
  </si>
  <si>
    <t>11, Lrg Sekilau 42, Jln Hj Ahmad, Tmn Sekilau Perdana, 25200 Kuantan, Pahang</t>
  </si>
  <si>
    <t>016-9221033</t>
  </si>
  <si>
    <t>cherryq16@gmail.com</t>
  </si>
  <si>
    <t>Mei Shun Fang Manufacturing Sdn Bhd</t>
  </si>
  <si>
    <t>Chin Yee Fa</t>
  </si>
  <si>
    <t>570406-06-5491</t>
  </si>
  <si>
    <t>No 19, Lrg Im 11/6, Mahkota Heights, 25200 Kuantan, Pahang</t>
  </si>
  <si>
    <t>019-9160668</t>
  </si>
  <si>
    <t>cjhao8855@gmail.com</t>
  </si>
  <si>
    <t>Wong Teck Keng</t>
  </si>
  <si>
    <t>770530-14-5591</t>
  </si>
  <si>
    <t>161, Jln USJ 9/1, UEP Subang Jaya, 47630 Subang Jaya, Selangor</t>
  </si>
  <si>
    <t>012-3153960</t>
  </si>
  <si>
    <t>teckkeng@gmail.com</t>
  </si>
  <si>
    <t>Ken</t>
  </si>
  <si>
    <t>Bhajan Singh a/l S Bachan Singh</t>
  </si>
  <si>
    <t>520529-01-5595</t>
  </si>
  <si>
    <t>1, Lrg Kubang Buaya 7, 25250 Kuantan, Pahang</t>
  </si>
  <si>
    <t>013-9276292</t>
  </si>
  <si>
    <t>bhajan1952@gmail.com</t>
  </si>
  <si>
    <t>Khadillah binti Hassan</t>
  </si>
  <si>
    <t>680623-06-5006</t>
  </si>
  <si>
    <t>D367, Jln Bukit Setongkol, Pkg Cenderawasih, 25200 Kuantan, Pahang</t>
  </si>
  <si>
    <t>012-9222442</t>
  </si>
  <si>
    <t>fenthagrow@gmail.com</t>
  </si>
  <si>
    <t>ST Rosyam Mall (Plus Xnergy Services Sdn Bhd)</t>
  </si>
  <si>
    <t>Lim Zhi Jie</t>
  </si>
  <si>
    <t>991018-01-5615</t>
  </si>
  <si>
    <t>19, Jalan Panoram 2, Taman Kota Panorama, 83700 Yong Peng, Johor</t>
  </si>
  <si>
    <t>011-33112738</t>
  </si>
  <si>
    <t>Jie_008@hotmail.com</t>
  </si>
  <si>
    <t>Safinaz Binti Mohd Sharif</t>
  </si>
  <si>
    <t>670915-01-5984</t>
  </si>
  <si>
    <t>Lot 2298, Jalan Sg. Soi, Kg. Sepat, 25150 Penor, Pahang.</t>
  </si>
  <si>
    <t>012-9818637</t>
  </si>
  <si>
    <t>safinazsharif67@gmail.com</t>
  </si>
  <si>
    <t>Kong Chun Seng</t>
  </si>
  <si>
    <t>950316-14-6321</t>
  </si>
  <si>
    <t>No 200, Jalan Colonial 6, Taman Colonial, 27600 Raub, Pahang</t>
  </si>
  <si>
    <t>019-9804663</t>
  </si>
  <si>
    <t>Chunseng950316@icloud.com</t>
  </si>
  <si>
    <t>Lew Yuen Tang</t>
  </si>
  <si>
    <t>560915-10-5405</t>
  </si>
  <si>
    <t>5, Jalan SS 22A/6, Damansara Jaya, 47400 Petaling Jaya, Selangor</t>
  </si>
  <si>
    <t>012-3309688</t>
  </si>
  <si>
    <t>pavirelew3@gmail.com</t>
  </si>
  <si>
    <t>Yau Hwee Tien</t>
  </si>
  <si>
    <t>811024-01-5944</t>
  </si>
  <si>
    <t>70, Jalan Kota Impian 2, Taman Kota Impian, 83700 Yong Peng, Johor</t>
  </si>
  <si>
    <t>016-7601468</t>
  </si>
  <si>
    <t>hweetien@hotmail.com</t>
  </si>
  <si>
    <t>Datuk Abdul Rani</t>
  </si>
  <si>
    <t>730517-08-5321</t>
  </si>
  <si>
    <t>No 41, Jalan Frekuensi U16/118, Elmina East, 40160 Shah Alam, Selangor</t>
  </si>
  <si>
    <t>017-3777902</t>
  </si>
  <si>
    <t>iyadnifaelio@gmail.com</t>
  </si>
  <si>
    <t>Augustine Kok Hwai Nam</t>
  </si>
  <si>
    <t>640823-07-5309</t>
  </si>
  <si>
    <t>68, Jln BU 12/6, Bandar Utama, 47800 Petaling Jaya, Selangor</t>
  </si>
  <si>
    <t>012-5017002</t>
  </si>
  <si>
    <t>augkok@gmail.com</t>
  </si>
  <si>
    <t>Jeremy Koo Wui Ken</t>
  </si>
  <si>
    <t>810525-14-6833</t>
  </si>
  <si>
    <t>17, Jln BU 11/6, Bandar Utama, 47800 Petaling Jaya, Selangor</t>
  </si>
  <si>
    <t>852-52392544</t>
  </si>
  <si>
    <t>jeremy6833@gmail.com</t>
  </si>
  <si>
    <t>Vinny Len Siew Meng</t>
  </si>
  <si>
    <t>870530-06-5450</t>
  </si>
  <si>
    <t>No 19, Jalan Rinba Jaya 3, Taman Rimba Jaya, 28400 Mentakab, Pahang</t>
  </si>
  <si>
    <t>012-2352813</t>
  </si>
  <si>
    <t>vinnylen@gmail.com</t>
  </si>
  <si>
    <t>William Song Jian Tat</t>
  </si>
  <si>
    <t>Haslina binti Othman</t>
  </si>
  <si>
    <t>670604-11-5048</t>
  </si>
  <si>
    <t>Lot 367, Jln Tg Lumpur, Kg Peramu, 26060 Kuantan, Pahang</t>
  </si>
  <si>
    <t>013-9480768</t>
  </si>
  <si>
    <t>ahbagency67@gmail.com</t>
  </si>
  <si>
    <t>Choy Poh Chu</t>
  </si>
  <si>
    <t>751103-06-5104</t>
  </si>
  <si>
    <t>No 42, Lrg Im 1/34, Bdr Indera Mahkota, 25200 Kuantan, Pahang</t>
  </si>
  <si>
    <t>017-8815769</t>
  </si>
  <si>
    <t>pohchuchoy@gmail.com</t>
  </si>
  <si>
    <t>Chong Shiuh Dyi</t>
  </si>
  <si>
    <t>830419-14-5229</t>
  </si>
  <si>
    <t>No 143, Jln Bidara 1, Tmn Bidara, 68100 Batu Caves, Selangor</t>
  </si>
  <si>
    <t>010-4698765</t>
  </si>
  <si>
    <t>wanderingvirocana@gmail.com</t>
  </si>
  <si>
    <t>Yong Chee Seng</t>
  </si>
  <si>
    <t>751025-04-5019</t>
  </si>
  <si>
    <t>41, Jalan Aman Perdana 11K/KU5, Taman Aman Perdana, 41050 Klang, Selangor</t>
  </si>
  <si>
    <t>012-3888517</t>
  </si>
  <si>
    <t>hoongthyeengineering@gmail.com</t>
  </si>
  <si>
    <t>Nur Salinahany binti Hanafiah</t>
  </si>
  <si>
    <t>771124-02-6014</t>
  </si>
  <si>
    <t>36645, Rumah Lot, Jln Lapangan Terbang, 26070 Kuantan</t>
  </si>
  <si>
    <t>010-4060484</t>
  </si>
  <si>
    <t>hanynajib7577@gmail.com</t>
  </si>
  <si>
    <t>Chara Sdn Bhd</t>
  </si>
  <si>
    <t>PPA</t>
  </si>
  <si>
    <t>Astronergy 605Wp</t>
  </si>
  <si>
    <t>Huawei SN2000-40KTL + Huawei SUN2000-30KTL</t>
  </si>
  <si>
    <t>3, Jalan Majistret U1/26, Hicom Glenmarie Industrial Park, 40150 Shah Alam, Selangor</t>
  </si>
  <si>
    <t>Ng Mong Ping</t>
  </si>
  <si>
    <t>730122-01-5257</t>
  </si>
  <si>
    <t>25, Jalan Panorama 7, Taman Kota Panorama, 83700 Yong Peng, Johor</t>
  </si>
  <si>
    <t>65-91388191</t>
  </si>
  <si>
    <t>mongping.ng@gmail.com</t>
  </si>
  <si>
    <t>Lai Boon Liong</t>
  </si>
  <si>
    <t>791205-01-5083</t>
  </si>
  <si>
    <t>1, Jalan Bayu 8, Taman Sri Bayu, 83700 Yong Peng, Johor</t>
  </si>
  <si>
    <t>012-4743089</t>
  </si>
  <si>
    <t>yap.sk@hotmail.com</t>
  </si>
  <si>
    <t>Khairul Hisham Bin Mohamed</t>
  </si>
  <si>
    <t>850301-06-5635</t>
  </si>
  <si>
    <t>50, Taman PSJ, Lrg Sg Karang Darat 12, PKGN Sg Karang Darat, 26100 Kuantan, Pahang</t>
  </si>
  <si>
    <t>019-9709798</t>
  </si>
  <si>
    <t>khaimoha3720@gmail.com</t>
  </si>
  <si>
    <t>Tan Hock Cheng</t>
  </si>
  <si>
    <t>700325-01-5145</t>
  </si>
  <si>
    <t>No 20, Lrg Air Putih 102, Tmn Air Putih, Air Putih, 25300 Kuantan, Pahang</t>
  </si>
  <si>
    <t>019-9310567</t>
  </si>
  <si>
    <t>hvacrtan@gmail.com</t>
  </si>
  <si>
    <t>Phang Yeong Chin</t>
  </si>
  <si>
    <t>780919-07-5404</t>
  </si>
  <si>
    <t>62A, Jln USJ 12/1, UEP Subang Jaya, 47630 Subang Jaya, Selangor</t>
  </si>
  <si>
    <t>012-2965565</t>
  </si>
  <si>
    <t>phang_sk13@yahoo.com</t>
  </si>
  <si>
    <t>Yap Weoi Kee</t>
  </si>
  <si>
    <t>Solax 8kW</t>
  </si>
  <si>
    <t>670103-10-6653</t>
  </si>
  <si>
    <t>52, Jalan SL 4/2, Bandar Sungai Long, 43000 Kajang, Selangor</t>
  </si>
  <si>
    <t>019-3100965</t>
  </si>
  <si>
    <t>yapweoikee@gmail.com</t>
  </si>
  <si>
    <t>Lee Sui Lian</t>
  </si>
  <si>
    <t>550331-04-5091</t>
  </si>
  <si>
    <t>E2010, Jln Mat Kilau, 25100 Kuantan, Pahang</t>
  </si>
  <si>
    <t>011-35339431</t>
  </si>
  <si>
    <t>kcwlcy0912@gmail.com</t>
  </si>
  <si>
    <t>Too Seng Eng</t>
  </si>
  <si>
    <t>690211-06-5017</t>
  </si>
  <si>
    <t>No 18, Lrg GE 2 Tmn Gemilang Emas-Sg Jan, 27000 Jeratut Pahang</t>
  </si>
  <si>
    <t>013-9816863</t>
  </si>
  <si>
    <t>kaixuantoo@gmail.com</t>
  </si>
  <si>
    <t>Anthony Phua Kin Loong</t>
  </si>
  <si>
    <t>860406-33-5573</t>
  </si>
  <si>
    <t>No 14, Jalan KS 12/8, Kota Sultan Ahmad Shah, 25200 Kuantan, Pahang</t>
  </si>
  <si>
    <t>016-9514838</t>
  </si>
  <si>
    <t>Anthony.phua.kl@gmail.com</t>
  </si>
  <si>
    <t>Chang Kok Sang (Chang Vun Yu)</t>
  </si>
  <si>
    <t>510630-12-5175</t>
  </si>
  <si>
    <t>43, Jln USJ 9/3P, UEP Subang Jaya, 47500 Subang Jaya, Selangor</t>
  </si>
  <si>
    <t>019-8606262</t>
  </si>
  <si>
    <t>clementchang@harrisons.com.my</t>
  </si>
  <si>
    <t>Tee Hup Soon</t>
  </si>
  <si>
    <t>970830-56-5439</t>
  </si>
  <si>
    <t>No 2, Lorong Bukit Setongkol Baru 9, Perumahan Bukit Setongkol Baru, 25200 Kuantan, Pahang</t>
  </si>
  <si>
    <t>013-8040830</t>
  </si>
  <si>
    <t>thssoon@gmail.com</t>
  </si>
  <si>
    <t>include smart meter</t>
  </si>
  <si>
    <t>Muhammad Arif Stephen bin Abddullah</t>
  </si>
  <si>
    <t>621102-10-7661</t>
  </si>
  <si>
    <t>Lot-1183A, Jalan Felcra, Kampung Batu 14, 43100 Hulu Langat, Selangor</t>
  </si>
  <si>
    <t>Law Meng Siong</t>
  </si>
  <si>
    <t>680623-06-5049</t>
  </si>
  <si>
    <t>Lot 13347, Bt 2 1-2 Jln Triang, 28200 Triang, Pahang</t>
  </si>
  <si>
    <t>019-9558682</t>
  </si>
  <si>
    <t>tskiansiong@gmail.com</t>
  </si>
  <si>
    <t>Teh Bat Kuan (Teh Eng Lim)</t>
  </si>
  <si>
    <t>580406-08-5985</t>
  </si>
  <si>
    <t>PT 1467, Regat Th 2, Taman Taiping Harmoni, 34000 Taiping, Perak</t>
  </si>
  <si>
    <t>012-52211111</t>
  </si>
  <si>
    <t>office.tehtehdev@gmail.com</t>
  </si>
  <si>
    <t>Ayer Keroh R&amp;R (Southbound) - Green EV Charge Sdn Bhd</t>
  </si>
  <si>
    <t>Lai Kwee Far</t>
  </si>
  <si>
    <t>631106-05-5079</t>
  </si>
  <si>
    <t>20, Lrg Kurnia Jaya 3, Pkg Kurnia Jaya 1, 25150 Kuantan, Pahang</t>
  </si>
  <si>
    <t>010-9831963</t>
  </si>
  <si>
    <t>liewbonnie67@gmail.com</t>
  </si>
  <si>
    <t>Dr Balbinder Singh a/l Gurbaksh Singh</t>
  </si>
  <si>
    <t>680315-07-5317</t>
  </si>
  <si>
    <t>41, Jalan Tempinis 1, Taman Lucky, Bangsar, 59100 Kuala Lumpur, WP Kuala Lumpur</t>
  </si>
  <si>
    <t>012-2134001</t>
  </si>
  <si>
    <t>kgbill15@yahoo.com</t>
  </si>
  <si>
    <t>Ong Ah Chai</t>
  </si>
  <si>
    <t>1, Lrg Galing 18, 25300 Kuantan, Pahang</t>
  </si>
  <si>
    <t>Huawei SUN2000-50KTL + SUN2000-20KTL</t>
  </si>
  <si>
    <t>Wan Kong Wing</t>
  </si>
  <si>
    <t>640707-08-5227</t>
  </si>
  <si>
    <t>21, JLN UNGU U9/29A, CAHAYA SPK, SEK U9, 40150 SHAH ALAM, SELANGOR</t>
  </si>
  <si>
    <t>012-3788234</t>
  </si>
  <si>
    <t>kwwan07@yahoo.com</t>
  </si>
  <si>
    <t>Berjayapak Sdn Bhd</t>
  </si>
  <si>
    <t>Yingli Solar 620Wp</t>
  </si>
  <si>
    <t>Zohairen Bin Mhamad Sori</t>
  </si>
  <si>
    <t>691107-04-5475</t>
  </si>
  <si>
    <t>59, JLN KELAB UKAY, TMN KELAB UKAY, BKT ANTARABANGSA, 68000 AMPANG, SELANGOR</t>
  </si>
  <si>
    <t>014-6269711</t>
  </si>
  <si>
    <t>zohairen@gmail.com</t>
  </si>
  <si>
    <t>Facebook</t>
  </si>
  <si>
    <t>Roshahni Binti Mhammad</t>
  </si>
  <si>
    <t>670308-03-5318</t>
  </si>
  <si>
    <t>6, Lrg Galing 28, 25300 Kuantan, Pahang</t>
  </si>
  <si>
    <t>011-55032998</t>
  </si>
  <si>
    <t>nanimuhammad67@gmail.com</t>
  </si>
  <si>
    <t>Jowee Trading Sdn Bhd</t>
  </si>
  <si>
    <t>Astronergy 620Wp</t>
  </si>
  <si>
    <t>Huawei SUN2000-20KTL x 2</t>
  </si>
  <si>
    <t>Nur Salwahani Bt Muhammad</t>
  </si>
  <si>
    <t>780205-11-5670</t>
  </si>
  <si>
    <t>No 15, Lrg Im 15/7, Tmn Astana View, 25300 Kuantan,  Pahang</t>
  </si>
  <si>
    <t>013-9082165</t>
  </si>
  <si>
    <t>norsalwahanimuhammad2003@gmail.com</t>
  </si>
  <si>
    <t xml:space="preserve">Tham Wai Hong </t>
  </si>
  <si>
    <t>730725-06-5069</t>
  </si>
  <si>
    <t>7, Lrg Air Putih 51, 25300 Kuantan, Pahang</t>
  </si>
  <si>
    <t>012-3666363</t>
  </si>
  <si>
    <t>mysamwht@gmail.com</t>
  </si>
  <si>
    <t>Ng Heng Hock</t>
  </si>
  <si>
    <t>771118-02-5875</t>
  </si>
  <si>
    <t>1884, Lrg Alor Akar 46, Tmn Impiana, 25300 Kuantan, Pahang</t>
  </si>
  <si>
    <t>019-9523822</t>
  </si>
  <si>
    <t>xingen150305@gmail.com</t>
  </si>
  <si>
    <t xml:space="preserve">Chong Yee Sam </t>
  </si>
  <si>
    <t>870913-38-5355</t>
  </si>
  <si>
    <t>B3394, Lrg Galing 143, Air Putih, 25020 Kuantan, Pahang</t>
  </si>
  <si>
    <t>010-4080727</t>
  </si>
  <si>
    <t>sam2chong@gmail.com</t>
  </si>
  <si>
    <t>Heng Mooi Sing</t>
  </si>
  <si>
    <t>771008-08-7020</t>
  </si>
  <si>
    <t>33, Garden Manor, Sierramas, 47000 Sungai Buloh, Selangor</t>
  </si>
  <si>
    <t>012-6510878</t>
  </si>
  <si>
    <t>asam1008@hotmail.com</t>
  </si>
  <si>
    <t>Lee Soo Kean</t>
  </si>
  <si>
    <t>650615-07-5151</t>
  </si>
  <si>
    <t>No 1, Lrg Im 1/61, Tmn Mahkota Ceria, 25200 Kuantan Pahang</t>
  </si>
  <si>
    <t>013-9377981</t>
  </si>
  <si>
    <t>sklee0665@gmail.com</t>
  </si>
  <si>
    <t>Kiren Kaur A/P Bhajan Singh</t>
  </si>
  <si>
    <t>820207-08-5886</t>
  </si>
  <si>
    <t>No 11, Lrg Kubang Buaya 7, 25250 Kuantan, Pahang</t>
  </si>
  <si>
    <t>012-4056292</t>
  </si>
  <si>
    <t>kirenkaurbraich@gmail.com</t>
  </si>
  <si>
    <t>39, Bayu Utara Seri Pilmoor, Jln PJU 1A/20, 43701 Petaling Jaya, Selangor</t>
  </si>
  <si>
    <t>Chiang Hock Chiong</t>
  </si>
  <si>
    <t>680101-03-8297</t>
  </si>
  <si>
    <t>15, Lorong Pelindung 3, Persisiran Residences Bukit Pelindung, 25050 Kuantan, {ahang</t>
  </si>
  <si>
    <t>012-9085551</t>
  </si>
  <si>
    <t>isaaczack@yahoo.com</t>
  </si>
  <si>
    <t>Goh Boon Leng</t>
  </si>
  <si>
    <t>791028-01-5655</t>
  </si>
  <si>
    <t>116, Jalan 20/7, Taman Paramount, 46300 Petaling Jaya, Selangor</t>
  </si>
  <si>
    <t>016-6629044</t>
  </si>
  <si>
    <t>boonlg@gmail.com</t>
  </si>
  <si>
    <t>Lee Len Foong</t>
  </si>
  <si>
    <t>631030-06-5122</t>
  </si>
  <si>
    <t>No 16, Lrg Bukit Setongkol 171, 25200 Kuantan, Pahang</t>
  </si>
  <si>
    <t>016-5299174</t>
  </si>
  <si>
    <t>EEKIENLOONG96@GMAIL.COM</t>
  </si>
  <si>
    <t>Yap Swee Piau</t>
  </si>
  <si>
    <t>890301-14-6351</t>
  </si>
  <si>
    <t xml:space="preserve">No. 9, Jalan KS 12/8, Kota Sultan Ahmad Shah, 25200 Kuantan, Pahang </t>
  </si>
  <si>
    <t>016-6905690</t>
  </si>
  <si>
    <t>darickyap@gmail.com</t>
  </si>
  <si>
    <t>Kong King Wai</t>
  </si>
  <si>
    <t>811005-08-5461</t>
  </si>
  <si>
    <t>22A, Jln Segar Perdana 4/7, Tmn Segar Perdana, 43200 Batu 11 Cheras, Selangor</t>
  </si>
  <si>
    <t>017-8775160</t>
  </si>
  <si>
    <t>kwkong555@gmail.com</t>
  </si>
  <si>
    <t>22, Jln PJU 3/12, Tropicana Indah, 47410 Petaling Jaya, Selangor</t>
  </si>
  <si>
    <t>Lee Kee Chew</t>
  </si>
  <si>
    <t>570906-08-6555</t>
  </si>
  <si>
    <t>18, Jalan SS 22/28, Damansara Jaya, 47400 Petaling Jaya, Selangor</t>
  </si>
  <si>
    <t>019-3111662</t>
  </si>
  <si>
    <t>simonlee1@yahoo.com</t>
  </si>
  <si>
    <t>Sia Wee Leng</t>
  </si>
  <si>
    <t>700101-10-7323</t>
  </si>
  <si>
    <t>No 3, Jln Rimbunan Melor 9, Laman Rimbunan Kepong, 52100 Kuala Lumpur, WP Kuala Lumpur</t>
  </si>
  <si>
    <t>012-3862832</t>
  </si>
  <si>
    <t>lgfswl@gmail.com</t>
  </si>
  <si>
    <t>2505699-1</t>
  </si>
  <si>
    <t>Leong Wai Wung</t>
  </si>
  <si>
    <t>Lim Jun Hong</t>
  </si>
  <si>
    <t>940611-08-5059</t>
  </si>
  <si>
    <t>No 7, Jln USJ 3A/8, 47680 Subang Jaya, Selangor</t>
  </si>
  <si>
    <t>016-6679002</t>
  </si>
  <si>
    <t>limjh.611@gmail.com</t>
  </si>
  <si>
    <t>2 years</t>
  </si>
  <si>
    <t>Thayananthan A/L Lokanatan</t>
  </si>
  <si>
    <t>880603-06-5259</t>
  </si>
  <si>
    <t>No 3, Lrg Im 21/4, Perumahan Taman Indera Mahkota 21, 25200 Kuantan, Pahang</t>
  </si>
  <si>
    <t>016-7252108</t>
  </si>
  <si>
    <t>avith2309@gmail.com</t>
  </si>
  <si>
    <t>Koh Kheat Kian</t>
  </si>
  <si>
    <t>800626-06-5187</t>
  </si>
  <si>
    <t>51, Jln Bkt Setongkol 3, Tmn Muhibah Fasa 2, Bukit Setongkol, 25200 Kuantan, Pahang</t>
  </si>
  <si>
    <t>012-9502255</t>
  </si>
  <si>
    <t>kk5k@yahoo.com</t>
  </si>
  <si>
    <t>Poh Pun Hong</t>
  </si>
  <si>
    <t>651214-10-6548</t>
  </si>
  <si>
    <t>11, Jalan Sg 1/14, Taman Sri Gombak, 68100 Batu Caves. Selangor</t>
  </si>
  <si>
    <t>012-8856276</t>
  </si>
  <si>
    <t>briancmf940921@gmail.com</t>
  </si>
  <si>
    <t>Lee Meng Fui</t>
  </si>
  <si>
    <t>770221-06-5395</t>
  </si>
  <si>
    <t>32, Lrg Tiram Aman 3, Perumahan Tiram Aman. 25200 Kuantan, Pahang</t>
  </si>
  <si>
    <t>012-9589956</t>
  </si>
  <si>
    <t>calvinleemf@gmail.com</t>
  </si>
  <si>
    <t>Leow Siew Lian (Tee Hong Yee)</t>
  </si>
  <si>
    <t>670130-06-5156</t>
  </si>
  <si>
    <t>No 7, Lrg Pelindung Pantai 11 Kg Pelindu, Tmn Pantai Pelindung 26100 Berserah, Pahang</t>
  </si>
  <si>
    <t>017-8911268</t>
  </si>
  <si>
    <t>zhixuanx23@gmail.com</t>
  </si>
  <si>
    <t xml:space="preserve">Mohd Shariff </t>
  </si>
  <si>
    <t>Gan Chin Sam</t>
  </si>
  <si>
    <t>580625-05-5241</t>
  </si>
  <si>
    <t>67, Jalan PJU 1A/36, Ara Damansara, 47301 Petaling Jaya, Selangor</t>
  </si>
  <si>
    <t>019-3344789</t>
  </si>
  <si>
    <t>csamgan@gmail.com</t>
  </si>
  <si>
    <t>Tan Lee Khing</t>
  </si>
  <si>
    <t>790523-10-5186</t>
  </si>
  <si>
    <t>2, Lorong Bukit Setongkol Baru 10, Perumahan Bukit Setongkol Baru, 25200 Kuantan, Pahang</t>
  </si>
  <si>
    <t>012-2280130</t>
  </si>
  <si>
    <t>lee_khing@yahoo.com</t>
  </si>
  <si>
    <t>DK Senza Residence</t>
  </si>
  <si>
    <t>Ng Cheng Hoe</t>
  </si>
  <si>
    <t>881016-43-5205</t>
  </si>
  <si>
    <t>No. 5, Jalan Setia Utama U13/39D, Setia Alam, Seksyen U13, 40170 Shah Alam, Selangor</t>
  </si>
  <si>
    <t>013-7882286</t>
  </si>
  <si>
    <t>nevets8816@gmail.com</t>
  </si>
  <si>
    <t>Chen Kim Hock</t>
  </si>
  <si>
    <t>601117-02-5513</t>
  </si>
  <si>
    <t>37A, Jln Jingga 4, Tmn Pelangi, 80400 Johor Bahru, Johor</t>
  </si>
  <si>
    <t>014-7774333</t>
  </si>
  <si>
    <t>chenyeonhao@gmail.com</t>
  </si>
  <si>
    <t>Teh Foo Hock</t>
  </si>
  <si>
    <t>650714-06-5055</t>
  </si>
  <si>
    <t>B3410, Lrg Galing 143, Air Putih, 25020 Kuantan, Pahang</t>
  </si>
  <si>
    <t>012-9839222</t>
  </si>
  <si>
    <t>Tan Heng Lian</t>
  </si>
  <si>
    <t>780921-06-5117</t>
  </si>
  <si>
    <t>31, Lrg Sri Kuantan 63, Taman Sri Kuantan, 25250 Kuantan, Pahang</t>
  </si>
  <si>
    <t>016-9619998</t>
  </si>
  <si>
    <t>Kuzo836@gmail</t>
  </si>
  <si>
    <t>Mohamad Hafizi Bin Abdul Rahman</t>
  </si>
  <si>
    <t>741213-08-6337</t>
  </si>
  <si>
    <t>No 25, Lrg Bandar Damansara Kuantan 1/17, Bdr Damansara Kuantan, 26100 Kuantan, Pahang</t>
  </si>
  <si>
    <t>019-9569774</t>
  </si>
  <si>
    <t>datobulat@gmail.com</t>
  </si>
  <si>
    <t>Chai Cheong Sing</t>
  </si>
  <si>
    <t>720125-01-5261</t>
  </si>
  <si>
    <t>13, Lrg Seri Setali 10 Off, Jln Galing Ke, Tmn Sri Galing, 25300 Kuantan, Pahang</t>
  </si>
  <si>
    <t>012-7223686</t>
  </si>
  <si>
    <t>johnchai72@yahoo.com</t>
  </si>
  <si>
    <t>Liew Wen Qi</t>
  </si>
  <si>
    <t>A65 Bwh, Jln Seri Setali 2 Off Jln Air Putih, 25300 Kuantan, Pahang</t>
  </si>
  <si>
    <t>012-2691162</t>
  </si>
  <si>
    <t>wenqi_liew@hotmail.com</t>
  </si>
  <si>
    <t>Goh Boon Meng</t>
  </si>
  <si>
    <t>681204-06-5137</t>
  </si>
  <si>
    <t>No 6, Jln Mawar 6, Tmn Mawar, 28300 Triang, Pahang</t>
  </si>
  <si>
    <t>012-2429688</t>
  </si>
  <si>
    <t>gbm8869@gmail.com</t>
  </si>
  <si>
    <t>Megat Mohd Nashrul Bin Ahmad Zulkepli</t>
  </si>
  <si>
    <t>851019-01-6703</t>
  </si>
  <si>
    <t>No 11, Lrg Im 8/24, Bandar Indera Mahkota, Indera Mahkota, 25200 Kuantan, Pahang</t>
  </si>
  <si>
    <t>013-6803366</t>
  </si>
  <si>
    <t>megat@nexgentechaus.com</t>
  </si>
  <si>
    <t>Lim Geok Suan</t>
  </si>
  <si>
    <t>560421-07-5234</t>
  </si>
  <si>
    <t>No 65 A, Lrg Sekilau 22, Bkt Sekilau, 25200 Kuantan, Pahang</t>
  </si>
  <si>
    <t>012-9093055</t>
  </si>
  <si>
    <t>dinamikbudimas@gmail.com</t>
  </si>
  <si>
    <t>Yap Lee Yan</t>
  </si>
  <si>
    <t>830913-06-5080</t>
  </si>
  <si>
    <t>No 12, Lrg Bukit Ubi 59, Perumahan Galing, 25200 Kuantan, Pahang</t>
  </si>
  <si>
    <t>017-9898860</t>
  </si>
  <si>
    <t>yenyen6513@gmail.com</t>
  </si>
  <si>
    <t>Lee Swee Li</t>
  </si>
  <si>
    <t>730801-05-5074</t>
  </si>
  <si>
    <t>B913, Lrg Air Putih 25, Tmn Sentosa, 25350 Kuantan, Pahang</t>
  </si>
  <si>
    <t>012-9882982</t>
  </si>
  <si>
    <t>jennylee3668@gmail.com</t>
  </si>
  <si>
    <t>Koo Hing Yew</t>
  </si>
  <si>
    <t>600610-06-5215</t>
  </si>
  <si>
    <t>No. 9, Lorong Im 21/12, Perumahan Taman Indera Mahkota 21, 25200 Kuantan, Pahang</t>
  </si>
  <si>
    <t>017-3311266</t>
  </si>
  <si>
    <t>koojayaenterprise@gmail.com</t>
  </si>
  <si>
    <t>Teng Lily</t>
  </si>
  <si>
    <t>901117-06-5050</t>
  </si>
  <si>
    <t>31, Jln Bkt Setongkol 3, Tmn Muhibah Fasa, Bukit Setongkol 25200 Kuantan,Pahang</t>
  </si>
  <si>
    <t>012 - 7887991</t>
  </si>
  <si>
    <t>lilyteng_5050@hotmail.com</t>
  </si>
  <si>
    <t>Tan Shu Huat</t>
  </si>
  <si>
    <t>760905-06-5397</t>
  </si>
  <si>
    <t>137, Lrg Bkt Setongkol Perdana 52, Tmn Fairmont Jaya, 25200 Kuantan, Pahang</t>
  </si>
  <si>
    <t>016-9223663</t>
  </si>
  <si>
    <t>singhuatmotortrd@gmail.com</t>
  </si>
  <si>
    <t>Tan Wan Ngee</t>
  </si>
  <si>
    <t>760607-06-5364</t>
  </si>
  <si>
    <t>No 6, Lorong Pelindung 2, Persisiran Residences Bukit Pelindung, 25050 Kuantan, Pahang</t>
  </si>
  <si>
    <t>016 - 9222888</t>
  </si>
  <si>
    <t>Yeo Khai Boon</t>
  </si>
  <si>
    <t>000207-06-0319</t>
  </si>
  <si>
    <t>No 9, Jalan KS 5/14, Evergreen III @ Presint 5, Kotasas, 25200 Kuantan, Pahang</t>
  </si>
  <si>
    <t>019-7046189</t>
  </si>
  <si>
    <t>ahwen000207@hotmail.com</t>
  </si>
  <si>
    <t>Teo Lun Wei</t>
  </si>
  <si>
    <t>940421-06-5073</t>
  </si>
  <si>
    <t>No 26, Lorong Tas Perdana 3, Perumahan Tas Perdana, 25150 Kuantan Pahang</t>
  </si>
  <si>
    <t>010 - 7696618</t>
  </si>
  <si>
    <t>Lee Ban Hong</t>
  </si>
  <si>
    <t>860910-56-6071</t>
  </si>
  <si>
    <t>67, Jalan 2/C, Taman Jati, 48000 Rawang, Selangor</t>
  </si>
  <si>
    <t>018-2526174</t>
  </si>
  <si>
    <t>hueiya-lee97@hotmail.com</t>
  </si>
  <si>
    <t>Wu Sio Yunn</t>
  </si>
  <si>
    <t>680925-06-5044</t>
  </si>
  <si>
    <t>D-278, Lrg Bukit Setongkol 211, Tmn Bukit Setongkol, 25200 Kuantan, Pahang</t>
  </si>
  <si>
    <t>013-9848650</t>
  </si>
  <si>
    <t>irenewsy@hotmail.com</t>
  </si>
  <si>
    <t>Meor Farizal Bin Ramli</t>
  </si>
  <si>
    <t>810605-10-6153</t>
  </si>
  <si>
    <t>Lot 1433, Jln Merpati Kg Dato Ahmad Said, 30020 Ipoh, Perak</t>
  </si>
  <si>
    <t>012-5098235</t>
  </si>
  <si>
    <t>wan_8807@yahoo.com.my</t>
  </si>
  <si>
    <t>Chai Shwu Yi (Tan Lewin)</t>
  </si>
  <si>
    <t>860913-43-6870</t>
  </si>
  <si>
    <t>3, Jalan Mahligai 2A, Bandar Bukit Raja, 41050 Klang, Selangor</t>
  </si>
  <si>
    <t>012-2431712</t>
  </si>
  <si>
    <t>c.shwu.yi@gmail.com</t>
  </si>
  <si>
    <t>Lee Lee Tan @ Tan Lee Lee</t>
  </si>
  <si>
    <t>681204-10-6242</t>
  </si>
  <si>
    <t>32, Jalan SL 13/3, Bandar Sungai Long, 43000 Kajang Selangor</t>
  </si>
  <si>
    <t>012-2293778</t>
  </si>
  <si>
    <t>lilyt8793@gmail.com</t>
  </si>
  <si>
    <t>Yim Kai Mun</t>
  </si>
  <si>
    <t>531231-05-5387</t>
  </si>
  <si>
    <t>4, Lrg Pelindung 32, Tmn Pelindung, 25250 Kuantan, Pahang</t>
  </si>
  <si>
    <t>019 - 9518264</t>
  </si>
  <si>
    <t>johnnie.why@gmail.com</t>
  </si>
  <si>
    <t>Ahmad Fadhil Bin Alias</t>
  </si>
  <si>
    <t>790130-11-5113</t>
  </si>
  <si>
    <t>No 16, Lrg Pelindung Damai 26 Villa, Pelindung Indah, Beserah, 26100 Kuantan, Pahang</t>
  </si>
  <si>
    <t>014-5301886</t>
  </si>
  <si>
    <t>Lew Sieow Shih</t>
  </si>
  <si>
    <t>780528-06-5196</t>
  </si>
  <si>
    <t>D975, Jln Kg Jawa, Tmn Sri Berlian, 25200 Kuantan, Pahang</t>
  </si>
  <si>
    <t>012 - 9554526</t>
  </si>
  <si>
    <t>Leiw Chew Choi</t>
  </si>
  <si>
    <t>641010-06-5028</t>
  </si>
  <si>
    <t>No 18, Lorong Pelindung 2, Persisiran Residences Bukit Pelindung, 25050 Kuantan, Pahang</t>
  </si>
  <si>
    <t>012 - 9856616</t>
  </si>
  <si>
    <t>2506789-1</t>
  </si>
  <si>
    <t>Lim Kim Kiew</t>
  </si>
  <si>
    <t>620525-11-5212</t>
  </si>
  <si>
    <t>48, Lrg Air Putih 3 Jln Air Puith, Tmn Seri Maju, 25300 Kuantan, Pahang</t>
  </si>
  <si>
    <t>019-9629183</t>
  </si>
  <si>
    <t>lucaslim930@gmail.com</t>
  </si>
  <si>
    <t>Lim Chee Seng</t>
  </si>
  <si>
    <t>721110-14-5287</t>
  </si>
  <si>
    <t>NO DST11, JLN JEREJAK, TMN SETAPAK, 53000 WP KUALA LUMPUR</t>
  </si>
  <si>
    <t>019-2235411</t>
  </si>
  <si>
    <t>vincent7283@gmail.com</t>
  </si>
  <si>
    <t>Canning Garden Baptist Church</t>
  </si>
  <si>
    <t>Huawei SUN2000-36KTL</t>
  </si>
  <si>
    <t>3, Lal Lee Kwee Foh, Tmn Canning, 31400 Ipoh, Perak</t>
  </si>
  <si>
    <t>05-5468480</t>
  </si>
  <si>
    <t>cgbc.ipoh@gmail.com</t>
  </si>
  <si>
    <t>Lee Cheow Ban</t>
  </si>
  <si>
    <t>690614-06-5011</t>
  </si>
  <si>
    <t>No E  1111, Jln Darat Makbar, 25100 Kuantan</t>
  </si>
  <si>
    <t>017 - 9353338</t>
  </si>
  <si>
    <t>Tew Ah Sing @ Teo Ah Sing</t>
  </si>
  <si>
    <t>Mohd Nurazuwan Bin Radzi</t>
  </si>
  <si>
    <t>860517-23-6463</t>
  </si>
  <si>
    <t>No 3, Lrg Tmn Beserah 28, Tmn Beserah, 26100 Kuantan, Pahang</t>
  </si>
  <si>
    <t>016-7794494</t>
  </si>
  <si>
    <t>nurazuwan.petrofarm@gmail.com</t>
  </si>
  <si>
    <t>Lim Joo Eng</t>
  </si>
  <si>
    <t>520920-10-5796</t>
  </si>
  <si>
    <t>6, Lrg Seri Teruntum 134 Jln Wong Ah Jan, 25100 Kuantan, Pahang</t>
  </si>
  <si>
    <t>012-9392331</t>
  </si>
  <si>
    <t>gigityng85@yahoo.com</t>
  </si>
  <si>
    <t>Insultec Duragate Sdn Bhd</t>
  </si>
  <si>
    <t xml:space="preserve">Cash </t>
  </si>
  <si>
    <t>Hung Wen Hao</t>
  </si>
  <si>
    <t>980309-10-6169</t>
  </si>
  <si>
    <t>No 21, Lorong Sekilau 1/1, Perumahan Bukit Sekilau 1, 25200 Kuantan, Pahang</t>
  </si>
  <si>
    <t>011-1166669</t>
  </si>
  <si>
    <t>How Toon Huah</t>
  </si>
  <si>
    <t>560127-06-5094</t>
  </si>
  <si>
    <t xml:space="preserve">Lot 10991, Lrg Kubang Buaya 77, 25050 Kuantan, Pahang </t>
  </si>
  <si>
    <t>012-9883639</t>
  </si>
  <si>
    <t>hsmei30@yahoo.com</t>
  </si>
  <si>
    <t>G. Semanggol R&amp;R (Northbound) - Green EV Charge Sdn Bhd</t>
  </si>
  <si>
    <t>TMG Mall Tanjung Lumpur (Handal Green Mobility)</t>
  </si>
  <si>
    <t>Yee Main Way</t>
  </si>
  <si>
    <t>Solax 10kW</t>
  </si>
  <si>
    <t>700220-05-5423</t>
  </si>
  <si>
    <t>No 19 B, Lrg Galing 23 Off, Jln Hj Ahmad,Tmn Hj Ahmad Mewah, 25300 Kuantan Town, Pahang</t>
  </si>
  <si>
    <t>017-9866683</t>
  </si>
  <si>
    <t>TMG Mall Bandar Indera Mahkota (Handal Green Mobility)</t>
  </si>
  <si>
    <t>TMG Mall IM16 (Handal Green Mobility)</t>
  </si>
  <si>
    <t>TMG Mall Temerloh (Handal Green Mobility)</t>
  </si>
  <si>
    <t>Chan Weng Leong</t>
  </si>
  <si>
    <t>Solax 12kW</t>
  </si>
  <si>
    <t>810123-10-6089</t>
  </si>
  <si>
    <t>37, Jalan Mulia 9, Taman Mulia, 42700 Banting, Selangor</t>
  </si>
  <si>
    <t>016-9689365</t>
  </si>
  <si>
    <t>Tapah R&amp;R (Southbound) - Green EV Charge Sdn Bhd</t>
  </si>
  <si>
    <t>Goh Soon Teck</t>
  </si>
  <si>
    <t>Solax 7.5kW</t>
  </si>
  <si>
    <t>640915-06-5415</t>
  </si>
  <si>
    <t>No 51, Jln Bkt Setongkol 8, Tmn Sri Setongkol, 25200 Kuantan, Pahang</t>
  </si>
  <si>
    <t>016-9231811</t>
  </si>
  <si>
    <t>Chew Kok leong</t>
  </si>
  <si>
    <t>376, Jalan Kg. Kolong Pahat, Kg. Kolong Pahat, 26200 Sg. Lembing, Pahang</t>
  </si>
  <si>
    <t>Chong Horng Tat</t>
  </si>
  <si>
    <t xml:space="preserve"> 851029-14-6341</t>
  </si>
  <si>
    <t>No 92, Mutiara Villa, Jalan Mutiara 6, Mutiara Heights, 43000 Kajang, Selangor</t>
  </si>
  <si>
    <t>016-2427853</t>
  </si>
  <si>
    <t>Yeap Chooi Hock</t>
  </si>
  <si>
    <t>Solax 15kW</t>
  </si>
  <si>
    <t>621017-08-6085</t>
  </si>
  <si>
    <t>No 65, Jalan Sri Jaya 5-1, Taman Bukit SR, 26500 Maran, Pahang</t>
  </si>
  <si>
    <t>Eddie Leong Kai Sheng</t>
  </si>
  <si>
    <t>Fox ESS 12kW</t>
  </si>
  <si>
    <t>K5404484K</t>
  </si>
  <si>
    <t>No 22, Jalan KS 7/1, Kota Sultan Ahmad Shah 7, 25200 Kuantan, Pahang</t>
  </si>
  <si>
    <t>+65 90629902</t>
  </si>
  <si>
    <t>Wang Pay Chen</t>
  </si>
  <si>
    <t>790603-11-5042</t>
  </si>
  <si>
    <t>PT3665, Jalan Apps 1/5, Taman Alam Perdana, 24000 Kemaman, Terengganu</t>
  </si>
  <si>
    <t>017-9869863</t>
  </si>
  <si>
    <t>Lee Hang Meng</t>
  </si>
  <si>
    <t>Fox ESS 10kW</t>
  </si>
  <si>
    <t>700815-06-5057</t>
  </si>
  <si>
    <t xml:space="preserve">No 23, Lrg Galing 27, Tmn Sri Tahan, 25300 Kuantan, Pahang </t>
  </si>
  <si>
    <t>012-9873327</t>
  </si>
  <si>
    <t>Soe Yew Seng</t>
  </si>
  <si>
    <t>680303-10-5531</t>
  </si>
  <si>
    <t>No 117, Lebuh Berangan, 42000 Klang, Selangor</t>
  </si>
  <si>
    <t>017-3035058</t>
  </si>
  <si>
    <t>Finance</t>
  </si>
  <si>
    <t>DLP</t>
  </si>
  <si>
    <t>Insurance</t>
  </si>
  <si>
    <t>On site checking - 1 year</t>
  </si>
  <si>
    <t>On site checking - 2 years</t>
  </si>
  <si>
    <t>C&amp;I-BESS</t>
  </si>
  <si>
    <t>4 years</t>
  </si>
  <si>
    <t>On site checking - 3 years</t>
  </si>
  <si>
    <t>6 years</t>
  </si>
  <si>
    <t>Full O&amp;M - 2 years</t>
  </si>
  <si>
    <t>7 years</t>
  </si>
  <si>
    <t>8 years</t>
  </si>
  <si>
    <t>Full O&amp;M - 4 years</t>
  </si>
  <si>
    <t>9 years</t>
  </si>
  <si>
    <t>Full O&amp;M - 5 years</t>
  </si>
  <si>
    <t>10 years</t>
  </si>
  <si>
    <t>Full O&amp;M - 6 years</t>
  </si>
  <si>
    <t>Full O&amp;M - 7 years</t>
  </si>
  <si>
    <t>Full O&amp;M - 8 years</t>
  </si>
  <si>
    <t>Full O&amp;M - 9 years</t>
  </si>
  <si>
    <t>Full O&amp;M - 10 years</t>
  </si>
  <si>
    <t>SEDA Status</t>
  </si>
  <si>
    <t>Documents Provided</t>
  </si>
  <si>
    <t>Waiting for Fee Payment</t>
  </si>
  <si>
    <t>Waiting for Verification</t>
  </si>
  <si>
    <t>Waiting for Verification (Update)</t>
  </si>
  <si>
    <t xml:space="preserve">Waiting for TNB Confirmation </t>
  </si>
  <si>
    <t>Approved - Waiting for Certificate</t>
  </si>
  <si>
    <t>Certificate Generated</t>
  </si>
  <si>
    <t>Application Withdrawal</t>
  </si>
  <si>
    <t>Application Rejected</t>
  </si>
  <si>
    <t>Completed Project Milestones</t>
  </si>
  <si>
    <t>NEM Commencement Date</t>
  </si>
  <si>
    <t>TNB-CAS</t>
  </si>
  <si>
    <t>SEDA</t>
  </si>
  <si>
    <t>TNB (NEM Meter Change )</t>
  </si>
  <si>
    <t>Project Status</t>
  </si>
  <si>
    <t>Payment Status</t>
  </si>
  <si>
    <t>CAS Application</t>
  </si>
  <si>
    <t>CAS Approval</t>
  </si>
  <si>
    <t>NEM Quota Submission</t>
  </si>
  <si>
    <t>NEM Quota Approval</t>
  </si>
  <si>
    <t>NEM Quota Status</t>
  </si>
  <si>
    <t>NEMCD</t>
  </si>
  <si>
    <t>Site Survey</t>
  </si>
  <si>
    <t>Material Readiness</t>
  </si>
  <si>
    <t>RSA Result</t>
  </si>
  <si>
    <t>Engineering Design</t>
  </si>
  <si>
    <t>Installer</t>
  </si>
  <si>
    <t>Installation Date</t>
  </si>
  <si>
    <t>NEM Meter Change/ Contract Submission</t>
  </si>
  <si>
    <t>TNB Portal Status</t>
  </si>
  <si>
    <t>Status Date</t>
  </si>
  <si>
    <t>Meter Change Payment</t>
  </si>
  <si>
    <t>NEM Meter Change</t>
  </si>
  <si>
    <t>NEM Welcome Letter</t>
  </si>
  <si>
    <t>NEM Term End Date</t>
  </si>
  <si>
    <t>ST License Application</t>
  </si>
  <si>
    <t>ST License Approval</t>
  </si>
  <si>
    <t>GITA Application</t>
  </si>
  <si>
    <t>GITA Approval</t>
  </si>
  <si>
    <t>Close to Instaallation</t>
  </si>
  <si>
    <t>Completed</t>
  </si>
  <si>
    <t>PJ Plus</t>
  </si>
  <si>
    <t>AR Berkat</t>
  </si>
  <si>
    <t>Ax Electro</t>
  </si>
  <si>
    <t>Replacing Meter</t>
  </si>
  <si>
    <t>Payment Required</t>
  </si>
  <si>
    <t>Pending SEDA</t>
  </si>
  <si>
    <t>AX</t>
  </si>
  <si>
    <t>Ar Berkat</t>
  </si>
  <si>
    <t>1st Payment</t>
  </si>
  <si>
    <t>2nd Payment</t>
  </si>
  <si>
    <t>3rd Payment</t>
  </si>
  <si>
    <t>4th Payment</t>
  </si>
  <si>
    <t>5th Payment</t>
  </si>
  <si>
    <t>VO Payment</t>
  </si>
  <si>
    <t>VO</t>
  </si>
  <si>
    <t>Payment Type</t>
  </si>
  <si>
    <t>Invoice Status</t>
  </si>
  <si>
    <t>Total Invoiced</t>
  </si>
  <si>
    <t>Total Paid</t>
  </si>
  <si>
    <t>1st Invoice Date</t>
  </si>
  <si>
    <t>Invoiced Amount</t>
  </si>
  <si>
    <t>1st Payment Date</t>
  </si>
  <si>
    <t>2nd Invoice Date</t>
  </si>
  <si>
    <t>Invoice Amount</t>
  </si>
  <si>
    <t>2nd Payment Date</t>
  </si>
  <si>
    <t>Payment Received</t>
  </si>
  <si>
    <t>3rd Invoice Date</t>
  </si>
  <si>
    <t>3rd Payment Date</t>
  </si>
  <si>
    <t>4th Invoice Date</t>
  </si>
  <si>
    <t>4th Payment Date</t>
  </si>
  <si>
    <t>5th Invoice Date</t>
  </si>
  <si>
    <t>5th Payment Date</t>
  </si>
  <si>
    <t>VO Invoiced Date</t>
  </si>
  <si>
    <t>VO Invoice Amount</t>
  </si>
  <si>
    <t>VO Payment Date</t>
  </si>
  <si>
    <t>5/15/2024</t>
  </si>
  <si>
    <t>29//4/2025</t>
  </si>
  <si>
    <t>1st Year</t>
  </si>
  <si>
    <t>2nd Year</t>
  </si>
  <si>
    <t>3rd Year</t>
  </si>
  <si>
    <t>4th Year</t>
  </si>
  <si>
    <t>I/C</t>
  </si>
  <si>
    <t>Email</t>
  </si>
  <si>
    <t>Insurance Provider</t>
  </si>
  <si>
    <t>Policy Number</t>
  </si>
  <si>
    <t>Date of Policy</t>
  </si>
  <si>
    <t>MSIG</t>
  </si>
  <si>
    <t>KN-11241957-ARH</t>
  </si>
  <si>
    <t>Allianz</t>
  </si>
  <si>
    <t>24AKG0004435-00</t>
  </si>
  <si>
    <t>25AKG0000970-00</t>
  </si>
  <si>
    <t>KN-11241950-ARH</t>
  </si>
  <si>
    <t>24AKG0004436-00</t>
  </si>
  <si>
    <t>KN-11241942-ARH</t>
  </si>
  <si>
    <t>24AKG0004431-00</t>
  </si>
  <si>
    <t>KN-11241931-ARH</t>
  </si>
  <si>
    <t>KN-11241903-ARH</t>
  </si>
  <si>
    <t>24AKG0004425-00</t>
  </si>
  <si>
    <t>Tokio Marine</t>
  </si>
  <si>
    <t>GAS-G0154270-WB-AGY-24</t>
  </si>
  <si>
    <t>KN-11241896-ARH</t>
  </si>
  <si>
    <t>24AKG0004426-00</t>
  </si>
  <si>
    <t>KN-11241868-ARH</t>
  </si>
  <si>
    <t>24AKG0004430-00</t>
  </si>
  <si>
    <t>24AKG0003782-00</t>
  </si>
  <si>
    <t>24AKG0003783-00</t>
  </si>
  <si>
    <t>KN-11241886-ARH</t>
  </si>
  <si>
    <t>24AKG0004427-00</t>
  </si>
  <si>
    <t>24AKG0003784-00</t>
  </si>
  <si>
    <t>24AKG0003787-00</t>
  </si>
  <si>
    <t>24AKG0003788-00</t>
  </si>
  <si>
    <t>Project Cancelled</t>
  </si>
  <si>
    <t>25AKG0000971-00</t>
  </si>
  <si>
    <t>24AKG0003789-00</t>
  </si>
  <si>
    <t>24AKG0003790-00</t>
  </si>
  <si>
    <t>24AKG0003791-00</t>
  </si>
  <si>
    <t>24AKG0003792-00</t>
  </si>
  <si>
    <t>24AKG0003793-00</t>
  </si>
  <si>
    <t>25AKG0001669-00</t>
  </si>
  <si>
    <t>24AKG0003795-00</t>
  </si>
  <si>
    <t>25AKG0001709-00</t>
  </si>
  <si>
    <t>24AKG0003796-00</t>
  </si>
  <si>
    <t>24AKG0003797-00</t>
  </si>
  <si>
    <t>24AKG0003798-00</t>
  </si>
  <si>
    <t>24AKG0003799-00</t>
  </si>
  <si>
    <t>24AKG0003800-00</t>
  </si>
  <si>
    <t>24AKG0003801-00</t>
  </si>
  <si>
    <t>24AKG0003802-00</t>
  </si>
  <si>
    <t>24AKG0003803-00</t>
  </si>
  <si>
    <t>24AKG0003804-00</t>
  </si>
  <si>
    <t>24AKG0003805-00</t>
  </si>
  <si>
    <t>24AKG0003806-00</t>
  </si>
  <si>
    <t>24AKG0003807-00</t>
  </si>
  <si>
    <t>24AKG0003808-00</t>
  </si>
  <si>
    <t>24AKG0003809-00</t>
  </si>
  <si>
    <t>GAS-G0167581-WB-AGY-25</t>
  </si>
  <si>
    <t>24AKG0003810-00</t>
  </si>
  <si>
    <t>24AKG0003811-00</t>
  </si>
  <si>
    <t>24AKG0003812-00</t>
  </si>
  <si>
    <t>24AKG0003813-00</t>
  </si>
  <si>
    <t>24AKG0003815-00</t>
  </si>
  <si>
    <t>24AKG0003816-00</t>
  </si>
  <si>
    <t>24AKG0003817-00</t>
  </si>
  <si>
    <t>24AKG0003818-00</t>
  </si>
  <si>
    <t>GAS-G0167670-WB-AGY-25</t>
  </si>
  <si>
    <t>24AKG0003819-00</t>
  </si>
  <si>
    <t>24AKG0003820-00</t>
  </si>
  <si>
    <t>24AKG0003821-00</t>
  </si>
  <si>
    <t>24AKG0003822-00</t>
  </si>
  <si>
    <t>24AKG0003823-00</t>
  </si>
  <si>
    <t>24AKG0003824-00</t>
  </si>
  <si>
    <t>24AKG0003825-00</t>
  </si>
  <si>
    <t>25AKG0000972-00</t>
  </si>
  <si>
    <t>24AKG0003826-00</t>
  </si>
  <si>
    <t>25AKG0000973-00</t>
  </si>
  <si>
    <t>24AKG0003839-00</t>
  </si>
  <si>
    <t>24AKG0003827-00</t>
  </si>
  <si>
    <t>24AKG0003828-00</t>
  </si>
  <si>
    <t>25AKG0000974-00</t>
  </si>
  <si>
    <t>24AKG0003829-00</t>
  </si>
  <si>
    <t>24AKG0003830-00</t>
  </si>
  <si>
    <t>24AKG0003831-00</t>
  </si>
  <si>
    <t>24AKG0003832-00</t>
  </si>
  <si>
    <t>24AKG0003842-00</t>
  </si>
  <si>
    <t>24AKG0003833-00</t>
  </si>
  <si>
    <t>24AKG0003834-00</t>
  </si>
  <si>
    <t>24AKG0003835-00</t>
  </si>
  <si>
    <t>25AKG0000975-00</t>
  </si>
  <si>
    <t>25AKG0001008-00</t>
  </si>
  <si>
    <t>24AKG0003836-00</t>
  </si>
  <si>
    <t>24AKG0003837-00</t>
  </si>
  <si>
    <t>24AKG0003843-00</t>
  </si>
  <si>
    <t>GAS-G0167589-WB-AGY-25</t>
  </si>
  <si>
    <t>25AKG0000976-00</t>
  </si>
  <si>
    <t>25AKG0000977-00</t>
  </si>
  <si>
    <t>25AKG0000978-00</t>
  </si>
  <si>
    <t>25AKG0000979-00</t>
  </si>
  <si>
    <t>24AKG0003841-00</t>
  </si>
  <si>
    <t>25AKG0000980-00</t>
  </si>
  <si>
    <t>25AKG0000981-00</t>
  </si>
  <si>
    <t>25AKG0000982-00</t>
  </si>
  <si>
    <t>25AKG0000983-00</t>
  </si>
  <si>
    <t>25AKG0000984-00</t>
  </si>
  <si>
    <t>24AKG0003844-00</t>
  </si>
  <si>
    <t>25AKG0000985-00</t>
  </si>
  <si>
    <t>24AKG0003838-00</t>
  </si>
  <si>
    <t>25AKG0000986-00</t>
  </si>
  <si>
    <t>24AKG0003840-00</t>
  </si>
  <si>
    <t>25AKG0000987-00</t>
  </si>
  <si>
    <t>25AKG0000988-00</t>
  </si>
  <si>
    <t>25AKG0000989-00</t>
  </si>
  <si>
    <t>25AKG0000990-00</t>
  </si>
  <si>
    <t>25AKG0000991-00</t>
  </si>
  <si>
    <t>25AKG0000992-00</t>
  </si>
  <si>
    <t>25AKG0000993-00</t>
  </si>
  <si>
    <t>24AKG0000994-00</t>
  </si>
  <si>
    <t>25AKG0000995-00</t>
  </si>
  <si>
    <t>25AKG0000997-00</t>
  </si>
  <si>
    <t>25AKG0000998-00</t>
  </si>
  <si>
    <t>25AKG0000999-00</t>
  </si>
  <si>
    <t>25AKG0001000-00</t>
  </si>
  <si>
    <t>25AKG0001002-00</t>
  </si>
  <si>
    <t>25AKG0001003-00</t>
  </si>
  <si>
    <t>25AKG0001004-00</t>
  </si>
  <si>
    <t>25AKG0001670-00</t>
  </si>
  <si>
    <t>25AKG0001006-00</t>
  </si>
  <si>
    <t>25AKG0001012-00</t>
  </si>
  <si>
    <t>25AKG0001009-00</t>
  </si>
  <si>
    <t>25AKG0001671-00</t>
  </si>
  <si>
    <t>25AKG0001010-00</t>
  </si>
  <si>
    <t>25AKG0001011-00</t>
  </si>
  <si>
    <t>25AKG0001013-00</t>
  </si>
  <si>
    <t>25AKG0001014-00</t>
  </si>
  <si>
    <t>25AKG0001015-00</t>
  </si>
  <si>
    <t>25AKG0001007-00</t>
  </si>
  <si>
    <t>25AKG0001016-00</t>
  </si>
  <si>
    <t>25AKG0001017-00</t>
  </si>
  <si>
    <t>25AKG0001018-00</t>
  </si>
  <si>
    <t>25AKG0001019-00</t>
  </si>
  <si>
    <t>25AKG0001020-00</t>
  </si>
  <si>
    <t>25AKG0001021-00</t>
  </si>
  <si>
    <t>25AKG0001022-00</t>
  </si>
  <si>
    <t>25AKG0001023-00</t>
  </si>
  <si>
    <t>25AKG0001024-00</t>
  </si>
  <si>
    <t>GAS-G0167024-WB-AGY-25</t>
  </si>
  <si>
    <t>GAS-G0167029-WB-AGY-25</t>
  </si>
  <si>
    <t>GAS-G0167028-WB-AGY-25</t>
  </si>
  <si>
    <t>GAS-G0167685-WB-AGY-25</t>
  </si>
  <si>
    <t>GAS-G0167683-WB-AGY-25</t>
  </si>
  <si>
    <t>GAS0167754-WB-AGY-25</t>
  </si>
  <si>
    <t>25AKG0001025-00</t>
  </si>
  <si>
    <t>25AKG0001026-00</t>
  </si>
  <si>
    <t>25AKG0001027-00</t>
  </si>
  <si>
    <t>25AKG0001028-00</t>
  </si>
  <si>
    <t>25AKG0001029-00</t>
  </si>
  <si>
    <t>25AKG0001030-00</t>
  </si>
  <si>
    <t>25AKG0001031-00</t>
  </si>
  <si>
    <t>25AKG0001032-00</t>
  </si>
  <si>
    <t>25AKG0001033-00</t>
  </si>
  <si>
    <t>25AKG0001034-00</t>
  </si>
  <si>
    <t>25AKG0001035-00</t>
  </si>
  <si>
    <t>25AKG0001036-00</t>
  </si>
  <si>
    <t>25AKG0001037-00</t>
  </si>
  <si>
    <t>25AKG0001038-00</t>
  </si>
  <si>
    <t>25AKG0001039-00</t>
  </si>
  <si>
    <t>25AKG0001040-00</t>
  </si>
  <si>
    <t>25AKG0001042-00</t>
  </si>
  <si>
    <t>25AKG0001043-00</t>
  </si>
  <si>
    <t>25AKG0001044-00</t>
  </si>
  <si>
    <t>25AKG0001045-00</t>
  </si>
  <si>
    <t>25AKG0001046-00</t>
  </si>
  <si>
    <t>25AKG0001047-00</t>
  </si>
  <si>
    <t>25AKG0001048-00</t>
  </si>
  <si>
    <t>25AKG0001672-00</t>
  </si>
  <si>
    <t>25AKG0001673-00</t>
  </si>
  <si>
    <t>25AKG0001056-00</t>
  </si>
  <si>
    <t>25AKG0001049-00</t>
  </si>
  <si>
    <t>25AKG0001674-00</t>
  </si>
  <si>
    <t>25AKG0001050-00</t>
  </si>
  <si>
    <t>25AKG0001051-00</t>
  </si>
  <si>
    <t>25AKG0001675-00</t>
  </si>
  <si>
    <t>25AKG0001676-00</t>
  </si>
  <si>
    <t>25AKG0001052-00</t>
  </si>
  <si>
    <t>25AKG0001057-00</t>
  </si>
  <si>
    <t>25AKG0001677-00</t>
  </si>
  <si>
    <t>25AKG0001678-00</t>
  </si>
  <si>
    <t>25AKG0001679-00</t>
  </si>
  <si>
    <t>25AKG0001680-00</t>
  </si>
  <si>
    <t>25AKG0001681-00</t>
  </si>
  <si>
    <t>25KAG0001682-00</t>
  </si>
  <si>
    <t>25AKG0001683-00</t>
  </si>
  <si>
    <t>25AKG0001684-00</t>
  </si>
  <si>
    <t>25AKG0001053-00</t>
  </si>
  <si>
    <t>25AKG0001685-00</t>
  </si>
  <si>
    <t>25AKG0001686-00</t>
  </si>
  <si>
    <t>25AKG0001687-00</t>
  </si>
  <si>
    <t>25AKG0001688-00</t>
  </si>
  <si>
    <t>25AKG0001689-00</t>
  </si>
  <si>
    <t>25AKG0001690-00</t>
  </si>
  <si>
    <t>25AKG0001054-00</t>
  </si>
  <si>
    <t>25AKG0001691-00</t>
  </si>
  <si>
    <t>25AKG0001692-00</t>
  </si>
  <si>
    <t>25AKG0001693-00</t>
  </si>
  <si>
    <t>25AKG0001694-00</t>
  </si>
  <si>
    <t>25AKG0001695-00</t>
  </si>
  <si>
    <t>25AKG0001696-00</t>
  </si>
  <si>
    <t>25AKG0001697-00</t>
  </si>
  <si>
    <t>25AKG0001698-00</t>
  </si>
  <si>
    <t>25AKG0001699-00</t>
  </si>
  <si>
    <t>25AKG0001700-00</t>
  </si>
  <si>
    <t>25AKG0001701-00</t>
  </si>
  <si>
    <t>25AKG0001702-00</t>
  </si>
  <si>
    <t>25AKG0001703-00</t>
  </si>
  <si>
    <t>25AKG0001704-00</t>
  </si>
  <si>
    <t>25AKG0001705-00</t>
  </si>
  <si>
    <t>25AKG0001706-00</t>
  </si>
  <si>
    <t>25AKG0001707-00</t>
  </si>
  <si>
    <t>25AKG0001708-00</t>
  </si>
  <si>
    <t>Insultec Duragate</t>
  </si>
  <si>
    <t>Roof Type</t>
  </si>
  <si>
    <t>Tiles Roof</t>
  </si>
  <si>
    <t>Klip Lok Roof</t>
  </si>
  <si>
    <t>Metal Deck</t>
  </si>
  <si>
    <t>RC Roof</t>
  </si>
  <si>
    <t>Tile Hook</t>
  </si>
  <si>
    <t>L-Foot</t>
  </si>
  <si>
    <t>Klip Lok Clamp</t>
  </si>
  <si>
    <t>2.6m rail</t>
  </si>
  <si>
    <t>5.3m rail</t>
  </si>
  <si>
    <t>4.7m rail</t>
  </si>
  <si>
    <t>3.6m rail</t>
  </si>
  <si>
    <t>Splicer</t>
  </si>
  <si>
    <t>Mid Clamp</t>
  </si>
  <si>
    <t>End Clamp</t>
  </si>
  <si>
    <t>Grounding Clip</t>
  </si>
  <si>
    <t>Grounding Lug</t>
  </si>
  <si>
    <t>Precast Concrete Block</t>
  </si>
  <si>
    <t>PV Module Length (P):</t>
  </si>
  <si>
    <t>m</t>
  </si>
  <si>
    <t>PV Module Length (L)</t>
  </si>
  <si>
    <t>Purlin Distance</t>
  </si>
  <si>
    <t>Common Rail Length</t>
  </si>
  <si>
    <t>No of module</t>
  </si>
  <si>
    <t>No. of PV Module in a row</t>
  </si>
  <si>
    <t>No of Rows</t>
  </si>
  <si>
    <t>Total no of row</t>
  </si>
  <si>
    <t>Mid-Clamp</t>
  </si>
  <si>
    <t xml:space="preserve"> End-Clamp</t>
  </si>
  <si>
    <t>Splicers</t>
  </si>
  <si>
    <t>Total 
L-Foot</t>
  </si>
  <si>
    <t>Klip Lok clamp</t>
  </si>
  <si>
    <t>No of Rail</t>
  </si>
  <si>
    <t>Total Rail Length</t>
  </si>
  <si>
    <t>Portrait Arrangement</t>
  </si>
  <si>
    <t>Landscape Arrangement</t>
  </si>
  <si>
    <t>Module Length</t>
  </si>
  <si>
    <t>Remain (each side) (mm)</t>
  </si>
  <si>
    <t>01. Installation Completed</t>
  </si>
  <si>
    <t>02. Stock Ready</t>
  </si>
  <si>
    <t>03. Placed Order</t>
  </si>
  <si>
    <t>Procurement Status</t>
  </si>
  <si>
    <t>Dongle</t>
  </si>
  <si>
    <t>DC Cable (4mmsq)</t>
  </si>
  <si>
    <t>DC Cable (6mmsq)</t>
  </si>
  <si>
    <t>PV Connctor
(Male)</t>
  </si>
  <si>
    <t>PV Connctor
(Female)</t>
  </si>
  <si>
    <t>3P Isolator Switch</t>
  </si>
  <si>
    <t>1-phase kWh Meter</t>
  </si>
  <si>
    <t>3-phase kWh Meter</t>
  </si>
  <si>
    <t>PV AC DB</t>
  </si>
  <si>
    <t>Data Logger</t>
  </si>
  <si>
    <t>Weather Station</t>
  </si>
  <si>
    <t>BESS</t>
  </si>
  <si>
    <t>Optimiser</t>
  </si>
  <si>
    <t>Remark</t>
  </si>
  <si>
    <t>Tiles</t>
  </si>
  <si>
    <t>Klip-lok</t>
  </si>
  <si>
    <t>1. Sunpower PV modules to be free-issued by EDCA.</t>
  </si>
  <si>
    <t>MTJ Development Sdn Bhd (InterContinental KL)</t>
  </si>
  <si>
    <t>GoodWe GW60KS-MT</t>
  </si>
  <si>
    <t>RC</t>
  </si>
  <si>
    <t>1. WiFi dongle to be included.</t>
  </si>
  <si>
    <t>Kossan FRP Mktg (Site 1)</t>
  </si>
  <si>
    <t>Huawei SUN2000-100KTL-M1 x 2 nos;
Huawei SUN2000-30KTL-M3 x 1 nos</t>
  </si>
  <si>
    <t>Metal (screw)</t>
  </si>
  <si>
    <t>1. Sunpower PV modules to be free-issued by EDCA.
2. To check if WiFi dongle can be used to replace data logger.</t>
  </si>
  <si>
    <t>Ng Chong Keong</t>
  </si>
  <si>
    <t>Pua Hock Meng</t>
  </si>
  <si>
    <t>Dato Arif</t>
  </si>
  <si>
    <t>Off-grid</t>
  </si>
  <si>
    <t>Kee Siew Chuan</t>
  </si>
  <si>
    <t>Chu Yin Shiong</t>
  </si>
  <si>
    <t>Saiful Lizan</t>
  </si>
  <si>
    <t>Susan Lau</t>
  </si>
  <si>
    <t>Dr. Suntheresan</t>
  </si>
  <si>
    <t>Goodwe GW20KT-DT</t>
  </si>
  <si>
    <t>Chong Fong Chin</t>
  </si>
  <si>
    <t>Nor Aini</t>
  </si>
  <si>
    <t>Lai Kim Soon</t>
  </si>
  <si>
    <t>dongle</t>
  </si>
  <si>
    <t>Mixed</t>
  </si>
  <si>
    <t>LUNA2000-5kW-C0 x1
LUNA2000-5-E0 x1</t>
  </si>
  <si>
    <t>Huawei 22kW x 2</t>
  </si>
  <si>
    <t>MERC-1300W-P x16</t>
  </si>
  <si>
    <t>Rubber wheel stopper x2
Bollard x 1</t>
  </si>
  <si>
    <t>Chan Po Kok</t>
  </si>
  <si>
    <t>Yap Been Im (Marienne)</t>
  </si>
  <si>
    <t>Nor Hana</t>
  </si>
  <si>
    <t>CHL Foam Sdn Bhd</t>
  </si>
  <si>
    <t>SmartLogger</t>
  </si>
  <si>
    <t>Goh Wee Bang</t>
  </si>
  <si>
    <t>Shreeram</t>
  </si>
  <si>
    <t>Amirludin Bin Awang</t>
  </si>
  <si>
    <t>Ng Siew Fong</t>
  </si>
  <si>
    <t>Ecila Sim Jun-Inn</t>
  </si>
  <si>
    <t>Shingle</t>
  </si>
  <si>
    <t>Zimandy Construction</t>
  </si>
  <si>
    <t>Weller Aircond</t>
  </si>
  <si>
    <t>Mei Shun Fang</t>
  </si>
  <si>
    <t>Sleep Matics</t>
  </si>
  <si>
    <t>Berjayapak (System 1)</t>
  </si>
  <si>
    <t>Berjayapak (System 2)</t>
  </si>
  <si>
    <t>Gereja Baptis</t>
  </si>
  <si>
    <t>Material</t>
  </si>
  <si>
    <t>Total Amount</t>
  </si>
  <si>
    <t>Delivered</t>
  </si>
  <si>
    <t>Current Need</t>
  </si>
  <si>
    <t>Dec Module Count</t>
  </si>
  <si>
    <t>Huawei 5KTL-L1</t>
  </si>
  <si>
    <t>Huawei 5KTL-M1</t>
  </si>
  <si>
    <t>Huawei 6KTL-M1</t>
  </si>
  <si>
    <t>Huawei 8KTL-M1</t>
  </si>
  <si>
    <t>Huawei 10KTL-M1</t>
  </si>
  <si>
    <t>Huawei 12KTL-M5</t>
  </si>
  <si>
    <t>Item</t>
  </si>
  <si>
    <t>To Be Done (X)</t>
  </si>
  <si>
    <t>In Progress (Y)</t>
  </si>
  <si>
    <t>Completed (Z)</t>
  </si>
  <si>
    <t>SEDA NEMCD</t>
  </si>
  <si>
    <t>ST License</t>
  </si>
  <si>
    <t>LHDN Stamping</t>
  </si>
  <si>
    <t>GITA Asset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</si>
</sst>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M&quot;* #,##0.00_-;\-&quot;RM&quot;* #,##0.00_-;_-&quot;RM&quot;* &quot;-&quot;??_-;_-@_-"/>
    <numFmt numFmtId="164" formatCode="[$-409]d\-mmm\-yyyy;@"/>
    <numFmt numFmtId="165" formatCode="0.0000"/>
    <numFmt numFmtId="166" formatCode="0.000"/>
    <numFmt numFmtId="167" formatCode="#,##0.00\ \k\W\p"/>
    <numFmt numFmtId="168" formatCode="#,##0.00\ \k\W"/>
    <numFmt numFmtId="169" formatCode="#,##0.00&quot; kWh&quot;"/>
  </numFmts>
  <fonts count="30" x14ac:knownFonts="1">
    <font>
      <sz val="11"/>
      <color theme="1"/>
      <name val="Aptos Narrow"/>
      <family val="2"/>
      <scheme val="minor"/>
    </font>
    <font>
      <sz val="11"/>
      <color theme="1"/>
      <name val="Aptos Narrow"/>
      <family val="2"/>
      <scheme val="minor"/>
    </font>
    <font>
      <b/>
      <sz val="9"/>
      <color indexed="81"/>
      <name val="Tahoma"/>
      <family val="2"/>
    </font>
    <font>
      <sz val="9"/>
      <color indexed="81"/>
      <name val="Tahoma"/>
      <family val="2"/>
    </font>
    <font>
      <sz val="8"/>
      <name val="Aptos Narrow"/>
      <family val="2"/>
      <scheme val="minor"/>
    </font>
    <font>
      <sz val="11"/>
      <color rgb="FF000000"/>
      <name val="Calibri"/>
      <family val="2"/>
    </font>
    <font>
      <sz val="11"/>
      <name val="Aptos Narrow"/>
      <family val="2"/>
      <scheme val="minor"/>
    </font>
    <font>
      <u/>
      <sz val="11"/>
      <color theme="10"/>
      <name val="Aptos Narrow"/>
      <family val="2"/>
      <scheme val="minor"/>
    </font>
    <font>
      <sz val="10"/>
      <color theme="1"/>
      <name val="Aptos Narrow"/>
      <family val="2"/>
      <scheme val="minor"/>
    </font>
    <font>
      <sz val="11"/>
      <color rgb="FFFF0000"/>
      <name val="Aptos Narrow"/>
      <family val="2"/>
      <scheme val="minor"/>
    </font>
    <font>
      <sz val="11"/>
      <color theme="5"/>
      <name val="Aptos Narrow"/>
      <family val="2"/>
      <scheme val="minor"/>
    </font>
    <font>
      <b/>
      <sz val="14"/>
      <color theme="0"/>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12"/>
      <color theme="1"/>
      <name val="Aptos Narrow"/>
      <family val="2"/>
      <scheme val="minor"/>
    </font>
    <font>
      <b/>
      <sz val="12"/>
      <color theme="0"/>
      <name val="Aptos Narrow"/>
      <family val="2"/>
      <scheme val="minor"/>
    </font>
    <font>
      <b/>
      <sz val="18"/>
      <color theme="0"/>
      <name val="Aptos Narrow"/>
      <family val="2"/>
      <scheme val="minor"/>
    </font>
    <font>
      <sz val="13"/>
      <color theme="1"/>
      <name val="Aptos Narrow"/>
      <family val="2"/>
      <scheme val="minor"/>
    </font>
    <font>
      <b/>
      <sz val="13"/>
      <color theme="1"/>
      <name val="Aptos Narrow"/>
      <family val="2"/>
      <scheme val="minor"/>
    </font>
    <font>
      <b/>
      <sz val="18"/>
      <name val="Aptos Narrow"/>
      <family val="2"/>
      <scheme val="minor"/>
    </font>
    <font>
      <sz val="14"/>
      <color theme="1"/>
      <name val="Aptos Narrow"/>
      <family val="2"/>
      <scheme val="minor"/>
    </font>
    <font>
      <sz val="24"/>
      <color theme="1"/>
      <name val="Aptos Narrow"/>
      <family val="2"/>
      <scheme val="minor"/>
    </font>
    <font>
      <b/>
      <sz val="24"/>
      <color theme="0"/>
      <name val="Aptos Narrow"/>
      <family val="2"/>
      <scheme val="minor"/>
    </font>
    <font>
      <b/>
      <sz val="16"/>
      <color theme="0"/>
      <name val="Aptos Narrow"/>
      <family val="2"/>
      <scheme val="minor"/>
    </font>
    <font>
      <sz val="11"/>
      <color rgb="FFED7D31"/>
      <name val="Aptos Narrow"/>
      <family val="2"/>
      <scheme val="minor"/>
    </font>
    <font>
      <strike/>
      <sz val="11"/>
      <color theme="1"/>
      <name val="Aptos Narrow"/>
      <family val="2"/>
      <scheme val="minor"/>
    </font>
    <font>
      <sz val="11"/>
      <color rgb="FF1F1F1F"/>
      <name val="Arial"/>
      <family val="2"/>
    </font>
    <font>
      <b/>
      <sz val="11"/>
      <color rgb="FF1F1F1F"/>
      <name val="Arial"/>
      <family val="2"/>
    </font>
  </fonts>
  <fills count="29">
    <fill>
      <patternFill patternType="none"/>
    </fill>
    <fill>
      <patternFill patternType="gray125"/>
    </fill>
    <fill>
      <patternFill patternType="solid">
        <fgColor theme="2" tint="-0.249977111117893"/>
        <bgColor indexed="64"/>
      </patternFill>
    </fill>
    <fill>
      <patternFill patternType="solid">
        <fgColor theme="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ED7D31"/>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5"/>
        <bgColor indexed="64"/>
      </patternFill>
    </fill>
    <fill>
      <patternFill patternType="solid">
        <fgColor rgb="FFFFFF00"/>
        <bgColor indexed="64"/>
      </patternFill>
    </fill>
    <fill>
      <patternFill patternType="solid">
        <fgColor rgb="FFFF99CC"/>
        <bgColor indexed="64"/>
      </patternFill>
    </fill>
    <fill>
      <patternFill patternType="solid">
        <fgColor theme="5" tint="0.39997558519241921"/>
        <bgColor indexed="64"/>
      </patternFill>
    </fill>
    <fill>
      <patternFill patternType="solid">
        <fgColor rgb="FFAA85E1"/>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9DB6E7"/>
        <bgColor indexed="64"/>
      </patternFill>
    </fill>
    <fill>
      <patternFill patternType="solid">
        <fgColor rgb="FFFFDF9F"/>
        <bgColor indexed="64"/>
      </patternFill>
    </fill>
    <fill>
      <patternFill patternType="solid">
        <fgColor rgb="FFFF7C8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8"/>
      </top>
      <bottom/>
      <diagonal/>
    </border>
    <border>
      <left/>
      <right style="thin">
        <color theme="8"/>
      </right>
      <top style="thin">
        <color theme="8"/>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5" fillId="0" borderId="0"/>
    <xf numFmtId="0" fontId="7" fillId="0" borderId="0" applyNumberFormat="0" applyFill="0" applyBorder="0" applyAlignment="0" applyProtection="0"/>
  </cellStyleXfs>
  <cellXfs count="276">
    <xf numFmtId="0" fontId="0" fillId="0" borderId="0" xfId="0"/>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1" fillId="0" borderId="0" xfId="0" applyFont="1"/>
    <xf numFmtId="0" fontId="0" fillId="0" borderId="0" xfId="0" applyAlignment="1">
      <alignment horizontal="right" vertical="center"/>
    </xf>
    <xf numFmtId="0" fontId="1" fillId="0" borderId="0" xfId="0" applyFont="1" applyAlignment="1">
      <alignment wrapText="1"/>
    </xf>
    <xf numFmtId="0" fontId="0" fillId="0" borderId="4" xfId="0" applyBorder="1" applyAlignment="1">
      <alignment horizontal="center" vertical="center"/>
    </xf>
    <xf numFmtId="0" fontId="1" fillId="0" borderId="0" xfId="0" applyFont="1" applyAlignment="1">
      <alignment horizontal="center" vertical="center"/>
    </xf>
    <xf numFmtId="44" fontId="0" fillId="0" borderId="0" xfId="0" applyNumberForma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6" fillId="0" borderId="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0" fontId="0" fillId="0" borderId="0" xfId="0" applyAlignment="1">
      <alignment vertical="center"/>
    </xf>
    <xf numFmtId="0" fontId="7" fillId="0" borderId="0" xfId="2" applyAlignment="1">
      <alignment vertical="center"/>
    </xf>
    <xf numFmtId="0" fontId="7" fillId="0" borderId="0" xfId="2" applyAlignment="1">
      <alignment horizontal="left" vertical="center"/>
    </xf>
    <xf numFmtId="0" fontId="8" fillId="0" borderId="0" xfId="0" applyFont="1" applyAlignment="1">
      <alignment vertical="center"/>
    </xf>
    <xf numFmtId="44" fontId="0" fillId="0" borderId="0" xfId="0" applyNumberFormat="1" applyAlignment="1">
      <alignment vertical="center"/>
    </xf>
    <xf numFmtId="15"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11" fillId="5" borderId="0" xfId="0" applyFont="1" applyFill="1"/>
    <xf numFmtId="0" fontId="11" fillId="5" borderId="0" xfId="0" applyFont="1" applyFill="1" applyAlignment="1">
      <alignment horizontal="center" vertical="center"/>
    </xf>
    <xf numFmtId="0" fontId="0" fillId="6" borderId="1" xfId="0" applyFill="1" applyBorder="1" applyAlignment="1">
      <alignment horizontal="center" vertical="center"/>
    </xf>
    <xf numFmtId="0" fontId="12" fillId="0" borderId="1" xfId="0" applyFont="1" applyBorder="1" applyAlignment="1">
      <alignment horizontal="center" vertical="center" wrapText="1"/>
    </xf>
    <xf numFmtId="0" fontId="12" fillId="0" borderId="4" xfId="0" applyFont="1" applyBorder="1" applyAlignment="1">
      <alignment horizontal="center" vertical="center"/>
    </xf>
    <xf numFmtId="0" fontId="12" fillId="2" borderId="1" xfId="0" applyFont="1" applyFill="1" applyBorder="1" applyAlignment="1">
      <alignment horizontal="center" vertical="center" wrapText="1"/>
    </xf>
    <xf numFmtId="0" fontId="12" fillId="7" borderId="9" xfId="0" applyFont="1" applyFill="1" applyBorder="1" applyAlignment="1">
      <alignment horizontal="center" vertical="center"/>
    </xf>
    <xf numFmtId="0" fontId="12" fillId="7" borderId="10" xfId="0" applyFont="1" applyFill="1" applyBorder="1" applyAlignment="1">
      <alignment horizontal="center" vertical="center"/>
    </xf>
    <xf numFmtId="0" fontId="12" fillId="7" borderId="3" xfId="0" applyFont="1" applyFill="1" applyBorder="1" applyAlignment="1">
      <alignment horizontal="center" vertical="center"/>
    </xf>
    <xf numFmtId="0" fontId="12" fillId="7" borderId="2" xfId="0" applyFont="1" applyFill="1" applyBorder="1" applyAlignment="1">
      <alignment horizontal="center" vertical="center"/>
    </xf>
    <xf numFmtId="1" fontId="0" fillId="0" borderId="0" xfId="0" applyNumberFormat="1" applyAlignment="1">
      <alignment horizontal="center" vertical="center"/>
    </xf>
    <xf numFmtId="164" fontId="0" fillId="0" borderId="1" xfId="0" applyNumberFormat="1" applyBorder="1" applyAlignment="1">
      <alignment horizontal="center" vertical="center"/>
    </xf>
    <xf numFmtId="0" fontId="0" fillId="0" borderId="0" xfId="0" applyAlignment="1">
      <alignment horizontal="left"/>
    </xf>
    <xf numFmtId="0" fontId="0" fillId="0" borderId="0" xfId="0" applyAlignment="1">
      <alignment horizontal="center"/>
    </xf>
    <xf numFmtId="0" fontId="13" fillId="0" borderId="0" xfId="0" applyFont="1" applyAlignment="1">
      <alignment horizontal="center" vertical="center"/>
    </xf>
    <xf numFmtId="0" fontId="15" fillId="0" borderId="11" xfId="0" applyFont="1" applyBorder="1" applyAlignment="1">
      <alignment horizontal="center" vertical="center"/>
    </xf>
    <xf numFmtId="0" fontId="14" fillId="0" borderId="11" xfId="0" applyFont="1" applyBorder="1" applyAlignment="1">
      <alignment horizontal="center" vertical="center"/>
    </xf>
    <xf numFmtId="0" fontId="16" fillId="0" borderId="11" xfId="0" applyFont="1" applyBorder="1" applyAlignment="1">
      <alignment horizontal="center" vertical="center"/>
    </xf>
    <xf numFmtId="44" fontId="16" fillId="0" borderId="11" xfId="0" applyNumberFormat="1" applyFont="1" applyBorder="1" applyAlignment="1">
      <alignment horizontal="center" vertical="center"/>
    </xf>
    <xf numFmtId="0" fontId="15" fillId="0" borderId="11" xfId="0" applyFont="1" applyBorder="1"/>
    <xf numFmtId="0" fontId="14" fillId="0" borderId="11" xfId="0" applyFont="1" applyBorder="1"/>
    <xf numFmtId="0" fontId="13" fillId="7" borderId="1" xfId="0" applyFont="1" applyFill="1" applyBorder="1" applyAlignment="1">
      <alignment horizontal="left"/>
    </xf>
    <xf numFmtId="166" fontId="0" fillId="0" borderId="0" xfId="0" applyNumberFormat="1" applyAlignment="1">
      <alignment horizontal="center" vertical="center"/>
    </xf>
    <xf numFmtId="0" fontId="0" fillId="0" borderId="11" xfId="0" applyBorder="1" applyAlignment="1">
      <alignment horizontal="center" vertical="center"/>
    </xf>
    <xf numFmtId="166" fontId="0" fillId="0" borderId="11" xfId="0" applyNumberFormat="1" applyBorder="1" applyAlignment="1">
      <alignment horizontal="center" vertical="center"/>
    </xf>
    <xf numFmtId="0" fontId="0" fillId="0" borderId="11" xfId="0" applyBorder="1"/>
    <xf numFmtId="44" fontId="13" fillId="0" borderId="0" xfId="0" applyNumberFormat="1" applyFont="1" applyAlignment="1">
      <alignment horizontal="center" vertical="center"/>
    </xf>
    <xf numFmtId="44" fontId="0" fillId="0" borderId="1" xfId="0" applyNumberFormat="1" applyBorder="1" applyAlignment="1">
      <alignment horizontal="center" vertical="center"/>
    </xf>
    <xf numFmtId="164" fontId="0" fillId="0" borderId="1" xfId="0" applyNumberFormat="1" applyBorder="1" applyAlignment="1">
      <alignment horizontal="center" vertical="center" wrapText="1"/>
    </xf>
    <xf numFmtId="4" fontId="0" fillId="0" borderId="1" xfId="0" applyNumberFormat="1" applyBorder="1" applyAlignment="1">
      <alignment horizontal="center" vertical="center"/>
    </xf>
    <xf numFmtId="4" fontId="9" fillId="0" borderId="1" xfId="0" applyNumberFormat="1" applyFont="1" applyBorder="1" applyAlignment="1">
      <alignment horizontal="center" vertical="center"/>
    </xf>
    <xf numFmtId="4" fontId="6" fillId="0" borderId="1" xfId="0" applyNumberFormat="1" applyFont="1" applyBorder="1" applyAlignment="1">
      <alignment horizontal="center" vertical="center"/>
    </xf>
    <xf numFmtId="4" fontId="10" fillId="0" borderId="1" xfId="0" applyNumberFormat="1" applyFont="1" applyBorder="1" applyAlignment="1">
      <alignment horizontal="center" vertical="center"/>
    </xf>
    <xf numFmtId="0" fontId="17" fillId="9" borderId="1" xfId="0" applyFont="1" applyFill="1" applyBorder="1" applyAlignment="1">
      <alignment horizontal="center" vertical="center" wrapText="1"/>
    </xf>
    <xf numFmtId="44" fontId="17" fillId="9" borderId="1" xfId="0" applyNumberFormat="1" applyFont="1" applyFill="1" applyBorder="1" applyAlignment="1">
      <alignment horizontal="center" vertical="center" wrapText="1"/>
    </xf>
    <xf numFmtId="164" fontId="17" fillId="9" borderId="1" xfId="0" applyNumberFormat="1" applyFont="1" applyFill="1" applyBorder="1" applyAlignment="1">
      <alignment horizontal="center" vertical="center" wrapText="1"/>
    </xf>
    <xf numFmtId="164" fontId="6" fillId="0" borderId="1" xfId="0" applyNumberFormat="1" applyFont="1" applyBorder="1" applyAlignment="1">
      <alignment horizontal="center" vertical="center"/>
    </xf>
    <xf numFmtId="164" fontId="0" fillId="4" borderId="1" xfId="0" applyNumberFormat="1" applyFill="1" applyBorder="1" applyAlignment="1">
      <alignment horizontal="center" vertical="center"/>
    </xf>
    <xf numFmtId="4" fontId="0" fillId="4" borderId="1" xfId="0" applyNumberFormat="1" applyFill="1" applyBorder="1" applyAlignment="1">
      <alignment horizontal="center" vertical="center"/>
    </xf>
    <xf numFmtId="4" fontId="9" fillId="4" borderId="1" xfId="0" applyNumberFormat="1" applyFont="1" applyFill="1" applyBorder="1" applyAlignment="1">
      <alignment horizontal="center" vertical="center"/>
    </xf>
    <xf numFmtId="164" fontId="0" fillId="4" borderId="1" xfId="0" applyNumberFormat="1" applyFill="1" applyBorder="1" applyAlignment="1">
      <alignment horizontal="center" vertical="center" wrapText="1"/>
    </xf>
    <xf numFmtId="4" fontId="6" fillId="4" borderId="1" xfId="0" applyNumberFormat="1" applyFont="1" applyFill="1" applyBorder="1" applyAlignment="1">
      <alignment horizontal="center" vertical="center"/>
    </xf>
    <xf numFmtId="0" fontId="0" fillId="4" borderId="1" xfId="0" applyFill="1" applyBorder="1" applyAlignment="1">
      <alignment horizontal="center" vertical="center"/>
    </xf>
    <xf numFmtId="4" fontId="10" fillId="4" borderId="1"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0" fontId="15" fillId="7" borderId="1"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6" xfId="0" applyFont="1" applyFill="1" applyBorder="1" applyAlignment="1">
      <alignment horizontal="center" vertical="center"/>
    </xf>
    <xf numFmtId="0" fontId="19" fillId="0" borderId="1" xfId="0" applyFont="1" applyBorder="1" applyAlignment="1">
      <alignment horizontal="center" vertical="center"/>
    </xf>
    <xf numFmtId="0" fontId="19" fillId="0" borderId="4" xfId="0" applyFont="1" applyBorder="1" applyAlignment="1">
      <alignment horizontal="center" vertical="center"/>
    </xf>
    <xf numFmtId="0" fontId="19" fillId="0" borderId="1" xfId="0" applyFont="1" applyBorder="1" applyAlignment="1">
      <alignment horizontal="left"/>
    </xf>
    <xf numFmtId="44" fontId="19" fillId="0" borderId="6" xfId="0" applyNumberFormat="1" applyFont="1" applyBorder="1" applyAlignment="1">
      <alignment horizontal="center" vertical="center"/>
    </xf>
    <xf numFmtId="44" fontId="19" fillId="0" borderId="1" xfId="0" applyNumberFormat="1" applyFont="1" applyBorder="1" applyAlignment="1">
      <alignment horizontal="center" vertical="center"/>
    </xf>
    <xf numFmtId="44" fontId="19" fillId="0" borderId="4" xfId="0" applyNumberFormat="1" applyFont="1" applyBorder="1" applyAlignment="1">
      <alignment horizontal="center" vertical="center"/>
    </xf>
    <xf numFmtId="0" fontId="20" fillId="7" borderId="1" xfId="0" applyFont="1" applyFill="1" applyBorder="1" applyAlignment="1">
      <alignment horizontal="left"/>
    </xf>
    <xf numFmtId="0" fontId="0" fillId="0" borderId="12" xfId="0" applyBorder="1"/>
    <xf numFmtId="0" fontId="18" fillId="9" borderId="1" xfId="0" applyFont="1" applyFill="1" applyBorder="1" applyAlignment="1">
      <alignment horizontal="left"/>
    </xf>
    <xf numFmtId="0" fontId="18" fillId="9" borderId="1" xfId="0" applyFont="1" applyFill="1" applyBorder="1" applyAlignment="1">
      <alignment horizontal="center" vertical="center"/>
    </xf>
    <xf numFmtId="0" fontId="19" fillId="0" borderId="1" xfId="0" applyFont="1" applyBorder="1" applyAlignment="1">
      <alignment horizontal="left" vertical="center"/>
    </xf>
    <xf numFmtId="0" fontId="6" fillId="6" borderId="0" xfId="0" applyFont="1" applyFill="1"/>
    <xf numFmtId="0" fontId="13" fillId="7" borderId="13" xfId="0" applyFont="1" applyFill="1" applyBorder="1" applyAlignment="1">
      <alignment horizontal="left"/>
    </xf>
    <xf numFmtId="44" fontId="0" fillId="0" borderId="0" xfId="0" applyNumberFormat="1"/>
    <xf numFmtId="0" fontId="0" fillId="0" borderId="0" xfId="0" pivotButton="1"/>
    <xf numFmtId="0" fontId="7" fillId="0" borderId="0" xfId="2"/>
    <xf numFmtId="0" fontId="9" fillId="0" borderId="0" xfId="0" applyFont="1" applyAlignment="1">
      <alignment horizontal="center" vertical="center"/>
    </xf>
    <xf numFmtId="14" fontId="0" fillId="0" borderId="1" xfId="0" applyNumberFormat="1" applyBorder="1" applyAlignment="1">
      <alignment horizontal="center" vertical="center"/>
    </xf>
    <xf numFmtId="0" fontId="12" fillId="0" borderId="0" xfId="0" applyFont="1"/>
    <xf numFmtId="167" fontId="19" fillId="0" borderId="1" xfId="0" applyNumberFormat="1" applyFont="1" applyBorder="1" applyAlignment="1">
      <alignment horizontal="center" vertical="center"/>
    </xf>
    <xf numFmtId="167" fontId="19" fillId="0" borderId="4" xfId="0" applyNumberFormat="1" applyFont="1" applyBorder="1" applyAlignment="1">
      <alignment horizontal="center" vertical="center"/>
    </xf>
    <xf numFmtId="168" fontId="19" fillId="0" borderId="1" xfId="0" applyNumberFormat="1" applyFont="1" applyBorder="1" applyAlignment="1">
      <alignment horizontal="center" vertical="center"/>
    </xf>
    <xf numFmtId="168" fontId="19" fillId="0" borderId="4" xfId="0" applyNumberFormat="1" applyFont="1" applyBorder="1" applyAlignment="1">
      <alignment horizontal="center" vertical="center"/>
    </xf>
    <xf numFmtId="169" fontId="19" fillId="0" borderId="1" xfId="0" applyNumberFormat="1" applyFont="1" applyBorder="1" applyAlignment="1">
      <alignment horizontal="center" vertical="center"/>
    </xf>
    <xf numFmtId="169" fontId="19" fillId="0" borderId="4" xfId="0" applyNumberFormat="1" applyFont="1" applyBorder="1" applyAlignment="1">
      <alignment horizontal="center" vertical="center"/>
    </xf>
    <xf numFmtId="0" fontId="13" fillId="7" borderId="1" xfId="0" applyFont="1" applyFill="1" applyBorder="1" applyAlignment="1">
      <alignment horizontal="left" vertical="center"/>
    </xf>
    <xf numFmtId="0" fontId="16" fillId="0" borderId="11" xfId="0" applyFont="1" applyBorder="1" applyAlignment="1">
      <alignment vertical="center"/>
    </xf>
    <xf numFmtId="44" fontId="19" fillId="0" borderId="6" xfId="0" applyNumberFormat="1" applyFont="1" applyBorder="1" applyAlignment="1">
      <alignment vertical="center"/>
    </xf>
    <xf numFmtId="44" fontId="19" fillId="0" borderId="1" xfId="0" applyNumberFormat="1" applyFont="1" applyBorder="1" applyAlignment="1">
      <alignment vertical="center"/>
    </xf>
    <xf numFmtId="44" fontId="19" fillId="0" borderId="4" xfId="0" applyNumberFormat="1" applyFont="1" applyBorder="1" applyAlignment="1">
      <alignment vertical="center"/>
    </xf>
    <xf numFmtId="44" fontId="16" fillId="0" borderId="11" xfId="0" applyNumberFormat="1" applyFont="1" applyBorder="1" applyAlignment="1">
      <alignment vertical="center"/>
    </xf>
    <xf numFmtId="167" fontId="0" fillId="0" borderId="11" xfId="0" applyNumberFormat="1" applyBorder="1" applyAlignment="1">
      <alignment horizontal="center" vertical="center"/>
    </xf>
    <xf numFmtId="0" fontId="0" fillId="0" borderId="1" xfId="0" applyBorder="1"/>
    <xf numFmtId="44" fontId="0" fillId="0" borderId="0" xfId="0" applyNumberFormat="1" applyAlignment="1">
      <alignment horizontal="center" vertical="center" wrapText="1"/>
    </xf>
    <xf numFmtId="0" fontId="0" fillId="0" borderId="1" xfId="0" applyBorder="1" applyAlignment="1">
      <alignment horizontal="left" vertical="center"/>
    </xf>
    <xf numFmtId="164" fontId="0" fillId="0" borderId="0" xfId="0" applyNumberFormat="1" applyAlignment="1">
      <alignment horizontal="center" vertical="center" wrapText="1"/>
    </xf>
    <xf numFmtId="1" fontId="0" fillId="0" borderId="0" xfId="0" applyNumberFormat="1" applyAlignment="1">
      <alignment horizontal="center" vertical="center" wrapText="1"/>
    </xf>
    <xf numFmtId="0" fontId="21" fillId="0" borderId="0" xfId="0" applyFont="1" applyAlignment="1">
      <alignment horizontal="left"/>
    </xf>
    <xf numFmtId="0" fontId="0" fillId="6" borderId="1" xfId="0" applyFill="1" applyBorder="1"/>
    <xf numFmtId="4" fontId="26" fillId="0" borderId="1" xfId="0" applyNumberFormat="1" applyFont="1" applyBorder="1" applyAlignment="1">
      <alignment horizontal="center" vertical="center"/>
    </xf>
    <xf numFmtId="0" fontId="27" fillId="0" borderId="1" xfId="0" applyFont="1" applyBorder="1" applyAlignment="1">
      <alignment horizontal="center" vertical="center"/>
    </xf>
    <xf numFmtId="44" fontId="27" fillId="0" borderId="1" xfId="0" applyNumberFormat="1" applyFont="1" applyBorder="1" applyAlignment="1">
      <alignment horizontal="center" vertical="center"/>
    </xf>
    <xf numFmtId="164" fontId="27" fillId="4" borderId="1" xfId="0" applyNumberFormat="1" applyFont="1" applyFill="1" applyBorder="1" applyAlignment="1">
      <alignment horizontal="center" vertical="center"/>
    </xf>
    <xf numFmtId="4" fontId="27" fillId="4" borderId="1" xfId="0" applyNumberFormat="1" applyFont="1" applyFill="1" applyBorder="1" applyAlignment="1">
      <alignment horizontal="center" vertical="center"/>
    </xf>
    <xf numFmtId="164" fontId="27" fillId="0" borderId="1" xfId="0" applyNumberFormat="1" applyFont="1" applyBorder="1" applyAlignment="1">
      <alignment horizontal="center" vertical="center"/>
    </xf>
    <xf numFmtId="4" fontId="27" fillId="0" borderId="1" xfId="0" applyNumberFormat="1" applyFont="1" applyBorder="1" applyAlignment="1">
      <alignment horizontal="center" vertical="center"/>
    </xf>
    <xf numFmtId="0" fontId="27" fillId="4" borderId="1" xfId="0" applyFont="1" applyFill="1" applyBorder="1" applyAlignment="1">
      <alignment horizontal="center" vertical="center"/>
    </xf>
    <xf numFmtId="0" fontId="27" fillId="0" borderId="0" xfId="0" applyFont="1"/>
    <xf numFmtId="0" fontId="13" fillId="0" borderId="0" xfId="0" applyFont="1" applyAlignment="1">
      <alignment horizontal="left" vertical="center"/>
    </xf>
    <xf numFmtId="0" fontId="27" fillId="0" borderId="1" xfId="0" applyFont="1" applyBorder="1" applyAlignment="1">
      <alignment horizontal="left" vertical="center"/>
    </xf>
    <xf numFmtId="0" fontId="17" fillId="12" borderId="0" xfId="0" applyFont="1" applyFill="1" applyAlignment="1">
      <alignment horizontal="center" vertical="center" wrapText="1"/>
    </xf>
    <xf numFmtId="0" fontId="0" fillId="12" borderId="0" xfId="0" applyFill="1" applyAlignment="1">
      <alignment horizontal="center" vertical="center" wrapText="1"/>
    </xf>
    <xf numFmtId="0" fontId="1" fillId="13" borderId="0" xfId="0" applyFont="1" applyFill="1" applyAlignment="1">
      <alignment horizontal="center" vertical="center"/>
    </xf>
    <xf numFmtId="0" fontId="0" fillId="13" borderId="0" xfId="0" applyFill="1" applyAlignment="1">
      <alignment horizontal="center" vertical="center"/>
    </xf>
    <xf numFmtId="0" fontId="13" fillId="4" borderId="4" xfId="0" applyFont="1" applyFill="1" applyBorder="1" applyAlignment="1">
      <alignment horizontal="left" vertical="center"/>
    </xf>
    <xf numFmtId="0" fontId="13" fillId="4" borderId="5" xfId="0" applyFont="1" applyFill="1" applyBorder="1" applyAlignment="1">
      <alignment horizontal="left" vertical="center"/>
    </xf>
    <xf numFmtId="0" fontId="13" fillId="4" borderId="6" xfId="0" applyFont="1" applyFill="1" applyBorder="1" applyAlignment="1">
      <alignment horizontal="left" vertical="center"/>
    </xf>
    <xf numFmtId="0" fontId="27" fillId="0" borderId="1" xfId="0" applyFont="1" applyBorder="1"/>
    <xf numFmtId="0" fontId="0" fillId="0" borderId="0" xfId="0" quotePrefix="1" applyAlignment="1">
      <alignment horizontal="center" vertical="center"/>
    </xf>
    <xf numFmtId="14" fontId="0" fillId="0" borderId="1" xfId="0" applyNumberFormat="1" applyBorder="1" applyAlignment="1">
      <alignment horizontal="center" vertical="center" wrapText="1"/>
    </xf>
    <xf numFmtId="0" fontId="27" fillId="4" borderId="1" xfId="0" applyFont="1" applyFill="1" applyBorder="1"/>
    <xf numFmtId="44" fontId="27" fillId="4" borderId="1" xfId="0" applyNumberFormat="1" applyFont="1" applyFill="1" applyBorder="1" applyAlignment="1">
      <alignment horizontal="center" vertical="center"/>
    </xf>
    <xf numFmtId="0" fontId="0" fillId="0" borderId="0" xfId="0" applyAlignment="1">
      <alignment wrapText="1"/>
    </xf>
    <xf numFmtId="0" fontId="27" fillId="0" borderId="1" xfId="0" applyFont="1" applyBorder="1" applyAlignment="1">
      <alignment horizontal="center" vertical="center" wrapText="1"/>
    </xf>
    <xf numFmtId="0" fontId="27" fillId="12" borderId="0" xfId="0" applyFont="1" applyFill="1" applyAlignment="1">
      <alignment horizontal="center" vertical="center" wrapText="1"/>
    </xf>
    <xf numFmtId="164" fontId="27" fillId="0" borderId="1" xfId="0" applyNumberFormat="1" applyFont="1" applyBorder="1" applyAlignment="1">
      <alignment horizontal="center" vertical="center" wrapText="1"/>
    </xf>
    <xf numFmtId="0" fontId="27" fillId="0" borderId="0" xfId="0" applyFont="1" applyAlignment="1">
      <alignment horizontal="center" vertical="center"/>
    </xf>
    <xf numFmtId="1" fontId="27" fillId="0" borderId="0" xfId="0" applyNumberFormat="1" applyFont="1" applyAlignment="1">
      <alignment horizontal="center" vertical="center"/>
    </xf>
    <xf numFmtId="0" fontId="27" fillId="11" borderId="1" xfId="0" applyFont="1" applyFill="1" applyBorder="1"/>
    <xf numFmtId="166" fontId="0" fillId="0" borderId="12" xfId="0" applyNumberFormat="1" applyBorder="1" applyAlignment="1">
      <alignment horizontal="center" vertical="center"/>
    </xf>
    <xf numFmtId="167" fontId="0" fillId="0" borderId="0" xfId="0" applyNumberFormat="1" applyAlignment="1">
      <alignment horizontal="center" vertical="center"/>
    </xf>
    <xf numFmtId="167" fontId="23" fillId="11" borderId="0" xfId="0" applyNumberFormat="1" applyFont="1" applyFill="1" applyAlignment="1">
      <alignment horizontal="center" vertical="center"/>
    </xf>
    <xf numFmtId="0" fontId="18" fillId="8" borderId="16" xfId="0" applyFont="1" applyFill="1" applyBorder="1" applyAlignment="1">
      <alignment horizontal="center" vertical="center"/>
    </xf>
    <xf numFmtId="0" fontId="18" fillId="8" borderId="15" xfId="0" applyFont="1" applyFill="1" applyBorder="1" applyAlignment="1">
      <alignment horizontal="center" vertical="center"/>
    </xf>
    <xf numFmtId="0" fontId="18" fillId="8" borderId="17" xfId="0" applyFont="1" applyFill="1" applyBorder="1" applyAlignment="1">
      <alignment horizontal="center" vertical="center"/>
    </xf>
    <xf numFmtId="0" fontId="24" fillId="10" borderId="0" xfId="0" applyFont="1" applyFill="1" applyAlignment="1">
      <alignment horizontal="center" vertical="center"/>
    </xf>
    <xf numFmtId="0" fontId="18" fillId="8" borderId="14" xfId="0" applyFont="1" applyFill="1" applyBorder="1" applyAlignment="1">
      <alignment horizontal="center" vertical="center"/>
    </xf>
    <xf numFmtId="0" fontId="18" fillId="8" borderId="0" xfId="0" applyFont="1" applyFill="1" applyAlignment="1">
      <alignment horizontal="center" vertical="center"/>
    </xf>
    <xf numFmtId="0" fontId="18" fillId="8" borderId="12" xfId="0" applyFont="1" applyFill="1" applyBorder="1" applyAlignment="1">
      <alignment horizontal="center" vertical="center"/>
    </xf>
    <xf numFmtId="0" fontId="22" fillId="0" borderId="1" xfId="0" applyFont="1" applyBorder="1" applyAlignment="1">
      <alignment horizontal="center" vertical="center"/>
    </xf>
    <xf numFmtId="1" fontId="22" fillId="0" borderId="1" xfId="0" applyNumberFormat="1" applyFont="1" applyBorder="1" applyAlignment="1">
      <alignment horizontal="center" vertical="center"/>
    </xf>
    <xf numFmtId="0" fontId="22" fillId="0" borderId="1" xfId="0" applyFont="1" applyBorder="1" applyAlignment="1">
      <alignment horizontal="left" vertical="center"/>
    </xf>
    <xf numFmtId="0" fontId="25" fillId="9" borderId="14" xfId="0" applyFont="1" applyFill="1" applyBorder="1" applyAlignment="1">
      <alignment horizontal="center"/>
    </xf>
    <xf numFmtId="0" fontId="25" fillId="9" borderId="12" xfId="0" applyFont="1" applyFill="1" applyBorder="1" applyAlignment="1">
      <alignment horizontal="center"/>
    </xf>
    <xf numFmtId="0" fontId="25" fillId="9" borderId="0" xfId="0" applyFont="1" applyFill="1" applyAlignment="1">
      <alignment horizontal="center"/>
    </xf>
    <xf numFmtId="0" fontId="25" fillId="5" borderId="15" xfId="0" applyFont="1" applyFill="1" applyBorder="1" applyAlignment="1">
      <alignment horizontal="center" vertical="center" wrapText="1"/>
    </xf>
    <xf numFmtId="164" fontId="17" fillId="9" borderId="1" xfId="0" applyNumberFormat="1" applyFont="1"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22" fillId="4" borderId="1" xfId="0" applyFont="1" applyFill="1" applyBorder="1" applyAlignment="1">
      <alignment horizontal="center" vertical="center"/>
    </xf>
    <xf numFmtId="0" fontId="27" fillId="4" borderId="4" xfId="0" applyFont="1" applyFill="1" applyBorder="1" applyAlignment="1">
      <alignment horizontal="center" vertical="center"/>
    </xf>
    <xf numFmtId="0" fontId="27" fillId="4" borderId="5" xfId="0" applyFont="1" applyFill="1" applyBorder="1" applyAlignment="1">
      <alignment horizontal="center" vertical="center"/>
    </xf>
    <xf numFmtId="0" fontId="27" fillId="4" borderId="6" xfId="0" applyFont="1" applyFill="1" applyBorder="1" applyAlignment="1">
      <alignment horizontal="center" vertical="center"/>
    </xf>
    <xf numFmtId="0" fontId="13" fillId="4" borderId="4" xfId="0" applyFont="1" applyFill="1" applyBorder="1" applyAlignment="1">
      <alignment horizontal="left" vertical="center"/>
    </xf>
    <xf numFmtId="0" fontId="13" fillId="4" borderId="5" xfId="0" applyFont="1" applyFill="1" applyBorder="1" applyAlignment="1">
      <alignment horizontal="left" vertical="center"/>
    </xf>
    <xf numFmtId="0" fontId="13" fillId="4" borderId="6" xfId="0" applyFont="1" applyFill="1" applyBorder="1" applyAlignment="1">
      <alignment horizontal="left" vertical="center"/>
    </xf>
    <xf numFmtId="0" fontId="0" fillId="0" borderId="0" xfId="0" applyNumberFormat="1"/>
    <xf numFmtId="0" fontId="0" fillId="14" borderId="1" xfId="0" applyFill="1" applyBorder="1" applyAlignment="1">
      <alignment horizontal="center" vertical="center"/>
    </xf>
    <xf numFmtId="0" fontId="0" fillId="14" borderId="1" xfId="0" applyFill="1" applyBorder="1" applyAlignment="1">
      <alignment horizontal="left" vertical="center"/>
    </xf>
    <xf numFmtId="0" fontId="0" fillId="14" borderId="1" xfId="0" applyFill="1" applyBorder="1" applyAlignment="1">
      <alignment horizontal="center" vertical="center" wrapText="1"/>
    </xf>
    <xf numFmtId="0" fontId="0" fillId="14" borderId="0" xfId="0" applyFill="1" applyAlignment="1">
      <alignment horizontal="center" vertical="center" wrapText="1"/>
    </xf>
    <xf numFmtId="164" fontId="0" fillId="14" borderId="1" xfId="0" applyNumberFormat="1" applyFill="1" applyBorder="1" applyAlignment="1">
      <alignment horizontal="center" vertical="center" wrapText="1"/>
    </xf>
    <xf numFmtId="164" fontId="0" fillId="14" borderId="1" xfId="0" applyNumberFormat="1" applyFill="1" applyBorder="1" applyAlignment="1">
      <alignment horizontal="center" vertical="center"/>
    </xf>
    <xf numFmtId="0" fontId="0" fillId="14" borderId="0" xfId="0" applyFill="1"/>
    <xf numFmtId="0" fontId="0" fillId="14" borderId="0" xfId="0" applyFill="1" applyAlignment="1">
      <alignment horizontal="center" vertical="center"/>
    </xf>
    <xf numFmtId="1" fontId="0" fillId="14" borderId="0" xfId="0" applyNumberFormat="1" applyFill="1" applyAlignment="1">
      <alignment horizontal="center" vertical="center"/>
    </xf>
    <xf numFmtId="0" fontId="0" fillId="15" borderId="1" xfId="0" applyFill="1" applyBorder="1" applyAlignment="1">
      <alignment horizontal="center" vertical="center"/>
    </xf>
    <xf numFmtId="0" fontId="0" fillId="15" borderId="1" xfId="0" applyFill="1" applyBorder="1" applyAlignment="1">
      <alignment horizontal="left" vertical="center"/>
    </xf>
    <xf numFmtId="0" fontId="0" fillId="15" borderId="1" xfId="0" applyFill="1" applyBorder="1" applyAlignment="1">
      <alignment horizontal="center" vertical="center" wrapText="1"/>
    </xf>
    <xf numFmtId="0" fontId="0" fillId="15" borderId="0" xfId="0" applyFill="1" applyAlignment="1">
      <alignment horizontal="center" vertical="center" wrapText="1"/>
    </xf>
    <xf numFmtId="164" fontId="0" fillId="15" borderId="1" xfId="0" applyNumberFormat="1" applyFill="1" applyBorder="1" applyAlignment="1">
      <alignment horizontal="center" vertical="center" wrapText="1"/>
    </xf>
    <xf numFmtId="164" fontId="0" fillId="15" borderId="1" xfId="0" applyNumberFormat="1" applyFill="1" applyBorder="1" applyAlignment="1">
      <alignment horizontal="center" vertical="center"/>
    </xf>
    <xf numFmtId="0" fontId="0" fillId="15" borderId="0" xfId="0" applyFill="1"/>
    <xf numFmtId="0" fontId="0" fillId="15" borderId="0" xfId="0" applyFill="1" applyAlignment="1">
      <alignment horizontal="center" vertical="center"/>
    </xf>
    <xf numFmtId="1" fontId="0" fillId="15" borderId="0" xfId="0" applyNumberFormat="1" applyFill="1" applyAlignment="1">
      <alignment horizontal="center" vertical="center"/>
    </xf>
    <xf numFmtId="0" fontId="0" fillId="16" borderId="1" xfId="0" applyFill="1" applyBorder="1" applyAlignment="1">
      <alignment horizontal="center" vertical="center"/>
    </xf>
    <xf numFmtId="0" fontId="0" fillId="16" borderId="1" xfId="0" applyFill="1" applyBorder="1" applyAlignment="1">
      <alignment horizontal="left" vertical="center"/>
    </xf>
    <xf numFmtId="0" fontId="0" fillId="16" borderId="1" xfId="0" applyFill="1" applyBorder="1" applyAlignment="1">
      <alignment horizontal="center" vertical="center" wrapText="1"/>
    </xf>
    <xf numFmtId="0" fontId="0" fillId="16" borderId="0" xfId="0" applyFill="1" applyAlignment="1">
      <alignment horizontal="center" vertical="center" wrapText="1"/>
    </xf>
    <xf numFmtId="164" fontId="0" fillId="16" borderId="1" xfId="0" applyNumberFormat="1" applyFill="1" applyBorder="1" applyAlignment="1">
      <alignment horizontal="center" vertical="center" wrapText="1"/>
    </xf>
    <xf numFmtId="164" fontId="0" fillId="16" borderId="1" xfId="0" applyNumberFormat="1" applyFill="1" applyBorder="1" applyAlignment="1">
      <alignment horizontal="center" vertical="center"/>
    </xf>
    <xf numFmtId="0" fontId="0" fillId="16" borderId="0" xfId="0" applyFill="1"/>
    <xf numFmtId="0" fontId="0" fillId="16" borderId="0" xfId="0" applyFill="1" applyAlignment="1">
      <alignment horizontal="center" vertical="center"/>
    </xf>
    <xf numFmtId="1" fontId="0" fillId="16" borderId="0" xfId="0" applyNumberFormat="1" applyFill="1" applyAlignment="1">
      <alignment horizontal="center" vertical="center"/>
    </xf>
    <xf numFmtId="0" fontId="27" fillId="16" borderId="1" xfId="0" applyFont="1" applyFill="1" applyBorder="1" applyAlignment="1">
      <alignment horizontal="center" vertical="center"/>
    </xf>
    <xf numFmtId="0" fontId="27" fillId="16" borderId="1" xfId="0" applyFont="1" applyFill="1" applyBorder="1" applyAlignment="1">
      <alignment horizontal="left" vertical="center"/>
    </xf>
    <xf numFmtId="0" fontId="27" fillId="16" borderId="1" xfId="0" applyFont="1" applyFill="1" applyBorder="1" applyAlignment="1">
      <alignment horizontal="center" vertical="center" wrapText="1"/>
    </xf>
    <xf numFmtId="0" fontId="27" fillId="16" borderId="0" xfId="0" applyFont="1" applyFill="1" applyAlignment="1">
      <alignment horizontal="center" vertical="center" wrapText="1"/>
    </xf>
    <xf numFmtId="164" fontId="27" fillId="16" borderId="1" xfId="0" applyNumberFormat="1" applyFont="1" applyFill="1" applyBorder="1" applyAlignment="1">
      <alignment horizontal="center" vertical="center" wrapText="1"/>
    </xf>
    <xf numFmtId="164" fontId="27" fillId="16" borderId="1" xfId="0" applyNumberFormat="1" applyFont="1" applyFill="1" applyBorder="1" applyAlignment="1">
      <alignment horizontal="center" vertical="center"/>
    </xf>
    <xf numFmtId="0" fontId="27" fillId="16" borderId="0" xfId="0" applyFont="1" applyFill="1"/>
    <xf numFmtId="0" fontId="27" fillId="16" borderId="0" xfId="0" applyFont="1" applyFill="1" applyAlignment="1">
      <alignment horizontal="center" vertical="center"/>
    </xf>
    <xf numFmtId="1" fontId="27" fillId="16" borderId="0" xfId="0" applyNumberFormat="1" applyFont="1" applyFill="1" applyAlignment="1">
      <alignment horizontal="center" vertical="center"/>
    </xf>
    <xf numFmtId="0" fontId="0" fillId="17" borderId="1" xfId="0" applyFill="1" applyBorder="1" applyAlignment="1">
      <alignment horizontal="center" vertical="center"/>
    </xf>
    <xf numFmtId="0" fontId="0" fillId="17" borderId="1" xfId="0" applyFill="1" applyBorder="1" applyAlignment="1">
      <alignment horizontal="left" vertical="center"/>
    </xf>
    <xf numFmtId="0" fontId="0" fillId="17" borderId="1" xfId="0" applyFill="1" applyBorder="1" applyAlignment="1">
      <alignment horizontal="center" vertical="center" wrapText="1"/>
    </xf>
    <xf numFmtId="0" fontId="0" fillId="17" borderId="0" xfId="0" applyFill="1" applyAlignment="1">
      <alignment horizontal="center" vertical="center" wrapText="1"/>
    </xf>
    <xf numFmtId="164" fontId="0" fillId="17" borderId="1" xfId="0" applyNumberFormat="1" applyFill="1" applyBorder="1" applyAlignment="1">
      <alignment horizontal="center" vertical="center" wrapText="1"/>
    </xf>
    <xf numFmtId="164" fontId="0" fillId="17" borderId="1" xfId="0" applyNumberFormat="1" applyFill="1" applyBorder="1" applyAlignment="1">
      <alignment horizontal="center" vertical="center"/>
    </xf>
    <xf numFmtId="0" fontId="0" fillId="17" borderId="0" xfId="0" applyFill="1"/>
    <xf numFmtId="0" fontId="0" fillId="17" borderId="0" xfId="0" applyFill="1" applyAlignment="1">
      <alignment horizontal="center" vertical="center"/>
    </xf>
    <xf numFmtId="1" fontId="0" fillId="17" borderId="0" xfId="0" applyNumberFormat="1" applyFill="1" applyAlignment="1">
      <alignment horizontal="center" vertical="center"/>
    </xf>
    <xf numFmtId="0" fontId="0" fillId="18" borderId="1" xfId="0" applyFill="1" applyBorder="1" applyAlignment="1">
      <alignment horizontal="center" vertical="center"/>
    </xf>
    <xf numFmtId="0" fontId="0" fillId="18" borderId="1" xfId="0" applyFill="1" applyBorder="1" applyAlignment="1">
      <alignment horizontal="left" vertical="center"/>
    </xf>
    <xf numFmtId="0" fontId="0" fillId="18" borderId="1" xfId="0" applyFill="1" applyBorder="1" applyAlignment="1">
      <alignment horizontal="center" vertical="center" wrapText="1"/>
    </xf>
    <xf numFmtId="0" fontId="0" fillId="18" borderId="0" xfId="0" applyFill="1" applyAlignment="1">
      <alignment horizontal="center" vertical="center" wrapText="1"/>
    </xf>
    <xf numFmtId="164" fontId="0" fillId="18" borderId="1" xfId="0" applyNumberFormat="1" applyFill="1" applyBorder="1" applyAlignment="1">
      <alignment horizontal="center" vertical="center" wrapText="1"/>
    </xf>
    <xf numFmtId="164" fontId="0" fillId="18" borderId="1" xfId="0" applyNumberFormat="1" applyFill="1" applyBorder="1" applyAlignment="1">
      <alignment horizontal="center" vertical="center"/>
    </xf>
    <xf numFmtId="0" fontId="0" fillId="18" borderId="0" xfId="0" applyFill="1"/>
    <xf numFmtId="0" fontId="0" fillId="18" borderId="0" xfId="0" applyFill="1" applyAlignment="1">
      <alignment horizontal="center" vertical="center"/>
    </xf>
    <xf numFmtId="1" fontId="0" fillId="18" borderId="0" xfId="0" applyNumberFormat="1" applyFill="1" applyAlignment="1">
      <alignment horizontal="center" vertical="center"/>
    </xf>
    <xf numFmtId="0" fontId="0" fillId="19" borderId="1" xfId="0" applyFill="1" applyBorder="1" applyAlignment="1">
      <alignment horizontal="center" vertical="center"/>
    </xf>
    <xf numFmtId="0" fontId="0" fillId="19" borderId="1" xfId="0" applyFill="1" applyBorder="1" applyAlignment="1">
      <alignment horizontal="left" vertical="center"/>
    </xf>
    <xf numFmtId="0" fontId="0" fillId="19" borderId="1" xfId="0" applyFill="1" applyBorder="1" applyAlignment="1">
      <alignment horizontal="center" vertical="center" wrapText="1"/>
    </xf>
    <xf numFmtId="0" fontId="0" fillId="19" borderId="0" xfId="0" applyFill="1" applyAlignment="1">
      <alignment horizontal="center" vertical="center" wrapText="1"/>
    </xf>
    <xf numFmtId="164" fontId="0" fillId="19" borderId="1" xfId="0" applyNumberFormat="1" applyFill="1" applyBorder="1" applyAlignment="1">
      <alignment horizontal="center" vertical="center"/>
    </xf>
    <xf numFmtId="164" fontId="0" fillId="19" borderId="1" xfId="0" applyNumberFormat="1" applyFill="1" applyBorder="1" applyAlignment="1">
      <alignment horizontal="center" vertical="center" wrapText="1"/>
    </xf>
    <xf numFmtId="0" fontId="0" fillId="19" borderId="0" xfId="0" applyFill="1"/>
    <xf numFmtId="0" fontId="0" fillId="19" borderId="0" xfId="0" applyFill="1" applyAlignment="1">
      <alignment horizontal="center" vertical="center"/>
    </xf>
    <xf numFmtId="1" fontId="0" fillId="19" borderId="0" xfId="0" applyNumberFormat="1" applyFill="1" applyAlignment="1">
      <alignment horizontal="center" vertical="center"/>
    </xf>
    <xf numFmtId="0" fontId="0" fillId="20" borderId="1" xfId="0" applyFill="1" applyBorder="1" applyAlignment="1">
      <alignment horizontal="center" vertical="center"/>
    </xf>
    <xf numFmtId="0" fontId="0" fillId="20" borderId="1" xfId="0" applyFill="1" applyBorder="1" applyAlignment="1">
      <alignment horizontal="left" vertical="center"/>
    </xf>
    <xf numFmtId="0" fontId="0" fillId="20" borderId="1" xfId="0" applyFill="1" applyBorder="1" applyAlignment="1">
      <alignment horizontal="center" vertical="center" wrapText="1"/>
    </xf>
    <xf numFmtId="0" fontId="0" fillId="20" borderId="0" xfId="0" applyFill="1" applyAlignment="1">
      <alignment horizontal="center" vertical="center" wrapText="1"/>
    </xf>
    <xf numFmtId="164" fontId="0" fillId="20" borderId="1" xfId="0" applyNumberFormat="1" applyFill="1" applyBorder="1" applyAlignment="1">
      <alignment horizontal="center" vertical="center" wrapText="1"/>
    </xf>
    <xf numFmtId="164" fontId="0" fillId="20" borderId="1" xfId="0" applyNumberFormat="1" applyFill="1" applyBorder="1" applyAlignment="1">
      <alignment horizontal="center" vertical="center"/>
    </xf>
    <xf numFmtId="0" fontId="0" fillId="20" borderId="0" xfId="0" applyFill="1"/>
    <xf numFmtId="0" fontId="0" fillId="20" borderId="0" xfId="0" applyFill="1" applyAlignment="1">
      <alignment horizontal="center" vertical="center"/>
    </xf>
    <xf numFmtId="1" fontId="0" fillId="20" borderId="0" xfId="0" applyNumberFormat="1" applyFill="1" applyAlignment="1">
      <alignment horizontal="center" vertical="center"/>
    </xf>
    <xf numFmtId="14" fontId="0" fillId="20" borderId="1" xfId="0" applyNumberFormat="1" applyFill="1" applyBorder="1" applyAlignment="1">
      <alignment horizontal="center" vertical="center" wrapText="1"/>
    </xf>
    <xf numFmtId="14" fontId="0" fillId="20" borderId="1" xfId="0" applyNumberFormat="1" applyFill="1" applyBorder="1" applyAlignment="1">
      <alignment horizontal="center" vertical="center"/>
    </xf>
    <xf numFmtId="0" fontId="0" fillId="21" borderId="1" xfId="0" applyFill="1" applyBorder="1" applyAlignment="1">
      <alignment horizontal="center" vertical="center"/>
    </xf>
    <xf numFmtId="0" fontId="0" fillId="21" borderId="1" xfId="0" applyFill="1" applyBorder="1" applyAlignment="1">
      <alignment horizontal="left" vertical="center"/>
    </xf>
    <xf numFmtId="0" fontId="0" fillId="21" borderId="1" xfId="0" applyFill="1" applyBorder="1" applyAlignment="1">
      <alignment horizontal="center" vertical="center" wrapText="1"/>
    </xf>
    <xf numFmtId="0" fontId="0" fillId="21" borderId="0" xfId="0" applyFill="1" applyAlignment="1">
      <alignment horizontal="center" vertical="center" wrapText="1"/>
    </xf>
    <xf numFmtId="164" fontId="0" fillId="21" borderId="1" xfId="0" applyNumberFormat="1" applyFill="1" applyBorder="1" applyAlignment="1">
      <alignment horizontal="center" vertical="center"/>
    </xf>
    <xf numFmtId="164" fontId="0" fillId="21" borderId="1" xfId="0" applyNumberFormat="1" applyFill="1" applyBorder="1" applyAlignment="1">
      <alignment horizontal="center" vertical="center" wrapText="1"/>
    </xf>
    <xf numFmtId="0" fontId="0" fillId="21" borderId="0" xfId="0" applyFill="1"/>
    <xf numFmtId="14" fontId="0" fillId="21" borderId="1" xfId="0" applyNumberFormat="1" applyFill="1" applyBorder="1" applyAlignment="1">
      <alignment horizontal="center" vertical="center"/>
    </xf>
    <xf numFmtId="0" fontId="0" fillId="21" borderId="0" xfId="0" applyFill="1" applyAlignment="1">
      <alignment horizontal="center" vertical="center"/>
    </xf>
    <xf numFmtId="1" fontId="0" fillId="21" borderId="0" xfId="0" applyNumberFormat="1" applyFill="1" applyAlignment="1">
      <alignment horizontal="center" vertical="center"/>
    </xf>
    <xf numFmtId="0" fontId="29" fillId="0" borderId="18" xfId="0" applyFont="1" applyBorder="1" applyAlignment="1">
      <alignment horizontal="left" vertical="center" wrapText="1" indent="1" readingOrder="1"/>
    </xf>
    <xf numFmtId="0" fontId="28" fillId="0" borderId="18" xfId="0" applyFont="1" applyBorder="1" applyAlignment="1">
      <alignment horizontal="left" vertical="center" wrapText="1" indent="1" readingOrder="1"/>
    </xf>
    <xf numFmtId="0" fontId="0" fillId="0" borderId="1" xfId="0" applyBorder="1" applyAlignment="1">
      <alignment horizontal="left"/>
    </xf>
    <xf numFmtId="0" fontId="0" fillId="22" borderId="1" xfId="0" applyFill="1" applyBorder="1" applyAlignment="1">
      <alignment horizontal="left"/>
    </xf>
    <xf numFmtId="0" fontId="0" fillId="22" borderId="0" xfId="0" applyFill="1"/>
    <xf numFmtId="0" fontId="0" fillId="18" borderId="1" xfId="0" applyFill="1" applyBorder="1" applyAlignment="1">
      <alignment horizontal="left"/>
    </xf>
    <xf numFmtId="0" fontId="0" fillId="23" borderId="1" xfId="0" applyFill="1" applyBorder="1" applyAlignment="1">
      <alignment horizontal="left"/>
    </xf>
    <xf numFmtId="0" fontId="0" fillId="23" borderId="0" xfId="0" applyFill="1"/>
    <xf numFmtId="0" fontId="0" fillId="24" borderId="1" xfId="0" applyFill="1" applyBorder="1" applyAlignment="1">
      <alignment horizontal="left"/>
    </xf>
    <xf numFmtId="0" fontId="0" fillId="24" borderId="0" xfId="0" applyFill="1"/>
    <xf numFmtId="0" fontId="0" fillId="25" borderId="1" xfId="0" applyFill="1" applyBorder="1" applyAlignment="1">
      <alignment horizontal="left"/>
    </xf>
    <xf numFmtId="0" fontId="0" fillId="25" borderId="0" xfId="0" applyFill="1"/>
    <xf numFmtId="0" fontId="0" fillId="26" borderId="1" xfId="0" applyFill="1" applyBorder="1" applyAlignment="1">
      <alignment horizontal="left"/>
    </xf>
    <xf numFmtId="0" fontId="0" fillId="26" borderId="0" xfId="0" applyFill="1"/>
    <xf numFmtId="0" fontId="0" fillId="27" borderId="1" xfId="0" applyFill="1" applyBorder="1" applyAlignment="1">
      <alignment horizontal="left"/>
    </xf>
    <xf numFmtId="0" fontId="0" fillId="27" borderId="0" xfId="0" applyFill="1"/>
    <xf numFmtId="0" fontId="0" fillId="28" borderId="1" xfId="0" applyFill="1" applyBorder="1" applyAlignment="1">
      <alignment horizontal="left"/>
    </xf>
    <xf numFmtId="0" fontId="0" fillId="28" borderId="0" xfId="0" applyFill="1"/>
  </cellXfs>
  <cellStyles count="3">
    <cellStyle name="Hyperlink" xfId="2" builtinId="8"/>
    <cellStyle name="Normal" xfId="0" builtinId="0"/>
    <cellStyle name="Normal 2" xfId="1" xr:uid="{608238D6-7B3F-4ABD-A742-6E969BF5F4BF}"/>
  </cellStyles>
  <dxfs count="114">
    <dxf>
      <font>
        <color rgb="FF00B050"/>
      </font>
      <fill>
        <patternFill>
          <bgColor theme="9" tint="0.79998168889431442"/>
        </patternFill>
      </fill>
    </dxf>
    <dxf>
      <font>
        <b/>
        <i val="0"/>
      </font>
      <fill>
        <patternFill>
          <bgColor theme="6" tint="0.79998168889431442"/>
        </patternFill>
      </fill>
    </dxf>
    <dxf>
      <font>
        <b/>
        <i val="0"/>
      </font>
      <fill>
        <patternFill>
          <bgColor theme="6" tint="0.79998168889431442"/>
        </patternFill>
      </fill>
    </dxf>
    <dxf>
      <fill>
        <patternFill>
          <bgColor theme="0" tint="-0.24994659260841701"/>
        </patternFill>
      </fill>
    </dxf>
    <dxf>
      <fill>
        <patternFill>
          <bgColor theme="0" tint="-0.24994659260841701"/>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4" formatCode="_-&quot;RM&quot;* #,##0.00_-;\-&quot;RM&quot;* #,##0.00_-;_-&quot;RM&quot;* &quot;-&quot;??_-;_-@_-"/>
      <alignment vertical="center" textRotation="0" indent="0" justifyLastLine="0" shrinkToFit="0" readingOrder="0"/>
    </dxf>
    <dxf>
      <numFmt numFmtId="34" formatCode="_-&quot;RM&quot;* #,##0.00_-;\-&quot;RM&quot;* #,##0.00_-;_-&quot;RM&quot;*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0" formatCode="d\-mmm\-yy"/>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theme="0"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Aptos Narrow"/>
        <family val="2"/>
        <scheme val="minor"/>
      </font>
      <fill>
        <patternFill patternType="solid">
          <fgColor indexed="64"/>
          <bgColor theme="3" tint="0.89999084444715716"/>
        </patternFill>
      </fill>
    </dxf>
    <dxf>
      <numFmt numFmtId="34" formatCode="_-&quot;RM&quot;* #,##0.00_-;\-&quot;RM&quot;* #,##0.00_-;_-&quot;RM&quot;* &quot;-&quot;??_-;_-@_-"/>
    </dxf>
  </dxfs>
  <tableStyles count="0" defaultTableStyle="TableStyleMedium2" defaultPivotStyle="PivotStyleLight16"/>
  <colors>
    <mruColors>
      <color rgb="FFFF7C80"/>
      <color rgb="FFFFDF9F"/>
      <color rgb="FF9DB6E7"/>
      <color rgb="FFAA85E1"/>
      <color rgb="FFFF99CC"/>
      <color rgb="FFED7D31"/>
      <color rgb="FF336699"/>
      <color rgb="FF0033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20/07/relationships/rdRichValueWebImage" Target="richData/rdRichValueWebImage.xml"/><Relationship Id="rId26" Type="http://schemas.microsoft.com/office/2017/10/relationships/person" Target="persons/person.xml"/><Relationship Id="rId3" Type="http://schemas.openxmlformats.org/officeDocument/2006/relationships/worksheet" Target="worksheets/sheet3.xml"/><Relationship Id="rId21" Type="http://schemas.microsoft.com/office/2017/06/relationships/rdArray" Target="richData/rdarray.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Structure" Target="richData/rdsupportingpropertybag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ichStyles" Target="richData/rich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Contribution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Dashboard!$A$84</c:f>
              <c:strCache>
                <c:ptCount val="1"/>
                <c:pt idx="0">
                  <c:v>Tham</c:v>
                </c:pt>
              </c:strCache>
            </c:strRef>
          </c:tx>
          <c:spPr>
            <a:solidFill>
              <a:schemeClr val="accent1"/>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Dashboard!$H$84:$K$84</c:f>
              <c:numCache>
                <c:formatCode>_("RM"* #,##0.00_);_("RM"* \(#,##0.00\);_("RM"* "-"??_);_(@_)</c:formatCode>
                <c:ptCount val="4"/>
                <c:pt idx="0">
                  <c:v>11010153.199999999</c:v>
                </c:pt>
                <c:pt idx="1">
                  <c:v>22000</c:v>
                </c:pt>
                <c:pt idx="2">
                  <c:v>7289133.2000000002</c:v>
                </c:pt>
                <c:pt idx="3">
                  <c:v>3673920</c:v>
                </c:pt>
              </c:numCache>
            </c:numRef>
          </c:val>
          <c:extLst>
            <c:ext xmlns:c16="http://schemas.microsoft.com/office/drawing/2014/chart" uri="{C3380CC4-5D6E-409C-BE32-E72D297353CC}">
              <c16:uniqueId val="{00000000-C090-4786-BB68-10FEE5F7E25E}"/>
            </c:ext>
          </c:extLst>
        </c:ser>
        <c:ser>
          <c:idx val="1"/>
          <c:order val="1"/>
          <c:tx>
            <c:strRef>
              <c:f>Dashboard!$A$85</c:f>
              <c:strCache>
                <c:ptCount val="1"/>
                <c:pt idx="0">
                  <c:v>Chean Bang</c:v>
                </c:pt>
              </c:strCache>
            </c:strRef>
          </c:tx>
          <c:spPr>
            <a:solidFill>
              <a:schemeClr val="accent2"/>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Dashboard!$H$85:$L$85</c:f>
              <c:numCache>
                <c:formatCode>_("RM"* #,##0.00_);_("RM"* \(#,##0.00\);_("RM"* "-"??_);_(@_)</c:formatCode>
                <c:ptCount val="5"/>
                <c:pt idx="0">
                  <c:v>2335898</c:v>
                </c:pt>
                <c:pt idx="1">
                  <c:v>461700</c:v>
                </c:pt>
                <c:pt idx="2">
                  <c:v>1094898</c:v>
                </c:pt>
                <c:pt idx="3">
                  <c:v>779300</c:v>
                </c:pt>
                <c:pt idx="4">
                  <c:v>0</c:v>
                </c:pt>
              </c:numCache>
            </c:numRef>
          </c:val>
          <c:extLst>
            <c:ext xmlns:c16="http://schemas.microsoft.com/office/drawing/2014/chart" uri="{C3380CC4-5D6E-409C-BE32-E72D297353CC}">
              <c16:uniqueId val="{00000001-C090-4786-BB68-10FEE5F7E25E}"/>
            </c:ext>
          </c:extLst>
        </c:ser>
        <c:ser>
          <c:idx val="2"/>
          <c:order val="2"/>
          <c:tx>
            <c:strRef>
              <c:f>Dashboard!$A$86</c:f>
              <c:strCache>
                <c:ptCount val="1"/>
                <c:pt idx="0">
                  <c:v>Simon</c:v>
                </c:pt>
              </c:strCache>
            </c:strRef>
          </c:tx>
          <c:spPr>
            <a:solidFill>
              <a:schemeClr val="accent3"/>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Dashboard!$H$86:$L$86</c:f>
              <c:numCache>
                <c:formatCode>_("RM"* #,##0.00_);_("RM"* \(#,##0.00\);_("RM"* "-"??_);_(@_)</c:formatCode>
                <c:ptCount val="5"/>
                <c:pt idx="0">
                  <c:v>3516528</c:v>
                </c:pt>
                <c:pt idx="1">
                  <c:v>1634205</c:v>
                </c:pt>
                <c:pt idx="2">
                  <c:v>783603</c:v>
                </c:pt>
                <c:pt idx="3">
                  <c:v>1098720</c:v>
                </c:pt>
                <c:pt idx="4">
                  <c:v>0</c:v>
                </c:pt>
              </c:numCache>
            </c:numRef>
          </c:val>
          <c:extLst>
            <c:ext xmlns:c16="http://schemas.microsoft.com/office/drawing/2014/chart" uri="{C3380CC4-5D6E-409C-BE32-E72D297353CC}">
              <c16:uniqueId val="{00000002-C090-4786-BB68-10FEE5F7E25E}"/>
            </c:ext>
          </c:extLst>
        </c:ser>
        <c:ser>
          <c:idx val="3"/>
          <c:order val="3"/>
          <c:tx>
            <c:strRef>
              <c:f>Dashboard!$A$87</c:f>
              <c:strCache>
                <c:ptCount val="1"/>
                <c:pt idx="0">
                  <c:v>Ong</c:v>
                </c:pt>
              </c:strCache>
            </c:strRef>
          </c:tx>
          <c:spPr>
            <a:solidFill>
              <a:schemeClr val="accent4"/>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Dashboard!$H$87:$L$87</c:f>
              <c:numCache>
                <c:formatCode>_("RM"* #,##0.00_);_("RM"* \(#,##0.00\);_("RM"* "-"??_);_(@_)</c:formatCode>
                <c:ptCount val="5"/>
                <c:pt idx="0">
                  <c:v>273958</c:v>
                </c:pt>
                <c:pt idx="1">
                  <c:v>0</c:v>
                </c:pt>
                <c:pt idx="2">
                  <c:v>54930</c:v>
                </c:pt>
                <c:pt idx="3">
                  <c:v>219028</c:v>
                </c:pt>
                <c:pt idx="4">
                  <c:v>0</c:v>
                </c:pt>
              </c:numCache>
            </c:numRef>
          </c:val>
          <c:extLst>
            <c:ext xmlns:c16="http://schemas.microsoft.com/office/drawing/2014/chart" uri="{C3380CC4-5D6E-409C-BE32-E72D297353CC}">
              <c16:uniqueId val="{00000003-C090-4786-BB68-10FEE5F7E25E}"/>
            </c:ext>
          </c:extLst>
        </c:ser>
        <c:ser>
          <c:idx val="4"/>
          <c:order val="4"/>
          <c:tx>
            <c:strRef>
              <c:f>Dashboard!$A$88</c:f>
              <c:strCache>
                <c:ptCount val="1"/>
                <c:pt idx="0">
                  <c:v>Patricia</c:v>
                </c:pt>
              </c:strCache>
            </c:strRef>
          </c:tx>
          <c:spPr>
            <a:solidFill>
              <a:schemeClr val="accent5"/>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Dashboard!$H$88:$L$88</c:f>
              <c:numCache>
                <c:formatCode>_("RM"* #,##0.00_);_("RM"* \(#,##0.00\);_("RM"* "-"??_);_(@_)</c:formatCode>
                <c:ptCount val="5"/>
                <c:pt idx="0">
                  <c:v>2493346.98</c:v>
                </c:pt>
                <c:pt idx="1">
                  <c:v>0</c:v>
                </c:pt>
                <c:pt idx="2">
                  <c:v>368176</c:v>
                </c:pt>
                <c:pt idx="3">
                  <c:v>2103670.98</c:v>
                </c:pt>
                <c:pt idx="4">
                  <c:v>0</c:v>
                </c:pt>
              </c:numCache>
            </c:numRef>
          </c:val>
          <c:extLst>
            <c:ext xmlns:c16="http://schemas.microsoft.com/office/drawing/2014/chart" uri="{C3380CC4-5D6E-409C-BE32-E72D297353CC}">
              <c16:uniqueId val="{00000004-C090-4786-BB68-10FEE5F7E25E}"/>
            </c:ext>
          </c:extLst>
        </c:ser>
        <c:ser>
          <c:idx val="5"/>
          <c:order val="5"/>
          <c:tx>
            <c:strRef>
              <c:f>Dashboard!$A$89</c:f>
              <c:strCache>
                <c:ptCount val="1"/>
                <c:pt idx="0">
                  <c:v>Reeve</c:v>
                </c:pt>
              </c:strCache>
            </c:strRef>
          </c:tx>
          <c:spPr>
            <a:solidFill>
              <a:schemeClr val="accent6"/>
            </a:solidFill>
            <a:ln>
              <a:noFill/>
            </a:ln>
            <a:effectLst/>
          </c:spPr>
          <c:invertIfNegative val="0"/>
          <c:val>
            <c:numRef>
              <c:f>Dashboard!$H$89:$L$89</c:f>
              <c:numCache>
                <c:formatCode>_("RM"* #,##0.00_);_("RM"* \(#,##0.00\);_("RM"* "-"??_);_(@_)</c:formatCode>
                <c:ptCount val="5"/>
                <c:pt idx="0">
                  <c:v>0</c:v>
                </c:pt>
                <c:pt idx="1">
                  <c:v>0</c:v>
                </c:pt>
                <c:pt idx="2">
                  <c:v>0</c:v>
                </c:pt>
                <c:pt idx="3">
                  <c:v>0</c:v>
                </c:pt>
                <c:pt idx="4">
                  <c:v>0</c:v>
                </c:pt>
              </c:numCache>
            </c:numRef>
          </c:val>
          <c:extLst>
            <c:ext xmlns:c16="http://schemas.microsoft.com/office/drawing/2014/chart" uri="{C3380CC4-5D6E-409C-BE32-E72D297353CC}">
              <c16:uniqueId val="{00000000-A039-4034-B25F-9BC5B14B04FB}"/>
            </c:ext>
          </c:extLst>
        </c:ser>
        <c:dLbls>
          <c:showLegendKey val="0"/>
          <c:showVal val="0"/>
          <c:showCatName val="0"/>
          <c:showSerName val="0"/>
          <c:showPercent val="0"/>
          <c:showBubbleSize val="0"/>
        </c:dLbls>
        <c:gapWidth val="150"/>
        <c:overlap val="100"/>
        <c:axId val="968194575"/>
        <c:axId val="968199375"/>
      </c:barChart>
      <c:catAx>
        <c:axId val="96819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8199375"/>
        <c:crosses val="autoZero"/>
        <c:auto val="1"/>
        <c:lblAlgn val="ctr"/>
        <c:lblOffset val="100"/>
        <c:noMultiLvlLbl val="0"/>
      </c:catAx>
      <c:valAx>
        <c:axId val="968199375"/>
        <c:scaling>
          <c:orientation val="minMax"/>
        </c:scaling>
        <c:delete val="0"/>
        <c:axPos val="b"/>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819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PIC</a:t>
            </a:r>
            <a:r>
              <a:rPr lang="en-US" baseline="0"/>
              <a:t> T</a:t>
            </a:r>
            <a:r>
              <a:rPr lang="en-US"/>
              <a:t>otal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8E-4F70-A5EB-EAE11366D5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38E-4F70-A5EB-EAE11366D5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8E-4F70-A5EB-EAE11366D5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38E-4F70-A5EB-EAE11366D5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8E-4F70-A5EB-EAE11366D5E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1C-47EF-8DE4-6057161F24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Dashboard!$A$84:$A$89</c:f>
              <c:strCache>
                <c:ptCount val="6"/>
                <c:pt idx="0">
                  <c:v>Tham</c:v>
                </c:pt>
                <c:pt idx="1">
                  <c:v>Chean Bang</c:v>
                </c:pt>
                <c:pt idx="2">
                  <c:v>Simon</c:v>
                </c:pt>
                <c:pt idx="3">
                  <c:v>Ong</c:v>
                </c:pt>
                <c:pt idx="4">
                  <c:v>Patricia</c:v>
                </c:pt>
                <c:pt idx="5">
                  <c:v>Reeve</c:v>
                </c:pt>
              </c:strCache>
            </c:strRef>
          </c:cat>
          <c:val>
            <c:numRef>
              <c:f>Dashboard!$H$84:$H$89</c:f>
              <c:numCache>
                <c:formatCode>_("RM"* #,##0.00_);_("RM"* \(#,##0.00\);_("RM"* "-"??_);_(@_)</c:formatCode>
                <c:ptCount val="6"/>
                <c:pt idx="0">
                  <c:v>11010153.199999999</c:v>
                </c:pt>
                <c:pt idx="1">
                  <c:v>2335898</c:v>
                </c:pt>
                <c:pt idx="2">
                  <c:v>3516528</c:v>
                </c:pt>
                <c:pt idx="3">
                  <c:v>273958</c:v>
                </c:pt>
                <c:pt idx="4">
                  <c:v>2493346.98</c:v>
                </c:pt>
                <c:pt idx="5">
                  <c:v>0</c:v>
                </c:pt>
              </c:numCache>
            </c:numRef>
          </c:val>
          <c:extLst>
            <c:ext xmlns:c16="http://schemas.microsoft.com/office/drawing/2014/chart" uri="{C3380CC4-5D6E-409C-BE32-E72D297353CC}">
              <c16:uniqueId val="{00000000-C38E-4F70-A5EB-EAE11366D5E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System Capacity (kWp)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Dashboard!$A$48</c:f>
              <c:strCache>
                <c:ptCount val="1"/>
                <c:pt idx="0">
                  <c:v>NEM</c:v>
                </c:pt>
              </c:strCache>
            </c:strRef>
          </c:tx>
          <c:spPr>
            <a:solidFill>
              <a:schemeClr val="tx2"/>
            </a:solidFill>
            <a:ln>
              <a:noFill/>
            </a:ln>
            <a:effectLst/>
          </c:spPr>
          <c:invertIfNegative val="0"/>
          <c:cat>
            <c:multiLvlStrRef>
              <c:f>Dashboard!$B$46:$K$47</c:f>
              <c:multiLvlStrCache>
                <c:ptCount val="10"/>
                <c:lvl>
                  <c:pt idx="0">
                    <c:v>Total</c:v>
                  </c:pt>
                  <c:pt idx="1">
                    <c:v>2023</c:v>
                  </c:pt>
                  <c:pt idx="2">
                    <c:v>2024</c:v>
                  </c:pt>
                  <c:pt idx="3">
                    <c:v>2025</c:v>
                  </c:pt>
                  <c:pt idx="4">
                    <c:v>2026</c:v>
                  </c:pt>
                  <c:pt idx="6">
                    <c:v>Total</c:v>
                  </c:pt>
                  <c:pt idx="7">
                    <c:v>2023</c:v>
                  </c:pt>
                  <c:pt idx="8">
                    <c:v>2024</c:v>
                  </c:pt>
                  <c:pt idx="9">
                    <c:v>2025</c:v>
                  </c:pt>
                </c:lvl>
                <c:lvl>
                  <c:pt idx="0">
                    <c:v>Residential</c:v>
                  </c:pt>
                  <c:pt idx="6">
                    <c:v>C&amp;I</c:v>
                  </c:pt>
                </c:lvl>
              </c:multiLvlStrCache>
            </c:multiLvlStrRef>
          </c:cat>
          <c:val>
            <c:numRef>
              <c:f>Dashboard!$B$48:$L$48</c:f>
              <c:numCache>
                <c:formatCode>#,##0.00\ \k\W\p</c:formatCode>
                <c:ptCount val="11"/>
                <c:pt idx="0">
                  <c:v>3417.3749999999941</c:v>
                </c:pt>
                <c:pt idx="1">
                  <c:v>220.15000000000006</c:v>
                </c:pt>
                <c:pt idx="2">
                  <c:v>1637.1649999999988</c:v>
                </c:pt>
                <c:pt idx="3">
                  <c:v>1560.0600000000038</c:v>
                </c:pt>
                <c:pt idx="4">
                  <c:v>0</c:v>
                </c:pt>
                <c:pt idx="6">
                  <c:v>3286.6850000000004</c:v>
                </c:pt>
                <c:pt idx="7">
                  <c:v>428.69499999999999</c:v>
                </c:pt>
                <c:pt idx="8">
                  <c:v>1675.0000000000002</c:v>
                </c:pt>
                <c:pt idx="9">
                  <c:v>1182.99</c:v>
                </c:pt>
                <c:pt idx="10">
                  <c:v>0</c:v>
                </c:pt>
              </c:numCache>
            </c:numRef>
          </c:val>
          <c:extLst>
            <c:ext xmlns:c16="http://schemas.microsoft.com/office/drawing/2014/chart" uri="{C3380CC4-5D6E-409C-BE32-E72D297353CC}">
              <c16:uniqueId val="{00000000-3967-414C-8D5B-199ABB616B57}"/>
            </c:ext>
          </c:extLst>
        </c:ser>
        <c:ser>
          <c:idx val="1"/>
          <c:order val="1"/>
          <c:tx>
            <c:strRef>
              <c:f>Dashboard!$A$49</c:f>
              <c:strCache>
                <c:ptCount val="1"/>
                <c:pt idx="0">
                  <c:v>SELCO</c:v>
                </c:pt>
              </c:strCache>
            </c:strRef>
          </c:tx>
          <c:spPr>
            <a:solidFill>
              <a:srgbClr val="9DB6E7"/>
            </a:solidFill>
            <a:ln>
              <a:noFill/>
            </a:ln>
            <a:effectLst/>
          </c:spPr>
          <c:invertIfNegative val="0"/>
          <c:cat>
            <c:multiLvlStrRef>
              <c:f>Dashboard!$B$46:$K$47</c:f>
              <c:multiLvlStrCache>
                <c:ptCount val="10"/>
                <c:lvl>
                  <c:pt idx="0">
                    <c:v>Total</c:v>
                  </c:pt>
                  <c:pt idx="1">
                    <c:v>2023</c:v>
                  </c:pt>
                  <c:pt idx="2">
                    <c:v>2024</c:v>
                  </c:pt>
                  <c:pt idx="3">
                    <c:v>2025</c:v>
                  </c:pt>
                  <c:pt idx="4">
                    <c:v>2026</c:v>
                  </c:pt>
                  <c:pt idx="6">
                    <c:v>Total</c:v>
                  </c:pt>
                  <c:pt idx="7">
                    <c:v>2023</c:v>
                  </c:pt>
                  <c:pt idx="8">
                    <c:v>2024</c:v>
                  </c:pt>
                  <c:pt idx="9">
                    <c:v>2025</c:v>
                  </c:pt>
                </c:lvl>
                <c:lvl>
                  <c:pt idx="0">
                    <c:v>Residential</c:v>
                  </c:pt>
                  <c:pt idx="6">
                    <c:v>C&amp;I</c:v>
                  </c:pt>
                </c:lvl>
              </c:multiLvlStrCache>
            </c:multiLvlStrRef>
          </c:cat>
          <c:val>
            <c:numRef>
              <c:f>Dashboard!$B$49:$L$49</c:f>
              <c:numCache>
                <c:formatCode>#,##0.00\ \k\W\p</c:formatCode>
                <c:ptCount val="11"/>
                <c:pt idx="0">
                  <c:v>217.76999999999998</c:v>
                </c:pt>
                <c:pt idx="1">
                  <c:v>93.149999999999991</c:v>
                </c:pt>
                <c:pt idx="2">
                  <c:v>0</c:v>
                </c:pt>
                <c:pt idx="3">
                  <c:v>124.62000000000002</c:v>
                </c:pt>
                <c:pt idx="4">
                  <c:v>0</c:v>
                </c:pt>
                <c:pt idx="6">
                  <c:v>431.32500000000005</c:v>
                </c:pt>
                <c:pt idx="7">
                  <c:v>0</c:v>
                </c:pt>
                <c:pt idx="8">
                  <c:v>413.34500000000003</c:v>
                </c:pt>
                <c:pt idx="9">
                  <c:v>17.98</c:v>
                </c:pt>
                <c:pt idx="10">
                  <c:v>0</c:v>
                </c:pt>
              </c:numCache>
            </c:numRef>
          </c:val>
          <c:extLst>
            <c:ext xmlns:c16="http://schemas.microsoft.com/office/drawing/2014/chart" uri="{C3380CC4-5D6E-409C-BE32-E72D297353CC}">
              <c16:uniqueId val="{00000001-3967-414C-8D5B-199ABB616B57}"/>
            </c:ext>
          </c:extLst>
        </c:ser>
        <c:ser>
          <c:idx val="2"/>
          <c:order val="2"/>
          <c:tx>
            <c:strRef>
              <c:f>Dashboard!$A$50</c:f>
              <c:strCache>
                <c:ptCount val="1"/>
                <c:pt idx="0">
                  <c:v>ATAP</c:v>
                </c:pt>
              </c:strCache>
            </c:strRef>
          </c:tx>
          <c:spPr>
            <a:solidFill>
              <a:schemeClr val="accent3"/>
            </a:solidFill>
            <a:ln>
              <a:noFill/>
            </a:ln>
            <a:effectLst/>
          </c:spPr>
          <c:invertIfNegative val="0"/>
          <c:val>
            <c:numRef>
              <c:f>Dashboard!$B$50:$L$50</c:f>
              <c:numCache>
                <c:formatCode>#,##0.00\ \k\W\p</c:formatCode>
                <c:ptCount val="11"/>
                <c:pt idx="0">
                  <c:v>0</c:v>
                </c:pt>
                <c:pt idx="1">
                  <c:v>0</c:v>
                </c:pt>
                <c:pt idx="2">
                  <c:v>0</c:v>
                </c:pt>
                <c:pt idx="3">
                  <c:v>0</c:v>
                </c:pt>
                <c:pt idx="4">
                  <c:v>0</c:v>
                </c:pt>
                <c:pt idx="6">
                  <c:v>0</c:v>
                </c:pt>
                <c:pt idx="7">
                  <c:v>0</c:v>
                </c:pt>
                <c:pt idx="8">
                  <c:v>0</c:v>
                </c:pt>
                <c:pt idx="9">
                  <c:v>0</c:v>
                </c:pt>
                <c:pt idx="10">
                  <c:v>0</c:v>
                </c:pt>
              </c:numCache>
            </c:numRef>
          </c:val>
          <c:extLst>
            <c:ext xmlns:c16="http://schemas.microsoft.com/office/drawing/2014/chart" uri="{C3380CC4-5D6E-409C-BE32-E72D297353CC}">
              <c16:uniqueId val="{00000001-49F9-4D96-B5B4-51ABB9F8D0A2}"/>
            </c:ext>
          </c:extLst>
        </c:ser>
        <c:dLbls>
          <c:showLegendKey val="0"/>
          <c:showVal val="0"/>
          <c:showCatName val="0"/>
          <c:showSerName val="0"/>
          <c:showPercent val="0"/>
          <c:showBubbleSize val="0"/>
        </c:dLbls>
        <c:gapWidth val="182"/>
        <c:axId val="386061360"/>
        <c:axId val="386069040"/>
      </c:barChart>
      <c:catAx>
        <c:axId val="38606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069040"/>
        <c:crosses val="autoZero"/>
        <c:auto val="1"/>
        <c:lblAlgn val="ctr"/>
        <c:lblOffset val="100"/>
        <c:noMultiLvlLbl val="0"/>
      </c:catAx>
      <c:valAx>
        <c:axId val="386069040"/>
        <c:scaling>
          <c:orientation val="minMax"/>
        </c:scaling>
        <c:delete val="0"/>
        <c:axPos val="b"/>
        <c:majorGridlines>
          <c:spPr>
            <a:ln w="9525" cap="flat" cmpd="sng" algn="ctr">
              <a:solidFill>
                <a:schemeClr val="tx1">
                  <a:lumMod val="15000"/>
                  <a:lumOff val="85000"/>
                </a:schemeClr>
              </a:solidFill>
              <a:round/>
            </a:ln>
            <a:effectLst/>
          </c:spPr>
        </c:majorGridlines>
        <c:numFmt formatCode="#,##0.00\ \k\W\p"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06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 Value (RM)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Dashboard!$A$48</c:f>
              <c:strCache>
                <c:ptCount val="1"/>
                <c:pt idx="0">
                  <c:v>NEM</c:v>
                </c:pt>
              </c:strCache>
            </c:strRef>
          </c:tx>
          <c:spPr>
            <a:solidFill>
              <a:schemeClr val="tx2"/>
            </a:solidFill>
            <a:ln>
              <a:noFill/>
            </a:ln>
            <a:effectLst/>
          </c:spPr>
          <c:invertIfNegative val="0"/>
          <c:cat>
            <c:multiLvlStrRef>
              <c:f>Dashboard!$N$46:$W$47</c:f>
              <c:multiLvlStrCache>
                <c:ptCount val="10"/>
                <c:lvl>
                  <c:pt idx="0">
                    <c:v>Total</c:v>
                  </c:pt>
                  <c:pt idx="1">
                    <c:v>2023</c:v>
                  </c:pt>
                  <c:pt idx="2">
                    <c:v>2024</c:v>
                  </c:pt>
                  <c:pt idx="3">
                    <c:v>2025</c:v>
                  </c:pt>
                  <c:pt idx="4">
                    <c:v>2026</c:v>
                  </c:pt>
                  <c:pt idx="6">
                    <c:v>Total</c:v>
                  </c:pt>
                  <c:pt idx="7">
                    <c:v>2023</c:v>
                  </c:pt>
                  <c:pt idx="8">
                    <c:v>2024</c:v>
                  </c:pt>
                  <c:pt idx="9">
                    <c:v>2025</c:v>
                  </c:pt>
                </c:lvl>
                <c:lvl>
                  <c:pt idx="0">
                    <c:v>Residential</c:v>
                  </c:pt>
                  <c:pt idx="6">
                    <c:v>C&amp;I</c:v>
                  </c:pt>
                </c:lvl>
              </c:multiLvlStrCache>
            </c:multiLvlStrRef>
          </c:cat>
          <c:val>
            <c:numRef>
              <c:f>Dashboard!$N$48:$X$48</c:f>
              <c:numCache>
                <c:formatCode>_("RM"* #,##0.00_);_("RM"* \(#,##0.00\);_("RM"* "-"??_);_(@_)</c:formatCode>
                <c:ptCount val="11"/>
                <c:pt idx="0">
                  <c:v>9838567.5999999996</c:v>
                </c:pt>
                <c:pt idx="1">
                  <c:v>751725</c:v>
                </c:pt>
                <c:pt idx="2">
                  <c:v>5036797.2</c:v>
                </c:pt>
                <c:pt idx="3">
                  <c:v>4050045.4</c:v>
                </c:pt>
                <c:pt idx="4">
                  <c:v>0</c:v>
                </c:pt>
                <c:pt idx="6">
                  <c:v>6721700</c:v>
                </c:pt>
                <c:pt idx="7">
                  <c:v>521800</c:v>
                </c:pt>
                <c:pt idx="8">
                  <c:v>3866600</c:v>
                </c:pt>
                <c:pt idx="9">
                  <c:v>2333300</c:v>
                </c:pt>
                <c:pt idx="10">
                  <c:v>0</c:v>
                </c:pt>
              </c:numCache>
            </c:numRef>
          </c:val>
          <c:extLst>
            <c:ext xmlns:c16="http://schemas.microsoft.com/office/drawing/2014/chart" uri="{C3380CC4-5D6E-409C-BE32-E72D297353CC}">
              <c16:uniqueId val="{00000000-80B8-4D4A-85DA-9BC7EB179F86}"/>
            </c:ext>
          </c:extLst>
        </c:ser>
        <c:ser>
          <c:idx val="1"/>
          <c:order val="1"/>
          <c:tx>
            <c:strRef>
              <c:f>Dashboard!$A$49</c:f>
              <c:strCache>
                <c:ptCount val="1"/>
                <c:pt idx="0">
                  <c:v>SELCO</c:v>
                </c:pt>
              </c:strCache>
            </c:strRef>
          </c:tx>
          <c:spPr>
            <a:solidFill>
              <a:srgbClr val="9DB6E7"/>
            </a:solidFill>
            <a:ln>
              <a:noFill/>
            </a:ln>
            <a:effectLst/>
          </c:spPr>
          <c:invertIfNegative val="0"/>
          <c:cat>
            <c:multiLvlStrRef>
              <c:f>Dashboard!$N$46:$W$47</c:f>
              <c:multiLvlStrCache>
                <c:ptCount val="10"/>
                <c:lvl>
                  <c:pt idx="0">
                    <c:v>Total</c:v>
                  </c:pt>
                  <c:pt idx="1">
                    <c:v>2023</c:v>
                  </c:pt>
                  <c:pt idx="2">
                    <c:v>2024</c:v>
                  </c:pt>
                  <c:pt idx="3">
                    <c:v>2025</c:v>
                  </c:pt>
                  <c:pt idx="4">
                    <c:v>2026</c:v>
                  </c:pt>
                  <c:pt idx="6">
                    <c:v>Total</c:v>
                  </c:pt>
                  <c:pt idx="7">
                    <c:v>2023</c:v>
                  </c:pt>
                  <c:pt idx="8">
                    <c:v>2024</c:v>
                  </c:pt>
                  <c:pt idx="9">
                    <c:v>2025</c:v>
                  </c:pt>
                </c:lvl>
                <c:lvl>
                  <c:pt idx="0">
                    <c:v>Residential</c:v>
                  </c:pt>
                  <c:pt idx="6">
                    <c:v>C&amp;I</c:v>
                  </c:pt>
                </c:lvl>
              </c:multiLvlStrCache>
            </c:multiLvlStrRef>
          </c:cat>
          <c:val>
            <c:numRef>
              <c:f>Dashboard!$N$49:$X$49</c:f>
              <c:numCache>
                <c:formatCode>_("RM"* #,##0.00_);_("RM"* \(#,##0.00\);_("RM"* "-"??_);_(@_)</c:formatCode>
                <c:ptCount val="11"/>
                <c:pt idx="0">
                  <c:v>1196300</c:v>
                </c:pt>
                <c:pt idx="1">
                  <c:v>751000</c:v>
                </c:pt>
                <c:pt idx="2">
                  <c:v>0</c:v>
                </c:pt>
                <c:pt idx="3">
                  <c:v>445300</c:v>
                </c:pt>
                <c:pt idx="4">
                  <c:v>0</c:v>
                </c:pt>
                <c:pt idx="6">
                  <c:v>463853.58</c:v>
                </c:pt>
                <c:pt idx="7">
                  <c:v>0</c:v>
                </c:pt>
                <c:pt idx="8">
                  <c:v>400080</c:v>
                </c:pt>
                <c:pt idx="9">
                  <c:v>63773.58</c:v>
                </c:pt>
                <c:pt idx="10">
                  <c:v>0</c:v>
                </c:pt>
              </c:numCache>
            </c:numRef>
          </c:val>
          <c:extLst>
            <c:ext xmlns:c16="http://schemas.microsoft.com/office/drawing/2014/chart" uri="{C3380CC4-5D6E-409C-BE32-E72D297353CC}">
              <c16:uniqueId val="{00000001-80B8-4D4A-85DA-9BC7EB179F86}"/>
            </c:ext>
          </c:extLst>
        </c:ser>
        <c:ser>
          <c:idx val="2"/>
          <c:order val="2"/>
          <c:tx>
            <c:strRef>
              <c:f>Dashboard!$A$50</c:f>
              <c:strCache>
                <c:ptCount val="1"/>
                <c:pt idx="0">
                  <c:v>ATAP</c:v>
                </c:pt>
              </c:strCache>
            </c:strRef>
          </c:tx>
          <c:spPr>
            <a:solidFill>
              <a:schemeClr val="accent3"/>
            </a:solidFill>
            <a:ln>
              <a:noFill/>
            </a:ln>
            <a:effectLst/>
          </c:spPr>
          <c:invertIfNegative val="0"/>
          <c:val>
            <c:numRef>
              <c:f>Dashboard!$N$50:$X$50</c:f>
              <c:numCache>
                <c:formatCode>_("RM"* #,##0.00_);_("RM"* \(#,##0.00\);_("RM"* "-"??_);_(@_)</c:formatCode>
                <c:ptCount val="11"/>
                <c:pt idx="0">
                  <c:v>0</c:v>
                </c:pt>
                <c:pt idx="1">
                  <c:v>0</c:v>
                </c:pt>
                <c:pt idx="2">
                  <c:v>0</c:v>
                </c:pt>
                <c:pt idx="3">
                  <c:v>0</c:v>
                </c:pt>
                <c:pt idx="4">
                  <c:v>0</c:v>
                </c:pt>
                <c:pt idx="6">
                  <c:v>0</c:v>
                </c:pt>
                <c:pt idx="7">
                  <c:v>0</c:v>
                </c:pt>
                <c:pt idx="8">
                  <c:v>0</c:v>
                </c:pt>
                <c:pt idx="9">
                  <c:v>0</c:v>
                </c:pt>
                <c:pt idx="10">
                  <c:v>0</c:v>
                </c:pt>
              </c:numCache>
            </c:numRef>
          </c:val>
          <c:extLst>
            <c:ext xmlns:c16="http://schemas.microsoft.com/office/drawing/2014/chart" uri="{C3380CC4-5D6E-409C-BE32-E72D297353CC}">
              <c16:uniqueId val="{00000000-D66B-4540-BDF6-4D1E6BAD8C04}"/>
            </c:ext>
          </c:extLst>
        </c:ser>
        <c:dLbls>
          <c:showLegendKey val="0"/>
          <c:showVal val="0"/>
          <c:showCatName val="0"/>
          <c:showSerName val="0"/>
          <c:showPercent val="0"/>
          <c:showBubbleSize val="0"/>
        </c:dLbls>
        <c:gapWidth val="182"/>
        <c:axId val="386061360"/>
        <c:axId val="386069040"/>
      </c:barChart>
      <c:catAx>
        <c:axId val="38606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069040"/>
        <c:crosses val="autoZero"/>
        <c:auto val="1"/>
        <c:lblAlgn val="ctr"/>
        <c:lblOffset val="100"/>
        <c:noMultiLvlLbl val="0"/>
      </c:catAx>
      <c:valAx>
        <c:axId val="386069040"/>
        <c:scaling>
          <c:orientation val="minMax"/>
        </c:scaling>
        <c:delete val="0"/>
        <c:axPos val="b"/>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06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[ECN Master Project Tracker new 1.xlsx]Pivot!PivotTable1</c:name>
    <c:fmtId val="3"/>
  </c:pivotSource>
  <c:chart>
    <c:title>
      <c:tx>
        <c:rich>
          <a:bodyPr rot="0" spcFirstLastPara="1" vertOverflow="ellipsis" vert="horz" wrap="square" anchor="ctr" anchorCtr="1"/>
          <a:lstStyle/>
          <a:p>
            <a:pPr>
              <a:defRPr sz="1560" b="0" i="0" u="none" strike="noStrike" kern="1200" spc="0" baseline="0">
                <a:solidFill>
                  <a:schemeClr val="tx1">
                    <a:lumMod val="65000"/>
                    <a:lumOff val="35000"/>
                  </a:schemeClr>
                </a:solidFill>
                <a:latin typeface="+mn-lt"/>
                <a:ea typeface="+mn-ea"/>
                <a:cs typeface="+mn-cs"/>
              </a:defRPr>
            </a:pPr>
            <a:r>
              <a:rPr lang="en-US"/>
              <a:t>Project Value v Collection</a:t>
            </a:r>
          </a:p>
        </c:rich>
      </c:tx>
      <c:layout>
        <c:manualLayout>
          <c:xMode val="edge"/>
          <c:yMode val="edge"/>
          <c:x val="0.4174883162699351"/>
          <c:y val="2.2130923675146734E-2"/>
        </c:manualLayout>
      </c:layout>
      <c:overlay val="0"/>
      <c:spPr>
        <a:noFill/>
        <a:ln>
          <a:noFill/>
        </a:ln>
        <a:effectLst/>
      </c:spPr>
      <c:txPr>
        <a:bodyPr rot="0" spcFirstLastPara="1" vertOverflow="ellipsis" vert="horz" wrap="square" anchor="ctr" anchorCtr="1"/>
        <a:lstStyle/>
        <a:p>
          <a:pPr>
            <a:defRPr sz="15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Pivot!$H$3:$H$4</c:f>
              <c:strCache>
                <c:ptCount val="1"/>
                <c:pt idx="0">
                  <c:v>Project Value</c:v>
                </c:pt>
              </c:strCache>
            </c:strRef>
          </c:tx>
          <c:spPr>
            <a:solidFill>
              <a:srgbClr val="ED7D31"/>
            </a:solidFill>
            <a:ln>
              <a:noFill/>
            </a:ln>
            <a:effectLst/>
          </c:spPr>
          <c:invertIfNegative val="0"/>
          <c:cat>
            <c:strRef>
              <c:f>Pivot!$G$5:$G$10</c:f>
              <c:strCache>
                <c:ptCount val="5"/>
                <c:pt idx="0">
                  <c:v>Residential (PV System)</c:v>
                </c:pt>
                <c:pt idx="1">
                  <c:v>C&amp;I (PV System)</c:v>
                </c:pt>
                <c:pt idx="2">
                  <c:v>Residential BESS</c:v>
                </c:pt>
                <c:pt idx="3">
                  <c:v>C&amp;I BESS</c:v>
                </c:pt>
                <c:pt idx="4">
                  <c:v>EV Chargers</c:v>
                </c:pt>
              </c:strCache>
            </c:strRef>
          </c:cat>
          <c:val>
            <c:numRef>
              <c:f>Pivot!$H$5:$H$10</c:f>
              <c:numCache>
                <c:formatCode>_("RM"* #,##0.00_);_("RM"* \(#,##0.00\);_("RM"* "-"??_);_(@_)</c:formatCode>
                <c:ptCount val="5"/>
                <c:pt idx="0">
                  <c:v>10314867.600000001</c:v>
                </c:pt>
                <c:pt idx="1">
                  <c:v>7185553.5800000001</c:v>
                </c:pt>
                <c:pt idx="2">
                  <c:v>720000</c:v>
                </c:pt>
                <c:pt idx="3">
                  <c:v>0</c:v>
                </c:pt>
                <c:pt idx="4">
                  <c:v>1430963</c:v>
                </c:pt>
              </c:numCache>
            </c:numRef>
          </c:val>
          <c:extLst>
            <c:ext xmlns:c16="http://schemas.microsoft.com/office/drawing/2014/chart" uri="{C3380CC4-5D6E-409C-BE32-E72D297353CC}">
              <c16:uniqueId val="{00000000-3ACF-44DB-BE3F-EA0CDC91319E}"/>
            </c:ext>
          </c:extLst>
        </c:ser>
        <c:ser>
          <c:idx val="1"/>
          <c:order val="1"/>
          <c:tx>
            <c:strRef>
              <c:f>Pivot!$I$3:$I$4</c:f>
              <c:strCache>
                <c:ptCount val="1"/>
                <c:pt idx="0">
                  <c:v>Revenue</c:v>
                </c:pt>
              </c:strCache>
            </c:strRef>
          </c:tx>
          <c:spPr>
            <a:solidFill>
              <a:schemeClr val="tx2"/>
            </a:solidFill>
            <a:ln>
              <a:noFill/>
            </a:ln>
            <a:effectLst/>
          </c:spPr>
          <c:invertIfNegative val="0"/>
          <c:cat>
            <c:strRef>
              <c:f>Pivot!$G$5:$G$10</c:f>
              <c:strCache>
                <c:ptCount val="5"/>
                <c:pt idx="0">
                  <c:v>Residential (PV System)</c:v>
                </c:pt>
                <c:pt idx="1">
                  <c:v>C&amp;I (PV System)</c:v>
                </c:pt>
                <c:pt idx="2">
                  <c:v>Residential BESS</c:v>
                </c:pt>
                <c:pt idx="3">
                  <c:v>C&amp;I BESS</c:v>
                </c:pt>
                <c:pt idx="4">
                  <c:v>EV Chargers</c:v>
                </c:pt>
              </c:strCache>
            </c:strRef>
          </c:cat>
          <c:val>
            <c:numRef>
              <c:f>Pivot!$I$5:$I$10</c:f>
              <c:numCache>
                <c:formatCode>_("RM"* #,##0.00_);_("RM"* \(#,##0.00\);_("RM"* "-"??_);_(@_)</c:formatCode>
                <c:ptCount val="5"/>
                <c:pt idx="0">
                  <c:v>8802124.6000000015</c:v>
                </c:pt>
                <c:pt idx="1">
                  <c:v>6946746.4100000001</c:v>
                </c:pt>
                <c:pt idx="2">
                  <c:v>720000</c:v>
                </c:pt>
                <c:pt idx="3">
                  <c:v>0</c:v>
                </c:pt>
                <c:pt idx="4">
                  <c:v>957823</c:v>
                </c:pt>
              </c:numCache>
            </c:numRef>
          </c:val>
          <c:extLst>
            <c:ext xmlns:c16="http://schemas.microsoft.com/office/drawing/2014/chart" uri="{C3380CC4-5D6E-409C-BE32-E72D297353CC}">
              <c16:uniqueId val="{00000001-3ACF-44DB-BE3F-EA0CDC91319E}"/>
            </c:ext>
          </c:extLst>
        </c:ser>
        <c:ser>
          <c:idx val="2"/>
          <c:order val="2"/>
          <c:tx>
            <c:strRef>
              <c:f>Pivot!$J$3:$J$4</c:f>
              <c:strCache>
                <c:ptCount val="1"/>
                <c:pt idx="0">
                  <c:v>Collection</c:v>
                </c:pt>
              </c:strCache>
            </c:strRef>
          </c:tx>
          <c:spPr>
            <a:solidFill>
              <a:schemeClr val="tx2">
                <a:lumMod val="10000"/>
                <a:lumOff val="90000"/>
              </a:schemeClr>
            </a:solidFill>
            <a:ln>
              <a:noFill/>
            </a:ln>
            <a:effectLst/>
          </c:spPr>
          <c:invertIfNegative val="0"/>
          <c:cat>
            <c:strRef>
              <c:f>Pivot!$G$5:$G$10</c:f>
              <c:strCache>
                <c:ptCount val="5"/>
                <c:pt idx="0">
                  <c:v>Residential (PV System)</c:v>
                </c:pt>
                <c:pt idx="1">
                  <c:v>C&amp;I (PV System)</c:v>
                </c:pt>
                <c:pt idx="2">
                  <c:v>Residential BESS</c:v>
                </c:pt>
                <c:pt idx="3">
                  <c:v>C&amp;I BESS</c:v>
                </c:pt>
                <c:pt idx="4">
                  <c:v>EV Chargers</c:v>
                </c:pt>
              </c:strCache>
            </c:strRef>
          </c:cat>
          <c:val>
            <c:numRef>
              <c:f>Pivot!$J$5:$J$10</c:f>
              <c:numCache>
                <c:formatCode>_("RM"* #,##0.00_);_("RM"* \(#,##0.00\);_("RM"* "-"??_);_(@_)</c:formatCode>
                <c:ptCount val="5"/>
                <c:pt idx="0">
                  <c:v>8586827.6000000015</c:v>
                </c:pt>
                <c:pt idx="1">
                  <c:v>5420201.4100000001</c:v>
                </c:pt>
                <c:pt idx="2">
                  <c:v>720000</c:v>
                </c:pt>
                <c:pt idx="3">
                  <c:v>0</c:v>
                </c:pt>
                <c:pt idx="4">
                  <c:v>735522.5</c:v>
                </c:pt>
              </c:numCache>
            </c:numRef>
          </c:val>
          <c:extLst>
            <c:ext xmlns:c16="http://schemas.microsoft.com/office/drawing/2014/chart" uri="{C3380CC4-5D6E-409C-BE32-E72D297353CC}">
              <c16:uniqueId val="{00000002-3ACF-44DB-BE3F-EA0CDC91319E}"/>
            </c:ext>
          </c:extLst>
        </c:ser>
        <c:dLbls>
          <c:showLegendKey val="0"/>
          <c:showVal val="0"/>
          <c:showCatName val="0"/>
          <c:showSerName val="0"/>
          <c:showPercent val="0"/>
          <c:showBubbleSize val="0"/>
        </c:dLbls>
        <c:gapWidth val="219"/>
        <c:overlap val="-27"/>
        <c:axId val="465687056"/>
        <c:axId val="465680816"/>
      </c:barChart>
      <c:catAx>
        <c:axId val="4656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65680816"/>
        <c:crosses val="autoZero"/>
        <c:auto val="1"/>
        <c:lblAlgn val="ctr"/>
        <c:lblOffset val="100"/>
        <c:noMultiLvlLbl val="0"/>
      </c:catAx>
      <c:valAx>
        <c:axId val="465680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r>
                  <a:rPr lang="en-US"/>
                  <a:t>RM</a:t>
                </a:r>
              </a:p>
            </c:rich>
          </c:tx>
          <c:overlay val="0"/>
          <c:spPr>
            <a:noFill/>
            <a:ln>
              <a:noFill/>
            </a:ln>
            <a:effectLst/>
          </c:spPr>
          <c:txPr>
            <a:bodyPr rot="-54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title>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65687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3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[ECN Master Project Tracker new 1.xlsx]Pivot!PivotTable2</c:name>
    <c:fmtId val="3"/>
  </c:pivotSource>
  <c:chart>
    <c:title>
      <c:layout>
        <c:manualLayout>
          <c:xMode val="edge"/>
          <c:yMode val="edge"/>
          <c:x val="0.3766272557560672"/>
          <c:y val="6.4717606214402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4423391122416204"/>
              <c:y val="3.00176486742914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21115592634713376"/>
              <c:y val="6.308673681192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830209481808158"/>
              <c:y val="-5.70716163380219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4.1896361631753073E-2"/>
              <c:y val="-6.6090867136304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4.1896361631753073E-2"/>
              <c:y val="-6.6090867136304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30209481808158"/>
              <c:y val="-5.70716163380219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1115592634713376"/>
              <c:y val="6.308673681192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423391122416204"/>
              <c:y val="3.00176486742914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c:spPr>
      </c:pivotFmt>
      <c:pivotFmt>
        <c:idx val="13"/>
        <c:spPr>
          <a:solidFill>
            <a:schemeClr val="tx2">
              <a:lumMod val="10000"/>
              <a:lumOff val="90000"/>
            </a:schemeClr>
          </a:solidFill>
          <a:ln w="19050">
            <a:solidFill>
              <a:schemeClr val="lt1"/>
            </a:solidFill>
          </a:ln>
          <a:effectLst/>
        </c:spPr>
      </c:pivotFmt>
      <c:pivotFmt>
        <c:idx val="14"/>
        <c:spPr>
          <a:solidFill>
            <a:srgbClr val="ED7D31"/>
          </a:solidFill>
          <a:ln w="19050">
            <a:solidFill>
              <a:schemeClr val="lt1"/>
            </a:solidFill>
          </a:ln>
          <a:effectLst/>
        </c:spPr>
        <c:dLbl>
          <c:idx val="0"/>
          <c:layout>
            <c:manualLayout>
              <c:x val="-3.2412751622604409E-2"/>
              <c:y val="4.467024200453094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968054314471944"/>
                  <c:h val="6.4418223883757383E-2"/>
                </c:manualLayout>
              </c15:layout>
            </c:ext>
          </c:extLst>
        </c:dLbl>
      </c:pivotFmt>
      <c:pivotFmt>
        <c:idx val="15"/>
        <c:spPr>
          <a:solidFill>
            <a:schemeClr val="accent2">
              <a:lumMod val="20000"/>
              <a:lumOff val="80000"/>
            </a:schemeClr>
          </a:solidFill>
          <a:ln w="19050">
            <a:solidFill>
              <a:schemeClr val="lt1"/>
            </a:solidFill>
          </a:ln>
          <a:effectLst/>
        </c:spPr>
        <c:dLbl>
          <c:idx val="0"/>
          <c:layout>
            <c:manualLayout>
              <c:x val="-6.467080900996687E-2"/>
              <c:y val="-7.302307728805924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6"/>
        <c:spPr>
          <a:solidFill>
            <a:srgbClr val="FF7C80"/>
          </a:solidFill>
          <a:ln w="19050">
            <a:solidFill>
              <a:schemeClr val="lt1"/>
            </a:solidFill>
          </a:ln>
          <a:effectLst/>
        </c:spPr>
        <c:dLbl>
          <c:idx val="0"/>
          <c:layout>
            <c:manualLayout>
              <c:x val="0.19441256646530994"/>
              <c:y val="-5.76749378836205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Pivot!$N$3:$N$4</c:f>
              <c:strCache>
                <c:ptCount val="1"/>
                <c:pt idx="0">
                  <c:v>System Capacity</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67E0-412A-B027-FA92135CE717}"/>
              </c:ext>
            </c:extLst>
          </c:dPt>
          <c:dPt>
            <c:idx val="1"/>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3-67E0-412A-B027-FA92135CE717}"/>
              </c:ext>
            </c:extLst>
          </c:dPt>
          <c:dPt>
            <c:idx val="2"/>
            <c:bubble3D val="0"/>
            <c:spPr>
              <a:solidFill>
                <a:srgbClr val="ED7D31"/>
              </a:solidFill>
              <a:ln w="19050">
                <a:solidFill>
                  <a:schemeClr val="lt1"/>
                </a:solidFill>
              </a:ln>
              <a:effectLst/>
            </c:spPr>
            <c:extLst>
              <c:ext xmlns:c16="http://schemas.microsoft.com/office/drawing/2014/chart" uri="{C3380CC4-5D6E-409C-BE32-E72D297353CC}">
                <c16:uniqueId val="{00000005-67E0-412A-B027-FA92135CE717}"/>
              </c:ext>
            </c:extLst>
          </c:dPt>
          <c:dPt>
            <c:idx val="3"/>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7-67E0-412A-B027-FA92135CE717}"/>
              </c:ext>
            </c:extLst>
          </c:dPt>
          <c:dPt>
            <c:idx val="4"/>
            <c:bubble3D val="0"/>
            <c:spPr>
              <a:solidFill>
                <a:srgbClr val="FF7C80"/>
              </a:solidFill>
              <a:ln w="19050">
                <a:solidFill>
                  <a:schemeClr val="lt1"/>
                </a:solidFill>
              </a:ln>
              <a:effectLst/>
            </c:spPr>
            <c:extLst>
              <c:ext xmlns:c16="http://schemas.microsoft.com/office/drawing/2014/chart" uri="{C3380CC4-5D6E-409C-BE32-E72D297353CC}">
                <c16:uniqueId val="{00000009-67E0-412A-B027-FA92135CE717}"/>
              </c:ext>
            </c:extLst>
          </c:dPt>
          <c:dLbls>
            <c:dLbl>
              <c:idx val="2"/>
              <c:layout>
                <c:manualLayout>
                  <c:x val="-3.2412751622604409E-2"/>
                  <c:y val="4.467024200453094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968054314471944"/>
                      <c:h val="6.4418223883757383E-2"/>
                    </c:manualLayout>
                  </c15:layout>
                </c:ext>
                <c:ext xmlns:c16="http://schemas.microsoft.com/office/drawing/2014/chart" uri="{C3380CC4-5D6E-409C-BE32-E72D297353CC}">
                  <c16:uniqueId val="{00000005-67E0-412A-B027-FA92135CE717}"/>
                </c:ext>
              </c:extLst>
            </c:dLbl>
            <c:dLbl>
              <c:idx val="3"/>
              <c:layout>
                <c:manualLayout>
                  <c:x val="-6.467080900996687E-2"/>
                  <c:y val="-7.302307728805924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7E0-412A-B027-FA92135CE717}"/>
                </c:ext>
              </c:extLst>
            </c:dLbl>
            <c:dLbl>
              <c:idx val="4"/>
              <c:layout>
                <c:manualLayout>
                  <c:x val="0.19441256646530994"/>
                  <c:y val="-5.767493788362056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7E0-412A-B027-FA92135CE71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Pivot!$M$5:$M$10</c:f>
              <c:strCache>
                <c:ptCount val="5"/>
                <c:pt idx="0">
                  <c:v>Residential (PV System)</c:v>
                </c:pt>
                <c:pt idx="1">
                  <c:v>C&amp;I (PV System)</c:v>
                </c:pt>
                <c:pt idx="2">
                  <c:v>Residential BESS</c:v>
                </c:pt>
                <c:pt idx="3">
                  <c:v>C&amp;I BESS</c:v>
                </c:pt>
                <c:pt idx="4">
                  <c:v>EV Chargers</c:v>
                </c:pt>
              </c:strCache>
            </c:strRef>
          </c:cat>
          <c:val>
            <c:numRef>
              <c:f>Pivot!$N$5:$N$10</c:f>
              <c:numCache>
                <c:formatCode>General</c:formatCode>
                <c:ptCount val="5"/>
                <c:pt idx="0">
                  <c:v>3635.1450000000027</c:v>
                </c:pt>
                <c:pt idx="1">
                  <c:v>3718.0100000000011</c:v>
                </c:pt>
                <c:pt idx="2">
                  <c:v>287.39999999999998</c:v>
                </c:pt>
                <c:pt idx="3">
                  <c:v>0</c:v>
                </c:pt>
                <c:pt idx="4">
                  <c:v>1786</c:v>
                </c:pt>
              </c:numCache>
            </c:numRef>
          </c:val>
          <c:extLst>
            <c:ext xmlns:c16="http://schemas.microsoft.com/office/drawing/2014/chart" uri="{C3380CC4-5D6E-409C-BE32-E72D297353CC}">
              <c16:uniqueId val="{0000000A-67E0-412A-B027-FA92135CE717}"/>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4">
          <cx:pt idx="0">10215558</cx:pt>
          <cx:pt idx="1">16371</cx:pt>
          <cx:pt idx="2">41861</cx:pt>
          <cx:pt idx="3">7594837</cx:pt>
          <cx:pt idx="4">10215561</cx:pt>
          <cx:pt idx="5">22890</cx:pt>
          <cx:pt idx="6">20899</cx:pt>
          <cx:pt idx="7">7594849</cx:pt>
          <cx:pt idx="8">10215559</cx:pt>
          <cx:pt idx="9">10215560</cx:pt>
          <cx:pt idx="10">10215557</cx:pt>
          <cx:pt idx="11">7886181754984202244</cx:pt>
          <cx:pt idx="12">28487</cx:pt>
          <cx:pt idx="13">29882</cx:pt>
        </cx:lvl>
      </cx:strDim>
      <cx:strDim type="cat">
        <cx:f>_xlchart.v6.1</cx:f>
        <cx:nf>_xlchart.v6.0</cx:nf>
      </cx:strDim>
      <cx:numDim type="colorVal">
        <cx:f>_xlchart.v6.3</cx:f>
        <cx:nf>_xlchart.v6.2</cx:nf>
      </cx:numDim>
    </cx:data>
  </cx:chartData>
  <cx:chart>
    <cx:title pos="t" align="ctr" overlay="0">
      <cx:tx>
        <cx:txData>
          <cx:v>Total Sites Across Malaysia</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Sites Across Malaysia</a:t>
          </a:r>
        </a:p>
      </cx:txPr>
    </cx:title>
    <cx:plotArea>
      <cx:plotAreaRegion>
        <cx:series layoutId="regionMap" uniqueId="{709A5131-D080-4EC0-91BA-ED3B010A8FF7}">
          <cx:tx>
            <cx:txData>
              <cx:f>_xlchart.v6.2</cx:f>
              <cx:v>Total</cx:v>
            </cx:txData>
          </cx:tx>
          <cx:dataId val="0"/>
          <cx:layoutPr>
            <cx:geography cultureLanguage="en-US" cultureRegion="US" attribution="Powered by Bing">
              <cx:geoCache provider="{E9337A44-BEBE-4D9F-B70C-5C5E7DAFC167}">
                <cx:binary>lHvZctzGlu2vOPR8Yec8nDjuhwRq4kyREiW9ICiKwpgJIDHn199dsvu0SKrJdlgPpsCqjdy5x7WW
/v2w/Ouhfrz3vy22dv2/HpY/3+XD0P7rjz/6h/zR3ve/2+LBN33zffj9obF/NN+/Fw+Pf3zz93Ph
sj8IwuyPh/zeD4/Lu//6N3xb9tgk98P9xg3FsF6Pj359/9iP9dC/+vR/efjb44+vuV3bxz/f3X+z
hUuKfvDFw/Du70eHb3++I4op+e63P37+kr8fX9xb+OTN/df7/BefeLzvhz/fYax/J4JRSaXURAul
3v02P/71hP9OkSQEMa60YhSeuMYP+Z/v5O9UYMm0YBoxqTgW737rm/H4iP2OFPwNQpoqhjkn8j+e
uWrqNWvcf3zx98+/udFeNYUb+j/f8Xe/tX/91vFoUmNEGJYECU4Rp5ofnz/cvwfnwy/j/1fYyXbL
PPCD64s5xqzr7lZVrYlfluz8J6f8whQFp72wBcdCcFAhGNbH5z/ZGoa0bpnW9DDXWdhmPoSkc8jt
Fq/xlV8kj8PA1Znv+ZT0abRuy9GiL15F+qLINTogPJ5m02I3KB2js7pLs5Olqu0mL7MsCYsc75ap
qXZNL8q49YPf+UZU8LTJvwpSug3urD3j3qe7IpNbTutabfRc+30XmNzoIUqTozf2rfXDrS/q60IT
CJm1dv7ydVf8yusSYYLg9gQRcIVPPNENjHsUNewwZqLeYMfdHjfFFKc6G3avm4JAee50jpRAlFHG
j0H21BQqPVclacXBzm11nuIsOqQ6J1/KuWmZyUjn9q8bZL+ySBRWkDacCUXwU4sl6XzIw8QOP264
9Xh1ho01Mn1Di4MrVJY0KvR3qi7WNoYbbGdTDUoaMkX6NFuKYOq2zM5H39dJWrGva4PWJKuXSZom
5NWVKggzi+uqnU7bvoh9EK4yHWnQl17YaYMnvm5CznBiXeFWE/oSexNRyo9h3Z3PJCymbdaSmHqc
QmfkrKebFryCY5GudsPSeYrHMXWXdrBzXOScXcsyO+RDme3XJWQbNi7RpR3ZkmSkDeZ1D/4iTzhD
nEutMVFIQFn4OU+kzadlKjNxmOUycgM3m312FsmNWwv9yVE6bsc0qk5et/qLmOQM7gtjCBO4O/bU
aqS7aSzaUhwwqtSmCqX7il23Jm1K7M0/NQW+RlB3oPgIzNgzU2j0Y5+FNhysKlpTRim+zF0aDC9o
uHjd1MtgBFMY6hw7/qePdfRnXwqdh1zJIRzyfsKn/SQb09e2vun0oJMet80b0X+8m6f1lAq4OCqE
oggp9OxoEI4zk4IOB60imdhAOkOnVcWa8S6esjmKGbfLblrFevr6STF5aVpJoRBkHFRXgvXTozZF
ieapSP3B6jKWaxc2qS+nnRBdvW2EXZMU163JpIc4mtK4s1W9dfO8ntNp/P7Gu6AX78LgbqGpQbuT
UpFnIQzFH8sOtdMB6fpTG2wRl+W8GuHXOz5EHwo131nvr2SRZiaasus3zB+P+vQWwLykiCqJmGDP
b0E1Fc4GmY4HNSxZPKc2Jpr1G53POyXGPuao8PEgcmSy/JFEdR8vHm5q5ohvRV6XG1Q1w3U6Z6du
ZvfRWJDPaV+x7dK77o1kx8eIePaujGIJMQrNmEPiP722lK2u4EXFD2wl+oEvbfHVp80Q6wp/Iyov
TRNVZRovqagvxmpaE6GW7i4KVH1oWK/jzPrbSLTL19d9+LIcQF5CEENz4hqGl2O0/dSsiR2HNoMJ
5GCHJTqsssnPRiWWBK82JP/clOQIYyIw1Ro9C5YStUKMUcYOAcu0NlmnrCmJ6zLT9XR9w9/kZUWA
miMI0RK6ooYB6unBwkDzUeSCHsgU7EF1LbvqfTQm9UDdpmul3HZY9bFaqd2Ndg23mRo8zCKuIBeB
5/lsfOuKLSNhPjgflo2Ncr1ruo7kMe7O3ILUaOqiL1KDJjaeZcjdaWr1ZWFd/6HIGpmbzI7k7B87
UShJoYQzxjF9fl9SrWUgtuUH2xX9TrWl20ddl8V2rPs3RoqXocE5NB2oMJrDcMyfNXinQte2JUwv
1LX9zok6Oog8s18XZft/PChxIaFyw8EwlUQ9m16qDHMZZkYPA+7muKLW7pvjoArtL/vHUcglpkJq
RTQXnD2byaTKOz+kJT04KbMT2iL+sR4avJ+dHN441YsmAfO2phiOJBRM9/JZCJZ+nvO+oPSgyiYY
SqcoNwFJs/QNi8de+bjSTQEFQX18PUhexD6FuQJjqMqcwmCBn93caqe1Es3cHFhbVbt6ati+j9pm
5517n7sZbV4396IMc8wRxcf1hUNjEs860pDKys7ZEg4TGkPSsmG9KiteHISl/aXDMjurOqE2LQKH
lyHUb/T+F3PU0TznGmZfCQ35+ZgxjJXPx16Egyyj6oZVVXsjeZaf9WEplZlC5TYwgBVL/Pqp8Yv8
oDD4cqnYscjAevXs2HKGbGBlPh1EjdQWh34Y9rVwc2uqdkDFZmD5SOOFr31nct5G30Jlh8PSLO89
L4bbjKsiTttlvWmGRdyueRfK+9dfUegXDRoiXWnBFULH5JLPImEqUz6OXlUHNqv5Zsh08ElP2vX7
iLIlSTP0OKTCn2Wej4exyhZnVlKLEwlr1h5WJmbmQoqHhjB+mpcrv6nb4L6sqNJbpNb+0yoqxJIB
Z+KjzFuyzUuWfSyjmi7xXM31htu+MqRj5c4pF49SpkbjjGMzL4jeElV9rRi8EB2zTZFWhGyirjrV
60L2/dC4eFpUfQstZZ4NDHPZFtP6LAt1vilxuWx8tJxUPUt33kdVZTyP8sNxLx0NVjM+dSjnj2TB
JYxmgUebaYgSwfsu0fVsp5hPzR0aLdt0NbdJxxjaaZlejdDAHru5zR6LVN1RvA6xpd1y3VWy/Vgt
9dVQcbQVWXviVlwYmYfiOth6LExRcrbz3UBPlQ7iqkNFfmgittywEhU7CpX2yzgW0YXqELxSCnPR
e1kX4j5od1CF98m8ltWOldka4qUYh2sOw/VljkX0eWnYGEskakOtUvHYhfliaKccx33pi9GIbpbf
c6m8NUsui125LCKGBaKezOCCNYxH+E73UWoGkaUfoGhxbVBWjl/biaQXnWPZJhMoOwjkdGFQM5Rw
f4VDsWtofz1XdRnnzaKudcVHswgbbY9L3Zmtovx0sGgtjC+FOrORHoLp7JjtIs3ktsyIOIwpaQpT
DmP4OOBoO3dN9znF/BEKQZSQbL5vYPzZNVOZG0SrbDd6OiZVLhm8O8KXvMWwm6+QOYWq3D5DBF2p
MExx35R9ldSjlQ+IZfpe4SVajdN0mM1cV9kJzOOVMl3mutYIOF7MS7R+DiQwlbAhQldWMlcbh0qc
GQBOpl29CnalYXRJZj3YG/iC9UZQTA5pEw0Jp56d9gsPO0qmbJcPYxqHNscXc4rq+aSDiC+SYYGX
iYvZeWxKFRA3otGyTRaU5W3MslJdqwyhLcp0oQwZQvhSpsMAYUii9FMxkvIiwiraVg6RfBOlPj/x
oVF9MljmLlgHGbYrUGd740WRd2b1Xb+bp7Q8jM4JbIaWaqPzyB8kovammce6MD8+S3ETncB9l+et
tRoZbDuYe9Op37F0KA42n8Njatf5LlVj2AoehgViSEv4zUDzE57V8mFZxrIyZVO1NmETWh6nqNU6
obUsz7OWQKUQDboFUCuvTJFi9JgiuDOLWjUZq4JqzNis9RRTjO0+C3OtdzydG2q0h89NKg9JzsUU
q77PP9dtNU6G1csCwyLSPjekyKuvxahSaXjN6jxeliY8+gbWaMOylER7UTkoBbZ0tTLt2AaRBNg7
sriVk+SbXtblmhk9Z9DwHSRAd6JxjiDFyy69TxGtPxWDa1PDofKsOzEyhuPZp2Le5bZvbpa5s/tV
waTVF6LNzID1UCaLb7t571qcJalb19vJZ1PdxL3nGNpCDeWi6FJ2h1uUJVHVqqTJNTekmqJP3olv
FS6HbjD92i1fVyxqEq9r1Z0uJW7jnNXiweIiYjG42z+2wtYEUBaEbm0t0hM8FOE+Yum4qUbNkiVr
qtHkEmA37sp8X7im3TqO+6QiaWpCY70zAAg1Z2Pu6oRRV5SmY1V5N+BpPVm1HG9SxNBhoW20hTqe
fu/rHJIZT3S3ULdVsu0+iKzRSdWHKY7qSF5xVRX7nNJuT2VjNxRPZayxD5NZmibKTCPy7muzlNGJ
FnRNaImG1ADokyVcdfVH1BBpismia1uXpQHEqN517Sg+TLin27aZARNyPeuN1Oy8JwN0CmybLc/T
YzRBqbojtK3iZuzGh5EMZzmXrTUtCVVhOpUtt3MtV4OInb6wMsriutLEEDoNybJKvu25S3dd7Ze7
dJ6rzVCNAl65a1ZvMEXRCe1K9qW3YtqWS1TtXJayLwtvl+1gR6grazbpWyVqetZM9fTYRxkNpoBy
LOHuBupNNi6DiXJMSlNNNnBja7wmBe0iDkGJdW0CRLKONRndvtZ2uZ2GsrBm6ukCMURhk4ZaUh5Q
u7CHmcv0VAQlNzPgUUm/pvMa6zGQrVro+jhBmt1aUqH8UKd1eplGUXaX1YM9tf3qLqgu7B5V2Rwr
i+o9mSkErK95C60roNXMVWcv0try66KD28pDWl8KOTcJDjX0pHYV9U3fawLzjZoz93Fwa3ODGMl7
M3SqmHeyxrwxzaQzKM5YfaJZS4uEFQLtVkHRpXeN2Ls8HR4YbuH6mRjUsfDiXbC+PGGkJYd6XF3c
tWlXHCZX1DcRbF0neJ16GJbXosoMmt1w1zWBOLDE00+tHuUBN7S6cGWnu7hf4IhJb3kU54gX55Bd
+dnqo/SUSB3VseVdeSC4JEmE8nHbA7px300431X9APtoN1yNqwzv+djP72tBxu0gxy9DG43Xpe1T
a1zV3aU8Lza6WgKc3GVzY+Sih8d+mtVmzaOamyC99oa1HUz7s9X0WpTCkx2ic7/pqKBb3EJ9NbTr
3GwyrDoog7lPiiWtilhrmy1x3i/+sbBd9CFnx6/hQC/Qcx5N/qQaAtqmEqorLtCp6EJumnmavrIM
o9MGua/zEHUfSLWiqwAV3MxUFUk1tneyjfptKJcHhtL5DlY/gKKxz5IpwP7du6U5R7WfTSelMBU9
enuGwJ9gXz9fmOwqs3brBPVuSDeOV6kwlOfdebQO9UaP6fylgqyOGYwwl30+VaccEvpA+9TvfeUm
vIky5VNT5ai51LQaDjT/2E7FsK2iNjtp61FIgyMru41soSnEXi8NTGZe15uBRsKZkjdZHLmQDsbB
O06JpqnfpULAi/IBiv2+mqa8OHSLg9Y6lZ80wtGhaSDsFWnZA9cRM+ni1s2icGN4mddJzwe396rE
iStpe8kbWD8tRxc/wPqm8muCFpfHq4YZeirYna262YBD1IE2Yqfn2e/LI27to1lvIgxAquiE/hzl
q84SHI2+3HYphzRXuazP6hrHnfYq6f2YxbL34pGj/ussi32FMrXjU4oPVDJ+mNXQnmAd9Y9T7ad4
4CQ6DVWeJ65VZDWLDOJRlCGncc0F3uqpBxuptSLmom5PhV3s3krpd4wVdqdIUXwgOivCLuprdloO
AJKPvFuXeJ2wvAS4xiZDJqbLsmv9h1H6rNlqURKRRBzA851flwzFqS/Wq7RK83PFqyLRzfJpHKuw
L1ZdmTSksyn1kn7g/cCEWbEDD1jKukMdZl5fjzWNvunSQ5IMRX85p7U+4/1SXBTRfMdJi0+PcS+a
MTVT183JqHkdLyzP4tKlSaq4uhuruj9z0VgnsyhCCl9vq5Makt1MswgfqmN88aKFW4iGbL3XbrqA
3S3bRMfq2sup+sLWttj6qUu3QCbY66ULRYyDHU6xqkN3KDNlu92kolDGP1ZVreo1LleEkxLnfSwn
gS87KJfhDPqxL02BAwRlO7DxPAVfTLu5d/O3pkubPcDGY2lSaVPDeokThXxXmpDjaElCqua9jxps
N8qm08m0yMpvbdS63THqP/RctRvWShqnhYKoWyIoVW6iJ+nsPhWE4yJpUBWo8aTil44WPDersuGk
lJkSsQ1TcyCAL8ZtkLg3ESrm7x7gpF3n6Fq/gbX9YCqeYJuw+QPCBjQlBib3BQ4ra7gpTng4ED02
x9jMNlMeoS+iHHg8o1oa27bpYxnRG1ceJ0j4GnECd9J/4fn6IU1HqHpO6l0JO9uWLW2VTOngY09R
BUUyxx9IlC+7NMrdtvDtQS1TdNLTixQ3za4gI9/SlA2mE0uX9Gx+AN6DfFxdJQzOXQk4OEB1RcH3
GEC7mKwzzmBCGRO2yCS4YdnBzextAGf3BWl3AVX0e+YzCvmU1fFY6TMRugHioVpOSj+5TY7W6o4M
8CkwxM/Rko1mWpYlXkLdnfVDGbY6IjKuRLfETcnXnaRdhg3vKmIwPDY0ogCpATw/FbLZ1XYEVgQ2
Ht10/RswxQuUAu4G4EKgIbmCaZ09Q11z3MFNNhPQqmr5DOTrR1Vm73nm/RtB8Es7EAWAMlAgJp7z
SqX12KauRweAns6n1E5GK+2MTTl5w9JLKB2OxABrAp4HZjAArZ9Cu7rTeg2A+h5C02QX0SxmGNYC
XmK9zlFhbB/JU2CTV0PSZTFOwbvkyEtrbB51FwS154LCFORG6EyvAy6/csLPb/aMFqrViKAsHAfo
PsBWscJO7McuTeo2c4d/bEqCo6WECFNEHuUGPwP3QCO3UcnncCgqYvc+DENcqbQx0zSVb5h6AScC
s0YpqAaAbpJMPGd5ZjrBEFmP4TBHFYIG1kFXgh45H3IAtLiJovQt5vAFWXK0CFwJ0xCzQsjjG/3E
StiGs44MMhx01sxXecvTcwbb/hsA90uOAMxwooG+EwAMCfTsurpm7ClppnBYcRsBzdKF6xCAxm5g
oP/Ep6g/g7BW+5Yta7wQ9wn1RGxmXO1Qk9nNINYI2md4CMqLNal11ezHZeq+FCGaTyTpm69+gHVO
9VG4HFsnTsaSA0KT4fXaws4aU9t/ez0ofnVTHEgBhoDz0IBKPvWbAtgiytIKHVIe8U2xsE/LMgMk
Cit12o1vuO8XuKuURAO5coSaAc95amzoIAe5zdChx+sdPL4EbQoskSM+9zn0xC5jt6+f7pcGgc8B
/gxiESQ1Tw22DWxU0rL1QO140YIGwHgVTrMUna8yK82oljfIll+5UwGdDOIccWSwn+WYJyVuYLRf
D24ArEqocF57/L2xIYqDXu5eP90vagccDRoGiIiObMuzmKcwmWTTmoeDCzOIJCoMiCusqiEnbwh0
fpVcihzjHgQ6GP7nqRuxa6J1hcHnIC3Sp5a7KJmAh9i+fpyjb57NBFIDqwjlGSqHfl6kcdGpNerQ
ChzE+oHCqEUyewNg9Wbw5LQpMABEUiT/2CZophBcGJCMkj/n/HDZDqOfHQZJyrqngp3nUb5biLic
MrEhawGDnfj4uslfhIgGRyIFJBmHRvv81nDb0zAqaK+yPCmO80U/swjWof7zUhTtG+T/yxghAOQj
LqHsC0r0M8pBo7YlLprxYZxw1hvnSmdUMwDaBn/v3uizL+MEdHkg3gA1GwUB0/N0o3zoxhHGlgPj
wqZx01XTA2BNaf6GnZcuBIEUqNJATwFtjOhn8QigQUsHSK5DJ1i4HORKzFivQ6ImxM4rGJf+moj+
+Es2ePVXEP4ljnto2tUXWf63bvA/P/7XbWPhz7+Pn/mfvzwKD//np/P/Viy++lu7x+aoDuyf/9KT
b4aX+fvtjqLGJz+8UDj+LD/8vz78vwkcYQ488j//u8Dx9PHbU4Hj35/4W+CI8O9QLTRCBHhFAGcg
+P4SOGr9O8xjIEoBiaMEIpBA2P4tcBS/cyCQYe6E0gbE7jGG+r/0jRz0jRDLkDYgWxNCw7X/99Gf
XCEoQf/++Wd9I35GdIFxQJA0gdIJOCD0v2Pm/DQxTMf90TPgqdsJaBI048vVytlMvkxmClAgiM42
lStvC9wORoz6y0+O+oX9Z63ph3nQNQCrDOcVSD0zP1ZjavMaoHg/MZj9xc0ICo5+9dd9Ra88bJNv
5AysZk/r618WKdB7iClEFHmWNWspQPjifL+TpTsVLNutGANIj89XYQD9PgeJ4y7X0XkTLYcBrXUM
Mr5rjJoEYMwMeuWtBw1GmdLHfp1dTMi6i8b5a4fxkKwtixGqQbGpho2zvI+dJvtqZclY1uoURHzK
BA/iPGzDWT+SEJNpiGU7n2hABWhbVHGh4HdYfzoHBwg8KP+WTFwJXl2nbLnyBMYgECw2xlHbALav
7mq0Am6aAZEEk/1N7UqbFByRg4JF+cLx9mYd1zyWTnTG5y2sbeknumYiHoschFcY9ly0THuFosGs
K2UbYGbrGGF1XzfsvKVsiCMgSzoq7xzXXeL9XMetKkPcNOGCOL9143zuoqzaYxrdchyBNJWWpyAp
/N5S329tpc/lrO5YVOjTWtK7eS1kPJRVmegVKEw7w/4ZIQuw77DK2IWwE17cCFXL82LiezvM5FAO
+B41MpxQUqR7n2bE0DqsBgM5C/o7HxlWLXxn1Xhd4S7agH6AHJgi972T6zVbyluu8JFkLVE8L7IE
tGypN6F2wLkdAeY0LJGRwpbbAkAEUxZNZACDLk57T+wpF+I861Oo5oBtR7pPJlG9L1bVb/voMwNB
5A6aZ7Vpy/ktfODYlX4aBX6EKoHkFPg4SIEk7Glu2klXgEC6fldXdgtA/JGiKLarzrdANG7rie1B
uwZ4S/nt9aT8oXN4YRigCQpMPQHB3rNF0YH7IW7KflfNCUMRStKa1gDPj4ceiM54bPwJrK2r6XRT
xbPLE5rVb3Rs+qvCBLaPIm8NagzxjIFfSCha6KI9oBe+jKfhPF+KOz/gYudxUWwLVh/63p/nuTqD
8L4eZ7G3TaBbEKsyw9ASEu0AYgDkvKvyy4qOF7j0uygnVzMZQMjE8qTPyEU7+jpRjJ21XfqYgex2
Hf1Jk9Lv9ZK+obf4oed44VaodLBfEJAhPV89I5JXCwA6/a4JqY6hOHUbR6tTsgzVvk8DFBBanvlM
XtVN6ZJowamxFgF9Nxe3k7AjoNXzSY8GewkNK1Gl8xveDY0BNiMYP49DTHv1cdbFIYBcNZmnxl8X
SGzyZrxdgOsH9HdIunaugYWCLKzzvo8JoGYbNpHNWnfVvrD9eErskG+PrxFl+lyslu/YERvren7P
MN13S9pvZR950J9X7OCPGdQzDxSNcmW9ByXzDNKq+rZP2Xk24vS07tm2ReKuV3h7lERtfSgiSDo8
GNzkt20R3c/d8dJmfTd37MpmPDriH+cjSvVpC6p/I6OCxzDlhH+2oUOGgXKPKtjCjoot/FxaR1Bd
dVkrIdAXBmrvPD+xa31ZqZ7FWEz/bCv6YQwIWhB+gs5cgXTwaTojLXwJvEK/65ZqW828O6mk/s5n
3m8zV25fz+Fnw+HRGBwJ5g15hLBAy/TUWMVkswKlNezUzK5mOdo4kr6JR52OO1FWb8k0yS8auYRx
HtY9CWgmiFqf2lvHLOVNGYZdg+sL7tcqkQDTnh47Rw///mCnIizjTmnT++wW6VaZiBUQRzXdl4s8
B0nBeUWhgrZCzYa7Gv6BgZJJHeHvriUnU0oT77LiQIZmnwYNdEL0NWXAUkRZ/kaakpeVR5Kjwg2W
c5jMtHrmOjmxqRwjO+zGqVZ7EZFgSlBmALLyQSj73o38fLZzaX60PjHdq7IHwNSW6T7yxB+O/WZE
QwTZiu9l1KTnEwR15WhIaE7vXr/ml24/vqsCQdURiQFhy1O3L0CkF7RI+91AgB4ArqZgaZJN6LuN
ahA35tnN6/aeLVLHsCIcypf+AZTAYPrUXt8IoF2hCe7G0Hxcl+q2nDAwtEBFv26H0qOXnxRLgJeg
7jIiYReGyHq2slE7NRzYx243umo1MIJ6o0M9vxd+OFvw/2fvS7oc1blsfxG1RI+mgI3taDO6bCZa
2UQiQLQCJPHraztfvftFcsPhVR7XNFcGBjVHR+fsxnhFnLMu31bAWO1KEzr7XLtb3iqymwhCXcW7
cQ9k2BBPjWGPRlsHf4y6Wwkw7VdbdwG6MIwnoqnHh1aVc1L4g9iVrhOmXSSC29Jpvwm0b68BlcjT
RqO65VtLwrS6roZBHsgy29uxQMkeNXrT3UYtnsuq7oY5oThUAD98decmSFFp6dGcd/kdG6Zpi/oB
i+WigNsRYQYA2rWSSC947qQTmse3aID+kK5Xl+gIhejBLXWbYt85cW034lDO0W05Aa3i9mjr2dS9
80Q/79speOgCWu7RT1hiM6trRwc89jXqLV1biwc7GBNSaY5Lr0XtODAtPXi0ncGd8Jy0E84Yj45d
p5Zsbmw2LDHqvM6+WNobPfA+YzSo06BC5B71VAO9MbWgIs3yYe6dR0+4fgYcKtlZpvbiup2wO4ex
yP78N82tu5mW/qY5dokVKEa4Y0gVtxEFIMq448aumh8FKE53aG6VV2TK8x9YEENcTcqKO2OrmJF6
idUi598+c1u0FK3fFaJEpoZ63Nb+PHS497ovXGgVuwGwXEVetmmdo7ulJPGyPJqrp9FjblZNy2FC
3nM3BLl/FTbF+JM7g4NWA7ArlhiafVf0RWp7iJQ4WIvD1OuXunXczC2QxPp6lPdaWMNGOc6rKKYq
jYzmhxGUrMfFqQCXom0dT7X9svABLUKUi57CZcBZ3QFGQguH70vV/RrmMDr4Lbsr8v6LnLi3VzZr
N+2AP1YaoCrZGX/bgXGToUYUxly66iWn3L0zfYtmKZqVXu15WeX6Kqba829woppfzA9uaSTDjVMG
DXqouZ81YWGSoKT5dzRn8k0DBMYBuRFLnYFs82ByN9JeoiubL942t2vxjc3VGIMAlI5s3EbLkR3k
KI4UBNC4bVEj2ees+o3cLNoL0QJBV6MzozU+3VLDp8hnz5oqs7UMEItouSPHWjjdtm11D5qY+9Tn
lUFdlzZZPw4qoSVNJFDNW8CC6hTdwV9eHdkZH+wIm11fL37Qp+3AbsUi2qu6tzE+3RIl4DaFu45F
TconEuL/MmYnPrO6m9nGDkrCHFfYwLOaz6qlwScTlXpLy8q+XgrnILym+tlptzjQ0Y0A7ePYY9K1
JpMUARP3Qi9oUOd9lyGzQeVSzYCmsFrQ2HiqfpIz1/slKkoR40+qPeeAs6mmFulAFMMVeVIxOmts
46NDvQ9dpu5kRPI5Fq3Tg+RF6tlKuYnmB+3JPlE+MIuxZ4kCbTM+uJ9qVV37tdmart8bNYN2QWwW
HZNEve3EMG48PcuNVYL+CW6JQo8X56T0xa/CbqZjq48DMdboxB+pdz3PzZ1TVgsG0cmC6PjOM/mx
hFLGtWqmrajd667tgYNg5h6l6AWQx3Df9vUN4+oKdIP6CdyvKgWwhaFBnu99kDRSgJLzzegr4P29
b+ViOb+qOhruF1zl7wsgWO5aVKUGlGJzs7eAG0oFCG0pKRp7k7eWn+JKqXCX7Ft/q6g9/hayvQGY
RwAWyCjQc4GyyQ+fzraIbRlcU4qeYmIUBciG4U/GwI8nE9l7EFbVftGukziiKXbhUAxAkHhuTIgK
t8qLfhdN5GW8GLYTwYH98RH1boaFogmuji5O33WhtrX5hJqPJzMnB0ZaC9wOc0425UweOV/+9+cu
jnlUuYExdVCiXaVXpBxHqzMGieowZswNX3oXE8267kw95r2P+kM7c8JjhydY1WNQZEQn3wa20Sqc
R5VHL6Ms/NhIYAvsCcv7zxD+X0Xx6Q9l+mc7NeC+PLzmRdu8JUCj/fhmrR1rm38Rpm++i+9GFt//
9SdvGNPgYiCx/3/EaBSg3xQUCUpbABrh6gyO6T8FRTCmj4k5ipC4eRw7T7jT/09FkfwXrglHtkpA
HJT/CSb+f1NSdP6uf1uO7aHIjnr0Km9u5pCLpWLu3sLRuTONCQHXtqz6ITSTuhqp8Yu48Rzrc6Dn
Lq2H3JSx3/XVfsGS+4RkpT244ThcW6WL00X1fgkIea1ZDMq8c8M6VKU6oMv2HPlAuWFR3SQGtUvE
LFUAiKtCrtM3w/5OdfJPh/Y/Seh/PmWV5tJaopHmTd6+E0Zi/ZdR9ypDm80xGoSe3viO4xZJUAQg
RlWu9EEE6HonYZHNq1TzqXttiyJ6Weqgn2IkEeBTlOUIMh8KguKG1b7zVVlRdEu1ib45oS0QpNwm
SNxO19+jZSlkqlGI/GrUGG2nkFifpznyrsHuDc/QWv+uMf3zhdEqvVZqlGTxS39fcQqciQdo+E/H
A40W5STH+lG6rfjsLwv4oENOI4P7eIcz9ePh/fsy8Z/fXrUHtd+MvYraZe+6i4Vjh9hfeyrZl1mj
RX7mN/4OaP/5jVXARC6g/UCizb/krv4ZugZZ5mCRx9D4/ApdOy2Sjz/mD2/7nbUSHd/gTQW9KUO3
KGdwsAqM3u/Q5dHDwAbyjH4deHJmDs2uKycXGTRR1iehaXhXAe0FHN2Qk+eI9uTZnqfoh5o5KrF9
1fE4Gj1wVIfOQbZtEWk2XhvZv2yrUNdMi6o9M0YnNuy6+N4Szr28mMdsKZAq0uXgAQf58aicevTx
398MyjSowWEG5QCDnmzOwd+vujMr99SjEcjeProah8ZTKHZlzOnvbMIfcGe4cECcvx9Nee+W3O3x
1mBI1KZP3RZB+p/G0DsR5dRLr2Jj6Jlc8gBPrkSx5QtuaSjeXfbodawKBG7RdTtmjkU2qKgmgkzp
RY8OV0GiclCFDSM1Zn5FtpUpN1FpzmybEwMSrmJA3dQF8L2+zGjvfuJO+Tow77IBWZeiZBeNS9Ny
lKIi+qMVZZoH/RkowInItcbXNFpFXukel7VlaBw0yDbj2hHySfdN/vuyQT/+9putoyd0l1mN3xj5
DIQyED30u0tVfeGcHifkzeMFCjaBoliJtaFBPOhhjlWPRtBlL7/anA1gn55doewIhYpkiRRQC312
2aNXmxPw21rOXTdmQKqneZ5X8eL1j5c9e7U9JZBwttDlmAF99AiWcFqSeXvZo1fbM2raRgGRP2Yu
UJMtAcTfGs4M9vEse+fk+dNveDOVi1XMLsoqCCqVMp9ZXdk7NlT0Rczzcghzv3zIUeQ5U8U+sWHX
qhtDadoKYhFjpuohWcDZKYx35jtOPXp1VnuTDVpGDmkXlyBDUl5m8+Ky1R6sDucZG9TpKLq9vELx
KyhRrLvwyattWnfMc4pBygxAy5eRzF9QTD7Dgz6+3HvzehynN/NquMdCwNjRouYlILqeX8Vjy5p9
QYs+CcPK2l20NIPVZi2duZijFsVjatDnDhi6y1NoneP7nprV1X4FXzqovaNgj9Pzp4C9qsa6v+y9
V7sVKkDRAjEINFKcwcSM6c8gbk+X5QDBar9Cu0DU/YhBEU6QdGWXCRAyL3pvf3Wcclo03O6OYAef
DHEBsae0mJf8sl3kr05Ue+IuiGiBzEB0uqo6nQmLXjYm6+qDbsHC9cVxofjhmARBexhasEUvG5XV
FuVgWpq2HbGRKAiMwZSafLosC13j2iTq6uD3TDLz7fqF9t6PjlUXjvZqj6IZ6jSL1qj+AI5RgVw8
OOqyyLLuvvdT23qswURWlrXpnK+RCS5cgKst2Qq/4Wj6Qv+iccFZjjbSPJyZxOMqeydmrUUvrDpy
dQMUfjajUgYBK4bECHluAikH8YkYl15L8BlpUsx9mKM7U3p3tuzLXTjmpAOJcwYBswHF/QvQqNFX
XgcE1PXATSvAIu5bcEF4UhVd+J0zYz0UFQ12lg7KZyKPUjCFjIVf9SnaYfN+cUFYzwGb2w59JdDE
6/mu44UicUHs+hfwN/VWVsbslBMaoHoWtEZBBIhiV7VQd5Ll9FoIPwLhM5LgoZSdEz7poGk3jAry
YJmgHWMSWeODM04l+KctWK5nBvHEGK5CD5krM9AZh9WY+wkTDdhOwWXL1VuFHlnb9eAy7ISORg+s
JQ+EORc+ehV33EVZgTouV1bsK0ekQSsu2whroHQgcjYCOCAzaGF14CdNP3hILhvrPyptb85YKFvV
QRWCkVxWDUWZuZLoIkyPF02kt8oNwrEBxZHgcuO27Kr1ikPrsMvO7LVox9JNTNYNMEHjpHQCFmaZ
VjZaO5e9uPt35sEXyE1MHLs4XJxNCQ2uRbILl8kq9kBnJKKo+2EyIe4RWHbi5PqysOat8gHuVrpq
hYOmdB5tIOGQKnHucFrhJP+pI63lp6yZzj2UzGQGODv/zhYxxdQDog8sX/okEAsgt7BE860tSnmo
wXKKXcL6y8bMXe1aLQEYmWbgsCJuqyviLtHGMu45qNWJBO0or/k2zSxl13gh6ptIu2nq62vVXbhx
/yhdvtlcOHO5aUcbEyLFrl2ahObuZXO9BtEUk6r8psYysr3iiTRoERWFuixdcFfbltWkmkSFM932
rLuiIBm0Cy4LZe5xDt6MSGWCQZesBXfNGQDvmjfWgLPlok37B/H65tk1CM+2f3xtcGgg23Gw+9fL
HrzaslFoLwvafBgPqtPRqdFcO7evTq291Zbt5qZhcsKjZXnT50Pi9vJMCDumje8kIn9whW9Gw7Yt
S2FhgyXNwhlco8hKoSRUb3no6rvOFfll92FntTcDYkPtrMeMRmjPxxWbPwEWe25KV6KF/4SdNXXM
sZpuEkf0o7sswaYK9bJBbYWhvgeNA9KNUOzrDDkMzRAe9KzR4PQ9ERs/IL892geXHTZ/QF9vxhJN
cq+GztufDXHDCURfWHH2G08sgT8kszcPL9yuUyDd40AQwb2ux/vO5mcu0H/A3O8sgiOw/u12y6tp
oJ6Nc2xUVY3utijFbau5k1hBxbYg0LgkXoKu33TBsXOk5mrT686CnpCkj30wD19NETSHvgPcF1Ao
eh9aBoxchaHoc90nUDxpN4uXO9foZ6urOgR/+pI9Z9Pjsn4zKgtYKmUzzUNmdzU5+IvNUp/K8KIw
ZNPVuAwmkFUFZmUWQEYDWI/EV+RMYD4+4t9DbtNVhLPV5FDTQZEBwr3Ro6fleOBN4H7vc+AdLhkb
YGj/HhvAOJw+rDGrPdJMpPrxdPFiXCU+ANyKCY0w7LcRODr6DW2AiybU+RffANI7ACzgwKpHV8ez
gVyTM45n6tHHL//3oDtrLWGoFWMYwgpXRaDIyNI8etF04aV/DfUDXV0Alo39ORgBfZmxyQIZ/Lpo
JtcScCLvndIz2E04AgDuVOD8cn2OH3ViUOxVXuP53O+hEzrvgTBpn0Y9OwD2AJT88av/ecw7Y75G
5feG1iX6cdO+p5O3iQTQifNkfTURoVvpTMUBelo6YWVFrqbakXeF67cJaSlJJqcxV+gvTXtI1URH
Vr19NbvKSRsWlDtTuvZleeOaEol7sop630x70w1uBkG1KjE4sM6s6BNl5z/6fm9CFBsUpEO6xcnM
EurDPPj1vrTG7m6EMF9q5Q40G4Hqcc6c56d+bbXpa6erpCmJkw1UTrcKbIlrqgvvxkCF9AY6pccW
KYSgz4CAT62dVRwwvOhAN0D/AvjpCEoLM00h0OKkH6+d92MkwBZ/BzCGhmswQ/YSQE3RZT0ZyR5Y
3SE1M1c/Pv6JUx+wSqzA1weIcwaIDoD8HgJm1a9ibi6LNn/uSG8m3lfBJCyOay3EJ37nRfeFtedU
tk+89hrta3Uz7YoGVzhLbCPy6pjLhmMN8PepadEbjbBWm/obMsDqFpLa0WXjsSZ6jlB6awCNcrMG
O3ccIUkUcnNhhkxWiUBRKx8NOtzO6ra7Qsk7lmV0We1jzfkDCWHoZp8DqNOMDtQDUfR/nAv/wkbd
Wh2AOtBiHs2CZQJ+jcKlCpwTc46yvBKz+CczJqsdOoiRdRYp3cwVQDyHAS7bUQQdzKl17EMlvB51
x7H4WSIrfuz7oMgaOCRc0QbCbFopayNVyIDebti5XP3U0l1taheUqFxR4WYQ54Fq4SxLAB7G/cfb
+UTEIKvtnNcOTg6nlHs+tBDy4/k8fQqnhbxEXiGeP/6NExGWrMqObl63s7bosG/Ah8l6vxcPx/z2
wXONAjUogJx/6wyPH//Y+6MF0NnfIdCH24FLx9zNzJA/lwDCs7E68+j3b342XZ37ADf3aOQGToYd
TrMuKL3YIeWtvRRAPkeI5Jd9wXEY30RB11nAFJCekwnX+038eofW4kXQFuD3/340g6yl6Uc+ZDSC
DhGB1gBUM8Iq/vjFVxTY/7917DVhvPKUAEp96bNWg/R3Xc6B9Vy3QiQRt4BH4qUzvFBWuPe48hXX
1rxEOWgIthsvuQc27hIKkCBAvLyZtZG/bdBot4blw+3Ea3KHM7jZonYIzXBkQyUHS7EG7D1Ba7pP
BMTk8u3kNXy7BMa9nsrQ3DRAy2+9WrefpQ+Sagnkw2dS2WQbUggAnfnoU+tttYE6v7Z6U+YDBJxk
kTm0umLcuQxpApbm3/PVQI944Vz3GeAmZax4EUA6B/jzj+frT0b570zTXmP0JkV5ZKAJskcvODhU
QIRuSg9Cv2YQPBNGICBQboPF6ucL7CHA+XU+WXmzbCDDL69Ym1tL6iC1bK4BB2Wxw11bJnRpmi0I
AuQyJI+9LnaXXlFoEJPGzCLhfE35EbsozXLmrHo/AEIk6+8h9sD7UBapVNbblg2NW6hIicZpt+0M
2u/H43xiiaxpmVBTdSAOX/RZj5/aSOGCgCa7czpPp56+ChcgtXSKj9zJoIhZPHCLTlc2mORnqlDv
x24w1v4eHh7ZcrTq3MlCUJe3i+zcey4RyoOe0U/AU4bPLkwZPn88UCfmYo0XhLIMWrSKLlDJDMrP
M3XVlYD66j0BxvLMdB9j9XtLfjXdpC14Vwh72ZeV5V2NKvReageEOvB4xL5TGpfz2RkSbuf/o27x
l7jFWyWEUyO4irlhWYOEX9hQ4xmWCqqulZKgdOnO3RwxqQcDUvETFBrAkfh4EP90Dt77ROfvKSsn
Seg0Q3bdh5Q24AvN4MWRIpBfVGBKpWgnso0tnPxQuGgBTjMJk26C4lkHEZCs9hbvKqzGdlNQJtJW
iQaDUb6qvgMfQEAPFt4cdf01h5oLnDGW8XaG9Kzagqcgr3XB9QvMe4I7Z5agjshaDPcUfPq7sQUe
FsIG0RbJVXVjRkjHQqqAsSQ3gUoCqD5DJCzXG14U38bJalNXgQZZCkbPlI9OXKvtNeuytTgUdAFc
2osIuw86QVX+GwIQPok9yI99wy7K4ScB9omC2POrB22Km0At4yPvaPUCLbPunqPeFAcQtAPJX5lN
AXFrK2HQfvw9TrU+N30nFugq5Jddi+tVgKt1cLz8ovl509R2fibbO5HBrPGWnKAzAPYFJOX7HL4z
OnJvcmgwfOu8BqVfKBamZ9bg+x+xBl8OZiZWyfS0Vxrs97BnOjWo95yZyhMRb42/9MeylZMW0z63
PZBimLsUAmBnU14WI9YgTOVUDoUC2bRvbeso6Sk9AlX3ofrEzaIT0brtRi/UoKTkmHNpxDE9fWfT
ri0pOjVCiLCZpn1jhdUPF/KIXey0UZWAHUrTGuywn5VUpEqsvmZXpuny7rIFF64iIgO8lLU4rfcd
od90H9xYU3/O9GUl+PBPRrjmMNEafm465xPsn2o2JZSU89XIevHT66Z6m9dQYU4nQllKInTeqzrw
b5axU9/hVQeQxWWLcRUPKdJSLyrgc4ed+mVGiErR1hvPjN6JRgp8hP6OtpRFs5v34bhXvYvCLuQW
oPQ5gPQa2eikDNITuwC8sSs2l0OKXlcDufoWoK+maat47kd1YTIXrgIHMl4wBYXdZHU9WpCYE/Yu
GnqDtBtYEkjHQH2hAQ91Q9Ajv9aQ6Y5n17RbyVsnAz1AQColr+Pcwmui6T+mtYTVDiS68zPNzxOH
+xpM6gJ02HTQ3wdddsjj3B2rtLGMBBlUeGdm+sg1em8XrTGkoxw7B3ZO814x5PoRk86YisbHIPhN
76OhMkcH1wDnUcJBQG8UePjNls982bSSY1Km2X0cNBBC5xgQpzbAkZf19jInqg7yCxzdwrkvoIgP
P7QX8KhAaZ8GDe2TvH3gqByllcDuaJwS2vWuqn3owLCCnGOQnMh51hjVRlaoxgzc7Ifxi63ktmIm
gfhbGoU/oOWYqbG5LFlck/vkzCQo1569qxYrIwvo6LAKIHubB3kC58BiE7ZFfiZIn1pOq7CVLyEP
ukjaO8hpj9s+WtRBLFCSAXFjPrOcTpyWa/jqAvVh3XgD2WmYzCQ5sxew2KOX2gcSAx1StrkoPgWr
+AQ+MTxJYQGQlcZN4DiYdPm5+HscjHdOlbVIRwj5/MCa8ei5sFJq72GecCbcnHryKtpE02QGGEOJ
zIvaYd9LDWVgurhnnn4iZ14DWYEU7uu5MCIDNxYaVVVwpJDBisW7RUHe7HIB8ctNHXa/Pp6BU3Fj
DW3l3tC5sJoQGbrPQSarOfwFIYbhJQiQueiyYhklUsA9pAAeBP9z2AvtllnQ+lBr4jWsxiran4sZ
J1b2Ggy7eEOU+8GgMgiYxLBORJQQqWbn+h0nEEf2WhlRSTjIcQY3B0Jca8vVMe12o2Gmsa7zoUg6
XXQZmRp2D213Um27cZh/895X57pHJ4ic/7KAE1BEs1AwVZmAiUHjCBt06zmWIUF2bTY0uBO52Ax9
c+cqswdIcoPW1ZaCZe4bKAuE+W+UQ5OhtK5Gsgn7HBd20D+ZvAFtNIU2wQFyzmcq8KcW4nH5v63F
gZIuArsV2QwBirTyoU5vysJv0NeGcybUxs1tFORnm/Onjos1NLcg7lx1yyAy6gl4y0z+RH7CD6L9
aS35iBskyAYJG6kPyfxw+WUrGxJOHS+1PIBTPZwJ4yvNnX+ytrUQqYg8XpfEn+EOAZXS2I/y8iCg
/Zay2S/hZkDzLKhKew+8XbrQKW3CJVMU3WcO08BdCEeDJh2F1JDgccpNryADHUwFDF5gs9NvG7dz
n2F6eGTA4Spa6QnKlT3t+pfR0uwRmu6oBRJtv/rw3+rTj7f4iTNwbcM7YD1HGpoDgFfI+q6su3Dr
TnDqg1bKAsn4afIPxINPpQiUOtPqO7GPvVVctyzpdmNggdCyRB1wUwH03mcwU6/ypugfPv6sE7+x
RkV3LfQOILU5Zb2HqwmMpvpN2ZYeXCLluPv4J06cgmsFoN6Ch+wwEqg69XMBFyBn2i++qK5Dzcmt
FXXFmSB83FLvnFVrBLGYfdLAwWDKqtz/Phov/1roPnq+6CPWgsHVMpaQCwznjNTQ5chhvtVD172d
MhCnxL0nzXhm0k99xSrf0zWTLkf3FZ5lcgu5zlRW5ebjbzj16OMEvYlFtKmHhZV5DZupIK1mnIL+
meP2xBSv8a2Iwo2uLDZmYgnZbhHCvylg6UFion1rV9UhFIE+/oZTh88a7irtnOVyAiV4mGXrJFBF
WTZjU+grD/eSjWFDmE5Nu0OP4hB1n/nSX1iSWENdYfVhMxoONdAKmuwL08hd48vlsrlZQ12Zp2SP
eg1MIsL+dunFdziaff94yE5M+xrr2lh+EQTN3GQqly5OTE0gVz6cm5BTT18tKqjQwBmMWrgc+7C1
GkThAdzMP3/86iei0xrv2pZwsyk4rnxFPoc3i1eQJJee/9hXrn1OV2TldfHPYbVGvoaWQioe4N5b
2jX6I4tbTjyBjrXZwkwb8jnwNXxhoqo2RMGorbO78qrKpz6egP+qU1uN6jOUI+BD8ezCpANFSde6
g1tXAcka3n4jUTVuw4rWDgyGRpheFFa0FYqMr/B4WW5rppBVh1PxnXSGbnv4wFextOnyCrIFWl4F
VLb6jYtrODzYQa8nEBadrLSHXdCv0kA1yHP9+XPFXf3JyS0LZVSnTCUv5W4cmCmTHL62McSy3Syf
nOpxkiGOEimWnUTlTsLwyDAS61nxu0gPE2q98DmDmbtf7HoP5kmwCeqW22bxbCzIp3kxBIo3tYPW
NHSzh88FnaANZDNTXU2DBZkrBSc+gktObu04yr+3uDo0CZuC6lm0Lbu1FqEfG9JY8AXzvAYuXwaK
rgDuHt2fIEvjSF1DiorKZ7SseUbb0sK31hW5DxwnUJuWe+UdNOPKG/hP0h2TkrmxBbWm5HgljtCL
hNwFVD2kc7UM/iBjv7XcHVUL2+NSHkJwE45mecmh+t/k0ryKijuHohZem8BZb/JjUkJGK5lNTYNP
fk+PaldjjZbL0vT3whjvJ5vs8grq6sgla1AdbrTyoIhf9TN/9l34nG0R7OC1Cbm0AEcqcfwU7rpW
CaOwmnYJnAxZXMqefrFCEVxNpceTRk9W4vi+gvvWUQ04lnU4bqhfuemkeLtDqQkqXr2rnkq7r5ot
FLJQfq/Bj/IL9Dp60PSa/sobhNvBtUjoGT3ErmviAobsUGyCynaVwiq0qLclb1v1NI1QpY2tyEMI
kLYGZjrySJu4XJqnY4PwwUGdMLxScoKbQYgPeWXdHH2v8xEJaxNa/h53wvlWhITjV6EtAsnSWdgb
H/iSMp5D3HQnbeV9knN/gKdEWNmQF0Mx6xusG4WIw1B0z1Zv+TeRvXi7xgTd06IlSWZIVCe2niH5
C4FwHqOQHcDtrgY8FvbSo5cpXBi/2w6TfTyXZoTkx6CCtF3GvonFEAYiCZeG+IkPYx2oOMquiGfs
iRotg9rfwXRbJrjh21fj4g6zGztd7uukGIf6WoEnlbSdxi1h6FD5gl8XjcLfnVM3HHWIDjJiGup0
O75ANpJJb9p1I3SzkjKHwDC17HxG33nWJYzppmLeGkEaGHiqbguxSA1BPFHsAtrzFL6HdFsHWh3G
yTXR3kMHO0pFb9lBHM2l1cW2iIo7CCSHN9Tr3bijgYxdmEXliWmLI8eIzmKnYTt1NXG9dFtW2bJI
hqEqfhaw3xtumw6M6juY8s0/Cjj3NlCRls24UVH1U4CsexB94BQ3rZmb4Qq6vj15kSP9TeqS12mD
UwK6ODPTkEUjRXCnW1PuLGWc1x5CN3eDF5R3vuPAQxTC8UPcmhwepLNjGVhiTjDHi30wyV/KsRrg
E9b1n/D6w685j8Y5s9Cyf1QWFU++ERDzgD5em4w1JBtGLIMagDxj79syEMcuU3/wJz300JV1+zj0
PDx5KWybYnlpfp1bUO9xemM/oX0f3bUd5Mby2uiH2cN1B1XJKvwEiOWQ5EXuWEf7Dp62bUDv/Imj
Qyt7GOz1ejgIGybyYTH1yN/C/gZUaQEdRT0/FoPNE+Ut5BMKmeEGwosclm9WM0GczIJxlsEcBADk
7sA96O+opfkr6YW1jWAX8iogUPYTmBGkWTmvf8BnAjGAFF4Zg68L51vu4r5p1/Nd37TelsFzEYrY
IkfsDysYH1b5Mm8aqxsOg902G0y6vqKqqz4RTzWbIBq67UBCWgJK79k6rurh1kW5J/ThnBfTsOqu
FWAlgWg2Q1XCnxpXLzDWG3cD5WoC/f1qZteDF82/6AxfuqkVCNq9n6cKbhspLBFhpjO6Za7gpNZy
xFY/SHIocN9JMkw7p+2axxYalEh+EfnHmGvP3bZlW+sErrUmI8EoXISCpfocQS3+qS9GdDho2JLE
bSPux/nCm2coXzZoGSIiQgmR8ftRgB4VA4tdbrChYMwGffXNIpfiFtZLcJFH0S989lU4/J5nlDPQ
5QVU1FqYtx+DDoabfoFDDoB669HrBe4YzBfhd2eSLkyPpVXt26pZkiWw6E0Px4frduyKlzGqNQ6t
2eqTKVDtMxlYd4hM5HcpcRaJsAgLYXg8QRNPxNME5BGipYDU2AQR3nvfgQ13OhWlpRKfW/re4wot
qsWHoymom/U2zCsvaZQjb4clD2/IgDfmGkdnkkPe72apOhzopS/re0hCgz/BbHqvIU6+5xCJ6mLi
RyUygMLdWLQbbqTrB7EHqpWOh7lrGugLkiqzgjL6BvQKECOhP/w0kVfdQKdAf4G85HSw4Pr8HbqD
bkZpaT/1i5k3ys/VUYywBJch7Mc8XkrlvJIB9t3G4c4r93S785BXPIywYUuh3enBVNlpUcY/+oQG
YTduRdQ2z2ihDVnARnfHKqvfejCFzOBZEV3BHTGPI4gvp70u/pu6M2uOG8my9F8Zm3ekAQ7HZtbT
D1hiIxncKZEvMEqksG+OHb9+vsjM6i5pqrK7x/phxqxeVEmJZATC/d5zzz2fGQwUb+gLJahZUTbz
uenqDtiwt1lTKBvJs2GnhVce4M3AR7TBT2ofNga6cPGSZdjnF98XiX9w9TJqsfsl8YpnIhHb9wWv
51WSTsNjh4byzJFKRGhsGPUSwq2tOp9zkeO3zIq7tPksLCCm1cTtM+n94HuDyK8h5Q2hqSUEWTte
Yl8XAHUI5mvj5dEuyDkMZM/hDim7O2VdOd+vYil3Ik8TEInJ4n6ORmFGo27H7mnO5+qqbqjJfA6p
LglU1owMu5U028AjseN+yFa4KF1h67dFrjfftLbXvg595zwMvdPsDFAmR9VrLAjXmrgaY/bkAXSD
4watrakXSb6Xi8bmUWKZxrK+kcTETAJUjVMEyqqntxwGYLQ4aQH2uMg7IH2O2XYBOVIWlYDs7hLA
G3HUTKO1V623sgWtuivyINdDporidkExrXeJlNp+ExqoyJlxNpjaJl72o2MXJ1tNL2PjmuFlWjqh
8TnNdW05uekD1rW+6QZePDYLG/kxJB1piHncW3DRrGbc6QadYGbM7o1GNf9cSVaqRl3Uz53UqnGn
ZKK1u6IjUCqJHXDb40ouQJey0uwvcQsHoG/xb/it27Ju3ZPXyVBTZo0gWzPO3dNCPHz+MVJt76iv
EJmastGuZlsjXpUcg3z9HVQLEkFue2FqjbeHwZc3gTDzvNoPmukR3C3h9Y2eATegzLP0xvHUss8Z
u/CA5mkN8sycrBMGvvq7ZikkNLvVvmXmoqVhUqZUsqCyphtinzSyI50CCHmjZZlvwo0MKiJPwsoC
LhyVWNZ6+MkljQwLcYRMcnD3NrPtdIrY9cWZOaSl8Zxs0vpIWkLZvMEdLnbNbr6Dc+U9590qADou
gLfxuBF+2kidFW/U1ZNcOcu3QWKJXDD9OaWDCDpMdn0tNMP8oq/DGDqcdbjRB/2m4511fX1IPZLf
CrNsA8acLIfWeJeCcSoKZ5eIFX+d6VbJwavgbtRlWhCr7O4Sty8+4Yl2+3klhJ76k0+SysfIKtZP
Uv8W7wEDti0PZtsr89Amvf2+xmM7Bmu7GGI/5FKvSA/TOjfYttzg5dOz4pxnbct2KkPqmY+k5ei7
tGarvqH1PngLK2SpVoPSrLK2n3z6QOi4Ckq3dl7GoUrOCQjO2iLFKlqpn+bI8zoLNx/bzcOuHwdS
450OqKgD1wvgz9bt/rpHJcv6n0wNf91vdJdBdHxI0sPaQYoI1q0pr2qmt+dMZeMuM5w1GgcxniyR
um/jnPdmAKFsOjKKGHZmmtHz9HzsHWdbdCBsfQvL87LZb1gjM4KS+Fe/A1hV0dosE93GmuQ8rcXq
qJ2xaeUNLwip0mDG7Sow44QZYAH2+ZoFPUK+nbKsmDkAOopETIzFDoN8fpcVTfut0Mz4xmtnqfka
wL2cHF9JMnUTC3xG5rCNT6Kpi5c0XhJ47JqrwoYb4K3tF7KR0T7mI8zcCoekK7/GldTv+eCN13VP
b+BnLhagwVhmPoSTcK/HxS424hCRicC1pwkZcqu95ifg5BqHu1FwMdpIwUVuAhRlh+W5VPb8pHHC
PM12nB4czdnmqHOJYUWn3NY8NGKLh8uxu2MlVHrDwP9SgbZVZwfzhZ/aFZevbRDzv3Z2a9ZBs1TL
D7jI3g+SHskKZa/PvhaZdJybmJ2KK/LQ+zcWZARBu14jj6sl1ocxFRw+SUdB68O8WeLI3Jrp3cw3
cSibTH9VzHS+ehaOajU7It1BSamfF9Ubb2IS9KwZSAzTirtbyUGXhVPBCtTlZJgLzJFd5mNqOqnO
tRK/6y9x4IU9zC+123j3g2WuL7TIL/HMnnKYOEXx3esm69i5g/kMTUSe834twy0zV97Csil7anJp
M7JXbfw0r7aVBC7n8c1S5jpTECs2WAFodEWxO8tjl3hmGQi8G6XfbC1qbKUPV25jLI+6bapwYZft
pqRH6f3UMnIrgBultLCR5kXdmPQFJGOR2PqOCN76CosYAxaKgldrSPMvQEtzw9dj23kDzjGQj4sS
8oEo0NANZ4h1R8R8nDCVV2ovjjZYALNT08Gx2+qXlg8QZX4l5FQQMa3IwRiBLTxrg6BGIrhvPE8M
z2a4xZ6k0CIzhHa50UF+IH5UI4Ywc/ka68BpuwzgWlNW6rQUfJm/eFZ3q7GlczXCCk4CkfVOFTnV
KN86x7ALXDNOK3wn0ZJzOmgF732+xFfW1tXHWLPknSmXwgpUMRHYS32b3WLiUY9w5IyDMsRyncBL
uiWvK3vGJeyOXCgNH7BWM9bjnGvOrpdOdq8yasNwort9JZitPDsg6Y8FtR/CRe9+c+YcAnc+xwB4
1vLNqc1R+UR+1U+sXLQR6aoqHOzMHH2F843QKGYDGVsMfQ6RY27khVCctPcuLsTvrPPEVwyiszxU
cDyvyQQ2TtMKElxtbXlQvbMGzMDd717sxU9W1w6oAe3mRWO6mscicw0jKNrKeFpGOd7CN9leOFKV
7xAC+pXQAecrt3P/QgbxRhY284Q7r9binlnNLM6al9e08qne9qDaIYhMBBYfNLo5EY1cux6rr3X6
rdLHbrcaVrfjJDfm0KikALGR1OKHmfTTCx5Dywy7znBfFomBKehbFo6JeZ2+WXkJjUMxbI+qPl8r
v3G69cvigEjHYIVEo6XS++Jt3fLpdgYN/kTRFmxrYpwHMYiPRZ96fx1SNsdL253q3cB00eTCvhAi
lth7zmRmfffGobwissWGZ5t19VMjCvncmGNJzbSos9OO3qNsp5mfZM68b1ZvNbCI3OyktsHZsdxH
CZy7EqFL1WUMG7roNgLK5mEH7dcoj1POnRq1Vi0Xn2mk/cAeJqUCUXjLDyLq7UNr9CO9QiGjDgn8
RitU+ZwvmaNCsQ7ZC5npVh5xDK7X8FHXmFrTRByJ85KV+8HMOnoKbew1v2vEwi0IdZ4Y9a7S2Qwv
mK/t8Lu7N3mqZ9m+pfXqowml4BlStzjk6aUGKZRpBq6oabWseDUzyogsvxaJsX0OnbReir6zEHpq
L/O9Iu8fZU9QuJ9uBugnzYiX57TSkpu+GzaQ4zFLpg6J1MfJrIgTZX4C03Wg9gh5idpbBJvsWsy2
lftk6DhtaMP+siMyUMynqly44OYqW7iprKGC3zw3CaEXTFn5l7CA3Qh72nZZk8Yn1pPqb85Y2IGh
17q64jBcUypW2zTCGPlivxZ10wRFn5gHt9aGR4Lbm8bHoeEeZttbNtzojXlXSLntcNTI27p2qmPZ
9uhTTZPqtq+vyvjaCDwwPqkn6FkFeNqVNbSAvYT44LAkDw7dFA9TWxTXddb05Ovp1bGo1pr5Tppd
bytkoDWN2wu4usQ3rhfHdZL6lRr19lZNunFIh7YtEDOl816Cx9nzGSjXCBVgxXAwYKQd3I7mHkjx
Rv3QQIdqXSzo2UjNkGSec9qkcINZg2cFRRE1pKu3R8Ou2ufF2Lg0C4uY+dXO0rfcHkVGc8+DPI4i
aW4JjkZeSMdKZ6ncNrJdb3ZudiQopT5zqbHcaFDfIMAxmc0jK108Ur9VKd5tb6hOne7KE3lK48kZ
2YNa5AZ3GQnd/Fq7/ANNrG20MVSyodU5lgx405ZqR0ICdXRlzoBCtupcV1QOjuGI54zoEgTSVhht
yKPoHTueza+V5VFlNMy7z1rRQYKfIBruCiy2n2Ws7IdsoDfSN2O771PhHGnKMh5nA+JGAI5iPeIG
XS6+6kucezFLcAaA2L/RtnVn1Rp1NM5bsuu03viYujm7yzV3Pq12iVTdDsl0W/AZfVVIxsGWYOxx
sF/tNnOsj7IqiezvMfLtF30j6Em59O9sFh/1qjR94tD0w0DAMs2uPkRDN1hUuBOLeqY178a1y/ZE
Jnig0Wf5qBq3f/REHfuO0MXXmrnLgdCXLrIXzg23UEBeCve57PSGOOqyBZdNOHccwN3WH3rV6efG
24wgbV114sbmVus9QfHRlXJsQtmK+X0DjnansnbNopLtnqjxkjhkMpJlAWQr73VycLMEm55IlxJX
xpGNCFiFzjR34iGDCD4+rZMaaT9ifXOidXUcaLX5CrK9tVIBqXlIpO/gd6RkBMmb711rMRzfqcfl
OKpakHJUNYZ5kvOg3htHau2jszjZPh1V9b36/a2HCZDY4VJ2JfdcnS7wn6HkJGytT9rjmOhDHzB2
bOSzp5nmGC0jI+fILCXtlj5kh94axsg1YvnYpKhfxpZ2m69LL7suQFrvJpgfmW/PBXQHW1poCRu2
MB8tvnk1G2PaxcAGb6gEjMeldq1gRWKLerdbIsqzMXTRAuAEpfo1KHoZ0Bx6X0dID77Bj3chV9Ht
qXw5SMRIJIKs+s6SNVy5uq4eyrFzb0t36PYw64svwIf7nnpNtc/rWPR3RVYPXxyB3qORB7GvhK2+
uJ71qFHH70SfWsfWyPCWGNwlJ7l003vXUUc7XX5OU0+8gTSvjqhVWpAbU/o2LsDx6u7Cwdim9auy
GWzLFpXRTzg1b53M3YQ/9C4jlnGCVKdE8sxsxns2hrbe9SxI7VkwY/nLaVd5w9QAG5NNAmzmy6la
7wtLyY9kkN1Xy7VV42tDunF7E4wcVSLPnreZDb58SZpPhHfuqmUdrSYyRwYFmRqtW7u+PBcKEUQD
BZN1TTgQLXILLTC+6Q2VWVEzeO39qi68QmFp3clJhY6Cg+mEQzAxlhPMB3GirR7PbAam116PMQZ7
0lIj8XiaIhNlLu6MTHcfGBPEV3BDWGAtEsN9aJbZA6VHAHxpFOmXehHL67bFfQQOViHPGeNuyoVZ
BWTGLc/sb/Y+qkP60miqO42aMUVcQTj8216eKiSeD/6/PkQHqe5Ku4JX1qV9KKHWhITR5x9JYsWI
I3YeOonLoj14mWPKc7sfzII1EoarhW9nrXUypzG96vTKo8yLndIvl2y7aSsOkCBdvfbsIEhvPtdc
gbbKWxK1jNSqaCETgTX/zdwCbUKY6PW2es/iVD+1algOtfLs63ptjetcZaxrKHc6usRiP2ZWRpqK
kzJE4L5UxWvbJg4zyCJuj2Nvs/PHuGFmOEFBcc+sjWROWC6Ex6pZ+m2V9zQyDBJ2SAnOu6W0Mdrm
xrlbsP15WLaKHFtQ26mZMMW8/sgguzMP4lhP07h+nRmSHjSMt2GKcrb5m9ERM7I6ZUboXT5pBgt/
wntDfwFN5GxtOEwL4/h4YVKTz12DD6zX1z3SSPGl8TywQtLtVDg7dk46bOXstaIwv5Kkx0OxlTme
Fx5hY8ezmOFWq5BBJMbNMqB8Xl665DJDTJNNO3mpTvEk57W/d3n1bttWy6IO6PJ+lmP6TtOdP49m
Wnx1lzH7blgxRxNC+RzWKSNGRO6lBncuOh6ecpsATMKQs0WdR1udCUJyBzhQ08JacEvZ7ScokPth
bWUkAWuENl6HkAspO3iFZv/gEayP1VbjnBo9Fgd5Hq4SZNFoNt1OC+aiFoGM1/Wp88Rw3adGD4dP
MTMIss1Te8rQN7rO6RLWs6VUjo5+2kTm0LEhZyVuAwZHaHkAWGO9qQBchtkAA+iQGlUBvMo23LMa
wCX5TQUXnJar3G9D5e0wNxonUmrWt7WX3psDFoZPkl1lpFF3aWtAI1iXV9PbPDvS+OVuIVTZEY1T
HZmZOZ/VLFjENHtRHgvuCzcCkzTcuwlFiG6MI/xPy3vIWZE8ztLkroCDcCOJRrkiOVPdzEu/nJjU
Vc+dtdBbFGwVMuO1d8K43BikFEEZTY1AX1Li64sMWJPqGPSLbd2LdU72wi31FxCjCBw8EawZEMrj
AZRCzvcZLcxvHurLR0FYBrmLEDWD3KmTg7say7FC1e78WqMoG93c2CHFG3dTWmc+xRO4I66nE6vF
6WHhl7nzyrqlUJyKbL+OsXmV0z/iYitpkaql9E6W4ixjGJ8cVwSwOw37m/C1bmvf6qLQ75MhNk7k
HRvHUjeGmxjO861l5eqjrIGFXcNnmnAl2IM8wAm1X4qxGl6lYYhvs8qhZFkJO7TusH6BWlaYV6Ph
ZcauWns98TE6TTcc7ignUnIx5xgSFt6P10WQrbDvY8vg/eCnVTsLs/zntPaEy41ZjZuv45MD4usS
211681NVeVXY14tXHzSiNpF5qulhSx3X8JHmVJjKiURG23KvhmI0jko2WhST+n1iCjW/mk5c7lqN
FdxBzxd0Aqnt4gGnYkwO3HcwCQzPleGpiHFYE9qtiH8sVuxFxEtkn80GSIyRidagsk3ubmoKQwRL
P0E4Myf5XcI+O5hDOd7IekqordvGfGtyS0Q1Y9Y7Y7ZrFrSUEucaoeagO0K7TsdpOdMVtIR2SdTu
VHnDLdZJqBkXIvrLSIoOT/nqageVafZ+NJL5GrASUKPZqM1gy5rilpW3ZIwy1zZ5rCwXUwBj57GE
o9k0rb/oAxDVIVOMxqrWbL5w/LG5zBV2rOxyU0HcImGQJdg84rowQmsTLRyHTKNl7lwz4J63n7FN
SNtPiI9E0VoZR6z89I+xJ6sHCz323FWtHhXbZt2bXp4zdyiTEwVgdmIkl0a8e8WzTYTgsDMs8bDK
oucBKKv1gcOvP1KHesiTRvGxjUPrS3wWwcjskTWnrTQeNDaNHgqryT6SupJXHUsL34vxonoDe7Me
h5p82waJcufKFcKis8UfhFR8Sxy4UZ0+UfdWIwM8yohoSHtIgQCgLh/eca+zU8wIjvm+yqZix1ON
AphXfQj4Wezokenb8rxeKeXq5IU1XM8NwBwzy4/z+YnM5OWO4FpWj0sLy4uCAnoggUuEwiXRQ+ND
hGuD6f2+cOYh9IqqPCvNTq5zxy0eFtJJUeFtmTM3XKarKR2Mx4xA8DhIK2kFnYF+n+Vu9pRV1Xwu
dftivW3R4xeOjwdbLGg2dbJF6QKI6qB0BFzQMS0HJ1nan4btOsfJqOG2aduapVerV8R+w/m/sXTe
9mFdIHuFc4H+YhgrITZkbw0HDrtUp23TKyI8Y226qaAowyub7URnzUs4zzbTwmesJfGZvkBMQZdq
X2JtmHdmXGsHxL75YMapafrT1uWnHDmSi6PxlhcYacUXsNcA/qBv30AGM64N5Vhnt2axLIDHV0aJ
ncSaz4wdR2ENrxVUvZ0Vbxyqdv8gwGZn4QzZbQ91vNdDonJr81utEhWWesOAtCYXd9hEjyA2keIU
VGU766Eamm9u3k0SoCI75Ja5xU/2jDXqdtBYzjCmOeufTHIBvF1K+ZYHLH/l9X6CR8ffMUB4J498
j+WHg+4fAkKoJ2wN/Hbh4HoJN+6WfRGcwsmOUnn4bmDIuTU0G9Wl4eNJ4IMz1xl9Hd/8ZSAz74YA
zdxXUpuCmr1Hn2VVx2+4XANM1N0R0qx5ZTMl4502LJMRv5xvNGWlweD0thV1wvaqwxYXcXFFsboU
c0BahhMnx8sbVgKZ5QMbMiWjg6anIYyg6Fy0d2kkN53lxPWDYWbNc9y1ZRo6KvXqkCUP1m/SJlel
7xFn8EGtNepUGGpVRzEiFDCvLJCYJyemeTUrx+TL1UwRtKb2qoEwG6cREhBbXCKv4ue5XrMZn45t
zXtbX+r5lHRFAr2bNDntrUGfOSjBSJt7ePrAxyOd1zpnOuCnXqtdYIKZlXPjJdB9eZ2k3DOCcL53
K5T4iHzcAnlBNOUGrA6b+6bSUYYZkPHbjbEQKkqR6qtvt4mMBinV1WIV9ruweoZCtebWgLQ3QBYx
jqL7Yo3tp75qcJikmJpMy1hCZx7XE0i+/FN6F+9Hg3oYuBxhVPuyt1LeOtz2NJakg5WJbux11y4Z
MqV5XSFqx9NOzxNWFFjBw2dTz6+8Ye5Ojco8VZddow7b9bd5HdhnM5HMzrEzy/hAubvoUSWn7hX1
dPhE561fs8S2Hi3dVMLP8VVdMdLBFlf0nNqtZm2hGhMKdPzhVnkus2X50cnFOzSIMmjj5F18y/SN
Yr8XSbpXvdBv2H3qwx6RjkvZTbx9zoP95pF42QWTp8kwj9vxjZW14jbF0vXIo5ye+7LQX8XUuH5j
LsuNiK311jAXG7zAvKoQJhW9SLfaj67WawE3h/2jHJJtJ/Om4+5t9Ket2cYdn/8lMO1cXEvK2085
XJQlx9WrL627jjxUTK15aVFXnaR2T0C9pu9aAR5e9enAlBmJwBkKJspx0zYHTDPdO6zw9Err8+FK
uukPZlDx9Uryg+Ez5ky+sp8jU9wsuVsGQ1bAQtBzx3pvrTtZHLSa5ABhQRpheKr8dIbFaHVGe4VG
4J2UcFkFraaZ4iV1mxyXkJUkV6x+bB+zm65MIQ3WVJDUH3ugXdcVFvQPa9SqV8mokWDurFVTMGGD
h9eeaFeKR2RHEZ1Fk6Z593wAvYemLePbbpR9MFLg7ZbVqMNSrcjX5HIDXuxpHRuEKeU8eXmb37Va
U7/PWokCusUN8594aO5L+hMZzOyXmX9Y6/+7MXX7z+b8Xn32/3L5h79j61dYkIZ//fmP/R9/Tj6b
C/btpz9E9YBf5378VCDjeqaH//ovf6QXXL7yP/sf/wTJPf0OoHv/AIEYZj0P2vfhJ5ocpDfLuuxR
/Ru86P+g0N19Yifu//Hf+hNEp+tQ5Rxp2bbNJ48gzL+B6ODM/WYIQ1imBzDYtS4JdDVrcun/+p/2
b47Bxe95gsGfZKjOivWfIDr7N2FJNksIMmBqYriE+/7tJbj7YwWBV++Pl+TPP/99oAPej59WFZzf
YcWujdjMdyN979fBMSrOzEQmZ2WhEA/CPY+N9mY2tMZZR2Rr1SUCdWqCDyTHL4xAQspdOg6PCHai
6M0TsTZodyqT/ihxf1l5fZPY1Qnk6HNWDeXJXqoIbGW7T5qW2ZO3BcnvXzcYzm7SzVMsYtTNzrTQ
4r3QLSsWLHNt3KvcPcb9mnLOJWgvxOwylY9nP5st5+SsRN/g2CivyNq4ynJ5tkwXH/OEjaHi7prc
igiM+HmrXM+/CNefSMXNlevl2o2XlEWIEXI6mLmFmmtb9zg2q492szg13WlG9d2GY3XhqKJMEurY
Tn2gUbH5dXsxCWJ+8AtZJ9GWZN2hmJct1HRTnHu9EHTypGpPYrl1YzwivtXR3iH4BkmhuVcxCRoP
KxfL0+w6cp+3Y+sTrRG5dTfdjgiUr2KxK5R/dyBKkh9VedV3qeUb87ThMlEu2/pOrhMeivU1dfvv
ldLw3iYx/xRyctsxio6zR0vpZ/r+U5tZu8JA9dTZQjyVc0XPLBjxlgseLka6T47D0jr6xci8cXnk
iRsjXHPc1Kkz+m4ec1C09MSOapdg7sW6I4oKqHGc/2Gt/+8+Om6y76rpmx/Dz4fF70/7v58k/x8d
MEK4lzSkf366nD/ZVfwfj5/Vt6x8/wmO+edf/dsRI35DSTdxdep8jtlc+IN0aegG5wgHiY4hVtr6
JW72zwPG/E240nA4YNgZcS3nwqH884ARv5muIANZB1HJ8WMa8r9ywHAi/XLAuFQrRJgxZeG48hjy
/Lzyk1awd8clq/aWbeSHPt3sXYeuGs46KVYETqnQdKz8xcHth+FxJY2pqXrf9QbKRBNYNiYOTFku
9HjL/cSUyMCg76QPpcP5ioZjXTs4pIZ42QhwKo5MiiYM7Tpr4m1VMakwi8M251CUscwG8+C4IeJn
ctvnBj4HvXEY4YIG2CcTOmDPz/XqtdOZxq4KsM3SZnUqD+VgUXtq1ZPOvArL5WQM2LM1Yu4rt5if
VUMJsdLi+BluwIBcjWnfzxa9fqu0k65whq0xM6mxzrA3DNO1Ey/XDBtqEOjQpFN0phj0dJhJkT6m
1bbtjMz0yB1ph31KMRfhT9quK5kJL3AIkGLESPSAucNJfi9mDj21rV9TXQzRxvg5Ki27DHNr1Z+M
rDfP2Vq8Tclwr1u5DKYmpW3ocW2Dok4e+3Ebu0AkmMx9LaHURZYxtUMZG19N8gk5/5Hqn9aEAlq3
vPwTfgAzca/sBtymFqpUPykSInqtTH7gTcTnN+pBmZp5jwfNwt2hrJsxReDb0t6C6DhPp9njmK0d
1wssS/MCDwdD4hKu0xrFjjlmyjiUqRzFC5Jr45xjCiBfCrbKlcugBN59FeLMH7DSyfOiY9C0ksEO
0o5vaVhKhZ7rpfiw2IBcnawJrVJ8ZbdgOfTEo/oxok5YT8vMGSfuY+zP0USbUgt2ELKhaSOIBR9o
98LnpVv9XNO/8D6xgtKa7FBLZYWDagR+qdHYxeYiwmaxrsuJJqAfpeDC0lH4bl2tnVG62x/OuhrB
lI1ISsqYDugD35ppvtXr7jwyvOqqzL3DudQcV8lCjZuqLfIGfnFDdQ9JMzW7qWosP59ETqaROe+M
afH8mbCJk2kUzIBZO73LHUnQeWKVi9/JLA6GReWBpmQeknCr7wReitOEaejsTZdhW5u64yGfZRJ5
bHaavpsMyU7DFvPklOQC9A7tc5PNxa4sasIl1JPUuWM8TK9BWhbMX5cp2ylVtceUD1/QuNUclbH2
ma0mum1afzNZ9TpJJIho3bR3E4k3y5n29tNjzdKO38K5jHo5nYx6WPx8nHWUrDE9lGP9Ab+ctr4M
AZpz62rfdXfXYwDvbHQBvGRxjp0mazG3JYZi9KY9Ws0dF12Q8IkwB7XPlumItnUanOY9juePslnu
F4f+nI0HC29CWKw8dWbOJgU+09pB98MSoJpbobmv3YwsZMevkz0+5gsmtrw6GewQR1bWUq8DeZ9o
brXGkKHZbdfexKM8j1ebVuysvNlPuX6cVi8qOeuwNLc/CEFi68lK7vSKzmAdTzi8MefhT8DJG/GI
/dDkcMvAlZNgiICZP3SsG2MRp+lyiQW/PLICE1vRrkRrbEmCkaJ+E7oKkEADPXVeYm96s9L3qbOJ
tSuG682xroUizQmhQHOHq7k5a2n/XDTf1Zbe9h1z+HRNI3Y0bjJZPVmXVd6+wA1uJz1qN1ZM5qIY
22Ze4TV+ycXbTBGmuompR/bHaul/6cr/z93nT03F//7yyv+n/9BPPcb/G00Flbt0L/uP//zWp6d4
L/6+pfi3v/O3655r3RJcXXDOXcnI+98vfHoNW9r0DJCludxZ1/7zwrd+o7S38VVREHBUXwIZ/rzv
zd/oTDyH8s5zTNN1iXf5pYH4q4aCf+fvNp9pSqC5S344fjBhS77Zz7c9l1Nt5yObnmUjQcMp+TYb
+eqbPd46M58+jcyr/4N91Z83M3//lrwQSC2oW7Ytfw0BLu3FSuKlqvfoOidmv+fcsfVg7dgT/Lu3
4R80S7yuv/5uiM666ZoY/6iLfskLyRwXyYsOB2bqIHzZDKcynT/tVZ2MZvr86+/18y7r778Ub7DA
9C1sXtFfg+UTRguaqbnVnjmcHV6sR2EBV3X/f/NdPBNRUme0+WtGSU7naajNrvZbUdYn4bTqgOXF
+w+SWv/RM2F5uuE4JhUnj+bPzwTplHoyxxoJLrw50sxeV4nzyzDU41RNj9vlD3/9a/2jb4i1iYLQ
E7pNG//zN+yYJPJaiWpfTQA/MOA9Cn391GONCiN9JcorCf/6G/7+dvz7wv8fzyC/m6W7FkU49fbP
3xHrvsgNba33C4/pztJQ9rRiMoM5HzCjdBt5raUw9vDOEzbwNA+eB5vjmSkc3xRiYuK1EF4o7A5P
ddVEc71Ut4v0LstS2XZM2TcP5Agj6K9/bB7bXx9p29Bt9ARTt3RLIkb8/HNPo40dulXNXvQJ+zLa
+g0PxmFkThPU9mh/wVL8gy967eJY3BMXUg7UuI76YHRIngg+MwIRpXXC7cGHPZviw8i2LzuQS/2Q
O0WnAgwRXqSLzjp3nYPTO0m9nbsxymURk22LsSmKu8tnKmB+pK7X/83eeS03jmxd+lXOAww6gIS/
JehJkTJVMnWDkCt4l/B4+vmgaiOpTU3PfzMTcW6O6ZYEEiQyc++91reUVF8Poi6fo6TUo6XlaPm2
K4g8jOpT76dnBoC3nZD5ovObS1Gp1SlUmpOTWYxfAiYeRllfAmjCb5nSx2zr8c5AI7sdMj0F2Gt2
DGmwPXrQoxiYJVa3TfM2WWm5I9aqXVkrKx7Ue9YZ5bYEeHEaNdXeaxGmhKWfFDnyXR9y7TTa3Xfp
tCcmdjdO39vPskbA0Xa0+xGzJHzDnP5BzcxIeIlSTvvUahYoOgeLOqUaDo7V18d8qAyv1UXvEdK0
RCdFIm0THhunv1SD4lBNlfuKZqLa+YbeRYvYBwpGZ8EdT23VyCNdymmP7kBF0M405Vz507hwUOaR
+I0tJVJL91svXROIWncK1QkPZdl0V72aQ3xRVlZfjXsIuGKdDow2OOlyClUVAw0eWux6CQE5+SKD
Jj6Pauu/pmhxKWRKDs+4Jk+FjBskXhYLR1Wq+jKPyRCkPzvcOLpKClJqyy1EnrHw4HZa39W+ta6m
gVT2RVlq8kVGTnzAgj1sMsd3l7rPStqYbb0o00wspyTzGbeZqEyH4FGZqodQEh3pF3LyTGlfdU48
MkTBvZXOeBkqtXo3qFnk2bVvbFp3shAst18qlcFv3pnDkhF/fI7Hqjxh9mlvu9S4ZriTbRhJ+vfT
hJHTDzLVC3Ufv6SFSDaCK1fUZfaEZGRWssXFfaJn/jcrEtp+TIR7nFq/PIDhUC6Swk9XcYxNmxPr
Ugi1I5PR6VsTGyGHdb46BwD12qJzOfMy0pPLGkkRXaVEk+iz1BIcZ4u5/b4Nyu9hUsYXSlZd9XXo
b4tQ0x91Hzx0JhHHStJ0QjWclrzDbiuThi+FY6rr2rFOdmIbO7eMdWqgKrgtA0TordFjoqFZV1Vh
+kTTW7/NElsszToYr51WRiuRwEvKumlguN6rHmkVeA41mVcPRSYY9WtOpp2qoF26vsrgbqwfXXzf
zP/JE1Ps7VTQu2KGdBeERbiuR7tftiFWKeTbM6PEVM/YmNMvft4o2xFo3K7sphvZmf0xk1RxtirK
RdsM03aw3a0zBMhYOIrufZ6exUhfbiXDxFmUY4Vp0EiSLVC53jMM5z4q28IzxXCL9mNv5bmzafnP
fVXIh2hisBqUynCMVARXyyiTzR5L1rB0JerscsIN12KUXeAgxTTejCvUnBEdzuqGSVDpAe9ZSdI5
FrKs04WkncrgBIUXqCzBF66woEqlkXjJgt7qlk1eDrg+uwLJnlD1EBmp3y01vXEvsIJ1u0RGqGM7
5wTSkA4cE7Dn2s8Z45Jc9YSUV/memvZDGmkLS62afTVlPH5Gjl0taKAh8FkyLqnzi0gjjshLWwol
/PtRvZdK8G2qcXyPoDWXZl9Mx1BvA205NAw+dVqEaHDIon/wDdldZZODz6MpkHpqjEQWE4aNhB6u
Y90lPtVdJlC2dCqVeKGQZGOr9gYi0rOm9vZ6GEz0SRnfpzIXWMjzVniwFhhwDVUarBxFn9CTI2SY
zK5ZgZYfVzj4khM9X2cPmEOp16Mb3buhuEBvJpBwB4yx6HusUYWjWkCpio/MLS17lQM+oFdpMKwM
ES1NqWkes1opdw17w7GgcbTUlQjsYFIGesHQT9vUTRAt3bB5kZY6AafI6L5Qat9W2uhpuZWzy0wY
52hZb+pAtQ4lNu9XAWjvVFpTwXbjRBek4IQXbA31MmBPalf92OfLHinjPrFqfS8haLxG1RxDbET2
DYI8LM/OhA8+dM3oCqfj3A+OpFj7fXdTIx3ZZs6k3jlOQ4Sqipugx83n6bVC9VoHxt1k9/gOYoSx
9PPY6oNIrIH9l89NDDhvEYgU7V9g5atQ69SDFQU1RhBf3Un63Fu+8ciMA7PAja63NEQUFcxBaYcV
BwnEGQ3IAprfbqPuahcaZNeW6R7BbbBMg3HMPavnhcaCFV7OQ8Jq0unU2Kq7dy163UuCYknq6dWs
emUnnswFYDjebmVjIK8M2Z47AmUk07Gy2PsKg2bPGV0srcxCo8c8DqtnzXfyZpG1MharWWk9eJkR
o//Xo6g953E72jO1uvgiyATZNINwb53cSCjyCxFfOqKN8TVO04U0g5DIsdwhGbFRbmi/CNTUhr6M
IKXsg7wsDtIJZ/+jHQ2L3igtamJ70lZlWPfXCYKwhyhS8uush9Ts6xpiEytEsMjntGpLIoOBZkZ3
jvqWFIFnyHb19lBhaFhCi4v3vRoqOw0T/30tu+FQ9q29YrKTXjPEaa/aOJQvNHJeDURpaLRuK/w/
Rhx3yIAoqmO/uU2q9qgHeMk4AF4UA9YHOQ6Jl8Tkn7yd4f5VJf0/qZE/jOH+P2qeaz+mc9Rof19J
Hx+f2o998z9+69daWjN/Eaj6qYA1xzVMnVLh1+Y5/4bl3TWpjbnU29H591pap96kXFY16kAIFdQf
vxbT/A4TOZPmuWU7/FXn39TSn1vnlDCqYEJHS9/S+WOfW+cAgUYjr5DxowXZV6Z66Tv61ggTVHfl
sYosD5bgCknsxVRXx9ROr4qs+6by2PYTy4cZ74RS3cFq/wZf42cRtZ+K4bfX5grKfZW+vYsr7WPl
kGZh1+u5me9goe9zlxZsV2wn3fQwgP2kfvzLSzGtMOgsMI/4nD2QqrHViIzboHQDMolkz0Ebzk64
6tufUV+1t7Cjd5Xcj/dludTewnCwjM8G23eEMvIQEY0WYbGLpnGNYi9dokM7MsO7aCjXFjVSVGkM
q9KVXtYUtzEWNPzZ+tFVLA/RwFnLntHY7FM9OJlmeC6N4c6idcu++YgXU1853YTAosr2Q5BdBdJg
s8+Gs1WW9cpAo0IjubiyWmTOBL6dQx1RumkzBSll9pCZ+qlzwruuzbasr6eEpVBL0j1f+t2oQr4q
lHUAq9a1bitZrJLQol2NzaKvo7sSqs7Q0OtOfdUrXNgzfou93LLNQ9j7GJ36XZLKzCPVu1iUZpN6
E05zLzJhnYQYZOqU62PqXquTjjmDtAmvnRSvG4WOu5z7wjgGk0HkoRO+wgp+mAr9QW01gynxjrPr
lYvjU3Ex303i1Lb6qR8Gw0OHuzUnf6PExTF2iiP/MJodu3CCsq2w1EvZO8f5bfZ+AQiIqhryEuOj
6EvM8ZKIs6eREI0pNs9FO30FVINWRWN2azZ0NTkj4L3/GdH0U2/hx/fDES68OMS99GY+fj/qEfWR
EBl5I2p1VffRaoqGNZ3bb2akngZb/ITB92l6Nl9Op3NCews+ESqBT5fjHiRCZjLfSce6nNxk4Wdw
LG2k9bn66BRoXYNx/d8d5U018hO9By6dGS7899vJ5Wv+mAfvO7O//spvfVn1FxNhBi0VGiqWPi/X
vw1iUXrYGE3M+ZPU3flT/H0voV9k/lhGWd3mxtEfWwnjUkAy/JZpqoKgo3/Rl/3EqWUX4YVZ9BHp
DlOFGs7cRX23rg1N76vJ4FSboEnpx6bDRVtm90OX76LKWgayvHTt6zpddXGxc/NoRwAVxxUg53QT
dD/9Skjw2uhLa+miOK+s4h63bp216NgC/WuJr9wrzWr57vb+RcP105d/fs1YyUy2Z9qt4q1t/v41
G30yuZogdKYoxpaKL15FnepZ1bAp9fRUoYVd2Fa9+eeLsodzK95tAW+XtR1h0y3nsbM+E6dlEfZm
WRIBZeNs6sCBtHgOI0v3hlBeB1l5CIe+4SyJPZlbaDdftKS5aUvXQz35YOTTfpqHZGoEz8+oqSWn
SD73o/bNqLtXvJndhj2GglFLN3mTbCJTpF5f219d+j4L4Vg7O512tu0AffLXtW/tjMk/Qlu5GrR2
348XAGo2dguYJriAv7TUBtQy+Be0sF3SRNnYCoP0VCorEw+th6a48hoCdRbmZNQHQCnPo1Hum8j8
arXjeXJz4FHtmVHZDZSg4wgSRUjjjGd2h6Z9meBm010DbozhHxQX7WAwbOpOXc54+U4J1uBor7AX
hx6hx6CPYJzF8kppGKsHBbAGgSET0tQeDxu2eNP42nHH4PMfiqKjaq/vfJx4StptAqFv02kWDrmH
yZEb3QEbkVxYjnWIm2bTBdZBGYp9EDcbhwj2YZKYMYp4VVb1Fbk3W2WAA5RZDwMcAZgsr2MZPtim
6SmhaCk68TUTGyPT/kILe/C8hWSTUy/wh1Lh9i3Ro9mzVSFwpXbPF7ovvmo5/0NqzdlNB38blM24
tDtQNzqViSdleaWmXbYdfP86Lg9aKzAdlGs9Tjw059vOqq+sUN+GebMRsvjea+YSRtlrkqmbVle/
Arc6ysE91qDrzYqw5dD46joUcglhvaHV7Oy6PhOfdmGo49oFUZImGtexbvEXnZw6fmpL59BN5X0/
gQ3M5RX0uwu8nQdLls9ulN7jgDmhtooXfkms6eQcskjxIEM8Kvm566rTrPJJMC8EfM40nHTMEtwF
BVVgyF/95wfqTwoznmKGSzxHkK0Qu8076ruVJ9GLodBsSC1vK0/QFCi55LrrxKGEBB3o9tatjUOv
JT9ZPbTPg6F5+XBpyGuCTrlAhPfxwmKodDigxJqNlvLaZf1ZqNMFntrNVFWelRf7+SOqpHKlgekT
9VwT2yhO9W0/wRpBKPvv78P7lzOvdu/vQ67n7VSEctME/VmpxxsFmAw9an+dKpiD2+mKoAX6drL8
CVdUvEV5f1rRoMy7jmDzoXL5XEggFea0W3fVph5oqFN194s8ak9djNWXZMNnkWvTbYQdHNlcZ8MC
0g65nV8G0BWcTrkHY/6ETQhvx5tZFTLDAssSlKPcB6cWm3gXkfFUtXJScJe1glhraTcnc5Y2oF+D
c87/E7WFz1ykN7bV9DOCRABly99+sJ+0g1bl1uwpQMANPnfE1QU2iZZ2g2xDMF/ZENpWbAoXF3wY
ljYJR47lJQWqnUlTL0QV0HWoiwsrhbhWsjMcaCGjXxkgalaTFZPRZyu7sqVWmr0/s16wafTLWEpt
PSnIkqnatcUgw7OS+/wpp4D1ivevB+reY4z1ylR9MRMBBIRexyKl347pn26fdCFuu1k+X2Z4aR3x
MoEwgFuWMmHo2u99QfMRpqC1jFrdXqosJ17PsZ82qfqilpZYBmoYLWhrgKuACUjXxM49o4IvFGbj
xnbxFMxjMgfjT9dfMNoCp9PgNgV/UEI24ZMYcOekXhAr+ZJN51kvnRvDVVsAMoxGTPsJ7s6yEs6F
USTOmuzhZK1Z/n0cdDvdqohUHr4M6UPuHydsNZZiv6BER3zUrFBIIfivqSotFtWp4W3WS9pCSyOa
VuyfCwRkeNbN3Qj1VQ/Ka10Ra6NzVunos5Y85N2Xvo/OsOCXOskDLNG7ccjuEEV/URsgb358dsh8
02pz2FhZdmlFZCcmznBJU90jjQHBprYLDOtOj/2V0yD0Nh/a2t0rvk0Z0a1Nl8YyDoxlpw8Oq393
LXWM7Q7twMpeRvisAiw9/fTqB7irE592fNjKVS3KVRv0NQIkjs/W4JkdNEkwBbYfIgCKvSILnLUr
tXbjx7Jd1dr0PdINzy3RnhEct0qj77jtGJAVl0mgbuyx2jaiP5lutaKhLz0hK2ybxZYQrMvaj+77
Otnj3vK6uL9qC7mNiL6OnOFM4NblWCgeLSavjbQvChmsMmpmT/hmCsarrA2PYuptlCcltNsA2FuM
/5pC1IZlZCY/Dj7/7ST95Nz/oyf0z0f/m1cEmEEh3x/+//i9387/2i+uNfeFONGrrCKc5f84/zuq
JehgoBogb+D347/+i2PxC67LMwgxh83q9/O/+AVppkEHSke9CYaGSvPfnP8/gsHmCbVmk2bKMVpD
IYKD7uPuM4R2hbunTDehNanXUEuSo5bI58pVwy+pVa9nA/YOQx+cr8DMNoNO575relqjCXNnKSeG
d12c7fSpTrbm2GC0j5hSb7QAokfYTRHwLL3alUESe1CDaCVQcEQ/GVi/zaPfb2Tzu+BWuezpNpP0
z1HVVVcxAMgLEnhJh9/VnDfWuZFhneg6iYMXPR0amI0aorYkd6+7M6emO1nQm49p0v1aKP+teP5P
NRX1oo1Q36BCoVDnuPHxnros48z2sB1rvT5cdJExXAQ41l6YqH8TiQETheKI8UOrrgsby72fJ+E5
aEsaPE62wJIX7LpEi+Avp3SkJwQLdiH0G1ljKkusuD53iePsJ7t1yEEfx23eIrFgQmDKnxyVjLcc
oA83FmWLQC2BjJgvCaqTj2+lUeymL+jlb0Jfe7L1/NuEes+cZXxSk9YeZOqT1dj2gqn893IW/XFm
wuHHfGGnunN5NIsDzTRMoVwwUgqML2HaICDs2G0SLIffnFleiIyw+eLOkkP/TX2op36w0hgQbJ03
dWI7CxW1WbJYBbiBbcmh3VRZnkeyqKEjl8MCxmOb4T1z2kvbqLOdESnpXszCSEVY8SrLM2s7YX9b
UFIWaxUl5RDUE4QhYE3TLLN8O5XIWXrZocFEGwxOfJRPIna7LboLZeXMqs2gL7+7s44z56iGqrOZ
9Z0w+wYwvvYxy3QwQbMKtJ31oOOsDB1mjWg9q0VDc7pTpIoAWS4n3ajx8tlHpaBGSNTwjHG2OQ0F
9QtyG207FG17lanGhNhglGfNtkaUFHF+aOBNrR1YrJumVGE65Q4uNrhgi8xHF1LRGES5oaMOJQYC
Vzk/YeP9biPG5JmrdV7k6ze0lDCa+7bF4F1p12Tb4iwA3rlAqrJHhkJWCOIPQJ3sbIEdXCtdiNlC
KcNVjSV+zVx/3Fe9hgwlgrc7g8dnWctV2QbOwrCSi8QmFcu3Cp3BiMFYV3+OFZCuOrNGT7czdAVm
WmzSMu4OLfE8jMOdgUmUpa/SVr2bwqZ/yIcw2kCkobR0avHdLWsT6pjJu04s95Vqzf4KfgNsNiPB
Oiq9ijMcyBq/4z4wLiW4DhgG+uO3FWujjrhFWjABe0tD7qODfN4ANzRvRrLa1kggtGXX+dParLrh
0lHAMg51C1PQ793FZJbWWk414CtHul42mGJTmJzZhNoqV86saZmwdJ9aezz2SQSmwfSfY6u6bzpr
2Jbk/WzCqRZnxSQQr3vTytiwyWGBMirO+6FYToiwvqiBfTXhyfcCBmbL1rD8JZKEgtFeA+52nhml
DI+w0N8yQ8ezPM+VbCNeFWPGdI+pk12a942Sy1WslsNWUbvsFAow/qP6VRtxkJmWU3tj0902ufN1
UsqLPGCgiRijThuAMfBjF1Hd7tKm+0KGjHNRtcU91BvIrPPoa/KHa9usZy2+ucp8uoumbA6KhXuw
HnznFGJNtjOlu3T05iYozbUinGKJObjwNIzdURSdUWhcGzWBOEOp3jtJjbXomLAKbn3Znoyi3Ks+
X64R2cdS5sV1bsfTxmlAbKGw26PO769rxdRWShpdJ3bnMF6mbz7Ecty4bZJ4lWxAbSkJ08mukGsk
j/0KLx1OmfHYOvq3dsxjD0qluku6mHAcl6UDID4IZUMSV+gH962EFUyOO1J4HcUT7ktPd9rqDP30
EDuwaTKaXvU8gsQN6a+6gDY2xJnYE356reRGuRinquXG1GgAhuoxCnoip/qk9mwgAhxdB7kYHcde
m9rwzS+F8NREPuVh77yyP4sVqGR/BQ4kfIrAmWON6uA4mlG8bjlBbwXgGPhm8K8NtS9XojCNQy3B
ctkMcrcob2p/4Trlt07axmXej+lZBhb+gKjNNmVQuHuyEcYLFSTv2e/GWfAjHeQxiLojL4OzeiNi
oOxQizqk+xgfIy80rVs9rbIr6SjatKwsdwai8V3cK0nvPkeCiqSks3keix1UDAPzZYhrsaurTWml
ELMVVd1VI/Tbtg6oBE2fGg6UWXTbtZ22G6PxG5Yt977E0DCI6DhTqI9mpTheFZSgLwz9cbQmZdF3
vTcmY7qmp07LzJ1v7ySsLftKfm1GoYJChJ8HL0Y4ZJGxqZfjuDbyOOX2MynbDSNwVkg2JaukEuMu
oG/ylEE7WQcobVa8rCZjsGI45zhy7x1T6XmfDSDDMpXTvmYVPfutG58HxQBSm5UxZVpplVcBmu2T
inblGPL1XIuBN7AA1t59aYfpoAOCu+b0P8kNz3/xTUS+f/xfI4SeUQbg733ZnZoQ7E9dKBsgGmtB
1jVai8m/s9XBBsJT98syqx4YbLw4qDm8NrFnC5hKcWH53ynFYY35zgvPxp4Ej2ydK0MPGkLxIRSo
hhcG+tltSgSFAWJ1IHfjdkx7+6Jwm2fG/D4GY7056+hWpLSfEiKB4REHj5WRgU4eldKzRvTlfTfa
XmNN9zUnkyVnAdZwjXk5ModsSRAitDZlBOdMqqsdKdeDXZ7TtCbrwCdn2okYiOHnxfPcpQ2Pk9nC
vdVWWQ/XzJfTQ4ryb5EZ9lOEWGIVp4DYC0VbNyGIfbOyqHHVe7OjVsZxPWHjC2iuYbpDS1hGXpMr
15ohKrgxtI9G0NZHQPo/+lT/rX/+z+ofTnx/P/pYv76gSk//8+VVUoFyOPlP8f0/h/YxffzPsc3K
9q8KI/7gH4WRbenMRZx59oGd64/CSPvFEsxLVB2N84/G1K+DERxqjNYdGma2wbiNYuv3ykj/RUX7
TtHE1Nk13Pkw+y8qoz9bYDnGO4iFGb6gUqZlPvcR3zXm/nhQNTu+h3ALUMCB7kzHcEEYzH0Pznro
3GuGpuckye5LGd4487eSEAlgdCLEvqNHZDKx90ZZvrXmb3HFTDJT/aU/tRZntHIRjzOMOwtvSFug
B5EOK2qdQ9DWz4IYQ4UnhCMCOQk8cFRXoWep7WNnWZe44e5tG2WUOz9hclKup2y87AtxISyUayNP
4fxXiT8mbHl+QP0w3/q8VL3sVvUYmwi34K9EinMteHuJ6d808/Pdzg967TxpdX2DJfV7PXbXmVFu
eaIjbPWsDLQYvKk0jmY4fYUMc0bv8zTJ6aXMXXJQxgBQSGmgBHSuQ7/H4lrIZ8ntGopKwYye3Ld1
tnXs9iSJEMiAii5HrLT7cUQ0NK9VAYsW8BBWr3kdK1Tni9LUz2kSradaQRDUmgNuJWCGLHzzWhOR
CzD/dxc434O+2alaUqymor0OdOVZybVDp9sAxaKXgpU0xMUjBlqBoSufFSNOcNUOHEzRlh6M0Dlp
8woM2GbNzHxTz2uzyyL99oT8q/Xkb60pH2Q3/xP9zvxyfne//r/hccFLMBvW/341uWDdeH5+fN9M
+fV3flsw5uYHByTLRZHz0dCK6gYTPU5SRzBn/72RIn5hIZiN8uY82xTCfd9IYR6rqjgPqNJNCnbz
3ywXn8Qo+GNwECJ8oWvDqmHjlvmwWIipTRiU1Ry1HP8GE3a17pIeBpjyYkbRw7u78hfzz3nh+VSU
u6h+TESttJPoqH68VtpJDuAa11KoQnxL7Ow+WJum2P3zZd60Oh+uM7uHmQrPRAEcwZ8XwFyvtc4E
KEJiqrIYFD32Ute9bVJ1r9KZha3iFfFwUP1xUen5bgz7pUv0kWr6c7brEpPz1zG0f9KS+NN7n1+T
LphX4OCwLfFJh1NYvh13epltrEq7KrVgPWbhttXlj6bn3/ZwPs96nU+Xmf/9u7U/ssowsQsuA1jq
OTKqi7K1b/759v7lOzEZ5HMjdObK83zs3SXGXMmn1kjJeSiGvS1AKET1QTPKn9ww7a2F9/ljZPsi
FoqBOf3GTwOmWLVIzUjw2RSpti4zuh5+YLwoMVlbiDcZVCMfDpL8pi16sSjc8lDK+quRRgwq4PTT
7SNOyjeAUAI/oCI0nMvJcL47Kcp8dGqHjiMm4H+Op0NZQCePErwsDTCTwTkWUqaeT5TDKmjcx6kd
DlEF0lwmxux+qNG60n5f20jat7qbtNnKcqdyF/dNei4c5Zswklu0FtlSLzJ9qcsg2OhliKmhpMzH
6npTqfWwcwx04sDHvXo2XOez9Tp+c2F3b47sGSa8DHFpm7Ndu5+N22K2cNezmZu/dGpme3c4G70D
w1WISdMmklsjfOBjGwZng2MCJsvZJ44W2mOYlmwrPOSw6pt7O7a5e/i/diGksWNHHwYyvXm0Zhs6
SEyD9gFNFDOwXvGIEaWl5QRDgsVQw1IheIjpjjqb27sZW23bdXw7hjk4SIhB6wiC4BIqjrVuyjbe
jo2yJr5ZXw4ZaIYxxDxQuKCi9WCpyYShachUP46WkzkczEoPV3ptDdeZ86VlDx1ydUmv4zKUquMh
I1P2UlaMN606YR/MT41KRptvX9nMe6kgqI4RMgOiryd9U0Q69EE9LLCQj9rRr5RggQ0m2ZQZzT2m
GJuk70CkLeACLhGiLQvmiLIYNooCjw6kXKrifqgDeU764iIYnyPJGK6R1s6armlqhtd9XB3cQN2W
opr2KgZ3rt8xl34ZxC3o1XUPC9yAlJ1EKLjIC2DqJI5KiiN9wnqtU77rQp6oBhZafzd1sG8cMgTt
js5aTGdHy1+b4aRZs99fsQNk/fpFZxEnpdX0d7Jm3KVi2Gol4CgCkYXXxu3RgV56oPiA1GZDkg4S
6tDaB4Ax5DnfdBtpHcZ5/pG/jNsWJ47WZV9Vn+890STZMe9RXkd4nirN+NHs/u/5YfxJQfLmd52z
c//+BLFHgSlf3x8gfv+l344Qxi8mLV7KCjRy+GE5Kvw2jOGsgK4ItRcSH+FaXOjXmkP8Qgd81mcJ
wdFDs1jJfxVjaVQjJtoF2vy0/Jmein9zhnhzwX5YqS3bUGcwB7s6htu3wcK7LaHD7aKRQdhviKna
wpHpF8CEN1NHQASEwtxpz40xHZKs3qq1HMBTi/O7u/UXJ4s/vwKsuajR2FiZYVB8zZvWu1dAQtRo
iZGkYrNUD0zll3bFGKWcWsBq58yx7yLOX4uou2qnSWzEMBo/VIZ/u/H+2TLJK0DdxWlNxRfKwezj
K4hxNliDqrabMRA5aXFNs2gKJgOmTiBIliaXkQCvL+S4Ej2N7WiyhwUQmpteDDelbd9RToJWk99h
1wPd6swLoWMFyK2RiYTdvvzz/Zr36A8fGCJslZMo+BLjrYT9+GI1NW7LvFCbTeRrB9WiadEGTAlG
RT2407fEKPtFWRVongZj9c9X/tN5c74yMtxZaq5REn/6oIhqa6APVO0msMaDCJ0bqbcvMbokXm68
+PfX0hheIhWkqMZJ/vFd8mFNHZTXH1+KKHNu0sEwF2Ng3WQqRqf/i4tBnELfN2vl7U9uarB8ip4L
voHIJQ5J4/64mJvR6lXbn11svkufPz8NraCGddvVUZF/fGcxc5Asoo+xYVu8xw9gzoxZLIOxdvjn
dwUd509X0g1EmzxZdCg09dNpT+1V6t2WxHRWktNkTDhA2OpGJniTSdcyAgYP8OGALoloamxenL2G
l8FUq11FBx+bo9b+5BukzXfy05u3+fLwmNHfYOn79LGiZWzVlLHJxjUNNmkCbBdmJh/wEtHlL6IW
vUxdLaewfWHISGxd3Cs/trK/fdhZef/0GkAL6LR+OEUBA/q83uiTXsxiThKOfUgdhQ7zxqZ1fhpA
QWLj8u/TQcUKy+3x7FmHQRGGRziJ9I3pho+9RhSVjj6PFSA7V6a+Bg1Wzy6q9JZ4BBVqmQbGxY+r
tVbbzqMryKZgyVGfTHesSOUZEO11GUarsH/o0P2IQbucxuHF1iNji55/WoZELt+oHe1aNzeP2APH
b2EBGBMdyrrgeLvQRJIf0zouOGNiPQCn0bCqoZMqdY+xKq33uLhFVhIhdFErMi+ALkrCKD3FUjjV
FPJOnwjxVIC7EYQyggkhxEdeYCvy9AFnnPRB8AZjjOrQLVTEOr656og2Wkd+H3hBF8EjLPVyl0+d
WPcaGQuIZ4b71LHRXEbVqkwF3kurag4qXFAASnhgrUTZU9kl9Hanl6qOANZURE4YUGOPCkvZjToM
TK1ydClqb3rZGH0ZBiK9Wgxdi4zkxkUhNeCgdM+P49jWnqWYnAR1676xkAFLHa5liOZ0VJCqQALN
l2/vPc0czrxT1BDsyc+i7OV0HZnOI3lM+kZl3V+QAU5EKF9Fz+ggsjS2ex+BkMKOmm0TZWbKQnRZ
gEm+yYSCOo+s13MBg34L5TncdoYe3I3Sv4niFjGzk56FjckskyaExlnt5Sf5owEmFhGskVyD5U0d
psR+jD2rMOJmm1vD06QEJMeqDULTCld62pX2wYhAvIXIEasOp1bjMMSyoSHtVZOWlOjrmg2akTfR
XS+OaDTP5iC4aIxEW+L+NjbQ059i8kE3pPthB8niVzBT7cYIkEeIGKKVRrzsQgCgbcXUnWEvaDeW
ojX8KOlUQ0rwxyA6ulqmp0FmtV3rrq8qZ6ED6vbUWlM8R9rya5uXmqfE2IittJ9/11hSPE0rNeQm
uNDevRqhKEEienkdtCjmSKaFANrY902rKTssTxnU3Eby+ll8+oqxn9/20c5vM/NQOB0OVb+Nilvm
gcXtFHQPsrKeXbP5NqoEPYV5AB4nRJjgmtexr3DwJn50YeRatcy10Dj7jTld0EXo+QK6w8Jq1WNF
V2eZdg5JqVJJOPEbKQRLFqIYFhf+Q0KmYOXxSfrg8JpQMPeJxdItXP0V+vaIQDabroyBAF2FZdzL
7CDc60byIjOeslwHWQ2rbkoOipKb37LcXsSifJrmSDuvTsYnGTbBTe+TVG1niViqGm+9L7knmsic
FSEeLySWRR5gH+mZGl6Y/H+zdybLkRtZ1n6VfgHIADjGTS9iJmMgk0Ny2MCYyRRmwAE4xqfvz1mq
UmaqS/pl/6rNaqNFpiQGIwKA33PP+U7Rtueo5rYoahLFzdRf5QukoTJ+yEsZb2ynHm/K0n5Qbk4C
hMCzU6ffSiPtfwU+Mj/6A89L6ieNLQTzmfCfHOmebuRVHpXJkSJnFksGM+Eg7VtKfKaHgW64JTNb
lnX1TTzV6B6hd+iHjqLgjtolgAssI2McDZxtEmLWGzyb43mKoKzQtvzJ5uJbESF5zyirhn4a3sUh
7ciNlHsbSNeagpN3P4CJFA3NJpgdf9uidFwNZTRvCSHcd+4i1gKOwXos+ZQCkP+7MSutNT29LAhB
9R7TKUbwYQjKn9SiC8OJYlOVkxywg/grW7RvSrL3nwCirDMbNLBVJWIjwbDteKAjRkjnqqXPDpS9
hKnb2PfEIk4dm6CdV1LC3rFHX6dz8zjky7DO3enUtO5yxLHqrZ2J9CYFBeY2bZRDXjgT60T3E5Zd
fOiNBUh1ALjKYqLMuUAcR9xMcfU6DK66miazOEXDAqLSBA6QZmO+5036PBYDnx0B8UMMkHcjfX5O
5FV446PgcYytJzHxdvBx3kZ2e6KO4yrxs7x/t5fuMOX+wiek+6qKzDskPYp6XuEbX9Gv7X/qG6hl
YlAoELEAqOaiIxS73su4NXljIPrXSrXNcxS5pwyHx0PEmpCuMa9cstcQewRebRq0md7De5wtNU+P
qnL3hBgDsCmjok5mfLYNwhhyCj/FYuzEruIlJbwdFZH1amiXU6zJcYNmyEmzD6+soVvgzjfJfahZ
c6WhCvSX4rXRHDpPA+nMbDjZKr6oD1hdZ8Xv9JwYbEVNex12NrEFQurrSXPuOs6P3IqCg9fmtA4s
TnHfjOWAGmhQNe4au8yLxWaE37cpB5rBmvCVHEVx42rVh65XVW5pgTUPQqtCbsSCXrTDoq0m5VZ4
A4ze8C3UalKldSV6VSlMbk6gvdlSau0p0ypUr/WoBWEKIYH6NKQqZJjgtg/m5zL0CJCH7riGxF7s
XK1xNYhdEtFr0OoXHZP3rK9x8iOMtabJegWpzAI8vDKmfk3T4viNj39d9mb9tBgepIKaCyfjLrle
KvVehdwIRQG2NOX0WldpsPWqJXgb7DH4Yhqi/tTBfb0Vxtw73O3a7GB1k3lMloSKeKefrPucFniY
xdVNkRmH0NwAgMGm0zAHVTwIPL7acZ6a59az1b6U/rlMOJr1LLFWUYUdAWmUHbegBiqYaySlJTXS
c5VGFMYFy5qM6LyjhuGmaRv3vmhd+4jvIYJFapWBxP2DrnxTVNXM47KfkTcSz+EnwlSsP7tllm6D
IDbPaIFmwx26q3aVPfcaqNdhQynEuspZLpkLZWRQn6t9z53yMWn66EvTZcPDHMXNLqVxbA9JCSx4
ZD0WPoWW3jC+T2NbHeQ0H1lTWeuUwrXD2PP0YH1ePgmroOx2mqML4J74YNIDdROlef/tb5/RHWyV
FrsC6ia06/LHaUDBUW3HksKh2eluW5vTeECfm6pr/BCUOVJgmi07X0TeCjs0ZNouuPc6PpaYUj7R
1vmWcu/g9Ocv6kPQ/vGUrtV3ZiFH44Ad9yeDpm2NPCnqSO0j6Pd4Vbx+x6z2ue0HtbJD6WyKJNvm
Y/TYYeEQjfPSjdQLpnZ9XZiKau4ifAbz8qkPqRIw+mMSZ9/CNDgKsNHwM9vopJ8cH+/1X7zwP85W
LGQQt4EtBeCSf7YOwhng0d0a1V7aw800lfR+50iblWffq74bsCpPEBTTcLrrbR6yVWpCjIRxD1pE
Xieg4a11G/r3cUNhkC/6GxDf1rrJ/HtZeC5+v/DZclSz0WoICyD2mU3/Hnd1+ldjkqZC/fgBoPww
AjEAC/758wfQVbIKnBl5VDXmCy1c1KpbECQnD+beoPhHJnqY4okRrTwxJnRkBMXRLugb+fM39GPM
/vGFOKFwfC4OMKyu9bM6ZJsjXLDZGfaA4BlUi8Jbm2J4ppNR3QQFHrzMKsR+SOtX2kQvtSjsLd/a
FdkhzLuUf62s+rXy8BFaAV27rslhIW9RucPRBF9D2zWuVeqGKhg8w20BSWnbN/gn7URvSGn922Du
rbfBSN2XEd8EE+nlGgpF1hv4KQOfWJzdUXM8OruuFG9q8k6x758reGUA3xbeq+jb1E+IwEQ8OHNd
87z3tlQjn2LmC9tJ083YcAAx6uh9KomNxWPA2p3PupnreNtmEZJrGawRnQkYs0bYeH7ab0pgSFsa
Vh6XxQLBCRviL74AWnD68W3HpKgXjsE/NmE/3RUa7Nsqb3u1/5iQS2d5T2gbKFAm8JQ+W0gvf/45
a0zAn/7An674MXWqoov4gR8n4XAZOT8bGAOTzO63bW+BRInyL1P2MNFjSXOwvU09XpCMWroOwmWn
X5aaKPCeFIdaPWn9+Qv8+KL9/I6whTXxjWtrxM8Bqj5KGmL36YjqxSk/jNQ9najVCqrJyMO9uPJI
mx/MLNjMlsBdqideaEwHu3MBHBXpC12S9tYMOQ9aofwmunxTDdoFC7dokybxCzQwzjYWsb+uofIN
/97HL/AfBf2vFPR/RBM0zu/fS+hHHWlQ/yseg//unyq6DR0SIwpIRww8BAh+V9GtXwSDASI6oEff
9Vk2/qaiQ6jHRM69lEsWcEX4nYyOJs8ilGM9RGj+AuDk35HRQWf+fAVB+AvhJPI0R8pGUePvv1Ox
4SV3rQDptqdF6eKw02JPszSvYc2uDoKat+4Ti6/q1Ps7X2V3aAc5CLbiC18+/wiA6Axoiww0K9NW
i/AUhNISmla3XkwV77D0VMPVXrsOMm5ey9TH+yCmPmxMDAoCi1z8SsMXNBwHbi0otWCj3LswSfWA
H8JZFblcLX633BWWe5e0TrOtPLrApjG/G/vCPceSoYg6qnml8uVEJzChJz9U915DlWHR5CbeX8jC
pbTCl64s3E3gqp1aiDGZTpnuYheDaTy1z5H4hNuPrhJBwK/BzbhGmHpiumtiiojT8VIzJeCVpVqx
d/AQV25Hl2+vrkY30i5G2vUg/Mt9ZbQ3MuppUPUTIm34YUzVTC9BRpeWcOtrc/CGByrYL2XpPDnd
uM8Rw1Z9ZN5OTAYrYVD5g/O+/yyW6izM5Giyb10lfn3Ic++972W6HbNdlgI57CxvB1Mq33TFcOfI
1k6ILqOsFQQ6rxzWmTvOn8Yq86txA+sk3jeNtiwZsiETsMRbFXomxTyQkZqMXzehTIAyr2yTVMTO
3JZ88RJUt01N93g6DM90XFIfLuhfMdzpTD/LLd2LRM0KMWyr0sp2TkfDgQtiDkg5hbnsblZBzSzQ
N/Qmtsvc7LIMY/kyFf3RrHOPXTk7RLssn5LBaghwcXT3WaLfJ8WsblJaV3ZITfFe4x8faB6v9lSp
wgDy2+lexaa/ayxlb6Zu/tU1oR4SBdxU7lLe0BKA97G3X/g8L7FHHg8yFPOC8LaAYupVhaa28to6
3VRC/5up5V67tPVsRNG+y2ZmaxmKGyN2IKiNoAtbVZ7pDcaxHXGR0B84cECQZxHwy3z421qRfw16
2RHewXKPDJkd036xN4yfy46GZj5su0J5JNgsGMLbLyRCdCI8/pTUXbgKu/SOk/EXP/WbTeO6b4SZ
H+qBenCZz1svxWjqz+ZTbkaXkI9si2M525tlHK+zNJKnKv6a+/MZDwyXJYdd2tymN1NSOcEFWK9G
19xD0pTrCDwBpKmseoxlecxnAglmmNcb4otytySSXGg7H5twvHLNhdOZszAi4irciTmxHyzDpxa9
p1A1sx1j06nO2xiURaw+iOWJliYCLKWb2jLxKZhY6JzmmEbtdBjm6naGwc3bBzeunfxuC1S7ePFr
PNe5pejqre0jWYR6J2olD3MZ5vvIctM9gw2I8mr2d0nLYxP97BM9N0dXxqQRq/TeyaprY6hfwbOQ
VIo1xzBseZ+58tyzwaHnYin3BA+OCIhjtro3aJfYol7LeiQzUVA5PfOjndImRSsTjWcfkBmQu/AL
rcuAZKEkXbIzXGnRxVRkmyA/1NSEGYu/tzyTqKZE9xJq1VghZV9TtLGXKjuxhROEPou0fAzyAE4k
1s110VhnV/r1fW/vO6u7BB6pezSJb8OUF+eM8uF4ZTP1L2sxDZG5Hdi/vJeIxppWknj5Hl3T2NO2
Kw55MRHNqGBLgw1K9nbTMvFVaUkNcjXz/oT0gU6IO8e2zcNTGXXWlcikOLimOdG9rcKLHd/Bkcds
YpXmRlhZsXOwCMPLHIsXo/f7dd044TbifL2iljCHR1PTjlox5Ll2ZH9hthjXS+f411kmzcPikFmz
83KAUJhDt5zbCYuzhZ5gWw3Gh4KbQBfU4zYffGvVlYF9FRjYWaSiUYdtATQKMsDx7NxZdWqAv5fm
Cml8wP+BB8VJ5WtRGeU6h9fQppZ9xaT8qhT95LXgESWROFZMhfHabHO8OUrmL7MuTgriJoRFSsIq
sXBTx0E/cHuCYB4Agg1iCDx5Hz6Uo8mwIqoYubkJofQRQmZaPlqd2a/asX2NKnYT9H4kJ8Oh4TCw
CJomQbF3s/LUFgGpIGtKQCZH5LlFTv+0Di3zLoXPZe0MTxGfGwhJH/mNt2jtdZTPirx2CGKN7Dsj
u9/LwaGES//qU9IFq7QY3C3N0idYfzXXODMzQ+cUDDi4e7kfia48TDmWE8Qimo3RBvfUIwFN8nmf
M+hVu6VtFEYUkwNimmRYw1N3BY52uO6bdOCy5Ulm9fzGSeYA/qH0jlkyASBcthElP5nRQtmnlwpM
67OJLG6UMefVJMeKRAEgTvuSsuXc4ONNPGuV4VDfDFMW7tKRuL8i57CZMn1JdRV5JCe2bixqE5/L
qrtLPJ8H6UxgP0H6y9qooUOAxvIy5RO3iBmR1iUQlybpYU5maHyuE53o+GJU53WI2r6miuU45vmu
1RTSXPNI6Xvzrx2PTHoONrVmgbbF8abY9yevHpkjhcrMHM2tCvORdc073m38Uah7VYv6bIwixqWC
20ZSgEi34intk261dO/KCNpdLk25kbS4bdq87q8qNwDvYU7eOSQpcl1ZxnRF0HNY9QahuGWCYb9Q
ybzCH6EI7gThddzz1KSRtN8XXmMBv/Tbr1PpFzDvC/CmAn+ZZfDaKAfjVizTeh9yv9qmdkwsgaDT
3HQhAGTupdPE4mmsdPMzSheSXbL3LbCYtHWNm1zClg3b4kwz6nixeb6vyroYN+4gOfwsZQ2+gXwE
W75uMzL+kiX33Ativ9zR/X4BnkqfRMsjgQKRkYdj796PdSt3o0GNg4/FYb2onIAS12qcg0axlfNs
gsB1uN06swnBeCp5Ug8LVIDOo3FLU3OLXO1HKvFOtsR/EdrkgfxqgcGfU0VqxN+4DglwVohrTjuy
QfPtaj1Tgb7pMC8oVMKVmKKGcF/Bi5v33dhsKUp6TXAstdU0rfMqe0nH2d/3OsnmWBAVCmJrXIYc
H/MwsXZzXlKmyLMpDyil70vjRIIuu7HHmAqljIcZgR1nYzehd2X3tthkHSTQftH70Mj9x/r2b81R
/z8e5e8tyv/9f44x6P1pRw+JiG9VHL9V/fdupN+y4fyX/xykxC84iojYWgLPD4v43wcpXbiDbBY4
gYUPR88wvw1SmtnP1K2JUtC5USr/ZUciNk72QQfHCYYD3xTh35mj/mAxwdRi446mI4gIxh+i4XNP
O6XdB9Y+6vyHrmffWEubildZYVoc4l+/mzJv/yEf/Fg59vPQBsrKJWTMtoIwvM61/zC0VUsYNQpw
3H5oamdrNmm0y7tkWCcSpVNKBwthmNwZDuWsAzdAwfKX5zHADeMvhDbe8x/1F14INhdO80y3HqrP
jy+EZEZcMc/Ze2ewy1MSEjV0TFXt2qzGpDs61ToaivzgzaXcI1h9+/P34Q+zK2+5DRWMcy10HBH8
9NP7uac8cfDhX9DluRGjbV2lELp2f/5T/miz4sfg/cCwLnxWDh8i1HcjcmKGiehifBQpJUA8D4Cf
5KMltv0iywNs9NvatF4925WbTMXZZkHPvB3wyO5LOm73QcPSpOgIY5bJuLfDZtzLuh/J1HbGbqLB
dt3Cpv0LIe4Pnwv9FMgNyAT4kLDS6L//7iXT8+t7zejZexq7nV090K5ZsjjjW8oUxzqKGjNfYWkw
wDh33l844/5wMeB+snV9BSagwBXahvj9Dw8sT3UyoQq9HDhvRYY57VozzcFsgSUs9Uv48w/oDyIg
Eq8QeLxwA7rg0X/6eaB2/QI1mZ83N/REUiG6LmJu76rJBpq9+bNF9X/l+Hd+xlziOkS3can8g8fE
CkTbI7//NWEKjpnbGXySdnmmKKmDddV7d2UimlVBGmlFyXJ5My8jVTQTx+2+n4MvrRePKxcL9rVB
S+U6GUmLczTc1pmiJnsMYpa/yXIdGN4Lz7BDRTFTYNrloRJGsZ3T4jErK06ZaYKvESv1vhT+BYfv
dsrZqMKsAMqk9gIQwjpM+63fdzgQk5AyqynxVqOff3GD6dBYYKMjn1XrHPJpGJ791TMmuZNdlzz0
i89UqvAlx3WSrB05GafBy7KnwEOpaQ1TnUBXDI+WKIpDyeJ/3wRerntkF2O7SPDIO2Mog5tAGQ9K
LA6iRzvfpFUFeSef+9tBGLBnBm/cq2S2MAXBBb9xOSOXa4nivuuq2KL4KCy/RRr6txob79ewX/JT
Vy/jPiKCeSXdZZZbzo8cHB08SCm4JZzOMU2ZtJolDr4m0/W7ltWfI55gwIE7KzlEYgNdUqhoTeBM
OzwzuCFhP1IYyvqz3bRGnVyHhUW5btJ5KiQCFogI/Uu5tCdAT338uKc3trSvEsuE2aymLHtr6yB/
m7OsfgtS1zn7ixN9qwKTI2DSdMXXEUzIm2tOMBKohq+DLSe84IglfTqGmD4GzDTD/Bq2MU8Kz4sz
5hr3vYuFpMDNa9jicSQc6ns5Lec5Mc216VnGthqs4tFNRrtF04/Sk0fxY2OjF9FyptjMEnlmQM0a
bz+yi9NMooYbU6Qn2XDKrV2hp1vDpBGDcRfsuHEI9AQ8jiDrG9M8ZpzboTQwJ1sKPJrkYzFNTGdD
By3EtQVeAOZrT0/a7sfQXbmcq4fKhN9uFK/1UlwDQLx39KxucgrD6nUb6yk+1fN80zTs4+w53dNs
keMnLORBDrKm1cI8UleLKCC67Ia+0eKl0YqBp7UDFsr1JjOLW8jr06Eqj0LrDDFl8Wtfaw+xViEs
Aq8rH+TBqtUaRarVikbrFqZWMHDr2g+pVjVcrW84WumQSB4V0gdrA47vDUfizoMCFfgcfeE8HX2t
mYRaPQE7L9cDgoqrlZUcgXalRP8mIxNhwQNJmyHEOM6XVOsyi1ZoGq3VsKAy4QxEFw8ZJx058lMb
DFLJxPCfBQ8z+x9Paz8uIlCAGBRrVcgP0094Gbv1WPRwNVCOig8RKdR6kqeVpURrTKNWm4jxMwxo
BapBiorjDLC5yxgG9fgca73K08qV0BpWg5g1fahavHxAhPZNEfb9ystBoneyljo5XMRrW1LR0fTA
tYKev240WkLqEaVIzHKflaRhZjFfTSNV11S2WhrkKK/CqGvRh8SyXrhjrlOru45Lb102M6TALlJr
s/BuuZnxTs41zgmgCNeWaCZ44SgaNIHuRzt9Wlwa6JjaKKqDpiHROndhxR216QTuoty82K3Z0frn
wLOIZbbFbJfQJpQqNtGVtWsDhxFgGL0XIRmDG6dhc5e1YqVc6yUNFnD/LiB+3y4pGbCvVDRgA7KQ
R33BHRu01N7pnXnrxjgMbY2+oBj4dgq89r1hNP4Ezdne8hVPrmqLG7ldknHv2/LMQHWKeQzUQ/Dc
DfaV5XXFtRFO1XExrzIFwcvv7Iv+N4R0j1a8BOhUsb1rB25Ndjq7a90gfVSLp+65IZ6sBZZf2SNw
1Dxpd8qC3pYadMVgmPicCGPZVAvfjsz35pUuKNg3qESrZULRy4oZPALexYMMYHpkc3JXDsV1ytL9
pR5r67rKhgt9gcWu64nUr+zCbv4xPuFewWcbT+Za4bI5OFmvHtooIORBeyKPhG7dSQgqtrX4a0+Z
T+hrYGVwTJ3LYsKMprQ84Ebg8Ec0Aknn4ZEKE3+XzvzUdmjU9TySRoqMMNn3C7Q5OeW3bobFB2y/
dT15FG1jFQoV7M7ZfbCjkp70kQu1zhwi6x6QAcXa1bHNJ18TWLrSDF+sBcrokmKCKdJoWgekgzbR
ULE0S3CUODI7EPlXR8H2VWbh9Pnj6PGfse4v8iW/bcc4if377djtW/IT6/f3/+q7kc4xCY1D0WEc
0ye3fyZM9G5Mm/YReUxThL+PdM4vBAAhzcOGNzFEM/T9a6YjleJxVg8xjRNZId33t3Zj5P04wf24
vLWAR3N85uUJuGM/pwGH3jcTy+q4iIZbzBh4nrGz0WYRgy9cvLACmuWPO4glmt49tLsgmzCr1wPe
t+qVO7bYGG3+QjzSXFW47ISZtdskipaDnGW1b+bUPBaY9OBDmTuzwMbcqSX57Lk2dxUqD/YcX6ZP
0ibQ17Otf2a9fbYTqitWQpiN/TB45nAMHJm8j/RefGn7jp9aV8Enl7vMl1x6zq6RpTlTrmGZySFv
lvTOyajJoH2u4bZDtn3FgKBuQXCY7p5m06VfYy1L9zFZVw0QlNkjMrB3wGwdscJYhPXJihPydIVD
t/zBpt6ZY4udgEipszgcti0yFIpPTgcGeG1rm0tuZFYDb9j0UkQ4aY3wLN0crc7LMMqLVGHTahy8
FW5eDasKlXrvlNN0zkaCY64746ioggmfDm2QV7mbhT1EX/qDKliZzQjkxm3H4DryucnGVRivZ6uw
94UiCQ+Pyf666BPuuBjBYeL0mxfSw+Q+FxtPH40lNfcxVatbzkf2djDYbeZopvu5c1tun/BMs8gt
tmqc4wPMxUfAwC+jPp/X+qRe6TN7bo3praMP9I0+2lMWYiL+GZGFAUePA7WJg8/tF+tzDPXgZEEC
svSdydD3qCASYqMAgp3bvub1fICl0sS96fhAdjjwD8RRXdKI/D+cksNZ6c+3Ywslc9LAE5T38aLP
65I8Z4SwCqk1+rToO7Kt781Q73meAUhBUB+MNbZuCu8Zp8tmn8WiB2ubjiRgJlzmt61+gPAMGvZs
opaVSGy2gllBFNJXjxkPeVY6RvxgD3OyLofB2iVO2d/jROmOKsFeMypDWyL97to2ZXovzPEGsuOs
kI5ZYizDwIbQO9lO7+2ruOf5acSZ3AbSNe5kRbkIZP1dTNfptWELtQkLle1UA+ErMdmweg52V7gl
0J30U92hw0xrhzX9K2FdGpu4rkYGJ8e7hKkM1mNuNdcjx4cQY/3im/nZcNviyTcZY1YE0+Taipx8
x4E5p3Cgva6g2tBWigV2siQTCaLyr2nfb+uyDT9T0e5O69ightahBmXdtQi72VC/960wn0Q1Dhdc
pt2qt/R1qfeMUlZ0u9rFxQpmcUDCH54UWacrqt/8XacXmCn9LWwopCUom/XcHNsxm89O70DJ4SKL
u3nATttiMb9aRloGrMbKrlvTKT6BvRi2XWbVmzYZz4Ch2cjaXIRzop47l97crQTxcEdfmbkf8KJu
KYRpdqSDp2xT6t1wp71uW2I++UaileBv7rajoGDYKV3SYAGjoQhntjW0h7V6dcoqOsKrRZ6gRA7v
BZDXkmaMl6giomDp/bam89AQVEA35UTWGsNFlEW3F3FW7Eu/he4xTP2Rg9VwscjSEokdlifbq4zn
oRHY3kOWz5zx+nPminSHMz98UT2cuFJv8H29yyfcoHh/2O/3LPoH1uIre5H984wToO8XwsIeh2qH
zyItLXWfaeMA5THASGMjOPlLXF272m0gm0aSeOW+fkplMrC4xa4wTAjIiqYdGqDqc6I874toSdra
lb/LIw9St93aaw/7asE1jTTcLtK+5sw8EbrjZrJupjh76Ariq9y4pk1QsIfltlM/pVnrA0DjVjBX
3dbADAxN26zvbBhMN00NaMrXArgqOGDPHeRir8zGGwO85EJ2l3o6pYvq2OzMF5EXenNSVORnFT6u
K6nr7RZ67ibuCUlgJycmz88mTXhKV+KVuhzP1zV5XURhHnaNCVmcFr1M1+ktH8169FWPL61I8hel
i/dIt0RHf6SMz6GVTyTqQlR4+HX8aOyLeABdm6nu8ZvISV3DjZIXuruMzx5Z5udFV/+ZugQw13WA
vi4GDFJihWOieqjHujhw1BWC1FBkB0WroF0UZJE9v9jNdX/bTeqcWwwr+RSfa/a1DPbkUixsEZee
osJeNxbC6P08UGFoeRPV3X5Era/j6g7xxUuBDHuRgm1GvEnx7IOXl2pynu3D0LM1TS/VXL2iFV95
0p8iEqx3UJpiaNX5Wc0BeYdcfXKSmmlFx6S5iWukH4uhehUnOPp6Fc37WjMAF20z9jUXMJA2nnRO
u3g9YKv16H9Xfj11L0uukn1ngh+sNYgQlW7m3gKcsNCYwlEDC/mj9LaKhvEC4DEHzGs/E/Lrz7wb
clvaU6npEMUussWqjrQdwFMZMy+lxl4CXY2KtjH6En+UdqcsT1PKvJ3C8z4J3fQ9exGTl+Jks46d
9CagmIx3KlxjE4mADEj4FCrhmmftdY4SasZLdyzmjTJLo6GbW/eS12aWRV+TBU+nZHpq2mPvYu2u
hpE7D6HWzE0/8zUyU5bP3UV82OvDMUy+SQ8DJRsZvxJaIxV2mq9gv8uw4A5S11dT61k479LWOzQF
stbKIg0Qf+QC/nM4/66Fo6i/vhWpmr9fmgCpBbGAJK4jtrYJkpzT8b8/ov87/NT/+r/555md6mTH
d0LQ/4GLaQyP5+9ndk+3oLJvwXdLHOlfaxhIVDZ/quuUtZTOsuBfZ3ZIVJjS+Cu6IoiX4nT7GyAq
oU/kP5zY+e3R6QNc1DAaP8aGHzVZNwbyREbSpj+CJB3WplDReYOsR/VdiV1qtN34vrY6DxRmd5mS
Yxvx3K7bTqzM0nzLY+O9UfKE0yDeyfzOTuOD1WT5doaGuQe3xpKb4vmAXNEYPccOfuxVkMZyVZVz
t259VdwSXFt+rZtlY8ZL9hnE0ue8R/1zisa9spwBk8JovvO4yY/FxP99sHl8/f0v/v8bNmnfvn35
r5h//PL1LxrC/w/tHKH0B3zB/v3X/v6tfRt/LAj/7b/57TtOcRkhAkZPvJY2oyQbjn9+x8NfqMim
tUyQTGXf9ft33Pkl1H7zkCwEmzBdhPav77j5C99Hm9CuZ9rsILnt/032wUey+/fveSCArbHzYP2g
Vx84S39aeZRFa45F6ieHXqHrEPp1ukNIk8bnpKjO+YKBKTAG+VaUTn9QkUX5iEoW/JzpDeoZCeJq
OnqqKalzzYCXZI19kWZVPasYJGimSv8dOzoZJbIumAgMludTnr4Utnualunao7RslU30VEZ2YhzN
jjZGlxYv9hJzjcIlkkeil9ED9KP8DN9pXgNEk9UKIkFKFXF3Woq8R+YONmbezw7RQLfEwmQZM33I
0MYOedcbJo4jBZK3yazRPZtea7xQAg0+2ZOdA18HifBK1KQ6qQgos3hdRwBoVhWlol+iTvn3Fcne
S7hA1LyqRJjcpk5e3Cwz9YTc1uQnShC0wmeZ/WOWZ56znkO/x2rXB1m5TVVTndw6Cb8FRuvcWvZQ
kqzMgza7S43IvRa513JUUA7dK8r8TFAVeK3yqstCDe2XqCZwBmFxrB1inWjPk6jDXeJPOkyIOyhp
6aItQELCVza9BxDCbr/JpGeehjz3i3Xu5IDv6zDbNX3BEUT4hnnIo+GbWxqf1TCaTzh1UNoDp6Tm
NWIAuhQ9ixSzr6wH6c70BBSBEa4KlU5fBZaxfTgnxmsazg6fptW+2K24K83ROzXzYP46tArviZjM
DeuXfFdIYV4xzt7YYdutk2ZQR+KiuJPiqGI+iCfbCBisk+Iy1wG16n4ebpYhnChRyQx3PRqNu/dD
NNGV4om/L6Y5OSSAt/bYIyOWo2L04S+I7NRNzHl2Yy0PhqSa0nVlci86WnFXhOd0XqJ+dcqyIyPm
9e6ZhtHwMGLjZJ8ev9St0a17eLP9ytKqwxTGxqsYDPeqSd2cAJRsh0PSJmG3NkK//FoYxsDGKyn5
uvSYVT7ls+QPunAKdx5I5wMEGzSXJug7c9UT0uBsluv0r22gQwvX2zpxPFFh448wfWK+pxOW1zxy
ERmiAqR2Q4hoZRBgFuveVKxlDAzhu94tBUykTO4w+HS7RZnd7cJlt61CN3mRfX+h+lS9KYL4Nxm/
4dYY6+d0ycVr0dbRzhtj8B2NJRFvp/pJjoXbku1qvS29M/F1GC7DZQmnYZfVHUzP3jbKJ7uM6StW
o9tdUx5kY3wzewxyPXUfnByYY7vKYS9hU/VKWyAhQ3BDtmVle9SLZF8lAVXUpMPTqJxwd/Jdeq+p
brpWQgxPzTid7H6It5Uc7HobRSYxd8RrvqKlIrIESOpcVAT+C3OuLxNehJusEc1t3hksC7jxMMyp
3N2lcRNtwiH03uuxzaAd6tX00vdTsZ38SX5qprk9uVWcvWI7q69Tr+NSmN3goa3929rFTmGMUXsz
D8H8ebbK4dru+uoR+C+dER7wYIeQDKtuaA0FMbWLkLa/XhqmDUWI+TJ3VDiviGQTKjZyw711smR8
TOvIupT0ET0GXUi43jJSAPjYhUAqu2pesNsV4V1bN+ZtvQzBnQcL28xi+eY7mDaTmqAfQrzuB057
h5ZUmVUviapnoli82dvhf8g70962sSwN/5VCfyfAfQGmGxiS2i1L3uLlCyHLDvd956+fR9nKTrmc
qU6jMMEAhULiyJIueXnvue95F9oXVNGKPzpRX9xV4DvM5s4hr9FcEQ6lrf1Rky7DpA6P2FkfudXC
Y6GMV1oaT65JL03IERF3dVitpkrNn6J2SOccz7NFn+sS3pi9MlzWsCkr4pg7FZQ9TmlTltDc3KjM
xLVF7MY+l/B/0KuJZJZurIAbZS1zR2KjJy/JfHT6armQ8bU9z4KIrrVK+wp7sNqxyqYZoYWm0h06
MvU8VQAVyBo3so+Gn9JLKWMMpcks0aAQN+M5hwlvK0SZRW6UF+FjP3VkdEODnw1yvvS0uL4SfUus
bUBTcUEDsn40WnG8AproLsNCt86nSLFmcmjCeBOxsKdPN7SmK1hFf9S9/q6QBf8pTlirR60mIjaY
rGUOH+JCVUkM0RIrfCrbNNhJo4qKPGt77aIDAj2EgnZJ7qjQOpaZeDOtyY2HjOYK/ZcoMlySlIsr
9LiHXji5skNdX7WiWRQ4ftD2hsjQXqhmoXyMoatz9VssThVrVQ4lsVJliR+8FD2bZpYt6liAHAnx
KLzQM63bsZbKztAm9aEr2jgEhMuN+7iSCCXB5uycU7BE19RM4JaO/iMEW33d0f6gEShELEQjC6Hk
WJo3LYpKrLAPU3T9QxVoOALgMDDHM8dwS3gQrteKXFYrbaeK5OEMql8Lmmd6A5MhTtAKFVWqPQt1
GEXLKlOI+qolRVn4Uth/ZHvF3CHofQK+FSVfCUhWEHtLdIUq3MNOziGxtivEeMIzX0bZR6Mnu/On
pD/rS5EFYSy0W1UQALU0s5h5PNg3mQDQPRHUCThupf1a0YCzZ7D7sV2HDTi6ZmuWEcRDX3ZTvfQg
TyYdf2dVXQ511j8JiOVpbzUq6BDiYt+pdJ1fqCIwkrNMKz+ieWrufbHckGmxJLLeX1aU20jB0Wjn
NrnBSGMrPfVXeR7LTmPVCkSINO7mnEL1Y1KkwTk7dnynRAYUQvif4qyuoLK30nU/ACCxi9e0VC01
9F2TqHMsO0rEWbFQkDk34O2aeDCXGxE5XwS5t9XMRaYZe60vqBn6DroBktx1owHSho0WbvKIOZ2I
NcJ2XXiqOussC4vrQkx8Uh4K5UwTPMuVUrmyMzoJIEKTv2vMJt7B8bcWohqQoCPAorb7JCKJGjpC
MzlyDxiL8HYidoHch/Pcpyk5ygWgNP3b2NhhZqEAdyenKLx0YdW5imwFkCOiPJCn1DhFRen0ZI3r
UyQcEohbaj9IoSQWhjyJiAaBZqZso56UOrHSeHQAYDhgADg38/RKCgd5w/gvmfYz6BlOHbD1wHBy
2MQiR8NF3NFirdnTpGMLTkNAL1Zo20CQvgiDLL8qy2hgXogXRdn1yOJ0NyKKG5AfOqllRlehzwcP
WvuUxGN+b5n11QBYuKFwaa59RbrxidMFTWOCiz22iJl/b0iTwzM0jzl5utA1/LNcyHUHH8fGDSi2
z0mAJ8Qtjwd87cV8XunRvEoHDowwmpUb7PFpekJTGZHR5Aa+f33tiiYWEUI6p7QqsbInMbu+SXyB
pRCv3kyY9zHlMCVpL7JmYs1XWNtAgX4H1YTIoWlRAoTZKF+2RuSZNo+CHY8pWZBJBAs3cocyWlry
Rwh1D70+PXZVtfZxyMtJfrPUgiLEMu+UkS7GBz+QQUq7DvUy3IwxG+xuwGeq13Zdi0uLB9YS16z3
SPut4QEOAzFblM1D3ZvOKOYblSDUG6qQ9NBq2lbXad3nSFUdQYgfUauUNONDukO0EbKNQYqVDbCY
z/uSYsPoHJ+APSery4duKlB2jGt9JF6VKA6a9wsj0hd5UBNrOYVuh/5gNsX9Nhe6D1GlLsM+/CBo
ZN8asvmR3HKAKSEC5SKSojeyizIrOygDkomZwpOvEk079t4+kXEqygfvAhfCDAoLd0HqotJVG6gp
TqolKcHg6QT1mjgGJ5dMLFZGVdt7I1yKzBqvqmII3AL3HXrXd30EiAeBzxXH4L5qrTOCYhQATf1s
DEDJ6UOtVdlbTSQ4dEmwVUFBZjm5WgaKlk0/ncxlPiLc1+AZEBomNZQTWXnJ8WA5REC4kgr7nnpk
Ckq3K/0PhSnaOuGQPVIugOQj28VeMfyFRCBnOU5LC0S5a/EsSsm3qDVywkJDPhP8iSa5Hp5ZcTTO
p3S4yayuWKpp/lhJ4A1ADdVWC0oEYFNjnQJi1g0PqaOLNOo8FMyqVq7zsmM1wy+k1MQNtPSAo4BF
52Q6kh24RtZ0el22FakG7Bq/gB3WlY6aAPPLcWc5J5ORivbRLce/RYFqDhUBy5gY9+eCDAtJzvuT
YERnHx/LYS+NSrRTLXQXUkH4+9ga7KHtQZfGXZdU6F3aWBVXcuNFaCvGCj4KZw1kb3IrsiYHcpHP
agUBkenpKWqqzpxLeY1vza0atvHTNAYpEq/imPeRyBJkFTOJxhGOCyEsKsMrD7XXm3blq1g+CCou
QKgs1Cjd15U6zdBt5LtIN/d+GSaw4+PrLqQk5lhr+60nXMM35qhRysyVqa6lbZO3+lbI6a/KXv/U
Ymg6TRip8CDgBrAtECaYXPUkupLxFa4zozqZT80kTXVhIeAlhORgT9KSO7TEd2bsRK5PCOZiCIT+
KRv0kqybnCW1aJLgotb9BWi/5KY44HBDmBu5ZMX7Qo3leO/hpu65A5YP0IpndRmbDVo1MyLLqFfy
epF19bZDTLHouki+yLFDpYyGq7Qg/4RAbZMWyY1eGi33wvOsm4hGrnBhBZbpKsHJUwklGsroPNe0
eWyiy6Gne2r9xbGwkehYWXwuoXqk1tRNgeC8IpE79MG8l4DE1NkBtha0xEdsk6p6HMx5mwn6juY4
qZlmgemNW2ljsMYZQtkRJXFnhJWJ06kYNR8igWOO6yk6diiTiAMO4Z0mB2DaIe1uEKfJFaigdhLT
47kLSmPXKuQY6YWVntp+VrvBWto4IXNFVN0hYQLklqOsbvYGuFxg41cTQpCUU28NTTmyrtCICSeR
IiJQchcq7TnOOAmtvKiZaMt3kb7GC0meVU1Rn40mDZvQV+iq5OIo2qnkSes2SfERKyyKTQ2aod2S
fqO6hp7Fx9j387usbVWk+iRqziWBlgPOtd70MPR5gh00QSINQjMpPFcnVU/oy2HQufVVDSKMgUcG
WQ/Qz1hxvemANKm4Dahnd/EoGsnMTL2Y3VHLyFsB+TR2CWtSjPgkps/l+SJqqGrsu8DuRs/YmZ0V
nlfW2MFpbGLF9c0QUzeq8Y8hVb8/mxRMaVZpkWCiJqWbiQCJtabH+hrwILzVMr11hmwqKycHyCJx
K8PBNxjELrEjsxN5EiKTzktO7NAygTENCmSIDzBwhRsxgy1L91ugmyR6eFrMy2CgWhxiJbszMIBI
rjolGO8VIR7udRx9CUkqklU++hiolIEZWE4ejlxNBdXekHk1zmBwJ9EVWSaJR+z4TYXPTdt3ToUN
iMIqH0kPFb64UEoxwlHobZSG5qo5rb/cm8Lz2BJYZrK0Ite1ZUgh0+qRAxJ/EMNzT44xHwtEaLjA
J2J8LHUFoCqppPrMyPzQgD/JhLJJEGintedrquQKMvUSBbxX1XuzzSG6BlVTLryJs+HnN9FKq1qh
6sa3BgWr+pyjmHvALEUI5mhqQVWGMicYIQW4wtUjK/z0RArl7oldnBx1EqpoACeK2/VtVTm9ibsN
ngE06pE1y7PcKM2dPhkxqIbIhPn0vavY5I8NDsgrognMbi5UFj5UUmCc+BA9ekQtgLplSgkGwDBC
8J8xs25DkiYJyjWWQvM8LRSyiiELz3FY1NfwWVRpmeMsFJFj39SVg0ZMOChoMxIbpkmwtKyWeaeS
RpTdpD2Tuwiiet5aQyQ5SdviBqOykGpNot91RVUupQTLLhmWZaxrxZb4R+/KCErTpRfer8w+v84V
Nb22EhZl/CtjdRXGo442VkT9CvPkJklKEsMi69kr/BY75j5FXIkcaYXNpuwQHEgiK2hDm4u540GC
eMhJNL3pmuCJ/qziqp4oLJQ0vk47Yp4jfNrAuuL2Uo2bcSvlGrTqSg9JgakjeVXruEJTwOTSJsca
bT2x1LpDboDmWBTUzPCZKSsfEd0dDC8u2vtajtRFq+XdWUD1tMXETZuprX9WJJ2MFxgZQRh6GcIV
TLn8usZhbA/5+WnAhSQGEETDiKYbP2w0zlelqST1PLZSytJB7Waj2LD0CQN+SE18J1bs2cBBqa3B
H87Z+AoiflATblQQjWUg+M1MILLYhe1h0spvScKOJzO4qWvhJFwjtgGgovaWUD3jLaZC/Syg7LZV
qHlkaPSK6uqnV3L4OvJtcM2OJH1DHBJukMlQzWLBh/Fh5YaNjhm+Z1pNmxz3OcDKcLK13qRyCyP/
zKorzCiZi+cpFKlauNflk6Ee4oiKpKqo3/tZ6jvmMGGcnZs3ZhANqEAHNVtpnUn5a2b0gP96W+T/
owbrczeP5Hr87izRghhHz+7PuyN7egaH6DAefvtDZM0fW43fveuLHqEio4qgG3hK8XzdI0QeYp04
fSKamG8tQoyjjVPfBFUvrRJZxR76q3O0jFRLP7kjwcaTeUPlL3VP0Ai80SQ8ZTUqsJZObXoaNS+b
hClmdv0w6ghnz7cpCIgku2gfM7fb4Yk/uU23SB8AveK1QLYtCWKzLERJP24rzPovenWVta5fuJlq
C/uLTL3qox1EH9sQSay5G7A0XKYhe8XcgntEbIt0HxNINrpic96ol3l2W4UzPCzmUrNqzMtCgJXh
7xRJcAVsVuPpEKbIFOIHGWKvvy2EtVm2yCFXykrguBn2bpLtTmBzZK6w+zGldX853+ES2u2la9Pf
BXi/MqKOAwLc3vhDIZ9JxYVUbC08C9vHuWUca9FRZ0WJiGmCAUew2g0WaHrIU4lLozqSCM2SpHq2
sQGqe2ZMwrTRgnOgqthWb1gWJ1CnYT6Ic0nHiHeOzg2MwyaQwNEdwdYdzPWvGXOYrsCEDkWwl7dN
AmL6FKoyRgTzWlxXE7ieuj7ZD6IOM+GwYDY3YlXlnZjsNu6hnTLLjEVyVBCSBSKa6i1b3QMMUwpw
u3Xk7bgYMYw9bup6Hw+XGS0cltJsQP56XqSs4gtzsMNhF6pzyAwWx/YQ0cBOEIW5UaM2xVTTaF09
PTeGfZrgSX9dKs3cgMeXZuJdLdLWVUB4jWshkmfStYiI3S76fKnUe3ZEELWV8MGbCx+m8/p+gIyu
tBYksdRONjnViVZucBRyW46Ttb3v9kXgu2zoeyx099V9aoOy+8c6W5+uotbfpaRkcmEb7zYQnHjr
30z4kSC5ONcCh/Jav0vDWZKsG5QRwaGZAbhNAIRLf7wj086qXVlZUHDMT/xR2hI5Dg0IzBdE1rlT
elb2ieuDooNlIceDJW4+oVVwjI4t6WnIieSr6m28znY4jjGl4Fum0Ux9GuHMo8E+x/WMjan9oFVO
cssPCRUlnQgRifqESsBI3DFxOER1syNOIMJMuDAWyoL6b19n90CfdrOsDt2MgIzEgTe5KiFx87q9
VHpncMUWvnaZjvPBwW0YKcwsG5HBO3p1h6FMc5LSt3an3ZXGh7a7GACcroJ5f29lLsQ9jAk/6MIR
ybjmAL9JZ9yBfVVtYKmUsNTbpYZSKLWHy1Cxy3mxjDXHvFZXUb7Rj7fRozS6Fp42lTP5dnjmn9XF
lsyoNHCxg9zjszJvZrfhKiGAc1pps2qmPeSKYz0ID+Jdn9uiuQrrlXgXHZIPxhazAD+39avTP5pH
MQCLdbS1fqyTubmTrKuR11Wmc/ovsfWj2i6EfIO3xkdk/Mip4esQ4Ze6KMWiycFAOLHLlTqHHJ/N
6tXoAhAvq4ukHhcC/tYodiBaut59g7Fe0K9qbRETmy7TdXCQAXlue0tMtzva7a0GVtFtl4TEBf5M
PL+zlkm10qKFpXAYsuE8WdnlKW0RpKeGq8XJrNABNGjjefdYKlTWLMfNGex+5gVu9xHOvVPXTnNk
TsYr86r5GDyaZ5SyFbcXmUBMBLKjdS4gKeLvIlzRfTFLHruZB9uS0nmbafNxzmCHj6Qki/Nicopk
jRLKc7rbYC5fcQZvluFCQCrvlNGu30Ty3Bfc8HJLv0EgvRUH50fi35t43/VLHJY9YaPE57K6jPv5
YJ0lFj20WcASsDaLZdj2jtWeTdtT0bsI3EsKxshmqUka+5S5QXG9ypr5Yd0yScFHB9Nt9WfiFpVD
dwnb7kq2zcecjonkTP0WCRJy2ptRcONj/VQ+TQdhnSwbR14iG1sFNwqegyDI+X4NPMNiXzoYf8CH
NFaErGYo02F7YFAKDKu5aX01DcvITmCwoe3JZkCmWYVXJuanNngRn4TuypvcwneaB3xvAmgnzax8
Cu84MwywnLnER5wbxA6/JugtwJ4Q3Bb9XRKWNl4F6TAvRrdyRthyzeDI2QUIIAAZQ0TAX0GCximT
TU+bexINQJs2DHcNVI8/cMz/wI0kvJjYwIpnx0/nnAn1Ywgc9Ng9IgTJGsRiduhBGkUddvr8vLVZ
sTHyBRJ1kR7ieET3aqWf67rOWkOMWx0ipiG5pfzIjfIe2ytPb1xHNnKnekgcPNueyWxWnkW7WBpg
RbQbrpK1aEezbus9qtqqNtc4Chjbbtjq5XoIceuxS33NEss8oJklV+sEnFVJ8GLl/yv1LFkCL46r
aIMgWhvXANbixiTYlVbpLJ573Rw/XtvPtpqJcBGgSXFo5Yrphbz2LjKsXQ0XQxXUPnaLOLH8oHYg
HRcJfg/0xeeHNLs45PPiIpdBFdcT6dUOjbArx4qPKawK+bY1HqBR8JltswnW/6la9qRdOWKjUYV+
0Py1NLMvshf30Bxmn4hmF+1zNV4+121yeqfPXvVOECZPn/45fK7/ygv+/A1+e/70aaunf/6D5ts3
AtinT7oei+fPn/35Rae//+vwlIZ4kdRNFR6b/zp97Rf/+Onv/jNOrHzRL7/+ZWR//O5vfqmvP1yG
JDZWx2D8NNzxy9c8P6TP//zH5vnpELyshyUdStDXH5w+9p//ePU1X5Tc773vO8FuL7h//847nz/7
Vfjb1XP6GGJb9/Wbni66LJOr9fUH//5Xvzo8vr4kMoYMSIR+vzf/3iV5h671k5dk/5x9J1EiIkv/
D9zFPRMn/jry0yX+lK2j/AcuxnuxPT95Nc4Oj+3rifFFsAX97Wfv4btisJ/83lzsJKy/fsdPqwg8
O3BQ2KE/+71/YPH4k9/8h84nP/n+VyeDSj+vvl6H36/Nf2KS/wEe+F8m2v7koH4Kn3j3s9/aJf71
ajv5tBG83vd++IJvO+f+gM8Nh5smbF6/xY9f8XVHeuMtvkzx060VoFhjkSOaJ03kN4Dn0wd+t3m9
ETv8xrr/kkT74pO/vteL2fT5lV+u34uXvh7nO6P4XGS884IXw/yyKr0Un74xxtcrzhuje3GJXnzj
V4OjGDldx793XKxa792716vdLzQuOMrvjev7lfbXGZlO7fTeyP64yv9CY6MYem9s3+8wv9DIXq5u
b6wft1TJ4yH4jeetfo7bhtLot7f0Mr/EiD+fTd67ka/OM7/GmH6wAZxOUmMdHr4WP58HdcxbgmE4
1PphziHo2yX5ky2AVsTndetv2gNk+hw/WCi3FHXxd6P6s/Pgn4zqdMo+Df3vGtTXi/gZQXjjYfvv
N+4TdVL2nDU/vkcnh7/PS/DfNZ7P5+Vvc+eNAXHYfn7jtP0rPFhfTu3vje7VSf+XGNN3krA37th3
KMOvMKrfJ/6fPlivF7+C4+Dz5yfqb3pUvuAp702mffgShPkVrvs3MOfdYb2EgH6ZUb3KjH7jKfkE
P72eVP+39543pczv3bc/r/F+F1x/+/0/2V+/P4j/+GH70SuACE4vOSbPh+pf/wMAAP//</cx:binary>
              </cx:geoCache>
            </cx:geography>
          </cx:layoutPr>
          <cx:valueColors>
            <cx:minColor>
              <a:schemeClr val="bg1"/>
            </cx:minColor>
            <cx:maxColor>
              <a:srgbClr val="ED7D31"/>
            </cx:maxColor>
          </cx:valueColors>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621354</xdr:colOff>
      <xdr:row>137</xdr:row>
      <xdr:rowOff>111541</xdr:rowOff>
    </xdr:from>
    <xdr:to>
      <xdr:col>10</xdr:col>
      <xdr:colOff>1102179</xdr:colOff>
      <xdr:row>156</xdr:row>
      <xdr:rowOff>95249</xdr:rowOff>
    </xdr:to>
    <mc:AlternateContent xmlns:mc="http://schemas.openxmlformats.org/markup-compatibility/2006">
      <mc:Choice xmlns:cx6="http://schemas.microsoft.com/office/drawing/2016/5/12/chartex" Requires="cx6">
        <xdr:graphicFrame macro="">
          <xdr:nvGraphicFramePr>
            <xdr:cNvPr id="5" name="Chart 3">
              <a:extLst>
                <a:ext uri="{FF2B5EF4-FFF2-40B4-BE49-F238E27FC236}">
                  <a16:creationId xmlns:a16="http://schemas.microsoft.com/office/drawing/2014/main" id="{BF581C72-1928-291A-3C2C-DBF9C52FE7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64554" y="30568681"/>
              <a:ext cx="8954265" cy="4959568"/>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507092</xdr:colOff>
      <xdr:row>105</xdr:row>
      <xdr:rowOff>29934</xdr:rowOff>
    </xdr:from>
    <xdr:to>
      <xdr:col>9</xdr:col>
      <xdr:colOff>1156608</xdr:colOff>
      <xdr:row>132</xdr:row>
      <xdr:rowOff>27214</xdr:rowOff>
    </xdr:to>
    <xdr:graphicFrame macro="">
      <xdr:nvGraphicFramePr>
        <xdr:cNvPr id="25" name="Chart 24">
          <a:extLst>
            <a:ext uri="{FF2B5EF4-FFF2-40B4-BE49-F238E27FC236}">
              <a16:creationId xmlns:a16="http://schemas.microsoft.com/office/drawing/2014/main" id="{B65DC0A6-BBFE-74D3-72C9-5FC30E7DD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408668</xdr:colOff>
      <xdr:row>105</xdr:row>
      <xdr:rowOff>1814</xdr:rowOff>
    </xdr:from>
    <xdr:to>
      <xdr:col>20</xdr:col>
      <xdr:colOff>898072</xdr:colOff>
      <xdr:row>132</xdr:row>
      <xdr:rowOff>40821</xdr:rowOff>
    </xdr:to>
    <xdr:graphicFrame macro="">
      <xdr:nvGraphicFramePr>
        <xdr:cNvPr id="26" name="Chart 25">
          <a:extLst>
            <a:ext uri="{FF2B5EF4-FFF2-40B4-BE49-F238E27FC236}">
              <a16:creationId xmlns:a16="http://schemas.microsoft.com/office/drawing/2014/main" id="{E39A1224-7C1E-395F-04D3-433A3FBB7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204108</xdr:colOff>
      <xdr:row>52</xdr:row>
      <xdr:rowOff>2721</xdr:rowOff>
    </xdr:from>
    <xdr:to>
      <xdr:col>9</xdr:col>
      <xdr:colOff>1115786</xdr:colOff>
      <xdr:row>74</xdr:row>
      <xdr:rowOff>149678</xdr:rowOff>
    </xdr:to>
    <xdr:graphicFrame macro="">
      <xdr:nvGraphicFramePr>
        <xdr:cNvPr id="30" name="Chart 29">
          <a:extLst>
            <a:ext uri="{FF2B5EF4-FFF2-40B4-BE49-F238E27FC236}">
              <a16:creationId xmlns:a16="http://schemas.microsoft.com/office/drawing/2014/main" id="{8120C57A-D3A0-665F-A275-122BDC091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52</xdr:row>
      <xdr:rowOff>0</xdr:rowOff>
    </xdr:from>
    <xdr:to>
      <xdr:col>21</xdr:col>
      <xdr:colOff>1251856</xdr:colOff>
      <xdr:row>74</xdr:row>
      <xdr:rowOff>146957</xdr:rowOff>
    </xdr:to>
    <xdr:graphicFrame macro="">
      <xdr:nvGraphicFramePr>
        <xdr:cNvPr id="31" name="Chart 30">
          <a:extLst>
            <a:ext uri="{FF2B5EF4-FFF2-40B4-BE49-F238E27FC236}">
              <a16:creationId xmlns:a16="http://schemas.microsoft.com/office/drawing/2014/main" id="{DA095BC3-AFFF-4B64-80B9-3D1C90071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456292</xdr:colOff>
      <xdr:row>1</xdr:row>
      <xdr:rowOff>98424</xdr:rowOff>
    </xdr:from>
    <xdr:to>
      <xdr:col>9</xdr:col>
      <xdr:colOff>1043213</xdr:colOff>
      <xdr:row>32</xdr:row>
      <xdr:rowOff>72572</xdr:rowOff>
    </xdr:to>
    <xdr:graphicFrame macro="">
      <xdr:nvGraphicFramePr>
        <xdr:cNvPr id="3" name="Chart 1">
          <a:extLst>
            <a:ext uri="{FF2B5EF4-FFF2-40B4-BE49-F238E27FC236}">
              <a16:creationId xmlns:a16="http://schemas.microsoft.com/office/drawing/2014/main" id="{8FE8FB5D-E702-4351-9315-6F8E4F392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1211036</xdr:colOff>
      <xdr:row>1</xdr:row>
      <xdr:rowOff>47171</xdr:rowOff>
    </xdr:from>
    <xdr:to>
      <xdr:col>20</xdr:col>
      <xdr:colOff>732972</xdr:colOff>
      <xdr:row>32</xdr:row>
      <xdr:rowOff>64860</xdr:rowOff>
    </xdr:to>
    <xdr:graphicFrame macro="">
      <xdr:nvGraphicFramePr>
        <xdr:cNvPr id="4" name="Chart 2">
          <a:extLst>
            <a:ext uri="{FF2B5EF4-FFF2-40B4-BE49-F238E27FC236}">
              <a16:creationId xmlns:a16="http://schemas.microsoft.com/office/drawing/2014/main" id="{B692A72E-C4E4-4C80-8DB5-B908BE875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13</xdr:row>
      <xdr:rowOff>19050</xdr:rowOff>
    </xdr:from>
    <xdr:to>
      <xdr:col>3</xdr:col>
      <xdr:colOff>1022350</xdr:colOff>
      <xdr:row>14</xdr:row>
      <xdr:rowOff>152400</xdr:rowOff>
    </xdr:to>
    <xdr:sp macro="[0]!data_input" textlink="">
      <xdr:nvSpPr>
        <xdr:cNvPr id="35" name="TextBox 34">
          <a:extLst>
            <a:ext uri="{FF2B5EF4-FFF2-40B4-BE49-F238E27FC236}">
              <a16:creationId xmlns:a16="http://schemas.microsoft.com/office/drawing/2014/main" id="{0BA247B5-86D9-9E42-D5D0-BC5F4D3E2877}"/>
            </a:ext>
          </a:extLst>
        </xdr:cNvPr>
        <xdr:cNvSpPr txBox="1"/>
      </xdr:nvSpPr>
      <xdr:spPr>
        <a:xfrm>
          <a:off x="3898900" y="2413000"/>
          <a:ext cx="869950" cy="3175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US" sz="1100"/>
            <a:t>Submit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13</xdr:row>
      <xdr:rowOff>19050</xdr:rowOff>
    </xdr:from>
    <xdr:to>
      <xdr:col>3</xdr:col>
      <xdr:colOff>1022350</xdr:colOff>
      <xdr:row>14</xdr:row>
      <xdr:rowOff>152400</xdr:rowOff>
    </xdr:to>
    <xdr:sp macro="[0]!data_input" textlink="">
      <xdr:nvSpPr>
        <xdr:cNvPr id="2" name="TextBox 1">
          <a:extLst>
            <a:ext uri="{FF2B5EF4-FFF2-40B4-BE49-F238E27FC236}">
              <a16:creationId xmlns:a16="http://schemas.microsoft.com/office/drawing/2014/main" id="{D0287F83-607F-4E85-9FAD-865B3986B167}"/>
            </a:ext>
          </a:extLst>
        </xdr:cNvPr>
        <xdr:cNvSpPr txBox="1"/>
      </xdr:nvSpPr>
      <xdr:spPr>
        <a:xfrm>
          <a:off x="4259580" y="2396490"/>
          <a:ext cx="869950" cy="31623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US" sz="1100"/>
            <a:t>Submit</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7F8F5A-2DB2-4346-9E6E-7985B1AD41A0}">
    <nsvFilter filterId="{5C3EDC3D-4B7C-4A3C-99E8-A5E5AEDCB508}" ref="A4:AB395" tableId="1"/>
  </namedSheetView>
  <namedSheetView name="View2" id="{E3AD40B2-F633-47E7-A456-1CE56E2B78DF}">
    <nsvFilter filterId="{5C3EDC3D-4B7C-4A3C-99E8-A5E5AEDCB508}" ref="A4:AB395" tableId="1"/>
  </namedSheetView>
  <namedSheetView name="View3" id="{44D580C6-4B0F-4C5F-BEE7-5F79F7C60DC6}">
    <nsvFilter filterId="{5C3EDC3D-4B7C-4A3C-99E8-A5E5AEDCB508}" ref="A4:AB395" tableId="1"/>
  </namedSheetView>
  <namedSheetView name="View4" id="{D888CE02-1D16-4618-833B-830F2F02CDBF}">
    <nsvFilter filterId="{5C3EDC3D-4B7C-4A3C-99E8-A5E5AEDCB508}" ref="A4:AB395" tableId="1"/>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2CCE9FE-6147-4022-BE7B-F71D5A5DD971}">
    <nsvFilter filterId="{A7C42E5D-A908-452D-94CE-8187A50EF3AE}" ref="A4:AK372" tableId="0"/>
  </namedSheetView>
  <namedSheetView name="View2" id="{0840DBEF-0CEF-4502-93E9-779AD686085F}">
    <nsvFilter filterId="{A7C42E5D-A908-452D-94CE-8187A50EF3AE}" ref="A4:AK372" tableId="0"/>
  </namedSheetView>
  <namedSheetView name="View3" id="{5EE74C6D-F57D-4BEF-9CC8-D10C1268B831}">
    <nsvFilter filterId="{A7C42E5D-A908-452D-94CE-8187A50EF3AE}" ref="A4:AK372" tableId="0"/>
  </namedSheetView>
  <namedSheetView name="View4" id="{567E8D2A-868B-4F03-8B22-A64847DFBA85}">
    <nsvFilter filterId="{A7C42E5D-A908-452D-94CE-8187A50EF3AE}" ref="A4:AK372"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BE32BB8-1258-4D4C-89E4-97530BEEB5D7}">
    <nsvFilter filterId="{B95B55F5-6B84-4FFA-AEC1-73DBDD62950C}" ref="A3:AI403" tableId="0"/>
  </namedSheetView>
</namedSheetViews>
</file>

<file path=xl/persons/person.xml><?xml version="1.0" encoding="utf-8"?>
<personList xmlns="http://schemas.microsoft.com/office/spreadsheetml/2018/threadedcomments" xmlns:x="http://schemas.openxmlformats.org/spreadsheetml/2006/main">
  <person displayName="NEM" id="{7396AEDE-FFC2-424F-AAD2-048CFD668304}" userId="S::nem@ecnewenergie.com::858ccd03-ef0b-4638-8f9b-8f88dec61840" providerId="AD"/>
  <person displayName="Jolyn KHOO" id="{82D4FEBB-5669-4E7C-A111-7668186A6281}" userId="S::jolyn.khoo@ecnewenergie.com::40664cd0-d0fd-4f82-a3b1-8202e6dbba45" providerId="AD"/>
  <person displayName="Siti Aziah" id="{479AFFF7-9FB9-488E-B2D1-1A290AC3FF07}" userId="S::siti.aziah@ecnewenergie.com::44910c5e-be91-4101-8b77-8f811294163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zrul" refreshedDate="45982.790773611108" createdVersion="8" refreshedVersion="8" minRefreshableVersion="3" recordCount="80" xr:uid="{DDD89B64-D0FA-42A3-AD1E-371202C266BB}">
  <cacheSource type="worksheet">
    <worksheetSource name="For_Pivot"/>
  </cacheSource>
  <cacheFields count="4">
    <cacheField name="Business" numFmtId="0">
      <sharedItems count="5">
        <s v="Residential (PV System)"/>
        <s v="C&amp;I (PV System)"/>
        <s v="Residential BESS"/>
        <s v="C&amp;I BESS"/>
        <s v="EV Chargers"/>
      </sharedItems>
    </cacheField>
    <cacheField name="Metric" numFmtId="0">
      <sharedItems count="4">
        <s v="System Capacity"/>
        <s v="Project Value"/>
        <s v="Revenue"/>
        <s v="Collection"/>
      </sharedItems>
    </cacheField>
    <cacheField name="Year" numFmtId="0">
      <sharedItems containsSemiMixedTypes="0" containsString="0" containsNumber="1" containsInteger="1" minValue="2023" maxValue="2026" count="4">
        <n v="2023"/>
        <n v="2024"/>
        <n v="2025"/>
        <n v="2026"/>
      </sharedItems>
    </cacheField>
    <cacheField name="Value" numFmtId="0">
      <sharedItems containsSemiMixedTypes="0" containsString="0" containsNumber="1" minValue="0" maxValue="503679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n v="313.29999999999995"/>
  </r>
  <r>
    <x v="0"/>
    <x v="0"/>
    <x v="1"/>
    <n v="1637.1649999999988"/>
  </r>
  <r>
    <x v="0"/>
    <x v="0"/>
    <x v="2"/>
    <n v="1684.6800000000039"/>
  </r>
  <r>
    <x v="0"/>
    <x v="0"/>
    <x v="3"/>
    <n v="0"/>
  </r>
  <r>
    <x v="1"/>
    <x v="0"/>
    <x v="0"/>
    <n v="428.69499999999999"/>
  </r>
  <r>
    <x v="1"/>
    <x v="0"/>
    <x v="1"/>
    <n v="2088.3450000000007"/>
  </r>
  <r>
    <x v="1"/>
    <x v="0"/>
    <x v="2"/>
    <n v="1200.97"/>
  </r>
  <r>
    <x v="1"/>
    <x v="0"/>
    <x v="3"/>
    <n v="0"/>
  </r>
  <r>
    <x v="2"/>
    <x v="0"/>
    <x v="0"/>
    <n v="287.39999999999998"/>
  </r>
  <r>
    <x v="2"/>
    <x v="0"/>
    <x v="1"/>
    <n v="0"/>
  </r>
  <r>
    <x v="2"/>
    <x v="0"/>
    <x v="2"/>
    <n v="0"/>
  </r>
  <r>
    <x v="2"/>
    <x v="0"/>
    <x v="3"/>
    <n v="0"/>
  </r>
  <r>
    <x v="3"/>
    <x v="0"/>
    <x v="0"/>
    <n v="0"/>
  </r>
  <r>
    <x v="3"/>
    <x v="0"/>
    <x v="1"/>
    <n v="0"/>
  </r>
  <r>
    <x v="3"/>
    <x v="0"/>
    <x v="2"/>
    <n v="0"/>
  </r>
  <r>
    <x v="3"/>
    <x v="0"/>
    <x v="3"/>
    <n v="0"/>
  </r>
  <r>
    <x v="4"/>
    <x v="0"/>
    <x v="0"/>
    <n v="100"/>
  </r>
  <r>
    <x v="4"/>
    <x v="0"/>
    <x v="1"/>
    <n v="789"/>
  </r>
  <r>
    <x v="4"/>
    <x v="0"/>
    <x v="2"/>
    <n v="897"/>
  </r>
  <r>
    <x v="4"/>
    <x v="0"/>
    <x v="3"/>
    <n v="0"/>
  </r>
  <r>
    <x v="0"/>
    <x v="1"/>
    <x v="0"/>
    <n v="782725"/>
  </r>
  <r>
    <x v="0"/>
    <x v="1"/>
    <x v="1"/>
    <n v="5036797.2"/>
  </r>
  <r>
    <x v="0"/>
    <x v="1"/>
    <x v="2"/>
    <n v="4495345.4000000004"/>
  </r>
  <r>
    <x v="0"/>
    <x v="1"/>
    <x v="3"/>
    <n v="0"/>
  </r>
  <r>
    <x v="1"/>
    <x v="1"/>
    <x v="0"/>
    <n v="521800"/>
  </r>
  <r>
    <x v="1"/>
    <x v="1"/>
    <x v="1"/>
    <n v="4266680"/>
  </r>
  <r>
    <x v="1"/>
    <x v="1"/>
    <x v="2"/>
    <n v="2397073.58"/>
  </r>
  <r>
    <x v="1"/>
    <x v="1"/>
    <x v="3"/>
    <n v="0"/>
  </r>
  <r>
    <x v="2"/>
    <x v="1"/>
    <x v="0"/>
    <n v="720000"/>
  </r>
  <r>
    <x v="2"/>
    <x v="1"/>
    <x v="1"/>
    <n v="0"/>
  </r>
  <r>
    <x v="2"/>
    <x v="1"/>
    <x v="2"/>
    <n v="0"/>
  </r>
  <r>
    <x v="2"/>
    <x v="1"/>
    <x v="3"/>
    <n v="0"/>
  </r>
  <r>
    <x v="3"/>
    <x v="1"/>
    <x v="0"/>
    <n v="0"/>
  </r>
  <r>
    <x v="3"/>
    <x v="1"/>
    <x v="1"/>
    <n v="0"/>
  </r>
  <r>
    <x v="3"/>
    <x v="1"/>
    <x v="2"/>
    <n v="0"/>
  </r>
  <r>
    <x v="3"/>
    <x v="1"/>
    <x v="3"/>
    <n v="0"/>
  </r>
  <r>
    <x v="4"/>
    <x v="1"/>
    <x v="0"/>
    <n v="93380"/>
  </r>
  <r>
    <x v="4"/>
    <x v="1"/>
    <x v="1"/>
    <n v="355363"/>
  </r>
  <r>
    <x v="4"/>
    <x v="1"/>
    <x v="2"/>
    <n v="982220"/>
  </r>
  <r>
    <x v="4"/>
    <x v="1"/>
    <x v="3"/>
    <n v="0"/>
  </r>
  <r>
    <x v="0"/>
    <x v="2"/>
    <x v="0"/>
    <n v="379240"/>
  </r>
  <r>
    <x v="0"/>
    <x v="2"/>
    <x v="1"/>
    <n v="3897315.2"/>
  </r>
  <r>
    <x v="0"/>
    <x v="2"/>
    <x v="2"/>
    <n v="4525569.4000000004"/>
  </r>
  <r>
    <x v="0"/>
    <x v="2"/>
    <x v="3"/>
    <n v="0"/>
  </r>
  <r>
    <x v="1"/>
    <x v="2"/>
    <x v="0"/>
    <n v="278820"/>
  </r>
  <r>
    <x v="1"/>
    <x v="2"/>
    <x v="1"/>
    <n v="2643170"/>
  </r>
  <r>
    <x v="1"/>
    <x v="2"/>
    <x v="2"/>
    <n v="4024756.41"/>
  </r>
  <r>
    <x v="1"/>
    <x v="2"/>
    <x v="3"/>
    <n v="0"/>
  </r>
  <r>
    <x v="2"/>
    <x v="2"/>
    <x v="0"/>
    <n v="432000"/>
  </r>
  <r>
    <x v="2"/>
    <x v="2"/>
    <x v="1"/>
    <n v="288000"/>
  </r>
  <r>
    <x v="2"/>
    <x v="2"/>
    <x v="2"/>
    <n v="0"/>
  </r>
  <r>
    <x v="2"/>
    <x v="2"/>
    <x v="3"/>
    <n v="0"/>
  </r>
  <r>
    <x v="3"/>
    <x v="2"/>
    <x v="0"/>
    <n v="0"/>
  </r>
  <r>
    <x v="3"/>
    <x v="2"/>
    <x v="1"/>
    <n v="0"/>
  </r>
  <r>
    <x v="3"/>
    <x v="2"/>
    <x v="2"/>
    <n v="0"/>
  </r>
  <r>
    <x v="3"/>
    <x v="2"/>
    <x v="3"/>
    <n v="0"/>
  </r>
  <r>
    <x v="4"/>
    <x v="2"/>
    <x v="0"/>
    <n v="46690"/>
  </r>
  <r>
    <x v="4"/>
    <x v="2"/>
    <x v="1"/>
    <n v="342903"/>
  </r>
  <r>
    <x v="4"/>
    <x v="2"/>
    <x v="2"/>
    <n v="568230"/>
  </r>
  <r>
    <x v="4"/>
    <x v="2"/>
    <x v="3"/>
    <n v="0"/>
  </r>
  <r>
    <x v="0"/>
    <x v="3"/>
    <x v="0"/>
    <n v="301640"/>
  </r>
  <r>
    <x v="0"/>
    <x v="3"/>
    <x v="1"/>
    <n v="3691311.2"/>
  </r>
  <r>
    <x v="0"/>
    <x v="3"/>
    <x v="2"/>
    <n v="4593876.4000000004"/>
  </r>
  <r>
    <x v="0"/>
    <x v="3"/>
    <x v="3"/>
    <n v="0"/>
  </r>
  <r>
    <x v="1"/>
    <x v="3"/>
    <x v="0"/>
    <n v="278820"/>
  </r>
  <r>
    <x v="1"/>
    <x v="3"/>
    <x v="1"/>
    <n v="2422890"/>
  </r>
  <r>
    <x v="1"/>
    <x v="3"/>
    <x v="2"/>
    <n v="2718491.41"/>
  </r>
  <r>
    <x v="1"/>
    <x v="3"/>
    <x v="3"/>
    <n v="0"/>
  </r>
  <r>
    <x v="2"/>
    <x v="3"/>
    <x v="0"/>
    <n v="432000"/>
  </r>
  <r>
    <x v="2"/>
    <x v="3"/>
    <x v="1"/>
    <n v="288000"/>
  </r>
  <r>
    <x v="2"/>
    <x v="3"/>
    <x v="2"/>
    <n v="0"/>
  </r>
  <r>
    <x v="2"/>
    <x v="3"/>
    <x v="3"/>
    <n v="0"/>
  </r>
  <r>
    <x v="3"/>
    <x v="3"/>
    <x v="0"/>
    <n v="0"/>
  </r>
  <r>
    <x v="3"/>
    <x v="3"/>
    <x v="1"/>
    <n v="0"/>
  </r>
  <r>
    <x v="3"/>
    <x v="3"/>
    <x v="2"/>
    <n v="0"/>
  </r>
  <r>
    <x v="3"/>
    <x v="3"/>
    <x v="3"/>
    <n v="0"/>
  </r>
  <r>
    <x v="4"/>
    <x v="3"/>
    <x v="0"/>
    <n v="46690"/>
  </r>
  <r>
    <x v="4"/>
    <x v="3"/>
    <x v="1"/>
    <n v="321025"/>
  </r>
  <r>
    <x v="4"/>
    <x v="3"/>
    <x v="2"/>
    <n v="367807.5"/>
  </r>
  <r>
    <x v="4"/>
    <x v="3"/>
    <x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AB7C25-5747-4660-B833-BF079A170D4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O10" firstHeaderRow="1" firstDataRow="2" firstDataCol="1" rowPageCount="1" colPageCount="1"/>
  <pivotFields count="4">
    <pivotField axis="axisRow" showAll="0">
      <items count="6">
        <item x="0"/>
        <item x="1"/>
        <item x="2"/>
        <item x="3"/>
        <item x="4"/>
        <item t="default"/>
      </items>
    </pivotField>
    <pivotField axis="axisCol" showAll="0">
      <items count="5">
        <item h="1" x="1"/>
        <item h="1" x="2"/>
        <item x="0"/>
        <item h="1" x="3"/>
        <item t="default"/>
      </items>
    </pivotField>
    <pivotField axis="axisPage" showAll="0">
      <items count="5">
        <item x="0"/>
        <item x="1"/>
        <item x="2"/>
        <item x="3"/>
        <item t="default"/>
      </items>
    </pivotField>
    <pivotField dataField="1" showAll="0"/>
  </pivotFields>
  <rowFields count="1">
    <field x="0"/>
  </rowFields>
  <rowItems count="6">
    <i>
      <x/>
    </i>
    <i>
      <x v="1"/>
    </i>
    <i>
      <x v="2"/>
    </i>
    <i>
      <x v="3"/>
    </i>
    <i>
      <x v="4"/>
    </i>
    <i t="grand">
      <x/>
    </i>
  </rowItems>
  <colFields count="1">
    <field x="1"/>
  </colFields>
  <colItems count="2">
    <i>
      <x v="2"/>
    </i>
    <i t="grand">
      <x/>
    </i>
  </colItems>
  <pageFields count="1">
    <pageField fld="2" hier="-1"/>
  </pageFields>
  <dataFields count="1">
    <dataField name="Sum of Value" fld="3" baseField="0" baseItem="0"/>
  </dataFields>
  <chartFormats count="6">
    <chartFormat chart="3" format="11" series="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3">
          <reference field="4294967294" count="1" selected="0">
            <x v="0"/>
          </reference>
          <reference field="0" count="1" selected="0">
            <x v="0"/>
          </reference>
          <reference field="1" count="1" selected="0">
            <x v="2"/>
          </reference>
        </references>
      </pivotArea>
    </chartFormat>
    <chartFormat chart="3" format="13">
      <pivotArea type="data" outline="0" fieldPosition="0">
        <references count="3">
          <reference field="4294967294" count="1" selected="0">
            <x v="0"/>
          </reference>
          <reference field="0" count="1" selected="0">
            <x v="1"/>
          </reference>
          <reference field="1" count="1" selected="0">
            <x v="2"/>
          </reference>
        </references>
      </pivotArea>
    </chartFormat>
    <chartFormat chart="3" format="14">
      <pivotArea type="data" outline="0" fieldPosition="0">
        <references count="3">
          <reference field="4294967294" count="1" selected="0">
            <x v="0"/>
          </reference>
          <reference field="0" count="1" selected="0">
            <x v="2"/>
          </reference>
          <reference field="1" count="1" selected="0">
            <x v="2"/>
          </reference>
        </references>
      </pivotArea>
    </chartFormat>
    <chartFormat chart="3" format="15">
      <pivotArea type="data" outline="0" fieldPosition="0">
        <references count="3">
          <reference field="4294967294" count="1" selected="0">
            <x v="0"/>
          </reference>
          <reference field="0" count="1" selected="0">
            <x v="3"/>
          </reference>
          <reference field="1" count="1" selected="0">
            <x v="2"/>
          </reference>
        </references>
      </pivotArea>
    </chartFormat>
    <chartFormat chart="3" format="16">
      <pivotArea type="data" outline="0" fieldPosition="0">
        <references count="3">
          <reference field="4294967294" count="1" selected="0">
            <x v="0"/>
          </reference>
          <reference field="0" count="1" selected="0">
            <x v="4"/>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E34B61-E87D-42B2-AC8B-A795EBB9265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K10" firstHeaderRow="1" firstDataRow="2" firstDataCol="1" rowPageCount="1" colPageCount="1"/>
  <pivotFields count="4">
    <pivotField axis="axisRow" showAll="0">
      <items count="6">
        <item x="0"/>
        <item x="1"/>
        <item x="2"/>
        <item x="3"/>
        <item x="4"/>
        <item t="default"/>
      </items>
    </pivotField>
    <pivotField axis="axisCol" showAll="0">
      <items count="5">
        <item x="1"/>
        <item x="2"/>
        <item x="3"/>
        <item h="1" x="0"/>
        <item t="default"/>
      </items>
    </pivotField>
    <pivotField axis="axisPage" showAll="0">
      <items count="5">
        <item x="0"/>
        <item x="1"/>
        <item x="2"/>
        <item x="3"/>
        <item t="default"/>
      </items>
    </pivotField>
    <pivotField dataField="1" showAll="0"/>
  </pivotFields>
  <rowFields count="1">
    <field x="0"/>
  </rowFields>
  <rowItems count="6">
    <i>
      <x/>
    </i>
    <i>
      <x v="1"/>
    </i>
    <i>
      <x v="2"/>
    </i>
    <i>
      <x v="3"/>
    </i>
    <i>
      <x v="4"/>
    </i>
    <i t="grand">
      <x/>
    </i>
  </rowItems>
  <colFields count="1">
    <field x="1"/>
  </colFields>
  <colItems count="4">
    <i>
      <x/>
    </i>
    <i>
      <x v="1"/>
    </i>
    <i>
      <x v="2"/>
    </i>
    <i t="grand">
      <x/>
    </i>
  </colItems>
  <pageFields count="1">
    <pageField fld="2" hier="-1"/>
  </pageFields>
  <dataFields count="1">
    <dataField name="Sum of Value" fld="3" baseField="0" baseItem="0" numFmtId="44"/>
  </dataFields>
  <formats count="1">
    <format dxfId="113">
      <pivotArea outline="0" collapsedLevelsAreSubtotals="1" fieldPosition="0"/>
    </format>
  </formats>
  <chartFormats count="3">
    <chartFormat chart="3" format="7" series="1">
      <pivotArea type="data" outline="0" fieldPosition="0">
        <references count="2">
          <reference field="4294967294" count="1" selected="0">
            <x v="0"/>
          </reference>
          <reference field="1" count="1" selected="0">
            <x v="0"/>
          </reference>
        </references>
      </pivotArea>
    </chartFormat>
    <chartFormat chart="3" format="8" series="1">
      <pivotArea type="data" outline="0" fieldPosition="0">
        <references count="2">
          <reference field="4294967294" count="1" selected="0">
            <x v="0"/>
          </reference>
          <reference field="1" count="1" selected="0">
            <x v="1"/>
          </reference>
        </references>
      </pivotArea>
    </chartFormat>
    <chartFormat chart="3" format="9"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erak" TargetMode="External"/><Relationship Id="rId13" Type="http://schemas.openxmlformats.org/officeDocument/2006/relationships/hyperlink" Target="https://www.bing.com/th?id=OSK.01c4d05da9ef1a98eb7640675d345eac&amp;qlt=95" TargetMode="External"/><Relationship Id="rId18" Type="http://schemas.openxmlformats.org/officeDocument/2006/relationships/hyperlink" Target="https://www.bing.com/images/search?form=xlimg&amp;q=Kelantan" TargetMode="External"/><Relationship Id="rId26" Type="http://schemas.openxmlformats.org/officeDocument/2006/relationships/hyperlink" Target="https://www.bing.com/images/search?form=xlimg&amp;q=Sabah" TargetMode="External"/><Relationship Id="rId3" Type="http://schemas.openxmlformats.org/officeDocument/2006/relationships/hyperlink" Target="https://www.bing.com/th?id=OSK.fdd81c82636f997d2d3a57a7d226aafa&amp;qlt=95" TargetMode="External"/><Relationship Id="rId21" Type="http://schemas.openxmlformats.org/officeDocument/2006/relationships/hyperlink" Target="https://www.bing.com/th?id=OSK.279b3ff06d5dc2c114445cbbf5780c50&amp;qlt=95" TargetMode="External"/><Relationship Id="rId7" Type="http://schemas.openxmlformats.org/officeDocument/2006/relationships/hyperlink" Target="https://www.bing.com/th?id=OSK.f4e25e20080c96089ca9c96e3d3c4adb&amp;qlt=95" TargetMode="External"/><Relationship Id="rId12" Type="http://schemas.openxmlformats.org/officeDocument/2006/relationships/hyperlink" Target="https://www.bing.com/images/search?form=xlimg&amp;q=Negeri%20Sembilan" TargetMode="External"/><Relationship Id="rId17" Type="http://schemas.openxmlformats.org/officeDocument/2006/relationships/hyperlink" Target="https://www.bing.com/th?id=OSK.f957a669f956def9ddd04ce733fc696c&amp;qlt=95" TargetMode="External"/><Relationship Id="rId25" Type="http://schemas.openxmlformats.org/officeDocument/2006/relationships/hyperlink" Target="https://www.bing.com/th?id=OSK.44a08bf92a6669b0bef12797ad5b180a&amp;qlt=95" TargetMode="External"/><Relationship Id="rId2" Type="http://schemas.openxmlformats.org/officeDocument/2006/relationships/hyperlink" Target="https://www.bing.com/images/search?form=xlimg&amp;q=Perlis" TargetMode="External"/><Relationship Id="rId16" Type="http://schemas.openxmlformats.org/officeDocument/2006/relationships/hyperlink" Target="https://www.bing.com/images/search?form=xlimg&amp;q=Johor" TargetMode="External"/><Relationship Id="rId20" Type="http://schemas.openxmlformats.org/officeDocument/2006/relationships/hyperlink" Target="https://www.bing.com/images/search?form=xlimg&amp;q=Terengganu" TargetMode="External"/><Relationship Id="rId29" Type="http://schemas.openxmlformats.org/officeDocument/2006/relationships/hyperlink" Target="https://www.bing.com/th?id=OSK.b48772640046152d9b047e6cd764c446&amp;qlt=95" TargetMode="External"/><Relationship Id="rId1" Type="http://schemas.openxmlformats.org/officeDocument/2006/relationships/hyperlink" Target="https://www.bing.com/th?id=OSK.Ymy0CVf1CG2LxxNiP7IbanVk0GFssVkhrLdYcdYSSm0&amp;qlt=95" TargetMode="External"/><Relationship Id="rId6" Type="http://schemas.openxmlformats.org/officeDocument/2006/relationships/hyperlink" Target="https://www.bing.com/images/search?form=xlimg&amp;q=Penang" TargetMode="External"/><Relationship Id="rId11" Type="http://schemas.openxmlformats.org/officeDocument/2006/relationships/hyperlink" Target="https://www.bing.com/th?id=OSK.2f50685849a988690bfba5f6ca3b93bc&amp;qlt=95" TargetMode="External"/><Relationship Id="rId24" Type="http://schemas.openxmlformats.org/officeDocument/2006/relationships/hyperlink" Target="https://www.bing.com/images/search?form=xlimg&amp;q=Kuala%20Lumpur" TargetMode="External"/><Relationship Id="rId5" Type="http://schemas.openxmlformats.org/officeDocument/2006/relationships/hyperlink" Target="https://www.bing.com/th?id=OSK.30a125127227dc3c321e6ce71d2b6d90&amp;qlt=95" TargetMode="External"/><Relationship Id="rId15" Type="http://schemas.openxmlformats.org/officeDocument/2006/relationships/hyperlink" Target="https://www.bing.com/th?id=OSK.8913e7996c998619e5350247895249ba&amp;qlt=95" TargetMode="External"/><Relationship Id="rId23" Type="http://schemas.openxmlformats.org/officeDocument/2006/relationships/hyperlink" Target="https://www.bing.com/th?id=OSK.e-IvvYMVbNBxYtivaAndiXz6G8ozxP48JqYpOtzAAv8&amp;qlt=95" TargetMode="External"/><Relationship Id="rId28" Type="http://schemas.openxmlformats.org/officeDocument/2006/relationships/hyperlink" Target="https://www.bing.com/images/search?form=xlimg&amp;q=Sarawak" TargetMode="External"/><Relationship Id="rId10" Type="http://schemas.openxmlformats.org/officeDocument/2006/relationships/hyperlink" Target="https://www.bing.com/images/search?form=xlimg&amp;q=Selangor" TargetMode="External"/><Relationship Id="rId19" Type="http://schemas.openxmlformats.org/officeDocument/2006/relationships/hyperlink" Target="https://www.bing.com/th?id=OSK.8484d390f47e47d23ed61adb7541ef2e&amp;qlt=95" TargetMode="External"/><Relationship Id="rId4" Type="http://schemas.openxmlformats.org/officeDocument/2006/relationships/hyperlink" Target="https://www.bing.com/images/search?form=xlimg&amp;q=Kedah" TargetMode="External"/><Relationship Id="rId9" Type="http://schemas.openxmlformats.org/officeDocument/2006/relationships/hyperlink" Target="https://www.bing.com/th?id=OSK.9538cdbc1066797833f471ae7b94411a&amp;qlt=95" TargetMode="External"/><Relationship Id="rId14" Type="http://schemas.openxmlformats.org/officeDocument/2006/relationships/hyperlink" Target="https://www.bing.com/images/search?form=xlimg&amp;q=Malacca" TargetMode="External"/><Relationship Id="rId22" Type="http://schemas.openxmlformats.org/officeDocument/2006/relationships/hyperlink" Target="https://www.bing.com/images/search?form=xlimg&amp;q=Pahang" TargetMode="External"/><Relationship Id="rId27" Type="http://schemas.openxmlformats.org/officeDocument/2006/relationships/hyperlink" Target="https://www.bing.com/th?id=OSK.7ad1e373a5523a5ce0c598ff3f65b8d2&amp;qlt=95" TargetMode="External"/><Relationship Id="rId30" Type="http://schemas.openxmlformats.org/officeDocument/2006/relationships/hyperlink" Target="https://www.bing.com/images/search?form=xlimg&amp;q=Putrajay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26">
  <a r="1">
    <v t="s">UTC+08:00</v>
  </a>
  <a r="1">
    <v t="r">14</v>
  </a>
  <a r="1">
    <v t="r">24</v>
  </a>
  <a r="1">
    <v t="r">33</v>
  </a>
  <a r="1">
    <v t="r">43</v>
  </a>
  <a r="1">
    <v t="r">59</v>
  </a>
  <a r="1">
    <v t="r">68</v>
  </a>
  <a r="1">
    <v t="s">Malay language</v>
  </a>
  <a r="1">
    <v t="s">Time in Malaysia</v>
  </a>
  <a r="1">
    <v t="r">79</v>
  </a>
  <a r="1">
    <v t="r">88</v>
  </a>
  <a r="1">
    <v t="r">97</v>
  </a>
  <a r="1">
    <v t="r">105</v>
  </a>
  <a r="1">
    <v t="r">114</v>
  </a>
  <a r="1">
    <v t="r">123</v>
  </a>
  <a r="2">
    <v t="s">English language</v>
    <v t="s">Malay language</v>
  </a>
  <a r="1">
    <v t="r">133</v>
  </a>
  <a r="1">
    <v t="r">138</v>
  </a>
  <a r="1">
    <v t="r">143</v>
  </a>
  <a r="1">
    <v t="r">147</v>
  </a>
  <a r="1">
    <v t="r">152</v>
  </a>
  <a r="1">
    <v t="r">157</v>
  </a>
  <a r="1">
    <v t="r">163</v>
  </a>
  <a r="2">
    <v t="s">Malaysia Time Zone</v>
    <v t="s">Singapore Standard Time</v>
  </a>
  <a r="1">
    <v t="r">171</v>
  </a>
  <a r="1">
    <v t="r">180</v>
  </a>
</arrayData>
</file>

<file path=xl/richData/rdrichvalue.xml><?xml version="1.0" encoding="utf-8"?>
<rvData xmlns="http://schemas.microsoft.com/office/spreadsheetml/2017/richdata" count="183">
  <rv s="0">
    <v>536870912</v>
    <v>Perlis</v>
    <v>671c3535-7aad-076b-5860-99706390b32b</v>
    <v>en-US</v>
    <v>Map</v>
  </rv>
  <rv s="1">
    <fb>821</fb>
    <v>9</v>
  </rv>
  <rv s="0">
    <v>536870912</v>
    <v>Kangar</v>
    <v>a3645305-06fc-26a4-3bf8-2a7a677933c7</v>
    <v>en-US</v>
    <v>Map</v>
  </rv>
  <rv s="0">
    <v>536870912</v>
    <v>Malaysia</v>
    <v>b3abad47-1313-e000-0d95-f77f69e2fcdd</v>
    <v>en-US</v>
    <v>Map</v>
  </rv>
  <rv s="2">
    <v>0</v>
    <v>7</v>
    <v>0</v>
    <v>7</v>
    <v>0</v>
    <v>Image of Perlis</v>
  </rv>
  <rv s="3">
    <v>https://www.bing.com/search?q=perlis+malaysia&amp;form=skydnc</v>
    <v>Learn more on Bing</v>
  </rv>
  <rv s="1">
    <fb>292700</fb>
    <v>9</v>
  </rv>
  <rv s="4">
    <v>0</v>
  </rv>
  <rv s="5">
    <v>#VALUE!</v>
    <v>en-US</v>
    <v>671c3535-7aad-076b-5860-99706390b32b</v>
    <v>536870912</v>
    <v>1</v>
    <v>2</v>
    <v>3</v>
    <v>Perlis</v>
    <v>5</v>
    <v>6</v>
    <v>Map</v>
    <v>7</v>
    <v>8</v>
    <v>MY-09</v>
    <v>1</v>
    <v>2</v>
    <v>3</v>
    <v>Perlis, is a state of Malaysia in the northwestern coast of Peninsular Malaysia. It is the smallest state in Malaysia by area and population, as well as the northernmost in the country. The state borders the Thai provinces of Satun and Songkhla ...</v>
    <v>4</v>
    <v>2</v>
    <v>5</v>
    <v>Perlis</v>
    <v>6</v>
    <v>7</v>
    <v>Perlis</v>
    <v>mdp/vdpid/10215558</v>
  </rv>
  <rv s="0">
    <v>536870912</v>
    <v>Kedah</v>
    <v>1ad802ca-b889-4b0f-9d8c-d335fad09909</v>
    <v>en-US</v>
    <v>Map</v>
  </rv>
  <rv s="1">
    <fb>9427</fb>
    <v>9</v>
  </rv>
  <rv s="0">
    <v>536870912</v>
    <v>Alor Setar</v>
    <v>5d0fbae4-5645-aebe-ccb7-66a0b5177d2c</v>
    <v>en-US</v>
    <v>Map</v>
  </rv>
  <rv s="2">
    <v>1</v>
    <v>7</v>
    <v>10</v>
    <v>7</v>
    <v>0</v>
    <v>Image of Kedah</v>
  </rv>
  <rv s="0">
    <v>536870912</v>
    <v>Sungai Petani</v>
    <v>73415655-e2e7-6cc9-6d52-11baa2ea6a55</v>
    <v>en-US</v>
    <v>Map</v>
  </rv>
  <rv s="0">
    <v>805306368</v>
    <v>Sallehuddin of Kedah (Sultan)</v>
    <v>0b19a7e7-a036-9257-28c7-a411a9dd1a9a</v>
    <v>en-US</v>
    <v>Generic</v>
  </rv>
  <rv s="4">
    <v>1</v>
  </rv>
  <rv s="3">
    <v>https://www.bing.com/search?q=kedah&amp;form=skydnc</v>
    <v>Learn more on Bing</v>
  </rv>
  <rv s="1">
    <fb>2131400</fb>
    <v>9</v>
  </rv>
  <rv s="6">
    <v>#VALUE!</v>
    <v>en-US</v>
    <v>1ad802ca-b889-4b0f-9d8c-d335fad09909</v>
    <v>536870912</v>
    <v>1</v>
    <v>12</v>
    <v>13</v>
    <v>Kedah</v>
    <v>5</v>
    <v>6</v>
    <v>Map</v>
    <v>7</v>
    <v>14</v>
    <v>MY-02</v>
    <v>10</v>
    <v>11</v>
    <v>3</v>
    <v>Kedah, also known by its honorific Darul Aman and historically as Queda, is a state of Malaysia, located in the northwestern part of Peninsular Malaysia. The state covers a total area of over 9,000 km², and consists of a mainland portion and the ...</v>
    <v>12</v>
    <v>13</v>
    <v>15</v>
    <v>16</v>
    <v>Kedah</v>
    <v>17</v>
    <v>7</v>
    <v>Kedah</v>
    <v>mdp/vdpid/16371</v>
  </rv>
  <rv s="0">
    <v>536870912</v>
    <v>Penang</v>
    <v>bf464054-864b-9148-4d71-cc74f94e1588</v>
    <v>en-US</v>
    <v>Map</v>
  </rv>
  <rv s="1">
    <fb>1031</fb>
    <v>9</v>
  </rv>
  <rv s="0">
    <v>536870912</v>
    <v>George Town, Penang</v>
    <v>f6c5eecb-f821-919d-9bc2-1e12c3665c5c</v>
    <v>en-US</v>
    <v>Map</v>
  </rv>
  <rv s="2">
    <v>2</v>
    <v>7</v>
    <v>15</v>
    <v>7</v>
    <v>0</v>
    <v>Image of Penang</v>
  </rv>
  <rv s="0">
    <v>536870912</v>
    <v>Seberang Perai</v>
    <v>47b1f83e-302e-045c-cc07-ecf7f5433782</v>
    <v>en-US</v>
    <v>Map</v>
  </rv>
  <rv s="0">
    <v>805306368</v>
    <v>Chow Kon Yeow (Chief minister)</v>
    <v>a278475b-5375-470c-cb33-32da249f8e9a</v>
    <v>en-US</v>
    <v>Generic</v>
  </rv>
  <rv s="4">
    <v>2</v>
  </rv>
  <rv s="3">
    <v>https://www.bing.com/search?q=penang&amp;form=skydnc</v>
    <v>Learn more on Bing</v>
  </rv>
  <rv s="1">
    <fb>1740400</fb>
    <v>9</v>
  </rv>
  <rv s="7">
    <v>#VALUE!</v>
    <v>en-US</v>
    <v>bf464054-864b-9148-4d71-cc74f94e1588</v>
    <v>536870912</v>
    <v>1</v>
    <v>17</v>
    <v>18</v>
    <v>Penang</v>
    <v>5</v>
    <v>6</v>
    <v>Map</v>
    <v>7</v>
    <v>14</v>
    <v>MY-07</v>
    <v>20</v>
    <v>21</v>
    <v>3</v>
    <v>Penang is a Malaysian state located on the northwest coast of Peninsular Malaysia, by the Malacca Strait. It has two parts: Penang Island, where the capital city, George Town, is located, and Seberang Perai on the Malay Peninsula. These two ...</v>
    <v>22</v>
    <v>23</v>
    <v>25</v>
    <v>26</v>
    <v>Penang</v>
    <v>27</v>
    <v>Penang</v>
    <v>mdp/vdpid/41861</v>
  </rv>
  <rv s="0">
    <v>536870912</v>
    <v>Perak</v>
    <v>6ca4b1a2-6a13-0976-d0f4-e53c93091316</v>
    <v>en-US</v>
    <v>Map</v>
  </rv>
  <rv s="1">
    <fb>21035</fb>
    <v>9</v>
  </rv>
  <rv s="0">
    <v>536870912</v>
    <v>Ipoh</v>
    <v>85ca436c-c560-6413-40ef-784625da8334</v>
    <v>en-US</v>
    <v>Map</v>
  </rv>
  <rv s="2">
    <v>3</v>
    <v>7</v>
    <v>19</v>
    <v>7</v>
    <v>0</v>
    <v>Image of Perak</v>
  </rv>
  <rv s="0">
    <v>805306368</v>
    <v>Nazrin Shah of Perak (Sultan)</v>
    <v>c053685c-a1ed-f4d8-925d-a9107ae16fe5</v>
    <v>en-US</v>
    <v>Generic</v>
  </rv>
  <rv s="4">
    <v>3</v>
  </rv>
  <rv s="3">
    <v>https://www.bing.com/search?q=suk+perak&amp;form=skydnc</v>
    <v>Learn more on Bing</v>
  </rv>
  <rv s="1">
    <fb>2500000</fb>
    <v>9</v>
  </rv>
  <rv s="6">
    <v>#VALUE!</v>
    <v>en-US</v>
    <v>6ca4b1a2-6a13-0976-d0f4-e53c93091316</v>
    <v>536870912</v>
    <v>1</v>
    <v>21</v>
    <v>13</v>
    <v>Perak</v>
    <v>5</v>
    <v>6</v>
    <v>Map</v>
    <v>7</v>
    <v>22</v>
    <v>MY-08</v>
    <v>30</v>
    <v>31</v>
    <v>3</v>
    <v>Perak is a state of Malaysia on the west coast of the Malay Peninsula. Perak has land borders with the Malaysian states of Kedah to the north, Penang to the northwest, Kelantan and Pahang to the east, and Selangor to the south. Thailand's Yala ...</v>
    <v>32</v>
    <v>31</v>
    <v>34</v>
    <v>35</v>
    <v>Perak</v>
    <v>36</v>
    <v>7</v>
    <v>Perak</v>
    <v>mdp/vdpid/7594837</v>
  </rv>
  <rv s="0">
    <v>536870912</v>
    <v>Selangor</v>
    <v>c58b8d2f-8526-6b7e-ae27-d302d98eb422</v>
    <v>en-US</v>
    <v>Map</v>
  </rv>
  <rv s="1">
    <fb>8104</fb>
    <v>9</v>
  </rv>
  <rv s="0">
    <v>536870912</v>
    <v>Shah Alam</v>
    <v>55d1e8a2-e8cf-07e5-0f90-246358d503b7</v>
    <v>en-US</v>
    <v>Map</v>
  </rv>
  <rv s="2">
    <v>4</v>
    <v>7</v>
    <v>23</v>
    <v>7</v>
    <v>0</v>
    <v>Image of Selangor</v>
  </rv>
  <rv s="0">
    <v>536870912</v>
    <v>Petaling Jaya</v>
    <v>3f77978b-ae35-7b98-b372-f2a8c8162050</v>
    <v>en-US</v>
    <v>Map</v>
  </rv>
  <rv s="0">
    <v>805306368</v>
    <v>Sharafuddin of Selangor (Sultan)</v>
    <v>04307137-f641-53b8-454c-c6cd8a35c411</v>
    <v>en-US</v>
    <v>Generic</v>
  </rv>
  <rv s="4">
    <v>4</v>
  </rv>
  <rv s="3">
    <v>https://www.bing.com/search?q=selangor&amp;form=skydnc</v>
    <v>Learn more on Bing</v>
  </rv>
  <rv s="1">
    <fb>5411324</fb>
    <v>9</v>
  </rv>
  <rv s="7">
    <v>#VALUE!</v>
    <v>en-US</v>
    <v>c58b8d2f-8526-6b7e-ae27-d302d98eb422</v>
    <v>536870912</v>
    <v>1</v>
    <v>25</v>
    <v>18</v>
    <v>Selangor</v>
    <v>5</v>
    <v>6</v>
    <v>Map</v>
    <v>7</v>
    <v>26</v>
    <v>MY-10</v>
    <v>39</v>
    <v>40</v>
    <v>3</v>
    <v>Selangor, also known by its Arabic honorific Darul Ehsan, or "Abode of Sincerity", is one of the 13 states of Malaysia. It is on the west coast of Peninsular Malaysia and is bordered by Perak to the north, Pahang to the east, Negeri Sembilan to ...</v>
    <v>41</v>
    <v>42</v>
    <v>44</v>
    <v>45</v>
    <v>Selangor</v>
    <v>46</v>
    <v>Selangor</v>
    <v>mdp/vdpid/10215561</v>
  </rv>
  <rv s="0">
    <v>536870912</v>
    <v>Negeri Sembilan</v>
    <v>db3e30e6-d597-cb37-b5d7-d3dd4e8b5d00</v>
    <v>en-US</v>
    <v>Map</v>
  </rv>
  <rv s="1">
    <fb>6686</fb>
    <v>9</v>
  </rv>
  <rv s="0">
    <v>536870912</v>
    <v>Seremban</v>
    <v>55841024-f787-c0ba-39b6-816702092c20</v>
    <v>en-US</v>
    <v>Map</v>
  </rv>
  <rv s="2">
    <v>5</v>
    <v>7</v>
    <v>27</v>
    <v>7</v>
    <v>0</v>
    <v>Image of Negeri Sembilan</v>
  </rv>
  <rv s="3">
    <v>https://www.bing.com/search?q=negeri+sembilan&amp;form=skydnc</v>
    <v>Learn more on Bing</v>
  </rv>
  <rv s="1">
    <fb>997071</fb>
    <v>9</v>
  </rv>
  <rv s="8">
    <v>#VALUE!</v>
    <v>en-US</v>
    <v>db3e30e6-d597-cb37-b5d7-d3dd4e8b5d00</v>
    <v>536870912</v>
    <v>1</v>
    <v>29</v>
    <v>30</v>
    <v>Negeri Sembilan</v>
    <v>5</v>
    <v>6</v>
    <v>Map</v>
    <v>7</v>
    <v>26</v>
    <v>MY-05</v>
    <v>49</v>
    <v>50</v>
    <v>3</v>
    <v>Negeri Sembilan, historically spelled as Negri Sembilan, is a state in Malaysia which lies on the western coast of Peninsular Malaysia. It borders Selangor on the north, Pahang in the east, and Malacca and Johor to the south.</v>
    <v>51</v>
    <v>50</v>
    <v>52</v>
    <v>Negeri Sembilan</v>
    <v>53</v>
    <v>Negeri Sembilan</v>
    <v>mdp/vdpid/22890</v>
  </rv>
  <rv s="0">
    <v>536870912</v>
    <v>Malacca</v>
    <v>44a9355d-c135-72b5-fc60-4291a89e003e</v>
    <v>en-US</v>
    <v>Map</v>
  </rv>
  <rv s="1">
    <fb>1720</fb>
    <v>9</v>
  </rv>
  <rv s="0">
    <v>536870912</v>
    <v>Malacca City</v>
    <v>9aee921e-99fb-bf62-91ba-f56fa2c759f5</v>
    <v>en-US</v>
    <v>Map</v>
  </rv>
  <rv s="2">
    <v>6</v>
    <v>7</v>
    <v>31</v>
    <v>7</v>
    <v>0</v>
    <v>Image of Malacca</v>
  </rv>
  <rv s="0">
    <v>805306368</v>
    <v>Ab Rauf Yusoh (Chief minister)</v>
    <v>4a7051a3-75b9-fc1a-e9b2-b5fec89c17f4</v>
    <v>en-US</v>
    <v>Generic</v>
  </rv>
  <rv s="4">
    <v>5</v>
  </rv>
  <rv s="3">
    <v>https://www.bing.com/search?q=malacca&amp;form=skydnc</v>
    <v>Learn more on Bing</v>
  </rv>
  <rv s="1">
    <fb>998400</fb>
    <v>9</v>
  </rv>
  <rv s="7">
    <v>#VALUE!</v>
    <v>en-US</v>
    <v>44a9355d-c135-72b5-fc60-4291a89e003e</v>
    <v>536870912</v>
    <v>1</v>
    <v>33</v>
    <v>18</v>
    <v>Malacca</v>
    <v>5</v>
    <v>6</v>
    <v>Map</v>
    <v>7</v>
    <v>14</v>
    <v>MY-04</v>
    <v>56</v>
    <v>57</v>
    <v>3</v>
    <v>Malacca, officially the Historic State of Malacca, is a state in Malaysia located in the southern region of the Malay Peninsula, facing the Strait of Malacca. The state is bordered by Negeri Sembilan to the north and west and Johor to the south. ...</v>
    <v>58</v>
    <v>57</v>
    <v>60</v>
    <v>61</v>
    <v>Malacca</v>
    <v>62</v>
    <v>Malacca</v>
    <v>mdp/vdpid/20899</v>
  </rv>
  <rv s="0">
    <v>536870912</v>
    <v>Johor</v>
    <v>592580f7-38da-e7c1-18ba-b603c80b3d69</v>
    <v>en-US</v>
    <v>Map</v>
  </rv>
  <rv s="1">
    <fb>19210</fb>
    <v>9</v>
  </rv>
  <rv s="0">
    <v>536870912</v>
    <v>Johor Bahru</v>
    <v>efc6b6ca-fb85-3052-4cd7-291dff4e4387</v>
    <v>en-US</v>
    <v>Map</v>
  </rv>
  <rv s="2">
    <v>7</v>
    <v>7</v>
    <v>34</v>
    <v>7</v>
    <v>0</v>
    <v>Image of Johor</v>
  </rv>
  <rv s="0">
    <v>805306368</v>
    <v>Ibrahim Iskandar of Johor (Sultan)</v>
    <v>cf1473be-96e1-a155-b8da-dd2b83f222ad</v>
    <v>en-US</v>
    <v>Generic</v>
  </rv>
  <rv s="4">
    <v>6</v>
  </rv>
  <rv s="3">
    <v>https://www.bing.com/search?q=johor&amp;form=skydnc</v>
    <v>Learn more on Bing</v>
  </rv>
  <rv s="4">
    <v>7</v>
  </rv>
  <rv s="1">
    <fb>4100900</fb>
    <v>9</v>
  </rv>
  <rv s="4">
    <v>8</v>
  </rv>
  <rv s="9">
    <v>#VALUE!</v>
    <v>en-US</v>
    <v>592580f7-38da-e7c1-18ba-b603c80b3d69</v>
    <v>536870912</v>
    <v>1</v>
    <v>36</v>
    <v>37</v>
    <v>Johor</v>
    <v>5</v>
    <v>6</v>
    <v>Map</v>
    <v>7</v>
    <v>8</v>
    <v>MY-01</v>
    <v>65</v>
    <v>66</v>
    <v>3</v>
    <v>Johor is a state of Malaysia in the south of the Malay Peninsula. It borders with Pahang, Malacca and Negeri Sembilan to the north. Johor has maritime borders with Singapore to the south and Indonesia to the east and west. As of 2023, the ...</v>
    <v>67</v>
    <v>66</v>
    <v>69</v>
    <v>70</v>
    <v>Johor</v>
    <v>71</v>
    <v>72</v>
    <v>73</v>
    <v>Johor</v>
    <v>mdp/vdpid/7594849</v>
  </rv>
  <rv s="0">
    <v>536870912</v>
    <v>Kelantan</v>
    <v>4ce27f56-2eb0-d77a-ba8c-f8a03a225785</v>
    <v>en-US</v>
    <v>Map</v>
  </rv>
  <rv s="1">
    <fb>15099</fb>
    <v>9</v>
  </rv>
  <rv s="0">
    <v>536870912</v>
    <v>Kota Bharu</v>
    <v>3124c5cc-71f7-80bd-ca6c-8daf3b4a83a1</v>
    <v>en-US</v>
    <v>Map</v>
  </rv>
  <rv s="2">
    <v>8</v>
    <v>7</v>
    <v>38</v>
    <v>7</v>
    <v>0</v>
    <v>Image of Kelantan</v>
  </rv>
  <rv s="0">
    <v>805306368</v>
    <v>Muhammad V of Kelantan (Sultan)</v>
    <v>2e372fa7-f859-b357-55cf-04441943b731</v>
    <v>en-US</v>
    <v>Generic</v>
  </rv>
  <rv s="4">
    <v>9</v>
  </rv>
  <rv s="3">
    <v>https://www.bing.com/search?q=kelantan&amp;form=skydnc</v>
    <v>Learn more on Bing</v>
  </rv>
  <rv s="1">
    <fb>1812300</fb>
    <v>9</v>
  </rv>
  <rv s="6">
    <v>#VALUE!</v>
    <v>en-US</v>
    <v>4ce27f56-2eb0-d77a-ba8c-f8a03a225785</v>
    <v>536870912</v>
    <v>1</v>
    <v>40</v>
    <v>13</v>
    <v>Kelantan</v>
    <v>5</v>
    <v>6</v>
    <v>Map</v>
    <v>7</v>
    <v>41</v>
    <v>MY-03</v>
    <v>76</v>
    <v>77</v>
    <v>3</v>
    <v>Kelantan is a state in Malaysia. The capital, Kota Bharu, includes the royal seat of Kubang Kerian. The honorific name of the state is Darul Naim. Kelantan is the only state outside of East Malaysia that does not use the term district in its ...</v>
    <v>78</v>
    <v>77</v>
    <v>80</v>
    <v>81</v>
    <v>Kelantan</v>
    <v>82</v>
    <v>7</v>
    <v>Kelantan</v>
    <v>mdp/vdpid/10215559</v>
  </rv>
  <rv s="0">
    <v>536870912</v>
    <v>Terengganu</v>
    <v>4c426c92-33a4-e12c-382a-d84a8509dfa2</v>
    <v>en-US</v>
    <v>Map</v>
  </rv>
  <rv s="1">
    <fb>12955</fb>
    <v>9</v>
  </rv>
  <rv s="0">
    <v>536870912</v>
    <v>Kuala Terengganu</v>
    <v>57738c15-6baf-961c-9194-ce6c45371217</v>
    <v>en-US</v>
    <v>Map</v>
  </rv>
  <rv s="2">
    <v>9</v>
    <v>7</v>
    <v>42</v>
    <v>7</v>
    <v>0</v>
    <v>Image of Terengganu</v>
  </rv>
  <rv s="0">
    <v>805306368</v>
    <v>Mizan Zainal Abidin of Terengganu (Sultan)</v>
    <v>2bd6804d-de63-7b5b-805b-2a38564ed5b9</v>
    <v>en-US</v>
    <v>Generic</v>
  </rv>
  <rv s="4">
    <v>10</v>
  </rv>
  <rv s="3">
    <v>https://www.bing.com/search?q=terengganu&amp;form=skydnc</v>
    <v>Learn more on Bing</v>
  </rv>
  <rv s="1">
    <fb>1149440</fb>
    <v>9</v>
  </rv>
  <rv s="6">
    <v>#VALUE!</v>
    <v>en-US</v>
    <v>4c426c92-33a4-e12c-382a-d84a8509dfa2</v>
    <v>536870912</v>
    <v>1</v>
    <v>44</v>
    <v>13</v>
    <v>Terengganu</v>
    <v>5</v>
    <v>6</v>
    <v>Map</v>
    <v>7</v>
    <v>14</v>
    <v>MY-11</v>
    <v>85</v>
    <v>86</v>
    <v>3</v>
    <v>Terengganu is a sultanate and federal state of Malaysia. The state is also known by its Arabic honorific, Dāru l-Īmān. The coastal city of Kuala Terengganu, at the mouth of the Terengganu River, is both the state and royal capital as well as the ...</v>
    <v>87</v>
    <v>86</v>
    <v>89</v>
    <v>90</v>
    <v>Terengganu</v>
    <v>91</v>
    <v>7</v>
    <v>Terengganu</v>
    <v>mdp/vdpid/10215560</v>
  </rv>
  <rv s="0">
    <v>536870912</v>
    <v>Pahang</v>
    <v>829da6d6-c70a-85d9-8d5d-b70db574854d</v>
    <v>en-US</v>
    <v>Map</v>
  </rv>
  <rv s="1">
    <fb>35964</fb>
    <v>9</v>
  </rv>
  <rv s="0">
    <v>536870912</v>
    <v>Kuantan</v>
    <v>b64ae13b-8106-9b62-13eb-69af00eeeee9</v>
    <v>en-US</v>
    <v>Map</v>
  </rv>
  <rv s="2">
    <v>10</v>
    <v>7</v>
    <v>45</v>
    <v>7</v>
    <v>0</v>
    <v>Image of Pahang</v>
  </rv>
  <rv s="0">
    <v>805306368</v>
    <v>Abdullah of Pahang (Sultan)</v>
    <v>6a422b48-a7d4-e27a-b096-ef9fbb32091f</v>
    <v>en-US</v>
    <v>Generic</v>
  </rv>
  <rv s="4">
    <v>11</v>
  </rv>
  <rv s="3">
    <v>https://www.bing.com/search?q=pahang&amp;form=skydnc</v>
    <v>Learn more on Bing</v>
  </rv>
  <rv s="1">
    <fb>1623200</fb>
    <v>9</v>
  </rv>
  <rv s="6">
    <v>#VALUE!</v>
    <v>en-US</v>
    <v>829da6d6-c70a-85d9-8d5d-b70db574854d</v>
    <v>536870912</v>
    <v>1</v>
    <v>47</v>
    <v>13</v>
    <v>Pahang</v>
    <v>5</v>
    <v>6</v>
    <v>Map</v>
    <v>7</v>
    <v>48</v>
    <v>MY-06</v>
    <v>94</v>
    <v>95</v>
    <v>3</v>
    <v>Pahang, officially Pahang Darul Makmur with the Arabic honorific Darul Makmur is a sultanate and a federal state of Malaysia. It is the third largest state in the country and the largest state in Peninsular Malaysia, and the ninth most populous. ...</v>
    <v>96</v>
    <v>95</v>
    <v>98</v>
    <v>99</v>
    <v>Pahang</v>
    <v>100</v>
    <v>7</v>
    <v>Pahang</v>
    <v>mdp/vdpid/10215557</v>
  </rv>
  <rv s="0">
    <v>536870912</v>
    <v>Kuala Lumpur</v>
    <v>22f00b26-6726-bd5c-180f-3ff38ae380f3</v>
    <v>en-US</v>
    <v>Map</v>
  </rv>
  <rv s="1">
    <fb>243.65</fb>
    <v>9</v>
  </rv>
  <rv s="2">
    <v>11</v>
    <v>7</v>
    <v>49</v>
    <v>7</v>
    <v>0</v>
    <v>Image of Kuala Lumpur</v>
  </rv>
  <rv s="0">
    <v>805306368</v>
    <v>Maimunah Mohd Sharif (Mayor)</v>
    <v>e460365c-33af-c512-021d-15ea70e026d8</v>
    <v>en-US</v>
    <v>Generic</v>
  </rv>
  <rv s="4">
    <v>12</v>
  </rv>
  <rv s="3">
    <v>https://www.bing.com/search?q=kuala+lumpur&amp;form=skydnc</v>
    <v>Learn more on Bing</v>
  </rv>
  <rv s="1">
    <fb>1982100</fb>
    <v>9</v>
  </rv>
  <rv s="10">
    <v>#VALUE!</v>
    <v>en-US</v>
    <v>22f00b26-6726-bd5c-180f-3ff38ae380f3</v>
    <v>536870912</v>
    <v>1</v>
    <v>51</v>
    <v>52</v>
    <v>Kuala Lumpur</v>
    <v>5</v>
    <v>6</v>
    <v>Map</v>
    <v>7</v>
    <v>14</v>
    <v>MY-14</v>
    <v>103</v>
    <v>3</v>
    <v>Kuala Lumpur, officially the Federal Territory of Kuala Lumpur, and colloquially referred to as KL, is the capital city and a federal territory of Malaysia. It is the largest city in the country, covering an area of 243 km² with a census ...</v>
    <v>104</v>
    <v>106</v>
    <v>107</v>
    <v>Kuala Lumpur</v>
    <v>71</v>
    <v>108</v>
    <v>7</v>
    <v>Kuala Lumpur</v>
    <v>mdp/vdpid/7886181754984202244</v>
  </rv>
  <rv s="0">
    <v>536870912</v>
    <v>Sabah</v>
    <v>6441d726-276d-e074-b446-2e6612c2e9e2</v>
    <v>en-US</v>
    <v>Map</v>
  </rv>
  <rv s="1">
    <fb>76115</fb>
    <v>9</v>
  </rv>
  <rv s="0">
    <v>536870912</v>
    <v>Kota Kinabalu</v>
    <v>9ca05a89-1d88-7ee8-c9fd-81f8744aa629</v>
    <v>en-US</v>
    <v>Map</v>
  </rv>
  <rv s="2">
    <v>12</v>
    <v>7</v>
    <v>53</v>
    <v>7</v>
    <v>0</v>
    <v>Image of Sabah</v>
  </rv>
  <rv s="0">
    <v>805306368</v>
    <v>Hajiji Noor (Chief minister)</v>
    <v>5e4b431a-7b0b-cd9f-c078-21a895052062</v>
    <v>en-US</v>
    <v>Generic</v>
  </rv>
  <rv s="4">
    <v>13</v>
  </rv>
  <rv s="3">
    <v>https://www.bing.com/search?q=sabah&amp;form=skydnc</v>
    <v>Learn more on Bing</v>
  </rv>
  <rv s="1">
    <fb>3830000</fb>
    <v>9</v>
  </rv>
  <rv s="11">
    <v>#VALUE!</v>
    <v>en-US</v>
    <v>6441d726-276d-e074-b446-2e6612c2e9e2</v>
    <v>536870912</v>
    <v>1</v>
    <v>55</v>
    <v>56</v>
    <v>Sabah</v>
    <v>5</v>
    <v>6</v>
    <v>Map</v>
    <v>7</v>
    <v>41</v>
    <v>MY-12</v>
    <v>111</v>
    <v>112</v>
    <v>3</v>
    <v>Sabah, or given nickname Sabah Bumi Di Bawah Bayu is a state of Malaysia located on the northern portion of Borneo, in the region of East Malaysia. Sabah has land borders with the Malaysian state of Sarawak to the southwest and Indonesia's North ...</v>
    <v>113</v>
    <v>112</v>
    <v>115</v>
    <v>116</v>
    <v>Sabah</v>
    <v>71</v>
    <v>117</v>
    <v>Sabah</v>
    <v>mdp/vdpid/28487</v>
  </rv>
  <rv s="0">
    <v>536870912</v>
    <v>Sarawak</v>
    <v>dce6889b-8572-6739-b867-e448e9f0fc11</v>
    <v>en-US</v>
    <v>Map</v>
  </rv>
  <rv s="1">
    <fb>124450</fb>
    <v>9</v>
  </rv>
  <rv s="0">
    <v>536870912</v>
    <v>Kuching</v>
    <v>4db49314-b768-1548-c2a3-e03240cca84f</v>
    <v>en-US</v>
    <v>Map</v>
  </rv>
  <rv s="2">
    <v>13</v>
    <v>7</v>
    <v>57</v>
    <v>7</v>
    <v>0</v>
    <v>Image of Sarawak</v>
  </rv>
  <rv s="0">
    <v>805306368</v>
    <v>Abang Johari (Premier)</v>
    <v>dbd7cd23-0118-e080-bc6a-361575c68f00</v>
    <v>en-US</v>
    <v>Generic</v>
  </rv>
  <rv s="4">
    <v>14</v>
  </rv>
  <rv s="3">
    <v>https://www.bing.com/search?q=sarawak&amp;form=skydnc</v>
    <v>Learn more on Bing</v>
  </rv>
  <rv s="4">
    <v>15</v>
  </rv>
  <rv s="1">
    <fb>2907500</fb>
    <v>9</v>
  </rv>
  <rv s="9">
    <v>#VALUE!</v>
    <v>en-US</v>
    <v>dce6889b-8572-6739-b867-e448e9f0fc11</v>
    <v>536870912</v>
    <v>1</v>
    <v>59</v>
    <v>37</v>
    <v>Sarawak</v>
    <v>5</v>
    <v>6</v>
    <v>Map</v>
    <v>7</v>
    <v>14</v>
    <v>MY-13</v>
    <v>120</v>
    <v>121</v>
    <v>3</v>
    <v>Sarawak is a state of Malaysia. The largest among the 13 states, with an area almost equal to that of Peninsular Malaysia, Sarawak is located in East Malaysia in northwest Borneo, and is bordered by the Malaysian state of Sabah to the northeast, ...</v>
    <v>122</v>
    <v>121</v>
    <v>124</v>
    <v>125</v>
    <v>Sarawak</v>
    <v>126</v>
    <v>127</v>
    <v>7</v>
    <v>Sarawak</v>
    <v>mdp/vdpid/29882</v>
  </rv>
  <rv s="0">
    <v>536870912</v>
    <v>Selangor</v>
    <v>c58b8d2f-8526-6b7e-ae27-d302d98eb422</v>
    <v>en-MY</v>
    <v>Map</v>
  </rv>
  <rv s="0">
    <v>536870912</v>
    <v>Shah Alam</v>
    <v>55d1e8a2-e8cf-07e5-0f90-246358d503b7</v>
    <v>en-MY</v>
    <v>Map</v>
  </rv>
  <rv s="0">
    <v>536870912</v>
    <v>Malaysia</v>
    <v>b3abad47-1313-e000-0d95-f77f69e2fcdd</v>
    <v>en-MY</v>
    <v>Map</v>
  </rv>
  <rv s="0">
    <v>536870912</v>
    <v>Petaling Jaya</v>
    <v>3f77978b-ae35-7b98-b372-f2a8c8162050</v>
    <v>en-MY</v>
    <v>Map</v>
  </rv>
  <rv s="0">
    <v>805306368</v>
    <v>Sharafuddin of Selangor (Sultan)</v>
    <v>04307137-f641-53b8-454c-c6cd8a35c411</v>
    <v>en-MY</v>
    <v>Generic</v>
  </rv>
  <rv s="4">
    <v>16</v>
  </rv>
  <rv s="7">
    <v>#VALUE!</v>
    <v>en-MY</v>
    <v>c58b8d2f-8526-6b7e-ae27-d302d98eb422</v>
    <v>536870912</v>
    <v>1</v>
    <v>25</v>
    <v>18</v>
    <v>Selangor</v>
    <v>5</v>
    <v>6</v>
    <v>Map</v>
    <v>7</v>
    <v>26</v>
    <v>MY-10</v>
    <v>39</v>
    <v>130</v>
    <v>131</v>
    <v>Selangor, also known by its Arabic honorific Darul Ehsan, or "Abode of Sincerity", is one of the 13 states of Malaysia. It is on the west coast of Peninsular Malaysia and is bordered by Perak to the north, Pahang to the east, Negeri Sembilan to ...</v>
    <v>41</v>
    <v>132</v>
    <v>134</v>
    <v>45</v>
    <v>Selangor</v>
    <v>46</v>
    <v>Selangor</v>
    <v>mdp/vdpid/10215561</v>
  </rv>
  <rv s="0">
    <v>536870912</v>
    <v>Pahang</v>
    <v>829da6d6-c70a-85d9-8d5d-b70db574854d</v>
    <v>en-MY</v>
    <v>Map</v>
  </rv>
  <rv s="0">
    <v>536870912</v>
    <v>Kuantan</v>
    <v>b64ae13b-8106-9b62-13eb-69af00eeeee9</v>
    <v>en-MY</v>
    <v>Map</v>
  </rv>
  <rv s="0">
    <v>805306368</v>
    <v>Abdullah of Pahang (Sultan)</v>
    <v>6a422b48-a7d4-e27a-b096-ef9fbb32091f</v>
    <v>en-MY</v>
    <v>Generic</v>
  </rv>
  <rv s="4">
    <v>17</v>
  </rv>
  <rv s="6">
    <v>#VALUE!</v>
    <v>en-MY</v>
    <v>829da6d6-c70a-85d9-8d5d-b70db574854d</v>
    <v>536870912</v>
    <v>1</v>
    <v>47</v>
    <v>13</v>
    <v>Pahang</v>
    <v>5</v>
    <v>6</v>
    <v>Map</v>
    <v>7</v>
    <v>48</v>
    <v>MY-06</v>
    <v>94</v>
    <v>137</v>
    <v>131</v>
    <v>Pahang, officially Pahang Darul Makmur with the Arabic honorific Darul Makmur is a sultanate and a federal state of Malaysia. It is the third largest state in the country and the largest state in Peninsular Malaysia, and the ninth most populous. ...</v>
    <v>96</v>
    <v>137</v>
    <v>139</v>
    <v>99</v>
    <v>Pahang</v>
    <v>100</v>
    <v>7</v>
    <v>Pahang</v>
    <v>mdp/vdpid/10215557</v>
  </rv>
  <rv s="0">
    <v>536870912</v>
    <v>Johor</v>
    <v>592580f7-38da-e7c1-18ba-b603c80b3d69</v>
    <v>en-MY</v>
    <v>Map</v>
  </rv>
  <rv s="0">
    <v>536870912</v>
    <v>Johor Bahru</v>
    <v>efc6b6ca-fb85-3052-4cd7-291dff4e4387</v>
    <v>en-MY</v>
    <v>Map</v>
  </rv>
  <rv s="0">
    <v>805306368</v>
    <v>Ibrahim Iskandar of Johor (Sultan)</v>
    <v>cf1473be-96e1-a155-b8da-dd2b83f222ad</v>
    <v>en-MY</v>
    <v>Generic</v>
  </rv>
  <rv s="4">
    <v>18</v>
  </rv>
  <rv s="9">
    <v>#VALUE!</v>
    <v>en-MY</v>
    <v>592580f7-38da-e7c1-18ba-b603c80b3d69</v>
    <v>536870912</v>
    <v>1</v>
    <v>36</v>
    <v>37</v>
    <v>Johor</v>
    <v>5</v>
    <v>6</v>
    <v>Map</v>
    <v>7</v>
    <v>8</v>
    <v>MY-01</v>
    <v>65</v>
    <v>142</v>
    <v>131</v>
    <v>Johor is a state of Malaysia in the south of the Malay Peninsula. It borders with Pahang, Malacca and Negeri Sembilan to the north. Johor has maritime borders with Singapore to the south and Indonesia to the east and west. As of 2023, the ...</v>
    <v>67</v>
    <v>142</v>
    <v>144</v>
    <v>70</v>
    <v>Johor</v>
    <v>71</v>
    <v>72</v>
    <v>73</v>
    <v>Johor</v>
    <v>mdp/vdpid/7594849</v>
  </rv>
  <rv s="0">
    <v>536870912</v>
    <v>Kuala Lumpur</v>
    <v>22f00b26-6726-bd5c-180f-3ff38ae380f3</v>
    <v>en-MY</v>
    <v>Map</v>
  </rv>
  <rv s="0">
    <v>805306368</v>
    <v>Maimunah Mohd Sharif (Mayor)</v>
    <v>e460365c-33af-c512-021d-15ea70e026d8</v>
    <v>en-MY</v>
    <v>Generic</v>
  </rv>
  <rv s="4">
    <v>19</v>
  </rv>
  <rv s="10">
    <v>#VALUE!</v>
    <v>en-MY</v>
    <v>22f00b26-6726-bd5c-180f-3ff38ae380f3</v>
    <v>536870912</v>
    <v>1</v>
    <v>51</v>
    <v>52</v>
    <v>Kuala Lumpur</v>
    <v>5</v>
    <v>6</v>
    <v>Map</v>
    <v>7</v>
    <v>14</v>
    <v>MY-14</v>
    <v>103</v>
    <v>131</v>
    <v>Kuala Lumpur, officially the Federal Territory of Kuala Lumpur, and colloquially referred to as KL, is the capital city and a federal territory of Malaysia. It is the largest city in the country, covering an area of 243 km² with a census ...</v>
    <v>104</v>
    <v>148</v>
    <v>107</v>
    <v>Kuala Lumpur</v>
    <v>71</v>
    <v>108</v>
    <v>7</v>
    <v>Kuala Lumpur</v>
    <v>mdp/vdpid/7886181754984202244</v>
  </rv>
  <rv s="0">
    <v>536870912</v>
    <v>Malacca</v>
    <v>44a9355d-c135-72b5-fc60-4291a89e003e</v>
    <v>en-MY</v>
    <v>Map</v>
  </rv>
  <rv s="0">
    <v>536870912</v>
    <v>Malacca City</v>
    <v>9aee921e-99fb-bf62-91ba-f56fa2c759f5</v>
    <v>en-MY</v>
    <v>Map</v>
  </rv>
  <rv s="0">
    <v>805306368</v>
    <v>Ab Rauf Yusoh (Chief minister)</v>
    <v>4a7051a3-75b9-fc1a-e9b2-b5fec89c17f4</v>
    <v>en-MY</v>
    <v>Generic</v>
  </rv>
  <rv s="4">
    <v>20</v>
  </rv>
  <rv s="7">
    <v>#VALUE!</v>
    <v>en-MY</v>
    <v>44a9355d-c135-72b5-fc60-4291a89e003e</v>
    <v>536870912</v>
    <v>1</v>
    <v>33</v>
    <v>18</v>
    <v>Malacca</v>
    <v>5</v>
    <v>6</v>
    <v>Map</v>
    <v>7</v>
    <v>14</v>
    <v>MY-04</v>
    <v>56</v>
    <v>151</v>
    <v>131</v>
    <v>Malacca, officially the Historic State of Malacca, is a state in Malaysia located in the southern region of the Malay Peninsula, facing the Strait of Malacca. The state is bordered by Negeri Sembilan to the north and west and Johor to the south. ...</v>
    <v>58</v>
    <v>151</v>
    <v>153</v>
    <v>61</v>
    <v>Malacca</v>
    <v>62</v>
    <v>Malacca</v>
    <v>mdp/vdpid/20899</v>
  </rv>
  <rv s="0">
    <v>536870912</v>
    <v>Terengganu</v>
    <v>4c426c92-33a4-e12c-382a-d84a8509dfa2</v>
    <v>en-MY</v>
    <v>Map</v>
  </rv>
  <rv s="0">
    <v>536870912</v>
    <v>Kuala Terengganu</v>
    <v>57738c15-6baf-961c-9194-ce6c45371217</v>
    <v>en-MY</v>
    <v>Map</v>
  </rv>
  <rv s="0">
    <v>805306368</v>
    <v>Mizan Zainal Abidin of Terengganu (Sultan)</v>
    <v>2bd6804d-de63-7b5b-805b-2a38564ed5b9</v>
    <v>en-MY</v>
    <v>Generic</v>
  </rv>
  <rv s="4">
    <v>21</v>
  </rv>
  <rv s="6">
    <v>#VALUE!</v>
    <v>en-MY</v>
    <v>4c426c92-33a4-e12c-382a-d84a8509dfa2</v>
    <v>536870912</v>
    <v>1</v>
    <v>44</v>
    <v>13</v>
    <v>Terengganu</v>
    <v>5</v>
    <v>6</v>
    <v>Map</v>
    <v>7</v>
    <v>14</v>
    <v>MY-11</v>
    <v>85</v>
    <v>156</v>
    <v>131</v>
    <v>Terengganu is a sultanate and federal state of Malaysia. The state is also known by its Arabic honorific, Dāru l-Īmān. The coastal city of Kuala Terengganu, at the mouth of the Terengganu River, is both the state and royal capital as well as the ...</v>
    <v>87</v>
    <v>156</v>
    <v>158</v>
    <v>90</v>
    <v>Terengganu</v>
    <v>91</v>
    <v>7</v>
    <v>Terengganu</v>
    <v>mdp/vdpid/10215560</v>
  </rv>
  <rv s="0">
    <v>536870912</v>
    <v>Putrajaya</v>
    <v>703ccf1a-052c-03ee-0599-1ef25799d8dc</v>
    <v>en-MY</v>
    <v>Map</v>
  </rv>
  <rv s="1">
    <fb>49</fb>
    <v>9</v>
  </rv>
  <rv s="2">
    <v>14</v>
    <v>7</v>
    <v>60</v>
    <v>7</v>
    <v>0</v>
    <v>Image of Putrajaya</v>
  </rv>
  <rv s="0">
    <v>805306368</v>
    <v>Tan Sri Thamarai Selvan (President)</v>
    <v>57868b8d-759a-4ebd-99c4-a71a2b02ae4b</v>
    <v>en-MY</v>
    <v>Generic</v>
  </rv>
  <rv s="4">
    <v>22</v>
  </rv>
  <rv s="3">
    <v>https://www.bing.com/search?q=putrajaya&amp;form=skydnc</v>
    <v>Learn more on Bing</v>
  </rv>
  <rv s="1">
    <fb>109202</fb>
    <v>9</v>
  </rv>
  <rv s="4">
    <v>23</v>
  </rv>
  <rv s="12">
    <v>#VALUE!</v>
    <v>en-MY</v>
    <v>703ccf1a-052c-03ee-0599-1ef25799d8dc</v>
    <v>536870912</v>
    <v>1</v>
    <v>62</v>
    <v>63</v>
    <v>Putrajaya</v>
    <v>5</v>
    <v>6</v>
    <v>Map</v>
    <v>7</v>
    <v>14</v>
    <v>MY-16</v>
    <v>161</v>
    <v>131</v>
    <v>Putrajaya, officially the Federal Territory of Putrajaya, is the administrative centre of Malaysia. The seat of the federal government of Malaysia was moved in 1999 from Kuala Lumpur to Putrajaya because of overcrowding and congestion, whilst ...</v>
    <v>162</v>
    <v>164</v>
    <v>165</v>
    <v>Putrajaya</v>
    <v>166</v>
    <v>167</v>
    <v>Putrajaya</v>
    <v>mdp/vdpid/7886186426331561985</v>
  </rv>
  <rv s="0">
    <v>536870912</v>
    <v>Perak</v>
    <v>6ca4b1a2-6a13-0976-d0f4-e53c93091316</v>
    <v>en-MY</v>
    <v>Map</v>
  </rv>
  <rv s="0">
    <v>536870912</v>
    <v>Ipoh</v>
    <v>85ca436c-c560-6413-40ef-784625da8334</v>
    <v>en-MY</v>
    <v>Map</v>
  </rv>
  <rv s="0">
    <v>805306368</v>
    <v>Nazrin Shah of Perak (Sultan)</v>
    <v>c053685c-a1ed-f4d8-925d-a9107ae16fe5</v>
    <v>en-MY</v>
    <v>Generic</v>
  </rv>
  <rv s="4">
    <v>24</v>
  </rv>
  <rv s="6">
    <v>#VALUE!</v>
    <v>en-MY</v>
    <v>6ca4b1a2-6a13-0976-d0f4-e53c93091316</v>
    <v>536870912</v>
    <v>1</v>
    <v>21</v>
    <v>13</v>
    <v>Perak</v>
    <v>5</v>
    <v>6</v>
    <v>Map</v>
    <v>7</v>
    <v>22</v>
    <v>MY-08</v>
    <v>30</v>
    <v>170</v>
    <v>131</v>
    <v>Perak is a state of Malaysia on the west coast of the Malay Peninsula. Perak has land borders with the Malaysian states of Kedah to the north, Penang to the northwest, Kelantan and Pahang to the east, and Selangor to the south. Thailand's Yala ...</v>
    <v>32</v>
    <v>170</v>
    <v>172</v>
    <v>35</v>
    <v>Perak</v>
    <v>36</v>
    <v>7</v>
    <v>Perak</v>
    <v>mdp/vdpid/7594837</v>
  </rv>
  <rv s="0">
    <v>536870912</v>
    <v>Negeri Sembilan</v>
    <v>db3e30e6-d597-cb37-b5d7-d3dd4e8b5d00</v>
    <v>en-MY</v>
    <v>Map</v>
  </rv>
  <rv s="0">
    <v>536870912</v>
    <v>Seremban</v>
    <v>55841024-f787-c0ba-39b6-816702092c20</v>
    <v>en-MY</v>
    <v>Map</v>
  </rv>
  <rv s="8">
    <v>#VALUE!</v>
    <v>en-MY</v>
    <v>db3e30e6-d597-cb37-b5d7-d3dd4e8b5d00</v>
    <v>536870912</v>
    <v>1</v>
    <v>29</v>
    <v>30</v>
    <v>Negeri Sembilan</v>
    <v>5</v>
    <v>6</v>
    <v>Map</v>
    <v>7</v>
    <v>26</v>
    <v>MY-05</v>
    <v>49</v>
    <v>175</v>
    <v>131</v>
    <v>Negeri Sembilan, historically spelled as Negri Sembilan, is a state in Malaysia which lies on the western coast of Peninsular Malaysia. It borders Selangor on the north, Pahang in the east, and Malacca and Johor to the south.</v>
    <v>51</v>
    <v>175</v>
    <v>52</v>
    <v>Negeri Sembilan</v>
    <v>53</v>
    <v>Negeri Sembilan</v>
    <v>mdp/vdpid/22890</v>
  </rv>
  <rv s="0">
    <v>536870912</v>
    <v>Penang</v>
    <v>bf464054-864b-9148-4d71-cc74f94e1588</v>
    <v>en-MY</v>
    <v>Map</v>
  </rv>
  <rv s="0">
    <v>536870912</v>
    <v>George Town, Penang</v>
    <v>f6c5eecb-f821-919d-9bc2-1e12c3665c5c</v>
    <v>en-MY</v>
    <v>Map</v>
  </rv>
  <rv s="0">
    <v>536870912</v>
    <v>Seberang Perai</v>
    <v>47b1f83e-302e-045c-cc07-ecf7f5433782</v>
    <v>en-MY</v>
    <v>Map</v>
  </rv>
  <rv s="0">
    <v>805306368</v>
    <v>Chow Kon Yeow (Chief minister)</v>
    <v>a278475b-5375-470c-cb33-32da249f8e9a</v>
    <v>en-MY</v>
    <v>Generic</v>
  </rv>
  <rv s="4">
    <v>25</v>
  </rv>
  <rv s="7">
    <v>#VALUE!</v>
    <v>en-MY</v>
    <v>bf464054-864b-9148-4d71-cc74f94e1588</v>
    <v>536870912</v>
    <v>1</v>
    <v>17</v>
    <v>18</v>
    <v>Penang</v>
    <v>5</v>
    <v>6</v>
    <v>Map</v>
    <v>7</v>
    <v>14</v>
    <v>MY-07</v>
    <v>20</v>
    <v>178</v>
    <v>131</v>
    <v>Penang is a Malaysian state located on the northwest coast of Peninsular Malaysia, by the Malacca Strait. It has two parts: Penang Island, where the capital city, George Town, is located, and Seberang Perai on the Malay Peninsula. These two ...</v>
    <v>22</v>
    <v>179</v>
    <v>181</v>
    <v>26</v>
    <v>Penang</v>
    <v>27</v>
    <v>Penang</v>
    <v>mdp/vdpid/41861</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8">
    <a count="25">
      <v t="s">%EntityServiceId</v>
      <v t="s">%IsRefreshable</v>
      <v t="s">%EntityCulture</v>
      <v t="s">%EntityId</v>
      <v t="s">_Icon</v>
      <v t="s">_Provider</v>
      <v t="s">_Attribution</v>
      <v t="s">_Display</v>
      <v t="s">Name</v>
      <v t="s">_Format</v>
      <v t="s">Capital/Major City</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Largest city</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spbArrays>
  <spbData count="64">
    <spb s="0">
      <v xml:space="preserve">Wikipedia	</v>
      <v xml:space="preserve">CC BY-SA 3.0	</v>
      <v xml:space="preserve">https://en.wikipedia.org/wiki/Perlis	</v>
      <v xml:space="preserve">https://creativecommons.org/licenses/by-sa/3.0	</v>
    </spb>
    <spb s="0">
      <v xml:space="preserve">Wikipedia	</v>
      <v xml:space="preserve">CC-BY-SA	</v>
      <v xml:space="preserve">http://en.wikipedia.org/wiki/Perlis	</v>
      <v xml:space="preserve">http://creativecommons.org/licenses/by-sa/3.0/	</v>
    </spb>
    <spb s="1">
      <v>0</v>
      <v>0</v>
      <v>0</v>
      <v>0</v>
      <v>0</v>
      <v>1</v>
      <v>0</v>
      <v>0</v>
      <v>0</v>
    </spb>
    <spb s="2">
      <v>0</v>
      <v>Name</v>
      <v>LearnMoreOnLink</v>
    </spb>
    <spb s="3">
      <v>0</v>
      <v>0</v>
      <v>0</v>
    </spb>
    <spb s="4">
      <v>4</v>
      <v>4</v>
      <v>4</v>
    </spb>
    <spb s="5">
      <v>1</v>
      <v>2</v>
    </spb>
    <spb s="6">
      <v>https://www.bing.com</v>
      <v>https://www.bing.com/th?id=Ga%5Cbing_yt.png&amp;w=100&amp;h=40&amp;c=0&amp;pid=0.1</v>
      <v>Powered by Bing</v>
    </spb>
    <spb s="7">
      <v>square km</v>
      <v>2023</v>
    </spb>
    <spb s="8">
      <v>3</v>
    </spb>
    <spb s="0">
      <v xml:space="preserve">Wikipedia	</v>
      <v xml:space="preserve">CC BY-SA 3.0	</v>
      <v xml:space="preserve">https://en.wikipedia.org/wiki/Kedah	</v>
      <v xml:space="preserve">https://creativecommons.org/licenses/by-sa/3.0	</v>
    </spb>
    <spb s="0">
      <v xml:space="preserve">Wikipedia	</v>
      <v xml:space="preserve">CC-BY-SA	</v>
      <v xml:space="preserve">http://en.wikipedia.org/wiki/Kedah	</v>
      <v xml:space="preserve">http://creativecommons.org/licenses/by-sa/3.0/	</v>
    </spb>
    <spb s="1">
      <v>10</v>
      <v>10</v>
      <v>10</v>
      <v>10</v>
      <v>10</v>
      <v>11</v>
      <v>10</v>
      <v>10</v>
      <v>10</v>
    </spb>
    <spb s="2">
      <v>1</v>
      <v>Name</v>
      <v>LearnMoreOnLink</v>
    </spb>
    <spb s="7">
      <v>square km</v>
      <v>2020</v>
    </spb>
    <spb s="0">
      <v xml:space="preserve">Wikipedia	</v>
      <v xml:space="preserve">CC BY-SA 3.0	</v>
      <v xml:space="preserve">https://en.wikipedia.org/wiki/Penang	</v>
      <v xml:space="preserve">https://creativecommons.org/licenses/by-sa/3.0	</v>
    </spb>
    <spb s="0">
      <v xml:space="preserve">Wikipedia	</v>
      <v xml:space="preserve">CC-BY-SA	</v>
      <v xml:space="preserve">http://en.wikipedia.org/wiki/Penang	</v>
      <v xml:space="preserve">http://creativecommons.org/licenses/by-sa/3.0/	</v>
    </spb>
    <spb s="1">
      <v>15</v>
      <v>15</v>
      <v>15</v>
      <v>15</v>
      <v>15</v>
      <v>16</v>
      <v>15</v>
      <v>15</v>
      <v>15</v>
    </spb>
    <spb s="2">
      <v>2</v>
      <v>Name</v>
      <v>LearnMoreOnLink</v>
    </spb>
    <spb s="0">
      <v xml:space="preserve">Wikipedia	</v>
      <v xml:space="preserve">CC BY-SA 3.0	</v>
      <v xml:space="preserve">https://en.wikipedia.org/wiki/Perak	</v>
      <v xml:space="preserve">https://creativecommons.org/licenses/by-sa/3.0	</v>
    </spb>
    <spb s="0">
      <v xml:space="preserve">Wikipedia	</v>
      <v xml:space="preserve">CC-BY-SA	</v>
      <v xml:space="preserve">http://en.wikipedia.org/wiki/Perak	</v>
      <v xml:space="preserve">http://creativecommons.org/licenses/by-sa/3.0/	</v>
    </spb>
    <spb s="1">
      <v>19</v>
      <v>19</v>
      <v>19</v>
      <v>19</v>
      <v>19</v>
      <v>20</v>
      <v>19</v>
      <v>19</v>
      <v>19</v>
    </spb>
    <spb s="7">
      <v>square km</v>
      <v>2018</v>
    </spb>
    <spb s="0">
      <v xml:space="preserve">Wikipedia	</v>
      <v xml:space="preserve">CC BY-SA 3.0	</v>
      <v xml:space="preserve">https://en.wikipedia.org/wiki/Selangor	</v>
      <v xml:space="preserve">https://creativecommons.org/licenses/by-sa/3.0	</v>
    </spb>
    <spb s="0">
      <v xml:space="preserve">Wikipedia	</v>
      <v xml:space="preserve">CC-BY-SA	</v>
      <v xml:space="preserve">http://en.wikipedia.org/wiki/Selangor	</v>
      <v xml:space="preserve">http://creativecommons.org/licenses/by-sa/3.0/	</v>
    </spb>
    <spb s="1">
      <v>23</v>
      <v>23</v>
      <v>23</v>
      <v>23</v>
      <v>23</v>
      <v>24</v>
      <v>23</v>
      <v>23</v>
      <v>23</v>
    </spb>
    <spb s="7">
      <v>square km</v>
      <v>2010</v>
    </spb>
    <spb s="0">
      <v xml:space="preserve">Wikipedia	</v>
      <v xml:space="preserve">CC BY-SA 3.0	</v>
      <v xml:space="preserve">https://en.wikipedia.org/wiki/Negeri_Sembilan	</v>
      <v xml:space="preserve">https://creativecommons.org/licenses/by-sa/3.0	</v>
    </spb>
    <spb s="0">
      <v xml:space="preserve">Wikipedia	</v>
      <v xml:space="preserve">CC-BY-SA	</v>
      <v xml:space="preserve">http://en.wikipedia.org/wiki/Negeri_Sembilan	</v>
      <v xml:space="preserve">http://creativecommons.org/licenses/by-sa/3.0/	</v>
    </spb>
    <spb s="1">
      <v>27</v>
      <v>27</v>
      <v>27</v>
      <v>27</v>
      <v>27</v>
      <v>28</v>
      <v>27</v>
      <v>27</v>
      <v>27</v>
    </spb>
    <spb s="2">
      <v>3</v>
      <v>Name</v>
      <v>LearnMoreOnLink</v>
    </spb>
    <spb s="0">
      <v xml:space="preserve">Wikipedia	</v>
      <v xml:space="preserve">CC BY-SA 3.0	</v>
      <v xml:space="preserve">https://en.wikipedia.org/wiki/Malacca	</v>
      <v xml:space="preserve">https://creativecommons.org/licenses/by-sa/3.0	</v>
    </spb>
    <spb s="0">
      <v xml:space="preserve">Wikipedia	</v>
      <v xml:space="preserve">CC-BY-SA	</v>
      <v xml:space="preserve">http://en.wikipedia.org/wiki/Malacca	</v>
      <v xml:space="preserve">http://creativecommons.org/licenses/by-sa/3.0/	</v>
    </spb>
    <spb s="1">
      <v>31</v>
      <v>31</v>
      <v>31</v>
      <v>31</v>
      <v>31</v>
      <v>32</v>
      <v>31</v>
      <v>31</v>
      <v>31</v>
    </spb>
    <spb s="0">
      <v xml:space="preserve">Wikipedia	</v>
      <v xml:space="preserve">CC BY-SA 3.0	</v>
      <v xml:space="preserve">https://en.wikipedia.org/wiki/Johor	</v>
      <v xml:space="preserve">https://creativecommons.org/licenses/by-sa/3.0	</v>
    </spb>
    <spb s="0">
      <v xml:space="preserve">Wikipedia	</v>
      <v xml:space="preserve">CC-BY-SA	</v>
      <v xml:space="preserve">http://en.wikipedia.org/wiki/Johor	</v>
      <v xml:space="preserve">http://creativecommons.org/licenses/by-sa/3.0/	</v>
    </spb>
    <spb s="1">
      <v>34</v>
      <v>34</v>
      <v>34</v>
      <v>34</v>
      <v>34</v>
      <v>35</v>
      <v>34</v>
      <v>34</v>
      <v>34</v>
    </spb>
    <spb s="2">
      <v>4</v>
      <v>Name</v>
      <v>LearnMoreOnLink</v>
    </spb>
    <spb s="0">
      <v xml:space="preserve">Wikipedia	</v>
      <v xml:space="preserve">CC BY-SA 3.0	</v>
      <v xml:space="preserve">https://en.wikipedia.org/wiki/Kelantan	</v>
      <v xml:space="preserve">https://creativecommons.org/licenses/by-sa/3.0	</v>
    </spb>
    <spb s="0">
      <v xml:space="preserve">Wikipedia	</v>
      <v xml:space="preserve">CC-BY-SA	</v>
      <v xml:space="preserve">http://en.wikipedia.org/wiki/Kelantan	</v>
      <v xml:space="preserve">http://creativecommons.org/licenses/by-sa/3.0/	</v>
    </spb>
    <spb s="1">
      <v>38</v>
      <v>38</v>
      <v>38</v>
      <v>38</v>
      <v>38</v>
      <v>39</v>
      <v>38</v>
      <v>38</v>
      <v>38</v>
    </spb>
    <spb s="7">
      <v>square km</v>
      <v>2021</v>
    </spb>
    <spb s="0">
      <v xml:space="preserve">Wikipedia	</v>
      <v xml:space="preserve">CC BY-SA 3.0	</v>
      <v xml:space="preserve">https://en.wikipedia.org/wiki/Terengganu	</v>
      <v xml:space="preserve">https://creativecommons.org/licenses/by-sa/3.0	</v>
    </spb>
    <spb s="0">
      <v xml:space="preserve">Wikipedia	</v>
      <v xml:space="preserve">CC-BY-SA	</v>
      <v xml:space="preserve">http://en.wikipedia.org/wiki/Terengganu	</v>
      <v xml:space="preserve">http://creativecommons.org/licenses/by-sa/3.0/	</v>
    </spb>
    <spb s="1">
      <v>42</v>
      <v>42</v>
      <v>42</v>
      <v>42</v>
      <v>42</v>
      <v>43</v>
      <v>42</v>
      <v>42</v>
      <v>42</v>
    </spb>
    <spb s="0">
      <v xml:space="preserve">Wikipedia	</v>
      <v xml:space="preserve">CC BY-SA 3.0	</v>
      <v xml:space="preserve">https://en.wikipedia.org/wiki/Pahang	</v>
      <v xml:space="preserve">https://creativecommons.org/licenses/by-sa/3.0	</v>
    </spb>
    <spb s="0">
      <v xml:space="preserve">Wikipedia	</v>
      <v xml:space="preserve">CC-BY-SA	</v>
      <v xml:space="preserve">http://en.wikipedia.org/wiki/Pahang	</v>
      <v xml:space="preserve">http://creativecommons.org/licenses/by-sa/3.0/	</v>
    </spb>
    <spb s="1">
      <v>45</v>
      <v>45</v>
      <v>45</v>
      <v>45</v>
      <v>45</v>
      <v>46</v>
      <v>45</v>
      <v>45</v>
      <v>45</v>
    </spb>
    <spb s="7">
      <v>square km</v>
      <v>2015</v>
    </spb>
    <spb s="0">
      <v xml:space="preserve">Wikipedia	</v>
      <v xml:space="preserve">CC BY-SA 3.0	</v>
      <v xml:space="preserve">https://en.wikipedia.org/wiki/Kuala_Lumpur	</v>
      <v xml:space="preserve">https://creativecommons.org/licenses/by-sa/3.0	</v>
    </spb>
    <spb s="0">
      <v xml:space="preserve">Wikipedia	</v>
      <v xml:space="preserve">CC-BY-SA	</v>
      <v xml:space="preserve">http://en.wikipedia.org/wiki/Kuala_Lumpur	</v>
      <v xml:space="preserve">http://creativecommons.org/licenses/by-sa/3.0/	</v>
    </spb>
    <spb s="9">
      <v>49</v>
      <v>49</v>
      <v>49</v>
      <v>49</v>
      <v>49</v>
      <v>50</v>
      <v>49</v>
    </spb>
    <spb s="2">
      <v>5</v>
      <v>Name</v>
      <v>LearnMoreOnLink</v>
    </spb>
    <spb s="0">
      <v xml:space="preserve">Wikipedia	</v>
      <v xml:space="preserve">CC BY-SA 3.0	</v>
      <v xml:space="preserve">https://en.wikipedia.org/wiki/Sabah	</v>
      <v xml:space="preserve">https://creativecommons.org/licenses/by-sa/3.0	</v>
    </spb>
    <spb s="0">
      <v xml:space="preserve">Wikipedia	</v>
      <v xml:space="preserve">CC-BY-SA	</v>
      <v xml:space="preserve">http://en.wikipedia.org/wiki/Sabah	</v>
      <v xml:space="preserve">http://creativecommons.org/licenses/by-sa/3.0/	</v>
    </spb>
    <spb s="1">
      <v>53</v>
      <v>53</v>
      <v>53</v>
      <v>53</v>
      <v>53</v>
      <v>54</v>
      <v>53</v>
      <v>53</v>
      <v>53</v>
    </spb>
    <spb s="2">
      <v>6</v>
      <v>Name</v>
      <v>LearnMoreOnLink</v>
    </spb>
    <spb s="0">
      <v xml:space="preserve">Wikipedia	</v>
      <v xml:space="preserve">CC BY-SA 3.0	</v>
      <v xml:space="preserve">https://en.wikipedia.org/wiki/Sarawak	</v>
      <v xml:space="preserve">https://creativecommons.org/licenses/by-sa/3.0	</v>
    </spb>
    <spb s="0">
      <v xml:space="preserve">Wikipedia	</v>
      <v xml:space="preserve">CC-BY-SA	</v>
      <v xml:space="preserve">http://en.wikipedia.org/wiki/Sarawak	</v>
      <v xml:space="preserve">http://creativecommons.org/licenses/by-sa/3.0/	</v>
    </spb>
    <spb s="1">
      <v>57</v>
      <v>57</v>
      <v>57</v>
      <v>57</v>
      <v>57</v>
      <v>58</v>
      <v>57</v>
      <v>57</v>
      <v>57</v>
    </spb>
    <spb s="0">
      <v xml:space="preserve">Wikipedia	</v>
      <v xml:space="preserve">CC BY-SA 3.0	</v>
      <v xml:space="preserve">https://en.wikipedia.org/wiki/Putrajaya	</v>
      <v xml:space="preserve">https://creativecommons.org/licenses/by-sa/3.0	</v>
    </spb>
    <spb s="0">
      <v xml:space="preserve">Wikipedia	</v>
      <v xml:space="preserve">CC-BY-SA	</v>
      <v xml:space="preserve">http://en.wikipedia.org/wiki/Putrajaya	</v>
      <v xml:space="preserve">http://creativecommons.org/licenses/by-sa/3.0/	</v>
    </spb>
    <spb s="9">
      <v>60</v>
      <v>60</v>
      <v>60</v>
      <v>60</v>
      <v>60</v>
      <v>61</v>
      <v>60</v>
    </spb>
    <spb s="2">
      <v>7</v>
      <v>Name</v>
      <v>LearnMoreOnLink</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Area" t="spb"/>
    <k n="Name" t="spb"/>
    <k n="Population" t="spb"/>
    <k n="UniqueName" t="spb"/>
    <k n="Description" t="spb"/>
    <k n="Abbrevia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TitleField" t="b"/>
    <rPr n="IsHeroField" t="b"/>
    <rPr n="NumberFormat" t="s"/>
  </richProperties>
  <richStyles>
    <rSty>
      <rpv i="0">1</rpv>
    </rSty>
    <rSty>
      <rpv i="1">1</rpv>
    </rSty>
    <rSty dxfid="0">
      <rpv i="2">#,##0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1A2449-278F-459C-971F-81BECFB598F3}" name="For_Pivot" displayName="For_Pivot" ref="A1:D81" totalsRowShown="0" headerRowDxfId="112">
  <autoFilter ref="A1:D81" xr:uid="{7A1A2449-278F-459C-971F-81BECFB598F3}"/>
  <tableColumns count="4">
    <tableColumn id="1" xr3:uid="{C544A1C4-5EAE-4826-8C51-56E3894F883B}" name="Business" dataDxfId="111"/>
    <tableColumn id="2" xr3:uid="{9108613C-F23F-45FE-ABAB-8E22B179C2EB}" name="Metric"/>
    <tableColumn id="6" xr3:uid="{183F9AD8-4C0C-4C3C-ACA3-72DA2398E16E}" name="Year"/>
    <tableColumn id="3" xr3:uid="{D42A2726-5616-4D61-8329-D7A04310F990}"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3EDC3D-4B7C-4A3C-99E8-A5E5AEDCB508}" name="Table1" displayName="Table1" ref="A4:AB395" totalsRowShown="0" headerRowDxfId="110" dataDxfId="109">
  <autoFilter ref="A4:AB395" xr:uid="{5C3EDC3D-4B7C-4A3C-99E8-A5E5AEDCB508}"/>
  <tableColumns count="28">
    <tableColumn id="2" xr3:uid="{8F1AECFC-8DEC-4295-B23E-14A1A601F8BC}" name="Project No" dataDxfId="108"/>
    <tableColumn id="3" xr3:uid="{9A7A8B04-6ED5-4309-AAF2-CA104C30B846}" name="Client Name" dataDxfId="107"/>
    <tableColumn id="21" xr3:uid="{5DC3C2CD-CA0E-4F12-8259-E0D10CA3E618}" name="Closed Date" dataDxfId="106"/>
    <tableColumn id="1" xr3:uid="{C1AEF758-C95F-453E-BEDC-1381FD44A0CB}" name="Sales PIC" dataDxfId="105"/>
    <tableColumn id="4" xr3:uid="{1EC91402-B30E-4644-B37A-D8DD1FC03C72}" name="Category" dataDxfId="104"/>
    <tableColumn id="5" xr3:uid="{09F0E74B-ED5B-4F7B-8A4B-835E95F21562}" name="Scheme" dataDxfId="103"/>
    <tableColumn id="24" xr3:uid="{38FB7635-52B1-4B9F-8754-63507D53D092}" name="Location" dataDxfId="102"/>
    <tableColumn id="6" xr3:uid="{77C0D681-BCC8-4700-972C-8ADC717C4FBE}" name="PV System Capacity (kWp)" dataDxfId="101"/>
    <tableColumn id="23" xr3:uid="{9D5173D1-5178-4B3B-8161-B2DE3EB43473}" name="EV Charger Capacity" dataDxfId="100"/>
    <tableColumn id="27" xr3:uid="{5A62E94E-BF86-4F98-98F4-6FC1F723B5F2}" name="BESS Capacity" dataDxfId="99"/>
    <tableColumn id="7" xr3:uid="{D593CA90-420F-4ADA-94A3-E35D92E8710D}" name="Project Value (RM)" dataDxfId="98"/>
    <tableColumn id="8" xr3:uid="{9B16C196-4567-4A3B-A267-0AC3B3C6F6EE}" name="VO (RM)" dataDxfId="97"/>
    <tableColumn id="9" xr3:uid="{F69E6F65-DA33-4DAE-AB46-D42E63655DA3}" name="Payment Method" dataDxfId="96"/>
    <tableColumn id="26" xr3:uid="{249977B9-9B5F-4DFF-8428-07C0243B7AEE}" name="Outright/PPA" dataDxfId="95"/>
    <tableColumn id="10" xr3:uid="{00B9EAD6-D65E-4D86-BDC9-D0913B4CF66A}" name="Module" dataDxfId="94"/>
    <tableColumn id="11" xr3:uid="{18E6BEDB-34E3-4BEE-9D4D-B2DDB629782B}" name="Module Quantity" dataDxfId="93"/>
    <tableColumn id="12" xr3:uid="{EBD61E3D-361B-49ED-91D6-EEDF559EF857}" name="Inverter" dataDxfId="92"/>
    <tableColumn id="20" xr3:uid="{D8A59752-742B-4085-AB1C-4E544FC2499F}" name="Inverter Warranty" dataDxfId="91"/>
    <tableColumn id="19" xr3:uid="{8E773F07-B54A-4EF5-8886-CFD0C1F87FC6}" name="I/C Number" dataDxfId="90"/>
    <tableColumn id="13" xr3:uid="{E5945364-6398-468A-9C3E-55D93C972704}" name="Installation Address" dataDxfId="89"/>
    <tableColumn id="14" xr3:uid="{8728A4DE-EE16-4FC3-8C7D-4FF616E12DB8}" name="Phone Number" dataDxfId="88"/>
    <tableColumn id="18" xr3:uid="{C416CFD7-017D-41F5-BBE1-1909D8759237}" name="Email Address" dataDxfId="87"/>
    <tableColumn id="15" xr3:uid="{2A215979-6201-4E7A-ACA4-76D5F081C3A3}" name="Insurance Warranty" dataDxfId="86"/>
    <tableColumn id="28" xr3:uid="{2A941E33-7EFB-4AA6-AEF7-2EBDCF156F49}" name="DLP Period" dataDxfId="85"/>
    <tableColumn id="25" xr3:uid="{F6DB433A-DACF-4328-8E58-755FA2EFACBB}" name="O&amp;M" dataDxfId="84"/>
    <tableColumn id="22" xr3:uid="{992F597A-A71D-4D9D-B7C3-EB97A65BDD04}" name="Partner" dataDxfId="83"/>
    <tableColumn id="16" xr3:uid="{8BD17A95-EC4A-4E8C-9D5B-1352CB14B499}" name="Services Exclusion" dataDxfId="82"/>
    <tableColumn id="17" xr3:uid="{5B5AC019-506E-4042-AC14-3C219C8FC9CD}" name="Additional Remark" dataDxfId="81"/>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569244-419E-40D7-9457-02EF79814B59}" name="Table2" displayName="Table2" ref="A11:AJ150" totalsRowShown="0" headerRowDxfId="80" dataDxfId="79">
  <autoFilter ref="A11:AJ150" xr:uid="{61569244-419E-40D7-9457-02EF79814B59}">
    <filterColumn colId="3">
      <filters>
        <filter val="C&amp;I"/>
      </filters>
    </filterColumn>
  </autoFilter>
  <tableColumns count="36">
    <tableColumn id="1" xr3:uid="{F741C9F2-C23B-4040-AF61-D59508DB7E9C}" name="Client Name" dataDxfId="78"/>
    <tableColumn id="2" xr3:uid="{10EFD805-3C71-4F82-A90B-B75091528BCE}" name="Procurement Status" dataDxfId="77"/>
    <tableColumn id="3" xr3:uid="{7E728E73-E8DC-4151-837F-F1D6870AB6C9}" name="System Capacity" dataDxfId="76"/>
    <tableColumn id="4" xr3:uid="{1719550A-8552-49AA-A7F0-571E95608718}" name="Category" dataDxfId="75"/>
    <tableColumn id="5" xr3:uid="{794D35E3-7C8C-4C3C-BFCE-8B8A0C786555}" name="Module" dataDxfId="74"/>
    <tableColumn id="6" xr3:uid="{4FAA6AF3-14AD-4AB1-8138-276F8AB5A927}" name="Module Quantity" dataDxfId="73"/>
    <tableColumn id="7" xr3:uid="{26263154-E57E-42A3-A57F-C89C9C8593E5}" name="Inverter" dataDxfId="72"/>
    <tableColumn id="8" xr3:uid="{F97E34BD-8015-4F04-ADA8-B6A9B0E95341}" name="Roof Type" dataDxfId="71"/>
    <tableColumn id="9" xr3:uid="{0C39CDBB-B2D2-40A4-A071-CFC6DA757A9F}" name="Klip Lok Clamp" dataDxfId="70"/>
    <tableColumn id="10" xr3:uid="{FE67BA5A-E60E-47D9-99D3-9EA108DECA16}" name="L-Foot" dataDxfId="69"/>
    <tableColumn id="11" xr3:uid="{57D205F6-DDE8-465E-8918-4558E8F2BE7E}" name="Tile Hook" dataDxfId="68"/>
    <tableColumn id="12" xr3:uid="{CC73C8ED-A056-4BA8-AFAA-5A5C4D27552B}" name="2.6m rail" dataDxfId="67"/>
    <tableColumn id="13" xr3:uid="{81064BD3-8296-4288-87A5-6139A64A119C}" name="5.3m rail" dataDxfId="66"/>
    <tableColumn id="14" xr3:uid="{01342BB7-5AEC-4AA6-B22B-8305BBFE57C6}" name="4.7m rail" dataDxfId="65"/>
    <tableColumn id="15" xr3:uid="{F3B4D826-9068-43C0-9B8B-D4EFC9205205}" name="3.6m rail" dataDxfId="64"/>
    <tableColumn id="16" xr3:uid="{78E110FB-6A80-4CD5-9853-380B56E9AFE5}" name="Splicer" dataDxfId="63"/>
    <tableColumn id="17" xr3:uid="{1D5967D8-0DFF-4E9D-B096-18EE7F0AFAC0}" name="Mid Clamp" dataDxfId="62"/>
    <tableColumn id="18" xr3:uid="{C1068C2B-B649-4E3A-8CB1-976D73982E39}" name="End Clamp" dataDxfId="61"/>
    <tableColumn id="19" xr3:uid="{610A04F6-A5B5-4751-B81A-18092DEEC53D}" name="Grounding Clip" dataDxfId="60"/>
    <tableColumn id="20" xr3:uid="{C882FAFD-9FBA-44A6-9477-83F3A71071DF}" name="Grounding Lug" dataDxfId="59"/>
    <tableColumn id="21" xr3:uid="{592E8037-14D3-4655-88EA-64093B0A82FD}" name="Dongle" dataDxfId="58"/>
    <tableColumn id="22" xr3:uid="{D12CBFCB-A329-4513-AD6F-6D73A03EBDE2}" name="Precast Concrete Block" dataDxfId="57"/>
    <tableColumn id="23" xr3:uid="{C55CE1E8-6BFC-493C-9008-733FC67AC8FB}" name="DC Cable (4mmsq)" dataDxfId="56"/>
    <tableColumn id="24" xr3:uid="{8CF33F23-D1BD-41DE-BFFF-AA6B7B8659CE}" name="DC Cable (6mmsq)" dataDxfId="55"/>
    <tableColumn id="25" xr3:uid="{AB06C77C-4B5F-4AFF-9F09-9F947D6C37CD}" name="PV Connctor_x000a_(Male)" dataDxfId="54"/>
    <tableColumn id="26" xr3:uid="{DF93938D-FB47-4311-B144-410784C00F08}" name="PV Connctor_x000a_(Female)" dataDxfId="53"/>
    <tableColumn id="27" xr3:uid="{7DD6F9D8-7ED4-49B9-B9BD-17BDB9E10B6D}" name="3P Isolator Switch" dataDxfId="52"/>
    <tableColumn id="28" xr3:uid="{99E1F351-934F-40BB-BA9F-D700B711C2BE}" name="1-phase kWh Meter" dataDxfId="51"/>
    <tableColumn id="29" xr3:uid="{479C38D1-4F23-49E1-8384-D8C3E4EA2822}" name="3-phase kWh Meter" dataDxfId="50"/>
    <tableColumn id="30" xr3:uid="{B1B8A294-62F9-41F0-8114-08A4DD175F19}" name="PV AC DB" dataDxfId="49"/>
    <tableColumn id="31" xr3:uid="{E86B62AC-2670-4082-B2D4-0E91838B61BD}" name="Data Logger" dataDxfId="48"/>
    <tableColumn id="32" xr3:uid="{A0E806C3-6729-4E41-87DD-E903DF432654}" name="Weather Station" dataDxfId="47"/>
    <tableColumn id="33" xr3:uid="{DBC665C5-D678-423E-9C99-37677A871F34}" name="BESS" dataDxfId="46"/>
    <tableColumn id="34" xr3:uid="{906BB073-D513-48E3-BBFB-91EA6F81D4C1}" name="EV Charger" dataDxfId="45"/>
    <tableColumn id="35" xr3:uid="{B304804B-3937-4B54-96E3-29B51E8A3D70}" name="Optimiser" dataDxfId="44"/>
    <tableColumn id="36" xr3:uid="{28826EC8-8016-4C2F-A14C-C80C7DA3A4C5}" name="Remark" dataDxfId="43"/>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59" dT="2025-09-23T06:00:11.01" personId="{82D4FEBB-5669-4E7C-A111-7668186A6281}" id="{49D72903-9A10-4902-95DF-7839C942EED2}">
    <text>RSA VO = RM 2,500
Lights Deduction = - RM 1,000</text>
  </threadedComment>
  <threadedComment ref="B71" dT="2025-11-04T03:30:34.93" personId="{479AFFF7-9FB9-488E-B2D1-1A290AC3FF07}" id="{9AADDB99-9FAE-40CE-983F-51C4994D2AB0}">
    <text>ST Login details:
sleepmaticssdnbhd@gmail.com
Abcd1234</text>
  </threadedComment>
  <threadedComment ref="B72" dT="2025-10-23T09:02:17.52" personId="{479AFFF7-9FB9-488E-B2D1-1A290AC3FF07}" id="{07E4CE06-0259-44BA-BCEB-222F4C1CC16F}">
    <text>ST Login:
Username: chlfoamsdnbhd@gmail.com
Password: Abcd1234</text>
  </threadedComment>
  <threadedComment ref="B247" dT="2025-10-23T08:25:03.27" personId="{479AFFF7-9FB9-488E-B2D1-1A290AC3FF07}" id="{A76FE31D-E4D6-45AB-A739-CBC82F8808D5}">
    <text>ST Portal Login:
Username: meishunfangmanufacturingsdnbhd@gmail.com
Password: Abcd1234</text>
  </threadedComment>
</ThreadedComments>
</file>

<file path=xl/threadedComments/threadedComment2.xml><?xml version="1.0" encoding="utf-8"?>
<ThreadedComments xmlns="http://schemas.microsoft.com/office/spreadsheetml/2018/threadedcomments" xmlns:x="http://schemas.openxmlformats.org/spreadsheetml/2006/main">
  <threadedComment ref="R209" dT="2025-02-28T06:41:28.20" personId="{82D4FEBB-5669-4E7C-A111-7668186A6281}" id="{A8F49A17-EBE7-4656-8BB1-D8D9AC868569}">
    <text xml:space="preserve">Change to 17.7kWp
</text>
  </threadedComment>
  <threadedComment ref="S218" dT="2025-02-25T05:36:12.98" personId="{7396AEDE-FFC2-424F-AAD2-048CFD668304}" id="{ACE0D1D1-9F79-424A-8F24-9EF5B3657173}">
    <text>SEDA queries on the voltage</text>
  </threadedComment>
  <threadedComment ref="R221" dT="2025-02-26T09:31:43.07" personId="{82D4FEBB-5669-4E7C-A111-7668186A6281}" id="{820EC73D-3F88-4D90-8F18-B2DE40E65383}">
    <text xml:space="preserve">Change to three phase 
</text>
  </threadedComment>
  <threadedComment ref="R222" dT="2025-02-26T08:05:01.01" personId="{82D4FEBB-5669-4E7C-A111-7668186A6281}" id="{DA0D0F06-B99B-4C6A-BE0F-158C2E452F00}">
    <text>Change in PV capacity</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17" Type="http://schemas.openxmlformats.org/officeDocument/2006/relationships/hyperlink" Target="mailto:razmanbinsamsudin@gmailcom" TargetMode="External"/><Relationship Id="rId21" Type="http://schemas.openxmlformats.org/officeDocument/2006/relationships/hyperlink" Target="mailto:piew831@gmail.com" TargetMode="External"/><Relationship Id="rId42" Type="http://schemas.openxmlformats.org/officeDocument/2006/relationships/hyperlink" Target="mailto:steelmerchantssb@gmail.com" TargetMode="External"/><Relationship Id="rId63" Type="http://schemas.openxmlformats.org/officeDocument/2006/relationships/hyperlink" Target="mailto:vbangoh1975@gmail.com" TargetMode="External"/><Relationship Id="rId84" Type="http://schemas.openxmlformats.org/officeDocument/2006/relationships/hyperlink" Target="mailto:juinn@unitrade.com.my" TargetMode="External"/><Relationship Id="rId138" Type="http://schemas.openxmlformats.org/officeDocument/2006/relationships/hyperlink" Target="mailto:leedennis507@gmail.com" TargetMode="External"/><Relationship Id="rId159" Type="http://schemas.openxmlformats.org/officeDocument/2006/relationships/hyperlink" Target="mailto:augkok@gmail.com" TargetMode="External"/><Relationship Id="rId170" Type="http://schemas.openxmlformats.org/officeDocument/2006/relationships/hyperlink" Target="mailto:capt.arifstephen@yahoo.com" TargetMode="External"/><Relationship Id="rId191" Type="http://schemas.openxmlformats.org/officeDocument/2006/relationships/hyperlink" Target="mailto:nevets8816@gmail.com" TargetMode="External"/><Relationship Id="rId205" Type="http://schemas.microsoft.com/office/2017/10/relationships/threadedComment" Target="../threadedComments/threadedComment1.xml"/><Relationship Id="rId107" Type="http://schemas.openxmlformats.org/officeDocument/2006/relationships/hyperlink" Target="mailto:yellowwindy@hotmail.com" TargetMode="External"/><Relationship Id="rId11" Type="http://schemas.openxmlformats.org/officeDocument/2006/relationships/hyperlink" Target="mailto:keemajujaya@gmail.com" TargetMode="External"/><Relationship Id="rId32" Type="http://schemas.openxmlformats.org/officeDocument/2006/relationships/hyperlink" Target="mailto:graybackboy@hotmail.com" TargetMode="External"/><Relationship Id="rId53" Type="http://schemas.openxmlformats.org/officeDocument/2006/relationships/hyperlink" Target="mailto:marianneyap21@gmail.com" TargetMode="External"/><Relationship Id="rId74" Type="http://schemas.openxmlformats.org/officeDocument/2006/relationships/hyperlink" Target="mailto:tangerber@gmail.com" TargetMode="External"/><Relationship Id="rId128" Type="http://schemas.openxmlformats.org/officeDocument/2006/relationships/hyperlink" Target="mailto:christophera.desouza@gmail.com" TargetMode="External"/><Relationship Id="rId149" Type="http://schemas.openxmlformats.org/officeDocument/2006/relationships/hyperlink" Target="mailto:hmc8925@gmail.com" TargetMode="External"/><Relationship Id="rId5" Type="http://schemas.openxmlformats.org/officeDocument/2006/relationships/hyperlink" Target="mailto:onglinggee@yahoo.com" TargetMode="External"/><Relationship Id="rId95" Type="http://schemas.openxmlformats.org/officeDocument/2006/relationships/hyperlink" Target="mailto:shreeram.nadarajah@gmail.com" TargetMode="External"/><Relationship Id="rId160" Type="http://schemas.openxmlformats.org/officeDocument/2006/relationships/hyperlink" Target="mailto:iyadnifaelio@gmail.com" TargetMode="External"/><Relationship Id="rId181" Type="http://schemas.openxmlformats.org/officeDocument/2006/relationships/hyperlink" Target="mailto:sklee0665@gmail.com" TargetMode="External"/><Relationship Id="rId22" Type="http://schemas.openxmlformats.org/officeDocument/2006/relationships/hyperlink" Target="mailto:syamale1985@gmail.com" TargetMode="External"/><Relationship Id="rId43" Type="http://schemas.openxmlformats.org/officeDocument/2006/relationships/hyperlink" Target="mailto:cpokok0506@hotmail.com" TargetMode="External"/><Relationship Id="rId64" Type="http://schemas.openxmlformats.org/officeDocument/2006/relationships/hyperlink" Target="mailto:kahming.teoh@gmail.com" TargetMode="External"/><Relationship Id="rId118" Type="http://schemas.openxmlformats.org/officeDocument/2006/relationships/hyperlink" Target="mailto:soum.ski6@gmail.com" TargetMode="External"/><Relationship Id="rId139" Type="http://schemas.openxmlformats.org/officeDocument/2006/relationships/hyperlink" Target="mailto:tehweeloon@gmail.com" TargetMode="External"/><Relationship Id="rId85" Type="http://schemas.openxmlformats.org/officeDocument/2006/relationships/hyperlink" Target="mailto:traceywong92@gmail.com" TargetMode="External"/><Relationship Id="rId150" Type="http://schemas.openxmlformats.org/officeDocument/2006/relationships/hyperlink" Target="mailto:la_teong@yahoo.com" TargetMode="External"/><Relationship Id="rId171" Type="http://schemas.openxmlformats.org/officeDocument/2006/relationships/hyperlink" Target="mailto:office.tehtehdev@gmail.com" TargetMode="External"/><Relationship Id="rId192" Type="http://schemas.openxmlformats.org/officeDocument/2006/relationships/hyperlink" Target="mailto:chenyeonhao@gmail.com" TargetMode="External"/><Relationship Id="rId206" Type="http://schemas.microsoft.com/office/2019/04/relationships/namedSheetView" Target="../namedSheetViews/namedSheetView1.xml"/><Relationship Id="rId12" Type="http://schemas.openxmlformats.org/officeDocument/2006/relationships/hyperlink" Target="mailto:datoedd@gmail.com" TargetMode="External"/><Relationship Id="rId33" Type="http://schemas.openxmlformats.org/officeDocument/2006/relationships/hyperlink" Target="mailto:ckkcsk6666@gmail.com" TargetMode="External"/><Relationship Id="rId108" Type="http://schemas.openxmlformats.org/officeDocument/2006/relationships/hyperlink" Target="mailto:chunwai103@gmail.com" TargetMode="External"/><Relationship Id="rId129" Type="http://schemas.openxmlformats.org/officeDocument/2006/relationships/hyperlink" Target="mailto:irenechan2708@gmail.com" TargetMode="External"/><Relationship Id="rId54" Type="http://schemas.openxmlformats.org/officeDocument/2006/relationships/hyperlink" Target="mailto:lingling822@hotmail.my" TargetMode="External"/><Relationship Id="rId75" Type="http://schemas.openxmlformats.org/officeDocument/2006/relationships/hyperlink" Target="mailto:yeesuen02@yahoo.com" TargetMode="External"/><Relationship Id="rId96" Type="http://schemas.openxmlformats.org/officeDocument/2006/relationships/hyperlink" Target="mailto:wongkimmei73@gmail.com" TargetMode="External"/><Relationship Id="rId140" Type="http://schemas.openxmlformats.org/officeDocument/2006/relationships/hyperlink" Target="mailto:wktang@synteq.com.my" TargetMode="External"/><Relationship Id="rId161" Type="http://schemas.openxmlformats.org/officeDocument/2006/relationships/hyperlink" Target="mailto:pavirelew3@gmail.com" TargetMode="External"/><Relationship Id="rId182" Type="http://schemas.openxmlformats.org/officeDocument/2006/relationships/hyperlink" Target="https://software.wms-lite.com/main.php?route=outgoing_list/outgoing&amp;s=&amp;searchByStatus=ALL&amp;id=VFZSUmVVNVVaM28" TargetMode="External"/><Relationship Id="rId6" Type="http://schemas.openxmlformats.org/officeDocument/2006/relationships/hyperlink" Target="mailto:danielkuek56@hotmail.com" TargetMode="External"/><Relationship Id="rId23" Type="http://schemas.openxmlformats.org/officeDocument/2006/relationships/hyperlink" Target="mailto:capt.arifstephen@yahoo.com" TargetMode="External"/><Relationship Id="rId119" Type="http://schemas.openxmlformats.org/officeDocument/2006/relationships/hyperlink" Target="mailto:qel1888@hotmail.com" TargetMode="External"/><Relationship Id="rId44" Type="http://schemas.openxmlformats.org/officeDocument/2006/relationships/hyperlink" Target="mailto:ngyunnchong123@gmail.com" TargetMode="External"/><Relationship Id="rId65" Type="http://schemas.openxmlformats.org/officeDocument/2006/relationships/hyperlink" Target="mailto:tzcheng07@gmail.com" TargetMode="External"/><Relationship Id="rId86" Type="http://schemas.openxmlformats.org/officeDocument/2006/relationships/hyperlink" Target="mailto:aminrahim@msn.com" TargetMode="External"/><Relationship Id="rId130" Type="http://schemas.openxmlformats.org/officeDocument/2006/relationships/hyperlink" Target="mailto:lcchow2k@yahoo.com" TargetMode="External"/><Relationship Id="rId151" Type="http://schemas.openxmlformats.org/officeDocument/2006/relationships/hyperlink" Target="mailto:adwardlow.co@gmail.com" TargetMode="External"/><Relationship Id="rId172" Type="http://schemas.openxmlformats.org/officeDocument/2006/relationships/hyperlink" Target="mailto:kgbill15@yahoo.com" TargetMode="External"/><Relationship Id="rId193" Type="http://schemas.openxmlformats.org/officeDocument/2006/relationships/hyperlink" Target="mailto:wenqi_liew@hotmail.com" TargetMode="External"/><Relationship Id="rId13" Type="http://schemas.openxmlformats.org/officeDocument/2006/relationships/hyperlink" Target="mailto:sping26@hotmail.com" TargetMode="External"/><Relationship Id="rId109" Type="http://schemas.openxmlformats.org/officeDocument/2006/relationships/hyperlink" Target="mailto:saywoei@yahoo.com" TargetMode="External"/><Relationship Id="rId34" Type="http://schemas.openxmlformats.org/officeDocument/2006/relationships/hyperlink" Target="mailto:cca6668@gmail.com" TargetMode="External"/><Relationship Id="rId55" Type="http://schemas.openxmlformats.org/officeDocument/2006/relationships/hyperlink" Target="mailto:simson@unitrade.com.my" TargetMode="External"/><Relationship Id="rId76" Type="http://schemas.openxmlformats.org/officeDocument/2006/relationships/hyperlink" Target="mailto:clew62@gmail.com" TargetMode="External"/><Relationship Id="rId97" Type="http://schemas.openxmlformats.org/officeDocument/2006/relationships/hyperlink" Target="mailto:tesoon12@gmail.com" TargetMode="External"/><Relationship Id="rId120" Type="http://schemas.openxmlformats.org/officeDocument/2006/relationships/hyperlink" Target="mailto:winneengoh@gmail.com" TargetMode="External"/><Relationship Id="rId141" Type="http://schemas.openxmlformats.org/officeDocument/2006/relationships/hyperlink" Target="mailto:junkit143@yahoo.com.sg" TargetMode="External"/><Relationship Id="rId7" Type="http://schemas.openxmlformats.org/officeDocument/2006/relationships/hyperlink" Target="mailto:ginayap@gmail.com" TargetMode="External"/><Relationship Id="rId162" Type="http://schemas.openxmlformats.org/officeDocument/2006/relationships/hyperlink" Target="mailto:hweetien@hotmail.com" TargetMode="External"/><Relationship Id="rId183" Type="http://schemas.openxmlformats.org/officeDocument/2006/relationships/hyperlink" Target="mailto:mongping.ng@gmail.com" TargetMode="External"/><Relationship Id="rId24" Type="http://schemas.openxmlformats.org/officeDocument/2006/relationships/hyperlink" Target="mailto:dc.guok@gmail.com" TargetMode="External"/><Relationship Id="rId40" Type="http://schemas.openxmlformats.org/officeDocument/2006/relationships/hyperlink" Target="mailto:blee@fp-group.com" TargetMode="External"/><Relationship Id="rId45" Type="http://schemas.openxmlformats.org/officeDocument/2006/relationships/hyperlink" Target="mailto:wonghoonsang@gmail.com" TargetMode="External"/><Relationship Id="rId66" Type="http://schemas.openxmlformats.org/officeDocument/2006/relationships/hyperlink" Target="mailto:fattychuah@gmail.com" TargetMode="External"/><Relationship Id="rId87" Type="http://schemas.openxmlformats.org/officeDocument/2006/relationships/hyperlink" Target="mailto:koowoonkee@gmail.com" TargetMode="External"/><Relationship Id="rId110" Type="http://schemas.openxmlformats.org/officeDocument/2006/relationships/hyperlink" Target="mailto:cwoei_jye@hotmail.com" TargetMode="External"/><Relationship Id="rId115" Type="http://schemas.openxmlformats.org/officeDocument/2006/relationships/hyperlink" Target="mailto:jolimdw@gmail.com" TargetMode="External"/><Relationship Id="rId131" Type="http://schemas.openxmlformats.org/officeDocument/2006/relationships/hyperlink" Target="mailto:c2pxian92@hotmail.com" TargetMode="External"/><Relationship Id="rId136" Type="http://schemas.openxmlformats.org/officeDocument/2006/relationships/hyperlink" Target="mailto:jason_dasb@hotmail.com" TargetMode="External"/><Relationship Id="rId157" Type="http://schemas.openxmlformats.org/officeDocument/2006/relationships/hyperlink" Target="mailto:seepeng.lim@gmail.com" TargetMode="External"/><Relationship Id="rId178" Type="http://schemas.openxmlformats.org/officeDocument/2006/relationships/hyperlink" Target="mailto:xingen150305@gmail.com" TargetMode="External"/><Relationship Id="rId61" Type="http://schemas.openxmlformats.org/officeDocument/2006/relationships/hyperlink" Target="mailto:cboonhuang@gmail.com" TargetMode="External"/><Relationship Id="rId82" Type="http://schemas.openxmlformats.org/officeDocument/2006/relationships/hyperlink" Target="mailto:allyssa_pinky@hotmail.com" TargetMode="External"/><Relationship Id="rId152" Type="http://schemas.openxmlformats.org/officeDocument/2006/relationships/hyperlink" Target="mailto:nick.chear@gmail.com" TargetMode="External"/><Relationship Id="rId173" Type="http://schemas.openxmlformats.org/officeDocument/2006/relationships/hyperlink" Target="mailto:kwwan07@yahoo.com" TargetMode="External"/><Relationship Id="rId194" Type="http://schemas.openxmlformats.org/officeDocument/2006/relationships/hyperlink" Target="mailto:wan_8807@yahoo.com.my" TargetMode="External"/><Relationship Id="rId199" Type="http://schemas.openxmlformats.org/officeDocument/2006/relationships/hyperlink" Target="mailto:phang_sk13@yahoo.com" TargetMode="External"/><Relationship Id="rId203" Type="http://schemas.openxmlformats.org/officeDocument/2006/relationships/table" Target="../tables/table2.xml"/><Relationship Id="rId19" Type="http://schemas.openxmlformats.org/officeDocument/2006/relationships/hyperlink" Target="mailto:tan.hockseng111@gmail.com" TargetMode="External"/><Relationship Id="rId14" Type="http://schemas.openxmlformats.org/officeDocument/2006/relationships/hyperlink" Target="mailto:alch51@yahoo.com" TargetMode="External"/><Relationship Id="rId30" Type="http://schemas.openxmlformats.org/officeDocument/2006/relationships/hyperlink" Target="mailto:daniel_8632@yahoo.com" TargetMode="External"/><Relationship Id="rId35" Type="http://schemas.openxmlformats.org/officeDocument/2006/relationships/hyperlink" Target="mailto:san99lau@gmail.com" TargetMode="External"/><Relationship Id="rId56" Type="http://schemas.openxmlformats.org/officeDocument/2006/relationships/hyperlink" Target="mailto:hanatrading78@yahoo.com" TargetMode="External"/><Relationship Id="rId77" Type="http://schemas.openxmlformats.org/officeDocument/2006/relationships/hyperlink" Target="mailto:chinmei_fashion@hotmail.com" TargetMode="External"/><Relationship Id="rId100" Type="http://schemas.openxmlformats.org/officeDocument/2006/relationships/hyperlink" Target="mailto:lawsc123@hotmail.com" TargetMode="External"/><Relationship Id="rId105" Type="http://schemas.openxmlformats.org/officeDocument/2006/relationships/hyperlink" Target="mailto:tidzariah@gmail.com" TargetMode="External"/><Relationship Id="rId126" Type="http://schemas.openxmlformats.org/officeDocument/2006/relationships/hyperlink" Target="mailto:pmcoatings2010@gmail.com" TargetMode="External"/><Relationship Id="rId147" Type="http://schemas.openxmlformats.org/officeDocument/2006/relationships/hyperlink" Target="mailto:tsloo1956@gmail.com" TargetMode="External"/><Relationship Id="rId168" Type="http://schemas.openxmlformats.org/officeDocument/2006/relationships/hyperlink" Target="mailto:khaimoha3720@gmail.com" TargetMode="External"/><Relationship Id="rId8" Type="http://schemas.openxmlformats.org/officeDocument/2006/relationships/hyperlink" Target="mailto:sitiomar19@yahoo.com" TargetMode="External"/><Relationship Id="rId51" Type="http://schemas.openxmlformats.org/officeDocument/2006/relationships/hyperlink" Target="mailto:duncanling@yahoo.com" TargetMode="External"/><Relationship Id="rId72" Type="http://schemas.openxmlformats.org/officeDocument/2006/relationships/hyperlink" Target="mailto:mnasirman17@gmail.com" TargetMode="External"/><Relationship Id="rId93" Type="http://schemas.openxmlformats.org/officeDocument/2006/relationships/hyperlink" Target="mailto:datoivan@ungguhgroup.com" TargetMode="External"/><Relationship Id="rId98" Type="http://schemas.openxmlformats.org/officeDocument/2006/relationships/hyperlink" Target="mailto:hkho@trident-x.com" TargetMode="External"/><Relationship Id="rId121" Type="http://schemas.openxmlformats.org/officeDocument/2006/relationships/hyperlink" Target="mailto:pphromsuwan@gmail.com" TargetMode="External"/><Relationship Id="rId142" Type="http://schemas.openxmlformats.org/officeDocument/2006/relationships/hyperlink" Target="mailto:rash.darl@gmail.com" TargetMode="External"/><Relationship Id="rId163" Type="http://schemas.openxmlformats.org/officeDocument/2006/relationships/hyperlink" Target="mailto:jeremy6833@gmail.com" TargetMode="External"/><Relationship Id="rId184" Type="http://schemas.openxmlformats.org/officeDocument/2006/relationships/hyperlink" Target="mailto:yapweoikee@gmail.com" TargetMode="External"/><Relationship Id="rId189" Type="http://schemas.openxmlformats.org/officeDocument/2006/relationships/hyperlink" Target="mailto:avith2309@gmail.com" TargetMode="External"/><Relationship Id="rId3" Type="http://schemas.openxmlformats.org/officeDocument/2006/relationships/hyperlink" Target="mailto:otakibc@gmail.com" TargetMode="External"/><Relationship Id="rId25" Type="http://schemas.openxmlformats.org/officeDocument/2006/relationships/hyperlink" Target="mailto:kianhui89@gmail.com" TargetMode="External"/><Relationship Id="rId46" Type="http://schemas.openxmlformats.org/officeDocument/2006/relationships/hyperlink" Target="mailto:norazam4446@yahoo.com.sg" TargetMode="External"/><Relationship Id="rId67" Type="http://schemas.openxmlformats.org/officeDocument/2006/relationships/hyperlink" Target="mailto:alextaypohchai@hotmail.com" TargetMode="External"/><Relationship Id="rId116" Type="http://schemas.openxmlformats.org/officeDocument/2006/relationships/hyperlink" Target="mailto:berny9113bc@gmail.com" TargetMode="External"/><Relationship Id="rId137" Type="http://schemas.openxmlformats.org/officeDocument/2006/relationships/hyperlink" Target="mailto:xuechenglee1028@gmail.com" TargetMode="External"/><Relationship Id="rId158" Type="http://schemas.openxmlformats.org/officeDocument/2006/relationships/hyperlink" Target="mailto:safinazsharif67@gmail.com" TargetMode="External"/><Relationship Id="rId20" Type="http://schemas.openxmlformats.org/officeDocument/2006/relationships/hyperlink" Target="mailto:clarislim2002@hmail.com" TargetMode="External"/><Relationship Id="rId41" Type="http://schemas.openxmlformats.org/officeDocument/2006/relationships/hyperlink" Target="mailto:susansung37@gmail.com" TargetMode="External"/><Relationship Id="rId62" Type="http://schemas.openxmlformats.org/officeDocument/2006/relationships/hyperlink" Target="mailto:conniechan2105@yahoo.com" TargetMode="External"/><Relationship Id="rId83" Type="http://schemas.openxmlformats.org/officeDocument/2006/relationships/hyperlink" Target="mailto:allyssa_pinky@hotmail.com" TargetMode="External"/><Relationship Id="rId88" Type="http://schemas.openxmlformats.org/officeDocument/2006/relationships/hyperlink" Target="mailto:suhoongfoo@gmail.com" TargetMode="External"/><Relationship Id="rId111" Type="http://schemas.openxmlformats.org/officeDocument/2006/relationships/hyperlink" Target="mailto:aiping8113@gmail.com" TargetMode="External"/><Relationship Id="rId132" Type="http://schemas.openxmlformats.org/officeDocument/2006/relationships/hyperlink" Target="mailto:celinebellea0903@gmail.com" TargetMode="External"/><Relationship Id="rId153" Type="http://schemas.openxmlformats.org/officeDocument/2006/relationships/hyperlink" Target="mailto:liewsweefah5379@gmail.com" TargetMode="External"/><Relationship Id="rId174" Type="http://schemas.openxmlformats.org/officeDocument/2006/relationships/hyperlink" Target="mailto:zohairen@gmail.com" TargetMode="External"/><Relationship Id="rId179" Type="http://schemas.openxmlformats.org/officeDocument/2006/relationships/hyperlink" Target="mailto:sam2chong@gmail.com" TargetMode="External"/><Relationship Id="rId195" Type="http://schemas.openxmlformats.org/officeDocument/2006/relationships/hyperlink" Target="mailto:c.shwu.yi@gmail.com" TargetMode="External"/><Relationship Id="rId190" Type="http://schemas.openxmlformats.org/officeDocument/2006/relationships/hyperlink" Target="mailto:kk5k@yahoo.com" TargetMode="External"/><Relationship Id="rId204" Type="http://schemas.openxmlformats.org/officeDocument/2006/relationships/comments" Target="../comments1.xml"/><Relationship Id="rId15" Type="http://schemas.openxmlformats.org/officeDocument/2006/relationships/hyperlink" Target="mailto:lindasushen@gmail.com" TargetMode="External"/><Relationship Id="rId36" Type="http://schemas.openxmlformats.org/officeDocument/2006/relationships/hyperlink" Target="mailto:sunthe26@gmail.com" TargetMode="External"/><Relationship Id="rId57" Type="http://schemas.openxmlformats.org/officeDocument/2006/relationships/hyperlink" Target="mailto:lpng_lew@yahoo.com" TargetMode="External"/><Relationship Id="rId106" Type="http://schemas.openxmlformats.org/officeDocument/2006/relationships/hyperlink" Target="mailto:sykt_pern_chuah@yahoo.com.my" TargetMode="External"/><Relationship Id="rId127" Type="http://schemas.openxmlformats.org/officeDocument/2006/relationships/hyperlink" Target="mailto:chareonp@gmail.com" TargetMode="External"/><Relationship Id="rId10" Type="http://schemas.openxmlformats.org/officeDocument/2006/relationships/hyperlink" Target="mailto:klyap1964@hotmail.com" TargetMode="External"/><Relationship Id="rId31" Type="http://schemas.openxmlformats.org/officeDocument/2006/relationships/hyperlink" Target="mailto:health_trading@yahoo" TargetMode="External"/><Relationship Id="rId52" Type="http://schemas.openxmlformats.org/officeDocument/2006/relationships/hyperlink" Target="mailto:thamcheongsheng@gmail.com" TargetMode="External"/><Relationship Id="rId73" Type="http://schemas.openxmlformats.org/officeDocument/2006/relationships/hyperlink" Target="mailto:hkliau8688@gmail.com" TargetMode="External"/><Relationship Id="rId78" Type="http://schemas.openxmlformats.org/officeDocument/2006/relationships/hyperlink" Target="mailto:ioienterprisektn@gmail.com" TargetMode="External"/><Relationship Id="rId94" Type="http://schemas.openxmlformats.org/officeDocument/2006/relationships/hyperlink" Target="mailto:jacquelinehaiu@gmail.com" TargetMode="External"/><Relationship Id="rId99" Type="http://schemas.openxmlformats.org/officeDocument/2006/relationships/hyperlink" Target="mailto:stanleyang9@gmail.com" TargetMode="External"/><Relationship Id="rId101" Type="http://schemas.openxmlformats.org/officeDocument/2006/relationships/hyperlink" Target="mailto:ng_xinnee@hotmail.com" TargetMode="External"/><Relationship Id="rId122" Type="http://schemas.openxmlformats.org/officeDocument/2006/relationships/hyperlink" Target="mailto:rambowongkokwai@gmail.com" TargetMode="External"/><Relationship Id="rId143" Type="http://schemas.openxmlformats.org/officeDocument/2006/relationships/hyperlink" Target="mailto:cherryq16@gmail.com" TargetMode="External"/><Relationship Id="rId148" Type="http://schemas.openxmlformats.org/officeDocument/2006/relationships/hyperlink" Target="mailto:yinjunlow@gmail.com" TargetMode="External"/><Relationship Id="rId164" Type="http://schemas.openxmlformats.org/officeDocument/2006/relationships/hyperlink" Target="mailto:wanderingvirocana@gmail.com" TargetMode="External"/><Relationship Id="rId169" Type="http://schemas.openxmlformats.org/officeDocument/2006/relationships/hyperlink" Target="mailto:hvacrtan@gmail.com" TargetMode="External"/><Relationship Id="rId185" Type="http://schemas.openxmlformats.org/officeDocument/2006/relationships/hyperlink" Target="mailto:calvinleemf@gmail.com" TargetMode="External"/><Relationship Id="rId4" Type="http://schemas.openxmlformats.org/officeDocument/2006/relationships/hyperlink" Target="mailto:tuantee2010@gmail.com" TargetMode="External"/><Relationship Id="rId9" Type="http://schemas.openxmlformats.org/officeDocument/2006/relationships/hyperlink" Target="mailto:shchua60@hotmail.com" TargetMode="External"/><Relationship Id="rId180" Type="http://schemas.openxmlformats.org/officeDocument/2006/relationships/hyperlink" Target="mailto:asam1008@hotmail.com" TargetMode="External"/><Relationship Id="rId26" Type="http://schemas.openxmlformats.org/officeDocument/2006/relationships/hyperlink" Target="mailto:btcap@hotmail.com" TargetMode="External"/><Relationship Id="rId47" Type="http://schemas.openxmlformats.org/officeDocument/2006/relationships/hyperlink" Target="mailto:may014215@gmail.com" TargetMode="External"/><Relationship Id="rId68" Type="http://schemas.openxmlformats.org/officeDocument/2006/relationships/hyperlink" Target="mailto:keongko@hotmail.com" TargetMode="External"/><Relationship Id="rId89" Type="http://schemas.openxmlformats.org/officeDocument/2006/relationships/hyperlink" Target="mailto:cyschin@hotmail.com" TargetMode="External"/><Relationship Id="rId112" Type="http://schemas.openxmlformats.org/officeDocument/2006/relationships/hyperlink" Target="mailto:aiping8113@gmail.com" TargetMode="External"/><Relationship Id="rId133" Type="http://schemas.openxmlformats.org/officeDocument/2006/relationships/hyperlink" Target="mailto:ameliachew76@yahoo.com" TargetMode="External"/><Relationship Id="rId154" Type="http://schemas.openxmlformats.org/officeDocument/2006/relationships/hyperlink" Target="mailto:cheehoo1450@gmail.com" TargetMode="External"/><Relationship Id="rId175" Type="http://schemas.openxmlformats.org/officeDocument/2006/relationships/hyperlink" Target="mailto:nanimuhammad67@gmail.com" TargetMode="External"/><Relationship Id="rId196" Type="http://schemas.openxmlformats.org/officeDocument/2006/relationships/hyperlink" Target="mailto:lilyt8793@gmail.com" TargetMode="External"/><Relationship Id="rId200" Type="http://schemas.openxmlformats.org/officeDocument/2006/relationships/hyperlink" Target="mailto:johnnie.why@gmail.com" TargetMode="External"/><Relationship Id="rId16" Type="http://schemas.openxmlformats.org/officeDocument/2006/relationships/hyperlink" Target="mailto:tansaykheng@hotmail.com" TargetMode="External"/><Relationship Id="rId37" Type="http://schemas.openxmlformats.org/officeDocument/2006/relationships/hyperlink" Target="mailto:gunner2490@yahoo.com" TargetMode="External"/><Relationship Id="rId58" Type="http://schemas.openxmlformats.org/officeDocument/2006/relationships/hyperlink" Target="mailto:drnorfadillah@gmail.com" TargetMode="External"/><Relationship Id="rId79" Type="http://schemas.openxmlformats.org/officeDocument/2006/relationships/hyperlink" Target="mailto:llchua00@hotmail.com" TargetMode="External"/><Relationship Id="rId102" Type="http://schemas.openxmlformats.org/officeDocument/2006/relationships/hyperlink" Target="mailto:yikyin_cheong@hotmail.com" TargetMode="External"/><Relationship Id="rId123" Type="http://schemas.openxmlformats.org/officeDocument/2006/relationships/hyperlink" Target="mailto:salimmaa@gmail.com" TargetMode="External"/><Relationship Id="rId144" Type="http://schemas.openxmlformats.org/officeDocument/2006/relationships/hyperlink" Target="mailto:cjhao8855@gmail.com" TargetMode="External"/><Relationship Id="rId90" Type="http://schemas.openxmlformats.org/officeDocument/2006/relationships/hyperlink" Target="mailto:esther@unitrade.com.my" TargetMode="External"/><Relationship Id="rId165" Type="http://schemas.openxmlformats.org/officeDocument/2006/relationships/hyperlink" Target="mailto:hoongthyeengineering@gmail.com" TargetMode="External"/><Relationship Id="rId186" Type="http://schemas.openxmlformats.org/officeDocument/2006/relationships/hyperlink" Target="mailto:alicia@rossi.com.my" TargetMode="External"/><Relationship Id="rId27" Type="http://schemas.openxmlformats.org/officeDocument/2006/relationships/hyperlink" Target="mailto:akembsp5@gmail.com" TargetMode="External"/><Relationship Id="rId48" Type="http://schemas.openxmlformats.org/officeDocument/2006/relationships/hyperlink" Target="mailto:klkoon8882@gmail.com" TargetMode="External"/><Relationship Id="rId69" Type="http://schemas.openxmlformats.org/officeDocument/2006/relationships/hyperlink" Target="mailto:joe_hmc@hotmail.com" TargetMode="External"/><Relationship Id="rId113" Type="http://schemas.openxmlformats.org/officeDocument/2006/relationships/hyperlink" Target="mailto:boonlingteo@yahoo.com" TargetMode="External"/><Relationship Id="rId134" Type="http://schemas.openxmlformats.org/officeDocument/2006/relationships/hyperlink" Target="mailto:sjyeo82@yahoo.com" TargetMode="External"/><Relationship Id="rId80" Type="http://schemas.openxmlformats.org/officeDocument/2006/relationships/hyperlink" Target="mailto:yeochenkok@gmail.com" TargetMode="External"/><Relationship Id="rId155" Type="http://schemas.openxmlformats.org/officeDocument/2006/relationships/hyperlink" Target="mailto:jordantan.1992@gmail.com" TargetMode="External"/><Relationship Id="rId176" Type="http://schemas.openxmlformats.org/officeDocument/2006/relationships/hyperlink" Target="mailto:norsalwahanimuhammad2003@gmail.com" TargetMode="External"/><Relationship Id="rId197" Type="http://schemas.openxmlformats.org/officeDocument/2006/relationships/hyperlink" Target="mailto:cgbc.ipoh@gmail.com" TargetMode="External"/><Relationship Id="rId201" Type="http://schemas.openxmlformats.org/officeDocument/2006/relationships/printerSettings" Target="../printerSettings/printerSettings3.bin"/><Relationship Id="rId17" Type="http://schemas.openxmlformats.org/officeDocument/2006/relationships/hyperlink" Target="mailto:alicia@rossi.com.my" TargetMode="External"/><Relationship Id="rId38" Type="http://schemas.openxmlformats.org/officeDocument/2006/relationships/hyperlink" Target="mailto:meimaychew@gmail.com" TargetMode="External"/><Relationship Id="rId59" Type="http://schemas.openxmlformats.org/officeDocument/2006/relationships/hyperlink" Target="mailto:billyteoh19@hotmail.com" TargetMode="External"/><Relationship Id="rId103" Type="http://schemas.openxmlformats.org/officeDocument/2006/relationships/hyperlink" Target="mailto:songlee1188@gmail.com" TargetMode="External"/><Relationship Id="rId124" Type="http://schemas.openxmlformats.org/officeDocument/2006/relationships/hyperlink" Target="mailto:weinnyliew88@gmail.com" TargetMode="External"/><Relationship Id="rId70" Type="http://schemas.openxmlformats.org/officeDocument/2006/relationships/hyperlink" Target="mailto:zainudinzin@gmail.com" TargetMode="External"/><Relationship Id="rId91" Type="http://schemas.openxmlformats.org/officeDocument/2006/relationships/hyperlink" Target="mailto:prinze.pua@gmail.com" TargetMode="External"/><Relationship Id="rId145" Type="http://schemas.openxmlformats.org/officeDocument/2006/relationships/hyperlink" Target="mailto:teckkeng@gmail.com" TargetMode="External"/><Relationship Id="rId166" Type="http://schemas.openxmlformats.org/officeDocument/2006/relationships/hyperlink" Target="mailto:hanynajib7577@gmail.com" TargetMode="External"/><Relationship Id="rId187" Type="http://schemas.openxmlformats.org/officeDocument/2006/relationships/hyperlink" Target="mailto:simonlee1@yahoo.com" TargetMode="External"/><Relationship Id="rId1" Type="http://schemas.openxmlformats.org/officeDocument/2006/relationships/hyperlink" Target="mailto:thomas119@hotmail.com" TargetMode="External"/><Relationship Id="rId28" Type="http://schemas.openxmlformats.org/officeDocument/2006/relationships/hyperlink" Target="mailto:chinjoolim@gmail.com" TargetMode="External"/><Relationship Id="rId49" Type="http://schemas.openxmlformats.org/officeDocument/2006/relationships/hyperlink" Target="mailto:ww_kwong@yahoo.com.sg" TargetMode="External"/><Relationship Id="rId114" Type="http://schemas.openxmlformats.org/officeDocument/2006/relationships/hyperlink" Target="mailto:hiedavid89@gmail.com" TargetMode="External"/><Relationship Id="rId60" Type="http://schemas.openxmlformats.org/officeDocument/2006/relationships/hyperlink" Target="mailto:tattmun@gmail.com" TargetMode="External"/><Relationship Id="rId81" Type="http://schemas.openxmlformats.org/officeDocument/2006/relationships/hyperlink" Target="mailto:ttchua77@hotmail.com" TargetMode="External"/><Relationship Id="rId135" Type="http://schemas.openxmlformats.org/officeDocument/2006/relationships/hyperlink" Target="mailto:w.waihung@gmail.com" TargetMode="External"/><Relationship Id="rId156" Type="http://schemas.openxmlformats.org/officeDocument/2006/relationships/hyperlink" Target="mailto:tingkampeng@gmail.com" TargetMode="External"/><Relationship Id="rId177" Type="http://schemas.openxmlformats.org/officeDocument/2006/relationships/hyperlink" Target="mailto:mysamwht@gmail.com" TargetMode="External"/><Relationship Id="rId198" Type="http://schemas.openxmlformats.org/officeDocument/2006/relationships/hyperlink" Target="mailto:hueiya-lee97@hotmail.com" TargetMode="External"/><Relationship Id="rId202" Type="http://schemas.openxmlformats.org/officeDocument/2006/relationships/vmlDrawing" Target="../drawings/vmlDrawing1.vml"/><Relationship Id="rId18" Type="http://schemas.openxmlformats.org/officeDocument/2006/relationships/hyperlink" Target="mailto:pee.banyio@yahoo.com" TargetMode="External"/><Relationship Id="rId39" Type="http://schemas.openxmlformats.org/officeDocument/2006/relationships/hyperlink" Target="mailto:chen2.luma@gmail.com" TargetMode="External"/><Relationship Id="rId50" Type="http://schemas.openxmlformats.org/officeDocument/2006/relationships/hyperlink" Target="mailto:lytan63@hotmail.com" TargetMode="External"/><Relationship Id="rId104" Type="http://schemas.openxmlformats.org/officeDocument/2006/relationships/hyperlink" Target="mailto:allan@gmail.com" TargetMode="External"/><Relationship Id="rId125" Type="http://schemas.openxmlformats.org/officeDocument/2006/relationships/hyperlink" Target="mailto:lucasboo123@hotmail.com" TargetMode="External"/><Relationship Id="rId146" Type="http://schemas.openxmlformats.org/officeDocument/2006/relationships/hyperlink" Target="mailto:bhajan1952@gmail.com" TargetMode="External"/><Relationship Id="rId167" Type="http://schemas.openxmlformats.org/officeDocument/2006/relationships/hyperlink" Target="mailto:yap.sk@hotmail.com" TargetMode="External"/><Relationship Id="rId188" Type="http://schemas.openxmlformats.org/officeDocument/2006/relationships/hyperlink" Target="mailto:lgfswl@gmail.com" TargetMode="External"/><Relationship Id="rId71" Type="http://schemas.openxmlformats.org/officeDocument/2006/relationships/hyperlink" Target="mailto:lishankwan@gmail.com" TargetMode="External"/><Relationship Id="rId92" Type="http://schemas.openxmlformats.org/officeDocument/2006/relationships/hyperlink" Target="mailto:cmang_02@outlook.com" TargetMode="External"/><Relationship Id="rId2" Type="http://schemas.openxmlformats.org/officeDocument/2006/relationships/hyperlink" Target="mailto:legendtay@hotmail.com" TargetMode="External"/><Relationship Id="rId29" Type="http://schemas.openxmlformats.org/officeDocument/2006/relationships/hyperlink" Target="mailto:siewchuan639@gmail.com"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65044-D915-451E-8811-FAAE548D75E3}">
  <sheetPr codeName="Sheet6"/>
  <dimension ref="A3:AD168"/>
  <sheetViews>
    <sheetView showGridLines="0" zoomScale="70" zoomScaleNormal="70" workbookViewId="0">
      <selection activeCell="Z24" sqref="Z24"/>
    </sheetView>
  </sheetViews>
  <sheetFormatPr defaultRowHeight="14.4" x14ac:dyDescent="0.3"/>
  <cols>
    <col min="1" max="1" width="24" style="40" customWidth="1"/>
    <col min="2" max="3" width="16" style="40" customWidth="1"/>
    <col min="4" max="6" width="16" style="5" customWidth="1"/>
    <col min="7" max="7" width="0.5546875" style="5" customWidth="1"/>
    <col min="8" max="8" width="20.109375" style="5" bestFit="1" customWidth="1"/>
    <col min="9" max="9" width="19.44140625" style="5" customWidth="1"/>
    <col min="10" max="12" width="19.44140625" customWidth="1"/>
    <col min="13" max="13" width="0.5546875" customWidth="1"/>
    <col min="14" max="18" width="19.44140625" customWidth="1"/>
    <col min="19" max="19" width="0.5546875" customWidth="1"/>
    <col min="20" max="24" width="19.44140625" customWidth="1"/>
    <col min="25" max="25" width="0.5546875" customWidth="1"/>
    <col min="26" max="30" width="19.5546875" customWidth="1"/>
    <col min="31" max="31" width="0.5546875" customWidth="1"/>
    <col min="32" max="35" width="18.44140625" customWidth="1"/>
    <col min="36" max="36" width="9" customWidth="1"/>
  </cols>
  <sheetData>
    <row r="3" spans="22:27" ht="30.9" customHeight="1" x14ac:dyDescent="0.3">
      <c r="W3" s="151" t="s">
        <v>0</v>
      </c>
      <c r="X3" s="151"/>
      <c r="Z3" s="147">
        <f>B37</f>
        <v>3635.1449999999941</v>
      </c>
      <c r="AA3" s="147"/>
    </row>
    <row r="4" spans="22:27" ht="30.9" customHeight="1" x14ac:dyDescent="0.3">
      <c r="W4" s="151"/>
      <c r="X4" s="151"/>
      <c r="Z4" s="147"/>
      <c r="AA4" s="147"/>
    </row>
    <row r="5" spans="22:27" ht="30.9" customHeight="1" x14ac:dyDescent="0.3">
      <c r="W5" s="151"/>
      <c r="X5" s="151"/>
      <c r="Z5" s="147"/>
      <c r="AA5" s="147"/>
    </row>
    <row r="6" spans="22:27" ht="14.85" customHeight="1" x14ac:dyDescent="0.3">
      <c r="V6" s="5"/>
      <c r="W6" s="5"/>
      <c r="X6" s="5"/>
    </row>
    <row r="7" spans="22:27" ht="14.85" customHeight="1" x14ac:dyDescent="0.3">
      <c r="V7" s="5"/>
      <c r="W7" s="5"/>
      <c r="X7" s="5"/>
    </row>
    <row r="8" spans="22:27" ht="14.85" customHeight="1" x14ac:dyDescent="0.3">
      <c r="W8" s="151" t="s">
        <v>1</v>
      </c>
      <c r="X8" s="151"/>
      <c r="Z8" s="147">
        <f>B38</f>
        <v>3718.01</v>
      </c>
      <c r="AA8" s="147"/>
    </row>
    <row r="9" spans="22:27" ht="30.9" customHeight="1" x14ac:dyDescent="0.3">
      <c r="W9" s="151"/>
      <c r="X9" s="151"/>
      <c r="Z9" s="147"/>
      <c r="AA9" s="147"/>
    </row>
    <row r="10" spans="22:27" ht="30.9" customHeight="1" x14ac:dyDescent="0.3">
      <c r="W10" s="151"/>
      <c r="X10" s="151"/>
      <c r="Z10" s="147"/>
      <c r="AA10" s="147"/>
    </row>
    <row r="11" spans="22:27" ht="14.85" customHeight="1" x14ac:dyDescent="0.3"/>
    <row r="12" spans="22:27" ht="14.85" customHeight="1" x14ac:dyDescent="0.3"/>
    <row r="13" spans="22:27" ht="14.85" customHeight="1" x14ac:dyDescent="0.3"/>
    <row r="32" spans="1:3" x14ac:dyDescent="0.3">
      <c r="A32" s="15"/>
      <c r="B32" s="15"/>
      <c r="C32" s="15"/>
    </row>
    <row r="33" spans="1:30" x14ac:dyDescent="0.3">
      <c r="A33" s="15"/>
      <c r="B33" s="15"/>
      <c r="C33" s="15"/>
    </row>
    <row r="34" spans="1:30" x14ac:dyDescent="0.3">
      <c r="A34" s="15"/>
      <c r="B34" s="15"/>
      <c r="C34" s="15"/>
    </row>
    <row r="35" spans="1:30" ht="23.4" x14ac:dyDescent="0.4">
      <c r="A35" s="15"/>
      <c r="B35" s="148" t="s">
        <v>2</v>
      </c>
      <c r="C35" s="149"/>
      <c r="D35" s="149"/>
      <c r="E35" s="149"/>
      <c r="F35" s="150"/>
      <c r="G35" s="43"/>
      <c r="H35" s="148" t="s">
        <v>3</v>
      </c>
      <c r="I35" s="149"/>
      <c r="J35" s="149"/>
      <c r="K35" s="149"/>
      <c r="L35" s="150"/>
      <c r="M35" s="47"/>
      <c r="N35" s="148" t="s">
        <v>4</v>
      </c>
      <c r="O35" s="149"/>
      <c r="P35" s="149"/>
      <c r="Q35" s="149"/>
      <c r="R35" s="150"/>
      <c r="S35" s="43"/>
      <c r="T35" s="148" t="s">
        <v>5</v>
      </c>
      <c r="U35" s="149"/>
      <c r="V35" s="149"/>
      <c r="W35" s="149"/>
      <c r="X35" s="149"/>
      <c r="Z35" s="148" t="s">
        <v>6</v>
      </c>
      <c r="AA35" s="149"/>
      <c r="AB35" s="149"/>
      <c r="AC35" s="149"/>
      <c r="AD35" s="149"/>
    </row>
    <row r="36" spans="1:30" ht="21" x14ac:dyDescent="0.35">
      <c r="B36" s="73" t="s">
        <v>7</v>
      </c>
      <c r="C36" s="73">
        <v>2023</v>
      </c>
      <c r="D36" s="73">
        <v>2024</v>
      </c>
      <c r="E36" s="74">
        <v>2025</v>
      </c>
      <c r="F36" s="74">
        <v>2026</v>
      </c>
      <c r="G36" s="44"/>
      <c r="H36" s="75" t="s">
        <v>7</v>
      </c>
      <c r="I36" s="73">
        <v>2023</v>
      </c>
      <c r="J36" s="73">
        <v>2024</v>
      </c>
      <c r="K36" s="74">
        <v>2025</v>
      </c>
      <c r="L36" s="74">
        <v>2026</v>
      </c>
      <c r="M36" s="48"/>
      <c r="N36" s="75" t="s">
        <v>7</v>
      </c>
      <c r="O36" s="73">
        <v>2023</v>
      </c>
      <c r="P36" s="73">
        <v>2024</v>
      </c>
      <c r="Q36" s="74">
        <v>2025</v>
      </c>
      <c r="R36" s="74">
        <v>2026</v>
      </c>
      <c r="S36" s="44"/>
      <c r="T36" s="75" t="s">
        <v>7</v>
      </c>
      <c r="U36" s="73">
        <v>2023</v>
      </c>
      <c r="V36" s="73">
        <v>2024</v>
      </c>
      <c r="W36" s="73">
        <v>2025</v>
      </c>
      <c r="X36" s="73">
        <v>2026</v>
      </c>
      <c r="Z36" s="73" t="s">
        <v>7</v>
      </c>
      <c r="AA36" s="73">
        <v>2023</v>
      </c>
      <c r="AB36" s="73">
        <v>2024</v>
      </c>
      <c r="AC36" s="73">
        <v>2025</v>
      </c>
      <c r="AD36" s="73">
        <v>2026</v>
      </c>
    </row>
    <row r="37" spans="1:30" s="20" customFormat="1" ht="25.5" customHeight="1" x14ac:dyDescent="0.3">
      <c r="A37" s="101" t="s">
        <v>8</v>
      </c>
      <c r="B37" s="95">
        <f>SUMIFS(Table1[PV System Capacity (kWp)],Table1[Category],"*R*")</f>
        <v>3635.1449999999941</v>
      </c>
      <c r="C37" s="95">
        <f>SUMIFS(Table1[PV System Capacity (kWp)],Table1[Category],"*R*",Table1[Closed Date],"&gt;="&amp;DATE(2023,1,1),Table1[Closed Date],"&lt;="&amp;DATE(2023,12,31))</f>
        <v>313.29999999999995</v>
      </c>
      <c r="D37" s="95">
        <f>SUMIFS(Table1[PV System Capacity (kWp)],Table1[Category],"*R*",Table1[Closed Date],"&gt;="&amp;DATE(2024,1,1),Table1[Closed Date],"&lt;="&amp;DATE(2024,12,31))</f>
        <v>1637.1649999999988</v>
      </c>
      <c r="E37" s="96">
        <f>SUMIFS(Table1[PV System Capacity (kWp)],Table1[Category],"*R*",Table1[Closed Date],"&gt;="&amp;DATE(2025,1,1),Table1[Closed Date],"&lt;="&amp;DATE(2025,12,31))</f>
        <v>1684.6800000000039</v>
      </c>
      <c r="F37" s="96">
        <f>SUMIFS(Table1[PV System Capacity (kWp)],Table1[Category],"*R*",Table1[Closed Date],"&gt;="&amp;DATE(2026,1,1),Table1[Closed Date],"&lt;="&amp;DATE(2026,12,31))</f>
        <v>0</v>
      </c>
      <c r="G37" s="45"/>
      <c r="H37" s="79">
        <f>SUMIFS(Table1[Project Value (RM)],Table1[Category],"R-PV")</f>
        <v>10314867.6</v>
      </c>
      <c r="I37" s="80">
        <f>SUMIFS(Table1[Project Value (RM)],Table1[Category],"R-PV",Table1[Closed Date],"&gt;="&amp;DATE(2023,1,1),Table1[Closed Date],"&lt;="&amp;DATE(2023,12,31))</f>
        <v>782725</v>
      </c>
      <c r="J37" s="80">
        <f>SUMIFS(Table1[Project Value (RM)],Table1[Category],"R-PV",Table1[Closed Date],"&gt;="&amp;DATE(2024,1,1),Table1[Closed Date],"&lt;="&amp;DATE(2024,12,31))</f>
        <v>5036797.2</v>
      </c>
      <c r="K37" s="81">
        <f>SUMIFS(Table1[Project Value (RM)],Table1[Category],"R-PV",Table1[Closed Date],"&gt;="&amp;DATE(2025,1,1),Table1[Closed Date],"&lt;="&amp;DATE(2025,12,31))</f>
        <v>4495345.4000000004</v>
      </c>
      <c r="L37" s="81">
        <f>SUMIFS(Table1[Project Value (RM)],Table1[Category],"R-PV",Table1[Closed Date],"&gt;="&amp;DATE(2026,1,1),Table1[Closed Date],"&lt;="&amp;DATE(2026,12,31))</f>
        <v>0</v>
      </c>
      <c r="M37" s="102"/>
      <c r="N37" s="103">
        <f>SUM(O37:R37)</f>
        <v>8802124.6000000015</v>
      </c>
      <c r="O37" s="80">
        <f>SUMIFS('Finance Tracker'!M:M,'Finance Tracker'!L:L,"&gt;="&amp;DATE(2023,1,1),'Finance Tracker'!L:L,"&lt;="&amp;DATE(2023,12,31),'Finance Tracker'!F:F,"R-PV")
+SUMIFS('Finance Tracker'!Q:Q,'Finance Tracker'!P:P,"&gt;="&amp;DATE(2023,1,1),'Finance Tracker'!P:P,"&lt;="&amp;DATE(2023,12,31),'Finance Tracker'!F:F,"R-PV")
+SUMIFS('Finance Tracker'!U:U,'Finance Tracker'!T:T,"&gt;="&amp;DATE(2023,1,1),'Finance Tracker'!T:T,"&lt;="&amp;DATE(2023,12,31),'Finance Tracker'!F:F,"R-PV")
+SUMIFS('Finance Tracker'!Y:Y,'Finance Tracker'!X:X,"&gt;="&amp;DATE(2023,1,1),'Finance Tracker'!X:X,"&lt;="&amp;DATE(2023,12,31),'Finance Tracker'!F:F,"R-PV")
+SUMIFS('Finance Tracker'!AC:AC,'Finance Tracker'!AB:AB,"&gt;="&amp;DATE(2023,1,1),'Finance Tracker'!AB:AB,"&lt;="&amp;DATE(2023,12,31),'Finance Tracker'!F:F,"R-PV")
+SUMIFS('Finance Tracker'!AG:AG,'Finance Tracker'!AF:AF,"&gt;="&amp;DATE(2023,1,1),'Finance Tracker'!AF:AF,"&lt;="&amp;DATE(2023,12,31),'Finance Tracker'!F:F,"R-PV")</f>
        <v>379240</v>
      </c>
      <c r="P37" s="80">
        <f>SUMIFS('Finance Tracker'!M:M,'Finance Tracker'!L:L,"&gt;="&amp;DATE(2024,1,1),'Finance Tracker'!L:L,"&lt;="&amp;DATE(2024,12,31),'Finance Tracker'!F:F,"R-PV")
+SUMIFS('Finance Tracker'!Q:Q,'Finance Tracker'!P:P,"&gt;="&amp;DATE(2024,1,1),'Finance Tracker'!P:P,"&lt;="&amp;DATE(2024,12,31),'Finance Tracker'!F:F,"R-PV")
+SUMIFS('Finance Tracker'!U:U,'Finance Tracker'!T:T,"&gt;="&amp;DATE(2024,1,1),'Finance Tracker'!T:T,"&lt;="&amp;DATE(2024,12,31),'Finance Tracker'!F:F,"R-PV")
+SUMIFS('Finance Tracker'!Y:Y,'Finance Tracker'!X:X,"&gt;="&amp;DATE(2024,1,1),'Finance Tracker'!X:X,"&lt;="&amp;DATE(2024,12,31),'Finance Tracker'!F:F,"R-PV")
+SUMIFS('Finance Tracker'!AC:AC,'Finance Tracker'!AB:AB,"&gt;="&amp;DATE(2024,1,1),'Finance Tracker'!AB:AB,"&lt;="&amp;DATE(2024,12,31),'Finance Tracker'!F:F,"R-PV")
+SUMIFS('Finance Tracker'!AG:AG,'Finance Tracker'!AF:AF,"&gt;="&amp;DATE(2024,1,1),'Finance Tracker'!AF:AF,"&lt;="&amp;DATE(2024,12,31),'Finance Tracker'!F:F,"R-PV")</f>
        <v>3897315.2</v>
      </c>
      <c r="Q37" s="81">
        <f>SUMIFS('Finance Tracker'!M:M,'Finance Tracker'!L:L,"&gt;="&amp;DATE(2025,1,1),'Finance Tracker'!L:L,"&lt;="&amp;DATE(2025,12,31),'Finance Tracker'!F:F,"R-PV")
+SUMIFS('Finance Tracker'!Q:Q,'Finance Tracker'!P:P,"&gt;="&amp;DATE(2025,1,1),'Finance Tracker'!P:P,"&lt;="&amp;DATE(2025,12,31),'Finance Tracker'!F:F,"R-PV")
+SUMIFS('Finance Tracker'!U:U,'Finance Tracker'!T:T,"&gt;="&amp;DATE(2025,1,1),'Finance Tracker'!T:T,"&lt;="&amp;DATE(2025,12,31),'Finance Tracker'!F:F,"R-PV")
+SUMIFS('Finance Tracker'!Y:Y,'Finance Tracker'!X:X,"&gt;="&amp;DATE(2025,1,1),'Finance Tracker'!X:X,"&lt;="&amp;DATE(2025,12,31),'Finance Tracker'!F:F,"R-PV")
+SUMIFS('Finance Tracker'!AC:AC,'Finance Tracker'!AB:AB,"&gt;="&amp;DATE(2025,1,1),'Finance Tracker'!AB:AB,"&lt;="&amp;DATE(2025,12,31),'Finance Tracker'!F:F,"R-PV")
+SUMIFS('Finance Tracker'!AG:AG,'Finance Tracker'!AF:AF,"&gt;="&amp;DATE(2025,1,1),'Finance Tracker'!AF:AF,"&lt;="&amp;DATE(2025,12,31),'Finance Tracker'!F:F,"R-PV")</f>
        <v>4525569.4000000004</v>
      </c>
      <c r="R37" s="81">
        <f>SUMIFS('Finance Tracker'!M:M,'Finance Tracker'!L:L,"&gt;="&amp;DATE(2026,1,1),'Finance Tracker'!L:L,"&lt;="&amp;DATE(2026,12,31),'Finance Tracker'!F:F,"R-PV")
+SUMIFS('Finance Tracker'!Q:Q,'Finance Tracker'!P:P,"&gt;="&amp;DATE(2026,1,1),'Finance Tracker'!P:P,"&lt;="&amp;DATE(2026,12,31),'Finance Tracker'!F:F,"R-PV")
+SUMIFS('Finance Tracker'!U:U,'Finance Tracker'!T:T,"&gt;="&amp;DATE(2026,1,1),'Finance Tracker'!T:T,"&lt;="&amp;DATE(2026,12,31),'Finance Tracker'!F:F,"R-PV")
+SUMIFS('Finance Tracker'!Y:Y,'Finance Tracker'!X:X,"&gt;="&amp;DATE(2026,1,1),'Finance Tracker'!X:X,"&lt;="&amp;DATE(2026,12,31),'Finance Tracker'!F:F,"R-PV")
+SUMIFS('Finance Tracker'!AC:AC,'Finance Tracker'!AB:AB,"&gt;="&amp;DATE(2026,1,1),'Finance Tracker'!AB:AB,"&lt;="&amp;DATE(2026,12,31),'Finance Tracker'!F:F,"R-PV")
+SUMIFS('Finance Tracker'!AG:AG,'Finance Tracker'!AF:AF,"&gt;="&amp;DATE(2026,1,1),'Finance Tracker'!AF:AF,"&lt;="&amp;DATE(2026,12,31),'Finance Tracker'!F:F,"R-PV")</f>
        <v>0</v>
      </c>
      <c r="S37" s="46"/>
      <c r="T37" s="79">
        <f>SUM(U37:X37)</f>
        <v>8586827.6000000015</v>
      </c>
      <c r="U37" s="80">
        <f>SUMIFS('Finance Tracker'!O:O,'Finance Tracker'!N:N,"&gt;="&amp;DATE(2023,1,1),'Finance Tracker'!N:N,"&lt;="&amp;DATE(2023,12,31),'Finance Tracker'!F:F,"R-PV")
+SUMIFS('Finance Tracker'!S:S,'Finance Tracker'!R:R,"&gt;="&amp;DATE(2023,1,1),'Finance Tracker'!R:R,"&lt;="&amp;DATE(2023,12,31),'Finance Tracker'!F:F,"R-PV")
+SUMIFS('Finance Tracker'!W:W,'Finance Tracker'!V:V,"&gt;="&amp;DATE(2023,1,1),'Finance Tracker'!V:V,"&lt;="&amp;DATE(2023,12,31),'Finance Tracker'!F:F,"R-PV")
+SUMIFS('Finance Tracker'!AA:AA,'Finance Tracker'!Z:Z,"&gt;="&amp;DATE(2023,1,1),'Finance Tracker'!Z:Z,"&lt;="&amp;DATE(2023,12,31),'Finance Tracker'!F:F,"R-PV")
+SUMIFS('Finance Tracker'!AD:AD,'Finance Tracker'!AE:AE,"&gt;="&amp;DATE(2023,1,1),'Finance Tracker'!AE:AE,"&lt;="&amp;DATE(2023,12,31),'Finance Tracker'!F:F,"R-PV")
+SUMIFS('Finance Tracker'!AI:AI,'Finance Tracker'!AH:AH,"&gt;="&amp;DATE(2023,1,1),'Finance Tracker'!AH:AH,"&lt;="&amp;DATE(2023,12,31),'Finance Tracker'!F:F,"R-PV")</f>
        <v>301640</v>
      </c>
      <c r="V37" s="80">
        <f>SUMIFS('Finance Tracker'!O:O,'Finance Tracker'!N:N,"&gt;="&amp;DATE(2024,1,1),'Finance Tracker'!N:N,"&lt;="&amp;DATE(2024,12,31),'Finance Tracker'!F:F,"R-PV")
+SUMIFS('Finance Tracker'!S:S,'Finance Tracker'!R:R,"&gt;="&amp;DATE(2024,1,1),'Finance Tracker'!R:R,"&lt;="&amp;DATE(2024,12,31),'Finance Tracker'!F:F,"R-PV")
+SUMIFS('Finance Tracker'!W:W,'Finance Tracker'!V:V,"&gt;="&amp;DATE(2024,1,1),'Finance Tracker'!V:V,"&lt;="&amp;DATE(2024,12,31),'Finance Tracker'!F:F,"R-PV")
+SUMIFS('Finance Tracker'!AA:AA,'Finance Tracker'!Z:Z,"&gt;="&amp;DATE(2024,1,1),'Finance Tracker'!Z:Z,"&lt;="&amp;DATE(2024,12,31),'Finance Tracker'!F:F,"R-PV")
+SUMIFS('Finance Tracker'!AD:AD,'Finance Tracker'!AE:AE,"&gt;="&amp;DATE(2024,1,1),'Finance Tracker'!AE:AE,"&lt;="&amp;DATE(2024,12,31),'Finance Tracker'!F:F,"R-PV")
+SUMIFS('Finance Tracker'!AI:AI,'Finance Tracker'!AH:AH,"&gt;="&amp;DATE(2024,1,1),'Finance Tracker'!AH:AH,"&lt;="&amp;DATE(2024,12,31),'Finance Tracker'!F:F,"R-PV")</f>
        <v>3691311.2</v>
      </c>
      <c r="W37" s="80">
        <f>SUMIFS('Finance Tracker'!O:O,'Finance Tracker'!N:N,"&gt;="&amp;DATE(2025,1,1),'Finance Tracker'!N:N,"&lt;="&amp;DATE(2025,12,31),'Finance Tracker'!F:F,"R-PV")
+SUMIFS('Finance Tracker'!S:S,'Finance Tracker'!R:R,"&gt;="&amp;DATE(2025,1,1),'Finance Tracker'!R:R,"&lt;="&amp;DATE(2025,12,31),'Finance Tracker'!F:F,"R-PV")
+SUMIFS('Finance Tracker'!W:W,'Finance Tracker'!V:V,"&gt;="&amp;DATE(2025,1,1),'Finance Tracker'!V:V,"&lt;="&amp;DATE(2025,12,31),'Finance Tracker'!F:F,"R-PV")
+SUMIFS('Finance Tracker'!AA:AA,'Finance Tracker'!Z:Z,"&gt;="&amp;DATE(2025,1,1),'Finance Tracker'!Z:Z,"&lt;="&amp;DATE(2025,12,31),'Finance Tracker'!F:F,"R-PV")
+SUMIFS('Finance Tracker'!AD:AD,'Finance Tracker'!AE:AE,"&gt;="&amp;DATE(2025,1,1),'Finance Tracker'!AE:AE,"&lt;="&amp;DATE(2025,12,31),'Finance Tracker'!F:F,"R-PV")
+SUMIFS('Finance Tracker'!AI:AI,'Finance Tracker'!AH:AH,"&gt;="&amp;DATE(2025,1,1),'Finance Tracker'!AH:AH,"&lt;="&amp;DATE(2025,12,31),'Finance Tracker'!F:F,"R-PV")</f>
        <v>4593876.4000000004</v>
      </c>
      <c r="X37" s="80">
        <f>SUMIFS('Finance Tracker'!O:O,'Finance Tracker'!N:N,"&gt;="&amp;DATE(2026,1,1),'Finance Tracker'!N:N,"&lt;="&amp;DATE(2026,12,31),'Finance Tracker'!F:F,"R-PV")
+SUMIFS('Finance Tracker'!S:S,'Finance Tracker'!R:R,"&gt;="&amp;DATE(2026,1,1),'Finance Tracker'!R:R,"&lt;="&amp;DATE(2026,12,31),'Finance Tracker'!F:F,"R-PV")
+SUMIFS('Finance Tracker'!W:W,'Finance Tracker'!V:V,"&gt;="&amp;DATE(2026,1,1),'Finance Tracker'!V:V,"&lt;="&amp;DATE(2026,12,31),'Finance Tracker'!F:F,"R-PV")
+SUMIFS('Finance Tracker'!AA:AA,'Finance Tracker'!Z:Z,"&gt;="&amp;DATE(2026,1,1),'Finance Tracker'!Z:Z,"&lt;="&amp;DATE(2026,12,31),'Finance Tracker'!F:F,"R-PV")
+SUMIFS('Finance Tracker'!AE:AE,'Finance Tracker'!AE:AE,"&gt;="&amp;DATE(2026,1,1),'Finance Tracker'!AD:AD,"&lt;="&amp;DATE(2026,12,31),'Finance Tracker'!F:F,"R-PV")
+SUMIFS('Finance Tracker'!AI:AI,'Finance Tracker'!AH:AH,"&gt;="&amp;DATE(2026,1,1),'Finance Tracker'!AH:AH,"&lt;="&amp;DATE(2026,12,31),'Finance Tracker'!F:F,"R-PV")</f>
        <v>0</v>
      </c>
      <c r="Z37" s="76">
        <f>COUNTIF(Table1[Category],"R-PV")</f>
        <v>313</v>
      </c>
      <c r="AA37" s="76">
        <f>COUNTIFS(Table1[Category],"R-PV",Table1[Closed Date],"&gt;="&amp;DATE(2023,1,1),Table1[Closed Date],"&lt;="&amp;DATE(2023,12,31))</f>
        <v>23</v>
      </c>
      <c r="AB37" s="76">
        <f>COUNTIFS(Table1[Category],"R-PV",Table1[Closed Date],"&gt;="&amp;DATE(2024,1,1),Table1[Closed Date],"&lt;="&amp;DATE(2024,12,31))</f>
        <v>143</v>
      </c>
      <c r="AC37" s="76">
        <f>COUNTIFS(Table1[Category],"R-PV",Table1[Closed Date],"&gt;="&amp;DATE(2025,1,1),Table1[Closed Date],"&lt;="&amp;DATE(2025,12,31))</f>
        <v>147</v>
      </c>
      <c r="AD37" s="76">
        <f>COUNTIFS(Table1[Category],"R-PV",Table1[Closed Date],"&gt;="&amp;DATE(2026,1,1),Table1[Closed Date],"&lt;="&amp;DATE(2026,12,31))</f>
        <v>0</v>
      </c>
    </row>
    <row r="38" spans="1:30" s="20" customFormat="1" ht="25.5" customHeight="1" x14ac:dyDescent="0.3">
      <c r="A38" s="101" t="s">
        <v>9</v>
      </c>
      <c r="B38" s="95">
        <f>SUMIFS(Table1[PV System Capacity (kWp)],Table1[Category],"*C&amp;I*")</f>
        <v>3718.01</v>
      </c>
      <c r="C38" s="95">
        <f>SUMIFS(Table1[PV System Capacity (kWp)],Table1[Category],"*C&amp;I*",Table1[Closed Date],"&gt;="&amp;DATE(2023,1,1),Table1[Closed Date],"&lt;="&amp;DATE(2023,12,31))</f>
        <v>428.69499999999999</v>
      </c>
      <c r="D38" s="95">
        <f>SUMIFS(Table1[PV System Capacity (kWp)],Table1[Category],"*C&amp;I*",Table1[Closed Date],"&gt;="&amp;DATE(2024,1,1),Table1[Closed Date],"&lt;="&amp;DATE(2024,12,31))</f>
        <v>2088.3450000000007</v>
      </c>
      <c r="E38" s="96">
        <f>SUMIFS(Table1[PV System Capacity (kWp)],Table1[Category],"*C&amp;I*",Table1[Closed Date],"&gt;="&amp;DATE(2025,1,1),Table1[Closed Date],"&lt;="&amp;DATE(2025,12,31))</f>
        <v>1200.97</v>
      </c>
      <c r="F38" s="96">
        <f>SUMIFS(Table1[PV System Capacity (kWp)],Table1[Category],"*C&amp;I*",Table1[Closed Date],"&gt;="&amp;DATE(2026,1,1),Table1[Closed Date],"&lt;="&amp;DATE(2026,12,31))</f>
        <v>0</v>
      </c>
      <c r="G38" s="45"/>
      <c r="H38" s="79">
        <f>SUMIFS(Table1[Project Value (RM)],Table1[Category],"C&amp;I-PV")</f>
        <v>7185553.5800000001</v>
      </c>
      <c r="I38" s="80">
        <f>SUMIFS(Table1[Project Value (RM)],Table1[Category],"C&amp;I-PV",Table1[Closed Date],"&gt;="&amp;DATE(2023,1,1),Table1[Closed Date],"&lt;="&amp;DATE(2023,12,31))</f>
        <v>521800</v>
      </c>
      <c r="J38" s="80">
        <f>SUMIFS(Table1[Project Value (RM)],Table1[Category],"C&amp;I-PV",Table1[Closed Date],"&gt;="&amp;DATE(2024,1,1),Table1[Closed Date],"&lt;="&amp;DATE(2024,12,31))</f>
        <v>4266680</v>
      </c>
      <c r="K38" s="81">
        <f>SUMIFS(Table1[Project Value (RM)],Table1[Category],"C&amp;I-PV",Table1[Closed Date],"&gt;="&amp;DATE(2025,1,1),Table1[Closed Date],"&lt;="&amp;DATE(2025,12,31))</f>
        <v>2397073.58</v>
      </c>
      <c r="L38" s="81">
        <f>SUMIFS(Table1[Project Value (RM)],Table1[Category],"C&amp;I-PV",Table1[Closed Date],"&gt;="&amp;DATE(2026,1,1),Table1[Closed Date],"&lt;="&amp;DATE(2026,12,31))</f>
        <v>0</v>
      </c>
      <c r="M38" s="102"/>
      <c r="N38" s="103">
        <f t="shared" ref="N38:N41" si="0">SUM(O38:R38)</f>
        <v>6946746.4100000001</v>
      </c>
      <c r="O38" s="80">
        <f>SUMIFS('Finance Tracker'!M:M,'Finance Tracker'!L:L,"&gt;="&amp;DATE(2023,1,1),'Finance Tracker'!L:L,"&lt;="&amp;DATE(2023,12,31),'Finance Tracker'!F:F,"C&amp;I-PV")
+SUMIFS('Finance Tracker'!Q:Q,'Finance Tracker'!P:P,"&gt;="&amp;DATE(2023,1,1),'Finance Tracker'!P:P,"&lt;="&amp;DATE(2023,12,31),'Finance Tracker'!F:F,"C&amp;I-PV")
+SUMIFS('Finance Tracker'!U:U,'Finance Tracker'!T:T,"&gt;="&amp;DATE(2023,1,1),'Finance Tracker'!T:T,"&lt;="&amp;DATE(2023,12,31),'Finance Tracker'!F:F,"C&amp;I-PV")
+SUMIFS('Finance Tracker'!Y:Y,'Finance Tracker'!X:X,"&gt;="&amp;DATE(2023,1,1),'Finance Tracker'!X:X,"&lt;="&amp;DATE(2023,12,31),'Finance Tracker'!F:F,"C&amp;I-PV")
+SUMIFS('Finance Tracker'!AC:AC,'Finance Tracker'!AB:AB,"&gt;="&amp;DATE(2023,1,1),'Finance Tracker'!AB:AB,"&lt;="&amp;DATE(2023,12,31),'Finance Tracker'!F:F,"C&amp;I-PV")
+SUMIFS('Finance Tracker'!AG:AG,'Finance Tracker'!AF:AF,"&gt;="&amp;DATE(2023,1,1),'Finance Tracker'!AF:AF,"&lt;="&amp;DATE(2023,12,31),'Finance Tracker'!F:F,"C&amp;I-PV")</f>
        <v>278820</v>
      </c>
      <c r="P38" s="80">
        <f>SUMIFS('Finance Tracker'!M:M,'Finance Tracker'!L:L,"&gt;="&amp;DATE(2024,1,1),'Finance Tracker'!L:L,"&lt;="&amp;DATE(2024,12,31),'Finance Tracker'!F:F,"C&amp;I-PV")
+SUMIFS('Finance Tracker'!Q:Q,'Finance Tracker'!P:P,"&gt;="&amp;DATE(2024,1,1),'Finance Tracker'!P:P,"&lt;="&amp;DATE(2024,12,31),'Finance Tracker'!F:F,"C&amp;I-PV")
+SUMIFS('Finance Tracker'!U:U,'Finance Tracker'!T:T,"&gt;="&amp;DATE(2024,1,1),'Finance Tracker'!T:T,"&lt;="&amp;DATE(2024,12,31),'Finance Tracker'!F:F,"C&amp;I-PV")
+SUMIFS('Finance Tracker'!Y:Y,'Finance Tracker'!X:X,"&gt;="&amp;DATE(2024,1,1),'Finance Tracker'!X:X,"&lt;="&amp;DATE(2024,12,31),'Finance Tracker'!F:F,"C&amp;I-PV")
+SUMIFS('Finance Tracker'!AC:AC,'Finance Tracker'!AB:AB,"&gt;="&amp;DATE(2024,1,1),'Finance Tracker'!AB:AB,"&lt;="&amp;DATE(2024,12,31),'Finance Tracker'!F:F,"C&amp;I-PV")
+SUMIFS('Finance Tracker'!AG:AG,'Finance Tracker'!AF:AF,"&gt;="&amp;DATE(2024,1,1),'Finance Tracker'!AF:AF,"&lt;="&amp;DATE(2024,12,31),'Finance Tracker'!F:F,"C&amp;I-PV")</f>
        <v>2643170</v>
      </c>
      <c r="Q38" s="81">
        <f>SUMIFS('Finance Tracker'!M:M,'Finance Tracker'!L:L,"&gt;="&amp;DATE(2025,1,1),'Finance Tracker'!L:L,"&lt;="&amp;DATE(2025,12,31),'Finance Tracker'!F:F,"C&amp;I-PV")
+SUMIFS('Finance Tracker'!Q:Q,'Finance Tracker'!P:P,"&gt;="&amp;DATE(2025,1,1),'Finance Tracker'!P:P,"&lt;="&amp;DATE(2025,12,31),'Finance Tracker'!F:F,"C&amp;I-PV")
+SUMIFS('Finance Tracker'!U:U,'Finance Tracker'!T:T,"&gt;="&amp;DATE(2025,1,1),'Finance Tracker'!T:T,"&lt;="&amp;DATE(2025,12,31),'Finance Tracker'!F:F,"C&amp;I-PV")
+SUMIFS('Finance Tracker'!Y:Y,'Finance Tracker'!X:X,"&gt;="&amp;DATE(2025,1,1),'Finance Tracker'!X:X,"&lt;="&amp;DATE(2025,12,31),'Finance Tracker'!F:F,"C&amp;I-PV")
+SUMIFS('Finance Tracker'!AC:AC,'Finance Tracker'!AB:AB,"&gt;="&amp;DATE(2025,1,1),'Finance Tracker'!AB:AB,"&lt;="&amp;DATE(2025,12,31),'Finance Tracker'!F:F,"C&amp;I-PV")
+SUMIFS('Finance Tracker'!AG:AG,'Finance Tracker'!AF:AF,"&gt;="&amp;DATE(2025,1,1),'Finance Tracker'!AF:AF,"&lt;="&amp;DATE(2025,12,31),'Finance Tracker'!F:F,"C&amp;I-PV")</f>
        <v>4024756.41</v>
      </c>
      <c r="R38" s="81">
        <f>SUMIFS('Finance Tracker'!M:M,'Finance Tracker'!L:L,"&gt;="&amp;DATE(2026,1,1),'Finance Tracker'!L:L,"&lt;="&amp;DATE(2026,12,31),'Finance Tracker'!F:F,"C&amp;I-PV")
+SUMIFS('Finance Tracker'!Q:Q,'Finance Tracker'!P:P,"&gt;="&amp;DATE(2026,1,1),'Finance Tracker'!P:P,"&lt;="&amp;DATE(2026,12,31),'Finance Tracker'!F:F,"C&amp;I-PV")
+SUMIFS('Finance Tracker'!U:U,'Finance Tracker'!T:T,"&gt;="&amp;DATE(2026,1,1),'Finance Tracker'!T:T,"&lt;="&amp;DATE(2026,12,31),'Finance Tracker'!F:F,"C&amp;I-PV")
+SUMIFS('Finance Tracker'!Y:Y,'Finance Tracker'!X:X,"&gt;="&amp;DATE(2026,1,1),'Finance Tracker'!X:X,"&lt;="&amp;DATE(2026,12,31),'Finance Tracker'!F:F,"C&amp;I-PV")
+SUMIFS('Finance Tracker'!AC:AC,'Finance Tracker'!AB:AB,"&gt;="&amp;DATE(2026,1,1),'Finance Tracker'!AB:AB,"&lt;="&amp;DATE(2026,12,31),'Finance Tracker'!F:F,"C&amp;I-PV")
+SUMIFS('Finance Tracker'!AG:AG,'Finance Tracker'!AF:AF,"&gt;="&amp;DATE(2026,1,1),'Finance Tracker'!AF:AF,"&lt;="&amp;DATE(2026,12,31),'Finance Tracker'!F:F,"C&amp;I-PV")</f>
        <v>0</v>
      </c>
      <c r="S38" s="46"/>
      <c r="T38" s="79">
        <f t="shared" ref="T38:T41" si="1">SUM(U38:X38)</f>
        <v>5420201.4100000001</v>
      </c>
      <c r="U38" s="80">
        <f>SUMIFS('Finance Tracker'!O:O,'Finance Tracker'!N:N,"&gt;="&amp;DATE(2023,1,1),'Finance Tracker'!N:N,"&lt;="&amp;DATE(2023,12,31),'Finance Tracker'!F:F,"C&amp;I-PV")
+SUMIFS('Finance Tracker'!S:S,'Finance Tracker'!R:R,"&gt;="&amp;DATE(2023,1,1),'Finance Tracker'!R:R,"&lt;="&amp;DATE(2023,12,31),'Finance Tracker'!F:F,"C&amp;I-PV")
+SUMIFS('Finance Tracker'!W:W,'Finance Tracker'!V:V,"&gt;="&amp;DATE(2023,1,1),'Finance Tracker'!V:V,"&lt;="&amp;DATE(2023,12,31),'Finance Tracker'!F:F,"C&amp;I-PV")
+SUMIFS('Finance Tracker'!AA:AA,'Finance Tracker'!Z:Z,"&gt;="&amp;DATE(2023,1,1),'Finance Tracker'!Z:Z,"&lt;="&amp;DATE(2023,12,31),'Finance Tracker'!F:F,"C&amp;I-PV")
+SUMIFS('Finance Tracker'!AD:AD,'Finance Tracker'!AE:AE,"&gt;="&amp;DATE(2023,1,1),'Finance Tracker'!AE:AE,"&lt;="&amp;DATE(2023,12,31),'Finance Tracker'!F:F,"C&amp;I-PV")
+SUMIFS('Finance Tracker'!AI:AI,'Finance Tracker'!AH:AH,"&gt;="&amp;DATE(2023,1,1),'Finance Tracker'!AH:AH,"&lt;="&amp;DATE(2023,12,31),'Finance Tracker'!F:F,"C&amp;I-PV")</f>
        <v>278820</v>
      </c>
      <c r="V38" s="80">
        <f>SUMIFS('Finance Tracker'!O:O,'Finance Tracker'!N:N,"&gt;="&amp;DATE(2024,1,1),'Finance Tracker'!N:N,"&lt;="&amp;DATE(2024,12,31),'Finance Tracker'!F:F,"C&amp;I-PV")
+SUMIFS('Finance Tracker'!S:S,'Finance Tracker'!R:R,"&gt;="&amp;DATE(2024,1,1),'Finance Tracker'!R:R,"&lt;="&amp;DATE(2024,12,31),'Finance Tracker'!F:F,"C&amp;I-PV")
+SUMIFS('Finance Tracker'!W:W,'Finance Tracker'!V:V,"&gt;="&amp;DATE(2024,1,1),'Finance Tracker'!V:V,"&lt;="&amp;DATE(2024,12,31),'Finance Tracker'!F:F,"C&amp;I-PV")
+SUMIFS('Finance Tracker'!AA:AA,'Finance Tracker'!Z:Z,"&gt;="&amp;DATE(2024,1,1),'Finance Tracker'!Z:Z,"&lt;="&amp;DATE(2024,12,31),'Finance Tracker'!F:F,"C&amp;I-PV")
+SUMIFS('Finance Tracker'!AD:AD,'Finance Tracker'!AE:AE,"&gt;="&amp;DATE(2024,1,1),'Finance Tracker'!AE:AE,"&lt;="&amp;DATE(2024,12,31),'Finance Tracker'!F:F,"C&amp;I-PV")
+SUMIFS('Finance Tracker'!AI:AI,'Finance Tracker'!AH:AH,"&gt;="&amp;DATE(2024,1,1),'Finance Tracker'!AH:AH,"&lt;="&amp;DATE(2024,12,31),'Finance Tracker'!F:F,"C&amp;I-PV")</f>
        <v>2422890</v>
      </c>
      <c r="W38" s="80">
        <f>SUMIFS('Finance Tracker'!O:O,'Finance Tracker'!N:N,"&gt;="&amp;DATE(2025,1,1),'Finance Tracker'!N:N,"&lt;="&amp;DATE(2025,12,31),'Finance Tracker'!F:F,"C&amp;I-PV")
+SUMIFS('Finance Tracker'!S:S,'Finance Tracker'!R:R,"&gt;="&amp;DATE(2025,1,1),'Finance Tracker'!R:R,"&lt;="&amp;DATE(2025,12,31),'Finance Tracker'!F:F,"C&amp;I-PV")
+SUMIFS('Finance Tracker'!W:W,'Finance Tracker'!V:V,"&gt;="&amp;DATE(2025,1,1),'Finance Tracker'!V:V,"&lt;="&amp;DATE(2025,12,31),'Finance Tracker'!F:F,"C&amp;I-PV")
+SUMIFS('Finance Tracker'!AA:AA,'Finance Tracker'!Z:Z,"&gt;="&amp;DATE(2025,1,1),'Finance Tracker'!Z:Z,"&lt;="&amp;DATE(2025,12,31),'Finance Tracker'!F:F,"C&amp;I-PV")
+SUMIFS('Finance Tracker'!AD:AD,'Finance Tracker'!AE:AE,"&gt;="&amp;DATE(2025,1,1),'Finance Tracker'!AE:AE,"&lt;="&amp;DATE(2025,12,31),'Finance Tracker'!F:F,"C&amp;I-PV")
+SUMIFS('Finance Tracker'!AI:AI,'Finance Tracker'!AH:AH,"&gt;="&amp;DATE(2025,1,1),'Finance Tracker'!AH:AH,"&lt;="&amp;DATE(2025,12,31),'Finance Tracker'!F:F,"C&amp;I-PV")</f>
        <v>2718491.41</v>
      </c>
      <c r="X38" s="80">
        <f>SUMIFS('Finance Tracker'!O:O,'Finance Tracker'!N:N,"&gt;="&amp;DATE(2026,1,1),'Finance Tracker'!N:N,"&lt;="&amp;DATE(2026,12,31),'Finance Tracker'!F:F,"C&amp;I-PV")
+SUMIFS('Finance Tracker'!S:S,'Finance Tracker'!R:R,"&gt;="&amp;DATE(2026,1,1),'Finance Tracker'!R:R,"&lt;="&amp;DATE(2026,12,31),'Finance Tracker'!F:F,"C&amp;I-PV")
+SUMIFS('Finance Tracker'!W:W,'Finance Tracker'!V:V,"&gt;="&amp;DATE(2026,1,1),'Finance Tracker'!V:V,"&lt;="&amp;DATE(2026,12,31),'Finance Tracker'!F:F,"C&amp;I-PV")
+SUMIFS('Finance Tracker'!AA:AA,'Finance Tracker'!Z:Z,"&gt;="&amp;DATE(2026,1,1),'Finance Tracker'!Z:Z,"&lt;="&amp;DATE(2026,12,31),'Finance Tracker'!F:F,"C&amp;I-PV")
+SUMIFS('Finance Tracker'!AD:AD,'Finance Tracker'!AE:AE,"&gt;="&amp;DATE(2026,1,1),'Finance Tracker'!AE:AE,"&lt;="&amp;DATE(2026,12,31),'Finance Tracker'!F:F,"C&amp;I-PV")
+SUMIFS('Finance Tracker'!AI:AI,'Finance Tracker'!AH:AH,"&gt;="&amp;DATE(2026,1,1),'Finance Tracker'!AH:AH,"&lt;="&amp;DATE(2026,12,31),'Finance Tracker'!F:F,"C&amp;I-PV")</f>
        <v>0</v>
      </c>
      <c r="Z38" s="76">
        <f>COUNTIF(Table1[Category],"C&amp;I-PV")</f>
        <v>33</v>
      </c>
      <c r="AA38" s="76">
        <f>COUNTIFS(Table1[Category],"C&amp;I-PV",Table1[Closed Date],"&gt;="&amp;DATE(2023,1,1),Table1[Closed Date],"&lt;="&amp;DATE(2023,12,31))</f>
        <v>3</v>
      </c>
      <c r="AB38" s="76">
        <f>COUNTIFS(Table1[Category],"C&amp;I-PV",Table1[Closed Date],"&gt;="&amp;DATE(2024,1,1),Table1[Closed Date],"&lt;="&amp;DATE(2024,12,31))</f>
        <v>18</v>
      </c>
      <c r="AC38" s="76">
        <f>COUNTIFS(Table1[Category],"C&amp;I-PV",Table1[Closed Date],"&gt;="&amp;DATE(2025,1,1),Table1[Closed Date],"&lt;="&amp;DATE(2025,12,31))</f>
        <v>12</v>
      </c>
      <c r="AD38" s="76">
        <f>COUNTIFS(Table1[Category],"C&amp;I-PV",Table1[Closed Date],"&gt;="&amp;DATE(2026,1,1),Table1[Closed Date],"&lt;="&amp;DATE(2026,12,31))</f>
        <v>0</v>
      </c>
    </row>
    <row r="39" spans="1:30" s="20" customFormat="1" ht="25.5" customHeight="1" x14ac:dyDescent="0.3">
      <c r="A39" s="101" t="s">
        <v>10</v>
      </c>
      <c r="B39" s="99">
        <f>SUMIFS(Table1[BESS Capacity],Table1[Category],"R-BESS")</f>
        <v>287.39999999999998</v>
      </c>
      <c r="C39" s="99">
        <f>SUMIFS(Table1[BESS Capacity],Table1[Category],"R-BESS",Table1[Closed Date],"&gt;="&amp;DATE(2023,1,1),Table1[Closed Date],"&lt;="&amp;DATE(2023,12,31))</f>
        <v>287.39999999999998</v>
      </c>
      <c r="D39" s="99">
        <f>SUMIFS(Table1[BESS Capacity],Table1[Category],"R-BESS",Table1[Closed Date],"&gt;="&amp;DATE(2024,1,1),Table1[Closed Date],"&lt;="&amp;DATE(2024,12,31))</f>
        <v>0</v>
      </c>
      <c r="E39" s="100">
        <f>SUMIFS(Table1[BESS Capacity],Table1[Category],"R-BESS",Table1[Closed Date],"&gt;="&amp;DATE(2025,1,1),Table1[Closed Date],"&lt;="&amp;DATE(2025,12,31))</f>
        <v>0</v>
      </c>
      <c r="F39" s="100">
        <f>SUMIFS(Table1[BESS Capacity],Table1[Category],"R-BESS",Table1[Closed Date],"&gt;="&amp;DATE(2026,1,1),Table1[Closed Date],"&lt;="&amp;DATE(2026,12,31))</f>
        <v>0</v>
      </c>
      <c r="G39" s="45"/>
      <c r="H39" s="79">
        <f>SUMIFS(Table1[Project Value (RM)],Table1[Category],"R-BESS")</f>
        <v>720000</v>
      </c>
      <c r="I39" s="80">
        <f>SUMIFS(Table1[Project Value (RM)],Table1[Category],"R-BESS",Table1[Closed Date],"&gt;="&amp;DATE(2023,1,1),Table1[Closed Date],"&lt;="&amp;DATE(2023,12,31))</f>
        <v>720000</v>
      </c>
      <c r="J39" s="80">
        <f>SUMIFS(Table1[Project Value (RM)],Table1[Category],"R-BESS",Table1[Closed Date],"&gt;="&amp;DATE(2024,1,1),Table1[Closed Date],"&lt;="&amp;DATE(2024,12,31))</f>
        <v>0</v>
      </c>
      <c r="K39" s="81">
        <f>SUMIFS(Table1[Project Value (RM)],Table1[Category],"R-BESS",Table1[Closed Date],"&gt;="&amp;DATE(2025,1,1),Table1[Closed Date],"&lt;="&amp;DATE(2025,12,31))</f>
        <v>0</v>
      </c>
      <c r="L39" s="81">
        <f>SUMIFS(Table1[Project Value (RM)],Table1[Category],"R-BESS",Table1[Closed Date],"&gt;="&amp;DATE(2026,1,1),Table1[Closed Date],"&lt;="&amp;DATE(2026,12,31))</f>
        <v>0</v>
      </c>
      <c r="M39" s="102"/>
      <c r="N39" s="103">
        <f t="shared" si="0"/>
        <v>720000</v>
      </c>
      <c r="O39" s="80">
        <f>SUMIFS('Finance Tracker'!M:M,'Finance Tracker'!L:L,"&gt;="&amp;DATE(2023,1,1),'Finance Tracker'!L:L,"&lt;="&amp;DATE(2023,12,31),'Finance Tracker'!F:F,"R-BESS")
+SUMIFS('Finance Tracker'!Q:Q,'Finance Tracker'!P:P,"&gt;="&amp;DATE(2023,1,1),'Finance Tracker'!P:P,"&lt;="&amp;DATE(2023,12,31),'Finance Tracker'!F:F,"R-BESS")
+SUMIFS('Finance Tracker'!U:U,'Finance Tracker'!T:T,"&gt;="&amp;DATE(2023,1,1),'Finance Tracker'!T:T,"&lt;="&amp;DATE(2023,12,31),'Finance Tracker'!F:F,"R-BESS")
+SUMIFS('Finance Tracker'!Y:Y,'Finance Tracker'!X:X,"&gt;="&amp;DATE(2023,1,1),'Finance Tracker'!X:X,"&lt;="&amp;DATE(2023,12,31),'Finance Tracker'!F:F,"R-BESS")
+SUMIFS('Finance Tracker'!AC:AC,'Finance Tracker'!AB:AB,"&gt;="&amp;DATE(2023,1,1),'Finance Tracker'!AB:AB,"&lt;="&amp;DATE(2023,12,31),'Finance Tracker'!F:F,"R-BESS")
+SUMIFS('Finance Tracker'!AG:AG,'Finance Tracker'!AF:AF,"&gt;="&amp;DATE(2023,1,1),'Finance Tracker'!AF:AF,"&lt;="&amp;DATE(2023,12,31),'Finance Tracker'!F:F,"R-BESS")</f>
        <v>432000</v>
      </c>
      <c r="P39" s="80">
        <f>SUMIFS('Finance Tracker'!M:M,'Finance Tracker'!L:L,"&gt;="&amp;DATE(2024,1,1),'Finance Tracker'!L:L,"&lt;="&amp;DATE(2024,12,31),'Finance Tracker'!F:F,"R-BESS")
+SUMIFS('Finance Tracker'!Q:Q,'Finance Tracker'!P:P,"&gt;="&amp;DATE(2024,1,1),'Finance Tracker'!P:P,"&lt;="&amp;DATE(2024,12,31),'Finance Tracker'!F:F,"R-BESS")
+SUMIFS('Finance Tracker'!U:U,'Finance Tracker'!T:T,"&gt;="&amp;DATE(2024,1,1),'Finance Tracker'!T:T,"&lt;="&amp;DATE(2024,12,31),'Finance Tracker'!F:F,"R-BESS")
+SUMIFS('Finance Tracker'!Y:Y,'Finance Tracker'!X:X,"&gt;="&amp;DATE(2024,1,1),'Finance Tracker'!X:X,"&lt;="&amp;DATE(2024,12,31),'Finance Tracker'!F:F,"R-BESS")
+SUMIFS('Finance Tracker'!AC:AC,'Finance Tracker'!AB:AB,"&gt;="&amp;DATE(2024,1,1),'Finance Tracker'!AB:AB,"&lt;="&amp;DATE(2024,12,31),'Finance Tracker'!F:F,"R-BESS")
+SUMIFS('Finance Tracker'!AG:AG,'Finance Tracker'!AF:AF,"&gt;="&amp;DATE(2024,1,1),'Finance Tracker'!AF:AF,"&lt;="&amp;DATE(2024,12,31),'Finance Tracker'!F:F,"R-BESS")</f>
        <v>288000</v>
      </c>
      <c r="Q39" s="81">
        <f>SUMIFS('Finance Tracker'!M:M,'Finance Tracker'!L:L,"&gt;="&amp;DATE(2025,1,1),'Finance Tracker'!L:L,"&lt;="&amp;DATE(2025,12,31),'Finance Tracker'!F:F,"R-BESS")
+SUMIFS('Finance Tracker'!Q:Q,'Finance Tracker'!P:P,"&gt;="&amp;DATE(2025,1,1),'Finance Tracker'!P:P,"&lt;="&amp;DATE(2025,12,31),'Finance Tracker'!F:F,"R-BESS")
+SUMIFS('Finance Tracker'!U:U,'Finance Tracker'!T:T,"&gt;="&amp;DATE(2025,1,1),'Finance Tracker'!T:T,"&lt;="&amp;DATE(2025,12,31),'Finance Tracker'!F:F,"R-BESS")
+SUMIFS('Finance Tracker'!Y:Y,'Finance Tracker'!X:X,"&gt;="&amp;DATE(2025,1,1),'Finance Tracker'!X:X,"&lt;="&amp;DATE(2025,12,31),'Finance Tracker'!F:F,"R-BESS")
+SUMIFS('Finance Tracker'!AC:AC,'Finance Tracker'!AB:AB,"&gt;="&amp;DATE(2025,1,1),'Finance Tracker'!AB:AB,"&lt;="&amp;DATE(2025,12,31),'Finance Tracker'!F:F,"R-BESS")
+SUMIFS('Finance Tracker'!AG:AG,'Finance Tracker'!AF:AF,"&gt;="&amp;DATE(2025,1,1),'Finance Tracker'!AF:AF,"&lt;="&amp;DATE(2025,12,31),'Finance Tracker'!F:F,"R-BESS")</f>
        <v>0</v>
      </c>
      <c r="R39" s="81">
        <f>SUMIFS('Finance Tracker'!M:M,'Finance Tracker'!L:L,"&gt;="&amp;DATE(2026,1,1),'Finance Tracker'!L:L,"&lt;="&amp;DATE(2026,12,31),'Finance Tracker'!F:F,"R-BESS")
+SUMIFS('Finance Tracker'!Q:Q,'Finance Tracker'!P:P,"&gt;="&amp;DATE(2026,1,1),'Finance Tracker'!P:P,"&lt;="&amp;DATE(2026,12,31),'Finance Tracker'!F:F,"R-BESS")
+SUMIFS('Finance Tracker'!U:U,'Finance Tracker'!T:T,"&gt;="&amp;DATE(2026,1,1),'Finance Tracker'!T:T,"&lt;="&amp;DATE(2026,12,31),'Finance Tracker'!F:F,"R-BESS")
+SUMIFS('Finance Tracker'!Y:Y,'Finance Tracker'!X:X,"&gt;="&amp;DATE(2026,1,1),'Finance Tracker'!X:X,"&lt;="&amp;DATE(2026,12,31),'Finance Tracker'!F:F,"R-BESS")
+SUMIFS('Finance Tracker'!AC:AC,'Finance Tracker'!AB:AB,"&gt;="&amp;DATE(2026,1,1),'Finance Tracker'!AB:AB,"&lt;="&amp;DATE(2026,12,31),'Finance Tracker'!F:F,"R-BESS")
+SUMIFS('Finance Tracker'!AG:AG,'Finance Tracker'!AF:AF,"&gt;="&amp;DATE(2026,1,1),'Finance Tracker'!AF:AF,"&lt;="&amp;DATE(2026,12,31),'Finance Tracker'!F:F,"R-BESS")</f>
        <v>0</v>
      </c>
      <c r="S39" s="46"/>
      <c r="T39" s="79">
        <f t="shared" si="1"/>
        <v>720000</v>
      </c>
      <c r="U39" s="80">
        <f>SUMIFS('Finance Tracker'!O:O,'Finance Tracker'!N:N,"&gt;="&amp;DATE(2023,1,1),'Finance Tracker'!N:N,"&lt;="&amp;DATE(2023,12,31),'Finance Tracker'!F:F,"R-BESS")
+SUMIFS('Finance Tracker'!S:S,'Finance Tracker'!R:R,"&gt;="&amp;DATE(2023,1,1),'Finance Tracker'!R:R,"&lt;="&amp;DATE(2023,12,31),'Finance Tracker'!F:F,"R-BESS")
+SUMIFS('Finance Tracker'!W:W,'Finance Tracker'!V:V,"&gt;="&amp;DATE(2023,1,1),'Finance Tracker'!V:V,"&lt;="&amp;DATE(2023,12,31),'Finance Tracker'!F:F,"R-BESS")
+SUMIFS('Finance Tracker'!AA:AA,'Finance Tracker'!Z:Z,"&gt;="&amp;DATE(2023,1,1),'Finance Tracker'!Z:Z,"&lt;="&amp;DATE(2023,12,31),'Finance Tracker'!F:F,"R-BESS")
+SUMIFS('Finance Tracker'!AD:AD,'Finance Tracker'!AE:AE,"&gt;="&amp;DATE(2023,1,1),'Finance Tracker'!AE:AE,"&lt;="&amp;DATE(2023,12,31),'Finance Tracker'!F:F,"R-BESS")
+SUMIFS('Finance Tracker'!AI:AI,'Finance Tracker'!AH:AH,"&gt;="&amp;DATE(2023,1,1),'Finance Tracker'!AH:AH,"&lt;="&amp;DATE(2023,12,31),'Finance Tracker'!F:F,"R-BESS")</f>
        <v>432000</v>
      </c>
      <c r="V39" s="80">
        <f>SUMIFS('Finance Tracker'!O:O,'Finance Tracker'!N:N,"&gt;="&amp;DATE(2024,1,1),'Finance Tracker'!N:N,"&lt;="&amp;DATE(2024,12,31),'Finance Tracker'!F:F,"R-BESS")
+SUMIFS('Finance Tracker'!S:S,'Finance Tracker'!R:R,"&gt;="&amp;DATE(2024,1,1),'Finance Tracker'!R:R,"&lt;="&amp;DATE(2024,12,31),'Finance Tracker'!F:F,"R-BESS")
+SUMIFS('Finance Tracker'!W:W,'Finance Tracker'!V:V,"&gt;="&amp;DATE(2024,1,1),'Finance Tracker'!V:V,"&lt;="&amp;DATE(2024,12,31),'Finance Tracker'!F:F,"R-BESS")
+SUMIFS('Finance Tracker'!AA:AA,'Finance Tracker'!Z:Z,"&gt;="&amp;DATE(2024,1,1),'Finance Tracker'!Z:Z,"&lt;="&amp;DATE(2024,12,31),'Finance Tracker'!F:F,"R-BESS")
+SUMIFS('Finance Tracker'!AD:AD,'Finance Tracker'!AE:AE,"&gt;="&amp;DATE(2024,1,1),'Finance Tracker'!AE:AE,"&lt;="&amp;DATE(2024,12,31),'Finance Tracker'!F:F,"R-BESS")
+SUMIFS('Finance Tracker'!AI:AI,'Finance Tracker'!AH:AH,"&gt;="&amp;DATE(2024,1,1),'Finance Tracker'!AH:AH,"&lt;="&amp;DATE(2024,12,31),'Finance Tracker'!F:F,"R-BESS")</f>
        <v>288000</v>
      </c>
      <c r="W39" s="80">
        <f>SUMIFS('Finance Tracker'!O:O,'Finance Tracker'!N:N,"&gt;="&amp;DATE(2025,1,1),'Finance Tracker'!N:N,"&lt;="&amp;DATE(2025,12,31),'Finance Tracker'!F:F,"R-BESS")
+SUMIFS('Finance Tracker'!S:S,'Finance Tracker'!R:R,"&gt;="&amp;DATE(2025,1,1),'Finance Tracker'!R:R,"&lt;="&amp;DATE(2025,12,31),'Finance Tracker'!F:F,"R-BESS")
+SUMIFS('Finance Tracker'!W:W,'Finance Tracker'!V:V,"&gt;="&amp;DATE(2025,1,1),'Finance Tracker'!V:V,"&lt;="&amp;DATE(2025,12,31),'Finance Tracker'!F:F,"R-BESS")
+SUMIFS('Finance Tracker'!AA:AA,'Finance Tracker'!Z:Z,"&gt;="&amp;DATE(2025,1,1),'Finance Tracker'!Z:Z,"&lt;="&amp;DATE(2025,12,31),'Finance Tracker'!F:F,"R-BESS")
+SUMIFS('Finance Tracker'!AD:AD,'Finance Tracker'!AE:AE,"&gt;="&amp;DATE(2025,1,1),'Finance Tracker'!AE:AE,"&lt;="&amp;DATE(2025,12,31),'Finance Tracker'!F:F,"R-BESS")
+SUMIFS('Finance Tracker'!AI:AI,'Finance Tracker'!AH:AH,"&gt;="&amp;DATE(2025,1,1),'Finance Tracker'!AH:AH,"&lt;="&amp;DATE(2025,12,31),'Finance Tracker'!F:F,"R-BESS")</f>
        <v>0</v>
      </c>
      <c r="X39" s="80">
        <f>SUMIFS('Finance Tracker'!O:O,'Finance Tracker'!N:N,"&gt;="&amp;DATE(2026,1,1),'Finance Tracker'!N:N,"&lt;="&amp;DATE(2026,12,31),'Finance Tracker'!F:F,"R-BESS")
+SUMIFS('Finance Tracker'!S:S,'Finance Tracker'!R:R,"&gt;="&amp;DATE(2026,1,1),'Finance Tracker'!R:R,"&lt;="&amp;DATE(2026,12,31),'Finance Tracker'!F:F,"R-BESS")
+SUMIFS('Finance Tracker'!W:W,'Finance Tracker'!V:V,"&gt;="&amp;DATE(2026,1,1),'Finance Tracker'!V:V,"&lt;="&amp;DATE(2026,12,31),'Finance Tracker'!F:F,"R-BESS")
+SUMIFS('Finance Tracker'!AA:AA,'Finance Tracker'!Z:Z,"&gt;="&amp;DATE(2026,1,1),'Finance Tracker'!Z:Z,"&lt;="&amp;DATE(2026,12,31),'Finance Tracker'!F:F,"R-BESS")
+SUMIFS('Finance Tracker'!AD:AD,'Finance Tracker'!AE:AE,"&gt;="&amp;DATE(2026,1,1),'Finance Tracker'!AE:AE,"&lt;="&amp;DATE(2026,12,31),'Finance Tracker'!F:F,"R-BESS")
+SUMIFS('Finance Tracker'!AI:AI,'Finance Tracker'!AH:AH,"&gt;="&amp;DATE(2026,1,1),'Finance Tracker'!AH:AH,"&lt;="&amp;DATE(2026,12,31),'Finance Tracker'!F:F,"R-BESS")</f>
        <v>0</v>
      </c>
      <c r="Z39" s="76">
        <f>COUNTIF(Table1[Category],"R-BESS")</f>
        <v>1</v>
      </c>
      <c r="AA39" s="76">
        <f>COUNTIFS(Table1[Category],"R-BESS",Table1[Closed Date],"&gt;="&amp;DATE(2023,1,1),Table1[Closed Date],"&lt;="&amp;DATE(2023,12,31))</f>
        <v>1</v>
      </c>
      <c r="AB39" s="76">
        <f>COUNTIFS(Table1[Category],"R-BESS",Table1[Closed Date],"&gt;="&amp;DATE(2024,1,1),Table1[Closed Date],"&lt;="&amp;DATE(2024,12,31))</f>
        <v>0</v>
      </c>
      <c r="AC39" s="76">
        <f>COUNTIFS(Table1[Category],"R-BESS",Table1[Closed Date],"&gt;="&amp;DATE(2025,1,1),Table1[Closed Date],"&lt;="&amp;DATE(2025,12,31))</f>
        <v>0</v>
      </c>
      <c r="AD39" s="76">
        <f>COUNTIFS(Table1[Category],"R-BESS",Table1[Closed Date],"&gt;="&amp;DATE(2026,1,1),Table1[Closed Date],"&lt;="&amp;DATE(2026,12,31))</f>
        <v>0</v>
      </c>
    </row>
    <row r="40" spans="1:30" s="20" customFormat="1" ht="25.5" customHeight="1" x14ac:dyDescent="0.3">
      <c r="A40" s="101" t="s">
        <v>11</v>
      </c>
      <c r="B40" s="99">
        <f>SUMIFS(Table1[BESS Capacity],Table1[Category],"C&amp;I-BESS")</f>
        <v>0</v>
      </c>
      <c r="C40" s="99">
        <f>SUMIFS(Table1[BESS Capacity],Table1[Category],"C&amp;I-BESS",Table1[Closed Date],"&gt;="&amp;DATE(2023,1,1),Table1[Closed Date],"&lt;="&amp;DATE(2023,12,31))</f>
        <v>0</v>
      </c>
      <c r="D40" s="99">
        <f>SUMIFS(Table1[BESS Capacity],Table1[Category],"C&amp;I-BESS",Table1[Closed Date],"&gt;="&amp;DATE(2024,1,1),Table1[Closed Date],"&lt;="&amp;DATE(2024,12,31))</f>
        <v>0</v>
      </c>
      <c r="E40" s="100">
        <f>SUMIFS(Table1[BESS Capacity],Table1[Category],"C&amp;I-BESS",Table1[Closed Date],"&gt;="&amp;DATE(2025,1,1),Table1[Closed Date],"&lt;="&amp;DATE(2025,12,31))</f>
        <v>0</v>
      </c>
      <c r="F40" s="100">
        <f>SUMIFS(Table1[BESS Capacity],Table1[Category],"C&amp;I-BESS",Table1[Closed Date],"&gt;="&amp;DATE(2026,1,1),Table1[Closed Date],"&lt;="&amp;DATE(2026,12,31))</f>
        <v>0</v>
      </c>
      <c r="G40" s="45"/>
      <c r="H40" s="79">
        <f>SUMIFS(Table1[Project Value (RM)],Table1[Category],"C&amp;I-BESS")</f>
        <v>0</v>
      </c>
      <c r="I40" s="80">
        <f>SUMIFS(Table1[Project Value (RM)],Table1[Category],"C&amp;I-BESS",Table1[Closed Date],"&gt;="&amp;DATE(2023,1,1),Table1[Closed Date],"&lt;="&amp;DATE(2023,12,31))</f>
        <v>0</v>
      </c>
      <c r="J40" s="80">
        <f>SUMIFS(Table1[Project Value (RM)],Table1[Category],"C&amp;I-BESS",Table1[Closed Date],"&gt;="&amp;DATE(2024,1,1),Table1[Closed Date],"&lt;="&amp;DATE(2024,12,31))</f>
        <v>0</v>
      </c>
      <c r="K40" s="81">
        <f>SUMIFS(Table1[Project Value (RM)],Table1[Category],"C&amp;I-BESS",Table1[Closed Date],"&gt;="&amp;DATE(2025,1,1),Table1[Closed Date],"&lt;="&amp;DATE(2025,12,31))</f>
        <v>0</v>
      </c>
      <c r="L40" s="81">
        <f>SUMIFS(Table1[Project Value (RM)],Table1[Category],"C&amp;I-BESS",Table1[Closed Date],"&gt;="&amp;DATE(2026,1,1),Table1[Closed Date],"&lt;="&amp;DATE(2026,12,31))</f>
        <v>0</v>
      </c>
      <c r="M40" s="102"/>
      <c r="N40" s="103">
        <f t="shared" si="0"/>
        <v>0</v>
      </c>
      <c r="O40" s="80">
        <f>SUMIFS('Finance Tracker'!M:M,'Finance Tracker'!L:L,"&gt;="&amp;DATE(2023,1,1),'Finance Tracker'!L:L,"&lt;="&amp;DATE(2023,12,31),'Finance Tracker'!F:F,"C&amp;I-BESS")
+SUMIFS('Finance Tracker'!Q:Q,'Finance Tracker'!P:P,"&gt;="&amp;DATE(2023,1,1),'Finance Tracker'!P:P,"&lt;="&amp;DATE(2023,12,31),'Finance Tracker'!F:F,"C&amp;I-BESS")
+SUMIFS('Finance Tracker'!U:U,'Finance Tracker'!T:T,"&gt;="&amp;DATE(2023,1,1),'Finance Tracker'!T:T,"&lt;="&amp;DATE(2023,12,31),'Finance Tracker'!F:F,"C&amp;I-BESS")
+SUMIFS('Finance Tracker'!Y:Y,'Finance Tracker'!X:X,"&gt;="&amp;DATE(2023,1,1),'Finance Tracker'!X:X,"&lt;="&amp;DATE(2023,12,31),'Finance Tracker'!F:F,"C&amp;I-BESS")
+SUMIFS('Finance Tracker'!AC:AC,'Finance Tracker'!AB:AB,"&gt;="&amp;DATE(2023,1,1),'Finance Tracker'!AB:AB,"&lt;="&amp;DATE(2023,12,31),'Finance Tracker'!F:F,"C&amp;I-BESS")
+SUMIFS('Finance Tracker'!AG:AG,'Finance Tracker'!AF:AF,"&gt;="&amp;DATE(2023,1,1),'Finance Tracker'!AF:AF,"&lt;="&amp;DATE(2023,12,31),'Finance Tracker'!F:F,"C&amp;I-BESS")</f>
        <v>0</v>
      </c>
      <c r="P40" s="80">
        <f>SUMIFS('Finance Tracker'!M:M,'Finance Tracker'!L:L,"&gt;="&amp;DATE(2024,1,1),'Finance Tracker'!L:L,"&lt;="&amp;DATE(2024,12,31),'Finance Tracker'!F:F,"C&amp;I-BESS")
+SUMIFS('Finance Tracker'!Q:Q,'Finance Tracker'!P:P,"&gt;="&amp;DATE(2024,1,1),'Finance Tracker'!P:P,"&lt;="&amp;DATE(2024,12,31),'Finance Tracker'!F:F,"C&amp;I-BESS")
+SUMIFS('Finance Tracker'!U:U,'Finance Tracker'!T:T,"&gt;="&amp;DATE(2024,1,1),'Finance Tracker'!T:T,"&lt;="&amp;DATE(2024,12,31),'Finance Tracker'!F:F,"C&amp;I-BESS")
+SUMIFS('Finance Tracker'!Y:Y,'Finance Tracker'!X:X,"&gt;="&amp;DATE(2024,1,1),'Finance Tracker'!X:X,"&lt;="&amp;DATE(2024,12,31),'Finance Tracker'!F:F,"C&amp;I-BESS")
+SUMIFS('Finance Tracker'!AC:AC,'Finance Tracker'!AB:AB,"&gt;="&amp;DATE(2024,1,1),'Finance Tracker'!AB:AB,"&lt;="&amp;DATE(2024,12,31),'Finance Tracker'!F:F,"C&amp;I-BESS")
+SUMIFS('Finance Tracker'!AG:AG,'Finance Tracker'!AF:AF,"&gt;="&amp;DATE(2024,1,1),'Finance Tracker'!AF:AF,"&lt;="&amp;DATE(2024,12,31),'Finance Tracker'!F:F,"C&amp;I-BESS")</f>
        <v>0</v>
      </c>
      <c r="Q40" s="81">
        <f>SUMIFS('Finance Tracker'!M:M,'Finance Tracker'!L:L,"&gt;="&amp;DATE(2025,1,1),'Finance Tracker'!L:L,"&lt;="&amp;DATE(2025,12,31),'Finance Tracker'!F:F,"C&amp;I-BESS")
+SUMIFS('Finance Tracker'!Q:Q,'Finance Tracker'!P:P,"&gt;="&amp;DATE(2025,1,1),'Finance Tracker'!P:P,"&lt;="&amp;DATE(2025,12,31),'Finance Tracker'!F:F,"C&amp;I-BESS")
+SUMIFS('Finance Tracker'!U:U,'Finance Tracker'!T:T,"&gt;="&amp;DATE(2025,1,1),'Finance Tracker'!T:T,"&lt;="&amp;DATE(2025,12,31),'Finance Tracker'!F:F,"C&amp;I-BESS")
+SUMIFS('Finance Tracker'!Y:Y,'Finance Tracker'!X:X,"&gt;="&amp;DATE(2025,1,1),'Finance Tracker'!X:X,"&lt;="&amp;DATE(2025,12,31),'Finance Tracker'!F:F,"C&amp;I-BESS")
+SUMIFS('Finance Tracker'!AC:AC,'Finance Tracker'!AB:AB,"&gt;="&amp;DATE(2025,1,1),'Finance Tracker'!AB:AB,"&lt;="&amp;DATE(2025,12,31),'Finance Tracker'!F:F,"C&amp;I-BESS")
+SUMIFS('Finance Tracker'!AG:AG,'Finance Tracker'!AF:AF,"&gt;="&amp;DATE(2025,1,1),'Finance Tracker'!AF:AF,"&lt;="&amp;DATE(2025,12,31),'Finance Tracker'!F:F,"C&amp;I-BESS")</f>
        <v>0</v>
      </c>
      <c r="R40" s="81">
        <f>SUMIFS('Finance Tracker'!M:M,'Finance Tracker'!L:L,"&gt;="&amp;DATE(2026,1,1),'Finance Tracker'!L:L,"&lt;="&amp;DATE(2026,12,31),'Finance Tracker'!F:F,"C&amp;I-BESS")
+SUMIFS('Finance Tracker'!Q:Q,'Finance Tracker'!P:P,"&gt;="&amp;DATE(2026,1,1),'Finance Tracker'!P:P,"&lt;="&amp;DATE(2026,12,31),'Finance Tracker'!F:F,"C&amp;I-BESS")
+SUMIFS('Finance Tracker'!U:U,'Finance Tracker'!T:T,"&gt;="&amp;DATE(2026,1,1),'Finance Tracker'!T:T,"&lt;="&amp;DATE(2026,12,31),'Finance Tracker'!F:F,"C&amp;I-BESS")
+SUMIFS('Finance Tracker'!Y:Y,'Finance Tracker'!X:X,"&gt;="&amp;DATE(2026,1,1),'Finance Tracker'!X:X,"&lt;="&amp;DATE(2026,12,31),'Finance Tracker'!F:F,"C&amp;I-BESS")
+SUMIFS('Finance Tracker'!AC:AC,'Finance Tracker'!AB:AB,"&gt;="&amp;DATE(2026,1,1),'Finance Tracker'!AB:AB,"&lt;="&amp;DATE(2026,12,31),'Finance Tracker'!F:F,"C&amp;I-BESS")
+SUMIFS('Finance Tracker'!AG:AG,'Finance Tracker'!AF:AF,"&gt;="&amp;DATE(2026,1,1),'Finance Tracker'!AF:AF,"&lt;="&amp;DATE(2026,12,31),'Finance Tracker'!F:F,"C&amp;I-BESS")</f>
        <v>0</v>
      </c>
      <c r="S40" s="46"/>
      <c r="T40" s="79">
        <f t="shared" si="1"/>
        <v>0</v>
      </c>
      <c r="U40" s="80">
        <f>SUMIFS('Finance Tracker'!O:O,'Finance Tracker'!N:N,"&gt;="&amp;DATE(2023,1,1),'Finance Tracker'!N:N,"&lt;="&amp;DATE(2023,12,31),'Finance Tracker'!F:F,"C&amp;I-BESS")
+SUMIFS('Finance Tracker'!S:S,'Finance Tracker'!R:R,"&gt;="&amp;DATE(2023,1,1),'Finance Tracker'!R:R,"&lt;="&amp;DATE(2023,12,31),'Finance Tracker'!F:F,"C&amp;I-BESS")
+SUMIFS('Finance Tracker'!W:W,'Finance Tracker'!V:V,"&gt;="&amp;DATE(2023,1,1),'Finance Tracker'!V:V,"&lt;="&amp;DATE(2023,12,31),'Finance Tracker'!F:F,"C&amp;I-BESS")
+SUMIFS('Finance Tracker'!AA:AA,'Finance Tracker'!Z:Z,"&gt;="&amp;DATE(2023,1,1),'Finance Tracker'!Z:Z,"&lt;="&amp;DATE(2023,12,31),'Finance Tracker'!F:F,"C&amp;I-BESS")
+SUMIFS('Finance Tracker'!AD:AD,'Finance Tracker'!AE:AE,"&gt;="&amp;DATE(2023,1,1),'Finance Tracker'!AE:AE,"&lt;="&amp;DATE(2023,12,31),'Finance Tracker'!F:F,"C&amp;I-BESS")
+SUMIFS('Finance Tracker'!AI:AI,'Finance Tracker'!AH:AH,"&gt;="&amp;DATE(2023,1,1),'Finance Tracker'!AH:AH,"&lt;="&amp;DATE(2023,12,31),'Finance Tracker'!F:F,"C&amp;I-BESS")</f>
        <v>0</v>
      </c>
      <c r="V40" s="80">
        <f>SUMIFS('Finance Tracker'!O:O,'Finance Tracker'!N:N,"&gt;="&amp;DATE(2024,1,1),'Finance Tracker'!N:N,"&lt;="&amp;DATE(2024,12,31),'Finance Tracker'!F:F,"C&amp;I-BESS")
+SUMIFS('Finance Tracker'!S:S,'Finance Tracker'!R:R,"&gt;="&amp;DATE(2024,1,1),'Finance Tracker'!R:R,"&lt;="&amp;DATE(2024,12,31),'Finance Tracker'!F:F,"C&amp;I-BESS")
+SUMIFS('Finance Tracker'!W:W,'Finance Tracker'!V:V,"&gt;="&amp;DATE(2024,1,1),'Finance Tracker'!V:V,"&lt;="&amp;DATE(2024,12,31),'Finance Tracker'!F:F,"C&amp;I-BESS")
+SUMIFS('Finance Tracker'!AA:AA,'Finance Tracker'!Z:Z,"&gt;="&amp;DATE(2024,1,1),'Finance Tracker'!Z:Z,"&lt;="&amp;DATE(2024,12,31),'Finance Tracker'!F:F,"C&amp;I-BESS")
+SUMIFS('Finance Tracker'!AD:AD,'Finance Tracker'!AE:AE,"&gt;="&amp;DATE(2024,1,1),'Finance Tracker'!AE:AE,"&lt;="&amp;DATE(2024,12,31),'Finance Tracker'!F:F,"C&amp;I-BESS")
+SUMIFS('Finance Tracker'!AI:AI,'Finance Tracker'!AH:AH,"&gt;="&amp;DATE(2024,1,1),'Finance Tracker'!AH:AH,"&lt;="&amp;DATE(2024,12,31),'Finance Tracker'!F:F,"C&amp;I-BESS")</f>
        <v>0</v>
      </c>
      <c r="W40" s="80">
        <f>SUMIFS('Finance Tracker'!O:O,'Finance Tracker'!N:N,"&gt;="&amp;DATE(2025,1,1),'Finance Tracker'!N:N,"&lt;="&amp;DATE(2025,12,31),'Finance Tracker'!F:F,"C&amp;I-BESS")
+SUMIFS('Finance Tracker'!S:S,'Finance Tracker'!R:R,"&gt;="&amp;DATE(2025,1,1),'Finance Tracker'!R:R,"&lt;="&amp;DATE(2025,12,31),'Finance Tracker'!F:F,"C&amp;I-BESS")
+SUMIFS('Finance Tracker'!W:W,'Finance Tracker'!V:V,"&gt;="&amp;DATE(2025,1,1),'Finance Tracker'!V:V,"&lt;="&amp;DATE(2025,12,31),'Finance Tracker'!F:F,"C&amp;I-BESS")
+SUMIFS('Finance Tracker'!AA:AA,'Finance Tracker'!Z:Z,"&gt;="&amp;DATE(2025,1,1),'Finance Tracker'!Z:Z,"&lt;="&amp;DATE(2025,12,31),'Finance Tracker'!F:F,"C&amp;I-BESS")
+SUMIFS('Finance Tracker'!AD:AD,'Finance Tracker'!AE:AE,"&gt;="&amp;DATE(2025,1,1),'Finance Tracker'!AE:AE,"&lt;="&amp;DATE(2025,12,31),'Finance Tracker'!F:F,"C&amp;I-BESS")
+SUMIFS('Finance Tracker'!AI:AI,'Finance Tracker'!AH:AH,"&gt;="&amp;DATE(2025,1,1),'Finance Tracker'!AH:AH,"&lt;="&amp;DATE(2025,12,31),'Finance Tracker'!F:F,"C&amp;I-BESS")</f>
        <v>0</v>
      </c>
      <c r="X40" s="80">
        <f>SUMIFS('Finance Tracker'!O:O,'Finance Tracker'!N:N,"&gt;="&amp;DATE(2026,1,1),'Finance Tracker'!N:N,"&lt;="&amp;DATE(2026,12,31),'Finance Tracker'!F:F,"C&amp;I-BESS")
+SUMIFS('Finance Tracker'!S:S,'Finance Tracker'!R:R,"&gt;="&amp;DATE(2026,1,1),'Finance Tracker'!R:R,"&lt;="&amp;DATE(2026,12,31),'Finance Tracker'!F:F,"C&amp;I-BESS")
+SUMIFS('Finance Tracker'!W:W,'Finance Tracker'!V:V,"&gt;="&amp;DATE(2026,1,1),'Finance Tracker'!V:V,"&lt;="&amp;DATE(2026,12,31),'Finance Tracker'!F:F,"C&amp;I-BESS")
+SUMIFS('Finance Tracker'!AA:AA,'Finance Tracker'!Z:Z,"&gt;="&amp;DATE(2026,1,1),'Finance Tracker'!Z:Z,"&lt;="&amp;DATE(2026,12,31),'Finance Tracker'!F:F,"C&amp;I-BESS")
+SUMIFS('Finance Tracker'!AD:AD,'Finance Tracker'!AE:AE,"&gt;="&amp;DATE(2026,1,1),'Finance Tracker'!AE:AE,"&lt;="&amp;DATE(2026,12,31),'Finance Tracker'!F:F,"C&amp;I-BESS")
+SUMIFS('Finance Tracker'!AI:AI,'Finance Tracker'!AH:AH,"&gt;="&amp;DATE(2026,1,1),'Finance Tracker'!AH:AH,"&lt;="&amp;DATE(2026,12,31),'Finance Tracker'!F:F,"C&amp;I-BESS")</f>
        <v>0</v>
      </c>
      <c r="Z40" s="76">
        <f>COUNTIF(Table1[Category],"C&amp;I-BESS")</f>
        <v>0</v>
      </c>
      <c r="AA40" s="76">
        <f>COUNTIFS(Table1[Category],"C&amp;I-BESS",Table1[Closed Date],"&gt;="&amp;DATE(2023,1,1),Table1[Closed Date],"&lt;="&amp;DATE(2023,12,31))</f>
        <v>0</v>
      </c>
      <c r="AB40" s="76">
        <f>COUNTIFS(Table1[Category],"C&amp;I-BESS",Table1[Closed Date],"&gt;="&amp;DATE(2024,1,1),Table1[Closed Date],"&lt;="&amp;DATE(2024,12,31))</f>
        <v>0</v>
      </c>
      <c r="AC40" s="76">
        <f>COUNTIFS(Table1[Category],"C&amp;I-BESS",Table1[Closed Date],"&gt;="&amp;DATE(2025,1,1),Table1[Closed Date],"&lt;="&amp;DATE(2025,12,31))</f>
        <v>0</v>
      </c>
      <c r="AD40" s="76">
        <f>COUNTIFS(Table1[Scheme],"C&amp;I-BESS",Table1[Sales PIC],"&gt;="&amp;DATE(2026,1,1),Table1[Sales PIC],"&lt;="&amp;DATE(2026,12,31))</f>
        <v>0</v>
      </c>
    </row>
    <row r="41" spans="1:30" s="20" customFormat="1" ht="25.5" customHeight="1" x14ac:dyDescent="0.3">
      <c r="A41" s="101" t="s">
        <v>12</v>
      </c>
      <c r="B41" s="97">
        <f>SUMIFS(Table1[EV Charger Capacity],Table1[Category],"EV Charger")</f>
        <v>1786</v>
      </c>
      <c r="C41" s="97">
        <f>SUMIFS(Table1[EV Charger Capacity],Table1[Category],"EV Charger",Table1[Closed Date],"&gt;="&amp;DATE(2023,1,1),Table1[Closed Date],"&lt;="&amp;DATE(2023,12,31))</f>
        <v>100</v>
      </c>
      <c r="D41" s="97">
        <f>SUMIFS(Table1[EV Charger Capacity],Table1[Category],"EV Charger",Table1[Closed Date],"&gt;="&amp;DATE(2024,1,1),Table1[Closed Date],"&lt;="&amp;DATE(2024,12,31))</f>
        <v>789</v>
      </c>
      <c r="E41" s="98">
        <f>SUMIFS(Table1[EV Charger Capacity],Table1[Category],"EV Charger",Table1[Closed Date],"&gt;="&amp;DATE(2025,1,1),Table1[Closed Date],"&lt;="&amp;DATE(2025,12,31))</f>
        <v>897</v>
      </c>
      <c r="F41" s="98">
        <f>SUMIFS(Table1[EV Charger Capacity],Table1[Category],"EV Charger",Table1[Closed Date],"&gt;="&amp;DATE(2026,1,1),Table1[Closed Date],"&lt;="&amp;DATE(2026,12,31))</f>
        <v>0</v>
      </c>
      <c r="G41" s="45"/>
      <c r="H41" s="79">
        <f>SUMIFS(Table1[Project Value (RM)],Table1[Category],"EV Charger")</f>
        <v>1430963</v>
      </c>
      <c r="I41" s="80">
        <f>SUMIFS(Table1[Project Value (RM)],Table1[Category],"EV Charger",Table1[Closed Date],"&gt;="&amp;DATE(2023,1,1),Table1[Closed Date],"&lt;="&amp;DATE(2023,12,31))</f>
        <v>93380</v>
      </c>
      <c r="J41" s="80">
        <f>SUMIFS(Table1[Project Value (RM)],Table1[Category],"EV Charger",Table1[Closed Date],"&gt;="&amp;DATE(2024,1,1),Table1[Closed Date],"&lt;="&amp;DATE(2024,12,31))</f>
        <v>355363</v>
      </c>
      <c r="K41" s="81">
        <f>SUMIFS(Table1[Project Value (RM)],Table1[Category],"EV Charger",Table1[Closed Date],"&gt;="&amp;DATE(2025,1,1),Table1[Closed Date],"&lt;="&amp;DATE(2025,12,31))</f>
        <v>982220</v>
      </c>
      <c r="L41" s="81">
        <f>SUMIFS(Table1[Project Value (RM)],Table1[Category],"EV Charger",Table1[Closed Date],"&gt;="&amp;DATE(2026,1,1),Table1[Closed Date],"&lt;="&amp;DATE(2026,12,31))</f>
        <v>0</v>
      </c>
      <c r="M41" s="102"/>
      <c r="N41" s="103">
        <f t="shared" si="0"/>
        <v>957823</v>
      </c>
      <c r="O41" s="80">
        <f>SUMIFS('Finance Tracker'!M:M,'Finance Tracker'!L:L,"&gt;="&amp;DATE(2023,1,1),'Finance Tracker'!L:L,"&lt;="&amp;DATE(2023,12,31),'Finance Tracker'!F:F,"EV Charger")
+SUMIFS('Finance Tracker'!Q:Q,'Finance Tracker'!P:P,"&gt;="&amp;DATE(2023,1,1),'Finance Tracker'!P:P,"&lt;="&amp;DATE(2023,12,31),'Finance Tracker'!F:F,"EV Charger")
+SUMIFS('Finance Tracker'!U:U,'Finance Tracker'!T:T,"&gt;="&amp;DATE(2023,1,1),'Finance Tracker'!T:T,"&lt;="&amp;DATE(2023,12,31),'Finance Tracker'!F:F,"EV Charger")
+SUMIFS('Finance Tracker'!Y:Y,'Finance Tracker'!X:X,"&gt;="&amp;DATE(2023,1,1),'Finance Tracker'!X:X,"&lt;="&amp;DATE(2023,12,31),'Finance Tracker'!F:F,"EV Charger")
+SUMIFS('Finance Tracker'!AC:AC,'Finance Tracker'!AB:AB,"&gt;="&amp;DATE(2023,1,1),'Finance Tracker'!AB:AB,"&lt;="&amp;DATE(2023,12,31),'Finance Tracker'!F:F,"EV Charger")
+SUMIFS('Finance Tracker'!AG:AG,'Finance Tracker'!AF:AF,"&gt;="&amp;DATE(2023,1,1),'Finance Tracker'!AF:AF,"&lt;="&amp;DATE(2023,12,31),'Finance Tracker'!F:F,"EV Charger")</f>
        <v>46690</v>
      </c>
      <c r="P41" s="80">
        <f>SUMIFS('Finance Tracker'!M:M,'Finance Tracker'!L:L,"&gt;="&amp;DATE(2024,1,1),'Finance Tracker'!L:L,"&lt;="&amp;DATE(2024,12,31),'Finance Tracker'!F:F,"EV Charger")
+SUMIFS('Finance Tracker'!Q:Q,'Finance Tracker'!P:P,"&gt;="&amp;DATE(2024,1,1),'Finance Tracker'!P:P,"&lt;="&amp;DATE(2024,12,31),'Finance Tracker'!F:F,"EV Charger")
+SUMIFS('Finance Tracker'!U:U,'Finance Tracker'!T:T,"&gt;="&amp;DATE(2024,1,1),'Finance Tracker'!T:T,"&lt;="&amp;DATE(2024,12,31),'Finance Tracker'!F:F,"EV Charger")
+SUMIFS('Finance Tracker'!Y:Y,'Finance Tracker'!X:X,"&gt;="&amp;DATE(2024,1,1),'Finance Tracker'!X:X,"&lt;="&amp;DATE(2024,12,31),'Finance Tracker'!F:F,"EV Charger")
+SUMIFS('Finance Tracker'!AC:AC,'Finance Tracker'!AB:AB,"&gt;="&amp;DATE(2024,1,1),'Finance Tracker'!AB:AB,"&lt;="&amp;DATE(2024,12,31),'Finance Tracker'!F:F,"EV Charger")
+SUMIFS('Finance Tracker'!AG:AG,'Finance Tracker'!AF:AF,"&gt;="&amp;DATE(2024,1,1),'Finance Tracker'!AF:AF,"&lt;="&amp;DATE(2024,12,31),'Finance Tracker'!F:F,"EV Charger")</f>
        <v>342903</v>
      </c>
      <c r="Q41" s="81">
        <f>SUMIFS('Finance Tracker'!M:M,'Finance Tracker'!L:L,"&gt;="&amp;DATE(2025,1,1),'Finance Tracker'!L:L,"&lt;="&amp;DATE(2025,12,31),'Finance Tracker'!F:F,"EV Charger")
+SUMIFS('Finance Tracker'!Q:Q,'Finance Tracker'!P:P,"&gt;="&amp;DATE(2025,1,1),'Finance Tracker'!P:P,"&lt;="&amp;DATE(2025,12,31),'Finance Tracker'!F:F,"EV Charger")
+SUMIFS('Finance Tracker'!U:U,'Finance Tracker'!T:T,"&gt;="&amp;DATE(2025,1,1),'Finance Tracker'!T:T,"&lt;="&amp;DATE(2025,12,31),'Finance Tracker'!F:F,"EV Charger")
+SUMIFS('Finance Tracker'!Y:Y,'Finance Tracker'!X:X,"&gt;="&amp;DATE(2025,1,1),'Finance Tracker'!X:X,"&lt;="&amp;DATE(2025,12,31),'Finance Tracker'!F:F,"EV Charger")
+SUMIFS('Finance Tracker'!AC:AC,'Finance Tracker'!AB:AB,"&gt;="&amp;DATE(2025,1,1),'Finance Tracker'!AB:AB,"&lt;="&amp;DATE(2025,12,31),'Finance Tracker'!F:F,"EV Charger")
+SUMIFS('Finance Tracker'!AG:AG,'Finance Tracker'!AF:AF,"&gt;="&amp;DATE(2025,1,1),'Finance Tracker'!AF:AF,"&lt;="&amp;DATE(2025,12,31),'Finance Tracker'!F:F,"EV Charger")</f>
        <v>568230</v>
      </c>
      <c r="R41" s="81">
        <f>SUMIFS('Finance Tracker'!M:M,'Finance Tracker'!L:L,"&gt;="&amp;DATE(2026,1,1),'Finance Tracker'!L:L,"&lt;="&amp;DATE(2026,12,31),'Finance Tracker'!F:F,"EV Charger")
+SUMIFS('Finance Tracker'!Q:Q,'Finance Tracker'!P:P,"&gt;="&amp;DATE(2026,1,1),'Finance Tracker'!P:P,"&lt;="&amp;DATE(2026,12,31),'Finance Tracker'!F:F,"EV Charger")
+SUMIFS('Finance Tracker'!U:U,'Finance Tracker'!T:T,"&gt;="&amp;DATE(2026,1,1),'Finance Tracker'!T:T,"&lt;="&amp;DATE(2026,12,31),'Finance Tracker'!F:F,"EV Charger")
+SUMIFS('Finance Tracker'!Y:Y,'Finance Tracker'!X:X,"&gt;="&amp;DATE(2026,1,1),'Finance Tracker'!X:X,"&lt;="&amp;DATE(2026,12,31),'Finance Tracker'!F:F,"EV Charger")
+SUMIFS('Finance Tracker'!AC:AC,'Finance Tracker'!AB:AB,"&gt;="&amp;DATE(2026,1,1),'Finance Tracker'!AB:AB,"&lt;="&amp;DATE(2026,12,31),'Finance Tracker'!F:F,"EV Charger")
+SUMIFS('Finance Tracker'!AG:AG,'Finance Tracker'!AF:AF,"&gt;="&amp;DATE(2026,1,1),'Finance Tracker'!AF:AF,"&lt;="&amp;DATE(2026,12,31),'Finance Tracker'!F:F,"EV Charger")</f>
        <v>0</v>
      </c>
      <c r="S41" s="46"/>
      <c r="T41" s="79">
        <f t="shared" si="1"/>
        <v>735522.5</v>
      </c>
      <c r="U41" s="80">
        <f>SUMIFS('Finance Tracker'!O:O,'Finance Tracker'!N:N,"&gt;="&amp;DATE(2023,1,1),'Finance Tracker'!N:N,"&lt;="&amp;DATE(2023,12,31),'Finance Tracker'!F:F,"EV Charger")
+SUMIFS('Finance Tracker'!S:S,'Finance Tracker'!R:R,"&gt;="&amp;DATE(2023,1,1),'Finance Tracker'!R:R,"&lt;="&amp;DATE(2023,12,31),'Finance Tracker'!F:F,"EV Charger")
+SUMIFS('Finance Tracker'!W:W,'Finance Tracker'!V:V,"&gt;="&amp;DATE(2023,1,1),'Finance Tracker'!V:V,"&lt;="&amp;DATE(2023,12,31),'Finance Tracker'!F:F,"EV Charger")
+SUMIFS('Finance Tracker'!AA:AA,'Finance Tracker'!Z:Z,"&gt;="&amp;DATE(2023,1,1),'Finance Tracker'!Z:Z,"&lt;="&amp;DATE(2023,12,31),'Finance Tracker'!F:F,"EV Charger")
+SUMIFS('Finance Tracker'!AD:AD,'Finance Tracker'!AE:AE,"&gt;="&amp;DATE(2023,1,1),'Finance Tracker'!AE:AE,"&lt;="&amp;DATE(2023,12,31),'Finance Tracker'!F:F,"EV Charger")
+SUMIFS('Finance Tracker'!AI:AI,'Finance Tracker'!AH:AH,"&gt;="&amp;DATE(2023,1,1),'Finance Tracker'!AH:AH,"&lt;="&amp;DATE(2023,12,31),'Finance Tracker'!F:F,"EV Charger")</f>
        <v>46690</v>
      </c>
      <c r="V41" s="80">
        <f>SUMIFS('Finance Tracker'!O:O,'Finance Tracker'!N:N,"&gt;="&amp;DATE(2024,1,1),'Finance Tracker'!N:N,"&lt;="&amp;DATE(2024,12,31),'Finance Tracker'!F:F,"EV Charger")
+SUMIFS('Finance Tracker'!S:S,'Finance Tracker'!R:R,"&gt;="&amp;DATE(2024,1,1),'Finance Tracker'!R:R,"&lt;="&amp;DATE(2024,12,31),'Finance Tracker'!F:F,"EV Charger")
+SUMIFS('Finance Tracker'!W:W,'Finance Tracker'!V:V,"&gt;="&amp;DATE(2024,1,1),'Finance Tracker'!V:V,"&lt;="&amp;DATE(2024,12,31),'Finance Tracker'!F:F,"EV Charger")
+SUMIFS('Finance Tracker'!AA:AA,'Finance Tracker'!Z:Z,"&gt;="&amp;DATE(2024,1,1),'Finance Tracker'!Z:Z,"&lt;="&amp;DATE(2024,12,31),'Finance Tracker'!F:F,"EV Charger")
+SUMIFS('Finance Tracker'!AD:AD,'Finance Tracker'!AE:AE,"&gt;="&amp;DATE(2024,1,1),'Finance Tracker'!AE:AE,"&lt;="&amp;DATE(2024,12,31),'Finance Tracker'!F:F,"EV Charger")
+SUMIFS('Finance Tracker'!AI:AI,'Finance Tracker'!AH:AH,"&gt;="&amp;DATE(2024,1,1),'Finance Tracker'!AH:AH,"&lt;="&amp;DATE(2024,12,31),'Finance Tracker'!F:F,"EV Charger")</f>
        <v>321025</v>
      </c>
      <c r="W41" s="80">
        <f>SUMIFS('Finance Tracker'!O:O,'Finance Tracker'!N:N,"&gt;="&amp;DATE(2025,1,1),'Finance Tracker'!N:N,"&lt;="&amp;DATE(2025,12,31),'Finance Tracker'!F:F,"EV Charger")
+SUMIFS('Finance Tracker'!S:S,'Finance Tracker'!R:R,"&gt;="&amp;DATE(2025,1,1),'Finance Tracker'!R:R,"&lt;="&amp;DATE(2025,12,31),'Finance Tracker'!F:F,"EV Charger")
+SUMIFS('Finance Tracker'!W:W,'Finance Tracker'!V:V,"&gt;="&amp;DATE(2025,1,1),'Finance Tracker'!V:V,"&lt;="&amp;DATE(2025,12,31),'Finance Tracker'!F:F,"EV Charger")
+SUMIFS('Finance Tracker'!AA:AA,'Finance Tracker'!Z:Z,"&gt;="&amp;DATE(2025,1,1),'Finance Tracker'!Z:Z,"&lt;="&amp;DATE(2025,12,31),'Finance Tracker'!F:F,"EV Charger")
+SUMIFS('Finance Tracker'!AD:AD,'Finance Tracker'!AE:AE,"&gt;="&amp;DATE(2025,1,1),'Finance Tracker'!AE:AE,"&lt;="&amp;DATE(2025,12,31),'Finance Tracker'!F:F,"EV Charger")
+SUMIFS('Finance Tracker'!AI:AI,'Finance Tracker'!AH:AH,"&gt;="&amp;DATE(2025,1,1),'Finance Tracker'!AH:AH,"&lt;="&amp;DATE(2025,12,31),'Finance Tracker'!F:F,"EV Charger")</f>
        <v>367807.5</v>
      </c>
      <c r="X41" s="80">
        <f>SUMIFS('Finance Tracker'!O:O,'Finance Tracker'!N:N,"&gt;="&amp;DATE(2026,1,1),'Finance Tracker'!N:N,"&lt;="&amp;DATE(2026,12,31),'Finance Tracker'!F:F,"EV Charger")
+SUMIFS('Finance Tracker'!S:S,'Finance Tracker'!R:R,"&gt;="&amp;DATE(2026,1,1),'Finance Tracker'!R:R,"&lt;="&amp;DATE(2026,12,31),'Finance Tracker'!F:F,"EV Charger")
+SUMIFS('Finance Tracker'!W:W,'Finance Tracker'!V:V,"&gt;="&amp;DATE(2026,1,1),'Finance Tracker'!V:V,"&lt;="&amp;DATE(2026,12,31),'Finance Tracker'!F:F,"EV Charger")
+SUMIFS('Finance Tracker'!AA:AA,'Finance Tracker'!Z:Z,"&gt;="&amp;DATE(2026,1,1),'Finance Tracker'!Z:Z,"&lt;="&amp;DATE(2026,12,31),'Finance Tracker'!F:F,"EV Charger")
+SUMIFS('Finance Tracker'!AD:AD,'Finance Tracker'!AE:AE,"&gt;="&amp;DATE(2026,1,1),'Finance Tracker'!AE:AE,"&lt;="&amp;DATE(2026,12,31),'Finance Tracker'!F:F,"EV Charger")
+SUMIFS('Finance Tracker'!AI:AI,'Finance Tracker'!AH:AH,"&gt;="&amp;DATE(2026,1,1),'Finance Tracker'!AH:AH,"&lt;="&amp;DATE(2026,12,31),'Finance Tracker'!F:F,"EV Charger")</f>
        <v>0</v>
      </c>
      <c r="Z41" s="76">
        <f>COUNTIF(Table1[Category],"EV Charger")</f>
        <v>18</v>
      </c>
      <c r="AA41" s="76">
        <f>COUNTIFS(Table1[Category],"EV Charger",Table1[Closed Date],"&gt;="&amp;DATE(2023,1,1),Table1[Closed Date],"&lt;="&amp;DATE(2023,12,31))</f>
        <v>1</v>
      </c>
      <c r="AB41" s="76">
        <f>COUNTIFS(Table1[Category],"EV Charger",Table1[Closed Date],"&gt;="&amp;DATE(2024,1,1),Table1[Closed Date],"&lt;="&amp;DATE(2024,12,31))</f>
        <v>7</v>
      </c>
      <c r="AC41" s="76">
        <f>COUNTIFS(Table1[Category],"EV Charger",Table1[Closed Date],"&gt;="&amp;DATE(2025,1,1),Table1[Closed Date],"&lt;="&amp;DATE(2025,12,31))</f>
        <v>10</v>
      </c>
      <c r="AD41" s="76">
        <f>COUNTIFS(Table1[Category],"EV Charger",Table1[Closed Date],"&gt;="&amp;DATE(2026,1,1),Table1[Closed Date],"&lt;="&amp;DATE(2026,12,31))</f>
        <v>0</v>
      </c>
    </row>
    <row r="42" spans="1:30" s="20" customFormat="1" ht="25.5" customHeight="1" x14ac:dyDescent="0.3">
      <c r="A42" s="101" t="s">
        <v>7</v>
      </c>
      <c r="B42" s="86"/>
      <c r="C42" s="86"/>
      <c r="D42" s="76"/>
      <c r="E42" s="77"/>
      <c r="F42" s="77"/>
      <c r="G42" s="45"/>
      <c r="H42" s="79">
        <f>SUM(H37:H41)</f>
        <v>19651384.18</v>
      </c>
      <c r="I42" s="80">
        <f>SUM(I37:I41)</f>
        <v>2117905</v>
      </c>
      <c r="J42" s="80">
        <f>SUM(J37:J41)</f>
        <v>9658840.1999999993</v>
      </c>
      <c r="K42" s="81">
        <f>SUM(K37:K41)</f>
        <v>7874638.9800000004</v>
      </c>
      <c r="L42" s="81">
        <f>SUM(L37:L41)</f>
        <v>0</v>
      </c>
      <c r="M42" s="102"/>
      <c r="N42" s="103">
        <f>SUM(N37:N41)</f>
        <v>17426694.010000002</v>
      </c>
      <c r="O42" s="104">
        <f>SUM(O37:O41)</f>
        <v>1136750</v>
      </c>
      <c r="P42" s="104">
        <f>SUM(P37:P41)</f>
        <v>7171388.2000000002</v>
      </c>
      <c r="Q42" s="105">
        <f>SUM(Q37:Q41)</f>
        <v>9118555.8100000005</v>
      </c>
      <c r="R42" s="105">
        <f>SUM(R37:R41)</f>
        <v>0</v>
      </c>
      <c r="S42" s="106"/>
      <c r="T42" s="103">
        <f>SUM(T37:T41)</f>
        <v>15462551.510000002</v>
      </c>
      <c r="U42" s="104">
        <f>SUM(U37:U41)</f>
        <v>1059150</v>
      </c>
      <c r="V42" s="104">
        <f>SUM(V37:V41)</f>
        <v>6723226.2000000002</v>
      </c>
      <c r="W42" s="104">
        <f>SUM(W37:W41)</f>
        <v>7680175.3100000005</v>
      </c>
      <c r="X42" s="104">
        <f>SUM(X37:X41)</f>
        <v>0</v>
      </c>
      <c r="Z42" s="76">
        <f>SUM(Z37:Z41)</f>
        <v>365</v>
      </c>
      <c r="AA42" s="76">
        <f>SUM(AA37:AA41)</f>
        <v>28</v>
      </c>
      <c r="AB42" s="76">
        <f>SUM(AB37:AB41)</f>
        <v>168</v>
      </c>
      <c r="AC42" s="76">
        <f>SUM(AC37:AC41)</f>
        <v>169</v>
      </c>
      <c r="AD42" s="76">
        <f>SUM(AD37:AD41)</f>
        <v>0</v>
      </c>
    </row>
    <row r="43" spans="1:30" x14ac:dyDescent="0.3">
      <c r="B43" s="41"/>
    </row>
    <row r="44" spans="1:30" x14ac:dyDescent="0.3">
      <c r="B44" s="41"/>
    </row>
    <row r="45" spans="1:30" ht="23.4" x14ac:dyDescent="0.3">
      <c r="B45" s="152" t="s">
        <v>13</v>
      </c>
      <c r="C45" s="153"/>
      <c r="D45" s="153"/>
      <c r="E45" s="153"/>
      <c r="F45" s="154"/>
      <c r="G45" s="51"/>
      <c r="H45" s="152" t="s">
        <v>13</v>
      </c>
      <c r="I45" s="153"/>
      <c r="J45" s="153"/>
      <c r="K45" s="153"/>
      <c r="L45" s="153"/>
      <c r="M45" s="83"/>
      <c r="N45" s="152" t="s">
        <v>3</v>
      </c>
      <c r="O45" s="153"/>
      <c r="P45" s="153"/>
      <c r="Q45" s="153"/>
      <c r="R45" s="154"/>
      <c r="S45" s="51"/>
      <c r="T45" s="152" t="s">
        <v>3</v>
      </c>
      <c r="U45" s="153"/>
      <c r="V45" s="153"/>
      <c r="W45" s="153"/>
      <c r="X45" s="153"/>
    </row>
    <row r="46" spans="1:30" ht="23.4" x14ac:dyDescent="0.3">
      <c r="B46" s="152" t="s">
        <v>0</v>
      </c>
      <c r="C46" s="153"/>
      <c r="D46" s="153"/>
      <c r="E46" s="153"/>
      <c r="F46" s="154"/>
      <c r="G46" s="51"/>
      <c r="H46" s="152" t="s">
        <v>1</v>
      </c>
      <c r="I46" s="153"/>
      <c r="J46" s="153"/>
      <c r="K46" s="153"/>
      <c r="L46" s="154"/>
      <c r="M46" s="83"/>
      <c r="N46" s="152" t="s">
        <v>0</v>
      </c>
      <c r="O46" s="153"/>
      <c r="P46" s="153"/>
      <c r="Q46" s="153"/>
      <c r="R46" s="154"/>
      <c r="S46" s="51"/>
      <c r="T46" s="148" t="s">
        <v>1</v>
      </c>
      <c r="U46" s="149"/>
      <c r="V46" s="149"/>
      <c r="W46" s="149"/>
      <c r="X46" s="149"/>
    </row>
    <row r="47" spans="1:30" ht="21" x14ac:dyDescent="0.3">
      <c r="B47" s="73" t="s">
        <v>7</v>
      </c>
      <c r="C47" s="73">
        <v>2023</v>
      </c>
      <c r="D47" s="73">
        <v>2024</v>
      </c>
      <c r="E47" s="74">
        <v>2025</v>
      </c>
      <c r="F47" s="74">
        <v>2026</v>
      </c>
      <c r="G47" s="51"/>
      <c r="H47" s="73" t="s">
        <v>7</v>
      </c>
      <c r="I47" s="73">
        <v>2023</v>
      </c>
      <c r="J47" s="73">
        <v>2024</v>
      </c>
      <c r="K47" s="73">
        <v>2025</v>
      </c>
      <c r="L47" s="73">
        <v>2026</v>
      </c>
      <c r="M47" s="83"/>
      <c r="N47" s="75" t="s">
        <v>7</v>
      </c>
      <c r="O47" s="73">
        <v>2023</v>
      </c>
      <c r="P47" s="73">
        <v>2024</v>
      </c>
      <c r="Q47" s="74">
        <v>2025</v>
      </c>
      <c r="R47" s="74">
        <v>2026</v>
      </c>
      <c r="S47" s="51"/>
      <c r="T47" s="73" t="s">
        <v>7</v>
      </c>
      <c r="U47" s="73">
        <v>2023</v>
      </c>
      <c r="V47" s="73">
        <v>2024</v>
      </c>
      <c r="W47" s="73">
        <v>2025</v>
      </c>
      <c r="X47" s="73">
        <v>2026</v>
      </c>
    </row>
    <row r="48" spans="1:30" ht="25.5" customHeight="1" x14ac:dyDescent="0.35">
      <c r="A48" s="82" t="s">
        <v>14</v>
      </c>
      <c r="B48" s="95">
        <f>SUMIFS(Table1[PV System Capacity (kWp)],Table1[Scheme],"NEM",Table1[Category],"*R*")</f>
        <v>3417.3749999999941</v>
      </c>
      <c r="C48" s="95">
        <f>SUMIFS(Table1[PV System Capacity (kWp)],Table1[Scheme],"NEM",Table1[Category],"*R*",Table1[Closed Date],"&gt;="&amp;DATE(2023,1,1),Table1[Closed Date],"&lt;="&amp;DATE(2023,12,31))</f>
        <v>220.15000000000006</v>
      </c>
      <c r="D48" s="95">
        <f>SUMIFS(Table1[PV System Capacity (kWp)],Table1[Scheme],"NEM",Table1[Category],"*R*",Table1[Closed Date],"&gt;="&amp;DATE(2024,1,1),Table1[Closed Date],"&lt;="&amp;DATE(2024,12,31))</f>
        <v>1637.1649999999988</v>
      </c>
      <c r="E48" s="95">
        <f>SUMIFS(Table1[PV System Capacity (kWp)],Table1[Scheme],"NEM",Table1[Category],"*R*",Table1[Closed Date],"&gt;="&amp;DATE(2025,1,1),Table1[Closed Date],"&lt;="&amp;DATE(2025,12,31))</f>
        <v>1560.0600000000038</v>
      </c>
      <c r="F48" s="95">
        <f>SUMIFS(Table1[PV System Capacity (kWp)],Table1[Scheme],"NEM",Table1[Category],"*R*",Table1[Closed Date],"&gt;="&amp;DATE(2026,1,1),Table1[Closed Date],"&lt;="&amp;DATE(2026,12,31))</f>
        <v>0</v>
      </c>
      <c r="G48" s="145"/>
      <c r="H48" s="95">
        <f>SUMIFS(Table1[PV System Capacity (kWp)],Table1[Scheme],"NEM",Table1[Category],"*C&amp;I*")</f>
        <v>3286.6850000000004</v>
      </c>
      <c r="I48" s="95">
        <f>SUMIFS(Table1[PV System Capacity (kWp)],Table1[Scheme],"NEM",Table1[Category],"*C&amp;I*",Table1[Closed Date],"&gt;="&amp;DATE(2023,1,1),Table1[Closed Date],"&lt;="&amp;DATE(2023,12,31))</f>
        <v>428.69499999999999</v>
      </c>
      <c r="J48" s="95">
        <f>SUMIFS(Table1[PV System Capacity (kWp)],Table1[Scheme],"NEM",Table1[Category],"*C&amp;I*",Table1[Closed Date],"&gt;="&amp;DATE(2024,1,1),Table1[Closed Date],"&lt;="&amp;DATE(2024,12,31))</f>
        <v>1675.0000000000002</v>
      </c>
      <c r="K48" s="95">
        <f>SUMIFS(Table1[PV System Capacity (kWp)],Table1[Scheme],"NEM",Table1[Category],"*C&amp;I*",Table1[Closed Date],"&gt;="&amp;DATE(2025,1,1),Table1[Closed Date],"&lt;="&amp;DATE(2025,12,31))</f>
        <v>1182.99</v>
      </c>
      <c r="L48" s="95">
        <f>SUMIFS(Table1[PV System Capacity (kWp)],Table1[Scheme],"NEM",Table1[Category],"*C&amp;I*",Table1[Closed Date],"&gt;="&amp;DATE(2026,1,1),Table1[Closed Date],"&lt;="&amp;DATE(2026,12,31))</f>
        <v>0</v>
      </c>
      <c r="M48" s="83"/>
      <c r="N48" s="79">
        <f>SUMIFS(Table1[Project Value (RM)],Table1[Scheme],"NEM",Table1[Category],"*R*")</f>
        <v>9838567.5999999996</v>
      </c>
      <c r="O48" s="79">
        <f>SUMIFS(Table1[Project Value (RM)],Table1[Scheme],"NEM",Table1[Category],"*R*",Table1[Closed Date],"&gt;="&amp;DATE(2023,1,1),Table1[Closed Date],"&lt;="&amp;DATE(2023,12,31))</f>
        <v>751725</v>
      </c>
      <c r="P48" s="79">
        <f>SUMIFS(Table1[Project Value (RM)],Table1[Scheme],"NEM",Table1[Category],"*R*",Table1[Closed Date],"&gt;="&amp;DATE(2024,1,1),Table1[Closed Date],"&lt;="&amp;DATE(2024,12,31))</f>
        <v>5036797.2</v>
      </c>
      <c r="Q48" s="79">
        <f>SUMIFS(Table1[Project Value (RM)],Table1[Scheme],"NEM",Table1[Category],"*R*",Table1[Closed Date],"&gt;="&amp;DATE(2025,1,1),Table1[Closed Date],"&lt;="&amp;DATE(2025,12,31))</f>
        <v>4050045.4</v>
      </c>
      <c r="R48" s="79">
        <f>SUMIFS(Table1[Project Value (RM)],Table1[Scheme],"NEM",Table1[Category],"*R*",Table1[Closed Date],"&gt;="&amp;DATE(2026,1,1),Table1[Closed Date],"&lt;="&amp;DATE(2026,12,31))</f>
        <v>0</v>
      </c>
      <c r="S48" s="52"/>
      <c r="T48" s="79">
        <f>SUMIFS(Table1[Project Value (RM)],Table1[Scheme],"NEM",Table1[Category],"*C&amp;I*")</f>
        <v>6721700</v>
      </c>
      <c r="U48" s="79">
        <f>SUMIFS(Table1[Project Value (RM)],Table1[Scheme],"NEM",Table1[Category],"*C&amp;I*",Table1[Closed Date],"&gt;="&amp;DATE(2023,1,1),Table1[Closed Date],"&lt;="&amp;DATE(2023,12,31))</f>
        <v>521800</v>
      </c>
      <c r="V48" s="79">
        <f>SUMIFS(Table1[Project Value (RM)],Table1[Scheme],"NEM",Table1[Category],"*C&amp;I*",Table1[Closed Date],"&gt;="&amp;DATE(2024,1,1),Table1[Closed Date],"&lt;="&amp;DATE(2024,12,31))</f>
        <v>3866600</v>
      </c>
      <c r="W48" s="79">
        <f>SUMIFS(Table1[Project Value (RM)],Table1[Scheme],"NEM",Table1[Category],"*C&amp;I*",Table1[Closed Date],"&gt;="&amp;DATE(2025,1,1),Table1[Closed Date],"&lt;="&amp;DATE(2025,12,31))</f>
        <v>2333300</v>
      </c>
      <c r="X48" s="79">
        <f>SUMIFS(Table1[Project Value (RM)],Table1[Scheme],"NEM",Table1[Category],"*C&amp;I*",Table1[Closed Date],"&gt;="&amp;DATE(2026,1,1),Table1[Closed Date],"&lt;="&amp;DATE(2026,12,31))</f>
        <v>0</v>
      </c>
    </row>
    <row r="49" spans="1:24" ht="25.5" customHeight="1" x14ac:dyDescent="0.35">
      <c r="A49" s="82" t="s">
        <v>15</v>
      </c>
      <c r="B49" s="95">
        <f>SUMIFS(Table1[PV System Capacity (kWp)],Table1[Scheme],"SELCO",Table1[Category],"*R*")</f>
        <v>217.76999999999998</v>
      </c>
      <c r="C49" s="95">
        <f>SUMIFS(Table1[PV System Capacity (kWp)],Table1[Scheme],"SELCO",Table1[Category],"*R*",Table1[Closed Date],"&gt;="&amp;DATE(2023,1,1),Table1[Closed Date],"&lt;="&amp;DATE(2023,12,31))</f>
        <v>93.149999999999991</v>
      </c>
      <c r="D49" s="95">
        <f>SUMIFS(Table1[PV System Capacity (kWp)],Table1[Scheme],"SELCO",Table1[Category],"*R*",Table1[Closed Date],"&gt;="&amp;DATE(2024,1,1),Table1[Closed Date],"&lt;="&amp;DATE(2024,12,31))</f>
        <v>0</v>
      </c>
      <c r="E49" s="95">
        <f>SUMIFS(Table1[PV System Capacity (kWp)],Table1[Scheme],"SELCO",Table1[Category],"*R*",Table1[Closed Date],"&gt;="&amp;DATE(2025,1,1),Table1[Closed Date],"&lt;="&amp;DATE(2025,12,31))</f>
        <v>124.62000000000002</v>
      </c>
      <c r="F49" s="95">
        <f>SUMIFS(Table1[PV System Capacity (kWp)],Table1[Scheme],"SELCO",Table1[Category],"*R*",Table1[Closed Date],"&gt;="&amp;DATE(2026,1,1),Table1[Closed Date],"&lt;="&amp;DATE(2026,12,31))</f>
        <v>0</v>
      </c>
      <c r="G49" s="145"/>
      <c r="H49" s="95">
        <f>SUMIFS(Table1[PV System Capacity (kWp)],Table1[Scheme],"SELCO",Table1[Category],"*C&amp;I*")</f>
        <v>431.32500000000005</v>
      </c>
      <c r="I49" s="95">
        <f>SUMIFS(Table1[PV System Capacity (kWp)],Table1[Scheme],"SELCO",Table1[Category],"*C&amp;I*",Table1[Closed Date],"&gt;="&amp;DATE(2023,1,1),Table1[Closed Date],"&lt;="&amp;DATE(2023,12,31))</f>
        <v>0</v>
      </c>
      <c r="J49" s="95">
        <f>SUMIFS(Table1[PV System Capacity (kWp)],Table1[Scheme],"SELCO",Table1[Category],"*C&amp;I*",Table1[Closed Date],"&gt;="&amp;DATE(2024,1,1),Table1[Closed Date],"&lt;="&amp;DATE(2024,12,31))</f>
        <v>413.34500000000003</v>
      </c>
      <c r="K49" s="95">
        <f>SUMIFS(Table1[PV System Capacity (kWp)],Table1[Scheme],"SELCO",Table1[Category],"*C&amp;I*",Table1[Closed Date],"&gt;="&amp;DATE(2025,1,1),Table1[Closed Date],"&lt;="&amp;DATE(2025,12,31))</f>
        <v>17.98</v>
      </c>
      <c r="L49" s="95">
        <f>SUMIFS(Table1[PV System Capacity (kWp)],Table1[Scheme],"SELCO",Table1[Category],"*C&amp;I*",Table1[Closed Date],"&gt;="&amp;DATE(2026,1,1),Table1[Closed Date],"&lt;="&amp;DATE(2026,12,31))</f>
        <v>0</v>
      </c>
      <c r="M49" s="83"/>
      <c r="N49" s="79">
        <f>SUMIFS(Table1[Project Value (RM)],Table1[Scheme],"SELCO",Table1[Category],"*R*")</f>
        <v>1196300</v>
      </c>
      <c r="O49" s="79">
        <f>SUMIFS(Table1[Project Value (RM)],Table1[Scheme],"SELCO",Table1[Category],"*R*",Table1[Closed Date],"&gt;="&amp;DATE(2023,1,1),Table1[Closed Date],"&lt;="&amp;DATE(2023,12,31))</f>
        <v>751000</v>
      </c>
      <c r="P49" s="79">
        <f>SUMIFS(Table1[Project Value (RM)],Table1[Scheme],"SELCO",Table1[Category],"*R*",Table1[Closed Date],"&gt;="&amp;DATE(2024,1,1),Table1[Closed Date],"&lt;="&amp;DATE(2024,12,31))</f>
        <v>0</v>
      </c>
      <c r="Q49" s="79">
        <f>SUMIFS(Table1[Project Value (RM)],Table1[Scheme],"SELCO",Table1[Category],"*R*",Table1[Closed Date],"&gt;="&amp;DATE(2025,1,1),Table1[Closed Date],"&lt;="&amp;DATE(2025,12,31))</f>
        <v>445300</v>
      </c>
      <c r="R49" s="79">
        <f>SUMIFS(Table1[Project Value (RM)],Table1[Scheme],"SELCO",Table1[Category],"*R*",Table1[Closed Date],"&gt;="&amp;DATE(2026,1,1),Table1[Closed Date],"&lt;="&amp;DATE(2026,12,31))</f>
        <v>0</v>
      </c>
      <c r="S49" s="52"/>
      <c r="T49" s="79">
        <f>SUMIFS(Table1[Project Value (RM)],Table1[Scheme],"SELCO",Table1[Category],"*C&amp;I*")</f>
        <v>463853.58</v>
      </c>
      <c r="U49" s="79">
        <f>SUMIFS(Table1[Project Value (RM)],Table1[Scheme],"SELCO",Table1[Category],"*C&amp;I*",Table1[Closed Date],"&gt;="&amp;DATE(2023,1,1),Table1[Closed Date],"&lt;="&amp;DATE(2023,12,31))</f>
        <v>0</v>
      </c>
      <c r="V49" s="79">
        <f>SUMIFS(Table1[Project Value (RM)],Table1[Scheme],"SELCO",Table1[Category],"*C&amp;I*",Table1[Closed Date],"&gt;="&amp;DATE(2024,1,1),Table1[Closed Date],"&lt;="&amp;DATE(2024,12,31))</f>
        <v>400080</v>
      </c>
      <c r="W49" s="79">
        <f>SUMIFS(Table1[Project Value (RM)],Table1[Scheme],"SELCO",Table1[Category],"*C&amp;I*",Table1[Closed Date],"&gt;="&amp;DATE(2025,1,1),Table1[Closed Date],"&lt;="&amp;DATE(2025,12,31))</f>
        <v>63773.58</v>
      </c>
      <c r="X49" s="79">
        <f>SUMIFS(Table1[Project Value (RM)],Table1[Scheme],"SELCO",Table1[Category],"*C&amp;I*",Table1[Closed Date],"&gt;="&amp;DATE(2026,1,1),Table1[Closed Date],"&lt;="&amp;DATE(2026,12,31))</f>
        <v>0</v>
      </c>
    </row>
    <row r="50" spans="1:24" ht="25.5" customHeight="1" x14ac:dyDescent="0.35">
      <c r="A50" s="82" t="s">
        <v>16</v>
      </c>
      <c r="B50" s="95">
        <f>SUMIFS(Table1[PV System Capacity (kWp)],Table1[Scheme],"ATAP",Table1[Category],"*R*")</f>
        <v>0</v>
      </c>
      <c r="C50" s="95">
        <f>SUMIFS(Table1[PV System Capacity (kWp)],Table1[Scheme],"ATAP",Table1[Category],"*R*",Table1[Closed Date],"&gt;="&amp;DATE(2023,1,1),Table1[Closed Date],"&lt;="&amp;DATE(2023,12,31))</f>
        <v>0</v>
      </c>
      <c r="D50" s="95">
        <f>SUMIFS(Table1[PV System Capacity (kWp)],Table1[Scheme],"ATAP",Table1[Category],"*R*",Table1[Closed Date],"&gt;="&amp;DATE(2024,1,1),Table1[Closed Date],"&lt;="&amp;DATE(2024,12,31))</f>
        <v>0</v>
      </c>
      <c r="E50" s="95">
        <f>SUMIFS(Table1[PV System Capacity (kWp)],Table1[Scheme],"ATAP",Table1[Category],"*R*",Table1[Closed Date],"&gt;="&amp;DATE(2025,1,1),Table1[Closed Date],"&lt;="&amp;DATE(2025,12,31))</f>
        <v>0</v>
      </c>
      <c r="F50" s="95">
        <f>SUMIFS(Table1[PV System Capacity (kWp)],Table1[Scheme],"SATAP",Table1[Category],"*R*",Table1[Closed Date],"&gt;="&amp;DATE(2026,1,1),Table1[Closed Date],"&lt;="&amp;DATE(2026,12,31))</f>
        <v>0</v>
      </c>
      <c r="G50" s="50"/>
      <c r="H50" s="95">
        <f>SUMIFS(Table1[PV System Capacity (kWp)],Table1[Scheme],"ATAP",Table1[Category],"*C&amp;I*")</f>
        <v>0</v>
      </c>
      <c r="I50" s="95">
        <f>SUMIFS(Table1[PV System Capacity (kWp)],Table1[Scheme],"ATAP",Table1[Category],"*C&amp;I*",Table1[Closed Date],"&gt;="&amp;DATE(2023,1,1),Table1[Closed Date],"&lt;="&amp;DATE(2023,12,31))</f>
        <v>0</v>
      </c>
      <c r="J50" s="95">
        <f>SUMIFS(Table1[PV System Capacity (kWp)],Table1[Scheme],"ATAP",Table1[Category],"*C&amp;I*",Table1[Closed Date],"&gt;="&amp;DATE(2024,1,1),Table1[Closed Date],"&lt;="&amp;DATE(2024,12,31))</f>
        <v>0</v>
      </c>
      <c r="K50" s="95">
        <f>SUMIFS(Table1[PV System Capacity (kWp)],Table1[Scheme],"ATAP",Table1[Category],"*C&amp;I*",Table1[Closed Date],"&gt;="&amp;DATE(2025,1,1),Table1[Closed Date],"&lt;="&amp;DATE(2025,12,31))</f>
        <v>0</v>
      </c>
      <c r="L50" s="95">
        <f>SUMIFS(Table1[PV System Capacity (kWp)],Table1[Scheme],"ATAP",Table1[Category],"*C&amp;I*",Table1[Closed Date],"&gt;="&amp;DATE(2026,1,1),Table1[Closed Date],"&lt;="&amp;DATE(2026,12,31))</f>
        <v>0</v>
      </c>
      <c r="N50" s="79">
        <f>SUMIFS(Table1[Project Value (RM)],Table1[Scheme],"ATAP",Table1[Category],"*R*")</f>
        <v>0</v>
      </c>
      <c r="O50" s="79">
        <f>SUMIFS(Table1[Project Value (RM)],Table1[Scheme],"ATAP",Table1[Category],"*R*",Table1[Closed Date],"&gt;="&amp;DATE(2023,1,1),Table1[Closed Date],"&lt;="&amp;DATE(2023,12,31))</f>
        <v>0</v>
      </c>
      <c r="P50" s="79">
        <f>SUMIFS(Table1[Project Value (RM)],Table1[Scheme],"ATAP",Table1[Category],"*R*",Table1[Closed Date],"&gt;="&amp;DATE(2024,1,1),Table1[Closed Date],"&lt;="&amp;DATE(2024,12,31))</f>
        <v>0</v>
      </c>
      <c r="Q50" s="79">
        <f>SUMIFS(Table1[Project Value (RM)],Table1[Scheme],"ATAP",Table1[Category],"*R*",Table1[Closed Date],"&gt;="&amp;DATE(2025,1,1),Table1[Closed Date],"&lt;="&amp;DATE(2025,12,31))</f>
        <v>0</v>
      </c>
      <c r="R50" s="79">
        <f>SUMIFS(Table1[Project Value (RM)],Table1[Scheme],"ATAP",Table1[Category],"*R*",Table1[Closed Date],"&gt;="&amp;DATE(2026,1,1),Table1[Closed Date],"&lt;="&amp;DATE(2026,12,31))</f>
        <v>0</v>
      </c>
      <c r="S50" s="50"/>
      <c r="T50" s="79">
        <f>SUMIFS(Table1[Project Value (RM)],Table1[Scheme],"ATAP",Table1[Category],"*C&amp;I*")</f>
        <v>0</v>
      </c>
      <c r="U50" s="79">
        <f>SUMIFS(Table1[Project Value (RM)],Table1[Scheme],"ATAP",Table1[Category],"*C&amp;I*",Table1[Closed Date],"&gt;="&amp;DATE(2023,1,1),Table1[Closed Date],"&lt;="&amp;DATE(2023,12,31))</f>
        <v>0</v>
      </c>
      <c r="V50" s="79">
        <f>SUMIFS(Table1[Project Value (RM)],Table1[Scheme],"ATAP",Table1[Category],"*C&amp;I*",Table1[Closed Date],"&gt;="&amp;DATE(2024,1,1),Table1[Closed Date],"&lt;="&amp;DATE(2024,12,31))</f>
        <v>0</v>
      </c>
      <c r="W50" s="79">
        <f>SUMIFS(Table1[Project Value (RM)],Table1[Scheme],"TAP",Table1[Category],"*C&amp;I*",Table1[Closed Date],"&gt;="&amp;DATE(2025,1,1),Table1[Closed Date],"&lt;="&amp;DATE(2025,12,31))</f>
        <v>0</v>
      </c>
      <c r="X50" s="79">
        <f>SUMIFS(Table1[Project Value (RM)],Table1[Scheme],"ATAP",Table1[Category],"*C&amp;I*",Table1[Closed Date],"&gt;="&amp;DATE(2026,1,1),Table1[Closed Date],"&lt;="&amp;DATE(2026,12,31))</f>
        <v>0</v>
      </c>
    </row>
    <row r="51" spans="1:24" x14ac:dyDescent="0.3">
      <c r="B51" s="50"/>
      <c r="C51" s="50"/>
      <c r="D51" s="50"/>
      <c r="E51" s="50"/>
      <c r="F51" s="50"/>
      <c r="G51" s="50"/>
      <c r="H51" s="50"/>
      <c r="I51" s="50"/>
      <c r="J51" s="50"/>
      <c r="K51" s="50"/>
      <c r="L51" s="50"/>
    </row>
    <row r="52" spans="1:24" x14ac:dyDescent="0.3">
      <c r="B52" s="50"/>
      <c r="C52" s="50"/>
      <c r="D52" s="50"/>
      <c r="E52" s="50"/>
      <c r="F52" s="50"/>
      <c r="G52" s="50"/>
      <c r="H52" s="50"/>
      <c r="I52" s="50"/>
      <c r="J52" s="50"/>
      <c r="K52" s="50"/>
      <c r="L52" s="50"/>
    </row>
    <row r="53" spans="1:24" x14ac:dyDescent="0.3">
      <c r="B53" s="50"/>
      <c r="C53" s="50"/>
      <c r="D53" s="50"/>
      <c r="E53" s="50"/>
      <c r="F53" s="50"/>
      <c r="G53" s="50"/>
      <c r="H53" s="50"/>
      <c r="I53" s="50"/>
      <c r="J53" s="50"/>
      <c r="K53" s="50"/>
      <c r="L53" s="50"/>
    </row>
    <row r="54" spans="1:24" x14ac:dyDescent="0.3">
      <c r="B54" s="50"/>
      <c r="C54" s="50"/>
      <c r="D54" s="50"/>
      <c r="E54" s="50"/>
      <c r="F54" s="50"/>
      <c r="G54" s="50"/>
      <c r="H54" s="50"/>
      <c r="I54" s="50"/>
      <c r="J54" s="50"/>
      <c r="K54" s="50"/>
      <c r="L54" s="50"/>
    </row>
    <row r="55" spans="1:24" x14ac:dyDescent="0.3">
      <c r="B55" s="50"/>
      <c r="C55" s="50"/>
      <c r="D55" s="50"/>
      <c r="E55" s="50"/>
      <c r="F55" s="50"/>
      <c r="G55" s="50"/>
      <c r="H55" s="50"/>
      <c r="I55" s="50"/>
      <c r="J55" s="50"/>
      <c r="K55" s="50"/>
      <c r="L55" s="50"/>
    </row>
    <row r="56" spans="1:24" x14ac:dyDescent="0.3">
      <c r="B56" s="50"/>
      <c r="C56" s="50"/>
      <c r="D56" s="50"/>
      <c r="E56" s="50"/>
      <c r="F56" s="50"/>
      <c r="G56" s="50"/>
      <c r="H56" s="50"/>
      <c r="I56" s="50"/>
      <c r="J56" s="50"/>
      <c r="K56" s="50"/>
      <c r="L56" s="50"/>
    </row>
    <row r="57" spans="1:24" x14ac:dyDescent="0.3">
      <c r="B57" s="50"/>
      <c r="C57" s="50"/>
      <c r="D57" s="50"/>
      <c r="E57" s="50"/>
      <c r="F57" s="50"/>
      <c r="G57" s="50"/>
      <c r="H57" s="50"/>
      <c r="I57" s="50"/>
      <c r="J57" s="50"/>
      <c r="K57" s="50"/>
      <c r="L57" s="50"/>
    </row>
    <row r="58" spans="1:24" x14ac:dyDescent="0.3">
      <c r="B58" s="50"/>
      <c r="C58" s="50"/>
      <c r="D58" s="50"/>
      <c r="E58" s="50"/>
      <c r="F58" s="50"/>
      <c r="G58" s="50"/>
      <c r="H58" s="50"/>
      <c r="I58" s="50"/>
      <c r="J58" s="50"/>
      <c r="K58" s="50"/>
      <c r="L58" s="50"/>
    </row>
    <row r="59" spans="1:24" x14ac:dyDescent="0.3">
      <c r="B59" s="50"/>
      <c r="C59" s="50"/>
      <c r="D59" s="50"/>
      <c r="E59" s="50"/>
      <c r="F59" s="50"/>
      <c r="G59" s="50"/>
      <c r="H59" s="50"/>
      <c r="I59" s="50"/>
      <c r="J59" s="50"/>
      <c r="K59" s="50"/>
      <c r="L59" s="50"/>
    </row>
    <row r="60" spans="1:24" x14ac:dyDescent="0.3">
      <c r="B60" s="50"/>
      <c r="C60" s="50"/>
      <c r="D60" s="50"/>
      <c r="E60" s="50"/>
      <c r="F60" s="50"/>
      <c r="G60" s="50"/>
      <c r="H60" s="50"/>
      <c r="I60" s="50"/>
      <c r="J60" s="50"/>
      <c r="K60" s="50"/>
      <c r="L60" s="50"/>
    </row>
    <row r="61" spans="1:24" x14ac:dyDescent="0.3">
      <c r="B61" s="50"/>
      <c r="C61" s="50"/>
      <c r="D61" s="50"/>
      <c r="E61" s="50"/>
      <c r="F61" s="50"/>
      <c r="G61" s="50"/>
      <c r="H61" s="50"/>
      <c r="I61" s="50"/>
      <c r="J61" s="50"/>
      <c r="K61" s="50"/>
      <c r="L61" s="50"/>
    </row>
    <row r="62" spans="1:24" x14ac:dyDescent="0.3">
      <c r="B62" s="50"/>
      <c r="C62" s="50"/>
      <c r="D62" s="50"/>
      <c r="E62" s="50"/>
      <c r="F62" s="50"/>
      <c r="G62" s="50"/>
      <c r="H62" s="50"/>
      <c r="I62" s="50"/>
      <c r="J62" s="50"/>
      <c r="K62" s="50"/>
      <c r="L62" s="50"/>
    </row>
    <row r="63" spans="1:24" x14ac:dyDescent="0.3">
      <c r="B63" s="50"/>
      <c r="C63" s="50"/>
      <c r="D63" s="50"/>
      <c r="E63" s="50"/>
      <c r="F63" s="50"/>
      <c r="G63" s="50"/>
      <c r="H63" s="50"/>
      <c r="I63" s="50"/>
      <c r="J63" s="50"/>
      <c r="K63" s="50"/>
      <c r="L63" s="50"/>
    </row>
    <row r="64" spans="1:24" x14ac:dyDescent="0.3">
      <c r="B64" s="50"/>
      <c r="C64" s="50"/>
      <c r="D64" s="50"/>
      <c r="E64" s="50"/>
      <c r="F64" s="50"/>
      <c r="G64" s="50"/>
      <c r="H64" s="50"/>
      <c r="I64" s="50"/>
      <c r="J64" s="50"/>
      <c r="K64" s="50"/>
      <c r="L64" s="50"/>
    </row>
    <row r="65" spans="2:12" x14ac:dyDescent="0.3">
      <c r="B65" s="50"/>
      <c r="C65" s="50"/>
      <c r="D65" s="50"/>
      <c r="E65" s="50"/>
      <c r="F65" s="50"/>
      <c r="G65" s="50"/>
      <c r="H65" s="50"/>
      <c r="I65" s="50"/>
      <c r="J65" s="50"/>
      <c r="K65" s="50"/>
      <c r="L65" s="50"/>
    </row>
    <row r="66" spans="2:12" x14ac:dyDescent="0.3">
      <c r="B66" s="50"/>
      <c r="C66" s="50"/>
      <c r="D66" s="50"/>
      <c r="E66" s="50"/>
      <c r="F66" s="50"/>
      <c r="G66" s="50"/>
      <c r="H66" s="50"/>
      <c r="I66" s="50"/>
      <c r="J66" s="50"/>
      <c r="K66" s="50"/>
      <c r="L66" s="50"/>
    </row>
    <row r="67" spans="2:12" x14ac:dyDescent="0.3">
      <c r="B67" s="50"/>
      <c r="C67" s="50"/>
      <c r="D67" s="50"/>
      <c r="E67" s="50"/>
      <c r="F67" s="50"/>
      <c r="G67" s="50"/>
      <c r="H67" s="50"/>
      <c r="I67" s="50"/>
      <c r="J67" s="50"/>
      <c r="K67" s="50"/>
      <c r="L67" s="50"/>
    </row>
    <row r="68" spans="2:12" x14ac:dyDescent="0.3">
      <c r="B68" s="50"/>
      <c r="C68" s="50"/>
      <c r="D68" s="50"/>
      <c r="E68" s="50"/>
      <c r="F68" s="50"/>
      <c r="G68" s="50"/>
      <c r="H68" s="50"/>
      <c r="I68" s="50"/>
      <c r="J68" s="50"/>
      <c r="K68" s="50"/>
      <c r="L68" s="50"/>
    </row>
    <row r="69" spans="2:12" x14ac:dyDescent="0.3">
      <c r="B69" s="50"/>
      <c r="C69" s="50"/>
      <c r="D69" s="50"/>
      <c r="E69" s="50"/>
      <c r="F69" s="50"/>
      <c r="G69" s="50"/>
      <c r="H69" s="50"/>
      <c r="I69" s="50"/>
      <c r="J69" s="50"/>
      <c r="K69" s="50"/>
      <c r="L69" s="50"/>
    </row>
    <row r="70" spans="2:12" x14ac:dyDescent="0.3">
      <c r="B70" s="50"/>
      <c r="C70" s="50"/>
      <c r="D70" s="50"/>
      <c r="E70" s="50"/>
      <c r="F70" s="50"/>
      <c r="G70" s="50"/>
      <c r="H70" s="50"/>
      <c r="I70" s="50"/>
      <c r="J70" s="50"/>
      <c r="K70" s="50"/>
      <c r="L70" s="50"/>
    </row>
    <row r="71" spans="2:12" x14ac:dyDescent="0.3">
      <c r="B71" s="50"/>
      <c r="C71" s="50"/>
      <c r="D71" s="50"/>
      <c r="E71" s="50"/>
      <c r="F71" s="50"/>
      <c r="G71" s="50"/>
      <c r="H71" s="50"/>
      <c r="I71" s="50"/>
      <c r="J71" s="50"/>
      <c r="K71" s="50"/>
      <c r="L71" s="50"/>
    </row>
    <row r="72" spans="2:12" x14ac:dyDescent="0.3">
      <c r="B72" s="50"/>
      <c r="C72" s="50"/>
      <c r="D72" s="50"/>
      <c r="E72" s="50"/>
      <c r="F72" s="50"/>
      <c r="G72" s="50"/>
      <c r="H72" s="50"/>
      <c r="I72" s="50"/>
      <c r="J72" s="50"/>
      <c r="K72" s="50"/>
      <c r="L72" s="50"/>
    </row>
    <row r="73" spans="2:12" x14ac:dyDescent="0.3">
      <c r="B73" s="50"/>
      <c r="C73" s="50"/>
      <c r="D73" s="50"/>
      <c r="E73" s="50"/>
      <c r="F73" s="50"/>
      <c r="G73" s="50"/>
      <c r="H73" s="50"/>
      <c r="I73" s="50"/>
      <c r="J73" s="50"/>
      <c r="K73" s="50"/>
      <c r="L73" s="50"/>
    </row>
    <row r="74" spans="2:12" x14ac:dyDescent="0.3">
      <c r="B74" s="50"/>
      <c r="C74" s="50"/>
      <c r="D74" s="50"/>
      <c r="E74" s="50"/>
      <c r="F74" s="50"/>
      <c r="G74" s="50"/>
      <c r="H74" s="50"/>
      <c r="I74" s="50"/>
      <c r="J74" s="50"/>
      <c r="K74" s="50"/>
      <c r="L74" s="50"/>
    </row>
    <row r="75" spans="2:12" x14ac:dyDescent="0.3">
      <c r="B75" s="50"/>
      <c r="C75" s="50"/>
      <c r="D75" s="50"/>
      <c r="E75" s="50"/>
      <c r="F75" s="50"/>
      <c r="G75" s="50"/>
      <c r="H75" s="50"/>
      <c r="I75" s="50"/>
      <c r="J75" s="50"/>
      <c r="K75" s="50"/>
      <c r="L75" s="50"/>
    </row>
    <row r="76" spans="2:12" x14ac:dyDescent="0.3">
      <c r="B76" s="50"/>
      <c r="C76" s="50"/>
      <c r="D76" s="50"/>
      <c r="E76" s="50"/>
      <c r="F76" s="50"/>
      <c r="G76" s="50"/>
      <c r="H76" s="50"/>
      <c r="I76" s="50"/>
      <c r="J76" s="50"/>
      <c r="K76" s="50"/>
      <c r="L76" s="50"/>
    </row>
    <row r="77" spans="2:12" x14ac:dyDescent="0.3">
      <c r="B77" s="50"/>
      <c r="C77" s="50"/>
      <c r="D77" s="50"/>
      <c r="E77" s="50"/>
      <c r="F77" s="50"/>
      <c r="G77" s="50"/>
      <c r="H77" s="50"/>
      <c r="I77" s="50"/>
      <c r="J77" s="50"/>
      <c r="K77" s="50"/>
      <c r="L77" s="50"/>
    </row>
    <row r="78" spans="2:12" x14ac:dyDescent="0.3">
      <c r="B78" s="50"/>
      <c r="C78" s="50"/>
      <c r="D78" s="50"/>
      <c r="E78" s="50"/>
      <c r="F78" s="50"/>
      <c r="G78" s="50"/>
      <c r="H78" s="50"/>
      <c r="I78" s="50"/>
      <c r="J78" s="50"/>
      <c r="K78" s="50"/>
      <c r="L78" s="50"/>
    </row>
    <row r="79" spans="2:12" x14ac:dyDescent="0.3">
      <c r="B79" s="50"/>
      <c r="C79" s="50"/>
      <c r="D79" s="50"/>
      <c r="E79" s="50"/>
      <c r="F79" s="50"/>
      <c r="G79" s="50"/>
      <c r="H79" s="50"/>
      <c r="I79" s="50"/>
      <c r="J79" s="50"/>
      <c r="K79" s="50"/>
      <c r="L79" s="50"/>
    </row>
    <row r="80" spans="2:12" x14ac:dyDescent="0.3">
      <c r="B80" s="50"/>
      <c r="C80" s="50"/>
      <c r="D80" s="50"/>
      <c r="E80" s="50"/>
      <c r="F80" s="50"/>
      <c r="G80" s="50"/>
      <c r="H80" s="50"/>
      <c r="I80" s="50"/>
      <c r="J80" s="50"/>
      <c r="K80" s="50"/>
      <c r="L80" s="50"/>
    </row>
    <row r="81" spans="1:24" ht="23.4" x14ac:dyDescent="0.3">
      <c r="B81" s="152" t="s">
        <v>13</v>
      </c>
      <c r="C81" s="153"/>
      <c r="D81" s="153"/>
      <c r="E81" s="153"/>
      <c r="F81" s="153"/>
      <c r="H81" s="152" t="s">
        <v>3</v>
      </c>
      <c r="I81" s="153"/>
      <c r="J81" s="153"/>
      <c r="K81" s="153"/>
      <c r="L81" s="153"/>
    </row>
    <row r="82" spans="1:24" ht="23.4" x14ac:dyDescent="0.3">
      <c r="B82" s="148" t="s">
        <v>7</v>
      </c>
      <c r="C82" s="149"/>
      <c r="D82" s="149"/>
      <c r="E82" s="149"/>
      <c r="F82" s="149"/>
      <c r="H82" s="148" t="s">
        <v>7</v>
      </c>
      <c r="I82" s="149"/>
      <c r="J82" s="149"/>
      <c r="K82" s="149"/>
      <c r="L82" s="149"/>
    </row>
    <row r="83" spans="1:24" ht="21" x14ac:dyDescent="0.3">
      <c r="B83" s="73" t="s">
        <v>7</v>
      </c>
      <c r="C83" s="73">
        <v>2023</v>
      </c>
      <c r="D83" s="73">
        <v>2024</v>
      </c>
      <c r="E83" s="73">
        <v>2025</v>
      </c>
      <c r="F83" s="73">
        <v>2026</v>
      </c>
      <c r="H83" s="73" t="s">
        <v>7</v>
      </c>
      <c r="I83" s="73">
        <v>2023</v>
      </c>
      <c r="J83" s="73">
        <v>2024</v>
      </c>
      <c r="K83" s="73">
        <v>2025</v>
      </c>
      <c r="L83" s="73">
        <v>2026</v>
      </c>
    </row>
    <row r="84" spans="1:24" ht="25.5" customHeight="1" x14ac:dyDescent="0.35">
      <c r="A84" s="82" t="s">
        <v>17</v>
      </c>
      <c r="B84" s="95">
        <f>SUMIF(Table1[Sales PIC],A84,Table1[PV System Capacity (kWp)])</f>
        <v>4469.9199999999983</v>
      </c>
      <c r="C84" s="95">
        <f>SUMIFS(Table1[PV System Capacity (kWp)],Table1[Sales PIC],A84,Table1[Closed Date],"&gt;="&amp;DATE(2023,1,1),Table1[Closed Date],"&lt;="&amp;DATE(2023,12,31))</f>
        <v>5.75</v>
      </c>
      <c r="D84" s="95">
        <f>SUMIFS(Table1[PV System Capacity (kWp)],Table1[Sales PIC],A84,Table1[Closed Date],"&gt;="&amp;DATE(2024,1,1),Table1[Closed Date],"&lt;="&amp;DATE(2024,12,31))</f>
        <v>2808.4199999999992</v>
      </c>
      <c r="E84" s="95">
        <f>SUMIFS(Table1[PV System Capacity (kWp)],Table1[Sales PIC],A84,Table1[Closed Date],"&gt;="&amp;DATE(2025,1,1),Table1[Closed Date],"&lt;="&amp;DATE(2025,12,31))</f>
        <v>1648.7300000000007</v>
      </c>
      <c r="F84" s="95" t="s">
        <v>18</v>
      </c>
      <c r="H84" s="80">
        <f>SUMIF(Table1[Sales PIC],A84,Table1[Project Value (RM)])</f>
        <v>11010153.199999999</v>
      </c>
      <c r="I84" s="80">
        <f>SUMIFS(Table1[Project Value (RM)],Table1[Sales PIC],A84,Table1[Closed Date],"&gt;="&amp;DATE(2023,1,1),Table1[Closed Date],"&lt;="&amp;DATE(2023,12,31))</f>
        <v>22000</v>
      </c>
      <c r="J84" s="80">
        <f>SUMIFS(Table1[Project Value (RM)],Table1[Sales PIC],A84,Table1[Closed Date],"&gt;="&amp;DATE(2024,1,1),Table1[Closed Date],"&lt;="&amp;DATE(2024,12,31))</f>
        <v>7289133.2000000002</v>
      </c>
      <c r="K84" s="80">
        <f>SUMIFS(Table1[Project Value (RM)],Table1[Sales PIC],A84,Table1[Closed Date],"&gt;="&amp;DATE(2025,1,1),Table1[Closed Date],"&lt;="&amp;DATE(2025,12,31))</f>
        <v>3673920</v>
      </c>
      <c r="L84" s="80" t="s">
        <v>18</v>
      </c>
    </row>
    <row r="85" spans="1:24" ht="25.5" customHeight="1" x14ac:dyDescent="0.35">
      <c r="A85" s="82" t="s">
        <v>19</v>
      </c>
      <c r="B85" s="95">
        <f>SUMIF(Table1[Sales PIC],A85,Table1[PV System Capacity (kWp)])</f>
        <v>686.55500000000018</v>
      </c>
      <c r="C85" s="95">
        <f>SUMIFS(Table1[PV System Capacity (kWp)],Table1[Sales PIC],A85,Table1[Closed Date],"&gt;="&amp;DATE(2023,1,1),Table1[Closed Date],"&lt;="&amp;DATE(2023,12,31))</f>
        <v>128.85</v>
      </c>
      <c r="D85" s="95">
        <f>SUMIFS(Table1[PV System Capacity (kWp)],Table1[Sales PIC],A85,Table1[Closed Date],"&gt;="&amp;DATE(2024,1,1),Table1[Closed Date],"&lt;="&amp;DATE(2024,12,31))</f>
        <v>333.78499999999997</v>
      </c>
      <c r="E85" s="95">
        <f>SUMIFS(Table1[PV System Capacity (kWp)],Table1[Sales PIC],A85,Table1[Closed Date],"&gt;="&amp;DATE(2025,1,1),Table1[Closed Date],"&lt;="&amp;DATE(2025,12,31))</f>
        <v>223.92000000000002</v>
      </c>
      <c r="F85" s="95">
        <f>SUMIFS(Table1[PV System Capacity (kWp)],Table1[Sales PIC],A85,Table1[Closed Date],"&gt;="&amp;DATE(2026,1,1),Table1[Closed Date],"&lt;="&amp;DATE(2026,12,31))</f>
        <v>0</v>
      </c>
      <c r="H85" s="80">
        <f>SUMIF(Table1[Sales PIC],A85,Table1[Project Value (RM)])</f>
        <v>2335898</v>
      </c>
      <c r="I85" s="80">
        <f>SUMIFS(Table1[Project Value (RM)],Table1[Sales PIC],A85,Table1[Closed Date],"&gt;="&amp;DATE(2023,1,1),Table1[Closed Date],"&lt;="&amp;DATE(2023,12,31))</f>
        <v>461700</v>
      </c>
      <c r="J85" s="80">
        <f>SUMIFS(Table1[Project Value (RM)],Table1[Sales PIC],A85,Table1[Closed Date],"&gt;="&amp;DATE(2024,1,1),Table1[Closed Date],"&lt;="&amp;DATE(2024,12,31))</f>
        <v>1094898</v>
      </c>
      <c r="K85" s="80">
        <f>SUMIFS(Table1[Project Value (RM)],Table1[Sales PIC],A85,Table1[Closed Date],"&gt;="&amp;DATE(2025,1,1),Table1[Closed Date],"&lt;="&amp;DATE(2025,12,31))</f>
        <v>779300</v>
      </c>
      <c r="L85" s="80">
        <f>SUMIFS(Table1[Project Value (RM)],Table1[Sales PIC],A85,Table1[Closed Date],"&gt;="&amp;DATE(2026,1,1),Table1[Closed Date],"&lt;="&amp;DATE(2026,12,31))</f>
        <v>0</v>
      </c>
    </row>
    <row r="86" spans="1:24" ht="25.5" customHeight="1" x14ac:dyDescent="0.35">
      <c r="A86" s="82" t="s">
        <v>20</v>
      </c>
      <c r="B86" s="95">
        <f>SUMIF(Table1[Sales PIC],A86,Table1[PV System Capacity (kWp)])</f>
        <v>1185.0550000000003</v>
      </c>
      <c r="C86" s="95">
        <f>SUMIFS(Table1[PV System Capacity (kWp)],Table1[Sales PIC],A86,Table1[Closed Date],"&gt;="&amp;DATE(2023,1,1),Table1[Closed Date],"&lt;="&amp;DATE(2023,12,31))</f>
        <v>607.39499999999998</v>
      </c>
      <c r="D86" s="95">
        <f>SUMIFS(Table1[PV System Capacity (kWp)],Table1[Sales PIC],A86,Table1[Closed Date],"&gt;="&amp;DATE(2024,1,1),Table1[Closed Date],"&lt;="&amp;DATE(2024,12,31))</f>
        <v>429.69</v>
      </c>
      <c r="E86" s="95">
        <f>SUMIFS(Table1[PV System Capacity (kWp)],Table1[Sales PIC],A86,Table1[Closed Date],"&gt;="&amp;DATE(2025,1,1),Table1[Closed Date],"&lt;="&amp;DATE(2025,12,31))</f>
        <v>147.97</v>
      </c>
      <c r="F86" s="95">
        <f>SUMIFS(Table1[PV System Capacity (kWp)],Table1[Sales PIC],A86,Table1[Closed Date],"&gt;="&amp;DATE(2026,1,1),Table1[Closed Date],"&lt;="&amp;DATE(2026,12,31))</f>
        <v>0</v>
      </c>
      <c r="H86" s="80">
        <f>SUMIF(Table1[Sales PIC],A86,Table1[Project Value (RM)])</f>
        <v>3516528</v>
      </c>
      <c r="I86" s="80">
        <f>SUMIFS(Table1[Project Value (RM)],Table1[Sales PIC],A86,Table1[Closed Date],"&gt;="&amp;DATE(2023,1,1),Table1[Closed Date],"&lt;="&amp;DATE(2023,12,31))</f>
        <v>1634205</v>
      </c>
      <c r="J86" s="80">
        <f>SUMIFS(Table1[Project Value (RM)],Table1[Sales PIC],A86,Table1[Closed Date],"&gt;="&amp;DATE(2024,1,1),Table1[Closed Date],"&lt;="&amp;DATE(2024,12,31))</f>
        <v>783603</v>
      </c>
      <c r="K86" s="80">
        <f>SUMIFS(Table1[Project Value (RM)],Table1[Sales PIC],A86,Table1[Closed Date],"&gt;="&amp;DATE(2025,1,1),Table1[Closed Date],"&lt;="&amp;DATE(2025,12,31))</f>
        <v>1098720</v>
      </c>
      <c r="L86" s="80">
        <f>SUMIFS(Table1[Project Value (RM)],Table1[Sales PIC],A86,Table1[Closed Date],"&gt;="&amp;DATE(2026,1,1),Table1[Closed Date],"&lt;="&amp;DATE(2026,12,31))</f>
        <v>0</v>
      </c>
    </row>
    <row r="87" spans="1:24" ht="25.5" customHeight="1" x14ac:dyDescent="0.35">
      <c r="A87" s="82" t="s">
        <v>21</v>
      </c>
      <c r="B87" s="95">
        <f>SUMIF(Table1[Sales PIC],A87,Table1[PV System Capacity (kWp)])</f>
        <v>71.53</v>
      </c>
      <c r="C87" s="95">
        <f>SUMIFS(Table1[PV System Capacity (kWp)],Table1[Sales PIC],A87,Table1[Closed Date],"&gt;="&amp;DATE(2023,1,1),Table1[Closed Date],"&lt;="&amp;DATE(2023,12,31))</f>
        <v>0</v>
      </c>
      <c r="D87" s="95">
        <f>SUMIFS(Table1[PV System Capacity (kWp)],Table1[Sales PIC],A87,Table1[Closed Date],"&gt;="&amp;DATE(2024,1,1),Table1[Closed Date],"&lt;="&amp;DATE(2024,12,31))</f>
        <v>13.8</v>
      </c>
      <c r="E87" s="95">
        <f>SUMIFS(Table1[PV System Capacity (kWp)],Table1[Sales PIC],A87,Table1[Closed Date],"&gt;="&amp;DATE(2025,1,1),Table1[Closed Date],"&lt;="&amp;DATE(2025,12,31))</f>
        <v>57.73</v>
      </c>
      <c r="F87" s="95">
        <f>SUMIFS(Table1[PV System Capacity (kWp)],Table1[Sales PIC],A87,Table1[Closed Date],"&gt;="&amp;DATE(2026,1,1),Table1[Closed Date],"&lt;="&amp;DATE(2026,12,31))</f>
        <v>0</v>
      </c>
      <c r="H87" s="80">
        <f>SUMIF(Table1[Sales PIC],A87,Table1[Project Value (RM)])</f>
        <v>273958</v>
      </c>
      <c r="I87" s="80">
        <f>SUMIFS(Table1[Project Value (RM)],Table1[Sales PIC],A87,Table1[Closed Date],"&gt;="&amp;DATE(2023,1,1),Table1[Closed Date],"&lt;="&amp;DATE(2023,12,31))</f>
        <v>0</v>
      </c>
      <c r="J87" s="80">
        <f>SUMIFS(Table1[Project Value (RM)],Table1[Sales PIC],A87,Table1[Closed Date],"&gt;="&amp;DATE(2024,1,1),Table1[Closed Date],"&lt;="&amp;DATE(2024,12,31))</f>
        <v>54930</v>
      </c>
      <c r="K87" s="80">
        <f>SUMIFS(Table1[Project Value (RM)],Table1[Sales PIC],A87,Table1[Closed Date],"&gt;="&amp;DATE(2025,1,1),Table1[Closed Date],"&lt;="&amp;DATE(2025,12,31))</f>
        <v>219028</v>
      </c>
      <c r="L87" s="80">
        <f>SUMIFS(Table1[Project Value (RM)],Table1[Sales PIC],A87,Table1[Closed Date],"&gt;="&amp;DATE(2026,1,1),Table1[Closed Date],"&lt;="&amp;DATE(2026,12,31))</f>
        <v>0</v>
      </c>
    </row>
    <row r="88" spans="1:24" ht="25.5" customHeight="1" x14ac:dyDescent="0.35">
      <c r="A88" s="82" t="s">
        <v>22</v>
      </c>
      <c r="B88" s="95">
        <f>SUMIF(Table1[Sales PIC],A88,Table1[PV System Capacity (kWp)])</f>
        <v>934.88999999999976</v>
      </c>
      <c r="C88" s="95">
        <f>SUMIFS(Table1[PV System Capacity (kWp)],Table1[Sales PIC],A88,Table1[Closed Date],"&gt;="&amp;DATE(2023,1,1),Table1[Closed Date],"&lt;="&amp;DATE(2023,12,31))</f>
        <v>0</v>
      </c>
      <c r="D88" s="95">
        <f>SUMIFS(Table1[PV System Capacity (kWp)],Table1[Sales PIC],A88,Table1[Closed Date],"&gt;="&amp;DATE(2024,1,1),Table1[Closed Date],"&lt;="&amp;DATE(2024,12,31))</f>
        <v>120.50999999999999</v>
      </c>
      <c r="E88" s="95">
        <f>SUMIFS(Table1[PV System Capacity (kWp)],Table1[Sales PIC],A88,Table1[Closed Date],"&gt;="&amp;DATE(2025,1,1),Table1[Closed Date],"&lt;="&amp;DATE(2025,12,31))</f>
        <v>807.29999999999973</v>
      </c>
      <c r="F88" s="95">
        <f>SUMIFS(Table1[PV System Capacity (kWp)],Table1[Sales PIC],A88,Table1[Closed Date],"&gt;="&amp;DATE(2026,1,1),Table1[Closed Date],"&lt;="&amp;DATE(2026,12,31))</f>
        <v>0</v>
      </c>
      <c r="H88" s="80">
        <f>SUMIF(Table1[Sales PIC],A88,Table1[Project Value (RM)])</f>
        <v>2493346.98</v>
      </c>
      <c r="I88" s="80">
        <f>SUMIFS(Table1[Project Value (RM)],Table1[Sales PIC],A88,Table1[Closed Date],"&gt;="&amp;DATE(2023,1,1),Table1[Closed Date],"&lt;="&amp;DATE(2023,12,31))</f>
        <v>0</v>
      </c>
      <c r="J88" s="80">
        <f>SUMIFS(Table1[Project Value (RM)],Table1[Sales PIC],A88,Table1[Closed Date],"&gt;="&amp;DATE(2024,1,1),Table1[Closed Date],"&lt;="&amp;DATE(2024,12,31))</f>
        <v>368176</v>
      </c>
      <c r="K88" s="80">
        <f>SUMIFS(Table1[Project Value (RM)],Table1[Sales PIC],A88,Table1[Closed Date],"&gt;="&amp;DATE(2025,1,1),Table1[Closed Date],"&lt;="&amp;DATE(2025,12,31))</f>
        <v>2103670.98</v>
      </c>
      <c r="L88" s="80">
        <f>SUMIFS(Table1[Project Value (RM)],Table1[Sales PIC],A88,Table1[Closed Date],"&gt;="&amp;DATE(2026,1,1),Table1[Closed Date],"&lt;="&amp;DATE(2026,12,31))</f>
        <v>0</v>
      </c>
    </row>
    <row r="89" spans="1:24" ht="25.5" customHeight="1" x14ac:dyDescent="0.35">
      <c r="A89" s="82" t="s">
        <v>23</v>
      </c>
      <c r="B89" s="95">
        <f>SUMIF(Table1[Sales PIC],A89,Table1[PV System Capacity (kWp)])</f>
        <v>0</v>
      </c>
      <c r="C89" s="95">
        <f>SUMIFS(Table1[PV System Capacity (kWp)],Table1[Sales PIC],A89,Table1[Closed Date],"&gt;="&amp;DATE(2023,1,1),Table1[Closed Date],"&lt;="&amp;DATE(2023,12,31))</f>
        <v>0</v>
      </c>
      <c r="D89" s="95">
        <f>SUMIFS(Table1[PV System Capacity (kWp)],Table1[Sales PIC],A89,Table1[Closed Date],"&gt;="&amp;DATE(2024,1,1),Table1[Closed Date],"&lt;="&amp;DATE(2024,12,31))</f>
        <v>0</v>
      </c>
      <c r="E89" s="95">
        <f>SUMIFS(Table1[PV System Capacity (kWp)],Table1[Sales PIC],A89,Table1[Closed Date],"&gt;="&amp;DATE(2025,1,1),Table1[Closed Date],"&lt;="&amp;DATE(2025,12,31))</f>
        <v>0</v>
      </c>
      <c r="F89" s="95">
        <f>SUMIFS(Table1[PV System Capacity (kWp)],Table1[Sales PIC],A89,Table1[Closed Date],"&gt;="&amp;DATE(2026,1,1),Table1[Closed Date],"&lt;="&amp;DATE(2026,12,31))</f>
        <v>0</v>
      </c>
      <c r="H89" s="80">
        <f>SUMIF(Table1[Sales PIC],A89,Table1[Project Value (RM)])</f>
        <v>0</v>
      </c>
      <c r="I89" s="80">
        <f>SUMIFS(Table1[Project Value (RM)],Table1[Sales PIC],A89,Table1[Closed Date],"&gt;="&amp;DATE(2023,1,1),Table1[Closed Date],"&lt;="&amp;DATE(2023,12,31))</f>
        <v>0</v>
      </c>
      <c r="J89" s="80">
        <f>SUMIFS(Table1[Project Value (RM)],Table1[Sales PIC],A89,Table1[Closed Date],"&gt;="&amp;DATE(2024,1,1),Table1[Closed Date],"&lt;="&amp;DATE(2024,12,31))</f>
        <v>0</v>
      </c>
      <c r="K89" s="80">
        <f>SUMIFS(Table1[Project Value (RM)],Table1[Sales PIC],A89,Table1[Closed Date],"&gt;="&amp;DATE(2025,1,1),Table1[Closed Date],"&lt;="&amp;DATE(2025,12,31))</f>
        <v>0</v>
      </c>
      <c r="L89" s="80">
        <f>SUMIFS(Table1[Project Value (RM)],Table1[Sales PIC],A89,Table1[Closed Date],"&gt;="&amp;DATE(2026,1,1),Table1[Closed Date],"&lt;="&amp;DATE(2026,12,31))</f>
        <v>0</v>
      </c>
    </row>
    <row r="90" spans="1:24" ht="25.5" customHeight="1" x14ac:dyDescent="0.35">
      <c r="A90" s="82"/>
      <c r="B90" s="95">
        <f>SUMIF(Table1[Sales PIC],A90,Table1[PV System Capacity (kWp)])</f>
        <v>0</v>
      </c>
      <c r="C90" s="95">
        <f>SUMIFS(Table1[PV System Capacity (kWp)],Table1[Sales PIC],A90,Table1[Closed Date],"&gt;="&amp;DATE(2023,1,1),Table1[Closed Date],"&lt;="&amp;DATE(2023,12,31))</f>
        <v>0</v>
      </c>
      <c r="D90" s="95">
        <f>SUMIFS(Table1[PV System Capacity (kWp)],Table1[Sales PIC],A90,Table1[Closed Date],"&gt;="&amp;DATE(2024,1,1),Table1[Closed Date],"&lt;="&amp;DATE(2024,12,31))</f>
        <v>0</v>
      </c>
      <c r="E90" s="95">
        <f>SUMIFS(Table1[PV System Capacity (kWp)],Table1[Sales PIC],A90,Table1[Closed Date],"&gt;="&amp;DATE(2025,1,1),Table1[Closed Date],"&lt;="&amp;DATE(2025,12,31))</f>
        <v>0</v>
      </c>
      <c r="F90" s="95">
        <f>SUMIFS(Table1[PV System Capacity (kWp)],Table1[Sales PIC],A90,Table1[Closed Date],"&gt;="&amp;DATE(2026,1,1),Table1[Closed Date],"&lt;="&amp;DATE(2026,12,31))</f>
        <v>0</v>
      </c>
      <c r="H90" s="80">
        <f>SUMIF(Table1[Sales PIC],A90,Table1[Project Value (RM)])</f>
        <v>0</v>
      </c>
      <c r="I90" s="80">
        <f>SUMIFS(Table1[Project Value (RM)],Table1[Sales PIC],A90,Table1[Closed Date],"&gt;="&amp;DATE(2023,1,1),Table1[Closed Date],"&lt;="&amp;DATE(2023,12,31))</f>
        <v>0</v>
      </c>
      <c r="J90" s="80">
        <f>SUMIFS(Table1[Project Value (RM)],Table1[Sales PIC],A90,Table1[Closed Date],"&gt;="&amp;DATE(2024,1,1),Table1[Closed Date],"&lt;="&amp;DATE(2024,12,31))</f>
        <v>0</v>
      </c>
      <c r="K90" s="80">
        <f>SUMIFS(Table1[Project Value (RM)],Table1[Sales PIC],A90,Table1[Closed Date],"&gt;="&amp;DATE(2025,1,1),Table1[Closed Date],"&lt;="&amp;DATE(2025,12,31))</f>
        <v>0</v>
      </c>
      <c r="L90" s="80">
        <f>SUMIFS(Table1[Project Value (RM)],Table1[Sales PIC],A90,Table1[Closed Date],"&gt;="&amp;DATE(2026,1,1),Table1[Closed Date],"&lt;="&amp;DATE(2026,12,31))</f>
        <v>0</v>
      </c>
    </row>
    <row r="91" spans="1:24" ht="25.5" customHeight="1" x14ac:dyDescent="0.35">
      <c r="A91" s="82" t="s">
        <v>7</v>
      </c>
      <c r="B91" s="95">
        <f>SUM(B84:B90)</f>
        <v>7347.949999999998</v>
      </c>
      <c r="C91" s="95">
        <f t="shared" ref="C91:F91" si="2">SUM(C84:C90)</f>
        <v>741.995</v>
      </c>
      <c r="D91" s="95">
        <f t="shared" si="2"/>
        <v>3706.204999999999</v>
      </c>
      <c r="E91" s="95">
        <f t="shared" si="2"/>
        <v>2885.6500000000005</v>
      </c>
      <c r="F91" s="95">
        <f t="shared" si="2"/>
        <v>0</v>
      </c>
      <c r="H91" s="80">
        <f>SUM(H84:H90)</f>
        <v>19629884.18</v>
      </c>
      <c r="I91" s="80">
        <f t="shared" ref="I91:L91" si="3">SUM(I84:I90)</f>
        <v>2117905</v>
      </c>
      <c r="J91" s="80">
        <f t="shared" si="3"/>
        <v>9590740.1999999993</v>
      </c>
      <c r="K91" s="80">
        <f t="shared" si="3"/>
        <v>7874638.9800000004</v>
      </c>
      <c r="L91" s="80">
        <f t="shared" si="3"/>
        <v>0</v>
      </c>
    </row>
    <row r="92" spans="1:24" x14ac:dyDescent="0.3">
      <c r="B92" s="50"/>
      <c r="C92" s="50"/>
      <c r="D92" s="50"/>
      <c r="E92" s="50"/>
      <c r="F92" s="50"/>
      <c r="G92" s="50"/>
      <c r="H92" s="50"/>
      <c r="I92" s="50"/>
      <c r="J92" s="50"/>
      <c r="K92" s="50"/>
      <c r="L92" s="50"/>
    </row>
    <row r="93" spans="1:24" x14ac:dyDescent="0.3">
      <c r="B93" s="50"/>
      <c r="C93" s="50"/>
      <c r="D93" s="50"/>
      <c r="E93" s="50"/>
      <c r="F93" s="50"/>
      <c r="G93" s="50"/>
      <c r="H93" s="50"/>
      <c r="I93" s="50"/>
      <c r="J93" s="50"/>
      <c r="K93" s="50"/>
      <c r="L93" s="50"/>
    </row>
    <row r="94" spans="1:24" ht="23.4" x14ac:dyDescent="0.3">
      <c r="B94" s="152" t="s">
        <v>13</v>
      </c>
      <c r="C94" s="153"/>
      <c r="D94" s="153"/>
      <c r="E94" s="153"/>
      <c r="F94" s="154"/>
      <c r="G94" s="51"/>
      <c r="H94" s="152" t="s">
        <v>13</v>
      </c>
      <c r="I94" s="153"/>
      <c r="J94" s="153"/>
      <c r="K94" s="153"/>
      <c r="L94" s="154"/>
      <c r="M94" s="53"/>
      <c r="N94" s="152" t="s">
        <v>3</v>
      </c>
      <c r="O94" s="153"/>
      <c r="P94" s="153"/>
      <c r="Q94" s="153"/>
      <c r="R94" s="154"/>
      <c r="S94" s="51"/>
      <c r="T94" s="152" t="s">
        <v>3</v>
      </c>
      <c r="U94" s="153"/>
      <c r="V94" s="153"/>
      <c r="W94" s="153"/>
      <c r="X94" s="153"/>
    </row>
    <row r="95" spans="1:24" ht="23.4" x14ac:dyDescent="0.3">
      <c r="B95" s="148" t="s">
        <v>0</v>
      </c>
      <c r="C95" s="149"/>
      <c r="D95" s="149"/>
      <c r="E95" s="149"/>
      <c r="F95" s="150"/>
      <c r="G95" s="51"/>
      <c r="H95" s="148" t="s">
        <v>1</v>
      </c>
      <c r="I95" s="149"/>
      <c r="J95" s="149"/>
      <c r="K95" s="149"/>
      <c r="L95" s="150"/>
      <c r="M95" s="53"/>
      <c r="N95" s="148" t="s">
        <v>0</v>
      </c>
      <c r="O95" s="149"/>
      <c r="P95" s="149"/>
      <c r="Q95" s="149"/>
      <c r="R95" s="150"/>
      <c r="S95" s="51"/>
      <c r="T95" s="148" t="s">
        <v>1</v>
      </c>
      <c r="U95" s="149"/>
      <c r="V95" s="149"/>
      <c r="W95" s="149"/>
      <c r="X95" s="149"/>
    </row>
    <row r="96" spans="1:24" ht="21" x14ac:dyDescent="0.3">
      <c r="B96" s="73" t="s">
        <v>7</v>
      </c>
      <c r="C96" s="73">
        <v>2023</v>
      </c>
      <c r="D96" s="73">
        <v>2024</v>
      </c>
      <c r="E96" s="74">
        <v>2025</v>
      </c>
      <c r="F96" s="74">
        <v>2026</v>
      </c>
      <c r="G96" s="51"/>
      <c r="H96" s="73" t="s">
        <v>7</v>
      </c>
      <c r="I96" s="73">
        <v>2023</v>
      </c>
      <c r="J96" s="73">
        <v>2024</v>
      </c>
      <c r="K96" s="74">
        <v>2025</v>
      </c>
      <c r="L96" s="74">
        <v>2026</v>
      </c>
      <c r="M96" s="53"/>
      <c r="N96" s="75" t="s">
        <v>7</v>
      </c>
      <c r="O96" s="73">
        <v>2023</v>
      </c>
      <c r="P96" s="73">
        <v>2024</v>
      </c>
      <c r="Q96" s="74">
        <v>2025</v>
      </c>
      <c r="R96" s="74">
        <v>2026</v>
      </c>
      <c r="S96" s="51"/>
      <c r="T96" s="75" t="s">
        <v>7</v>
      </c>
      <c r="U96" s="73">
        <v>2023</v>
      </c>
      <c r="V96" s="73">
        <v>2024</v>
      </c>
      <c r="W96" s="73">
        <v>2025</v>
      </c>
      <c r="X96" s="73">
        <v>2026</v>
      </c>
    </row>
    <row r="97" spans="1:24" ht="24.75" customHeight="1" x14ac:dyDescent="0.35">
      <c r="A97" s="82" t="s">
        <v>17</v>
      </c>
      <c r="B97" s="95">
        <f>SUMIFS(Table1[PV System Capacity (kWp)],Table1[Sales PIC],A84,Table1[Category],"*R*")</f>
        <v>1805.1000000000001</v>
      </c>
      <c r="C97" s="95">
        <f>SUMIFS(Table1[PV System Capacity (kWp)],Table1[Sales PIC],A84,Table1[Category],"*R*",Table1[Closed Date],"&gt;="&amp;DATE(2023,1,1),Table1[Closed Date],"&lt;="&amp;DATE(2023,12,31))</f>
        <v>5.75</v>
      </c>
      <c r="D97" s="95">
        <f>SUMIFS(Table1[PV System Capacity (kWp)],Table1[Sales PIC],A84,Table1[Category],"*R*",Table1[Closed Date],"&gt;="&amp;DATE(2024,1,1),Table1[Closed Date],"&lt;="&amp;DATE(2024,12,31))</f>
        <v>1131.8499999999997</v>
      </c>
      <c r="E97" s="96">
        <f>SUMIFS(Table1[PV System Capacity (kWp)],Table1[Sales PIC],A84,Table1[Category],"*R*",Table1[Closed Date],"&gt;="&amp;DATE(2025,1,1),Table1[Closed Date],"&lt;="&amp;DATE(2025,12,31))</f>
        <v>667.50000000000023</v>
      </c>
      <c r="F97" s="96" t="s">
        <v>18</v>
      </c>
      <c r="G97" s="107"/>
      <c r="H97" s="95">
        <f>SUMIFS(Table1[PV System Capacity (kWp)],Table1[Sales PIC],A84,Table1[Category],"*C&amp;I*")</f>
        <v>2657.8</v>
      </c>
      <c r="I97" s="95">
        <f>SUMIFS(Table1[PV System Capacity (kWp)],Table1[Sales PIC],A84,Table1[Category],"*C&amp;I*",Table1[Closed Date],"&gt;="&amp;DATE(2023,1,1),Table1[Closed Date],"&lt;="&amp;DATE(2023,12,31))</f>
        <v>0</v>
      </c>
      <c r="J97" s="95">
        <f>SUMIFS(Table1[PV System Capacity (kWp)],Table1[Sales PIC],A84,Table1[Category],"*C&amp;I*",Table1[Closed Date],"&gt;="&amp;DATE(2024,1,1),Table1[Closed Date],"&lt;="&amp;DATE(2024,12,31))</f>
        <v>1676.5700000000004</v>
      </c>
      <c r="K97" s="96">
        <f>SUMIFS(Table1[PV System Capacity (kWp)],Table1[Sales PIC],A84,Table1[Category],"*C&amp;I*",Table1[Closed Date],"&gt;="&amp;DATE(2025,1,1),Table1[Closed Date],"&lt;="&amp;DATE(2025,12,31))</f>
        <v>981.23</v>
      </c>
      <c r="L97" s="96" t="s">
        <v>18</v>
      </c>
      <c r="M97" s="53"/>
      <c r="N97" s="79">
        <f>SUMIFS(Table1[Project Value (RM)],Table1[Sales PIC],A84,Table1[Category],"*R*")</f>
        <v>5183153.2</v>
      </c>
      <c r="O97" s="79">
        <f>SUMIFS(Table1[Project Value (RM)],Table1[Sales PIC],A84,Table1[Category],"*R*",Table1[Closed Date],"&gt;="&amp;DATE(2023,1,1),Table1[Closed Date],"&lt;="&amp;DATE(2023,12,31))</f>
        <v>22000</v>
      </c>
      <c r="P97" s="79">
        <f>SUMIFS(Table1[Project Value (RM)],Table1[Sales PIC],A84,Table1[Category],"*R*",Table1[Closed Date],"&gt;="&amp;DATE(2024,1,1),Table1[Closed Date],"&lt;="&amp;DATE(2024,12,31))</f>
        <v>3434533.2</v>
      </c>
      <c r="Q97" s="79">
        <f>SUMIFS(Table1[Project Value (RM)],Table1[Sales PIC],A84,Table1[Category],"*R*",Table1[Closed Date],"&gt;="&amp;DATE(2025,1,1),Table1[Closed Date],"&lt;="&amp;DATE(2025,12,31))</f>
        <v>1726620</v>
      </c>
      <c r="R97" s="79" t="s">
        <v>18</v>
      </c>
      <c r="S97" s="52"/>
      <c r="T97" s="79">
        <f>SUMIFS(Table1[Project Value (RM)],Table1[Sales PIC],A84,Table1[Category],"*C&amp;I*")</f>
        <v>5801900</v>
      </c>
      <c r="U97" s="79">
        <f>SUMIFS(Table1[Project Value (RM)],Table1[Sales PIC],A84,Table1[Category],"*C&amp;I*",Table1[Closed Date],"&gt;="&amp;DATE(2023,1,1),Table1[Closed Date],"&lt;="&amp;DATE(2023,12,31))</f>
        <v>0</v>
      </c>
      <c r="V97" s="79">
        <f>SUMIFS(Table1[Project Value (RM)],Table1[Sales PIC],A84,Table1[Category],"*C&amp;I*",Table1[Closed Date],"&gt;="&amp;DATE(2024,1,1),Table1[Closed Date],"&lt;="&amp;DATE(2024,12,31))</f>
        <v>3854600</v>
      </c>
      <c r="W97" s="79">
        <f>SUMIFS(Table1[Project Value (RM)],Table1[Sales PIC],A84,Table1[Category],"*C&amp;I*",Table1[Closed Date],"&gt;="&amp;DATE(2025,1,1),Table1[Closed Date],"&lt;="&amp;DATE(2025,12,31))</f>
        <v>1947300</v>
      </c>
      <c r="X97" s="79" t="s">
        <v>18</v>
      </c>
    </row>
    <row r="98" spans="1:24" ht="24.75" customHeight="1" x14ac:dyDescent="0.35">
      <c r="A98" s="82" t="s">
        <v>19</v>
      </c>
      <c r="B98" s="95">
        <f>SUMIFS(Table1[PV System Capacity (kWp)],Table1[Sales PIC],A85,Table1[Category],"*R*")</f>
        <v>622.84500000000014</v>
      </c>
      <c r="C98" s="95">
        <f>SUMIFS(Table1[PV System Capacity (kWp)],Table1[Sales PIC],A85,Table1[Category],"*R*",Table1[Closed Date],"&gt;="&amp;DATE(2023,1,1),Table1[Closed Date],"&lt;="&amp;DATE(2023,12,31))</f>
        <v>128.85</v>
      </c>
      <c r="D98" s="95">
        <f>SUMIFS(Table1[PV System Capacity (kWp)],Table1[Sales PIC],A85,Table1[Category],"*R*",Table1[Closed Date],"&gt;="&amp;DATE(2024,1,1),Table1[Closed Date],"&lt;="&amp;DATE(2024,12,31))</f>
        <v>310.78500000000003</v>
      </c>
      <c r="E98" s="96">
        <f>SUMIFS(Table1[PV System Capacity (kWp)],Table1[Sales PIC],A85,Table1[Category],"*R*",Table1[Closed Date],"&gt;="&amp;DATE(2025,1,1),Table1[Closed Date],"&lt;="&amp;DATE(2025,12,31))</f>
        <v>183.21</v>
      </c>
      <c r="F98" s="96">
        <f>SUMIFS(Table1[PV System Capacity (kWp)],Table1[Sales PIC],A85,Table1[Category],"*R*",Table1[Closed Date],"&gt;="&amp;DATE(2026,1,1),Table1[Closed Date],"&lt;="&amp;DATE(2026,12,31))</f>
        <v>0</v>
      </c>
      <c r="G98" s="107"/>
      <c r="H98" s="95">
        <f>SUMIFS(Table1[PV System Capacity (kWp)],Table1[Sales PIC],A85,Table1[Category],"*C&amp;I*")</f>
        <v>63.709999999999994</v>
      </c>
      <c r="I98" s="95">
        <f>SUMIFS(Table1[PV System Capacity (kWp)],Table1[Sales PIC],A85,Table1[Category],"*C&amp;I*",Table1[Closed Date],"&gt;="&amp;DATE(2023,1,1),Table1[Closed Date],"&lt;="&amp;DATE(2023,12,31))</f>
        <v>0</v>
      </c>
      <c r="J98" s="95">
        <f>SUMIFS(Table1[PV System Capacity (kWp)],Table1[Sales PIC],A85,Table1[Category],"*C&amp;I*",Table1[Closed Date],"&gt;="&amp;DATE(2024,1,1),Table1[Closed Date],"&lt;="&amp;DATE(2024,12,31))</f>
        <v>23</v>
      </c>
      <c r="K98" s="96">
        <f>SUMIFS(Table1[PV System Capacity (kWp)],Table1[Sales PIC],A85,Table1[Category],"*C&amp;I*",Table1[Closed Date],"&gt;="&amp;DATE(2025,1,1),Table1[Closed Date],"&lt;="&amp;DATE(2025,12,31))</f>
        <v>40.71</v>
      </c>
      <c r="L98" s="96">
        <f>SUMIFS(Table1[PV System Capacity (kWp)],Table1[Sales PIC],A85,Table1[Category],"*C&amp;I*",Table1[Closed Date],"&gt;="&amp;DATE(2026,1,1),Table1[Closed Date],"&lt;="&amp;DATE(2026,12,31))</f>
        <v>0</v>
      </c>
      <c r="M98" s="53"/>
      <c r="N98" s="79">
        <f>SUMIFS(Table1[Project Value (RM)],Table1[Sales PIC],A85,Table1[Category],"*R*")</f>
        <v>2164898</v>
      </c>
      <c r="O98" s="79">
        <f>SUMIFS(Table1[Project Value (RM)],Table1[Sales PIC],A85,Table1[Category],"*R*",Table1[Closed Date],"&gt;="&amp;DATE(2023,1,1),Table1[Closed Date],"&lt;="&amp;DATE(2023,12,31))</f>
        <v>461700</v>
      </c>
      <c r="P98" s="79">
        <f>SUMIFS(Table1[Project Value (RM)],Table1[Sales PIC],A85,Table1[Category],"*R*",Table1[Closed Date],"&gt;="&amp;DATE(2024,1,1),Table1[Closed Date],"&lt;="&amp;DATE(2024,12,31))</f>
        <v>1014898</v>
      </c>
      <c r="Q98" s="79">
        <f>SUMIFS(Table1[Project Value (RM)],Table1[Sales PIC],A85,Table1[Category],"*R*",Table1[Closed Date],"&gt;="&amp;DATE(2025,1,1),Table1[Closed Date],"&lt;="&amp;DATE(2025,12,31))</f>
        <v>688300</v>
      </c>
      <c r="R98" s="79">
        <f>SUMIFS(Table1[Project Value (RM)],Table1[Sales PIC],A85,Table1[Category],"*R*",Table1[Closed Date],"&gt;="&amp;DATE(2026,1,1),Table1[Closed Date],"&lt;="&amp;DATE(2026,12,31))</f>
        <v>0</v>
      </c>
      <c r="S98" s="52"/>
      <c r="T98" s="79">
        <f>SUMIFS(Table1[Project Value (RM)],Table1[Sales PIC],A85,Table1[Category],"*C&amp;I*")</f>
        <v>171000</v>
      </c>
      <c r="U98" s="79">
        <f>SUMIFS(Table1[Project Value (RM)],Table1[Sales PIC],A85,Table1[Category],"*C&amp;I*",Table1[Closed Date],"&gt;="&amp;DATE(2023,1,1),Table1[Closed Date],"&lt;="&amp;DATE(2023,12,31))</f>
        <v>0</v>
      </c>
      <c r="V98" s="79">
        <f>SUMIFS(Table1[Project Value (RM)],Table1[Sales PIC],A85,Table1[Category],"*C&amp;I*",Table1[Closed Date],"&gt;="&amp;DATE(2024,1,1),Table1[Closed Date],"&lt;="&amp;DATE(2024,12,31))</f>
        <v>80000</v>
      </c>
      <c r="W98" s="79">
        <f>SUMIFS(Table1[Project Value (RM)],Table1[Sales PIC],A85,Table1[Category],"*C&amp;I*",Table1[Closed Date],"&gt;="&amp;DATE(2025,1,1),Table1[Closed Date],"&lt;="&amp;DATE(2025,12,31))</f>
        <v>91000</v>
      </c>
      <c r="X98" s="79">
        <f>SUMIFS(Table1[Project Value (RM)],Table1[Sales PIC],A85,Table1[Category],"*C&amp;I*",Table1[Closed Date],"&gt;="&amp;DATE(2026,1,1),Table1[Closed Date],"&lt;="&amp;DATE(2026,12,31))</f>
        <v>0</v>
      </c>
    </row>
    <row r="99" spans="1:24" ht="24.75" customHeight="1" x14ac:dyDescent="0.35">
      <c r="A99" s="82" t="s">
        <v>20</v>
      </c>
      <c r="B99" s="95">
        <f>SUMIFS(Table1[PV System Capacity (kWp)],Table1[Sales PIC],A86,Table1[Category],"*R*")</f>
        <v>293.13499999999999</v>
      </c>
      <c r="C99" s="95">
        <f>SUMIFS(Table1[PV System Capacity (kWp)],Table1[Sales PIC],A86,Table1[Category],"*R*",Table1[Closed Date],"&gt;="&amp;DATE(2023,1,1),Table1[Closed Date],"&lt;="&amp;DATE(2023,12,31))</f>
        <v>178.7</v>
      </c>
      <c r="D99" s="95">
        <f>SUMIFS(Table1[PV System Capacity (kWp)],Table1[Sales PIC],A86,Table1[Category],"*R*",Table1[Closed Date],"&gt;="&amp;DATE(2024,1,1),Table1[Closed Date],"&lt;="&amp;DATE(2024,12,31))</f>
        <v>59.634999999999998</v>
      </c>
      <c r="E99" s="96">
        <f>SUMIFS(Table1[PV System Capacity (kWp)],Table1[Sales PIC],A86,Table1[Category],"*R*",Table1[Closed Date],"&gt;="&amp;DATE(2025,1,1),Table1[Closed Date],"&lt;="&amp;DATE(2025,12,31))</f>
        <v>54.8</v>
      </c>
      <c r="F99" s="96">
        <f>SUMIFS(Table1[PV System Capacity (kWp)],Table1[Sales PIC],A86,Table1[Category],"*R*",Table1[Closed Date],"&gt;="&amp;DATE(2026,1,1),Table1[Closed Date],"&lt;="&amp;DATE(2026,12,31))</f>
        <v>0</v>
      </c>
      <c r="G99" s="107"/>
      <c r="H99" s="95">
        <f>SUMIFS(Table1[PV System Capacity (kWp)],Table1[Sales PIC],A86,Table1[Category],"*C&amp;I*")</f>
        <v>891.92</v>
      </c>
      <c r="I99" s="95">
        <f>SUMIFS(Table1[PV System Capacity (kWp)],Table1[Sales PIC],A86,Table1[Category],"*C&amp;I*",Table1[Closed Date],"&gt;="&amp;DATE(2023,1,1),Table1[Closed Date],"&lt;="&amp;DATE(2023,12,31))</f>
        <v>428.69499999999999</v>
      </c>
      <c r="J99" s="95">
        <f>SUMIFS(Table1[PV System Capacity (kWp)],Table1[Sales PIC],A86,Table1[Category],"*C&amp;I*",Table1[Closed Date],"&gt;="&amp;DATE(2024,1,1),Table1[Closed Date],"&lt;="&amp;DATE(2024,12,31))</f>
        <v>370.05500000000001</v>
      </c>
      <c r="K99" s="96">
        <f>SUMIFS(Table1[PV System Capacity (kWp)],Table1[Sales PIC],A86,Table1[Category],"*C&amp;I*",Table1[Closed Date],"&gt;="&amp;DATE(2025,1,1),Table1[Closed Date],"&lt;="&amp;DATE(2025,12,31))</f>
        <v>93.17</v>
      </c>
      <c r="L99" s="96">
        <f>SUMIFS(Table1[PV System Capacity (kWp)],Table1[Sales PIC],A86,Table1[Category],"*C&amp;I*",Table1[Closed Date],"&gt;="&amp;DATE(2026,1,1),Table1[Closed Date],"&lt;="&amp;DATE(2026,12,31))</f>
        <v>0</v>
      </c>
      <c r="M99" s="53"/>
      <c r="N99" s="79">
        <f>SUMIFS(Table1[Project Value (RM)],Table1[Sales PIC],A86,Table1[Category],"*R*")</f>
        <v>2559648</v>
      </c>
      <c r="O99" s="79">
        <f>SUMIFS(Table1[Project Value (RM)],Table1[Sales PIC],A86,Table1[Category],"*R*",Table1[Closed Date],"&gt;="&amp;DATE(2023,1,1),Table1[Closed Date],"&lt;="&amp;DATE(2023,12,31))</f>
        <v>1112405</v>
      </c>
      <c r="P99" s="79">
        <f>SUMIFS(Table1[Project Value (RM)],Table1[Sales PIC],A86,Table1[Category],"*R*",Table1[Closed Date],"&gt;="&amp;DATE(2024,1,1),Table1[Closed Date],"&lt;="&amp;DATE(2024,12,31))</f>
        <v>503523</v>
      </c>
      <c r="Q99" s="79">
        <f>SUMIFS(Table1[Project Value (RM)],Table1[Sales PIC],A86,Table1[Category],"*R*",Table1[Closed Date],"&gt;="&amp;DATE(2025,1,1),Table1[Closed Date],"&lt;="&amp;DATE(2025,12,31))</f>
        <v>943720</v>
      </c>
      <c r="R99" s="79">
        <f>SUMIFS(Table1[Project Value (RM)],Table1[Sales PIC],A86,Table1[Category],"*R*",Table1[Closed Date],"&gt;="&amp;DATE(2026,1,1),Table1[Closed Date],"&lt;="&amp;DATE(2026,12,31))</f>
        <v>0</v>
      </c>
      <c r="S99" s="53"/>
      <c r="T99" s="79">
        <f>SUMIFS(Table1[Project Value (RM)],Table1[Sales PIC],A86,Table1[Category],"*C&amp;I*")</f>
        <v>956880</v>
      </c>
      <c r="U99" s="79">
        <f>SUMIFS(Table1[Project Value (RM)],Table1[Sales PIC],A86,Table1[Category],"*C&amp;I*",Table1[Closed Date],"&gt;="&amp;DATE(2023,1,1),Table1[Closed Date],"&lt;="&amp;DATE(2023,12,31))</f>
        <v>521800</v>
      </c>
      <c r="V99" s="79">
        <f>SUMIFS(Table1[Project Value (RM)],Table1[Sales PIC],A86,Table1[Category],"*C&amp;I*",Table1[Closed Date],"&gt;="&amp;DATE(2024,1,1),Table1[Closed Date],"&lt;="&amp;DATE(2024,12,31))</f>
        <v>280080</v>
      </c>
      <c r="W99" s="79">
        <f>SUMIFS(Table1[Project Value (RM)],Table1[Sales PIC],A86,Table1[Category],"*C&amp;I*",Table1[Closed Date],"&gt;="&amp;DATE(2025,1,1),Table1[Closed Date],"&lt;="&amp;DATE(2025,12,31))</f>
        <v>155000</v>
      </c>
      <c r="X99" s="79">
        <f>SUMIFS(Table1[Project Value (RM)],Table1[Sales PIC],A86,Table1[Category],"*C&amp;I*",Table1[Closed Date],"&gt;="&amp;DATE(2026,1,1),Table1[Closed Date],"&lt;="&amp;DATE(2026,12,31))</f>
        <v>0</v>
      </c>
    </row>
    <row r="100" spans="1:24" ht="24.75" customHeight="1" x14ac:dyDescent="0.35">
      <c r="A100" s="82" t="s">
        <v>21</v>
      </c>
      <c r="B100" s="95">
        <f>SUMIFS(Table1[PV System Capacity (kWp)],Table1[Sales PIC],A87,Table1[Category],"*R*")</f>
        <v>71.53</v>
      </c>
      <c r="C100" s="95">
        <f>SUMIFS(Table1[PV System Capacity (kWp)],Table1[Sales PIC],A87,Table1[Category],"*R*",Table1[Closed Date],"&gt;="&amp;DATE(2023,1,1),Table1[Closed Date],"&lt;="&amp;DATE(2023,12,31))</f>
        <v>0</v>
      </c>
      <c r="D100" s="95">
        <f>SUMIFS(Table1[PV System Capacity (kWp)],Table1[Sales PIC],A87,Table1[Category],"*R*",Table1[Closed Date],"&gt;="&amp;DATE(2024,1,1),Table1[Closed Date],"&lt;="&amp;DATE(2024,12,31))</f>
        <v>13.8</v>
      </c>
      <c r="E100" s="96">
        <f>SUMIFS(Table1[PV System Capacity (kWp)],Table1[Sales PIC],A87,Table1[Category],"*R*",Table1[Closed Date],"&gt;="&amp;DATE(2025,1,1),Table1[Closed Date],"&lt;="&amp;DATE(2025,12,31))</f>
        <v>57.73</v>
      </c>
      <c r="F100" s="96">
        <f>SUMIFS(Table1[PV System Capacity (kWp)],Table1[Sales PIC],A87,Table1[Category],"*R*",Table1[Closed Date],"&gt;="&amp;DATE(2026,1,1),Table1[Closed Date],"&lt;="&amp;DATE(2026,12,31))</f>
        <v>0</v>
      </c>
      <c r="G100" s="107"/>
      <c r="H100" s="95">
        <f>SUMIFS(Table1[PV System Capacity (kWp)],Table1[Sales PIC],A87,Table1[Category],"*C&amp;I*")</f>
        <v>0</v>
      </c>
      <c r="I100" s="95">
        <f>SUMIFS(Table1[PV System Capacity (kWp)],Table1[Sales PIC],A87,Table1[Category],"*C&amp;I*",Table1[Closed Date],"&gt;="&amp;DATE(2023,1,1),Table1[Closed Date],"&lt;="&amp;DATE(2023,12,31))</f>
        <v>0</v>
      </c>
      <c r="J100" s="95">
        <f>SUMIFS(Table1[PV System Capacity (kWp)],Table1[Sales PIC],A87,Table1[Category],"*C&amp;I*",Table1[Closed Date],"&gt;="&amp;DATE(2024,1,1),Table1[Closed Date],"&lt;="&amp;DATE(2024,12,31))</f>
        <v>0</v>
      </c>
      <c r="K100" s="96">
        <f>SUMIFS(Table1[PV System Capacity (kWp)],Table1[Sales PIC],A87,Table1[Category],"*C&amp;I*",Table1[Closed Date],"&gt;="&amp;DATE(2025,1,1),Table1[Closed Date],"&lt;="&amp;DATE(2025,12,31))</f>
        <v>0</v>
      </c>
      <c r="L100" s="96">
        <f>SUMIFS(Table1[PV System Capacity (kWp)],Table1[Sales PIC],A87,Table1[Category],"*C&amp;I*",Table1[Closed Date],"&gt;="&amp;DATE(2026,1,1),Table1[Closed Date],"&lt;="&amp;DATE(2026,12,31))</f>
        <v>0</v>
      </c>
      <c r="M100" s="53"/>
      <c r="N100" s="79">
        <f>SUMIFS(Table1[Project Value (RM)],Table1[Sales PIC],A87,Table1[Category],"*R*")</f>
        <v>273958</v>
      </c>
      <c r="O100" s="79">
        <f>SUMIFS(Table1[Project Value (RM)],Table1[Sales PIC],A87,Table1[Category],"*R*",Table1[Closed Date],"&gt;="&amp;DATE(2023,1,1),Table1[Closed Date],"&lt;="&amp;DATE(2023,12,31))</f>
        <v>0</v>
      </c>
      <c r="P100" s="79">
        <f>SUMIFS(Table1[Project Value (RM)],Table1[Sales PIC],A87,Table1[Category],"*R*",Table1[Closed Date],"&gt;="&amp;DATE(2024,1,1),Table1[Closed Date],"&lt;="&amp;DATE(2024,12,31))</f>
        <v>54930</v>
      </c>
      <c r="Q100" s="79">
        <f>SUMIFS(Table1[Project Value (RM)],Table1[Sales PIC],A87,Table1[Category],"*R*",Table1[Closed Date],"&gt;="&amp;DATE(2025,1,1),Table1[Closed Date],"&lt;="&amp;DATE(2025,12,31))</f>
        <v>219028</v>
      </c>
      <c r="R100" s="79">
        <f>SUMIFS(Table1[Project Value (RM)],Table1[Sales PIC],A87,Table1[Category],"*R*",Table1[Closed Date],"&gt;="&amp;DATE(2026,1,1),Table1[Closed Date],"&lt;="&amp;DATE(2026,12,31))</f>
        <v>0</v>
      </c>
      <c r="S100" s="53"/>
      <c r="T100" s="79">
        <f>SUMIFS(Table1[Project Value (RM)],Table1[Sales PIC],A87,Table1[Category],"*C&amp;I*")</f>
        <v>0</v>
      </c>
      <c r="U100" s="79">
        <f>SUMIFS(Table1[Project Value (RM)],Table1[Sales PIC],A87,Table1[Category],"*C&amp;I*",Table1[Closed Date],"&gt;="&amp;DATE(2023,1,1),Table1[Closed Date],"&lt;="&amp;DATE(2023,12,31))</f>
        <v>0</v>
      </c>
      <c r="V100" s="79">
        <f>SUMIFS(Table1[Project Value (RM)],Table1[Sales PIC],A87,Table1[Category],"*C&amp;I*",Table1[Closed Date],"&gt;="&amp;DATE(2024,1,1),Table1[Closed Date],"&lt;="&amp;DATE(2024,12,31))</f>
        <v>0</v>
      </c>
      <c r="W100" s="79">
        <f>SUMIFS(Table1[Project Value (RM)],Table1[Sales PIC],A87,Table1[Category],"*C&amp;I*",Table1[Closed Date],"&gt;="&amp;DATE(2025,1,1),Table1[Closed Date],"&lt;="&amp;DATE(2025,12,31))</f>
        <v>0</v>
      </c>
      <c r="X100" s="79">
        <f>SUMIFS(Table1[Project Value (RM)],Table1[Sales PIC],A87,Table1[Category],"*C&amp;I*",Table1[Closed Date],"&gt;="&amp;DATE(2026,1,1),Table1[Closed Date],"&lt;="&amp;DATE(2026,12,31))</f>
        <v>0</v>
      </c>
    </row>
    <row r="101" spans="1:24" ht="24.75" customHeight="1" x14ac:dyDescent="0.35">
      <c r="A101" s="82" t="s">
        <v>22</v>
      </c>
      <c r="B101" s="95">
        <f>SUMIFS(Table1[PV System Capacity (kWp)],Table1[Sales PIC],A88,Table1[Category],"*R*")</f>
        <v>823.22999999999968</v>
      </c>
      <c r="C101" s="95">
        <f>SUMIFS(Table1[PV System Capacity (kWp)],Table1[Sales PIC],A88,Table1[Category],"*R*",Table1[Closed Date],"&gt;="&amp;DATE(2023,1,1),Table1[Closed Date],"&lt;="&amp;DATE(2023,12,31))</f>
        <v>0</v>
      </c>
      <c r="D101" s="95">
        <f>SUMIFS(Table1[PV System Capacity (kWp)],Table1[Sales PIC],A88,Table1[Category],"*R*",Table1[Closed Date],"&gt;="&amp;DATE(2024,1,1),Table1[Closed Date],"&lt;="&amp;DATE(2024,12,31))</f>
        <v>101.78999999999999</v>
      </c>
      <c r="E101" s="96">
        <f>SUMIFS(Table1[PV System Capacity (kWp)],Table1[Sales PIC],A88,Table1[Category],"*R*",Table1[Closed Date],"&gt;="&amp;DATE(2025,1,1),Table1[Closed Date],"&lt;="&amp;DATE(2025,12,31))</f>
        <v>721.43999999999971</v>
      </c>
      <c r="F101" s="96">
        <f>SUMIFS(Table1[PV System Capacity (kWp)],Table1[Sales PIC],A88,Table1[Category],"*R*",Table1[Closed Date],"&gt;="&amp;DATE(2026,1,1),Table1[Closed Date],"&lt;="&amp;DATE(2026,12,31))</f>
        <v>0</v>
      </c>
      <c r="G101" s="107"/>
      <c r="H101" s="95">
        <f>SUMIFS(Table1[PV System Capacity (kWp)],Table1[Sales PIC],A88,Table1[Category],"*C&amp;I*")</f>
        <v>104.58</v>
      </c>
      <c r="I101" s="95">
        <f>SUMIFS(Table1[PV System Capacity (kWp)],Table1[Sales PIC],A88,Table1[Category],"*C&amp;I*",Table1[Closed Date],"&gt;="&amp;DATE(2023,1,1),Table1[Closed Date],"&lt;="&amp;DATE(2023,12,31))</f>
        <v>0</v>
      </c>
      <c r="J101" s="95">
        <f>SUMIFS(Table1[PV System Capacity (kWp)],Table1[Sales PIC],A88,Table1[Category],"*C&amp;I*",Table1[Closed Date],"&gt;="&amp;DATE(2024,1,1),Table1[Closed Date],"&lt;="&amp;DATE(2024,12,31))</f>
        <v>18.72</v>
      </c>
      <c r="K101" s="96">
        <f>SUMIFS(Table1[PV System Capacity (kWp)],Table1[Sales PIC],A88,Table1[Category],"*C&amp;I*",Table1[Closed Date],"&gt;="&amp;DATE(2025,1,1),Table1[Closed Date],"&lt;="&amp;DATE(2025,12,31))</f>
        <v>85.86</v>
      </c>
      <c r="L101" s="96">
        <f>SUMIFS(Table1[PV System Capacity (kWp)],Table1[Sales PIC],A88,Table1[Category],"*C&amp;I*",Table1[Closed Date],"&gt;="&amp;DATE(2026,1,1),Table1[Closed Date],"&lt;="&amp;DATE(2026,12,31))</f>
        <v>0</v>
      </c>
      <c r="M101" s="53"/>
      <c r="N101" s="79">
        <f>SUMIFS(Table1[Project Value (RM)],Table1[Sales PIC],A88,Table1[Category],"*R*")</f>
        <v>2216073.4</v>
      </c>
      <c r="O101" s="79">
        <f>SUMIFS(Table1[Project Value (RM)],Table1[Sales PIC],A88,Table1[Category],"*R*",Table1[Closed Date],"&gt;="&amp;DATE(2023,1,1),Table1[Closed Date],"&lt;="&amp;DATE(2023,12,31))</f>
        <v>0</v>
      </c>
      <c r="P101" s="79">
        <f>SUMIFS(Table1[Project Value (RM)],Table1[Sales PIC],A88,Table1[Category],"*R*",Table1[Closed Date],"&gt;="&amp;DATE(2024,1,1),Table1[Closed Date],"&lt;="&amp;DATE(2024,12,31))</f>
        <v>316176</v>
      </c>
      <c r="Q101" s="79">
        <f>SUMIFS(Table1[Project Value (RM)],Table1[Sales PIC],A88,Table1[Category],"*R*",Table1[Closed Date],"&gt;="&amp;DATE(2025,1,1),Table1[Closed Date],"&lt;="&amp;DATE(2025,12,31))</f>
        <v>1899897.4</v>
      </c>
      <c r="R101" s="79">
        <f>SUMIFS(Table1[Project Value (RM)],Table1[Sales PIC],A88,Table1[Category],"*R*",Table1[Closed Date],"&gt;="&amp;DATE(2026,1,1),Table1[Closed Date],"&lt;="&amp;DATE(2026,12,31))</f>
        <v>0</v>
      </c>
      <c r="S101" s="53"/>
      <c r="T101" s="79">
        <f>SUMIFS(Table1[Project Value (RM)],Table1[Sales PIC],A88,Table1[Category],"*C&amp;I*")</f>
        <v>255773.58000000002</v>
      </c>
      <c r="U101" s="79">
        <f>SUMIFS(Table1[Project Value (RM)],Table1[Sales PIC],A88,Table1[Category],"*C&amp;I*",Table1[Closed Date],"&gt;="&amp;DATE(2023,1,1),Table1[Closed Date],"&lt;="&amp;DATE(2023,12,31))</f>
        <v>0</v>
      </c>
      <c r="V101" s="79">
        <f>SUMIFS(Table1[Project Value (RM)],Table1[Sales PIC],A88,Table1[Category],"*C&amp;I*",Table1[Closed Date],"&gt;="&amp;DATE(2024,1,1),Table1[Closed Date],"&lt;="&amp;DATE(2024,12,31))</f>
        <v>52000</v>
      </c>
      <c r="W101" s="79">
        <f>SUMIFS(Table1[Project Value (RM)],Table1[Sales PIC],A88,Table1[Category],"*C&amp;I*",Table1[Closed Date],"&gt;="&amp;DATE(2025,1,1),Table1[Closed Date],"&lt;="&amp;DATE(2025,12,31))</f>
        <v>203773.58000000002</v>
      </c>
      <c r="X101" s="79">
        <f>SUMIFS(Table1[Project Value (RM)],Table1[Sales PIC],A88,Table1[Category],"*C&amp;I*",Table1[Closed Date],"&gt;="&amp;DATE(2026,1,1),Table1[Closed Date],"&lt;="&amp;DATE(2026,12,31))</f>
        <v>0</v>
      </c>
    </row>
    <row r="102" spans="1:24" ht="24.75" customHeight="1" x14ac:dyDescent="0.35">
      <c r="A102" s="82" t="s">
        <v>23</v>
      </c>
      <c r="B102" s="95">
        <f>SUMIFS(Table1[PV System Capacity (kWp)],Table1[Sales PIC],A89,Table1[Category],"*R*")</f>
        <v>0</v>
      </c>
      <c r="C102" s="95">
        <f>SUMIFS(Table1[PV System Capacity (kWp)],Table1[Sales PIC],A89,Table1[Category],"*R*",Table1[Closed Date],"&gt;="&amp;DATE(2023,1,1),Table1[Closed Date],"&lt;="&amp;DATE(2023,12,31))</f>
        <v>0</v>
      </c>
      <c r="D102" s="95">
        <f>SUMIFS(Table1[PV System Capacity (kWp)],Table1[Sales PIC],A89,Table1[Category],"*R*",Table1[Closed Date],"&gt;="&amp;DATE(2024,1,1),Table1[Closed Date],"&lt;="&amp;DATE(2024,12,31))</f>
        <v>0</v>
      </c>
      <c r="E102" s="96">
        <f>SUMIFS(Table1[PV System Capacity (kWp)],Table1[Sales PIC],A89,Table1[Category],"*R*",Table1[Closed Date],"&gt;="&amp;DATE(2025,1,1),Table1[Closed Date],"&lt;="&amp;DATE(2025,12,31))</f>
        <v>0</v>
      </c>
      <c r="F102" s="96">
        <f>SUMIFS(Table1[PV System Capacity (kWp)],Table1[Sales PIC],A89,Table1[Category],"*R*",Table1[Closed Date],"&gt;="&amp;DATE(2026,1,1),Table1[Closed Date],"&lt;="&amp;DATE(2026,12,31))</f>
        <v>0</v>
      </c>
      <c r="G102" s="146"/>
      <c r="H102" s="95">
        <f>SUMIFS(Table1[PV System Capacity (kWp)],Table1[Sales PIC],A89,Table1[Category],"*C&amp;I*")</f>
        <v>0</v>
      </c>
      <c r="I102" s="95">
        <f>SUMIFS(Table1[PV System Capacity (kWp)],Table1[Sales PIC],A89,Table1[Category],"*C&amp;I*",Table1[Closed Date],"&gt;="&amp;DATE(2023,1,1),Table1[Closed Date],"&lt;="&amp;DATE(2023,12,31))</f>
        <v>0</v>
      </c>
      <c r="J102" s="95">
        <f>SUMIFS(Table1[PV System Capacity (kWp)],Table1[Sales PIC],A89,Table1[Category],"*C&amp;I*",Table1[Closed Date],"&gt;="&amp;DATE(2024,1,1),Table1[Closed Date],"&lt;="&amp;DATE(2024,12,31))</f>
        <v>0</v>
      </c>
      <c r="K102" s="96">
        <f>SUMIFS(Table1[PV System Capacity (kWp)],Table1[Sales PIC],A89,Table1[Category],"*C&amp;I*",Table1[Closed Date],"&gt;="&amp;DATE(2025,1,1),Table1[Closed Date],"&lt;="&amp;DATE(2025,12,31))</f>
        <v>0</v>
      </c>
      <c r="L102" s="96">
        <f>SUMIFS(Table1[PV System Capacity (kWp)],Table1[Sales PIC],A89,Table1[Category],"*C&amp;I*",Table1[Closed Date],"&gt;="&amp;DATE(2026,1,1),Table1[Closed Date],"&lt;="&amp;DATE(2026,12,31))</f>
        <v>0</v>
      </c>
      <c r="N102" s="79">
        <f>SUMIFS(Table1[Project Value (RM)],Table1[Sales PIC],A89,Table1[Category],"*R*")</f>
        <v>0</v>
      </c>
      <c r="O102" s="79">
        <f>SUMIFS(Table1[Project Value (RM)],Table1[Sales PIC],A89,Table1[Category],"*R*",Table1[Closed Date],"&gt;="&amp;DATE(2023,1,1),Table1[Closed Date],"&lt;="&amp;DATE(2023,12,31))</f>
        <v>0</v>
      </c>
      <c r="P102" s="79">
        <f>SUMIFS(Table1[Project Value (RM)],Table1[Sales PIC],A89,Table1[Category],"*R*",Table1[Closed Date],"&gt;="&amp;DATE(2024,1,1),Table1[Closed Date],"&lt;="&amp;DATE(2024,12,31))</f>
        <v>0</v>
      </c>
      <c r="Q102" s="79">
        <f>SUMIFS(Table1[Project Value (RM)],Table1[Sales PIC],A89,Table1[Category],"*R*",Table1[Closed Date],"&gt;="&amp;DATE(2025,1,1),Table1[Closed Date],"&lt;="&amp;DATE(2025,12,31))</f>
        <v>0</v>
      </c>
      <c r="R102" s="79">
        <f>SUMIFS(Table1[Project Value (RM)],Table1[Sales PIC],A89,Table1[Category],"*R*",Table1[Closed Date],"&gt;="&amp;DATE(2026,1,1),Table1[Closed Date],"&lt;="&amp;DATE(2026,12,31))</f>
        <v>0</v>
      </c>
      <c r="T102" s="79">
        <f>SUMIFS(Table1[Project Value (RM)],Table1[Sales PIC],A89,Table1[Category],"*C&amp;I*")</f>
        <v>0</v>
      </c>
      <c r="U102" s="79">
        <f>SUMIFS(Table1[Project Value (RM)],Table1[Sales PIC],A89,Table1[Category],"*C&amp;I*",Table1[Closed Date],"&gt;="&amp;DATE(2023,1,1),Table1[Closed Date],"&lt;="&amp;DATE(2023,12,31))</f>
        <v>0</v>
      </c>
      <c r="V102" s="79">
        <f>SUMIFS(Table1[Project Value (RM)],Table1[Sales PIC],A89,Table1[Category],"*C&amp;I*",Table1[Closed Date],"&gt;="&amp;DATE(2024,1,1),Table1[Closed Date],"&lt;="&amp;DATE(2024,12,31))</f>
        <v>0</v>
      </c>
      <c r="W102" s="79">
        <f>SUMIFS(Table1[Project Value (RM)],Table1[Sales PIC],A89,Table1[Category],"*C&amp;I*",Table1[Closed Date],"&gt;="&amp;DATE(2025,1,1),Table1[Closed Date],"&lt;="&amp;DATE(2025,12,31))</f>
        <v>0</v>
      </c>
      <c r="X102" s="79">
        <f>SUMIFS(Table1[Project Value (RM)],Table1[Sales PIC],A89,Table1[Category],"*C&amp;I*",Table1[Closed Date],"&gt;="&amp;DATE(2026,1,1),Table1[Closed Date],"&lt;="&amp;DATE(2026,12,31))</f>
        <v>0</v>
      </c>
    </row>
    <row r="103" spans="1:24" ht="24.75" customHeight="1" x14ac:dyDescent="0.35">
      <c r="A103" s="82"/>
      <c r="B103" s="95">
        <f>SUMIFS(Table1[PV System Capacity (kWp)],Table1[Sales PIC],A90,Table1[Category],"*R*")</f>
        <v>0</v>
      </c>
      <c r="C103" s="95">
        <f>SUMIFS(Table1[PV System Capacity (kWp)],Table1[Sales PIC],A90,Table1[Category],"*R*",Table1[Closed Date],"&gt;="&amp;DATE(2023,1,1),Table1[Closed Date],"&lt;="&amp;DATE(2023,12,31))</f>
        <v>0</v>
      </c>
      <c r="D103" s="95">
        <f>SUMIFS(Table1[PV System Capacity (kWp)],Table1[Sales PIC],A90,Table1[Category],"*R*",Table1[Closed Date],"&gt;="&amp;DATE(2024,1,1),Table1[Closed Date],"&lt;="&amp;DATE(2024,12,31))</f>
        <v>0</v>
      </c>
      <c r="E103" s="96">
        <f>SUMIFS(Table1[PV System Capacity (kWp)],Table1[Sales PIC],A90,Table1[Category],"*R*",Table1[Closed Date],"&gt;="&amp;DATE(2025,1,1),Table1[Closed Date],"&lt;="&amp;DATE(2025,12,31))</f>
        <v>0</v>
      </c>
      <c r="F103" s="96">
        <f>SUMIFS(Table1[PV System Capacity (kWp)],Table1[Sales PIC],A90,Table1[Category],"*R*",Table1[Closed Date],"&gt;="&amp;DATE(2026,1,1),Table1[Closed Date],"&lt;="&amp;DATE(2026,12,31))</f>
        <v>0</v>
      </c>
      <c r="G103" s="146"/>
      <c r="H103" s="95">
        <f>SUMIFS(Table1[PV System Capacity (kWp)],Table1[Sales PIC],A90,Table1[Category],"*C&amp;I*")</f>
        <v>0</v>
      </c>
      <c r="I103" s="95">
        <f>SUMIFS(Table1[PV System Capacity (kWp)],Table1[Sales PIC],A90,Table1[Category],"*C&amp;I*",Table1[Closed Date],"&gt;="&amp;DATE(2023,1,1),Table1[Closed Date],"&lt;="&amp;DATE(2023,12,31))</f>
        <v>0</v>
      </c>
      <c r="J103" s="95">
        <f>SUMIFS(Table1[PV System Capacity (kWp)],Table1[Sales PIC],A90,Table1[Category],"*C&amp;I*",Table1[Closed Date],"&gt;="&amp;DATE(2024,1,1),Table1[Closed Date],"&lt;="&amp;DATE(2024,12,31))</f>
        <v>0</v>
      </c>
      <c r="K103" s="96">
        <f>SUMIFS(Table1[PV System Capacity (kWp)],Table1[Sales PIC],A90,Table1[Category],"*C&amp;I*",Table1[Closed Date],"&gt;="&amp;DATE(2025,1,1),Table1[Closed Date],"&lt;="&amp;DATE(2025,12,31))</f>
        <v>0</v>
      </c>
      <c r="L103" s="96">
        <f>SUMIFS(Table1[PV System Capacity (kWp)],Table1[Sales PIC],A90,Table1[Category],"*C&amp;I*",Table1[Closed Date],"&gt;="&amp;DATE(2026,1,1),Table1[Closed Date],"&lt;="&amp;DATE(2026,12,31))</f>
        <v>0</v>
      </c>
      <c r="N103" s="79">
        <f>SUMIFS(Table1[Project Value (RM)],Table1[Sales PIC],A90,Table1[Category],"*R*")</f>
        <v>0</v>
      </c>
      <c r="O103" s="79">
        <f>SUMIFS(Table1[Project Value (RM)],Table1[Sales PIC],A90,Table1[Category],"*R*",Table1[Closed Date],"&gt;="&amp;DATE(2023,1,1),Table1[Closed Date],"&lt;="&amp;DATE(2023,12,31))</f>
        <v>0</v>
      </c>
      <c r="P103" s="79">
        <f>SUMIFS(Table1[Project Value (RM)],Table1[Sales PIC],A90,Table1[Category],"*R*",Table1[Closed Date],"&gt;="&amp;DATE(2024,1,1),Table1[Closed Date],"&lt;="&amp;DATE(2024,12,31))</f>
        <v>0</v>
      </c>
      <c r="Q103" s="79">
        <f>SUMIFS(Table1[Project Value (RM)],Table1[Sales PIC],A90,Table1[Category],"*R*",Table1[Closed Date],"&gt;="&amp;DATE(2025,1,1),Table1[Closed Date],"&lt;="&amp;DATE(2025,12,31))</f>
        <v>0</v>
      </c>
      <c r="R103" s="79">
        <f>SUMIFS(Table1[Project Value (RM)],Table1[Sales PIC],A90,Table1[Category],"*R*",Table1[Closed Date],"&gt;="&amp;DATE(2026,1,1),Table1[Closed Date],"&lt;="&amp;DATE(2026,12,31))</f>
        <v>0</v>
      </c>
      <c r="T103" s="79">
        <f>SUMIFS(Table1[Project Value (RM)],Table1[Sales PIC],A90,Table1[Category],"*C&amp;I*")</f>
        <v>0</v>
      </c>
      <c r="U103" s="79">
        <f>SUMIFS(Table1[Project Value (RM)],Table1[Sales PIC],A90,Table1[Category],"*C&amp;I*",Table1[Closed Date],"&gt;="&amp;DATE(2023,1,1),Table1[Closed Date],"&lt;="&amp;DATE(2023,12,31))</f>
        <v>0</v>
      </c>
      <c r="V103" s="79">
        <f>SUMIFS(Table1[Project Value (RM)],Table1[Sales PIC],A90,Table1[Category],"*C&amp;I*",Table1[Closed Date],"&gt;="&amp;DATE(2024,1,1),Table1[Closed Date],"&lt;="&amp;DATE(2024,12,31))</f>
        <v>0</v>
      </c>
      <c r="W103" s="79">
        <f>SUMIFS(Table1[Project Value (RM)],Table1[Sales PIC],A90,Table1[Category],"*C&amp;I*",Table1[Closed Date],"&gt;="&amp;DATE(2025,1,1),Table1[Closed Date],"&lt;="&amp;DATE(2025,12,31))</f>
        <v>0</v>
      </c>
      <c r="X103" s="79">
        <f>SUMIFS(Table1[Project Value (RM)],Table1[Sales PIC],A90,Table1[Category],"*C&amp;I*",Table1[Closed Date],"&gt;="&amp;DATE(2026,1,1),Table1[Closed Date],"&lt;="&amp;DATE(2026,12,31))</f>
        <v>0</v>
      </c>
    </row>
    <row r="104" spans="1:24" x14ac:dyDescent="0.3">
      <c r="B104" s="50"/>
      <c r="C104" s="50"/>
      <c r="D104" s="50"/>
      <c r="E104" s="50"/>
      <c r="F104" s="50"/>
      <c r="G104" s="50"/>
      <c r="H104" s="50"/>
      <c r="I104" s="50"/>
      <c r="J104" s="50"/>
      <c r="K104" s="50"/>
      <c r="L104" s="50"/>
    </row>
    <row r="105" spans="1:24" x14ac:dyDescent="0.3">
      <c r="B105" s="50"/>
      <c r="C105" s="50"/>
      <c r="D105" s="50"/>
      <c r="E105" s="50"/>
      <c r="F105" s="50"/>
      <c r="G105" s="50"/>
      <c r="H105" s="50"/>
      <c r="I105" s="50"/>
      <c r="J105" s="50"/>
      <c r="K105" s="50"/>
      <c r="L105" s="50"/>
    </row>
    <row r="106" spans="1:24" x14ac:dyDescent="0.3">
      <c r="B106" s="50"/>
      <c r="C106" s="50"/>
      <c r="D106" s="50"/>
      <c r="E106" s="50"/>
      <c r="F106" s="50"/>
      <c r="G106" s="50"/>
      <c r="H106" s="50"/>
      <c r="I106" s="50"/>
      <c r="J106" s="50"/>
      <c r="K106" s="50"/>
      <c r="L106" s="50"/>
    </row>
    <row r="107" spans="1:24" x14ac:dyDescent="0.3">
      <c r="B107" s="50"/>
      <c r="C107" s="50"/>
      <c r="D107" s="50"/>
      <c r="E107" s="50"/>
      <c r="F107" s="50"/>
      <c r="G107" s="50"/>
      <c r="H107" s="50"/>
      <c r="I107" s="50"/>
      <c r="J107" s="50"/>
      <c r="K107" s="50"/>
      <c r="L107" s="50"/>
    </row>
    <row r="108" spans="1:24" x14ac:dyDescent="0.3">
      <c r="B108" s="50"/>
      <c r="C108" s="50"/>
      <c r="D108" s="50"/>
      <c r="E108" s="50"/>
      <c r="F108" s="50"/>
      <c r="G108" s="50"/>
      <c r="H108" s="50"/>
      <c r="I108" s="50"/>
      <c r="J108" s="50"/>
      <c r="K108" s="50"/>
      <c r="L108" s="50"/>
    </row>
    <row r="109" spans="1:24" x14ac:dyDescent="0.3">
      <c r="B109" s="50"/>
      <c r="C109" s="50"/>
      <c r="D109" s="50"/>
      <c r="E109" s="50"/>
      <c r="F109" s="50"/>
      <c r="G109" s="50"/>
      <c r="H109" s="50"/>
      <c r="I109" s="50"/>
      <c r="J109" s="50"/>
      <c r="K109" s="50"/>
      <c r="L109" s="50"/>
    </row>
    <row r="110" spans="1:24" x14ac:dyDescent="0.3">
      <c r="B110" s="50"/>
      <c r="C110" s="50"/>
      <c r="D110" s="50"/>
      <c r="E110" s="50"/>
      <c r="F110" s="50"/>
      <c r="G110" s="50"/>
      <c r="H110" s="50"/>
      <c r="I110" s="50"/>
      <c r="J110" s="50"/>
      <c r="K110" s="50"/>
      <c r="L110" s="50"/>
    </row>
    <row r="111" spans="1:24" x14ac:dyDescent="0.3">
      <c r="B111" s="50"/>
      <c r="C111" s="50"/>
      <c r="D111" s="50"/>
      <c r="E111" s="50"/>
      <c r="F111" s="50"/>
      <c r="G111" s="50"/>
      <c r="H111" s="50"/>
      <c r="I111" s="50"/>
      <c r="J111" s="50"/>
      <c r="K111" s="50"/>
      <c r="L111" s="50"/>
    </row>
    <row r="112" spans="1:24" x14ac:dyDescent="0.3">
      <c r="B112" s="50"/>
      <c r="C112" s="50"/>
      <c r="D112" s="50"/>
      <c r="E112" s="50"/>
      <c r="F112" s="50"/>
      <c r="G112" s="50"/>
      <c r="H112" s="50"/>
      <c r="I112" s="50"/>
      <c r="J112" s="50"/>
      <c r="K112" s="50"/>
      <c r="L112" s="50"/>
    </row>
    <row r="113" spans="2:12" x14ac:dyDescent="0.3">
      <c r="B113" s="50"/>
      <c r="C113" s="50"/>
      <c r="D113" s="50"/>
      <c r="E113" s="50"/>
      <c r="F113" s="50"/>
      <c r="G113" s="50"/>
      <c r="H113" s="50"/>
      <c r="I113" s="50"/>
      <c r="J113" s="50"/>
      <c r="K113" s="50"/>
      <c r="L113" s="50"/>
    </row>
    <row r="114" spans="2:12" x14ac:dyDescent="0.3">
      <c r="B114" s="50"/>
      <c r="C114" s="50"/>
      <c r="D114" s="50"/>
      <c r="E114" s="50"/>
      <c r="F114" s="50"/>
      <c r="G114" s="50"/>
      <c r="H114" s="50"/>
      <c r="I114" s="50"/>
      <c r="J114" s="50"/>
      <c r="K114" s="50"/>
      <c r="L114" s="50"/>
    </row>
    <row r="115" spans="2:12" x14ac:dyDescent="0.3">
      <c r="B115" s="50"/>
      <c r="C115" s="50"/>
      <c r="D115" s="50"/>
      <c r="E115" s="50"/>
      <c r="F115" s="50"/>
      <c r="G115" s="50"/>
      <c r="H115" s="50"/>
      <c r="I115" s="50"/>
      <c r="J115" s="50"/>
      <c r="K115" s="50"/>
      <c r="L115" s="50"/>
    </row>
    <row r="116" spans="2:12" x14ac:dyDescent="0.3">
      <c r="B116" s="50"/>
      <c r="C116" s="50"/>
      <c r="D116" s="50"/>
      <c r="E116" s="50"/>
      <c r="F116" s="50"/>
      <c r="G116" s="50"/>
      <c r="H116" s="50"/>
      <c r="I116" s="50"/>
      <c r="J116" s="50"/>
      <c r="K116" s="50"/>
      <c r="L116" s="50"/>
    </row>
    <row r="117" spans="2:12" x14ac:dyDescent="0.3">
      <c r="B117" s="50"/>
      <c r="C117" s="50"/>
      <c r="D117" s="50"/>
      <c r="E117" s="50"/>
      <c r="F117" s="50"/>
      <c r="G117" s="50"/>
      <c r="H117" s="50"/>
      <c r="I117" s="50"/>
      <c r="J117" s="50"/>
      <c r="K117" s="50"/>
      <c r="L117" s="50"/>
    </row>
    <row r="118" spans="2:12" x14ac:dyDescent="0.3">
      <c r="B118" s="50"/>
      <c r="C118" s="50"/>
      <c r="D118" s="50"/>
      <c r="E118" s="50"/>
      <c r="F118" s="50"/>
      <c r="G118" s="50"/>
      <c r="H118" s="50"/>
      <c r="I118" s="50"/>
      <c r="J118" s="50"/>
      <c r="K118" s="50"/>
      <c r="L118" s="50"/>
    </row>
    <row r="119" spans="2:12" x14ac:dyDescent="0.3">
      <c r="B119" s="50"/>
      <c r="C119" s="50"/>
      <c r="D119" s="50"/>
      <c r="E119" s="50"/>
      <c r="F119" s="50"/>
      <c r="G119" s="50"/>
      <c r="H119" s="50"/>
      <c r="I119" s="50"/>
      <c r="J119" s="50"/>
      <c r="K119" s="50"/>
      <c r="L119" s="50"/>
    </row>
    <row r="120" spans="2:12" x14ac:dyDescent="0.3">
      <c r="B120" s="50"/>
      <c r="C120" s="50"/>
      <c r="D120" s="50"/>
      <c r="E120" s="50"/>
      <c r="F120" s="50"/>
      <c r="G120" s="50"/>
      <c r="H120" s="50"/>
      <c r="I120" s="50"/>
      <c r="J120" s="50"/>
      <c r="K120" s="50"/>
      <c r="L120" s="50"/>
    </row>
    <row r="121" spans="2:12" x14ac:dyDescent="0.3">
      <c r="B121" s="50"/>
      <c r="C121" s="50"/>
      <c r="D121" s="50"/>
      <c r="E121" s="50"/>
      <c r="F121" s="50"/>
      <c r="G121" s="50"/>
      <c r="H121" s="50"/>
      <c r="I121" s="50"/>
      <c r="J121" s="50"/>
      <c r="K121" s="50"/>
      <c r="L121" s="50"/>
    </row>
    <row r="122" spans="2:12" x14ac:dyDescent="0.3">
      <c r="B122" s="50"/>
      <c r="C122" s="50"/>
      <c r="D122" s="50"/>
      <c r="E122" s="50"/>
      <c r="F122" s="50"/>
      <c r="G122" s="50"/>
      <c r="H122" s="50"/>
      <c r="I122" s="50"/>
      <c r="J122" s="50"/>
      <c r="K122" s="50"/>
      <c r="L122" s="50"/>
    </row>
    <row r="123" spans="2:12" x14ac:dyDescent="0.3">
      <c r="B123" s="50"/>
      <c r="C123" s="50"/>
      <c r="D123" s="50"/>
      <c r="E123" s="50"/>
      <c r="F123" s="50"/>
      <c r="G123" s="50"/>
      <c r="H123" s="50"/>
      <c r="I123" s="50"/>
      <c r="J123" s="50"/>
      <c r="K123" s="50"/>
      <c r="L123" s="50"/>
    </row>
    <row r="124" spans="2:12" x14ac:dyDescent="0.3">
      <c r="B124" s="50"/>
      <c r="C124" s="50"/>
      <c r="D124" s="50"/>
      <c r="E124" s="50"/>
      <c r="F124" s="50"/>
      <c r="G124" s="50"/>
      <c r="H124" s="50"/>
      <c r="I124" s="50"/>
      <c r="J124" s="50"/>
      <c r="K124" s="50"/>
      <c r="L124" s="50"/>
    </row>
    <row r="125" spans="2:12" x14ac:dyDescent="0.3">
      <c r="B125" s="50"/>
      <c r="C125" s="50"/>
      <c r="D125" s="50"/>
      <c r="E125" s="50"/>
      <c r="F125" s="50"/>
      <c r="G125" s="50"/>
      <c r="H125" s="50"/>
      <c r="I125" s="50"/>
      <c r="J125" s="50"/>
      <c r="K125" s="50"/>
      <c r="L125" s="50"/>
    </row>
    <row r="126" spans="2:12" x14ac:dyDescent="0.3">
      <c r="B126" s="50"/>
      <c r="C126" s="50"/>
      <c r="D126" s="50"/>
      <c r="E126" s="50"/>
      <c r="F126" s="50"/>
      <c r="G126" s="50"/>
      <c r="H126" s="50"/>
      <c r="I126" s="50"/>
      <c r="J126" s="50"/>
      <c r="K126" s="50"/>
      <c r="L126" s="50"/>
    </row>
    <row r="127" spans="2:12" x14ac:dyDescent="0.3">
      <c r="B127" s="50"/>
      <c r="C127" s="50"/>
      <c r="D127" s="50"/>
      <c r="E127" s="50"/>
      <c r="F127" s="50"/>
      <c r="G127" s="50"/>
      <c r="H127" s="50"/>
      <c r="I127" s="50"/>
      <c r="J127" s="50"/>
      <c r="K127" s="50"/>
      <c r="L127" s="50"/>
    </row>
    <row r="128" spans="2:12" x14ac:dyDescent="0.3">
      <c r="B128" s="50"/>
      <c r="C128" s="50"/>
      <c r="D128" s="50"/>
      <c r="E128" s="50"/>
      <c r="F128" s="50"/>
      <c r="G128" s="50"/>
      <c r="H128" s="50"/>
      <c r="I128" s="50"/>
      <c r="J128" s="50"/>
      <c r="K128" s="50"/>
      <c r="L128" s="50"/>
    </row>
    <row r="129" spans="1:12" x14ac:dyDescent="0.3">
      <c r="B129" s="50"/>
      <c r="C129" s="50"/>
      <c r="D129" s="50"/>
      <c r="E129" s="50"/>
      <c r="F129" s="50"/>
      <c r="G129" s="50"/>
      <c r="H129" s="50"/>
      <c r="I129" s="50"/>
      <c r="J129" s="50"/>
      <c r="K129" s="50"/>
      <c r="L129" s="50"/>
    </row>
    <row r="130" spans="1:12" x14ac:dyDescent="0.3">
      <c r="B130" s="50"/>
      <c r="C130" s="50"/>
      <c r="D130" s="50"/>
      <c r="E130" s="50"/>
      <c r="F130" s="50"/>
      <c r="G130" s="50"/>
      <c r="H130" s="50"/>
      <c r="I130" s="50"/>
      <c r="J130" s="50"/>
      <c r="K130" s="50"/>
      <c r="L130" s="50"/>
    </row>
    <row r="131" spans="1:12" x14ac:dyDescent="0.3">
      <c r="B131" s="50"/>
      <c r="C131" s="50"/>
      <c r="D131" s="50"/>
      <c r="E131" s="50"/>
      <c r="F131" s="50"/>
      <c r="G131" s="50"/>
      <c r="H131" s="50"/>
      <c r="I131" s="50"/>
      <c r="J131" s="50"/>
      <c r="K131" s="50"/>
      <c r="L131" s="50"/>
    </row>
    <row r="132" spans="1:12" x14ac:dyDescent="0.3">
      <c r="B132" s="50"/>
      <c r="C132" s="50"/>
      <c r="D132" s="50"/>
      <c r="E132" s="50"/>
      <c r="F132" s="50"/>
      <c r="G132" s="50"/>
      <c r="H132" s="50"/>
      <c r="I132" s="50"/>
      <c r="J132" s="50"/>
      <c r="K132" s="50"/>
      <c r="L132" s="50"/>
    </row>
    <row r="133" spans="1:12" x14ac:dyDescent="0.3">
      <c r="B133" s="50"/>
      <c r="C133" s="50"/>
      <c r="D133" s="50"/>
      <c r="E133" s="50"/>
      <c r="F133" s="50"/>
      <c r="G133" s="50"/>
      <c r="H133" s="50"/>
      <c r="I133" s="50"/>
      <c r="J133" s="50"/>
      <c r="K133" s="50"/>
      <c r="L133" s="50"/>
    </row>
    <row r="134" spans="1:12" x14ac:dyDescent="0.3">
      <c r="B134" s="50"/>
      <c r="C134" s="50"/>
      <c r="D134" s="50"/>
      <c r="E134" s="50"/>
      <c r="F134" s="50"/>
      <c r="G134" s="50"/>
      <c r="H134" s="50"/>
      <c r="I134" s="50"/>
      <c r="J134" s="50"/>
      <c r="K134" s="50"/>
      <c r="L134" s="50"/>
    </row>
    <row r="135" spans="1:12" x14ac:dyDescent="0.3">
      <c r="B135" s="50"/>
      <c r="C135" s="50"/>
      <c r="D135" s="50"/>
      <c r="E135" s="50"/>
      <c r="F135" s="50"/>
      <c r="G135" s="50"/>
      <c r="H135" s="50"/>
      <c r="I135" s="50"/>
      <c r="J135" s="50"/>
      <c r="K135" s="50"/>
      <c r="L135" s="50"/>
    </row>
    <row r="136" spans="1:12" x14ac:dyDescent="0.3">
      <c r="B136" s="50"/>
      <c r="C136" s="50"/>
      <c r="D136" s="50"/>
      <c r="E136" s="50"/>
      <c r="F136" s="50"/>
      <c r="G136" s="50"/>
      <c r="H136" s="50"/>
      <c r="I136" s="50"/>
      <c r="J136" s="50"/>
      <c r="K136" s="50"/>
      <c r="L136" s="50"/>
    </row>
    <row r="137" spans="1:12" x14ac:dyDescent="0.3">
      <c r="B137" s="50"/>
      <c r="C137" s="50"/>
      <c r="D137" s="50"/>
      <c r="E137" s="50"/>
      <c r="F137" s="50"/>
      <c r="G137" s="50"/>
      <c r="H137" s="50"/>
      <c r="I137" s="50"/>
      <c r="J137" s="50"/>
      <c r="K137" s="50"/>
      <c r="L137" s="50"/>
    </row>
    <row r="139" spans="1:12" ht="23.4" x14ac:dyDescent="0.45">
      <c r="A139" s="84" t="s">
        <v>24</v>
      </c>
      <c r="B139" s="85" t="s">
        <v>7</v>
      </c>
      <c r="C139" s="5"/>
    </row>
    <row r="140" spans="1:12" ht="22.5" customHeight="1" x14ac:dyDescent="0.35">
      <c r="A140" s="78" t="e" vm="1">
        <v>#VALUE!</v>
      </c>
      <c r="B140" s="76">
        <f>COUNTIF(Table1[Location],A140)</f>
        <v>0</v>
      </c>
      <c r="C140" s="5"/>
    </row>
    <row r="141" spans="1:12" ht="22.5" customHeight="1" x14ac:dyDescent="0.35">
      <c r="A141" s="78" t="e" vm="2">
        <v>#VALUE!</v>
      </c>
      <c r="B141" s="76">
        <f>COUNTIF(Table1[Location],A141)</f>
        <v>1</v>
      </c>
      <c r="C141" s="5"/>
    </row>
    <row r="142" spans="1:12" ht="22.5" customHeight="1" x14ac:dyDescent="0.35">
      <c r="A142" s="78" t="e" vm="3">
        <v>#VALUE!</v>
      </c>
      <c r="B142" s="76">
        <f>COUNTIF(Table1[Location],A142)</f>
        <v>3</v>
      </c>
      <c r="C142" s="5"/>
    </row>
    <row r="143" spans="1:12" ht="22.5" customHeight="1" x14ac:dyDescent="0.35">
      <c r="A143" s="78" t="e" vm="4">
        <v>#VALUE!</v>
      </c>
      <c r="B143" s="76">
        <f>COUNTIF(Table1[Location],A143)</f>
        <v>10</v>
      </c>
      <c r="C143" s="5"/>
    </row>
    <row r="144" spans="1:12" ht="22.5" customHeight="1" x14ac:dyDescent="0.35">
      <c r="A144" s="78" t="e" vm="5">
        <v>#VALUE!</v>
      </c>
      <c r="B144" s="76">
        <f>COUNTIF(Table1[Location],A144)</f>
        <v>138</v>
      </c>
      <c r="C144" s="5"/>
    </row>
    <row r="145" spans="1:10" ht="22.5" customHeight="1" x14ac:dyDescent="0.35">
      <c r="A145" s="78" t="e" vm="6">
        <v>#VALUE!</v>
      </c>
      <c r="B145" s="76">
        <f>COUNTIF(Table1[Location],A145)</f>
        <v>4</v>
      </c>
      <c r="C145" s="5"/>
    </row>
    <row r="146" spans="1:10" ht="22.5" customHeight="1" x14ac:dyDescent="0.35">
      <c r="A146" s="78" t="e" vm="7">
        <v>#VALUE!</v>
      </c>
      <c r="B146" s="76">
        <f>COUNTIF(Table1[Location],A146)</f>
        <v>3</v>
      </c>
      <c r="C146" s="5"/>
    </row>
    <row r="147" spans="1:10" ht="22.5" customHeight="1" x14ac:dyDescent="0.35">
      <c r="A147" s="78" t="e" vm="8">
        <v>#VALUE!</v>
      </c>
      <c r="B147" s="76">
        <f>COUNTIF(Table1[Location],A147)</f>
        <v>27</v>
      </c>
      <c r="C147" s="5"/>
    </row>
    <row r="148" spans="1:10" ht="22.5" customHeight="1" x14ac:dyDescent="0.35">
      <c r="A148" s="78" t="e" vm="9">
        <v>#VALUE!</v>
      </c>
      <c r="B148" s="76">
        <f>COUNTIF(Table1[Location],A148)</f>
        <v>0</v>
      </c>
      <c r="C148" s="5"/>
    </row>
    <row r="149" spans="1:10" ht="22.5" customHeight="1" x14ac:dyDescent="0.35">
      <c r="A149" s="78" t="e" vm="10">
        <v>#VALUE!</v>
      </c>
      <c r="B149" s="76">
        <f>COUNTIF(Table1[Location],A149)</f>
        <v>7</v>
      </c>
      <c r="C149" s="5"/>
    </row>
    <row r="150" spans="1:10" ht="22.5" customHeight="1" x14ac:dyDescent="0.35">
      <c r="A150" s="78" t="e" vm="11">
        <v>#VALUE!</v>
      </c>
      <c r="B150" s="76">
        <f>COUNTIF(Table1[Location],A150)</f>
        <v>140</v>
      </c>
      <c r="C150" s="5"/>
    </row>
    <row r="151" spans="1:10" ht="22.5" customHeight="1" x14ac:dyDescent="0.35">
      <c r="A151" s="78" t="e" vm="12">
        <v>#VALUE!</v>
      </c>
      <c r="B151" s="76">
        <f>COUNTIF(Table1[Location],A151)</f>
        <v>31</v>
      </c>
      <c r="C151" s="5"/>
    </row>
    <row r="152" spans="1:10" ht="22.5" customHeight="1" x14ac:dyDescent="0.3">
      <c r="A152" s="86" t="e" vm="13">
        <v>#VALUE!</v>
      </c>
      <c r="B152" s="76">
        <f>COUNTIF(Table1[Location],A152)</f>
        <v>0</v>
      </c>
      <c r="C152" s="5"/>
    </row>
    <row r="153" spans="1:10" ht="22.5" customHeight="1" x14ac:dyDescent="0.3">
      <c r="A153" s="86" t="e" vm="14">
        <v>#VALUE!</v>
      </c>
      <c r="B153" s="76">
        <f>COUNTIF(Table1[Location],A153)</f>
        <v>0</v>
      </c>
      <c r="C153" s="5"/>
    </row>
    <row r="157" spans="1:10" x14ac:dyDescent="0.3">
      <c r="J157" s="5"/>
    </row>
    <row r="158" spans="1:10" x14ac:dyDescent="0.3">
      <c r="D158" s="27"/>
      <c r="E158" s="11"/>
      <c r="F158" s="11"/>
      <c r="G158" s="11"/>
      <c r="H158" s="11"/>
      <c r="I158" s="11"/>
      <c r="J158" s="38"/>
    </row>
    <row r="159" spans="1:10" x14ac:dyDescent="0.3">
      <c r="D159" s="27"/>
      <c r="E159" s="11"/>
      <c r="F159" s="11"/>
      <c r="G159" s="11"/>
      <c r="H159" s="11"/>
      <c r="I159" s="11"/>
      <c r="J159" s="38"/>
    </row>
    <row r="161" spans="1:8" ht="23.4" x14ac:dyDescent="0.45">
      <c r="A161" s="113" t="s">
        <v>25</v>
      </c>
    </row>
    <row r="164" spans="1:8" ht="21" x14ac:dyDescent="0.4">
      <c r="C164" s="158" t="s">
        <v>26</v>
      </c>
      <c r="D164" s="159"/>
      <c r="E164" s="158" t="s">
        <v>27</v>
      </c>
      <c r="F164" s="160"/>
      <c r="G164" s="160"/>
      <c r="H164" s="160"/>
    </row>
    <row r="165" spans="1:8" ht="7.5" customHeight="1" x14ac:dyDescent="0.3"/>
    <row r="166" spans="1:8" ht="28.5" customHeight="1" x14ac:dyDescent="0.3">
      <c r="A166" s="157" t="s">
        <v>28</v>
      </c>
      <c r="B166" s="157"/>
      <c r="C166" s="155">
        <f>_xlfn.MAXIFS('ECN Master Project Tracker new'!AP5:AP250,'ECN Master Project Tracker new'!E5:E250,"*R*",'ECN Master Project Tracker new'!F5:F250,"NEM",'ECN Master Project Tracker new'!AP5:AP250,"&gt;0")</f>
        <v>109</v>
      </c>
      <c r="D166" s="155"/>
      <c r="E166" s="155">
        <f>_xlfn.MAXIFS('ECN Master Project Tracker new'!AP5:AP250,'ECN Master Project Tracker new'!E5:E250,"*C&amp;I*",'ECN Master Project Tracker new'!F5:F250,"NEM",'ECN Master Project Tracker new'!AP5:AP250,"&gt;0")</f>
        <v>132</v>
      </c>
      <c r="F166" s="155"/>
      <c r="G166" s="155"/>
      <c r="H166" s="155"/>
    </row>
    <row r="167" spans="1:8" ht="28.5" customHeight="1" x14ac:dyDescent="0.3">
      <c r="A167" s="157" t="s">
        <v>29</v>
      </c>
      <c r="B167" s="157"/>
      <c r="C167" s="155">
        <f>_xlfn.MINIFS('ECN Master Project Tracker new'!AP5:AP250,'ECN Master Project Tracker new'!E5:E250,"*R*",'ECN Master Project Tracker new'!F5:F250,"NEM",'ECN Master Project Tracker new'!AP5:AP250,"&gt;0")</f>
        <v>3</v>
      </c>
      <c r="D167" s="155"/>
      <c r="E167" s="155">
        <f>_xlfn.MINIFS('ECN Master Project Tracker new'!AP5:AP250,'ECN Master Project Tracker new'!E5:E250,"*C&amp;I*",'ECN Master Project Tracker new'!F5:F250,"NEM",'ECN Master Project Tracker new'!AP5:AP250,"&gt;0")</f>
        <v>10</v>
      </c>
      <c r="F167" s="155"/>
      <c r="G167" s="155"/>
      <c r="H167" s="155"/>
    </row>
    <row r="168" spans="1:8" ht="28.5" customHeight="1" x14ac:dyDescent="0.3">
      <c r="A168" s="157" t="s">
        <v>30</v>
      </c>
      <c r="B168" s="157"/>
      <c r="C168" s="156">
        <f>AVERAGEIFS('ECN Master Project Tracker new'!AP5:AP250,'ECN Master Project Tracker new'!E5:E250,"*R*", 'ECN Master Project Tracker new'!F5:F250,"NEM",'ECN Master Project Tracker new'!AP5:AP250,"&gt;0")</f>
        <v>21.557692307692307</v>
      </c>
      <c r="D168" s="156"/>
      <c r="E168" s="156">
        <f>AVERAGEIFS('ECN Master Project Tracker new'!AP5:AP250,'ECN Master Project Tracker new'!E5:E250,"*C&amp;I*", 'ECN Master Project Tracker new'!F5:F250,"NEM",'ECN Master Project Tracker new'!AP5:AP250,"&gt;0")</f>
        <v>41.714285714285715</v>
      </c>
      <c r="F168" s="156"/>
      <c r="G168" s="156"/>
      <c r="H168" s="156"/>
    </row>
  </sheetData>
  <mergeCells count="40">
    <mergeCell ref="N35:R35"/>
    <mergeCell ref="T35:X35"/>
    <mergeCell ref="Z35:AD35"/>
    <mergeCell ref="C164:D164"/>
    <mergeCell ref="E164:H164"/>
    <mergeCell ref="N46:R46"/>
    <mergeCell ref="T45:X45"/>
    <mergeCell ref="T46:X46"/>
    <mergeCell ref="H46:L46"/>
    <mergeCell ref="N45:R45"/>
    <mergeCell ref="B45:F45"/>
    <mergeCell ref="B46:F46"/>
    <mergeCell ref="H45:L45"/>
    <mergeCell ref="B35:F35"/>
    <mergeCell ref="H35:L35"/>
    <mergeCell ref="E166:H166"/>
    <mergeCell ref="E167:H167"/>
    <mergeCell ref="E168:H168"/>
    <mergeCell ref="A166:B166"/>
    <mergeCell ref="A167:B167"/>
    <mergeCell ref="A168:B168"/>
    <mergeCell ref="C166:D166"/>
    <mergeCell ref="C167:D167"/>
    <mergeCell ref="C168:D168"/>
    <mergeCell ref="Z3:AA5"/>
    <mergeCell ref="Z8:AA10"/>
    <mergeCell ref="B95:F95"/>
    <mergeCell ref="W3:X5"/>
    <mergeCell ref="W8:X10"/>
    <mergeCell ref="T95:X95"/>
    <mergeCell ref="N94:R94"/>
    <mergeCell ref="N95:R95"/>
    <mergeCell ref="H94:L94"/>
    <mergeCell ref="H95:L95"/>
    <mergeCell ref="B81:F81"/>
    <mergeCell ref="B82:F82"/>
    <mergeCell ref="H81:L81"/>
    <mergeCell ref="H82:L82"/>
    <mergeCell ref="T94:X94"/>
    <mergeCell ref="B94:F9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3D8D-3C68-4DCF-8746-8A0A7DD7415E}">
  <dimension ref="A1:O81"/>
  <sheetViews>
    <sheetView zoomScale="70" zoomScaleNormal="70" workbookViewId="0">
      <selection activeCell="N1" sqref="N1"/>
    </sheetView>
  </sheetViews>
  <sheetFormatPr defaultRowHeight="14.4" x14ac:dyDescent="0.3"/>
  <cols>
    <col min="1" max="1" width="26.5546875" customWidth="1"/>
    <col min="2" max="2" width="18.5546875" customWidth="1"/>
    <col min="3" max="3" width="26.5546875" customWidth="1"/>
    <col min="4" max="4" width="18.5546875" bestFit="1" customWidth="1"/>
    <col min="7" max="7" width="20.77734375" bestFit="1" customWidth="1"/>
    <col min="8" max="11" width="17.77734375" bestFit="1" customWidth="1"/>
    <col min="12" max="12" width="11.5546875" bestFit="1" customWidth="1"/>
    <col min="13" max="13" width="20.77734375" bestFit="1" customWidth="1"/>
    <col min="14" max="14" width="17.109375" bestFit="1" customWidth="1"/>
    <col min="15" max="15" width="10.77734375" bestFit="1" customWidth="1"/>
    <col min="16" max="16" width="15.44140625" bestFit="1" customWidth="1"/>
    <col min="17" max="17" width="9.5546875" bestFit="1" customWidth="1"/>
    <col min="18" max="19" width="11.5546875" bestFit="1" customWidth="1"/>
  </cols>
  <sheetData>
    <row r="1" spans="1:15" x14ac:dyDescent="0.3">
      <c r="A1" s="87" t="s">
        <v>31</v>
      </c>
      <c r="B1" s="87" t="s">
        <v>32</v>
      </c>
      <c r="C1" s="87" t="s">
        <v>33</v>
      </c>
      <c r="D1" s="87" t="s">
        <v>34</v>
      </c>
      <c r="G1" s="90" t="s">
        <v>33</v>
      </c>
      <c r="H1" t="s">
        <v>35</v>
      </c>
      <c r="M1" s="90" t="s">
        <v>33</v>
      </c>
      <c r="N1" t="s">
        <v>35</v>
      </c>
    </row>
    <row r="2" spans="1:15" ht="15.6" x14ac:dyDescent="0.3">
      <c r="A2" s="49" t="s">
        <v>8</v>
      </c>
      <c r="B2" t="s">
        <v>2</v>
      </c>
      <c r="C2">
        <v>2023</v>
      </c>
      <c r="D2">
        <f>Dashboard!C37</f>
        <v>313.29999999999995</v>
      </c>
    </row>
    <row r="3" spans="1:15" ht="15.6" x14ac:dyDescent="0.3">
      <c r="A3" s="49" t="s">
        <v>8</v>
      </c>
      <c r="B3" t="s">
        <v>2</v>
      </c>
      <c r="C3">
        <v>2024</v>
      </c>
      <c r="D3">
        <f>Dashboard!D37</f>
        <v>1637.1649999999988</v>
      </c>
      <c r="G3" s="90" t="s">
        <v>36</v>
      </c>
      <c r="H3" s="90" t="s">
        <v>37</v>
      </c>
      <c r="M3" s="90" t="s">
        <v>36</v>
      </c>
      <c r="N3" s="90" t="s">
        <v>37</v>
      </c>
    </row>
    <row r="4" spans="1:15" ht="15.6" x14ac:dyDescent="0.3">
      <c r="A4" s="49" t="s">
        <v>8</v>
      </c>
      <c r="B4" t="s">
        <v>2</v>
      </c>
      <c r="C4">
        <v>2025</v>
      </c>
      <c r="D4">
        <f>Dashboard!E37</f>
        <v>1684.6800000000039</v>
      </c>
      <c r="G4" s="90" t="s">
        <v>38</v>
      </c>
      <c r="H4" t="s">
        <v>39</v>
      </c>
      <c r="I4" t="s">
        <v>40</v>
      </c>
      <c r="J4" t="s">
        <v>41</v>
      </c>
      <c r="K4" t="s">
        <v>42</v>
      </c>
      <c r="M4" s="90" t="s">
        <v>38</v>
      </c>
      <c r="N4" t="s">
        <v>2</v>
      </c>
      <c r="O4" t="s">
        <v>42</v>
      </c>
    </row>
    <row r="5" spans="1:15" ht="15.6" x14ac:dyDescent="0.3">
      <c r="A5" s="49" t="s">
        <v>8</v>
      </c>
      <c r="B5" t="s">
        <v>2</v>
      </c>
      <c r="C5">
        <v>2026</v>
      </c>
      <c r="D5">
        <f>Dashboard!F37</f>
        <v>0</v>
      </c>
      <c r="G5" s="40" t="s">
        <v>8</v>
      </c>
      <c r="H5" s="89">
        <v>10314867.600000001</v>
      </c>
      <c r="I5" s="89">
        <v>8802124.6000000015</v>
      </c>
      <c r="J5" s="89">
        <v>8586827.6000000015</v>
      </c>
      <c r="K5" s="89">
        <v>27703819.800000004</v>
      </c>
      <c r="M5" s="40" t="s">
        <v>8</v>
      </c>
      <c r="N5" s="173">
        <v>3635.1450000000027</v>
      </c>
      <c r="O5" s="173">
        <v>3635.1450000000027</v>
      </c>
    </row>
    <row r="6" spans="1:15" ht="15.6" x14ac:dyDescent="0.3">
      <c r="A6" s="49" t="s">
        <v>9</v>
      </c>
      <c r="B6" t="s">
        <v>2</v>
      </c>
      <c r="C6">
        <v>2023</v>
      </c>
      <c r="D6">
        <f>Dashboard!C38</f>
        <v>428.69499999999999</v>
      </c>
      <c r="G6" s="40" t="s">
        <v>9</v>
      </c>
      <c r="H6" s="89">
        <v>7185553.5800000001</v>
      </c>
      <c r="I6" s="89">
        <v>6946746.4100000001</v>
      </c>
      <c r="J6" s="89">
        <v>5420201.4100000001</v>
      </c>
      <c r="K6" s="89">
        <v>19552501.399999999</v>
      </c>
      <c r="M6" s="40" t="s">
        <v>9</v>
      </c>
      <c r="N6" s="173">
        <v>3718.0100000000011</v>
      </c>
      <c r="O6" s="173">
        <v>3718.0100000000011</v>
      </c>
    </row>
    <row r="7" spans="1:15" ht="15.6" x14ac:dyDescent="0.3">
      <c r="A7" s="49" t="s">
        <v>9</v>
      </c>
      <c r="B7" t="s">
        <v>2</v>
      </c>
      <c r="C7">
        <v>2024</v>
      </c>
      <c r="D7">
        <f>Dashboard!D38</f>
        <v>2088.3450000000007</v>
      </c>
      <c r="G7" s="40" t="s">
        <v>10</v>
      </c>
      <c r="H7" s="89">
        <v>720000</v>
      </c>
      <c r="I7" s="89">
        <v>720000</v>
      </c>
      <c r="J7" s="89">
        <v>720000</v>
      </c>
      <c r="K7" s="89">
        <v>2160000</v>
      </c>
      <c r="M7" s="40" t="s">
        <v>10</v>
      </c>
      <c r="N7" s="173">
        <v>287.39999999999998</v>
      </c>
      <c r="O7" s="173">
        <v>287.39999999999998</v>
      </c>
    </row>
    <row r="8" spans="1:15" ht="15.6" x14ac:dyDescent="0.3">
      <c r="A8" s="49" t="s">
        <v>9</v>
      </c>
      <c r="B8" t="s">
        <v>2</v>
      </c>
      <c r="C8">
        <v>2025</v>
      </c>
      <c r="D8">
        <f>Dashboard!E38</f>
        <v>1200.97</v>
      </c>
      <c r="G8" s="40" t="s">
        <v>11</v>
      </c>
      <c r="H8" s="89">
        <v>0</v>
      </c>
      <c r="I8" s="89">
        <v>0</v>
      </c>
      <c r="J8" s="89">
        <v>0</v>
      </c>
      <c r="K8" s="89">
        <v>0</v>
      </c>
      <c r="M8" s="40" t="s">
        <v>11</v>
      </c>
      <c r="N8" s="173">
        <v>0</v>
      </c>
      <c r="O8" s="173">
        <v>0</v>
      </c>
    </row>
    <row r="9" spans="1:15" ht="15.6" x14ac:dyDescent="0.3">
      <c r="A9" s="49" t="s">
        <v>9</v>
      </c>
      <c r="B9" t="s">
        <v>2</v>
      </c>
      <c r="C9">
        <v>2026</v>
      </c>
      <c r="D9">
        <f>Dashboard!F38</f>
        <v>0</v>
      </c>
      <c r="G9" s="40" t="s">
        <v>12</v>
      </c>
      <c r="H9" s="89">
        <v>1430963</v>
      </c>
      <c r="I9" s="89">
        <v>957823</v>
      </c>
      <c r="J9" s="89">
        <v>735522.5</v>
      </c>
      <c r="K9" s="89">
        <v>3124308.5</v>
      </c>
      <c r="M9" s="40" t="s">
        <v>12</v>
      </c>
      <c r="N9" s="173">
        <v>1786</v>
      </c>
      <c r="O9" s="173">
        <v>1786</v>
      </c>
    </row>
    <row r="10" spans="1:15" ht="15.6" x14ac:dyDescent="0.3">
      <c r="A10" s="49" t="s">
        <v>10</v>
      </c>
      <c r="B10" t="s">
        <v>2</v>
      </c>
      <c r="C10">
        <v>2023</v>
      </c>
      <c r="D10">
        <f>Dashboard!C39</f>
        <v>287.39999999999998</v>
      </c>
      <c r="G10" s="40" t="s">
        <v>42</v>
      </c>
      <c r="H10" s="89">
        <v>19651384.18</v>
      </c>
      <c r="I10" s="89">
        <v>17426694.010000002</v>
      </c>
      <c r="J10" s="89">
        <v>15462551.510000002</v>
      </c>
      <c r="K10" s="89">
        <v>52540629.700000003</v>
      </c>
      <c r="M10" s="40" t="s">
        <v>42</v>
      </c>
      <c r="N10" s="173">
        <v>9426.5550000000039</v>
      </c>
      <c r="O10" s="173">
        <v>9426.5550000000039</v>
      </c>
    </row>
    <row r="11" spans="1:15" ht="15.6" x14ac:dyDescent="0.3">
      <c r="A11" s="49" t="s">
        <v>10</v>
      </c>
      <c r="B11" t="s">
        <v>2</v>
      </c>
      <c r="C11">
        <v>2024</v>
      </c>
      <c r="D11">
        <f>Dashboard!D39</f>
        <v>0</v>
      </c>
    </row>
    <row r="12" spans="1:15" ht="15.6" x14ac:dyDescent="0.3">
      <c r="A12" s="49" t="s">
        <v>10</v>
      </c>
      <c r="B12" t="s">
        <v>2</v>
      </c>
      <c r="C12">
        <v>2025</v>
      </c>
      <c r="D12">
        <f>Dashboard!E39</f>
        <v>0</v>
      </c>
    </row>
    <row r="13" spans="1:15" ht="15.6" x14ac:dyDescent="0.3">
      <c r="A13" s="49" t="s">
        <v>10</v>
      </c>
      <c r="B13" t="s">
        <v>2</v>
      </c>
      <c r="C13">
        <v>2026</v>
      </c>
      <c r="D13">
        <f>Dashboard!F39</f>
        <v>0</v>
      </c>
    </row>
    <row r="14" spans="1:15" ht="15.6" x14ac:dyDescent="0.3">
      <c r="A14" s="49" t="s">
        <v>11</v>
      </c>
      <c r="B14" t="s">
        <v>2</v>
      </c>
      <c r="C14">
        <v>2023</v>
      </c>
      <c r="D14">
        <f>Dashboard!C40</f>
        <v>0</v>
      </c>
    </row>
    <row r="15" spans="1:15" ht="15.6" x14ac:dyDescent="0.3">
      <c r="A15" s="49" t="s">
        <v>11</v>
      </c>
      <c r="B15" t="s">
        <v>2</v>
      </c>
      <c r="C15">
        <v>2024</v>
      </c>
      <c r="D15">
        <f>Dashboard!D40</f>
        <v>0</v>
      </c>
    </row>
    <row r="16" spans="1:15" ht="15.6" x14ac:dyDescent="0.3">
      <c r="A16" s="49" t="s">
        <v>11</v>
      </c>
      <c r="B16" t="s">
        <v>2</v>
      </c>
      <c r="C16">
        <v>2025</v>
      </c>
      <c r="D16">
        <f>Dashboard!E40</f>
        <v>0</v>
      </c>
    </row>
    <row r="17" spans="1:4" ht="15.6" x14ac:dyDescent="0.3">
      <c r="A17" s="49" t="s">
        <v>11</v>
      </c>
      <c r="B17" t="s">
        <v>2</v>
      </c>
      <c r="C17">
        <v>2026</v>
      </c>
      <c r="D17">
        <f>Dashboard!F40</f>
        <v>0</v>
      </c>
    </row>
    <row r="18" spans="1:4" ht="15.6" x14ac:dyDescent="0.3">
      <c r="A18" s="49" t="s">
        <v>12</v>
      </c>
      <c r="B18" t="s">
        <v>2</v>
      </c>
      <c r="C18">
        <v>2023</v>
      </c>
      <c r="D18">
        <f>Dashboard!C41</f>
        <v>100</v>
      </c>
    </row>
    <row r="19" spans="1:4" ht="15.6" x14ac:dyDescent="0.3">
      <c r="A19" s="49" t="s">
        <v>12</v>
      </c>
      <c r="B19" t="s">
        <v>2</v>
      </c>
      <c r="C19">
        <v>2024</v>
      </c>
      <c r="D19">
        <f>Dashboard!D41</f>
        <v>789</v>
      </c>
    </row>
    <row r="20" spans="1:4" ht="15.6" x14ac:dyDescent="0.3">
      <c r="A20" s="49" t="s">
        <v>12</v>
      </c>
      <c r="B20" t="s">
        <v>2</v>
      </c>
      <c r="C20">
        <v>2025</v>
      </c>
      <c r="D20">
        <f>Dashboard!E41</f>
        <v>897</v>
      </c>
    </row>
    <row r="21" spans="1:4" ht="15.6" x14ac:dyDescent="0.3">
      <c r="A21" s="49" t="s">
        <v>12</v>
      </c>
      <c r="B21" t="s">
        <v>2</v>
      </c>
      <c r="C21">
        <v>2026</v>
      </c>
      <c r="D21">
        <f>Dashboard!F41</f>
        <v>0</v>
      </c>
    </row>
    <row r="22" spans="1:4" ht="15.6" x14ac:dyDescent="0.3">
      <c r="A22" s="49" t="s">
        <v>8</v>
      </c>
      <c r="B22" t="s">
        <v>39</v>
      </c>
      <c r="C22">
        <v>2023</v>
      </c>
      <c r="D22" s="89">
        <f>Dashboard!I37</f>
        <v>782725</v>
      </c>
    </row>
    <row r="23" spans="1:4" ht="15.6" x14ac:dyDescent="0.3">
      <c r="A23" s="49" t="s">
        <v>8</v>
      </c>
      <c r="B23" t="s">
        <v>39</v>
      </c>
      <c r="C23">
        <v>2024</v>
      </c>
      <c r="D23" s="89">
        <f>Dashboard!J37</f>
        <v>5036797.2</v>
      </c>
    </row>
    <row r="24" spans="1:4" ht="15.6" x14ac:dyDescent="0.3">
      <c r="A24" s="49" t="s">
        <v>8</v>
      </c>
      <c r="B24" t="s">
        <v>39</v>
      </c>
      <c r="C24">
        <v>2025</v>
      </c>
      <c r="D24" s="89">
        <f>Dashboard!K37</f>
        <v>4495345.4000000004</v>
      </c>
    </row>
    <row r="25" spans="1:4" ht="15.6" x14ac:dyDescent="0.3">
      <c r="A25" s="49" t="s">
        <v>8</v>
      </c>
      <c r="B25" t="s">
        <v>39</v>
      </c>
      <c r="C25">
        <v>2026</v>
      </c>
      <c r="D25" s="89">
        <f>Dashboard!L37</f>
        <v>0</v>
      </c>
    </row>
    <row r="26" spans="1:4" ht="15.6" x14ac:dyDescent="0.3">
      <c r="A26" s="49" t="s">
        <v>9</v>
      </c>
      <c r="B26" t="s">
        <v>39</v>
      </c>
      <c r="C26">
        <v>2023</v>
      </c>
      <c r="D26" s="89">
        <f>Dashboard!I38</f>
        <v>521800</v>
      </c>
    </row>
    <row r="27" spans="1:4" ht="15.6" x14ac:dyDescent="0.3">
      <c r="A27" s="49" t="s">
        <v>9</v>
      </c>
      <c r="B27" t="s">
        <v>39</v>
      </c>
      <c r="C27">
        <v>2024</v>
      </c>
      <c r="D27" s="89">
        <f>Dashboard!J38</f>
        <v>4266680</v>
      </c>
    </row>
    <row r="28" spans="1:4" ht="15.6" x14ac:dyDescent="0.3">
      <c r="A28" s="49" t="s">
        <v>9</v>
      </c>
      <c r="B28" t="s">
        <v>39</v>
      </c>
      <c r="C28">
        <v>2025</v>
      </c>
      <c r="D28" s="89">
        <f>Dashboard!K38</f>
        <v>2397073.58</v>
      </c>
    </row>
    <row r="29" spans="1:4" ht="15.6" x14ac:dyDescent="0.3">
      <c r="A29" s="49" t="s">
        <v>9</v>
      </c>
      <c r="B29" t="s">
        <v>39</v>
      </c>
      <c r="C29">
        <v>2026</v>
      </c>
      <c r="D29" s="89">
        <f>Dashboard!L38</f>
        <v>0</v>
      </c>
    </row>
    <row r="30" spans="1:4" ht="15.6" x14ac:dyDescent="0.3">
      <c r="A30" s="49" t="s">
        <v>10</v>
      </c>
      <c r="B30" t="s">
        <v>39</v>
      </c>
      <c r="C30">
        <v>2023</v>
      </c>
      <c r="D30" s="89">
        <f>Dashboard!I39</f>
        <v>720000</v>
      </c>
    </row>
    <row r="31" spans="1:4" ht="15.6" x14ac:dyDescent="0.3">
      <c r="A31" s="49" t="s">
        <v>10</v>
      </c>
      <c r="B31" t="s">
        <v>39</v>
      </c>
      <c r="C31">
        <v>2024</v>
      </c>
      <c r="D31" s="89">
        <f>Dashboard!J39</f>
        <v>0</v>
      </c>
    </row>
    <row r="32" spans="1:4" ht="15.6" x14ac:dyDescent="0.3">
      <c r="A32" s="49" t="s">
        <v>10</v>
      </c>
      <c r="B32" t="s">
        <v>39</v>
      </c>
      <c r="C32">
        <v>2025</v>
      </c>
      <c r="D32" s="89">
        <f>Dashboard!K39</f>
        <v>0</v>
      </c>
    </row>
    <row r="33" spans="1:4" ht="15.6" x14ac:dyDescent="0.3">
      <c r="A33" s="49" t="s">
        <v>10</v>
      </c>
      <c r="B33" t="s">
        <v>39</v>
      </c>
      <c r="C33">
        <v>2026</v>
      </c>
      <c r="D33" s="89">
        <f>Dashboard!L39</f>
        <v>0</v>
      </c>
    </row>
    <row r="34" spans="1:4" ht="15.6" x14ac:dyDescent="0.3">
      <c r="A34" s="49" t="s">
        <v>11</v>
      </c>
      <c r="B34" t="s">
        <v>39</v>
      </c>
      <c r="C34">
        <v>2023</v>
      </c>
      <c r="D34" s="89">
        <f>Dashboard!I40</f>
        <v>0</v>
      </c>
    </row>
    <row r="35" spans="1:4" ht="15.6" x14ac:dyDescent="0.3">
      <c r="A35" s="49" t="s">
        <v>11</v>
      </c>
      <c r="B35" t="s">
        <v>39</v>
      </c>
      <c r="C35">
        <v>2024</v>
      </c>
      <c r="D35" s="89">
        <f>Dashboard!J40</f>
        <v>0</v>
      </c>
    </row>
    <row r="36" spans="1:4" ht="15.6" x14ac:dyDescent="0.3">
      <c r="A36" s="49" t="s">
        <v>11</v>
      </c>
      <c r="B36" t="s">
        <v>39</v>
      </c>
      <c r="C36">
        <v>2025</v>
      </c>
      <c r="D36" s="89">
        <f>Dashboard!K40</f>
        <v>0</v>
      </c>
    </row>
    <row r="37" spans="1:4" ht="15.6" x14ac:dyDescent="0.3">
      <c r="A37" s="49" t="s">
        <v>11</v>
      </c>
      <c r="B37" t="s">
        <v>39</v>
      </c>
      <c r="C37">
        <v>2026</v>
      </c>
      <c r="D37" s="89">
        <f>Dashboard!L40</f>
        <v>0</v>
      </c>
    </row>
    <row r="38" spans="1:4" ht="15.6" x14ac:dyDescent="0.3">
      <c r="A38" s="49" t="s">
        <v>12</v>
      </c>
      <c r="B38" t="s">
        <v>39</v>
      </c>
      <c r="C38">
        <v>2023</v>
      </c>
      <c r="D38" s="89">
        <f>Dashboard!I41</f>
        <v>93380</v>
      </c>
    </row>
    <row r="39" spans="1:4" ht="15.6" x14ac:dyDescent="0.3">
      <c r="A39" s="49" t="s">
        <v>12</v>
      </c>
      <c r="B39" t="s">
        <v>39</v>
      </c>
      <c r="C39">
        <v>2024</v>
      </c>
      <c r="D39" s="89">
        <f>Dashboard!J41</f>
        <v>355363</v>
      </c>
    </row>
    <row r="40" spans="1:4" ht="15.6" x14ac:dyDescent="0.3">
      <c r="A40" s="49" t="s">
        <v>12</v>
      </c>
      <c r="B40" t="s">
        <v>39</v>
      </c>
      <c r="C40">
        <v>2025</v>
      </c>
      <c r="D40" s="89">
        <f>Dashboard!K41</f>
        <v>982220</v>
      </c>
    </row>
    <row r="41" spans="1:4" ht="15.6" x14ac:dyDescent="0.3">
      <c r="A41" s="49" t="s">
        <v>12</v>
      </c>
      <c r="B41" t="s">
        <v>39</v>
      </c>
      <c r="C41">
        <v>2026</v>
      </c>
      <c r="D41" s="89">
        <f>Dashboard!L41</f>
        <v>0</v>
      </c>
    </row>
    <row r="42" spans="1:4" ht="15.6" x14ac:dyDescent="0.3">
      <c r="A42" s="49" t="s">
        <v>8</v>
      </c>
      <c r="B42" t="s">
        <v>40</v>
      </c>
      <c r="C42">
        <v>2023</v>
      </c>
      <c r="D42" s="89">
        <f>Dashboard!O37</f>
        <v>379240</v>
      </c>
    </row>
    <row r="43" spans="1:4" ht="15.6" x14ac:dyDescent="0.3">
      <c r="A43" s="49" t="s">
        <v>8</v>
      </c>
      <c r="B43" t="s">
        <v>40</v>
      </c>
      <c r="C43">
        <v>2024</v>
      </c>
      <c r="D43" s="89">
        <f>Dashboard!P37</f>
        <v>3897315.2</v>
      </c>
    </row>
    <row r="44" spans="1:4" ht="15.6" x14ac:dyDescent="0.3">
      <c r="A44" s="49" t="s">
        <v>8</v>
      </c>
      <c r="B44" t="s">
        <v>40</v>
      </c>
      <c r="C44">
        <v>2025</v>
      </c>
      <c r="D44" s="89">
        <f>Dashboard!Q37</f>
        <v>4525569.4000000004</v>
      </c>
    </row>
    <row r="45" spans="1:4" ht="15.6" x14ac:dyDescent="0.3">
      <c r="A45" s="49" t="s">
        <v>8</v>
      </c>
      <c r="B45" t="s">
        <v>40</v>
      </c>
      <c r="C45">
        <v>2026</v>
      </c>
      <c r="D45" s="89">
        <f>Dashboard!R37</f>
        <v>0</v>
      </c>
    </row>
    <row r="46" spans="1:4" ht="15.6" x14ac:dyDescent="0.3">
      <c r="A46" s="49" t="s">
        <v>9</v>
      </c>
      <c r="B46" t="s">
        <v>40</v>
      </c>
      <c r="C46">
        <v>2023</v>
      </c>
      <c r="D46" s="89">
        <f>Dashboard!O38</f>
        <v>278820</v>
      </c>
    </row>
    <row r="47" spans="1:4" ht="15.6" x14ac:dyDescent="0.3">
      <c r="A47" s="49" t="s">
        <v>9</v>
      </c>
      <c r="B47" t="s">
        <v>40</v>
      </c>
      <c r="C47">
        <v>2024</v>
      </c>
      <c r="D47" s="89">
        <f>Dashboard!P38</f>
        <v>2643170</v>
      </c>
    </row>
    <row r="48" spans="1:4" ht="15.6" x14ac:dyDescent="0.3">
      <c r="A48" s="49" t="s">
        <v>9</v>
      </c>
      <c r="B48" t="s">
        <v>40</v>
      </c>
      <c r="C48">
        <v>2025</v>
      </c>
      <c r="D48" s="89">
        <f>Dashboard!Q38</f>
        <v>4024756.41</v>
      </c>
    </row>
    <row r="49" spans="1:4" ht="15.6" x14ac:dyDescent="0.3">
      <c r="A49" s="49" t="s">
        <v>9</v>
      </c>
      <c r="B49" t="s">
        <v>40</v>
      </c>
      <c r="C49">
        <v>2026</v>
      </c>
      <c r="D49" s="89">
        <f>Dashboard!R38</f>
        <v>0</v>
      </c>
    </row>
    <row r="50" spans="1:4" ht="15.6" x14ac:dyDescent="0.3">
      <c r="A50" s="49" t="s">
        <v>10</v>
      </c>
      <c r="B50" t="s">
        <v>40</v>
      </c>
      <c r="C50">
        <v>2023</v>
      </c>
      <c r="D50" s="89">
        <f>Dashboard!O39</f>
        <v>432000</v>
      </c>
    </row>
    <row r="51" spans="1:4" ht="15.6" x14ac:dyDescent="0.3">
      <c r="A51" s="49" t="s">
        <v>10</v>
      </c>
      <c r="B51" t="s">
        <v>40</v>
      </c>
      <c r="C51">
        <v>2024</v>
      </c>
      <c r="D51" s="89">
        <f>Dashboard!P39</f>
        <v>288000</v>
      </c>
    </row>
    <row r="52" spans="1:4" ht="15.6" x14ac:dyDescent="0.3">
      <c r="A52" s="49" t="s">
        <v>10</v>
      </c>
      <c r="B52" t="s">
        <v>40</v>
      </c>
      <c r="C52">
        <v>2025</v>
      </c>
      <c r="D52" s="89">
        <f>Dashboard!Q39</f>
        <v>0</v>
      </c>
    </row>
    <row r="53" spans="1:4" ht="15.6" x14ac:dyDescent="0.3">
      <c r="A53" s="49" t="s">
        <v>10</v>
      </c>
      <c r="B53" t="s">
        <v>40</v>
      </c>
      <c r="C53">
        <v>2026</v>
      </c>
      <c r="D53" s="89">
        <f>Dashboard!R39</f>
        <v>0</v>
      </c>
    </row>
    <row r="54" spans="1:4" ht="15.6" x14ac:dyDescent="0.3">
      <c r="A54" s="49" t="s">
        <v>11</v>
      </c>
      <c r="B54" t="s">
        <v>40</v>
      </c>
      <c r="C54">
        <v>2023</v>
      </c>
      <c r="D54" s="89">
        <f>Dashboard!O40</f>
        <v>0</v>
      </c>
    </row>
    <row r="55" spans="1:4" ht="15.6" x14ac:dyDescent="0.3">
      <c r="A55" s="49" t="s">
        <v>11</v>
      </c>
      <c r="B55" t="s">
        <v>40</v>
      </c>
      <c r="C55">
        <v>2024</v>
      </c>
      <c r="D55" s="89">
        <f>Dashboard!P40</f>
        <v>0</v>
      </c>
    </row>
    <row r="56" spans="1:4" ht="15.6" x14ac:dyDescent="0.3">
      <c r="A56" s="49" t="s">
        <v>11</v>
      </c>
      <c r="B56" t="s">
        <v>40</v>
      </c>
      <c r="C56">
        <v>2025</v>
      </c>
      <c r="D56" s="89">
        <f>Dashboard!Q40</f>
        <v>0</v>
      </c>
    </row>
    <row r="57" spans="1:4" ht="15.6" x14ac:dyDescent="0.3">
      <c r="A57" s="49" t="s">
        <v>11</v>
      </c>
      <c r="B57" t="s">
        <v>40</v>
      </c>
      <c r="C57">
        <v>2026</v>
      </c>
      <c r="D57" s="89">
        <f>Dashboard!R40</f>
        <v>0</v>
      </c>
    </row>
    <row r="58" spans="1:4" ht="15.6" x14ac:dyDescent="0.3">
      <c r="A58" s="49" t="s">
        <v>12</v>
      </c>
      <c r="B58" t="s">
        <v>40</v>
      </c>
      <c r="C58">
        <v>2023</v>
      </c>
      <c r="D58" s="89">
        <f>Dashboard!O41</f>
        <v>46690</v>
      </c>
    </row>
    <row r="59" spans="1:4" ht="15.6" x14ac:dyDescent="0.3">
      <c r="A59" s="49" t="s">
        <v>12</v>
      </c>
      <c r="B59" t="s">
        <v>40</v>
      </c>
      <c r="C59">
        <v>2024</v>
      </c>
      <c r="D59" s="89">
        <f>Dashboard!P41</f>
        <v>342903</v>
      </c>
    </row>
    <row r="60" spans="1:4" ht="15.6" x14ac:dyDescent="0.3">
      <c r="A60" s="88" t="s">
        <v>12</v>
      </c>
      <c r="B60" t="s">
        <v>40</v>
      </c>
      <c r="C60">
        <v>2025</v>
      </c>
      <c r="D60" s="89">
        <f>Dashboard!Q41</f>
        <v>568230</v>
      </c>
    </row>
    <row r="61" spans="1:4" ht="15.6" x14ac:dyDescent="0.3">
      <c r="A61" s="88" t="s">
        <v>12</v>
      </c>
      <c r="B61" t="s">
        <v>40</v>
      </c>
      <c r="C61">
        <v>2026</v>
      </c>
      <c r="D61" s="89">
        <f>Dashboard!R41</f>
        <v>0</v>
      </c>
    </row>
    <row r="62" spans="1:4" ht="15.6" x14ac:dyDescent="0.3">
      <c r="A62" s="49" t="s">
        <v>8</v>
      </c>
      <c r="B62" t="s">
        <v>41</v>
      </c>
      <c r="C62">
        <v>2023</v>
      </c>
      <c r="D62" s="89">
        <f>Dashboard!U37</f>
        <v>301640</v>
      </c>
    </row>
    <row r="63" spans="1:4" ht="15.6" x14ac:dyDescent="0.3">
      <c r="A63" s="49" t="s">
        <v>8</v>
      </c>
      <c r="B63" t="s">
        <v>41</v>
      </c>
      <c r="C63">
        <v>2024</v>
      </c>
      <c r="D63" s="89">
        <f>Dashboard!V37</f>
        <v>3691311.2</v>
      </c>
    </row>
    <row r="64" spans="1:4" ht="15.6" x14ac:dyDescent="0.3">
      <c r="A64" s="49" t="s">
        <v>8</v>
      </c>
      <c r="B64" t="s">
        <v>41</v>
      </c>
      <c r="C64">
        <v>2025</v>
      </c>
      <c r="D64" s="89">
        <f>Dashboard!W37</f>
        <v>4593876.4000000004</v>
      </c>
    </row>
    <row r="65" spans="1:4" ht="15.6" x14ac:dyDescent="0.3">
      <c r="A65" s="49" t="s">
        <v>8</v>
      </c>
      <c r="B65" t="s">
        <v>41</v>
      </c>
      <c r="C65">
        <v>2026</v>
      </c>
      <c r="D65" s="89">
        <f>Dashboard!X37</f>
        <v>0</v>
      </c>
    </row>
    <row r="66" spans="1:4" ht="15.6" x14ac:dyDescent="0.3">
      <c r="A66" s="49" t="s">
        <v>9</v>
      </c>
      <c r="B66" t="s">
        <v>41</v>
      </c>
      <c r="C66">
        <v>2023</v>
      </c>
      <c r="D66" s="89">
        <f>Dashboard!U38</f>
        <v>278820</v>
      </c>
    </row>
    <row r="67" spans="1:4" ht="15.6" x14ac:dyDescent="0.3">
      <c r="A67" s="49" t="s">
        <v>9</v>
      </c>
      <c r="B67" t="s">
        <v>41</v>
      </c>
      <c r="C67">
        <v>2024</v>
      </c>
      <c r="D67" s="89">
        <f>Dashboard!V38</f>
        <v>2422890</v>
      </c>
    </row>
    <row r="68" spans="1:4" ht="15.6" x14ac:dyDescent="0.3">
      <c r="A68" s="49" t="s">
        <v>9</v>
      </c>
      <c r="B68" t="s">
        <v>41</v>
      </c>
      <c r="C68">
        <v>2025</v>
      </c>
      <c r="D68" s="89">
        <f>Dashboard!W38</f>
        <v>2718491.41</v>
      </c>
    </row>
    <row r="69" spans="1:4" ht="15.6" x14ac:dyDescent="0.3">
      <c r="A69" s="49" t="s">
        <v>9</v>
      </c>
      <c r="B69" t="s">
        <v>41</v>
      </c>
      <c r="C69">
        <v>2026</v>
      </c>
      <c r="D69" s="89">
        <f>Dashboard!X38</f>
        <v>0</v>
      </c>
    </row>
    <row r="70" spans="1:4" ht="15.6" x14ac:dyDescent="0.3">
      <c r="A70" s="49" t="s">
        <v>10</v>
      </c>
      <c r="B70" t="s">
        <v>41</v>
      </c>
      <c r="C70">
        <v>2023</v>
      </c>
      <c r="D70" s="89">
        <f>Dashboard!U39</f>
        <v>432000</v>
      </c>
    </row>
    <row r="71" spans="1:4" ht="15.6" x14ac:dyDescent="0.3">
      <c r="A71" s="49" t="s">
        <v>10</v>
      </c>
      <c r="B71" t="s">
        <v>41</v>
      </c>
      <c r="C71">
        <v>2024</v>
      </c>
      <c r="D71" s="89">
        <f>Dashboard!V39</f>
        <v>288000</v>
      </c>
    </row>
    <row r="72" spans="1:4" ht="15.6" x14ac:dyDescent="0.3">
      <c r="A72" s="49" t="s">
        <v>10</v>
      </c>
      <c r="B72" t="s">
        <v>41</v>
      </c>
      <c r="C72">
        <v>2025</v>
      </c>
      <c r="D72" s="89">
        <f>Dashboard!W39</f>
        <v>0</v>
      </c>
    </row>
    <row r="73" spans="1:4" ht="15.6" x14ac:dyDescent="0.3">
      <c r="A73" s="49" t="s">
        <v>10</v>
      </c>
      <c r="B73" t="s">
        <v>41</v>
      </c>
      <c r="C73">
        <v>2026</v>
      </c>
      <c r="D73" s="89">
        <f>Dashboard!X39</f>
        <v>0</v>
      </c>
    </row>
    <row r="74" spans="1:4" ht="15.6" x14ac:dyDescent="0.3">
      <c r="A74" s="49" t="s">
        <v>11</v>
      </c>
      <c r="B74" t="s">
        <v>41</v>
      </c>
      <c r="C74">
        <v>2023</v>
      </c>
      <c r="D74" s="89">
        <f>Dashboard!U40</f>
        <v>0</v>
      </c>
    </row>
    <row r="75" spans="1:4" ht="15.6" x14ac:dyDescent="0.3">
      <c r="A75" s="49" t="s">
        <v>11</v>
      </c>
      <c r="B75" t="s">
        <v>41</v>
      </c>
      <c r="C75">
        <v>2024</v>
      </c>
      <c r="D75" s="89">
        <f>Dashboard!V40</f>
        <v>0</v>
      </c>
    </row>
    <row r="76" spans="1:4" ht="15.6" x14ac:dyDescent="0.3">
      <c r="A76" s="49" t="s">
        <v>11</v>
      </c>
      <c r="B76" t="s">
        <v>41</v>
      </c>
      <c r="C76">
        <v>2025</v>
      </c>
      <c r="D76" s="89">
        <f>Dashboard!W40</f>
        <v>0</v>
      </c>
    </row>
    <row r="77" spans="1:4" ht="15.6" x14ac:dyDescent="0.3">
      <c r="A77" s="49" t="s">
        <v>11</v>
      </c>
      <c r="B77" t="s">
        <v>41</v>
      </c>
      <c r="C77">
        <v>2026</v>
      </c>
      <c r="D77" s="89">
        <f>Dashboard!X40</f>
        <v>0</v>
      </c>
    </row>
    <row r="78" spans="1:4" ht="15.6" x14ac:dyDescent="0.3">
      <c r="A78" s="49" t="s">
        <v>12</v>
      </c>
      <c r="B78" t="s">
        <v>41</v>
      </c>
      <c r="C78">
        <v>2023</v>
      </c>
      <c r="D78" s="89">
        <f>Dashboard!U41</f>
        <v>46690</v>
      </c>
    </row>
    <row r="79" spans="1:4" ht="15.6" x14ac:dyDescent="0.3">
      <c r="A79" s="49" t="s">
        <v>12</v>
      </c>
      <c r="B79" t="s">
        <v>41</v>
      </c>
      <c r="C79">
        <v>2024</v>
      </c>
      <c r="D79" s="89">
        <f>Dashboard!V41</f>
        <v>321025</v>
      </c>
    </row>
    <row r="80" spans="1:4" ht="15.6" x14ac:dyDescent="0.3">
      <c r="A80" s="88" t="s">
        <v>12</v>
      </c>
      <c r="B80" t="s">
        <v>41</v>
      </c>
      <c r="C80">
        <v>2025</v>
      </c>
      <c r="D80" s="89">
        <f>Dashboard!W41</f>
        <v>367807.5</v>
      </c>
    </row>
    <row r="81" spans="1:4" ht="15.6" x14ac:dyDescent="0.3">
      <c r="A81" s="88" t="s">
        <v>12</v>
      </c>
      <c r="B81" t="s">
        <v>41</v>
      </c>
      <c r="C81">
        <v>2026</v>
      </c>
      <c r="D81" s="89">
        <f>Dashboard!X41</f>
        <v>0</v>
      </c>
    </row>
  </sheetData>
  <pageMargins left="0.7" right="0.7" top="0.75" bottom="0.75" header="0.3" footer="0.3"/>
  <pageSetup orientation="portrait"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FD94A-5788-41C4-B196-550685D9D376}">
  <sheetPr codeName="Sheet1"/>
  <dimension ref="A3:AB395"/>
  <sheetViews>
    <sheetView topLeftCell="A4" zoomScaleNormal="100" workbookViewId="0">
      <pane xSplit="2" ySplit="1" topLeftCell="C301" activePane="bottomRight" state="frozen"/>
      <selection pane="topRight" activeCell="C4" sqref="C4"/>
      <selection pane="bottomLeft" activeCell="A5" sqref="A5"/>
      <selection pane="bottomRight" activeCell="B381" sqref="B381"/>
    </sheetView>
  </sheetViews>
  <sheetFormatPr defaultColWidth="8.5546875" defaultRowHeight="14.4" x14ac:dyDescent="0.3"/>
  <cols>
    <col min="1" max="1" width="16.44140625" style="20" customWidth="1"/>
    <col min="2" max="2" width="44" style="5" customWidth="1"/>
    <col min="3" max="3" width="15.44140625" style="5" customWidth="1"/>
    <col min="4" max="4" width="15" style="20" customWidth="1"/>
    <col min="5" max="5" width="13.5546875" style="20" customWidth="1"/>
    <col min="6" max="6" width="11.44140625" style="20" customWidth="1"/>
    <col min="7" max="7" width="17.44140625" style="20" customWidth="1"/>
    <col min="8" max="10" width="13.5546875" style="20" customWidth="1"/>
    <col min="11" max="11" width="16.5546875" style="24" customWidth="1"/>
    <col min="12" max="12" width="14.44140625" style="24" customWidth="1"/>
    <col min="13" max="13" width="23" style="20" customWidth="1"/>
    <col min="14" max="14" width="17.5546875" style="20" customWidth="1"/>
    <col min="15" max="15" width="17.5546875" style="5" customWidth="1"/>
    <col min="16" max="16" width="18.5546875" style="5" customWidth="1"/>
    <col min="17" max="17" width="26.5546875" style="5" customWidth="1"/>
    <col min="18" max="18" width="25.44140625" style="20" customWidth="1"/>
    <col min="19" max="19" width="23.5546875" style="5" customWidth="1"/>
    <col min="20" max="20" width="83.5546875" style="20" customWidth="1"/>
    <col min="21" max="21" width="25.44140625" style="5" customWidth="1"/>
    <col min="22" max="22" width="33.44140625" style="20" customWidth="1"/>
    <col min="23" max="25" width="22.44140625" style="20" customWidth="1"/>
    <col min="26" max="26" width="15.5546875" style="20" customWidth="1"/>
    <col min="27" max="27" width="18.44140625" style="20" customWidth="1"/>
    <col min="28" max="28" width="20.44140625" style="20" customWidth="1"/>
    <col min="29" max="16384" width="8.5546875" style="20"/>
  </cols>
  <sheetData>
    <row r="3" spans="1:28" x14ac:dyDescent="0.3">
      <c r="G3" s="91"/>
    </row>
    <row r="4" spans="1:28" s="14" customFormat="1" ht="33.75" customHeight="1" x14ac:dyDescent="0.3">
      <c r="A4" s="14" t="s">
        <v>43</v>
      </c>
      <c r="B4" s="14" t="s">
        <v>44</v>
      </c>
      <c r="C4" s="14" t="s">
        <v>45</v>
      </c>
      <c r="D4" s="14" t="s">
        <v>46</v>
      </c>
      <c r="E4" s="14" t="s">
        <v>47</v>
      </c>
      <c r="F4" s="14" t="s">
        <v>48</v>
      </c>
      <c r="G4" s="14" t="s">
        <v>49</v>
      </c>
      <c r="H4" s="14" t="s">
        <v>50</v>
      </c>
      <c r="I4" s="14" t="s">
        <v>51</v>
      </c>
      <c r="J4" s="14" t="s">
        <v>52</v>
      </c>
      <c r="K4" s="109" t="s">
        <v>3</v>
      </c>
      <c r="L4" s="109" t="s">
        <v>53</v>
      </c>
      <c r="M4" s="14" t="s">
        <v>54</v>
      </c>
      <c r="N4" s="14" t="s">
        <v>55</v>
      </c>
      <c r="O4" s="14" t="s">
        <v>56</v>
      </c>
      <c r="P4" s="14" t="s">
        <v>57</v>
      </c>
      <c r="Q4" s="14" t="s">
        <v>58</v>
      </c>
      <c r="R4" s="14" t="s">
        <v>59</v>
      </c>
      <c r="S4" s="14" t="s">
        <v>60</v>
      </c>
      <c r="T4" s="14" t="s">
        <v>61</v>
      </c>
      <c r="U4" s="14" t="s">
        <v>62</v>
      </c>
      <c r="V4" s="14" t="s">
        <v>63</v>
      </c>
      <c r="W4" s="14" t="s">
        <v>64</v>
      </c>
      <c r="X4" s="14" t="s">
        <v>65</v>
      </c>
      <c r="Y4" s="14" t="s">
        <v>66</v>
      </c>
      <c r="Z4" s="14" t="s">
        <v>67</v>
      </c>
      <c r="AA4" s="14" t="s">
        <v>68</v>
      </c>
      <c r="AB4" s="14" t="s">
        <v>69</v>
      </c>
    </row>
    <row r="5" spans="1:28" x14ac:dyDescent="0.3">
      <c r="A5" s="5">
        <v>2303005</v>
      </c>
      <c r="B5" s="20" t="s">
        <v>70</v>
      </c>
      <c r="C5" s="25">
        <v>45021</v>
      </c>
      <c r="D5" s="5" t="s">
        <v>20</v>
      </c>
      <c r="E5" s="5" t="s">
        <v>71</v>
      </c>
      <c r="F5" s="5" t="s">
        <v>14</v>
      </c>
      <c r="G5" s="5" t="e" vm="15">
        <v>#VALUE!</v>
      </c>
      <c r="H5" s="5">
        <v>8.0500000000000007</v>
      </c>
      <c r="I5" s="5" t="s">
        <v>18</v>
      </c>
      <c r="J5" s="5"/>
      <c r="K5" s="11">
        <v>32000</v>
      </c>
      <c r="M5" s="5" t="s">
        <v>72</v>
      </c>
      <c r="N5" s="5" t="s">
        <v>73</v>
      </c>
      <c r="O5" s="5" t="s">
        <v>74</v>
      </c>
      <c r="P5" s="5">
        <v>14.000000000000002</v>
      </c>
      <c r="Q5" s="5" t="s">
        <v>75</v>
      </c>
      <c r="R5" s="5"/>
      <c r="S5" s="5" t="s">
        <v>76</v>
      </c>
      <c r="T5" s="20" t="s">
        <v>77</v>
      </c>
      <c r="U5" s="5" t="s">
        <v>78</v>
      </c>
      <c r="V5" s="21" t="s">
        <v>79</v>
      </c>
      <c r="W5" s="5" t="s">
        <v>80</v>
      </c>
      <c r="X5" s="5" t="s">
        <v>81</v>
      </c>
      <c r="Y5" s="5"/>
      <c r="Z5" s="5"/>
    </row>
    <row r="6" spans="1:28" x14ac:dyDescent="0.3">
      <c r="A6" s="5">
        <v>2303006</v>
      </c>
      <c r="B6" s="20" t="s">
        <v>82</v>
      </c>
      <c r="C6" s="25">
        <v>45029</v>
      </c>
      <c r="D6" s="5" t="s">
        <v>20</v>
      </c>
      <c r="E6" s="5" t="s">
        <v>71</v>
      </c>
      <c r="F6" s="5" t="s">
        <v>14</v>
      </c>
      <c r="G6" s="5" t="e" vm="15">
        <v>#VALUE!</v>
      </c>
      <c r="H6" s="5">
        <v>12.65</v>
      </c>
      <c r="I6" s="5" t="s">
        <v>18</v>
      </c>
      <c r="J6" s="5"/>
      <c r="K6" s="11">
        <v>40000</v>
      </c>
      <c r="M6" s="5" t="s">
        <v>72</v>
      </c>
      <c r="N6" s="5" t="s">
        <v>73</v>
      </c>
      <c r="O6" s="5" t="s">
        <v>74</v>
      </c>
      <c r="P6" s="5">
        <v>22.000000000000004</v>
      </c>
      <c r="Q6" s="5" t="s">
        <v>83</v>
      </c>
      <c r="R6" s="5"/>
      <c r="S6" s="5" t="s">
        <v>84</v>
      </c>
      <c r="T6" s="15" t="s">
        <v>85</v>
      </c>
      <c r="U6" s="5" t="s">
        <v>86</v>
      </c>
      <c r="V6" s="22" t="s">
        <v>87</v>
      </c>
      <c r="W6" s="5" t="s">
        <v>81</v>
      </c>
      <c r="X6" s="5" t="s">
        <v>81</v>
      </c>
      <c r="Y6" s="5"/>
      <c r="Z6" s="5"/>
    </row>
    <row r="7" spans="1:28" x14ac:dyDescent="0.3">
      <c r="A7" s="5">
        <v>2304016</v>
      </c>
      <c r="B7" s="20" t="s">
        <v>88</v>
      </c>
      <c r="C7" s="25">
        <v>45048</v>
      </c>
      <c r="D7" s="5" t="s">
        <v>19</v>
      </c>
      <c r="E7" s="5" t="s">
        <v>71</v>
      </c>
      <c r="F7" s="5" t="s">
        <v>15</v>
      </c>
      <c r="G7" s="5" t="e" vm="16">
        <v>#VALUE!</v>
      </c>
      <c r="H7" s="5">
        <v>8.0500000000000007</v>
      </c>
      <c r="I7" s="5" t="s">
        <v>18</v>
      </c>
      <c r="J7" s="5"/>
      <c r="K7" s="11">
        <v>31000</v>
      </c>
      <c r="M7" s="5" t="s">
        <v>72</v>
      </c>
      <c r="N7" s="5" t="s">
        <v>73</v>
      </c>
      <c r="O7" s="5" t="s">
        <v>74</v>
      </c>
      <c r="P7" s="5">
        <v>14.000000000000002</v>
      </c>
      <c r="Q7" s="5" t="s">
        <v>75</v>
      </c>
      <c r="R7" s="5"/>
      <c r="S7" s="5" t="s">
        <v>89</v>
      </c>
      <c r="T7" s="20" t="s">
        <v>90</v>
      </c>
      <c r="U7" s="5" t="s">
        <v>91</v>
      </c>
      <c r="V7" s="21" t="s">
        <v>92</v>
      </c>
      <c r="W7" s="5" t="s">
        <v>80</v>
      </c>
      <c r="X7" s="5" t="s">
        <v>81</v>
      </c>
      <c r="Y7" s="5"/>
      <c r="Z7" s="5"/>
    </row>
    <row r="8" spans="1:28" x14ac:dyDescent="0.3">
      <c r="A8" s="5">
        <v>2305021</v>
      </c>
      <c r="B8" s="20" t="s">
        <v>93</v>
      </c>
      <c r="C8" s="25">
        <v>45058</v>
      </c>
      <c r="D8" s="5" t="s">
        <v>20</v>
      </c>
      <c r="E8" s="5" t="s">
        <v>71</v>
      </c>
      <c r="F8" s="5" t="s">
        <v>14</v>
      </c>
      <c r="G8" s="5" t="e" vm="15">
        <v>#VALUE!</v>
      </c>
      <c r="H8" s="5">
        <v>4.6500000000000004</v>
      </c>
      <c r="I8" s="5" t="s">
        <v>18</v>
      </c>
      <c r="J8" s="5"/>
      <c r="K8" s="11">
        <v>20000</v>
      </c>
      <c r="M8" s="5" t="s">
        <v>72</v>
      </c>
      <c r="N8" s="5" t="s">
        <v>73</v>
      </c>
      <c r="O8" s="5" t="s">
        <v>74</v>
      </c>
      <c r="P8" s="5">
        <v>8</v>
      </c>
      <c r="Q8" s="5" t="s">
        <v>94</v>
      </c>
      <c r="R8" s="5"/>
      <c r="S8" s="5" t="s">
        <v>95</v>
      </c>
      <c r="T8" s="20" t="s">
        <v>96</v>
      </c>
      <c r="U8" s="5" t="s">
        <v>97</v>
      </c>
      <c r="V8" s="21" t="s">
        <v>98</v>
      </c>
      <c r="W8" s="5" t="s">
        <v>80</v>
      </c>
      <c r="X8" s="5" t="s">
        <v>81</v>
      </c>
      <c r="Y8" s="5"/>
      <c r="Z8" s="5"/>
    </row>
    <row r="9" spans="1:28" x14ac:dyDescent="0.3">
      <c r="A9" s="5">
        <v>2305026</v>
      </c>
      <c r="B9" s="20" t="s">
        <v>99</v>
      </c>
      <c r="C9" s="25">
        <v>45114</v>
      </c>
      <c r="D9" s="5" t="s">
        <v>20</v>
      </c>
      <c r="E9" s="5" t="s">
        <v>71</v>
      </c>
      <c r="F9" s="5" t="s">
        <v>14</v>
      </c>
      <c r="G9" s="5" t="e" vm="15">
        <v>#VALUE!</v>
      </c>
      <c r="H9" s="5">
        <v>12.65</v>
      </c>
      <c r="I9" s="5" t="s">
        <v>18</v>
      </c>
      <c r="J9" s="5"/>
      <c r="K9" s="11">
        <v>40000</v>
      </c>
      <c r="M9" s="5" t="s">
        <v>72</v>
      </c>
      <c r="N9" s="5" t="s">
        <v>73</v>
      </c>
      <c r="O9" s="12" t="s">
        <v>74</v>
      </c>
      <c r="P9" s="13">
        <v>22</v>
      </c>
      <c r="Q9" s="12" t="s">
        <v>83</v>
      </c>
      <c r="R9" s="12"/>
      <c r="S9" s="5" t="s">
        <v>100</v>
      </c>
      <c r="T9" s="20" t="s">
        <v>101</v>
      </c>
      <c r="U9" s="5" t="s">
        <v>102</v>
      </c>
      <c r="V9" s="21" t="s">
        <v>103</v>
      </c>
      <c r="W9" s="5" t="s">
        <v>81</v>
      </c>
      <c r="X9" s="5" t="s">
        <v>81</v>
      </c>
      <c r="Y9" s="5"/>
      <c r="Z9" s="5"/>
    </row>
    <row r="10" spans="1:28" x14ac:dyDescent="0.3">
      <c r="A10" s="5">
        <v>2306033</v>
      </c>
      <c r="B10" s="20" t="s">
        <v>104</v>
      </c>
      <c r="C10" s="25">
        <v>45083</v>
      </c>
      <c r="D10" s="5" t="s">
        <v>19</v>
      </c>
      <c r="E10" s="5" t="s">
        <v>71</v>
      </c>
      <c r="F10" s="5" t="s">
        <v>14</v>
      </c>
      <c r="G10" s="5" t="e" vm="17">
        <v>#VALUE!</v>
      </c>
      <c r="H10" s="5">
        <v>4.6500000000000004</v>
      </c>
      <c r="I10" s="5" t="s">
        <v>18</v>
      </c>
      <c r="J10" s="5"/>
      <c r="K10" s="11">
        <v>16000</v>
      </c>
      <c r="M10" s="5" t="s">
        <v>72</v>
      </c>
      <c r="N10" s="5" t="s">
        <v>73</v>
      </c>
      <c r="O10" s="5" t="s">
        <v>74</v>
      </c>
      <c r="P10" s="5">
        <v>8</v>
      </c>
      <c r="Q10" s="5" t="s">
        <v>94</v>
      </c>
      <c r="R10" s="5"/>
      <c r="S10" s="5" t="s">
        <v>105</v>
      </c>
      <c r="T10" s="20" t="s">
        <v>106</v>
      </c>
      <c r="U10" s="5" t="s">
        <v>107</v>
      </c>
      <c r="V10" s="21" t="s">
        <v>108</v>
      </c>
      <c r="W10" s="5" t="s">
        <v>109</v>
      </c>
      <c r="X10" s="5" t="s">
        <v>81</v>
      </c>
      <c r="Y10" s="5"/>
      <c r="Z10" s="5"/>
    </row>
    <row r="11" spans="1:28" x14ac:dyDescent="0.3">
      <c r="A11" s="5">
        <v>2306037</v>
      </c>
      <c r="B11" s="20" t="s">
        <v>110</v>
      </c>
      <c r="C11" s="25">
        <v>45195</v>
      </c>
      <c r="D11" s="5" t="s">
        <v>20</v>
      </c>
      <c r="E11" s="5" t="s">
        <v>71</v>
      </c>
      <c r="F11" s="5" t="s">
        <v>14</v>
      </c>
      <c r="G11" s="5" t="e" vm="18">
        <v>#VALUE!</v>
      </c>
      <c r="H11" s="5">
        <v>10.925000000000001</v>
      </c>
      <c r="I11" s="5" t="s">
        <v>18</v>
      </c>
      <c r="J11" s="5"/>
      <c r="K11" s="11">
        <v>36575</v>
      </c>
      <c r="M11" s="5" t="s">
        <v>72</v>
      </c>
      <c r="N11" s="5" t="s">
        <v>73</v>
      </c>
      <c r="O11" s="12" t="s">
        <v>74</v>
      </c>
      <c r="P11" s="13">
        <v>19</v>
      </c>
      <c r="Q11" s="12" t="s">
        <v>111</v>
      </c>
      <c r="R11" s="12"/>
      <c r="S11" s="12" t="s">
        <v>112</v>
      </c>
      <c r="T11" s="20" t="s">
        <v>113</v>
      </c>
      <c r="U11" s="5" t="s">
        <v>114</v>
      </c>
      <c r="V11" s="21" t="s">
        <v>115</v>
      </c>
      <c r="W11" s="5" t="s">
        <v>109</v>
      </c>
      <c r="X11" s="5" t="s">
        <v>81</v>
      </c>
      <c r="Y11" s="5"/>
      <c r="Z11" s="5" t="s">
        <v>116</v>
      </c>
    </row>
    <row r="12" spans="1:28" x14ac:dyDescent="0.3">
      <c r="A12" s="5">
        <v>2307040</v>
      </c>
      <c r="B12" s="20" t="s">
        <v>117</v>
      </c>
      <c r="C12" s="25">
        <v>45118</v>
      </c>
      <c r="D12" s="5" t="s">
        <v>19</v>
      </c>
      <c r="E12" s="5" t="s">
        <v>71</v>
      </c>
      <c r="F12" s="5" t="s">
        <v>14</v>
      </c>
      <c r="G12" s="5" t="e" vm="15">
        <v>#VALUE!</v>
      </c>
      <c r="H12" s="5">
        <v>12.65</v>
      </c>
      <c r="I12" s="5" t="s">
        <v>18</v>
      </c>
      <c r="J12" s="5"/>
      <c r="K12" s="11">
        <v>40000</v>
      </c>
      <c r="M12" s="5" t="s">
        <v>72</v>
      </c>
      <c r="N12" s="5" t="s">
        <v>73</v>
      </c>
      <c r="O12" s="5" t="s">
        <v>74</v>
      </c>
      <c r="P12" s="5">
        <v>22.000000000000004</v>
      </c>
      <c r="Q12" s="5" t="s">
        <v>83</v>
      </c>
      <c r="R12" s="5"/>
      <c r="S12" s="5" t="s">
        <v>118</v>
      </c>
      <c r="T12" s="20" t="s">
        <v>119</v>
      </c>
      <c r="U12" s="5" t="s">
        <v>120</v>
      </c>
      <c r="V12" s="21" t="s">
        <v>121</v>
      </c>
      <c r="W12" s="5" t="s">
        <v>122</v>
      </c>
      <c r="X12" s="5" t="s">
        <v>81</v>
      </c>
      <c r="Y12" s="5"/>
      <c r="Z12" s="5"/>
    </row>
    <row r="13" spans="1:28" x14ac:dyDescent="0.3">
      <c r="A13" s="5">
        <v>2305011</v>
      </c>
      <c r="B13" s="20" t="s">
        <v>123</v>
      </c>
      <c r="C13" s="25">
        <v>45078</v>
      </c>
      <c r="D13" s="5" t="s">
        <v>20</v>
      </c>
      <c r="E13" s="5" t="s">
        <v>124</v>
      </c>
      <c r="F13" s="5" t="s">
        <v>14</v>
      </c>
      <c r="G13" s="5" t="e" vm="15">
        <v>#VALUE!</v>
      </c>
      <c r="H13" s="5">
        <v>283.94499999999999</v>
      </c>
      <c r="I13" s="5" t="s">
        <v>18</v>
      </c>
      <c r="J13" s="5"/>
      <c r="K13" s="11">
        <v>242000</v>
      </c>
      <c r="M13" s="5" t="s">
        <v>125</v>
      </c>
      <c r="N13" s="5" t="s">
        <v>73</v>
      </c>
      <c r="O13" s="5" t="s">
        <v>18</v>
      </c>
      <c r="P13" s="5" t="s">
        <v>18</v>
      </c>
      <c r="Q13" s="5" t="s">
        <v>18</v>
      </c>
      <c r="R13" s="5"/>
      <c r="S13" s="5" t="s">
        <v>18</v>
      </c>
      <c r="T13" s="20" t="s">
        <v>126</v>
      </c>
      <c r="U13" s="5" t="s">
        <v>18</v>
      </c>
      <c r="V13" s="5" t="s">
        <v>18</v>
      </c>
      <c r="W13" s="5" t="s">
        <v>109</v>
      </c>
      <c r="X13" s="5" t="s">
        <v>81</v>
      </c>
      <c r="Y13" s="5" t="s">
        <v>109</v>
      </c>
      <c r="Z13" s="5" t="s">
        <v>116</v>
      </c>
    </row>
    <row r="14" spans="1:28" x14ac:dyDescent="0.3">
      <c r="A14" s="5">
        <v>2304007</v>
      </c>
      <c r="B14" s="20" t="s">
        <v>127</v>
      </c>
      <c r="C14" s="25">
        <v>45105</v>
      </c>
      <c r="D14" s="5" t="s">
        <v>20</v>
      </c>
      <c r="E14" s="5" t="s">
        <v>124</v>
      </c>
      <c r="F14" s="5" t="s">
        <v>14</v>
      </c>
      <c r="G14" s="5" t="e" vm="18">
        <v>#VALUE!</v>
      </c>
      <c r="H14" s="5">
        <v>51.75</v>
      </c>
      <c r="I14" s="5"/>
      <c r="J14" s="5"/>
      <c r="K14" s="11">
        <v>188800</v>
      </c>
      <c r="M14" s="5" t="s">
        <v>125</v>
      </c>
      <c r="N14" s="5" t="s">
        <v>73</v>
      </c>
      <c r="O14" s="5" t="s">
        <v>74</v>
      </c>
      <c r="P14" s="5">
        <v>90</v>
      </c>
      <c r="Q14" s="5" t="s">
        <v>128</v>
      </c>
      <c r="R14" s="5"/>
      <c r="S14" s="5" t="s">
        <v>18</v>
      </c>
      <c r="T14" s="20" t="s">
        <v>129</v>
      </c>
      <c r="U14" s="5" t="s">
        <v>18</v>
      </c>
      <c r="V14" s="5" t="s">
        <v>18</v>
      </c>
      <c r="W14" s="5" t="s">
        <v>122</v>
      </c>
      <c r="X14" s="5" t="s">
        <v>81</v>
      </c>
      <c r="Y14" s="5" t="s">
        <v>109</v>
      </c>
      <c r="Z14" s="5"/>
    </row>
    <row r="15" spans="1:28" x14ac:dyDescent="0.3">
      <c r="A15" s="5">
        <v>2307042</v>
      </c>
      <c r="B15" s="20" t="s">
        <v>130</v>
      </c>
      <c r="C15" s="25">
        <v>45086</v>
      </c>
      <c r="D15" s="5" t="s">
        <v>19</v>
      </c>
      <c r="E15" s="5" t="s">
        <v>71</v>
      </c>
      <c r="F15" s="5" t="s">
        <v>14</v>
      </c>
      <c r="G15" s="5" t="e" vm="16">
        <v>#VALUE!</v>
      </c>
      <c r="H15" s="5">
        <v>16.100000000000001</v>
      </c>
      <c r="I15" s="5" t="s">
        <v>18</v>
      </c>
      <c r="J15" s="5"/>
      <c r="K15" s="11">
        <v>50000</v>
      </c>
      <c r="M15" s="5" t="s">
        <v>72</v>
      </c>
      <c r="N15" s="5" t="s">
        <v>73</v>
      </c>
      <c r="O15" s="5" t="s">
        <v>74</v>
      </c>
      <c r="P15" s="5">
        <v>28.000000000000004</v>
      </c>
      <c r="Q15" s="5" t="s">
        <v>131</v>
      </c>
      <c r="R15" s="5"/>
      <c r="S15" s="5" t="s">
        <v>132</v>
      </c>
      <c r="T15" s="20" t="s">
        <v>133</v>
      </c>
      <c r="U15" s="5" t="s">
        <v>134</v>
      </c>
      <c r="V15" s="21" t="s">
        <v>135</v>
      </c>
      <c r="W15" s="5" t="s">
        <v>80</v>
      </c>
      <c r="X15" s="5" t="s">
        <v>81</v>
      </c>
      <c r="Y15" s="5"/>
      <c r="Z15" s="5"/>
    </row>
    <row r="16" spans="1:28" x14ac:dyDescent="0.3">
      <c r="A16" s="5">
        <v>2308058</v>
      </c>
      <c r="B16" s="20" t="s">
        <v>136</v>
      </c>
      <c r="C16" s="25">
        <v>45144</v>
      </c>
      <c r="D16" s="5" t="s">
        <v>20</v>
      </c>
      <c r="E16" s="5" t="s">
        <v>71</v>
      </c>
      <c r="F16" s="5" t="s">
        <v>14</v>
      </c>
      <c r="G16" s="5" t="e" vm="15">
        <v>#VALUE!</v>
      </c>
      <c r="H16" s="5">
        <v>6.9</v>
      </c>
      <c r="I16" s="5" t="s">
        <v>18</v>
      </c>
      <c r="J16" s="5"/>
      <c r="K16" s="11">
        <v>30000</v>
      </c>
      <c r="M16" s="5" t="s">
        <v>72</v>
      </c>
      <c r="N16" s="5" t="s">
        <v>73</v>
      </c>
      <c r="O16" s="5" t="s">
        <v>74</v>
      </c>
      <c r="P16" s="5">
        <v>12.000000000000002</v>
      </c>
      <c r="Q16" s="5" t="s">
        <v>137</v>
      </c>
      <c r="R16" s="5"/>
      <c r="S16" s="5" t="s">
        <v>138</v>
      </c>
      <c r="T16" s="20" t="s">
        <v>139</v>
      </c>
      <c r="U16" s="5" t="s">
        <v>140</v>
      </c>
      <c r="V16" s="21" t="s">
        <v>141</v>
      </c>
      <c r="W16" s="5" t="s">
        <v>122</v>
      </c>
      <c r="X16" s="5" t="s">
        <v>81</v>
      </c>
      <c r="Y16" s="5"/>
      <c r="Z16" s="5"/>
    </row>
    <row r="17" spans="1:28" x14ac:dyDescent="0.3">
      <c r="A17" s="5">
        <v>2308062</v>
      </c>
      <c r="B17" s="20" t="s">
        <v>142</v>
      </c>
      <c r="C17" s="25">
        <v>45247</v>
      </c>
      <c r="D17" s="5" t="s">
        <v>20</v>
      </c>
      <c r="E17" s="5" t="s">
        <v>71</v>
      </c>
      <c r="F17" s="5" t="s">
        <v>14</v>
      </c>
      <c r="G17" s="5" t="e" vm="15">
        <v>#VALUE!</v>
      </c>
      <c r="H17" s="5">
        <v>12.65</v>
      </c>
      <c r="I17" s="5" t="s">
        <v>18</v>
      </c>
      <c r="J17" s="5"/>
      <c r="K17" s="11">
        <v>42300</v>
      </c>
      <c r="M17" s="5" t="s">
        <v>72</v>
      </c>
      <c r="N17" s="5" t="s">
        <v>73</v>
      </c>
      <c r="O17" s="12" t="s">
        <v>74</v>
      </c>
      <c r="P17" s="13">
        <v>22.000000000000004</v>
      </c>
      <c r="Q17" s="12" t="s">
        <v>143</v>
      </c>
      <c r="R17" s="12"/>
      <c r="S17" s="5" t="s">
        <v>144</v>
      </c>
      <c r="T17" s="15" t="s">
        <v>145</v>
      </c>
      <c r="U17" s="5" t="s">
        <v>146</v>
      </c>
      <c r="V17" s="22" t="s">
        <v>147</v>
      </c>
      <c r="W17" s="5" t="s">
        <v>122</v>
      </c>
      <c r="X17" s="5" t="s">
        <v>81</v>
      </c>
      <c r="Y17" s="5"/>
      <c r="Z17" s="5"/>
    </row>
    <row r="18" spans="1:28" x14ac:dyDescent="0.3">
      <c r="A18" s="5">
        <v>2309068</v>
      </c>
      <c r="B18" s="20" t="s">
        <v>148</v>
      </c>
      <c r="C18" s="25">
        <v>45219</v>
      </c>
      <c r="D18" s="5" t="s">
        <v>19</v>
      </c>
      <c r="E18" s="5" t="s">
        <v>71</v>
      </c>
      <c r="F18" s="5" t="s">
        <v>14</v>
      </c>
      <c r="G18" s="5" t="e" vm="16">
        <v>#VALUE!</v>
      </c>
      <c r="H18" s="5">
        <v>6.9</v>
      </c>
      <c r="I18" s="5" t="s">
        <v>18</v>
      </c>
      <c r="J18" s="5"/>
      <c r="K18" s="11">
        <v>28500</v>
      </c>
      <c r="M18" s="5" t="s">
        <v>72</v>
      </c>
      <c r="N18" s="5" t="s">
        <v>73</v>
      </c>
      <c r="O18" s="5" t="s">
        <v>74</v>
      </c>
      <c r="P18" s="5">
        <v>12.000000000000002</v>
      </c>
      <c r="Q18" s="5" t="s">
        <v>137</v>
      </c>
      <c r="R18" s="5"/>
      <c r="S18" s="5" t="s">
        <v>149</v>
      </c>
      <c r="T18" s="20" t="s">
        <v>150</v>
      </c>
      <c r="U18" s="5" t="s">
        <v>151</v>
      </c>
      <c r="V18" s="22" t="s">
        <v>152</v>
      </c>
      <c r="W18" s="5" t="s">
        <v>80</v>
      </c>
      <c r="X18" s="5" t="s">
        <v>81</v>
      </c>
      <c r="Y18" s="5"/>
      <c r="Z18" s="5"/>
    </row>
    <row r="19" spans="1:28" x14ac:dyDescent="0.3">
      <c r="A19" s="5">
        <v>2310078</v>
      </c>
      <c r="B19" s="20" t="s">
        <v>153</v>
      </c>
      <c r="C19" s="25">
        <v>45209</v>
      </c>
      <c r="D19" s="5" t="s">
        <v>19</v>
      </c>
      <c r="E19" s="5" t="s">
        <v>71</v>
      </c>
      <c r="F19" s="5" t="s">
        <v>14</v>
      </c>
      <c r="G19" s="5" t="e" vm="16">
        <v>#VALUE!</v>
      </c>
      <c r="H19" s="5">
        <v>16.100000000000001</v>
      </c>
      <c r="I19" s="5" t="s">
        <v>18</v>
      </c>
      <c r="J19" s="5"/>
      <c r="K19" s="11">
        <v>52000</v>
      </c>
      <c r="M19" s="5" t="s">
        <v>72</v>
      </c>
      <c r="N19" s="5" t="s">
        <v>73</v>
      </c>
      <c r="O19" s="5" t="s">
        <v>74</v>
      </c>
      <c r="P19" s="5">
        <v>28.000000000000004</v>
      </c>
      <c r="Q19" s="5" t="s">
        <v>131</v>
      </c>
      <c r="R19" s="5"/>
      <c r="S19" s="5" t="s">
        <v>154</v>
      </c>
      <c r="T19" s="20" t="s">
        <v>155</v>
      </c>
      <c r="U19" s="5" t="s">
        <v>156</v>
      </c>
      <c r="V19" s="21" t="s">
        <v>157</v>
      </c>
      <c r="W19" s="5" t="s">
        <v>80</v>
      </c>
      <c r="X19" s="5" t="s">
        <v>81</v>
      </c>
      <c r="Y19" s="5"/>
      <c r="Z19" s="5"/>
    </row>
    <row r="20" spans="1:28" x14ac:dyDescent="0.3">
      <c r="A20" s="5">
        <v>2310083</v>
      </c>
      <c r="B20" s="20" t="s">
        <v>158</v>
      </c>
      <c r="C20" s="25">
        <v>45229</v>
      </c>
      <c r="D20" s="5" t="s">
        <v>19</v>
      </c>
      <c r="E20" s="5" t="s">
        <v>71</v>
      </c>
      <c r="F20" s="5" t="s">
        <v>14</v>
      </c>
      <c r="G20" s="5" t="e" vm="16">
        <v>#VALUE!</v>
      </c>
      <c r="H20" s="5">
        <v>8.0500000000000007</v>
      </c>
      <c r="I20" s="5" t="s">
        <v>18</v>
      </c>
      <c r="J20" s="5"/>
      <c r="K20" s="11">
        <v>31000</v>
      </c>
      <c r="M20" s="5" t="s">
        <v>72</v>
      </c>
      <c r="N20" s="5" t="s">
        <v>73</v>
      </c>
      <c r="O20" s="5" t="s">
        <v>74</v>
      </c>
      <c r="P20" s="5">
        <v>14.000000000000002</v>
      </c>
      <c r="Q20" s="5" t="s">
        <v>75</v>
      </c>
      <c r="R20" s="5"/>
      <c r="S20" s="5" t="s">
        <v>159</v>
      </c>
      <c r="T20" s="20" t="s">
        <v>160</v>
      </c>
      <c r="U20" s="5" t="s">
        <v>161</v>
      </c>
      <c r="V20" s="22" t="s">
        <v>162</v>
      </c>
      <c r="W20" s="5" t="s">
        <v>80</v>
      </c>
      <c r="X20" s="5" t="s">
        <v>81</v>
      </c>
      <c r="Y20" s="5"/>
      <c r="Z20" s="5"/>
    </row>
    <row r="21" spans="1:28" x14ac:dyDescent="0.3">
      <c r="A21" s="5">
        <v>2310084</v>
      </c>
      <c r="B21" s="20" t="s">
        <v>163</v>
      </c>
      <c r="C21" s="25">
        <v>45231</v>
      </c>
      <c r="D21" s="5" t="s">
        <v>19</v>
      </c>
      <c r="E21" s="5" t="s">
        <v>71</v>
      </c>
      <c r="F21" s="5" t="s">
        <v>14</v>
      </c>
      <c r="G21" s="5" t="e" vm="16">
        <v>#VALUE!</v>
      </c>
      <c r="H21" s="5">
        <v>8.0500000000000007</v>
      </c>
      <c r="I21" s="5" t="s">
        <v>18</v>
      </c>
      <c r="J21" s="5"/>
      <c r="K21" s="11">
        <v>34000</v>
      </c>
      <c r="M21" s="5" t="s">
        <v>164</v>
      </c>
      <c r="N21" s="5" t="s">
        <v>73</v>
      </c>
      <c r="O21" s="5" t="s">
        <v>74</v>
      </c>
      <c r="P21" s="5">
        <v>14.000000000000002</v>
      </c>
      <c r="Q21" s="5" t="s">
        <v>75</v>
      </c>
      <c r="R21" s="5"/>
      <c r="S21" s="5" t="s">
        <v>165</v>
      </c>
      <c r="T21" s="20" t="s">
        <v>166</v>
      </c>
      <c r="U21" s="5" t="s">
        <v>167</v>
      </c>
      <c r="V21" s="22" t="s">
        <v>168</v>
      </c>
      <c r="W21" s="5" t="s">
        <v>80</v>
      </c>
      <c r="X21" s="5" t="s">
        <v>81</v>
      </c>
      <c r="Y21" s="5"/>
      <c r="Z21" s="5"/>
    </row>
    <row r="22" spans="1:28" x14ac:dyDescent="0.3">
      <c r="A22" s="5">
        <v>2305024</v>
      </c>
      <c r="B22" s="20" t="s">
        <v>169</v>
      </c>
      <c r="C22" s="25">
        <v>45103</v>
      </c>
      <c r="D22" s="5" t="s">
        <v>19</v>
      </c>
      <c r="E22" s="5" t="s">
        <v>71</v>
      </c>
      <c r="F22" s="5" t="s">
        <v>14</v>
      </c>
      <c r="G22" s="5" t="e" vm="16">
        <v>#VALUE!</v>
      </c>
      <c r="H22" s="5">
        <v>12.65</v>
      </c>
      <c r="I22" s="5" t="s">
        <v>18</v>
      </c>
      <c r="J22" s="5"/>
      <c r="K22" s="11">
        <v>42500</v>
      </c>
      <c r="L22" s="24">
        <v>6000</v>
      </c>
      <c r="M22" s="5" t="s">
        <v>72</v>
      </c>
      <c r="N22" s="5" t="s">
        <v>73</v>
      </c>
      <c r="O22" s="5" t="s">
        <v>74</v>
      </c>
      <c r="P22" s="5">
        <v>22.000000000000004</v>
      </c>
      <c r="Q22" s="5" t="s">
        <v>170</v>
      </c>
      <c r="R22" s="5"/>
      <c r="S22" s="5" t="s">
        <v>171</v>
      </c>
      <c r="T22" s="20" t="s">
        <v>172</v>
      </c>
      <c r="U22" s="5" t="s">
        <v>173</v>
      </c>
      <c r="V22" s="22" t="s">
        <v>174</v>
      </c>
      <c r="W22" s="5" t="s">
        <v>80</v>
      </c>
      <c r="X22" s="5" t="s">
        <v>81</v>
      </c>
      <c r="Y22" s="5"/>
      <c r="Z22" s="5"/>
    </row>
    <row r="23" spans="1:28" x14ac:dyDescent="0.3">
      <c r="A23" s="5">
        <v>2307052</v>
      </c>
      <c r="B23" s="20" t="s">
        <v>175</v>
      </c>
      <c r="C23" s="25">
        <v>45154</v>
      </c>
      <c r="D23" s="5" t="s">
        <v>19</v>
      </c>
      <c r="E23" s="5" t="s">
        <v>71</v>
      </c>
      <c r="F23" s="5" t="s">
        <v>14</v>
      </c>
      <c r="G23" s="5" t="e" vm="16">
        <v>#VALUE!</v>
      </c>
      <c r="H23" s="5">
        <v>4.5999999999999996</v>
      </c>
      <c r="I23" s="5" t="s">
        <v>18</v>
      </c>
      <c r="J23" s="5"/>
      <c r="K23" s="11">
        <v>22100</v>
      </c>
      <c r="M23" s="5" t="s">
        <v>176</v>
      </c>
      <c r="N23" s="5" t="s">
        <v>73</v>
      </c>
      <c r="O23" s="5" t="s">
        <v>74</v>
      </c>
      <c r="P23" s="5">
        <v>8</v>
      </c>
      <c r="Q23" s="5" t="s">
        <v>94</v>
      </c>
      <c r="R23" s="5"/>
      <c r="S23" s="5" t="s">
        <v>177</v>
      </c>
      <c r="T23" s="20" t="s">
        <v>178</v>
      </c>
      <c r="U23" s="5" t="s">
        <v>179</v>
      </c>
      <c r="V23" s="91" t="s">
        <v>180</v>
      </c>
      <c r="W23" s="92" t="s">
        <v>80</v>
      </c>
      <c r="X23" s="5" t="s">
        <v>81</v>
      </c>
      <c r="Y23" s="5"/>
      <c r="Z23" s="5"/>
    </row>
    <row r="24" spans="1:28" x14ac:dyDescent="0.3">
      <c r="A24" s="5">
        <v>2304010</v>
      </c>
      <c r="B24" s="20" t="s">
        <v>181</v>
      </c>
      <c r="C24" s="25">
        <v>45061</v>
      </c>
      <c r="D24" s="5" t="s">
        <v>20</v>
      </c>
      <c r="E24" s="5" t="s">
        <v>71</v>
      </c>
      <c r="F24" s="5" t="s">
        <v>14</v>
      </c>
      <c r="G24" s="5" t="e" vm="15">
        <v>#VALUE!</v>
      </c>
      <c r="H24" s="5">
        <v>13.625</v>
      </c>
      <c r="I24" s="5" t="s">
        <v>18</v>
      </c>
      <c r="J24" s="5"/>
      <c r="K24" s="11">
        <v>20650</v>
      </c>
      <c r="M24" s="5" t="s">
        <v>125</v>
      </c>
      <c r="N24" s="5" t="s">
        <v>73</v>
      </c>
      <c r="O24" s="5" t="s">
        <v>18</v>
      </c>
      <c r="P24" s="5" t="s">
        <v>18</v>
      </c>
      <c r="Q24" s="5" t="s">
        <v>182</v>
      </c>
      <c r="R24" s="5"/>
      <c r="S24" s="5" t="s">
        <v>183</v>
      </c>
      <c r="T24" s="20" t="s">
        <v>184</v>
      </c>
      <c r="U24" s="5" t="s">
        <v>185</v>
      </c>
      <c r="V24" s="91" t="s">
        <v>186</v>
      </c>
      <c r="W24" s="5" t="s">
        <v>109</v>
      </c>
      <c r="X24" s="5" t="s">
        <v>81</v>
      </c>
      <c r="Y24" s="5"/>
      <c r="Z24" s="5" t="s">
        <v>116</v>
      </c>
    </row>
    <row r="25" spans="1:28" x14ac:dyDescent="0.3">
      <c r="A25" s="5">
        <v>2308065</v>
      </c>
      <c r="B25" s="20" t="s">
        <v>187</v>
      </c>
      <c r="C25" s="25">
        <v>45176</v>
      </c>
      <c r="D25" s="5" t="s">
        <v>19</v>
      </c>
      <c r="E25" s="5" t="s">
        <v>71</v>
      </c>
      <c r="F25" s="5" t="s">
        <v>14</v>
      </c>
      <c r="G25" s="5" t="e" vm="16">
        <v>#VALUE!</v>
      </c>
      <c r="H25" s="5">
        <v>8.625</v>
      </c>
      <c r="I25" s="5" t="s">
        <v>18</v>
      </c>
      <c r="J25" s="5"/>
      <c r="K25" s="11">
        <v>33000</v>
      </c>
      <c r="L25" s="24">
        <v>2500</v>
      </c>
      <c r="M25" s="5" t="s">
        <v>72</v>
      </c>
      <c r="N25" s="5" t="s">
        <v>73</v>
      </c>
      <c r="O25" s="5" t="s">
        <v>74</v>
      </c>
      <c r="P25" s="5">
        <v>15.000000000000002</v>
      </c>
      <c r="Q25" s="5" t="s">
        <v>75</v>
      </c>
      <c r="R25" s="5"/>
      <c r="S25" s="5" t="s">
        <v>188</v>
      </c>
      <c r="T25" s="20" t="s">
        <v>189</v>
      </c>
      <c r="U25" s="5" t="s">
        <v>190</v>
      </c>
      <c r="V25" s="22" t="s">
        <v>191</v>
      </c>
      <c r="W25" s="5" t="s">
        <v>80</v>
      </c>
      <c r="X25" s="5" t="s">
        <v>81</v>
      </c>
      <c r="Y25" s="5"/>
      <c r="Z25" s="5"/>
    </row>
    <row r="26" spans="1:28" x14ac:dyDescent="0.3">
      <c r="A26" s="5">
        <v>2306009</v>
      </c>
      <c r="B26" s="20" t="s">
        <v>192</v>
      </c>
      <c r="C26" s="25">
        <v>45193</v>
      </c>
      <c r="D26" s="5" t="s">
        <v>20</v>
      </c>
      <c r="E26" s="5" t="s">
        <v>193</v>
      </c>
      <c r="F26" s="5" t="s">
        <v>15</v>
      </c>
      <c r="G26" s="5" t="e" vm="15">
        <v>#VALUE!</v>
      </c>
      <c r="H26" s="5">
        <v>85.1</v>
      </c>
      <c r="I26" s="5">
        <v>44</v>
      </c>
      <c r="J26" s="5">
        <v>287.39999999999998</v>
      </c>
      <c r="K26" s="11">
        <v>720000</v>
      </c>
      <c r="M26" s="5" t="s">
        <v>125</v>
      </c>
      <c r="N26" s="5" t="s">
        <v>73</v>
      </c>
      <c r="O26" s="5" t="s">
        <v>74</v>
      </c>
      <c r="P26" s="5">
        <v>148</v>
      </c>
      <c r="Q26" s="5" t="s">
        <v>194</v>
      </c>
      <c r="R26" s="5"/>
      <c r="T26" s="20" t="s">
        <v>195</v>
      </c>
      <c r="V26" s="22"/>
      <c r="W26" s="5"/>
      <c r="X26" s="5" t="s">
        <v>81</v>
      </c>
      <c r="Y26" s="5"/>
      <c r="Z26" s="5"/>
    </row>
    <row r="27" spans="1:28" x14ac:dyDescent="0.3">
      <c r="A27" s="5">
        <v>2303003</v>
      </c>
      <c r="B27" s="20" t="s">
        <v>196</v>
      </c>
      <c r="C27" s="25">
        <v>45309</v>
      </c>
      <c r="D27" s="5" t="s">
        <v>19</v>
      </c>
      <c r="E27" s="5" t="s">
        <v>124</v>
      </c>
      <c r="F27" s="5" t="s">
        <v>14</v>
      </c>
      <c r="G27" s="5" t="e" vm="16">
        <v>#VALUE!</v>
      </c>
      <c r="H27" s="5">
        <v>23</v>
      </c>
      <c r="I27" s="5" t="s">
        <v>18</v>
      </c>
      <c r="J27" s="5"/>
      <c r="K27" s="11">
        <v>80000</v>
      </c>
      <c r="M27" s="5" t="s">
        <v>72</v>
      </c>
      <c r="N27" s="5" t="s">
        <v>73</v>
      </c>
      <c r="O27" s="5" t="s">
        <v>74</v>
      </c>
      <c r="P27" s="5">
        <v>40</v>
      </c>
      <c r="Q27" s="5" t="s">
        <v>197</v>
      </c>
      <c r="R27" s="5"/>
      <c r="S27" s="5" t="s">
        <v>18</v>
      </c>
      <c r="T27" s="20" t="s">
        <v>198</v>
      </c>
      <c r="U27" s="5" t="s">
        <v>18</v>
      </c>
      <c r="V27" s="20" t="s">
        <v>18</v>
      </c>
      <c r="W27" s="5" t="s">
        <v>109</v>
      </c>
      <c r="X27" s="5" t="s">
        <v>81</v>
      </c>
      <c r="Y27" s="5" t="s">
        <v>199</v>
      </c>
      <c r="Z27" s="5"/>
      <c r="AB27" s="20" t="s">
        <v>200</v>
      </c>
    </row>
    <row r="28" spans="1:28" x14ac:dyDescent="0.3">
      <c r="A28" s="5">
        <v>2311040</v>
      </c>
      <c r="B28" s="20" t="s">
        <v>201</v>
      </c>
      <c r="C28" s="25">
        <v>45244</v>
      </c>
      <c r="D28" s="5" t="s">
        <v>202</v>
      </c>
      <c r="E28" s="5" t="s">
        <v>124</v>
      </c>
      <c r="F28" s="5" t="s">
        <v>14</v>
      </c>
      <c r="G28" s="5" t="e" vm="15">
        <v>#VALUE!</v>
      </c>
      <c r="H28" s="5">
        <v>93</v>
      </c>
      <c r="I28" s="5" t="s">
        <v>18</v>
      </c>
      <c r="J28" s="5"/>
      <c r="K28" s="11">
        <v>91000</v>
      </c>
      <c r="M28" s="5" t="s">
        <v>125</v>
      </c>
      <c r="N28" s="5" t="s">
        <v>73</v>
      </c>
      <c r="O28" s="5" t="s">
        <v>18</v>
      </c>
      <c r="P28" s="5" t="s">
        <v>18</v>
      </c>
      <c r="Q28" s="5" t="s">
        <v>18</v>
      </c>
      <c r="R28" s="5"/>
      <c r="S28" s="5" t="s">
        <v>18</v>
      </c>
      <c r="T28" s="20" t="s">
        <v>203</v>
      </c>
      <c r="U28" s="5" t="s">
        <v>18</v>
      </c>
      <c r="V28" s="20" t="s">
        <v>18</v>
      </c>
      <c r="W28" s="5" t="s">
        <v>109</v>
      </c>
      <c r="X28" s="5" t="s">
        <v>81</v>
      </c>
      <c r="Y28" s="5" t="s">
        <v>204</v>
      </c>
      <c r="Z28" s="5" t="s">
        <v>116</v>
      </c>
    </row>
    <row r="29" spans="1:28" x14ac:dyDescent="0.3">
      <c r="A29" s="5">
        <v>2308007</v>
      </c>
      <c r="B29" s="20" t="s">
        <v>205</v>
      </c>
      <c r="C29" s="25">
        <v>45245</v>
      </c>
      <c r="D29" s="5" t="s">
        <v>20</v>
      </c>
      <c r="E29" s="5" t="s">
        <v>206</v>
      </c>
      <c r="F29" s="5" t="s">
        <v>18</v>
      </c>
      <c r="G29" s="5" t="e" vm="19">
        <v>#VALUE!</v>
      </c>
      <c r="H29" s="5">
        <v>0</v>
      </c>
      <c r="I29" s="5">
        <v>100</v>
      </c>
      <c r="J29" s="5"/>
      <c r="K29" s="11">
        <v>93380</v>
      </c>
      <c r="M29" s="5" t="s">
        <v>125</v>
      </c>
      <c r="N29" s="5" t="s">
        <v>73</v>
      </c>
      <c r="O29" s="5" t="s">
        <v>18</v>
      </c>
      <c r="P29" s="5" t="s">
        <v>18</v>
      </c>
      <c r="Q29" s="5" t="s">
        <v>18</v>
      </c>
      <c r="R29" s="5"/>
      <c r="T29" s="20" t="s">
        <v>207</v>
      </c>
      <c r="W29" s="5" t="s">
        <v>109</v>
      </c>
      <c r="X29" s="5" t="s">
        <v>81</v>
      </c>
      <c r="Y29" s="5"/>
      <c r="Z29" s="5"/>
    </row>
    <row r="30" spans="1:28" x14ac:dyDescent="0.3">
      <c r="A30" s="5">
        <v>2311094</v>
      </c>
      <c r="B30" s="20" t="s">
        <v>208</v>
      </c>
      <c r="C30" s="25">
        <v>45260</v>
      </c>
      <c r="D30" s="5" t="s">
        <v>19</v>
      </c>
      <c r="E30" s="5" t="s">
        <v>71</v>
      </c>
      <c r="F30" s="5" t="s">
        <v>14</v>
      </c>
      <c r="G30" s="5" t="e" vm="20">
        <v>#VALUE!</v>
      </c>
      <c r="H30" s="5">
        <v>9.7750000000000004</v>
      </c>
      <c r="I30" s="5" t="s">
        <v>18</v>
      </c>
      <c r="J30" s="5"/>
      <c r="K30" s="11">
        <v>37000</v>
      </c>
      <c r="M30" s="5" t="s">
        <v>72</v>
      </c>
      <c r="N30" s="5" t="s">
        <v>73</v>
      </c>
      <c r="O30" s="5" t="s">
        <v>74</v>
      </c>
      <c r="P30" s="5">
        <v>17.000000000000004</v>
      </c>
      <c r="Q30" s="5" t="s">
        <v>75</v>
      </c>
      <c r="R30" s="5"/>
      <c r="S30" s="5" t="s">
        <v>209</v>
      </c>
      <c r="T30" s="20" t="s">
        <v>210</v>
      </c>
      <c r="U30" s="5" t="s">
        <v>211</v>
      </c>
      <c r="V30" s="22" t="s">
        <v>212</v>
      </c>
      <c r="W30" s="5" t="s">
        <v>122</v>
      </c>
      <c r="X30" s="5" t="s">
        <v>81</v>
      </c>
      <c r="Y30" s="5"/>
      <c r="Z30" s="5"/>
    </row>
    <row r="31" spans="1:28" x14ac:dyDescent="0.3">
      <c r="A31" s="5">
        <v>2311095</v>
      </c>
      <c r="B31" s="20" t="s">
        <v>213</v>
      </c>
      <c r="C31" s="25">
        <v>45255</v>
      </c>
      <c r="D31" s="5" t="s">
        <v>19</v>
      </c>
      <c r="E31" s="5" t="s">
        <v>71</v>
      </c>
      <c r="F31" s="5" t="s">
        <v>14</v>
      </c>
      <c r="G31" s="5" t="e" vm="20">
        <v>#VALUE!</v>
      </c>
      <c r="H31" s="5">
        <v>12.65</v>
      </c>
      <c r="I31" s="5" t="s">
        <v>18</v>
      </c>
      <c r="J31" s="5"/>
      <c r="K31" s="11">
        <v>44600</v>
      </c>
      <c r="M31" s="5" t="s">
        <v>72</v>
      </c>
      <c r="N31" s="5" t="s">
        <v>73</v>
      </c>
      <c r="O31" s="5" t="s">
        <v>74</v>
      </c>
      <c r="P31" s="5">
        <v>22.000000000000004</v>
      </c>
      <c r="Q31" s="5" t="s">
        <v>83</v>
      </c>
      <c r="R31" s="5"/>
      <c r="S31" s="5" t="s">
        <v>214</v>
      </c>
      <c r="T31" s="20" t="s">
        <v>215</v>
      </c>
      <c r="U31" s="5" t="s">
        <v>216</v>
      </c>
      <c r="V31" s="22" t="s">
        <v>217</v>
      </c>
      <c r="W31" s="5" t="s">
        <v>122</v>
      </c>
      <c r="X31" s="5" t="s">
        <v>81</v>
      </c>
      <c r="Y31" s="5"/>
      <c r="Z31" s="5"/>
    </row>
    <row r="32" spans="1:28" x14ac:dyDescent="0.3">
      <c r="A32" s="5">
        <v>2311039</v>
      </c>
      <c r="B32" s="20" t="s">
        <v>218</v>
      </c>
      <c r="C32" s="25">
        <v>45297</v>
      </c>
      <c r="D32" s="5" t="s">
        <v>20</v>
      </c>
      <c r="E32" s="5" t="s">
        <v>124</v>
      </c>
      <c r="F32" s="5" t="s">
        <v>15</v>
      </c>
      <c r="G32" s="5" t="e" vm="17">
        <v>#VALUE!</v>
      </c>
      <c r="H32" s="5">
        <v>370.05500000000001</v>
      </c>
      <c r="I32" s="5" t="s">
        <v>18</v>
      </c>
      <c r="J32" s="5"/>
      <c r="K32" s="11">
        <v>280080</v>
      </c>
      <c r="L32" s="24">
        <v>46945</v>
      </c>
      <c r="M32" s="5" t="s">
        <v>72</v>
      </c>
      <c r="N32" s="5" t="s">
        <v>73</v>
      </c>
      <c r="O32" s="5" t="s">
        <v>18</v>
      </c>
      <c r="P32" s="5" t="s">
        <v>18</v>
      </c>
      <c r="Q32" s="5" t="s">
        <v>18</v>
      </c>
      <c r="R32" s="5"/>
      <c r="S32" s="5" t="s">
        <v>18</v>
      </c>
      <c r="T32" s="20" t="s">
        <v>18</v>
      </c>
      <c r="U32" s="5" t="s">
        <v>18</v>
      </c>
      <c r="V32" s="20" t="s">
        <v>18</v>
      </c>
      <c r="W32" s="5" t="s">
        <v>109</v>
      </c>
      <c r="X32" s="5" t="s">
        <v>81</v>
      </c>
      <c r="Y32" s="5" t="s">
        <v>109</v>
      </c>
      <c r="Z32" s="5"/>
    </row>
    <row r="33" spans="1:26" x14ac:dyDescent="0.3">
      <c r="A33" s="5">
        <v>2311012</v>
      </c>
      <c r="B33" s="20" t="s">
        <v>219</v>
      </c>
      <c r="C33" s="25">
        <v>45301</v>
      </c>
      <c r="D33" s="5" t="s">
        <v>20</v>
      </c>
      <c r="E33" s="5" t="s">
        <v>206</v>
      </c>
      <c r="F33" s="5" t="s">
        <v>18</v>
      </c>
      <c r="G33" s="5" t="e" vm="21">
        <v>#VALUE!</v>
      </c>
      <c r="H33" s="5">
        <v>0</v>
      </c>
      <c r="I33" s="5">
        <v>240</v>
      </c>
      <c r="J33" s="5"/>
      <c r="K33" s="11">
        <v>109000</v>
      </c>
      <c r="M33" s="5" t="s">
        <v>125</v>
      </c>
      <c r="N33" s="5" t="s">
        <v>73</v>
      </c>
      <c r="O33" s="5" t="s">
        <v>18</v>
      </c>
      <c r="P33" s="5" t="s">
        <v>18</v>
      </c>
      <c r="Q33" s="5" t="s">
        <v>18</v>
      </c>
      <c r="R33" s="5"/>
      <c r="S33" s="5" t="s">
        <v>18</v>
      </c>
      <c r="T33" s="20" t="s">
        <v>18</v>
      </c>
      <c r="U33" s="5" t="s">
        <v>18</v>
      </c>
      <c r="V33" s="20" t="s">
        <v>18</v>
      </c>
      <c r="W33" s="5" t="s">
        <v>109</v>
      </c>
      <c r="X33" s="5" t="s">
        <v>81</v>
      </c>
      <c r="Y33" s="5"/>
      <c r="Z33" s="5"/>
    </row>
    <row r="34" spans="1:26" x14ac:dyDescent="0.3">
      <c r="A34" s="5">
        <v>2311089</v>
      </c>
      <c r="B34" s="15" t="s">
        <v>220</v>
      </c>
      <c r="C34" s="25">
        <v>45260</v>
      </c>
      <c r="D34" s="5" t="s">
        <v>20</v>
      </c>
      <c r="E34" s="5" t="s">
        <v>71</v>
      </c>
      <c r="F34" s="5" t="s">
        <v>14</v>
      </c>
      <c r="G34" s="5" t="e" vm="15">
        <v>#VALUE!</v>
      </c>
      <c r="H34" s="5">
        <v>11.5</v>
      </c>
      <c r="I34" s="5" t="s">
        <v>18</v>
      </c>
      <c r="J34" s="5"/>
      <c r="K34" s="11">
        <v>37500</v>
      </c>
      <c r="M34" s="5" t="s">
        <v>72</v>
      </c>
      <c r="N34" s="5" t="s">
        <v>73</v>
      </c>
      <c r="O34" s="5" t="s">
        <v>74</v>
      </c>
      <c r="P34" s="5">
        <v>20</v>
      </c>
      <c r="Q34" s="5" t="s">
        <v>221</v>
      </c>
      <c r="R34" s="5"/>
      <c r="S34" s="5" t="s">
        <v>222</v>
      </c>
      <c r="T34" s="20" t="s">
        <v>223</v>
      </c>
      <c r="U34" s="5" t="s">
        <v>224</v>
      </c>
      <c r="V34" s="21" t="s">
        <v>225</v>
      </c>
      <c r="W34" s="5" t="s">
        <v>122</v>
      </c>
      <c r="X34" s="5" t="s">
        <v>81</v>
      </c>
      <c r="Y34" s="5"/>
      <c r="Z34" s="5"/>
    </row>
    <row r="35" spans="1:26" x14ac:dyDescent="0.3">
      <c r="A35" s="5">
        <v>2312118</v>
      </c>
      <c r="B35" s="15" t="s">
        <v>226</v>
      </c>
      <c r="C35" s="25">
        <v>45296</v>
      </c>
      <c r="D35" s="5" t="s">
        <v>21</v>
      </c>
      <c r="E35" s="5" t="s">
        <v>71</v>
      </c>
      <c r="F35" s="5" t="s">
        <v>14</v>
      </c>
      <c r="G35" s="5" t="e" vm="15">
        <v>#VALUE!</v>
      </c>
      <c r="H35" s="5">
        <v>13.8</v>
      </c>
      <c r="I35" s="5" t="s">
        <v>18</v>
      </c>
      <c r="J35" s="5"/>
      <c r="K35" s="11">
        <v>54930</v>
      </c>
      <c r="M35" s="5" t="s">
        <v>72</v>
      </c>
      <c r="N35" s="5" t="s">
        <v>73</v>
      </c>
      <c r="O35" s="5" t="s">
        <v>74</v>
      </c>
      <c r="P35" s="5">
        <v>24.000000000000004</v>
      </c>
      <c r="Q35" s="5" t="s">
        <v>131</v>
      </c>
      <c r="R35" s="5"/>
      <c r="S35" s="5" t="s">
        <v>227</v>
      </c>
      <c r="T35" s="20" t="s">
        <v>228</v>
      </c>
      <c r="U35" s="5" t="s">
        <v>229</v>
      </c>
      <c r="V35" s="21" t="s">
        <v>230</v>
      </c>
      <c r="W35" s="5" t="s">
        <v>122</v>
      </c>
      <c r="X35" s="5" t="s">
        <v>81</v>
      </c>
      <c r="Y35" s="5"/>
      <c r="Z35" s="5"/>
    </row>
    <row r="36" spans="1:26" x14ac:dyDescent="0.3">
      <c r="A36" s="5">
        <v>2309070</v>
      </c>
      <c r="B36" s="15" t="s">
        <v>231</v>
      </c>
      <c r="C36" s="25">
        <v>45303</v>
      </c>
      <c r="D36" s="5" t="s">
        <v>20</v>
      </c>
      <c r="E36" s="5" t="s">
        <v>71</v>
      </c>
      <c r="F36" s="5" t="s">
        <v>14</v>
      </c>
      <c r="G36" s="5" t="e" vm="15">
        <v>#VALUE!</v>
      </c>
      <c r="H36" s="5">
        <v>13.8</v>
      </c>
      <c r="I36" s="5" t="s">
        <v>18</v>
      </c>
      <c r="J36" s="5"/>
      <c r="K36" s="11">
        <v>48902</v>
      </c>
      <c r="M36" s="5" t="s">
        <v>176</v>
      </c>
      <c r="N36" s="5" t="s">
        <v>73</v>
      </c>
      <c r="O36" s="5" t="s">
        <v>74</v>
      </c>
      <c r="P36" s="5">
        <v>24.000000000000004</v>
      </c>
      <c r="Q36" s="5" t="s">
        <v>131</v>
      </c>
      <c r="R36" s="5"/>
      <c r="S36" s="5" t="s">
        <v>232</v>
      </c>
      <c r="T36" s="20" t="s">
        <v>233</v>
      </c>
      <c r="U36" s="5" t="s">
        <v>234</v>
      </c>
      <c r="V36" s="22" t="s">
        <v>235</v>
      </c>
      <c r="W36" s="5" t="s">
        <v>122</v>
      </c>
      <c r="X36" s="5" t="s">
        <v>81</v>
      </c>
      <c r="Y36" s="5"/>
      <c r="Z36" s="5"/>
    </row>
    <row r="37" spans="1:26" x14ac:dyDescent="0.3">
      <c r="A37" s="5">
        <v>2310075</v>
      </c>
      <c r="B37" s="20" t="s">
        <v>236</v>
      </c>
      <c r="C37" s="25">
        <v>45366</v>
      </c>
      <c r="D37" s="5" t="s">
        <v>19</v>
      </c>
      <c r="E37" s="5" t="s">
        <v>71</v>
      </c>
      <c r="F37" s="5" t="s">
        <v>14</v>
      </c>
      <c r="G37" s="5" t="e" vm="16">
        <v>#VALUE!</v>
      </c>
      <c r="H37" s="5">
        <v>14.625</v>
      </c>
      <c r="I37" s="5" t="s">
        <v>18</v>
      </c>
      <c r="J37" s="5"/>
      <c r="K37" s="11">
        <v>45600</v>
      </c>
      <c r="M37" s="5" t="s">
        <v>72</v>
      </c>
      <c r="N37" s="5" t="s">
        <v>73</v>
      </c>
      <c r="O37" s="5" t="s">
        <v>237</v>
      </c>
      <c r="P37" s="5">
        <v>25</v>
      </c>
      <c r="Q37" s="5" t="s">
        <v>131</v>
      </c>
      <c r="R37" s="5"/>
      <c r="S37" s="5" t="s">
        <v>238</v>
      </c>
      <c r="T37" s="20" t="s">
        <v>239</v>
      </c>
      <c r="U37" s="5" t="s">
        <v>240</v>
      </c>
      <c r="V37" s="20" t="s">
        <v>241</v>
      </c>
      <c r="X37" s="5" t="s">
        <v>81</v>
      </c>
      <c r="Y37" s="5"/>
    </row>
    <row r="38" spans="1:26" x14ac:dyDescent="0.3">
      <c r="A38" s="5">
        <v>2310076</v>
      </c>
      <c r="B38" s="20" t="s">
        <v>242</v>
      </c>
      <c r="C38" s="25">
        <v>45707</v>
      </c>
      <c r="D38" s="5" t="s">
        <v>17</v>
      </c>
      <c r="E38" s="5" t="s">
        <v>71</v>
      </c>
      <c r="F38" s="5" t="s">
        <v>14</v>
      </c>
      <c r="G38" s="5" t="e" vm="18">
        <v>#VALUE!</v>
      </c>
      <c r="H38" s="5">
        <v>8.26</v>
      </c>
      <c r="I38" s="5" t="s">
        <v>18</v>
      </c>
      <c r="J38" s="5"/>
      <c r="K38" s="11">
        <v>24000</v>
      </c>
      <c r="M38" s="5" t="s">
        <v>125</v>
      </c>
      <c r="N38" s="5" t="s">
        <v>73</v>
      </c>
      <c r="O38" s="5" t="s">
        <v>243</v>
      </c>
      <c r="P38" s="5">
        <v>14</v>
      </c>
      <c r="Q38" s="5" t="s">
        <v>244</v>
      </c>
      <c r="R38" s="5"/>
      <c r="S38" s="5" t="s">
        <v>245</v>
      </c>
      <c r="T38" s="20" t="s">
        <v>246</v>
      </c>
      <c r="U38" s="5" t="s">
        <v>247</v>
      </c>
      <c r="V38" s="21" t="s">
        <v>248</v>
      </c>
      <c r="W38" s="5" t="s">
        <v>122</v>
      </c>
      <c r="X38" s="5" t="s">
        <v>81</v>
      </c>
      <c r="Y38" s="5"/>
      <c r="Z38" s="5"/>
    </row>
    <row r="39" spans="1:26" x14ac:dyDescent="0.3">
      <c r="A39" s="5">
        <v>2310085</v>
      </c>
      <c r="B39" s="20" t="s">
        <v>249</v>
      </c>
      <c r="C39" s="25">
        <v>45403</v>
      </c>
      <c r="D39" s="5" t="s">
        <v>20</v>
      </c>
      <c r="E39" s="5" t="s">
        <v>71</v>
      </c>
      <c r="F39" s="5" t="s">
        <v>14</v>
      </c>
      <c r="G39" s="5" t="e" vm="15">
        <v>#VALUE!</v>
      </c>
      <c r="H39" s="5">
        <v>12.074999999999999</v>
      </c>
      <c r="I39" s="5" t="s">
        <v>18</v>
      </c>
      <c r="J39" s="5"/>
      <c r="K39" s="11">
        <v>47786</v>
      </c>
      <c r="M39" s="5" t="s">
        <v>176</v>
      </c>
      <c r="N39" s="5" t="s">
        <v>73</v>
      </c>
      <c r="O39" s="5" t="s">
        <v>74</v>
      </c>
      <c r="P39" s="5">
        <v>21</v>
      </c>
      <c r="Q39" s="5" t="s">
        <v>83</v>
      </c>
      <c r="R39" s="5"/>
      <c r="S39" s="5" t="s">
        <v>250</v>
      </c>
      <c r="T39" s="20" t="s">
        <v>251</v>
      </c>
      <c r="U39" s="5" t="s">
        <v>252</v>
      </c>
      <c r="V39" s="21" t="s">
        <v>253</v>
      </c>
      <c r="W39" s="5" t="s">
        <v>122</v>
      </c>
      <c r="X39" s="5" t="s">
        <v>81</v>
      </c>
      <c r="Y39" s="5"/>
      <c r="Z39" s="5"/>
    </row>
    <row r="40" spans="1:26" x14ac:dyDescent="0.3">
      <c r="A40" s="5">
        <v>2312113</v>
      </c>
      <c r="B40" s="20" t="s">
        <v>254</v>
      </c>
      <c r="C40" s="25">
        <v>45313</v>
      </c>
      <c r="D40" s="5" t="s">
        <v>20</v>
      </c>
      <c r="E40" s="5" t="s">
        <v>71</v>
      </c>
      <c r="F40" s="5" t="s">
        <v>14</v>
      </c>
      <c r="G40" s="5" t="e" vm="15">
        <v>#VALUE!</v>
      </c>
      <c r="H40" s="5">
        <v>13.8</v>
      </c>
      <c r="I40" s="5" t="s">
        <v>18</v>
      </c>
      <c r="J40" s="5"/>
      <c r="K40" s="11">
        <v>44000</v>
      </c>
      <c r="M40" s="5" t="s">
        <v>72</v>
      </c>
      <c r="N40" s="5" t="s">
        <v>73</v>
      </c>
      <c r="O40" s="5" t="s">
        <v>74</v>
      </c>
      <c r="P40" s="5">
        <v>24.000000000000004</v>
      </c>
      <c r="Q40" s="5" t="s">
        <v>143</v>
      </c>
      <c r="R40" s="5"/>
      <c r="S40" s="5" t="s">
        <v>255</v>
      </c>
      <c r="T40" s="20" t="s">
        <v>256</v>
      </c>
      <c r="U40" s="5" t="s">
        <v>257</v>
      </c>
      <c r="V40" s="21" t="s">
        <v>258</v>
      </c>
      <c r="W40" s="5" t="s">
        <v>122</v>
      </c>
      <c r="X40" s="5" t="s">
        <v>81</v>
      </c>
      <c r="Y40" s="5"/>
      <c r="Z40" s="5"/>
    </row>
    <row r="41" spans="1:26" x14ac:dyDescent="0.3">
      <c r="A41" s="5">
        <v>2401121</v>
      </c>
      <c r="B41" s="20" t="s">
        <v>259</v>
      </c>
      <c r="C41" s="25">
        <v>45383</v>
      </c>
      <c r="D41" s="5" t="s">
        <v>17</v>
      </c>
      <c r="E41" s="5" t="s">
        <v>71</v>
      </c>
      <c r="F41" s="5" t="s">
        <v>14</v>
      </c>
      <c r="G41" s="5" t="e" vm="18">
        <v>#VALUE!</v>
      </c>
      <c r="H41" s="5">
        <v>11.7</v>
      </c>
      <c r="I41" s="5" t="s">
        <v>18</v>
      </c>
      <c r="J41" s="5"/>
      <c r="K41" s="11">
        <v>40000</v>
      </c>
      <c r="M41" s="5" t="s">
        <v>72</v>
      </c>
      <c r="N41" s="5" t="s">
        <v>73</v>
      </c>
      <c r="O41" s="5" t="s">
        <v>237</v>
      </c>
      <c r="P41" s="5">
        <v>20</v>
      </c>
      <c r="Q41" s="5" t="s">
        <v>83</v>
      </c>
      <c r="R41" s="5"/>
      <c r="S41" s="5" t="s">
        <v>260</v>
      </c>
      <c r="T41" s="20" t="s">
        <v>261</v>
      </c>
      <c r="U41" s="5" t="s">
        <v>262</v>
      </c>
      <c r="V41" s="22" t="s">
        <v>263</v>
      </c>
      <c r="W41" s="5" t="s">
        <v>122</v>
      </c>
      <c r="X41" s="5" t="s">
        <v>81</v>
      </c>
      <c r="Y41" s="5"/>
      <c r="Z41" s="5"/>
    </row>
    <row r="42" spans="1:26" x14ac:dyDescent="0.3">
      <c r="A42" s="5">
        <v>2401124</v>
      </c>
      <c r="B42" s="20" t="s">
        <v>264</v>
      </c>
      <c r="C42" s="25">
        <v>45384</v>
      </c>
      <c r="D42" s="5" t="s">
        <v>17</v>
      </c>
      <c r="E42" s="5" t="s">
        <v>71</v>
      </c>
      <c r="F42" s="5" t="s">
        <v>14</v>
      </c>
      <c r="G42" s="5" t="e" vm="15">
        <v>#VALUE!</v>
      </c>
      <c r="H42" s="5">
        <v>17.55</v>
      </c>
      <c r="I42" s="5" t="s">
        <v>18</v>
      </c>
      <c r="J42" s="5"/>
      <c r="K42" s="11">
        <v>53708</v>
      </c>
      <c r="M42" s="5" t="s">
        <v>176</v>
      </c>
      <c r="N42" s="5" t="s">
        <v>73</v>
      </c>
      <c r="O42" s="5" t="s">
        <v>237</v>
      </c>
      <c r="P42" s="5">
        <v>30.000000000000004</v>
      </c>
      <c r="Q42" s="5" t="s">
        <v>143</v>
      </c>
      <c r="R42" s="5"/>
      <c r="S42" s="5" t="s">
        <v>265</v>
      </c>
      <c r="T42" s="20" t="s">
        <v>266</v>
      </c>
      <c r="U42" s="5" t="s">
        <v>267</v>
      </c>
      <c r="V42" s="20" t="s">
        <v>268</v>
      </c>
      <c r="W42" s="5" t="s">
        <v>122</v>
      </c>
      <c r="X42" s="5" t="s">
        <v>81</v>
      </c>
      <c r="Y42" s="5"/>
      <c r="Z42" s="5" t="s">
        <v>269</v>
      </c>
    </row>
    <row r="43" spans="1:26" x14ac:dyDescent="0.3">
      <c r="A43" s="5">
        <v>2401131</v>
      </c>
      <c r="B43" s="20" t="s">
        <v>270</v>
      </c>
      <c r="C43" s="25">
        <v>45394</v>
      </c>
      <c r="D43" s="5" t="s">
        <v>17</v>
      </c>
      <c r="E43" s="5" t="s">
        <v>71</v>
      </c>
      <c r="F43" s="5" t="s">
        <v>14</v>
      </c>
      <c r="G43" s="5" t="e" vm="15">
        <v>#VALUE!</v>
      </c>
      <c r="H43" s="5">
        <v>8.19</v>
      </c>
      <c r="I43" s="5" t="s">
        <v>18</v>
      </c>
      <c r="J43" s="5"/>
      <c r="K43" s="11">
        <v>29500</v>
      </c>
      <c r="M43" s="5" t="s">
        <v>72</v>
      </c>
      <c r="N43" s="5" t="s">
        <v>73</v>
      </c>
      <c r="O43" s="5" t="s">
        <v>237</v>
      </c>
      <c r="P43" s="5">
        <v>14</v>
      </c>
      <c r="Q43" s="5" t="s">
        <v>244</v>
      </c>
      <c r="R43" s="5"/>
      <c r="S43" s="5" t="s">
        <v>271</v>
      </c>
      <c r="T43" s="20" t="s">
        <v>272</v>
      </c>
      <c r="U43" s="5" t="s">
        <v>273</v>
      </c>
      <c r="V43" s="22" t="s">
        <v>274</v>
      </c>
      <c r="W43" s="5" t="s">
        <v>122</v>
      </c>
      <c r="X43" s="5" t="s">
        <v>81</v>
      </c>
      <c r="Y43" s="5"/>
      <c r="Z43" s="5"/>
    </row>
    <row r="44" spans="1:26" x14ac:dyDescent="0.3">
      <c r="A44" s="5">
        <v>2401137</v>
      </c>
      <c r="B44" s="20" t="s">
        <v>275</v>
      </c>
      <c r="C44" s="25">
        <v>45384</v>
      </c>
      <c r="D44" s="5" t="s">
        <v>17</v>
      </c>
      <c r="E44" s="5" t="s">
        <v>71</v>
      </c>
      <c r="F44" s="5" t="s">
        <v>14</v>
      </c>
      <c r="G44" s="5" t="e" vm="15">
        <v>#VALUE!</v>
      </c>
      <c r="H44" s="5">
        <v>11.7</v>
      </c>
      <c r="I44" s="5" t="s">
        <v>18</v>
      </c>
      <c r="J44" s="5"/>
      <c r="K44" s="11">
        <v>40900</v>
      </c>
      <c r="M44" s="5" t="s">
        <v>176</v>
      </c>
      <c r="N44" s="5" t="s">
        <v>73</v>
      </c>
      <c r="O44" s="5" t="s">
        <v>237</v>
      </c>
      <c r="P44" s="5">
        <v>20</v>
      </c>
      <c r="Q44" s="5" t="s">
        <v>111</v>
      </c>
      <c r="R44" s="5"/>
      <c r="S44" s="5" t="s">
        <v>276</v>
      </c>
      <c r="T44" s="20" t="s">
        <v>277</v>
      </c>
      <c r="U44" s="5" t="s">
        <v>278</v>
      </c>
      <c r="V44" s="21" t="s">
        <v>279</v>
      </c>
      <c r="W44" s="5" t="s">
        <v>122</v>
      </c>
      <c r="X44" s="5" t="s">
        <v>81</v>
      </c>
      <c r="Y44" s="5"/>
      <c r="Z44" s="5"/>
    </row>
    <row r="45" spans="1:26" x14ac:dyDescent="0.3">
      <c r="A45" s="5">
        <v>2401147</v>
      </c>
      <c r="B45" s="20" t="s">
        <v>280</v>
      </c>
      <c r="C45" s="25">
        <v>45384</v>
      </c>
      <c r="D45" s="5" t="s">
        <v>17</v>
      </c>
      <c r="E45" s="5" t="s">
        <v>71</v>
      </c>
      <c r="F45" s="5" t="s">
        <v>14</v>
      </c>
      <c r="G45" s="5" t="e" vm="18">
        <v>#VALUE!</v>
      </c>
      <c r="H45" s="5">
        <v>11.7</v>
      </c>
      <c r="I45" s="5" t="s">
        <v>18</v>
      </c>
      <c r="J45" s="5"/>
      <c r="K45" s="11">
        <v>40440</v>
      </c>
      <c r="M45" s="5" t="s">
        <v>176</v>
      </c>
      <c r="N45" s="5" t="s">
        <v>73</v>
      </c>
      <c r="O45" s="5" t="s">
        <v>237</v>
      </c>
      <c r="P45" s="5">
        <v>20</v>
      </c>
      <c r="Q45" s="5" t="s">
        <v>111</v>
      </c>
      <c r="R45" s="5"/>
      <c r="S45" s="5" t="s">
        <v>281</v>
      </c>
      <c r="T45" s="20" t="s">
        <v>282</v>
      </c>
      <c r="U45" s="5" t="s">
        <v>283</v>
      </c>
      <c r="V45" s="22" t="s">
        <v>284</v>
      </c>
      <c r="W45" s="5" t="s">
        <v>122</v>
      </c>
      <c r="X45" s="5" t="s">
        <v>81</v>
      </c>
      <c r="Y45" s="5"/>
      <c r="Z45" s="5" t="s">
        <v>269</v>
      </c>
    </row>
    <row r="46" spans="1:26" x14ac:dyDescent="0.3">
      <c r="A46" s="5">
        <v>2403165</v>
      </c>
      <c r="B46" s="20" t="s">
        <v>285</v>
      </c>
      <c r="C46" s="25">
        <v>45383</v>
      </c>
      <c r="D46" s="5" t="s">
        <v>17</v>
      </c>
      <c r="E46" s="5" t="s">
        <v>71</v>
      </c>
      <c r="F46" s="5" t="s">
        <v>14</v>
      </c>
      <c r="G46" s="5" t="e" vm="15">
        <v>#VALUE!</v>
      </c>
      <c r="H46" s="5">
        <v>7.02</v>
      </c>
      <c r="I46" s="5" t="s">
        <v>18</v>
      </c>
      <c r="J46" s="5"/>
      <c r="K46" s="11">
        <v>24600</v>
      </c>
      <c r="M46" s="5" t="s">
        <v>125</v>
      </c>
      <c r="N46" s="5" t="s">
        <v>73</v>
      </c>
      <c r="O46" s="5" t="s">
        <v>237</v>
      </c>
      <c r="P46" s="5">
        <v>12</v>
      </c>
      <c r="Q46" s="5" t="s">
        <v>286</v>
      </c>
      <c r="R46" s="5"/>
      <c r="S46" s="5" t="s">
        <v>287</v>
      </c>
      <c r="T46" s="20" t="s">
        <v>288</v>
      </c>
      <c r="U46" s="5" t="s">
        <v>289</v>
      </c>
      <c r="V46" s="22" t="s">
        <v>290</v>
      </c>
      <c r="W46" s="5" t="s">
        <v>122</v>
      </c>
      <c r="X46" s="5" t="s">
        <v>81</v>
      </c>
      <c r="Y46" s="5"/>
      <c r="Z46" s="5"/>
    </row>
    <row r="47" spans="1:26" x14ac:dyDescent="0.3">
      <c r="A47" s="5">
        <v>2403167</v>
      </c>
      <c r="B47" s="20" t="s">
        <v>291</v>
      </c>
      <c r="C47" s="25">
        <v>45375</v>
      </c>
      <c r="D47" s="5" t="s">
        <v>17</v>
      </c>
      <c r="E47" s="5" t="s">
        <v>71</v>
      </c>
      <c r="F47" s="5" t="s">
        <v>14</v>
      </c>
      <c r="G47" s="5" t="e" vm="22">
        <v>#VALUE!</v>
      </c>
      <c r="H47" s="5">
        <v>17.55</v>
      </c>
      <c r="I47" s="5" t="s">
        <v>18</v>
      </c>
      <c r="J47" s="5"/>
      <c r="K47" s="11">
        <v>47500</v>
      </c>
      <c r="M47" s="5" t="s">
        <v>72</v>
      </c>
      <c r="N47" s="5" t="s">
        <v>73</v>
      </c>
      <c r="O47" s="5" t="s">
        <v>237</v>
      </c>
      <c r="P47" s="5">
        <v>30.000000000000004</v>
      </c>
      <c r="Q47" s="5" t="s">
        <v>143</v>
      </c>
      <c r="R47" s="5"/>
      <c r="S47" s="5" t="s">
        <v>292</v>
      </c>
      <c r="T47" s="20" t="s">
        <v>293</v>
      </c>
      <c r="U47" s="5" t="s">
        <v>294</v>
      </c>
      <c r="V47" s="22" t="s">
        <v>295</v>
      </c>
      <c r="W47" s="5" t="s">
        <v>122</v>
      </c>
      <c r="X47" s="5" t="s">
        <v>81</v>
      </c>
      <c r="Y47" s="5"/>
      <c r="Z47" s="5"/>
    </row>
    <row r="48" spans="1:26" x14ac:dyDescent="0.3">
      <c r="A48" s="5">
        <v>2403170</v>
      </c>
      <c r="B48" s="20" t="s">
        <v>296</v>
      </c>
      <c r="C48" s="25">
        <v>45367</v>
      </c>
      <c r="D48" s="5" t="s">
        <v>17</v>
      </c>
      <c r="E48" s="5" t="s">
        <v>71</v>
      </c>
      <c r="F48" s="5" t="s">
        <v>14</v>
      </c>
      <c r="G48" s="5" t="e" vm="15">
        <v>#VALUE!</v>
      </c>
      <c r="H48" s="5">
        <v>10.53</v>
      </c>
      <c r="I48" s="5" t="s">
        <v>18</v>
      </c>
      <c r="J48" s="5"/>
      <c r="K48" s="11">
        <v>35600</v>
      </c>
      <c r="M48" s="5" t="s">
        <v>72</v>
      </c>
      <c r="N48" s="5" t="s">
        <v>73</v>
      </c>
      <c r="O48" s="5" t="s">
        <v>237</v>
      </c>
      <c r="P48" s="5">
        <v>18</v>
      </c>
      <c r="Q48" s="5" t="s">
        <v>75</v>
      </c>
      <c r="R48" s="5"/>
      <c r="S48" s="5" t="s">
        <v>297</v>
      </c>
      <c r="T48" s="20" t="s">
        <v>298</v>
      </c>
      <c r="U48" s="5" t="s">
        <v>299</v>
      </c>
      <c r="V48" s="22" t="s">
        <v>300</v>
      </c>
      <c r="W48" s="5" t="s">
        <v>122</v>
      </c>
      <c r="X48" s="5" t="s">
        <v>81</v>
      </c>
      <c r="Y48" s="5"/>
      <c r="Z48" s="5"/>
    </row>
    <row r="49" spans="1:26" x14ac:dyDescent="0.3">
      <c r="A49" s="5">
        <v>2403177</v>
      </c>
      <c r="B49" s="20" t="s">
        <v>301</v>
      </c>
      <c r="C49" s="25">
        <v>45376</v>
      </c>
      <c r="D49" s="5" t="s">
        <v>17</v>
      </c>
      <c r="E49" s="5" t="s">
        <v>71</v>
      </c>
      <c r="F49" s="5" t="s">
        <v>14</v>
      </c>
      <c r="G49" s="5" t="e" vm="15">
        <v>#VALUE!</v>
      </c>
      <c r="H49" s="5">
        <v>4.68</v>
      </c>
      <c r="I49" s="5" t="s">
        <v>18</v>
      </c>
      <c r="J49" s="5"/>
      <c r="K49" s="11">
        <v>20000</v>
      </c>
      <c r="M49" s="5" t="s">
        <v>72</v>
      </c>
      <c r="N49" s="5" t="s">
        <v>73</v>
      </c>
      <c r="O49" s="5" t="s">
        <v>237</v>
      </c>
      <c r="P49" s="5">
        <v>8</v>
      </c>
      <c r="Q49" s="5" t="s">
        <v>302</v>
      </c>
      <c r="R49" s="5"/>
      <c r="S49" s="5" t="s">
        <v>303</v>
      </c>
      <c r="T49" s="20" t="s">
        <v>304</v>
      </c>
      <c r="U49" s="5" t="s">
        <v>305</v>
      </c>
      <c r="V49" s="22" t="s">
        <v>306</v>
      </c>
      <c r="W49" s="5" t="s">
        <v>122</v>
      </c>
      <c r="X49" s="5" t="s">
        <v>81</v>
      </c>
      <c r="Y49" s="5"/>
      <c r="Z49" s="5" t="s">
        <v>307</v>
      </c>
    </row>
    <row r="50" spans="1:26" x14ac:dyDescent="0.3">
      <c r="A50" s="5">
        <v>2403189</v>
      </c>
      <c r="B50" s="20" t="s">
        <v>308</v>
      </c>
      <c r="C50" s="25">
        <v>45380</v>
      </c>
      <c r="D50" s="5" t="s">
        <v>19</v>
      </c>
      <c r="E50" s="5" t="s">
        <v>71</v>
      </c>
      <c r="F50" s="5" t="s">
        <v>14</v>
      </c>
      <c r="G50" s="5" t="e" vm="16">
        <v>#VALUE!</v>
      </c>
      <c r="H50" s="5">
        <v>7.02</v>
      </c>
      <c r="I50" s="5" t="s">
        <v>18</v>
      </c>
      <c r="J50" s="5"/>
      <c r="K50" s="11">
        <v>27500</v>
      </c>
      <c r="M50" s="5" t="s">
        <v>72</v>
      </c>
      <c r="N50" s="5" t="s">
        <v>73</v>
      </c>
      <c r="O50" s="5" t="s">
        <v>237</v>
      </c>
      <c r="P50" s="5">
        <v>12</v>
      </c>
      <c r="Q50" s="5" t="s">
        <v>309</v>
      </c>
      <c r="R50" s="5"/>
      <c r="S50" s="5" t="s">
        <v>310</v>
      </c>
      <c r="T50" s="20" t="s">
        <v>311</v>
      </c>
      <c r="U50" s="5" t="s">
        <v>312</v>
      </c>
      <c r="V50" s="20" t="s">
        <v>313</v>
      </c>
      <c r="W50" s="5" t="s">
        <v>122</v>
      </c>
      <c r="X50" s="5" t="s">
        <v>81</v>
      </c>
      <c r="Y50" s="5"/>
      <c r="Z50" s="5"/>
    </row>
    <row r="51" spans="1:26" x14ac:dyDescent="0.3">
      <c r="A51" s="5">
        <v>2403190</v>
      </c>
      <c r="B51" s="20" t="s">
        <v>314</v>
      </c>
      <c r="C51" s="25">
        <v>45378</v>
      </c>
      <c r="D51" s="5" t="s">
        <v>19</v>
      </c>
      <c r="E51" s="5" t="s">
        <v>71</v>
      </c>
      <c r="F51" s="5" t="s">
        <v>14</v>
      </c>
      <c r="G51" s="5" t="e" vm="16">
        <v>#VALUE!</v>
      </c>
      <c r="H51" s="5">
        <v>7.02</v>
      </c>
      <c r="I51" s="5" t="s">
        <v>18</v>
      </c>
      <c r="J51" s="5"/>
      <c r="K51" s="11">
        <v>21000</v>
      </c>
      <c r="M51" s="5" t="s">
        <v>72</v>
      </c>
      <c r="N51" s="5" t="s">
        <v>73</v>
      </c>
      <c r="O51" s="5" t="s">
        <v>237</v>
      </c>
      <c r="P51" s="5">
        <v>12</v>
      </c>
      <c r="Q51" s="5" t="s">
        <v>309</v>
      </c>
      <c r="R51" s="5"/>
      <c r="S51" s="5" t="s">
        <v>315</v>
      </c>
      <c r="T51" s="20" t="s">
        <v>316</v>
      </c>
      <c r="U51" s="5" t="s">
        <v>317</v>
      </c>
      <c r="V51" s="21" t="s">
        <v>318</v>
      </c>
      <c r="W51" s="5" t="s">
        <v>122</v>
      </c>
      <c r="X51" s="5" t="s">
        <v>81</v>
      </c>
      <c r="Y51" s="5"/>
      <c r="Z51" s="5"/>
    </row>
    <row r="52" spans="1:26" x14ac:dyDescent="0.3">
      <c r="A52" s="5">
        <v>2403197</v>
      </c>
      <c r="B52" s="20" t="s">
        <v>319</v>
      </c>
      <c r="C52" s="25">
        <v>45380</v>
      </c>
      <c r="D52" s="5" t="s">
        <v>19</v>
      </c>
      <c r="E52" s="5" t="s">
        <v>71</v>
      </c>
      <c r="F52" s="5" t="s">
        <v>14</v>
      </c>
      <c r="G52" s="5" t="e" vm="16">
        <v>#VALUE!</v>
      </c>
      <c r="H52" s="5">
        <v>16.38</v>
      </c>
      <c r="I52" s="5" t="s">
        <v>18</v>
      </c>
      <c r="J52" s="5"/>
      <c r="K52" s="11">
        <v>48600</v>
      </c>
      <c r="M52" s="5" t="s">
        <v>72</v>
      </c>
      <c r="N52" s="5" t="s">
        <v>73</v>
      </c>
      <c r="O52" s="5" t="s">
        <v>237</v>
      </c>
      <c r="P52" s="5">
        <v>28</v>
      </c>
      <c r="Q52" s="5" t="s">
        <v>131</v>
      </c>
      <c r="R52" s="5"/>
      <c r="S52" s="5" t="s">
        <v>320</v>
      </c>
      <c r="T52" s="20" t="s">
        <v>321</v>
      </c>
      <c r="U52" s="5" t="s">
        <v>322</v>
      </c>
      <c r="V52" s="20" t="s">
        <v>323</v>
      </c>
      <c r="W52" s="5" t="s">
        <v>122</v>
      </c>
      <c r="X52" s="5" t="s">
        <v>81</v>
      </c>
      <c r="Y52" s="5"/>
      <c r="Z52" s="5"/>
    </row>
    <row r="53" spans="1:26" x14ac:dyDescent="0.3">
      <c r="A53" s="5" t="s">
        <v>324</v>
      </c>
      <c r="B53" s="20" t="s">
        <v>325</v>
      </c>
      <c r="C53" s="25">
        <v>45383</v>
      </c>
      <c r="D53" s="5" t="s">
        <v>17</v>
      </c>
      <c r="E53" s="5" t="s">
        <v>71</v>
      </c>
      <c r="F53" s="5" t="s">
        <v>14</v>
      </c>
      <c r="G53" s="5" t="e" vm="15">
        <v>#VALUE!</v>
      </c>
      <c r="H53" s="5">
        <v>7.02</v>
      </c>
      <c r="I53" s="5" t="s">
        <v>18</v>
      </c>
      <c r="J53" s="5"/>
      <c r="K53" s="11">
        <v>27237.200000000001</v>
      </c>
      <c r="M53" s="5" t="s">
        <v>176</v>
      </c>
      <c r="N53" s="5" t="s">
        <v>73</v>
      </c>
      <c r="O53" s="5" t="s">
        <v>237</v>
      </c>
      <c r="P53" s="5">
        <v>12</v>
      </c>
      <c r="Q53" s="5" t="s">
        <v>286</v>
      </c>
      <c r="R53" s="5"/>
      <c r="S53" s="5" t="s">
        <v>326</v>
      </c>
      <c r="T53" s="20" t="s">
        <v>327</v>
      </c>
      <c r="U53" s="5" t="s">
        <v>328</v>
      </c>
      <c r="V53" s="22" t="s">
        <v>329</v>
      </c>
      <c r="W53" s="5" t="s">
        <v>122</v>
      </c>
      <c r="X53" s="5" t="s">
        <v>81</v>
      </c>
      <c r="Y53" s="5"/>
      <c r="Z53" s="5"/>
    </row>
    <row r="54" spans="1:26" x14ac:dyDescent="0.3">
      <c r="A54" s="5">
        <v>2404206</v>
      </c>
      <c r="B54" s="20" t="s">
        <v>330</v>
      </c>
      <c r="C54" s="25">
        <v>45386</v>
      </c>
      <c r="D54" s="5" t="s">
        <v>19</v>
      </c>
      <c r="E54" s="5" t="s">
        <v>71</v>
      </c>
      <c r="F54" s="5" t="s">
        <v>14</v>
      </c>
      <c r="G54" s="5" t="e" vm="16">
        <v>#VALUE!</v>
      </c>
      <c r="H54" s="5">
        <v>8.19</v>
      </c>
      <c r="I54" s="5" t="s">
        <v>18</v>
      </c>
      <c r="J54" s="5"/>
      <c r="K54" s="11">
        <v>31000</v>
      </c>
      <c r="M54" s="5" t="s">
        <v>164</v>
      </c>
      <c r="N54" s="5" t="s">
        <v>73</v>
      </c>
      <c r="O54" s="5" t="s">
        <v>237</v>
      </c>
      <c r="P54" s="5">
        <v>14</v>
      </c>
      <c r="Q54" s="5" t="s">
        <v>244</v>
      </c>
      <c r="R54" s="5"/>
      <c r="S54" s="5" t="s">
        <v>331</v>
      </c>
      <c r="T54" s="20" t="s">
        <v>332</v>
      </c>
      <c r="U54" s="5" t="s">
        <v>333</v>
      </c>
      <c r="V54" s="22" t="s">
        <v>334</v>
      </c>
      <c r="W54" s="5" t="s">
        <v>122</v>
      </c>
      <c r="X54" s="5" t="s">
        <v>81</v>
      </c>
      <c r="Y54" s="5"/>
      <c r="Z54" s="5"/>
    </row>
    <row r="55" spans="1:26" x14ac:dyDescent="0.3">
      <c r="A55" s="5">
        <v>2404226</v>
      </c>
      <c r="B55" s="20" t="s">
        <v>335</v>
      </c>
      <c r="C55" s="25">
        <v>45396</v>
      </c>
      <c r="D55" s="5" t="s">
        <v>17</v>
      </c>
      <c r="E55" s="5" t="s">
        <v>71</v>
      </c>
      <c r="F55" s="5" t="s">
        <v>14</v>
      </c>
      <c r="G55" s="5" t="e" vm="18">
        <v>#VALUE!</v>
      </c>
      <c r="H55" s="5">
        <v>7.02</v>
      </c>
      <c r="I55" s="5" t="s">
        <v>18</v>
      </c>
      <c r="J55" s="5"/>
      <c r="K55" s="11">
        <v>25100</v>
      </c>
      <c r="M55" s="5" t="s">
        <v>72</v>
      </c>
      <c r="N55" s="5" t="s">
        <v>73</v>
      </c>
      <c r="O55" s="5" t="s">
        <v>237</v>
      </c>
      <c r="P55" s="5">
        <v>12</v>
      </c>
      <c r="Q55" s="5" t="s">
        <v>286</v>
      </c>
      <c r="R55" s="5"/>
      <c r="S55" s="5" t="s">
        <v>336</v>
      </c>
      <c r="T55" s="20" t="s">
        <v>337</v>
      </c>
      <c r="U55" s="5" t="s">
        <v>338</v>
      </c>
      <c r="V55" s="22" t="s">
        <v>339</v>
      </c>
      <c r="W55" s="5" t="s">
        <v>122</v>
      </c>
      <c r="X55" s="5" t="s">
        <v>81</v>
      </c>
      <c r="Y55" s="5"/>
      <c r="Z55" s="5"/>
    </row>
    <row r="56" spans="1:26" x14ac:dyDescent="0.3">
      <c r="A56" s="5">
        <v>2401063</v>
      </c>
      <c r="B56" s="20" t="s">
        <v>340</v>
      </c>
      <c r="C56" s="25">
        <v>45363</v>
      </c>
      <c r="D56" s="5" t="s">
        <v>17</v>
      </c>
      <c r="E56" s="5" t="s">
        <v>124</v>
      </c>
      <c r="F56" s="5" t="s">
        <v>14</v>
      </c>
      <c r="G56" s="5" t="e" vm="15">
        <v>#VALUE!</v>
      </c>
      <c r="H56" s="5">
        <v>26.91</v>
      </c>
      <c r="I56" s="5" t="s">
        <v>18</v>
      </c>
      <c r="J56" s="5"/>
      <c r="K56" s="11">
        <v>82000</v>
      </c>
      <c r="M56" s="5" t="s">
        <v>72</v>
      </c>
      <c r="N56" s="5" t="s">
        <v>73</v>
      </c>
      <c r="O56" s="5" t="s">
        <v>237</v>
      </c>
      <c r="P56" s="5">
        <v>46</v>
      </c>
      <c r="Q56" s="5" t="s">
        <v>341</v>
      </c>
      <c r="R56" s="5"/>
      <c r="T56" s="20" t="s">
        <v>342</v>
      </c>
      <c r="W56" s="5" t="s">
        <v>122</v>
      </c>
      <c r="X56" s="5" t="s">
        <v>81</v>
      </c>
      <c r="Y56" s="5"/>
      <c r="Z56" s="5"/>
    </row>
    <row r="57" spans="1:26" x14ac:dyDescent="0.3">
      <c r="A57" s="5">
        <v>2401069</v>
      </c>
      <c r="B57" s="20" t="s">
        <v>343</v>
      </c>
      <c r="C57" s="25">
        <v>45380</v>
      </c>
      <c r="D57" s="5" t="s">
        <v>17</v>
      </c>
      <c r="E57" s="5" t="s">
        <v>124</v>
      </c>
      <c r="F57" s="5" t="s">
        <v>14</v>
      </c>
      <c r="G57" s="5" t="e" vm="15">
        <v>#VALUE!</v>
      </c>
      <c r="H57" s="5">
        <v>290.39999999999998</v>
      </c>
      <c r="I57" s="5" t="s">
        <v>18</v>
      </c>
      <c r="J57" s="5"/>
      <c r="K57" s="11">
        <v>668000</v>
      </c>
      <c r="L57" s="24">
        <v>2610</v>
      </c>
      <c r="M57" s="5" t="s">
        <v>72</v>
      </c>
      <c r="N57" s="5" t="s">
        <v>73</v>
      </c>
      <c r="O57" s="5" t="s">
        <v>344</v>
      </c>
      <c r="P57" s="5">
        <v>505.00000000000006</v>
      </c>
      <c r="Q57" s="5" t="s">
        <v>345</v>
      </c>
      <c r="R57" s="5"/>
      <c r="T57" s="20" t="s">
        <v>346</v>
      </c>
      <c r="W57" s="5" t="s">
        <v>122</v>
      </c>
      <c r="X57" s="5" t="s">
        <v>81</v>
      </c>
      <c r="Y57" s="5"/>
      <c r="Z57" s="5"/>
    </row>
    <row r="58" spans="1:26" x14ac:dyDescent="0.3">
      <c r="A58" s="5">
        <v>2402079</v>
      </c>
      <c r="B58" s="20" t="s">
        <v>347</v>
      </c>
      <c r="C58" s="25">
        <v>45394</v>
      </c>
      <c r="D58" s="5" t="s">
        <v>17</v>
      </c>
      <c r="E58" s="5" t="s">
        <v>124</v>
      </c>
      <c r="F58" s="5" t="s">
        <v>14</v>
      </c>
      <c r="G58" s="5" t="e" vm="15">
        <v>#VALUE!</v>
      </c>
      <c r="H58" s="5">
        <v>46.8</v>
      </c>
      <c r="I58" s="5" t="s">
        <v>18</v>
      </c>
      <c r="J58" s="5"/>
      <c r="K58" s="11">
        <v>194600</v>
      </c>
      <c r="M58" s="5" t="s">
        <v>72</v>
      </c>
      <c r="N58" s="5" t="s">
        <v>73</v>
      </c>
      <c r="O58" s="5" t="s">
        <v>237</v>
      </c>
      <c r="P58" s="5">
        <v>80</v>
      </c>
      <c r="Q58" s="5" t="s">
        <v>348</v>
      </c>
      <c r="R58" s="5"/>
      <c r="T58" s="20" t="s">
        <v>349</v>
      </c>
      <c r="W58" s="5" t="s">
        <v>122</v>
      </c>
      <c r="X58" s="5" t="s">
        <v>81</v>
      </c>
      <c r="Y58" s="5"/>
      <c r="Z58" s="5"/>
    </row>
    <row r="59" spans="1:26" x14ac:dyDescent="0.3">
      <c r="A59" s="5">
        <v>2402080</v>
      </c>
      <c r="B59" s="20" t="s">
        <v>350</v>
      </c>
      <c r="C59" s="25">
        <v>45357</v>
      </c>
      <c r="D59" s="5" t="s">
        <v>17</v>
      </c>
      <c r="E59" s="5" t="s">
        <v>124</v>
      </c>
      <c r="F59" s="5" t="s">
        <v>15</v>
      </c>
      <c r="G59" s="5" t="e" vm="17">
        <v>#VALUE!</v>
      </c>
      <c r="H59" s="5">
        <v>43.29</v>
      </c>
      <c r="I59" s="5" t="s">
        <v>18</v>
      </c>
      <c r="J59" s="5"/>
      <c r="K59" s="11">
        <v>120000</v>
      </c>
      <c r="L59" s="24">
        <v>1500</v>
      </c>
      <c r="M59" s="5" t="s">
        <v>72</v>
      </c>
      <c r="N59" s="5" t="s">
        <v>73</v>
      </c>
      <c r="O59" s="5" t="s">
        <v>237</v>
      </c>
      <c r="P59" s="5">
        <v>74</v>
      </c>
      <c r="Q59" s="5" t="s">
        <v>351</v>
      </c>
      <c r="R59" s="5"/>
      <c r="T59" s="20" t="s">
        <v>352</v>
      </c>
      <c r="W59" s="5" t="s">
        <v>122</v>
      </c>
      <c r="X59" s="5" t="s">
        <v>81</v>
      </c>
      <c r="Y59" s="5"/>
      <c r="Z59" s="5"/>
    </row>
    <row r="60" spans="1:26" x14ac:dyDescent="0.3">
      <c r="A60" s="5">
        <v>2312120</v>
      </c>
      <c r="B60" s="20" t="s">
        <v>353</v>
      </c>
      <c r="C60" s="25">
        <v>45390</v>
      </c>
      <c r="D60" s="5" t="s">
        <v>17</v>
      </c>
      <c r="E60" s="5" t="s">
        <v>71</v>
      </c>
      <c r="F60" s="5" t="s">
        <v>14</v>
      </c>
      <c r="G60" s="5" t="e" vm="15">
        <v>#VALUE!</v>
      </c>
      <c r="H60" s="5">
        <v>7.6050000000000004</v>
      </c>
      <c r="I60" s="5" t="s">
        <v>18</v>
      </c>
      <c r="J60" s="5"/>
      <c r="K60" s="11">
        <v>27500</v>
      </c>
      <c r="M60" s="5" t="s">
        <v>72</v>
      </c>
      <c r="N60" s="5" t="s">
        <v>73</v>
      </c>
      <c r="O60" s="5" t="s">
        <v>237</v>
      </c>
      <c r="P60" s="5">
        <v>13.000000000000002</v>
      </c>
      <c r="Q60" s="5" t="s">
        <v>244</v>
      </c>
      <c r="R60" s="5"/>
      <c r="S60" s="5" t="s">
        <v>354</v>
      </c>
      <c r="T60" s="20" t="s">
        <v>355</v>
      </c>
      <c r="U60" s="5" t="s">
        <v>356</v>
      </c>
      <c r="V60" s="21" t="s">
        <v>357</v>
      </c>
      <c r="W60" s="5" t="s">
        <v>122</v>
      </c>
      <c r="X60" s="5" t="s">
        <v>81</v>
      </c>
      <c r="Y60" s="5"/>
      <c r="Z60" s="5"/>
    </row>
    <row r="61" spans="1:26" x14ac:dyDescent="0.3">
      <c r="A61" s="5">
        <v>2311092</v>
      </c>
      <c r="B61" s="20" t="s">
        <v>358</v>
      </c>
      <c r="C61" s="25">
        <v>45253</v>
      </c>
      <c r="D61" s="5" t="s">
        <v>17</v>
      </c>
      <c r="E61" s="5" t="s">
        <v>71</v>
      </c>
      <c r="F61" s="5" t="s">
        <v>14</v>
      </c>
      <c r="G61" s="5" t="e" vm="15">
        <v>#VALUE!</v>
      </c>
      <c r="H61" s="5">
        <v>5.75</v>
      </c>
      <c r="I61" s="5" t="s">
        <v>18</v>
      </c>
      <c r="J61" s="5"/>
      <c r="K61" s="11">
        <v>22000</v>
      </c>
      <c r="M61" s="5" t="s">
        <v>72</v>
      </c>
      <c r="N61" s="5" t="s">
        <v>73</v>
      </c>
      <c r="O61" s="5" t="s">
        <v>74</v>
      </c>
      <c r="P61" s="5">
        <v>10</v>
      </c>
      <c r="Q61" s="5" t="s">
        <v>309</v>
      </c>
      <c r="R61" s="5"/>
      <c r="S61" s="5" t="s">
        <v>359</v>
      </c>
      <c r="T61" s="20" t="s">
        <v>360</v>
      </c>
      <c r="U61" s="5" t="s">
        <v>361</v>
      </c>
      <c r="V61" s="22" t="s">
        <v>362</v>
      </c>
      <c r="W61" s="5" t="s">
        <v>122</v>
      </c>
      <c r="X61" s="5" t="s">
        <v>81</v>
      </c>
      <c r="Y61" s="5"/>
      <c r="Z61" s="5"/>
    </row>
    <row r="62" spans="1:26" x14ac:dyDescent="0.3">
      <c r="A62" s="5">
        <v>2404230</v>
      </c>
      <c r="B62" s="20" t="s">
        <v>363</v>
      </c>
      <c r="C62" s="25">
        <v>45402</v>
      </c>
      <c r="D62" s="5" t="s">
        <v>17</v>
      </c>
      <c r="E62" s="5" t="s">
        <v>71</v>
      </c>
      <c r="F62" s="5" t="s">
        <v>14</v>
      </c>
      <c r="G62" s="5" t="e" vm="15">
        <v>#VALUE!</v>
      </c>
      <c r="H62" s="5">
        <v>8.7750000000000004</v>
      </c>
      <c r="I62" s="5" t="s">
        <v>18</v>
      </c>
      <c r="J62" s="5"/>
      <c r="K62" s="11">
        <v>32500</v>
      </c>
      <c r="L62" s="24">
        <v>-2000</v>
      </c>
      <c r="M62" s="5" t="s">
        <v>72</v>
      </c>
      <c r="N62" s="5" t="s">
        <v>73</v>
      </c>
      <c r="O62" s="5" t="s">
        <v>237</v>
      </c>
      <c r="P62" s="5">
        <v>15.000000000000002</v>
      </c>
      <c r="Q62" s="5" t="s">
        <v>364</v>
      </c>
      <c r="R62" s="5"/>
      <c r="S62" s="5" t="s">
        <v>365</v>
      </c>
      <c r="T62" s="20" t="s">
        <v>366</v>
      </c>
      <c r="U62" s="5" t="s">
        <v>367</v>
      </c>
      <c r="V62" s="21" t="s">
        <v>368</v>
      </c>
      <c r="W62" s="5" t="s">
        <v>122</v>
      </c>
      <c r="X62" s="5" t="s">
        <v>81</v>
      </c>
      <c r="Y62" s="5"/>
      <c r="Z62" s="5"/>
    </row>
    <row r="63" spans="1:26" x14ac:dyDescent="0.3">
      <c r="A63" s="5">
        <v>2401133</v>
      </c>
      <c r="B63" s="20" t="s">
        <v>369</v>
      </c>
      <c r="C63" s="25">
        <v>45404</v>
      </c>
      <c r="D63" s="5" t="s">
        <v>17</v>
      </c>
      <c r="E63" s="5" t="s">
        <v>71</v>
      </c>
      <c r="F63" s="5" t="s">
        <v>14</v>
      </c>
      <c r="G63" s="5" t="e" vm="15">
        <v>#VALUE!</v>
      </c>
      <c r="H63" s="5">
        <v>8.7750000000000004</v>
      </c>
      <c r="I63" s="5" t="s">
        <v>18</v>
      </c>
      <c r="J63" s="5"/>
      <c r="K63" s="11">
        <v>34460</v>
      </c>
      <c r="M63" s="5" t="s">
        <v>176</v>
      </c>
      <c r="N63" s="5" t="s">
        <v>73</v>
      </c>
      <c r="O63" s="5" t="s">
        <v>237</v>
      </c>
      <c r="P63" s="5">
        <v>15.000000000000002</v>
      </c>
      <c r="Q63" s="5" t="s">
        <v>364</v>
      </c>
      <c r="R63" s="5"/>
      <c r="S63" s="5" t="s">
        <v>370</v>
      </c>
      <c r="T63" s="20" t="s">
        <v>371</v>
      </c>
      <c r="U63" s="5" t="s">
        <v>372</v>
      </c>
      <c r="V63" s="22" t="s">
        <v>373</v>
      </c>
      <c r="W63" s="5" t="s">
        <v>122</v>
      </c>
      <c r="X63" s="5" t="s">
        <v>81</v>
      </c>
      <c r="Y63" s="5"/>
      <c r="Z63" s="5"/>
    </row>
    <row r="64" spans="1:26" x14ac:dyDescent="0.3">
      <c r="A64" s="5">
        <v>2403171</v>
      </c>
      <c r="B64" s="20" t="s">
        <v>374</v>
      </c>
      <c r="C64" s="25">
        <v>45404</v>
      </c>
      <c r="D64" s="5" t="s">
        <v>17</v>
      </c>
      <c r="E64" s="5" t="s">
        <v>71</v>
      </c>
      <c r="F64" s="5" t="s">
        <v>14</v>
      </c>
      <c r="G64" s="5" t="e" vm="18">
        <v>#VALUE!</v>
      </c>
      <c r="H64" s="5">
        <v>17.55</v>
      </c>
      <c r="I64" s="5" t="s">
        <v>18</v>
      </c>
      <c r="J64" s="5"/>
      <c r="K64" s="11">
        <v>52400</v>
      </c>
      <c r="M64" s="5" t="s">
        <v>176</v>
      </c>
      <c r="N64" s="5" t="s">
        <v>73</v>
      </c>
      <c r="O64" s="5" t="s">
        <v>237</v>
      </c>
      <c r="P64" s="5">
        <v>30.000000000000004</v>
      </c>
      <c r="Q64" s="5" t="s">
        <v>143</v>
      </c>
      <c r="R64" s="5"/>
      <c r="S64" s="5" t="s">
        <v>375</v>
      </c>
      <c r="T64" s="20" t="s">
        <v>376</v>
      </c>
      <c r="U64" s="5" t="s">
        <v>377</v>
      </c>
      <c r="V64" s="22" t="s">
        <v>378</v>
      </c>
      <c r="W64" s="5" t="s">
        <v>122</v>
      </c>
      <c r="X64" s="5" t="s">
        <v>81</v>
      </c>
      <c r="Y64" s="5"/>
      <c r="Z64" s="5" t="s">
        <v>269</v>
      </c>
    </row>
    <row r="65" spans="1:28" x14ac:dyDescent="0.3">
      <c r="A65" s="5">
        <v>2403176</v>
      </c>
      <c r="B65" s="20" t="s">
        <v>379</v>
      </c>
      <c r="C65" s="25">
        <v>45406</v>
      </c>
      <c r="D65" s="5" t="s">
        <v>17</v>
      </c>
      <c r="E65" s="5" t="s">
        <v>71</v>
      </c>
      <c r="F65" s="5" t="s">
        <v>14</v>
      </c>
      <c r="G65" s="5" t="e" vm="15">
        <v>#VALUE!</v>
      </c>
      <c r="H65" s="5">
        <v>6.4349999999999996</v>
      </c>
      <c r="I65" s="5" t="s">
        <v>18</v>
      </c>
      <c r="J65" s="5"/>
      <c r="K65" s="11">
        <v>30500</v>
      </c>
      <c r="M65" s="5" t="s">
        <v>72</v>
      </c>
      <c r="N65" s="5" t="s">
        <v>73</v>
      </c>
      <c r="O65" s="5" t="s">
        <v>237</v>
      </c>
      <c r="P65" s="5">
        <v>11</v>
      </c>
      <c r="Q65" s="5" t="s">
        <v>380</v>
      </c>
      <c r="R65" s="5"/>
      <c r="S65" s="5" t="s">
        <v>381</v>
      </c>
      <c r="T65" s="20" t="s">
        <v>382</v>
      </c>
      <c r="U65" s="5" t="s">
        <v>383</v>
      </c>
      <c r="V65" s="21" t="s">
        <v>384</v>
      </c>
      <c r="W65" s="5" t="s">
        <v>122</v>
      </c>
      <c r="X65" s="5" t="s">
        <v>81</v>
      </c>
      <c r="Y65" s="5"/>
      <c r="Z65" s="5" t="s">
        <v>307</v>
      </c>
    </row>
    <row r="66" spans="1:28" x14ac:dyDescent="0.3">
      <c r="A66" s="5">
        <v>2404229</v>
      </c>
      <c r="B66" s="20" t="s">
        <v>385</v>
      </c>
      <c r="C66" s="25">
        <v>45407</v>
      </c>
      <c r="D66" s="5" t="s">
        <v>17</v>
      </c>
      <c r="E66" s="5" t="s">
        <v>71</v>
      </c>
      <c r="F66" s="5" t="s">
        <v>14</v>
      </c>
      <c r="G66" s="5" t="e" vm="15">
        <v>#VALUE!</v>
      </c>
      <c r="H66" s="5">
        <v>14.625</v>
      </c>
      <c r="I66" s="5" t="s">
        <v>18</v>
      </c>
      <c r="J66" s="5"/>
      <c r="K66" s="11">
        <v>41600</v>
      </c>
      <c r="L66" s="24">
        <v>-1600</v>
      </c>
      <c r="M66" s="5" t="s">
        <v>72</v>
      </c>
      <c r="N66" s="5" t="s">
        <v>73</v>
      </c>
      <c r="O66" s="5" t="s">
        <v>237</v>
      </c>
      <c r="P66" s="5">
        <v>25</v>
      </c>
      <c r="Q66" s="5" t="s">
        <v>143</v>
      </c>
      <c r="R66" s="5" t="s">
        <v>386</v>
      </c>
      <c r="S66" s="5" t="s">
        <v>387</v>
      </c>
      <c r="T66" s="20" t="s">
        <v>388</v>
      </c>
      <c r="U66" s="5" t="s">
        <v>389</v>
      </c>
      <c r="V66" s="22" t="s">
        <v>390</v>
      </c>
      <c r="W66" s="5" t="s">
        <v>122</v>
      </c>
      <c r="X66" s="5" t="s">
        <v>81</v>
      </c>
      <c r="Y66" s="5"/>
      <c r="Z66" s="5"/>
      <c r="AB66" s="20" t="s">
        <v>391</v>
      </c>
    </row>
    <row r="67" spans="1:28" x14ac:dyDescent="0.3">
      <c r="A67" s="5">
        <v>2404211</v>
      </c>
      <c r="B67" s="20" t="s">
        <v>392</v>
      </c>
      <c r="C67" s="25">
        <v>45408</v>
      </c>
      <c r="D67" s="5" t="s">
        <v>17</v>
      </c>
      <c r="E67" s="5" t="s">
        <v>71</v>
      </c>
      <c r="F67" s="5" t="s">
        <v>14</v>
      </c>
      <c r="G67" s="5" t="e" vm="23">
        <v>#VALUE!</v>
      </c>
      <c r="H67" s="5">
        <v>17.55</v>
      </c>
      <c r="I67" s="5" t="s">
        <v>18</v>
      </c>
      <c r="J67" s="5"/>
      <c r="K67" s="11">
        <v>49600</v>
      </c>
      <c r="M67" s="5" t="s">
        <v>72</v>
      </c>
      <c r="N67" s="5" t="s">
        <v>73</v>
      </c>
      <c r="O67" s="5" t="s">
        <v>237</v>
      </c>
      <c r="P67" s="5">
        <v>30.000000000000004</v>
      </c>
      <c r="Q67" s="5" t="s">
        <v>143</v>
      </c>
      <c r="R67" s="5"/>
      <c r="S67" s="5" t="s">
        <v>393</v>
      </c>
      <c r="T67" s="20" t="s">
        <v>394</v>
      </c>
      <c r="U67" s="5" t="s">
        <v>395</v>
      </c>
      <c r="V67" s="22" t="s">
        <v>396</v>
      </c>
      <c r="W67" s="5" t="s">
        <v>122</v>
      </c>
      <c r="X67" s="5" t="s">
        <v>81</v>
      </c>
      <c r="Y67" s="5"/>
      <c r="Z67" s="5"/>
    </row>
    <row r="68" spans="1:28" x14ac:dyDescent="0.3">
      <c r="A68" s="5">
        <v>2404111</v>
      </c>
      <c r="B68" s="20" t="s">
        <v>397</v>
      </c>
      <c r="C68" s="25">
        <v>45407</v>
      </c>
      <c r="D68" s="5" t="s">
        <v>17</v>
      </c>
      <c r="E68" s="5" t="s">
        <v>124</v>
      </c>
      <c r="F68" s="5" t="s">
        <v>14</v>
      </c>
      <c r="G68" s="5" t="e" vm="16">
        <v>#VALUE!</v>
      </c>
      <c r="H68" s="5">
        <v>26.91</v>
      </c>
      <c r="I68" s="5" t="s">
        <v>18</v>
      </c>
      <c r="J68" s="5"/>
      <c r="K68" s="11">
        <v>81000</v>
      </c>
      <c r="M68" s="5" t="s">
        <v>72</v>
      </c>
      <c r="N68" s="5" t="s">
        <v>73</v>
      </c>
      <c r="O68" s="5" t="s">
        <v>237</v>
      </c>
      <c r="P68" s="5">
        <v>46</v>
      </c>
      <c r="Q68" s="5" t="s">
        <v>341</v>
      </c>
      <c r="R68" s="5"/>
      <c r="T68" s="20" t="s">
        <v>398</v>
      </c>
      <c r="W68" s="5" t="s">
        <v>122</v>
      </c>
      <c r="X68" s="5" t="s">
        <v>81</v>
      </c>
      <c r="Y68" s="5"/>
      <c r="Z68" s="5"/>
    </row>
    <row r="69" spans="1:28" x14ac:dyDescent="0.3">
      <c r="A69" s="5">
        <v>2404219</v>
      </c>
      <c r="B69" s="20" t="s">
        <v>399</v>
      </c>
      <c r="C69" s="25">
        <v>45412</v>
      </c>
      <c r="D69" s="5" t="s">
        <v>17</v>
      </c>
      <c r="E69" s="5" t="s">
        <v>71</v>
      </c>
      <c r="F69" s="5" t="s">
        <v>14</v>
      </c>
      <c r="G69" s="5" t="e" vm="24">
        <v>#VALUE!</v>
      </c>
      <c r="H69" s="5">
        <v>17.55</v>
      </c>
      <c r="I69" s="5" t="s">
        <v>18</v>
      </c>
      <c r="J69" s="5"/>
      <c r="K69" s="11">
        <v>52000</v>
      </c>
      <c r="M69" s="5" t="s">
        <v>164</v>
      </c>
      <c r="N69" s="5" t="s">
        <v>73</v>
      </c>
      <c r="O69" s="5" t="s">
        <v>237</v>
      </c>
      <c r="P69" s="5">
        <v>30.000000000000004</v>
      </c>
      <c r="Q69" s="5" t="s">
        <v>143</v>
      </c>
      <c r="R69" s="5"/>
      <c r="S69" s="5" t="s">
        <v>400</v>
      </c>
      <c r="T69" s="20" t="s">
        <v>401</v>
      </c>
      <c r="U69" s="5" t="s">
        <v>402</v>
      </c>
      <c r="V69" s="22" t="s">
        <v>403</v>
      </c>
      <c r="W69" s="5" t="s">
        <v>122</v>
      </c>
      <c r="X69" s="5" t="s">
        <v>81</v>
      </c>
      <c r="Y69" s="5"/>
      <c r="Z69" s="5" t="s">
        <v>269</v>
      </c>
    </row>
    <row r="70" spans="1:28" x14ac:dyDescent="0.3">
      <c r="A70" s="5">
        <v>2404214</v>
      </c>
      <c r="B70" s="20" t="s">
        <v>404</v>
      </c>
      <c r="C70" s="25">
        <v>45414</v>
      </c>
      <c r="D70" s="5" t="s">
        <v>17</v>
      </c>
      <c r="E70" s="5" t="s">
        <v>71</v>
      </c>
      <c r="F70" s="5" t="s">
        <v>14</v>
      </c>
      <c r="G70" s="5" t="e" vm="17">
        <v>#VALUE!</v>
      </c>
      <c r="H70" s="5">
        <v>15.795</v>
      </c>
      <c r="I70" s="5" t="s">
        <v>18</v>
      </c>
      <c r="J70" s="5"/>
      <c r="K70" s="11">
        <v>48200</v>
      </c>
      <c r="M70" s="5" t="s">
        <v>176</v>
      </c>
      <c r="N70" s="5" t="s">
        <v>73</v>
      </c>
      <c r="O70" s="5" t="s">
        <v>237</v>
      </c>
      <c r="P70" s="5">
        <v>27</v>
      </c>
      <c r="Q70" s="5" t="s">
        <v>143</v>
      </c>
      <c r="R70" s="5"/>
      <c r="S70" s="5" t="s">
        <v>405</v>
      </c>
      <c r="T70" s="20" t="s">
        <v>406</v>
      </c>
      <c r="U70" s="5" t="s">
        <v>407</v>
      </c>
      <c r="V70" s="20" t="s">
        <v>408</v>
      </c>
      <c r="W70" s="5" t="s">
        <v>122</v>
      </c>
      <c r="X70" s="5" t="s">
        <v>81</v>
      </c>
      <c r="Y70" s="5"/>
      <c r="Z70" s="5" t="s">
        <v>269</v>
      </c>
    </row>
    <row r="71" spans="1:28" x14ac:dyDescent="0.3">
      <c r="A71" s="5">
        <v>2403102</v>
      </c>
      <c r="B71" s="20" t="s">
        <v>409</v>
      </c>
      <c r="C71" s="25">
        <v>45415</v>
      </c>
      <c r="D71" s="5" t="s">
        <v>17</v>
      </c>
      <c r="E71" s="5" t="s">
        <v>124</v>
      </c>
      <c r="F71" s="5" t="s">
        <v>14</v>
      </c>
      <c r="G71" s="5" t="e" vm="15">
        <v>#VALUE!</v>
      </c>
      <c r="H71" s="5">
        <v>374.4</v>
      </c>
      <c r="I71" s="5" t="s">
        <v>18</v>
      </c>
      <c r="J71" s="5"/>
      <c r="K71" s="11">
        <v>744800</v>
      </c>
      <c r="M71" s="5" t="s">
        <v>72</v>
      </c>
      <c r="N71" s="5" t="s">
        <v>73</v>
      </c>
      <c r="O71" s="5" t="s">
        <v>237</v>
      </c>
      <c r="P71" s="5">
        <v>640</v>
      </c>
      <c r="Q71" s="5" t="s">
        <v>410</v>
      </c>
      <c r="R71" s="5"/>
      <c r="T71" s="20" t="s">
        <v>411</v>
      </c>
      <c r="W71" s="5" t="s">
        <v>109</v>
      </c>
      <c r="X71" s="5" t="s">
        <v>81</v>
      </c>
      <c r="Y71" s="5"/>
      <c r="Z71" s="5" t="s">
        <v>269</v>
      </c>
    </row>
    <row r="72" spans="1:28" x14ac:dyDescent="0.3">
      <c r="A72" s="5">
        <v>2312059</v>
      </c>
      <c r="B72" s="20" t="s">
        <v>412</v>
      </c>
      <c r="C72" s="25">
        <v>45415</v>
      </c>
      <c r="D72" s="5" t="s">
        <v>17</v>
      </c>
      <c r="E72" s="5" t="s">
        <v>124</v>
      </c>
      <c r="F72" s="5" t="s">
        <v>14</v>
      </c>
      <c r="G72" s="5" t="e" vm="15">
        <v>#VALUE!</v>
      </c>
      <c r="H72" s="5">
        <v>345.15</v>
      </c>
      <c r="I72" s="5" t="s">
        <v>18</v>
      </c>
      <c r="J72" s="5"/>
      <c r="K72" s="11">
        <v>690300</v>
      </c>
      <c r="L72" s="24">
        <v>130000</v>
      </c>
      <c r="M72" s="5" t="s">
        <v>72</v>
      </c>
      <c r="N72" s="5" t="s">
        <v>73</v>
      </c>
      <c r="O72" s="5" t="s">
        <v>237</v>
      </c>
      <c r="P72" s="5">
        <v>590</v>
      </c>
      <c r="Q72" s="5" t="s">
        <v>413</v>
      </c>
      <c r="R72" s="5"/>
      <c r="T72" s="20" t="s">
        <v>414</v>
      </c>
      <c r="W72" s="5" t="s">
        <v>109</v>
      </c>
      <c r="X72" s="5" t="s">
        <v>81</v>
      </c>
      <c r="Y72" s="5"/>
      <c r="Z72" s="5" t="s">
        <v>269</v>
      </c>
    </row>
    <row r="73" spans="1:28" x14ac:dyDescent="0.3">
      <c r="A73" s="5">
        <v>2404255</v>
      </c>
      <c r="B73" s="20" t="s">
        <v>415</v>
      </c>
      <c r="C73" s="25">
        <v>45424</v>
      </c>
      <c r="D73" s="5" t="s">
        <v>17</v>
      </c>
      <c r="E73" s="5" t="s">
        <v>71</v>
      </c>
      <c r="F73" s="5" t="s">
        <v>14</v>
      </c>
      <c r="G73" s="5" t="e" vm="15">
        <v>#VALUE!</v>
      </c>
      <c r="H73" s="5">
        <v>7.6050000000000004</v>
      </c>
      <c r="I73" s="5" t="s">
        <v>18</v>
      </c>
      <c r="J73" s="5"/>
      <c r="K73" s="11">
        <v>30260</v>
      </c>
      <c r="M73" s="5" t="s">
        <v>176</v>
      </c>
      <c r="N73" s="5" t="s">
        <v>73</v>
      </c>
      <c r="O73" s="5" t="s">
        <v>237</v>
      </c>
      <c r="P73" s="5">
        <v>13.000000000000002</v>
      </c>
      <c r="Q73" s="5" t="s">
        <v>244</v>
      </c>
      <c r="R73" s="5"/>
      <c r="S73" s="5" t="s">
        <v>416</v>
      </c>
      <c r="T73" s="20" t="s">
        <v>417</v>
      </c>
      <c r="U73" s="5" t="s">
        <v>418</v>
      </c>
      <c r="V73" s="22" t="s">
        <v>419</v>
      </c>
      <c r="W73" s="5" t="s">
        <v>122</v>
      </c>
      <c r="X73" s="5" t="s">
        <v>81</v>
      </c>
      <c r="Y73" s="5"/>
      <c r="Z73" s="5"/>
    </row>
    <row r="74" spans="1:28" x14ac:dyDescent="0.3">
      <c r="A74" s="5">
        <v>2404242</v>
      </c>
      <c r="B74" s="20" t="s">
        <v>420</v>
      </c>
      <c r="C74" s="25">
        <v>45408</v>
      </c>
      <c r="D74" s="5" t="s">
        <v>421</v>
      </c>
      <c r="E74" s="5" t="s">
        <v>71</v>
      </c>
      <c r="F74" s="5" t="s">
        <v>14</v>
      </c>
      <c r="G74" s="5" t="e" vm="16">
        <v>#VALUE!</v>
      </c>
      <c r="H74" s="5">
        <v>10.53</v>
      </c>
      <c r="I74" s="5" t="s">
        <v>18</v>
      </c>
      <c r="J74" s="5"/>
      <c r="K74" s="11">
        <v>35000</v>
      </c>
      <c r="M74" s="5" t="s">
        <v>176</v>
      </c>
      <c r="N74" s="5" t="s">
        <v>73</v>
      </c>
      <c r="O74" s="5" t="s">
        <v>237</v>
      </c>
      <c r="P74" s="5">
        <v>21</v>
      </c>
      <c r="Q74" s="5" t="s">
        <v>364</v>
      </c>
      <c r="R74" s="5"/>
      <c r="S74" s="5" t="s">
        <v>422</v>
      </c>
      <c r="T74" s="20" t="s">
        <v>423</v>
      </c>
      <c r="U74" s="5" t="s">
        <v>424</v>
      </c>
      <c r="V74" s="22" t="s">
        <v>425</v>
      </c>
      <c r="W74" s="5" t="s">
        <v>122</v>
      </c>
      <c r="X74" s="5" t="s">
        <v>81</v>
      </c>
      <c r="Y74" s="5"/>
      <c r="Z74" s="5"/>
    </row>
    <row r="75" spans="1:28" x14ac:dyDescent="0.3">
      <c r="A75" s="5">
        <v>2405272</v>
      </c>
      <c r="B75" s="20" t="s">
        <v>426</v>
      </c>
      <c r="C75" s="25">
        <v>45427</v>
      </c>
      <c r="D75" s="5" t="s">
        <v>17</v>
      </c>
      <c r="E75" s="5" t="s">
        <v>71</v>
      </c>
      <c r="F75" s="5" t="s">
        <v>14</v>
      </c>
      <c r="G75" s="5" t="e" vm="16">
        <v>#VALUE!</v>
      </c>
      <c r="H75" s="5">
        <v>9.36</v>
      </c>
      <c r="I75" s="5" t="s">
        <v>18</v>
      </c>
      <c r="J75" s="5"/>
      <c r="K75" s="11">
        <v>32180</v>
      </c>
      <c r="M75" s="5" t="s">
        <v>72</v>
      </c>
      <c r="N75" s="5" t="s">
        <v>73</v>
      </c>
      <c r="O75" s="5" t="s">
        <v>237</v>
      </c>
      <c r="P75" s="5">
        <v>16</v>
      </c>
      <c r="Q75" s="5" t="s">
        <v>364</v>
      </c>
      <c r="R75" s="5"/>
      <c r="S75" s="5" t="s">
        <v>427</v>
      </c>
      <c r="T75" s="20" t="s">
        <v>428</v>
      </c>
      <c r="U75" s="5" t="s">
        <v>429</v>
      </c>
      <c r="V75" s="22" t="s">
        <v>430</v>
      </c>
      <c r="W75" s="5" t="s">
        <v>122</v>
      </c>
      <c r="X75" s="5" t="s">
        <v>81</v>
      </c>
      <c r="Y75" s="5"/>
      <c r="Z75" s="5" t="s">
        <v>269</v>
      </c>
    </row>
    <row r="76" spans="1:28" x14ac:dyDescent="0.3">
      <c r="A76" s="5">
        <v>2405266</v>
      </c>
      <c r="B76" s="20" t="s">
        <v>431</v>
      </c>
      <c r="C76" s="25">
        <v>45432</v>
      </c>
      <c r="D76" s="5" t="s">
        <v>17</v>
      </c>
      <c r="E76" s="5" t="s">
        <v>71</v>
      </c>
      <c r="F76" s="5" t="s">
        <v>14</v>
      </c>
      <c r="G76" s="5" t="e" vm="15">
        <v>#VALUE!</v>
      </c>
      <c r="H76" s="5">
        <v>13.455</v>
      </c>
      <c r="I76" s="5" t="s">
        <v>18</v>
      </c>
      <c r="J76" s="5"/>
      <c r="K76" s="11">
        <v>41000</v>
      </c>
      <c r="M76" s="5" t="s">
        <v>72</v>
      </c>
      <c r="N76" s="5" t="s">
        <v>73</v>
      </c>
      <c r="O76" s="5" t="s">
        <v>237</v>
      </c>
      <c r="P76" s="5">
        <v>23</v>
      </c>
      <c r="Q76" s="5" t="s">
        <v>111</v>
      </c>
      <c r="R76" s="5"/>
      <c r="S76" s="5" t="s">
        <v>432</v>
      </c>
      <c r="T76" s="20" t="s">
        <v>433</v>
      </c>
      <c r="U76" s="5" t="s">
        <v>434</v>
      </c>
      <c r="V76" s="22" t="s">
        <v>435</v>
      </c>
      <c r="W76" s="5" t="s">
        <v>122</v>
      </c>
      <c r="X76" s="5" t="s">
        <v>81</v>
      </c>
      <c r="Y76" s="5"/>
      <c r="Z76" s="5"/>
    </row>
    <row r="77" spans="1:28" x14ac:dyDescent="0.3">
      <c r="A77" s="5">
        <v>2405280</v>
      </c>
      <c r="B77" s="20" t="s">
        <v>436</v>
      </c>
      <c r="C77" s="25">
        <v>45422</v>
      </c>
      <c r="D77" s="5" t="s">
        <v>17</v>
      </c>
      <c r="E77" s="5" t="s">
        <v>71</v>
      </c>
      <c r="F77" s="5" t="s">
        <v>14</v>
      </c>
      <c r="G77" s="5" t="e" vm="15">
        <v>#VALUE!</v>
      </c>
      <c r="H77" s="5">
        <v>9.36</v>
      </c>
      <c r="I77" s="5" t="s">
        <v>18</v>
      </c>
      <c r="J77" s="5"/>
      <c r="K77" s="11">
        <v>34600</v>
      </c>
      <c r="M77" s="5" t="s">
        <v>176</v>
      </c>
      <c r="N77" s="5" t="s">
        <v>73</v>
      </c>
      <c r="O77" s="5" t="s">
        <v>237</v>
      </c>
      <c r="P77" s="5">
        <v>16</v>
      </c>
      <c r="Q77" s="5" t="s">
        <v>364</v>
      </c>
      <c r="R77" s="5"/>
      <c r="S77" s="5" t="s">
        <v>437</v>
      </c>
      <c r="T77" s="20" t="s">
        <v>438</v>
      </c>
      <c r="U77" s="5" t="s">
        <v>439</v>
      </c>
      <c r="V77" s="22" t="s">
        <v>440</v>
      </c>
      <c r="W77" s="5" t="s">
        <v>122</v>
      </c>
      <c r="X77" s="5" t="s">
        <v>81</v>
      </c>
      <c r="Y77" s="5"/>
      <c r="Z77" s="5"/>
    </row>
    <row r="78" spans="1:28" x14ac:dyDescent="0.3">
      <c r="A78" s="5">
        <v>2405294</v>
      </c>
      <c r="B78" s="20" t="s">
        <v>441</v>
      </c>
      <c r="C78" s="25" t="s">
        <v>442</v>
      </c>
      <c r="D78" s="5" t="s">
        <v>17</v>
      </c>
      <c r="E78" s="5"/>
      <c r="F78" s="5"/>
      <c r="G78" s="5"/>
      <c r="H78" s="5">
        <v>7.02</v>
      </c>
      <c r="I78" s="5" t="s">
        <v>18</v>
      </c>
      <c r="J78" s="5"/>
      <c r="K78" s="11">
        <v>25100</v>
      </c>
      <c r="M78" s="5" t="s">
        <v>72</v>
      </c>
      <c r="N78" s="5" t="s">
        <v>73</v>
      </c>
      <c r="O78" s="5" t="s">
        <v>237</v>
      </c>
      <c r="P78" s="5">
        <v>12</v>
      </c>
      <c r="Q78" s="5" t="s">
        <v>286</v>
      </c>
      <c r="R78" s="5"/>
      <c r="W78" s="5" t="s">
        <v>122</v>
      </c>
      <c r="X78" s="5" t="s">
        <v>81</v>
      </c>
      <c r="Y78" s="5"/>
      <c r="Z78" s="5"/>
    </row>
    <row r="79" spans="1:28" x14ac:dyDescent="0.3">
      <c r="A79" s="5">
        <v>2405296</v>
      </c>
      <c r="B79" s="20" t="s">
        <v>443</v>
      </c>
      <c r="C79" s="25">
        <v>45414</v>
      </c>
      <c r="D79" s="5" t="s">
        <v>17</v>
      </c>
      <c r="E79" s="5" t="s">
        <v>71</v>
      </c>
      <c r="F79" s="5" t="s">
        <v>14</v>
      </c>
      <c r="G79" s="5" t="e" vm="18">
        <v>#VALUE!</v>
      </c>
      <c r="H79" s="5">
        <v>8.7750000000000004</v>
      </c>
      <c r="I79" s="5" t="s">
        <v>18</v>
      </c>
      <c r="J79" s="5"/>
      <c r="K79" s="11">
        <v>32000</v>
      </c>
      <c r="M79" s="5" t="s">
        <v>72</v>
      </c>
      <c r="N79" s="5" t="s">
        <v>73</v>
      </c>
      <c r="O79" s="5" t="s">
        <v>237</v>
      </c>
      <c r="P79" s="5">
        <v>15.000000000000002</v>
      </c>
      <c r="Q79" s="5" t="s">
        <v>364</v>
      </c>
      <c r="R79" s="5"/>
      <c r="S79" s="5" t="s">
        <v>444</v>
      </c>
      <c r="T79" s="20" t="s">
        <v>445</v>
      </c>
      <c r="U79" s="5" t="s">
        <v>446</v>
      </c>
      <c r="V79" s="22" t="s">
        <v>447</v>
      </c>
      <c r="W79" s="5" t="s">
        <v>122</v>
      </c>
      <c r="X79" s="5" t="s">
        <v>81</v>
      </c>
      <c r="Y79" s="5"/>
      <c r="Z79" s="5" t="s">
        <v>269</v>
      </c>
    </row>
    <row r="80" spans="1:28" x14ac:dyDescent="0.3">
      <c r="A80" s="5">
        <v>2405307</v>
      </c>
      <c r="B80" s="20" t="s">
        <v>448</v>
      </c>
      <c r="C80" s="25">
        <v>45434</v>
      </c>
      <c r="D80" s="5" t="s">
        <v>17</v>
      </c>
      <c r="E80" s="5" t="s">
        <v>71</v>
      </c>
      <c r="F80" s="5" t="s">
        <v>14</v>
      </c>
      <c r="G80" s="5" t="e" vm="18">
        <v>#VALUE!</v>
      </c>
      <c r="H80" s="5">
        <v>8.19</v>
      </c>
      <c r="I80" s="5" t="s">
        <v>18</v>
      </c>
      <c r="J80" s="5"/>
      <c r="K80" s="11">
        <v>28000</v>
      </c>
      <c r="L80" s="24">
        <v>4600</v>
      </c>
      <c r="M80" s="5" t="s">
        <v>72</v>
      </c>
      <c r="N80" s="5" t="s">
        <v>73</v>
      </c>
      <c r="O80" s="5" t="s">
        <v>237</v>
      </c>
      <c r="P80" s="5">
        <v>14</v>
      </c>
      <c r="Q80" s="5" t="s">
        <v>244</v>
      </c>
      <c r="R80" s="5"/>
      <c r="S80" s="5" t="s">
        <v>449</v>
      </c>
      <c r="T80" s="20" t="s">
        <v>450</v>
      </c>
      <c r="U80" s="5" t="s">
        <v>451</v>
      </c>
      <c r="V80" s="22" t="s">
        <v>452</v>
      </c>
      <c r="W80" s="5" t="s">
        <v>81</v>
      </c>
      <c r="X80" s="5" t="s">
        <v>81</v>
      </c>
      <c r="Y80" s="5"/>
      <c r="Z80" s="5" t="s">
        <v>269</v>
      </c>
    </row>
    <row r="81" spans="1:26" x14ac:dyDescent="0.3">
      <c r="A81" s="5">
        <v>2404227</v>
      </c>
      <c r="B81" s="20" t="s">
        <v>453</v>
      </c>
      <c r="C81" s="25">
        <v>45442</v>
      </c>
      <c r="D81" s="5" t="s">
        <v>17</v>
      </c>
      <c r="E81" s="5" t="s">
        <v>71</v>
      </c>
      <c r="F81" s="5" t="s">
        <v>14</v>
      </c>
      <c r="G81" s="5" t="e" vm="17">
        <v>#VALUE!</v>
      </c>
      <c r="H81" s="5">
        <v>17.55</v>
      </c>
      <c r="I81" s="5" t="s">
        <v>18</v>
      </c>
      <c r="J81" s="5"/>
      <c r="K81" s="11">
        <v>52400</v>
      </c>
      <c r="M81" s="5" t="s">
        <v>72</v>
      </c>
      <c r="N81" s="5" t="s">
        <v>73</v>
      </c>
      <c r="O81" s="5" t="s">
        <v>237</v>
      </c>
      <c r="P81" s="5">
        <v>30.000000000000004</v>
      </c>
      <c r="Q81" s="5" t="s">
        <v>143</v>
      </c>
      <c r="R81" s="5"/>
      <c r="S81" s="5" t="s">
        <v>454</v>
      </c>
      <c r="T81" s="20" t="s">
        <v>455</v>
      </c>
      <c r="U81" s="5" t="s">
        <v>456</v>
      </c>
      <c r="V81" s="22" t="s">
        <v>457</v>
      </c>
      <c r="W81" s="5" t="s">
        <v>122</v>
      </c>
      <c r="X81" s="5" t="s">
        <v>81</v>
      </c>
      <c r="Y81" s="5"/>
      <c r="Z81" s="5" t="s">
        <v>269</v>
      </c>
    </row>
    <row r="82" spans="1:26" x14ac:dyDescent="0.3">
      <c r="A82" s="5">
        <v>2405315</v>
      </c>
      <c r="B82" s="20" t="s">
        <v>458</v>
      </c>
      <c r="C82" s="25">
        <v>45446</v>
      </c>
      <c r="D82" s="5" t="s">
        <v>17</v>
      </c>
      <c r="E82" s="5" t="s">
        <v>71</v>
      </c>
      <c r="F82" s="5" t="s">
        <v>14</v>
      </c>
      <c r="G82" s="5" t="e" vm="24">
        <v>#VALUE!</v>
      </c>
      <c r="H82" s="5">
        <v>13.455</v>
      </c>
      <c r="I82" s="5" t="s">
        <v>18</v>
      </c>
      <c r="J82" s="5"/>
      <c r="K82" s="11">
        <v>40000</v>
      </c>
      <c r="M82" s="5" t="s">
        <v>72</v>
      </c>
      <c r="N82" s="5" t="s">
        <v>73</v>
      </c>
      <c r="O82" s="5" t="s">
        <v>237</v>
      </c>
      <c r="P82" s="5">
        <v>23</v>
      </c>
      <c r="Q82" s="5" t="s">
        <v>111</v>
      </c>
      <c r="R82" s="5"/>
      <c r="S82" s="5" t="s">
        <v>459</v>
      </c>
      <c r="T82" s="20" t="s">
        <v>460</v>
      </c>
      <c r="U82" s="5" t="s">
        <v>461</v>
      </c>
      <c r="V82" s="22" t="s">
        <v>462</v>
      </c>
      <c r="W82" s="5" t="s">
        <v>122</v>
      </c>
      <c r="X82" s="5" t="s">
        <v>81</v>
      </c>
      <c r="Y82" s="5"/>
      <c r="Z82" s="5" t="s">
        <v>269</v>
      </c>
    </row>
    <row r="83" spans="1:26" x14ac:dyDescent="0.3">
      <c r="A83" s="5">
        <v>2405319</v>
      </c>
      <c r="B83" s="20" t="s">
        <v>463</v>
      </c>
      <c r="C83" s="25">
        <v>45445</v>
      </c>
      <c r="D83" s="5" t="s">
        <v>17</v>
      </c>
      <c r="E83" s="5" t="s">
        <v>71</v>
      </c>
      <c r="F83" s="5" t="s">
        <v>14</v>
      </c>
      <c r="G83" s="5" t="e" vm="15">
        <v>#VALUE!</v>
      </c>
      <c r="H83" s="5">
        <v>7.02</v>
      </c>
      <c r="I83" s="5" t="s">
        <v>18</v>
      </c>
      <c r="J83" s="5"/>
      <c r="K83" s="11">
        <v>26240</v>
      </c>
      <c r="M83" s="5" t="s">
        <v>72</v>
      </c>
      <c r="N83" s="5" t="s">
        <v>73</v>
      </c>
      <c r="O83" s="5" t="s">
        <v>237</v>
      </c>
      <c r="P83" s="5">
        <v>12</v>
      </c>
      <c r="Q83" s="5" t="s">
        <v>286</v>
      </c>
      <c r="R83" s="5"/>
      <c r="S83" s="5" t="s">
        <v>464</v>
      </c>
      <c r="T83" s="20" t="s">
        <v>465</v>
      </c>
      <c r="U83" s="5" t="s">
        <v>466</v>
      </c>
      <c r="V83" s="22" t="s">
        <v>467</v>
      </c>
      <c r="W83" s="5" t="s">
        <v>122</v>
      </c>
      <c r="X83" s="5" t="s">
        <v>81</v>
      </c>
      <c r="Y83" s="5"/>
      <c r="Z83" s="5" t="s">
        <v>269</v>
      </c>
    </row>
    <row r="84" spans="1:26" x14ac:dyDescent="0.3">
      <c r="A84" s="5">
        <v>2405288</v>
      </c>
      <c r="B84" s="20" t="s">
        <v>468</v>
      </c>
      <c r="C84" s="25">
        <v>45440</v>
      </c>
      <c r="D84" s="5" t="s">
        <v>17</v>
      </c>
      <c r="E84" s="5" t="s">
        <v>71</v>
      </c>
      <c r="F84" s="5" t="s">
        <v>14</v>
      </c>
      <c r="G84" s="5" t="e" vm="18">
        <v>#VALUE!</v>
      </c>
      <c r="H84" s="5">
        <v>12.285</v>
      </c>
      <c r="I84" s="5" t="s">
        <v>18</v>
      </c>
      <c r="J84" s="5"/>
      <c r="K84" s="11">
        <v>41840</v>
      </c>
      <c r="M84" s="5" t="s">
        <v>72</v>
      </c>
      <c r="N84" s="5" t="s">
        <v>73</v>
      </c>
      <c r="O84" s="5" t="s">
        <v>237</v>
      </c>
      <c r="P84" s="5">
        <v>21</v>
      </c>
      <c r="Q84" s="5" t="s">
        <v>111</v>
      </c>
      <c r="R84" s="5"/>
      <c r="S84" s="5" t="s">
        <v>469</v>
      </c>
      <c r="T84" s="20" t="s">
        <v>470</v>
      </c>
      <c r="U84" s="5" t="s">
        <v>471</v>
      </c>
      <c r="V84" s="22" t="s">
        <v>472</v>
      </c>
      <c r="W84" s="5" t="s">
        <v>122</v>
      </c>
      <c r="X84" s="5" t="s">
        <v>81</v>
      </c>
      <c r="Y84" s="5"/>
      <c r="Z84" s="5" t="s">
        <v>269</v>
      </c>
    </row>
    <row r="85" spans="1:26" x14ac:dyDescent="0.3">
      <c r="A85" s="5">
        <v>2404256</v>
      </c>
      <c r="B85" s="20" t="s">
        <v>473</v>
      </c>
      <c r="C85" s="25">
        <v>45464</v>
      </c>
      <c r="D85" s="5" t="s">
        <v>421</v>
      </c>
      <c r="E85" s="5" t="s">
        <v>71</v>
      </c>
      <c r="F85" s="5" t="s">
        <v>14</v>
      </c>
      <c r="G85" s="5" t="e" vm="16">
        <v>#VALUE!</v>
      </c>
      <c r="H85" s="5">
        <v>8.7750000000000004</v>
      </c>
      <c r="I85" s="5" t="s">
        <v>18</v>
      </c>
      <c r="J85" s="5"/>
      <c r="K85" s="11">
        <v>33100</v>
      </c>
      <c r="M85" s="5" t="s">
        <v>72</v>
      </c>
      <c r="N85" s="5" t="s">
        <v>73</v>
      </c>
      <c r="O85" s="5" t="s">
        <v>237</v>
      </c>
      <c r="P85" s="5">
        <v>14</v>
      </c>
      <c r="Q85" s="5" t="s">
        <v>75</v>
      </c>
      <c r="R85" s="5"/>
      <c r="S85" s="5" t="s">
        <v>474</v>
      </c>
      <c r="T85" s="20" t="s">
        <v>475</v>
      </c>
      <c r="U85" s="5" t="s">
        <v>476</v>
      </c>
      <c r="V85" s="22" t="s">
        <v>477</v>
      </c>
      <c r="W85" s="5" t="s">
        <v>122</v>
      </c>
      <c r="X85" s="5" t="s">
        <v>81</v>
      </c>
      <c r="Y85" s="5"/>
      <c r="Z85" s="5"/>
    </row>
    <row r="86" spans="1:26" x14ac:dyDescent="0.3">
      <c r="A86" s="5">
        <v>2406323</v>
      </c>
      <c r="B86" s="20" t="s">
        <v>478</v>
      </c>
      <c r="C86" s="25">
        <v>45457</v>
      </c>
      <c r="D86" s="5" t="s">
        <v>17</v>
      </c>
      <c r="E86" s="5" t="s">
        <v>71</v>
      </c>
      <c r="F86" s="5" t="s">
        <v>14</v>
      </c>
      <c r="G86" s="5" t="e" vm="23">
        <v>#VALUE!</v>
      </c>
      <c r="H86" s="5">
        <v>14.04</v>
      </c>
      <c r="I86" s="5" t="s">
        <v>18</v>
      </c>
      <c r="J86" s="5"/>
      <c r="K86" s="11">
        <v>40000</v>
      </c>
      <c r="M86" s="5" t="s">
        <v>72</v>
      </c>
      <c r="N86" s="5" t="s">
        <v>73</v>
      </c>
      <c r="O86" s="5" t="s">
        <v>237</v>
      </c>
      <c r="P86" s="5">
        <v>24</v>
      </c>
      <c r="Q86" s="5" t="s">
        <v>143</v>
      </c>
      <c r="R86" s="5"/>
      <c r="S86" s="5" t="s">
        <v>479</v>
      </c>
      <c r="T86" s="20" t="s">
        <v>480</v>
      </c>
      <c r="U86" s="5" t="s">
        <v>481</v>
      </c>
      <c r="V86" s="22" t="s">
        <v>482</v>
      </c>
      <c r="W86" s="5" t="s">
        <v>122</v>
      </c>
      <c r="X86" s="5" t="s">
        <v>81</v>
      </c>
      <c r="Y86" s="5"/>
      <c r="Z86" s="5"/>
    </row>
    <row r="87" spans="1:26" x14ac:dyDescent="0.3">
      <c r="A87" s="5">
        <v>2406336</v>
      </c>
      <c r="B87" s="20" t="s">
        <v>483</v>
      </c>
      <c r="C87" s="25">
        <v>45462</v>
      </c>
      <c r="D87" s="5" t="s">
        <v>17</v>
      </c>
      <c r="E87" s="5" t="s">
        <v>71</v>
      </c>
      <c r="F87" s="5" t="s">
        <v>14</v>
      </c>
      <c r="G87" s="5" t="e" vm="18">
        <v>#VALUE!</v>
      </c>
      <c r="H87" s="5">
        <v>11.7</v>
      </c>
      <c r="I87" s="5" t="s">
        <v>18</v>
      </c>
      <c r="J87" s="5"/>
      <c r="K87" s="11">
        <v>31000</v>
      </c>
      <c r="M87" s="5" t="s">
        <v>72</v>
      </c>
      <c r="N87" s="5" t="s">
        <v>73</v>
      </c>
      <c r="O87" s="5" t="s">
        <v>237</v>
      </c>
      <c r="P87" s="5">
        <v>20</v>
      </c>
      <c r="Q87" s="5" t="s">
        <v>111</v>
      </c>
      <c r="R87" s="5"/>
      <c r="S87" s="5" t="s">
        <v>484</v>
      </c>
      <c r="T87" s="20" t="s">
        <v>485</v>
      </c>
      <c r="U87" s="5" t="s">
        <v>486</v>
      </c>
      <c r="V87" s="22" t="s">
        <v>487</v>
      </c>
      <c r="W87" s="5" t="s">
        <v>81</v>
      </c>
      <c r="X87" s="5" t="s">
        <v>81</v>
      </c>
      <c r="Y87" s="5"/>
      <c r="Z87" s="5" t="s">
        <v>269</v>
      </c>
    </row>
    <row r="88" spans="1:26" x14ac:dyDescent="0.3">
      <c r="A88" s="5">
        <v>2406340</v>
      </c>
      <c r="B88" s="20" t="s">
        <v>488</v>
      </c>
      <c r="C88" s="25">
        <v>45464</v>
      </c>
      <c r="D88" s="5" t="s">
        <v>17</v>
      </c>
      <c r="E88" s="5" t="s">
        <v>71</v>
      </c>
      <c r="F88" s="5" t="s">
        <v>14</v>
      </c>
      <c r="G88" s="5" t="e" vm="18">
        <v>#VALUE!</v>
      </c>
      <c r="H88" s="5">
        <v>7.02</v>
      </c>
      <c r="I88" s="5" t="s">
        <v>18</v>
      </c>
      <c r="J88" s="5"/>
      <c r="K88" s="11">
        <v>24100</v>
      </c>
      <c r="M88" s="5" t="s">
        <v>72</v>
      </c>
      <c r="N88" s="5" t="s">
        <v>73</v>
      </c>
      <c r="O88" s="5" t="s">
        <v>237</v>
      </c>
      <c r="P88" s="5">
        <v>12</v>
      </c>
      <c r="Q88" s="5" t="s">
        <v>286</v>
      </c>
      <c r="R88" s="5"/>
      <c r="S88" s="5" t="s">
        <v>489</v>
      </c>
      <c r="T88" s="20" t="s">
        <v>490</v>
      </c>
      <c r="U88" s="5" t="s">
        <v>491</v>
      </c>
      <c r="V88" s="22" t="s">
        <v>492</v>
      </c>
      <c r="W88" s="5" t="s">
        <v>122</v>
      </c>
      <c r="X88" s="5" t="s">
        <v>81</v>
      </c>
      <c r="Y88" s="5"/>
      <c r="Z88" s="5" t="s">
        <v>269</v>
      </c>
    </row>
    <row r="89" spans="1:26" x14ac:dyDescent="0.3">
      <c r="A89" s="5">
        <v>2406355</v>
      </c>
      <c r="B89" s="20" t="s">
        <v>493</v>
      </c>
      <c r="C89" s="25">
        <v>45471</v>
      </c>
      <c r="D89" s="5" t="s">
        <v>17</v>
      </c>
      <c r="E89" s="5" t="s">
        <v>71</v>
      </c>
      <c r="F89" s="5" t="s">
        <v>14</v>
      </c>
      <c r="G89" s="5" t="e" vm="15">
        <v>#VALUE!</v>
      </c>
      <c r="H89" s="5">
        <v>9.36</v>
      </c>
      <c r="I89" s="5" t="s">
        <v>18</v>
      </c>
      <c r="J89" s="5"/>
      <c r="K89" s="11">
        <v>27000</v>
      </c>
      <c r="L89" s="24">
        <v>-1872</v>
      </c>
      <c r="M89" s="5" t="s">
        <v>72</v>
      </c>
      <c r="N89" s="5" t="s">
        <v>73</v>
      </c>
      <c r="O89" s="5" t="s">
        <v>237</v>
      </c>
      <c r="P89" s="5">
        <v>16</v>
      </c>
      <c r="Q89" s="5" t="s">
        <v>364</v>
      </c>
      <c r="R89" s="5"/>
      <c r="S89" s="5" t="s">
        <v>494</v>
      </c>
      <c r="T89" s="20" t="s">
        <v>495</v>
      </c>
      <c r="U89" s="5" t="s">
        <v>496</v>
      </c>
      <c r="V89" s="22" t="s">
        <v>497</v>
      </c>
      <c r="W89" s="5" t="s">
        <v>109</v>
      </c>
      <c r="X89" s="5" t="s">
        <v>81</v>
      </c>
      <c r="Y89" s="5"/>
      <c r="Z89" s="5"/>
    </row>
    <row r="90" spans="1:26" x14ac:dyDescent="0.3">
      <c r="A90" s="5">
        <v>2406357</v>
      </c>
      <c r="B90" s="20" t="s">
        <v>498</v>
      </c>
      <c r="C90" s="25">
        <v>45471</v>
      </c>
      <c r="D90" s="5" t="s">
        <v>22</v>
      </c>
      <c r="E90" s="5" t="s">
        <v>71</v>
      </c>
      <c r="F90" s="5" t="s">
        <v>14</v>
      </c>
      <c r="G90" s="5" t="e" vm="16">
        <v>#VALUE!</v>
      </c>
      <c r="H90" s="5">
        <v>12.285</v>
      </c>
      <c r="I90" s="5" t="s">
        <v>18</v>
      </c>
      <c r="J90" s="5"/>
      <c r="K90" s="11">
        <v>38000</v>
      </c>
      <c r="M90" s="5" t="s">
        <v>72</v>
      </c>
      <c r="N90" s="5" t="s">
        <v>73</v>
      </c>
      <c r="O90" s="5" t="s">
        <v>237</v>
      </c>
      <c r="P90" s="5">
        <v>21</v>
      </c>
      <c r="Q90" s="5" t="s">
        <v>111</v>
      </c>
      <c r="R90" s="5"/>
      <c r="S90" s="5" t="s">
        <v>499</v>
      </c>
      <c r="T90" s="20" t="s">
        <v>500</v>
      </c>
      <c r="U90" s="5" t="s">
        <v>501</v>
      </c>
      <c r="V90" s="22" t="s">
        <v>502</v>
      </c>
      <c r="W90" s="5" t="s">
        <v>80</v>
      </c>
      <c r="X90" s="5" t="s">
        <v>81</v>
      </c>
      <c r="Y90" s="5"/>
      <c r="Z90" s="5"/>
    </row>
    <row r="91" spans="1:26" x14ac:dyDescent="0.3">
      <c r="A91" s="5">
        <v>2405019</v>
      </c>
      <c r="B91" s="20" t="s">
        <v>503</v>
      </c>
      <c r="C91" s="25">
        <v>45463</v>
      </c>
      <c r="D91" s="5" t="s">
        <v>20</v>
      </c>
      <c r="E91" s="5" t="s">
        <v>206</v>
      </c>
      <c r="F91" s="5" t="s">
        <v>18</v>
      </c>
      <c r="G91" s="5" t="e" vm="19">
        <v>#VALUE!</v>
      </c>
      <c r="H91" s="5">
        <v>0</v>
      </c>
      <c r="I91" s="5">
        <v>240</v>
      </c>
      <c r="J91" s="5"/>
      <c r="K91" s="11">
        <v>90800</v>
      </c>
      <c r="M91" s="5" t="s">
        <v>125</v>
      </c>
      <c r="N91" s="5" t="s">
        <v>73</v>
      </c>
      <c r="O91" s="5" t="s">
        <v>18</v>
      </c>
      <c r="P91" s="5" t="s">
        <v>18</v>
      </c>
      <c r="Q91" s="5" t="s">
        <v>18</v>
      </c>
      <c r="R91" s="5"/>
      <c r="S91" s="5" t="s">
        <v>18</v>
      </c>
      <c r="T91" s="20" t="s">
        <v>504</v>
      </c>
      <c r="U91" s="5" t="s">
        <v>18</v>
      </c>
      <c r="V91" s="22" t="s">
        <v>18</v>
      </c>
      <c r="W91" s="5" t="s">
        <v>109</v>
      </c>
      <c r="X91" s="5" t="s">
        <v>81</v>
      </c>
      <c r="Y91" s="5"/>
      <c r="Z91" s="5"/>
    </row>
    <row r="92" spans="1:26" x14ac:dyDescent="0.3">
      <c r="A92" s="5">
        <v>2406358</v>
      </c>
      <c r="B92" s="20" t="s">
        <v>505</v>
      </c>
      <c r="C92" s="25">
        <v>45474</v>
      </c>
      <c r="D92" s="5" t="s">
        <v>17</v>
      </c>
      <c r="E92" s="5" t="s">
        <v>71</v>
      </c>
      <c r="F92" s="5" t="s">
        <v>14</v>
      </c>
      <c r="G92" s="5" t="e" vm="22">
        <v>#VALUE!</v>
      </c>
      <c r="H92" s="5">
        <v>9.36</v>
      </c>
      <c r="I92" s="5" t="s">
        <v>18</v>
      </c>
      <c r="J92" s="5"/>
      <c r="K92" s="11">
        <v>30000</v>
      </c>
      <c r="M92" s="5" t="s">
        <v>72</v>
      </c>
      <c r="N92" s="5" t="s">
        <v>73</v>
      </c>
      <c r="O92" s="5" t="s">
        <v>237</v>
      </c>
      <c r="P92" s="5">
        <v>16</v>
      </c>
      <c r="Q92" s="5" t="s">
        <v>364</v>
      </c>
      <c r="R92" s="5"/>
      <c r="S92" s="5" t="s">
        <v>506</v>
      </c>
      <c r="T92" s="20" t="s">
        <v>507</v>
      </c>
      <c r="U92" s="5" t="s">
        <v>508</v>
      </c>
      <c r="V92" s="22" t="s">
        <v>509</v>
      </c>
      <c r="W92" s="5" t="s">
        <v>122</v>
      </c>
      <c r="X92" s="5" t="s">
        <v>81</v>
      </c>
      <c r="Y92" s="5"/>
      <c r="Z92" s="5"/>
    </row>
    <row r="93" spans="1:26" x14ac:dyDescent="0.3">
      <c r="A93" s="5">
        <v>2407360</v>
      </c>
      <c r="B93" s="20" t="s">
        <v>510</v>
      </c>
      <c r="C93" s="25">
        <v>45491</v>
      </c>
      <c r="D93" s="5" t="s">
        <v>17</v>
      </c>
      <c r="E93" s="5" t="s">
        <v>71</v>
      </c>
      <c r="F93" s="5" t="s">
        <v>14</v>
      </c>
      <c r="G93" s="5" t="e" vm="15">
        <v>#VALUE!</v>
      </c>
      <c r="H93" s="5">
        <v>14.04</v>
      </c>
      <c r="I93" s="5" t="s">
        <v>18</v>
      </c>
      <c r="J93" s="5"/>
      <c r="K93" s="11">
        <v>45020</v>
      </c>
      <c r="M93" s="5" t="s">
        <v>176</v>
      </c>
      <c r="N93" s="5" t="s">
        <v>73</v>
      </c>
      <c r="O93" s="5" t="s">
        <v>237</v>
      </c>
      <c r="P93" s="5">
        <v>24</v>
      </c>
      <c r="Q93" s="5" t="s">
        <v>143</v>
      </c>
      <c r="R93" s="5"/>
      <c r="S93" s="5" t="s">
        <v>511</v>
      </c>
      <c r="T93" s="20" t="s">
        <v>512</v>
      </c>
      <c r="U93" s="5" t="s">
        <v>513</v>
      </c>
      <c r="V93" s="22" t="s">
        <v>514</v>
      </c>
      <c r="W93" s="5" t="s">
        <v>122</v>
      </c>
      <c r="X93" s="5" t="s">
        <v>81</v>
      </c>
      <c r="Y93" s="5"/>
      <c r="Z93" s="5"/>
    </row>
    <row r="94" spans="1:26" x14ac:dyDescent="0.3">
      <c r="A94" s="5">
        <v>2407364</v>
      </c>
      <c r="B94" s="20" t="s">
        <v>515</v>
      </c>
      <c r="C94" s="25">
        <v>45481</v>
      </c>
      <c r="D94" s="5" t="s">
        <v>22</v>
      </c>
      <c r="E94" s="5" t="s">
        <v>71</v>
      </c>
      <c r="F94" s="5" t="s">
        <v>14</v>
      </c>
      <c r="G94" s="5" t="e" vm="16">
        <v>#VALUE!</v>
      </c>
      <c r="H94" s="5">
        <v>8.19</v>
      </c>
      <c r="I94" s="5" t="s">
        <v>18</v>
      </c>
      <c r="J94" s="5"/>
      <c r="K94" s="11">
        <v>25000</v>
      </c>
      <c r="M94" s="5" t="s">
        <v>72</v>
      </c>
      <c r="N94" s="5" t="s">
        <v>73</v>
      </c>
      <c r="O94" s="5" t="s">
        <v>237</v>
      </c>
      <c r="P94" s="5">
        <v>14</v>
      </c>
      <c r="Q94" s="5" t="s">
        <v>244</v>
      </c>
      <c r="R94" s="5"/>
      <c r="S94" s="5" t="s">
        <v>516</v>
      </c>
      <c r="T94" s="20" t="s">
        <v>517</v>
      </c>
      <c r="U94" s="5" t="s">
        <v>518</v>
      </c>
      <c r="V94" s="22" t="s">
        <v>519</v>
      </c>
      <c r="W94" s="5" t="s">
        <v>109</v>
      </c>
      <c r="X94" s="5" t="s">
        <v>81</v>
      </c>
      <c r="Y94" s="5"/>
      <c r="Z94" s="5"/>
    </row>
    <row r="95" spans="1:26" x14ac:dyDescent="0.3">
      <c r="A95" s="5">
        <v>2407375</v>
      </c>
      <c r="B95" s="20" t="s">
        <v>520</v>
      </c>
      <c r="C95" s="25">
        <v>45485</v>
      </c>
      <c r="D95" s="5" t="s">
        <v>17</v>
      </c>
      <c r="E95" s="5" t="s">
        <v>71</v>
      </c>
      <c r="F95" s="5" t="s">
        <v>14</v>
      </c>
      <c r="G95" s="5" t="e" vm="15">
        <v>#VALUE!</v>
      </c>
      <c r="H95" s="5">
        <v>14.04</v>
      </c>
      <c r="I95" s="5" t="s">
        <v>18</v>
      </c>
      <c r="J95" s="5"/>
      <c r="K95" s="11">
        <v>39980</v>
      </c>
      <c r="M95" s="5" t="s">
        <v>176</v>
      </c>
      <c r="N95" s="5" t="s">
        <v>73</v>
      </c>
      <c r="O95" s="5" t="s">
        <v>237</v>
      </c>
      <c r="P95" s="5">
        <v>24</v>
      </c>
      <c r="Q95" s="5" t="s">
        <v>143</v>
      </c>
      <c r="R95" s="5"/>
      <c r="S95" s="5" t="s">
        <v>521</v>
      </c>
      <c r="T95" s="20" t="s">
        <v>522</v>
      </c>
      <c r="U95" s="5" t="s">
        <v>523</v>
      </c>
      <c r="V95" s="22" t="s">
        <v>524</v>
      </c>
      <c r="W95" s="5" t="s">
        <v>122</v>
      </c>
      <c r="X95" s="5" t="s">
        <v>81</v>
      </c>
      <c r="Y95" s="5"/>
      <c r="Z95" s="5" t="s">
        <v>269</v>
      </c>
    </row>
    <row r="96" spans="1:26" x14ac:dyDescent="0.3">
      <c r="A96" s="5">
        <v>2407379</v>
      </c>
      <c r="B96" s="20" t="s">
        <v>525</v>
      </c>
      <c r="C96" s="25">
        <v>45484</v>
      </c>
      <c r="D96" s="5" t="s">
        <v>19</v>
      </c>
      <c r="E96" s="5" t="s">
        <v>71</v>
      </c>
      <c r="F96" s="5" t="s">
        <v>14</v>
      </c>
      <c r="G96" s="5" t="e" vm="16">
        <v>#VALUE!</v>
      </c>
      <c r="H96" s="5">
        <v>5.2649999999999997</v>
      </c>
      <c r="I96" s="5" t="s">
        <v>18</v>
      </c>
      <c r="J96" s="5"/>
      <c r="K96" s="11">
        <v>22860</v>
      </c>
      <c r="M96" s="5" t="s">
        <v>526</v>
      </c>
      <c r="N96" s="5" t="s">
        <v>73</v>
      </c>
      <c r="O96" s="5" t="s">
        <v>237</v>
      </c>
      <c r="P96" s="5">
        <v>9</v>
      </c>
      <c r="Q96" s="5" t="s">
        <v>309</v>
      </c>
      <c r="R96" s="5"/>
      <c r="S96" s="5" t="s">
        <v>527</v>
      </c>
      <c r="T96" s="20" t="s">
        <v>528</v>
      </c>
      <c r="U96" s="5" t="s">
        <v>529</v>
      </c>
      <c r="V96" s="20" t="s">
        <v>530</v>
      </c>
      <c r="W96" s="5" t="s">
        <v>109</v>
      </c>
      <c r="X96" s="5" t="s">
        <v>81</v>
      </c>
      <c r="Y96" s="5"/>
      <c r="Z96" s="5"/>
    </row>
    <row r="97" spans="1:26" x14ac:dyDescent="0.3">
      <c r="A97" s="5">
        <v>2407380</v>
      </c>
      <c r="B97" s="20" t="s">
        <v>531</v>
      </c>
      <c r="C97" s="25">
        <v>45486</v>
      </c>
      <c r="D97" s="5" t="s">
        <v>17</v>
      </c>
      <c r="E97" s="5" t="s">
        <v>71</v>
      </c>
      <c r="F97" s="5" t="s">
        <v>14</v>
      </c>
      <c r="G97" s="5" t="e" vm="15">
        <v>#VALUE!</v>
      </c>
      <c r="H97" s="5">
        <v>12.87</v>
      </c>
      <c r="I97" s="5" t="s">
        <v>18</v>
      </c>
      <c r="J97" s="5"/>
      <c r="K97" s="11">
        <v>38000</v>
      </c>
      <c r="M97" s="5" t="s">
        <v>72</v>
      </c>
      <c r="N97" s="5" t="s">
        <v>73</v>
      </c>
      <c r="O97" s="5" t="s">
        <v>237</v>
      </c>
      <c r="P97" s="5">
        <v>22</v>
      </c>
      <c r="Q97" s="5" t="s">
        <v>111</v>
      </c>
      <c r="R97" s="5"/>
      <c r="S97" s="5" t="s">
        <v>532</v>
      </c>
      <c r="T97" s="20" t="s">
        <v>533</v>
      </c>
      <c r="U97" s="5" t="s">
        <v>534</v>
      </c>
      <c r="V97" s="22" t="s">
        <v>535</v>
      </c>
      <c r="W97" s="5" t="s">
        <v>122</v>
      </c>
      <c r="X97" s="5" t="s">
        <v>81</v>
      </c>
      <c r="Y97" s="5"/>
      <c r="Z97" s="5" t="s">
        <v>269</v>
      </c>
    </row>
    <row r="98" spans="1:26" x14ac:dyDescent="0.3">
      <c r="A98" s="5">
        <v>2407381</v>
      </c>
      <c r="B98" s="20" t="s">
        <v>536</v>
      </c>
      <c r="C98" s="25">
        <v>45486</v>
      </c>
      <c r="D98" s="5" t="s">
        <v>17</v>
      </c>
      <c r="E98" s="5" t="s">
        <v>71</v>
      </c>
      <c r="F98" s="5" t="s">
        <v>14</v>
      </c>
      <c r="G98" s="5" t="e" vm="15">
        <v>#VALUE!</v>
      </c>
      <c r="H98" s="5">
        <v>12.285</v>
      </c>
      <c r="I98" s="5" t="s">
        <v>18</v>
      </c>
      <c r="J98" s="5"/>
      <c r="K98" s="11">
        <v>36680</v>
      </c>
      <c r="M98" s="5" t="s">
        <v>72</v>
      </c>
      <c r="N98" s="5" t="s">
        <v>73</v>
      </c>
      <c r="O98" s="5" t="s">
        <v>237</v>
      </c>
      <c r="P98" s="5">
        <v>21</v>
      </c>
      <c r="Q98" s="5" t="s">
        <v>111</v>
      </c>
      <c r="R98" s="5"/>
      <c r="S98" s="5" t="s">
        <v>537</v>
      </c>
      <c r="T98" s="20" t="s">
        <v>538</v>
      </c>
      <c r="U98" s="5" t="s">
        <v>539</v>
      </c>
      <c r="V98" s="22" t="s">
        <v>540</v>
      </c>
      <c r="W98" s="5" t="s">
        <v>122</v>
      </c>
      <c r="X98" s="5" t="s">
        <v>81</v>
      </c>
      <c r="Y98" s="5"/>
      <c r="Z98" s="5" t="s">
        <v>269</v>
      </c>
    </row>
    <row r="99" spans="1:26" x14ac:dyDescent="0.3">
      <c r="A99" s="5">
        <v>2407382</v>
      </c>
      <c r="B99" s="20" t="s">
        <v>541</v>
      </c>
      <c r="C99" s="25">
        <v>45488</v>
      </c>
      <c r="D99" s="5" t="s">
        <v>17</v>
      </c>
      <c r="E99" s="5" t="s">
        <v>71</v>
      </c>
      <c r="F99" s="5" t="s">
        <v>14</v>
      </c>
      <c r="G99" s="5" t="e" vm="15">
        <v>#VALUE!</v>
      </c>
      <c r="H99" s="5">
        <v>8.7750000000000004</v>
      </c>
      <c r="I99" s="5" t="s">
        <v>18</v>
      </c>
      <c r="J99" s="5"/>
      <c r="K99" s="11">
        <v>29840</v>
      </c>
      <c r="M99" s="5" t="s">
        <v>176</v>
      </c>
      <c r="N99" s="5" t="s">
        <v>73</v>
      </c>
      <c r="O99" s="5" t="s">
        <v>237</v>
      </c>
      <c r="P99" s="5">
        <v>15.000000000000002</v>
      </c>
      <c r="Q99" s="5" t="s">
        <v>364</v>
      </c>
      <c r="R99" s="5"/>
      <c r="S99" s="5" t="s">
        <v>542</v>
      </c>
      <c r="T99" s="20" t="s">
        <v>543</v>
      </c>
      <c r="U99" s="5" t="s">
        <v>544</v>
      </c>
      <c r="W99" s="5" t="s">
        <v>122</v>
      </c>
      <c r="X99" s="5" t="s">
        <v>81</v>
      </c>
      <c r="Y99" s="5"/>
      <c r="Z99" s="5" t="s">
        <v>269</v>
      </c>
    </row>
    <row r="100" spans="1:26" x14ac:dyDescent="0.3">
      <c r="A100" s="5">
        <v>2407383</v>
      </c>
      <c r="B100" s="20" t="s">
        <v>545</v>
      </c>
      <c r="C100" s="25">
        <v>45488</v>
      </c>
      <c r="D100" s="5" t="s">
        <v>17</v>
      </c>
      <c r="E100" s="5" t="s">
        <v>71</v>
      </c>
      <c r="F100" s="5" t="s">
        <v>14</v>
      </c>
      <c r="G100" s="5" t="e" vm="15">
        <v>#VALUE!</v>
      </c>
      <c r="H100" s="5">
        <v>14.04</v>
      </c>
      <c r="I100" s="5" t="s">
        <v>18</v>
      </c>
      <c r="J100" s="5"/>
      <c r="K100" s="11">
        <v>39980</v>
      </c>
      <c r="M100" s="5" t="s">
        <v>72</v>
      </c>
      <c r="N100" s="5" t="s">
        <v>73</v>
      </c>
      <c r="O100" s="5" t="s">
        <v>237</v>
      </c>
      <c r="P100" s="5">
        <v>24</v>
      </c>
      <c r="Q100" s="5" t="s">
        <v>143</v>
      </c>
      <c r="R100" s="5"/>
      <c r="S100" s="5" t="s">
        <v>546</v>
      </c>
      <c r="T100" s="20" t="s">
        <v>547</v>
      </c>
      <c r="U100" s="5" t="s">
        <v>548</v>
      </c>
      <c r="V100" s="22" t="s">
        <v>549</v>
      </c>
      <c r="W100" s="5" t="s">
        <v>122</v>
      </c>
      <c r="X100" s="5" t="s">
        <v>81</v>
      </c>
      <c r="Y100" s="5"/>
      <c r="Z100" s="5" t="s">
        <v>269</v>
      </c>
    </row>
    <row r="101" spans="1:26" x14ac:dyDescent="0.3">
      <c r="A101" s="5">
        <v>2407384</v>
      </c>
      <c r="B101" s="20" t="s">
        <v>550</v>
      </c>
      <c r="C101" s="25">
        <v>45488</v>
      </c>
      <c r="D101" s="5" t="s">
        <v>17</v>
      </c>
      <c r="E101" s="5" t="s">
        <v>71</v>
      </c>
      <c r="F101" s="5" t="s">
        <v>14</v>
      </c>
      <c r="G101" s="5" t="e" vm="15">
        <v>#VALUE!</v>
      </c>
      <c r="H101" s="5">
        <v>12.285</v>
      </c>
      <c r="I101" s="5" t="s">
        <v>18</v>
      </c>
      <c r="J101" s="5"/>
      <c r="K101" s="11">
        <v>36800</v>
      </c>
      <c r="M101" s="5" t="s">
        <v>72</v>
      </c>
      <c r="N101" s="5" t="s">
        <v>73</v>
      </c>
      <c r="O101" s="5" t="s">
        <v>237</v>
      </c>
      <c r="P101" s="5">
        <v>21</v>
      </c>
      <c r="Q101" s="5" t="s">
        <v>111</v>
      </c>
      <c r="R101" s="5"/>
      <c r="S101" s="5" t="s">
        <v>551</v>
      </c>
      <c r="T101" s="20" t="s">
        <v>552</v>
      </c>
      <c r="U101" s="5" t="s">
        <v>553</v>
      </c>
      <c r="V101" s="22" t="s">
        <v>554</v>
      </c>
      <c r="W101" s="5" t="s">
        <v>122</v>
      </c>
      <c r="X101" s="5" t="s">
        <v>81</v>
      </c>
      <c r="Y101" s="5"/>
      <c r="Z101" s="5" t="s">
        <v>269</v>
      </c>
    </row>
    <row r="102" spans="1:26" x14ac:dyDescent="0.3">
      <c r="A102" s="5">
        <v>2407385</v>
      </c>
      <c r="B102" s="20" t="s">
        <v>555</v>
      </c>
      <c r="C102" s="25">
        <v>45488</v>
      </c>
      <c r="D102" s="5" t="s">
        <v>19</v>
      </c>
      <c r="E102" s="5" t="s">
        <v>71</v>
      </c>
      <c r="F102" s="5" t="s">
        <v>14</v>
      </c>
      <c r="G102" s="5" t="e" vm="16">
        <v>#VALUE!</v>
      </c>
      <c r="H102" s="5">
        <v>15.21</v>
      </c>
      <c r="I102" s="5" t="s">
        <v>18</v>
      </c>
      <c r="J102" s="5"/>
      <c r="K102" s="11">
        <v>45600</v>
      </c>
      <c r="M102" s="5" t="s">
        <v>72</v>
      </c>
      <c r="N102" s="5" t="s">
        <v>73</v>
      </c>
      <c r="O102" s="5" t="s">
        <v>237</v>
      </c>
      <c r="P102" s="5">
        <v>26.000000000000004</v>
      </c>
      <c r="Q102" s="5" t="s">
        <v>131</v>
      </c>
      <c r="R102" s="5"/>
      <c r="S102" s="5" t="s">
        <v>556</v>
      </c>
      <c r="T102" s="20" t="s">
        <v>557</v>
      </c>
      <c r="U102" s="5" t="s">
        <v>558</v>
      </c>
      <c r="V102" s="22" t="s">
        <v>559</v>
      </c>
      <c r="W102" s="5" t="s">
        <v>122</v>
      </c>
      <c r="X102" s="5" t="s">
        <v>81</v>
      </c>
      <c r="Y102" s="5"/>
      <c r="Z102" s="5"/>
    </row>
    <row r="103" spans="1:26" x14ac:dyDescent="0.3">
      <c r="A103" s="5">
        <v>2310035</v>
      </c>
      <c r="B103" s="20" t="s">
        <v>560</v>
      </c>
      <c r="C103" s="25">
        <v>45793</v>
      </c>
      <c r="D103" s="5" t="s">
        <v>17</v>
      </c>
      <c r="E103" s="5" t="s">
        <v>124</v>
      </c>
      <c r="F103" s="5" t="s">
        <v>14</v>
      </c>
      <c r="G103" s="5" t="e" vm="5">
        <v>#VALUE!</v>
      </c>
      <c r="H103" s="5">
        <v>87.84</v>
      </c>
      <c r="I103" s="5" t="s">
        <v>18</v>
      </c>
      <c r="J103" s="5"/>
      <c r="K103" s="11">
        <v>188000</v>
      </c>
      <c r="M103" s="5" t="s">
        <v>72</v>
      </c>
      <c r="N103" s="5" t="s">
        <v>73</v>
      </c>
      <c r="O103" s="5" t="s">
        <v>561</v>
      </c>
      <c r="P103" s="5">
        <v>144</v>
      </c>
      <c r="Q103" s="5" t="s">
        <v>562</v>
      </c>
      <c r="R103" s="5"/>
      <c r="W103" s="5" t="s">
        <v>122</v>
      </c>
      <c r="X103" s="5" t="s">
        <v>81</v>
      </c>
      <c r="Y103" s="5" t="s">
        <v>563</v>
      </c>
      <c r="Z103" s="5"/>
    </row>
    <row r="104" spans="1:26" x14ac:dyDescent="0.3">
      <c r="A104" s="5">
        <v>2403088</v>
      </c>
      <c r="B104" s="20" t="s">
        <v>564</v>
      </c>
      <c r="C104" s="25">
        <v>45490</v>
      </c>
      <c r="D104" s="5" t="s">
        <v>17</v>
      </c>
      <c r="E104" s="5" t="s">
        <v>124</v>
      </c>
      <c r="F104" s="5" t="s">
        <v>14</v>
      </c>
      <c r="G104" s="5" t="e" vm="5">
        <v>#VALUE!</v>
      </c>
      <c r="H104" s="5">
        <v>37.44</v>
      </c>
      <c r="I104" s="5" t="s">
        <v>18</v>
      </c>
      <c r="J104" s="5"/>
      <c r="K104" s="11">
        <v>98000</v>
      </c>
      <c r="M104" s="5" t="s">
        <v>72</v>
      </c>
      <c r="N104" s="5" t="s">
        <v>73</v>
      </c>
      <c r="O104" s="5" t="s">
        <v>237</v>
      </c>
      <c r="P104" s="5">
        <v>64</v>
      </c>
      <c r="Q104" s="5" t="s">
        <v>351</v>
      </c>
      <c r="R104" s="5"/>
      <c r="T104" s="20" t="s">
        <v>565</v>
      </c>
      <c r="W104" s="5" t="s">
        <v>122</v>
      </c>
      <c r="X104" s="5" t="s">
        <v>81</v>
      </c>
      <c r="Y104" s="5"/>
      <c r="Z104" s="5"/>
    </row>
    <row r="105" spans="1:26" x14ac:dyDescent="0.3">
      <c r="A105" s="5">
        <v>2407157</v>
      </c>
      <c r="B105" s="20" t="s">
        <v>566</v>
      </c>
      <c r="C105" s="25">
        <v>45481</v>
      </c>
      <c r="D105" s="5" t="s">
        <v>22</v>
      </c>
      <c r="E105" s="5" t="s">
        <v>124</v>
      </c>
      <c r="F105" s="5" t="s">
        <v>14</v>
      </c>
      <c r="G105" s="5" t="e" vm="11">
        <v>#VALUE!</v>
      </c>
      <c r="H105" s="5">
        <v>18.72</v>
      </c>
      <c r="I105" s="5" t="s">
        <v>18</v>
      </c>
      <c r="J105" s="5"/>
      <c r="K105" s="11">
        <v>52000</v>
      </c>
      <c r="M105" s="5" t="s">
        <v>72</v>
      </c>
      <c r="N105" s="5" t="s">
        <v>73</v>
      </c>
      <c r="O105" s="5" t="s">
        <v>237</v>
      </c>
      <c r="P105" s="5">
        <v>32</v>
      </c>
      <c r="Q105" s="5" t="s">
        <v>567</v>
      </c>
      <c r="R105" s="5"/>
      <c r="T105" s="20" t="s">
        <v>568</v>
      </c>
      <c r="W105" s="5" t="s">
        <v>109</v>
      </c>
      <c r="X105" s="5" t="s">
        <v>81</v>
      </c>
      <c r="Y105" s="5"/>
      <c r="Z105" s="5"/>
    </row>
    <row r="106" spans="1:26" x14ac:dyDescent="0.3">
      <c r="A106" s="5">
        <v>2312116</v>
      </c>
      <c r="B106" s="20" t="s">
        <v>569</v>
      </c>
      <c r="C106" s="25">
        <v>45461</v>
      </c>
      <c r="D106" s="5" t="s">
        <v>17</v>
      </c>
      <c r="E106" s="5" t="s">
        <v>71</v>
      </c>
      <c r="F106" s="5" t="s">
        <v>14</v>
      </c>
      <c r="G106" s="5" t="e" vm="12">
        <v>#VALUE!</v>
      </c>
      <c r="H106" s="5">
        <v>11.7</v>
      </c>
      <c r="I106" s="5" t="s">
        <v>18</v>
      </c>
      <c r="J106" s="5"/>
      <c r="K106" s="11">
        <v>32540</v>
      </c>
      <c r="M106" s="5" t="s">
        <v>176</v>
      </c>
      <c r="N106" s="5" t="s">
        <v>73</v>
      </c>
      <c r="O106" s="5" t="s">
        <v>237</v>
      </c>
      <c r="P106" s="5">
        <v>20</v>
      </c>
      <c r="Q106" s="5" t="s">
        <v>111</v>
      </c>
      <c r="R106" s="5"/>
      <c r="S106" s="5" t="s">
        <v>570</v>
      </c>
      <c r="T106" s="20" t="s">
        <v>571</v>
      </c>
      <c r="U106" s="5" t="s">
        <v>572</v>
      </c>
      <c r="V106" s="22" t="s">
        <v>573</v>
      </c>
      <c r="W106" s="5" t="s">
        <v>81</v>
      </c>
      <c r="X106" s="5" t="s">
        <v>81</v>
      </c>
      <c r="Y106" s="5"/>
      <c r="Z106" s="5" t="s">
        <v>269</v>
      </c>
    </row>
    <row r="107" spans="1:26" x14ac:dyDescent="0.3">
      <c r="A107" s="5">
        <v>2407388</v>
      </c>
      <c r="B107" s="20" t="s">
        <v>574</v>
      </c>
      <c r="C107" s="25">
        <v>45492</v>
      </c>
      <c r="D107" s="5" t="s">
        <v>17</v>
      </c>
      <c r="E107" s="5" t="s">
        <v>71</v>
      </c>
      <c r="F107" s="5" t="s">
        <v>14</v>
      </c>
      <c r="G107" s="5" t="e" vm="12">
        <v>#VALUE!</v>
      </c>
      <c r="H107" s="5">
        <v>12.285</v>
      </c>
      <c r="I107" s="5" t="s">
        <v>18</v>
      </c>
      <c r="J107" s="5"/>
      <c r="K107" s="11">
        <v>34600</v>
      </c>
      <c r="M107" s="5" t="s">
        <v>125</v>
      </c>
      <c r="N107" s="5" t="s">
        <v>73</v>
      </c>
      <c r="O107" s="5" t="s">
        <v>237</v>
      </c>
      <c r="P107" s="5">
        <v>21</v>
      </c>
      <c r="Q107" s="5" t="s">
        <v>111</v>
      </c>
      <c r="R107" s="5"/>
      <c r="S107" s="5" t="s">
        <v>575</v>
      </c>
      <c r="T107" s="20" t="s">
        <v>576</v>
      </c>
      <c r="U107" s="5" t="s">
        <v>577</v>
      </c>
      <c r="V107" s="22" t="s">
        <v>578</v>
      </c>
      <c r="W107" s="5" t="s">
        <v>122</v>
      </c>
      <c r="X107" s="5" t="s">
        <v>81</v>
      </c>
      <c r="Y107" s="5"/>
      <c r="Z107" s="5" t="s">
        <v>269</v>
      </c>
    </row>
    <row r="108" spans="1:26" x14ac:dyDescent="0.3">
      <c r="A108" s="5">
        <v>2407386</v>
      </c>
      <c r="B108" s="20" t="s">
        <v>579</v>
      </c>
      <c r="C108" s="25">
        <v>45494</v>
      </c>
      <c r="D108" s="5" t="s">
        <v>19</v>
      </c>
      <c r="E108" s="5" t="s">
        <v>71</v>
      </c>
      <c r="F108" s="5" t="s">
        <v>14</v>
      </c>
      <c r="G108" s="5" t="e" vm="16">
        <v>#VALUE!</v>
      </c>
      <c r="H108" s="5">
        <v>12.285</v>
      </c>
      <c r="I108" s="5" t="s">
        <v>18</v>
      </c>
      <c r="J108" s="5"/>
      <c r="K108" s="11">
        <v>38000</v>
      </c>
      <c r="M108" s="5" t="s">
        <v>72</v>
      </c>
      <c r="N108" s="5" t="s">
        <v>73</v>
      </c>
      <c r="O108" s="5" t="s">
        <v>237</v>
      </c>
      <c r="P108" s="5">
        <v>21</v>
      </c>
      <c r="Q108" s="5" t="s">
        <v>83</v>
      </c>
      <c r="R108" s="5"/>
      <c r="S108" s="5" t="s">
        <v>580</v>
      </c>
      <c r="T108" s="20" t="s">
        <v>581</v>
      </c>
      <c r="U108" s="5" t="s">
        <v>582</v>
      </c>
      <c r="V108" s="22" t="s">
        <v>583</v>
      </c>
      <c r="W108" s="5" t="s">
        <v>109</v>
      </c>
      <c r="X108" s="5" t="s">
        <v>81</v>
      </c>
      <c r="Y108" s="5"/>
      <c r="Z108" s="5"/>
    </row>
    <row r="109" spans="1:26" x14ac:dyDescent="0.3">
      <c r="A109" s="5">
        <v>2403158</v>
      </c>
      <c r="B109" s="20" t="s">
        <v>584</v>
      </c>
      <c r="C109" s="25">
        <v>45495</v>
      </c>
      <c r="D109" s="5" t="s">
        <v>17</v>
      </c>
      <c r="E109" s="5" t="s">
        <v>71</v>
      </c>
      <c r="F109" s="5" t="s">
        <v>14</v>
      </c>
      <c r="G109" s="5" t="e" vm="5">
        <v>#VALUE!</v>
      </c>
      <c r="H109" s="5">
        <v>7.02</v>
      </c>
      <c r="I109" s="5" t="s">
        <v>18</v>
      </c>
      <c r="J109" s="5"/>
      <c r="K109" s="11">
        <v>23500</v>
      </c>
      <c r="L109" s="24">
        <v>-1404</v>
      </c>
      <c r="M109" s="5" t="s">
        <v>72</v>
      </c>
      <c r="N109" s="5" t="s">
        <v>73</v>
      </c>
      <c r="O109" s="5" t="s">
        <v>237</v>
      </c>
      <c r="P109" s="5">
        <v>12</v>
      </c>
      <c r="Q109" s="5" t="s">
        <v>286</v>
      </c>
      <c r="R109" s="5"/>
      <c r="S109" s="5" t="s">
        <v>585</v>
      </c>
      <c r="T109" s="20" t="s">
        <v>586</v>
      </c>
      <c r="U109" s="5" t="s">
        <v>587</v>
      </c>
      <c r="V109" s="22" t="s">
        <v>588</v>
      </c>
      <c r="W109" s="5" t="s">
        <v>122</v>
      </c>
      <c r="X109" s="5" t="s">
        <v>81</v>
      </c>
      <c r="Y109" s="5"/>
      <c r="Z109" s="5" t="s">
        <v>269</v>
      </c>
    </row>
    <row r="110" spans="1:26" x14ac:dyDescent="0.3">
      <c r="A110" s="5">
        <v>2404220</v>
      </c>
      <c r="B110" s="20" t="s">
        <v>589</v>
      </c>
      <c r="C110" s="25">
        <v>45491</v>
      </c>
      <c r="D110" s="5" t="s">
        <v>17</v>
      </c>
      <c r="E110" s="5" t="s">
        <v>71</v>
      </c>
      <c r="F110" s="5" t="s">
        <v>14</v>
      </c>
      <c r="G110" s="5" t="e" vm="5">
        <v>#VALUE!</v>
      </c>
      <c r="H110" s="5">
        <v>7.02</v>
      </c>
      <c r="I110" s="5" t="s">
        <v>18</v>
      </c>
      <c r="J110" s="5"/>
      <c r="K110" s="11">
        <v>23500</v>
      </c>
      <c r="L110" s="24">
        <v>-1404</v>
      </c>
      <c r="M110" s="5" t="s">
        <v>72</v>
      </c>
      <c r="N110" s="5" t="s">
        <v>73</v>
      </c>
      <c r="O110" s="5" t="s">
        <v>237</v>
      </c>
      <c r="P110" s="5">
        <v>12</v>
      </c>
      <c r="Q110" s="5" t="s">
        <v>286</v>
      </c>
      <c r="R110" s="5"/>
      <c r="S110" s="5" t="s">
        <v>590</v>
      </c>
      <c r="T110" s="20" t="s">
        <v>591</v>
      </c>
      <c r="U110" s="5" t="s">
        <v>592</v>
      </c>
      <c r="V110" s="22" t="s">
        <v>593</v>
      </c>
      <c r="W110" s="5" t="s">
        <v>122</v>
      </c>
      <c r="X110" s="5" t="s">
        <v>81</v>
      </c>
      <c r="Y110" s="5"/>
      <c r="Z110" s="5" t="s">
        <v>269</v>
      </c>
    </row>
    <row r="111" spans="1:26" x14ac:dyDescent="0.3">
      <c r="A111" s="5">
        <v>2403202</v>
      </c>
      <c r="B111" s="20" t="s">
        <v>594</v>
      </c>
      <c r="C111" s="25">
        <v>45497</v>
      </c>
      <c r="D111" s="5" t="s">
        <v>17</v>
      </c>
      <c r="E111" s="5" t="s">
        <v>71</v>
      </c>
      <c r="F111" s="5" t="s">
        <v>14</v>
      </c>
      <c r="G111" s="5" t="e" vm="11">
        <v>#VALUE!</v>
      </c>
      <c r="H111" s="5">
        <v>10.53</v>
      </c>
      <c r="I111" s="5" t="s">
        <v>18</v>
      </c>
      <c r="J111" s="5"/>
      <c r="K111" s="11">
        <v>31000</v>
      </c>
      <c r="M111" s="5" t="s">
        <v>72</v>
      </c>
      <c r="N111" s="5" t="s">
        <v>73</v>
      </c>
      <c r="O111" s="5" t="s">
        <v>237</v>
      </c>
      <c r="P111" s="5">
        <v>18</v>
      </c>
      <c r="Q111" s="5" t="s">
        <v>364</v>
      </c>
      <c r="R111" s="5"/>
      <c r="S111" s="5" t="s">
        <v>595</v>
      </c>
      <c r="T111" s="20" t="s">
        <v>596</v>
      </c>
      <c r="U111" s="5" t="s">
        <v>597</v>
      </c>
      <c r="V111" s="22" t="s">
        <v>598</v>
      </c>
      <c r="W111" s="5" t="s">
        <v>122</v>
      </c>
      <c r="X111" s="5" t="s">
        <v>81</v>
      </c>
      <c r="Y111" s="5"/>
      <c r="Z111" s="5"/>
    </row>
    <row r="112" spans="1:26" x14ac:dyDescent="0.3">
      <c r="A112" s="5">
        <v>2407392</v>
      </c>
      <c r="B112" s="20" t="s">
        <v>599</v>
      </c>
      <c r="C112" s="25">
        <v>45497</v>
      </c>
      <c r="D112" s="5" t="s">
        <v>17</v>
      </c>
      <c r="E112" s="5" t="s">
        <v>71</v>
      </c>
      <c r="F112" s="5" t="s">
        <v>14</v>
      </c>
      <c r="G112" s="5" t="e" vm="5">
        <v>#VALUE!</v>
      </c>
      <c r="H112" s="5">
        <v>11.7</v>
      </c>
      <c r="I112" s="5" t="s">
        <v>18</v>
      </c>
      <c r="J112" s="5"/>
      <c r="K112" s="11">
        <v>36680</v>
      </c>
      <c r="L112" s="24">
        <v>-2340</v>
      </c>
      <c r="M112" s="5" t="s">
        <v>72</v>
      </c>
      <c r="N112" s="5" t="s">
        <v>73</v>
      </c>
      <c r="O112" s="5" t="s">
        <v>237</v>
      </c>
      <c r="P112" s="5">
        <v>20</v>
      </c>
      <c r="Q112" s="5" t="s">
        <v>111</v>
      </c>
      <c r="R112" s="5"/>
      <c r="S112" s="5" t="s">
        <v>600</v>
      </c>
      <c r="T112" s="20" t="s">
        <v>601</v>
      </c>
      <c r="U112" s="5" t="s">
        <v>602</v>
      </c>
      <c r="V112" s="22" t="s">
        <v>603</v>
      </c>
      <c r="W112" s="5" t="s">
        <v>122</v>
      </c>
      <c r="X112" s="5" t="s">
        <v>81</v>
      </c>
      <c r="Y112" s="5"/>
      <c r="Z112" s="5" t="s">
        <v>269</v>
      </c>
    </row>
    <row r="113" spans="1:27" x14ac:dyDescent="0.3">
      <c r="A113" s="5">
        <v>2404232</v>
      </c>
      <c r="B113" s="20" t="s">
        <v>604</v>
      </c>
      <c r="C113" s="25">
        <v>45468</v>
      </c>
      <c r="D113" s="5" t="s">
        <v>17</v>
      </c>
      <c r="E113" s="5" t="s">
        <v>71</v>
      </c>
      <c r="F113" s="5" t="s">
        <v>14</v>
      </c>
      <c r="G113" s="5" t="e" vm="5">
        <v>#VALUE!</v>
      </c>
      <c r="H113" s="5">
        <v>7.02</v>
      </c>
      <c r="I113" s="5" t="s">
        <v>18</v>
      </c>
      <c r="J113" s="5"/>
      <c r="K113" s="11">
        <v>25000</v>
      </c>
      <c r="M113" s="5" t="s">
        <v>72</v>
      </c>
      <c r="N113" s="5" t="s">
        <v>73</v>
      </c>
      <c r="O113" s="5" t="s">
        <v>237</v>
      </c>
      <c r="P113" s="5">
        <v>12</v>
      </c>
      <c r="Q113" s="5" t="s">
        <v>286</v>
      </c>
      <c r="R113" s="5"/>
      <c r="S113" s="5" t="s">
        <v>605</v>
      </c>
      <c r="T113" s="20" t="s">
        <v>606</v>
      </c>
      <c r="U113" s="5" t="s">
        <v>607</v>
      </c>
      <c r="V113" s="22" t="s">
        <v>608</v>
      </c>
      <c r="W113" s="5" t="s">
        <v>122</v>
      </c>
      <c r="X113" s="5" t="s">
        <v>81</v>
      </c>
      <c r="Y113" s="5"/>
      <c r="Z113" s="5" t="s">
        <v>269</v>
      </c>
    </row>
    <row r="114" spans="1:27" x14ac:dyDescent="0.3">
      <c r="A114" s="5">
        <v>2407397</v>
      </c>
      <c r="B114" s="20" t="s">
        <v>609</v>
      </c>
      <c r="C114" s="25">
        <v>45498</v>
      </c>
      <c r="D114" s="5" t="s">
        <v>17</v>
      </c>
      <c r="E114" s="5" t="s">
        <v>71</v>
      </c>
      <c r="F114" s="5" t="s">
        <v>14</v>
      </c>
      <c r="G114" s="5" t="e" vm="5">
        <v>#VALUE!</v>
      </c>
      <c r="H114" s="5">
        <v>15.21</v>
      </c>
      <c r="I114" s="5" t="s">
        <v>18</v>
      </c>
      <c r="J114" s="5"/>
      <c r="K114" s="11">
        <v>39600</v>
      </c>
      <c r="M114" s="5" t="s">
        <v>72</v>
      </c>
      <c r="N114" s="5" t="s">
        <v>73</v>
      </c>
      <c r="O114" s="5" t="s">
        <v>237</v>
      </c>
      <c r="P114" s="5">
        <v>26.000000000000004</v>
      </c>
      <c r="Q114" s="5" t="s">
        <v>143</v>
      </c>
      <c r="R114" s="5"/>
      <c r="S114" s="5" t="s">
        <v>610</v>
      </c>
      <c r="T114" s="20" t="s">
        <v>611</v>
      </c>
      <c r="U114" s="5" t="s">
        <v>612</v>
      </c>
      <c r="V114" s="22" t="s">
        <v>613</v>
      </c>
      <c r="W114" s="5" t="s">
        <v>122</v>
      </c>
      <c r="X114" s="5" t="s">
        <v>81</v>
      </c>
      <c r="Y114" s="5"/>
      <c r="Z114" s="5" t="s">
        <v>269</v>
      </c>
    </row>
    <row r="115" spans="1:27" x14ac:dyDescent="0.3">
      <c r="A115" s="5">
        <v>2404250</v>
      </c>
      <c r="B115" s="20" t="s">
        <v>614</v>
      </c>
      <c r="C115" s="25">
        <v>45502</v>
      </c>
      <c r="D115" s="5" t="s">
        <v>17</v>
      </c>
      <c r="E115" s="5" t="s">
        <v>71</v>
      </c>
      <c r="F115" s="5" t="s">
        <v>14</v>
      </c>
      <c r="G115" s="5" t="e" vm="5">
        <v>#VALUE!</v>
      </c>
      <c r="H115" s="5">
        <v>17.55</v>
      </c>
      <c r="I115" s="5" t="s">
        <v>18</v>
      </c>
      <c r="J115" s="5"/>
      <c r="K115" s="11">
        <v>50320</v>
      </c>
      <c r="M115" s="5" t="s">
        <v>176</v>
      </c>
      <c r="N115" s="5" t="s">
        <v>73</v>
      </c>
      <c r="O115" s="14" t="s">
        <v>237</v>
      </c>
      <c r="P115" s="13">
        <v>30.000000000000004</v>
      </c>
      <c r="Q115" s="14" t="s">
        <v>143</v>
      </c>
      <c r="R115" s="14"/>
      <c r="S115" s="5" t="s">
        <v>615</v>
      </c>
      <c r="T115" s="20" t="s">
        <v>616</v>
      </c>
      <c r="U115" s="5" t="s">
        <v>617</v>
      </c>
      <c r="V115" s="22" t="s">
        <v>618</v>
      </c>
      <c r="W115" s="5" t="s">
        <v>122</v>
      </c>
      <c r="X115" s="5" t="s">
        <v>81</v>
      </c>
      <c r="Y115" s="5"/>
      <c r="Z115" s="5"/>
    </row>
    <row r="116" spans="1:27" x14ac:dyDescent="0.3">
      <c r="A116" s="5">
        <v>2407399</v>
      </c>
      <c r="B116" s="20" t="s">
        <v>619</v>
      </c>
      <c r="C116" s="25">
        <v>45499</v>
      </c>
      <c r="D116" s="5" t="s">
        <v>17</v>
      </c>
      <c r="E116" s="5" t="s">
        <v>71</v>
      </c>
      <c r="F116" s="5" t="s">
        <v>14</v>
      </c>
      <c r="G116" s="5" t="e" vm="5">
        <v>#VALUE!</v>
      </c>
      <c r="H116" s="5">
        <v>10.53</v>
      </c>
      <c r="I116" s="5" t="s">
        <v>18</v>
      </c>
      <c r="J116" s="5"/>
      <c r="K116" s="11">
        <v>31000</v>
      </c>
      <c r="M116" s="5" t="s">
        <v>125</v>
      </c>
      <c r="N116" s="5" t="s">
        <v>73</v>
      </c>
      <c r="O116" s="14" t="s">
        <v>237</v>
      </c>
      <c r="P116" s="13">
        <v>18</v>
      </c>
      <c r="Q116" s="14" t="s">
        <v>364</v>
      </c>
      <c r="R116" s="14"/>
      <c r="S116" s="5" t="s">
        <v>620</v>
      </c>
      <c r="T116" s="20" t="s">
        <v>621</v>
      </c>
      <c r="U116" s="5" t="s">
        <v>622</v>
      </c>
      <c r="V116" s="22" t="s">
        <v>623</v>
      </c>
      <c r="W116" s="5" t="s">
        <v>122</v>
      </c>
      <c r="X116" s="5" t="s">
        <v>81</v>
      </c>
      <c r="Y116" s="5"/>
      <c r="Z116" s="5"/>
      <c r="AA116" s="20" t="s">
        <v>624</v>
      </c>
    </row>
    <row r="117" spans="1:27" x14ac:dyDescent="0.3">
      <c r="A117" s="5">
        <v>2407394</v>
      </c>
      <c r="B117" s="20" t="s">
        <v>625</v>
      </c>
      <c r="C117" s="25">
        <v>45504</v>
      </c>
      <c r="D117" s="5" t="s">
        <v>22</v>
      </c>
      <c r="E117" s="5" t="s">
        <v>71</v>
      </c>
      <c r="F117" s="5" t="s">
        <v>14</v>
      </c>
      <c r="G117" s="5" t="e" vm="11">
        <v>#VALUE!</v>
      </c>
      <c r="H117" s="5">
        <v>7.02</v>
      </c>
      <c r="I117" s="5" t="s">
        <v>18</v>
      </c>
      <c r="J117" s="5"/>
      <c r="K117" s="11">
        <v>24100</v>
      </c>
      <c r="M117" s="5" t="s">
        <v>72</v>
      </c>
      <c r="N117" s="5" t="s">
        <v>73</v>
      </c>
      <c r="O117" s="14" t="s">
        <v>237</v>
      </c>
      <c r="P117" s="13">
        <v>12</v>
      </c>
      <c r="Q117" s="14" t="s">
        <v>286</v>
      </c>
      <c r="R117" s="14"/>
      <c r="S117" s="14" t="s">
        <v>626</v>
      </c>
      <c r="T117" s="20" t="s">
        <v>627</v>
      </c>
      <c r="U117" s="5" t="s">
        <v>628</v>
      </c>
      <c r="W117" s="5" t="s">
        <v>122</v>
      </c>
      <c r="X117" s="5" t="s">
        <v>81</v>
      </c>
      <c r="Y117" s="5"/>
      <c r="Z117" s="5"/>
    </row>
    <row r="118" spans="1:27" x14ac:dyDescent="0.3">
      <c r="A118" s="5" t="s">
        <v>629</v>
      </c>
      <c r="B118" s="20" t="s">
        <v>630</v>
      </c>
      <c r="C118" s="25">
        <v>45506</v>
      </c>
      <c r="D118" s="5" t="s">
        <v>17</v>
      </c>
      <c r="E118" s="5" t="s">
        <v>71</v>
      </c>
      <c r="F118" s="5" t="s">
        <v>14</v>
      </c>
      <c r="G118" s="5" t="e" vm="6">
        <v>#VALUE!</v>
      </c>
      <c r="H118" s="5">
        <v>15.21</v>
      </c>
      <c r="I118" s="5" t="s">
        <v>18</v>
      </c>
      <c r="J118" s="5"/>
      <c r="K118" s="11">
        <v>39600</v>
      </c>
      <c r="M118" s="5" t="s">
        <v>72</v>
      </c>
      <c r="N118" s="5" t="s">
        <v>73</v>
      </c>
      <c r="O118" s="14" t="s">
        <v>237</v>
      </c>
      <c r="P118" s="13">
        <v>26.000000000000004</v>
      </c>
      <c r="Q118" s="14" t="s">
        <v>143</v>
      </c>
      <c r="R118" s="14"/>
      <c r="S118" s="5" t="s">
        <v>631</v>
      </c>
      <c r="T118" s="20" t="s">
        <v>632</v>
      </c>
      <c r="U118" s="5" t="s">
        <v>633</v>
      </c>
      <c r="V118" s="22" t="s">
        <v>634</v>
      </c>
      <c r="W118" s="5" t="s">
        <v>122</v>
      </c>
      <c r="X118" s="5" t="s">
        <v>81</v>
      </c>
      <c r="Y118" s="5"/>
      <c r="Z118" s="5" t="s">
        <v>269</v>
      </c>
    </row>
    <row r="119" spans="1:27" x14ac:dyDescent="0.3">
      <c r="A119" s="5">
        <v>2312114</v>
      </c>
      <c r="B119" s="20" t="s">
        <v>635</v>
      </c>
      <c r="C119" s="25">
        <v>45461</v>
      </c>
      <c r="D119" s="5" t="s">
        <v>17</v>
      </c>
      <c r="E119" s="5" t="s">
        <v>71</v>
      </c>
      <c r="F119" s="5" t="s">
        <v>14</v>
      </c>
      <c r="G119" s="5" t="e" vm="12">
        <v>#VALUE!</v>
      </c>
      <c r="H119" s="5">
        <v>11.7</v>
      </c>
      <c r="I119" s="5" t="s">
        <v>18</v>
      </c>
      <c r="J119" s="5"/>
      <c r="K119" s="11">
        <v>31000</v>
      </c>
      <c r="M119" s="5" t="s">
        <v>72</v>
      </c>
      <c r="N119" s="5" t="s">
        <v>73</v>
      </c>
      <c r="O119" s="14" t="s">
        <v>237</v>
      </c>
      <c r="P119" s="13">
        <v>20</v>
      </c>
      <c r="Q119" s="14" t="s">
        <v>111</v>
      </c>
      <c r="R119" s="14"/>
      <c r="S119" s="5" t="s">
        <v>636</v>
      </c>
      <c r="T119" s="20" t="s">
        <v>637</v>
      </c>
      <c r="U119" s="5" t="s">
        <v>638</v>
      </c>
      <c r="V119" s="22" t="s">
        <v>639</v>
      </c>
      <c r="W119" s="5" t="s">
        <v>81</v>
      </c>
      <c r="X119" s="5" t="s">
        <v>81</v>
      </c>
      <c r="Y119" s="5"/>
      <c r="Z119" s="5" t="s">
        <v>269</v>
      </c>
    </row>
    <row r="120" spans="1:27" x14ac:dyDescent="0.3">
      <c r="A120" s="5">
        <v>2401123</v>
      </c>
      <c r="B120" s="20" t="s">
        <v>640</v>
      </c>
      <c r="C120" s="25">
        <v>45478</v>
      </c>
      <c r="D120" s="5" t="s">
        <v>17</v>
      </c>
      <c r="E120" s="5" t="s">
        <v>71</v>
      </c>
      <c r="F120" s="5" t="s">
        <v>14</v>
      </c>
      <c r="G120" s="5" t="e" vm="12">
        <v>#VALUE!</v>
      </c>
      <c r="H120" s="5">
        <v>12.285</v>
      </c>
      <c r="I120" s="5" t="s">
        <v>18</v>
      </c>
      <c r="J120" s="5"/>
      <c r="K120" s="11">
        <v>36500</v>
      </c>
      <c r="M120" s="5" t="s">
        <v>125</v>
      </c>
      <c r="N120" s="5" t="s">
        <v>73</v>
      </c>
      <c r="O120" s="5" t="s">
        <v>237</v>
      </c>
      <c r="P120" s="5">
        <v>21</v>
      </c>
      <c r="Q120" s="14" t="s">
        <v>111</v>
      </c>
      <c r="R120" s="14"/>
      <c r="S120" s="5" t="s">
        <v>641</v>
      </c>
      <c r="T120" s="20" t="s">
        <v>642</v>
      </c>
      <c r="U120" s="5" t="s">
        <v>643</v>
      </c>
      <c r="V120" s="22" t="s">
        <v>644</v>
      </c>
      <c r="W120" s="5" t="s">
        <v>122</v>
      </c>
      <c r="X120" s="5" t="s">
        <v>81</v>
      </c>
      <c r="Y120" s="5"/>
      <c r="Z120" s="5" t="s">
        <v>269</v>
      </c>
    </row>
    <row r="121" spans="1:27" x14ac:dyDescent="0.3">
      <c r="A121" s="5">
        <v>2404207</v>
      </c>
      <c r="B121" s="20" t="s">
        <v>645</v>
      </c>
      <c r="C121" s="25">
        <v>45432</v>
      </c>
      <c r="D121" s="5" t="s">
        <v>17</v>
      </c>
      <c r="E121" s="5" t="s">
        <v>71</v>
      </c>
      <c r="F121" s="5" t="s">
        <v>14</v>
      </c>
      <c r="G121" s="5" t="e" vm="2">
        <v>#VALUE!</v>
      </c>
      <c r="H121" s="5">
        <v>7.02</v>
      </c>
      <c r="I121" s="5" t="s">
        <v>18</v>
      </c>
      <c r="J121" s="5"/>
      <c r="K121" s="11">
        <v>26240</v>
      </c>
      <c r="L121" s="24">
        <v>-1404</v>
      </c>
      <c r="M121" s="5" t="s">
        <v>125</v>
      </c>
      <c r="N121" s="5" t="s">
        <v>73</v>
      </c>
      <c r="O121" s="5" t="s">
        <v>237</v>
      </c>
      <c r="P121" s="5">
        <v>12</v>
      </c>
      <c r="Q121" s="5" t="s">
        <v>286</v>
      </c>
      <c r="R121" s="5"/>
      <c r="S121" s="5" t="s">
        <v>646</v>
      </c>
      <c r="T121" s="20" t="s">
        <v>647</v>
      </c>
      <c r="U121" s="5" t="s">
        <v>648</v>
      </c>
      <c r="V121" s="20" t="s">
        <v>649</v>
      </c>
      <c r="W121" s="5" t="s">
        <v>122</v>
      </c>
      <c r="X121" s="5" t="s">
        <v>81</v>
      </c>
      <c r="Y121" s="5"/>
      <c r="Z121" s="5" t="s">
        <v>269</v>
      </c>
    </row>
    <row r="122" spans="1:27" x14ac:dyDescent="0.3">
      <c r="A122" s="5">
        <v>2408402</v>
      </c>
      <c r="B122" s="20" t="s">
        <v>650</v>
      </c>
      <c r="C122" s="25">
        <v>45509</v>
      </c>
      <c r="D122" s="5" t="s">
        <v>17</v>
      </c>
      <c r="E122" s="5" t="s">
        <v>71</v>
      </c>
      <c r="F122" s="5" t="s">
        <v>14</v>
      </c>
      <c r="G122" s="5" t="e" vm="5">
        <v>#VALUE!</v>
      </c>
      <c r="H122" s="5">
        <v>12.87</v>
      </c>
      <c r="I122" s="5" t="s">
        <v>18</v>
      </c>
      <c r="J122" s="5"/>
      <c r="K122" s="11">
        <v>43000</v>
      </c>
      <c r="M122" s="5" t="s">
        <v>125</v>
      </c>
      <c r="N122" s="5" t="s">
        <v>73</v>
      </c>
      <c r="O122" s="5" t="s">
        <v>237</v>
      </c>
      <c r="P122" s="5">
        <v>22</v>
      </c>
      <c r="Q122" s="14" t="s">
        <v>111</v>
      </c>
      <c r="R122" s="14"/>
      <c r="S122" s="5" t="s">
        <v>651</v>
      </c>
      <c r="T122" s="20" t="s">
        <v>652</v>
      </c>
      <c r="U122" s="5" t="s">
        <v>653</v>
      </c>
      <c r="V122" s="21" t="s">
        <v>654</v>
      </c>
      <c r="W122" s="5" t="s">
        <v>122</v>
      </c>
      <c r="X122" s="5" t="s">
        <v>81</v>
      </c>
      <c r="Y122" s="5"/>
      <c r="Z122" s="5"/>
    </row>
    <row r="123" spans="1:27" x14ac:dyDescent="0.3">
      <c r="A123" s="5">
        <v>2407372</v>
      </c>
      <c r="B123" s="20" t="s">
        <v>655</v>
      </c>
      <c r="C123" s="25">
        <v>45510</v>
      </c>
      <c r="D123" s="5" t="s">
        <v>17</v>
      </c>
      <c r="E123" s="5" t="s">
        <v>71</v>
      </c>
      <c r="F123" s="5" t="s">
        <v>14</v>
      </c>
      <c r="G123" s="5" t="e" vm="8">
        <v>#VALUE!</v>
      </c>
      <c r="H123" s="5">
        <v>14.04</v>
      </c>
      <c r="I123" s="5" t="s">
        <v>18</v>
      </c>
      <c r="J123" s="5"/>
      <c r="K123" s="11">
        <v>37600</v>
      </c>
      <c r="M123" s="5" t="s">
        <v>125</v>
      </c>
      <c r="N123" s="5" t="s">
        <v>73</v>
      </c>
      <c r="O123" s="5" t="s">
        <v>237</v>
      </c>
      <c r="P123" s="5">
        <v>24</v>
      </c>
      <c r="Q123" s="5" t="s">
        <v>143</v>
      </c>
      <c r="R123" s="5"/>
      <c r="S123" s="5" t="s">
        <v>656</v>
      </c>
      <c r="T123" s="20" t="s">
        <v>657</v>
      </c>
      <c r="U123" s="5" t="s">
        <v>658</v>
      </c>
      <c r="V123" s="22" t="s">
        <v>659</v>
      </c>
      <c r="W123" s="5" t="s">
        <v>122</v>
      </c>
      <c r="X123" s="5" t="s">
        <v>81</v>
      </c>
      <c r="Y123" s="5"/>
      <c r="Z123" s="5" t="s">
        <v>269</v>
      </c>
    </row>
    <row r="124" spans="1:27" x14ac:dyDescent="0.3">
      <c r="A124" s="5">
        <v>2405298</v>
      </c>
      <c r="B124" s="20" t="s">
        <v>660</v>
      </c>
      <c r="C124" s="25">
        <v>45499</v>
      </c>
      <c r="D124" s="5" t="s">
        <v>17</v>
      </c>
      <c r="E124" s="5" t="s">
        <v>71</v>
      </c>
      <c r="F124" s="5" t="s">
        <v>14</v>
      </c>
      <c r="G124" s="5" t="e" vm="8">
        <v>#VALUE!</v>
      </c>
      <c r="H124" s="5">
        <v>11.7</v>
      </c>
      <c r="I124" s="5" t="s">
        <v>18</v>
      </c>
      <c r="J124" s="5"/>
      <c r="K124" s="11">
        <v>35960</v>
      </c>
      <c r="M124" s="5" t="s">
        <v>176</v>
      </c>
      <c r="N124" s="5" t="s">
        <v>73</v>
      </c>
      <c r="O124" s="5" t="s">
        <v>237</v>
      </c>
      <c r="P124" s="5">
        <v>20</v>
      </c>
      <c r="Q124" s="14" t="s">
        <v>111</v>
      </c>
      <c r="R124" s="14"/>
      <c r="S124" s="5" t="s">
        <v>661</v>
      </c>
      <c r="T124" s="20" t="s">
        <v>662</v>
      </c>
      <c r="U124" s="5" t="s">
        <v>663</v>
      </c>
      <c r="V124" s="22" t="s">
        <v>664</v>
      </c>
      <c r="W124" s="5" t="s">
        <v>122</v>
      </c>
      <c r="X124" s="5" t="s">
        <v>81</v>
      </c>
      <c r="Y124" s="5"/>
      <c r="Z124" s="5" t="s">
        <v>269</v>
      </c>
    </row>
    <row r="125" spans="1:27" x14ac:dyDescent="0.3">
      <c r="A125" s="5">
        <v>2408404</v>
      </c>
      <c r="B125" s="20" t="s">
        <v>665</v>
      </c>
      <c r="C125" s="25">
        <v>45515</v>
      </c>
      <c r="D125" s="5" t="s">
        <v>17</v>
      </c>
      <c r="E125" s="5" t="s">
        <v>71</v>
      </c>
      <c r="F125" s="5" t="s">
        <v>14</v>
      </c>
      <c r="G125" s="5" t="e" vm="8">
        <v>#VALUE!</v>
      </c>
      <c r="H125" s="5">
        <v>7.02</v>
      </c>
      <c r="I125" s="5" t="s">
        <v>18</v>
      </c>
      <c r="J125" s="5"/>
      <c r="K125" s="11">
        <v>24680</v>
      </c>
      <c r="M125" s="5" t="s">
        <v>176</v>
      </c>
      <c r="N125" s="5" t="s">
        <v>73</v>
      </c>
      <c r="O125" s="5" t="s">
        <v>237</v>
      </c>
      <c r="P125" s="5">
        <v>12</v>
      </c>
      <c r="Q125" s="5" t="s">
        <v>286</v>
      </c>
      <c r="R125" s="5"/>
      <c r="S125" s="5" t="s">
        <v>666</v>
      </c>
      <c r="T125" s="20" t="s">
        <v>667</v>
      </c>
      <c r="U125" s="5" t="s">
        <v>668</v>
      </c>
      <c r="V125" s="22" t="s">
        <v>669</v>
      </c>
      <c r="W125" s="5" t="s">
        <v>122</v>
      </c>
      <c r="X125" s="5" t="s">
        <v>81</v>
      </c>
      <c r="Y125" s="5"/>
      <c r="Z125" s="5" t="s">
        <v>269</v>
      </c>
    </row>
    <row r="126" spans="1:27" x14ac:dyDescent="0.3">
      <c r="A126" s="5">
        <v>2408401</v>
      </c>
      <c r="B126" s="20" t="s">
        <v>670</v>
      </c>
      <c r="C126" s="25">
        <v>45512</v>
      </c>
      <c r="D126" s="5" t="s">
        <v>17</v>
      </c>
      <c r="E126" s="5" t="s">
        <v>71</v>
      </c>
      <c r="F126" s="5" t="s">
        <v>14</v>
      </c>
      <c r="G126" s="5" t="e" vm="12">
        <v>#VALUE!</v>
      </c>
      <c r="H126" s="5">
        <v>7.02</v>
      </c>
      <c r="I126" s="5" t="s">
        <v>18</v>
      </c>
      <c r="J126" s="5"/>
      <c r="K126" s="11">
        <v>22500</v>
      </c>
      <c r="M126" s="5" t="s">
        <v>125</v>
      </c>
      <c r="N126" s="5" t="s">
        <v>73</v>
      </c>
      <c r="O126" s="5" t="s">
        <v>237</v>
      </c>
      <c r="P126" s="5">
        <v>12</v>
      </c>
      <c r="Q126" s="5" t="s">
        <v>286</v>
      </c>
      <c r="R126" s="5"/>
      <c r="S126" s="5" t="s">
        <v>671</v>
      </c>
      <c r="T126" s="20" t="s">
        <v>672</v>
      </c>
      <c r="U126" s="5" t="s">
        <v>673</v>
      </c>
      <c r="V126" s="22" t="s">
        <v>674</v>
      </c>
      <c r="W126" s="5" t="s">
        <v>122</v>
      </c>
      <c r="X126" s="5" t="s">
        <v>81</v>
      </c>
      <c r="Y126" s="5"/>
      <c r="Z126" s="5"/>
    </row>
    <row r="127" spans="1:27" x14ac:dyDescent="0.3">
      <c r="A127" s="5">
        <v>2408398</v>
      </c>
      <c r="B127" s="20" t="s">
        <v>675</v>
      </c>
      <c r="C127" s="25">
        <v>45519</v>
      </c>
      <c r="D127" s="5" t="s">
        <v>17</v>
      </c>
      <c r="E127" s="5" t="s">
        <v>71</v>
      </c>
      <c r="F127" s="5" t="s">
        <v>14</v>
      </c>
      <c r="G127" s="5" t="e" vm="12">
        <v>#VALUE!</v>
      </c>
      <c r="H127" s="5">
        <v>11.7</v>
      </c>
      <c r="I127" s="5" t="s">
        <v>18</v>
      </c>
      <c r="J127" s="5"/>
      <c r="K127" s="11">
        <v>36680</v>
      </c>
      <c r="M127" s="5" t="s">
        <v>176</v>
      </c>
      <c r="N127" s="5" t="s">
        <v>73</v>
      </c>
      <c r="O127" s="5" t="s">
        <v>237</v>
      </c>
      <c r="P127" s="5">
        <v>20</v>
      </c>
      <c r="Q127" s="14" t="s">
        <v>111</v>
      </c>
      <c r="R127" s="14"/>
      <c r="S127" s="5" t="s">
        <v>676</v>
      </c>
      <c r="T127" s="20" t="s">
        <v>677</v>
      </c>
      <c r="U127" s="5" t="s">
        <v>678</v>
      </c>
      <c r="V127" s="21" t="s">
        <v>679</v>
      </c>
      <c r="W127" s="5" t="s">
        <v>122</v>
      </c>
      <c r="X127" s="5" t="s">
        <v>81</v>
      </c>
      <c r="Y127" s="5"/>
      <c r="Z127" s="5" t="s">
        <v>269</v>
      </c>
    </row>
    <row r="128" spans="1:27" x14ac:dyDescent="0.3">
      <c r="A128" s="5">
        <v>2408415</v>
      </c>
      <c r="B128" s="20" t="s">
        <v>680</v>
      </c>
      <c r="C128" s="25">
        <v>45525</v>
      </c>
      <c r="D128" s="5" t="s">
        <v>17</v>
      </c>
      <c r="E128" s="5" t="s">
        <v>71</v>
      </c>
      <c r="F128" s="5" t="s">
        <v>14</v>
      </c>
      <c r="G128" s="5" t="e" vm="12">
        <v>#VALUE!</v>
      </c>
      <c r="H128" s="5">
        <v>17.55</v>
      </c>
      <c r="I128" s="5" t="s">
        <v>18</v>
      </c>
      <c r="J128" s="5"/>
      <c r="K128" s="11">
        <v>45600</v>
      </c>
      <c r="M128" s="5" t="s">
        <v>125</v>
      </c>
      <c r="N128" s="5" t="s">
        <v>73</v>
      </c>
      <c r="O128" s="5" t="s">
        <v>237</v>
      </c>
      <c r="P128" s="5">
        <v>30</v>
      </c>
      <c r="Q128" s="5" t="s">
        <v>143</v>
      </c>
      <c r="R128" s="5"/>
      <c r="S128" s="5" t="s">
        <v>681</v>
      </c>
      <c r="T128" s="20" t="s">
        <v>682</v>
      </c>
      <c r="U128" s="5" t="s">
        <v>683</v>
      </c>
      <c r="V128" s="21" t="s">
        <v>684</v>
      </c>
      <c r="W128" s="5" t="s">
        <v>122</v>
      </c>
      <c r="X128" s="5" t="s">
        <v>81</v>
      </c>
      <c r="Y128" s="5"/>
      <c r="Z128" s="5" t="s">
        <v>269</v>
      </c>
    </row>
    <row r="129" spans="1:28" x14ac:dyDescent="0.3">
      <c r="A129" s="5">
        <v>2408425</v>
      </c>
      <c r="B129" s="20" t="s">
        <v>685</v>
      </c>
      <c r="C129" s="25">
        <v>45531</v>
      </c>
      <c r="D129" s="5" t="s">
        <v>17</v>
      </c>
      <c r="E129" s="5" t="s">
        <v>71</v>
      </c>
      <c r="F129" s="5" t="s">
        <v>14</v>
      </c>
      <c r="G129" s="5" t="e" vm="5">
        <v>#VALUE!</v>
      </c>
      <c r="H129" s="5">
        <v>14.04</v>
      </c>
      <c r="I129" s="5" t="s">
        <v>18</v>
      </c>
      <c r="J129" s="5"/>
      <c r="K129" s="11">
        <v>43100</v>
      </c>
      <c r="M129" s="5" t="s">
        <v>176</v>
      </c>
      <c r="N129" s="5" t="s">
        <v>73</v>
      </c>
      <c r="O129" s="5" t="s">
        <v>237</v>
      </c>
      <c r="P129" s="5">
        <v>24</v>
      </c>
      <c r="Q129" s="5" t="s">
        <v>143</v>
      </c>
      <c r="R129" s="5"/>
      <c r="S129" s="5" t="s">
        <v>686</v>
      </c>
      <c r="T129" s="20" t="s">
        <v>687</v>
      </c>
      <c r="U129" s="5" t="s">
        <v>688</v>
      </c>
      <c r="V129" s="21" t="s">
        <v>689</v>
      </c>
      <c r="W129" s="5" t="s">
        <v>122</v>
      </c>
      <c r="X129" s="5" t="s">
        <v>81</v>
      </c>
      <c r="Y129" s="5"/>
      <c r="Z129" s="5"/>
    </row>
    <row r="130" spans="1:28" x14ac:dyDescent="0.3">
      <c r="A130" s="5">
        <v>2406334</v>
      </c>
      <c r="B130" s="20" t="s">
        <v>690</v>
      </c>
      <c r="C130" s="25">
        <v>45531</v>
      </c>
      <c r="D130" s="5" t="s">
        <v>17</v>
      </c>
      <c r="E130" s="5" t="s">
        <v>71</v>
      </c>
      <c r="F130" s="5" t="s">
        <v>14</v>
      </c>
      <c r="G130" s="5" t="e" vm="5">
        <v>#VALUE!</v>
      </c>
      <c r="H130" s="5">
        <v>14.04</v>
      </c>
      <c r="I130" s="5" t="s">
        <v>18</v>
      </c>
      <c r="J130" s="5"/>
      <c r="K130" s="11">
        <v>37600</v>
      </c>
      <c r="M130" s="5" t="s">
        <v>125</v>
      </c>
      <c r="N130" s="5" t="s">
        <v>73</v>
      </c>
      <c r="O130" s="5" t="s">
        <v>237</v>
      </c>
      <c r="P130" s="5">
        <v>24</v>
      </c>
      <c r="Q130" s="5" t="s">
        <v>143</v>
      </c>
      <c r="R130" s="5"/>
      <c r="S130" s="5" t="s">
        <v>691</v>
      </c>
      <c r="T130" s="20" t="s">
        <v>692</v>
      </c>
      <c r="U130" s="5" t="s">
        <v>693</v>
      </c>
      <c r="V130" s="21" t="s">
        <v>694</v>
      </c>
      <c r="W130" s="5" t="s">
        <v>122</v>
      </c>
      <c r="X130" s="5" t="s">
        <v>81</v>
      </c>
      <c r="Y130" s="5"/>
      <c r="Z130" s="5"/>
    </row>
    <row r="131" spans="1:28" x14ac:dyDescent="0.3">
      <c r="A131" s="5">
        <v>2407371</v>
      </c>
      <c r="B131" s="20" t="s">
        <v>695</v>
      </c>
      <c r="C131" s="25">
        <v>45532</v>
      </c>
      <c r="D131" s="5" t="s">
        <v>19</v>
      </c>
      <c r="E131" s="5" t="s">
        <v>71</v>
      </c>
      <c r="F131" s="5" t="s">
        <v>14</v>
      </c>
      <c r="G131" s="5" t="e" vm="11">
        <v>#VALUE!</v>
      </c>
      <c r="H131" s="5">
        <v>10.53</v>
      </c>
      <c r="I131" s="5" t="s">
        <v>18</v>
      </c>
      <c r="J131" s="5"/>
      <c r="K131" s="11">
        <v>32800</v>
      </c>
      <c r="M131" s="5" t="s">
        <v>125</v>
      </c>
      <c r="N131" s="5" t="s">
        <v>73</v>
      </c>
      <c r="O131" s="5" t="s">
        <v>237</v>
      </c>
      <c r="P131" s="5">
        <v>18</v>
      </c>
      <c r="Q131" s="14" t="s">
        <v>364</v>
      </c>
      <c r="R131" s="14"/>
      <c r="S131" s="5" t="s">
        <v>696</v>
      </c>
      <c r="T131" s="20" t="s">
        <v>697</v>
      </c>
      <c r="U131" s="5" t="s">
        <v>698</v>
      </c>
      <c r="V131" s="20" t="s">
        <v>699</v>
      </c>
      <c r="W131" s="5" t="s">
        <v>80</v>
      </c>
      <c r="X131" s="5" t="s">
        <v>81</v>
      </c>
      <c r="Y131" s="5"/>
      <c r="Z131" s="5"/>
    </row>
    <row r="132" spans="1:28" x14ac:dyDescent="0.3">
      <c r="A132" s="5">
        <v>2408409</v>
      </c>
      <c r="B132" s="20" t="s">
        <v>700</v>
      </c>
      <c r="C132" s="25">
        <v>45534</v>
      </c>
      <c r="D132" s="5" t="s">
        <v>22</v>
      </c>
      <c r="E132" s="5" t="s">
        <v>71</v>
      </c>
      <c r="F132" s="5" t="s">
        <v>14</v>
      </c>
      <c r="G132" s="5" t="e" vm="11">
        <v>#VALUE!</v>
      </c>
      <c r="H132" s="5">
        <v>9.9450000000000003</v>
      </c>
      <c r="I132" s="5" t="s">
        <v>18</v>
      </c>
      <c r="J132" s="5"/>
      <c r="K132" s="11">
        <v>27700</v>
      </c>
      <c r="M132" s="5" t="s">
        <v>125</v>
      </c>
      <c r="N132" s="5" t="s">
        <v>73</v>
      </c>
      <c r="O132" s="5" t="s">
        <v>237</v>
      </c>
      <c r="P132" s="5">
        <v>17</v>
      </c>
      <c r="Q132" s="14" t="s">
        <v>364</v>
      </c>
      <c r="R132" s="14"/>
      <c r="S132" s="5" t="s">
        <v>701</v>
      </c>
      <c r="T132" s="20" t="s">
        <v>702</v>
      </c>
      <c r="U132" s="5" t="s">
        <v>703</v>
      </c>
      <c r="V132" s="20" t="s">
        <v>704</v>
      </c>
      <c r="W132" s="5" t="s">
        <v>109</v>
      </c>
      <c r="X132" s="5" t="s">
        <v>81</v>
      </c>
      <c r="Y132" s="5"/>
      <c r="Z132" s="5"/>
    </row>
    <row r="133" spans="1:28" x14ac:dyDescent="0.3">
      <c r="A133" s="5">
        <v>2408411</v>
      </c>
      <c r="B133" s="20" t="s">
        <v>705</v>
      </c>
      <c r="C133" s="25">
        <v>45519</v>
      </c>
      <c r="D133" s="5" t="s">
        <v>22</v>
      </c>
      <c r="E133" s="5" t="s">
        <v>71</v>
      </c>
      <c r="F133" s="5" t="s">
        <v>14</v>
      </c>
      <c r="G133" s="5" t="e" vm="11">
        <v>#VALUE!</v>
      </c>
      <c r="H133" s="5">
        <v>7.02</v>
      </c>
      <c r="I133" s="5" t="s">
        <v>18</v>
      </c>
      <c r="J133" s="5"/>
      <c r="K133" s="11">
        <v>24100</v>
      </c>
      <c r="M133" s="5" t="s">
        <v>125</v>
      </c>
      <c r="N133" s="5" t="s">
        <v>73</v>
      </c>
      <c r="O133" s="5" t="s">
        <v>237</v>
      </c>
      <c r="P133" s="5">
        <v>12</v>
      </c>
      <c r="Q133" s="5" t="s">
        <v>286</v>
      </c>
      <c r="R133" s="5"/>
      <c r="S133" s="5" t="s">
        <v>706</v>
      </c>
      <c r="T133" s="20" t="s">
        <v>707</v>
      </c>
      <c r="U133" s="5" t="s">
        <v>708</v>
      </c>
      <c r="V133" s="20" t="s">
        <v>709</v>
      </c>
      <c r="W133" s="5" t="s">
        <v>122</v>
      </c>
      <c r="X133" s="5" t="s">
        <v>81</v>
      </c>
      <c r="Y133" s="5"/>
      <c r="Z133" s="5"/>
    </row>
    <row r="134" spans="1:28" x14ac:dyDescent="0.3">
      <c r="A134" s="5">
        <v>2408408</v>
      </c>
      <c r="B134" s="20" t="s">
        <v>710</v>
      </c>
      <c r="C134" s="25">
        <v>45519</v>
      </c>
      <c r="D134" s="5" t="s">
        <v>22</v>
      </c>
      <c r="E134" s="5" t="s">
        <v>71</v>
      </c>
      <c r="F134" s="5" t="s">
        <v>14</v>
      </c>
      <c r="G134" s="5" t="e" vm="11">
        <v>#VALUE!</v>
      </c>
      <c r="H134" s="5">
        <v>17.55</v>
      </c>
      <c r="I134" s="5" t="s">
        <v>18</v>
      </c>
      <c r="J134" s="5"/>
      <c r="K134" s="11">
        <v>50600</v>
      </c>
      <c r="M134" s="5" t="s">
        <v>526</v>
      </c>
      <c r="N134" s="5" t="s">
        <v>73</v>
      </c>
      <c r="O134" s="5" t="s">
        <v>237</v>
      </c>
      <c r="P134" s="5">
        <v>30</v>
      </c>
      <c r="Q134" s="5" t="s">
        <v>143</v>
      </c>
      <c r="R134" s="5"/>
      <c r="S134" s="5" t="s">
        <v>711</v>
      </c>
      <c r="T134" s="20" t="s">
        <v>712</v>
      </c>
      <c r="U134" s="5" t="s">
        <v>713</v>
      </c>
      <c r="V134" s="20" t="s">
        <v>714</v>
      </c>
      <c r="W134" s="5" t="s">
        <v>122</v>
      </c>
      <c r="X134" s="5" t="s">
        <v>81</v>
      </c>
      <c r="Y134" s="5"/>
      <c r="Z134" s="5"/>
    </row>
    <row r="135" spans="1:28" x14ac:dyDescent="0.3">
      <c r="A135" s="5">
        <v>2408025</v>
      </c>
      <c r="B135" s="20" t="s">
        <v>715</v>
      </c>
      <c r="C135" s="25">
        <v>45533</v>
      </c>
      <c r="D135" s="5" t="s">
        <v>20</v>
      </c>
      <c r="E135" s="5" t="s">
        <v>206</v>
      </c>
      <c r="F135" s="5" t="s">
        <v>18</v>
      </c>
      <c r="G135" s="5" t="e" vm="12">
        <v>#VALUE!</v>
      </c>
      <c r="H135" s="5">
        <v>0</v>
      </c>
      <c r="I135" s="5"/>
      <c r="J135" s="5"/>
      <c r="K135" s="11">
        <v>55300</v>
      </c>
      <c r="M135" s="5" t="s">
        <v>125</v>
      </c>
      <c r="N135" s="5" t="s">
        <v>73</v>
      </c>
      <c r="O135" s="5" t="s">
        <v>18</v>
      </c>
      <c r="P135" s="5" t="s">
        <v>18</v>
      </c>
      <c r="Q135" s="5" t="s">
        <v>18</v>
      </c>
      <c r="R135" s="5"/>
      <c r="S135" s="5" t="s">
        <v>18</v>
      </c>
      <c r="T135" s="20" t="s">
        <v>716</v>
      </c>
      <c r="U135" s="5" t="s">
        <v>18</v>
      </c>
      <c r="V135" s="20" t="s">
        <v>18</v>
      </c>
      <c r="W135" s="5" t="s">
        <v>109</v>
      </c>
      <c r="X135" s="5" t="s">
        <v>81</v>
      </c>
      <c r="Y135" s="5"/>
      <c r="Z135" s="5"/>
    </row>
    <row r="136" spans="1:28" x14ac:dyDescent="0.3">
      <c r="A136" s="5">
        <v>2408431</v>
      </c>
      <c r="B136" s="20" t="s">
        <v>717</v>
      </c>
      <c r="C136" s="25">
        <v>45544</v>
      </c>
      <c r="D136" s="5" t="s">
        <v>17</v>
      </c>
      <c r="E136" s="5" t="s">
        <v>71</v>
      </c>
      <c r="F136" s="5" t="s">
        <v>14</v>
      </c>
      <c r="G136" s="5" t="e" vm="10">
        <v>#VALUE!</v>
      </c>
      <c r="H136" s="5">
        <v>9.36</v>
      </c>
      <c r="I136" s="5" t="s">
        <v>18</v>
      </c>
      <c r="J136" s="5"/>
      <c r="K136" s="11">
        <v>30000</v>
      </c>
      <c r="M136" s="5"/>
      <c r="N136" s="5" t="s">
        <v>73</v>
      </c>
      <c r="O136" s="5" t="s">
        <v>237</v>
      </c>
      <c r="P136" s="5">
        <v>16</v>
      </c>
      <c r="Q136" s="14" t="s">
        <v>364</v>
      </c>
      <c r="R136" s="14"/>
      <c r="S136" s="5" t="s">
        <v>718</v>
      </c>
      <c r="T136" s="20" t="s">
        <v>719</v>
      </c>
      <c r="U136" s="5" t="s">
        <v>720</v>
      </c>
      <c r="V136" s="21" t="s">
        <v>721</v>
      </c>
      <c r="W136" s="5" t="s">
        <v>122</v>
      </c>
      <c r="X136" s="5" t="s">
        <v>81</v>
      </c>
      <c r="Y136" s="5"/>
      <c r="Z136" s="5"/>
    </row>
    <row r="137" spans="1:28" x14ac:dyDescent="0.3">
      <c r="A137" s="5">
        <v>2408432</v>
      </c>
      <c r="B137" s="20" t="s">
        <v>722</v>
      </c>
      <c r="C137" s="25">
        <v>45534</v>
      </c>
      <c r="D137" s="5" t="s">
        <v>19</v>
      </c>
      <c r="E137" s="5" t="s">
        <v>71</v>
      </c>
      <c r="F137" s="5" t="s">
        <v>14</v>
      </c>
      <c r="G137" s="5" t="e" vm="11">
        <v>#VALUE!</v>
      </c>
      <c r="H137" s="5">
        <v>8.19</v>
      </c>
      <c r="I137" s="5" t="s">
        <v>18</v>
      </c>
      <c r="J137" s="5"/>
      <c r="K137" s="11">
        <v>23800</v>
      </c>
      <c r="M137" s="5"/>
      <c r="N137" s="5" t="s">
        <v>73</v>
      </c>
      <c r="O137" s="5" t="s">
        <v>237</v>
      </c>
      <c r="P137" s="5">
        <v>14</v>
      </c>
      <c r="Q137" s="14" t="s">
        <v>244</v>
      </c>
      <c r="R137" s="14"/>
      <c r="S137" s="5" t="s">
        <v>723</v>
      </c>
      <c r="T137" s="20" t="s">
        <v>724</v>
      </c>
      <c r="U137" s="5" t="s">
        <v>725</v>
      </c>
      <c r="V137" s="21" t="s">
        <v>726</v>
      </c>
      <c r="W137" s="5" t="s">
        <v>109</v>
      </c>
      <c r="X137" s="5" t="s">
        <v>81</v>
      </c>
      <c r="Y137" s="5"/>
      <c r="Z137" s="5"/>
    </row>
    <row r="138" spans="1:28" x14ac:dyDescent="0.3">
      <c r="A138" s="5">
        <v>2408407</v>
      </c>
      <c r="B138" s="20" t="s">
        <v>727</v>
      </c>
      <c r="C138" s="25">
        <v>45540</v>
      </c>
      <c r="D138" s="5" t="s">
        <v>22</v>
      </c>
      <c r="E138" s="5" t="s">
        <v>71</v>
      </c>
      <c r="F138" s="5" t="s">
        <v>14</v>
      </c>
      <c r="G138" s="5" t="e" vm="11">
        <v>#VALUE!</v>
      </c>
      <c r="H138" s="5">
        <v>9.36</v>
      </c>
      <c r="I138" s="5" t="s">
        <v>18</v>
      </c>
      <c r="J138" s="5"/>
      <c r="K138" s="11">
        <v>29700</v>
      </c>
      <c r="M138" s="5" t="s">
        <v>125</v>
      </c>
      <c r="N138" s="5" t="s">
        <v>73</v>
      </c>
      <c r="O138" s="5" t="s">
        <v>237</v>
      </c>
      <c r="P138" s="5">
        <v>16</v>
      </c>
      <c r="Q138" s="14" t="s">
        <v>364</v>
      </c>
      <c r="R138" s="14"/>
      <c r="S138" s="5" t="s">
        <v>728</v>
      </c>
      <c r="T138" s="20" t="s">
        <v>729</v>
      </c>
      <c r="U138" s="5" t="s">
        <v>730</v>
      </c>
      <c r="V138" s="20" t="s">
        <v>731</v>
      </c>
      <c r="W138" s="5" t="s">
        <v>109</v>
      </c>
      <c r="X138" s="5" t="s">
        <v>81</v>
      </c>
      <c r="Y138" s="5"/>
      <c r="Z138" s="5"/>
      <c r="AA138" s="20" t="s">
        <v>624</v>
      </c>
    </row>
    <row r="139" spans="1:28" x14ac:dyDescent="0.3">
      <c r="A139" s="5">
        <v>2409441</v>
      </c>
      <c r="B139" s="20" t="s">
        <v>732</v>
      </c>
      <c r="C139" s="25">
        <v>45540</v>
      </c>
      <c r="D139" s="5" t="s">
        <v>19</v>
      </c>
      <c r="E139" s="5" t="s">
        <v>71</v>
      </c>
      <c r="F139" s="5" t="s">
        <v>14</v>
      </c>
      <c r="G139" s="5" t="e" vm="10">
        <v>#VALUE!</v>
      </c>
      <c r="H139" s="5">
        <v>12.87</v>
      </c>
      <c r="I139" s="5" t="s">
        <v>18</v>
      </c>
      <c r="J139" s="5"/>
      <c r="K139" s="11">
        <v>38000</v>
      </c>
      <c r="M139" s="5" t="s">
        <v>125</v>
      </c>
      <c r="N139" s="5" t="s">
        <v>73</v>
      </c>
      <c r="O139" s="5" t="s">
        <v>237</v>
      </c>
      <c r="P139" s="5">
        <v>22</v>
      </c>
      <c r="Q139" s="14" t="s">
        <v>111</v>
      </c>
      <c r="R139" s="14"/>
      <c r="S139" s="5" t="s">
        <v>733</v>
      </c>
      <c r="T139" s="20" t="s">
        <v>734</v>
      </c>
      <c r="U139" s="5" t="s">
        <v>735</v>
      </c>
      <c r="V139" s="20" t="s">
        <v>736</v>
      </c>
      <c r="W139" s="5" t="s">
        <v>122</v>
      </c>
      <c r="X139" s="5" t="s">
        <v>81</v>
      </c>
      <c r="Y139" s="5"/>
      <c r="Z139" s="5"/>
      <c r="AB139" s="20" t="s">
        <v>737</v>
      </c>
    </row>
    <row r="140" spans="1:28" x14ac:dyDescent="0.3">
      <c r="A140" s="5">
        <v>2408433</v>
      </c>
      <c r="B140" s="20" t="s">
        <v>738</v>
      </c>
      <c r="C140" s="25">
        <v>45537</v>
      </c>
      <c r="D140" s="5" t="s">
        <v>19</v>
      </c>
      <c r="E140" s="5" t="s">
        <v>71</v>
      </c>
      <c r="F140" s="5" t="s">
        <v>14</v>
      </c>
      <c r="G140" s="5" t="e" vm="11">
        <v>#VALUE!</v>
      </c>
      <c r="H140" s="5">
        <v>5.85</v>
      </c>
      <c r="I140" s="5" t="s">
        <v>18</v>
      </c>
      <c r="J140" s="5"/>
      <c r="K140" s="11">
        <v>24000</v>
      </c>
      <c r="M140" s="5" t="s">
        <v>125</v>
      </c>
      <c r="N140" s="5" t="s">
        <v>73</v>
      </c>
      <c r="O140" s="5" t="s">
        <v>237</v>
      </c>
      <c r="P140" s="5">
        <v>10</v>
      </c>
      <c r="Q140" s="5" t="s">
        <v>380</v>
      </c>
      <c r="R140" s="5"/>
      <c r="S140" s="5" t="s">
        <v>739</v>
      </c>
      <c r="T140" s="20" t="s">
        <v>740</v>
      </c>
      <c r="U140" s="5" t="s">
        <v>741</v>
      </c>
      <c r="V140" s="21" t="s">
        <v>742</v>
      </c>
      <c r="W140" s="5" t="s">
        <v>122</v>
      </c>
      <c r="X140" s="5" t="s">
        <v>81</v>
      </c>
      <c r="Y140" s="5"/>
      <c r="Z140" s="5"/>
    </row>
    <row r="141" spans="1:28" x14ac:dyDescent="0.3">
      <c r="A141" s="5">
        <v>2409445</v>
      </c>
      <c r="B141" s="20" t="s">
        <v>743</v>
      </c>
      <c r="C141" s="25">
        <v>45544</v>
      </c>
      <c r="D141" s="5" t="s">
        <v>22</v>
      </c>
      <c r="E141" s="5" t="s">
        <v>71</v>
      </c>
      <c r="F141" s="5" t="s">
        <v>14</v>
      </c>
      <c r="G141" s="5" t="e" vm="11">
        <v>#VALUE!</v>
      </c>
      <c r="H141" s="5">
        <v>7.02</v>
      </c>
      <c r="I141" s="5" t="s">
        <v>18</v>
      </c>
      <c r="J141" s="5"/>
      <c r="K141" s="11">
        <v>22500</v>
      </c>
      <c r="M141" s="5" t="s">
        <v>125</v>
      </c>
      <c r="N141" s="5" t="s">
        <v>73</v>
      </c>
      <c r="O141" s="5" t="s">
        <v>237</v>
      </c>
      <c r="P141" s="5">
        <v>12</v>
      </c>
      <c r="Q141" s="5" t="s">
        <v>286</v>
      </c>
      <c r="R141" s="5"/>
      <c r="S141" s="5" t="s">
        <v>744</v>
      </c>
      <c r="T141" s="20" t="s">
        <v>745</v>
      </c>
      <c r="U141" s="5" t="s">
        <v>746</v>
      </c>
      <c r="V141" s="20" t="s">
        <v>747</v>
      </c>
      <c r="W141" s="5" t="s">
        <v>109</v>
      </c>
      <c r="X141" s="5" t="s">
        <v>81</v>
      </c>
      <c r="Y141" s="5"/>
      <c r="Z141" s="5"/>
    </row>
    <row r="142" spans="1:28" x14ac:dyDescent="0.3">
      <c r="A142" s="5">
        <v>2408434</v>
      </c>
      <c r="B142" s="20" t="s">
        <v>748</v>
      </c>
      <c r="C142" s="25">
        <v>45544</v>
      </c>
      <c r="D142" s="5" t="s">
        <v>19</v>
      </c>
      <c r="E142" s="5" t="s">
        <v>71</v>
      </c>
      <c r="F142" s="5" t="s">
        <v>14</v>
      </c>
      <c r="G142" s="5" t="e" vm="11">
        <v>#VALUE!</v>
      </c>
      <c r="H142" s="5">
        <v>14.04</v>
      </c>
      <c r="I142" s="5" t="s">
        <v>18</v>
      </c>
      <c r="J142" s="5"/>
      <c r="K142" s="11">
        <v>38600</v>
      </c>
      <c r="M142" s="5" t="s">
        <v>125</v>
      </c>
      <c r="N142" s="5" t="s">
        <v>73</v>
      </c>
      <c r="O142" s="5" t="s">
        <v>237</v>
      </c>
      <c r="P142" s="5">
        <v>24</v>
      </c>
      <c r="Q142" s="5" t="s">
        <v>143</v>
      </c>
      <c r="R142" s="5"/>
      <c r="S142" s="5" t="s">
        <v>749</v>
      </c>
      <c r="T142" s="20" t="s">
        <v>750</v>
      </c>
      <c r="U142" s="5" t="s">
        <v>751</v>
      </c>
      <c r="V142" s="20" t="s">
        <v>752</v>
      </c>
      <c r="W142" s="5" t="s">
        <v>122</v>
      </c>
      <c r="X142" s="5" t="s">
        <v>81</v>
      </c>
      <c r="Y142" s="5"/>
      <c r="Z142" s="5"/>
    </row>
    <row r="143" spans="1:28" x14ac:dyDescent="0.3">
      <c r="A143" s="5">
        <v>2409442</v>
      </c>
      <c r="B143" s="20" t="s">
        <v>753</v>
      </c>
      <c r="C143" s="25">
        <v>45543</v>
      </c>
      <c r="D143" s="5" t="s">
        <v>17</v>
      </c>
      <c r="E143" s="5" t="s">
        <v>71</v>
      </c>
      <c r="F143" s="5" t="s">
        <v>14</v>
      </c>
      <c r="G143" s="5" t="e" vm="12">
        <v>#VALUE!</v>
      </c>
      <c r="H143" s="5">
        <v>9.44</v>
      </c>
      <c r="I143" s="5" t="s">
        <v>18</v>
      </c>
      <c r="J143" s="5"/>
      <c r="K143" s="11">
        <v>33000</v>
      </c>
      <c r="M143" s="5" t="s">
        <v>176</v>
      </c>
      <c r="N143" s="5" t="s">
        <v>73</v>
      </c>
      <c r="O143" s="5" t="s">
        <v>243</v>
      </c>
      <c r="P143" s="5">
        <v>16</v>
      </c>
      <c r="Q143" s="14" t="s">
        <v>364</v>
      </c>
      <c r="R143" s="14"/>
      <c r="S143" s="5" t="s">
        <v>754</v>
      </c>
      <c r="T143" s="20" t="s">
        <v>755</v>
      </c>
      <c r="U143" s="5" t="s">
        <v>756</v>
      </c>
      <c r="V143" s="21" t="s">
        <v>757</v>
      </c>
      <c r="W143" s="5" t="s">
        <v>122</v>
      </c>
      <c r="X143" s="5" t="s">
        <v>81</v>
      </c>
      <c r="Y143" s="5"/>
      <c r="Z143" s="5"/>
      <c r="AB143" s="20" t="s">
        <v>758</v>
      </c>
    </row>
    <row r="144" spans="1:28" x14ac:dyDescent="0.3">
      <c r="A144" s="5">
        <v>2409443</v>
      </c>
      <c r="B144" s="20" t="s">
        <v>759</v>
      </c>
      <c r="C144" s="25">
        <v>45544</v>
      </c>
      <c r="D144" s="5" t="s">
        <v>17</v>
      </c>
      <c r="E144" s="5" t="s">
        <v>71</v>
      </c>
      <c r="F144" s="5" t="s">
        <v>14</v>
      </c>
      <c r="G144" s="5" t="e" vm="8">
        <v>#VALUE!</v>
      </c>
      <c r="H144" s="5">
        <v>17.55</v>
      </c>
      <c r="I144" s="5" t="s">
        <v>18</v>
      </c>
      <c r="J144" s="5"/>
      <c r="K144" s="11">
        <v>47360</v>
      </c>
      <c r="M144" s="5" t="s">
        <v>176</v>
      </c>
      <c r="N144" s="5" t="s">
        <v>73</v>
      </c>
      <c r="O144" s="5" t="s">
        <v>237</v>
      </c>
      <c r="P144" s="5">
        <v>30</v>
      </c>
      <c r="Q144" s="5" t="s">
        <v>143</v>
      </c>
      <c r="R144" s="5"/>
      <c r="S144" s="5" t="s">
        <v>760</v>
      </c>
      <c r="T144" s="20" t="s">
        <v>761</v>
      </c>
      <c r="U144" s="5" t="s">
        <v>762</v>
      </c>
      <c r="V144" s="21" t="s">
        <v>763</v>
      </c>
      <c r="W144" s="5" t="s">
        <v>122</v>
      </c>
      <c r="X144" s="5" t="s">
        <v>81</v>
      </c>
      <c r="Y144" s="5"/>
      <c r="Z144" s="5"/>
    </row>
    <row r="145" spans="1:26" x14ac:dyDescent="0.3">
      <c r="A145" s="5">
        <v>2408417</v>
      </c>
      <c r="B145" s="20" t="s">
        <v>764</v>
      </c>
      <c r="C145" s="25">
        <v>45543</v>
      </c>
      <c r="D145" s="5" t="s">
        <v>17</v>
      </c>
      <c r="E145" s="5" t="s">
        <v>71</v>
      </c>
      <c r="F145" s="5" t="s">
        <v>14</v>
      </c>
      <c r="G145" s="5" t="e" vm="5">
        <v>#VALUE!</v>
      </c>
      <c r="H145" s="5">
        <v>17.55</v>
      </c>
      <c r="I145" s="5" t="s">
        <v>18</v>
      </c>
      <c r="J145" s="5"/>
      <c r="K145" s="11">
        <v>36500</v>
      </c>
      <c r="M145" s="5" t="s">
        <v>125</v>
      </c>
      <c r="N145" s="5" t="s">
        <v>73</v>
      </c>
      <c r="O145" s="5" t="s">
        <v>243</v>
      </c>
      <c r="P145" s="5">
        <v>30</v>
      </c>
      <c r="Q145" s="5" t="s">
        <v>143</v>
      </c>
      <c r="R145" s="5"/>
      <c r="S145" s="5" t="s">
        <v>765</v>
      </c>
      <c r="T145" s="20" t="s">
        <v>766</v>
      </c>
      <c r="U145" s="5" t="s">
        <v>767</v>
      </c>
      <c r="W145" s="5" t="s">
        <v>122</v>
      </c>
      <c r="X145" s="5" t="s">
        <v>81</v>
      </c>
      <c r="Y145" s="5"/>
      <c r="Z145" s="5"/>
    </row>
    <row r="146" spans="1:26" x14ac:dyDescent="0.3">
      <c r="A146" s="5">
        <v>2409440</v>
      </c>
      <c r="B146" s="20" t="s">
        <v>768</v>
      </c>
      <c r="C146" s="25">
        <v>45539</v>
      </c>
      <c r="D146" s="5" t="s">
        <v>17</v>
      </c>
      <c r="E146" s="5" t="s">
        <v>71</v>
      </c>
      <c r="F146" s="5" t="s">
        <v>14</v>
      </c>
      <c r="G146" s="5" t="e" vm="5">
        <v>#VALUE!</v>
      </c>
      <c r="H146" s="5">
        <v>7.02</v>
      </c>
      <c r="I146" s="5" t="s">
        <v>18</v>
      </c>
      <c r="J146" s="5"/>
      <c r="K146" s="11">
        <v>25520</v>
      </c>
      <c r="M146" s="5" t="s">
        <v>176</v>
      </c>
      <c r="N146" s="5" t="s">
        <v>73</v>
      </c>
      <c r="O146" s="5" t="s">
        <v>237</v>
      </c>
      <c r="P146" s="5">
        <v>12</v>
      </c>
      <c r="Q146" s="5" t="s">
        <v>286</v>
      </c>
      <c r="R146" s="5"/>
      <c r="S146" s="5" t="s">
        <v>769</v>
      </c>
      <c r="T146" s="20" t="s">
        <v>770</v>
      </c>
      <c r="U146" s="5" t="s">
        <v>771</v>
      </c>
      <c r="V146" s="21" t="s">
        <v>772</v>
      </c>
      <c r="W146" s="5" t="s">
        <v>122</v>
      </c>
      <c r="X146" s="5" t="s">
        <v>81</v>
      </c>
      <c r="Y146" s="5"/>
      <c r="Z146" s="5" t="s">
        <v>269</v>
      </c>
    </row>
    <row r="147" spans="1:26" x14ac:dyDescent="0.3">
      <c r="A147" s="5">
        <v>2405273</v>
      </c>
      <c r="B147" s="20" t="s">
        <v>773</v>
      </c>
      <c r="C147" s="25">
        <v>45533</v>
      </c>
      <c r="D147" s="5" t="s">
        <v>17</v>
      </c>
      <c r="E147" s="5" t="s">
        <v>71</v>
      </c>
      <c r="F147" s="5" t="s">
        <v>14</v>
      </c>
      <c r="G147" s="5" t="e" vm="5">
        <v>#VALUE!</v>
      </c>
      <c r="H147" s="5">
        <v>17.55</v>
      </c>
      <c r="I147" s="5" t="s">
        <v>18</v>
      </c>
      <c r="J147" s="5"/>
      <c r="K147" s="11">
        <v>44600</v>
      </c>
      <c r="L147" s="24">
        <v>7500</v>
      </c>
      <c r="M147" s="5" t="s">
        <v>125</v>
      </c>
      <c r="N147" s="5" t="s">
        <v>73</v>
      </c>
      <c r="O147" s="5" t="s">
        <v>237</v>
      </c>
      <c r="P147" s="5">
        <v>30</v>
      </c>
      <c r="Q147" s="5" t="s">
        <v>143</v>
      </c>
      <c r="R147" s="5"/>
      <c r="S147" s="5" t="s">
        <v>774</v>
      </c>
      <c r="T147" s="20" t="s">
        <v>775</v>
      </c>
      <c r="U147" s="5" t="s">
        <v>776</v>
      </c>
      <c r="V147" s="21" t="s">
        <v>777</v>
      </c>
      <c r="W147" s="5" t="s">
        <v>122</v>
      </c>
      <c r="X147" s="5" t="s">
        <v>81</v>
      </c>
      <c r="Y147" s="5"/>
      <c r="Z147" s="5" t="s">
        <v>269</v>
      </c>
    </row>
    <row r="148" spans="1:26" x14ac:dyDescent="0.3">
      <c r="A148" s="5">
        <v>2308064</v>
      </c>
      <c r="B148" s="20" t="s">
        <v>778</v>
      </c>
      <c r="C148" s="25">
        <v>45532</v>
      </c>
      <c r="D148" s="5" t="s">
        <v>20</v>
      </c>
      <c r="E148" s="5" t="s">
        <v>71</v>
      </c>
      <c r="F148" s="5" t="s">
        <v>14</v>
      </c>
      <c r="G148" s="5" t="e" vm="15">
        <v>#VALUE!</v>
      </c>
      <c r="H148" s="5">
        <v>11.7</v>
      </c>
      <c r="I148" s="5"/>
      <c r="J148" s="5"/>
      <c r="K148" s="11">
        <v>35000</v>
      </c>
      <c r="M148" s="5" t="s">
        <v>125</v>
      </c>
      <c r="N148" s="5" t="s">
        <v>73</v>
      </c>
      <c r="O148" s="5" t="s">
        <v>237</v>
      </c>
      <c r="P148" s="5">
        <v>20</v>
      </c>
      <c r="Q148" s="14" t="s">
        <v>83</v>
      </c>
      <c r="R148" s="5"/>
      <c r="S148" s="5" t="s">
        <v>779</v>
      </c>
      <c r="T148" s="20" t="s">
        <v>780</v>
      </c>
      <c r="U148" s="5" t="s">
        <v>781</v>
      </c>
      <c r="V148" s="21" t="s">
        <v>782</v>
      </c>
      <c r="W148" s="5" t="s">
        <v>122</v>
      </c>
      <c r="X148" s="5" t="s">
        <v>81</v>
      </c>
      <c r="Y148" s="5"/>
      <c r="Z148" s="5"/>
    </row>
    <row r="149" spans="1:26" x14ac:dyDescent="0.3">
      <c r="A149" s="5">
        <v>2409447</v>
      </c>
      <c r="B149" s="20" t="s">
        <v>783</v>
      </c>
      <c r="C149" s="25">
        <v>45545</v>
      </c>
      <c r="D149" s="5" t="s">
        <v>19</v>
      </c>
      <c r="E149" s="5" t="s">
        <v>71</v>
      </c>
      <c r="F149" s="5" t="s">
        <v>14</v>
      </c>
      <c r="G149" s="5" t="e" vm="11">
        <v>#VALUE!</v>
      </c>
      <c r="H149" s="5">
        <v>7.02</v>
      </c>
      <c r="I149" s="5" t="s">
        <v>18</v>
      </c>
      <c r="J149" s="5"/>
      <c r="K149" s="24">
        <v>22200</v>
      </c>
      <c r="M149" s="5" t="s">
        <v>125</v>
      </c>
      <c r="N149" s="5" t="s">
        <v>73</v>
      </c>
      <c r="O149" s="5" t="s">
        <v>237</v>
      </c>
      <c r="P149" s="5">
        <v>12</v>
      </c>
      <c r="Q149" s="5" t="s">
        <v>286</v>
      </c>
      <c r="R149" s="5"/>
      <c r="S149" s="5" t="s">
        <v>784</v>
      </c>
      <c r="T149" s="20" t="s">
        <v>785</v>
      </c>
      <c r="U149" s="5" t="s">
        <v>786</v>
      </c>
      <c r="V149" s="20" t="s">
        <v>787</v>
      </c>
      <c r="W149" s="5" t="s">
        <v>109</v>
      </c>
      <c r="X149" s="5" t="s">
        <v>81</v>
      </c>
      <c r="Y149" s="5"/>
      <c r="Z149" s="5"/>
    </row>
    <row r="150" spans="1:26" x14ac:dyDescent="0.3">
      <c r="A150" s="5">
        <v>2409444</v>
      </c>
      <c r="B150" s="20" t="s">
        <v>788</v>
      </c>
      <c r="C150" s="25">
        <v>45546</v>
      </c>
      <c r="D150" s="5" t="s">
        <v>19</v>
      </c>
      <c r="E150" s="5" t="s">
        <v>71</v>
      </c>
      <c r="F150" s="5" t="s">
        <v>14</v>
      </c>
      <c r="G150" s="5" t="e" vm="10">
        <v>#VALUE!</v>
      </c>
      <c r="H150" s="5">
        <v>9.36</v>
      </c>
      <c r="I150" s="5" t="s">
        <v>18</v>
      </c>
      <c r="J150" s="5"/>
      <c r="K150" s="24">
        <v>28700</v>
      </c>
      <c r="M150" s="5" t="s">
        <v>125</v>
      </c>
      <c r="N150" s="5" t="s">
        <v>73</v>
      </c>
      <c r="O150" s="5" t="s">
        <v>237</v>
      </c>
      <c r="P150" s="5">
        <v>16</v>
      </c>
      <c r="Q150" s="14" t="s">
        <v>364</v>
      </c>
      <c r="R150" s="14"/>
      <c r="S150" s="5" t="s">
        <v>789</v>
      </c>
      <c r="T150" s="20" t="s">
        <v>790</v>
      </c>
      <c r="U150" s="5" t="s">
        <v>791</v>
      </c>
      <c r="V150" s="20" t="s">
        <v>792</v>
      </c>
      <c r="W150" s="5" t="s">
        <v>109</v>
      </c>
      <c r="X150" s="5" t="s">
        <v>81</v>
      </c>
      <c r="Y150" s="5"/>
      <c r="Z150" s="5"/>
    </row>
    <row r="151" spans="1:26" x14ac:dyDescent="0.3">
      <c r="A151" s="5">
        <v>2407368</v>
      </c>
      <c r="B151" s="20" t="s">
        <v>793</v>
      </c>
      <c r="C151" s="25">
        <v>45545</v>
      </c>
      <c r="D151" s="5" t="s">
        <v>19</v>
      </c>
      <c r="E151" s="5" t="s">
        <v>71</v>
      </c>
      <c r="F151" s="5" t="s">
        <v>14</v>
      </c>
      <c r="G151" s="5" t="e" vm="11">
        <v>#VALUE!</v>
      </c>
      <c r="H151" s="5">
        <v>12.87</v>
      </c>
      <c r="I151" s="5" t="s">
        <v>18</v>
      </c>
      <c r="J151" s="5"/>
      <c r="K151" s="24">
        <v>38600</v>
      </c>
      <c r="M151" s="5" t="s">
        <v>125</v>
      </c>
      <c r="N151" s="5" t="s">
        <v>73</v>
      </c>
      <c r="O151" s="5" t="s">
        <v>237</v>
      </c>
      <c r="P151" s="5">
        <v>22</v>
      </c>
      <c r="Q151" s="14" t="s">
        <v>111</v>
      </c>
      <c r="R151" s="14"/>
      <c r="S151" s="5" t="s">
        <v>794</v>
      </c>
      <c r="T151" s="20" t="s">
        <v>795</v>
      </c>
      <c r="U151" s="5" t="s">
        <v>796</v>
      </c>
      <c r="V151" s="20" t="s">
        <v>797</v>
      </c>
      <c r="W151" s="5" t="s">
        <v>122</v>
      </c>
      <c r="X151" s="5" t="s">
        <v>81</v>
      </c>
      <c r="Y151" s="5"/>
      <c r="Z151" s="5"/>
    </row>
    <row r="152" spans="1:26" x14ac:dyDescent="0.3">
      <c r="A152" s="5">
        <v>2409446</v>
      </c>
      <c r="B152" s="20" t="s">
        <v>798</v>
      </c>
      <c r="C152" s="25">
        <v>45544</v>
      </c>
      <c r="D152" s="5" t="s">
        <v>17</v>
      </c>
      <c r="E152" s="5" t="s">
        <v>71</v>
      </c>
      <c r="F152" s="5" t="s">
        <v>14</v>
      </c>
      <c r="G152" s="5" t="e" vm="5">
        <v>#VALUE!</v>
      </c>
      <c r="H152" s="5">
        <v>9.36</v>
      </c>
      <c r="I152" s="5" t="s">
        <v>18</v>
      </c>
      <c r="J152" s="5"/>
      <c r="K152" s="24">
        <v>28500</v>
      </c>
      <c r="M152" s="5" t="s">
        <v>125</v>
      </c>
      <c r="N152" s="5" t="s">
        <v>73</v>
      </c>
      <c r="O152" s="5" t="s">
        <v>237</v>
      </c>
      <c r="P152" s="5">
        <v>16</v>
      </c>
      <c r="Q152" s="14" t="s">
        <v>364</v>
      </c>
      <c r="R152" s="14"/>
      <c r="S152" s="5" t="s">
        <v>799</v>
      </c>
      <c r="T152" s="20" t="s">
        <v>800</v>
      </c>
      <c r="U152" s="5" t="s">
        <v>801</v>
      </c>
      <c r="V152" s="21" t="s">
        <v>802</v>
      </c>
      <c r="W152" s="5" t="s">
        <v>122</v>
      </c>
      <c r="X152" s="5" t="s">
        <v>81</v>
      </c>
      <c r="Y152" s="5"/>
      <c r="Z152" s="5" t="s">
        <v>269</v>
      </c>
    </row>
    <row r="153" spans="1:26" x14ac:dyDescent="0.3">
      <c r="A153" s="5">
        <v>2404249</v>
      </c>
      <c r="B153" s="20" t="s">
        <v>803</v>
      </c>
      <c r="C153" s="25">
        <v>45546</v>
      </c>
      <c r="D153" s="5" t="s">
        <v>17</v>
      </c>
      <c r="E153" s="5" t="s">
        <v>71</v>
      </c>
      <c r="F153" s="5" t="s">
        <v>14</v>
      </c>
      <c r="G153" s="5" t="e" vm="10">
        <v>#VALUE!</v>
      </c>
      <c r="H153" s="5">
        <v>17.55</v>
      </c>
      <c r="I153" s="5" t="s">
        <v>18</v>
      </c>
      <c r="J153" s="5"/>
      <c r="K153" s="24">
        <v>47600</v>
      </c>
      <c r="M153" s="5"/>
      <c r="N153" s="5" t="s">
        <v>73</v>
      </c>
      <c r="O153" s="5" t="s">
        <v>237</v>
      </c>
      <c r="P153" s="5">
        <v>30</v>
      </c>
      <c r="Q153" s="5" t="s">
        <v>143</v>
      </c>
      <c r="R153" s="5"/>
      <c r="S153" s="5" t="s">
        <v>804</v>
      </c>
      <c r="T153" s="20" t="s">
        <v>805</v>
      </c>
      <c r="U153" s="5" t="s">
        <v>806</v>
      </c>
      <c r="V153" s="21" t="s">
        <v>807</v>
      </c>
      <c r="W153" s="5" t="s">
        <v>122</v>
      </c>
      <c r="X153" s="5" t="s">
        <v>81</v>
      </c>
      <c r="Y153" s="5"/>
      <c r="Z153" s="5"/>
    </row>
    <row r="154" spans="1:26" x14ac:dyDescent="0.3">
      <c r="A154" s="5" t="s">
        <v>808</v>
      </c>
      <c r="B154" s="20" t="s">
        <v>809</v>
      </c>
      <c r="C154" s="25">
        <v>45546</v>
      </c>
      <c r="D154" s="5" t="s">
        <v>17</v>
      </c>
      <c r="E154" s="5" t="s">
        <v>71</v>
      </c>
      <c r="F154" s="5" t="s">
        <v>14</v>
      </c>
      <c r="G154" s="5" t="e" vm="4">
        <v>#VALUE!</v>
      </c>
      <c r="H154" s="5">
        <v>17.55</v>
      </c>
      <c r="I154" s="5" t="s">
        <v>18</v>
      </c>
      <c r="J154" s="5"/>
      <c r="K154" s="24">
        <v>46100</v>
      </c>
      <c r="M154" s="5" t="s">
        <v>125</v>
      </c>
      <c r="N154" s="5" t="s">
        <v>73</v>
      </c>
      <c r="O154" s="5" t="s">
        <v>237</v>
      </c>
      <c r="P154" s="5">
        <v>30</v>
      </c>
      <c r="Q154" s="5" t="s">
        <v>143</v>
      </c>
      <c r="R154" s="5"/>
      <c r="S154" s="5" t="s">
        <v>810</v>
      </c>
      <c r="T154" s="20" t="s">
        <v>811</v>
      </c>
      <c r="U154" s="5" t="s">
        <v>812</v>
      </c>
      <c r="V154" s="20" t="s">
        <v>813</v>
      </c>
      <c r="W154" s="5" t="s">
        <v>122</v>
      </c>
      <c r="X154" s="5" t="s">
        <v>81</v>
      </c>
      <c r="Y154" s="5"/>
      <c r="Z154" s="5"/>
    </row>
    <row r="155" spans="1:26" x14ac:dyDescent="0.3">
      <c r="A155" s="5" t="s">
        <v>814</v>
      </c>
      <c r="B155" s="20" t="s">
        <v>809</v>
      </c>
      <c r="C155" s="25">
        <v>45546</v>
      </c>
      <c r="D155" s="5" t="s">
        <v>17</v>
      </c>
      <c r="E155" s="5" t="s">
        <v>71</v>
      </c>
      <c r="F155" s="5" t="s">
        <v>14</v>
      </c>
      <c r="G155" s="5" t="e" vm="4">
        <v>#VALUE!</v>
      </c>
      <c r="H155" s="5">
        <v>17.55</v>
      </c>
      <c r="I155" s="5" t="s">
        <v>18</v>
      </c>
      <c r="J155" s="5"/>
      <c r="K155" s="24">
        <v>46100</v>
      </c>
      <c r="M155" s="5" t="s">
        <v>125</v>
      </c>
      <c r="N155" s="5" t="s">
        <v>73</v>
      </c>
      <c r="O155" s="5" t="s">
        <v>237</v>
      </c>
      <c r="P155" s="5">
        <v>30</v>
      </c>
      <c r="Q155" s="5" t="s">
        <v>143</v>
      </c>
      <c r="R155" s="5"/>
      <c r="S155" s="5" t="s">
        <v>815</v>
      </c>
      <c r="T155" s="20" t="s">
        <v>811</v>
      </c>
      <c r="U155" s="5" t="s">
        <v>812</v>
      </c>
      <c r="V155" s="21" t="s">
        <v>813</v>
      </c>
      <c r="W155" s="5" t="s">
        <v>122</v>
      </c>
      <c r="X155" s="5" t="s">
        <v>81</v>
      </c>
      <c r="Y155" s="5"/>
      <c r="Z155" s="5"/>
    </row>
    <row r="156" spans="1:26" x14ac:dyDescent="0.3">
      <c r="A156" s="5">
        <v>2405284</v>
      </c>
      <c r="B156" s="15" t="s">
        <v>816</v>
      </c>
      <c r="C156" s="25">
        <v>45546</v>
      </c>
      <c r="D156" s="5" t="s">
        <v>17</v>
      </c>
      <c r="E156" s="5" t="s">
        <v>71</v>
      </c>
      <c r="F156" s="5" t="s">
        <v>14</v>
      </c>
      <c r="G156" s="5" t="e" vm="5">
        <v>#VALUE!</v>
      </c>
      <c r="H156" s="5">
        <v>7.02</v>
      </c>
      <c r="I156" s="5" t="s">
        <v>18</v>
      </c>
      <c r="J156" s="5"/>
      <c r="K156" s="11">
        <v>23500</v>
      </c>
      <c r="M156" s="5"/>
      <c r="N156" s="5" t="s">
        <v>73</v>
      </c>
      <c r="O156" s="5" t="s">
        <v>237</v>
      </c>
      <c r="P156" s="5">
        <v>12</v>
      </c>
      <c r="Q156" s="5" t="s">
        <v>286</v>
      </c>
      <c r="R156" s="5"/>
      <c r="S156" s="5" t="s">
        <v>817</v>
      </c>
      <c r="T156" s="20" t="s">
        <v>818</v>
      </c>
      <c r="U156" s="5" t="s">
        <v>819</v>
      </c>
      <c r="V156" s="21" t="s">
        <v>820</v>
      </c>
      <c r="W156" s="5" t="s">
        <v>122</v>
      </c>
      <c r="X156" s="5" t="s">
        <v>81</v>
      </c>
      <c r="Y156" s="5"/>
      <c r="Z156" s="5"/>
    </row>
    <row r="157" spans="1:26" x14ac:dyDescent="0.3">
      <c r="A157" s="5">
        <v>2409448</v>
      </c>
      <c r="B157" s="15" t="s">
        <v>821</v>
      </c>
      <c r="C157" s="25">
        <v>45545</v>
      </c>
      <c r="D157" s="5" t="s">
        <v>20</v>
      </c>
      <c r="E157" s="5" t="s">
        <v>71</v>
      </c>
      <c r="F157" s="5" t="s">
        <v>14</v>
      </c>
      <c r="G157" s="5" t="e" vm="5">
        <v>#VALUE!</v>
      </c>
      <c r="H157" s="5">
        <v>8.26</v>
      </c>
      <c r="I157" s="5" t="s">
        <v>18</v>
      </c>
      <c r="J157" s="5"/>
      <c r="K157" s="11">
        <v>31622</v>
      </c>
      <c r="M157" s="5" t="s">
        <v>176</v>
      </c>
      <c r="N157" s="5" t="s">
        <v>73</v>
      </c>
      <c r="O157" s="5" t="s">
        <v>243</v>
      </c>
      <c r="P157" s="5">
        <v>14</v>
      </c>
      <c r="Q157" s="14" t="s">
        <v>822</v>
      </c>
      <c r="R157" s="14"/>
      <c r="S157" s="5" t="s">
        <v>823</v>
      </c>
      <c r="T157" s="20" t="s">
        <v>824</v>
      </c>
      <c r="U157" s="5" t="s">
        <v>825</v>
      </c>
      <c r="V157" s="23" t="s">
        <v>826</v>
      </c>
      <c r="W157" s="5" t="s">
        <v>122</v>
      </c>
      <c r="X157" s="5" t="s">
        <v>81</v>
      </c>
      <c r="Y157" s="5"/>
      <c r="Z157" s="5"/>
    </row>
    <row r="158" spans="1:26" x14ac:dyDescent="0.3">
      <c r="A158" s="5">
        <v>2408400</v>
      </c>
      <c r="B158" s="15" t="s">
        <v>827</v>
      </c>
      <c r="C158" s="25">
        <v>45546</v>
      </c>
      <c r="D158" s="5" t="s">
        <v>19</v>
      </c>
      <c r="E158" s="5" t="s">
        <v>71</v>
      </c>
      <c r="F158" s="5" t="s">
        <v>14</v>
      </c>
      <c r="G158" s="5" t="e" vm="11">
        <v>#VALUE!</v>
      </c>
      <c r="H158" s="5">
        <v>17.55</v>
      </c>
      <c r="I158" s="5" t="s">
        <v>18</v>
      </c>
      <c r="J158" s="5"/>
      <c r="K158" s="11">
        <v>43300</v>
      </c>
      <c r="M158" s="5" t="s">
        <v>125</v>
      </c>
      <c r="N158" s="5" t="s">
        <v>73</v>
      </c>
      <c r="O158" s="5" t="s">
        <v>237</v>
      </c>
      <c r="P158" s="5">
        <v>30</v>
      </c>
      <c r="Q158" s="5" t="s">
        <v>143</v>
      </c>
      <c r="R158" s="5"/>
      <c r="S158" s="5" t="s">
        <v>828</v>
      </c>
      <c r="T158" s="20" t="s">
        <v>829</v>
      </c>
      <c r="U158" s="5" t="s">
        <v>830</v>
      </c>
      <c r="V158" s="20" t="s">
        <v>831</v>
      </c>
      <c r="W158" s="5" t="s">
        <v>109</v>
      </c>
      <c r="X158" s="5" t="s">
        <v>81</v>
      </c>
      <c r="Y158" s="5"/>
      <c r="Z158" s="5"/>
    </row>
    <row r="159" spans="1:26" x14ac:dyDescent="0.3">
      <c r="A159" s="5" t="s">
        <v>832</v>
      </c>
      <c r="B159" s="15" t="s">
        <v>833</v>
      </c>
      <c r="C159" s="25">
        <v>45546</v>
      </c>
      <c r="D159" s="5" t="s">
        <v>19</v>
      </c>
      <c r="E159" s="5" t="s">
        <v>71</v>
      </c>
      <c r="F159" s="5" t="s">
        <v>14</v>
      </c>
      <c r="G159" s="5" t="e" vm="11">
        <v>#VALUE!</v>
      </c>
      <c r="H159" s="5">
        <v>9.36</v>
      </c>
      <c r="I159" s="5" t="s">
        <v>18</v>
      </c>
      <c r="J159" s="5"/>
      <c r="K159" s="11">
        <v>30000</v>
      </c>
      <c r="M159" s="5" t="s">
        <v>834</v>
      </c>
      <c r="N159" s="5" t="s">
        <v>73</v>
      </c>
      <c r="O159" s="5" t="s">
        <v>237</v>
      </c>
      <c r="P159" s="5">
        <v>16</v>
      </c>
      <c r="Q159" s="14" t="s">
        <v>364</v>
      </c>
      <c r="R159" s="14"/>
      <c r="S159" s="5" t="s">
        <v>835</v>
      </c>
      <c r="T159" s="20" t="s">
        <v>836</v>
      </c>
      <c r="U159" s="5" t="s">
        <v>837</v>
      </c>
      <c r="V159" s="20" t="s">
        <v>838</v>
      </c>
      <c r="W159" s="5" t="s">
        <v>122</v>
      </c>
      <c r="X159" s="5" t="s">
        <v>81</v>
      </c>
      <c r="Y159" s="5"/>
      <c r="Z159" s="5"/>
    </row>
    <row r="160" spans="1:26" x14ac:dyDescent="0.3">
      <c r="A160" s="5">
        <v>2409452</v>
      </c>
      <c r="B160" s="15" t="s">
        <v>839</v>
      </c>
      <c r="C160" s="25">
        <v>45556</v>
      </c>
      <c r="D160" s="5" t="s">
        <v>19</v>
      </c>
      <c r="E160" s="5" t="s">
        <v>71</v>
      </c>
      <c r="F160" s="5" t="s">
        <v>14</v>
      </c>
      <c r="G160" s="5" t="e" vm="11">
        <v>#VALUE!</v>
      </c>
      <c r="H160" s="5">
        <v>10.53</v>
      </c>
      <c r="I160" s="5" t="s">
        <v>18</v>
      </c>
      <c r="J160" s="5"/>
      <c r="K160" s="11">
        <v>29700</v>
      </c>
      <c r="M160" s="5" t="s">
        <v>125</v>
      </c>
      <c r="N160" s="5" t="s">
        <v>73</v>
      </c>
      <c r="O160" s="5" t="s">
        <v>237</v>
      </c>
      <c r="P160" s="5">
        <v>18</v>
      </c>
      <c r="Q160" s="14" t="s">
        <v>364</v>
      </c>
      <c r="R160" s="14"/>
      <c r="S160" s="5" t="s">
        <v>840</v>
      </c>
      <c r="T160" s="20" t="s">
        <v>841</v>
      </c>
      <c r="U160" s="5" t="s">
        <v>842</v>
      </c>
      <c r="V160" s="21" t="s">
        <v>843</v>
      </c>
      <c r="W160" s="5" t="s">
        <v>122</v>
      </c>
      <c r="X160" s="5" t="s">
        <v>81</v>
      </c>
      <c r="Y160" s="5"/>
      <c r="Z160" s="5"/>
    </row>
    <row r="161" spans="1:26" x14ac:dyDescent="0.3">
      <c r="A161" s="5">
        <v>2409449</v>
      </c>
      <c r="B161" s="15" t="s">
        <v>844</v>
      </c>
      <c r="C161" s="25">
        <v>45561</v>
      </c>
      <c r="D161" s="5" t="s">
        <v>17</v>
      </c>
      <c r="E161" s="5" t="s">
        <v>71</v>
      </c>
      <c r="F161" s="5" t="s">
        <v>14</v>
      </c>
      <c r="G161" s="5" t="e" vm="12">
        <v>#VALUE!</v>
      </c>
      <c r="H161" s="5">
        <v>7.02</v>
      </c>
      <c r="I161" s="5" t="s">
        <v>18</v>
      </c>
      <c r="J161" s="5"/>
      <c r="K161" s="11">
        <v>24908</v>
      </c>
      <c r="M161" s="5" t="s">
        <v>176</v>
      </c>
      <c r="N161" s="5" t="s">
        <v>73</v>
      </c>
      <c r="O161" s="5" t="s">
        <v>237</v>
      </c>
      <c r="P161" s="5">
        <v>12</v>
      </c>
      <c r="Q161" s="5" t="s">
        <v>286</v>
      </c>
      <c r="R161" s="5"/>
      <c r="S161" s="5" t="s">
        <v>845</v>
      </c>
      <c r="T161" s="20" t="s">
        <v>846</v>
      </c>
      <c r="U161" s="5" t="s">
        <v>847</v>
      </c>
      <c r="V161" s="21" t="s">
        <v>848</v>
      </c>
      <c r="W161" s="5" t="s">
        <v>122</v>
      </c>
      <c r="X161" s="5" t="s">
        <v>81</v>
      </c>
      <c r="Y161" s="5"/>
      <c r="Z161" s="5"/>
    </row>
    <row r="162" spans="1:26" x14ac:dyDescent="0.3">
      <c r="A162" s="5" t="s">
        <v>849</v>
      </c>
      <c r="B162" s="15" t="s">
        <v>850</v>
      </c>
      <c r="C162" s="25">
        <v>45556</v>
      </c>
      <c r="D162" s="5" t="s">
        <v>17</v>
      </c>
      <c r="E162" s="5" t="s">
        <v>71</v>
      </c>
      <c r="F162" s="5" t="s">
        <v>14</v>
      </c>
      <c r="G162" s="5" t="e" vm="5">
        <v>#VALUE!</v>
      </c>
      <c r="H162" s="5">
        <v>11.7</v>
      </c>
      <c r="I162" s="5" t="s">
        <v>18</v>
      </c>
      <c r="J162" s="5"/>
      <c r="K162" s="11">
        <v>34600</v>
      </c>
      <c r="M162" s="5"/>
      <c r="N162" s="5" t="s">
        <v>73</v>
      </c>
      <c r="O162" s="5" t="s">
        <v>237</v>
      </c>
      <c r="P162" s="5">
        <v>20</v>
      </c>
      <c r="Q162" s="14" t="s">
        <v>111</v>
      </c>
      <c r="R162" s="14"/>
      <c r="S162" s="5" t="s">
        <v>851</v>
      </c>
      <c r="T162" s="20" t="s">
        <v>852</v>
      </c>
      <c r="U162" s="5" t="s">
        <v>853</v>
      </c>
      <c r="V162" s="21" t="s">
        <v>854</v>
      </c>
      <c r="W162" s="5" t="s">
        <v>122</v>
      </c>
      <c r="X162" s="5" t="s">
        <v>81</v>
      </c>
      <c r="Y162" s="5"/>
      <c r="Z162" s="5"/>
    </row>
    <row r="163" spans="1:26" x14ac:dyDescent="0.3">
      <c r="A163" s="5">
        <v>2406343</v>
      </c>
      <c r="B163" s="15" t="s">
        <v>855</v>
      </c>
      <c r="C163" s="25">
        <v>45562</v>
      </c>
      <c r="D163" s="5" t="s">
        <v>17</v>
      </c>
      <c r="E163" s="5" t="s">
        <v>71</v>
      </c>
      <c r="F163" s="5" t="s">
        <v>14</v>
      </c>
      <c r="G163" s="5" t="e" vm="6">
        <v>#VALUE!</v>
      </c>
      <c r="H163" s="5">
        <v>9.36</v>
      </c>
      <c r="I163" s="5" t="s">
        <v>18</v>
      </c>
      <c r="J163" s="5"/>
      <c r="K163" s="11">
        <v>30000</v>
      </c>
      <c r="M163" s="5"/>
      <c r="N163" s="5" t="s">
        <v>73</v>
      </c>
      <c r="O163" s="5" t="s">
        <v>237</v>
      </c>
      <c r="P163" s="5">
        <v>16</v>
      </c>
      <c r="Q163" s="14" t="s">
        <v>364</v>
      </c>
      <c r="R163" s="14"/>
      <c r="S163" s="5" t="s">
        <v>856</v>
      </c>
      <c r="T163" s="20" t="s">
        <v>857</v>
      </c>
      <c r="U163" s="5" t="s">
        <v>858</v>
      </c>
      <c r="V163" s="21" t="s">
        <v>859</v>
      </c>
      <c r="W163" s="5" t="s">
        <v>122</v>
      </c>
      <c r="X163" s="5" t="s">
        <v>81</v>
      </c>
      <c r="Y163" s="5"/>
      <c r="Z163" s="5"/>
    </row>
    <row r="164" spans="1:26" x14ac:dyDescent="0.3">
      <c r="A164" s="5">
        <v>2409455</v>
      </c>
      <c r="B164" s="15" t="s">
        <v>860</v>
      </c>
      <c r="C164" s="25">
        <v>45538</v>
      </c>
      <c r="D164" s="5" t="s">
        <v>17</v>
      </c>
      <c r="E164" s="5" t="s">
        <v>71</v>
      </c>
      <c r="F164" s="5" t="s">
        <v>14</v>
      </c>
      <c r="G164" s="5" t="e" vm="11">
        <v>#VALUE!</v>
      </c>
      <c r="H164" s="5">
        <v>7.02</v>
      </c>
      <c r="I164" s="5" t="s">
        <v>18</v>
      </c>
      <c r="J164" s="5"/>
      <c r="K164" s="11">
        <v>22800</v>
      </c>
      <c r="M164" s="5" t="s">
        <v>125</v>
      </c>
      <c r="N164" s="5" t="s">
        <v>73</v>
      </c>
      <c r="O164" s="5" t="s">
        <v>237</v>
      </c>
      <c r="P164" s="5">
        <v>12</v>
      </c>
      <c r="Q164" s="5" t="s">
        <v>286</v>
      </c>
      <c r="R164" s="5"/>
      <c r="S164" s="5" t="s">
        <v>861</v>
      </c>
      <c r="T164" s="20" t="s">
        <v>862</v>
      </c>
      <c r="U164" s="5" t="s">
        <v>863</v>
      </c>
      <c r="V164" s="21" t="s">
        <v>864</v>
      </c>
      <c r="W164" s="5" t="s">
        <v>109</v>
      </c>
      <c r="X164" s="5" t="s">
        <v>81</v>
      </c>
      <c r="Y164" s="5"/>
      <c r="Z164" s="5"/>
    </row>
    <row r="165" spans="1:26" x14ac:dyDescent="0.3">
      <c r="A165" s="5">
        <v>2410064</v>
      </c>
      <c r="B165" s="15" t="s">
        <v>865</v>
      </c>
      <c r="C165" s="25">
        <v>45573</v>
      </c>
      <c r="D165" s="5" t="s">
        <v>17</v>
      </c>
      <c r="E165" s="5" t="s">
        <v>71</v>
      </c>
      <c r="F165" s="5" t="s">
        <v>14</v>
      </c>
      <c r="G165" s="5" t="e" vm="5">
        <v>#VALUE!</v>
      </c>
      <c r="H165" s="5">
        <v>7.6050000000000004</v>
      </c>
      <c r="I165" s="5" t="s">
        <v>18</v>
      </c>
      <c r="J165" s="5"/>
      <c r="K165" s="11">
        <v>23940</v>
      </c>
      <c r="M165" s="5" t="s">
        <v>125</v>
      </c>
      <c r="N165" s="5" t="s">
        <v>73</v>
      </c>
      <c r="O165" s="5" t="s">
        <v>237</v>
      </c>
      <c r="P165" s="5">
        <v>13</v>
      </c>
      <c r="Q165" s="5" t="s">
        <v>309</v>
      </c>
      <c r="R165" s="5"/>
      <c r="S165" s="5" t="s">
        <v>866</v>
      </c>
      <c r="T165" s="20" t="s">
        <v>867</v>
      </c>
      <c r="U165" s="5" t="s">
        <v>868</v>
      </c>
      <c r="V165" s="21" t="s">
        <v>869</v>
      </c>
      <c r="W165" s="5" t="s">
        <v>122</v>
      </c>
      <c r="X165" s="5" t="s">
        <v>81</v>
      </c>
      <c r="Y165" s="5"/>
      <c r="Z165" s="5"/>
    </row>
    <row r="166" spans="1:26" x14ac:dyDescent="0.3">
      <c r="A166" s="5">
        <v>2405305</v>
      </c>
      <c r="B166" s="15" t="s">
        <v>870</v>
      </c>
      <c r="C166" s="25">
        <v>45583</v>
      </c>
      <c r="D166" s="5" t="s">
        <v>17</v>
      </c>
      <c r="E166" s="5" t="s">
        <v>71</v>
      </c>
      <c r="F166" s="5" t="s">
        <v>14</v>
      </c>
      <c r="G166" s="5" t="e" vm="5">
        <v>#VALUE!</v>
      </c>
      <c r="H166" s="5">
        <v>10.53</v>
      </c>
      <c r="I166" s="5" t="s">
        <v>18</v>
      </c>
      <c r="J166" s="5"/>
      <c r="K166" s="11">
        <v>32000</v>
      </c>
      <c r="M166" s="5" t="s">
        <v>125</v>
      </c>
      <c r="N166" s="5" t="s">
        <v>73</v>
      </c>
      <c r="O166" s="5" t="s">
        <v>237</v>
      </c>
      <c r="P166" s="5">
        <v>18</v>
      </c>
      <c r="Q166" s="5" t="s">
        <v>364</v>
      </c>
      <c r="R166" s="5"/>
      <c r="S166" s="5" t="s">
        <v>871</v>
      </c>
      <c r="T166" s="20" t="s">
        <v>872</v>
      </c>
      <c r="U166" s="5" t="s">
        <v>873</v>
      </c>
      <c r="V166" s="21" t="s">
        <v>874</v>
      </c>
      <c r="W166" s="5" t="s">
        <v>122</v>
      </c>
      <c r="X166" s="5" t="s">
        <v>81</v>
      </c>
      <c r="Y166" s="5"/>
      <c r="Z166" s="5"/>
    </row>
    <row r="167" spans="1:26" x14ac:dyDescent="0.3">
      <c r="A167" s="5">
        <v>2409456</v>
      </c>
      <c r="B167" s="15" t="s">
        <v>875</v>
      </c>
      <c r="C167" s="25">
        <v>45586</v>
      </c>
      <c r="D167" s="5" t="s">
        <v>17</v>
      </c>
      <c r="E167" s="5" t="s">
        <v>71</v>
      </c>
      <c r="F167" s="5" t="s">
        <v>14</v>
      </c>
      <c r="G167" s="5" t="e" vm="8">
        <v>#VALUE!</v>
      </c>
      <c r="H167" s="5">
        <v>11.115</v>
      </c>
      <c r="I167" s="5" t="s">
        <v>18</v>
      </c>
      <c r="J167" s="5"/>
      <c r="K167" s="11">
        <v>30000</v>
      </c>
      <c r="M167" s="5" t="s">
        <v>125</v>
      </c>
      <c r="N167" s="5" t="s">
        <v>73</v>
      </c>
      <c r="O167" s="5" t="s">
        <v>237</v>
      </c>
      <c r="P167" s="5">
        <v>19</v>
      </c>
      <c r="Q167" s="5" t="s">
        <v>111</v>
      </c>
      <c r="R167" s="5"/>
      <c r="S167" s="5" t="s">
        <v>876</v>
      </c>
      <c r="T167" s="20" t="s">
        <v>877</v>
      </c>
      <c r="U167" s="5" t="s">
        <v>878</v>
      </c>
      <c r="V167" s="21" t="s">
        <v>879</v>
      </c>
      <c r="W167" s="5" t="s">
        <v>122</v>
      </c>
      <c r="X167" s="5" t="s">
        <v>81</v>
      </c>
      <c r="Y167" s="5"/>
      <c r="Z167" s="5"/>
    </row>
    <row r="168" spans="1:26" x14ac:dyDescent="0.3">
      <c r="A168" s="5">
        <v>2410461</v>
      </c>
      <c r="B168" s="15" t="s">
        <v>880</v>
      </c>
      <c r="C168" s="25">
        <v>45586</v>
      </c>
      <c r="D168" s="5" t="s">
        <v>17</v>
      </c>
      <c r="E168" s="5" t="s">
        <v>71</v>
      </c>
      <c r="F168" s="5" t="s">
        <v>14</v>
      </c>
      <c r="G168" s="5" t="e" vm="8">
        <v>#VALUE!</v>
      </c>
      <c r="H168" s="5">
        <v>7.02</v>
      </c>
      <c r="I168" s="5" t="s">
        <v>18</v>
      </c>
      <c r="J168" s="5"/>
      <c r="K168" s="11">
        <v>23500</v>
      </c>
      <c r="M168" s="5" t="s">
        <v>125</v>
      </c>
      <c r="N168" s="5" t="s">
        <v>73</v>
      </c>
      <c r="O168" s="5" t="s">
        <v>237</v>
      </c>
      <c r="P168" s="5">
        <v>12</v>
      </c>
      <c r="Q168" s="5" t="s">
        <v>286</v>
      </c>
      <c r="R168" s="5"/>
      <c r="S168" s="5" t="s">
        <v>881</v>
      </c>
      <c r="T168" s="20" t="s">
        <v>882</v>
      </c>
      <c r="U168" s="5" t="s">
        <v>883</v>
      </c>
      <c r="V168" s="21" t="s">
        <v>879</v>
      </c>
      <c r="W168" s="5" t="s">
        <v>122</v>
      </c>
      <c r="X168" s="5" t="s">
        <v>81</v>
      </c>
      <c r="Y168" s="5"/>
      <c r="Z168" s="5"/>
    </row>
    <row r="169" spans="1:26" x14ac:dyDescent="0.3">
      <c r="A169" s="5">
        <v>2409029</v>
      </c>
      <c r="B169" s="15" t="s">
        <v>884</v>
      </c>
      <c r="C169" s="25">
        <v>45580</v>
      </c>
      <c r="D169" s="5" t="s">
        <v>20</v>
      </c>
      <c r="E169" s="5" t="s">
        <v>206</v>
      </c>
      <c r="F169" s="5" t="s">
        <v>18</v>
      </c>
      <c r="G169" s="5" t="e" vm="11">
        <v>#VALUE!</v>
      </c>
      <c r="H169" s="5">
        <v>0</v>
      </c>
      <c r="I169" s="5">
        <v>22</v>
      </c>
      <c r="J169" s="5"/>
      <c r="K169" s="11">
        <v>2643</v>
      </c>
      <c r="M169" s="5" t="s">
        <v>125</v>
      </c>
      <c r="N169" s="5" t="s">
        <v>73</v>
      </c>
      <c r="O169" s="5" t="s">
        <v>18</v>
      </c>
      <c r="P169" s="5" t="s">
        <v>18</v>
      </c>
      <c r="Q169" s="5" t="s">
        <v>18</v>
      </c>
      <c r="R169" s="5"/>
      <c r="S169" s="5" t="s">
        <v>18</v>
      </c>
      <c r="T169" s="20" t="s">
        <v>885</v>
      </c>
      <c r="U169" s="5" t="s">
        <v>18</v>
      </c>
      <c r="V169" s="5" t="s">
        <v>18</v>
      </c>
      <c r="W169" s="5" t="s">
        <v>109</v>
      </c>
      <c r="X169" s="5" t="s">
        <v>81</v>
      </c>
      <c r="Y169" s="5"/>
      <c r="Z169" s="5"/>
    </row>
    <row r="170" spans="1:26" x14ac:dyDescent="0.3">
      <c r="A170" s="5">
        <v>2410032</v>
      </c>
      <c r="B170" s="15" t="s">
        <v>886</v>
      </c>
      <c r="C170" s="25">
        <v>45589</v>
      </c>
      <c r="D170" s="5" t="s">
        <v>20</v>
      </c>
      <c r="E170" s="5" t="s">
        <v>206</v>
      </c>
      <c r="F170" s="5" t="s">
        <v>18</v>
      </c>
      <c r="G170" s="5" t="e" vm="12">
        <v>#VALUE!</v>
      </c>
      <c r="H170" s="5">
        <v>0</v>
      </c>
      <c r="I170" s="5">
        <v>120</v>
      </c>
      <c r="J170" s="5"/>
      <c r="K170" s="11">
        <v>38470</v>
      </c>
      <c r="M170" s="5" t="s">
        <v>125</v>
      </c>
      <c r="N170" s="5" t="s">
        <v>73</v>
      </c>
      <c r="O170" s="5" t="s">
        <v>18</v>
      </c>
      <c r="P170" s="5" t="s">
        <v>18</v>
      </c>
      <c r="Q170" s="5" t="s">
        <v>18</v>
      </c>
      <c r="R170" s="5"/>
      <c r="S170" s="5" t="s">
        <v>18</v>
      </c>
      <c r="T170" s="20" t="s">
        <v>887</v>
      </c>
      <c r="U170" s="5" t="s">
        <v>18</v>
      </c>
      <c r="V170" s="5" t="s">
        <v>18</v>
      </c>
      <c r="W170" s="5" t="s">
        <v>109</v>
      </c>
      <c r="X170" s="5" t="s">
        <v>81</v>
      </c>
      <c r="Y170" s="5"/>
      <c r="Z170" s="5"/>
    </row>
    <row r="171" spans="1:26" x14ac:dyDescent="0.3">
      <c r="A171" s="5" t="s">
        <v>888</v>
      </c>
      <c r="B171" s="20" t="s">
        <v>889</v>
      </c>
      <c r="C171" s="25">
        <v>45552</v>
      </c>
      <c r="D171" s="5" t="s">
        <v>17</v>
      </c>
      <c r="E171" s="5" t="s">
        <v>124</v>
      </c>
      <c r="F171" s="5" t="s">
        <v>14</v>
      </c>
      <c r="G171" s="5" t="e" vm="5">
        <v>#VALUE!</v>
      </c>
      <c r="H171" s="5">
        <v>109.395</v>
      </c>
      <c r="I171" s="5" t="s">
        <v>18</v>
      </c>
      <c r="J171" s="5"/>
      <c r="K171" s="11">
        <v>233000</v>
      </c>
      <c r="M171" s="5" t="s">
        <v>125</v>
      </c>
      <c r="N171" s="5" t="s">
        <v>73</v>
      </c>
      <c r="O171" s="5" t="s">
        <v>890</v>
      </c>
      <c r="P171" s="5">
        <v>187</v>
      </c>
      <c r="Q171" s="5" t="s">
        <v>891</v>
      </c>
      <c r="R171" s="5"/>
      <c r="S171" s="5" t="s">
        <v>18</v>
      </c>
      <c r="T171" s="20" t="s">
        <v>892</v>
      </c>
      <c r="W171" s="5" t="s">
        <v>122</v>
      </c>
      <c r="X171" s="5" t="s">
        <v>81</v>
      </c>
      <c r="Y171" s="5"/>
      <c r="Z171" s="5"/>
    </row>
    <row r="172" spans="1:26" x14ac:dyDescent="0.3">
      <c r="A172" s="5" t="s">
        <v>893</v>
      </c>
      <c r="B172" s="20" t="s">
        <v>894</v>
      </c>
      <c r="C172" s="25">
        <v>45553</v>
      </c>
      <c r="D172" s="5" t="s">
        <v>17</v>
      </c>
      <c r="E172" s="5" t="s">
        <v>124</v>
      </c>
      <c r="F172" s="5" t="s">
        <v>14</v>
      </c>
      <c r="G172" s="5" t="e" vm="5">
        <v>#VALUE!</v>
      </c>
      <c r="H172" s="5">
        <v>26.91</v>
      </c>
      <c r="I172" s="5" t="s">
        <v>18</v>
      </c>
      <c r="J172" s="5"/>
      <c r="K172" s="11">
        <v>71000</v>
      </c>
      <c r="M172" s="5" t="s">
        <v>125</v>
      </c>
      <c r="N172" s="5" t="s">
        <v>73</v>
      </c>
      <c r="O172" s="5" t="s">
        <v>890</v>
      </c>
      <c r="P172" s="5">
        <v>46</v>
      </c>
      <c r="Q172" s="5" t="s">
        <v>341</v>
      </c>
      <c r="R172" s="5"/>
      <c r="S172" s="5" t="s">
        <v>18</v>
      </c>
      <c r="T172" s="20" t="s">
        <v>895</v>
      </c>
      <c r="W172" s="5" t="s">
        <v>122</v>
      </c>
      <c r="X172" s="5" t="s">
        <v>81</v>
      </c>
      <c r="Y172" s="5"/>
      <c r="Z172" s="5"/>
    </row>
    <row r="173" spans="1:26" x14ac:dyDescent="0.3">
      <c r="A173" s="5" t="s">
        <v>896</v>
      </c>
      <c r="B173" s="20" t="s">
        <v>897</v>
      </c>
      <c r="C173" s="25">
        <v>45554</v>
      </c>
      <c r="D173" s="5" t="s">
        <v>17</v>
      </c>
      <c r="E173" s="5" t="s">
        <v>124</v>
      </c>
      <c r="F173" s="5" t="s">
        <v>14</v>
      </c>
      <c r="G173" s="5" t="e" vm="5">
        <v>#VALUE!</v>
      </c>
      <c r="H173" s="5">
        <v>67.275000000000006</v>
      </c>
      <c r="I173" s="5" t="s">
        <v>18</v>
      </c>
      <c r="J173" s="5"/>
      <c r="K173" s="11">
        <v>136000</v>
      </c>
      <c r="M173" s="5" t="s">
        <v>125</v>
      </c>
      <c r="N173" s="5" t="s">
        <v>73</v>
      </c>
      <c r="O173" s="5" t="s">
        <v>890</v>
      </c>
      <c r="P173" s="5">
        <v>115</v>
      </c>
      <c r="Q173" s="5" t="s">
        <v>898</v>
      </c>
      <c r="R173" s="5"/>
      <c r="S173" s="5" t="s">
        <v>18</v>
      </c>
      <c r="T173" s="20" t="s">
        <v>899</v>
      </c>
      <c r="W173" s="5" t="s">
        <v>122</v>
      </c>
      <c r="X173" s="5" t="s">
        <v>81</v>
      </c>
      <c r="Y173" s="5"/>
      <c r="Z173" s="5"/>
    </row>
    <row r="174" spans="1:26" x14ac:dyDescent="0.3">
      <c r="A174" s="5">
        <v>2408174</v>
      </c>
      <c r="B174" s="20" t="s">
        <v>900</v>
      </c>
      <c r="C174" s="25">
        <v>45583</v>
      </c>
      <c r="D174" s="5" t="s">
        <v>17</v>
      </c>
      <c r="E174" s="5" t="s">
        <v>124</v>
      </c>
      <c r="F174" s="5" t="s">
        <v>14</v>
      </c>
      <c r="G174" s="5" t="e" vm="8">
        <v>#VALUE!</v>
      </c>
      <c r="H174" s="5">
        <v>120.95</v>
      </c>
      <c r="I174" s="5" t="s">
        <v>18</v>
      </c>
      <c r="J174" s="5"/>
      <c r="K174" s="11">
        <v>269900</v>
      </c>
      <c r="M174" s="5" t="s">
        <v>125</v>
      </c>
      <c r="N174" s="5" t="s">
        <v>73</v>
      </c>
      <c r="O174" s="5" t="s">
        <v>243</v>
      </c>
      <c r="P174" s="5">
        <v>205</v>
      </c>
      <c r="Q174" s="5" t="s">
        <v>901</v>
      </c>
      <c r="R174" s="5"/>
      <c r="S174" s="5" t="s">
        <v>18</v>
      </c>
      <c r="W174" s="5" t="s">
        <v>122</v>
      </c>
      <c r="X174" s="5" t="s">
        <v>81</v>
      </c>
      <c r="Y174" s="5"/>
      <c r="Z174" s="5"/>
    </row>
    <row r="175" spans="1:26" x14ac:dyDescent="0.3">
      <c r="A175" s="5">
        <v>2408179</v>
      </c>
      <c r="B175" s="20" t="s">
        <v>902</v>
      </c>
      <c r="C175" s="25">
        <v>45562</v>
      </c>
      <c r="D175" s="5" t="s">
        <v>17</v>
      </c>
      <c r="E175" s="5" t="s">
        <v>124</v>
      </c>
      <c r="F175" s="5" t="s">
        <v>14</v>
      </c>
      <c r="G175" s="5" t="e" vm="5">
        <v>#VALUE!</v>
      </c>
      <c r="H175" s="5">
        <v>107.64</v>
      </c>
      <c r="I175" s="5" t="s">
        <v>18</v>
      </c>
      <c r="J175" s="5"/>
      <c r="K175" s="11">
        <v>320000</v>
      </c>
      <c r="M175" s="5" t="s">
        <v>125</v>
      </c>
      <c r="N175" s="5" t="s">
        <v>73</v>
      </c>
      <c r="O175" s="5" t="s">
        <v>237</v>
      </c>
      <c r="P175" s="5">
        <v>184</v>
      </c>
      <c r="Q175" s="5" t="s">
        <v>903</v>
      </c>
      <c r="R175" s="5"/>
      <c r="S175" s="5" t="s">
        <v>18</v>
      </c>
      <c r="T175" s="20" t="s">
        <v>904</v>
      </c>
      <c r="W175" s="5" t="s">
        <v>122</v>
      </c>
      <c r="X175" s="5" t="s">
        <v>81</v>
      </c>
      <c r="Y175" s="5"/>
      <c r="Z175" s="5" t="s">
        <v>905</v>
      </c>
    </row>
    <row r="176" spans="1:26" x14ac:dyDescent="0.3">
      <c r="A176" s="5">
        <v>2409185</v>
      </c>
      <c r="B176" s="20" t="s">
        <v>906</v>
      </c>
      <c r="C176" s="25">
        <v>45565</v>
      </c>
      <c r="D176" s="5" t="s">
        <v>17</v>
      </c>
      <c r="E176" s="5" t="s">
        <v>124</v>
      </c>
      <c r="F176" s="5" t="s">
        <v>14</v>
      </c>
      <c r="G176" s="5" t="e" vm="5">
        <v>#VALUE!</v>
      </c>
      <c r="H176" s="5">
        <v>26.55</v>
      </c>
      <c r="I176" s="5" t="s">
        <v>18</v>
      </c>
      <c r="J176" s="5"/>
      <c r="K176" s="11">
        <v>73000</v>
      </c>
      <c r="M176" s="5" t="s">
        <v>125</v>
      </c>
      <c r="N176" s="5" t="s">
        <v>73</v>
      </c>
      <c r="O176" s="5" t="s">
        <v>243</v>
      </c>
      <c r="P176" s="5">
        <v>45</v>
      </c>
      <c r="Q176" s="5" t="s">
        <v>341</v>
      </c>
      <c r="R176" s="5"/>
      <c r="S176" s="5" t="s">
        <v>18</v>
      </c>
      <c r="T176" s="20" t="s">
        <v>907</v>
      </c>
      <c r="W176" s="5" t="s">
        <v>122</v>
      </c>
      <c r="X176" s="5" t="s">
        <v>81</v>
      </c>
      <c r="Y176" s="5"/>
      <c r="Z176" s="5" t="s">
        <v>269</v>
      </c>
    </row>
    <row r="177" spans="1:26" x14ac:dyDescent="0.3">
      <c r="A177" s="5">
        <v>2410196</v>
      </c>
      <c r="B177" s="20" t="s">
        <v>908</v>
      </c>
      <c r="C177" s="25">
        <v>45589</v>
      </c>
      <c r="D177" s="5" t="s">
        <v>17</v>
      </c>
      <c r="E177" s="5" t="s">
        <v>124</v>
      </c>
      <c r="F177" s="5" t="s">
        <v>14</v>
      </c>
      <c r="G177" s="5" t="e" vm="5">
        <v>#VALUE!</v>
      </c>
      <c r="H177" s="5">
        <v>26.55</v>
      </c>
      <c r="I177" s="5" t="s">
        <v>18</v>
      </c>
      <c r="J177" s="5"/>
      <c r="K177" s="11">
        <v>73000</v>
      </c>
      <c r="M177" s="5" t="s">
        <v>125</v>
      </c>
      <c r="N177" s="5" t="s">
        <v>73</v>
      </c>
      <c r="O177" s="5" t="s">
        <v>243</v>
      </c>
      <c r="P177" s="5">
        <v>45</v>
      </c>
      <c r="Q177" s="5" t="s">
        <v>341</v>
      </c>
      <c r="R177" s="5"/>
      <c r="T177" s="20" t="s">
        <v>909</v>
      </c>
      <c r="W177" s="5" t="s">
        <v>122</v>
      </c>
      <c r="X177" s="5" t="s">
        <v>81</v>
      </c>
      <c r="Y177" s="5"/>
      <c r="Z177" s="5" t="s">
        <v>269</v>
      </c>
    </row>
    <row r="178" spans="1:26" x14ac:dyDescent="0.3">
      <c r="A178" s="5">
        <v>2410474</v>
      </c>
      <c r="B178" s="20" t="s">
        <v>910</v>
      </c>
      <c r="C178" s="25">
        <v>45597</v>
      </c>
      <c r="D178" s="5" t="s">
        <v>17</v>
      </c>
      <c r="E178" s="5" t="s">
        <v>71</v>
      </c>
      <c r="F178" s="5" t="s">
        <v>14</v>
      </c>
      <c r="G178" s="5" t="e" vm="5">
        <v>#VALUE!</v>
      </c>
      <c r="H178" s="5">
        <v>14.04</v>
      </c>
      <c r="I178" s="5" t="s">
        <v>18</v>
      </c>
      <c r="J178" s="5"/>
      <c r="K178" s="11">
        <v>37600</v>
      </c>
      <c r="M178" s="5" t="s">
        <v>125</v>
      </c>
      <c r="N178" s="5" t="s">
        <v>73</v>
      </c>
      <c r="O178" s="5" t="s">
        <v>237</v>
      </c>
      <c r="P178" s="5">
        <v>24</v>
      </c>
      <c r="Q178" s="5" t="s">
        <v>143</v>
      </c>
      <c r="R178" s="5"/>
      <c r="S178" s="5" t="s">
        <v>911</v>
      </c>
      <c r="T178" s="20" t="s">
        <v>912</v>
      </c>
      <c r="U178" s="5" t="s">
        <v>913</v>
      </c>
      <c r="V178" s="20" t="s">
        <v>914</v>
      </c>
      <c r="W178" s="5" t="s">
        <v>122</v>
      </c>
      <c r="X178" s="5" t="s">
        <v>81</v>
      </c>
      <c r="Y178" s="5"/>
      <c r="Z178" s="5" t="s">
        <v>269</v>
      </c>
    </row>
    <row r="179" spans="1:26" x14ac:dyDescent="0.3">
      <c r="A179" s="5">
        <v>2410468</v>
      </c>
      <c r="B179" s="20" t="s">
        <v>915</v>
      </c>
      <c r="C179" s="25">
        <v>45590</v>
      </c>
      <c r="D179" s="5" t="s">
        <v>17</v>
      </c>
      <c r="E179" s="5" t="s">
        <v>71</v>
      </c>
      <c r="F179" s="5" t="s">
        <v>14</v>
      </c>
      <c r="G179" s="5" t="e" vm="12">
        <v>#VALUE!</v>
      </c>
      <c r="H179" s="5">
        <v>11.7</v>
      </c>
      <c r="I179" s="5" t="s">
        <v>18</v>
      </c>
      <c r="J179" s="5"/>
      <c r="K179" s="11">
        <v>36600</v>
      </c>
      <c r="M179" s="5" t="s">
        <v>125</v>
      </c>
      <c r="N179" s="5" t="s">
        <v>73</v>
      </c>
      <c r="O179" s="5" t="s">
        <v>237</v>
      </c>
      <c r="P179" s="5">
        <v>20</v>
      </c>
      <c r="Q179" s="5" t="s">
        <v>111</v>
      </c>
      <c r="R179" s="5"/>
      <c r="S179" s="5" t="s">
        <v>916</v>
      </c>
      <c r="T179" s="20" t="s">
        <v>917</v>
      </c>
      <c r="U179" s="5" t="s">
        <v>918</v>
      </c>
      <c r="V179" s="21" t="s">
        <v>919</v>
      </c>
      <c r="W179" s="5" t="s">
        <v>122</v>
      </c>
      <c r="X179" s="5" t="s">
        <v>81</v>
      </c>
      <c r="Y179" s="5"/>
      <c r="Z179" s="5" t="s">
        <v>269</v>
      </c>
    </row>
    <row r="180" spans="1:26" x14ac:dyDescent="0.3">
      <c r="A180" s="5">
        <v>2409450</v>
      </c>
      <c r="B180" s="20" t="s">
        <v>920</v>
      </c>
      <c r="C180" s="25">
        <v>45591</v>
      </c>
      <c r="D180" s="5" t="s">
        <v>17</v>
      </c>
      <c r="E180" s="5" t="s">
        <v>71</v>
      </c>
      <c r="F180" s="5" t="s">
        <v>14</v>
      </c>
      <c r="G180" s="5" t="e" vm="5">
        <v>#VALUE!</v>
      </c>
      <c r="H180" s="5">
        <v>7.02</v>
      </c>
      <c r="I180" s="5" t="s">
        <v>18</v>
      </c>
      <c r="J180" s="5"/>
      <c r="K180" s="11">
        <v>23500</v>
      </c>
      <c r="M180" s="5" t="s">
        <v>125</v>
      </c>
      <c r="N180" s="5" t="s">
        <v>73</v>
      </c>
      <c r="O180" s="5" t="s">
        <v>237</v>
      </c>
      <c r="P180" s="5">
        <v>12</v>
      </c>
      <c r="Q180" s="5" t="s">
        <v>286</v>
      </c>
      <c r="R180" s="5"/>
      <c r="S180" s="5" t="s">
        <v>921</v>
      </c>
      <c r="T180" s="20" t="s">
        <v>922</v>
      </c>
      <c r="U180" s="5" t="s">
        <v>923</v>
      </c>
      <c r="V180" s="21" t="s">
        <v>924</v>
      </c>
      <c r="W180" s="5" t="s">
        <v>122</v>
      </c>
      <c r="X180" s="5" t="s">
        <v>81</v>
      </c>
      <c r="Y180" s="5"/>
      <c r="Z180" s="5"/>
    </row>
    <row r="181" spans="1:26" x14ac:dyDescent="0.3">
      <c r="A181" s="5">
        <v>2411488</v>
      </c>
      <c r="B181" s="20" t="s">
        <v>925</v>
      </c>
      <c r="C181" s="25">
        <v>45600</v>
      </c>
      <c r="D181" s="5" t="s">
        <v>19</v>
      </c>
      <c r="E181" s="5" t="s">
        <v>71</v>
      </c>
      <c r="F181" s="5" t="s">
        <v>14</v>
      </c>
      <c r="G181" s="5" t="e" vm="5">
        <v>#VALUE!</v>
      </c>
      <c r="H181" s="5">
        <v>10.53</v>
      </c>
      <c r="I181" s="5" t="s">
        <v>18</v>
      </c>
      <c r="J181" s="5"/>
      <c r="K181" s="11">
        <v>32000</v>
      </c>
      <c r="M181" s="5" t="s">
        <v>125</v>
      </c>
      <c r="N181" s="5" t="s">
        <v>73</v>
      </c>
      <c r="O181" s="5" t="s">
        <v>237</v>
      </c>
      <c r="P181" s="5">
        <v>18</v>
      </c>
      <c r="Q181" s="14" t="s">
        <v>364</v>
      </c>
      <c r="R181" s="5"/>
      <c r="S181" s="5" t="s">
        <v>926</v>
      </c>
      <c r="T181" s="20" t="s">
        <v>927</v>
      </c>
      <c r="U181" s="5" t="s">
        <v>928</v>
      </c>
      <c r="V181" s="20" t="s">
        <v>929</v>
      </c>
      <c r="W181" s="5" t="s">
        <v>122</v>
      </c>
      <c r="X181" s="5" t="s">
        <v>81</v>
      </c>
      <c r="Y181" s="5"/>
      <c r="Z181" s="5"/>
    </row>
    <row r="182" spans="1:26" x14ac:dyDescent="0.3">
      <c r="A182" s="5">
        <v>2411487</v>
      </c>
      <c r="B182" s="20" t="s">
        <v>930</v>
      </c>
      <c r="C182" s="25">
        <v>45600</v>
      </c>
      <c r="D182" s="5" t="s">
        <v>17</v>
      </c>
      <c r="E182" s="5" t="s">
        <v>71</v>
      </c>
      <c r="F182" s="5" t="s">
        <v>14</v>
      </c>
      <c r="G182" s="5" t="e" vm="5">
        <v>#VALUE!</v>
      </c>
      <c r="H182" s="5">
        <v>15.21</v>
      </c>
      <c r="I182" s="5" t="s">
        <v>18</v>
      </c>
      <c r="J182" s="5"/>
      <c r="K182" s="11">
        <v>42200</v>
      </c>
      <c r="M182" s="5" t="s">
        <v>125</v>
      </c>
      <c r="N182" s="5" t="s">
        <v>73</v>
      </c>
      <c r="O182" s="5" t="s">
        <v>237</v>
      </c>
      <c r="P182" s="5">
        <v>26</v>
      </c>
      <c r="Q182" s="5" t="s">
        <v>143</v>
      </c>
      <c r="R182" s="5"/>
      <c r="S182" s="5" t="s">
        <v>931</v>
      </c>
      <c r="T182" s="20" t="s">
        <v>932</v>
      </c>
      <c r="U182" s="5" t="s">
        <v>933</v>
      </c>
      <c r="V182" s="21" t="s">
        <v>934</v>
      </c>
      <c r="W182" s="5" t="s">
        <v>122</v>
      </c>
      <c r="X182" s="5" t="s">
        <v>81</v>
      </c>
      <c r="Y182" s="5"/>
      <c r="Z182" s="5" t="s">
        <v>269</v>
      </c>
    </row>
    <row r="183" spans="1:26" x14ac:dyDescent="0.3">
      <c r="A183" s="5">
        <v>2410476</v>
      </c>
      <c r="B183" s="20" t="s">
        <v>935</v>
      </c>
      <c r="C183" s="25">
        <v>45599</v>
      </c>
      <c r="D183" s="5" t="s">
        <v>17</v>
      </c>
      <c r="E183" s="5" t="s">
        <v>71</v>
      </c>
      <c r="F183" s="5" t="s">
        <v>14</v>
      </c>
      <c r="G183" s="5" t="e" vm="8">
        <v>#VALUE!</v>
      </c>
      <c r="H183" s="5">
        <v>7.02</v>
      </c>
      <c r="I183" s="5" t="s">
        <v>18</v>
      </c>
      <c r="J183" s="5"/>
      <c r="K183" s="11">
        <v>23500</v>
      </c>
      <c r="M183" s="5" t="s">
        <v>125</v>
      </c>
      <c r="N183" s="5" t="s">
        <v>73</v>
      </c>
      <c r="O183" s="5" t="s">
        <v>237</v>
      </c>
      <c r="P183" s="5">
        <v>12</v>
      </c>
      <c r="Q183" s="5" t="s">
        <v>286</v>
      </c>
      <c r="R183" s="5"/>
      <c r="S183" s="5" t="s">
        <v>936</v>
      </c>
      <c r="T183" s="20" t="s">
        <v>937</v>
      </c>
      <c r="U183" s="5" t="s">
        <v>938</v>
      </c>
      <c r="V183" s="21" t="s">
        <v>939</v>
      </c>
      <c r="W183" s="5" t="s">
        <v>122</v>
      </c>
      <c r="X183" s="5" t="s">
        <v>81</v>
      </c>
      <c r="Y183" s="5"/>
      <c r="Z183" s="5" t="s">
        <v>269</v>
      </c>
    </row>
    <row r="184" spans="1:26" x14ac:dyDescent="0.3">
      <c r="A184" s="5">
        <v>2407376</v>
      </c>
      <c r="B184" s="20" t="s">
        <v>940</v>
      </c>
      <c r="C184" s="25">
        <v>45500</v>
      </c>
      <c r="D184" s="5" t="s">
        <v>19</v>
      </c>
      <c r="E184" s="5" t="s">
        <v>71</v>
      </c>
      <c r="F184" s="5" t="s">
        <v>14</v>
      </c>
      <c r="G184" s="5" t="e" vm="11">
        <v>#VALUE!</v>
      </c>
      <c r="H184" s="5">
        <v>10.53</v>
      </c>
      <c r="I184" s="5" t="s">
        <v>18</v>
      </c>
      <c r="J184" s="5"/>
      <c r="K184" s="11">
        <v>37768</v>
      </c>
      <c r="M184" s="5" t="s">
        <v>176</v>
      </c>
      <c r="N184" s="5" t="s">
        <v>73</v>
      </c>
      <c r="O184" s="5" t="s">
        <v>237</v>
      </c>
      <c r="P184" s="5">
        <v>18</v>
      </c>
      <c r="Q184" s="14" t="s">
        <v>364</v>
      </c>
      <c r="R184" s="5"/>
      <c r="S184" s="5" t="s">
        <v>941</v>
      </c>
      <c r="T184" s="20" t="s">
        <v>942</v>
      </c>
      <c r="U184" s="5" t="s">
        <v>943</v>
      </c>
      <c r="V184" s="20" t="s">
        <v>944</v>
      </c>
      <c r="W184" s="5" t="s">
        <v>80</v>
      </c>
      <c r="X184" s="5" t="s">
        <v>81</v>
      </c>
      <c r="Y184" s="5"/>
      <c r="Z184" s="5"/>
    </row>
    <row r="185" spans="1:26" x14ac:dyDescent="0.3">
      <c r="A185" s="5">
        <v>2410482</v>
      </c>
      <c r="B185" s="20" t="s">
        <v>945</v>
      </c>
      <c r="C185" s="25">
        <v>45596</v>
      </c>
      <c r="D185" s="5" t="s">
        <v>17</v>
      </c>
      <c r="E185" s="5" t="s">
        <v>71</v>
      </c>
      <c r="F185" s="5" t="s">
        <v>14</v>
      </c>
      <c r="G185" s="5" t="e" vm="5">
        <v>#VALUE!</v>
      </c>
      <c r="H185" s="5">
        <v>8.7750000000000004</v>
      </c>
      <c r="I185" s="5" t="s">
        <v>18</v>
      </c>
      <c r="J185" s="5"/>
      <c r="K185" s="11">
        <v>28500</v>
      </c>
      <c r="M185" s="5" t="s">
        <v>125</v>
      </c>
      <c r="N185" s="5" t="s">
        <v>73</v>
      </c>
      <c r="O185" s="5" t="s">
        <v>237</v>
      </c>
      <c r="P185" s="5">
        <v>15</v>
      </c>
      <c r="Q185" s="14" t="s">
        <v>364</v>
      </c>
      <c r="R185" s="5"/>
      <c r="S185" s="5" t="s">
        <v>946</v>
      </c>
      <c r="T185" s="20" t="s">
        <v>947</v>
      </c>
      <c r="U185" s="5" t="s">
        <v>948</v>
      </c>
      <c r="V185" s="20" t="s">
        <v>949</v>
      </c>
      <c r="W185" s="5" t="s">
        <v>122</v>
      </c>
      <c r="X185" s="5" t="s">
        <v>81</v>
      </c>
      <c r="Y185" s="5"/>
      <c r="Z185" s="5"/>
    </row>
    <row r="186" spans="1:26" x14ac:dyDescent="0.3">
      <c r="A186" s="5">
        <v>2410471</v>
      </c>
      <c r="B186" s="20" t="s">
        <v>950</v>
      </c>
      <c r="C186" s="25">
        <v>45576</v>
      </c>
      <c r="D186" s="5" t="s">
        <v>19</v>
      </c>
      <c r="E186" s="5" t="s">
        <v>71</v>
      </c>
      <c r="F186" s="5" t="s">
        <v>14</v>
      </c>
      <c r="G186" s="5" t="e" vm="11">
        <v>#VALUE!</v>
      </c>
      <c r="H186" s="5">
        <v>17.55</v>
      </c>
      <c r="I186" s="5" t="s">
        <v>18</v>
      </c>
      <c r="J186" s="5"/>
      <c r="K186" s="11">
        <v>47600</v>
      </c>
      <c r="M186" s="5" t="s">
        <v>125</v>
      </c>
      <c r="N186" s="5" t="s">
        <v>73</v>
      </c>
      <c r="O186" s="5" t="s">
        <v>237</v>
      </c>
      <c r="P186" s="5">
        <v>30</v>
      </c>
      <c r="Q186" s="5" t="s">
        <v>143</v>
      </c>
      <c r="R186" s="5"/>
      <c r="S186" s="5" t="s">
        <v>951</v>
      </c>
      <c r="T186" s="20" t="s">
        <v>952</v>
      </c>
      <c r="U186" s="5" t="s">
        <v>953</v>
      </c>
      <c r="V186" s="20" t="s">
        <v>425</v>
      </c>
      <c r="W186" s="5" t="s">
        <v>122</v>
      </c>
      <c r="X186" s="5" t="s">
        <v>81</v>
      </c>
      <c r="Y186" s="5"/>
      <c r="Z186" s="5" t="s">
        <v>954</v>
      </c>
    </row>
    <row r="187" spans="1:26" x14ac:dyDescent="0.3">
      <c r="A187" s="5">
        <v>2411489</v>
      </c>
      <c r="B187" s="20" t="s">
        <v>955</v>
      </c>
      <c r="C187" s="25">
        <v>45622</v>
      </c>
      <c r="D187" s="5" t="s">
        <v>17</v>
      </c>
      <c r="E187" s="5" t="s">
        <v>71</v>
      </c>
      <c r="F187" s="5" t="s">
        <v>14</v>
      </c>
      <c r="G187" s="5" t="e" vm="5">
        <v>#VALUE!</v>
      </c>
      <c r="H187" s="5">
        <v>14.04</v>
      </c>
      <c r="I187" s="5" t="s">
        <v>18</v>
      </c>
      <c r="J187" s="5"/>
      <c r="K187" s="11">
        <v>39980</v>
      </c>
      <c r="M187" s="5"/>
      <c r="N187" s="5" t="s">
        <v>73</v>
      </c>
      <c r="O187" s="5" t="s">
        <v>237</v>
      </c>
      <c r="P187" s="5">
        <v>24</v>
      </c>
      <c r="Q187" s="5" t="s">
        <v>143</v>
      </c>
      <c r="R187" s="5"/>
      <c r="S187" s="5" t="s">
        <v>956</v>
      </c>
      <c r="T187" s="20" t="s">
        <v>957</v>
      </c>
      <c r="U187" s="5" t="s">
        <v>958</v>
      </c>
      <c r="V187" s="21" t="s">
        <v>959</v>
      </c>
      <c r="W187" s="5" t="s">
        <v>122</v>
      </c>
      <c r="X187" s="5" t="s">
        <v>81</v>
      </c>
      <c r="Y187" s="5"/>
      <c r="Z187" s="5" t="s">
        <v>269</v>
      </c>
    </row>
    <row r="188" spans="1:26" x14ac:dyDescent="0.3">
      <c r="A188" s="5">
        <v>2411486</v>
      </c>
      <c r="B188" s="20" t="s">
        <v>960</v>
      </c>
      <c r="C188" s="25">
        <v>45628</v>
      </c>
      <c r="D188" s="5" t="s">
        <v>17</v>
      </c>
      <c r="E188" s="5" t="s">
        <v>71</v>
      </c>
      <c r="F188" s="5" t="s">
        <v>14</v>
      </c>
      <c r="G188" s="5" t="e" vm="5">
        <v>#VALUE!</v>
      </c>
      <c r="H188" s="5">
        <v>13.455</v>
      </c>
      <c r="I188" s="5" t="s">
        <v>18</v>
      </c>
      <c r="J188" s="5"/>
      <c r="K188" s="11">
        <v>36600</v>
      </c>
      <c r="M188" s="5" t="s">
        <v>125</v>
      </c>
      <c r="N188" s="5" t="s">
        <v>73</v>
      </c>
      <c r="O188" s="5" t="s">
        <v>237</v>
      </c>
      <c r="P188" s="5">
        <v>23</v>
      </c>
      <c r="Q188" s="14" t="s">
        <v>111</v>
      </c>
      <c r="R188" s="5"/>
      <c r="S188" s="5" t="s">
        <v>961</v>
      </c>
      <c r="T188" s="20" t="s">
        <v>962</v>
      </c>
      <c r="U188" s="5" t="s">
        <v>963</v>
      </c>
      <c r="V188" s="20" t="s">
        <v>964</v>
      </c>
      <c r="W188" s="5" t="s">
        <v>965</v>
      </c>
      <c r="X188" s="5" t="s">
        <v>81</v>
      </c>
      <c r="Y188" s="5"/>
      <c r="Z188" s="5"/>
    </row>
    <row r="189" spans="1:26" x14ac:dyDescent="0.3">
      <c r="A189" s="5">
        <v>2411500</v>
      </c>
      <c r="B189" s="20" t="s">
        <v>966</v>
      </c>
      <c r="C189" s="25">
        <v>45628</v>
      </c>
      <c r="D189" s="5" t="s">
        <v>17</v>
      </c>
      <c r="E189" s="5" t="s">
        <v>71</v>
      </c>
      <c r="F189" s="5" t="s">
        <v>14</v>
      </c>
      <c r="G189" s="5" t="e" vm="5">
        <v>#VALUE!</v>
      </c>
      <c r="H189" s="5">
        <v>14.16</v>
      </c>
      <c r="I189" s="5" t="s">
        <v>18</v>
      </c>
      <c r="J189" s="5"/>
      <c r="K189" s="11">
        <v>37600</v>
      </c>
      <c r="M189" s="5" t="s">
        <v>125</v>
      </c>
      <c r="N189" s="5" t="s">
        <v>73</v>
      </c>
      <c r="O189" s="5" t="s">
        <v>243</v>
      </c>
      <c r="P189" s="5">
        <v>24</v>
      </c>
      <c r="Q189" s="5" t="s">
        <v>143</v>
      </c>
      <c r="R189" s="5"/>
      <c r="S189" s="5" t="s">
        <v>967</v>
      </c>
      <c r="T189" s="20" t="s">
        <v>968</v>
      </c>
      <c r="U189" s="5" t="s">
        <v>969</v>
      </c>
      <c r="V189" s="21" t="s">
        <v>970</v>
      </c>
      <c r="W189" s="5" t="s">
        <v>965</v>
      </c>
      <c r="X189" s="5" t="s">
        <v>81</v>
      </c>
      <c r="Y189" s="5"/>
      <c r="Z189" s="5"/>
    </row>
    <row r="190" spans="1:26" x14ac:dyDescent="0.3">
      <c r="A190" s="5">
        <v>2410034</v>
      </c>
      <c r="B190" s="20" t="s">
        <v>971</v>
      </c>
      <c r="C190" s="25">
        <v>45621</v>
      </c>
      <c r="D190" s="5" t="s">
        <v>19</v>
      </c>
      <c r="E190" s="5" t="s">
        <v>206</v>
      </c>
      <c r="F190" s="5" t="s">
        <v>18</v>
      </c>
      <c r="G190" s="5" t="e" vm="5">
        <v>#VALUE!</v>
      </c>
      <c r="H190" s="5">
        <v>0</v>
      </c>
      <c r="I190" s="5">
        <v>47</v>
      </c>
      <c r="J190" s="5"/>
      <c r="K190" s="11">
        <v>4150</v>
      </c>
      <c r="M190" s="5" t="s">
        <v>125</v>
      </c>
      <c r="N190" s="5" t="s">
        <v>73</v>
      </c>
      <c r="O190" s="5" t="s">
        <v>18</v>
      </c>
      <c r="P190" s="5" t="s">
        <v>18</v>
      </c>
      <c r="Q190" s="5" t="s">
        <v>18</v>
      </c>
      <c r="R190" s="5"/>
      <c r="S190" s="5" t="s">
        <v>18</v>
      </c>
      <c r="T190" s="20" t="s">
        <v>972</v>
      </c>
      <c r="U190" s="5" t="s">
        <v>18</v>
      </c>
      <c r="V190" s="20" t="s">
        <v>18</v>
      </c>
      <c r="W190" s="5" t="s">
        <v>109</v>
      </c>
      <c r="X190" s="5" t="s">
        <v>81</v>
      </c>
      <c r="Y190" s="5"/>
      <c r="Z190" s="5"/>
    </row>
    <row r="191" spans="1:26" x14ac:dyDescent="0.3">
      <c r="A191" s="5">
        <v>2411494</v>
      </c>
      <c r="B191" s="20" t="s">
        <v>973</v>
      </c>
      <c r="C191" s="25">
        <v>45622</v>
      </c>
      <c r="D191" s="5" t="s">
        <v>19</v>
      </c>
      <c r="E191" s="5" t="s">
        <v>71</v>
      </c>
      <c r="F191" s="5" t="s">
        <v>14</v>
      </c>
      <c r="G191" s="5" t="e" vm="11">
        <v>#VALUE!</v>
      </c>
      <c r="H191" s="5">
        <v>17.55</v>
      </c>
      <c r="I191" s="5" t="s">
        <v>18</v>
      </c>
      <c r="J191" s="5"/>
      <c r="K191" s="11">
        <v>60000</v>
      </c>
      <c r="M191" s="5" t="s">
        <v>125</v>
      </c>
      <c r="N191" s="5" t="s">
        <v>73</v>
      </c>
      <c r="O191" s="5" t="s">
        <v>237</v>
      </c>
      <c r="P191" s="5">
        <v>30</v>
      </c>
      <c r="Q191" s="5" t="s">
        <v>143</v>
      </c>
      <c r="R191" s="5"/>
      <c r="S191" s="5" t="s">
        <v>974</v>
      </c>
      <c r="T191" s="20" t="s">
        <v>975</v>
      </c>
      <c r="U191" s="5" t="s">
        <v>976</v>
      </c>
      <c r="V191" s="20" t="s">
        <v>977</v>
      </c>
      <c r="W191" s="5" t="s">
        <v>109</v>
      </c>
      <c r="X191" s="5" t="s">
        <v>81</v>
      </c>
      <c r="Y191" s="5"/>
      <c r="Z191" s="5"/>
    </row>
    <row r="192" spans="1:26" x14ac:dyDescent="0.3">
      <c r="A192" s="5">
        <v>2411496</v>
      </c>
      <c r="B192" s="20" t="s">
        <v>978</v>
      </c>
      <c r="C192" s="25">
        <v>45622</v>
      </c>
      <c r="D192" s="5" t="s">
        <v>17</v>
      </c>
      <c r="E192" s="5" t="s">
        <v>71</v>
      </c>
      <c r="F192" s="5" t="s">
        <v>14</v>
      </c>
      <c r="G192" s="5" t="e" vm="4">
        <v>#VALUE!</v>
      </c>
      <c r="H192" s="5">
        <v>9.36</v>
      </c>
      <c r="I192" s="5" t="s">
        <v>18</v>
      </c>
      <c r="J192" s="5"/>
      <c r="K192" s="11">
        <v>29000</v>
      </c>
      <c r="L192" s="24">
        <v>289</v>
      </c>
      <c r="M192" s="5" t="s">
        <v>125</v>
      </c>
      <c r="N192" s="5" t="s">
        <v>73</v>
      </c>
      <c r="O192" s="5" t="s">
        <v>237</v>
      </c>
      <c r="P192" s="5">
        <v>16</v>
      </c>
      <c r="Q192" s="14" t="s">
        <v>364</v>
      </c>
      <c r="R192" s="5"/>
      <c r="S192" s="5" t="s">
        <v>979</v>
      </c>
      <c r="T192" s="20" t="s">
        <v>980</v>
      </c>
      <c r="U192" s="5" t="s">
        <v>981</v>
      </c>
      <c r="V192" s="21" t="s">
        <v>982</v>
      </c>
      <c r="W192" s="5" t="s">
        <v>965</v>
      </c>
      <c r="X192" s="5" t="s">
        <v>81</v>
      </c>
      <c r="Y192" s="5"/>
      <c r="Z192" s="5"/>
    </row>
    <row r="193" spans="1:28" x14ac:dyDescent="0.3">
      <c r="A193" s="5">
        <v>2404224</v>
      </c>
      <c r="B193" s="20" t="s">
        <v>983</v>
      </c>
      <c r="C193" s="25">
        <v>45624</v>
      </c>
      <c r="D193" s="5" t="s">
        <v>17</v>
      </c>
      <c r="E193" s="5" t="s">
        <v>71</v>
      </c>
      <c r="F193" s="5" t="s">
        <v>14</v>
      </c>
      <c r="G193" s="5" t="e" vm="5">
        <v>#VALUE!</v>
      </c>
      <c r="H193" s="5">
        <v>17.7</v>
      </c>
      <c r="I193" s="5" t="s">
        <v>18</v>
      </c>
      <c r="J193" s="5"/>
      <c r="K193" s="11">
        <v>45600</v>
      </c>
      <c r="M193" s="5" t="s">
        <v>125</v>
      </c>
      <c r="N193" s="5" t="s">
        <v>73</v>
      </c>
      <c r="O193" s="5" t="s">
        <v>243</v>
      </c>
      <c r="P193" s="5">
        <v>30</v>
      </c>
      <c r="Q193" s="5" t="s">
        <v>143</v>
      </c>
      <c r="R193" s="5" t="s">
        <v>18</v>
      </c>
      <c r="S193" s="5" t="s">
        <v>984</v>
      </c>
      <c r="T193" s="20" t="s">
        <v>985</v>
      </c>
      <c r="U193" s="5" t="s">
        <v>986</v>
      </c>
      <c r="V193" s="21" t="s">
        <v>987</v>
      </c>
      <c r="W193" s="5" t="s">
        <v>965</v>
      </c>
      <c r="X193" s="5" t="s">
        <v>81</v>
      </c>
      <c r="Y193" s="5"/>
      <c r="Z193" s="5" t="s">
        <v>269</v>
      </c>
      <c r="AA193" s="20" t="s">
        <v>988</v>
      </c>
      <c r="AB193" s="20" t="s">
        <v>989</v>
      </c>
    </row>
    <row r="194" spans="1:28" x14ac:dyDescent="0.3">
      <c r="A194" s="5">
        <v>2411491</v>
      </c>
      <c r="B194" s="20" t="s">
        <v>990</v>
      </c>
      <c r="C194" s="25">
        <v>45631</v>
      </c>
      <c r="D194" s="5" t="s">
        <v>19</v>
      </c>
      <c r="E194" s="5" t="s">
        <v>71</v>
      </c>
      <c r="F194" s="5" t="s">
        <v>14</v>
      </c>
      <c r="G194" s="5" t="e" vm="11">
        <v>#VALUE!</v>
      </c>
      <c r="H194" s="5">
        <v>11.7</v>
      </c>
      <c r="I194" s="5" t="s">
        <v>18</v>
      </c>
      <c r="J194" s="5"/>
      <c r="K194" s="11">
        <v>38420</v>
      </c>
      <c r="M194" s="5" t="s">
        <v>176</v>
      </c>
      <c r="N194" s="5" t="s">
        <v>73</v>
      </c>
      <c r="O194" s="5" t="s">
        <v>237</v>
      </c>
      <c r="P194" s="5">
        <v>20</v>
      </c>
      <c r="Q194" s="5" t="s">
        <v>111</v>
      </c>
      <c r="R194" s="5"/>
      <c r="S194" s="5" t="s">
        <v>991</v>
      </c>
      <c r="T194" s="20" t="s">
        <v>992</v>
      </c>
      <c r="U194" s="5" t="s">
        <v>993</v>
      </c>
      <c r="V194" s="21" t="s">
        <v>994</v>
      </c>
      <c r="W194" s="5" t="s">
        <v>965</v>
      </c>
      <c r="X194" s="5" t="s">
        <v>81</v>
      </c>
      <c r="Y194" s="5"/>
      <c r="Z194" s="5"/>
    </row>
    <row r="195" spans="1:28" x14ac:dyDescent="0.3">
      <c r="A195" s="5">
        <v>2411490</v>
      </c>
      <c r="B195" s="20" t="s">
        <v>995</v>
      </c>
      <c r="C195" s="25">
        <v>45631</v>
      </c>
      <c r="D195" s="5" t="s">
        <v>19</v>
      </c>
      <c r="E195" s="5" t="s">
        <v>71</v>
      </c>
      <c r="F195" s="5" t="s">
        <v>14</v>
      </c>
      <c r="G195" s="5" t="e" vm="8">
        <v>#VALUE!</v>
      </c>
      <c r="H195" s="5">
        <v>7.02</v>
      </c>
      <c r="I195" s="5" t="s">
        <v>18</v>
      </c>
      <c r="J195" s="5"/>
      <c r="K195" s="11">
        <v>21500</v>
      </c>
      <c r="M195" s="5" t="s">
        <v>125</v>
      </c>
      <c r="N195" s="5" t="s">
        <v>73</v>
      </c>
      <c r="O195" s="5" t="s">
        <v>237</v>
      </c>
      <c r="P195" s="5">
        <v>12</v>
      </c>
      <c r="Q195" s="5" t="s">
        <v>286</v>
      </c>
      <c r="R195" s="5"/>
      <c r="S195" s="5" t="s">
        <v>996</v>
      </c>
      <c r="T195" s="20" t="s">
        <v>997</v>
      </c>
      <c r="U195" s="5" t="s">
        <v>998</v>
      </c>
      <c r="V195" s="21" t="s">
        <v>999</v>
      </c>
      <c r="W195" s="5" t="s">
        <v>965</v>
      </c>
      <c r="X195" s="5" t="s">
        <v>81</v>
      </c>
      <c r="Y195" s="5"/>
      <c r="Z195" s="5" t="s">
        <v>1000</v>
      </c>
      <c r="AA195" s="20" t="s">
        <v>988</v>
      </c>
    </row>
    <row r="196" spans="1:28" x14ac:dyDescent="0.3">
      <c r="A196" s="5">
        <v>2412504</v>
      </c>
      <c r="B196" s="20" t="s">
        <v>1001</v>
      </c>
      <c r="C196" s="25">
        <v>45633</v>
      </c>
      <c r="D196" s="5" t="s">
        <v>22</v>
      </c>
      <c r="E196" s="5" t="s">
        <v>71</v>
      </c>
      <c r="F196" s="5" t="s">
        <v>14</v>
      </c>
      <c r="G196" s="5" t="e" vm="11">
        <v>#VALUE!</v>
      </c>
      <c r="H196" s="5">
        <v>9.36</v>
      </c>
      <c r="I196" s="5" t="s">
        <v>18</v>
      </c>
      <c r="J196" s="5"/>
      <c r="K196" s="11">
        <v>31616</v>
      </c>
      <c r="M196" s="5" t="s">
        <v>125</v>
      </c>
      <c r="N196" s="5" t="s">
        <v>73</v>
      </c>
      <c r="O196" s="5" t="s">
        <v>237</v>
      </c>
      <c r="P196" s="5">
        <v>16</v>
      </c>
      <c r="Q196" s="14" t="s">
        <v>364</v>
      </c>
      <c r="R196" s="5"/>
      <c r="S196" s="5" t="s">
        <v>1002</v>
      </c>
      <c r="T196" s="20" t="s">
        <v>1003</v>
      </c>
      <c r="U196" s="5" t="s">
        <v>1004</v>
      </c>
      <c r="V196" s="20" t="s">
        <v>1005</v>
      </c>
      <c r="W196" s="5" t="s">
        <v>80</v>
      </c>
      <c r="X196" s="5" t="s">
        <v>81</v>
      </c>
      <c r="Y196" s="5"/>
      <c r="Z196" s="5"/>
    </row>
    <row r="197" spans="1:28" x14ac:dyDescent="0.3">
      <c r="A197" s="5">
        <v>2412503</v>
      </c>
      <c r="B197" s="20" t="s">
        <v>1006</v>
      </c>
      <c r="C197" s="25">
        <v>45633</v>
      </c>
      <c r="D197" s="5" t="s">
        <v>19</v>
      </c>
      <c r="E197" s="5" t="s">
        <v>71</v>
      </c>
      <c r="F197" s="5" t="s">
        <v>14</v>
      </c>
      <c r="G197" s="5" t="e" vm="11">
        <v>#VALUE!</v>
      </c>
      <c r="H197" s="5">
        <v>14.04</v>
      </c>
      <c r="I197" s="5" t="s">
        <v>18</v>
      </c>
      <c r="J197" s="5"/>
      <c r="K197" s="11">
        <v>38600</v>
      </c>
      <c r="M197" s="5" t="s">
        <v>125</v>
      </c>
      <c r="N197" s="5" t="s">
        <v>73</v>
      </c>
      <c r="O197" s="5" t="s">
        <v>237</v>
      </c>
      <c r="P197" s="5">
        <v>24</v>
      </c>
      <c r="Q197" s="5" t="s">
        <v>143</v>
      </c>
      <c r="R197" s="5"/>
      <c r="S197" s="5" t="s">
        <v>1007</v>
      </c>
      <c r="T197" s="20" t="s">
        <v>1008</v>
      </c>
      <c r="U197" s="5" t="s">
        <v>1009</v>
      </c>
      <c r="V197" s="20" t="s">
        <v>1010</v>
      </c>
      <c r="W197" s="5" t="s">
        <v>80</v>
      </c>
      <c r="X197" s="5" t="s">
        <v>81</v>
      </c>
      <c r="Y197" s="5"/>
      <c r="Z197" s="5"/>
    </row>
    <row r="198" spans="1:28" x14ac:dyDescent="0.3">
      <c r="A198" s="5">
        <v>2410033</v>
      </c>
      <c r="B198" s="20" t="s">
        <v>1011</v>
      </c>
      <c r="C198" s="25">
        <v>45636</v>
      </c>
      <c r="D198" s="5" t="s">
        <v>19</v>
      </c>
      <c r="E198" s="5" t="s">
        <v>206</v>
      </c>
      <c r="F198" s="5" t="s">
        <v>18</v>
      </c>
      <c r="G198" s="5" t="e" vm="11">
        <v>#VALUE!</v>
      </c>
      <c r="H198" s="5">
        <v>0</v>
      </c>
      <c r="I198" s="5">
        <v>120</v>
      </c>
      <c r="J198" s="5"/>
      <c r="K198" s="11">
        <v>55000</v>
      </c>
      <c r="M198" s="5" t="s">
        <v>125</v>
      </c>
      <c r="N198" s="5" t="s">
        <v>73</v>
      </c>
      <c r="O198" s="5" t="s">
        <v>18</v>
      </c>
      <c r="P198" s="5" t="s">
        <v>18</v>
      </c>
      <c r="Q198" s="5" t="s">
        <v>18</v>
      </c>
      <c r="R198" s="5"/>
      <c r="S198" s="5" t="s">
        <v>18</v>
      </c>
      <c r="T198" s="20" t="s">
        <v>1012</v>
      </c>
      <c r="U198" s="5" t="s">
        <v>18</v>
      </c>
      <c r="V198" s="20" t="s">
        <v>18</v>
      </c>
      <c r="W198" s="5" t="s">
        <v>109</v>
      </c>
      <c r="X198" s="5" t="s">
        <v>81</v>
      </c>
      <c r="Y198" s="5"/>
      <c r="Z198" s="5"/>
    </row>
    <row r="199" spans="1:28" x14ac:dyDescent="0.3">
      <c r="A199" s="5">
        <v>2412505</v>
      </c>
      <c r="B199" s="20" t="s">
        <v>1013</v>
      </c>
      <c r="C199" s="25">
        <v>45639</v>
      </c>
      <c r="D199" s="5" t="s">
        <v>22</v>
      </c>
      <c r="E199" s="5" t="s">
        <v>71</v>
      </c>
      <c r="F199" s="5" t="s">
        <v>14</v>
      </c>
      <c r="G199" s="5" t="e" vm="11">
        <v>#VALUE!</v>
      </c>
      <c r="H199" s="5">
        <v>14.04</v>
      </c>
      <c r="I199" s="5" t="s">
        <v>18</v>
      </c>
      <c r="J199" s="5"/>
      <c r="K199" s="11">
        <v>42860</v>
      </c>
      <c r="M199" s="5" t="s">
        <v>176</v>
      </c>
      <c r="N199" s="5" t="s">
        <v>73</v>
      </c>
      <c r="O199" s="5" t="s">
        <v>237</v>
      </c>
      <c r="P199" s="5">
        <v>24</v>
      </c>
      <c r="Q199" s="5" t="s">
        <v>143</v>
      </c>
      <c r="R199" s="5"/>
      <c r="S199" s="5" t="s">
        <v>1014</v>
      </c>
      <c r="T199" s="20" t="s">
        <v>1015</v>
      </c>
      <c r="U199" s="5" t="s">
        <v>1016</v>
      </c>
      <c r="W199" s="5" t="s">
        <v>80</v>
      </c>
      <c r="X199" s="5" t="s">
        <v>81</v>
      </c>
      <c r="Y199" s="5"/>
      <c r="Z199" s="5"/>
    </row>
    <row r="200" spans="1:28" x14ac:dyDescent="0.3">
      <c r="A200" s="5">
        <v>2412509</v>
      </c>
      <c r="B200" s="20" t="s">
        <v>1017</v>
      </c>
      <c r="C200" s="25">
        <v>45657</v>
      </c>
      <c r="D200" s="5" t="s">
        <v>19</v>
      </c>
      <c r="E200" s="5" t="s">
        <v>71</v>
      </c>
      <c r="F200" s="5" t="s">
        <v>14</v>
      </c>
      <c r="G200" s="5" t="e" vm="11">
        <v>#VALUE!</v>
      </c>
      <c r="H200" s="5">
        <v>17.7</v>
      </c>
      <c r="I200" s="5" t="s">
        <v>18</v>
      </c>
      <c r="J200" s="5"/>
      <c r="K200" s="11">
        <v>50000</v>
      </c>
      <c r="M200" s="5" t="s">
        <v>176</v>
      </c>
      <c r="N200" s="5" t="s">
        <v>73</v>
      </c>
      <c r="O200" s="5" t="s">
        <v>243</v>
      </c>
      <c r="P200" s="5">
        <v>30</v>
      </c>
      <c r="Q200" s="5" t="s">
        <v>143</v>
      </c>
      <c r="R200" s="5"/>
      <c r="S200" s="5" t="s">
        <v>1018</v>
      </c>
      <c r="T200" s="20" t="s">
        <v>1019</v>
      </c>
      <c r="U200" s="5" t="s">
        <v>1020</v>
      </c>
      <c r="V200" s="20" t="s">
        <v>1021</v>
      </c>
      <c r="W200" s="5" t="s">
        <v>109</v>
      </c>
      <c r="X200" s="5" t="s">
        <v>81</v>
      </c>
      <c r="Y200" s="5"/>
      <c r="Z200" s="5"/>
      <c r="AA200" s="20" t="s">
        <v>1022</v>
      </c>
    </row>
    <row r="201" spans="1:28" x14ac:dyDescent="0.3">
      <c r="A201" s="5">
        <v>2412515</v>
      </c>
      <c r="B201" s="20" t="s">
        <v>1023</v>
      </c>
      <c r="C201" s="25">
        <v>45647</v>
      </c>
      <c r="D201" s="5" t="s">
        <v>17</v>
      </c>
      <c r="E201" s="5" t="s">
        <v>71</v>
      </c>
      <c r="F201" s="5" t="s">
        <v>14</v>
      </c>
      <c r="G201" s="5" t="e" vm="5">
        <v>#VALUE!</v>
      </c>
      <c r="H201" s="5">
        <v>17.55</v>
      </c>
      <c r="I201" s="5" t="s">
        <v>18</v>
      </c>
      <c r="J201" s="5"/>
      <c r="K201" s="11">
        <v>44600</v>
      </c>
      <c r="M201" s="5" t="s">
        <v>125</v>
      </c>
      <c r="N201" s="5" t="s">
        <v>73</v>
      </c>
      <c r="O201" s="5" t="s">
        <v>237</v>
      </c>
      <c r="P201" s="5">
        <v>30</v>
      </c>
      <c r="Q201" s="5" t="s">
        <v>143</v>
      </c>
      <c r="R201" s="5"/>
      <c r="S201" s="5" t="s">
        <v>1024</v>
      </c>
      <c r="T201" s="20" t="s">
        <v>1025</v>
      </c>
      <c r="U201" s="5" t="s">
        <v>1026</v>
      </c>
      <c r="V201" s="21" t="s">
        <v>1027</v>
      </c>
      <c r="W201" s="5" t="s">
        <v>965</v>
      </c>
      <c r="X201" s="5" t="s">
        <v>81</v>
      </c>
      <c r="Y201" s="5"/>
      <c r="Z201" s="5" t="s">
        <v>269</v>
      </c>
    </row>
    <row r="202" spans="1:28" x14ac:dyDescent="0.3">
      <c r="A202" s="5">
        <v>2410462</v>
      </c>
      <c r="B202" s="20" t="s">
        <v>1028</v>
      </c>
      <c r="C202" s="25">
        <v>45649</v>
      </c>
      <c r="D202" s="5" t="s">
        <v>17</v>
      </c>
      <c r="E202" s="5" t="s">
        <v>71</v>
      </c>
      <c r="F202" s="5" t="s">
        <v>14</v>
      </c>
      <c r="G202" s="5" t="e" vm="5">
        <v>#VALUE!</v>
      </c>
      <c r="H202" s="5">
        <v>7.02</v>
      </c>
      <c r="I202" s="5" t="s">
        <v>18</v>
      </c>
      <c r="J202" s="5"/>
      <c r="K202" s="11">
        <v>23500</v>
      </c>
      <c r="M202" s="5" t="s">
        <v>125</v>
      </c>
      <c r="N202" s="5" t="s">
        <v>73</v>
      </c>
      <c r="O202" s="5" t="s">
        <v>237</v>
      </c>
      <c r="P202" s="5">
        <v>12</v>
      </c>
      <c r="Q202" s="5" t="s">
        <v>286</v>
      </c>
      <c r="R202" s="5"/>
      <c r="S202" s="5" t="s">
        <v>1029</v>
      </c>
      <c r="T202" s="20" t="s">
        <v>1030</v>
      </c>
      <c r="U202" s="5" t="s">
        <v>1031</v>
      </c>
      <c r="V202" s="21" t="s">
        <v>1032</v>
      </c>
      <c r="W202" s="5" t="s">
        <v>965</v>
      </c>
      <c r="X202" s="5" t="s">
        <v>81</v>
      </c>
      <c r="Y202" s="5"/>
      <c r="Z202" s="5" t="s">
        <v>269</v>
      </c>
    </row>
    <row r="203" spans="1:28" x14ac:dyDescent="0.3">
      <c r="A203" s="5">
        <v>2412516</v>
      </c>
      <c r="B203" s="20" t="s">
        <v>1033</v>
      </c>
      <c r="C203" s="25">
        <v>45650</v>
      </c>
      <c r="D203" s="5" t="s">
        <v>17</v>
      </c>
      <c r="E203" s="5" t="s">
        <v>71</v>
      </c>
      <c r="F203" s="5" t="s">
        <v>14</v>
      </c>
      <c r="G203" s="5" t="e" vm="5">
        <v>#VALUE!</v>
      </c>
      <c r="H203" s="5">
        <v>12.98</v>
      </c>
      <c r="I203" s="5" t="s">
        <v>18</v>
      </c>
      <c r="J203" s="5"/>
      <c r="K203" s="11">
        <v>37160</v>
      </c>
      <c r="M203" s="5" t="s">
        <v>176</v>
      </c>
      <c r="N203" s="5" t="s">
        <v>73</v>
      </c>
      <c r="O203" s="5" t="s">
        <v>243</v>
      </c>
      <c r="P203" s="5">
        <v>22</v>
      </c>
      <c r="Q203" s="5" t="s">
        <v>111</v>
      </c>
      <c r="R203" s="5"/>
      <c r="S203" s="5" t="s">
        <v>1034</v>
      </c>
      <c r="T203" s="20" t="s">
        <v>1035</v>
      </c>
      <c r="U203" s="5" t="s">
        <v>1036</v>
      </c>
      <c r="V203" s="21" t="s">
        <v>1037</v>
      </c>
      <c r="W203" s="5" t="s">
        <v>965</v>
      </c>
      <c r="X203" s="5" t="s">
        <v>81</v>
      </c>
      <c r="Y203" s="5"/>
      <c r="Z203" s="5" t="s">
        <v>269</v>
      </c>
    </row>
    <row r="204" spans="1:28" x14ac:dyDescent="0.3">
      <c r="A204" s="5">
        <v>2412521</v>
      </c>
      <c r="B204" s="20" t="s">
        <v>1038</v>
      </c>
      <c r="C204" s="25">
        <v>45659</v>
      </c>
      <c r="D204" s="5" t="s">
        <v>17</v>
      </c>
      <c r="E204" s="5" t="s">
        <v>71</v>
      </c>
      <c r="F204" s="5" t="s">
        <v>14</v>
      </c>
      <c r="G204" s="5" t="e" vm="5">
        <v>#VALUE!</v>
      </c>
      <c r="H204" s="5">
        <v>15.34</v>
      </c>
      <c r="I204" s="5" t="s">
        <v>18</v>
      </c>
      <c r="J204" s="5"/>
      <c r="K204" s="11">
        <v>39560</v>
      </c>
      <c r="M204" s="5" t="s">
        <v>176</v>
      </c>
      <c r="N204" s="5" t="s">
        <v>73</v>
      </c>
      <c r="O204" s="5" t="s">
        <v>243</v>
      </c>
      <c r="P204" s="5">
        <v>26</v>
      </c>
      <c r="Q204" s="5" t="s">
        <v>143</v>
      </c>
      <c r="R204" s="5"/>
      <c r="S204" s="5" t="s">
        <v>1039</v>
      </c>
      <c r="T204" s="20" t="s">
        <v>1040</v>
      </c>
      <c r="U204" s="5" t="s">
        <v>1041</v>
      </c>
      <c r="V204" s="21" t="s">
        <v>1042</v>
      </c>
      <c r="W204" s="5" t="s">
        <v>965</v>
      </c>
      <c r="X204" s="5" t="s">
        <v>81</v>
      </c>
      <c r="Y204" s="5"/>
      <c r="Z204" s="5" t="s">
        <v>269</v>
      </c>
    </row>
    <row r="205" spans="1:28" x14ac:dyDescent="0.3">
      <c r="A205" s="5">
        <v>2412524</v>
      </c>
      <c r="B205" s="20" t="s">
        <v>1043</v>
      </c>
      <c r="C205" s="25">
        <v>45659</v>
      </c>
      <c r="D205" s="5" t="s">
        <v>19</v>
      </c>
      <c r="E205" s="5" t="s">
        <v>71</v>
      </c>
      <c r="F205" s="5" t="s">
        <v>14</v>
      </c>
      <c r="G205" s="5" t="e" vm="11">
        <v>#VALUE!</v>
      </c>
      <c r="H205" s="5">
        <v>14.16</v>
      </c>
      <c r="I205" s="5" t="s">
        <v>18</v>
      </c>
      <c r="J205" s="5"/>
      <c r="K205" s="11">
        <v>34000</v>
      </c>
      <c r="M205" s="5" t="s">
        <v>125</v>
      </c>
      <c r="N205" s="5" t="s">
        <v>73</v>
      </c>
      <c r="O205" s="5" t="s">
        <v>243</v>
      </c>
      <c r="P205" s="5">
        <v>24</v>
      </c>
      <c r="Q205" s="5" t="s">
        <v>143</v>
      </c>
      <c r="R205" s="5"/>
      <c r="S205" s="5" t="s">
        <v>1044</v>
      </c>
      <c r="T205" s="20" t="s">
        <v>1045</v>
      </c>
      <c r="U205" s="5" t="s">
        <v>1046</v>
      </c>
      <c r="V205" s="20" t="s">
        <v>1047</v>
      </c>
      <c r="W205" s="5" t="s">
        <v>109</v>
      </c>
      <c r="X205" s="5" t="s">
        <v>81</v>
      </c>
      <c r="Y205" s="5"/>
      <c r="Z205" s="5"/>
    </row>
    <row r="206" spans="1:28" x14ac:dyDescent="0.3">
      <c r="A206" s="5">
        <v>2412513</v>
      </c>
      <c r="B206" s="20" t="s">
        <v>1048</v>
      </c>
      <c r="C206" s="25">
        <v>45666</v>
      </c>
      <c r="D206" s="5" t="s">
        <v>17</v>
      </c>
      <c r="E206" s="5" t="s">
        <v>71</v>
      </c>
      <c r="F206" s="5" t="s">
        <v>14</v>
      </c>
      <c r="G206" s="5" t="e" vm="12">
        <v>#VALUE!</v>
      </c>
      <c r="H206" s="5">
        <v>10.029999999999999</v>
      </c>
      <c r="I206" s="5" t="s">
        <v>18</v>
      </c>
      <c r="J206" s="5" t="s">
        <v>18</v>
      </c>
      <c r="K206" s="11">
        <v>29000</v>
      </c>
      <c r="M206" s="5" t="s">
        <v>125</v>
      </c>
      <c r="N206" s="5" t="s">
        <v>73</v>
      </c>
      <c r="O206" s="5" t="s">
        <v>243</v>
      </c>
      <c r="P206" s="5">
        <v>17</v>
      </c>
      <c r="Q206" s="14" t="s">
        <v>364</v>
      </c>
      <c r="R206" s="5"/>
      <c r="S206" s="5" t="s">
        <v>1049</v>
      </c>
      <c r="T206" s="20" t="s">
        <v>1050</v>
      </c>
      <c r="U206" s="5" t="s">
        <v>1051</v>
      </c>
      <c r="V206" s="20" t="s">
        <v>1052</v>
      </c>
      <c r="W206" s="5" t="s">
        <v>965</v>
      </c>
      <c r="X206" s="5" t="s">
        <v>81</v>
      </c>
      <c r="Y206" s="5"/>
      <c r="Z206" s="5"/>
    </row>
    <row r="207" spans="1:28" x14ac:dyDescent="0.3">
      <c r="A207" s="5">
        <v>2501038</v>
      </c>
      <c r="B207" s="20" t="s">
        <v>1053</v>
      </c>
      <c r="C207" s="25">
        <v>45678</v>
      </c>
      <c r="D207" s="5" t="s">
        <v>20</v>
      </c>
      <c r="E207" s="5" t="s">
        <v>206</v>
      </c>
      <c r="F207" s="5" t="s">
        <v>18</v>
      </c>
      <c r="G207" s="5" t="e" vm="5">
        <v>#VALUE!</v>
      </c>
      <c r="H207" s="5">
        <v>0</v>
      </c>
      <c r="I207" s="5">
        <v>11</v>
      </c>
      <c r="J207" s="5"/>
      <c r="K207" s="11">
        <v>2000</v>
      </c>
      <c r="M207" s="5" t="s">
        <v>125</v>
      </c>
      <c r="N207" s="5" t="s">
        <v>73</v>
      </c>
      <c r="P207" s="5" t="s">
        <v>18</v>
      </c>
      <c r="Q207" s="5" t="s">
        <v>18</v>
      </c>
      <c r="R207" s="5"/>
      <c r="S207" s="5" t="s">
        <v>18</v>
      </c>
      <c r="T207" s="20" t="s">
        <v>1054</v>
      </c>
      <c r="U207" s="5" t="s">
        <v>18</v>
      </c>
      <c r="V207" s="20" t="s">
        <v>18</v>
      </c>
      <c r="W207" s="5" t="s">
        <v>109</v>
      </c>
      <c r="X207" s="5" t="s">
        <v>81</v>
      </c>
      <c r="Y207" s="5"/>
      <c r="Z207" s="5"/>
    </row>
    <row r="208" spans="1:28" x14ac:dyDescent="0.3">
      <c r="A208" s="5">
        <v>2501532</v>
      </c>
      <c r="B208" s="20" t="s">
        <v>1055</v>
      </c>
      <c r="C208" s="25">
        <v>45682</v>
      </c>
      <c r="D208" s="5" t="s">
        <v>17</v>
      </c>
      <c r="E208" s="5" t="s">
        <v>71</v>
      </c>
      <c r="F208" s="5" t="s">
        <v>14</v>
      </c>
      <c r="G208" s="5" t="e" vm="5">
        <v>#VALUE!</v>
      </c>
      <c r="H208" s="5">
        <v>9.44</v>
      </c>
      <c r="I208" s="5" t="s">
        <v>18</v>
      </c>
      <c r="J208" s="5" t="s">
        <v>18</v>
      </c>
      <c r="K208" s="11">
        <v>27000</v>
      </c>
      <c r="M208" s="5" t="s">
        <v>125</v>
      </c>
      <c r="N208" s="5" t="s">
        <v>73</v>
      </c>
      <c r="O208" s="5" t="s">
        <v>243</v>
      </c>
      <c r="P208" s="5">
        <v>16</v>
      </c>
      <c r="Q208" s="14" t="s">
        <v>364</v>
      </c>
      <c r="R208" s="5"/>
      <c r="S208" s="5" t="s">
        <v>1056</v>
      </c>
      <c r="T208" s="20" t="s">
        <v>1057</v>
      </c>
      <c r="U208" s="5" t="s">
        <v>1058</v>
      </c>
      <c r="V208" s="21" t="s">
        <v>1059</v>
      </c>
      <c r="W208" s="5" t="s">
        <v>965</v>
      </c>
      <c r="X208" s="5" t="s">
        <v>81</v>
      </c>
      <c r="Y208" s="5"/>
      <c r="Z208" s="5"/>
    </row>
    <row r="209" spans="1:28" x14ac:dyDescent="0.3">
      <c r="A209" s="5">
        <v>2501544</v>
      </c>
      <c r="B209" s="20" t="s">
        <v>1060</v>
      </c>
      <c r="C209" s="25">
        <v>45694</v>
      </c>
      <c r="D209" s="5" t="s">
        <v>22</v>
      </c>
      <c r="E209" s="5" t="s">
        <v>71</v>
      </c>
      <c r="F209" s="5" t="s">
        <v>14</v>
      </c>
      <c r="G209" s="5" t="e" vm="11">
        <v>#VALUE!</v>
      </c>
      <c r="H209" s="5">
        <v>17.7</v>
      </c>
      <c r="I209" s="5" t="s">
        <v>18</v>
      </c>
      <c r="J209" s="5" t="s">
        <v>18</v>
      </c>
      <c r="K209" s="11">
        <v>44000</v>
      </c>
      <c r="M209" s="5" t="s">
        <v>125</v>
      </c>
      <c r="N209" s="5" t="s">
        <v>73</v>
      </c>
      <c r="O209" s="5" t="s">
        <v>243</v>
      </c>
      <c r="P209" s="5">
        <v>30</v>
      </c>
      <c r="Q209" s="5" t="s">
        <v>143</v>
      </c>
      <c r="R209" s="5"/>
      <c r="S209" s="5" t="s">
        <v>1061</v>
      </c>
      <c r="T209" s="20" t="s">
        <v>1062</v>
      </c>
      <c r="U209" s="5" t="s">
        <v>1063</v>
      </c>
      <c r="V209" s="20" t="s">
        <v>1064</v>
      </c>
      <c r="W209" s="5" t="s">
        <v>965</v>
      </c>
      <c r="X209" s="5" t="s">
        <v>81</v>
      </c>
      <c r="Y209" s="5"/>
      <c r="Z209" s="5"/>
      <c r="AB209" s="20" t="s">
        <v>1065</v>
      </c>
    </row>
    <row r="210" spans="1:28" x14ac:dyDescent="0.3">
      <c r="A210" s="5">
        <v>2502548</v>
      </c>
      <c r="B210" s="20" t="s">
        <v>1066</v>
      </c>
      <c r="C210" s="25">
        <v>45700</v>
      </c>
      <c r="D210" s="5" t="s">
        <v>19</v>
      </c>
      <c r="E210" s="5" t="s">
        <v>71</v>
      </c>
      <c r="F210" s="5" t="s">
        <v>14</v>
      </c>
      <c r="G210" s="5" t="e" vm="11">
        <v>#VALUE!</v>
      </c>
      <c r="H210" s="5">
        <v>17.7</v>
      </c>
      <c r="I210" s="5" t="s">
        <v>18</v>
      </c>
      <c r="J210" s="5" t="s">
        <v>18</v>
      </c>
      <c r="K210" s="11">
        <v>42000</v>
      </c>
      <c r="M210" s="5" t="s">
        <v>125</v>
      </c>
      <c r="N210" s="5" t="s">
        <v>73</v>
      </c>
      <c r="O210" s="5" t="s">
        <v>243</v>
      </c>
      <c r="P210" s="5">
        <v>30</v>
      </c>
      <c r="Q210" s="5" t="s">
        <v>143</v>
      </c>
      <c r="R210" s="5"/>
      <c r="S210" s="5" t="s">
        <v>1067</v>
      </c>
      <c r="T210" s="20" t="s">
        <v>1068</v>
      </c>
      <c r="U210" s="5" t="s">
        <v>1069</v>
      </c>
      <c r="V210" s="21" t="s">
        <v>1070</v>
      </c>
      <c r="W210" s="5" t="s">
        <v>965</v>
      </c>
      <c r="X210" s="5" t="s">
        <v>81</v>
      </c>
      <c r="Y210" s="5"/>
      <c r="Z210" s="5"/>
    </row>
    <row r="211" spans="1:28" x14ac:dyDescent="0.3">
      <c r="A211" s="5">
        <v>2501545</v>
      </c>
      <c r="B211" s="20" t="s">
        <v>1071</v>
      </c>
      <c r="C211" s="25">
        <v>45701</v>
      </c>
      <c r="D211" s="5" t="s">
        <v>19</v>
      </c>
      <c r="E211" s="5" t="s">
        <v>71</v>
      </c>
      <c r="F211" s="5" t="s">
        <v>14</v>
      </c>
      <c r="G211" s="5" t="e" vm="11">
        <v>#VALUE!</v>
      </c>
      <c r="H211" s="5">
        <v>7.08</v>
      </c>
      <c r="I211" s="5" t="s">
        <v>18</v>
      </c>
      <c r="J211" s="5" t="s">
        <v>18</v>
      </c>
      <c r="K211" s="11">
        <v>21800</v>
      </c>
      <c r="M211" s="5" t="s">
        <v>125</v>
      </c>
      <c r="N211" s="5" t="s">
        <v>73</v>
      </c>
      <c r="O211" s="5" t="s">
        <v>243</v>
      </c>
      <c r="P211" s="5">
        <v>12</v>
      </c>
      <c r="Q211" s="5" t="s">
        <v>286</v>
      </c>
      <c r="R211" s="5"/>
      <c r="S211" s="5" t="s">
        <v>1072</v>
      </c>
      <c r="T211" s="20" t="s">
        <v>1073</v>
      </c>
      <c r="U211" s="5" t="s">
        <v>1074</v>
      </c>
      <c r="V211" s="20" t="s">
        <v>1075</v>
      </c>
      <c r="W211" s="5" t="s">
        <v>965</v>
      </c>
      <c r="X211" s="5" t="s">
        <v>81</v>
      </c>
      <c r="Y211" s="5"/>
      <c r="Z211" s="5"/>
    </row>
    <row r="212" spans="1:28" x14ac:dyDescent="0.3">
      <c r="A212" s="5">
        <v>2311088</v>
      </c>
      <c r="B212" s="20" t="s">
        <v>1076</v>
      </c>
      <c r="C212" s="25">
        <v>45700</v>
      </c>
      <c r="D212" s="5" t="s">
        <v>19</v>
      </c>
      <c r="E212" s="5" t="s">
        <v>71</v>
      </c>
      <c r="F212" s="5" t="s">
        <v>14</v>
      </c>
      <c r="G212" s="5" t="e" vm="11">
        <v>#VALUE!</v>
      </c>
      <c r="H212" s="5">
        <v>10.62</v>
      </c>
      <c r="I212" s="5" t="s">
        <v>18</v>
      </c>
      <c r="J212" s="5" t="s">
        <v>18</v>
      </c>
      <c r="K212" s="11">
        <v>27000</v>
      </c>
      <c r="M212" s="5" t="s">
        <v>125</v>
      </c>
      <c r="N212" s="5" t="s">
        <v>73</v>
      </c>
      <c r="O212" s="5" t="s">
        <v>243</v>
      </c>
      <c r="P212" s="5">
        <v>18</v>
      </c>
      <c r="Q212" s="5" t="s">
        <v>111</v>
      </c>
      <c r="R212" s="5"/>
      <c r="S212" s="5" t="s">
        <v>1077</v>
      </c>
      <c r="T212" s="20" t="s">
        <v>1078</v>
      </c>
      <c r="U212" s="5" t="s">
        <v>1079</v>
      </c>
      <c r="V212" s="20" t="s">
        <v>1080</v>
      </c>
      <c r="W212" s="5" t="s">
        <v>965</v>
      </c>
      <c r="X212" s="5" t="s">
        <v>81</v>
      </c>
      <c r="Y212" s="5"/>
      <c r="Z212" s="5"/>
    </row>
    <row r="213" spans="1:28" x14ac:dyDescent="0.3">
      <c r="A213" s="5">
        <v>2502216</v>
      </c>
      <c r="B213" s="20" t="s">
        <v>1081</v>
      </c>
      <c r="C213" s="25">
        <v>45701</v>
      </c>
      <c r="D213" s="5" t="s">
        <v>19</v>
      </c>
      <c r="E213" s="5" t="s">
        <v>124</v>
      </c>
      <c r="F213" s="5" t="s">
        <v>14</v>
      </c>
      <c r="G213" s="5" t="e" vm="11">
        <v>#VALUE!</v>
      </c>
      <c r="H213" s="5">
        <v>14.16</v>
      </c>
      <c r="I213" s="5" t="s">
        <v>18</v>
      </c>
      <c r="J213" s="5" t="s">
        <v>18</v>
      </c>
      <c r="K213" s="11">
        <v>37000</v>
      </c>
      <c r="M213" s="5" t="s">
        <v>125</v>
      </c>
      <c r="N213" s="5" t="s">
        <v>73</v>
      </c>
      <c r="O213" s="5" t="s">
        <v>243</v>
      </c>
      <c r="P213" s="5">
        <v>24</v>
      </c>
      <c r="Q213" s="5" t="s">
        <v>143</v>
      </c>
      <c r="R213" s="5"/>
      <c r="S213" s="5" t="s">
        <v>1082</v>
      </c>
      <c r="T213" s="20" t="s">
        <v>1083</v>
      </c>
      <c r="U213" s="5" t="s">
        <v>1084</v>
      </c>
      <c r="V213" s="20" t="s">
        <v>1085</v>
      </c>
      <c r="W213" s="5" t="s">
        <v>965</v>
      </c>
      <c r="X213" s="5" t="s">
        <v>81</v>
      </c>
      <c r="Y213" s="5"/>
      <c r="Z213" s="5"/>
    </row>
    <row r="214" spans="1:28" x14ac:dyDescent="0.3">
      <c r="A214" s="5">
        <v>2502553</v>
      </c>
      <c r="B214" s="20" t="s">
        <v>1086</v>
      </c>
      <c r="C214" s="25">
        <v>45702</v>
      </c>
      <c r="D214" s="5" t="s">
        <v>17</v>
      </c>
      <c r="E214" s="5" t="s">
        <v>71</v>
      </c>
      <c r="F214" s="5" t="s">
        <v>14</v>
      </c>
      <c r="G214" s="5" t="e" vm="5">
        <v>#VALUE!</v>
      </c>
      <c r="H214" s="5">
        <v>17.7</v>
      </c>
      <c r="I214" s="5" t="s">
        <v>18</v>
      </c>
      <c r="J214" s="5" t="s">
        <v>18</v>
      </c>
      <c r="K214" s="11">
        <v>42000</v>
      </c>
      <c r="M214" s="5" t="s">
        <v>125</v>
      </c>
      <c r="N214" s="5" t="s">
        <v>73</v>
      </c>
      <c r="O214" s="5" t="s">
        <v>243</v>
      </c>
      <c r="P214" s="5">
        <v>30</v>
      </c>
      <c r="Q214" s="5" t="s">
        <v>143</v>
      </c>
      <c r="R214" s="5"/>
      <c r="S214" s="5" t="s">
        <v>1087</v>
      </c>
      <c r="T214" s="20" t="s">
        <v>1088</v>
      </c>
      <c r="U214" s="5" t="s">
        <v>1089</v>
      </c>
      <c r="V214" s="21" t="s">
        <v>1090</v>
      </c>
      <c r="W214" s="5" t="s">
        <v>965</v>
      </c>
      <c r="X214" s="5" t="s">
        <v>81</v>
      </c>
      <c r="Y214" s="5"/>
      <c r="Z214" s="5"/>
    </row>
    <row r="215" spans="1:28" x14ac:dyDescent="0.3">
      <c r="A215" s="5">
        <v>2502552</v>
      </c>
      <c r="B215" s="20" t="s">
        <v>1091</v>
      </c>
      <c r="C215" s="25">
        <v>45702</v>
      </c>
      <c r="D215" s="5" t="s">
        <v>17</v>
      </c>
      <c r="E215" s="5" t="s">
        <v>71</v>
      </c>
      <c r="F215" s="5" t="s">
        <v>14</v>
      </c>
      <c r="G215" s="5" t="e" vm="5">
        <v>#VALUE!</v>
      </c>
      <c r="H215" s="5">
        <v>11.8</v>
      </c>
      <c r="I215" s="5" t="s">
        <v>18</v>
      </c>
      <c r="J215" s="5" t="s">
        <v>18</v>
      </c>
      <c r="K215" s="11">
        <v>31000</v>
      </c>
      <c r="M215" s="5" t="s">
        <v>125</v>
      </c>
      <c r="N215" s="5" t="s">
        <v>73</v>
      </c>
      <c r="O215" s="5" t="s">
        <v>243</v>
      </c>
      <c r="P215" s="5">
        <v>20</v>
      </c>
      <c r="Q215" s="5" t="s">
        <v>111</v>
      </c>
      <c r="R215" s="5"/>
      <c r="S215" s="5" t="s">
        <v>1092</v>
      </c>
      <c r="T215" s="20" t="s">
        <v>1093</v>
      </c>
      <c r="U215" s="5" t="s">
        <v>1094</v>
      </c>
      <c r="V215" s="20" t="s">
        <v>1095</v>
      </c>
      <c r="W215" s="5" t="s">
        <v>965</v>
      </c>
      <c r="X215" s="5" t="s">
        <v>81</v>
      </c>
      <c r="Y215" s="5"/>
      <c r="Z215" s="5"/>
    </row>
    <row r="216" spans="1:28" x14ac:dyDescent="0.3">
      <c r="A216" s="5">
        <v>2412519</v>
      </c>
      <c r="B216" s="20" t="s">
        <v>1096</v>
      </c>
      <c r="C216" s="25">
        <v>45700</v>
      </c>
      <c r="D216" s="5" t="s">
        <v>17</v>
      </c>
      <c r="E216" s="5" t="s">
        <v>71</v>
      </c>
      <c r="F216" s="5" t="s">
        <v>14</v>
      </c>
      <c r="G216" s="5" t="e" vm="11">
        <v>#VALUE!</v>
      </c>
      <c r="H216" s="5">
        <v>7.08</v>
      </c>
      <c r="I216" s="5" t="s">
        <v>18</v>
      </c>
      <c r="J216" s="5" t="s">
        <v>18</v>
      </c>
      <c r="K216" s="11">
        <v>21500</v>
      </c>
      <c r="M216" s="5" t="s">
        <v>125</v>
      </c>
      <c r="N216" s="5" t="s">
        <v>73</v>
      </c>
      <c r="O216" s="5" t="s">
        <v>243</v>
      </c>
      <c r="P216" s="5">
        <v>12</v>
      </c>
      <c r="Q216" s="5" t="s">
        <v>286</v>
      </c>
      <c r="R216" s="5"/>
      <c r="S216" s="5" t="s">
        <v>1097</v>
      </c>
      <c r="T216" s="20" t="s">
        <v>1098</v>
      </c>
      <c r="U216" s="5" t="s">
        <v>1099</v>
      </c>
      <c r="V216" s="21" t="s">
        <v>1100</v>
      </c>
      <c r="W216" s="5" t="s">
        <v>965</v>
      </c>
      <c r="X216" s="5" t="s">
        <v>81</v>
      </c>
      <c r="Y216" s="5"/>
      <c r="Z216" s="5"/>
    </row>
    <row r="217" spans="1:28" x14ac:dyDescent="0.3">
      <c r="A217" s="5">
        <v>2502547</v>
      </c>
      <c r="B217" s="20" t="s">
        <v>1101</v>
      </c>
      <c r="C217" s="25">
        <v>45705</v>
      </c>
      <c r="D217" s="5" t="s">
        <v>17</v>
      </c>
      <c r="E217" s="5" t="s">
        <v>71</v>
      </c>
      <c r="F217" s="5" t="s">
        <v>14</v>
      </c>
      <c r="G217" s="5" t="e" vm="8">
        <v>#VALUE!</v>
      </c>
      <c r="H217" s="5">
        <v>11.8</v>
      </c>
      <c r="I217" s="5" t="s">
        <v>18</v>
      </c>
      <c r="J217" s="5" t="s">
        <v>18</v>
      </c>
      <c r="K217" s="11">
        <v>32840</v>
      </c>
      <c r="M217" s="5" t="s">
        <v>176</v>
      </c>
      <c r="N217" s="5" t="s">
        <v>73</v>
      </c>
      <c r="O217" s="5" t="s">
        <v>243</v>
      </c>
      <c r="P217" s="5">
        <v>20</v>
      </c>
      <c r="Q217" s="5" t="s">
        <v>111</v>
      </c>
      <c r="R217" s="5"/>
      <c r="S217" s="5" t="s">
        <v>1102</v>
      </c>
      <c r="T217" s="20" t="s">
        <v>1103</v>
      </c>
      <c r="U217" s="5" t="s">
        <v>1104</v>
      </c>
      <c r="V217" s="21" t="s">
        <v>1105</v>
      </c>
      <c r="W217" s="5" t="s">
        <v>965</v>
      </c>
      <c r="X217" s="5" t="s">
        <v>81</v>
      </c>
      <c r="Y217" s="5"/>
      <c r="Z217" s="5" t="s">
        <v>269</v>
      </c>
    </row>
    <row r="218" spans="1:28" x14ac:dyDescent="0.3">
      <c r="A218" s="5">
        <v>2502541</v>
      </c>
      <c r="B218" s="20" t="s">
        <v>1106</v>
      </c>
      <c r="C218" s="25">
        <v>45705</v>
      </c>
      <c r="D218" s="5" t="s">
        <v>17</v>
      </c>
      <c r="E218" s="5" t="s">
        <v>71</v>
      </c>
      <c r="F218" s="5" t="s">
        <v>14</v>
      </c>
      <c r="G218" s="5" t="e" vm="8">
        <v>#VALUE!</v>
      </c>
      <c r="H218" s="5">
        <v>7.08</v>
      </c>
      <c r="I218" s="5" t="s">
        <v>18</v>
      </c>
      <c r="J218" s="5" t="s">
        <v>18</v>
      </c>
      <c r="K218" s="11">
        <v>21500</v>
      </c>
      <c r="M218" s="5" t="s">
        <v>125</v>
      </c>
      <c r="N218" s="5" t="s">
        <v>73</v>
      </c>
      <c r="O218" s="5" t="s">
        <v>243</v>
      </c>
      <c r="P218" s="5">
        <v>12</v>
      </c>
      <c r="Q218" s="5" t="s">
        <v>286</v>
      </c>
      <c r="R218" s="5"/>
      <c r="S218" s="5" t="s">
        <v>1107</v>
      </c>
      <c r="T218" s="20" t="s">
        <v>1108</v>
      </c>
      <c r="U218" s="5" t="s">
        <v>1109</v>
      </c>
      <c r="V218" s="21" t="s">
        <v>1110</v>
      </c>
      <c r="W218" s="5" t="s">
        <v>965</v>
      </c>
      <c r="X218" s="5" t="s">
        <v>81</v>
      </c>
      <c r="Y218" s="5"/>
      <c r="Z218" s="5"/>
    </row>
    <row r="219" spans="1:28" x14ac:dyDescent="0.3">
      <c r="A219" s="5">
        <v>2502556</v>
      </c>
      <c r="B219" s="20" t="s">
        <v>1111</v>
      </c>
      <c r="C219" s="25">
        <v>45705</v>
      </c>
      <c r="D219" s="5" t="s">
        <v>22</v>
      </c>
      <c r="E219" s="5" t="s">
        <v>71</v>
      </c>
      <c r="F219" s="5" t="s">
        <v>14</v>
      </c>
      <c r="G219" s="5" t="e" vm="11">
        <v>#VALUE!</v>
      </c>
      <c r="H219" s="5">
        <v>7.08</v>
      </c>
      <c r="I219" s="5" t="s">
        <v>18</v>
      </c>
      <c r="J219" s="5" t="s">
        <v>18</v>
      </c>
      <c r="K219" s="11">
        <v>22500</v>
      </c>
      <c r="M219" s="5" t="s">
        <v>125</v>
      </c>
      <c r="N219" s="5" t="s">
        <v>73</v>
      </c>
      <c r="O219" s="5" t="s">
        <v>243</v>
      </c>
      <c r="P219" s="5">
        <v>12</v>
      </c>
      <c r="Q219" s="5" t="s">
        <v>286</v>
      </c>
      <c r="R219" s="5"/>
      <c r="S219" s="5" t="s">
        <v>1112</v>
      </c>
      <c r="T219" s="20" t="s">
        <v>1113</v>
      </c>
      <c r="U219" s="5" t="s">
        <v>1114</v>
      </c>
      <c r="V219" s="20" t="s">
        <v>1115</v>
      </c>
      <c r="W219" s="5" t="s">
        <v>965</v>
      </c>
      <c r="X219" s="5" t="s">
        <v>81</v>
      </c>
      <c r="Y219" s="5"/>
      <c r="Z219" s="5"/>
    </row>
    <row r="220" spans="1:28" x14ac:dyDescent="0.3">
      <c r="A220" s="5">
        <v>2502551</v>
      </c>
      <c r="B220" s="20" t="s">
        <v>1116</v>
      </c>
      <c r="C220" s="25">
        <v>45705</v>
      </c>
      <c r="D220" s="5" t="s">
        <v>17</v>
      </c>
      <c r="E220" s="5" t="s">
        <v>71</v>
      </c>
      <c r="F220" s="5" t="s">
        <v>14</v>
      </c>
      <c r="G220" s="5" t="e" vm="5">
        <v>#VALUE!</v>
      </c>
      <c r="H220" s="5">
        <v>14.16</v>
      </c>
      <c r="I220" s="5" t="s">
        <v>18</v>
      </c>
      <c r="J220" s="5" t="s">
        <v>18</v>
      </c>
      <c r="K220" s="11">
        <v>35000</v>
      </c>
      <c r="M220" s="5" t="s">
        <v>125</v>
      </c>
      <c r="N220" s="5" t="s">
        <v>73</v>
      </c>
      <c r="O220" s="5" t="s">
        <v>243</v>
      </c>
      <c r="P220" s="5">
        <v>24</v>
      </c>
      <c r="Q220" s="5" t="s">
        <v>143</v>
      </c>
      <c r="R220" s="5"/>
      <c r="S220" s="5" t="s">
        <v>1117</v>
      </c>
      <c r="T220" s="20" t="s">
        <v>1118</v>
      </c>
      <c r="U220" s="5" t="s">
        <v>1119</v>
      </c>
      <c r="V220" s="20" t="s">
        <v>1120</v>
      </c>
      <c r="W220" s="5" t="s">
        <v>965</v>
      </c>
      <c r="X220" s="5" t="s">
        <v>81</v>
      </c>
      <c r="Y220" s="5"/>
      <c r="Z220" s="5"/>
    </row>
    <row r="221" spans="1:28" x14ac:dyDescent="0.3">
      <c r="A221" s="5">
        <v>2502546</v>
      </c>
      <c r="B221" s="20" t="s">
        <v>1121</v>
      </c>
      <c r="C221" s="25">
        <v>45705</v>
      </c>
      <c r="D221" s="5" t="s">
        <v>17</v>
      </c>
      <c r="E221" s="5" t="s">
        <v>71</v>
      </c>
      <c r="F221" s="5" t="s">
        <v>14</v>
      </c>
      <c r="G221" s="5" t="e" vm="5">
        <v>#VALUE!</v>
      </c>
      <c r="H221" s="5">
        <v>7.08</v>
      </c>
      <c r="I221" s="5" t="s">
        <v>18</v>
      </c>
      <c r="J221" s="5" t="s">
        <v>18</v>
      </c>
      <c r="K221" s="11">
        <v>22500</v>
      </c>
      <c r="M221" s="5" t="s">
        <v>125</v>
      </c>
      <c r="N221" s="5" t="s">
        <v>73</v>
      </c>
      <c r="O221" s="5" t="s">
        <v>243</v>
      </c>
      <c r="P221" s="5">
        <v>12</v>
      </c>
      <c r="Q221" s="5" t="s">
        <v>244</v>
      </c>
      <c r="R221" s="5"/>
      <c r="S221" s="5" t="s">
        <v>1122</v>
      </c>
      <c r="T221" s="20" t="s">
        <v>1123</v>
      </c>
      <c r="U221" s="5" t="s">
        <v>1124</v>
      </c>
      <c r="V221" s="21" t="s">
        <v>1125</v>
      </c>
      <c r="W221" s="5" t="s">
        <v>965</v>
      </c>
      <c r="X221" s="5" t="s">
        <v>81</v>
      </c>
      <c r="Y221" s="5"/>
      <c r="Z221" s="5"/>
    </row>
    <row r="222" spans="1:28" x14ac:dyDescent="0.3">
      <c r="A222" s="5">
        <v>2502559</v>
      </c>
      <c r="B222" s="20" t="s">
        <v>1126</v>
      </c>
      <c r="C222" s="25">
        <v>45706</v>
      </c>
      <c r="D222" s="5" t="s">
        <v>19</v>
      </c>
      <c r="E222" s="5" t="s">
        <v>71</v>
      </c>
      <c r="F222" s="5" t="s">
        <v>14</v>
      </c>
      <c r="G222" s="5" t="e" vm="11">
        <v>#VALUE!</v>
      </c>
      <c r="H222" s="5">
        <v>9.44</v>
      </c>
      <c r="I222" s="5" t="s">
        <v>18</v>
      </c>
      <c r="J222" s="5" t="s">
        <v>18</v>
      </c>
      <c r="K222" s="11">
        <v>28000</v>
      </c>
      <c r="M222" s="5" t="s">
        <v>125</v>
      </c>
      <c r="N222" s="5" t="s">
        <v>73</v>
      </c>
      <c r="O222" s="5" t="s">
        <v>243</v>
      </c>
      <c r="P222" s="5">
        <v>16</v>
      </c>
      <c r="Q222" s="14" t="s">
        <v>364</v>
      </c>
      <c r="R222" s="5"/>
      <c r="S222" s="5" t="s">
        <v>1127</v>
      </c>
      <c r="T222" s="20" t="s">
        <v>1128</v>
      </c>
      <c r="U222" s="5" t="s">
        <v>1129</v>
      </c>
      <c r="V222" s="20" t="s">
        <v>1130</v>
      </c>
      <c r="W222" s="5" t="s">
        <v>965</v>
      </c>
      <c r="X222" s="5" t="s">
        <v>81</v>
      </c>
      <c r="Y222" s="5"/>
      <c r="Z222" s="5"/>
    </row>
    <row r="223" spans="1:28" x14ac:dyDescent="0.3">
      <c r="A223" s="5">
        <v>2501537</v>
      </c>
      <c r="B223" s="20" t="s">
        <v>1131</v>
      </c>
      <c r="C223" s="25">
        <v>45705</v>
      </c>
      <c r="D223" s="5" t="s">
        <v>17</v>
      </c>
      <c r="E223" s="5" t="s">
        <v>71</v>
      </c>
      <c r="F223" s="5" t="s">
        <v>14</v>
      </c>
      <c r="G223" s="5" t="e" vm="12">
        <v>#VALUE!</v>
      </c>
      <c r="H223" s="5">
        <v>12.39</v>
      </c>
      <c r="I223" s="5" t="s">
        <v>18</v>
      </c>
      <c r="J223" s="5" t="s">
        <v>18</v>
      </c>
      <c r="K223" s="11">
        <v>33800</v>
      </c>
      <c r="M223" s="5" t="s">
        <v>176</v>
      </c>
      <c r="N223" s="5" t="s">
        <v>73</v>
      </c>
      <c r="O223" s="5" t="s">
        <v>243</v>
      </c>
      <c r="P223" s="5">
        <v>21</v>
      </c>
      <c r="Q223" s="5" t="s">
        <v>111</v>
      </c>
      <c r="R223" s="5"/>
      <c r="S223" s="5" t="s">
        <v>1132</v>
      </c>
      <c r="T223" s="20" t="s">
        <v>1133</v>
      </c>
      <c r="U223" s="5" t="s">
        <v>1134</v>
      </c>
      <c r="V223" s="21" t="s">
        <v>1135</v>
      </c>
      <c r="W223" s="5" t="s">
        <v>965</v>
      </c>
      <c r="X223" s="5" t="s">
        <v>81</v>
      </c>
      <c r="Y223" s="5"/>
      <c r="Z223" s="5" t="s">
        <v>269</v>
      </c>
    </row>
    <row r="224" spans="1:28" x14ac:dyDescent="0.3">
      <c r="A224" s="5">
        <v>2502550</v>
      </c>
      <c r="B224" s="20" t="s">
        <v>1136</v>
      </c>
      <c r="C224" s="25">
        <v>45706</v>
      </c>
      <c r="D224" s="5" t="s">
        <v>19</v>
      </c>
      <c r="E224" s="5" t="s">
        <v>71</v>
      </c>
      <c r="F224" s="5" t="s">
        <v>14</v>
      </c>
      <c r="G224" s="5" t="e" vm="4">
        <v>#VALUE!</v>
      </c>
      <c r="H224" s="5">
        <v>14.75</v>
      </c>
      <c r="I224" s="5" t="s">
        <v>18</v>
      </c>
      <c r="J224" s="5" t="s">
        <v>18</v>
      </c>
      <c r="K224" s="11">
        <v>37500</v>
      </c>
      <c r="M224" s="5" t="s">
        <v>125</v>
      </c>
      <c r="N224" s="5" t="s">
        <v>73</v>
      </c>
      <c r="O224" s="5" t="s">
        <v>243</v>
      </c>
      <c r="P224" s="5">
        <v>25</v>
      </c>
      <c r="Q224" s="5" t="s">
        <v>143</v>
      </c>
      <c r="R224" s="5"/>
      <c r="S224" s="5" t="s">
        <v>1137</v>
      </c>
      <c r="T224" s="20" t="s">
        <v>1138</v>
      </c>
      <c r="U224" s="5" t="s">
        <v>1139</v>
      </c>
      <c r="V224" s="20" t="s">
        <v>1140</v>
      </c>
      <c r="W224" s="5" t="s">
        <v>80</v>
      </c>
      <c r="X224" s="5" t="s">
        <v>81</v>
      </c>
      <c r="Y224" s="5"/>
      <c r="Z224" s="5"/>
    </row>
    <row r="225" spans="1:28" x14ac:dyDescent="0.3">
      <c r="A225" s="5">
        <v>2502543</v>
      </c>
      <c r="B225" s="20" t="s">
        <v>1141</v>
      </c>
      <c r="C225" s="25">
        <v>45701</v>
      </c>
      <c r="D225" s="5" t="s">
        <v>21</v>
      </c>
      <c r="E225" s="5" t="s">
        <v>71</v>
      </c>
      <c r="F225" s="5" t="s">
        <v>14</v>
      </c>
      <c r="G225" s="5" t="e" vm="5">
        <v>#VALUE!</v>
      </c>
      <c r="H225" s="5">
        <v>7.08</v>
      </c>
      <c r="I225" s="5"/>
      <c r="J225" s="5"/>
      <c r="K225" s="11">
        <v>22000</v>
      </c>
      <c r="M225" s="5" t="s">
        <v>125</v>
      </c>
      <c r="N225" s="5" t="s">
        <v>73</v>
      </c>
      <c r="O225" s="5" t="s">
        <v>243</v>
      </c>
      <c r="P225" s="5">
        <v>12</v>
      </c>
      <c r="Q225" s="5" t="s">
        <v>286</v>
      </c>
      <c r="R225" s="5"/>
      <c r="S225" s="5" t="s">
        <v>1142</v>
      </c>
      <c r="T225" s="20" t="s">
        <v>1143</v>
      </c>
      <c r="U225" s="5" t="s">
        <v>1144</v>
      </c>
      <c r="V225" s="21" t="s">
        <v>1145</v>
      </c>
      <c r="W225" s="5" t="s">
        <v>109</v>
      </c>
      <c r="X225" s="5" t="s">
        <v>81</v>
      </c>
      <c r="Y225" s="5"/>
      <c r="Z225" s="5"/>
    </row>
    <row r="226" spans="1:28" x14ac:dyDescent="0.3">
      <c r="A226" s="5">
        <v>2502560</v>
      </c>
      <c r="B226" s="20" t="s">
        <v>1146</v>
      </c>
      <c r="C226" s="25">
        <v>45708</v>
      </c>
      <c r="D226" s="5" t="s">
        <v>17</v>
      </c>
      <c r="E226" s="5" t="s">
        <v>71</v>
      </c>
      <c r="F226" s="5" t="s">
        <v>14</v>
      </c>
      <c r="G226" s="5" t="e" vm="8">
        <v>#VALUE!</v>
      </c>
      <c r="H226" s="5">
        <v>14.16</v>
      </c>
      <c r="I226" s="5"/>
      <c r="J226" s="5"/>
      <c r="K226" s="11">
        <v>35000</v>
      </c>
      <c r="M226" s="5" t="s">
        <v>125</v>
      </c>
      <c r="N226" s="5" t="s">
        <v>73</v>
      </c>
      <c r="O226" s="5" t="s">
        <v>243</v>
      </c>
      <c r="P226" s="5">
        <v>24</v>
      </c>
      <c r="Q226" s="5" t="s">
        <v>143</v>
      </c>
      <c r="R226" s="5"/>
      <c r="S226" s="5" t="s">
        <v>1147</v>
      </c>
      <c r="T226" s="20" t="s">
        <v>1148</v>
      </c>
      <c r="U226" s="5" t="s">
        <v>1149</v>
      </c>
      <c r="V226" s="21" t="s">
        <v>1150</v>
      </c>
      <c r="W226" s="5" t="s">
        <v>965</v>
      </c>
      <c r="X226" s="5" t="s">
        <v>81</v>
      </c>
      <c r="Y226" s="5"/>
      <c r="Z226" s="5" t="s">
        <v>269</v>
      </c>
    </row>
    <row r="227" spans="1:28" x14ac:dyDescent="0.3">
      <c r="A227" s="5" t="s">
        <v>1151</v>
      </c>
      <c r="B227" s="20" t="s">
        <v>1152</v>
      </c>
      <c r="C227" s="25">
        <v>45713</v>
      </c>
      <c r="D227" s="5" t="s">
        <v>17</v>
      </c>
      <c r="E227" s="5" t="s">
        <v>71</v>
      </c>
      <c r="F227" s="5" t="s">
        <v>14</v>
      </c>
      <c r="G227" s="5" t="e" vm="12">
        <v>#VALUE!</v>
      </c>
      <c r="H227" s="5">
        <v>17.7</v>
      </c>
      <c r="I227" s="5"/>
      <c r="J227" s="5"/>
      <c r="K227" s="11">
        <v>43000</v>
      </c>
      <c r="M227" s="5" t="s">
        <v>125</v>
      </c>
      <c r="N227" s="5" t="s">
        <v>73</v>
      </c>
      <c r="O227" s="5" t="s">
        <v>243</v>
      </c>
      <c r="P227" s="5">
        <v>30</v>
      </c>
      <c r="Q227" s="5" t="s">
        <v>143</v>
      </c>
      <c r="R227" s="5"/>
      <c r="S227" s="5" t="s">
        <v>1153</v>
      </c>
      <c r="T227" s="20" t="s">
        <v>1154</v>
      </c>
      <c r="U227" s="5" t="s">
        <v>1155</v>
      </c>
      <c r="V227" s="21" t="s">
        <v>1156</v>
      </c>
      <c r="W227" s="5" t="s">
        <v>965</v>
      </c>
      <c r="X227" s="5" t="s">
        <v>81</v>
      </c>
      <c r="Y227" s="5"/>
      <c r="Z227" s="5"/>
    </row>
    <row r="228" spans="1:28" x14ac:dyDescent="0.3">
      <c r="A228" s="5">
        <v>2502569</v>
      </c>
      <c r="B228" s="20" t="s">
        <v>1157</v>
      </c>
      <c r="C228" s="25">
        <v>45712</v>
      </c>
      <c r="D228" s="5" t="s">
        <v>21</v>
      </c>
      <c r="E228" s="5" t="s">
        <v>71</v>
      </c>
      <c r="F228" s="5" t="s">
        <v>14</v>
      </c>
      <c r="G228" s="5" t="e" vm="5">
        <v>#VALUE!</v>
      </c>
      <c r="H228" s="5">
        <v>8.85</v>
      </c>
      <c r="I228" s="5"/>
      <c r="J228" s="5"/>
      <c r="K228" s="11">
        <v>29228</v>
      </c>
      <c r="M228" s="5" t="s">
        <v>176</v>
      </c>
      <c r="N228" s="5" t="s">
        <v>73</v>
      </c>
      <c r="O228" s="5" t="s">
        <v>243</v>
      </c>
      <c r="P228" s="5">
        <v>15</v>
      </c>
      <c r="Q228" s="14" t="s">
        <v>364</v>
      </c>
      <c r="R228" s="5"/>
      <c r="S228" s="5" t="s">
        <v>1158</v>
      </c>
      <c r="T228" s="20" t="s">
        <v>1159</v>
      </c>
      <c r="U228" s="5" t="s">
        <v>1160</v>
      </c>
      <c r="V228" s="21" t="s">
        <v>1161</v>
      </c>
      <c r="W228" s="5" t="s">
        <v>965</v>
      </c>
      <c r="X228" s="5" t="s">
        <v>81</v>
      </c>
      <c r="Y228" s="5"/>
      <c r="Z228" s="5"/>
    </row>
    <row r="229" spans="1:28" x14ac:dyDescent="0.3">
      <c r="A229" s="5">
        <v>2502565</v>
      </c>
      <c r="B229" s="20" t="s">
        <v>1162</v>
      </c>
      <c r="C229" s="25">
        <v>45713</v>
      </c>
      <c r="D229" s="5" t="s">
        <v>20</v>
      </c>
      <c r="E229" s="5" t="s">
        <v>71</v>
      </c>
      <c r="F229" s="5" t="s">
        <v>14</v>
      </c>
      <c r="G229" s="5" t="e" vm="5">
        <v>#VALUE!</v>
      </c>
      <c r="H229" s="5">
        <v>7.67</v>
      </c>
      <c r="I229" s="5"/>
      <c r="J229" s="5"/>
      <c r="K229" s="11">
        <v>21500</v>
      </c>
      <c r="M229" s="5" t="s">
        <v>125</v>
      </c>
      <c r="N229" s="5" t="s">
        <v>73</v>
      </c>
      <c r="O229" s="5" t="s">
        <v>243</v>
      </c>
      <c r="P229" s="5">
        <v>13</v>
      </c>
      <c r="Q229" s="14" t="s">
        <v>244</v>
      </c>
      <c r="R229" s="5"/>
      <c r="S229" s="5" t="s">
        <v>1163</v>
      </c>
      <c r="T229" s="20" t="s">
        <v>1164</v>
      </c>
      <c r="U229" s="5" t="s">
        <v>1165</v>
      </c>
      <c r="V229" s="21" t="s">
        <v>1166</v>
      </c>
      <c r="W229" s="5" t="s">
        <v>965</v>
      </c>
      <c r="X229" s="5" t="s">
        <v>81</v>
      </c>
      <c r="Y229" s="5"/>
      <c r="Z229" s="5"/>
    </row>
    <row r="230" spans="1:28" x14ac:dyDescent="0.3">
      <c r="A230" s="5">
        <v>2502549</v>
      </c>
      <c r="B230" s="20" t="s">
        <v>1167</v>
      </c>
      <c r="C230" s="25">
        <v>45715</v>
      </c>
      <c r="D230" s="5" t="s">
        <v>22</v>
      </c>
      <c r="E230" s="5" t="s">
        <v>71</v>
      </c>
      <c r="F230" s="5" t="s">
        <v>14</v>
      </c>
      <c r="G230" s="5" t="e" vm="11">
        <v>#VALUE!</v>
      </c>
      <c r="H230" s="5">
        <v>14.16</v>
      </c>
      <c r="I230" s="5"/>
      <c r="J230" s="5"/>
      <c r="K230" s="11">
        <v>35000</v>
      </c>
      <c r="M230" s="5" t="s">
        <v>125</v>
      </c>
      <c r="N230" s="5" t="s">
        <v>73</v>
      </c>
      <c r="O230" s="5" t="s">
        <v>243</v>
      </c>
      <c r="P230" s="5">
        <v>24</v>
      </c>
      <c r="Q230" s="5" t="s">
        <v>143</v>
      </c>
      <c r="R230" s="5"/>
      <c r="S230" s="5" t="s">
        <v>1168</v>
      </c>
      <c r="T230" s="20" t="s">
        <v>1169</v>
      </c>
      <c r="U230" s="5" t="s">
        <v>1170</v>
      </c>
      <c r="V230" s="20" t="s">
        <v>1171</v>
      </c>
      <c r="W230" s="5" t="s">
        <v>965</v>
      </c>
      <c r="X230" s="5" t="s">
        <v>81</v>
      </c>
      <c r="Y230" s="5"/>
      <c r="Z230" s="5"/>
    </row>
    <row r="231" spans="1:28" x14ac:dyDescent="0.3">
      <c r="A231" s="5">
        <v>2405286</v>
      </c>
      <c r="B231" s="20" t="s">
        <v>1172</v>
      </c>
      <c r="C231" s="25">
        <v>45716</v>
      </c>
      <c r="D231" s="5" t="s">
        <v>17</v>
      </c>
      <c r="E231" s="5" t="s">
        <v>71</v>
      </c>
      <c r="F231" s="5" t="s">
        <v>14</v>
      </c>
      <c r="G231" s="5" t="e" vm="5">
        <v>#VALUE!</v>
      </c>
      <c r="H231" s="5">
        <v>17.7</v>
      </c>
      <c r="I231" s="5"/>
      <c r="J231" s="5"/>
      <c r="K231" s="11">
        <v>41000</v>
      </c>
      <c r="M231" s="5" t="s">
        <v>125</v>
      </c>
      <c r="N231" s="5" t="s">
        <v>73</v>
      </c>
      <c r="O231" s="5" t="s">
        <v>243</v>
      </c>
      <c r="P231" s="5">
        <v>30</v>
      </c>
      <c r="Q231" s="5" t="s">
        <v>143</v>
      </c>
      <c r="R231" s="5"/>
      <c r="S231" s="5" t="s">
        <v>1173</v>
      </c>
      <c r="T231" s="20" t="s">
        <v>1174</v>
      </c>
      <c r="U231" s="5" t="s">
        <v>1175</v>
      </c>
      <c r="V231" s="21" t="s">
        <v>1176</v>
      </c>
      <c r="W231" s="5" t="s">
        <v>965</v>
      </c>
      <c r="X231" s="5" t="s">
        <v>81</v>
      </c>
      <c r="Y231" s="5"/>
      <c r="Z231" s="5"/>
    </row>
    <row r="232" spans="1:28" x14ac:dyDescent="0.3">
      <c r="A232" s="5">
        <v>2501527</v>
      </c>
      <c r="B232" s="20" t="s">
        <v>1177</v>
      </c>
      <c r="C232" s="25">
        <v>45718</v>
      </c>
      <c r="D232" s="5" t="s">
        <v>17</v>
      </c>
      <c r="E232" s="5" t="s">
        <v>71</v>
      </c>
      <c r="F232" s="5" t="s">
        <v>14</v>
      </c>
      <c r="G232" s="5" t="e" vm="11">
        <v>#VALUE!</v>
      </c>
      <c r="H232" s="5">
        <v>11.8</v>
      </c>
      <c r="I232" s="5"/>
      <c r="J232" s="5"/>
      <c r="K232" s="11">
        <v>31000</v>
      </c>
      <c r="M232" s="5" t="s">
        <v>125</v>
      </c>
      <c r="N232" s="5" t="s">
        <v>73</v>
      </c>
      <c r="O232" s="5" t="s">
        <v>243</v>
      </c>
      <c r="P232" s="5">
        <v>20</v>
      </c>
      <c r="Q232" s="5" t="s">
        <v>111</v>
      </c>
      <c r="R232" s="5"/>
      <c r="S232" s="5" t="s">
        <v>1178</v>
      </c>
      <c r="T232" s="20" t="s">
        <v>1179</v>
      </c>
      <c r="U232" s="5" t="s">
        <v>1180</v>
      </c>
      <c r="V232" s="20" t="s">
        <v>1181</v>
      </c>
      <c r="W232" s="5" t="s">
        <v>965</v>
      </c>
      <c r="X232" s="5" t="s">
        <v>81</v>
      </c>
      <c r="Y232" s="5"/>
      <c r="Z232" s="5"/>
    </row>
    <row r="233" spans="1:28" x14ac:dyDescent="0.3">
      <c r="A233" s="5">
        <v>2501529</v>
      </c>
      <c r="B233" s="20" t="s">
        <v>1182</v>
      </c>
      <c r="C233" s="25">
        <v>45718</v>
      </c>
      <c r="D233" s="5" t="s">
        <v>17</v>
      </c>
      <c r="E233" s="5" t="s">
        <v>71</v>
      </c>
      <c r="F233" s="5" t="s">
        <v>14</v>
      </c>
      <c r="G233" s="5" t="e" vm="11">
        <v>#VALUE!</v>
      </c>
      <c r="H233" s="5">
        <v>10.62</v>
      </c>
      <c r="I233" s="5"/>
      <c r="J233" s="5"/>
      <c r="K233" s="11">
        <v>29000</v>
      </c>
      <c r="M233" s="5" t="s">
        <v>125</v>
      </c>
      <c r="N233" s="5" t="s">
        <v>73</v>
      </c>
      <c r="O233" s="5" t="s">
        <v>243</v>
      </c>
      <c r="P233" s="5">
        <v>18</v>
      </c>
      <c r="Q233" s="14" t="s">
        <v>364</v>
      </c>
      <c r="R233" s="5"/>
      <c r="S233" s="5" t="s">
        <v>1183</v>
      </c>
      <c r="T233" s="20" t="s">
        <v>1184</v>
      </c>
      <c r="U233" s="5" t="s">
        <v>1180</v>
      </c>
      <c r="V233" s="20" t="s">
        <v>1181</v>
      </c>
      <c r="W233" s="5" t="s">
        <v>965</v>
      </c>
      <c r="X233" s="5" t="s">
        <v>81</v>
      </c>
      <c r="Y233" s="5"/>
      <c r="Z233" s="5"/>
    </row>
    <row r="234" spans="1:28" x14ac:dyDescent="0.3">
      <c r="A234" s="5">
        <v>2502581</v>
      </c>
      <c r="B234" s="20" t="s">
        <v>1185</v>
      </c>
      <c r="C234" s="25">
        <v>45717</v>
      </c>
      <c r="D234" s="5" t="s">
        <v>17</v>
      </c>
      <c r="E234" s="5" t="s">
        <v>71</v>
      </c>
      <c r="F234" s="5" t="s">
        <v>14</v>
      </c>
      <c r="G234" s="5" t="e" vm="5">
        <v>#VALUE!</v>
      </c>
      <c r="H234" s="5">
        <v>7.08</v>
      </c>
      <c r="I234" s="5"/>
      <c r="J234" s="5"/>
      <c r="K234" s="11">
        <v>22340</v>
      </c>
      <c r="M234" s="5" t="s">
        <v>176</v>
      </c>
      <c r="N234" s="5" t="s">
        <v>73</v>
      </c>
      <c r="O234" s="5" t="s">
        <v>243</v>
      </c>
      <c r="P234" s="5">
        <v>12</v>
      </c>
      <c r="Q234" s="5" t="s">
        <v>286</v>
      </c>
      <c r="R234" s="5"/>
      <c r="S234" s="5" t="s">
        <v>1186</v>
      </c>
      <c r="T234" s="20" t="s">
        <v>1187</v>
      </c>
      <c r="U234" s="5" t="s">
        <v>1188</v>
      </c>
      <c r="V234" s="20" t="s">
        <v>1189</v>
      </c>
      <c r="W234" s="5" t="s">
        <v>965</v>
      </c>
      <c r="X234" s="5" t="s">
        <v>81</v>
      </c>
      <c r="Y234" s="5"/>
      <c r="Z234" s="5"/>
    </row>
    <row r="235" spans="1:28" x14ac:dyDescent="0.3">
      <c r="A235" s="5">
        <v>2501540</v>
      </c>
      <c r="B235" s="20" t="s">
        <v>1190</v>
      </c>
      <c r="C235" s="25">
        <v>45716</v>
      </c>
      <c r="D235" s="5" t="s">
        <v>22</v>
      </c>
      <c r="E235" s="5" t="s">
        <v>71</v>
      </c>
      <c r="F235" s="5" t="s">
        <v>14</v>
      </c>
      <c r="G235" s="5" t="e" vm="11">
        <v>#VALUE!</v>
      </c>
      <c r="H235" s="5">
        <v>7.08</v>
      </c>
      <c r="I235" s="5"/>
      <c r="J235" s="5"/>
      <c r="K235" s="11">
        <v>23429</v>
      </c>
      <c r="M235" s="5" t="s">
        <v>1191</v>
      </c>
      <c r="N235" s="5" t="s">
        <v>73</v>
      </c>
      <c r="O235" s="5" t="s">
        <v>243</v>
      </c>
      <c r="P235" s="5">
        <v>12</v>
      </c>
      <c r="Q235" s="5" t="s">
        <v>286</v>
      </c>
      <c r="R235" s="5"/>
      <c r="S235" s="5" t="s">
        <v>1192</v>
      </c>
      <c r="T235" s="20" t="s">
        <v>1193</v>
      </c>
      <c r="U235" s="5" t="s">
        <v>1194</v>
      </c>
      <c r="V235" s="20" t="s">
        <v>1195</v>
      </c>
      <c r="W235" s="5" t="s">
        <v>965</v>
      </c>
      <c r="X235" s="5" t="s">
        <v>81</v>
      </c>
      <c r="Y235" s="5"/>
      <c r="Z235" s="5"/>
    </row>
    <row r="236" spans="1:28" x14ac:dyDescent="0.3">
      <c r="A236" s="5">
        <v>2502571</v>
      </c>
      <c r="B236" s="20" t="s">
        <v>1196</v>
      </c>
      <c r="C236" s="25">
        <v>45718</v>
      </c>
      <c r="D236" s="5" t="s">
        <v>17</v>
      </c>
      <c r="E236" s="5" t="s">
        <v>71</v>
      </c>
      <c r="F236" s="5" t="s">
        <v>14</v>
      </c>
      <c r="G236" s="5" t="e" vm="12">
        <v>#VALUE!</v>
      </c>
      <c r="H236" s="5">
        <v>11.8</v>
      </c>
      <c r="I236" s="5"/>
      <c r="J236" s="5"/>
      <c r="K236" s="11">
        <v>32840</v>
      </c>
      <c r="M236" s="5" t="s">
        <v>176</v>
      </c>
      <c r="N236" s="5" t="s">
        <v>73</v>
      </c>
      <c r="O236" s="5" t="s">
        <v>243</v>
      </c>
      <c r="P236" s="5">
        <v>20</v>
      </c>
      <c r="Q236" s="5" t="s">
        <v>111</v>
      </c>
      <c r="R236" s="5"/>
      <c r="S236" s="5" t="s">
        <v>1197</v>
      </c>
      <c r="T236" s="20" t="s">
        <v>1198</v>
      </c>
      <c r="U236" s="5" t="s">
        <v>1199</v>
      </c>
      <c r="V236" s="21" t="s">
        <v>1200</v>
      </c>
      <c r="W236" s="5" t="s">
        <v>965</v>
      </c>
      <c r="X236" s="5" t="s">
        <v>81</v>
      </c>
      <c r="Y236" s="5"/>
      <c r="Z236" s="5"/>
    </row>
    <row r="237" spans="1:28" x14ac:dyDescent="0.3">
      <c r="A237" s="5">
        <v>2502568</v>
      </c>
      <c r="B237" s="20" t="s">
        <v>1201</v>
      </c>
      <c r="C237" s="25">
        <v>45716</v>
      </c>
      <c r="D237" s="5" t="s">
        <v>17</v>
      </c>
      <c r="E237" s="5" t="s">
        <v>71</v>
      </c>
      <c r="F237" s="5" t="s">
        <v>14</v>
      </c>
      <c r="G237" s="5" t="e" vm="5">
        <v>#VALUE!</v>
      </c>
      <c r="H237" s="5">
        <v>7.08</v>
      </c>
      <c r="I237" s="5"/>
      <c r="J237" s="5"/>
      <c r="K237" s="11">
        <v>25280</v>
      </c>
      <c r="M237" s="5" t="s">
        <v>176</v>
      </c>
      <c r="N237" s="5" t="s">
        <v>73</v>
      </c>
      <c r="O237" s="5" t="s">
        <v>243</v>
      </c>
      <c r="P237" s="5">
        <v>12</v>
      </c>
      <c r="Q237" s="5" t="s">
        <v>1202</v>
      </c>
      <c r="R237" s="5"/>
      <c r="S237" s="5" t="s">
        <v>1203</v>
      </c>
      <c r="T237" s="20" t="s">
        <v>1204</v>
      </c>
      <c r="U237" s="5" t="s">
        <v>1205</v>
      </c>
      <c r="V237" s="21" t="s">
        <v>1206</v>
      </c>
      <c r="W237" s="5" t="s">
        <v>965</v>
      </c>
      <c r="X237" s="5" t="s">
        <v>81</v>
      </c>
      <c r="Y237" s="5"/>
      <c r="Z237" s="5"/>
      <c r="AB237" s="20" t="s">
        <v>1207</v>
      </c>
    </row>
    <row r="238" spans="1:28" x14ac:dyDescent="0.3">
      <c r="A238" s="5">
        <v>2404258</v>
      </c>
      <c r="B238" s="20" t="s">
        <v>1208</v>
      </c>
      <c r="C238" s="25">
        <v>45722</v>
      </c>
      <c r="D238" s="5" t="s">
        <v>17</v>
      </c>
      <c r="E238" s="5" t="s">
        <v>71</v>
      </c>
      <c r="F238" s="5" t="s">
        <v>14</v>
      </c>
      <c r="G238" s="5" t="e" vm="5">
        <v>#VALUE!</v>
      </c>
      <c r="H238" s="5">
        <v>9.44</v>
      </c>
      <c r="I238" s="5"/>
      <c r="J238" s="5"/>
      <c r="K238" s="11">
        <v>27000</v>
      </c>
      <c r="M238" s="5" t="s">
        <v>125</v>
      </c>
      <c r="N238" s="5" t="s">
        <v>73</v>
      </c>
      <c r="O238" s="5" t="s">
        <v>243</v>
      </c>
      <c r="P238" s="5">
        <v>16</v>
      </c>
      <c r="Q238" s="14" t="s">
        <v>364</v>
      </c>
      <c r="R238" s="5"/>
      <c r="S238" s="5" t="s">
        <v>1209</v>
      </c>
      <c r="T238" s="20" t="s">
        <v>1210</v>
      </c>
      <c r="U238" s="5" t="s">
        <v>1211</v>
      </c>
      <c r="V238" s="21" t="s">
        <v>1212</v>
      </c>
      <c r="W238" s="5" t="s">
        <v>965</v>
      </c>
      <c r="X238" s="5" t="s">
        <v>81</v>
      </c>
      <c r="Y238" s="5"/>
      <c r="Z238" s="5"/>
    </row>
    <row r="239" spans="1:28" x14ac:dyDescent="0.3">
      <c r="A239" s="5">
        <v>2503588</v>
      </c>
      <c r="B239" s="20" t="s">
        <v>1213</v>
      </c>
      <c r="C239" s="25">
        <v>45722</v>
      </c>
      <c r="D239" s="5" t="s">
        <v>17</v>
      </c>
      <c r="E239" s="5" t="s">
        <v>71</v>
      </c>
      <c r="F239" s="5" t="s">
        <v>14</v>
      </c>
      <c r="G239" s="5" t="e" vm="8">
        <v>#VALUE!</v>
      </c>
      <c r="H239" s="5">
        <v>7.08</v>
      </c>
      <c r="I239" s="5"/>
      <c r="J239" s="5"/>
      <c r="K239" s="11">
        <v>22500</v>
      </c>
      <c r="M239" s="5" t="s">
        <v>125</v>
      </c>
      <c r="N239" s="5" t="s">
        <v>73</v>
      </c>
      <c r="O239" s="5" t="s">
        <v>243</v>
      </c>
      <c r="P239" s="5">
        <v>12</v>
      </c>
      <c r="Q239" s="5" t="s">
        <v>286</v>
      </c>
      <c r="R239" s="5"/>
      <c r="S239" s="5" t="s">
        <v>1214</v>
      </c>
      <c r="T239" s="20" t="s">
        <v>1215</v>
      </c>
      <c r="U239" s="5" t="s">
        <v>1216</v>
      </c>
      <c r="V239" s="21" t="s">
        <v>1217</v>
      </c>
      <c r="W239" s="5" t="s">
        <v>965</v>
      </c>
      <c r="X239" s="5" t="s">
        <v>81</v>
      </c>
      <c r="Y239" s="5"/>
      <c r="Z239" s="5"/>
    </row>
    <row r="240" spans="1:28" x14ac:dyDescent="0.3">
      <c r="A240" s="5">
        <v>2502561</v>
      </c>
      <c r="B240" s="20" t="s">
        <v>1218</v>
      </c>
      <c r="C240" s="25">
        <v>45723</v>
      </c>
      <c r="D240" s="5" t="s">
        <v>17</v>
      </c>
      <c r="E240" s="5" t="s">
        <v>71</v>
      </c>
      <c r="F240" s="5" t="s">
        <v>14</v>
      </c>
      <c r="G240" s="5" t="e" vm="8">
        <v>#VALUE!</v>
      </c>
      <c r="H240" s="5">
        <v>15.93</v>
      </c>
      <c r="I240" s="5"/>
      <c r="J240" s="5"/>
      <c r="K240" s="11">
        <v>38000</v>
      </c>
      <c r="M240" s="5" t="s">
        <v>125</v>
      </c>
      <c r="N240" s="5" t="s">
        <v>73</v>
      </c>
      <c r="O240" s="5" t="s">
        <v>243</v>
      </c>
      <c r="P240" s="5">
        <v>27</v>
      </c>
      <c r="Q240" s="5" t="s">
        <v>143</v>
      </c>
      <c r="R240" s="5"/>
      <c r="S240" s="5" t="s">
        <v>1219</v>
      </c>
      <c r="T240" s="20" t="s">
        <v>1220</v>
      </c>
      <c r="U240" s="5" t="s">
        <v>1221</v>
      </c>
      <c r="V240" s="21" t="s">
        <v>1222</v>
      </c>
      <c r="W240" s="5" t="s">
        <v>965</v>
      </c>
      <c r="X240" s="5" t="s">
        <v>81</v>
      </c>
      <c r="Y240" s="5"/>
      <c r="Z240" s="5" t="s">
        <v>269</v>
      </c>
    </row>
    <row r="241" spans="1:28" x14ac:dyDescent="0.3">
      <c r="A241" s="5">
        <v>2503590</v>
      </c>
      <c r="B241" s="20" t="s">
        <v>1223</v>
      </c>
      <c r="C241" s="25">
        <v>45723</v>
      </c>
      <c r="D241" s="5" t="s">
        <v>17</v>
      </c>
      <c r="E241" s="5" t="s">
        <v>71</v>
      </c>
      <c r="F241" s="5" t="s">
        <v>14</v>
      </c>
      <c r="G241" s="5" t="e" vm="5">
        <v>#VALUE!</v>
      </c>
      <c r="H241" s="5">
        <v>14.16</v>
      </c>
      <c r="I241" s="5"/>
      <c r="J241" s="5"/>
      <c r="K241" s="11">
        <v>39680</v>
      </c>
      <c r="M241" s="5" t="s">
        <v>176</v>
      </c>
      <c r="N241" s="5" t="s">
        <v>73</v>
      </c>
      <c r="O241" s="5" t="s">
        <v>243</v>
      </c>
      <c r="P241" s="5">
        <v>24</v>
      </c>
      <c r="Q241" s="5" t="s">
        <v>143</v>
      </c>
      <c r="R241" s="5"/>
      <c r="S241" s="5" t="s">
        <v>1224</v>
      </c>
      <c r="T241" s="20" t="s">
        <v>1225</v>
      </c>
      <c r="U241" s="5" t="s">
        <v>1226</v>
      </c>
      <c r="V241" s="21" t="s">
        <v>1227</v>
      </c>
      <c r="W241" s="5" t="s">
        <v>965</v>
      </c>
      <c r="X241" s="5" t="s">
        <v>81</v>
      </c>
      <c r="Y241" s="5"/>
      <c r="Z241" s="5" t="s">
        <v>269</v>
      </c>
    </row>
    <row r="242" spans="1:28" ht="17.850000000000001" customHeight="1" x14ac:dyDescent="0.3">
      <c r="A242" s="5">
        <v>2502570</v>
      </c>
      <c r="B242" s="20" t="s">
        <v>1228</v>
      </c>
      <c r="C242" s="25">
        <v>45723</v>
      </c>
      <c r="D242" s="5" t="s">
        <v>17</v>
      </c>
      <c r="E242" s="5" t="s">
        <v>71</v>
      </c>
      <c r="F242" s="5" t="s">
        <v>14</v>
      </c>
      <c r="G242" s="5" t="e" vm="5">
        <v>#VALUE!</v>
      </c>
      <c r="H242" s="5">
        <v>9.44</v>
      </c>
      <c r="I242" s="5"/>
      <c r="J242" s="5"/>
      <c r="K242" s="11">
        <v>27000</v>
      </c>
      <c r="M242" s="5" t="s">
        <v>125</v>
      </c>
      <c r="N242" s="5" t="s">
        <v>73</v>
      </c>
      <c r="O242" s="5" t="s">
        <v>243</v>
      </c>
      <c r="P242" s="5">
        <v>16</v>
      </c>
      <c r="Q242" s="14" t="s">
        <v>364</v>
      </c>
      <c r="R242" s="5"/>
      <c r="S242" s="5" t="s">
        <v>1229</v>
      </c>
      <c r="T242" s="20" t="s">
        <v>1230</v>
      </c>
      <c r="U242" s="5" t="s">
        <v>1231</v>
      </c>
      <c r="V242" s="21" t="s">
        <v>1232</v>
      </c>
      <c r="W242" s="5" t="s">
        <v>965</v>
      </c>
      <c r="X242" s="5" t="s">
        <v>81</v>
      </c>
      <c r="Y242" s="5"/>
      <c r="Z242" s="5"/>
    </row>
    <row r="243" spans="1:28" x14ac:dyDescent="0.3">
      <c r="A243" s="5">
        <v>2502573</v>
      </c>
      <c r="B243" s="20" t="s">
        <v>1233</v>
      </c>
      <c r="C243" s="25">
        <v>45722</v>
      </c>
      <c r="D243" s="5" t="s">
        <v>20</v>
      </c>
      <c r="E243" s="5" t="s">
        <v>71</v>
      </c>
      <c r="F243" s="5" t="s">
        <v>14</v>
      </c>
      <c r="G243" s="5" t="e" vm="5">
        <v>#VALUE!</v>
      </c>
      <c r="H243" s="5">
        <v>6.49</v>
      </c>
      <c r="I243" s="5"/>
      <c r="J243" s="5"/>
      <c r="K243" s="11">
        <v>26000</v>
      </c>
      <c r="M243" s="5" t="s">
        <v>125</v>
      </c>
      <c r="N243" s="5" t="s">
        <v>73</v>
      </c>
      <c r="O243" s="5" t="s">
        <v>243</v>
      </c>
      <c r="P243" s="5">
        <v>11</v>
      </c>
      <c r="Q243" s="5" t="s">
        <v>380</v>
      </c>
      <c r="R243" s="5"/>
      <c r="S243" s="5" t="s">
        <v>1234</v>
      </c>
      <c r="T243" s="20" t="s">
        <v>1235</v>
      </c>
      <c r="U243" s="5" t="s">
        <v>1236</v>
      </c>
      <c r="V243" s="21" t="s">
        <v>1237</v>
      </c>
      <c r="W243" s="5" t="s">
        <v>965</v>
      </c>
      <c r="X243" s="5" t="s">
        <v>81</v>
      </c>
      <c r="Y243" s="5"/>
      <c r="Z243" s="5"/>
    </row>
    <row r="244" spans="1:28" x14ac:dyDescent="0.3">
      <c r="A244" s="5">
        <v>2503593</v>
      </c>
      <c r="B244" s="20" t="s">
        <v>1238</v>
      </c>
      <c r="C244" s="25">
        <v>45726</v>
      </c>
      <c r="D244" s="5" t="s">
        <v>22</v>
      </c>
      <c r="E244" s="5" t="s">
        <v>71</v>
      </c>
      <c r="F244" s="5" t="s">
        <v>14</v>
      </c>
      <c r="G244" s="5" t="e" vm="11">
        <v>#VALUE!</v>
      </c>
      <c r="H244" s="5">
        <v>7.08</v>
      </c>
      <c r="I244" s="5"/>
      <c r="J244" s="5"/>
      <c r="K244" s="11">
        <v>24548</v>
      </c>
      <c r="M244" s="5" t="s">
        <v>176</v>
      </c>
      <c r="N244" s="5" t="s">
        <v>73</v>
      </c>
      <c r="O244" s="5" t="s">
        <v>243</v>
      </c>
      <c r="P244" s="5">
        <v>12</v>
      </c>
      <c r="Q244" s="5" t="s">
        <v>286</v>
      </c>
      <c r="R244" s="5"/>
      <c r="S244" s="5" t="s">
        <v>1239</v>
      </c>
      <c r="T244" s="20" t="s">
        <v>1240</v>
      </c>
      <c r="U244" s="5" t="s">
        <v>1241</v>
      </c>
      <c r="V244" s="21" t="s">
        <v>1242</v>
      </c>
      <c r="W244" s="5" t="s">
        <v>965</v>
      </c>
      <c r="X244" s="5" t="s">
        <v>81</v>
      </c>
      <c r="Y244" s="5"/>
      <c r="Z244" s="5"/>
    </row>
    <row r="245" spans="1:28" x14ac:dyDescent="0.3">
      <c r="A245" s="5">
        <v>2501211</v>
      </c>
      <c r="B245" s="20" t="s">
        <v>1243</v>
      </c>
      <c r="C245" s="25">
        <v>45723</v>
      </c>
      <c r="D245" s="5" t="s">
        <v>19</v>
      </c>
      <c r="E245" s="5" t="s">
        <v>124</v>
      </c>
      <c r="F245" s="5" t="s">
        <v>14</v>
      </c>
      <c r="G245" s="5" t="e" vm="11">
        <v>#VALUE!</v>
      </c>
      <c r="H245" s="5">
        <v>26.55</v>
      </c>
      <c r="I245" s="5"/>
      <c r="J245" s="5"/>
      <c r="K245" s="11">
        <v>54000</v>
      </c>
      <c r="M245" s="5" t="s">
        <v>125</v>
      </c>
      <c r="N245" s="5" t="s">
        <v>73</v>
      </c>
      <c r="O245" s="5" t="s">
        <v>243</v>
      </c>
      <c r="P245" s="5">
        <v>45</v>
      </c>
      <c r="Q245" s="5" t="s">
        <v>341</v>
      </c>
      <c r="R245" s="5"/>
      <c r="T245" s="20" t="s">
        <v>1244</v>
      </c>
      <c r="W245" s="5" t="s">
        <v>965</v>
      </c>
      <c r="X245" s="5" t="s">
        <v>81</v>
      </c>
      <c r="Y245" s="5"/>
      <c r="Z245" s="5"/>
      <c r="AB245" s="20" t="s">
        <v>1245</v>
      </c>
    </row>
    <row r="246" spans="1:28" x14ac:dyDescent="0.3">
      <c r="A246" s="5">
        <v>2502589</v>
      </c>
      <c r="B246" s="20" t="s">
        <v>1246</v>
      </c>
      <c r="C246" s="25">
        <v>45723</v>
      </c>
      <c r="D246" s="5" t="s">
        <v>22</v>
      </c>
      <c r="E246" s="5" t="s">
        <v>71</v>
      </c>
      <c r="F246" s="5" t="s">
        <v>14</v>
      </c>
      <c r="G246" s="5" t="e" vm="11">
        <v>#VALUE!</v>
      </c>
      <c r="H246" s="5">
        <v>8.85</v>
      </c>
      <c r="I246" s="5"/>
      <c r="J246" s="5"/>
      <c r="K246" s="11">
        <v>26000</v>
      </c>
      <c r="M246" s="5" t="s">
        <v>125</v>
      </c>
      <c r="N246" s="5" t="s">
        <v>73</v>
      </c>
      <c r="O246" s="5" t="s">
        <v>243</v>
      </c>
      <c r="P246" s="5">
        <v>15</v>
      </c>
      <c r="Q246" s="14" t="s">
        <v>364</v>
      </c>
      <c r="R246" s="5"/>
      <c r="S246" s="5" t="s">
        <v>1247</v>
      </c>
      <c r="T246" s="20" t="s">
        <v>1248</v>
      </c>
      <c r="U246" s="5" t="s">
        <v>1249</v>
      </c>
      <c r="V246" s="21" t="s">
        <v>1250</v>
      </c>
      <c r="W246" s="5" t="s">
        <v>965</v>
      </c>
      <c r="X246" s="5" t="s">
        <v>81</v>
      </c>
      <c r="Y246" s="5"/>
      <c r="Z246" s="5"/>
    </row>
    <row r="247" spans="1:28" x14ac:dyDescent="0.3">
      <c r="A247" s="5">
        <v>2403090</v>
      </c>
      <c r="B247" s="20" t="s">
        <v>1251</v>
      </c>
      <c r="C247" s="25">
        <v>45715</v>
      </c>
      <c r="D247" s="5" t="s">
        <v>17</v>
      </c>
      <c r="E247" s="5" t="s">
        <v>124</v>
      </c>
      <c r="F247" s="5" t="s">
        <v>14</v>
      </c>
      <c r="G247" s="5" t="e" vm="8">
        <v>#VALUE!</v>
      </c>
      <c r="H247" s="5">
        <v>476.13</v>
      </c>
      <c r="I247" s="5">
        <v>44</v>
      </c>
      <c r="J247" s="5"/>
      <c r="K247" s="11">
        <v>898000</v>
      </c>
      <c r="L247" s="24">
        <v>8500</v>
      </c>
      <c r="M247" s="5" t="s">
        <v>125</v>
      </c>
      <c r="N247" s="5" t="s">
        <v>73</v>
      </c>
      <c r="O247" s="5" t="s">
        <v>243</v>
      </c>
      <c r="P247" s="5">
        <v>807</v>
      </c>
      <c r="Q247" s="14"/>
      <c r="R247" s="5"/>
      <c r="W247" s="5" t="s">
        <v>965</v>
      </c>
      <c r="X247" s="5" t="s">
        <v>81</v>
      </c>
      <c r="Y247" s="5" t="s">
        <v>563</v>
      </c>
      <c r="Z247" s="5"/>
    </row>
    <row r="248" spans="1:28" x14ac:dyDescent="0.3">
      <c r="A248" s="5">
        <v>2502557</v>
      </c>
      <c r="B248" s="20" t="s">
        <v>1252</v>
      </c>
      <c r="C248" s="25">
        <v>45727</v>
      </c>
      <c r="D248" s="5" t="s">
        <v>22</v>
      </c>
      <c r="E248" s="5" t="s">
        <v>71</v>
      </c>
      <c r="F248" s="5" t="s">
        <v>14</v>
      </c>
      <c r="G248" s="5" t="e" vm="11">
        <v>#VALUE!</v>
      </c>
      <c r="H248" s="5">
        <v>9.44</v>
      </c>
      <c r="I248" s="5"/>
      <c r="J248" s="5"/>
      <c r="K248" s="11">
        <v>28000</v>
      </c>
      <c r="M248" s="5" t="s">
        <v>125</v>
      </c>
      <c r="N248" s="5" t="s">
        <v>73</v>
      </c>
      <c r="O248" s="5" t="s">
        <v>243</v>
      </c>
      <c r="P248" s="5">
        <v>16</v>
      </c>
      <c r="Q248" s="14" t="s">
        <v>364</v>
      </c>
      <c r="R248" s="5"/>
      <c r="S248" s="5" t="s">
        <v>1253</v>
      </c>
      <c r="T248" s="20" t="s">
        <v>1254</v>
      </c>
      <c r="U248" s="5" t="s">
        <v>1255</v>
      </c>
      <c r="V248" s="21" t="s">
        <v>1256</v>
      </c>
      <c r="W248" s="5" t="s">
        <v>965</v>
      </c>
      <c r="X248" s="5" t="s">
        <v>81</v>
      </c>
      <c r="Y248" s="5"/>
      <c r="Z248" s="5"/>
    </row>
    <row r="249" spans="1:28" x14ac:dyDescent="0.3">
      <c r="A249" s="5">
        <v>2503594</v>
      </c>
      <c r="B249" s="20" t="s">
        <v>1257</v>
      </c>
      <c r="C249" s="25">
        <v>45727</v>
      </c>
      <c r="D249" s="5" t="s">
        <v>22</v>
      </c>
      <c r="E249" s="5" t="s">
        <v>71</v>
      </c>
      <c r="F249" s="5" t="s">
        <v>14</v>
      </c>
      <c r="G249" s="5" t="e" vm="5">
        <v>#VALUE!</v>
      </c>
      <c r="H249" s="5">
        <v>7.08</v>
      </c>
      <c r="I249" s="5"/>
      <c r="J249" s="5"/>
      <c r="K249" s="11">
        <v>22500</v>
      </c>
      <c r="M249" s="5" t="s">
        <v>125</v>
      </c>
      <c r="N249" s="5" t="s">
        <v>73</v>
      </c>
      <c r="O249" s="5" t="s">
        <v>243</v>
      </c>
      <c r="P249" s="5">
        <v>12</v>
      </c>
      <c r="Q249" s="5" t="s">
        <v>286</v>
      </c>
      <c r="R249" s="5"/>
      <c r="S249" s="5" t="s">
        <v>1258</v>
      </c>
      <c r="T249" s="20" t="s">
        <v>1259</v>
      </c>
      <c r="U249" s="5" t="s">
        <v>1260</v>
      </c>
      <c r="V249" s="21" t="s">
        <v>1261</v>
      </c>
      <c r="W249" s="5" t="s">
        <v>965</v>
      </c>
      <c r="X249" s="5" t="s">
        <v>81</v>
      </c>
      <c r="Y249" s="5"/>
      <c r="Z249" s="5" t="s">
        <v>1262</v>
      </c>
    </row>
    <row r="250" spans="1:28" x14ac:dyDescent="0.3">
      <c r="A250" s="5">
        <v>2503597</v>
      </c>
      <c r="B250" s="20" t="s">
        <v>1263</v>
      </c>
      <c r="C250" s="25">
        <v>45727</v>
      </c>
      <c r="D250" s="5" t="s">
        <v>19</v>
      </c>
      <c r="E250" s="5" t="s">
        <v>71</v>
      </c>
      <c r="F250" s="5" t="s">
        <v>14</v>
      </c>
      <c r="G250" s="5" t="e" vm="11">
        <v>#VALUE!</v>
      </c>
      <c r="H250" s="5">
        <v>10.62</v>
      </c>
      <c r="I250" s="5"/>
      <c r="J250" s="5"/>
      <c r="K250" s="11">
        <v>31000</v>
      </c>
      <c r="M250" s="5" t="s">
        <v>125</v>
      </c>
      <c r="N250" s="5" t="s">
        <v>73</v>
      </c>
      <c r="O250" s="5" t="s">
        <v>243</v>
      </c>
      <c r="P250" s="5">
        <v>18</v>
      </c>
      <c r="Q250" s="14" t="s">
        <v>364</v>
      </c>
      <c r="R250" s="5"/>
      <c r="S250" s="5" t="s">
        <v>1264</v>
      </c>
      <c r="T250" s="20" t="s">
        <v>1265</v>
      </c>
      <c r="U250" s="5" t="s">
        <v>1266</v>
      </c>
      <c r="V250" s="21" t="s">
        <v>1267</v>
      </c>
      <c r="W250" s="5" t="s">
        <v>965</v>
      </c>
      <c r="X250" s="5" t="s">
        <v>81</v>
      </c>
      <c r="Y250" s="5"/>
      <c r="Z250" s="5"/>
    </row>
    <row r="251" spans="1:28" x14ac:dyDescent="0.3">
      <c r="A251" s="5">
        <v>2502588</v>
      </c>
      <c r="B251" s="20" t="s">
        <v>1268</v>
      </c>
      <c r="C251" s="25">
        <v>45728</v>
      </c>
      <c r="D251" s="5" t="s">
        <v>22</v>
      </c>
      <c r="E251" s="5" t="s">
        <v>71</v>
      </c>
      <c r="F251" s="5" t="s">
        <v>14</v>
      </c>
      <c r="G251" s="5" t="e" vm="11">
        <v>#VALUE!</v>
      </c>
      <c r="H251" s="5">
        <v>8.85</v>
      </c>
      <c r="I251" s="5"/>
      <c r="J251" s="5"/>
      <c r="K251" s="11">
        <v>26600</v>
      </c>
      <c r="L251" s="24">
        <v>1000</v>
      </c>
      <c r="M251" s="5" t="s">
        <v>125</v>
      </c>
      <c r="N251" s="5" t="s">
        <v>73</v>
      </c>
      <c r="O251" s="5" t="s">
        <v>243</v>
      </c>
      <c r="P251" s="5">
        <v>15</v>
      </c>
      <c r="Q251" s="14" t="s">
        <v>364</v>
      </c>
      <c r="R251" s="5"/>
      <c r="S251" s="5" t="s">
        <v>1269</v>
      </c>
      <c r="T251" s="20" t="s">
        <v>1270</v>
      </c>
      <c r="U251" s="5" t="s">
        <v>1271</v>
      </c>
      <c r="V251" s="20" t="s">
        <v>1272</v>
      </c>
      <c r="W251" s="5" t="s">
        <v>965</v>
      </c>
      <c r="X251" s="5" t="s">
        <v>81</v>
      </c>
      <c r="Y251" s="5"/>
      <c r="Z251" s="5"/>
    </row>
    <row r="252" spans="1:28" x14ac:dyDescent="0.3">
      <c r="A252" s="5">
        <v>2502040</v>
      </c>
      <c r="B252" s="20" t="s">
        <v>1273</v>
      </c>
      <c r="C252" s="25">
        <v>45728</v>
      </c>
      <c r="D252" s="5" t="s">
        <v>20</v>
      </c>
      <c r="E252" s="5" t="s">
        <v>206</v>
      </c>
      <c r="F252" s="5"/>
      <c r="G252" s="5" t="e" vm="5">
        <v>#VALUE!</v>
      </c>
      <c r="H252" s="5"/>
      <c r="I252" s="5">
        <v>62</v>
      </c>
      <c r="J252" s="5"/>
      <c r="K252" s="11">
        <v>92000</v>
      </c>
      <c r="L252" s="24">
        <v>400</v>
      </c>
      <c r="M252" s="5" t="s">
        <v>125</v>
      </c>
      <c r="N252" s="5" t="s">
        <v>73</v>
      </c>
      <c r="O252" s="5" t="s">
        <v>18</v>
      </c>
      <c r="P252" s="5" t="s">
        <v>18</v>
      </c>
      <c r="Q252" s="14" t="s">
        <v>18</v>
      </c>
      <c r="R252" s="5"/>
      <c r="W252" s="5" t="s">
        <v>109</v>
      </c>
      <c r="X252" s="5" t="s">
        <v>81</v>
      </c>
      <c r="Y252" s="5"/>
      <c r="Z252" s="5"/>
    </row>
    <row r="253" spans="1:28" x14ac:dyDescent="0.3">
      <c r="A253" s="5">
        <v>2503595</v>
      </c>
      <c r="B253" s="20" t="s">
        <v>1274</v>
      </c>
      <c r="C253" s="25">
        <v>45730</v>
      </c>
      <c r="D253" s="5" t="s">
        <v>17</v>
      </c>
      <c r="E253" s="5" t="s">
        <v>71</v>
      </c>
      <c r="F253" s="5" t="s">
        <v>14</v>
      </c>
      <c r="G253" s="5" t="e" vm="8">
        <v>#VALUE!</v>
      </c>
      <c r="H253" s="5">
        <v>14.16</v>
      </c>
      <c r="I253" s="5"/>
      <c r="J253" s="5"/>
      <c r="K253" s="11">
        <v>35000</v>
      </c>
      <c r="M253" s="5" t="s">
        <v>125</v>
      </c>
      <c r="N253" s="5" t="s">
        <v>73</v>
      </c>
      <c r="O253" s="5" t="s">
        <v>243</v>
      </c>
      <c r="P253" s="5">
        <v>24</v>
      </c>
      <c r="Q253" s="5" t="s">
        <v>143</v>
      </c>
      <c r="R253" s="5"/>
      <c r="S253" s="5" t="s">
        <v>1275</v>
      </c>
      <c r="T253" s="20" t="s">
        <v>1276</v>
      </c>
      <c r="U253" s="5" t="s">
        <v>1277</v>
      </c>
      <c r="V253" s="20" t="s">
        <v>1278</v>
      </c>
      <c r="W253" s="5" t="s">
        <v>965</v>
      </c>
      <c r="X253" s="5" t="s">
        <v>81</v>
      </c>
      <c r="Y253" s="5"/>
      <c r="Z253" s="5" t="s">
        <v>269</v>
      </c>
    </row>
    <row r="254" spans="1:28" x14ac:dyDescent="0.3">
      <c r="A254" s="5">
        <v>2503586</v>
      </c>
      <c r="B254" s="20" t="s">
        <v>1279</v>
      </c>
      <c r="C254" s="25">
        <v>45730</v>
      </c>
      <c r="D254" s="5" t="s">
        <v>22</v>
      </c>
      <c r="E254" s="5" t="s">
        <v>71</v>
      </c>
      <c r="F254" s="5" t="s">
        <v>14</v>
      </c>
      <c r="G254" s="5" t="e" vm="11">
        <v>#VALUE!</v>
      </c>
      <c r="H254" s="5">
        <v>6.49</v>
      </c>
      <c r="I254" s="5"/>
      <c r="J254" s="5"/>
      <c r="K254" s="11">
        <v>21500</v>
      </c>
      <c r="M254" s="5" t="s">
        <v>125</v>
      </c>
      <c r="N254" s="5" t="s">
        <v>73</v>
      </c>
      <c r="O254" s="5" t="s">
        <v>243</v>
      </c>
      <c r="P254" s="5">
        <v>11</v>
      </c>
      <c r="Q254" s="14" t="s">
        <v>286</v>
      </c>
      <c r="R254" s="5"/>
      <c r="S254" s="5" t="s">
        <v>1280</v>
      </c>
      <c r="T254" s="20" t="s">
        <v>1281</v>
      </c>
      <c r="U254" s="5" t="s">
        <v>1282</v>
      </c>
      <c r="V254" s="21" t="s">
        <v>1283</v>
      </c>
      <c r="W254" s="5" t="s">
        <v>965</v>
      </c>
      <c r="X254" s="5" t="s">
        <v>81</v>
      </c>
      <c r="Y254" s="5"/>
      <c r="Z254" s="5" t="s">
        <v>1262</v>
      </c>
    </row>
    <row r="255" spans="1:28" x14ac:dyDescent="0.3">
      <c r="A255" s="5">
        <v>2503604</v>
      </c>
      <c r="B255" s="20" t="s">
        <v>1284</v>
      </c>
      <c r="C255" s="25">
        <v>45733</v>
      </c>
      <c r="D255" s="5" t="s">
        <v>17</v>
      </c>
      <c r="E255" s="5" t="s">
        <v>71</v>
      </c>
      <c r="F255" s="5" t="s">
        <v>14</v>
      </c>
      <c r="G255" s="5" t="e" vm="11">
        <v>#VALUE!</v>
      </c>
      <c r="H255" s="5">
        <v>9.44</v>
      </c>
      <c r="I255" s="5"/>
      <c r="J255" s="5"/>
      <c r="K255" s="11">
        <v>27000</v>
      </c>
      <c r="M255" s="5" t="s">
        <v>125</v>
      </c>
      <c r="N255" s="5" t="s">
        <v>73</v>
      </c>
      <c r="O255" s="5" t="s">
        <v>243</v>
      </c>
      <c r="P255" s="5">
        <v>16</v>
      </c>
      <c r="Q255" s="14" t="s">
        <v>364</v>
      </c>
      <c r="R255" s="5"/>
      <c r="S255" s="5" t="s">
        <v>1285</v>
      </c>
      <c r="T255" s="20" t="s">
        <v>1286</v>
      </c>
      <c r="U255" s="5" t="s">
        <v>1287</v>
      </c>
      <c r="V255" s="20" t="s">
        <v>1288</v>
      </c>
      <c r="W255" s="5" t="s">
        <v>965</v>
      </c>
      <c r="X255" s="5" t="s">
        <v>81</v>
      </c>
      <c r="Y255" s="5"/>
      <c r="Z255" s="5"/>
    </row>
    <row r="256" spans="1:28" x14ac:dyDescent="0.3">
      <c r="A256" s="5">
        <v>2503598</v>
      </c>
      <c r="B256" s="20" t="s">
        <v>1289</v>
      </c>
      <c r="C256" s="25">
        <v>45733</v>
      </c>
      <c r="D256" s="5" t="s">
        <v>17</v>
      </c>
      <c r="E256" s="5" t="s">
        <v>71</v>
      </c>
      <c r="F256" s="5" t="s">
        <v>14</v>
      </c>
      <c r="G256" s="5" t="e" vm="5">
        <v>#VALUE!</v>
      </c>
      <c r="H256" s="5">
        <v>9.44</v>
      </c>
      <c r="I256" s="5"/>
      <c r="J256" s="5"/>
      <c r="K256" s="11">
        <v>27000</v>
      </c>
      <c r="M256" s="5" t="s">
        <v>125</v>
      </c>
      <c r="N256" s="5" t="s">
        <v>73</v>
      </c>
      <c r="O256" s="5" t="s">
        <v>243</v>
      </c>
      <c r="P256" s="5">
        <v>16</v>
      </c>
      <c r="Q256" s="14" t="s">
        <v>364</v>
      </c>
      <c r="R256" s="5"/>
      <c r="S256" s="5" t="s">
        <v>1290</v>
      </c>
      <c r="T256" s="20" t="s">
        <v>1291</v>
      </c>
      <c r="U256" s="5" t="s">
        <v>1292</v>
      </c>
      <c r="V256" s="21" t="s">
        <v>1293</v>
      </c>
      <c r="W256" s="5" t="s">
        <v>965</v>
      </c>
      <c r="X256" s="5" t="s">
        <v>81</v>
      </c>
      <c r="Y256" s="5"/>
      <c r="Z256" s="5" t="s">
        <v>269</v>
      </c>
    </row>
    <row r="257" spans="1:26" x14ac:dyDescent="0.3">
      <c r="A257" s="5">
        <v>2503609</v>
      </c>
      <c r="B257" s="20" t="s">
        <v>1294</v>
      </c>
      <c r="C257" s="25">
        <v>45735</v>
      </c>
      <c r="D257" s="5" t="s">
        <v>17</v>
      </c>
      <c r="E257" s="5" t="s">
        <v>71</v>
      </c>
      <c r="F257" s="5" t="s">
        <v>14</v>
      </c>
      <c r="G257" s="5" t="e" vm="8">
        <v>#VALUE!</v>
      </c>
      <c r="H257" s="5">
        <v>14.16</v>
      </c>
      <c r="I257" s="5"/>
      <c r="J257" s="5"/>
      <c r="K257" s="11">
        <v>35000</v>
      </c>
      <c r="M257" s="5" t="s">
        <v>125</v>
      </c>
      <c r="N257" s="5" t="s">
        <v>73</v>
      </c>
      <c r="O257" s="5" t="s">
        <v>243</v>
      </c>
      <c r="P257" s="5">
        <v>24</v>
      </c>
      <c r="Q257" s="5" t="s">
        <v>143</v>
      </c>
      <c r="R257" s="5"/>
      <c r="S257" s="5" t="s">
        <v>1295</v>
      </c>
      <c r="T257" s="20" t="s">
        <v>1296</v>
      </c>
      <c r="U257" s="5" t="s">
        <v>1297</v>
      </c>
      <c r="V257" s="21" t="s">
        <v>1298</v>
      </c>
      <c r="W257" s="5" t="s">
        <v>965</v>
      </c>
      <c r="X257" s="5" t="s">
        <v>81</v>
      </c>
      <c r="Y257" s="5"/>
      <c r="Z257" s="5" t="s">
        <v>269</v>
      </c>
    </row>
    <row r="258" spans="1:26" x14ac:dyDescent="0.3">
      <c r="A258" s="5">
        <v>2503610</v>
      </c>
      <c r="B258" s="20" t="s">
        <v>1299</v>
      </c>
      <c r="C258" s="25">
        <v>45740</v>
      </c>
      <c r="D258" s="5" t="s">
        <v>17</v>
      </c>
      <c r="E258" s="5" t="s">
        <v>71</v>
      </c>
      <c r="F258" s="5" t="s">
        <v>14</v>
      </c>
      <c r="G258" s="5" t="e" vm="5">
        <v>#VALUE!</v>
      </c>
      <c r="H258" s="5">
        <v>17.7</v>
      </c>
      <c r="I258" s="5"/>
      <c r="J258" s="5"/>
      <c r="K258" s="11">
        <v>43000</v>
      </c>
      <c r="M258" s="5" t="s">
        <v>125</v>
      </c>
      <c r="N258" s="5" t="s">
        <v>73</v>
      </c>
      <c r="O258" s="5" t="s">
        <v>243</v>
      </c>
      <c r="P258" s="5">
        <v>30</v>
      </c>
      <c r="Q258" s="5" t="s">
        <v>143</v>
      </c>
      <c r="R258" s="5"/>
      <c r="S258" s="5" t="s">
        <v>1300</v>
      </c>
      <c r="T258" s="20" t="s">
        <v>1301</v>
      </c>
      <c r="U258" s="5" t="s">
        <v>1302</v>
      </c>
      <c r="V258" s="21" t="s">
        <v>1303</v>
      </c>
      <c r="W258" s="5" t="s">
        <v>965</v>
      </c>
      <c r="X258" s="5" t="s">
        <v>81</v>
      </c>
      <c r="Y258" s="5"/>
      <c r="Z258" s="5"/>
    </row>
    <row r="259" spans="1:26" x14ac:dyDescent="0.3">
      <c r="A259" s="5">
        <v>2503611</v>
      </c>
      <c r="B259" s="20" t="s">
        <v>1304</v>
      </c>
      <c r="C259" s="25">
        <v>45742</v>
      </c>
      <c r="D259" s="5" t="s">
        <v>17</v>
      </c>
      <c r="E259" s="5" t="s">
        <v>71</v>
      </c>
      <c r="F259" s="5" t="s">
        <v>14</v>
      </c>
      <c r="G259" s="5" t="e" vm="5">
        <v>#VALUE!</v>
      </c>
      <c r="H259" s="5">
        <v>7.67</v>
      </c>
      <c r="I259" s="5"/>
      <c r="J259" s="5"/>
      <c r="K259" s="11">
        <v>23500</v>
      </c>
      <c r="M259" s="5" t="s">
        <v>125</v>
      </c>
      <c r="N259" s="5" t="s">
        <v>73</v>
      </c>
      <c r="O259" s="5" t="s">
        <v>243</v>
      </c>
      <c r="P259" s="5">
        <v>13</v>
      </c>
      <c r="Q259" s="14" t="s">
        <v>244</v>
      </c>
      <c r="R259" s="5"/>
      <c r="S259" s="5" t="s">
        <v>1305</v>
      </c>
      <c r="T259" s="20" t="s">
        <v>1306</v>
      </c>
      <c r="U259" s="5" t="s">
        <v>1307</v>
      </c>
      <c r="V259" s="21" t="s">
        <v>1308</v>
      </c>
      <c r="W259" s="5" t="s">
        <v>965</v>
      </c>
      <c r="X259" s="5" t="s">
        <v>81</v>
      </c>
      <c r="Y259" s="5"/>
      <c r="Z259" s="5"/>
    </row>
    <row r="260" spans="1:26" x14ac:dyDescent="0.3">
      <c r="A260" s="5">
        <v>2501524</v>
      </c>
      <c r="B260" s="20" t="s">
        <v>1309</v>
      </c>
      <c r="C260" s="25">
        <v>45744</v>
      </c>
      <c r="D260" s="5" t="s">
        <v>17</v>
      </c>
      <c r="E260" s="5" t="s">
        <v>71</v>
      </c>
      <c r="F260" s="5" t="s">
        <v>14</v>
      </c>
      <c r="G260" s="5" t="e" vm="5">
        <v>#VALUE!</v>
      </c>
      <c r="H260" s="5">
        <v>9.44</v>
      </c>
      <c r="I260" s="5"/>
      <c r="J260" s="5"/>
      <c r="K260" s="11">
        <v>27000</v>
      </c>
      <c r="M260" s="5" t="s">
        <v>125</v>
      </c>
      <c r="N260" s="5" t="s">
        <v>73</v>
      </c>
      <c r="O260" s="5" t="s">
        <v>243</v>
      </c>
      <c r="P260" s="5">
        <v>16</v>
      </c>
      <c r="Q260" s="14" t="s">
        <v>364</v>
      </c>
      <c r="R260" s="5"/>
      <c r="S260" s="5" t="s">
        <v>1310</v>
      </c>
      <c r="T260" s="20" t="s">
        <v>1311</v>
      </c>
      <c r="U260" s="5" t="s">
        <v>1312</v>
      </c>
      <c r="V260" s="21" t="s">
        <v>1313</v>
      </c>
      <c r="W260" s="5" t="s">
        <v>965</v>
      </c>
      <c r="X260" s="5" t="s">
        <v>81</v>
      </c>
      <c r="Y260" s="5"/>
      <c r="Z260" s="5"/>
    </row>
    <row r="261" spans="1:26" x14ac:dyDescent="0.3">
      <c r="A261" s="5">
        <v>2503617</v>
      </c>
      <c r="B261" s="20" t="s">
        <v>1314</v>
      </c>
      <c r="C261" s="25">
        <v>45744</v>
      </c>
      <c r="D261" s="5" t="s">
        <v>22</v>
      </c>
      <c r="E261" s="5" t="s">
        <v>71</v>
      </c>
      <c r="F261" s="5" t="s">
        <v>14</v>
      </c>
      <c r="G261" s="5" t="e" vm="11">
        <v>#VALUE!</v>
      </c>
      <c r="H261" s="5">
        <v>17.7</v>
      </c>
      <c r="I261" s="5"/>
      <c r="J261" s="5"/>
      <c r="K261" s="11">
        <v>41000</v>
      </c>
      <c r="M261" s="5" t="s">
        <v>125</v>
      </c>
      <c r="N261" s="5" t="s">
        <v>73</v>
      </c>
      <c r="O261" s="5" t="s">
        <v>243</v>
      </c>
      <c r="P261" s="5">
        <v>30</v>
      </c>
      <c r="Q261" s="5" t="s">
        <v>143</v>
      </c>
      <c r="R261" s="5"/>
      <c r="S261" s="5" t="s">
        <v>1315</v>
      </c>
      <c r="T261" s="20" t="s">
        <v>1316</v>
      </c>
      <c r="U261" s="5" t="s">
        <v>1317</v>
      </c>
      <c r="V261" s="21" t="s">
        <v>1318</v>
      </c>
      <c r="W261" s="5" t="s">
        <v>965</v>
      </c>
      <c r="X261" s="5" t="s">
        <v>81</v>
      </c>
      <c r="Y261" s="5"/>
      <c r="Z261" s="5"/>
    </row>
    <row r="262" spans="1:26" x14ac:dyDescent="0.3">
      <c r="A262" s="5">
        <v>2503601</v>
      </c>
      <c r="B262" s="20" t="s">
        <v>1319</v>
      </c>
      <c r="C262" s="25">
        <v>45744</v>
      </c>
      <c r="D262" s="5" t="s">
        <v>17</v>
      </c>
      <c r="E262" s="5" t="s">
        <v>71</v>
      </c>
      <c r="F262" s="5" t="s">
        <v>14</v>
      </c>
      <c r="G262" s="5" t="e" vm="5">
        <v>#VALUE!</v>
      </c>
      <c r="H262" s="5">
        <v>9.44</v>
      </c>
      <c r="I262" s="5"/>
      <c r="J262" s="5"/>
      <c r="K262" s="11">
        <v>29000</v>
      </c>
      <c r="M262" s="5" t="s">
        <v>125</v>
      </c>
      <c r="N262" s="5" t="s">
        <v>73</v>
      </c>
      <c r="O262" s="5" t="s">
        <v>243</v>
      </c>
      <c r="P262" s="5">
        <v>16</v>
      </c>
      <c r="Q262" s="14" t="s">
        <v>364</v>
      </c>
      <c r="R262" s="5"/>
      <c r="W262" s="5" t="s">
        <v>965</v>
      </c>
      <c r="X262" s="5" t="s">
        <v>81</v>
      </c>
      <c r="Y262" s="5"/>
      <c r="Z262" s="5"/>
    </row>
    <row r="263" spans="1:26" x14ac:dyDescent="0.3">
      <c r="A263" s="5">
        <v>2503619</v>
      </c>
      <c r="B263" s="20" t="s">
        <v>1320</v>
      </c>
      <c r="C263" s="25" t="s">
        <v>442</v>
      </c>
      <c r="D263" s="5" t="s">
        <v>22</v>
      </c>
      <c r="E263" s="5"/>
      <c r="F263" s="5"/>
      <c r="G263" s="5"/>
      <c r="H263" s="5">
        <v>7.08</v>
      </c>
      <c r="I263" s="5"/>
      <c r="J263" s="5"/>
      <c r="K263" s="11">
        <v>21500</v>
      </c>
      <c r="M263" s="5" t="s">
        <v>125</v>
      </c>
      <c r="N263" s="5" t="s">
        <v>73</v>
      </c>
      <c r="O263" s="5" t="s">
        <v>243</v>
      </c>
      <c r="P263" s="5">
        <v>12</v>
      </c>
      <c r="Q263" s="5" t="s">
        <v>286</v>
      </c>
      <c r="R263" s="5"/>
      <c r="S263" s="5" t="s">
        <v>1321</v>
      </c>
      <c r="T263" s="20" t="s">
        <v>1322</v>
      </c>
      <c r="U263" s="5" t="s">
        <v>1323</v>
      </c>
      <c r="V263" s="20" t="s">
        <v>1324</v>
      </c>
      <c r="W263" s="5" t="s">
        <v>965</v>
      </c>
      <c r="X263" s="5" t="s">
        <v>81</v>
      </c>
      <c r="Y263" s="5"/>
      <c r="Z263" s="5"/>
    </row>
    <row r="264" spans="1:26" x14ac:dyDescent="0.3">
      <c r="A264" s="5">
        <v>2504623</v>
      </c>
      <c r="B264" s="20" t="s">
        <v>1325</v>
      </c>
      <c r="C264" s="25">
        <v>45750</v>
      </c>
      <c r="D264" s="5" t="s">
        <v>22</v>
      </c>
      <c r="E264" s="5" t="s">
        <v>71</v>
      </c>
      <c r="F264" s="5" t="s">
        <v>14</v>
      </c>
      <c r="G264" s="5" t="e" vm="11">
        <v>#VALUE!</v>
      </c>
      <c r="H264" s="5">
        <v>7.08</v>
      </c>
      <c r="I264" s="5"/>
      <c r="J264" s="5"/>
      <c r="K264" s="11">
        <v>21500</v>
      </c>
      <c r="M264" s="5" t="s">
        <v>125</v>
      </c>
      <c r="N264" s="5" t="s">
        <v>73</v>
      </c>
      <c r="O264" s="5" t="s">
        <v>243</v>
      </c>
      <c r="P264" s="5">
        <v>12</v>
      </c>
      <c r="Q264" s="5" t="s">
        <v>286</v>
      </c>
      <c r="R264" s="5"/>
      <c r="S264" s="5" t="s">
        <v>1326</v>
      </c>
      <c r="T264" s="20" t="s">
        <v>1327</v>
      </c>
      <c r="U264" s="5" t="s">
        <v>1328</v>
      </c>
      <c r="V264" s="20" t="s">
        <v>1329</v>
      </c>
      <c r="W264" s="5" t="s">
        <v>965</v>
      </c>
      <c r="X264" s="5" t="s">
        <v>81</v>
      </c>
      <c r="Y264" s="5"/>
      <c r="Z264" s="5"/>
    </row>
    <row r="265" spans="1:26" x14ac:dyDescent="0.3">
      <c r="A265" s="5">
        <v>2503589</v>
      </c>
      <c r="B265" s="20" t="s">
        <v>1330</v>
      </c>
      <c r="C265" s="25">
        <v>45756</v>
      </c>
      <c r="D265" s="5" t="s">
        <v>17</v>
      </c>
      <c r="E265" s="5" t="s">
        <v>71</v>
      </c>
      <c r="F265" s="5" t="s">
        <v>14</v>
      </c>
      <c r="G265" s="5" t="e" vm="5">
        <v>#VALUE!</v>
      </c>
      <c r="H265" s="5">
        <v>7.08</v>
      </c>
      <c r="I265" s="5"/>
      <c r="J265" s="5"/>
      <c r="K265" s="11">
        <v>21500</v>
      </c>
      <c r="M265" s="5" t="s">
        <v>125</v>
      </c>
      <c r="N265" s="5" t="s">
        <v>73</v>
      </c>
      <c r="O265" s="5" t="s">
        <v>243</v>
      </c>
      <c r="P265" s="5">
        <v>12</v>
      </c>
      <c r="Q265" s="5" t="s">
        <v>286</v>
      </c>
      <c r="R265" s="5"/>
      <c r="S265" s="5" t="s">
        <v>1331</v>
      </c>
      <c r="T265" s="20" t="s">
        <v>1332</v>
      </c>
      <c r="U265" s="5" t="s">
        <v>1333</v>
      </c>
      <c r="V265" s="21" t="s">
        <v>1334</v>
      </c>
      <c r="W265" s="5" t="s">
        <v>965</v>
      </c>
      <c r="X265" s="5" t="s">
        <v>81</v>
      </c>
      <c r="Y265" s="5"/>
      <c r="Z265" s="5" t="s">
        <v>269</v>
      </c>
    </row>
    <row r="266" spans="1:26" x14ac:dyDescent="0.3">
      <c r="A266" s="5">
        <v>2504633</v>
      </c>
      <c r="B266" s="20" t="s">
        <v>1335</v>
      </c>
      <c r="C266" s="25">
        <v>45758</v>
      </c>
      <c r="D266" s="5" t="s">
        <v>17</v>
      </c>
      <c r="E266" s="5" t="s">
        <v>71</v>
      </c>
      <c r="F266" s="5" t="s">
        <v>14</v>
      </c>
      <c r="G266" s="5" t="e" vm="5">
        <v>#VALUE!</v>
      </c>
      <c r="H266" s="5">
        <v>7.08</v>
      </c>
      <c r="I266" s="5"/>
      <c r="J266" s="5"/>
      <c r="K266" s="11">
        <v>21500</v>
      </c>
      <c r="M266" s="5" t="s">
        <v>125</v>
      </c>
      <c r="N266" s="5" t="s">
        <v>73</v>
      </c>
      <c r="O266" s="5" t="s">
        <v>243</v>
      </c>
      <c r="P266" s="5">
        <v>12</v>
      </c>
      <c r="Q266" s="5" t="s">
        <v>286</v>
      </c>
      <c r="R266" s="5"/>
      <c r="S266" s="5" t="s">
        <v>1336</v>
      </c>
      <c r="T266" s="20" t="s">
        <v>1337</v>
      </c>
      <c r="U266" s="5" t="s">
        <v>1338</v>
      </c>
      <c r="V266" s="21" t="s">
        <v>1339</v>
      </c>
      <c r="W266" s="5" t="s">
        <v>965</v>
      </c>
      <c r="X266" s="5" t="s">
        <v>81</v>
      </c>
      <c r="Y266" s="5"/>
      <c r="Z266" s="5" t="s">
        <v>269</v>
      </c>
    </row>
    <row r="267" spans="1:26" x14ac:dyDescent="0.3">
      <c r="A267" s="5">
        <v>2504636</v>
      </c>
      <c r="B267" s="20" t="s">
        <v>1340</v>
      </c>
      <c r="C267" s="25">
        <v>45758</v>
      </c>
      <c r="D267" s="5" t="s">
        <v>22</v>
      </c>
      <c r="E267" s="5" t="s">
        <v>71</v>
      </c>
      <c r="F267" s="5" t="s">
        <v>14</v>
      </c>
      <c r="G267" s="5" t="e" vm="11">
        <v>#VALUE!</v>
      </c>
      <c r="H267" s="5">
        <v>17.7</v>
      </c>
      <c r="I267" s="5"/>
      <c r="J267" s="5"/>
      <c r="K267" s="11">
        <v>41000</v>
      </c>
      <c r="M267" s="5" t="s">
        <v>125</v>
      </c>
      <c r="N267" s="5" t="s">
        <v>73</v>
      </c>
      <c r="O267" s="5" t="s">
        <v>243</v>
      </c>
      <c r="P267" s="5">
        <v>30</v>
      </c>
      <c r="Q267" s="5" t="s">
        <v>143</v>
      </c>
      <c r="R267" s="5"/>
      <c r="S267" s="5" t="s">
        <v>1341</v>
      </c>
      <c r="T267" s="20" t="s">
        <v>1342</v>
      </c>
      <c r="U267" s="5" t="s">
        <v>1343</v>
      </c>
      <c r="V267" s="21" t="s">
        <v>1344</v>
      </c>
      <c r="W267" s="5" t="s">
        <v>965</v>
      </c>
      <c r="X267" s="5" t="s">
        <v>81</v>
      </c>
      <c r="Y267" s="5"/>
      <c r="Z267" s="5"/>
    </row>
    <row r="268" spans="1:26" x14ac:dyDescent="0.3">
      <c r="A268" s="5">
        <v>2406152</v>
      </c>
      <c r="B268" s="20" t="s">
        <v>1345</v>
      </c>
      <c r="C268" s="25">
        <v>45754</v>
      </c>
      <c r="D268" s="5" t="s">
        <v>20</v>
      </c>
      <c r="E268" s="5" t="s">
        <v>124</v>
      </c>
      <c r="F268" s="5" t="s">
        <v>14</v>
      </c>
      <c r="G268" s="5" t="e" vm="5">
        <v>#VALUE!</v>
      </c>
      <c r="H268" s="5">
        <v>93.17</v>
      </c>
      <c r="I268" s="5"/>
      <c r="J268" s="5"/>
      <c r="K268" s="11">
        <v>155000</v>
      </c>
      <c r="M268" s="5" t="s">
        <v>125</v>
      </c>
      <c r="N268" s="5" t="s">
        <v>1346</v>
      </c>
      <c r="O268" s="5" t="s">
        <v>1347</v>
      </c>
      <c r="P268" s="5">
        <v>154</v>
      </c>
      <c r="Q268" s="5" t="s">
        <v>1348</v>
      </c>
      <c r="R268" s="5"/>
      <c r="T268" s="20" t="s">
        <v>1349</v>
      </c>
      <c r="W268" s="5" t="s">
        <v>109</v>
      </c>
      <c r="X268" s="5" t="s">
        <v>81</v>
      </c>
      <c r="Y268" s="5"/>
      <c r="Z268" s="5" t="s">
        <v>269</v>
      </c>
    </row>
    <row r="269" spans="1:26" x14ac:dyDescent="0.3">
      <c r="A269" s="5">
        <v>2504640</v>
      </c>
      <c r="B269" s="20" t="s">
        <v>1350</v>
      </c>
      <c r="C269" s="25">
        <v>45764</v>
      </c>
      <c r="D269" s="5" t="s">
        <v>17</v>
      </c>
      <c r="E269" s="5" t="s">
        <v>71</v>
      </c>
      <c r="F269" s="5" t="s">
        <v>14</v>
      </c>
      <c r="G269" s="5" t="e" vm="8">
        <v>#VALUE!</v>
      </c>
      <c r="H269" s="5">
        <v>9.44</v>
      </c>
      <c r="I269" s="5"/>
      <c r="J269" s="5"/>
      <c r="K269" s="11">
        <v>26000</v>
      </c>
      <c r="M269" s="5" t="s">
        <v>125</v>
      </c>
      <c r="N269" s="5" t="s">
        <v>73</v>
      </c>
      <c r="O269" s="5" t="s">
        <v>243</v>
      </c>
      <c r="P269" s="5">
        <v>16</v>
      </c>
      <c r="Q269" s="14" t="s">
        <v>364</v>
      </c>
      <c r="R269" s="5"/>
      <c r="S269" s="5" t="s">
        <v>1351</v>
      </c>
      <c r="T269" s="20" t="s">
        <v>1352</v>
      </c>
      <c r="U269" s="5" t="s">
        <v>1353</v>
      </c>
      <c r="V269" s="91" t="s">
        <v>1354</v>
      </c>
      <c r="W269" s="5" t="s">
        <v>965</v>
      </c>
      <c r="X269" s="5" t="s">
        <v>81</v>
      </c>
      <c r="Y269" s="5"/>
      <c r="Z269" s="5"/>
    </row>
    <row r="270" spans="1:26" x14ac:dyDescent="0.3">
      <c r="A270" s="5">
        <v>2504638</v>
      </c>
      <c r="B270" s="20" t="s">
        <v>1355</v>
      </c>
      <c r="C270" s="25">
        <v>45764</v>
      </c>
      <c r="D270" s="5" t="s">
        <v>17</v>
      </c>
      <c r="E270" s="5" t="s">
        <v>71</v>
      </c>
      <c r="F270" s="5" t="s">
        <v>14</v>
      </c>
      <c r="G270" s="5" t="e" vm="8">
        <v>#VALUE!</v>
      </c>
      <c r="H270" s="5">
        <v>9.44</v>
      </c>
      <c r="I270" s="5"/>
      <c r="J270" s="5"/>
      <c r="K270" s="11">
        <v>27000</v>
      </c>
      <c r="M270" s="5" t="s">
        <v>125</v>
      </c>
      <c r="N270" s="5" t="s">
        <v>73</v>
      </c>
      <c r="O270" s="5" t="s">
        <v>243</v>
      </c>
      <c r="P270" s="5">
        <v>16</v>
      </c>
      <c r="Q270" s="14" t="s">
        <v>364</v>
      </c>
      <c r="R270" s="5"/>
      <c r="S270" s="5" t="s">
        <v>1356</v>
      </c>
      <c r="T270" s="20" t="s">
        <v>1357</v>
      </c>
      <c r="U270" s="5" t="s">
        <v>1358</v>
      </c>
      <c r="V270" s="21" t="s">
        <v>1359</v>
      </c>
      <c r="W270" s="5" t="s">
        <v>965</v>
      </c>
      <c r="X270" s="5" t="s">
        <v>81</v>
      </c>
      <c r="Y270" s="5"/>
      <c r="Z270" s="5" t="s">
        <v>269</v>
      </c>
    </row>
    <row r="271" spans="1:26" x14ac:dyDescent="0.3">
      <c r="A271" s="5">
        <v>2504652</v>
      </c>
      <c r="B271" s="20" t="s">
        <v>1360</v>
      </c>
      <c r="C271" s="25">
        <v>45766</v>
      </c>
      <c r="D271" s="5" t="s">
        <v>22</v>
      </c>
      <c r="E271" s="5" t="s">
        <v>71</v>
      </c>
      <c r="F271" s="5" t="s">
        <v>14</v>
      </c>
      <c r="G271" s="5" t="e" vm="11">
        <v>#VALUE!</v>
      </c>
      <c r="H271" s="5">
        <v>9.44</v>
      </c>
      <c r="I271" s="5"/>
      <c r="J271" s="5"/>
      <c r="K271" s="11">
        <v>27500</v>
      </c>
      <c r="M271" s="5" t="s">
        <v>125</v>
      </c>
      <c r="N271" s="5" t="s">
        <v>73</v>
      </c>
      <c r="O271" s="5" t="s">
        <v>243</v>
      </c>
      <c r="P271" s="5">
        <v>16</v>
      </c>
      <c r="Q271" s="14" t="s">
        <v>364</v>
      </c>
      <c r="R271" s="5"/>
      <c r="S271" s="5" t="s">
        <v>1361</v>
      </c>
      <c r="T271" s="20" t="s">
        <v>1362</v>
      </c>
      <c r="U271" s="5" t="s">
        <v>1363</v>
      </c>
      <c r="V271" s="21" t="s">
        <v>1364</v>
      </c>
      <c r="W271" s="5" t="s">
        <v>965</v>
      </c>
      <c r="X271" s="5" t="s">
        <v>81</v>
      </c>
      <c r="Y271" s="5"/>
      <c r="Z271" s="5"/>
    </row>
    <row r="272" spans="1:26" x14ac:dyDescent="0.3">
      <c r="A272" s="5">
        <v>2504647</v>
      </c>
      <c r="B272" s="20" t="s">
        <v>1365</v>
      </c>
      <c r="C272" s="25">
        <v>45767</v>
      </c>
      <c r="D272" s="5" t="s">
        <v>22</v>
      </c>
      <c r="E272" s="5" t="s">
        <v>71</v>
      </c>
      <c r="F272" s="5" t="s">
        <v>14</v>
      </c>
      <c r="G272" s="5" t="e" vm="11">
        <v>#VALUE!</v>
      </c>
      <c r="H272" s="5">
        <v>7.08</v>
      </c>
      <c r="I272" s="5"/>
      <c r="J272" s="5"/>
      <c r="K272" s="11">
        <v>21500</v>
      </c>
      <c r="M272" s="5" t="s">
        <v>125</v>
      </c>
      <c r="N272" s="5" t="s">
        <v>73</v>
      </c>
      <c r="O272" s="5" t="s">
        <v>243</v>
      </c>
      <c r="P272" s="5">
        <v>12</v>
      </c>
      <c r="Q272" s="5" t="s">
        <v>286</v>
      </c>
      <c r="R272" s="5"/>
      <c r="S272" s="5" t="s">
        <v>1366</v>
      </c>
      <c r="T272" s="20" t="s">
        <v>1367</v>
      </c>
      <c r="U272" s="5" t="s">
        <v>1368</v>
      </c>
      <c r="V272" s="21" t="s">
        <v>1369</v>
      </c>
      <c r="W272" s="5" t="s">
        <v>965</v>
      </c>
      <c r="X272" s="5" t="s">
        <v>81</v>
      </c>
      <c r="Y272" s="5"/>
      <c r="Z272" s="5"/>
    </row>
    <row r="273" spans="1:28" x14ac:dyDescent="0.3">
      <c r="A273" s="5">
        <v>2504658</v>
      </c>
      <c r="B273" s="20" t="s">
        <v>1370</v>
      </c>
      <c r="C273" s="25">
        <v>45769</v>
      </c>
      <c r="D273" s="5" t="s">
        <v>21</v>
      </c>
      <c r="E273" s="5" t="s">
        <v>71</v>
      </c>
      <c r="F273" s="5" t="s">
        <v>14</v>
      </c>
      <c r="G273" s="5" t="e" vm="5">
        <v>#VALUE!</v>
      </c>
      <c r="H273" s="5">
        <v>7.08</v>
      </c>
      <c r="I273" s="5"/>
      <c r="J273" s="5"/>
      <c r="K273" s="11">
        <v>22500</v>
      </c>
      <c r="M273" s="5" t="s">
        <v>125</v>
      </c>
      <c r="N273" s="5" t="s">
        <v>73</v>
      </c>
      <c r="O273" s="5" t="s">
        <v>243</v>
      </c>
      <c r="P273" s="5">
        <v>12</v>
      </c>
      <c r="Q273" s="5" t="s">
        <v>286</v>
      </c>
      <c r="R273" s="5"/>
      <c r="S273" s="5" t="s">
        <v>1371</v>
      </c>
      <c r="T273" s="20" t="s">
        <v>1372</v>
      </c>
      <c r="U273" s="5" t="s">
        <v>1373</v>
      </c>
      <c r="V273" s="21" t="s">
        <v>1374</v>
      </c>
      <c r="W273" s="5" t="s">
        <v>965</v>
      </c>
      <c r="X273" s="5" t="s">
        <v>81</v>
      </c>
      <c r="Y273" s="5"/>
      <c r="Z273" s="5"/>
    </row>
    <row r="274" spans="1:28" x14ac:dyDescent="0.3">
      <c r="A274" s="5">
        <v>2503614</v>
      </c>
      <c r="B274" s="20" t="s">
        <v>1375</v>
      </c>
      <c r="C274" s="25" t="s">
        <v>442</v>
      </c>
      <c r="D274" s="5" t="s">
        <v>20</v>
      </c>
      <c r="E274" s="5"/>
      <c r="F274" s="5"/>
      <c r="G274" s="5"/>
      <c r="H274" s="5"/>
      <c r="I274" s="5"/>
      <c r="J274" s="5"/>
      <c r="K274" s="11"/>
      <c r="M274" s="5" t="s">
        <v>125</v>
      </c>
      <c r="N274" s="5" t="s">
        <v>73</v>
      </c>
      <c r="O274" s="5" t="s">
        <v>243</v>
      </c>
      <c r="P274" s="5">
        <v>15</v>
      </c>
      <c r="Q274" s="5" t="s">
        <v>1376</v>
      </c>
      <c r="R274" s="5"/>
      <c r="S274" s="5" t="s">
        <v>1377</v>
      </c>
      <c r="T274" s="20" t="s">
        <v>1378</v>
      </c>
      <c r="U274" s="5" t="s">
        <v>1379</v>
      </c>
      <c r="V274" s="21" t="s">
        <v>1380</v>
      </c>
      <c r="W274" s="5" t="s">
        <v>109</v>
      </c>
      <c r="X274" s="5" t="s">
        <v>81</v>
      </c>
      <c r="Y274" s="5"/>
      <c r="Z274" s="5"/>
    </row>
    <row r="275" spans="1:28" x14ac:dyDescent="0.3">
      <c r="A275" s="5">
        <v>2504643</v>
      </c>
      <c r="B275" s="20" t="s">
        <v>1381</v>
      </c>
      <c r="C275" s="25">
        <v>45772</v>
      </c>
      <c r="D275" s="5" t="s">
        <v>22</v>
      </c>
      <c r="E275" s="5" t="s">
        <v>71</v>
      </c>
      <c r="F275" s="5" t="s">
        <v>14</v>
      </c>
      <c r="G275" s="5" t="e" vm="11">
        <v>#VALUE!</v>
      </c>
      <c r="H275" s="5">
        <v>17.7</v>
      </c>
      <c r="I275" s="5"/>
      <c r="J275" s="5"/>
      <c r="K275" s="11">
        <v>46700</v>
      </c>
      <c r="M275" s="5" t="s">
        <v>176</v>
      </c>
      <c r="N275" s="5" t="s">
        <v>73</v>
      </c>
      <c r="O275" s="5" t="s">
        <v>243</v>
      </c>
      <c r="P275" s="5">
        <v>30</v>
      </c>
      <c r="Q275" s="5" t="s">
        <v>143</v>
      </c>
      <c r="R275" s="5"/>
      <c r="S275" s="5" t="s">
        <v>1382</v>
      </c>
      <c r="T275" s="20" t="s">
        <v>1383</v>
      </c>
      <c r="U275" s="5" t="s">
        <v>1384</v>
      </c>
      <c r="V275" s="20" t="s">
        <v>1385</v>
      </c>
      <c r="W275" s="5" t="s">
        <v>965</v>
      </c>
      <c r="X275" s="5" t="s">
        <v>81</v>
      </c>
      <c r="Y275" s="5"/>
      <c r="Z275" s="5"/>
    </row>
    <row r="276" spans="1:28" x14ac:dyDescent="0.3">
      <c r="A276" s="5">
        <v>2504663</v>
      </c>
      <c r="B276" s="20" t="s">
        <v>1386</v>
      </c>
      <c r="C276" s="25">
        <v>45770</v>
      </c>
      <c r="D276" s="5" t="s">
        <v>22</v>
      </c>
      <c r="E276" s="5" t="s">
        <v>71</v>
      </c>
      <c r="F276" s="5" t="s">
        <v>14</v>
      </c>
      <c r="G276" s="5" t="e" vm="11">
        <v>#VALUE!</v>
      </c>
      <c r="H276" s="5">
        <v>7.08</v>
      </c>
      <c r="I276" s="5"/>
      <c r="J276" s="5"/>
      <c r="K276" s="11">
        <v>22500</v>
      </c>
      <c r="M276" s="5" t="s">
        <v>125</v>
      </c>
      <c r="N276" s="5" t="s">
        <v>73</v>
      </c>
      <c r="O276" s="5" t="s">
        <v>243</v>
      </c>
      <c r="P276" s="5">
        <v>12</v>
      </c>
      <c r="Q276" s="5" t="s">
        <v>1202</v>
      </c>
      <c r="R276" s="5"/>
      <c r="S276" s="5" t="s">
        <v>1387</v>
      </c>
      <c r="T276" s="20" t="s">
        <v>1388</v>
      </c>
      <c r="U276" s="5" t="s">
        <v>1389</v>
      </c>
      <c r="V276" s="20" t="s">
        <v>1390</v>
      </c>
      <c r="W276" s="5" t="s">
        <v>965</v>
      </c>
      <c r="X276" s="5" t="s">
        <v>81</v>
      </c>
      <c r="Y276" s="5"/>
      <c r="Z276" s="5"/>
    </row>
    <row r="277" spans="1:28" x14ac:dyDescent="0.3">
      <c r="A277" s="5">
        <v>2504671</v>
      </c>
      <c r="B277" s="20" t="s">
        <v>1391</v>
      </c>
      <c r="C277" s="25">
        <v>45777</v>
      </c>
      <c r="D277" s="5" t="s">
        <v>22</v>
      </c>
      <c r="E277" s="5" t="s">
        <v>71</v>
      </c>
      <c r="F277" s="5" t="s">
        <v>14</v>
      </c>
      <c r="G277" s="5" t="e" vm="11">
        <v>#VALUE!</v>
      </c>
      <c r="H277" s="5">
        <v>17.7</v>
      </c>
      <c r="I277" s="5"/>
      <c r="J277" s="5"/>
      <c r="K277" s="11">
        <v>41000</v>
      </c>
      <c r="M277" s="5" t="s">
        <v>125</v>
      </c>
      <c r="N277" s="5" t="s">
        <v>73</v>
      </c>
      <c r="O277" s="5" t="s">
        <v>243</v>
      </c>
      <c r="P277" s="5">
        <v>30</v>
      </c>
      <c r="Q277" s="5" t="s">
        <v>143</v>
      </c>
      <c r="R277" s="5"/>
      <c r="S277" s="5" t="s">
        <v>1392</v>
      </c>
      <c r="T277" s="20" t="s">
        <v>1393</v>
      </c>
      <c r="U277" s="5" t="s">
        <v>1394</v>
      </c>
      <c r="V277" s="20" t="s">
        <v>1395</v>
      </c>
      <c r="W277" s="5" t="s">
        <v>965</v>
      </c>
      <c r="X277" s="5" t="s">
        <v>81</v>
      </c>
      <c r="Y277" s="5"/>
      <c r="Z277" s="5"/>
    </row>
    <row r="278" spans="1:28" x14ac:dyDescent="0.3">
      <c r="A278" s="5">
        <v>2506644</v>
      </c>
      <c r="B278" s="20" t="s">
        <v>1396</v>
      </c>
      <c r="C278" s="25">
        <v>45782</v>
      </c>
      <c r="D278" s="5" t="s">
        <v>17</v>
      </c>
      <c r="E278" s="5" t="s">
        <v>71</v>
      </c>
      <c r="F278" s="5" t="s">
        <v>14</v>
      </c>
      <c r="G278" s="5" t="e" vm="5">
        <v>#VALUE!</v>
      </c>
      <c r="H278" s="5">
        <v>7.08</v>
      </c>
      <c r="I278" s="5"/>
      <c r="J278" s="5"/>
      <c r="K278" s="11">
        <v>21000</v>
      </c>
      <c r="M278" s="5" t="s">
        <v>125</v>
      </c>
      <c r="N278" s="5" t="s">
        <v>73</v>
      </c>
      <c r="O278" s="5" t="s">
        <v>243</v>
      </c>
      <c r="P278" s="5">
        <v>12</v>
      </c>
      <c r="Q278" s="5" t="s">
        <v>286</v>
      </c>
      <c r="R278" s="5"/>
      <c r="S278" s="5" t="s">
        <v>1397</v>
      </c>
      <c r="T278" s="20" t="s">
        <v>1398</v>
      </c>
      <c r="U278" s="5" t="s">
        <v>1399</v>
      </c>
      <c r="V278" s="20" t="s">
        <v>1400</v>
      </c>
      <c r="W278" s="5" t="s">
        <v>965</v>
      </c>
      <c r="X278" s="5" t="s">
        <v>81</v>
      </c>
      <c r="Y278" s="5"/>
      <c r="Z278" s="5"/>
    </row>
    <row r="279" spans="1:28" x14ac:dyDescent="0.3">
      <c r="A279" s="5">
        <v>2505675</v>
      </c>
      <c r="B279" s="20" t="s">
        <v>1401</v>
      </c>
      <c r="C279" s="25">
        <v>45782</v>
      </c>
      <c r="D279" s="5" t="s">
        <v>22</v>
      </c>
      <c r="E279" s="5" t="s">
        <v>71</v>
      </c>
      <c r="F279" s="5" t="s">
        <v>14</v>
      </c>
      <c r="G279" s="5" t="e" vm="11">
        <v>#VALUE!</v>
      </c>
      <c r="H279" s="5">
        <v>15.34</v>
      </c>
      <c r="I279" s="5"/>
      <c r="J279" s="5"/>
      <c r="K279" s="11">
        <v>42170</v>
      </c>
      <c r="M279" s="5" t="s">
        <v>176</v>
      </c>
      <c r="N279" s="5" t="s">
        <v>73</v>
      </c>
      <c r="O279" s="5" t="s">
        <v>243</v>
      </c>
      <c r="P279" s="5">
        <v>26</v>
      </c>
      <c r="Q279" s="5" t="s">
        <v>143</v>
      </c>
      <c r="R279" s="5"/>
      <c r="S279" s="5" t="s">
        <v>1402</v>
      </c>
      <c r="T279" s="20" t="s">
        <v>1403</v>
      </c>
      <c r="U279" s="5" t="s">
        <v>1404</v>
      </c>
      <c r="V279" s="20" t="s">
        <v>1405</v>
      </c>
      <c r="W279" s="5" t="s">
        <v>965</v>
      </c>
      <c r="X279" s="5" t="s">
        <v>81</v>
      </c>
      <c r="Y279" s="5"/>
      <c r="Z279" s="5"/>
      <c r="AB279" s="20" t="s">
        <v>1406</v>
      </c>
    </row>
    <row r="280" spans="1:28" x14ac:dyDescent="0.3">
      <c r="A280" s="5">
        <v>2502564</v>
      </c>
      <c r="B280" s="20" t="s">
        <v>1407</v>
      </c>
      <c r="C280" s="25">
        <v>45783</v>
      </c>
      <c r="D280" s="5" t="s">
        <v>20</v>
      </c>
      <c r="E280" s="5" t="s">
        <v>71</v>
      </c>
      <c r="F280" s="5" t="s">
        <v>14</v>
      </c>
      <c r="G280" s="5" t="e" vm="5">
        <v>#VALUE!</v>
      </c>
      <c r="H280" s="5">
        <v>17.7</v>
      </c>
      <c r="I280" s="5"/>
      <c r="J280" s="5"/>
      <c r="K280" s="11">
        <v>43000</v>
      </c>
      <c r="M280" s="5" t="s">
        <v>125</v>
      </c>
      <c r="N280" s="5" t="s">
        <v>73</v>
      </c>
      <c r="O280" s="5" t="s">
        <v>243</v>
      </c>
      <c r="P280" s="5">
        <v>30</v>
      </c>
      <c r="Q280" s="5" t="s">
        <v>131</v>
      </c>
      <c r="R280" s="5"/>
      <c r="S280" s="5" t="s">
        <v>1408</v>
      </c>
      <c r="T280" s="20" t="s">
        <v>1409</v>
      </c>
      <c r="U280" s="5" t="s">
        <v>868</v>
      </c>
      <c r="V280" s="21" t="s">
        <v>869</v>
      </c>
      <c r="W280" s="5" t="s">
        <v>965</v>
      </c>
      <c r="X280" s="5" t="s">
        <v>81</v>
      </c>
      <c r="Y280" s="5"/>
      <c r="Z280" s="5"/>
    </row>
    <row r="281" spans="1:28" x14ac:dyDescent="0.3">
      <c r="A281" s="5">
        <v>2504664</v>
      </c>
      <c r="B281" s="20" t="s">
        <v>1410</v>
      </c>
      <c r="C281" s="25">
        <v>45786</v>
      </c>
      <c r="D281" s="5" t="s">
        <v>22</v>
      </c>
      <c r="E281" s="5" t="s">
        <v>71</v>
      </c>
      <c r="F281" s="5" t="s">
        <v>14</v>
      </c>
      <c r="G281" s="5" t="e" vm="11">
        <v>#VALUE!</v>
      </c>
      <c r="H281" s="5">
        <v>17.7</v>
      </c>
      <c r="I281" s="5"/>
      <c r="J281" s="5"/>
      <c r="K281" s="11">
        <v>41000</v>
      </c>
      <c r="M281" s="5" t="s">
        <v>125</v>
      </c>
      <c r="N281" s="5" t="s">
        <v>73</v>
      </c>
      <c r="O281" s="5" t="s">
        <v>243</v>
      </c>
      <c r="P281" s="5">
        <v>30</v>
      </c>
      <c r="Q281" s="5" t="s">
        <v>143</v>
      </c>
      <c r="R281" s="5"/>
      <c r="S281" s="5" t="s">
        <v>1411</v>
      </c>
      <c r="T281" s="20" t="s">
        <v>1412</v>
      </c>
      <c r="U281" s="5" t="s">
        <v>1413</v>
      </c>
      <c r="V281" s="20" t="s">
        <v>1414</v>
      </c>
      <c r="W281" s="5" t="s">
        <v>965</v>
      </c>
      <c r="X281" s="5" t="s">
        <v>81</v>
      </c>
      <c r="Y281" s="5"/>
      <c r="Z281" s="5"/>
    </row>
    <row r="282" spans="1:28" x14ac:dyDescent="0.3">
      <c r="A282" s="5">
        <v>2504651</v>
      </c>
      <c r="B282" s="20" t="s">
        <v>1415</v>
      </c>
      <c r="C282" s="25">
        <v>45786</v>
      </c>
      <c r="D282" s="5" t="s">
        <v>17</v>
      </c>
      <c r="E282" s="5" t="s">
        <v>71</v>
      </c>
      <c r="F282" s="5" t="s">
        <v>14</v>
      </c>
      <c r="G282" s="5" t="e" vm="4">
        <v>#VALUE!</v>
      </c>
      <c r="H282" s="5">
        <v>14.16</v>
      </c>
      <c r="I282" s="5"/>
      <c r="J282" s="5"/>
      <c r="K282" s="11">
        <v>35000</v>
      </c>
      <c r="M282" s="5" t="s">
        <v>125</v>
      </c>
      <c r="N282" s="5" t="s">
        <v>73</v>
      </c>
      <c r="O282" s="5" t="s">
        <v>243</v>
      </c>
      <c r="P282" s="5">
        <v>24</v>
      </c>
      <c r="Q282" s="5" t="s">
        <v>143</v>
      </c>
      <c r="R282" s="5"/>
      <c r="S282" s="5" t="s">
        <v>1416</v>
      </c>
      <c r="T282" s="20" t="s">
        <v>1417</v>
      </c>
      <c r="U282" s="5" t="s">
        <v>1418</v>
      </c>
      <c r="V282" s="21" t="s">
        <v>1419</v>
      </c>
      <c r="W282" s="5" t="s">
        <v>965</v>
      </c>
      <c r="X282" s="5" t="s">
        <v>81</v>
      </c>
      <c r="Y282" s="5"/>
      <c r="Z282" s="5" t="s">
        <v>269</v>
      </c>
    </row>
    <row r="283" spans="1:28" x14ac:dyDescent="0.3">
      <c r="A283" s="5">
        <v>2504049</v>
      </c>
      <c r="B283" s="20" t="s">
        <v>1420</v>
      </c>
      <c r="C283" s="25">
        <v>45786</v>
      </c>
      <c r="D283" s="5" t="s">
        <v>20</v>
      </c>
      <c r="E283" s="5" t="s">
        <v>206</v>
      </c>
      <c r="F283" s="5"/>
      <c r="G283" s="5" t="e" vm="7">
        <v>#VALUE!</v>
      </c>
      <c r="H283" s="5"/>
      <c r="I283" s="5">
        <v>60</v>
      </c>
      <c r="J283" s="5"/>
      <c r="K283" s="11">
        <v>45015</v>
      </c>
      <c r="M283" s="5" t="s">
        <v>125</v>
      </c>
      <c r="N283" s="5" t="s">
        <v>73</v>
      </c>
      <c r="O283" s="5" t="s">
        <v>18</v>
      </c>
      <c r="P283" s="5" t="s">
        <v>18</v>
      </c>
      <c r="Q283" s="5" t="s">
        <v>18</v>
      </c>
      <c r="R283" s="5"/>
      <c r="V283" s="21"/>
      <c r="W283" s="5"/>
      <c r="X283" s="5"/>
      <c r="Y283" s="5"/>
      <c r="Z283" s="5"/>
    </row>
    <row r="284" spans="1:28" x14ac:dyDescent="0.3">
      <c r="A284" s="5">
        <v>2505686</v>
      </c>
      <c r="B284" s="20" t="s">
        <v>1421</v>
      </c>
      <c r="C284" s="25">
        <v>45790</v>
      </c>
      <c r="D284" s="5" t="s">
        <v>22</v>
      </c>
      <c r="E284" s="5" t="s">
        <v>71</v>
      </c>
      <c r="F284" s="5" t="s">
        <v>14</v>
      </c>
      <c r="G284" s="5" t="e" vm="11">
        <v>#VALUE!</v>
      </c>
      <c r="H284" s="5">
        <v>7.08</v>
      </c>
      <c r="I284" s="5"/>
      <c r="J284" s="5"/>
      <c r="K284" s="11">
        <v>21500</v>
      </c>
      <c r="M284" s="5" t="s">
        <v>125</v>
      </c>
      <c r="N284" s="5" t="s">
        <v>73</v>
      </c>
      <c r="O284" s="5" t="s">
        <v>243</v>
      </c>
      <c r="P284" s="5">
        <v>12</v>
      </c>
      <c r="Q284" s="5" t="s">
        <v>286</v>
      </c>
      <c r="R284" s="5"/>
      <c r="S284" s="5" t="s">
        <v>1422</v>
      </c>
      <c r="T284" s="20" t="s">
        <v>1423</v>
      </c>
      <c r="U284" s="5" t="s">
        <v>1424</v>
      </c>
      <c r="V284" s="20" t="s">
        <v>1425</v>
      </c>
      <c r="W284" s="5" t="s">
        <v>965</v>
      </c>
      <c r="X284" s="5" t="s">
        <v>81</v>
      </c>
      <c r="Y284" s="5"/>
      <c r="Z284" s="5"/>
    </row>
    <row r="285" spans="1:28" x14ac:dyDescent="0.3">
      <c r="A285" s="5">
        <v>2503603</v>
      </c>
      <c r="B285" s="20" t="s">
        <v>1426</v>
      </c>
      <c r="C285" s="25">
        <v>45791</v>
      </c>
      <c r="D285" s="5" t="s">
        <v>17</v>
      </c>
      <c r="E285" s="5" t="s">
        <v>71</v>
      </c>
      <c r="F285" s="5" t="s">
        <v>14</v>
      </c>
      <c r="G285" s="5" t="e" vm="12">
        <v>#VALUE!</v>
      </c>
      <c r="H285" s="5">
        <v>17.7</v>
      </c>
      <c r="I285" s="5"/>
      <c r="J285" s="5"/>
      <c r="K285" s="11">
        <v>43400</v>
      </c>
      <c r="M285" s="5" t="s">
        <v>176</v>
      </c>
      <c r="N285" s="5" t="s">
        <v>73</v>
      </c>
      <c r="O285" s="5" t="s">
        <v>243</v>
      </c>
      <c r="P285" s="5">
        <v>30</v>
      </c>
      <c r="Q285" s="5" t="s">
        <v>143</v>
      </c>
      <c r="R285" s="5"/>
      <c r="S285" s="5" t="s">
        <v>1427</v>
      </c>
      <c r="T285" s="20" t="s">
        <v>1428</v>
      </c>
      <c r="U285" s="5" t="s">
        <v>1429</v>
      </c>
      <c r="V285" s="21" t="s">
        <v>1430</v>
      </c>
      <c r="W285" s="5" t="s">
        <v>965</v>
      </c>
      <c r="X285" s="5" t="s">
        <v>81</v>
      </c>
      <c r="Y285" s="5"/>
      <c r="Z285" s="5"/>
    </row>
    <row r="286" spans="1:28" x14ac:dyDescent="0.3">
      <c r="A286" s="5">
        <v>2302004</v>
      </c>
      <c r="B286" s="20" t="s">
        <v>1431</v>
      </c>
      <c r="C286" s="25">
        <v>45791</v>
      </c>
      <c r="D286" s="5" t="s">
        <v>19</v>
      </c>
      <c r="E286" s="5" t="s">
        <v>71</v>
      </c>
      <c r="F286" s="5" t="s">
        <v>14</v>
      </c>
      <c r="G286" s="5" t="e" vm="11">
        <v>#VALUE!</v>
      </c>
      <c r="H286" s="5">
        <v>8.85</v>
      </c>
      <c r="I286" s="5"/>
      <c r="J286" s="5"/>
      <c r="K286" s="11">
        <v>27500</v>
      </c>
      <c r="M286" s="5" t="s">
        <v>176</v>
      </c>
      <c r="N286" s="5" t="s">
        <v>73</v>
      </c>
      <c r="O286" s="5" t="s">
        <v>243</v>
      </c>
      <c r="P286" s="5">
        <v>15</v>
      </c>
      <c r="Q286" s="14" t="s">
        <v>364</v>
      </c>
      <c r="R286" s="5"/>
      <c r="T286" s="20" t="s">
        <v>1432</v>
      </c>
      <c r="W286" s="5" t="s">
        <v>109</v>
      </c>
      <c r="X286" s="5" t="s">
        <v>81</v>
      </c>
      <c r="Y286" s="5"/>
      <c r="Z286" s="5"/>
    </row>
    <row r="287" spans="1:28" x14ac:dyDescent="0.3">
      <c r="A287" s="5">
        <v>2503225</v>
      </c>
      <c r="B287" s="20" t="s">
        <v>340</v>
      </c>
      <c r="C287" s="25">
        <v>45791</v>
      </c>
      <c r="D287" s="5" t="s">
        <v>17</v>
      </c>
      <c r="E287" s="5" t="s">
        <v>124</v>
      </c>
      <c r="F287" s="5" t="s">
        <v>14</v>
      </c>
      <c r="G287" s="5" t="e" vm="5">
        <v>#VALUE!</v>
      </c>
      <c r="H287" s="5">
        <v>97.6</v>
      </c>
      <c r="I287" s="5"/>
      <c r="J287" s="5"/>
      <c r="K287" s="11">
        <v>198800</v>
      </c>
      <c r="M287" s="5" t="s">
        <v>125</v>
      </c>
      <c r="N287" s="5" t="s">
        <v>73</v>
      </c>
      <c r="O287" s="5" t="s">
        <v>561</v>
      </c>
      <c r="P287" s="5">
        <v>160</v>
      </c>
      <c r="Q287" s="5" t="s">
        <v>1433</v>
      </c>
      <c r="R287" s="5"/>
      <c r="W287" s="5" t="s">
        <v>965</v>
      </c>
      <c r="X287" s="5" t="s">
        <v>81</v>
      </c>
      <c r="Y287" s="5"/>
      <c r="Z287" s="5"/>
    </row>
    <row r="288" spans="1:28" x14ac:dyDescent="0.3">
      <c r="A288" s="5">
        <v>2403185</v>
      </c>
      <c r="B288" s="20" t="s">
        <v>1434</v>
      </c>
      <c r="C288" s="25">
        <v>45792</v>
      </c>
      <c r="D288" s="5" t="s">
        <v>17</v>
      </c>
      <c r="E288" s="5" t="s">
        <v>71</v>
      </c>
      <c r="F288" s="5" t="s">
        <v>14</v>
      </c>
      <c r="G288" s="5" t="e" vm="5">
        <v>#VALUE!</v>
      </c>
      <c r="H288" s="5">
        <v>7.08</v>
      </c>
      <c r="I288" s="5"/>
      <c r="J288" s="5"/>
      <c r="K288" s="11">
        <v>21500</v>
      </c>
      <c r="L288" s="24">
        <v>-1416</v>
      </c>
      <c r="M288" s="5" t="s">
        <v>125</v>
      </c>
      <c r="N288" s="5" t="s">
        <v>73</v>
      </c>
      <c r="O288" s="5" t="s">
        <v>243</v>
      </c>
      <c r="P288" s="5">
        <v>12</v>
      </c>
      <c r="Q288" s="5" t="s">
        <v>286</v>
      </c>
      <c r="R288" s="5"/>
      <c r="S288" s="5" t="s">
        <v>1435</v>
      </c>
      <c r="T288" s="20" t="s">
        <v>1436</v>
      </c>
      <c r="U288" s="5" t="s">
        <v>1437</v>
      </c>
      <c r="V288" s="21" t="s">
        <v>1438</v>
      </c>
      <c r="W288" s="5" t="s">
        <v>965</v>
      </c>
      <c r="X288" s="5" t="s">
        <v>81</v>
      </c>
      <c r="Y288" s="5"/>
      <c r="Z288" s="5" t="s">
        <v>269</v>
      </c>
    </row>
    <row r="289" spans="1:28" x14ac:dyDescent="0.3">
      <c r="A289" s="5">
        <v>2410194</v>
      </c>
      <c r="B289" s="15" t="s">
        <v>1439</v>
      </c>
      <c r="C289" s="25">
        <v>45792</v>
      </c>
      <c r="D289" s="5" t="s">
        <v>17</v>
      </c>
      <c r="E289" s="5" t="s">
        <v>124</v>
      </c>
      <c r="F289" s="5" t="s">
        <v>14</v>
      </c>
      <c r="G289" s="5" t="e" vm="3">
        <v>#VALUE!</v>
      </c>
      <c r="H289" s="5">
        <v>207.08</v>
      </c>
      <c r="I289" s="5"/>
      <c r="J289" s="5"/>
      <c r="K289" s="11">
        <v>395000</v>
      </c>
      <c r="M289" s="5" t="s">
        <v>125</v>
      </c>
      <c r="N289" s="5" t="s">
        <v>73</v>
      </c>
      <c r="O289" s="5" t="s">
        <v>1440</v>
      </c>
      <c r="P289" s="5">
        <v>334</v>
      </c>
      <c r="Q289" s="5" t="s">
        <v>1433</v>
      </c>
      <c r="R289" s="5"/>
      <c r="W289" s="5"/>
      <c r="X289" s="5"/>
      <c r="Y289" s="5"/>
      <c r="Z289" s="5"/>
    </row>
    <row r="290" spans="1:28" x14ac:dyDescent="0.3">
      <c r="A290" s="5">
        <v>2504669</v>
      </c>
      <c r="B290" s="20" t="s">
        <v>1441</v>
      </c>
      <c r="C290" s="25">
        <v>45793</v>
      </c>
      <c r="D290" s="5" t="s">
        <v>17</v>
      </c>
      <c r="E290" s="5" t="s">
        <v>71</v>
      </c>
      <c r="F290" s="5" t="s">
        <v>14</v>
      </c>
      <c r="G290" s="5" t="e" vm="5">
        <v>#VALUE!</v>
      </c>
      <c r="H290" s="5">
        <v>10.62</v>
      </c>
      <c r="I290" s="5"/>
      <c r="J290" s="5"/>
      <c r="K290" s="11">
        <v>29000</v>
      </c>
      <c r="M290" s="5" t="s">
        <v>125</v>
      </c>
      <c r="N290" s="5" t="s">
        <v>73</v>
      </c>
      <c r="O290" s="5" t="s">
        <v>243</v>
      </c>
      <c r="P290" s="5">
        <v>18</v>
      </c>
      <c r="Q290" s="5" t="s">
        <v>364</v>
      </c>
      <c r="R290" s="5"/>
      <c r="S290" s="5" t="s">
        <v>1442</v>
      </c>
      <c r="T290" s="20" t="s">
        <v>1443</v>
      </c>
      <c r="U290" s="5" t="s">
        <v>1444</v>
      </c>
      <c r="V290" s="21" t="s">
        <v>1445</v>
      </c>
      <c r="W290" s="5" t="s">
        <v>965</v>
      </c>
      <c r="X290" s="5" t="s">
        <v>81</v>
      </c>
      <c r="Y290" s="5"/>
      <c r="Z290" s="5" t="s">
        <v>1446</v>
      </c>
    </row>
    <row r="291" spans="1:28" x14ac:dyDescent="0.3">
      <c r="A291" s="5">
        <v>2504660</v>
      </c>
      <c r="B291" s="20" t="s">
        <v>1447</v>
      </c>
      <c r="C291" s="25">
        <v>45793</v>
      </c>
      <c r="D291" s="5" t="s">
        <v>19</v>
      </c>
      <c r="E291" s="5" t="s">
        <v>71</v>
      </c>
      <c r="F291" s="5" t="s">
        <v>14</v>
      </c>
      <c r="G291" s="5" t="e" vm="11">
        <v>#VALUE!</v>
      </c>
      <c r="H291" s="5">
        <v>14.75</v>
      </c>
      <c r="I291" s="5"/>
      <c r="J291" s="5"/>
      <c r="K291" s="11">
        <v>34000</v>
      </c>
      <c r="M291" s="5" t="s">
        <v>125</v>
      </c>
      <c r="N291" s="5" t="s">
        <v>73</v>
      </c>
      <c r="O291" s="5" t="s">
        <v>243</v>
      </c>
      <c r="P291" s="5">
        <v>25</v>
      </c>
      <c r="Q291" s="5" t="s">
        <v>143</v>
      </c>
      <c r="R291" s="5"/>
      <c r="S291" s="5" t="s">
        <v>1448</v>
      </c>
      <c r="T291" s="20" t="s">
        <v>1449</v>
      </c>
      <c r="U291" s="5" t="s">
        <v>1450</v>
      </c>
      <c r="V291" s="21" t="s">
        <v>1451</v>
      </c>
      <c r="W291" s="5" t="s">
        <v>109</v>
      </c>
      <c r="X291" s="5" t="s">
        <v>81</v>
      </c>
      <c r="Y291" s="5"/>
      <c r="Z291" s="5"/>
    </row>
    <row r="292" spans="1:28" x14ac:dyDescent="0.3">
      <c r="A292" s="5">
        <v>2410191</v>
      </c>
      <c r="B292" s="15" t="s">
        <v>1452</v>
      </c>
      <c r="C292" s="25">
        <v>45793</v>
      </c>
      <c r="D292" s="5" t="s">
        <v>17</v>
      </c>
      <c r="E292" s="5" t="s">
        <v>124</v>
      </c>
      <c r="F292" s="5" t="s">
        <v>14</v>
      </c>
      <c r="G292" s="5" t="e" vm="8">
        <v>#VALUE!</v>
      </c>
      <c r="H292" s="5">
        <v>53.68</v>
      </c>
      <c r="I292" s="5"/>
      <c r="J292" s="5"/>
      <c r="K292" s="11">
        <v>150000</v>
      </c>
      <c r="M292" s="5" t="s">
        <v>125</v>
      </c>
      <c r="N292" s="5" t="s">
        <v>73</v>
      </c>
      <c r="O292" s="5" t="s">
        <v>1453</v>
      </c>
      <c r="P292" s="5">
        <v>88</v>
      </c>
      <c r="Q292" s="14" t="s">
        <v>1454</v>
      </c>
      <c r="R292" s="5"/>
      <c r="W292" s="5" t="s">
        <v>965</v>
      </c>
      <c r="X292" s="5" t="s">
        <v>81</v>
      </c>
      <c r="Y292" s="5"/>
      <c r="Z292" s="5" t="s">
        <v>269</v>
      </c>
    </row>
    <row r="293" spans="1:28" x14ac:dyDescent="0.3">
      <c r="A293" s="5">
        <v>2505695</v>
      </c>
      <c r="B293" s="15" t="s">
        <v>1455</v>
      </c>
      <c r="C293" s="25">
        <v>45797</v>
      </c>
      <c r="D293" s="5" t="s">
        <v>22</v>
      </c>
      <c r="E293" s="5" t="s">
        <v>71</v>
      </c>
      <c r="F293" s="5" t="s">
        <v>14</v>
      </c>
      <c r="G293" s="5" t="e" vm="11">
        <v>#VALUE!</v>
      </c>
      <c r="H293" s="5">
        <v>9.44</v>
      </c>
      <c r="I293" s="5"/>
      <c r="J293" s="5"/>
      <c r="K293" s="11">
        <v>27000</v>
      </c>
      <c r="M293" s="5" t="s">
        <v>125</v>
      </c>
      <c r="N293" s="5" t="s">
        <v>73</v>
      </c>
      <c r="O293" s="5" t="s">
        <v>243</v>
      </c>
      <c r="P293" s="5">
        <v>16</v>
      </c>
      <c r="Q293" s="14" t="s">
        <v>364</v>
      </c>
      <c r="R293" s="5"/>
      <c r="S293" s="5" t="s">
        <v>1456</v>
      </c>
      <c r="T293" s="20" t="s">
        <v>1457</v>
      </c>
      <c r="U293" s="5" t="s">
        <v>1458</v>
      </c>
      <c r="V293" s="21" t="s">
        <v>1459</v>
      </c>
      <c r="W293" s="5" t="s">
        <v>965</v>
      </c>
      <c r="X293" s="5" t="s">
        <v>81</v>
      </c>
      <c r="Y293" s="5"/>
      <c r="Z293" s="5"/>
    </row>
    <row r="294" spans="1:28" x14ac:dyDescent="0.3">
      <c r="A294" s="5">
        <v>2505672</v>
      </c>
      <c r="B294" s="15" t="s">
        <v>1460</v>
      </c>
      <c r="C294" s="25">
        <v>45797</v>
      </c>
      <c r="D294" s="5" t="s">
        <v>22</v>
      </c>
      <c r="E294" s="5" t="s">
        <v>71</v>
      </c>
      <c r="F294" s="5" t="s">
        <v>14</v>
      </c>
      <c r="G294" s="5" t="e" vm="11">
        <v>#VALUE!</v>
      </c>
      <c r="H294" s="5">
        <v>8.85</v>
      </c>
      <c r="I294" s="5"/>
      <c r="J294" s="5"/>
      <c r="K294" s="11">
        <v>27000</v>
      </c>
      <c r="M294" s="5" t="s">
        <v>125</v>
      </c>
      <c r="N294" s="5" t="s">
        <v>73</v>
      </c>
      <c r="O294" s="5" t="s">
        <v>243</v>
      </c>
      <c r="P294" s="5">
        <v>15</v>
      </c>
      <c r="Q294" s="14" t="s">
        <v>364</v>
      </c>
      <c r="R294" s="5"/>
      <c r="S294" s="5" t="s">
        <v>1461</v>
      </c>
      <c r="T294" s="20" t="s">
        <v>1462</v>
      </c>
      <c r="U294" s="5" t="s">
        <v>1463</v>
      </c>
      <c r="V294" s="21" t="s">
        <v>1464</v>
      </c>
      <c r="W294" s="5" t="s">
        <v>965</v>
      </c>
      <c r="X294" s="5" t="s">
        <v>81</v>
      </c>
      <c r="Y294" s="5"/>
      <c r="Z294" s="5"/>
      <c r="AB294" s="20" t="s">
        <v>1406</v>
      </c>
    </row>
    <row r="295" spans="1:28" x14ac:dyDescent="0.3">
      <c r="A295" s="5">
        <v>2505684</v>
      </c>
      <c r="B295" s="15" t="s">
        <v>1465</v>
      </c>
      <c r="C295" s="25">
        <v>45797</v>
      </c>
      <c r="D295" s="5" t="s">
        <v>22</v>
      </c>
      <c r="E295" s="5" t="s">
        <v>71</v>
      </c>
      <c r="F295" s="5" t="s">
        <v>14</v>
      </c>
      <c r="G295" s="5" t="e" vm="11">
        <v>#VALUE!</v>
      </c>
      <c r="H295" s="5">
        <v>11.21</v>
      </c>
      <c r="I295" s="5"/>
      <c r="J295" s="5"/>
      <c r="K295" s="11">
        <v>30000</v>
      </c>
      <c r="M295" s="5" t="s">
        <v>125</v>
      </c>
      <c r="N295" s="5" t="s">
        <v>73</v>
      </c>
      <c r="O295" s="5" t="s">
        <v>243</v>
      </c>
      <c r="P295" s="5">
        <v>19</v>
      </c>
      <c r="Q295" s="5" t="s">
        <v>111</v>
      </c>
      <c r="R295" s="5"/>
      <c r="S295" s="5" t="s">
        <v>1466</v>
      </c>
      <c r="T295" s="20" t="s">
        <v>1467</v>
      </c>
      <c r="U295" s="5" t="s">
        <v>1468</v>
      </c>
      <c r="V295" s="21" t="s">
        <v>1469</v>
      </c>
      <c r="W295" s="5" t="s">
        <v>965</v>
      </c>
      <c r="X295" s="5" t="s">
        <v>81</v>
      </c>
      <c r="Y295" s="5"/>
      <c r="Z295" s="5"/>
    </row>
    <row r="296" spans="1:28" x14ac:dyDescent="0.3">
      <c r="A296" s="5">
        <v>2505697</v>
      </c>
      <c r="B296" s="20" t="s">
        <v>1470</v>
      </c>
      <c r="C296" s="25">
        <v>45797</v>
      </c>
      <c r="D296" s="5" t="s">
        <v>22</v>
      </c>
      <c r="E296" s="5" t="s">
        <v>71</v>
      </c>
      <c r="F296" s="5" t="s">
        <v>14</v>
      </c>
      <c r="G296" s="5" t="e" vm="11">
        <v>#VALUE!</v>
      </c>
      <c r="H296" s="5">
        <v>7.08</v>
      </c>
      <c r="I296" s="5"/>
      <c r="J296" s="5"/>
      <c r="K296" s="11">
        <v>21500</v>
      </c>
      <c r="M296" s="5" t="s">
        <v>125</v>
      </c>
      <c r="N296" s="5" t="s">
        <v>73</v>
      </c>
      <c r="O296" s="5" t="s">
        <v>243</v>
      </c>
      <c r="P296" s="5">
        <v>12</v>
      </c>
      <c r="Q296" s="5" t="s">
        <v>286</v>
      </c>
      <c r="R296" s="5"/>
      <c r="S296" s="5" t="s">
        <v>1471</v>
      </c>
      <c r="T296" s="20" t="s">
        <v>1472</v>
      </c>
      <c r="U296" s="5" t="s">
        <v>1473</v>
      </c>
      <c r="V296" s="21" t="s">
        <v>1474</v>
      </c>
      <c r="W296" s="5" t="s">
        <v>965</v>
      </c>
      <c r="X296" s="5" t="s">
        <v>81</v>
      </c>
      <c r="Y296" s="5"/>
      <c r="Z296" s="5"/>
    </row>
    <row r="297" spans="1:28" x14ac:dyDescent="0.3">
      <c r="A297" s="5">
        <v>2505688</v>
      </c>
      <c r="B297" s="20" t="s">
        <v>1475</v>
      </c>
      <c r="C297" s="25">
        <v>45797</v>
      </c>
      <c r="D297" s="5" t="s">
        <v>17</v>
      </c>
      <c r="E297" s="5" t="s">
        <v>71</v>
      </c>
      <c r="F297" s="5" t="s">
        <v>14</v>
      </c>
      <c r="G297" s="5" t="e" vm="5">
        <v>#VALUE!</v>
      </c>
      <c r="H297" s="5">
        <v>16.52</v>
      </c>
      <c r="I297" s="5"/>
      <c r="J297" s="5"/>
      <c r="K297" s="11">
        <v>40000</v>
      </c>
      <c r="M297" s="5" t="s">
        <v>125</v>
      </c>
      <c r="N297" s="5" t="s">
        <v>73</v>
      </c>
      <c r="O297" s="5" t="s">
        <v>243</v>
      </c>
      <c r="P297" s="5">
        <v>28</v>
      </c>
      <c r="Q297" s="5" t="s">
        <v>143</v>
      </c>
      <c r="R297" s="5"/>
      <c r="S297" s="5" t="s">
        <v>1476</v>
      </c>
      <c r="T297" s="20" t="s">
        <v>1477</v>
      </c>
      <c r="U297" s="5" t="s">
        <v>1478</v>
      </c>
      <c r="V297" s="21" t="s">
        <v>1479</v>
      </c>
      <c r="W297" s="5" t="s">
        <v>965</v>
      </c>
      <c r="X297" s="5" t="s">
        <v>81</v>
      </c>
      <c r="Y297" s="5"/>
      <c r="Z297" s="5"/>
    </row>
    <row r="298" spans="1:28" x14ac:dyDescent="0.3">
      <c r="A298" s="5">
        <v>2505682</v>
      </c>
      <c r="B298" s="20" t="s">
        <v>1480</v>
      </c>
      <c r="C298" s="25">
        <v>45797</v>
      </c>
      <c r="D298" s="5" t="s">
        <v>22</v>
      </c>
      <c r="E298" s="5" t="s">
        <v>71</v>
      </c>
      <c r="F298" s="5" t="s">
        <v>14</v>
      </c>
      <c r="G298" s="5" t="e" vm="11">
        <v>#VALUE!</v>
      </c>
      <c r="H298" s="5">
        <v>13.42</v>
      </c>
      <c r="I298" s="5"/>
      <c r="J298" s="5"/>
      <c r="K298" s="11">
        <v>36620</v>
      </c>
      <c r="M298" s="5" t="s">
        <v>176</v>
      </c>
      <c r="N298" s="5" t="s">
        <v>73</v>
      </c>
      <c r="O298" s="5" t="s">
        <v>561</v>
      </c>
      <c r="P298" s="5">
        <v>22</v>
      </c>
      <c r="Q298" s="5" t="s">
        <v>111</v>
      </c>
      <c r="R298" s="5"/>
      <c r="S298" s="5" t="s">
        <v>1481</v>
      </c>
      <c r="T298" s="20" t="s">
        <v>1482</v>
      </c>
      <c r="U298" s="5" t="s">
        <v>1483</v>
      </c>
      <c r="V298" s="21" t="s">
        <v>1484</v>
      </c>
      <c r="W298" s="5" t="s">
        <v>80</v>
      </c>
      <c r="X298" s="5" t="s">
        <v>81</v>
      </c>
      <c r="Y298" s="5"/>
      <c r="Z298" s="5"/>
    </row>
    <row r="299" spans="1:28" x14ac:dyDescent="0.3">
      <c r="A299" s="5">
        <v>2505699</v>
      </c>
      <c r="B299" s="20" t="s">
        <v>1485</v>
      </c>
      <c r="C299" s="25">
        <v>45798</v>
      </c>
      <c r="D299" s="5" t="s">
        <v>19</v>
      </c>
      <c r="E299" s="5" t="s">
        <v>71</v>
      </c>
      <c r="F299" s="5" t="s">
        <v>14</v>
      </c>
      <c r="G299" s="5" t="e" vm="11">
        <v>#VALUE!</v>
      </c>
      <c r="H299" s="5">
        <v>11.8</v>
      </c>
      <c r="I299" s="5"/>
      <c r="J299" s="5"/>
      <c r="K299" s="11">
        <v>33000</v>
      </c>
      <c r="M299" s="5" t="s">
        <v>125</v>
      </c>
      <c r="N299" s="5" t="s">
        <v>73</v>
      </c>
      <c r="O299" s="5" t="s">
        <v>243</v>
      </c>
      <c r="P299" s="5">
        <v>20</v>
      </c>
      <c r="Q299" s="5" t="s">
        <v>111</v>
      </c>
      <c r="R299" s="5"/>
      <c r="S299" s="5" t="s">
        <v>1486</v>
      </c>
      <c r="T299" s="20" t="s">
        <v>1487</v>
      </c>
      <c r="U299" s="5" t="s">
        <v>1488</v>
      </c>
      <c r="V299" s="20" t="s">
        <v>1489</v>
      </c>
      <c r="W299" s="5"/>
      <c r="X299" s="5"/>
      <c r="Y299" s="5"/>
      <c r="Z299" s="5"/>
    </row>
    <row r="300" spans="1:28" x14ac:dyDescent="0.3">
      <c r="A300" s="5">
        <v>2503612</v>
      </c>
      <c r="B300" s="20" t="s">
        <v>809</v>
      </c>
      <c r="C300" s="25">
        <v>45798</v>
      </c>
      <c r="D300" s="5" t="s">
        <v>17</v>
      </c>
      <c r="E300" s="5" t="s">
        <v>71</v>
      </c>
      <c r="F300" s="5" t="s">
        <v>14</v>
      </c>
      <c r="G300" s="5" t="e" vm="5">
        <v>#VALUE!</v>
      </c>
      <c r="H300" s="5">
        <v>17.7</v>
      </c>
      <c r="I300" s="5"/>
      <c r="J300" s="5"/>
      <c r="K300" s="11"/>
      <c r="M300" s="5"/>
      <c r="N300" s="5" t="s">
        <v>73</v>
      </c>
      <c r="O300" s="5" t="s">
        <v>243</v>
      </c>
      <c r="P300" s="5">
        <v>30</v>
      </c>
      <c r="Q300" s="5" t="s">
        <v>143</v>
      </c>
      <c r="R300" s="5"/>
      <c r="S300" s="5" t="s">
        <v>810</v>
      </c>
      <c r="T300" s="20" t="s">
        <v>1490</v>
      </c>
      <c r="U300" s="5" t="s">
        <v>812</v>
      </c>
      <c r="V300" s="20" t="s">
        <v>813</v>
      </c>
      <c r="W300" s="5"/>
      <c r="X300" s="5"/>
      <c r="Y300" s="5"/>
      <c r="Z300" s="5"/>
    </row>
    <row r="301" spans="1:28" x14ac:dyDescent="0.3">
      <c r="A301" s="5">
        <v>2505680</v>
      </c>
      <c r="B301" s="20" t="s">
        <v>1491</v>
      </c>
      <c r="C301" s="25">
        <v>45798</v>
      </c>
      <c r="D301" s="5" t="s">
        <v>22</v>
      </c>
      <c r="E301" s="5" t="s">
        <v>71</v>
      </c>
      <c r="F301" s="5" t="s">
        <v>14</v>
      </c>
      <c r="G301" s="5" t="e" vm="11">
        <v>#VALUE!</v>
      </c>
      <c r="H301" s="5">
        <v>17.7</v>
      </c>
      <c r="I301" s="5"/>
      <c r="J301" s="5"/>
      <c r="K301" s="11">
        <v>41000</v>
      </c>
      <c r="M301" s="5" t="s">
        <v>125</v>
      </c>
      <c r="N301" s="5" t="s">
        <v>73</v>
      </c>
      <c r="O301" s="5" t="s">
        <v>243</v>
      </c>
      <c r="P301" s="5">
        <v>30</v>
      </c>
      <c r="Q301" s="5" t="s">
        <v>143</v>
      </c>
      <c r="R301" s="5"/>
      <c r="S301" s="5" t="s">
        <v>1492</v>
      </c>
      <c r="T301" s="20" t="s">
        <v>1493</v>
      </c>
      <c r="U301" s="5" t="s">
        <v>1494</v>
      </c>
      <c r="V301" s="20" t="s">
        <v>1495</v>
      </c>
      <c r="W301" s="5"/>
      <c r="X301" s="5"/>
      <c r="Y301" s="5"/>
      <c r="Z301" s="5"/>
    </row>
    <row r="302" spans="1:28" x14ac:dyDescent="0.3">
      <c r="A302" s="5">
        <v>2503607</v>
      </c>
      <c r="B302" s="20" t="s">
        <v>1496</v>
      </c>
      <c r="C302" s="25">
        <v>45800</v>
      </c>
      <c r="D302" s="5" t="s">
        <v>17</v>
      </c>
      <c r="E302" s="5" t="s">
        <v>71</v>
      </c>
      <c r="F302" s="5" t="s">
        <v>14</v>
      </c>
      <c r="G302" s="5" t="e" vm="5">
        <v>#VALUE!</v>
      </c>
      <c r="H302" s="5">
        <v>10.62</v>
      </c>
      <c r="I302" s="5"/>
      <c r="J302" s="5"/>
      <c r="K302" s="11">
        <v>29000</v>
      </c>
      <c r="M302" s="5" t="s">
        <v>125</v>
      </c>
      <c r="N302" s="5" t="s">
        <v>73</v>
      </c>
      <c r="O302" s="5" t="s">
        <v>243</v>
      </c>
      <c r="P302" s="5">
        <v>18</v>
      </c>
      <c r="Q302" s="5" t="s">
        <v>364</v>
      </c>
      <c r="R302" s="5"/>
      <c r="S302" s="5" t="s">
        <v>1497</v>
      </c>
      <c r="T302" s="20" t="s">
        <v>1498</v>
      </c>
      <c r="U302" s="5" t="s">
        <v>1499</v>
      </c>
      <c r="V302" s="20" t="s">
        <v>1500</v>
      </c>
      <c r="W302" s="5" t="s">
        <v>965</v>
      </c>
      <c r="X302" s="5" t="s">
        <v>81</v>
      </c>
      <c r="Y302" s="5"/>
      <c r="Z302" s="5" t="s">
        <v>269</v>
      </c>
    </row>
    <row r="303" spans="1:28" x14ac:dyDescent="0.3">
      <c r="A303" s="5">
        <v>2505711</v>
      </c>
      <c r="B303" s="20" t="s">
        <v>1501</v>
      </c>
      <c r="C303" s="25">
        <v>45804</v>
      </c>
      <c r="D303" s="5" t="s">
        <v>19</v>
      </c>
      <c r="E303" s="5" t="s">
        <v>71</v>
      </c>
      <c r="F303" s="5" t="s">
        <v>14</v>
      </c>
      <c r="G303" s="5" t="e" vm="11">
        <v>#VALUE!</v>
      </c>
      <c r="H303" s="5">
        <v>8.26</v>
      </c>
      <c r="I303" s="5"/>
      <c r="J303" s="5"/>
      <c r="K303" s="11">
        <v>25500</v>
      </c>
      <c r="M303" s="5" t="s">
        <v>125</v>
      </c>
      <c r="N303" s="5" t="s">
        <v>73</v>
      </c>
      <c r="O303" s="5" t="s">
        <v>243</v>
      </c>
      <c r="P303" s="5">
        <v>14</v>
      </c>
      <c r="Q303" s="5" t="s">
        <v>244</v>
      </c>
      <c r="R303" s="5"/>
      <c r="S303" s="5" t="s">
        <v>1502</v>
      </c>
      <c r="T303" s="20" t="s">
        <v>1503</v>
      </c>
      <c r="U303" s="5" t="s">
        <v>1504</v>
      </c>
      <c r="V303" s="20" t="s">
        <v>1505</v>
      </c>
      <c r="W303" s="5" t="s">
        <v>965</v>
      </c>
      <c r="X303" s="5" t="s">
        <v>81</v>
      </c>
      <c r="Y303" s="5"/>
      <c r="Z303" s="5"/>
    </row>
    <row r="304" spans="1:28" x14ac:dyDescent="0.3">
      <c r="A304" s="5">
        <v>2505713</v>
      </c>
      <c r="B304" s="20" t="s">
        <v>1506</v>
      </c>
      <c r="C304" s="25">
        <v>45805</v>
      </c>
      <c r="D304" s="5" t="s">
        <v>22</v>
      </c>
      <c r="E304" s="5" t="s">
        <v>71</v>
      </c>
      <c r="F304" s="5" t="s">
        <v>14</v>
      </c>
      <c r="G304" s="5" t="e" vm="11">
        <v>#VALUE!</v>
      </c>
      <c r="H304" s="5">
        <v>17.7</v>
      </c>
      <c r="I304" s="5"/>
      <c r="J304" s="5"/>
      <c r="K304" s="11">
        <v>41000</v>
      </c>
      <c r="M304" s="5" t="s">
        <v>125</v>
      </c>
      <c r="N304" s="5" t="s">
        <v>73</v>
      </c>
      <c r="O304" s="5" t="s">
        <v>243</v>
      </c>
      <c r="P304" s="5">
        <v>30</v>
      </c>
      <c r="Q304" s="5" t="s">
        <v>143</v>
      </c>
      <c r="R304" s="5"/>
      <c r="S304" s="5" t="s">
        <v>1507</v>
      </c>
      <c r="T304" s="20" t="s">
        <v>1508</v>
      </c>
      <c r="U304" s="5" t="s">
        <v>1509</v>
      </c>
      <c r="V304" s="20" t="s">
        <v>1510</v>
      </c>
      <c r="W304" s="5" t="s">
        <v>965</v>
      </c>
      <c r="X304" s="5" t="s">
        <v>81</v>
      </c>
      <c r="Y304" s="5"/>
      <c r="Z304" s="5"/>
    </row>
    <row r="305" spans="1:26" x14ac:dyDescent="0.3">
      <c r="A305" s="5">
        <v>2505714</v>
      </c>
      <c r="B305" s="20" t="s">
        <v>1511</v>
      </c>
      <c r="C305" s="25">
        <v>45806</v>
      </c>
      <c r="D305" s="5" t="s">
        <v>17</v>
      </c>
      <c r="E305" s="5" t="s">
        <v>71</v>
      </c>
      <c r="F305" s="5" t="s">
        <v>14</v>
      </c>
      <c r="G305" s="5" t="e" vm="5">
        <v>#VALUE!</v>
      </c>
      <c r="H305" s="5">
        <v>7.08</v>
      </c>
      <c r="I305" s="5"/>
      <c r="J305" s="5"/>
      <c r="K305" s="11">
        <v>22500</v>
      </c>
      <c r="M305" s="5" t="s">
        <v>125</v>
      </c>
      <c r="N305" s="5" t="s">
        <v>73</v>
      </c>
      <c r="O305" s="5" t="s">
        <v>243</v>
      </c>
      <c r="P305" s="5">
        <v>12</v>
      </c>
      <c r="Q305" s="5" t="s">
        <v>286</v>
      </c>
      <c r="R305" s="5"/>
      <c r="S305" s="5" t="s">
        <v>1512</v>
      </c>
      <c r="T305" s="20" t="s">
        <v>1513</v>
      </c>
      <c r="U305" s="5" t="s">
        <v>1514</v>
      </c>
      <c r="V305" s="20" t="s">
        <v>1515</v>
      </c>
      <c r="W305" s="5" t="s">
        <v>965</v>
      </c>
      <c r="X305" s="5" t="s">
        <v>81</v>
      </c>
      <c r="Y305" s="5"/>
      <c r="Z305" s="5"/>
    </row>
    <row r="306" spans="1:26" x14ac:dyDescent="0.3">
      <c r="A306" s="5">
        <v>2405306</v>
      </c>
      <c r="B306" s="20" t="s">
        <v>773</v>
      </c>
      <c r="C306" s="25">
        <v>45806</v>
      </c>
      <c r="D306" s="5" t="s">
        <v>17</v>
      </c>
      <c r="E306" s="5" t="s">
        <v>71</v>
      </c>
      <c r="F306" s="5" t="s">
        <v>14</v>
      </c>
      <c r="G306" s="5" t="e" vm="5">
        <v>#VALUE!</v>
      </c>
      <c r="H306" s="5">
        <v>17.7</v>
      </c>
      <c r="I306" s="5"/>
      <c r="J306" s="5"/>
      <c r="K306" s="11">
        <v>43000</v>
      </c>
      <c r="L306" s="24">
        <v>7000</v>
      </c>
      <c r="M306" s="5" t="s">
        <v>125</v>
      </c>
      <c r="N306" s="5" t="s">
        <v>73</v>
      </c>
      <c r="O306" s="5" t="s">
        <v>243</v>
      </c>
      <c r="P306" s="5">
        <v>30</v>
      </c>
      <c r="Q306" s="5" t="s">
        <v>143</v>
      </c>
      <c r="R306" s="5"/>
      <c r="S306" s="5" t="s">
        <v>774</v>
      </c>
      <c r="T306" s="20" t="s">
        <v>1516</v>
      </c>
      <c r="U306" s="5" t="s">
        <v>776</v>
      </c>
      <c r="V306" s="21" t="s">
        <v>777</v>
      </c>
      <c r="W306" s="5" t="s">
        <v>965</v>
      </c>
      <c r="X306" s="5" t="s">
        <v>81</v>
      </c>
      <c r="Y306" s="5"/>
      <c r="Z306" s="5"/>
    </row>
    <row r="307" spans="1:26" x14ac:dyDescent="0.3">
      <c r="A307" s="5">
        <v>2505705</v>
      </c>
      <c r="B307" s="20" t="s">
        <v>1517</v>
      </c>
      <c r="C307" s="25">
        <v>45807</v>
      </c>
      <c r="D307" s="5" t="s">
        <v>17</v>
      </c>
      <c r="E307" s="5" t="s">
        <v>71</v>
      </c>
      <c r="F307" s="5" t="s">
        <v>14</v>
      </c>
      <c r="G307" s="5" t="e" vm="5">
        <v>#VALUE!</v>
      </c>
      <c r="H307" s="5">
        <v>7.08</v>
      </c>
      <c r="I307" s="5"/>
      <c r="J307" s="5"/>
      <c r="K307" s="11">
        <v>21500</v>
      </c>
      <c r="M307" s="5" t="s">
        <v>125</v>
      </c>
      <c r="N307" s="5" t="s">
        <v>73</v>
      </c>
      <c r="O307" s="5" t="s">
        <v>243</v>
      </c>
      <c r="P307" s="5">
        <v>12</v>
      </c>
      <c r="Q307" s="5" t="s">
        <v>286</v>
      </c>
      <c r="R307" s="5"/>
      <c r="S307" s="5" t="s">
        <v>1518</v>
      </c>
      <c r="T307" s="20" t="s">
        <v>1519</v>
      </c>
      <c r="U307" s="5" t="s">
        <v>1520</v>
      </c>
      <c r="V307" s="21" t="s">
        <v>1521</v>
      </c>
      <c r="W307" s="5" t="s">
        <v>965</v>
      </c>
      <c r="X307" s="5" t="s">
        <v>81</v>
      </c>
      <c r="Y307" s="5"/>
      <c r="Z307" s="5"/>
    </row>
    <row r="308" spans="1:26" x14ac:dyDescent="0.3">
      <c r="A308" s="5">
        <v>2505717</v>
      </c>
      <c r="B308" s="20" t="s">
        <v>1522</v>
      </c>
      <c r="C308" s="25">
        <v>45811</v>
      </c>
      <c r="D308" s="5" t="s">
        <v>17</v>
      </c>
      <c r="E308" s="5" t="s">
        <v>71</v>
      </c>
      <c r="F308" s="5" t="s">
        <v>14</v>
      </c>
      <c r="G308" s="5" t="e" vm="12">
        <v>#VALUE!</v>
      </c>
      <c r="H308" s="5">
        <v>16.52</v>
      </c>
      <c r="I308" s="5"/>
      <c r="J308" s="5"/>
      <c r="K308" s="11">
        <v>42000</v>
      </c>
      <c r="M308" s="5" t="s">
        <v>176</v>
      </c>
      <c r="N308" s="5" t="s">
        <v>73</v>
      </c>
      <c r="O308" s="5" t="s">
        <v>243</v>
      </c>
      <c r="P308" s="5">
        <v>28</v>
      </c>
      <c r="Q308" s="5" t="s">
        <v>143</v>
      </c>
      <c r="R308" s="5"/>
      <c r="S308" s="5" t="s">
        <v>1523</v>
      </c>
      <c r="T308" s="20" t="s">
        <v>1524</v>
      </c>
      <c r="U308" s="5" t="s">
        <v>1525</v>
      </c>
      <c r="V308" s="21" t="s">
        <v>1526</v>
      </c>
      <c r="W308" s="5" t="s">
        <v>965</v>
      </c>
      <c r="X308" s="5" t="s">
        <v>81</v>
      </c>
      <c r="Y308" s="5"/>
      <c r="Z308" s="5"/>
    </row>
    <row r="309" spans="1:26" x14ac:dyDescent="0.3">
      <c r="A309" s="5" t="s">
        <v>1527</v>
      </c>
      <c r="B309" s="20" t="s">
        <v>1528</v>
      </c>
      <c r="C309" s="25">
        <v>45812</v>
      </c>
      <c r="D309" s="5" t="s">
        <v>17</v>
      </c>
      <c r="E309" s="5" t="s">
        <v>71</v>
      </c>
      <c r="F309" s="5" t="s">
        <v>14</v>
      </c>
      <c r="G309" s="5" t="e" vm="5">
        <v>#VALUE!</v>
      </c>
      <c r="H309" s="5">
        <v>11.8</v>
      </c>
      <c r="I309" s="5"/>
      <c r="J309" s="5"/>
      <c r="K309" s="11">
        <v>32000</v>
      </c>
      <c r="M309" s="5" t="s">
        <v>125</v>
      </c>
      <c r="N309" s="5" t="s">
        <v>73</v>
      </c>
      <c r="O309" s="5" t="s">
        <v>243</v>
      </c>
      <c r="P309" s="5">
        <v>20</v>
      </c>
      <c r="Q309" s="5" t="s">
        <v>111</v>
      </c>
      <c r="R309" s="5"/>
      <c r="W309" s="5"/>
      <c r="X309" s="5"/>
      <c r="Y309" s="5"/>
      <c r="Z309" s="5"/>
    </row>
    <row r="310" spans="1:26" x14ac:dyDescent="0.3">
      <c r="A310" s="5">
        <v>2505719</v>
      </c>
      <c r="B310" s="20" t="s">
        <v>1529</v>
      </c>
      <c r="C310" s="25">
        <v>45812</v>
      </c>
      <c r="D310" s="5" t="s">
        <v>17</v>
      </c>
      <c r="E310" s="5" t="s">
        <v>71</v>
      </c>
      <c r="F310" s="5" t="s">
        <v>14</v>
      </c>
      <c r="G310" s="5" t="e" vm="5">
        <v>#VALUE!</v>
      </c>
      <c r="H310" s="5">
        <v>11.78</v>
      </c>
      <c r="I310" s="5"/>
      <c r="J310" s="5"/>
      <c r="K310" s="11">
        <v>27000</v>
      </c>
      <c r="M310" s="5" t="s">
        <v>125</v>
      </c>
      <c r="N310" s="5" t="s">
        <v>73</v>
      </c>
      <c r="O310" s="5" t="s">
        <v>1453</v>
      </c>
      <c r="P310" s="5">
        <v>19</v>
      </c>
      <c r="Q310" s="5" t="s">
        <v>111</v>
      </c>
      <c r="R310" s="5"/>
      <c r="S310" s="5" t="s">
        <v>1530</v>
      </c>
      <c r="T310" s="20" t="s">
        <v>1531</v>
      </c>
      <c r="U310" s="5" t="s">
        <v>1532</v>
      </c>
      <c r="V310" s="20" t="s">
        <v>1533</v>
      </c>
      <c r="W310" s="5" t="s">
        <v>109</v>
      </c>
      <c r="X310" s="5" t="s">
        <v>1534</v>
      </c>
      <c r="Y310" s="5"/>
      <c r="Z310" s="5"/>
    </row>
    <row r="311" spans="1:26" x14ac:dyDescent="0.3">
      <c r="A311" s="5">
        <v>2505687</v>
      </c>
      <c r="B311" s="20" t="s">
        <v>1535</v>
      </c>
      <c r="C311" s="25">
        <v>45814</v>
      </c>
      <c r="D311" s="5" t="s">
        <v>22</v>
      </c>
      <c r="E311" s="5" t="s">
        <v>71</v>
      </c>
      <c r="F311" s="5" t="s">
        <v>14</v>
      </c>
      <c r="G311" s="5" t="e" vm="11">
        <v>#VALUE!</v>
      </c>
      <c r="H311" s="5">
        <v>10.029999999999999</v>
      </c>
      <c r="I311" s="5"/>
      <c r="J311" s="5"/>
      <c r="K311" s="11">
        <v>30000</v>
      </c>
      <c r="M311" s="5" t="s">
        <v>125</v>
      </c>
      <c r="N311" s="5" t="s">
        <v>73</v>
      </c>
      <c r="O311" s="5" t="s">
        <v>243</v>
      </c>
      <c r="P311" s="5">
        <v>17</v>
      </c>
      <c r="Q311" s="14" t="s">
        <v>364</v>
      </c>
      <c r="R311" s="5"/>
      <c r="S311" s="5" t="s">
        <v>1536</v>
      </c>
      <c r="T311" s="20" t="s">
        <v>1537</v>
      </c>
      <c r="U311" s="5" t="s">
        <v>1538</v>
      </c>
      <c r="V311" s="21" t="s">
        <v>1539</v>
      </c>
      <c r="W311" s="5" t="s">
        <v>109</v>
      </c>
      <c r="X311" s="5" t="s">
        <v>81</v>
      </c>
      <c r="Y311" s="5"/>
      <c r="Z311" s="5"/>
    </row>
    <row r="312" spans="1:26" x14ac:dyDescent="0.3">
      <c r="A312" s="5">
        <v>2505718</v>
      </c>
      <c r="B312" s="20" t="s">
        <v>1540</v>
      </c>
      <c r="C312" s="25">
        <v>45815</v>
      </c>
      <c r="D312" s="5" t="s">
        <v>19</v>
      </c>
      <c r="E312" s="5" t="s">
        <v>71</v>
      </c>
      <c r="F312" s="5" t="s">
        <v>14</v>
      </c>
      <c r="G312" s="5" t="e" vm="11">
        <v>#VALUE!</v>
      </c>
      <c r="H312" s="5">
        <v>7.44</v>
      </c>
      <c r="I312" s="5"/>
      <c r="J312" s="5"/>
      <c r="K312" s="11">
        <v>23500</v>
      </c>
      <c r="M312" s="5" t="s">
        <v>125</v>
      </c>
      <c r="N312" s="5" t="s">
        <v>73</v>
      </c>
      <c r="O312" s="5" t="s">
        <v>1453</v>
      </c>
      <c r="P312" s="5">
        <v>12</v>
      </c>
      <c r="Q312" s="5" t="s">
        <v>380</v>
      </c>
      <c r="R312" s="5"/>
      <c r="S312" s="5" t="s">
        <v>1541</v>
      </c>
      <c r="T312" s="20" t="s">
        <v>1542</v>
      </c>
      <c r="U312" s="5" t="s">
        <v>1543</v>
      </c>
      <c r="V312" s="21" t="s">
        <v>1544</v>
      </c>
      <c r="W312" s="5" t="s">
        <v>965</v>
      </c>
      <c r="X312" s="5" t="s">
        <v>1534</v>
      </c>
      <c r="Y312" s="5"/>
      <c r="Z312" s="5"/>
    </row>
    <row r="313" spans="1:26" x14ac:dyDescent="0.3">
      <c r="A313" s="5">
        <v>2506726</v>
      </c>
      <c r="B313" s="20" t="s">
        <v>1545</v>
      </c>
      <c r="C313" s="25">
        <v>45816</v>
      </c>
      <c r="D313" s="5" t="s">
        <v>21</v>
      </c>
      <c r="E313" s="5" t="s">
        <v>71</v>
      </c>
      <c r="F313" s="5" t="s">
        <v>14</v>
      </c>
      <c r="G313" s="5" t="e" vm="5">
        <v>#VALUE!</v>
      </c>
      <c r="H313" s="5">
        <v>7.44</v>
      </c>
      <c r="I313" s="5"/>
      <c r="J313" s="5"/>
      <c r="K313" s="11">
        <v>22000</v>
      </c>
      <c r="M313" s="5" t="s">
        <v>1191</v>
      </c>
      <c r="N313" s="5" t="s">
        <v>73</v>
      </c>
      <c r="O313" s="5" t="s">
        <v>1453</v>
      </c>
      <c r="P313" s="5">
        <v>12</v>
      </c>
      <c r="Q313" s="5" t="s">
        <v>286</v>
      </c>
      <c r="R313" s="5"/>
      <c r="S313" s="5" t="s">
        <v>1546</v>
      </c>
      <c r="T313" s="20" t="s">
        <v>1547</v>
      </c>
      <c r="U313" s="5" t="s">
        <v>1548</v>
      </c>
      <c r="V313" s="20" t="s">
        <v>1549</v>
      </c>
      <c r="W313" s="5" t="s">
        <v>965</v>
      </c>
      <c r="X313" s="5" t="s">
        <v>1534</v>
      </c>
      <c r="Y313" s="5"/>
      <c r="Z313" s="5"/>
    </row>
    <row r="314" spans="1:26" x14ac:dyDescent="0.3">
      <c r="A314" s="5">
        <v>2506735</v>
      </c>
      <c r="B314" s="20" t="s">
        <v>1550</v>
      </c>
      <c r="C314" s="25">
        <v>45817</v>
      </c>
      <c r="D314" s="5" t="s">
        <v>22</v>
      </c>
      <c r="E314" s="5" t="s">
        <v>71</v>
      </c>
      <c r="F314" s="5" t="s">
        <v>14</v>
      </c>
      <c r="G314" s="5" t="e" vm="11">
        <v>#VALUE!</v>
      </c>
      <c r="H314" s="5">
        <v>7.44</v>
      </c>
      <c r="I314" s="5"/>
      <c r="J314" s="5"/>
      <c r="K314" s="11">
        <v>19000</v>
      </c>
      <c r="M314" s="5" t="s">
        <v>125</v>
      </c>
      <c r="N314" s="5" t="s">
        <v>73</v>
      </c>
      <c r="O314" s="5" t="s">
        <v>561</v>
      </c>
      <c r="P314" s="5">
        <v>12</v>
      </c>
      <c r="Q314" s="5" t="s">
        <v>286</v>
      </c>
      <c r="R314" s="5"/>
      <c r="S314" s="5" t="s">
        <v>1551</v>
      </c>
      <c r="T314" s="20" t="s">
        <v>1552</v>
      </c>
      <c r="U314" s="5" t="s">
        <v>1553</v>
      </c>
      <c r="V314" s="21" t="s">
        <v>1554</v>
      </c>
      <c r="W314" s="5" t="s">
        <v>109</v>
      </c>
      <c r="X314" s="5" t="s">
        <v>81</v>
      </c>
      <c r="Y314" s="5"/>
      <c r="Z314" s="5"/>
    </row>
    <row r="315" spans="1:26" x14ac:dyDescent="0.3">
      <c r="A315" s="5">
        <v>2506734</v>
      </c>
      <c r="B315" s="20" t="s">
        <v>1555</v>
      </c>
      <c r="C315" s="25">
        <v>45817</v>
      </c>
      <c r="D315" s="5" t="s">
        <v>22</v>
      </c>
      <c r="E315" s="5" t="s">
        <v>71</v>
      </c>
      <c r="F315" s="5" t="s">
        <v>14</v>
      </c>
      <c r="G315" s="5" t="e" vm="11">
        <v>#VALUE!</v>
      </c>
      <c r="H315" s="5">
        <v>11.16</v>
      </c>
      <c r="I315" s="5"/>
      <c r="J315" s="5"/>
      <c r="K315" s="11">
        <v>25500</v>
      </c>
      <c r="M315" s="5" t="s">
        <v>125</v>
      </c>
      <c r="N315" s="5" t="s">
        <v>73</v>
      </c>
      <c r="O315" s="5" t="s">
        <v>561</v>
      </c>
      <c r="P315" s="5">
        <v>18</v>
      </c>
      <c r="Q315" s="5" t="s">
        <v>364</v>
      </c>
      <c r="R315" s="5"/>
      <c r="S315" s="5" t="s">
        <v>1556</v>
      </c>
      <c r="T315" s="20" t="s">
        <v>1557</v>
      </c>
      <c r="U315" s="5" t="s">
        <v>1558</v>
      </c>
      <c r="V315" s="20" t="s">
        <v>1559</v>
      </c>
      <c r="W315" s="5" t="s">
        <v>109</v>
      </c>
      <c r="X315" s="5" t="s">
        <v>81</v>
      </c>
      <c r="Y315" s="5"/>
      <c r="Z315" s="5"/>
    </row>
    <row r="316" spans="1:26" x14ac:dyDescent="0.3">
      <c r="A316" s="5">
        <v>2505708</v>
      </c>
      <c r="B316" s="20" t="s">
        <v>1560</v>
      </c>
      <c r="C316" s="25">
        <v>45818</v>
      </c>
      <c r="D316" s="5" t="s">
        <v>17</v>
      </c>
      <c r="E316" s="5" t="s">
        <v>71</v>
      </c>
      <c r="F316" s="5" t="s">
        <v>14</v>
      </c>
      <c r="G316" s="5" t="e" vm="5">
        <v>#VALUE!</v>
      </c>
      <c r="H316" s="5">
        <v>7.44</v>
      </c>
      <c r="I316" s="5"/>
      <c r="J316" s="5"/>
      <c r="K316" s="11">
        <v>20500</v>
      </c>
      <c r="M316" s="5" t="s">
        <v>125</v>
      </c>
      <c r="N316" s="5" t="s">
        <v>73</v>
      </c>
      <c r="O316" s="5" t="s">
        <v>1453</v>
      </c>
      <c r="P316" s="5">
        <v>12</v>
      </c>
      <c r="Q316" s="5" t="s">
        <v>286</v>
      </c>
      <c r="R316" s="5"/>
      <c r="W316" s="5"/>
      <c r="X316" s="5"/>
      <c r="Y316" s="5"/>
      <c r="Z316" s="5"/>
    </row>
    <row r="317" spans="1:26" x14ac:dyDescent="0.3">
      <c r="A317" s="5">
        <v>2506744</v>
      </c>
      <c r="B317" s="20" t="s">
        <v>1561</v>
      </c>
      <c r="C317" s="25">
        <v>45818</v>
      </c>
      <c r="D317" s="5" t="s">
        <v>17</v>
      </c>
      <c r="E317" s="5" t="s">
        <v>71</v>
      </c>
      <c r="F317" s="5" t="s">
        <v>14</v>
      </c>
      <c r="G317" s="5" t="e" vm="5">
        <v>#VALUE!</v>
      </c>
      <c r="H317" s="5">
        <v>14.88</v>
      </c>
      <c r="I317" s="5"/>
      <c r="J317" s="5"/>
      <c r="K317" s="11">
        <v>32500</v>
      </c>
      <c r="M317" s="5" t="s">
        <v>125</v>
      </c>
      <c r="N317" s="5" t="s">
        <v>73</v>
      </c>
      <c r="O317" s="5" t="s">
        <v>1453</v>
      </c>
      <c r="P317" s="5">
        <v>24</v>
      </c>
      <c r="Q317" s="5" t="s">
        <v>143</v>
      </c>
      <c r="R317" s="5"/>
      <c r="S317" s="5" t="s">
        <v>1562</v>
      </c>
      <c r="T317" s="20" t="s">
        <v>1563</v>
      </c>
      <c r="U317" s="5" t="s">
        <v>1564</v>
      </c>
      <c r="V317" s="20" t="s">
        <v>1565</v>
      </c>
      <c r="W317" s="5" t="s">
        <v>965</v>
      </c>
      <c r="X317" s="5" t="s">
        <v>1534</v>
      </c>
      <c r="Y317" s="5"/>
      <c r="Z317" s="5"/>
    </row>
    <row r="318" spans="1:26" x14ac:dyDescent="0.3">
      <c r="A318" s="5">
        <v>2506727</v>
      </c>
      <c r="B318" s="20" t="s">
        <v>1566</v>
      </c>
      <c r="C318" s="25">
        <v>45819</v>
      </c>
      <c r="D318" s="5" t="s">
        <v>22</v>
      </c>
      <c r="E318" s="5" t="s">
        <v>71</v>
      </c>
      <c r="F318" s="5" t="s">
        <v>14</v>
      </c>
      <c r="G318" s="5" t="e" vm="11">
        <v>#VALUE!</v>
      </c>
      <c r="H318" s="5">
        <v>12.4</v>
      </c>
      <c r="I318" s="5"/>
      <c r="J318" s="5"/>
      <c r="K318" s="11">
        <v>28300</v>
      </c>
      <c r="M318" s="5" t="s">
        <v>125</v>
      </c>
      <c r="N318" s="5" t="s">
        <v>73</v>
      </c>
      <c r="O318" s="5" t="s">
        <v>1453</v>
      </c>
      <c r="P318" s="5">
        <v>20</v>
      </c>
      <c r="Q318" s="5" t="s">
        <v>111</v>
      </c>
      <c r="R318" s="5"/>
      <c r="S318" s="5" t="s">
        <v>1567</v>
      </c>
      <c r="T318" s="20" t="s">
        <v>1568</v>
      </c>
      <c r="U318" s="5" t="s">
        <v>1569</v>
      </c>
      <c r="V318" s="20" t="s">
        <v>1570</v>
      </c>
      <c r="W318" s="5" t="s">
        <v>109</v>
      </c>
      <c r="X318" s="5" t="s">
        <v>122</v>
      </c>
      <c r="Y318" s="5"/>
      <c r="Z318" s="5"/>
    </row>
    <row r="319" spans="1:26" x14ac:dyDescent="0.3">
      <c r="A319" s="5">
        <v>2505054</v>
      </c>
      <c r="B319" s="15" t="s">
        <v>1571</v>
      </c>
      <c r="C319" s="25">
        <v>45809</v>
      </c>
      <c r="D319" s="5" t="s">
        <v>20</v>
      </c>
      <c r="E319" s="5" t="s">
        <v>206</v>
      </c>
      <c r="F319" s="5"/>
      <c r="G319" s="5" t="e" vm="5">
        <v>#VALUE!</v>
      </c>
      <c r="H319" s="5"/>
      <c r="I319" s="5">
        <v>44</v>
      </c>
      <c r="J319" s="5"/>
      <c r="K319" s="11">
        <v>59345</v>
      </c>
      <c r="M319" s="5"/>
      <c r="N319" s="5" t="s">
        <v>73</v>
      </c>
      <c r="O319" s="5" t="s">
        <v>18</v>
      </c>
      <c r="P319" s="5" t="s">
        <v>18</v>
      </c>
      <c r="Q319" s="5" t="s">
        <v>18</v>
      </c>
      <c r="R319" s="5"/>
      <c r="W319" s="5" t="s">
        <v>109</v>
      </c>
      <c r="X319" s="5"/>
      <c r="Y319" s="5"/>
      <c r="Z319" s="5"/>
    </row>
    <row r="320" spans="1:26" x14ac:dyDescent="0.3">
      <c r="A320" s="5">
        <v>2506752</v>
      </c>
      <c r="B320" s="20" t="s">
        <v>1572</v>
      </c>
      <c r="C320" s="25">
        <v>45821</v>
      </c>
      <c r="D320" s="5" t="s">
        <v>17</v>
      </c>
      <c r="E320" s="5" t="s">
        <v>71</v>
      </c>
      <c r="F320" s="5" t="s">
        <v>14</v>
      </c>
      <c r="G320" s="5" t="e" vm="5">
        <v>#VALUE!</v>
      </c>
      <c r="H320" s="5">
        <v>7.44</v>
      </c>
      <c r="I320" s="5"/>
      <c r="J320" s="5"/>
      <c r="K320" s="11">
        <v>22500</v>
      </c>
      <c r="M320" s="5" t="s">
        <v>125</v>
      </c>
      <c r="N320" s="5" t="s">
        <v>73</v>
      </c>
      <c r="O320" s="5" t="s">
        <v>1453</v>
      </c>
      <c r="P320" s="5">
        <v>12</v>
      </c>
      <c r="Q320" s="5" t="s">
        <v>286</v>
      </c>
      <c r="R320" s="5"/>
      <c r="S320" s="5" t="s">
        <v>1573</v>
      </c>
      <c r="T320" s="20" t="s">
        <v>1574</v>
      </c>
      <c r="U320" s="5" t="s">
        <v>1575</v>
      </c>
      <c r="V320" s="21" t="s">
        <v>1576</v>
      </c>
      <c r="W320" s="5" t="s">
        <v>965</v>
      </c>
      <c r="X320" s="5" t="s">
        <v>1534</v>
      </c>
      <c r="Y320" s="5"/>
      <c r="Z320" s="5"/>
    </row>
    <row r="321" spans="1:26" x14ac:dyDescent="0.3">
      <c r="A321" s="5">
        <v>2501523</v>
      </c>
      <c r="B321" s="15" t="s">
        <v>1577</v>
      </c>
      <c r="C321" s="25">
        <v>45821</v>
      </c>
      <c r="D321" s="5" t="s">
        <v>17</v>
      </c>
      <c r="E321" s="5" t="s">
        <v>71</v>
      </c>
      <c r="F321" s="5" t="s">
        <v>14</v>
      </c>
      <c r="G321" s="5" t="e" vm="8">
        <v>#VALUE!</v>
      </c>
      <c r="H321" s="5">
        <v>17.7</v>
      </c>
      <c r="I321" s="5"/>
      <c r="J321" s="5"/>
      <c r="K321" s="11">
        <v>44880</v>
      </c>
      <c r="M321" s="5" t="s">
        <v>125</v>
      </c>
      <c r="N321" s="5" t="s">
        <v>73</v>
      </c>
      <c r="O321" s="5" t="s">
        <v>243</v>
      </c>
      <c r="P321" s="5">
        <v>30</v>
      </c>
      <c r="Q321" s="5" t="s">
        <v>143</v>
      </c>
      <c r="R321" s="5"/>
      <c r="S321" s="5" t="s">
        <v>1578</v>
      </c>
      <c r="T321" s="20" t="s">
        <v>1579</v>
      </c>
      <c r="U321" s="5" t="s">
        <v>1580</v>
      </c>
      <c r="V321" s="21" t="s">
        <v>1581</v>
      </c>
      <c r="W321" s="5" t="s">
        <v>965</v>
      </c>
      <c r="X321" s="5" t="s">
        <v>81</v>
      </c>
      <c r="Y321" s="5"/>
      <c r="Z321" s="5" t="s">
        <v>269</v>
      </c>
    </row>
    <row r="322" spans="1:26" x14ac:dyDescent="0.3">
      <c r="A322" s="5">
        <v>2506748</v>
      </c>
      <c r="B322" s="15" t="s">
        <v>1582</v>
      </c>
      <c r="C322" s="25">
        <v>45824</v>
      </c>
      <c r="D322" s="5" t="s">
        <v>22</v>
      </c>
      <c r="E322" s="5" t="s">
        <v>71</v>
      </c>
      <c r="F322" s="5" t="s">
        <v>14</v>
      </c>
      <c r="G322" s="5" t="e" vm="11">
        <v>#VALUE!</v>
      </c>
      <c r="H322" s="5">
        <v>8.68</v>
      </c>
      <c r="I322" s="5"/>
      <c r="J322" s="5"/>
      <c r="K322" s="11">
        <v>22500</v>
      </c>
      <c r="M322" s="5" t="s">
        <v>125</v>
      </c>
      <c r="N322" s="5" t="s">
        <v>73</v>
      </c>
      <c r="O322" s="5" t="s">
        <v>1453</v>
      </c>
      <c r="P322" s="5">
        <v>14</v>
      </c>
      <c r="Q322" s="5" t="s">
        <v>364</v>
      </c>
      <c r="R322" s="5"/>
      <c r="S322" s="5" t="s">
        <v>1583</v>
      </c>
      <c r="T322" s="20" t="s">
        <v>1584</v>
      </c>
      <c r="U322" s="5" t="s">
        <v>1585</v>
      </c>
      <c r="W322" s="5" t="s">
        <v>109</v>
      </c>
      <c r="X322" s="5" t="s">
        <v>1534</v>
      </c>
      <c r="Y322" s="5"/>
      <c r="Z322" s="5"/>
    </row>
    <row r="323" spans="1:26" x14ac:dyDescent="0.3">
      <c r="A323" s="5">
        <v>2505709</v>
      </c>
      <c r="B323" s="15" t="s">
        <v>1586</v>
      </c>
      <c r="C323" s="25">
        <v>45824</v>
      </c>
      <c r="D323" s="5" t="s">
        <v>22</v>
      </c>
      <c r="E323" s="5" t="s">
        <v>71</v>
      </c>
      <c r="F323" s="5" t="s">
        <v>14</v>
      </c>
      <c r="G323" s="5" t="e" vm="11">
        <v>#VALUE!</v>
      </c>
      <c r="H323" s="5">
        <v>17.98</v>
      </c>
      <c r="I323" s="5"/>
      <c r="J323" s="5"/>
      <c r="K323" s="11">
        <v>39000.400000000001</v>
      </c>
      <c r="M323" s="5" t="s">
        <v>176</v>
      </c>
      <c r="N323" s="5" t="s">
        <v>73</v>
      </c>
      <c r="O323" s="5" t="s">
        <v>1453</v>
      </c>
      <c r="P323" s="5">
        <v>29</v>
      </c>
      <c r="Q323" s="5" t="s">
        <v>143</v>
      </c>
      <c r="R323" s="5"/>
      <c r="S323" s="5" t="s">
        <v>1587</v>
      </c>
      <c r="T323" s="20" t="s">
        <v>1588</v>
      </c>
      <c r="U323" s="5" t="s">
        <v>1589</v>
      </c>
      <c r="V323" s="20" t="s">
        <v>1590</v>
      </c>
      <c r="W323" s="5" t="s">
        <v>965</v>
      </c>
      <c r="X323" s="5" t="s">
        <v>1534</v>
      </c>
      <c r="Y323" s="5"/>
      <c r="Z323" s="5"/>
    </row>
    <row r="324" spans="1:26" x14ac:dyDescent="0.3">
      <c r="A324" s="5">
        <v>2501531</v>
      </c>
      <c r="B324" s="15" t="s">
        <v>1591</v>
      </c>
      <c r="C324" s="25">
        <v>45825</v>
      </c>
      <c r="D324" s="5" t="s">
        <v>22</v>
      </c>
      <c r="E324" s="5" t="s">
        <v>71</v>
      </c>
      <c r="F324" s="5" t="s">
        <v>14</v>
      </c>
      <c r="G324" s="5" t="e" vm="11">
        <v>#VALUE!</v>
      </c>
      <c r="H324" s="5">
        <v>13.64</v>
      </c>
      <c r="I324" s="5"/>
      <c r="J324" s="5"/>
      <c r="K324" s="11">
        <v>30500</v>
      </c>
      <c r="M324" s="5" t="s">
        <v>125</v>
      </c>
      <c r="N324" s="5" t="s">
        <v>73</v>
      </c>
      <c r="O324" s="5" t="s">
        <v>1453</v>
      </c>
      <c r="P324" s="5">
        <v>22</v>
      </c>
      <c r="Q324" s="5" t="s">
        <v>111</v>
      </c>
      <c r="R324" s="5"/>
      <c r="S324" s="5" t="s">
        <v>1592</v>
      </c>
      <c r="T324" s="20" t="s">
        <v>1593</v>
      </c>
      <c r="U324" s="5" t="s">
        <v>1594</v>
      </c>
      <c r="V324" s="20" t="s">
        <v>1595</v>
      </c>
      <c r="W324" s="5" t="s">
        <v>80</v>
      </c>
      <c r="X324" s="5" t="s">
        <v>1534</v>
      </c>
      <c r="Y324" s="5"/>
      <c r="Z324" s="5"/>
    </row>
    <row r="325" spans="1:26" x14ac:dyDescent="0.3">
      <c r="A325" s="5">
        <v>2506757</v>
      </c>
      <c r="B325" s="15" t="s">
        <v>1596</v>
      </c>
      <c r="C325" s="25">
        <v>45826</v>
      </c>
      <c r="D325" s="5" t="s">
        <v>22</v>
      </c>
      <c r="E325" s="5" t="s">
        <v>71</v>
      </c>
      <c r="F325" s="5" t="s">
        <v>14</v>
      </c>
      <c r="G325" s="5" t="e" vm="11">
        <v>#VALUE!</v>
      </c>
      <c r="H325" s="5">
        <v>7.44</v>
      </c>
      <c r="I325" s="5"/>
      <c r="J325" s="5"/>
      <c r="K325" s="11">
        <v>21500</v>
      </c>
      <c r="M325" s="5" t="s">
        <v>125</v>
      </c>
      <c r="N325" s="5" t="s">
        <v>73</v>
      </c>
      <c r="O325" s="5" t="s">
        <v>1453</v>
      </c>
      <c r="P325" s="5">
        <v>12</v>
      </c>
      <c r="Q325" s="5" t="s">
        <v>1202</v>
      </c>
      <c r="R325" s="5"/>
      <c r="S325" s="5" t="s">
        <v>1597</v>
      </c>
      <c r="T325" s="20" t="s">
        <v>1598</v>
      </c>
      <c r="U325" s="5" t="s">
        <v>1599</v>
      </c>
      <c r="V325" s="20" t="s">
        <v>1600</v>
      </c>
      <c r="W325" s="5" t="s">
        <v>965</v>
      </c>
      <c r="X325" s="5" t="s">
        <v>1534</v>
      </c>
      <c r="Y325" s="5"/>
      <c r="Z325" s="5"/>
    </row>
    <row r="326" spans="1:26" x14ac:dyDescent="0.3">
      <c r="A326" s="5">
        <v>2505259</v>
      </c>
      <c r="B326" s="15" t="s">
        <v>1601</v>
      </c>
      <c r="C326" s="25">
        <v>45826</v>
      </c>
      <c r="D326" s="5" t="s">
        <v>22</v>
      </c>
      <c r="E326" s="5" t="s">
        <v>124</v>
      </c>
      <c r="F326" s="5" t="s">
        <v>14</v>
      </c>
      <c r="G326" s="5" t="e" vm="11">
        <v>#VALUE!</v>
      </c>
      <c r="H326" s="5">
        <v>19.52</v>
      </c>
      <c r="I326" s="5"/>
      <c r="J326" s="5"/>
      <c r="K326" s="11">
        <v>45000</v>
      </c>
      <c r="M326" s="5" t="s">
        <v>125</v>
      </c>
      <c r="N326" s="5" t="s">
        <v>73</v>
      </c>
      <c r="O326" s="5" t="s">
        <v>561</v>
      </c>
      <c r="P326" s="5">
        <v>32</v>
      </c>
      <c r="Q326" s="5" t="s">
        <v>567</v>
      </c>
      <c r="R326" s="5"/>
      <c r="T326" s="20" t="s">
        <v>1602</v>
      </c>
      <c r="U326" s="5" t="s">
        <v>1603</v>
      </c>
      <c r="V326" s="21" t="s">
        <v>1604</v>
      </c>
      <c r="W326" s="5" t="s">
        <v>109</v>
      </c>
      <c r="X326" s="5" t="s">
        <v>81</v>
      </c>
      <c r="Y326" s="5"/>
      <c r="Z326" s="5"/>
    </row>
    <row r="327" spans="1:26" x14ac:dyDescent="0.3">
      <c r="A327" s="5">
        <v>2506758</v>
      </c>
      <c r="B327" s="15" t="s">
        <v>1605</v>
      </c>
      <c r="C327" s="25">
        <v>45827</v>
      </c>
      <c r="D327" s="5" t="s">
        <v>22</v>
      </c>
      <c r="E327" s="5" t="s">
        <v>71</v>
      </c>
      <c r="F327" s="5" t="s">
        <v>14</v>
      </c>
      <c r="G327" s="5" t="e" vm="11">
        <v>#VALUE!</v>
      </c>
      <c r="H327" s="5">
        <v>17.98</v>
      </c>
      <c r="I327" s="5"/>
      <c r="J327" s="5"/>
      <c r="K327" s="11">
        <v>39500</v>
      </c>
      <c r="M327" s="5" t="s">
        <v>176</v>
      </c>
      <c r="N327" s="5" t="s">
        <v>73</v>
      </c>
      <c r="O327" s="5" t="s">
        <v>1453</v>
      </c>
      <c r="P327" s="5">
        <v>29</v>
      </c>
      <c r="Q327" s="5" t="s">
        <v>143</v>
      </c>
      <c r="R327" s="5"/>
      <c r="S327" s="5" t="s">
        <v>1606</v>
      </c>
      <c r="T327" s="20" t="s">
        <v>1607</v>
      </c>
      <c r="U327" s="5" t="s">
        <v>1608</v>
      </c>
      <c r="V327" s="20" t="s">
        <v>1609</v>
      </c>
      <c r="W327" s="5" t="s">
        <v>965</v>
      </c>
      <c r="X327" s="5" t="s">
        <v>1534</v>
      </c>
      <c r="Y327" s="5"/>
      <c r="Z327" s="5"/>
    </row>
    <row r="328" spans="1:26" x14ac:dyDescent="0.3">
      <c r="A328" s="5">
        <v>2506762</v>
      </c>
      <c r="B328" s="15" t="s">
        <v>1610</v>
      </c>
      <c r="C328" s="25">
        <v>45828</v>
      </c>
      <c r="D328" s="5" t="s">
        <v>22</v>
      </c>
      <c r="E328" s="5" t="s">
        <v>71</v>
      </c>
      <c r="F328" s="5" t="s">
        <v>14</v>
      </c>
      <c r="G328" s="5" t="e" vm="11">
        <v>#VALUE!</v>
      </c>
      <c r="H328" s="5">
        <v>12.4</v>
      </c>
      <c r="I328" s="5"/>
      <c r="J328" s="5"/>
      <c r="K328" s="11">
        <v>32500</v>
      </c>
      <c r="M328" s="5" t="s">
        <v>125</v>
      </c>
      <c r="N328" s="5" t="s">
        <v>73</v>
      </c>
      <c r="O328" s="5" t="s">
        <v>1453</v>
      </c>
      <c r="P328" s="5">
        <v>20</v>
      </c>
      <c r="Q328" s="5" t="s">
        <v>111</v>
      </c>
      <c r="R328" s="5"/>
      <c r="S328" s="5" t="s">
        <v>1611</v>
      </c>
      <c r="T328" s="20" t="s">
        <v>1612</v>
      </c>
      <c r="U328" s="5" t="s">
        <v>1613</v>
      </c>
      <c r="V328" s="20" t="s">
        <v>1614</v>
      </c>
      <c r="W328" s="5" t="s">
        <v>965</v>
      </c>
      <c r="X328" s="5" t="s">
        <v>1534</v>
      </c>
      <c r="Y328" s="5"/>
      <c r="Z328" s="5"/>
    </row>
    <row r="329" spans="1:26" x14ac:dyDescent="0.3">
      <c r="A329" s="5">
        <v>2506753</v>
      </c>
      <c r="B329" s="15" t="s">
        <v>1615</v>
      </c>
      <c r="C329" s="25">
        <v>45828</v>
      </c>
      <c r="D329" s="5" t="s">
        <v>22</v>
      </c>
      <c r="E329" s="5" t="s">
        <v>71</v>
      </c>
      <c r="F329" s="5" t="s">
        <v>14</v>
      </c>
      <c r="G329" s="5" t="e" vm="11">
        <v>#VALUE!</v>
      </c>
      <c r="H329" s="5">
        <v>11.78</v>
      </c>
      <c r="I329" s="5"/>
      <c r="J329" s="5"/>
      <c r="K329" s="11">
        <v>27500</v>
      </c>
      <c r="M329" s="5" t="s">
        <v>125</v>
      </c>
      <c r="N329" s="5" t="s">
        <v>73</v>
      </c>
      <c r="O329" s="5" t="s">
        <v>1453</v>
      </c>
      <c r="P329" s="5">
        <v>19</v>
      </c>
      <c r="Q329" s="5" t="s">
        <v>111</v>
      </c>
      <c r="R329" s="5"/>
      <c r="S329" s="5" t="s">
        <v>1616</v>
      </c>
      <c r="T329" s="20" t="s">
        <v>1617</v>
      </c>
      <c r="U329" s="5" t="s">
        <v>1618</v>
      </c>
      <c r="V329" s="20" t="s">
        <v>1619</v>
      </c>
      <c r="W329" s="5" t="s">
        <v>965</v>
      </c>
      <c r="X329" s="5" t="s">
        <v>1534</v>
      </c>
      <c r="Y329" s="5"/>
      <c r="Z329" s="5"/>
    </row>
    <row r="330" spans="1:26" x14ac:dyDescent="0.3">
      <c r="A330" s="5">
        <v>2506768</v>
      </c>
      <c r="B330" s="15" t="s">
        <v>1620</v>
      </c>
      <c r="C330" s="25">
        <v>45828</v>
      </c>
      <c r="D330" s="5" t="s">
        <v>22</v>
      </c>
      <c r="E330" s="5" t="s">
        <v>71</v>
      </c>
      <c r="F330" s="5" t="s">
        <v>14</v>
      </c>
      <c r="G330" s="5" t="e" vm="11">
        <v>#VALUE!</v>
      </c>
      <c r="H330" s="5">
        <v>11.16</v>
      </c>
      <c r="I330" s="5"/>
      <c r="J330" s="5"/>
      <c r="K330" s="11">
        <v>27000</v>
      </c>
      <c r="M330" s="5" t="s">
        <v>125</v>
      </c>
      <c r="N330" s="5" t="s">
        <v>73</v>
      </c>
      <c r="O330" s="5" t="s">
        <v>1453</v>
      </c>
      <c r="P330" s="5">
        <v>18</v>
      </c>
      <c r="Q330" s="5" t="s">
        <v>111</v>
      </c>
      <c r="R330" s="5"/>
      <c r="S330" s="5" t="s">
        <v>1621</v>
      </c>
      <c r="T330" s="20" t="s">
        <v>1622</v>
      </c>
      <c r="U330" s="5" t="s">
        <v>1623</v>
      </c>
      <c r="V330" s="20" t="s">
        <v>1624</v>
      </c>
      <c r="W330" s="5" t="s">
        <v>965</v>
      </c>
      <c r="X330" s="5" t="s">
        <v>1534</v>
      </c>
      <c r="Y330" s="5"/>
      <c r="Z330" s="5"/>
    </row>
    <row r="331" spans="1:26" x14ac:dyDescent="0.3">
      <c r="A331" s="5">
        <v>2506761</v>
      </c>
      <c r="B331" s="15" t="s">
        <v>1625</v>
      </c>
      <c r="C331" s="25">
        <v>45831</v>
      </c>
      <c r="D331" s="5" t="s">
        <v>22</v>
      </c>
      <c r="E331" s="5" t="s">
        <v>71</v>
      </c>
      <c r="F331" s="5" t="s">
        <v>14</v>
      </c>
      <c r="G331" s="5" t="e" vm="11">
        <v>#VALUE!</v>
      </c>
      <c r="H331" s="5">
        <v>13.64</v>
      </c>
      <c r="I331" s="5"/>
      <c r="J331" s="5"/>
      <c r="K331" s="11">
        <v>34000</v>
      </c>
      <c r="M331" s="5" t="s">
        <v>176</v>
      </c>
      <c r="N331" s="5" t="s">
        <v>73</v>
      </c>
      <c r="O331" s="5" t="s">
        <v>1453</v>
      </c>
      <c r="P331" s="5">
        <v>22</v>
      </c>
      <c r="Q331" s="5" t="s">
        <v>143</v>
      </c>
      <c r="R331" s="5"/>
      <c r="S331" s="5" t="s">
        <v>1626</v>
      </c>
      <c r="T331" s="20" t="s">
        <v>1627</v>
      </c>
      <c r="U331" s="5" t="s">
        <v>1628</v>
      </c>
      <c r="V331" s="20" t="s">
        <v>1629</v>
      </c>
      <c r="W331" s="5" t="s">
        <v>965</v>
      </c>
      <c r="X331" s="5" t="s">
        <v>1534</v>
      </c>
      <c r="Y331" s="5"/>
      <c r="Z331" s="5"/>
    </row>
    <row r="332" spans="1:26" x14ac:dyDescent="0.3">
      <c r="A332" s="5">
        <v>2506779</v>
      </c>
      <c r="B332" s="15" t="s">
        <v>1630</v>
      </c>
      <c r="C332" s="25">
        <v>45831</v>
      </c>
      <c r="D332" s="5" t="s">
        <v>22</v>
      </c>
      <c r="E332" s="5" t="s">
        <v>71</v>
      </c>
      <c r="F332" s="5" t="s">
        <v>14</v>
      </c>
      <c r="G332" s="5" t="e" vm="11">
        <v>#VALUE!</v>
      </c>
      <c r="H332" s="5">
        <v>7.44</v>
      </c>
      <c r="I332" s="5"/>
      <c r="J332" s="5"/>
      <c r="K332" s="11">
        <v>20500</v>
      </c>
      <c r="M332" s="5" t="s">
        <v>125</v>
      </c>
      <c r="N332" s="5" t="s">
        <v>73</v>
      </c>
      <c r="O332" s="5" t="s">
        <v>1453</v>
      </c>
      <c r="P332" s="5">
        <v>12</v>
      </c>
      <c r="Q332" s="5" t="s">
        <v>286</v>
      </c>
      <c r="R332" s="5"/>
      <c r="S332" s="5" t="s">
        <v>1631</v>
      </c>
      <c r="T332" s="20" t="s">
        <v>1632</v>
      </c>
      <c r="U332" s="5" t="s">
        <v>1633</v>
      </c>
      <c r="V332" s="20" t="s">
        <v>1634</v>
      </c>
      <c r="W332" s="5" t="s">
        <v>965</v>
      </c>
      <c r="X332" s="5" t="s">
        <v>1534</v>
      </c>
      <c r="Y332" s="5"/>
      <c r="Z332" s="5"/>
    </row>
    <row r="333" spans="1:26" x14ac:dyDescent="0.3">
      <c r="A333" s="5">
        <v>2506781</v>
      </c>
      <c r="B333" s="15" t="s">
        <v>1635</v>
      </c>
      <c r="C333" s="25">
        <v>45831</v>
      </c>
      <c r="D333" s="5" t="s">
        <v>22</v>
      </c>
      <c r="E333" s="5" t="s">
        <v>71</v>
      </c>
      <c r="F333" s="5" t="s">
        <v>14</v>
      </c>
      <c r="G333" s="5" t="e" vm="11">
        <v>#VALUE!</v>
      </c>
      <c r="H333" s="5">
        <v>7.44</v>
      </c>
      <c r="I333" s="5"/>
      <c r="J333" s="5"/>
      <c r="K333" s="11">
        <v>22000</v>
      </c>
      <c r="M333" s="5" t="s">
        <v>176</v>
      </c>
      <c r="N333" s="5" t="s">
        <v>73</v>
      </c>
      <c r="O333" s="5" t="s">
        <v>1453</v>
      </c>
      <c r="P333" s="5">
        <v>12</v>
      </c>
      <c r="Q333" s="5" t="s">
        <v>286</v>
      </c>
      <c r="R333" s="5"/>
      <c r="S333" s="5" t="s">
        <v>1636</v>
      </c>
      <c r="T333" s="20" t="s">
        <v>1637</v>
      </c>
      <c r="U333" s="5" t="s">
        <v>1638</v>
      </c>
      <c r="V333" s="20" t="s">
        <v>1639</v>
      </c>
      <c r="W333" s="5" t="s">
        <v>965</v>
      </c>
      <c r="X333" s="5" t="s">
        <v>1534</v>
      </c>
      <c r="Y333" s="5"/>
      <c r="Z333" s="5"/>
    </row>
    <row r="334" spans="1:26" x14ac:dyDescent="0.3">
      <c r="A334" s="5">
        <v>2506782</v>
      </c>
      <c r="B334" s="15" t="s">
        <v>1640</v>
      </c>
      <c r="C334" s="25">
        <v>45831</v>
      </c>
      <c r="D334" s="5" t="s">
        <v>22</v>
      </c>
      <c r="E334" s="5" t="s">
        <v>71</v>
      </c>
      <c r="F334" s="5" t="s">
        <v>14</v>
      </c>
      <c r="G334" s="5" t="e" vm="11">
        <v>#VALUE!</v>
      </c>
      <c r="H334" s="5">
        <v>14.88</v>
      </c>
      <c r="I334" s="5"/>
      <c r="J334" s="5"/>
      <c r="K334" s="11">
        <v>36100</v>
      </c>
      <c r="M334" s="5" t="s">
        <v>1191</v>
      </c>
      <c r="N334" s="5" t="s">
        <v>73</v>
      </c>
      <c r="O334" s="5" t="s">
        <v>1453</v>
      </c>
      <c r="P334" s="5">
        <v>24</v>
      </c>
      <c r="Q334" s="5" t="s">
        <v>143</v>
      </c>
      <c r="R334" s="5"/>
      <c r="S334" s="5" t="s">
        <v>1641</v>
      </c>
      <c r="T334" s="20" t="s">
        <v>1642</v>
      </c>
      <c r="U334" s="5" t="s">
        <v>1643</v>
      </c>
      <c r="V334" s="20" t="s">
        <v>1644</v>
      </c>
      <c r="W334" s="5" t="s">
        <v>965</v>
      </c>
      <c r="X334" s="5" t="s">
        <v>1534</v>
      </c>
      <c r="Y334" s="5"/>
      <c r="Z334" s="5"/>
    </row>
    <row r="335" spans="1:26" x14ac:dyDescent="0.3">
      <c r="A335" s="5">
        <v>2506746</v>
      </c>
      <c r="B335" s="15" t="s">
        <v>1645</v>
      </c>
      <c r="C335" s="25">
        <v>45831</v>
      </c>
      <c r="D335" s="5" t="s">
        <v>22</v>
      </c>
      <c r="E335" s="5" t="s">
        <v>71</v>
      </c>
      <c r="F335" s="5" t="s">
        <v>14</v>
      </c>
      <c r="G335" s="5" t="e" vm="11">
        <v>#VALUE!</v>
      </c>
      <c r="H335" s="5">
        <v>9.92</v>
      </c>
      <c r="I335" s="5"/>
      <c r="J335" s="5"/>
      <c r="K335" s="11">
        <v>24000</v>
      </c>
      <c r="M335" s="5" t="s">
        <v>125</v>
      </c>
      <c r="N335" s="5" t="s">
        <v>73</v>
      </c>
      <c r="O335" s="5" t="s">
        <v>1453</v>
      </c>
      <c r="P335" s="5">
        <v>16</v>
      </c>
      <c r="Q335" s="5" t="s">
        <v>364</v>
      </c>
      <c r="R335" s="5"/>
      <c r="S335" s="5" t="s">
        <v>1646</v>
      </c>
      <c r="T335" s="20" t="s">
        <v>1647</v>
      </c>
      <c r="U335" s="5" t="s">
        <v>1648</v>
      </c>
      <c r="W335" s="5" t="s">
        <v>109</v>
      </c>
      <c r="X335" s="5" t="s">
        <v>1534</v>
      </c>
      <c r="Y335" s="5"/>
      <c r="Z335" s="5"/>
    </row>
    <row r="336" spans="1:26" x14ac:dyDescent="0.3">
      <c r="A336" s="5">
        <v>2506780</v>
      </c>
      <c r="B336" s="15" t="s">
        <v>1649</v>
      </c>
      <c r="C336" s="25">
        <v>45831</v>
      </c>
      <c r="D336" s="5" t="s">
        <v>22</v>
      </c>
      <c r="E336" s="5" t="s">
        <v>71</v>
      </c>
      <c r="F336" s="5" t="s">
        <v>14</v>
      </c>
      <c r="G336" s="5" t="e" vm="11">
        <v>#VALUE!</v>
      </c>
      <c r="H336" s="5">
        <v>9.92</v>
      </c>
      <c r="I336" s="5"/>
      <c r="J336" s="5"/>
      <c r="K336" s="11">
        <v>23800</v>
      </c>
      <c r="M336" s="5" t="s">
        <v>125</v>
      </c>
      <c r="N336" s="5" t="s">
        <v>73</v>
      </c>
      <c r="O336" s="5" t="s">
        <v>1453</v>
      </c>
      <c r="P336" s="5">
        <v>16</v>
      </c>
      <c r="Q336" s="5" t="s">
        <v>364</v>
      </c>
      <c r="R336" s="5"/>
      <c r="S336" s="5" t="s">
        <v>1650</v>
      </c>
      <c r="T336" s="20" t="s">
        <v>1651</v>
      </c>
      <c r="U336" s="5" t="s">
        <v>1652</v>
      </c>
      <c r="V336" s="20" t="s">
        <v>1653</v>
      </c>
      <c r="W336" s="5" t="s">
        <v>109</v>
      </c>
      <c r="X336" s="5" t="s">
        <v>1534</v>
      </c>
      <c r="Y336" s="5"/>
      <c r="Z336" s="5"/>
    </row>
    <row r="337" spans="1:26" x14ac:dyDescent="0.3">
      <c r="A337" s="5">
        <v>2506778</v>
      </c>
      <c r="B337" s="15" t="s">
        <v>1654</v>
      </c>
      <c r="C337" s="25">
        <v>45831</v>
      </c>
      <c r="D337" s="5" t="s">
        <v>22</v>
      </c>
      <c r="E337" s="5" t="s">
        <v>71</v>
      </c>
      <c r="F337" s="5" t="s">
        <v>14</v>
      </c>
      <c r="G337" s="5" t="e" vm="11">
        <v>#VALUE!</v>
      </c>
      <c r="H337" s="5">
        <v>7.44</v>
      </c>
      <c r="I337" s="5"/>
      <c r="J337" s="5"/>
      <c r="K337" s="11">
        <v>20500</v>
      </c>
      <c r="M337" s="5" t="s">
        <v>125</v>
      </c>
      <c r="N337" s="5" t="s">
        <v>73</v>
      </c>
      <c r="O337" s="5" t="s">
        <v>1453</v>
      </c>
      <c r="P337" s="5">
        <v>12</v>
      </c>
      <c r="Q337" s="5" t="s">
        <v>286</v>
      </c>
      <c r="R337" s="5"/>
      <c r="S337" s="5" t="s">
        <v>1655</v>
      </c>
      <c r="T337" s="20" t="s">
        <v>1656</v>
      </c>
      <c r="U337" s="5" t="s">
        <v>1657</v>
      </c>
      <c r="W337" s="5" t="s">
        <v>965</v>
      </c>
      <c r="X337" s="5" t="s">
        <v>1534</v>
      </c>
      <c r="Y337" s="5"/>
      <c r="Z337" s="5"/>
    </row>
    <row r="338" spans="1:26" x14ac:dyDescent="0.3">
      <c r="A338" s="5">
        <v>2506745</v>
      </c>
      <c r="B338" s="20" t="s">
        <v>1658</v>
      </c>
      <c r="C338" s="25">
        <v>45823</v>
      </c>
      <c r="D338" s="5" t="s">
        <v>17</v>
      </c>
      <c r="E338" s="5" t="s">
        <v>71</v>
      </c>
      <c r="F338" s="5" t="s">
        <v>14</v>
      </c>
      <c r="G338" s="5" t="e" vm="5">
        <v>#VALUE!</v>
      </c>
      <c r="H338" s="5">
        <v>14.88</v>
      </c>
      <c r="I338" s="5"/>
      <c r="J338" s="5"/>
      <c r="K338" s="11">
        <v>32500</v>
      </c>
      <c r="M338" s="5" t="s">
        <v>125</v>
      </c>
      <c r="N338" s="5" t="s">
        <v>73</v>
      </c>
      <c r="O338" s="5" t="s">
        <v>1453</v>
      </c>
      <c r="P338" s="5">
        <v>24</v>
      </c>
      <c r="Q338" s="5" t="s">
        <v>143</v>
      </c>
      <c r="R338" s="5"/>
      <c r="S338" s="5" t="s">
        <v>1659</v>
      </c>
      <c r="T338" s="20" t="s">
        <v>1660</v>
      </c>
      <c r="U338" s="5" t="s">
        <v>1661</v>
      </c>
      <c r="V338" s="21" t="s">
        <v>1662</v>
      </c>
      <c r="W338" s="5" t="s">
        <v>965</v>
      </c>
      <c r="X338" s="5" t="s">
        <v>1534</v>
      </c>
      <c r="Y338" s="5"/>
      <c r="Z338" s="5"/>
    </row>
    <row r="339" spans="1:26" x14ac:dyDescent="0.3">
      <c r="A339" s="5">
        <v>2506789</v>
      </c>
      <c r="B339" s="20" t="s">
        <v>1663</v>
      </c>
      <c r="C339" s="25">
        <v>45833</v>
      </c>
      <c r="D339" s="5" t="s">
        <v>22</v>
      </c>
      <c r="E339" s="5" t="s">
        <v>71</v>
      </c>
      <c r="F339" s="5" t="s">
        <v>14</v>
      </c>
      <c r="G339" s="5" t="e" vm="11">
        <v>#VALUE!</v>
      </c>
      <c r="H339" s="5">
        <v>9.92</v>
      </c>
      <c r="I339" s="5"/>
      <c r="J339" s="5"/>
      <c r="K339" s="11">
        <v>27130</v>
      </c>
      <c r="M339" s="5" t="s">
        <v>176</v>
      </c>
      <c r="N339" s="5" t="s">
        <v>73</v>
      </c>
      <c r="O339" s="5" t="s">
        <v>1453</v>
      </c>
      <c r="P339" s="5">
        <v>16</v>
      </c>
      <c r="Q339" s="5" t="s">
        <v>364</v>
      </c>
      <c r="R339" s="5"/>
      <c r="S339" s="5" t="s">
        <v>1664</v>
      </c>
      <c r="T339" s="20" t="s">
        <v>1665</v>
      </c>
      <c r="U339" s="5" t="s">
        <v>1666</v>
      </c>
      <c r="V339" s="20" t="s">
        <v>1667</v>
      </c>
      <c r="W339" s="5" t="s">
        <v>965</v>
      </c>
      <c r="X339" s="5" t="s">
        <v>1534</v>
      </c>
      <c r="Y339" s="5"/>
      <c r="Z339" s="5"/>
    </row>
    <row r="340" spans="1:26" x14ac:dyDescent="0.3">
      <c r="A340" s="5">
        <v>2404254</v>
      </c>
      <c r="B340" s="20" t="s">
        <v>1668</v>
      </c>
      <c r="C340" s="25">
        <v>45833</v>
      </c>
      <c r="D340" s="5" t="s">
        <v>19</v>
      </c>
      <c r="E340" s="5" t="s">
        <v>71</v>
      </c>
      <c r="F340" s="5" t="s">
        <v>15</v>
      </c>
      <c r="G340" s="5" t="e" vm="11">
        <v>#VALUE!</v>
      </c>
      <c r="H340" s="5">
        <v>5.58</v>
      </c>
      <c r="I340" s="5"/>
      <c r="J340" s="5"/>
      <c r="K340" s="11">
        <v>19500</v>
      </c>
      <c r="M340" s="5" t="s">
        <v>125</v>
      </c>
      <c r="N340" s="5" t="s">
        <v>73</v>
      </c>
      <c r="O340" s="5" t="s">
        <v>1453</v>
      </c>
      <c r="P340" s="5">
        <v>9</v>
      </c>
      <c r="Q340" s="5" t="s">
        <v>286</v>
      </c>
      <c r="R340" s="5"/>
      <c r="S340" s="5" t="s">
        <v>1669</v>
      </c>
      <c r="T340" s="20" t="s">
        <v>1670</v>
      </c>
      <c r="U340" s="5" t="s">
        <v>1671</v>
      </c>
      <c r="V340" s="21" t="s">
        <v>1672</v>
      </c>
      <c r="W340" s="5" t="s">
        <v>965</v>
      </c>
      <c r="X340" s="5" t="s">
        <v>1534</v>
      </c>
      <c r="Y340" s="5"/>
      <c r="Z340" s="5"/>
    </row>
    <row r="341" spans="1:26" x14ac:dyDescent="0.3">
      <c r="A341" s="5">
        <v>2506732</v>
      </c>
      <c r="B341" s="15" t="s">
        <v>1673</v>
      </c>
      <c r="C341" s="25">
        <v>45833</v>
      </c>
      <c r="D341" s="5" t="s">
        <v>20</v>
      </c>
      <c r="E341" s="5" t="s">
        <v>71</v>
      </c>
      <c r="F341" s="5" t="s">
        <v>14</v>
      </c>
      <c r="G341" s="5" t="e" vm="11">
        <v>#VALUE!</v>
      </c>
      <c r="H341" s="5">
        <v>7.44</v>
      </c>
      <c r="I341" s="5"/>
      <c r="J341" s="5"/>
      <c r="K341" s="11">
        <v>20500</v>
      </c>
      <c r="M341" s="5" t="s">
        <v>125</v>
      </c>
      <c r="N341" s="5" t="s">
        <v>73</v>
      </c>
      <c r="O341" s="5" t="s">
        <v>1453</v>
      </c>
      <c r="P341" s="5">
        <v>12</v>
      </c>
      <c r="Q341" s="5" t="s">
        <v>286</v>
      </c>
      <c r="R341" s="5"/>
      <c r="S341" s="5" t="s">
        <v>1674</v>
      </c>
      <c r="T341" s="20" t="s">
        <v>1675</v>
      </c>
      <c r="U341" s="5" t="s">
        <v>1676</v>
      </c>
      <c r="V341" s="21" t="s">
        <v>1677</v>
      </c>
      <c r="W341" s="5" t="s">
        <v>965</v>
      </c>
      <c r="X341" s="5" t="s">
        <v>1534</v>
      </c>
      <c r="Y341" s="5"/>
      <c r="Z341" s="5"/>
    </row>
    <row r="342" spans="1:26" x14ac:dyDescent="0.3">
      <c r="A342" s="5">
        <v>2506767</v>
      </c>
      <c r="B342" s="20" t="s">
        <v>1678</v>
      </c>
      <c r="C342" s="25">
        <v>45833</v>
      </c>
      <c r="D342" s="5" t="s">
        <v>17</v>
      </c>
      <c r="E342" s="5" t="s">
        <v>71</v>
      </c>
      <c r="F342" s="5" t="s">
        <v>14</v>
      </c>
      <c r="G342" s="5" t="e" vm="5">
        <v>#VALUE!</v>
      </c>
      <c r="H342" s="5">
        <v>7.44</v>
      </c>
      <c r="I342" s="5"/>
      <c r="J342" s="5"/>
      <c r="K342" s="11">
        <v>20500</v>
      </c>
      <c r="M342" s="5" t="s">
        <v>125</v>
      </c>
      <c r="N342" s="5" t="s">
        <v>73</v>
      </c>
      <c r="O342" s="5" t="s">
        <v>1453</v>
      </c>
      <c r="P342" s="5">
        <v>12</v>
      </c>
      <c r="Q342" s="5" t="s">
        <v>286</v>
      </c>
      <c r="R342" s="5"/>
      <c r="S342" s="5" t="s">
        <v>1679</v>
      </c>
      <c r="T342" s="20" t="s">
        <v>1680</v>
      </c>
      <c r="U342" s="5" t="s">
        <v>1681</v>
      </c>
      <c r="V342" s="21" t="s">
        <v>1682</v>
      </c>
      <c r="W342" s="5" t="s">
        <v>965</v>
      </c>
      <c r="X342" s="5" t="s">
        <v>1534</v>
      </c>
      <c r="Y342" s="5"/>
      <c r="Z342" s="5"/>
    </row>
    <row r="343" spans="1:26" x14ac:dyDescent="0.3">
      <c r="A343" s="5">
        <v>2506759</v>
      </c>
      <c r="B343" s="20" t="s">
        <v>1683</v>
      </c>
      <c r="C343" s="25">
        <v>45834</v>
      </c>
      <c r="D343" s="5" t="s">
        <v>22</v>
      </c>
      <c r="E343" s="5" t="s">
        <v>71</v>
      </c>
      <c r="F343" s="5" t="s">
        <v>14</v>
      </c>
      <c r="G343" s="5" t="e" vm="11">
        <v>#VALUE!</v>
      </c>
      <c r="H343" s="5">
        <v>10.54</v>
      </c>
      <c r="I343" s="5"/>
      <c r="J343" s="5"/>
      <c r="K343" s="11">
        <v>27000</v>
      </c>
      <c r="M343" s="5" t="s">
        <v>125</v>
      </c>
      <c r="N343" s="5" t="s">
        <v>73</v>
      </c>
      <c r="O343" s="5" t="s">
        <v>1453</v>
      </c>
      <c r="P343" s="5">
        <v>17</v>
      </c>
      <c r="Q343" s="5" t="s">
        <v>364</v>
      </c>
      <c r="R343" s="5"/>
      <c r="S343" s="5" t="s">
        <v>1684</v>
      </c>
      <c r="T343" s="20" t="s">
        <v>1685</v>
      </c>
      <c r="U343" s="5" t="s">
        <v>1686</v>
      </c>
      <c r="V343" s="21" t="s">
        <v>1687</v>
      </c>
      <c r="W343" s="5" t="s">
        <v>965</v>
      </c>
      <c r="X343" s="5" t="s">
        <v>1534</v>
      </c>
      <c r="Y343" s="5"/>
      <c r="Z343" s="5"/>
    </row>
    <row r="344" spans="1:26" x14ac:dyDescent="0.3">
      <c r="A344" s="5">
        <v>2506794</v>
      </c>
      <c r="B344" s="20" t="s">
        <v>1688</v>
      </c>
      <c r="C344" s="25">
        <v>45834</v>
      </c>
      <c r="D344" s="5" t="s">
        <v>22</v>
      </c>
      <c r="E344" s="5" t="s">
        <v>71</v>
      </c>
      <c r="F344" s="5" t="s">
        <v>14</v>
      </c>
      <c r="G344" s="5" t="e" vm="11">
        <v>#VALUE!</v>
      </c>
      <c r="H344" s="5">
        <v>9.92</v>
      </c>
      <c r="I344" s="5"/>
      <c r="J344" s="5"/>
      <c r="K344" s="11">
        <v>25000</v>
      </c>
      <c r="M344" s="5" t="s">
        <v>125</v>
      </c>
      <c r="N344" s="5" t="s">
        <v>73</v>
      </c>
      <c r="O344" s="5" t="s">
        <v>1453</v>
      </c>
      <c r="P344" s="5">
        <v>16</v>
      </c>
      <c r="Q344" s="5" t="s">
        <v>364</v>
      </c>
      <c r="R344" s="5"/>
      <c r="S344" s="5" t="s">
        <v>1689</v>
      </c>
      <c r="T344" s="20" t="s">
        <v>1690</v>
      </c>
      <c r="U344" s="5" t="s">
        <v>1691</v>
      </c>
      <c r="W344" s="5" t="s">
        <v>965</v>
      </c>
      <c r="X344" s="5" t="s">
        <v>1534</v>
      </c>
      <c r="Y344" s="5"/>
      <c r="Z344" s="5"/>
    </row>
    <row r="345" spans="1:26" x14ac:dyDescent="0.3">
      <c r="A345" s="5">
        <v>2506798</v>
      </c>
      <c r="B345" s="20" t="s">
        <v>1692</v>
      </c>
      <c r="C345" s="25">
        <v>45834</v>
      </c>
      <c r="D345" s="5" t="s">
        <v>22</v>
      </c>
      <c r="E345" s="5" t="s">
        <v>71</v>
      </c>
      <c r="F345" s="5" t="s">
        <v>14</v>
      </c>
      <c r="G345" s="5" t="e" vm="11">
        <v>#VALUE!</v>
      </c>
      <c r="H345" s="5">
        <v>7.44</v>
      </c>
      <c r="I345" s="5"/>
      <c r="J345" s="5"/>
      <c r="K345" s="11">
        <v>20500</v>
      </c>
      <c r="M345" s="5" t="s">
        <v>125</v>
      </c>
      <c r="N345" s="5" t="s">
        <v>73</v>
      </c>
      <c r="O345" s="5" t="s">
        <v>1453</v>
      </c>
      <c r="P345" s="5">
        <v>12</v>
      </c>
      <c r="Q345" s="5" t="s">
        <v>286</v>
      </c>
      <c r="R345" s="5"/>
      <c r="S345" s="5" t="s">
        <v>1693</v>
      </c>
      <c r="T345" s="20" t="s">
        <v>1694</v>
      </c>
      <c r="U345" s="5" t="s">
        <v>1695</v>
      </c>
      <c r="W345" s="5" t="s">
        <v>965</v>
      </c>
      <c r="X345" s="5" t="s">
        <v>1534</v>
      </c>
      <c r="Y345" s="5"/>
      <c r="Z345" s="5"/>
    </row>
    <row r="346" spans="1:26" x14ac:dyDescent="0.3">
      <c r="A346" s="5">
        <v>2506773</v>
      </c>
      <c r="B346" s="20" t="s">
        <v>1696</v>
      </c>
      <c r="C346" s="25">
        <v>45834</v>
      </c>
      <c r="D346" s="5" t="s">
        <v>22</v>
      </c>
      <c r="E346" s="5" t="s">
        <v>71</v>
      </c>
      <c r="F346" s="5" t="s">
        <v>14</v>
      </c>
      <c r="G346" s="5" t="e" vm="11">
        <v>#VALUE!</v>
      </c>
      <c r="H346" s="5">
        <v>14.88</v>
      </c>
      <c r="I346" s="5"/>
      <c r="J346" s="5"/>
      <c r="K346" s="11">
        <v>32500</v>
      </c>
      <c r="M346" s="5" t="s">
        <v>125</v>
      </c>
      <c r="N346" s="5" t="s">
        <v>73</v>
      </c>
      <c r="O346" s="5" t="s">
        <v>1453</v>
      </c>
      <c r="P346" s="5">
        <v>24</v>
      </c>
      <c r="Q346" s="5" t="s">
        <v>143</v>
      </c>
      <c r="R346" s="5"/>
      <c r="S346" s="5" t="s">
        <v>1697</v>
      </c>
      <c r="T346" s="20" t="s">
        <v>1698</v>
      </c>
      <c r="U346" s="5" t="s">
        <v>1699</v>
      </c>
      <c r="W346" s="5" t="s">
        <v>965</v>
      </c>
      <c r="X346" s="5" t="s">
        <v>1534</v>
      </c>
      <c r="Y346" s="5"/>
      <c r="Z346" s="5"/>
    </row>
    <row r="347" spans="1:26" x14ac:dyDescent="0.3">
      <c r="A347" s="5" t="s">
        <v>1700</v>
      </c>
      <c r="B347" s="20" t="s">
        <v>1701</v>
      </c>
      <c r="C347" s="25">
        <v>45834</v>
      </c>
      <c r="D347" s="5" t="s">
        <v>19</v>
      </c>
      <c r="E347" s="5" t="s">
        <v>71</v>
      </c>
      <c r="F347" s="5" t="s">
        <v>14</v>
      </c>
      <c r="G347" s="5" t="e" vm="11">
        <v>#VALUE!</v>
      </c>
      <c r="H347" s="5">
        <v>7.44</v>
      </c>
      <c r="I347" s="5"/>
      <c r="J347" s="5"/>
      <c r="K347" s="11">
        <v>20500</v>
      </c>
      <c r="M347" s="5" t="s">
        <v>125</v>
      </c>
      <c r="N347" s="5" t="s">
        <v>73</v>
      </c>
      <c r="O347" s="5" t="s">
        <v>1453</v>
      </c>
      <c r="P347" s="5">
        <v>12</v>
      </c>
      <c r="Q347" s="5" t="s">
        <v>286</v>
      </c>
      <c r="R347" s="5"/>
      <c r="S347" s="5" t="s">
        <v>1702</v>
      </c>
      <c r="T347" s="20" t="s">
        <v>1703</v>
      </c>
      <c r="U347" s="5" t="s">
        <v>1704</v>
      </c>
      <c r="V347" s="20" t="s">
        <v>1705</v>
      </c>
      <c r="W347" s="5" t="s">
        <v>965</v>
      </c>
      <c r="X347" s="5" t="s">
        <v>1534</v>
      </c>
      <c r="Y347" s="5"/>
      <c r="Z347" s="5"/>
    </row>
    <row r="348" spans="1:26" x14ac:dyDescent="0.3">
      <c r="A348" s="5">
        <v>2506786</v>
      </c>
      <c r="B348" s="20" t="s">
        <v>1706</v>
      </c>
      <c r="C348" s="25">
        <v>45836</v>
      </c>
      <c r="D348" s="5" t="s">
        <v>17</v>
      </c>
      <c r="E348" s="5" t="s">
        <v>71</v>
      </c>
      <c r="F348" s="5" t="s">
        <v>14</v>
      </c>
      <c r="G348" s="5" t="e" vm="12">
        <v>#VALUE!</v>
      </c>
      <c r="H348" s="5">
        <v>13.64</v>
      </c>
      <c r="I348" s="5"/>
      <c r="J348" s="5"/>
      <c r="K348" s="11">
        <v>30500</v>
      </c>
      <c r="M348" s="5" t="s">
        <v>125</v>
      </c>
      <c r="N348" s="5" t="s">
        <v>73</v>
      </c>
      <c r="O348" s="5" t="s">
        <v>1453</v>
      </c>
      <c r="P348" s="5">
        <v>22</v>
      </c>
      <c r="Q348" s="5" t="s">
        <v>143</v>
      </c>
      <c r="R348" s="5"/>
      <c r="S348" s="5" t="s">
        <v>1707</v>
      </c>
      <c r="T348" s="20" t="s">
        <v>1708</v>
      </c>
      <c r="U348" s="5" t="s">
        <v>1709</v>
      </c>
      <c r="V348" s="20" t="s">
        <v>1710</v>
      </c>
      <c r="W348" s="5" t="s">
        <v>965</v>
      </c>
      <c r="X348" s="5"/>
      <c r="Y348" s="5"/>
      <c r="Z348" s="5"/>
    </row>
    <row r="349" spans="1:26" x14ac:dyDescent="0.3">
      <c r="A349" s="5">
        <v>2505260</v>
      </c>
      <c r="B349" s="20" t="s">
        <v>1711</v>
      </c>
      <c r="C349" s="25">
        <v>45833</v>
      </c>
      <c r="D349" s="5" t="s">
        <v>22</v>
      </c>
      <c r="E349" s="5" t="s">
        <v>124</v>
      </c>
      <c r="F349" s="5" t="s">
        <v>14</v>
      </c>
      <c r="G349" s="5" t="e" vm="4">
        <v>#VALUE!</v>
      </c>
      <c r="H349" s="5">
        <v>48.36</v>
      </c>
      <c r="I349" s="5"/>
      <c r="J349" s="5"/>
      <c r="K349" s="11">
        <v>95000</v>
      </c>
      <c r="M349" s="5" t="s">
        <v>125</v>
      </c>
      <c r="N349" s="5" t="s">
        <v>73</v>
      </c>
      <c r="O349" s="5" t="s">
        <v>1453</v>
      </c>
      <c r="P349" s="5">
        <v>78</v>
      </c>
      <c r="Q349" s="5" t="s">
        <v>1712</v>
      </c>
      <c r="R349" s="5"/>
      <c r="S349" s="134" t="s">
        <v>18</v>
      </c>
      <c r="T349" s="20" t="s">
        <v>1713</v>
      </c>
      <c r="U349" s="5" t="s">
        <v>1714</v>
      </c>
      <c r="V349" s="21" t="s">
        <v>1715</v>
      </c>
      <c r="W349" s="5" t="s">
        <v>965</v>
      </c>
      <c r="X349" s="5" t="s">
        <v>81</v>
      </c>
      <c r="Y349" s="5"/>
      <c r="Z349" s="5"/>
    </row>
    <row r="350" spans="1:26" x14ac:dyDescent="0.3">
      <c r="A350" s="5">
        <v>2506799</v>
      </c>
      <c r="B350" s="20" t="s">
        <v>1716</v>
      </c>
      <c r="C350" s="25">
        <v>45835</v>
      </c>
      <c r="D350" s="5" t="s">
        <v>22</v>
      </c>
      <c r="E350" s="5" t="s">
        <v>71</v>
      </c>
      <c r="F350" s="5" t="s">
        <v>14</v>
      </c>
      <c r="G350" s="5" t="e" vm="11">
        <v>#VALUE!</v>
      </c>
      <c r="H350" s="5">
        <v>13.64</v>
      </c>
      <c r="I350" s="5"/>
      <c r="J350" s="5"/>
      <c r="K350" s="11">
        <v>30500</v>
      </c>
      <c r="M350" s="5" t="s">
        <v>125</v>
      </c>
      <c r="N350" s="5" t="s">
        <v>73</v>
      </c>
      <c r="O350" s="5" t="s">
        <v>1453</v>
      </c>
      <c r="P350" s="5">
        <v>22</v>
      </c>
      <c r="Q350" s="5" t="s">
        <v>143</v>
      </c>
      <c r="R350" s="5"/>
      <c r="S350" s="5" t="s">
        <v>1717</v>
      </c>
      <c r="T350" s="20" t="s">
        <v>1718</v>
      </c>
      <c r="U350" s="5" t="s">
        <v>1719</v>
      </c>
      <c r="W350" s="5" t="s">
        <v>965</v>
      </c>
      <c r="X350" s="5" t="s">
        <v>1534</v>
      </c>
      <c r="Y350" s="5"/>
      <c r="Z350" s="5"/>
    </row>
    <row r="351" spans="1:26" x14ac:dyDescent="0.3">
      <c r="A351" s="5">
        <v>2506276</v>
      </c>
      <c r="B351" s="20" t="s">
        <v>1720</v>
      </c>
      <c r="C351" s="25">
        <v>45836</v>
      </c>
      <c r="D351" s="5" t="s">
        <v>19</v>
      </c>
      <c r="E351" s="5" t="s">
        <v>71</v>
      </c>
      <c r="F351" s="5" t="s">
        <v>14</v>
      </c>
      <c r="G351" s="5" t="e" vm="11">
        <v>#VALUE!</v>
      </c>
      <c r="H351" s="5">
        <v>19.84</v>
      </c>
      <c r="I351" s="5"/>
      <c r="J351" s="5"/>
      <c r="K351" s="11">
        <v>40000</v>
      </c>
      <c r="L351" s="24">
        <v>-1000</v>
      </c>
      <c r="M351" s="5" t="s">
        <v>125</v>
      </c>
      <c r="N351" s="5" t="s">
        <v>73</v>
      </c>
      <c r="O351" s="5" t="s">
        <v>1453</v>
      </c>
      <c r="P351" s="5">
        <v>32</v>
      </c>
      <c r="Q351" s="5" t="s">
        <v>567</v>
      </c>
      <c r="R351" s="5"/>
      <c r="W351" s="5"/>
      <c r="X351" s="5"/>
      <c r="Y351" s="5"/>
      <c r="Z351" s="5"/>
    </row>
    <row r="352" spans="1:26" x14ac:dyDescent="0.3">
      <c r="A352" s="5">
        <v>2506785</v>
      </c>
      <c r="B352" s="20" t="s">
        <v>1721</v>
      </c>
      <c r="C352" s="25">
        <v>45837</v>
      </c>
      <c r="D352" s="5" t="s">
        <v>22</v>
      </c>
      <c r="E352" s="5" t="s">
        <v>71</v>
      </c>
      <c r="F352" s="5" t="s">
        <v>14</v>
      </c>
      <c r="G352" s="5" t="e" vm="11">
        <v>#VALUE!</v>
      </c>
      <c r="H352" s="5">
        <v>13.64</v>
      </c>
      <c r="I352" s="5"/>
      <c r="J352" s="5"/>
      <c r="K352" s="11">
        <v>34500</v>
      </c>
      <c r="M352" s="5" t="s">
        <v>125</v>
      </c>
      <c r="N352" s="5" t="s">
        <v>73</v>
      </c>
      <c r="O352" s="5" t="s">
        <v>1453</v>
      </c>
      <c r="P352" s="5">
        <v>22</v>
      </c>
      <c r="Q352" s="5" t="s">
        <v>143</v>
      </c>
      <c r="R352" s="5"/>
      <c r="S352" s="5" t="s">
        <v>1722</v>
      </c>
      <c r="T352" s="20" t="s">
        <v>1723</v>
      </c>
      <c r="U352" s="5" t="s">
        <v>1724</v>
      </c>
      <c r="V352" s="20" t="s">
        <v>1725</v>
      </c>
      <c r="W352" s="5" t="s">
        <v>965</v>
      </c>
      <c r="X352" s="5" t="s">
        <v>1534</v>
      </c>
      <c r="Y352" s="5"/>
      <c r="Z352" s="5"/>
    </row>
    <row r="353" spans="1:26" x14ac:dyDescent="0.3">
      <c r="A353" s="5">
        <v>2506801</v>
      </c>
      <c r="B353" s="20" t="s">
        <v>1726</v>
      </c>
      <c r="C353" s="25">
        <v>45838</v>
      </c>
      <c r="D353" s="5" t="s">
        <v>22</v>
      </c>
      <c r="E353" s="5" t="s">
        <v>71</v>
      </c>
      <c r="F353" s="5" t="s">
        <v>14</v>
      </c>
      <c r="G353" s="5" t="e" vm="11">
        <v>#VALUE!</v>
      </c>
      <c r="H353" s="5">
        <v>17.98</v>
      </c>
      <c r="I353" s="5"/>
      <c r="J353" s="5"/>
      <c r="K353" s="11">
        <v>39500</v>
      </c>
      <c r="M353" s="5" t="s">
        <v>176</v>
      </c>
      <c r="N353" s="5" t="s">
        <v>73</v>
      </c>
      <c r="O353" s="5" t="s">
        <v>1453</v>
      </c>
      <c r="P353" s="5">
        <v>29</v>
      </c>
      <c r="Q353" s="5" t="s">
        <v>143</v>
      </c>
      <c r="R353" s="5"/>
      <c r="S353" s="5" t="s">
        <v>1727</v>
      </c>
      <c r="T353" s="20" t="s">
        <v>1728</v>
      </c>
      <c r="U353" s="5" t="s">
        <v>1729</v>
      </c>
      <c r="V353" s="20" t="s">
        <v>1730</v>
      </c>
      <c r="W353" s="5" t="s">
        <v>965</v>
      </c>
      <c r="X353" s="5" t="s">
        <v>1534</v>
      </c>
      <c r="Y353" s="5"/>
      <c r="Z353" s="5"/>
    </row>
    <row r="354" spans="1:26" x14ac:dyDescent="0.3">
      <c r="A354" s="5">
        <v>2503223</v>
      </c>
      <c r="B354" s="20" t="s">
        <v>1731</v>
      </c>
      <c r="C354" s="25">
        <v>45832</v>
      </c>
      <c r="D354" s="5" t="s">
        <v>17</v>
      </c>
      <c r="E354" s="5" t="s">
        <v>124</v>
      </c>
      <c r="F354" s="5" t="s">
        <v>14</v>
      </c>
      <c r="G354" s="5" t="e" vm="8">
        <v>#VALUE!</v>
      </c>
      <c r="H354" s="5">
        <v>58.9</v>
      </c>
      <c r="I354" s="5"/>
      <c r="J354" s="5"/>
      <c r="K354" s="11">
        <v>117500</v>
      </c>
      <c r="M354" s="5" t="s">
        <v>1732</v>
      </c>
      <c r="N354" s="5" t="s">
        <v>73</v>
      </c>
      <c r="O354" s="5" t="s">
        <v>1440</v>
      </c>
      <c r="P354" s="5">
        <v>95</v>
      </c>
      <c r="Q354" s="5" t="s">
        <v>898</v>
      </c>
      <c r="R354" s="5"/>
      <c r="W354" s="5" t="s">
        <v>965</v>
      </c>
      <c r="X354" s="5"/>
      <c r="Y354" s="5"/>
      <c r="Z354" s="5"/>
    </row>
    <row r="355" spans="1:26" x14ac:dyDescent="0.3">
      <c r="A355" s="5">
        <v>2506802</v>
      </c>
      <c r="B355" s="20" t="s">
        <v>1733</v>
      </c>
      <c r="C355" s="25">
        <v>45838</v>
      </c>
      <c r="D355" s="5" t="s">
        <v>22</v>
      </c>
      <c r="E355" s="5" t="s">
        <v>71</v>
      </c>
      <c r="F355" s="5" t="s">
        <v>14</v>
      </c>
      <c r="G355" s="5" t="e" vm="11">
        <v>#VALUE!</v>
      </c>
      <c r="H355" s="5">
        <v>13.64</v>
      </c>
      <c r="I355" s="5"/>
      <c r="J355" s="5"/>
      <c r="K355" s="11">
        <v>31500</v>
      </c>
      <c r="M355" s="5" t="s">
        <v>125</v>
      </c>
      <c r="N355" s="5" t="s">
        <v>73</v>
      </c>
      <c r="O355" s="5" t="s">
        <v>1453</v>
      </c>
      <c r="P355" s="5">
        <v>22</v>
      </c>
      <c r="Q355" s="5" t="s">
        <v>143</v>
      </c>
      <c r="R355" s="5"/>
      <c r="S355" s="5" t="s">
        <v>1734</v>
      </c>
      <c r="T355" s="20" t="s">
        <v>1735</v>
      </c>
      <c r="U355" s="5" t="s">
        <v>1736</v>
      </c>
      <c r="W355" s="5" t="s">
        <v>965</v>
      </c>
      <c r="X355" s="5" t="s">
        <v>1534</v>
      </c>
      <c r="Y355" s="5"/>
      <c r="Z355" s="5"/>
    </row>
    <row r="356" spans="1:26" x14ac:dyDescent="0.3">
      <c r="A356" s="5">
        <v>2412510</v>
      </c>
      <c r="B356" s="20" t="s">
        <v>1737</v>
      </c>
      <c r="C356" s="25">
        <v>45843</v>
      </c>
      <c r="D356" s="5" t="s">
        <v>19</v>
      </c>
      <c r="E356" s="5" t="s">
        <v>71</v>
      </c>
      <c r="F356" s="5" t="s">
        <v>14</v>
      </c>
      <c r="G356" s="5" t="e" vm="11">
        <v>#VALUE!</v>
      </c>
      <c r="H356" s="5">
        <v>14.88</v>
      </c>
      <c r="I356" s="5"/>
      <c r="J356" s="5"/>
      <c r="K356" s="11">
        <v>34000</v>
      </c>
      <c r="M356" s="5" t="s">
        <v>176</v>
      </c>
      <c r="N356" s="5" t="s">
        <v>73</v>
      </c>
      <c r="O356" s="5" t="s">
        <v>1453</v>
      </c>
      <c r="P356" s="5">
        <v>24</v>
      </c>
      <c r="Q356" s="5" t="s">
        <v>143</v>
      </c>
      <c r="R356" s="5"/>
      <c r="S356" s="5" t="s">
        <v>1738</v>
      </c>
      <c r="T356" s="20" t="s">
        <v>1739</v>
      </c>
      <c r="U356" s="5" t="s">
        <v>1740</v>
      </c>
      <c r="V356" s="20" t="s">
        <v>1741</v>
      </c>
      <c r="W356" s="5" t="s">
        <v>965</v>
      </c>
      <c r="X356" s="5" t="s">
        <v>1534</v>
      </c>
      <c r="Y356" s="5"/>
      <c r="Z356" s="5"/>
    </row>
    <row r="357" spans="1:26" x14ac:dyDescent="0.3">
      <c r="A357" s="5">
        <v>2504051</v>
      </c>
      <c r="B357" s="20" t="s">
        <v>1742</v>
      </c>
      <c r="C357" s="25">
        <v>45833</v>
      </c>
      <c r="D357" s="5" t="s">
        <v>20</v>
      </c>
      <c r="E357" s="5" t="s">
        <v>206</v>
      </c>
      <c r="F357" s="5"/>
      <c r="G357" s="5" t="e" vm="4">
        <v>#VALUE!</v>
      </c>
      <c r="H357" s="5"/>
      <c r="I357" s="5">
        <v>240</v>
      </c>
      <c r="J357" s="5"/>
      <c r="K357" s="11">
        <v>250000</v>
      </c>
      <c r="M357" s="5" t="s">
        <v>125</v>
      </c>
      <c r="N357" s="5" t="s">
        <v>73</v>
      </c>
      <c r="R357" s="5"/>
      <c r="W357" s="5" t="s">
        <v>109</v>
      </c>
      <c r="X357" s="5"/>
      <c r="Y357" s="5"/>
      <c r="Z357" s="5"/>
    </row>
    <row r="358" spans="1:26" x14ac:dyDescent="0.3">
      <c r="A358" s="5">
        <v>2505056</v>
      </c>
      <c r="B358" s="20" t="s">
        <v>1743</v>
      </c>
      <c r="C358" s="25">
        <v>45859</v>
      </c>
      <c r="D358" s="5" t="s">
        <v>19</v>
      </c>
      <c r="E358" s="5" t="s">
        <v>206</v>
      </c>
      <c r="F358" s="5"/>
      <c r="G358" s="5" t="e" vm="11">
        <v>#VALUE!</v>
      </c>
      <c r="H358" s="5"/>
      <c r="I358" s="5">
        <v>60</v>
      </c>
      <c r="J358" s="5"/>
      <c r="K358" s="11">
        <v>43000</v>
      </c>
      <c r="M358" s="5" t="s">
        <v>125</v>
      </c>
      <c r="N358" s="5" t="s">
        <v>73</v>
      </c>
      <c r="R358" s="5"/>
      <c r="W358" s="5" t="s">
        <v>109</v>
      </c>
      <c r="X358" s="5"/>
      <c r="Y358" s="5"/>
      <c r="Z358" s="5"/>
    </row>
    <row r="359" spans="1:26" x14ac:dyDescent="0.3">
      <c r="A359" s="5">
        <v>2507833</v>
      </c>
      <c r="B359" s="20" t="s">
        <v>1744</v>
      </c>
      <c r="C359" s="25">
        <v>45874</v>
      </c>
      <c r="D359" s="5" t="s">
        <v>22</v>
      </c>
      <c r="E359" s="5" t="s">
        <v>71</v>
      </c>
      <c r="F359" s="5" t="s">
        <v>15</v>
      </c>
      <c r="G359" s="5" t="e" vm="11">
        <v>#VALUE!</v>
      </c>
      <c r="H359" s="5">
        <v>12.4</v>
      </c>
      <c r="I359" s="5"/>
      <c r="J359" s="5">
        <v>15</v>
      </c>
      <c r="K359" s="11">
        <v>46000</v>
      </c>
      <c r="M359" s="5" t="s">
        <v>1191</v>
      </c>
      <c r="N359" s="5" t="s">
        <v>73</v>
      </c>
      <c r="O359" s="5" t="s">
        <v>1453</v>
      </c>
      <c r="P359" s="5">
        <v>20</v>
      </c>
      <c r="Q359" s="5" t="s">
        <v>1745</v>
      </c>
      <c r="R359" s="5"/>
      <c r="S359" s="5" t="s">
        <v>1746</v>
      </c>
      <c r="T359" s="20" t="s">
        <v>1747</v>
      </c>
      <c r="U359" s="5" t="s">
        <v>1748</v>
      </c>
      <c r="W359" s="5" t="s">
        <v>109</v>
      </c>
      <c r="X359" s="5" t="s">
        <v>1534</v>
      </c>
      <c r="Y359" s="5"/>
      <c r="Z359" s="5"/>
    </row>
    <row r="360" spans="1:26" x14ac:dyDescent="0.3">
      <c r="A360" s="5">
        <v>2409030</v>
      </c>
      <c r="B360" s="20" t="s">
        <v>1749</v>
      </c>
      <c r="C360" s="25">
        <v>45881</v>
      </c>
      <c r="D360" s="5" t="s">
        <v>19</v>
      </c>
      <c r="E360" s="5" t="s">
        <v>206</v>
      </c>
      <c r="F360" s="5"/>
      <c r="G360" s="5" t="e" vm="11">
        <v>#VALUE!</v>
      </c>
      <c r="H360" s="5"/>
      <c r="I360" s="5">
        <v>60</v>
      </c>
      <c r="J360" s="5"/>
      <c r="K360" s="11">
        <v>58000</v>
      </c>
      <c r="M360" s="5" t="s">
        <v>125</v>
      </c>
      <c r="N360" s="5" t="s">
        <v>73</v>
      </c>
      <c r="R360" s="5"/>
      <c r="W360" s="5" t="s">
        <v>109</v>
      </c>
      <c r="X360" s="5"/>
      <c r="Y360" s="5"/>
      <c r="Z360" s="5"/>
    </row>
    <row r="361" spans="1:26" x14ac:dyDescent="0.3">
      <c r="A361" s="5">
        <v>2507059</v>
      </c>
      <c r="B361" s="20" t="s">
        <v>1750</v>
      </c>
      <c r="C361" s="25">
        <v>45881</v>
      </c>
      <c r="D361" s="5" t="s">
        <v>19</v>
      </c>
      <c r="E361" s="5" t="s">
        <v>206</v>
      </c>
      <c r="F361" s="5"/>
      <c r="G361" s="5" t="e" vm="11">
        <v>#VALUE!</v>
      </c>
      <c r="H361" s="5"/>
      <c r="I361" s="5">
        <v>60</v>
      </c>
      <c r="J361" s="5"/>
      <c r="K361" s="11">
        <v>53000</v>
      </c>
      <c r="M361" s="5" t="s">
        <v>125</v>
      </c>
      <c r="N361" s="5" t="s">
        <v>73</v>
      </c>
      <c r="R361" s="5"/>
      <c r="W361" s="5" t="s">
        <v>109</v>
      </c>
      <c r="X361" s="5"/>
      <c r="Y361" s="5"/>
      <c r="Z361" s="5"/>
    </row>
    <row r="362" spans="1:26" x14ac:dyDescent="0.3">
      <c r="A362" s="5">
        <v>2507060</v>
      </c>
      <c r="B362" s="15" t="s">
        <v>1751</v>
      </c>
      <c r="C362" s="25">
        <v>45881</v>
      </c>
      <c r="D362" s="5" t="s">
        <v>19</v>
      </c>
      <c r="E362" s="5" t="s">
        <v>206</v>
      </c>
      <c r="F362" s="5"/>
      <c r="G362" s="5" t="e" vm="11">
        <v>#VALUE!</v>
      </c>
      <c r="H362" s="5"/>
      <c r="I362" s="5">
        <v>60</v>
      </c>
      <c r="J362" s="5"/>
      <c r="K362" s="11">
        <v>55500</v>
      </c>
      <c r="M362" s="5" t="s">
        <v>125</v>
      </c>
      <c r="N362" s="5" t="s">
        <v>73</v>
      </c>
      <c r="R362" s="5"/>
      <c r="W362" s="5" t="s">
        <v>109</v>
      </c>
      <c r="X362" s="5"/>
      <c r="Y362" s="5"/>
      <c r="Z362" s="5"/>
    </row>
    <row r="363" spans="1:26" x14ac:dyDescent="0.3">
      <c r="A363" s="5">
        <v>2508858</v>
      </c>
      <c r="B363" s="20" t="s">
        <v>1752</v>
      </c>
      <c r="C363" s="25">
        <v>45895</v>
      </c>
      <c r="D363" s="5" t="s">
        <v>22</v>
      </c>
      <c r="E363" s="5" t="s">
        <v>71</v>
      </c>
      <c r="F363" s="5" t="s">
        <v>15</v>
      </c>
      <c r="G363" s="5" t="e" vm="5">
        <v>#VALUE!</v>
      </c>
      <c r="H363" s="5">
        <v>16.12</v>
      </c>
      <c r="I363" s="5"/>
      <c r="J363" s="5">
        <v>15</v>
      </c>
      <c r="K363" s="11">
        <v>49000</v>
      </c>
      <c r="L363" s="24">
        <v>1593</v>
      </c>
      <c r="M363" s="5" t="s">
        <v>125</v>
      </c>
      <c r="N363" s="5" t="s">
        <v>73</v>
      </c>
      <c r="O363" s="5" t="s">
        <v>1453</v>
      </c>
      <c r="P363" s="5">
        <v>26</v>
      </c>
      <c r="Q363" s="5" t="s">
        <v>1753</v>
      </c>
      <c r="R363" s="5"/>
      <c r="S363" s="5" t="s">
        <v>1754</v>
      </c>
      <c r="T363" s="20" t="s">
        <v>1755</v>
      </c>
      <c r="U363" s="5" t="s">
        <v>1756</v>
      </c>
      <c r="W363" s="5" t="s">
        <v>965</v>
      </c>
      <c r="X363" s="5" t="s">
        <v>1534</v>
      </c>
      <c r="Y363" s="5"/>
      <c r="Z363" s="5"/>
    </row>
    <row r="364" spans="1:26" x14ac:dyDescent="0.3">
      <c r="A364" s="5">
        <v>2507062</v>
      </c>
      <c r="B364" s="15" t="s">
        <v>1757</v>
      </c>
      <c r="C364" s="25">
        <v>45878</v>
      </c>
      <c r="D364" s="5" t="s">
        <v>20</v>
      </c>
      <c r="E364" s="5" t="s">
        <v>206</v>
      </c>
      <c r="F364" s="5"/>
      <c r="G364" s="5" t="e" vm="4">
        <v>#VALUE!</v>
      </c>
      <c r="H364" s="5"/>
      <c r="I364" s="5">
        <v>240</v>
      </c>
      <c r="J364" s="5"/>
      <c r="K364" s="11">
        <v>324360</v>
      </c>
      <c r="M364" s="5" t="s">
        <v>125</v>
      </c>
      <c r="N364" s="5" t="s">
        <v>73</v>
      </c>
      <c r="R364" s="5"/>
      <c r="W364" s="5" t="s">
        <v>109</v>
      </c>
      <c r="X364" s="5"/>
      <c r="Y364" s="5"/>
      <c r="Z364" s="5"/>
    </row>
    <row r="365" spans="1:26" x14ac:dyDescent="0.3">
      <c r="A365" s="5">
        <v>2509863</v>
      </c>
      <c r="B365" s="20" t="s">
        <v>1758</v>
      </c>
      <c r="C365" s="25">
        <v>45929</v>
      </c>
      <c r="D365" s="5" t="s">
        <v>22</v>
      </c>
      <c r="E365" s="5" t="s">
        <v>71</v>
      </c>
      <c r="F365" s="5" t="s">
        <v>15</v>
      </c>
      <c r="G365" s="5" t="e" vm="11">
        <v>#VALUE!</v>
      </c>
      <c r="H365" s="5">
        <v>9.92</v>
      </c>
      <c r="I365" s="5"/>
      <c r="J365" s="5"/>
      <c r="K365" s="11">
        <v>27000</v>
      </c>
      <c r="M365" s="5" t="s">
        <v>125</v>
      </c>
      <c r="N365" s="5" t="s">
        <v>73</v>
      </c>
      <c r="O365" s="5" t="s">
        <v>1453</v>
      </c>
      <c r="P365" s="5">
        <v>16</v>
      </c>
      <c r="Q365" s="5" t="s">
        <v>1759</v>
      </c>
      <c r="R365" s="5"/>
      <c r="S365" s="5" t="s">
        <v>1760</v>
      </c>
      <c r="T365" s="20" t="s">
        <v>1761</v>
      </c>
      <c r="U365" s="5" t="s">
        <v>1762</v>
      </c>
      <c r="W365" s="5" t="s">
        <v>109</v>
      </c>
      <c r="X365" s="5" t="s">
        <v>1534</v>
      </c>
      <c r="Y365" s="5"/>
      <c r="Z365" s="5"/>
    </row>
    <row r="366" spans="1:26" x14ac:dyDescent="0.3">
      <c r="A366" s="5">
        <v>2507840</v>
      </c>
      <c r="B366" s="15" t="s">
        <v>1763</v>
      </c>
      <c r="C366" s="25">
        <v>45919</v>
      </c>
      <c r="D366" s="5" t="s">
        <v>22</v>
      </c>
      <c r="E366" s="5" t="s">
        <v>71</v>
      </c>
      <c r="F366" s="5" t="s">
        <v>15</v>
      </c>
      <c r="G366" s="5" t="e" vm="11">
        <v>#VALUE!</v>
      </c>
      <c r="H366" s="5">
        <v>15.5</v>
      </c>
      <c r="I366" s="5"/>
      <c r="J366" s="5">
        <v>30</v>
      </c>
      <c r="K366" s="11">
        <v>63000</v>
      </c>
      <c r="M366" s="5" t="s">
        <v>1191</v>
      </c>
      <c r="N366" s="5" t="s">
        <v>73</v>
      </c>
      <c r="O366" s="5" t="s">
        <v>1453</v>
      </c>
      <c r="P366" s="5">
        <v>25</v>
      </c>
      <c r="Q366" s="5" t="s">
        <v>1753</v>
      </c>
      <c r="R366" s="5"/>
      <c r="T366" s="20" t="s">
        <v>1764</v>
      </c>
      <c r="W366" s="5" t="s">
        <v>109</v>
      </c>
      <c r="X366" s="5" t="s">
        <v>1534</v>
      </c>
      <c r="Y366" s="5"/>
      <c r="Z366" s="5"/>
    </row>
    <row r="367" spans="1:26" x14ac:dyDescent="0.3">
      <c r="A367" s="5">
        <v>2508857</v>
      </c>
      <c r="B367" s="20" t="s">
        <v>1765</v>
      </c>
      <c r="C367" s="25">
        <v>45940</v>
      </c>
      <c r="D367" s="5" t="s">
        <v>21</v>
      </c>
      <c r="E367" s="5" t="s">
        <v>71</v>
      </c>
      <c r="F367" s="5" t="s">
        <v>15</v>
      </c>
      <c r="G367" s="5" t="e" vm="5">
        <v>#VALUE!</v>
      </c>
      <c r="H367" s="5">
        <v>8.68</v>
      </c>
      <c r="I367" s="5"/>
      <c r="J367" s="5">
        <v>15</v>
      </c>
      <c r="K367" s="11">
        <v>49800</v>
      </c>
      <c r="M367" s="5" t="s">
        <v>125</v>
      </c>
      <c r="N367" s="5" t="s">
        <v>73</v>
      </c>
      <c r="O367" s="5" t="s">
        <v>1453</v>
      </c>
      <c r="P367" s="5">
        <v>14</v>
      </c>
      <c r="Q367" s="5" t="s">
        <v>1376</v>
      </c>
      <c r="R367" s="5"/>
      <c r="S367" s="5" t="s">
        <v>1766</v>
      </c>
      <c r="T367" s="20" t="s">
        <v>1767</v>
      </c>
      <c r="U367" s="5" t="s">
        <v>1768</v>
      </c>
      <c r="W367" s="5" t="s">
        <v>109</v>
      </c>
      <c r="X367" s="5" t="s">
        <v>1534</v>
      </c>
      <c r="Y367" s="5"/>
      <c r="Z367" s="5"/>
    </row>
    <row r="368" spans="1:26" x14ac:dyDescent="0.3">
      <c r="A368" s="5">
        <v>2305008</v>
      </c>
      <c r="B368" s="15" t="s">
        <v>1769</v>
      </c>
      <c r="C368" s="25">
        <v>45958</v>
      </c>
      <c r="D368" s="5" t="s">
        <v>22</v>
      </c>
      <c r="E368" s="5" t="s">
        <v>124</v>
      </c>
      <c r="F368" s="5" t="s">
        <v>15</v>
      </c>
      <c r="G368" s="5" t="e" vm="11">
        <v>#VALUE!</v>
      </c>
      <c r="H368" s="5">
        <v>17.98</v>
      </c>
      <c r="I368" s="5"/>
      <c r="J368" s="5">
        <v>30</v>
      </c>
      <c r="K368" s="11">
        <v>63773.58</v>
      </c>
      <c r="M368" s="5" t="s">
        <v>1191</v>
      </c>
      <c r="N368" s="5" t="s">
        <v>73</v>
      </c>
      <c r="O368" s="5" t="s">
        <v>1453</v>
      </c>
      <c r="P368" s="5">
        <v>29</v>
      </c>
      <c r="Q368" s="5" t="s">
        <v>1770</v>
      </c>
      <c r="R368" s="5"/>
      <c r="S368" s="5" t="s">
        <v>1771</v>
      </c>
      <c r="T368" s="20" t="s">
        <v>1772</v>
      </c>
      <c r="W368" s="5" t="s">
        <v>109</v>
      </c>
      <c r="X368" s="5" t="s">
        <v>1534</v>
      </c>
      <c r="Y368" s="5"/>
      <c r="Z368" s="5"/>
    </row>
    <row r="369" spans="1:26" x14ac:dyDescent="0.3">
      <c r="A369" s="5">
        <v>2508856</v>
      </c>
      <c r="B369" s="20" t="s">
        <v>1773</v>
      </c>
      <c r="C369" s="25">
        <v>45958</v>
      </c>
      <c r="D369" s="5" t="s">
        <v>21</v>
      </c>
      <c r="E369" s="5" t="s">
        <v>71</v>
      </c>
      <c r="F369" s="5" t="s">
        <v>15</v>
      </c>
      <c r="G369" s="5" t="e" vm="11">
        <v>#VALUE!</v>
      </c>
      <c r="H369" s="5">
        <v>18.600000000000001</v>
      </c>
      <c r="I369" s="5"/>
      <c r="J369" s="5">
        <v>29.95</v>
      </c>
      <c r="K369" s="11">
        <v>73500</v>
      </c>
      <c r="M369" s="5" t="s">
        <v>125</v>
      </c>
      <c r="N369" s="5" t="s">
        <v>73</v>
      </c>
      <c r="O369" s="5" t="s">
        <v>1453</v>
      </c>
      <c r="P369" s="5">
        <v>30</v>
      </c>
      <c r="Q369" s="5" t="s">
        <v>1774</v>
      </c>
      <c r="R369" s="5"/>
      <c r="S369" s="5" t="s">
        <v>1775</v>
      </c>
      <c r="T369" s="20" t="s">
        <v>1776</v>
      </c>
      <c r="U369" s="5" t="s">
        <v>1777</v>
      </c>
      <c r="W369" s="5" t="s">
        <v>109</v>
      </c>
      <c r="X369" s="5" t="s">
        <v>1534</v>
      </c>
      <c r="Y369" s="5"/>
      <c r="Z369" s="5"/>
    </row>
    <row r="370" spans="1:26" x14ac:dyDescent="0.3">
      <c r="A370" s="5">
        <v>2510877</v>
      </c>
      <c r="B370" s="15" t="s">
        <v>1778</v>
      </c>
      <c r="C370" s="25">
        <v>45964</v>
      </c>
      <c r="D370" s="5" t="s">
        <v>22</v>
      </c>
      <c r="E370" s="5" t="s">
        <v>71</v>
      </c>
      <c r="F370" s="5" t="s">
        <v>15</v>
      </c>
      <c r="G370" s="5" t="e" vm="10">
        <v>#VALUE!</v>
      </c>
      <c r="H370" s="5">
        <v>9.92</v>
      </c>
      <c r="I370" s="5"/>
      <c r="J370" s="5"/>
      <c r="K370" s="11">
        <v>28500</v>
      </c>
      <c r="M370" s="5" t="s">
        <v>125</v>
      </c>
      <c r="N370" s="5" t="s">
        <v>73</v>
      </c>
      <c r="O370" s="5" t="s">
        <v>1453</v>
      </c>
      <c r="P370" s="5">
        <v>16</v>
      </c>
      <c r="Q370" s="5" t="s">
        <v>1376</v>
      </c>
      <c r="R370" s="5"/>
      <c r="S370" s="5" t="s">
        <v>1779</v>
      </c>
      <c r="T370" s="20" t="s">
        <v>1780</v>
      </c>
      <c r="U370" s="5" t="s">
        <v>1781</v>
      </c>
      <c r="W370" s="5" t="s">
        <v>109</v>
      </c>
      <c r="X370" s="5" t="s">
        <v>1534</v>
      </c>
      <c r="Y370" s="5"/>
      <c r="Z370" s="5"/>
    </row>
    <row r="371" spans="1:26" x14ac:dyDescent="0.3">
      <c r="A371" s="5">
        <v>2511887</v>
      </c>
      <c r="B371" s="20" t="s">
        <v>1782</v>
      </c>
      <c r="C371" s="25">
        <v>45970</v>
      </c>
      <c r="D371" s="5" t="s">
        <v>22</v>
      </c>
      <c r="E371" s="5" t="s">
        <v>71</v>
      </c>
      <c r="F371" s="5" t="s">
        <v>15</v>
      </c>
      <c r="G371" s="5" t="e" vm="11">
        <v>#VALUE!</v>
      </c>
      <c r="H371" s="5">
        <v>12.4</v>
      </c>
      <c r="I371" s="5"/>
      <c r="J371" s="5"/>
      <c r="K371" s="11">
        <v>29000</v>
      </c>
      <c r="M371" s="5" t="s">
        <v>125</v>
      </c>
      <c r="N371" s="5" t="s">
        <v>73</v>
      </c>
      <c r="O371" s="5" t="s">
        <v>1453</v>
      </c>
      <c r="P371" s="5">
        <v>19</v>
      </c>
      <c r="Q371" s="5" t="s">
        <v>1783</v>
      </c>
      <c r="R371" s="5"/>
      <c r="S371" s="5" t="s">
        <v>1784</v>
      </c>
      <c r="T371" s="20" t="s">
        <v>1785</v>
      </c>
      <c r="U371" s="5" t="s">
        <v>1786</v>
      </c>
      <c r="W371" s="5" t="s">
        <v>109</v>
      </c>
      <c r="X371" s="5" t="s">
        <v>1534</v>
      </c>
      <c r="Y371" s="5"/>
      <c r="Z371" s="5"/>
    </row>
    <row r="372" spans="1:26" x14ac:dyDescent="0.3">
      <c r="A372" s="5">
        <v>2305019</v>
      </c>
      <c r="B372" s="15" t="s">
        <v>1787</v>
      </c>
      <c r="C372" s="25">
        <v>45960</v>
      </c>
      <c r="D372" s="5" t="s">
        <v>20</v>
      </c>
      <c r="E372" s="5" t="s">
        <v>71</v>
      </c>
      <c r="F372" s="5" t="s">
        <v>15</v>
      </c>
      <c r="G372" s="5" t="e" vm="5">
        <v>#VALUE!</v>
      </c>
      <c r="H372" s="5">
        <v>15.5</v>
      </c>
      <c r="I372" s="5"/>
      <c r="J372" s="5">
        <v>29.95</v>
      </c>
      <c r="K372" s="11">
        <v>60000</v>
      </c>
      <c r="M372" s="5" t="s">
        <v>125</v>
      </c>
      <c r="N372" s="5" t="s">
        <v>73</v>
      </c>
      <c r="O372" s="5" t="s">
        <v>1453</v>
      </c>
      <c r="P372" s="5">
        <v>25</v>
      </c>
      <c r="Q372" s="5" t="s">
        <v>1774</v>
      </c>
      <c r="R372" s="5"/>
      <c r="S372" s="5" t="s">
        <v>1788</v>
      </c>
      <c r="T372" s="20" t="s">
        <v>1789</v>
      </c>
      <c r="U372" s="5" t="s">
        <v>1790</v>
      </c>
      <c r="W372" s="5" t="s">
        <v>109</v>
      </c>
      <c r="X372" s="5" t="s">
        <v>1534</v>
      </c>
      <c r="Y372" s="5"/>
      <c r="Z372" s="5"/>
    </row>
    <row r="373" spans="1:26" x14ac:dyDescent="0.3">
      <c r="A373" s="5"/>
      <c r="B373" s="20"/>
      <c r="C373" s="25"/>
      <c r="D373" s="5"/>
      <c r="E373" s="5"/>
      <c r="F373" s="5"/>
      <c r="G373" s="5"/>
      <c r="H373" s="5"/>
      <c r="I373" s="5"/>
      <c r="J373" s="5"/>
      <c r="K373" s="11"/>
      <c r="M373" s="5"/>
      <c r="N373" s="5"/>
      <c r="R373" s="5"/>
      <c r="W373" s="5"/>
      <c r="X373" s="5"/>
      <c r="Y373" s="5"/>
      <c r="Z373" s="5"/>
    </row>
    <row r="374" spans="1:26" x14ac:dyDescent="0.3">
      <c r="A374" s="5"/>
      <c r="C374" s="25"/>
      <c r="D374" s="5"/>
      <c r="E374" s="5"/>
      <c r="F374" s="5"/>
      <c r="G374" s="5"/>
      <c r="H374" s="5"/>
      <c r="I374" s="5"/>
      <c r="J374" s="5"/>
      <c r="K374" s="11"/>
      <c r="M374" s="5"/>
      <c r="N374" s="5"/>
      <c r="R374" s="5"/>
      <c r="W374" s="5"/>
      <c r="X374" s="5"/>
      <c r="Y374" s="5"/>
      <c r="Z374" s="5"/>
    </row>
    <row r="375" spans="1:26" x14ac:dyDescent="0.3">
      <c r="A375" s="5"/>
      <c r="B375" s="20"/>
      <c r="C375" s="25"/>
      <c r="D375" s="5"/>
      <c r="E375" s="5"/>
      <c r="F375" s="5"/>
      <c r="G375" s="5"/>
      <c r="H375" s="5"/>
      <c r="I375" s="5"/>
      <c r="J375" s="5"/>
      <c r="K375" s="11"/>
      <c r="M375" s="5"/>
      <c r="N375" s="5"/>
      <c r="R375" s="5"/>
      <c r="W375" s="5"/>
      <c r="X375" s="5"/>
      <c r="Y375" s="5"/>
      <c r="Z375" s="5"/>
    </row>
    <row r="376" spans="1:26" x14ac:dyDescent="0.3">
      <c r="A376" s="5"/>
      <c r="C376" s="25"/>
      <c r="D376" s="5"/>
      <c r="E376" s="5"/>
      <c r="F376" s="5"/>
      <c r="G376" s="5"/>
      <c r="H376" s="5"/>
      <c r="I376" s="5"/>
      <c r="J376" s="5"/>
      <c r="K376" s="11"/>
      <c r="M376" s="5"/>
      <c r="N376" s="5"/>
      <c r="R376" s="5"/>
      <c r="W376" s="5"/>
      <c r="X376" s="5"/>
      <c r="Y376" s="5"/>
      <c r="Z376" s="5"/>
    </row>
    <row r="377" spans="1:26" x14ac:dyDescent="0.3">
      <c r="A377" s="5"/>
      <c r="B377" s="20"/>
      <c r="C377" s="25"/>
      <c r="D377" s="5"/>
      <c r="E377" s="5"/>
      <c r="F377" s="5"/>
      <c r="G377" s="5"/>
      <c r="H377" s="5"/>
      <c r="I377" s="5"/>
      <c r="J377" s="5"/>
      <c r="K377" s="11"/>
      <c r="M377" s="5"/>
      <c r="N377" s="5"/>
      <c r="R377" s="5"/>
      <c r="W377" s="5"/>
      <c r="X377" s="5"/>
      <c r="Y377" s="5"/>
      <c r="Z377" s="5"/>
    </row>
    <row r="378" spans="1:26" x14ac:dyDescent="0.3">
      <c r="A378" s="5"/>
      <c r="C378" s="25"/>
      <c r="D378" s="5"/>
      <c r="E378" s="5"/>
      <c r="F378" s="5"/>
      <c r="G378" s="5"/>
      <c r="H378" s="5"/>
      <c r="I378" s="5"/>
      <c r="J378" s="5"/>
      <c r="K378" s="11"/>
      <c r="M378" s="5"/>
      <c r="N378" s="5"/>
      <c r="R378" s="5"/>
      <c r="W378" s="5"/>
      <c r="X378" s="5"/>
      <c r="Y378" s="5"/>
      <c r="Z378" s="5"/>
    </row>
    <row r="379" spans="1:26" x14ac:dyDescent="0.3">
      <c r="A379" s="5"/>
      <c r="B379" s="20"/>
      <c r="C379" s="25"/>
      <c r="D379" s="5"/>
      <c r="E379" s="5"/>
      <c r="F379" s="5"/>
      <c r="G379" s="5"/>
      <c r="H379" s="5"/>
      <c r="I379" s="5"/>
      <c r="J379" s="5"/>
      <c r="K379" s="11"/>
      <c r="M379" s="5"/>
      <c r="N379" s="5"/>
      <c r="R379" s="5"/>
      <c r="W379" s="5"/>
      <c r="X379" s="5"/>
      <c r="Y379" s="5"/>
      <c r="Z379" s="5"/>
    </row>
    <row r="380" spans="1:26" x14ac:dyDescent="0.3">
      <c r="A380" s="5"/>
      <c r="C380" s="25"/>
      <c r="D380" s="5"/>
      <c r="E380" s="5"/>
      <c r="F380" s="5"/>
      <c r="G380" s="5"/>
      <c r="H380" s="5"/>
      <c r="I380" s="5"/>
      <c r="J380" s="5"/>
      <c r="K380" s="11"/>
      <c r="M380" s="5"/>
      <c r="N380" s="5"/>
      <c r="R380" s="5"/>
      <c r="W380" s="5"/>
      <c r="X380" s="5"/>
      <c r="Y380" s="5"/>
      <c r="Z380" s="5"/>
    </row>
    <row r="381" spans="1:26" x14ac:dyDescent="0.3">
      <c r="A381" s="5"/>
      <c r="B381" s="20"/>
      <c r="C381" s="25"/>
      <c r="D381" s="5"/>
      <c r="E381" s="5"/>
      <c r="F381" s="5"/>
      <c r="G381" s="5"/>
      <c r="H381" s="5"/>
      <c r="I381" s="5"/>
      <c r="J381" s="5"/>
      <c r="K381" s="11"/>
      <c r="M381" s="5"/>
      <c r="N381" s="5"/>
      <c r="R381" s="5"/>
      <c r="W381" s="5"/>
      <c r="X381" s="5"/>
      <c r="Y381" s="5"/>
      <c r="Z381" s="5"/>
    </row>
    <row r="382" spans="1:26" x14ac:dyDescent="0.3">
      <c r="A382" s="5"/>
      <c r="C382" s="25"/>
      <c r="D382" s="5"/>
      <c r="E382" s="5"/>
      <c r="F382" s="5"/>
      <c r="G382" s="5"/>
      <c r="H382" s="5"/>
      <c r="I382" s="5"/>
      <c r="J382" s="5"/>
      <c r="K382" s="11"/>
      <c r="M382" s="5"/>
      <c r="N382" s="5"/>
      <c r="R382" s="5"/>
      <c r="W382" s="5"/>
      <c r="X382" s="5"/>
      <c r="Y382" s="5"/>
      <c r="Z382" s="5"/>
    </row>
    <row r="383" spans="1:26" x14ac:dyDescent="0.3">
      <c r="A383" s="5"/>
      <c r="B383" s="20"/>
      <c r="C383" s="25"/>
      <c r="D383" s="5"/>
      <c r="E383" s="5"/>
      <c r="F383" s="5"/>
      <c r="G383" s="5"/>
      <c r="H383" s="5"/>
      <c r="I383" s="5"/>
      <c r="J383" s="5"/>
      <c r="K383" s="11"/>
      <c r="M383" s="5"/>
      <c r="N383" s="5"/>
      <c r="R383" s="5"/>
      <c r="W383" s="5"/>
      <c r="X383" s="5"/>
      <c r="Y383" s="5"/>
      <c r="Z383" s="5"/>
    </row>
    <row r="384" spans="1:26" x14ac:dyDescent="0.3">
      <c r="A384" s="5"/>
      <c r="C384" s="25"/>
      <c r="D384" s="5"/>
      <c r="E384" s="5"/>
      <c r="F384" s="5"/>
      <c r="G384" s="5"/>
      <c r="H384" s="5"/>
      <c r="I384" s="5"/>
      <c r="J384" s="5"/>
      <c r="K384" s="11"/>
      <c r="M384" s="5"/>
      <c r="N384" s="5"/>
      <c r="R384" s="5"/>
      <c r="W384" s="5"/>
      <c r="X384" s="5"/>
      <c r="Y384" s="5"/>
      <c r="Z384" s="5"/>
    </row>
    <row r="385" spans="1:26" x14ac:dyDescent="0.3">
      <c r="A385" s="5"/>
      <c r="B385" s="20"/>
      <c r="C385" s="25"/>
      <c r="D385" s="5"/>
      <c r="E385" s="5"/>
      <c r="F385" s="5"/>
      <c r="G385" s="5"/>
      <c r="H385" s="5"/>
      <c r="I385" s="5"/>
      <c r="J385" s="5"/>
      <c r="K385" s="11"/>
      <c r="M385" s="5"/>
      <c r="N385" s="5"/>
      <c r="R385" s="5"/>
      <c r="W385" s="5"/>
      <c r="X385" s="5"/>
      <c r="Y385" s="5"/>
      <c r="Z385" s="5"/>
    </row>
    <row r="386" spans="1:26" x14ac:dyDescent="0.3">
      <c r="A386" s="5"/>
      <c r="C386" s="25"/>
      <c r="D386" s="5"/>
      <c r="E386" s="5"/>
      <c r="F386" s="5"/>
      <c r="G386" s="5"/>
      <c r="H386" s="5"/>
      <c r="I386" s="5"/>
      <c r="J386" s="5"/>
      <c r="K386" s="11"/>
      <c r="M386" s="5"/>
      <c r="N386" s="5"/>
      <c r="R386" s="5"/>
      <c r="W386" s="5"/>
      <c r="X386" s="5"/>
      <c r="Y386" s="5"/>
      <c r="Z386" s="5"/>
    </row>
    <row r="387" spans="1:26" x14ac:dyDescent="0.3">
      <c r="A387" s="5"/>
      <c r="B387" s="20"/>
      <c r="C387" s="25"/>
      <c r="D387" s="5"/>
      <c r="E387" s="5"/>
      <c r="F387" s="5"/>
      <c r="G387" s="5"/>
      <c r="H387" s="5"/>
      <c r="I387" s="5"/>
      <c r="J387" s="5"/>
      <c r="K387" s="11"/>
      <c r="M387" s="5"/>
      <c r="N387" s="5"/>
      <c r="R387" s="5"/>
      <c r="W387" s="5"/>
      <c r="X387" s="5"/>
      <c r="Y387" s="5"/>
      <c r="Z387" s="5"/>
    </row>
    <row r="388" spans="1:26" x14ac:dyDescent="0.3">
      <c r="A388" s="5"/>
      <c r="C388" s="25"/>
      <c r="D388" s="5"/>
      <c r="E388" s="5"/>
      <c r="F388" s="5"/>
      <c r="G388" s="5"/>
      <c r="H388" s="5"/>
      <c r="I388" s="5"/>
      <c r="J388" s="5"/>
      <c r="K388" s="11"/>
      <c r="M388" s="5"/>
      <c r="N388" s="5"/>
      <c r="R388" s="5"/>
      <c r="W388" s="5"/>
      <c r="X388" s="5"/>
      <c r="Y388" s="5"/>
      <c r="Z388" s="5"/>
    </row>
    <row r="389" spans="1:26" x14ac:dyDescent="0.3">
      <c r="A389" s="5"/>
      <c r="B389" s="20"/>
      <c r="C389" s="25"/>
      <c r="D389" s="5"/>
      <c r="E389" s="5"/>
      <c r="F389" s="5"/>
      <c r="G389" s="5"/>
      <c r="H389" s="5"/>
      <c r="I389" s="5"/>
      <c r="J389" s="5"/>
      <c r="K389" s="11"/>
      <c r="M389" s="5"/>
      <c r="N389" s="5"/>
      <c r="R389" s="5"/>
      <c r="W389" s="5"/>
      <c r="X389" s="5"/>
      <c r="Y389" s="5"/>
      <c r="Z389" s="5"/>
    </row>
    <row r="390" spans="1:26" x14ac:dyDescent="0.3">
      <c r="A390" s="5"/>
      <c r="C390" s="25"/>
      <c r="D390" s="5"/>
      <c r="E390" s="5"/>
      <c r="F390" s="5"/>
      <c r="G390" s="5"/>
      <c r="H390" s="5"/>
      <c r="I390" s="5"/>
      <c r="J390" s="5"/>
      <c r="K390" s="11"/>
      <c r="M390" s="5"/>
      <c r="N390" s="5"/>
      <c r="R390" s="5"/>
      <c r="W390" s="5"/>
      <c r="X390" s="5"/>
      <c r="Y390" s="5"/>
      <c r="Z390" s="5"/>
    </row>
    <row r="391" spans="1:26" x14ac:dyDescent="0.3">
      <c r="A391" s="5"/>
      <c r="B391" s="20"/>
      <c r="C391" s="25"/>
      <c r="D391" s="5"/>
      <c r="E391" s="5"/>
      <c r="F391" s="5"/>
      <c r="G391" s="5"/>
      <c r="H391" s="5"/>
      <c r="I391" s="5"/>
      <c r="J391" s="5"/>
      <c r="K391" s="11"/>
      <c r="M391" s="5"/>
      <c r="N391" s="5"/>
      <c r="R391" s="5"/>
      <c r="W391" s="5"/>
      <c r="X391" s="5"/>
      <c r="Y391" s="5"/>
      <c r="Z391" s="5"/>
    </row>
    <row r="392" spans="1:26" x14ac:dyDescent="0.3">
      <c r="A392" s="5"/>
      <c r="C392" s="25"/>
      <c r="D392" s="5"/>
      <c r="E392" s="5"/>
      <c r="F392" s="5"/>
      <c r="G392" s="5"/>
      <c r="H392" s="5"/>
      <c r="I392" s="5"/>
      <c r="J392" s="5"/>
      <c r="K392" s="11"/>
      <c r="M392" s="5"/>
      <c r="N392" s="5"/>
      <c r="R392" s="5"/>
      <c r="W392" s="5"/>
      <c r="X392" s="5"/>
      <c r="Y392" s="5"/>
      <c r="Z392" s="5"/>
    </row>
    <row r="393" spans="1:26" x14ac:dyDescent="0.3">
      <c r="A393" s="5"/>
      <c r="B393" s="20"/>
      <c r="C393" s="25"/>
      <c r="D393" s="5"/>
      <c r="E393" s="5"/>
      <c r="F393" s="5"/>
      <c r="G393" s="5"/>
      <c r="H393" s="5"/>
      <c r="I393" s="5"/>
      <c r="J393" s="5"/>
      <c r="K393" s="11"/>
      <c r="M393" s="5"/>
      <c r="N393" s="5"/>
      <c r="R393" s="5"/>
      <c r="W393" s="5"/>
      <c r="X393" s="5"/>
      <c r="Y393" s="5"/>
      <c r="Z393" s="5"/>
    </row>
    <row r="394" spans="1:26" x14ac:dyDescent="0.3">
      <c r="A394" s="5"/>
      <c r="C394" s="25"/>
      <c r="D394" s="5"/>
      <c r="E394" s="5"/>
      <c r="F394" s="5"/>
      <c r="G394" s="5"/>
      <c r="H394" s="5"/>
      <c r="I394" s="5"/>
      <c r="J394" s="5"/>
      <c r="K394" s="11"/>
      <c r="M394" s="5"/>
      <c r="N394" s="5"/>
      <c r="R394" s="5"/>
      <c r="W394" s="5"/>
      <c r="X394" s="5"/>
      <c r="Y394" s="5"/>
      <c r="Z394" s="5"/>
    </row>
    <row r="395" spans="1:26" x14ac:dyDescent="0.3">
      <c r="A395" s="5"/>
      <c r="B395" s="20"/>
      <c r="C395" s="25"/>
      <c r="D395" s="5"/>
      <c r="E395" s="5"/>
      <c r="F395" s="5"/>
      <c r="G395" s="5"/>
      <c r="H395" s="5"/>
      <c r="I395" s="5"/>
      <c r="J395" s="5"/>
      <c r="K395" s="11"/>
      <c r="M395" s="5"/>
      <c r="N395" s="5"/>
      <c r="R395" s="5"/>
      <c r="W395" s="5"/>
      <c r="X395" s="5"/>
      <c r="Y395" s="5"/>
      <c r="Z395" s="5"/>
    </row>
  </sheetData>
  <phoneticPr fontId="4" type="noConversion"/>
  <conditionalFormatting sqref="O9:S9 R11:S11 R17:S17">
    <cfRule type="expression" dxfId="42" priority="41">
      <formula>$D9="01. Installation Completed"</formula>
    </cfRule>
  </conditionalFormatting>
  <conditionalFormatting sqref="O11:Q11">
    <cfRule type="expression" dxfId="41" priority="40">
      <formula>$D11="01. Installation Completed"</formula>
    </cfRule>
  </conditionalFormatting>
  <conditionalFormatting sqref="O17:Q17">
    <cfRule type="expression" dxfId="40" priority="39">
      <formula>$D17="01. Installation Completed"</formula>
    </cfRule>
  </conditionalFormatting>
  <conditionalFormatting sqref="O115:Q119 Q120 R115:S120 Q162:R163 R122:S122 R124:S124 R127 R131:R132 R143 R150:R152 R157 R159 Q196 R137:R139 Q137:Q138">
    <cfRule type="expression" dxfId="39" priority="42">
      <formula>$D114="01. Installation Completed"</formula>
    </cfRule>
  </conditionalFormatting>
  <conditionalFormatting sqref="Q122">
    <cfRule type="expression" dxfId="38" priority="37">
      <formula>$D121="01. Installation Completed"</formula>
    </cfRule>
  </conditionalFormatting>
  <conditionalFormatting sqref="Q124">
    <cfRule type="expression" dxfId="37" priority="36">
      <formula>$D123="01. Installation Completed"</formula>
    </cfRule>
  </conditionalFormatting>
  <conditionalFormatting sqref="Q127">
    <cfRule type="expression" dxfId="36" priority="35">
      <formula>$D126="01. Installation Completed"</formula>
    </cfRule>
  </conditionalFormatting>
  <conditionalFormatting sqref="Q131:Q132">
    <cfRule type="expression" dxfId="35" priority="34">
      <formula>$D130="01. Installation Completed"</formula>
    </cfRule>
  </conditionalFormatting>
  <conditionalFormatting sqref="Q139">
    <cfRule type="expression" dxfId="34" priority="32">
      <formula>$D138="01. Installation Completed"</formula>
    </cfRule>
  </conditionalFormatting>
  <conditionalFormatting sqref="Q143">
    <cfRule type="expression" dxfId="33" priority="31">
      <formula>$D142="01. Installation Completed"</formula>
    </cfRule>
  </conditionalFormatting>
  <conditionalFormatting sqref="Q184:Q185 Q246:Q248 Q250:Q252">
    <cfRule type="expression" dxfId="32" priority="30">
      <formula>$D172="01. Installation Completed"</formula>
    </cfRule>
  </conditionalFormatting>
  <conditionalFormatting sqref="Q150">
    <cfRule type="expression" dxfId="31" priority="27">
      <formula>$D149="01. Installation Completed"</formula>
    </cfRule>
  </conditionalFormatting>
  <conditionalFormatting sqref="Q151">
    <cfRule type="expression" dxfId="30" priority="26">
      <formula>$D150="01. Installation Completed"</formula>
    </cfRule>
  </conditionalFormatting>
  <conditionalFormatting sqref="Q152">
    <cfRule type="expression" dxfId="29" priority="25">
      <formula>$D151="01. Installation Completed"</formula>
    </cfRule>
  </conditionalFormatting>
  <conditionalFormatting sqref="Q157">
    <cfRule type="expression" dxfId="28" priority="24">
      <formula>$D156="01. Installation Completed"</formula>
    </cfRule>
  </conditionalFormatting>
  <conditionalFormatting sqref="Q159">
    <cfRule type="expression" dxfId="27" priority="23">
      <formula>$D158="01. Installation Completed"</formula>
    </cfRule>
  </conditionalFormatting>
  <conditionalFormatting sqref="Q181">
    <cfRule type="expression" dxfId="26" priority="22">
      <formula>$D167="01. Installation Completed"</formula>
    </cfRule>
  </conditionalFormatting>
  <conditionalFormatting sqref="Q188">
    <cfRule type="expression" dxfId="25" priority="20">
      <formula>$D187="01. Installation Completed"</formula>
    </cfRule>
  </conditionalFormatting>
  <conditionalFormatting sqref="Q192">
    <cfRule type="expression" dxfId="24" priority="19">
      <formula>$D191="01. Installation Completed"</formula>
    </cfRule>
  </conditionalFormatting>
  <conditionalFormatting sqref="Q136:R136">
    <cfRule type="expression" dxfId="23" priority="43">
      <formula>$D134="01. Installation Completed"</formula>
    </cfRule>
  </conditionalFormatting>
  <conditionalFormatting sqref="Q208 Q160:R160">
    <cfRule type="expression" dxfId="22" priority="17">
      <formula>$D147="01. Installation Completed"</formula>
    </cfRule>
  </conditionalFormatting>
  <conditionalFormatting sqref="Q206">
    <cfRule type="expression" dxfId="21" priority="16">
      <formula>$D194="01. Installation Completed"</formula>
    </cfRule>
  </conditionalFormatting>
  <conditionalFormatting sqref="Q222">
    <cfRule type="expression" dxfId="20" priority="15">
      <formula>$D210="01. Installation Completed"</formula>
    </cfRule>
  </conditionalFormatting>
  <conditionalFormatting sqref="Q228:Q229">
    <cfRule type="expression" dxfId="19" priority="14">
      <formula>$D216="01. Installation Completed"</formula>
    </cfRule>
  </conditionalFormatting>
  <conditionalFormatting sqref="Q148">
    <cfRule type="expression" dxfId="18" priority="13">
      <formula>$D147="01. Installation Completed"</formula>
    </cfRule>
  </conditionalFormatting>
  <conditionalFormatting sqref="Q233">
    <cfRule type="expression" dxfId="17" priority="12">
      <formula>$D220="01. Installation Completed"</formula>
    </cfRule>
  </conditionalFormatting>
  <conditionalFormatting sqref="Q238">
    <cfRule type="expression" dxfId="16" priority="11">
      <formula>$D226="01. Installation Completed"</formula>
    </cfRule>
  </conditionalFormatting>
  <conditionalFormatting sqref="Q242">
    <cfRule type="expression" dxfId="15" priority="10">
      <formula>$D230="01. Installation Completed"</formula>
    </cfRule>
  </conditionalFormatting>
  <conditionalFormatting sqref="Q292">
    <cfRule type="expression" dxfId="14" priority="45">
      <formula>$D270="01. Installation Completed"</formula>
    </cfRule>
  </conditionalFormatting>
  <conditionalFormatting sqref="Q254">
    <cfRule type="expression" dxfId="13" priority="49">
      <formula>$D238="01. Installation Completed"</formula>
    </cfRule>
  </conditionalFormatting>
  <conditionalFormatting sqref="Q259">
    <cfRule type="expression" dxfId="12" priority="8">
      <formula>$D246="01. Installation Completed"</formula>
    </cfRule>
  </conditionalFormatting>
  <conditionalFormatting sqref="Q255:Q256">
    <cfRule type="expression" dxfId="11" priority="7">
      <formula>$D242="01. Installation Completed"</formula>
    </cfRule>
  </conditionalFormatting>
  <conditionalFormatting sqref="Q260">
    <cfRule type="expression" dxfId="10" priority="6">
      <formula>$D247="01. Installation Completed"</formula>
    </cfRule>
  </conditionalFormatting>
  <conditionalFormatting sqref="Q262">
    <cfRule type="expression" dxfId="9" priority="5">
      <formula>$D249="01. Installation Completed"</formula>
    </cfRule>
  </conditionalFormatting>
  <conditionalFormatting sqref="Q269:Q271">
    <cfRule type="expression" dxfId="8" priority="4">
      <formula>$D256="01. Installation Completed"</formula>
    </cfRule>
  </conditionalFormatting>
  <conditionalFormatting sqref="Q286">
    <cfRule type="expression" dxfId="7" priority="3">
      <formula>$D273="01. Installation Completed"</formula>
    </cfRule>
  </conditionalFormatting>
  <conditionalFormatting sqref="Q293:Q294">
    <cfRule type="expression" dxfId="6" priority="2">
      <formula>$D281="01. Installation Completed"</formula>
    </cfRule>
  </conditionalFormatting>
  <conditionalFormatting sqref="Q311">
    <cfRule type="expression" dxfId="5" priority="1">
      <formula>$D299="01. Installation Completed"</formula>
    </cfRule>
  </conditionalFormatting>
  <hyperlinks>
    <hyperlink ref="V120" r:id="rId1" xr:uid="{89B1ADB9-EC56-4EC6-9A4B-A537B9FBF924}"/>
    <hyperlink ref="V123" r:id="rId2" xr:uid="{8E2590AF-C2F0-4622-8464-DB7EFC568109}"/>
    <hyperlink ref="V124" r:id="rId3" xr:uid="{C5BA0F6B-F00F-49A4-8768-F208C484EA94}"/>
    <hyperlink ref="V122" r:id="rId4" xr:uid="{F6ECCC43-4180-4E30-92F5-9D706642D715}"/>
    <hyperlink ref="V125" r:id="rId5" xr:uid="{2AF9F1C4-3A58-41D5-ACCD-1ABA2831B73E}"/>
    <hyperlink ref="V126" r:id="rId6" xr:uid="{44F817E2-8BE0-4834-A785-020701A84454}"/>
    <hyperlink ref="V127" r:id="rId7" xr:uid="{7F35959E-8578-4D31-878E-F0B25119956F}"/>
    <hyperlink ref="V128" r:id="rId8" xr:uid="{D8E3A607-3C16-4111-BC61-B429F8D71BB8}"/>
    <hyperlink ref="V129" r:id="rId9" xr:uid="{522BA188-6E73-4B5C-92EF-F6401AADF114}"/>
    <hyperlink ref="V130" r:id="rId10" xr:uid="{C0C391D4-43C0-425B-BDF4-621E5F83EF38}"/>
    <hyperlink ref="V136" r:id="rId11" xr:uid="{34BD6BB9-9171-4621-B094-CC73C8D36F0D}"/>
    <hyperlink ref="V137" r:id="rId12" xr:uid="{CAA7E21B-E8A8-44CE-8DA4-305BF0972C96}"/>
    <hyperlink ref="V140" r:id="rId13" xr:uid="{165AC6D1-3277-48B2-A567-93B9DFADE837}"/>
    <hyperlink ref="V143" r:id="rId14" xr:uid="{77C56BC3-9FAD-4DD7-9518-714C85601F47}"/>
    <hyperlink ref="V144" r:id="rId15" xr:uid="{DE009BB6-1E60-449E-A7F6-277FC9F66EBE}"/>
    <hyperlink ref="V146" r:id="rId16" xr:uid="{F004CB49-15C8-4FC9-B434-E5CF414D7817}"/>
    <hyperlink ref="V147" r:id="rId17" xr:uid="{34B956BF-29E5-4F49-90A5-AC5EB7C44D92}"/>
    <hyperlink ref="V160" r:id="rId18" xr:uid="{954A4CB8-5C1B-4602-ADC8-30C32774A886}"/>
    <hyperlink ref="V161" r:id="rId19" xr:uid="{9737BF40-59C1-4C33-8B9C-6B9707C66689}"/>
    <hyperlink ref="V162" r:id="rId20" xr:uid="{15EFAF2A-2868-4B2D-B8A9-66B65F94222C}"/>
    <hyperlink ref="V163" r:id="rId21" xr:uid="{39CA9FBC-B567-499E-91FD-E4709658D606}"/>
    <hyperlink ref="V164" r:id="rId22" xr:uid="{E25A6BDA-9F08-400C-AA17-478173710BE8}"/>
    <hyperlink ref="V165" r:id="rId23" xr:uid="{3041C5D0-7FF8-465B-B61C-705E16464FD8}"/>
    <hyperlink ref="V152" r:id="rId24" xr:uid="{FE21E2F0-BE8B-4057-9916-47E3DDF101EF}"/>
    <hyperlink ref="V153" r:id="rId25" xr:uid="{A5FD7040-57BA-4BD5-BB90-A52835A04B78}"/>
    <hyperlink ref="V155" r:id="rId26" xr:uid="{9AEFB438-8320-461C-956D-A7200E80D559}"/>
    <hyperlink ref="V156" r:id="rId27" xr:uid="{320C31ED-FED5-4370-8B25-A78E04FD89BC}"/>
    <hyperlink ref="V17" r:id="rId28" xr:uid="{1CF57439-70ED-4552-9052-B955C345AEF1}"/>
    <hyperlink ref="V18" r:id="rId29" xr:uid="{D79E64B6-1869-4104-BF89-EB6B4D1B4F09}"/>
    <hyperlink ref="V20" r:id="rId30" xr:uid="{37BFD1CD-42C8-49F0-A257-3737550D8573}"/>
    <hyperlink ref="V21" r:id="rId31" xr:uid="{8ECCEB55-FB52-4C94-B9EE-364CB6443106}"/>
    <hyperlink ref="V22" r:id="rId32" xr:uid="{223A9C1C-2D94-4ADF-8681-D94D6F455B69}"/>
    <hyperlink ref="V30" r:id="rId33" xr:uid="{EBE20CB2-57A4-486C-AA2B-FA29FEB9E2B3}"/>
    <hyperlink ref="V31" r:id="rId34" xr:uid="{7F22B26F-CA5F-4420-BEFF-0E3BC825FB04}"/>
    <hyperlink ref="V34" r:id="rId35" xr:uid="{77883A16-1ACF-4C4A-9E18-7FD3EDD37C81}"/>
    <hyperlink ref="V35" r:id="rId36" xr:uid="{9212D770-7000-415C-B5FF-9BBB40096C9A}"/>
    <hyperlink ref="V36" r:id="rId37" xr:uid="{0C1B4394-DC7A-444D-AD51-0112C04C65D5}"/>
    <hyperlink ref="V39" r:id="rId38" xr:uid="{A2C92CB5-7987-455A-BD91-0077D7C8F4D2}"/>
    <hyperlink ref="V41" r:id="rId39" xr:uid="{C597F7FF-07CB-49C5-AB6C-9CF2433E2EA6}"/>
    <hyperlink ref="V46" r:id="rId40" xr:uid="{D45416AB-4189-4549-AB87-457E0A6ACD24}"/>
    <hyperlink ref="V45" r:id="rId41" xr:uid="{9525237A-60C6-41FA-88E5-8F0833D700D1}"/>
    <hyperlink ref="V44" r:id="rId42" xr:uid="{B6300DB2-041A-4301-9A36-A5C3B4725FFA}"/>
    <hyperlink ref="V43" r:id="rId43" xr:uid="{E122A1DA-BF12-4458-95A5-41FCBD1FC444}"/>
    <hyperlink ref="V47" r:id="rId44" xr:uid="{CFB0D537-A7CD-405F-B010-9BA97CE26A3D}"/>
    <hyperlink ref="V48" r:id="rId45" xr:uid="{68AAAEDE-66BF-40A7-B5D4-6618DDFF6C5A}"/>
    <hyperlink ref="V49" r:id="rId46" xr:uid="{3C5392DA-88A8-4505-BE7A-CA2B2EFC2BF7}"/>
    <hyperlink ref="V51" r:id="rId47" xr:uid="{1E8A3359-6265-452A-8AA7-6FC867779923}"/>
    <hyperlink ref="V53" r:id="rId48" xr:uid="{D2B484DC-5950-4A10-9158-7C46A2DFD17F}"/>
    <hyperlink ref="V54" r:id="rId49" xr:uid="{DD93F0D0-C43D-49EF-995E-E04888613A88}"/>
    <hyperlink ref="V55" r:id="rId50" xr:uid="{2ED737DD-6EC3-40C9-A430-1105CAEE220F}"/>
    <hyperlink ref="V60" r:id="rId51" xr:uid="{39B0A126-FD38-4AF9-92BB-BA4146DD3BFC}"/>
    <hyperlink ref="V61" r:id="rId52" xr:uid="{384212BE-ACE7-418B-9F5B-581513AE2FB0}"/>
    <hyperlink ref="V62" r:id="rId53" xr:uid="{EA4F28CA-B885-4D31-B4DE-30572642068E}"/>
    <hyperlink ref="V63" r:id="rId54" xr:uid="{1C911340-2D54-4511-9524-B72FEF53A521}"/>
    <hyperlink ref="V64" r:id="rId55" xr:uid="{3587BFAF-B1F8-4560-AE43-5CC72F18E683}"/>
    <hyperlink ref="V65" r:id="rId56" xr:uid="{1B53AF29-5CFB-4DC7-92C2-5A442AB5E96E}"/>
    <hyperlink ref="V66" r:id="rId57" xr:uid="{23A23CF6-D449-499B-A33F-00D1AB74151E}"/>
    <hyperlink ref="V67" r:id="rId58" xr:uid="{FD44096F-C097-444D-AA64-2ED2229E2375}"/>
    <hyperlink ref="V69" r:id="rId59" xr:uid="{F10FA61A-4EBE-4596-81DF-F51F6491D2D2}"/>
    <hyperlink ref="V73" r:id="rId60" xr:uid="{CD86EAE2-33F1-42BA-A73D-64C5B079BEB0}"/>
    <hyperlink ref="V74" r:id="rId61" xr:uid="{867BFCDC-EDB6-443C-AEF3-CB7582AAED86}"/>
    <hyperlink ref="V75" r:id="rId62" xr:uid="{DE134056-0C37-4835-AD3E-0DC493FC0A9E}"/>
    <hyperlink ref="V76" r:id="rId63" xr:uid="{56B5C0A6-6289-427E-AAC3-9F34F385030E}"/>
    <hyperlink ref="V77" r:id="rId64" xr:uid="{3743E6B3-4DCD-4DF4-A4B8-82AB12010169}"/>
    <hyperlink ref="V83" r:id="rId65" xr:uid="{233953F7-C466-4928-A628-EB1B69E87EA6}"/>
    <hyperlink ref="V84" r:id="rId66" xr:uid="{EED17338-F00D-4519-AA74-B77EA468F6C0}"/>
    <hyperlink ref="V86" r:id="rId67" xr:uid="{05E1712F-251A-48CA-B310-CA1923C87348}"/>
    <hyperlink ref="V87" r:id="rId68" xr:uid="{546F2341-F3CE-45FE-9A69-189B8AD243B0}"/>
    <hyperlink ref="V88" r:id="rId69" xr:uid="{E29063FD-D512-4030-8FA3-437D06FA0242}"/>
    <hyperlink ref="V90" r:id="rId70" xr:uid="{DB606848-E5EA-4ABB-8FBA-2E05473C1306}"/>
    <hyperlink ref="V92" r:id="rId71" xr:uid="{F7DF181A-937B-47F7-A3F7-C4B7FC52040C}"/>
    <hyperlink ref="V94" r:id="rId72" xr:uid="{C7A77008-82F1-4A27-9330-ED30C85AD457}"/>
    <hyperlink ref="V93" r:id="rId73" xr:uid="{4C357846-688D-42C3-8F94-70CFBD0AF110}"/>
    <hyperlink ref="V95" r:id="rId74" xr:uid="{6CC483B2-D318-48EC-9625-8372F47957BF}"/>
    <hyperlink ref="V97" r:id="rId75" xr:uid="{7FDDA5BB-4EC1-4256-995E-A775EDB0D046}"/>
    <hyperlink ref="V100" r:id="rId76" xr:uid="{FC615CDE-E231-44D4-AFFD-2205FA9CFB06}"/>
    <hyperlink ref="V101" r:id="rId77" xr:uid="{2E4110E7-F8C5-46FC-BFBB-E0820A9140AA}"/>
    <hyperlink ref="V102" r:id="rId78" xr:uid="{63ABC83D-8F58-4726-83F6-EB0596BBBC84}"/>
    <hyperlink ref="V106" r:id="rId79" xr:uid="{B3D0A38E-B525-4D98-ADE8-22965BD9FA18}"/>
    <hyperlink ref="V107" r:id="rId80" xr:uid="{82F716F2-CEFB-42F8-8779-14CF778BAF59}"/>
    <hyperlink ref="V119" r:id="rId81" xr:uid="{F5E56B0D-768C-4CB2-B7D7-F054DFBD15BD}"/>
    <hyperlink ref="W118" r:id="rId82" display="allyssa_pinky@hotmail.com" xr:uid="{8CA1E6DD-F245-4654-90C1-C0FD65232E3F}"/>
    <hyperlink ref="V118" r:id="rId83" xr:uid="{8CA1E6DD-F245-4654-90C1-C0FD65232E3F}"/>
    <hyperlink ref="V112" r:id="rId84" xr:uid="{FFE1F3B5-36FC-42BC-BEB5-D56158979C0E}"/>
    <hyperlink ref="V113" r:id="rId85" xr:uid="{3CF0E8A5-6043-4C67-8268-F2860C7AA642}"/>
    <hyperlink ref="V115" r:id="rId86" xr:uid="{E8665762-9AB5-46A7-B90E-43B7863548CB}"/>
    <hyperlink ref="V116" r:id="rId87" xr:uid="{4E8333A6-8098-41D7-8FDA-F8E59C63B8E7}"/>
    <hyperlink ref="V114" r:id="rId88" xr:uid="{B4AC9DBC-C1B2-4068-AC5A-89972667ED56}"/>
    <hyperlink ref="V109" r:id="rId89" xr:uid="{F97FD9EE-CEC9-4A1C-A373-6C827E8994E3}"/>
    <hyperlink ref="V110" r:id="rId90" xr:uid="{34B7CBB6-599D-41D4-8B72-CFDD21806AA3}"/>
    <hyperlink ref="V25" r:id="rId91" xr:uid="{6A315FEA-588F-4546-B95B-BF1154707F8B}"/>
    <hyperlink ref="V6" r:id="rId92" xr:uid="{A70DD937-B134-47F2-856B-C283880A1C2D}"/>
    <hyperlink ref="V81" r:id="rId93" xr:uid="{8D884833-F955-4AC0-8377-D97E5E7F3275}"/>
    <hyperlink ref="V79" r:id="rId94" xr:uid="{280886C4-51D7-4252-984C-4B4DE306B219}"/>
    <hyperlink ref="V80" r:id="rId95" xr:uid="{0520A865-CEE0-4502-B912-F0DE0961318C}"/>
    <hyperlink ref="V5" r:id="rId96" xr:uid="{FBE870BB-9788-4B2D-846B-31A5C21AFAF0}"/>
    <hyperlink ref="V7" r:id="rId97" xr:uid="{9158DCA9-334D-4DD4-BA89-849C2660D329}"/>
    <hyperlink ref="V8" r:id="rId98" xr:uid="{A32240DA-4DF1-4A55-9DFC-45FBF6997059}"/>
    <hyperlink ref="V9" r:id="rId99" xr:uid="{63722B5F-FAF8-4530-A481-15AAA1BF43C6}"/>
    <hyperlink ref="V12" r:id="rId100" xr:uid="{85DD6024-6A05-4579-BE40-6820C730D0B8}"/>
    <hyperlink ref="V15" r:id="rId101" xr:uid="{8DD396E6-3F74-4363-AAB4-7F0134FD5CB0}"/>
    <hyperlink ref="V16" r:id="rId102" xr:uid="{B899357B-1216-4BC3-B880-56626F5E86F1}"/>
    <hyperlink ref="V19" r:id="rId103" xr:uid="{3B76A21A-2E8C-4FBB-A288-3289B6FF6B8D}"/>
    <hyperlink ref="V98" r:id="rId104" xr:uid="{8E4778E9-3013-4605-9573-57758ACD1B95}"/>
    <hyperlink ref="V108" r:id="rId105" xr:uid="{4E9BA185-724D-4AB2-AF9A-E582DC8FF86F}"/>
    <hyperlink ref="V111" r:id="rId106" xr:uid="{5BFC2959-812A-431C-B3B2-A90927655EC3}"/>
    <hyperlink ref="V89" r:id="rId107" xr:uid="{366D05AB-2702-4D53-9EB7-BCF00E4CD1E0}"/>
    <hyperlink ref="V85" r:id="rId108" xr:uid="{4B27019D-4398-4ED8-919F-064E8D936796}"/>
    <hyperlink ref="V82" r:id="rId109" xr:uid="{D78BA3AD-BF1F-46B1-8A0D-8BEE9B802A51}"/>
    <hyperlink ref="V166" r:id="rId110" xr:uid="{BB5AC54C-B4D9-43E0-9EE1-29F88A5BE4C5}"/>
    <hyperlink ref="V167" r:id="rId111" xr:uid="{63C20A4A-3D25-4672-BB61-6443B95C6D19}"/>
    <hyperlink ref="V168" r:id="rId112" xr:uid="{D0CBF9CB-65A9-4EFA-B697-F24CAD87CD49}"/>
    <hyperlink ref="V179" r:id="rId113" xr:uid="{24039112-5A71-4D10-96AC-A44C52E0DE34}"/>
    <hyperlink ref="V180" r:id="rId114" xr:uid="{E85FB909-9BAF-4375-8B90-AAFD40BD5F19}"/>
    <hyperlink ref="V182" r:id="rId115" xr:uid="{2EB541A7-1A32-492E-8596-6E2FA7D9A4B8}"/>
    <hyperlink ref="V183" r:id="rId116" xr:uid="{14C12AB4-4916-467D-A20F-A59AF69E1C8A}"/>
    <hyperlink ref="V40" r:id="rId117" xr:uid="{D4310ADD-C7CE-4F14-A039-502A2B130273}"/>
    <hyperlink ref="V193" r:id="rId118" display="soum.ski6@gmail.com" xr:uid="{05DBA2A2-5E68-47F1-B401-F98D99631EF1}"/>
    <hyperlink ref="V187" r:id="rId119" xr:uid="{2132F761-905F-44D4-9DFD-5D1EB90B2501}"/>
    <hyperlink ref="V23" r:id="rId120" display="mailto:winneengoh@gmail.com" xr:uid="{EC6F924A-182F-43F5-8311-B49C4B546C52}"/>
    <hyperlink ref="V208" r:id="rId121" xr:uid="{B9277DDF-6E2F-4486-8AF7-048DC4289CD9}"/>
    <hyperlink ref="V210" r:id="rId122" xr:uid="{B8E580E4-A78A-4666-8F40-3FD21354D776}"/>
    <hyperlink ref="V214" r:id="rId123" xr:uid="{42E9F7A9-5F3E-42C8-B4DA-D0AF64F6D873}"/>
    <hyperlink ref="V201" r:id="rId124" xr:uid="{7235B2A1-86FD-46D8-B690-EE9587F8C9CF}"/>
    <hyperlink ref="V218" r:id="rId125" xr:uid="{ACA129C8-5008-4EC9-9DBF-46E733CF9CF9}"/>
    <hyperlink ref="V202" r:id="rId126" xr:uid="{7C1C3509-FF50-4CC7-844B-03972370B88E}"/>
    <hyperlink ref="V203" r:id="rId127" xr:uid="{C8F675BA-D009-46EC-9AA0-0B53E6683718}"/>
    <hyperlink ref="V204" r:id="rId128" xr:uid="{2FB453CB-1FAB-470B-8FA0-20C7EF57A623}"/>
    <hyperlink ref="V223" r:id="rId129" xr:uid="{DD9C48B3-9B2E-4C06-945F-78993C384539}"/>
    <hyperlink ref="V225" r:id="rId130" xr:uid="{5F969837-7DC2-476D-AE11-EF2BBD95A9EE}"/>
    <hyperlink ref="V226" r:id="rId131" xr:uid="{BEA9FC85-01D7-49AC-A7BB-B586048B9C3C}"/>
    <hyperlink ref="V227" r:id="rId132" xr:uid="{27A31501-ACB3-4010-AE67-73D4E744D74E}"/>
    <hyperlink ref="V228" r:id="rId133" xr:uid="{534F88E0-4FA2-4163-AB5D-CEDA1790B5A4}"/>
    <hyperlink ref="V229" r:id="rId134" xr:uid="{5DDC52D5-B0B4-4ACE-AA64-699E7B0B437A}"/>
    <hyperlink ref="V231" r:id="rId135" xr:uid="{66FB373C-65F7-4A2A-9556-E8E5732EF01E}"/>
    <hyperlink ref="V238" r:id="rId136" xr:uid="{66E3E413-DEE7-46AE-B26E-3D532D396E9E}"/>
    <hyperlink ref="V239" r:id="rId137" xr:uid="{1CE92977-50E7-499D-84E0-5A940C2CCC43}"/>
    <hyperlink ref="V240" r:id="rId138" xr:uid="{8FF629D4-30CF-482C-B528-40ECBD02F31C}"/>
    <hyperlink ref="V241" r:id="rId139" xr:uid="{5706524F-8AAF-4722-8EFD-93796434505A}"/>
    <hyperlink ref="V242" r:id="rId140" xr:uid="{0767C8C3-6BBD-494D-8FD8-315A8F2CA2D7}"/>
    <hyperlink ref="V243" r:id="rId141" xr:uid="{960ABA77-0B20-40E7-B2B9-6C19606AF0EA}"/>
    <hyperlink ref="V244" r:id="rId142" xr:uid="{1094919A-F4A4-4D97-8BEC-C327398FA356}"/>
    <hyperlink ref="V246" r:id="rId143" xr:uid="{29D811A9-734C-45F9-9581-5F0E63E9F3C6}"/>
    <hyperlink ref="V248" r:id="rId144" xr:uid="{AAE4A910-C856-47F8-AA48-AD76D9E09992}"/>
    <hyperlink ref="V249" r:id="rId145" xr:uid="{1723703A-67F3-4915-9AAE-716BD0A79C64}"/>
    <hyperlink ref="V250" r:id="rId146" xr:uid="{7D5C2905-5F04-4C20-A40F-60E73581A623}"/>
    <hyperlink ref="V38" r:id="rId147" xr:uid="{72A65991-3CD8-4705-BF16-4C654DA52206}"/>
    <hyperlink ref="V148" r:id="rId148" xr:uid="{80221E73-1EC7-4FB2-9816-B336BDFEDED5}"/>
    <hyperlink ref="V189" r:id="rId149" xr:uid="{E5F1173E-620D-451C-9AA5-54DB72E680A5}"/>
    <hyperlink ref="V192" r:id="rId150" xr:uid="{4DC22F0C-6CD0-4741-AD18-0E198EEA81AC}"/>
    <hyperlink ref="V194" r:id="rId151" xr:uid="{F9222FB7-2014-4CF2-9431-E686F5590A2F}"/>
    <hyperlink ref="V195" r:id="rId152" xr:uid="{71430928-DB80-4124-B0AF-45297A2292A3}"/>
    <hyperlink ref="V216" r:id="rId153" xr:uid="{183275F8-1EA3-42D8-9203-D5DE529838B4}"/>
    <hyperlink ref="V217" r:id="rId154" xr:uid="{1ABF6A05-D9A9-4D66-AEBC-ABD828A697AF}"/>
    <hyperlink ref="V221" r:id="rId155" xr:uid="{8516615D-FED1-4F1B-A4A9-84BF8A18C309}"/>
    <hyperlink ref="V236" r:id="rId156" xr:uid="{A7B6F570-86CF-428B-AB10-B8FB8C622072}"/>
    <hyperlink ref="V237" r:id="rId157" xr:uid="{B5D7A013-ADF0-4071-BC37-3B174D67A108}"/>
    <hyperlink ref="V254" r:id="rId158" xr:uid="{445253F7-6924-4F58-89A8-66444E16575B}"/>
    <hyperlink ref="V259" r:id="rId159" xr:uid="{4CDB20C1-A827-4B76-A00B-2722C1FB5E5D}"/>
    <hyperlink ref="V258" r:id="rId160" xr:uid="{802DA9CD-F12C-44FC-BF42-AEBC34D8B59E}"/>
    <hyperlink ref="V256" r:id="rId161" xr:uid="{42D4CB16-3697-436A-857B-F16417085084}"/>
    <hyperlink ref="V257" r:id="rId162" xr:uid="{D8A19624-9E7D-4DAE-82F9-78CCD4F18CD9}"/>
    <hyperlink ref="V260" r:id="rId163" xr:uid="{71399C53-41E1-4A79-9491-D1C8A1F50998}"/>
    <hyperlink ref="V265" r:id="rId164" xr:uid="{D86694AC-AF69-43E4-8152-73F4FB2286B3}"/>
    <hyperlink ref="V266" r:id="rId165" xr:uid="{6891EF1D-4D10-405C-9CA3-DF706B126BEE}"/>
    <hyperlink ref="V267" r:id="rId166" xr:uid="{2B483915-ACB1-4881-A282-93778CDFFB33}"/>
    <hyperlink ref="V270" r:id="rId167" xr:uid="{D2B6C53A-7046-43F1-A14D-D5EAEAFF7A5B}"/>
    <hyperlink ref="V271" r:id="rId168" xr:uid="{D180E5AF-19FB-4D5A-8A11-9F32F679D81B}"/>
    <hyperlink ref="V272" r:id="rId169" xr:uid="{69DDD384-73B7-4C4D-BBA1-A01EBD03DD69}"/>
    <hyperlink ref="V280" r:id="rId170" xr:uid="{59B1BCA9-F0BE-45FA-B997-E82AA0C900DD}"/>
    <hyperlink ref="V282" r:id="rId171" xr:uid="{81BCB37A-3E8E-4D74-BB9A-4C0FC7C75B5A}"/>
    <hyperlink ref="V285" r:id="rId172" xr:uid="{56018D07-F449-48A5-83E7-06E2A742FBE9}"/>
    <hyperlink ref="V288" r:id="rId173" xr:uid="{C056E636-364F-4D53-ADEC-7A664D393890}"/>
    <hyperlink ref="V290" r:id="rId174" xr:uid="{ABA672F7-6804-4B9D-9726-B28BD5BAE128}"/>
    <hyperlink ref="V291" r:id="rId175" xr:uid="{8FB6EB18-ED39-419A-87A9-926AB0D9CD89}"/>
    <hyperlink ref="V293" r:id="rId176" xr:uid="{B9510435-C512-45C7-9174-81B093C03510}"/>
    <hyperlink ref="V294" r:id="rId177" xr:uid="{338668D5-F92F-4DF9-8415-3FCD4F3ED0CC}"/>
    <hyperlink ref="V295" r:id="rId178" xr:uid="{C9E38D1B-F09D-4DF4-AB4E-0411924FCF4A}"/>
    <hyperlink ref="V296" r:id="rId179" xr:uid="{DE151380-A7B8-40D3-8980-BA70D338C317}"/>
    <hyperlink ref="V297" r:id="rId180" xr:uid="{992123E3-836A-4493-AA5F-CE8D982487DD}"/>
    <hyperlink ref="V298" r:id="rId181" xr:uid="{C567587F-088A-47C2-9EA0-00536E023F89}"/>
    <hyperlink ref="G3" r:id="rId182" display="https://software.wms-lite.com/main.php?route=outgoing_list/outgoing&amp;s=&amp;searchByStatus=ALL&amp;id=VFZSUmVVNVVaM28" xr:uid="{8987B751-2E9E-4F77-8C07-5AB560CD879B}"/>
    <hyperlink ref="V269" r:id="rId183" xr:uid="{555587CD-8CA4-4AEE-A8A2-275E757531AB}"/>
    <hyperlink ref="V274" r:id="rId184" xr:uid="{98D20E4A-B096-4AB1-8E9F-EDD770C48A63}"/>
    <hyperlink ref="V314" r:id="rId185" xr:uid="{8D216B59-4D42-4375-958D-066BFE3859C2}"/>
    <hyperlink ref="V306" r:id="rId186" xr:uid="{90EFA683-51AF-4E89-9E89-1DEE1BBFCE24}"/>
    <hyperlink ref="V307" r:id="rId187" xr:uid="{FEEDE36B-14F9-4038-9C6C-7A5AA5A0F443}"/>
    <hyperlink ref="V308" r:id="rId188" xr:uid="{8E9AFFAA-FD9B-40EA-AB12-B248A8B8CFE5}"/>
    <hyperlink ref="V311" r:id="rId189" xr:uid="{9C32FA97-4AC0-417F-BAFB-86A8F58E6E0E}"/>
    <hyperlink ref="V312" r:id="rId190" xr:uid="{0CAE9E24-B788-4A1F-BF39-9A391B7D78DB}"/>
    <hyperlink ref="V320" r:id="rId191" xr:uid="{33DA0390-B950-4054-9D9F-8BAECECC9021}"/>
    <hyperlink ref="V321" r:id="rId192" xr:uid="{3689C2F3-B4D9-48C6-A8FE-03176BF0408D}"/>
    <hyperlink ref="V326" r:id="rId193" xr:uid="{B0408FA1-3B7A-4998-8F6D-FD469E470529}"/>
    <hyperlink ref="V340" r:id="rId194" xr:uid="{97199A10-6B00-4D6A-91CF-B57E8F4D25A8}"/>
    <hyperlink ref="V341" r:id="rId195" xr:uid="{9F0673DE-0C28-4B60-A7CC-18E697BC329A}"/>
    <hyperlink ref="V342" r:id="rId196" xr:uid="{6AFEE766-CDFB-46DB-AE68-57E8A03FA8B9}"/>
    <hyperlink ref="V349" r:id="rId197" xr:uid="{2913092A-0036-4F8A-B44E-9D03E2963698}"/>
    <hyperlink ref="V338" r:id="rId198" xr:uid="{0C6D4320-F142-4267-8D75-813BD877EBEA}"/>
    <hyperlink ref="V273" r:id="rId199" xr:uid="{321A9EFD-6B9D-485F-A991-26166376B556}"/>
    <hyperlink ref="V343" r:id="rId200" xr:uid="{83735094-79B2-47BE-91FC-F99DD4BCAA8B}"/>
  </hyperlinks>
  <pageMargins left="0.7" right="0.7" top="0.75" bottom="0.75" header="0.3" footer="0.3"/>
  <pageSetup orientation="portrait" r:id="rId201"/>
  <legacyDrawing r:id="rId202"/>
  <tableParts count="1">
    <tablePart r:id="rId203"/>
  </tableParts>
  <extLst>
    <ext xmlns:x14="http://schemas.microsoft.com/office/spreadsheetml/2009/9/main" uri="{CCE6A557-97BC-4b89-ADB6-D9C93CAAB3DF}">
      <x14:dataValidations xmlns:xm="http://schemas.microsoft.com/office/excel/2006/main" count="11">
        <x14:dataValidation type="list" allowBlank="1" showInputMessage="1" showErrorMessage="1" xr:uid="{D80A07EE-60A4-4E0F-87D3-C6B7149611BB}">
          <x14:formula1>
            <xm:f>Data!$H$3:$H$23</xm:f>
          </x14:formula1>
          <xm:sqref>Y5:Y29 Y31:Y262 Y264:Y269 Y271:Y275 Y277:Y281 Y284:Y288 Y290:Y294 Y296:Y300 Y302 Y304 Y306 Y308 Y310 Y312 Y314 Y316 Y318 Y320 Y322 Y324 Y326 Y328 Y330 Y332 Y334 Y336 Y338 Y340 Y342 Y344 Y346 Y353 Y359 Y365 Y371 Y377 Y383 Y389 Y395 Y349 Y355 Y361 Y367 Y373 Y379 Y385 Y391 Y351 Y357 Y363 Y369 Y375 Y381 Y387 Y393</xm:sqref>
        </x14:dataValidation>
        <x14:dataValidation type="list" allowBlank="1" showInputMessage="1" showErrorMessage="1" xr:uid="{C63EC1FB-1153-4F89-B89B-0E089BFFCE19}">
          <x14:formula1>
            <xm:f>Data!$I$3:$I$20</xm:f>
          </x14:formula1>
          <xm:sqref>W188:W189 W191:W197 W199:W206 W208:W395</xm:sqref>
        </x14:dataValidation>
        <x14:dataValidation type="list" showInputMessage="1" showErrorMessage="1" xr:uid="{44F8E075-7EDB-451B-AD6A-1FEAFE1D507E}">
          <x14:formula1>
            <xm:f>Data!$B$3:$B$9</xm:f>
          </x14:formula1>
          <xm:sqref>E5:E372 E374:E395</xm:sqref>
        </x14:dataValidation>
        <x14:dataValidation type="list" allowBlank="1" showInputMessage="1" showErrorMessage="1" xr:uid="{8F68ABC0-48D5-49DE-9AC2-11002188571F}">
          <x14:formula1>
            <xm:f>Data!$G$3:$G$16</xm:f>
          </x14:formula1>
          <xm:sqref>X5:X395</xm:sqref>
        </x14:dataValidation>
        <x14:dataValidation type="list" allowBlank="1" showInputMessage="1" showErrorMessage="1" xr:uid="{B5E58CB5-5968-4572-B18C-6B3E2CA02185}">
          <x14:formula1>
            <xm:f>Data!$A$3:$A$11</xm:f>
          </x14:formula1>
          <xm:sqref>D208:D372 D376:D395</xm:sqref>
        </x14:dataValidation>
        <x14:dataValidation type="list" allowBlank="1" showInputMessage="1" showErrorMessage="1" xr:uid="{8A2E911E-6FEA-4F93-B67B-0E79E9D07191}">
          <x14:formula1>
            <xm:f>Data!$C$3:$C$7</xm:f>
          </x14:formula1>
          <xm:sqref>F208:F395</xm:sqref>
        </x14:dataValidation>
        <x14:dataValidation type="list" allowBlank="1" showInputMessage="1" showErrorMessage="1" xr:uid="{0035AB1B-36A0-49DA-AC36-D83D43BEABBE}">
          <x14:formula1>
            <xm:f>Data!$E$3:$E$18</xm:f>
          </x14:formula1>
          <xm:sqref>G208:G395</xm:sqref>
        </x14:dataValidation>
        <x14:dataValidation type="list" allowBlank="1" showInputMessage="1" showErrorMessage="1" xr:uid="{C682B7BD-96C8-4712-A44E-D2936A454ECF}">
          <x14:formula1>
            <xm:f>Data!$D$3:$D$8</xm:f>
          </x14:formula1>
          <xm:sqref>M271:M275 M277:M281 M284:M288 M290:M300 M208:M269 M332 M334 M336 M338 M340 M342 M302:M318 M320 M322 M324 M326:M328 M357 M330 M344:M346 M353 M349:M351 M355 M359:M395</xm:sqref>
        </x14:dataValidation>
        <x14:dataValidation type="list" allowBlank="1" showInputMessage="1" showErrorMessage="1" xr:uid="{2222B764-1E00-4886-B7A0-A6B2A91EEF90}">
          <x14:formula1>
            <xm:f>Data!$F$3:$F$8</xm:f>
          </x14:formula1>
          <xm:sqref>N5:N395</xm:sqref>
        </x14:dataValidation>
        <x14:dataValidation type="list" showInputMessage="1" showErrorMessage="1" xr:uid="{A6F6F0E2-22C8-4FD8-B388-A8BE26D6FC4A}">
          <x14:formula1>
            <xm:f>Data!$B$3:$B$15</xm:f>
          </x14:formula1>
          <xm:sqref>E373</xm:sqref>
        </x14:dataValidation>
        <x14:dataValidation type="list" allowBlank="1" showInputMessage="1" showErrorMessage="1" xr:uid="{B25C3DC6-6041-4D06-9E4E-EDF665CB9A29}">
          <x14:formula1>
            <xm:f>Data!$A$3:$A$15</xm:f>
          </x14:formula1>
          <xm:sqref>D373:D375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B782-6A6E-4C1A-8123-86D1F9AE8B46}">
  <dimension ref="A2:I37"/>
  <sheetViews>
    <sheetView workbookViewId="0">
      <selection activeCell="A11" sqref="A11"/>
    </sheetView>
  </sheetViews>
  <sheetFormatPr defaultRowHeight="14.4" x14ac:dyDescent="0.3"/>
  <cols>
    <col min="1" max="4" width="15.44140625" customWidth="1"/>
    <col min="5" max="5" width="16.5546875" customWidth="1"/>
    <col min="6" max="7" width="15.44140625" customWidth="1"/>
    <col min="8" max="8" width="22.44140625" bestFit="1" customWidth="1"/>
    <col min="9" max="9" width="15.44140625" customWidth="1"/>
  </cols>
  <sheetData>
    <row r="2" spans="1:9" x14ac:dyDescent="0.3">
      <c r="A2" s="94" t="s">
        <v>46</v>
      </c>
      <c r="B2" s="94" t="s">
        <v>47</v>
      </c>
      <c r="C2" s="94" t="s">
        <v>48</v>
      </c>
      <c r="D2" s="94" t="s">
        <v>54</v>
      </c>
      <c r="E2" s="94" t="s">
        <v>49</v>
      </c>
      <c r="F2" s="94" t="s">
        <v>1791</v>
      </c>
      <c r="G2" s="94" t="s">
        <v>1792</v>
      </c>
      <c r="H2" s="94" t="s">
        <v>66</v>
      </c>
      <c r="I2" s="94" t="s">
        <v>1793</v>
      </c>
    </row>
    <row r="3" spans="1:9" x14ac:dyDescent="0.3">
      <c r="A3" t="s">
        <v>19</v>
      </c>
      <c r="B3" t="s">
        <v>71</v>
      </c>
      <c r="C3" t="s">
        <v>14</v>
      </c>
      <c r="D3" t="s">
        <v>125</v>
      </c>
      <c r="E3" s="40" t="e" vm="1">
        <v>#VALUE!</v>
      </c>
      <c r="F3" t="s">
        <v>73</v>
      </c>
      <c r="G3" t="s">
        <v>81</v>
      </c>
      <c r="H3" t="s">
        <v>109</v>
      </c>
      <c r="I3" t="s">
        <v>109</v>
      </c>
    </row>
    <row r="4" spans="1:9" x14ac:dyDescent="0.3">
      <c r="A4" t="s">
        <v>20</v>
      </c>
      <c r="B4" t="s">
        <v>124</v>
      </c>
      <c r="C4" t="s">
        <v>15</v>
      </c>
      <c r="D4" t="s">
        <v>176</v>
      </c>
      <c r="E4" s="40" t="e" vm="2">
        <v>#VALUE!</v>
      </c>
      <c r="F4" t="s">
        <v>1346</v>
      </c>
      <c r="G4" t="s">
        <v>1534</v>
      </c>
      <c r="H4" t="s">
        <v>1794</v>
      </c>
      <c r="I4" t="s">
        <v>81</v>
      </c>
    </row>
    <row r="5" spans="1:9" x14ac:dyDescent="0.3">
      <c r="A5" t="s">
        <v>17</v>
      </c>
      <c r="B5" t="s">
        <v>193</v>
      </c>
      <c r="C5" t="s">
        <v>16</v>
      </c>
      <c r="D5" t="s">
        <v>1191</v>
      </c>
      <c r="E5" s="40" t="e" vm="3">
        <v>#VALUE!</v>
      </c>
      <c r="G5" t="s">
        <v>122</v>
      </c>
      <c r="H5" t="s">
        <v>1795</v>
      </c>
      <c r="I5" t="s">
        <v>1534</v>
      </c>
    </row>
    <row r="6" spans="1:9" x14ac:dyDescent="0.3">
      <c r="A6" t="s">
        <v>22</v>
      </c>
      <c r="B6" t="s">
        <v>1796</v>
      </c>
      <c r="E6" s="40" t="e" vm="4">
        <v>#VALUE!</v>
      </c>
      <c r="G6" t="s">
        <v>1797</v>
      </c>
      <c r="H6" t="s">
        <v>1798</v>
      </c>
      <c r="I6" t="s">
        <v>965</v>
      </c>
    </row>
    <row r="7" spans="1:9" x14ac:dyDescent="0.3">
      <c r="A7" t="s">
        <v>21</v>
      </c>
      <c r="B7" t="s">
        <v>206</v>
      </c>
      <c r="E7" s="40" t="e" vm="5">
        <v>#VALUE!</v>
      </c>
      <c r="G7" t="s">
        <v>80</v>
      </c>
      <c r="H7" t="s">
        <v>204</v>
      </c>
      <c r="I7" t="s">
        <v>1797</v>
      </c>
    </row>
    <row r="8" spans="1:9" x14ac:dyDescent="0.3">
      <c r="A8" t="s">
        <v>23</v>
      </c>
      <c r="E8" s="40" t="e" vm="6">
        <v>#VALUE!</v>
      </c>
      <c r="G8" t="s">
        <v>1799</v>
      </c>
      <c r="H8" t="s">
        <v>1800</v>
      </c>
      <c r="I8" t="s">
        <v>80</v>
      </c>
    </row>
    <row r="9" spans="1:9" x14ac:dyDescent="0.3">
      <c r="E9" s="40" t="e" vm="7">
        <v>#VALUE!</v>
      </c>
      <c r="G9" t="s">
        <v>1801</v>
      </c>
      <c r="H9" t="s">
        <v>563</v>
      </c>
      <c r="I9" t="s">
        <v>1799</v>
      </c>
    </row>
    <row r="10" spans="1:9" x14ac:dyDescent="0.3">
      <c r="E10" s="40" t="e" vm="8">
        <v>#VALUE!</v>
      </c>
      <c r="G10" t="s">
        <v>1802</v>
      </c>
      <c r="H10" t="s">
        <v>1803</v>
      </c>
      <c r="I10" t="s">
        <v>1801</v>
      </c>
    </row>
    <row r="11" spans="1:9" x14ac:dyDescent="0.3">
      <c r="E11" s="40" t="e" vm="9">
        <v>#VALUE!</v>
      </c>
      <c r="G11" t="s">
        <v>1804</v>
      </c>
      <c r="H11" t="s">
        <v>1805</v>
      </c>
      <c r="I11" t="s">
        <v>1802</v>
      </c>
    </row>
    <row r="12" spans="1:9" x14ac:dyDescent="0.3">
      <c r="E12" s="40" t="e" vm="10">
        <v>#VALUE!</v>
      </c>
      <c r="G12" t="s">
        <v>1806</v>
      </c>
      <c r="H12" t="s">
        <v>1807</v>
      </c>
      <c r="I12" t="s">
        <v>1804</v>
      </c>
    </row>
    <row r="13" spans="1:9" x14ac:dyDescent="0.3">
      <c r="E13" s="40" t="e" vm="11">
        <v>#VALUE!</v>
      </c>
      <c r="H13" t="s">
        <v>1808</v>
      </c>
      <c r="I13" t="s">
        <v>1806</v>
      </c>
    </row>
    <row r="14" spans="1:9" x14ac:dyDescent="0.3">
      <c r="E14" s="40" t="e" vm="12">
        <v>#VALUE!</v>
      </c>
      <c r="H14" t="s">
        <v>1809</v>
      </c>
    </row>
    <row r="15" spans="1:9" x14ac:dyDescent="0.3">
      <c r="E15" s="15" t="e" vm="13">
        <v>#VALUE!</v>
      </c>
      <c r="H15" t="s">
        <v>1810</v>
      </c>
    </row>
    <row r="16" spans="1:9" x14ac:dyDescent="0.3">
      <c r="E16" s="15" t="e" vm="14">
        <v>#VALUE!</v>
      </c>
      <c r="H16" t="s">
        <v>1811</v>
      </c>
    </row>
    <row r="17" spans="1:8" x14ac:dyDescent="0.3">
      <c r="H17" t="s">
        <v>199</v>
      </c>
    </row>
    <row r="26" spans="1:8" x14ac:dyDescent="0.3">
      <c r="A26" t="s">
        <v>1812</v>
      </c>
    </row>
    <row r="27" spans="1:8" x14ac:dyDescent="0.3">
      <c r="A27" t="s">
        <v>1813</v>
      </c>
    </row>
    <row r="28" spans="1:8" x14ac:dyDescent="0.3">
      <c r="A28" t="s">
        <v>1814</v>
      </c>
    </row>
    <row r="29" spans="1:8" x14ac:dyDescent="0.3">
      <c r="A29" t="s">
        <v>1815</v>
      </c>
    </row>
    <row r="30" spans="1:8" x14ac:dyDescent="0.3">
      <c r="A30" t="s">
        <v>1816</v>
      </c>
    </row>
    <row r="31" spans="1:8" x14ac:dyDescent="0.3">
      <c r="A31" t="s">
        <v>1817</v>
      </c>
    </row>
    <row r="32" spans="1:8" x14ac:dyDescent="0.3">
      <c r="A32" t="s">
        <v>1818</v>
      </c>
    </row>
    <row r="33" spans="1:1" x14ac:dyDescent="0.3">
      <c r="A33" t="s">
        <v>1819</v>
      </c>
    </row>
    <row r="34" spans="1:1" x14ac:dyDescent="0.3">
      <c r="A34" t="s">
        <v>1820</v>
      </c>
    </row>
    <row r="35" spans="1:1" x14ac:dyDescent="0.3">
      <c r="A35" t="s">
        <v>1821</v>
      </c>
    </row>
    <row r="36" spans="1:1" x14ac:dyDescent="0.3">
      <c r="A36" t="s">
        <v>1822</v>
      </c>
    </row>
    <row r="37" spans="1:1" x14ac:dyDescent="0.3">
      <c r="A37" t="s">
        <v>1823</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2E5D-A908-452D-94CE-8187A50EF3AE}">
  <sheetPr codeName="Sheet2"/>
  <dimension ref="A1:AQ372"/>
  <sheetViews>
    <sheetView tabSelected="1" zoomScale="90" zoomScaleNormal="90" workbookViewId="0">
      <pane xSplit="3" ySplit="4" topLeftCell="D8" activePane="bottomRight" state="frozen"/>
      <selection pane="topRight" activeCell="D1" sqref="D1"/>
      <selection pane="bottomLeft" activeCell="A5" sqref="A5"/>
      <selection pane="bottomRight" activeCell="H1" sqref="H1"/>
    </sheetView>
  </sheetViews>
  <sheetFormatPr defaultColWidth="8.5546875" defaultRowHeight="18.75" customHeight="1" outlineLevelCol="1" x14ac:dyDescent="0.3"/>
  <cols>
    <col min="1" max="1" width="15.5546875" style="5" customWidth="1"/>
    <col min="2" max="2" width="53.44140625" style="15" bestFit="1" customWidth="1"/>
    <col min="3" max="3" width="16.44140625" style="5" bestFit="1" customWidth="1"/>
    <col min="4" max="4" width="16.44140625" style="5" customWidth="1"/>
    <col min="5" max="7" width="12.5546875" style="5" customWidth="1" outlineLevel="1"/>
    <col min="8" max="8" width="17.44140625" style="5" customWidth="1" outlineLevel="1"/>
    <col min="9" max="9" width="12.88671875" style="5" customWidth="1" outlineLevel="1"/>
    <col min="10" max="10" width="20.109375" style="14" customWidth="1" outlineLevel="1"/>
    <col min="11" max="11" width="1" style="14" customWidth="1"/>
    <col min="12" max="12" width="27" style="14" customWidth="1" outlineLevel="1"/>
    <col min="13" max="13" width="20.5546875" style="14" customWidth="1" outlineLevel="1"/>
    <col min="14" max="14" width="1.44140625" style="14" customWidth="1"/>
    <col min="15" max="15" width="21" style="14" customWidth="1" outlineLevel="1" collapsed="1"/>
    <col min="16" max="16" width="18.44140625" style="14" customWidth="1" outlineLevel="1"/>
    <col min="17" max="17" width="1.44140625" style="14" customWidth="1"/>
    <col min="18" max="18" width="17" style="111" customWidth="1" outlineLevel="1"/>
    <col min="19" max="19" width="17.44140625" style="111" customWidth="1" outlineLevel="1"/>
    <col min="20" max="20" width="27.5546875" style="14" customWidth="1" outlineLevel="1"/>
    <col min="21" max="21" width="17.44140625" style="5" customWidth="1" outlineLevel="1"/>
    <col min="22" max="27" width="17.44140625" style="5" customWidth="1"/>
    <col min="28" max="30" width="18.5546875" style="14" customWidth="1"/>
    <col min="31" max="32" width="17.44140625" style="14" customWidth="1"/>
    <col min="33" max="34" width="17.44140625" style="5" customWidth="1"/>
    <col min="35" max="35" width="1.5546875" customWidth="1"/>
    <col min="36" max="39" width="17.44140625" style="5" customWidth="1"/>
    <col min="40" max="40" width="19.44140625" style="5" customWidth="1"/>
    <col min="41" max="41" width="18.44140625" style="5" customWidth="1"/>
    <col min="42" max="42" width="17.44140625" style="111" customWidth="1"/>
    <col min="43" max="43" width="18.44140625" style="38" customWidth="1"/>
    <col min="44" max="16384" width="8.5546875" style="5"/>
  </cols>
  <sheetData>
    <row r="1" spans="1:43" ht="18.75" customHeight="1" x14ac:dyDescent="0.3">
      <c r="B1" s="14"/>
      <c r="C1" s="14"/>
      <c r="D1" s="14"/>
      <c r="E1" s="112"/>
      <c r="R1" s="14"/>
      <c r="S1" s="14"/>
      <c r="AP1" s="14"/>
    </row>
    <row r="2" spans="1:43" ht="18.75" customHeight="1" x14ac:dyDescent="0.3">
      <c r="B2" s="14"/>
      <c r="C2" s="14"/>
      <c r="D2" s="14"/>
      <c r="E2" s="38"/>
      <c r="R2" s="14"/>
      <c r="S2" s="14"/>
      <c r="AP2" s="14"/>
    </row>
    <row r="3" spans="1:43" ht="20.100000000000001" customHeight="1" x14ac:dyDescent="0.3">
      <c r="O3" s="161" t="s">
        <v>1824</v>
      </c>
      <c r="P3" s="161"/>
      <c r="R3" s="161" t="s">
        <v>1825</v>
      </c>
      <c r="S3" s="161"/>
      <c r="T3" s="161"/>
      <c r="U3" s="161"/>
      <c r="AB3" s="161" t="s">
        <v>1826</v>
      </c>
      <c r="AC3" s="161"/>
      <c r="AD3" s="161"/>
      <c r="AE3" s="161"/>
      <c r="AF3" s="161"/>
      <c r="AG3" s="161"/>
      <c r="AH3" s="161"/>
      <c r="AP3" s="14"/>
    </row>
    <row r="4" spans="1:43" ht="46.8" x14ac:dyDescent="0.3">
      <c r="A4" s="61" t="s">
        <v>43</v>
      </c>
      <c r="B4" s="61" t="s">
        <v>44</v>
      </c>
      <c r="C4" s="61" t="s">
        <v>49</v>
      </c>
      <c r="D4" s="61" t="s">
        <v>46</v>
      </c>
      <c r="E4" s="61" t="s">
        <v>47</v>
      </c>
      <c r="F4" s="61" t="s">
        <v>48</v>
      </c>
      <c r="G4" s="61" t="s">
        <v>2</v>
      </c>
      <c r="H4" s="61" t="s">
        <v>56</v>
      </c>
      <c r="I4" s="61" t="s">
        <v>57</v>
      </c>
      <c r="J4" s="61" t="s">
        <v>58</v>
      </c>
      <c r="K4" s="126"/>
      <c r="L4" s="61" t="s">
        <v>1827</v>
      </c>
      <c r="M4" s="61" t="s">
        <v>1828</v>
      </c>
      <c r="N4" s="126"/>
      <c r="O4" s="61" t="s">
        <v>1829</v>
      </c>
      <c r="P4" s="61" t="s">
        <v>1830</v>
      </c>
      <c r="Q4" s="126"/>
      <c r="R4" s="61" t="s">
        <v>1831</v>
      </c>
      <c r="S4" s="61" t="s">
        <v>1832</v>
      </c>
      <c r="T4" s="61" t="s">
        <v>1833</v>
      </c>
      <c r="U4" s="61" t="s">
        <v>1834</v>
      </c>
      <c r="V4" s="61" t="s">
        <v>1835</v>
      </c>
      <c r="W4" s="61" t="s">
        <v>1836</v>
      </c>
      <c r="X4" s="61" t="s">
        <v>1837</v>
      </c>
      <c r="Y4" s="61" t="s">
        <v>1838</v>
      </c>
      <c r="Z4" s="61" t="s">
        <v>1839</v>
      </c>
      <c r="AA4" s="61" t="s">
        <v>1840</v>
      </c>
      <c r="AB4" s="61" t="s">
        <v>1841</v>
      </c>
      <c r="AC4" s="61" t="s">
        <v>1842</v>
      </c>
      <c r="AD4" s="61" t="s">
        <v>1843</v>
      </c>
      <c r="AE4" s="61" t="s">
        <v>1844</v>
      </c>
      <c r="AF4" s="61" t="s">
        <v>1845</v>
      </c>
      <c r="AG4" s="61" t="s">
        <v>1846</v>
      </c>
      <c r="AH4" s="61" t="s">
        <v>1847</v>
      </c>
      <c r="AJ4" s="61" t="s">
        <v>1848</v>
      </c>
      <c r="AK4" s="61" t="s">
        <v>1849</v>
      </c>
      <c r="AL4" s="61" t="s">
        <v>1850</v>
      </c>
      <c r="AM4" s="61" t="s">
        <v>1851</v>
      </c>
      <c r="AP4" s="61"/>
      <c r="AQ4" s="38" t="s">
        <v>1852</v>
      </c>
    </row>
    <row r="5" spans="1:43" ht="18.75" customHeight="1" x14ac:dyDescent="0.3">
      <c r="A5" s="4">
        <f>Table1[[#This Row],[Project No]]</f>
        <v>2303005</v>
      </c>
      <c r="B5" s="110" t="str">
        <f>VLOOKUP(A:A,Table1[[Project No]:[Additional Remark]],2,FALSE)</f>
        <v>Wong Kim Mei</v>
      </c>
      <c r="C5" s="4" t="e" vm="15">
        <f>VLOOKUP(A:A,Table1[[#All],[Project No]:[Additional Remark]],7,FALSE)</f>
        <v>#VALUE!</v>
      </c>
      <c r="D5" s="4" t="str">
        <f>VLOOKUP(A:A,Table1[[#All],[Project No]:[Additional Remark]],4,FALSE)</f>
        <v>Simon</v>
      </c>
      <c r="E5" s="4" t="str">
        <f>VLOOKUP(A:A,Table1[[#All],[Project No]:[Additional Remark]],5,FALSE)</f>
        <v>R-PV</v>
      </c>
      <c r="F5" s="4" t="str">
        <f>VLOOKUP(A:A,Table1[[Project No]:[Additional Remark]],6,FALSE)</f>
        <v>NEM</v>
      </c>
      <c r="G5" s="4">
        <f>VLOOKUP(A:A,Table1[[Project No]:[Additional Remark]],8,FALSE)</f>
        <v>8.0500000000000007</v>
      </c>
      <c r="H5" s="4" t="str">
        <f>VLOOKUP(A:A,Table1[[Project No]:[Additional Remark]],15,FALSE)</f>
        <v>Astronergy 575Wp</v>
      </c>
      <c r="I5" s="4">
        <f>VLOOKUP(A:A,Table1[[Project No]:[Additional Remark]],16,FALSE)</f>
        <v>14.000000000000002</v>
      </c>
      <c r="J5" s="1" t="str">
        <f>VLOOKUP(A:A,Table1[[Project No]:[Additional Remark]],17,FALSE)</f>
        <v>Solinteg MHT-8K-25 hybrid</v>
      </c>
      <c r="K5" s="127"/>
      <c r="L5" s="1" t="str">
        <f t="shared" ref="L5:L68" si="0">IF(ISBLANK(R5),"Pending NEM Qouta Submission",IF(ISBLANK(S5),"Pending NEM Qouta Approval",IF(ISBLANK(AA5),"Pending Site Installation",IF(ISBLANK(AJ5),"Pending ST License Application",IF(ISBLANK(AK5),"Pending ST License Approval", IF(ISBLANK(AB5),"Pending Meter Change Application",IF(AND(ISBLANK(AG5),ISBLANK(AF5)),"Pending Meter Change",IF(ISBLANK(AG5),"Pending NEM Welcome Letter",IF(ISBLANK(AL5),"Pending GITA Application",IF(ISBLANK(AM5),"Pending GITA Approval","Completed"))))))))))</f>
        <v>Completed</v>
      </c>
      <c r="M5" s="1" t="str">
        <f>VLOOKUP(A:A,'Finance Tracker'!A3:K249,8,FALSE)</f>
        <v>Invoice Completed</v>
      </c>
      <c r="N5" s="127"/>
      <c r="O5" s="1" t="s">
        <v>109</v>
      </c>
      <c r="P5" s="1" t="s">
        <v>109</v>
      </c>
      <c r="Q5" s="127"/>
      <c r="R5" s="56">
        <v>45113</v>
      </c>
      <c r="S5" s="56">
        <v>45143</v>
      </c>
      <c r="T5" s="1" t="s">
        <v>1822</v>
      </c>
      <c r="U5" s="56">
        <v>45441</v>
      </c>
      <c r="V5" s="39" t="s">
        <v>1853</v>
      </c>
      <c r="W5" s="1" t="s">
        <v>1853</v>
      </c>
      <c r="X5" s="4" t="s">
        <v>109</v>
      </c>
      <c r="Y5" s="4" t="s">
        <v>1853</v>
      </c>
      <c r="Z5" s="4" t="s">
        <v>1853</v>
      </c>
      <c r="AA5" s="4" t="s">
        <v>1853</v>
      </c>
      <c r="AB5" s="4" t="s">
        <v>1853</v>
      </c>
      <c r="AC5" s="4" t="s">
        <v>1853</v>
      </c>
      <c r="AD5" s="4" t="s">
        <v>1853</v>
      </c>
      <c r="AE5" s="4" t="s">
        <v>1853</v>
      </c>
      <c r="AF5" s="56">
        <v>45175</v>
      </c>
      <c r="AG5" s="56">
        <v>45175</v>
      </c>
      <c r="AH5" s="56">
        <v>48852</v>
      </c>
      <c r="AJ5" s="4" t="s">
        <v>109</v>
      </c>
      <c r="AK5" s="4" t="s">
        <v>109</v>
      </c>
      <c r="AL5" s="4" t="s">
        <v>109</v>
      </c>
      <c r="AM5" s="4" t="s">
        <v>109</v>
      </c>
      <c r="AP5" s="1">
        <f t="shared" ref="AP5:AP68" si="1">S5-R5</f>
        <v>30</v>
      </c>
      <c r="AQ5" s="38" t="e">
        <f>AA5-Table1[[#This Row],[Closed Date]]</f>
        <v>#VALUE!</v>
      </c>
    </row>
    <row r="6" spans="1:43" ht="18.75" customHeight="1" x14ac:dyDescent="0.3">
      <c r="A6" s="4">
        <f>Table1[[#This Row],[Project No]]</f>
        <v>2303006</v>
      </c>
      <c r="B6" s="110" t="str">
        <f>VLOOKUP(A:A,Table1[[Project No]:[Additional Remark]],2,FALSE)</f>
        <v>Ang Ching Ming</v>
      </c>
      <c r="C6" s="4" t="e" vm="15">
        <f>VLOOKUP(A:A,Table1[[#All],[Project No]:[Additional Remark]],7,FALSE)</f>
        <v>#VALUE!</v>
      </c>
      <c r="D6" s="4" t="str">
        <f>VLOOKUP(A:A,Table1[[#All],[Project No]:[Additional Remark]],4,FALSE)</f>
        <v>Simon</v>
      </c>
      <c r="E6" s="4" t="str">
        <f>VLOOKUP(A:A,Table1[[#All],[Project No]:[Additional Remark]],5,FALSE)</f>
        <v>R-PV</v>
      </c>
      <c r="F6" s="4" t="str">
        <f>VLOOKUP(A:A,Table1[[Project No]:[Additional Remark]],6,FALSE)</f>
        <v>NEM</v>
      </c>
      <c r="G6" s="4">
        <f>VLOOKUP(A:A,Table1[[Project No]:[Additional Remark]],8,FALSE)</f>
        <v>12.65</v>
      </c>
      <c r="H6" s="4" t="str">
        <f>VLOOKUP(A:A,Table1[[Project No]:[Additional Remark]],15,FALSE)</f>
        <v>Astronergy 575Wp</v>
      </c>
      <c r="I6" s="4">
        <f>VLOOKUP(A:A,Table1[[Project No]:[Additional Remark]],16,FALSE)</f>
        <v>22.000000000000004</v>
      </c>
      <c r="J6" s="1" t="str">
        <f>VLOOKUP(A:A,Table1[[Project No]:[Additional Remark]],17,FALSE)</f>
        <v>Solinteg MHT-10K-25 hybrid</v>
      </c>
      <c r="K6" s="127"/>
      <c r="L6" s="1" t="str">
        <f t="shared" si="0"/>
        <v>Completed</v>
      </c>
      <c r="M6" s="1" t="str">
        <f>VLOOKUP(A:A,'Finance Tracker'!A4:K250,8,FALSE)</f>
        <v>Pending 1st Invoice</v>
      </c>
      <c r="N6" s="127"/>
      <c r="O6" s="1" t="s">
        <v>109</v>
      </c>
      <c r="P6" s="1" t="s">
        <v>109</v>
      </c>
      <c r="Q6" s="127"/>
      <c r="R6" s="56">
        <v>45086</v>
      </c>
      <c r="S6" s="56">
        <v>45104</v>
      </c>
      <c r="T6" s="1" t="s">
        <v>1823</v>
      </c>
      <c r="U6" s="56">
        <v>45451</v>
      </c>
      <c r="V6" s="39" t="s">
        <v>1853</v>
      </c>
      <c r="W6" s="1" t="s">
        <v>1853</v>
      </c>
      <c r="X6" s="4" t="s">
        <v>109</v>
      </c>
      <c r="Y6" s="4" t="s">
        <v>1853</v>
      </c>
      <c r="Z6" s="4" t="s">
        <v>1853</v>
      </c>
      <c r="AA6" s="39" t="s">
        <v>1853</v>
      </c>
      <c r="AB6" s="1" t="s">
        <v>1853</v>
      </c>
      <c r="AC6" s="1" t="s">
        <v>1853</v>
      </c>
      <c r="AD6" s="1" t="s">
        <v>1853</v>
      </c>
      <c r="AE6" s="1" t="s">
        <v>1853</v>
      </c>
      <c r="AF6" s="56">
        <v>45226</v>
      </c>
      <c r="AG6" s="56">
        <v>45226</v>
      </c>
      <c r="AH6" s="56">
        <v>48883</v>
      </c>
      <c r="AJ6" s="4" t="s">
        <v>109</v>
      </c>
      <c r="AK6" s="4" t="s">
        <v>109</v>
      </c>
      <c r="AL6" s="4" t="s">
        <v>109</v>
      </c>
      <c r="AM6" s="4" t="s">
        <v>109</v>
      </c>
      <c r="AP6" s="1">
        <f t="shared" si="1"/>
        <v>18</v>
      </c>
      <c r="AQ6" s="38" t="e">
        <f>AA6-Table1[[#This Row],[Closed Date]]</f>
        <v>#VALUE!</v>
      </c>
    </row>
    <row r="7" spans="1:43" ht="18.75" customHeight="1" x14ac:dyDescent="0.3">
      <c r="A7" s="4">
        <f>Table1[[#This Row],[Project No]]</f>
        <v>2304016</v>
      </c>
      <c r="B7" s="110" t="str">
        <f>VLOOKUP(A:A,Table1[[Project No]:[Additional Remark]],2,FALSE)</f>
        <v>Tan Sei Choon</v>
      </c>
      <c r="C7" s="4" t="e" vm="16">
        <f>VLOOKUP(A:A,Table1[[#All],[Project No]:[Additional Remark]],7,FALSE)</f>
        <v>#VALUE!</v>
      </c>
      <c r="D7" s="4" t="str">
        <f>VLOOKUP(A:A,Table1[[#All],[Project No]:[Additional Remark]],4,FALSE)</f>
        <v>Chean Bang</v>
      </c>
      <c r="E7" s="4" t="str">
        <f>VLOOKUP(A:A,Table1[[#All],[Project No]:[Additional Remark]],5,FALSE)</f>
        <v>R-PV</v>
      </c>
      <c r="F7" s="4" t="str">
        <f>VLOOKUP(A:A,Table1[[Project No]:[Additional Remark]],6,FALSE)</f>
        <v>SELCO</v>
      </c>
      <c r="G7" s="4">
        <f>VLOOKUP(A:A,Table1[[Project No]:[Additional Remark]],8,FALSE)</f>
        <v>8.0500000000000007</v>
      </c>
      <c r="H7" s="4" t="str">
        <f>VLOOKUP(A:A,Table1[[Project No]:[Additional Remark]],15,FALSE)</f>
        <v>Astronergy 575Wp</v>
      </c>
      <c r="I7" s="4">
        <f>VLOOKUP(A:A,Table1[[Project No]:[Additional Remark]],16,FALSE)</f>
        <v>14.000000000000002</v>
      </c>
      <c r="J7" s="1" t="str">
        <f>VLOOKUP(A:A,Table1[[Project No]:[Additional Remark]],17,FALSE)</f>
        <v>Solinteg MHT-8K-25 hybrid</v>
      </c>
      <c r="K7" s="127"/>
      <c r="L7" s="1" t="str">
        <f t="shared" si="0"/>
        <v>Completed</v>
      </c>
      <c r="M7" s="1" t="str">
        <f>VLOOKUP(A:A,'Finance Tracker'!A5:K251,8,FALSE)</f>
        <v>Invoice Completed</v>
      </c>
      <c r="N7" s="127"/>
      <c r="O7" s="1" t="s">
        <v>109</v>
      </c>
      <c r="P7" s="1" t="s">
        <v>109</v>
      </c>
      <c r="Q7" s="127"/>
      <c r="R7" s="56" t="s">
        <v>109</v>
      </c>
      <c r="S7" s="56" t="s">
        <v>109</v>
      </c>
      <c r="T7" s="56" t="s">
        <v>109</v>
      </c>
      <c r="U7" s="56" t="s">
        <v>109</v>
      </c>
      <c r="V7" s="39" t="s">
        <v>1853</v>
      </c>
      <c r="W7" s="1" t="s">
        <v>1853</v>
      </c>
      <c r="X7" s="4" t="s">
        <v>109</v>
      </c>
      <c r="Y7" s="4" t="s">
        <v>1853</v>
      </c>
      <c r="Z7" s="4" t="s">
        <v>1853</v>
      </c>
      <c r="AA7" s="39" t="s">
        <v>1853</v>
      </c>
      <c r="AB7" s="39" t="s">
        <v>109</v>
      </c>
      <c r="AC7" s="39" t="s">
        <v>109</v>
      </c>
      <c r="AD7" s="39" t="s">
        <v>109</v>
      </c>
      <c r="AE7" s="39" t="s">
        <v>109</v>
      </c>
      <c r="AF7" s="39" t="s">
        <v>109</v>
      </c>
      <c r="AG7" s="39" t="s">
        <v>109</v>
      </c>
      <c r="AH7" s="39" t="s">
        <v>109</v>
      </c>
      <c r="AJ7" s="4" t="s">
        <v>109</v>
      </c>
      <c r="AK7" s="4" t="s">
        <v>109</v>
      </c>
      <c r="AL7" s="4" t="s">
        <v>109</v>
      </c>
      <c r="AM7" s="4" t="s">
        <v>109</v>
      </c>
      <c r="AP7" s="1" t="e">
        <f t="shared" si="1"/>
        <v>#VALUE!</v>
      </c>
      <c r="AQ7" s="38" t="e">
        <f>AA7-Table1[[#This Row],[Closed Date]]</f>
        <v>#VALUE!</v>
      </c>
    </row>
    <row r="8" spans="1:43" ht="18.75" customHeight="1" x14ac:dyDescent="0.3">
      <c r="A8" s="4">
        <f>Table1[[#This Row],[Project No]]</f>
        <v>2305021</v>
      </c>
      <c r="B8" s="110" t="str">
        <f>VLOOKUP(A:A,Table1[[Project No]:[Additional Remark]],2,FALSE)</f>
        <v>Ho Hon Kit</v>
      </c>
      <c r="C8" s="4" t="e" vm="15">
        <f>VLOOKUP(A:A,Table1[[#All],[Project No]:[Additional Remark]],7,FALSE)</f>
        <v>#VALUE!</v>
      </c>
      <c r="D8" s="4" t="str">
        <f>VLOOKUP(A:A,Table1[[#All],[Project No]:[Additional Remark]],4,FALSE)</f>
        <v>Simon</v>
      </c>
      <c r="E8" s="4" t="str">
        <f>VLOOKUP(A:A,Table1[[#All],[Project No]:[Additional Remark]],5,FALSE)</f>
        <v>R-PV</v>
      </c>
      <c r="F8" s="4" t="str">
        <f>VLOOKUP(A:A,Table1[[Project No]:[Additional Remark]],6,FALSE)</f>
        <v>NEM</v>
      </c>
      <c r="G8" s="4">
        <f>VLOOKUP(A:A,Table1[[Project No]:[Additional Remark]],8,FALSE)</f>
        <v>4.6500000000000004</v>
      </c>
      <c r="H8" s="4" t="str">
        <f>VLOOKUP(A:A,Table1[[Project No]:[Additional Remark]],15,FALSE)</f>
        <v>Astronergy 575Wp</v>
      </c>
      <c r="I8" s="4">
        <f>VLOOKUP(A:A,Table1[[Project No]:[Additional Remark]],16,FALSE)</f>
        <v>8</v>
      </c>
      <c r="J8" s="1" t="str">
        <f>VLOOKUP(A:A,Table1[[Project No]:[Additional Remark]],17,FALSE)</f>
        <v>Solinteg MHS-3.6K-30 hybrid</v>
      </c>
      <c r="K8" s="127"/>
      <c r="L8" s="1" t="str">
        <f t="shared" si="0"/>
        <v>Completed</v>
      </c>
      <c r="M8" s="1" t="str">
        <f>VLOOKUP(A:A,'Finance Tracker'!A6:K251,8,FALSE)</f>
        <v>Pending 1st Invoice</v>
      </c>
      <c r="N8" s="127"/>
      <c r="O8" s="1" t="s">
        <v>109</v>
      </c>
      <c r="P8" s="1" t="s">
        <v>109</v>
      </c>
      <c r="Q8" s="127"/>
      <c r="R8" s="56">
        <v>45083</v>
      </c>
      <c r="S8" s="56">
        <v>45104</v>
      </c>
      <c r="T8" s="1" t="s">
        <v>1823</v>
      </c>
      <c r="U8" s="56">
        <v>45451</v>
      </c>
      <c r="V8" s="39" t="s">
        <v>1853</v>
      </c>
      <c r="W8" s="1" t="s">
        <v>1853</v>
      </c>
      <c r="X8" s="4" t="s">
        <v>109</v>
      </c>
      <c r="Y8" s="4" t="s">
        <v>1853</v>
      </c>
      <c r="Z8" s="4" t="s">
        <v>1853</v>
      </c>
      <c r="AA8" s="39" t="s">
        <v>1853</v>
      </c>
      <c r="AB8" s="1" t="s">
        <v>1853</v>
      </c>
      <c r="AC8" s="1" t="s">
        <v>1853</v>
      </c>
      <c r="AD8" s="1" t="s">
        <v>1853</v>
      </c>
      <c r="AE8" s="1" t="s">
        <v>1853</v>
      </c>
      <c r="AF8" s="56">
        <v>45182</v>
      </c>
      <c r="AG8" s="56">
        <v>45182</v>
      </c>
      <c r="AH8" s="56">
        <v>48852</v>
      </c>
      <c r="AJ8" s="4" t="s">
        <v>109</v>
      </c>
      <c r="AK8" s="4" t="s">
        <v>109</v>
      </c>
      <c r="AL8" s="4" t="s">
        <v>109</v>
      </c>
      <c r="AM8" s="4" t="s">
        <v>109</v>
      </c>
      <c r="AP8" s="1">
        <f t="shared" si="1"/>
        <v>21</v>
      </c>
      <c r="AQ8" s="38" t="e">
        <f>AA8-Table1[[#This Row],[Closed Date]]</f>
        <v>#VALUE!</v>
      </c>
    </row>
    <row r="9" spans="1:43" ht="18.75" customHeight="1" x14ac:dyDescent="0.3">
      <c r="A9" s="4">
        <f>Table1[[#This Row],[Project No]]</f>
        <v>2305026</v>
      </c>
      <c r="B9" s="110" t="str">
        <f>VLOOKUP(A:A,Table1[[Project No]:[Additional Remark]],2,FALSE)</f>
        <v>Stanley Ang Leng Chuan</v>
      </c>
      <c r="C9" s="4" t="e" vm="15">
        <f>VLOOKUP(A:A,Table1[[#All],[Project No]:[Additional Remark]],7,FALSE)</f>
        <v>#VALUE!</v>
      </c>
      <c r="D9" s="4" t="str">
        <f>VLOOKUP(A:A,Table1[[#All],[Project No]:[Additional Remark]],4,FALSE)</f>
        <v>Simon</v>
      </c>
      <c r="E9" s="4" t="str">
        <f>VLOOKUP(A:A,Table1[[#All],[Project No]:[Additional Remark]],5,FALSE)</f>
        <v>R-PV</v>
      </c>
      <c r="F9" s="4" t="str">
        <f>VLOOKUP(A:A,Table1[[Project No]:[Additional Remark]],6,FALSE)</f>
        <v>NEM</v>
      </c>
      <c r="G9" s="4">
        <f>VLOOKUP(A:A,Table1[[Project No]:[Additional Remark]],8,FALSE)</f>
        <v>12.65</v>
      </c>
      <c r="H9" s="4" t="str">
        <f>VLOOKUP(A:A,Table1[[Project No]:[Additional Remark]],15,FALSE)</f>
        <v>Astronergy 575Wp</v>
      </c>
      <c r="I9" s="4">
        <f>VLOOKUP(A:A,Table1[[Project No]:[Additional Remark]],16,FALSE)</f>
        <v>22</v>
      </c>
      <c r="J9" s="1" t="str">
        <f>VLOOKUP(A:A,Table1[[Project No]:[Additional Remark]],17,FALSE)</f>
        <v>Solinteg MHT-10K-25 hybrid</v>
      </c>
      <c r="K9" s="127"/>
      <c r="L9" s="1" t="str">
        <f t="shared" si="0"/>
        <v>Completed</v>
      </c>
      <c r="M9" s="1" t="str">
        <f>VLOOKUP(A:A,'Finance Tracker'!A7:K251,8,FALSE)</f>
        <v>Invoice Completed</v>
      </c>
      <c r="N9" s="127"/>
      <c r="O9" s="1" t="s">
        <v>109</v>
      </c>
      <c r="P9" s="1" t="s">
        <v>109</v>
      </c>
      <c r="Q9" s="127"/>
      <c r="R9" s="56">
        <v>45115</v>
      </c>
      <c r="S9" s="56">
        <v>45143</v>
      </c>
      <c r="T9" s="1" t="s">
        <v>1823</v>
      </c>
      <c r="U9" s="56">
        <v>45770</v>
      </c>
      <c r="V9" s="39" t="s">
        <v>1853</v>
      </c>
      <c r="W9" s="1" t="s">
        <v>1853</v>
      </c>
      <c r="X9" s="4" t="s">
        <v>109</v>
      </c>
      <c r="Y9" s="4" t="s">
        <v>1853</v>
      </c>
      <c r="Z9" s="4" t="s">
        <v>1853</v>
      </c>
      <c r="AA9" s="39" t="s">
        <v>1853</v>
      </c>
      <c r="AB9" s="1" t="s">
        <v>1853</v>
      </c>
      <c r="AC9" s="1" t="s">
        <v>1853</v>
      </c>
      <c r="AD9" s="1" t="s">
        <v>1853</v>
      </c>
      <c r="AE9" s="1" t="s">
        <v>1853</v>
      </c>
      <c r="AF9" s="56">
        <v>45232</v>
      </c>
      <c r="AG9" s="56">
        <v>45232</v>
      </c>
      <c r="AH9" s="56">
        <v>48913</v>
      </c>
      <c r="AJ9" s="4" t="s">
        <v>109</v>
      </c>
      <c r="AK9" s="4" t="s">
        <v>109</v>
      </c>
      <c r="AL9" s="4" t="s">
        <v>109</v>
      </c>
      <c r="AM9" s="4" t="s">
        <v>109</v>
      </c>
      <c r="AP9" s="1">
        <f t="shared" si="1"/>
        <v>28</v>
      </c>
      <c r="AQ9" s="38" t="e">
        <f>AA9-Table1[[#This Row],[Closed Date]]</f>
        <v>#VALUE!</v>
      </c>
    </row>
    <row r="10" spans="1:43" ht="18.75" customHeight="1" x14ac:dyDescent="0.3">
      <c r="A10" s="4">
        <f>Table1[[#This Row],[Project No]]</f>
        <v>2306033</v>
      </c>
      <c r="B10" s="110" t="str">
        <f>VLOOKUP(A:A,Table1[[Project No]:[Additional Remark]],2,FALSE)</f>
        <v>Foo Tuang Lee</v>
      </c>
      <c r="C10" s="4" t="e" vm="17">
        <f>VLOOKUP(A:A,Table1[[#All],[Project No]:[Additional Remark]],7,FALSE)</f>
        <v>#VALUE!</v>
      </c>
      <c r="D10" s="4" t="str">
        <f>VLOOKUP(A:A,Table1[[#All],[Project No]:[Additional Remark]],4,FALSE)</f>
        <v>Chean Bang</v>
      </c>
      <c r="E10" s="4" t="str">
        <f>VLOOKUP(A:A,Table1[[#All],[Project No]:[Additional Remark]],5,FALSE)</f>
        <v>R-PV</v>
      </c>
      <c r="F10" s="4" t="str">
        <f>VLOOKUP(A:A,Table1[[Project No]:[Additional Remark]],6,FALSE)</f>
        <v>NEM</v>
      </c>
      <c r="G10" s="4">
        <f>VLOOKUP(A:A,Table1[[Project No]:[Additional Remark]],8,FALSE)</f>
        <v>4.6500000000000004</v>
      </c>
      <c r="H10" s="4" t="str">
        <f>VLOOKUP(A:A,Table1[[Project No]:[Additional Remark]],15,FALSE)</f>
        <v>Astronergy 575Wp</v>
      </c>
      <c r="I10" s="4">
        <f>VLOOKUP(A:A,Table1[[Project No]:[Additional Remark]],16,FALSE)</f>
        <v>8</v>
      </c>
      <c r="J10" s="1" t="str">
        <f>VLOOKUP(A:A,Table1[[Project No]:[Additional Remark]],17,FALSE)</f>
        <v>Solinteg MHS-3.6K-30 hybrid</v>
      </c>
      <c r="K10" s="127"/>
      <c r="L10" s="1" t="str">
        <f t="shared" si="0"/>
        <v>Completed</v>
      </c>
      <c r="M10" s="1" t="str">
        <f>VLOOKUP(A:A,'Finance Tracker'!A8:K252,8,FALSE)</f>
        <v>Invoice Completed</v>
      </c>
      <c r="N10" s="127"/>
      <c r="O10" s="1" t="s">
        <v>109</v>
      </c>
      <c r="P10" s="1" t="s">
        <v>109</v>
      </c>
      <c r="Q10" s="127"/>
      <c r="R10" s="56">
        <v>45086</v>
      </c>
      <c r="S10" s="56">
        <v>45104</v>
      </c>
      <c r="T10" s="1" t="s">
        <v>1823</v>
      </c>
      <c r="U10" s="56">
        <v>45451</v>
      </c>
      <c r="V10" s="39" t="s">
        <v>1853</v>
      </c>
      <c r="W10" s="1" t="s">
        <v>1853</v>
      </c>
      <c r="X10" s="4" t="s">
        <v>109</v>
      </c>
      <c r="Y10" s="4" t="s">
        <v>1853</v>
      </c>
      <c r="Z10" s="4" t="s">
        <v>1853</v>
      </c>
      <c r="AA10" s="39" t="s">
        <v>1853</v>
      </c>
      <c r="AB10" s="1" t="s">
        <v>1853</v>
      </c>
      <c r="AC10" s="1" t="s">
        <v>1853</v>
      </c>
      <c r="AD10" s="1" t="s">
        <v>1853</v>
      </c>
      <c r="AE10" s="1" t="s">
        <v>1853</v>
      </c>
      <c r="AF10" s="56">
        <v>45169</v>
      </c>
      <c r="AG10" s="56">
        <v>45169</v>
      </c>
      <c r="AH10" s="56">
        <v>48822</v>
      </c>
      <c r="AJ10" s="4" t="s">
        <v>109</v>
      </c>
      <c r="AK10" s="4" t="s">
        <v>109</v>
      </c>
      <c r="AL10" s="4" t="s">
        <v>109</v>
      </c>
      <c r="AM10" s="4" t="s">
        <v>109</v>
      </c>
      <c r="AP10" s="1">
        <f t="shared" si="1"/>
        <v>18</v>
      </c>
      <c r="AQ10" s="38" t="e">
        <f>AA10-Table1[[#This Row],[Closed Date]]</f>
        <v>#VALUE!</v>
      </c>
    </row>
    <row r="11" spans="1:43" ht="18.75" customHeight="1" x14ac:dyDescent="0.3">
      <c r="A11" s="4">
        <f>Table1[[#This Row],[Project No]]</f>
        <v>2306037</v>
      </c>
      <c r="B11" s="110" t="str">
        <f>VLOOKUP(A:A,Table1[[Project No]:[Additional Remark]],2,FALSE)</f>
        <v>Tan Hong Guan</v>
      </c>
      <c r="C11" s="4" t="e" vm="18">
        <f>VLOOKUP(A:A,Table1[[#All],[Project No]:[Additional Remark]],7,FALSE)</f>
        <v>#VALUE!</v>
      </c>
      <c r="D11" s="4" t="str">
        <f>VLOOKUP(A:A,Table1[[#All],[Project No]:[Additional Remark]],4,FALSE)</f>
        <v>Simon</v>
      </c>
      <c r="E11" s="4" t="str">
        <f>VLOOKUP(A:A,Table1[[#All],[Project No]:[Additional Remark]],5,FALSE)</f>
        <v>R-PV</v>
      </c>
      <c r="F11" s="4" t="str">
        <f>VLOOKUP(A:A,Table1[[Project No]:[Additional Remark]],6,FALSE)</f>
        <v>NEM</v>
      </c>
      <c r="G11" s="4">
        <f>VLOOKUP(A:A,Table1[[Project No]:[Additional Remark]],8,FALSE)</f>
        <v>10.925000000000001</v>
      </c>
      <c r="H11" s="4" t="str">
        <f>VLOOKUP(A:A,Table1[[Project No]:[Additional Remark]],15,FALSE)</f>
        <v>Astronergy 575Wp</v>
      </c>
      <c r="I11" s="4">
        <f>VLOOKUP(A:A,Table1[[Project No]:[Additional Remark]],16,FALSE)</f>
        <v>19</v>
      </c>
      <c r="J11" s="1" t="str">
        <f>VLOOKUP(A:A,Table1[[Project No]:[Additional Remark]],17,FALSE)</f>
        <v>Huawei SUN2000-10KTL</v>
      </c>
      <c r="K11" s="127"/>
      <c r="L11" s="1" t="str">
        <f t="shared" si="0"/>
        <v>Completed</v>
      </c>
      <c r="M11" s="1" t="str">
        <f>VLOOKUP(A:A,'Finance Tracker'!A9:K253,8,FALSE)</f>
        <v>Invoice Completed</v>
      </c>
      <c r="N11" s="127"/>
      <c r="O11" s="1" t="s">
        <v>109</v>
      </c>
      <c r="P11" s="1" t="s">
        <v>109</v>
      </c>
      <c r="Q11" s="127"/>
      <c r="R11" s="56">
        <v>45146</v>
      </c>
      <c r="S11" s="56">
        <v>45161</v>
      </c>
      <c r="T11" s="1" t="s">
        <v>1823</v>
      </c>
      <c r="U11" s="56">
        <v>45793</v>
      </c>
      <c r="V11" s="39" t="s">
        <v>1853</v>
      </c>
      <c r="W11" s="1" t="s">
        <v>1853</v>
      </c>
      <c r="X11" s="4" t="s">
        <v>109</v>
      </c>
      <c r="Y11" s="4" t="s">
        <v>1853</v>
      </c>
      <c r="Z11" s="4" t="s">
        <v>1853</v>
      </c>
      <c r="AA11" s="39" t="s">
        <v>1853</v>
      </c>
      <c r="AB11" s="1" t="s">
        <v>1853</v>
      </c>
      <c r="AC11" s="1" t="s">
        <v>1853</v>
      </c>
      <c r="AD11" s="1" t="s">
        <v>1853</v>
      </c>
      <c r="AE11" s="1" t="s">
        <v>1853</v>
      </c>
      <c r="AF11" s="56">
        <v>45208</v>
      </c>
      <c r="AG11" s="56">
        <v>45208</v>
      </c>
      <c r="AH11" s="56">
        <v>48883</v>
      </c>
      <c r="AJ11" s="4" t="s">
        <v>109</v>
      </c>
      <c r="AK11" s="4" t="s">
        <v>109</v>
      </c>
      <c r="AL11" s="4" t="s">
        <v>109</v>
      </c>
      <c r="AM11" s="4" t="s">
        <v>109</v>
      </c>
      <c r="AP11" s="1">
        <f t="shared" si="1"/>
        <v>15</v>
      </c>
      <c r="AQ11" s="38" t="e">
        <f>AA11-Table1[[#This Row],[Closed Date]]</f>
        <v>#VALUE!</v>
      </c>
    </row>
    <row r="12" spans="1:43" ht="18.75" customHeight="1" x14ac:dyDescent="0.3">
      <c r="A12" s="4">
        <f>Table1[[#This Row],[Project No]]</f>
        <v>2307040</v>
      </c>
      <c r="B12" s="110" t="str">
        <f>VLOOKUP(A:A,Table1[[Project No]:[Additional Remark]],2,FALSE)</f>
        <v>Law Soo Chin</v>
      </c>
      <c r="C12" s="4" t="e" vm="15">
        <f>VLOOKUP(A:A,Table1[[#All],[Project No]:[Additional Remark]],7,FALSE)</f>
        <v>#VALUE!</v>
      </c>
      <c r="D12" s="4" t="str">
        <f>VLOOKUP(A:A,Table1[[#All],[Project No]:[Additional Remark]],4,FALSE)</f>
        <v>Chean Bang</v>
      </c>
      <c r="E12" s="4" t="str">
        <f>VLOOKUP(A:A,Table1[[#All],[Project No]:[Additional Remark]],5,FALSE)</f>
        <v>R-PV</v>
      </c>
      <c r="F12" s="4" t="str">
        <f>VLOOKUP(A:A,Table1[[Project No]:[Additional Remark]],6,FALSE)</f>
        <v>NEM</v>
      </c>
      <c r="G12" s="4">
        <f>VLOOKUP(A:A,Table1[[Project No]:[Additional Remark]],8,FALSE)</f>
        <v>12.65</v>
      </c>
      <c r="H12" s="4" t="str">
        <f>VLOOKUP(A:A,Table1[[Project No]:[Additional Remark]],15,FALSE)</f>
        <v>Astronergy 575Wp</v>
      </c>
      <c r="I12" s="4">
        <f>VLOOKUP(A:A,Table1[[Project No]:[Additional Remark]],16,FALSE)</f>
        <v>22.000000000000004</v>
      </c>
      <c r="J12" s="1" t="str">
        <f>VLOOKUP(A:A,Table1[[Project No]:[Additional Remark]],17,FALSE)</f>
        <v>Solinteg MHT-10K-25 hybrid</v>
      </c>
      <c r="K12" s="127"/>
      <c r="L12" s="1" t="str">
        <f t="shared" si="0"/>
        <v>Completed</v>
      </c>
      <c r="M12" s="1" t="str">
        <f>VLOOKUP(A:A,'Finance Tracker'!A10:K254,8,FALSE)</f>
        <v>Invoice Completed</v>
      </c>
      <c r="N12" s="127"/>
      <c r="O12" s="1" t="s">
        <v>109</v>
      </c>
      <c r="P12" s="1" t="s">
        <v>109</v>
      </c>
      <c r="Q12" s="127"/>
      <c r="R12" s="56">
        <v>45125</v>
      </c>
      <c r="S12" s="56">
        <v>45143</v>
      </c>
      <c r="T12" s="1" t="s">
        <v>1823</v>
      </c>
      <c r="U12" s="56">
        <v>45770</v>
      </c>
      <c r="V12" s="39" t="s">
        <v>1853</v>
      </c>
      <c r="W12" s="1" t="s">
        <v>1853</v>
      </c>
      <c r="X12" s="4" t="s">
        <v>109</v>
      </c>
      <c r="Y12" s="4" t="s">
        <v>1853</v>
      </c>
      <c r="Z12" s="4" t="s">
        <v>1853</v>
      </c>
      <c r="AA12" s="39" t="s">
        <v>1853</v>
      </c>
      <c r="AB12" s="1" t="s">
        <v>1853</v>
      </c>
      <c r="AC12" s="1" t="s">
        <v>1853</v>
      </c>
      <c r="AD12" s="1" t="s">
        <v>1853</v>
      </c>
      <c r="AE12" s="1" t="s">
        <v>1853</v>
      </c>
      <c r="AF12" s="56">
        <v>45212</v>
      </c>
      <c r="AG12" s="56">
        <v>45212</v>
      </c>
      <c r="AH12" s="56">
        <v>48883</v>
      </c>
      <c r="AJ12" s="4" t="s">
        <v>109</v>
      </c>
      <c r="AK12" s="4" t="s">
        <v>109</v>
      </c>
      <c r="AL12" s="4" t="s">
        <v>109</v>
      </c>
      <c r="AM12" s="4" t="s">
        <v>109</v>
      </c>
      <c r="AP12" s="1">
        <f t="shared" si="1"/>
        <v>18</v>
      </c>
      <c r="AQ12" s="38" t="e">
        <f>AA12-Table1[[#This Row],[Closed Date]]</f>
        <v>#VALUE!</v>
      </c>
    </row>
    <row r="13" spans="1:43" ht="18.75" customHeight="1" x14ac:dyDescent="0.3">
      <c r="A13" s="4">
        <f>Table1[[#This Row],[Project No]]</f>
        <v>2305011</v>
      </c>
      <c r="B13" s="110" t="str">
        <f>VLOOKUP(A:A,Table1[[Project No]:[Additional Remark]],2,FALSE)</f>
        <v>Kossan FRP Marketing (M) Sdn Bhd</v>
      </c>
      <c r="C13" s="4" t="e" vm="15">
        <f>VLOOKUP(A:A,Table1[[#All],[Project No]:[Additional Remark]],7,FALSE)</f>
        <v>#VALUE!</v>
      </c>
      <c r="D13" s="4" t="str">
        <f>VLOOKUP(A:A,Table1[[#All],[Project No]:[Additional Remark]],4,FALSE)</f>
        <v>Simon</v>
      </c>
      <c r="E13" s="4" t="str">
        <f>VLOOKUP(A:A,Table1[[#All],[Project No]:[Additional Remark]],5,FALSE)</f>
        <v>C&amp;I-PV</v>
      </c>
      <c r="F13" s="4" t="str">
        <f>VLOOKUP(A:A,Table1[[Project No]:[Additional Remark]],6,FALSE)</f>
        <v>NEM</v>
      </c>
      <c r="G13" s="4">
        <f>VLOOKUP(A:A,Table1[[Project No]:[Additional Remark]],8,FALSE)</f>
        <v>283.94499999999999</v>
      </c>
      <c r="H13" s="4" t="str">
        <f>VLOOKUP(A:A,Table1[[Project No]:[Additional Remark]],15,FALSE)</f>
        <v>-</v>
      </c>
      <c r="I13" s="4" t="str">
        <f>VLOOKUP(A:A,Table1[[Project No]:[Additional Remark]],16,FALSE)</f>
        <v>-</v>
      </c>
      <c r="J13" s="1" t="str">
        <f>VLOOKUP(A:A,Table1[[Project No]:[Additional Remark]],17,FALSE)</f>
        <v>-</v>
      </c>
      <c r="K13" s="127"/>
      <c r="L13" s="1" t="str">
        <f t="shared" si="0"/>
        <v>Completed</v>
      </c>
      <c r="M13" s="1" t="str">
        <f>VLOOKUP(A:A,'Finance Tracker'!A11:K255,8,FALSE)</f>
        <v>2nd invoice</v>
      </c>
      <c r="N13" s="127"/>
      <c r="O13" s="1" t="s">
        <v>109</v>
      </c>
      <c r="P13" s="1" t="s">
        <v>109</v>
      </c>
      <c r="Q13" s="127"/>
      <c r="R13" s="56" t="s">
        <v>109</v>
      </c>
      <c r="S13" s="56" t="s">
        <v>109</v>
      </c>
      <c r="T13" s="56" t="s">
        <v>109</v>
      </c>
      <c r="U13" s="56" t="s">
        <v>109</v>
      </c>
      <c r="V13" s="39" t="s">
        <v>1853</v>
      </c>
      <c r="W13" s="1" t="s">
        <v>1853</v>
      </c>
      <c r="X13" s="4" t="s">
        <v>109</v>
      </c>
      <c r="Y13" s="4" t="s">
        <v>1853</v>
      </c>
      <c r="Z13" s="4" t="s">
        <v>1853</v>
      </c>
      <c r="AA13" s="39" t="s">
        <v>1853</v>
      </c>
      <c r="AB13" s="1" t="s">
        <v>1853</v>
      </c>
      <c r="AC13" s="1" t="s">
        <v>1853</v>
      </c>
      <c r="AD13" s="1" t="s">
        <v>1853</v>
      </c>
      <c r="AE13" s="1" t="s">
        <v>1853</v>
      </c>
      <c r="AF13" s="1" t="s">
        <v>1853</v>
      </c>
      <c r="AG13" s="1" t="s">
        <v>1853</v>
      </c>
      <c r="AH13" s="1" t="s">
        <v>1853</v>
      </c>
      <c r="AJ13" s="4" t="s">
        <v>109</v>
      </c>
      <c r="AK13" s="4" t="s">
        <v>109</v>
      </c>
      <c r="AL13" s="4" t="s">
        <v>109</v>
      </c>
      <c r="AM13" s="4" t="s">
        <v>109</v>
      </c>
      <c r="AP13" s="1" t="e">
        <f t="shared" si="1"/>
        <v>#VALUE!</v>
      </c>
      <c r="AQ13" s="38" t="e">
        <f>AA13-Table1[[#This Row],[Closed Date]]</f>
        <v>#VALUE!</v>
      </c>
    </row>
    <row r="14" spans="1:43" ht="18.75" customHeight="1" x14ac:dyDescent="0.3">
      <c r="A14" s="4">
        <f>Table1[[#This Row],[Project No]]</f>
        <v>2304007</v>
      </c>
      <c r="B14" s="110" t="str">
        <f>VLOOKUP(A:A,Table1[[Project No]:[Additional Remark]],2,FALSE)</f>
        <v>MTJ Development Sdn Bhd (Intercontinental KL)</v>
      </c>
      <c r="C14" s="4" t="e" vm="18">
        <f>VLOOKUP(A:A,Table1[[#All],[Project No]:[Additional Remark]],7,FALSE)</f>
        <v>#VALUE!</v>
      </c>
      <c r="D14" s="4" t="str">
        <f>VLOOKUP(A:A,Table1[[#All],[Project No]:[Additional Remark]],4,FALSE)</f>
        <v>Simon</v>
      </c>
      <c r="E14" s="4" t="str">
        <f>VLOOKUP(A:A,Table1[[#All],[Project No]:[Additional Remark]],5,FALSE)</f>
        <v>C&amp;I-PV</v>
      </c>
      <c r="F14" s="4" t="str">
        <f>VLOOKUP(A:A,Table1[[Project No]:[Additional Remark]],6,FALSE)</f>
        <v>NEM</v>
      </c>
      <c r="G14" s="4">
        <f>VLOOKUP(A:A,Table1[[Project No]:[Additional Remark]],8,FALSE)</f>
        <v>51.75</v>
      </c>
      <c r="H14" s="4" t="str">
        <f>VLOOKUP(A:A,Table1[[Project No]:[Additional Remark]],15,FALSE)</f>
        <v>Astronergy 575Wp</v>
      </c>
      <c r="I14" s="4">
        <f>VLOOKUP(A:A,Table1[[Project No]:[Additional Remark]],16,FALSE)</f>
        <v>90</v>
      </c>
      <c r="J14" s="1" t="str">
        <f>VLOOKUP(A:A,Table1[[Project No]:[Additional Remark]],17,FALSE)</f>
        <v>Goodwe 50kW</v>
      </c>
      <c r="K14" s="127"/>
      <c r="L14" s="1" t="str">
        <f t="shared" si="0"/>
        <v>Completed</v>
      </c>
      <c r="M14" s="1" t="str">
        <f>VLOOKUP(A:A,'Finance Tracker'!A12:K256,8,FALSE)</f>
        <v>4th invoice</v>
      </c>
      <c r="N14" s="127"/>
      <c r="O14" s="1" t="s">
        <v>109</v>
      </c>
      <c r="P14" s="1" t="s">
        <v>109</v>
      </c>
      <c r="Q14" s="127"/>
      <c r="R14" s="56">
        <v>45170</v>
      </c>
      <c r="S14" s="56">
        <v>45238</v>
      </c>
      <c r="T14" s="1" t="s">
        <v>1819</v>
      </c>
      <c r="U14" s="56">
        <v>45505</v>
      </c>
      <c r="V14" s="39" t="s">
        <v>1853</v>
      </c>
      <c r="W14" s="1" t="s">
        <v>1853</v>
      </c>
      <c r="X14" s="4" t="s">
        <v>109</v>
      </c>
      <c r="Y14" s="4" t="s">
        <v>1853</v>
      </c>
      <c r="Z14" s="4" t="s">
        <v>1853</v>
      </c>
      <c r="AA14" s="39" t="s">
        <v>1853</v>
      </c>
      <c r="AB14" s="1" t="s">
        <v>1853</v>
      </c>
      <c r="AC14" s="1" t="s">
        <v>1853</v>
      </c>
      <c r="AD14" s="1" t="s">
        <v>1853</v>
      </c>
      <c r="AE14" s="1" t="s">
        <v>1853</v>
      </c>
      <c r="AF14" s="1" t="s">
        <v>1853</v>
      </c>
      <c r="AG14" s="1" t="s">
        <v>1853</v>
      </c>
      <c r="AH14" s="1" t="s">
        <v>1853</v>
      </c>
      <c r="AJ14" s="4" t="s">
        <v>109</v>
      </c>
      <c r="AK14" s="4" t="s">
        <v>109</v>
      </c>
      <c r="AL14" s="4" t="s">
        <v>109</v>
      </c>
      <c r="AM14" s="4" t="s">
        <v>109</v>
      </c>
      <c r="AP14" s="1">
        <f t="shared" si="1"/>
        <v>68</v>
      </c>
      <c r="AQ14" s="38" t="e">
        <f>AA14-Table1[[#This Row],[Closed Date]]</f>
        <v>#VALUE!</v>
      </c>
    </row>
    <row r="15" spans="1:43" ht="18.75" customHeight="1" x14ac:dyDescent="0.3">
      <c r="A15" s="4">
        <f>Table1[[#This Row],[Project No]]</f>
        <v>2307042</v>
      </c>
      <c r="B15" s="110" t="str">
        <f>VLOOKUP(A:A,Table1[[Project No]:[Additional Remark]],2,FALSE)</f>
        <v>Dato' Sri Ng Chong Keong</v>
      </c>
      <c r="C15" s="4" t="e" vm="16">
        <f>VLOOKUP(A:A,Table1[[#All],[Project No]:[Additional Remark]],7,FALSE)</f>
        <v>#VALUE!</v>
      </c>
      <c r="D15" s="4" t="str">
        <f>VLOOKUP(A:A,Table1[[#All],[Project No]:[Additional Remark]],4,FALSE)</f>
        <v>Chean Bang</v>
      </c>
      <c r="E15" s="4" t="str">
        <f>VLOOKUP(A:A,Table1[[#All],[Project No]:[Additional Remark]],5,FALSE)</f>
        <v>R-PV</v>
      </c>
      <c r="F15" s="4" t="str">
        <f>VLOOKUP(A:A,Table1[[Project No]:[Additional Remark]],6,FALSE)</f>
        <v>NEM</v>
      </c>
      <c r="G15" s="4">
        <f>VLOOKUP(A:A,Table1[[Project No]:[Additional Remark]],8,FALSE)</f>
        <v>16.100000000000001</v>
      </c>
      <c r="H15" s="4" t="str">
        <f>VLOOKUP(A:A,Table1[[Project No]:[Additional Remark]],15,FALSE)</f>
        <v>Astronergy 575Wp</v>
      </c>
      <c r="I15" s="4">
        <f>VLOOKUP(A:A,Table1[[Project No]:[Additional Remark]],16,FALSE)</f>
        <v>28.000000000000004</v>
      </c>
      <c r="J15" s="1" t="str">
        <f>VLOOKUP(A:A,Table1[[Project No]:[Additional Remark]],17,FALSE)</f>
        <v>Solinteg MHT-12K-25 hybrid</v>
      </c>
      <c r="K15" s="127"/>
      <c r="L15" s="1" t="str">
        <f t="shared" si="0"/>
        <v>Completed</v>
      </c>
      <c r="M15" s="1" t="str">
        <f>VLOOKUP(A:A,'Finance Tracker'!A13:K257,8,FALSE)</f>
        <v>Invoice Completed</v>
      </c>
      <c r="N15" s="127"/>
      <c r="O15" s="1" t="s">
        <v>109</v>
      </c>
      <c r="P15" s="1" t="s">
        <v>109</v>
      </c>
      <c r="Q15" s="127"/>
      <c r="R15" s="56">
        <v>45188</v>
      </c>
      <c r="S15" s="56">
        <v>45205</v>
      </c>
      <c r="T15" s="1" t="s">
        <v>1823</v>
      </c>
      <c r="U15" s="56">
        <v>45863</v>
      </c>
      <c r="V15" s="39" t="s">
        <v>1853</v>
      </c>
      <c r="W15" s="1" t="s">
        <v>1853</v>
      </c>
      <c r="X15" s="4" t="s">
        <v>109</v>
      </c>
      <c r="Y15" s="4" t="s">
        <v>1853</v>
      </c>
      <c r="Z15" s="4" t="s">
        <v>1853</v>
      </c>
      <c r="AA15" s="39" t="s">
        <v>1853</v>
      </c>
      <c r="AB15" s="1" t="s">
        <v>1853</v>
      </c>
      <c r="AC15" s="1" t="s">
        <v>1853</v>
      </c>
      <c r="AD15" s="1" t="s">
        <v>1853</v>
      </c>
      <c r="AE15" s="1" t="s">
        <v>1853</v>
      </c>
      <c r="AF15" s="56">
        <v>45248</v>
      </c>
      <c r="AG15" s="56">
        <v>45248</v>
      </c>
      <c r="AH15" s="56">
        <v>48913</v>
      </c>
      <c r="AJ15" s="4" t="s">
        <v>109</v>
      </c>
      <c r="AK15" s="4" t="s">
        <v>109</v>
      </c>
      <c r="AL15" s="4" t="s">
        <v>109</v>
      </c>
      <c r="AM15" s="4" t="s">
        <v>109</v>
      </c>
      <c r="AP15" s="1">
        <f t="shared" si="1"/>
        <v>17</v>
      </c>
      <c r="AQ15" s="38" t="e">
        <f>AA15-Table1[[#This Row],[Closed Date]]</f>
        <v>#VALUE!</v>
      </c>
    </row>
    <row r="16" spans="1:43" ht="18.75" customHeight="1" x14ac:dyDescent="0.3">
      <c r="A16" s="4">
        <f>Table1[[#This Row],[Project No]]</f>
        <v>2308058</v>
      </c>
      <c r="B16" s="110" t="str">
        <f>VLOOKUP(A:A,Table1[[Project No]:[Additional Remark]],2,FALSE)</f>
        <v>Cheong Yik Yin</v>
      </c>
      <c r="C16" s="4" t="e" vm="15">
        <f>VLOOKUP(A:A,Table1[[#All],[Project No]:[Additional Remark]],7,FALSE)</f>
        <v>#VALUE!</v>
      </c>
      <c r="D16" s="4" t="str">
        <f>VLOOKUP(A:A,Table1[[#All],[Project No]:[Additional Remark]],4,FALSE)</f>
        <v>Simon</v>
      </c>
      <c r="E16" s="4" t="str">
        <f>VLOOKUP(A:A,Table1[[#All],[Project No]:[Additional Remark]],5,FALSE)</f>
        <v>R-PV</v>
      </c>
      <c r="F16" s="4" t="str">
        <f>VLOOKUP(A:A,Table1[[Project No]:[Additional Remark]],6,FALSE)</f>
        <v>NEM</v>
      </c>
      <c r="G16" s="4">
        <f>VLOOKUP(A:A,Table1[[Project No]:[Additional Remark]],8,FALSE)</f>
        <v>6.9</v>
      </c>
      <c r="H16" s="4" t="str">
        <f>VLOOKUP(A:A,Table1[[Project No]:[Additional Remark]],15,FALSE)</f>
        <v>Astronergy 575Wp</v>
      </c>
      <c r="I16" s="4">
        <f>VLOOKUP(A:A,Table1[[Project No]:[Additional Remark]],16,FALSE)</f>
        <v>12.000000000000002</v>
      </c>
      <c r="J16" s="1" t="str">
        <f>VLOOKUP(A:A,Table1[[Project No]:[Additional Remark]],17,FALSE)</f>
        <v>Solinteg MHT-5K-25 hybrid</v>
      </c>
      <c r="K16" s="127"/>
      <c r="L16" s="1" t="str">
        <f t="shared" si="0"/>
        <v>Completed</v>
      </c>
      <c r="M16" s="1" t="str">
        <f>VLOOKUP(A:A,'Finance Tracker'!A14:K258,8,FALSE)</f>
        <v>Pending 1st Invoice</v>
      </c>
      <c r="N16" s="127"/>
      <c r="O16" s="1" t="s">
        <v>109</v>
      </c>
      <c r="P16" s="1" t="s">
        <v>109</v>
      </c>
      <c r="Q16" s="127"/>
      <c r="R16" s="56">
        <v>45167</v>
      </c>
      <c r="S16" s="56">
        <v>45182</v>
      </c>
      <c r="T16" s="1" t="s">
        <v>1823</v>
      </c>
      <c r="U16" s="56">
        <v>45813</v>
      </c>
      <c r="V16" s="39" t="s">
        <v>1853</v>
      </c>
      <c r="W16" s="1" t="s">
        <v>1853</v>
      </c>
      <c r="X16" s="4" t="s">
        <v>109</v>
      </c>
      <c r="Y16" s="4" t="s">
        <v>1853</v>
      </c>
      <c r="Z16" s="4" t="s">
        <v>1853</v>
      </c>
      <c r="AA16" s="39" t="s">
        <v>1853</v>
      </c>
      <c r="AB16" s="1" t="s">
        <v>1853</v>
      </c>
      <c r="AC16" s="1" t="s">
        <v>1853</v>
      </c>
      <c r="AD16" s="1" t="s">
        <v>1853</v>
      </c>
      <c r="AE16" s="1" t="s">
        <v>1853</v>
      </c>
      <c r="AF16" s="56">
        <v>45251</v>
      </c>
      <c r="AG16" s="56">
        <v>45251</v>
      </c>
      <c r="AH16" s="56">
        <v>48913</v>
      </c>
      <c r="AJ16" s="4" t="s">
        <v>109</v>
      </c>
      <c r="AK16" s="4" t="s">
        <v>109</v>
      </c>
      <c r="AL16" s="4" t="s">
        <v>109</v>
      </c>
      <c r="AM16" s="4" t="s">
        <v>109</v>
      </c>
      <c r="AP16" s="1">
        <f t="shared" si="1"/>
        <v>15</v>
      </c>
      <c r="AQ16" s="38" t="e">
        <f>AA16-Table1[[#This Row],[Closed Date]]</f>
        <v>#VALUE!</v>
      </c>
    </row>
    <row r="17" spans="1:43" ht="18.75" customHeight="1" x14ac:dyDescent="0.3">
      <c r="A17" s="4">
        <f>Table1[[#This Row],[Project No]]</f>
        <v>2308062</v>
      </c>
      <c r="B17" s="110" t="str">
        <f>VLOOKUP(A:A,Table1[[Project No]:[Additional Remark]],2,FALSE)</f>
        <v>Lim Chin Joo</v>
      </c>
      <c r="C17" s="4" t="e" vm="15">
        <f>VLOOKUP(A:A,Table1[[#All],[Project No]:[Additional Remark]],7,FALSE)</f>
        <v>#VALUE!</v>
      </c>
      <c r="D17" s="4" t="str">
        <f>VLOOKUP(A:A,Table1[[#All],[Project No]:[Additional Remark]],4,FALSE)</f>
        <v>Simon</v>
      </c>
      <c r="E17" s="4" t="str">
        <f>VLOOKUP(A:A,Table1[[#All],[Project No]:[Additional Remark]],5,FALSE)</f>
        <v>R-PV</v>
      </c>
      <c r="F17" s="4" t="str">
        <f>VLOOKUP(A:A,Table1[[Project No]:[Additional Remark]],6,FALSE)</f>
        <v>NEM</v>
      </c>
      <c r="G17" s="4">
        <f>VLOOKUP(A:A,Table1[[Project No]:[Additional Remark]],8,FALSE)</f>
        <v>12.65</v>
      </c>
      <c r="H17" s="4" t="str">
        <f>VLOOKUP(A:A,Table1[[Project No]:[Additional Remark]],15,FALSE)</f>
        <v>Astronergy 575Wp</v>
      </c>
      <c r="I17" s="4">
        <f>VLOOKUP(A:A,Table1[[Project No]:[Additional Remark]],16,FALSE)</f>
        <v>22.000000000000004</v>
      </c>
      <c r="J17" s="1" t="str">
        <f>VLOOKUP(A:A,Table1[[Project No]:[Additional Remark]],17,FALSE)</f>
        <v>Huawei SUN2000-12KTL</v>
      </c>
      <c r="K17" s="127"/>
      <c r="L17" s="1" t="str">
        <f t="shared" si="0"/>
        <v>Completed</v>
      </c>
      <c r="M17" s="1" t="str">
        <f>VLOOKUP(A:A,'Finance Tracker'!A15:K259,8,FALSE)</f>
        <v>Pending 1st Invoice</v>
      </c>
      <c r="N17" s="127"/>
      <c r="O17" s="1" t="s">
        <v>109</v>
      </c>
      <c r="P17" s="1" t="s">
        <v>109</v>
      </c>
      <c r="Q17" s="127"/>
      <c r="R17" s="56">
        <v>45259</v>
      </c>
      <c r="S17" s="56">
        <v>45328</v>
      </c>
      <c r="T17" s="1" t="s">
        <v>1823</v>
      </c>
      <c r="U17" s="56">
        <v>45910</v>
      </c>
      <c r="V17" s="39" t="s">
        <v>1853</v>
      </c>
      <c r="W17" s="1" t="s">
        <v>1853</v>
      </c>
      <c r="X17" s="4" t="s">
        <v>109</v>
      </c>
      <c r="Y17" s="4" t="s">
        <v>1853</v>
      </c>
      <c r="Z17" s="4" t="s">
        <v>1853</v>
      </c>
      <c r="AA17" s="39" t="s">
        <v>1853</v>
      </c>
      <c r="AB17" s="1" t="s">
        <v>1853</v>
      </c>
      <c r="AC17" s="1" t="s">
        <v>1853</v>
      </c>
      <c r="AD17" s="1" t="s">
        <v>1853</v>
      </c>
      <c r="AE17" s="1" t="s">
        <v>1853</v>
      </c>
      <c r="AF17" s="56">
        <v>45396</v>
      </c>
      <c r="AG17" s="56">
        <v>45396</v>
      </c>
      <c r="AH17" s="56">
        <v>49064</v>
      </c>
      <c r="AJ17" s="4" t="s">
        <v>109</v>
      </c>
      <c r="AK17" s="4" t="s">
        <v>109</v>
      </c>
      <c r="AL17" s="4" t="s">
        <v>109</v>
      </c>
      <c r="AM17" s="4" t="s">
        <v>109</v>
      </c>
      <c r="AP17" s="1">
        <f t="shared" si="1"/>
        <v>69</v>
      </c>
      <c r="AQ17" s="38" t="e">
        <f>AA17-Table1[[#This Row],[Closed Date]]</f>
        <v>#VALUE!</v>
      </c>
    </row>
    <row r="18" spans="1:43" ht="18.75" customHeight="1" x14ac:dyDescent="0.3">
      <c r="A18" s="4">
        <f>Table1[[#This Row],[Project No]]</f>
        <v>2309068</v>
      </c>
      <c r="B18" s="110" t="str">
        <f>VLOOKUP(A:A,Table1[[Project No]:[Additional Remark]],2,FALSE)</f>
        <v>Kee Siew Chuan (Ngo Woon Wah)</v>
      </c>
      <c r="C18" s="4" t="e" vm="16">
        <f>VLOOKUP(A:A,Table1[[#All],[Project No]:[Additional Remark]],7,FALSE)</f>
        <v>#VALUE!</v>
      </c>
      <c r="D18" s="4" t="str">
        <f>VLOOKUP(A:A,Table1[[#All],[Project No]:[Additional Remark]],4,FALSE)</f>
        <v>Chean Bang</v>
      </c>
      <c r="E18" s="4" t="str">
        <f>VLOOKUP(A:A,Table1[[#All],[Project No]:[Additional Remark]],5,FALSE)</f>
        <v>R-PV</v>
      </c>
      <c r="F18" s="4" t="str">
        <f>VLOOKUP(A:A,Table1[[Project No]:[Additional Remark]],6,FALSE)</f>
        <v>NEM</v>
      </c>
      <c r="G18" s="4">
        <f>VLOOKUP(A:A,Table1[[Project No]:[Additional Remark]],8,FALSE)</f>
        <v>6.9</v>
      </c>
      <c r="H18" s="4" t="str">
        <f>VLOOKUP(A:A,Table1[[Project No]:[Additional Remark]],15,FALSE)</f>
        <v>Astronergy 575Wp</v>
      </c>
      <c r="I18" s="4">
        <f>VLOOKUP(A:A,Table1[[Project No]:[Additional Remark]],16,FALSE)</f>
        <v>12.000000000000002</v>
      </c>
      <c r="J18" s="1" t="str">
        <f>VLOOKUP(A:A,Table1[[Project No]:[Additional Remark]],17,FALSE)</f>
        <v>Solinteg MHT-5K-25 hybrid</v>
      </c>
      <c r="K18" s="127"/>
      <c r="L18" s="1" t="str">
        <f t="shared" si="0"/>
        <v>Completed</v>
      </c>
      <c r="M18" s="1" t="str">
        <f>VLOOKUP(A:A,'Finance Tracker'!A16:K260,8,FALSE)</f>
        <v>1st invoice</v>
      </c>
      <c r="N18" s="127"/>
      <c r="O18" s="1" t="s">
        <v>109</v>
      </c>
      <c r="P18" s="1" t="s">
        <v>109</v>
      </c>
      <c r="Q18" s="127"/>
      <c r="R18" s="56">
        <v>45272</v>
      </c>
      <c r="S18" s="56">
        <v>45321</v>
      </c>
      <c r="T18" s="1" t="s">
        <v>1822</v>
      </c>
      <c r="U18" s="56">
        <v>45939</v>
      </c>
      <c r="V18" s="39" t="s">
        <v>1853</v>
      </c>
      <c r="W18" s="1" t="s">
        <v>1853</v>
      </c>
      <c r="X18" s="4" t="s">
        <v>109</v>
      </c>
      <c r="Y18" s="4" t="s">
        <v>1853</v>
      </c>
      <c r="Z18" s="4" t="s">
        <v>1853</v>
      </c>
      <c r="AA18" s="39" t="s">
        <v>1853</v>
      </c>
      <c r="AB18" s="1" t="s">
        <v>1853</v>
      </c>
      <c r="AC18" s="1" t="s">
        <v>1853</v>
      </c>
      <c r="AD18" s="1" t="s">
        <v>1853</v>
      </c>
      <c r="AE18" s="56">
        <v>45331</v>
      </c>
      <c r="AF18" s="56">
        <v>45341</v>
      </c>
      <c r="AG18" s="56">
        <v>45341</v>
      </c>
      <c r="AH18" s="56">
        <v>49003</v>
      </c>
      <c r="AJ18" s="4" t="s">
        <v>109</v>
      </c>
      <c r="AK18" s="4" t="s">
        <v>109</v>
      </c>
      <c r="AL18" s="4" t="s">
        <v>109</v>
      </c>
      <c r="AM18" s="4" t="s">
        <v>109</v>
      </c>
      <c r="AP18" s="1">
        <f t="shared" si="1"/>
        <v>49</v>
      </c>
      <c r="AQ18" s="38" t="e">
        <f>AA18-Table1[[#This Row],[Closed Date]]</f>
        <v>#VALUE!</v>
      </c>
    </row>
    <row r="19" spans="1:43" ht="18.75" customHeight="1" x14ac:dyDescent="0.3">
      <c r="A19" s="4">
        <f>Table1[[#This Row],[Project No]]</f>
        <v>2310078</v>
      </c>
      <c r="B19" s="110" t="str">
        <f>VLOOKUP(A:A,Table1[[Project No]:[Additional Remark]],2,FALSE)</f>
        <v>Lee Nyok Cheng</v>
      </c>
      <c r="C19" s="4" t="e" vm="16">
        <f>VLOOKUP(A:A,Table1[[#All],[Project No]:[Additional Remark]],7,FALSE)</f>
        <v>#VALUE!</v>
      </c>
      <c r="D19" s="4" t="str">
        <f>VLOOKUP(A:A,Table1[[#All],[Project No]:[Additional Remark]],4,FALSE)</f>
        <v>Chean Bang</v>
      </c>
      <c r="E19" s="4" t="str">
        <f>VLOOKUP(A:A,Table1[[#All],[Project No]:[Additional Remark]],5,FALSE)</f>
        <v>R-PV</v>
      </c>
      <c r="F19" s="4" t="str">
        <f>VLOOKUP(A:A,Table1[[Project No]:[Additional Remark]],6,FALSE)</f>
        <v>NEM</v>
      </c>
      <c r="G19" s="4">
        <f>VLOOKUP(A:A,Table1[[Project No]:[Additional Remark]],8,FALSE)</f>
        <v>16.100000000000001</v>
      </c>
      <c r="H19" s="4" t="str">
        <f>VLOOKUP(A:A,Table1[[Project No]:[Additional Remark]],15,FALSE)</f>
        <v>Astronergy 575Wp</v>
      </c>
      <c r="I19" s="4">
        <f>VLOOKUP(A:A,Table1[[Project No]:[Additional Remark]],16,FALSE)</f>
        <v>28.000000000000004</v>
      </c>
      <c r="J19" s="1" t="str">
        <f>VLOOKUP(A:A,Table1[[Project No]:[Additional Remark]],17,FALSE)</f>
        <v>Solinteg MHT-12K-25 hybrid</v>
      </c>
      <c r="K19" s="127"/>
      <c r="L19" s="1" t="str">
        <f t="shared" si="0"/>
        <v>Completed</v>
      </c>
      <c r="M19" s="1" t="str">
        <f>VLOOKUP(A:A,'Finance Tracker'!A17:K261,8,FALSE)</f>
        <v>Invoice Completed</v>
      </c>
      <c r="N19" s="127"/>
      <c r="O19" s="1" t="s">
        <v>109</v>
      </c>
      <c r="P19" s="1" t="s">
        <v>109</v>
      </c>
      <c r="Q19" s="127"/>
      <c r="R19" s="56">
        <v>45211</v>
      </c>
      <c r="S19" s="56">
        <v>45224</v>
      </c>
      <c r="T19" s="1" t="s">
        <v>1822</v>
      </c>
      <c r="U19" s="56">
        <v>45478</v>
      </c>
      <c r="V19" s="39" t="s">
        <v>1853</v>
      </c>
      <c r="W19" s="1" t="s">
        <v>1853</v>
      </c>
      <c r="X19" s="4" t="s">
        <v>109</v>
      </c>
      <c r="Y19" s="4" t="s">
        <v>1853</v>
      </c>
      <c r="Z19" s="4" t="s">
        <v>1853</v>
      </c>
      <c r="AA19" s="39" t="s">
        <v>1853</v>
      </c>
      <c r="AB19" s="1" t="s">
        <v>1853</v>
      </c>
      <c r="AC19" s="1" t="s">
        <v>1853</v>
      </c>
      <c r="AD19" s="1" t="s">
        <v>1853</v>
      </c>
      <c r="AE19" s="56" t="s">
        <v>1853</v>
      </c>
      <c r="AF19" s="56">
        <v>45245</v>
      </c>
      <c r="AG19" s="56">
        <v>45245</v>
      </c>
      <c r="AH19" s="56">
        <v>48913</v>
      </c>
      <c r="AJ19" s="4" t="s">
        <v>109</v>
      </c>
      <c r="AK19" s="4" t="s">
        <v>109</v>
      </c>
      <c r="AL19" s="4" t="s">
        <v>109</v>
      </c>
      <c r="AM19" s="4" t="s">
        <v>109</v>
      </c>
      <c r="AP19" s="1">
        <f t="shared" si="1"/>
        <v>13</v>
      </c>
      <c r="AQ19" s="38" t="e">
        <f>AA19-Table1[[#This Row],[Closed Date]]</f>
        <v>#VALUE!</v>
      </c>
    </row>
    <row r="20" spans="1:43" ht="18.75" customHeight="1" x14ac:dyDescent="0.3">
      <c r="A20" s="4">
        <f>Table1[[#This Row],[Project No]]</f>
        <v>2310083</v>
      </c>
      <c r="B20" s="110" t="str">
        <f>VLOOKUP(A:A,Table1[[Project No]:[Additional Remark]],2,FALSE)</f>
        <v>Ong Eng Guan</v>
      </c>
      <c r="C20" s="4" t="e" vm="16">
        <f>VLOOKUP(A:A,Table1[[#All],[Project No]:[Additional Remark]],7,FALSE)</f>
        <v>#VALUE!</v>
      </c>
      <c r="D20" s="4" t="str">
        <f>VLOOKUP(A:A,Table1[[#All],[Project No]:[Additional Remark]],4,FALSE)</f>
        <v>Chean Bang</v>
      </c>
      <c r="E20" s="4" t="str">
        <f>VLOOKUP(A:A,Table1[[#All],[Project No]:[Additional Remark]],5,FALSE)</f>
        <v>R-PV</v>
      </c>
      <c r="F20" s="4" t="str">
        <f>VLOOKUP(A:A,Table1[[Project No]:[Additional Remark]],6,FALSE)</f>
        <v>NEM</v>
      </c>
      <c r="G20" s="4">
        <f>VLOOKUP(A:A,Table1[[Project No]:[Additional Remark]],8,FALSE)</f>
        <v>8.0500000000000007</v>
      </c>
      <c r="H20" s="4" t="str">
        <f>VLOOKUP(A:A,Table1[[Project No]:[Additional Remark]],15,FALSE)</f>
        <v>Astronergy 575Wp</v>
      </c>
      <c r="I20" s="4">
        <f>VLOOKUP(A:A,Table1[[Project No]:[Additional Remark]],16,FALSE)</f>
        <v>14.000000000000002</v>
      </c>
      <c r="J20" s="1" t="str">
        <f>VLOOKUP(A:A,Table1[[Project No]:[Additional Remark]],17,FALSE)</f>
        <v>Solinteg MHT-8K-25 hybrid</v>
      </c>
      <c r="K20" s="127"/>
      <c r="L20" s="1" t="str">
        <f t="shared" si="0"/>
        <v>Completed</v>
      </c>
      <c r="M20" s="1" t="str">
        <f>VLOOKUP(A:A,'Finance Tracker'!A18:K262,8,FALSE)</f>
        <v>2nd invoice</v>
      </c>
      <c r="N20" s="127"/>
      <c r="O20" s="1" t="s">
        <v>109</v>
      </c>
      <c r="P20" s="1" t="s">
        <v>109</v>
      </c>
      <c r="Q20" s="127"/>
      <c r="R20" s="56">
        <v>45230</v>
      </c>
      <c r="S20" s="56">
        <v>45259</v>
      </c>
      <c r="T20" s="1" t="s">
        <v>1823</v>
      </c>
      <c r="U20" s="56">
        <v>45875</v>
      </c>
      <c r="V20" s="39" t="s">
        <v>1853</v>
      </c>
      <c r="W20" s="1" t="s">
        <v>1853</v>
      </c>
      <c r="X20" s="4" t="s">
        <v>109</v>
      </c>
      <c r="Y20" s="4" t="s">
        <v>1853</v>
      </c>
      <c r="Z20" s="4" t="s">
        <v>1853</v>
      </c>
      <c r="AA20" s="39" t="s">
        <v>1853</v>
      </c>
      <c r="AB20" s="1" t="s">
        <v>1853</v>
      </c>
      <c r="AC20" s="1" t="s">
        <v>1853</v>
      </c>
      <c r="AD20" s="1" t="s">
        <v>1853</v>
      </c>
      <c r="AE20" s="56" t="s">
        <v>1853</v>
      </c>
      <c r="AF20" s="56">
        <v>45341</v>
      </c>
      <c r="AG20" s="56">
        <v>45341</v>
      </c>
      <c r="AH20" s="56">
        <v>49003</v>
      </c>
      <c r="AJ20" s="4" t="s">
        <v>109</v>
      </c>
      <c r="AK20" s="4" t="s">
        <v>109</v>
      </c>
      <c r="AL20" s="4" t="s">
        <v>109</v>
      </c>
      <c r="AM20" s="4" t="s">
        <v>109</v>
      </c>
      <c r="AP20" s="1">
        <f t="shared" si="1"/>
        <v>29</v>
      </c>
      <c r="AQ20" s="38" t="e">
        <f>AA20-Table1[[#This Row],[Closed Date]]</f>
        <v>#VALUE!</v>
      </c>
    </row>
    <row r="21" spans="1:43" ht="18.75" customHeight="1" x14ac:dyDescent="0.3">
      <c r="A21" s="4">
        <f>Table1[[#This Row],[Project No]]</f>
        <v>2310084</v>
      </c>
      <c r="B21" s="110" t="str">
        <f>VLOOKUP(A:A,Table1[[Project No]:[Additional Remark]],2,FALSE)</f>
        <v>Chia Le Chin</v>
      </c>
      <c r="C21" s="4" t="e" vm="16">
        <f>VLOOKUP(A:A,Table1[[#All],[Project No]:[Additional Remark]],7,FALSE)</f>
        <v>#VALUE!</v>
      </c>
      <c r="D21" s="4" t="str">
        <f>VLOOKUP(A:A,Table1[[#All],[Project No]:[Additional Remark]],4,FALSE)</f>
        <v>Chean Bang</v>
      </c>
      <c r="E21" s="4" t="str">
        <f>VLOOKUP(A:A,Table1[[#All],[Project No]:[Additional Remark]],5,FALSE)</f>
        <v>R-PV</v>
      </c>
      <c r="F21" s="4" t="str">
        <f>VLOOKUP(A:A,Table1[[Project No]:[Additional Remark]],6,FALSE)</f>
        <v>NEM</v>
      </c>
      <c r="G21" s="4">
        <f>VLOOKUP(A:A,Table1[[Project No]:[Additional Remark]],8,FALSE)</f>
        <v>8.0500000000000007</v>
      </c>
      <c r="H21" s="4" t="str">
        <f>VLOOKUP(A:A,Table1[[Project No]:[Additional Remark]],15,FALSE)</f>
        <v>Astronergy 575Wp</v>
      </c>
      <c r="I21" s="4">
        <f>VLOOKUP(A:A,Table1[[Project No]:[Additional Remark]],16,FALSE)</f>
        <v>14.000000000000002</v>
      </c>
      <c r="J21" s="1" t="str">
        <f>VLOOKUP(A:A,Table1[[Project No]:[Additional Remark]],17,FALSE)</f>
        <v>Solinteg MHT-8K-25 hybrid</v>
      </c>
      <c r="K21" s="127"/>
      <c r="L21" s="1" t="str">
        <f t="shared" si="0"/>
        <v>Completed</v>
      </c>
      <c r="M21" s="1" t="str">
        <f>VLOOKUP(A:A,'Finance Tracker'!A19:K263,8,FALSE)</f>
        <v>Invoice Completed</v>
      </c>
      <c r="N21" s="127"/>
      <c r="O21" s="1" t="s">
        <v>109</v>
      </c>
      <c r="P21" s="1" t="s">
        <v>109</v>
      </c>
      <c r="Q21" s="127"/>
      <c r="R21" s="56">
        <v>45231</v>
      </c>
      <c r="S21" s="56">
        <v>45259</v>
      </c>
      <c r="T21" s="1" t="s">
        <v>1823</v>
      </c>
      <c r="U21" s="56">
        <v>45875</v>
      </c>
      <c r="V21" s="39" t="s">
        <v>1853</v>
      </c>
      <c r="W21" s="1" t="s">
        <v>1853</v>
      </c>
      <c r="X21" s="4" t="s">
        <v>109</v>
      </c>
      <c r="Y21" s="4" t="s">
        <v>1853</v>
      </c>
      <c r="Z21" s="4" t="s">
        <v>1853</v>
      </c>
      <c r="AA21" s="39" t="s">
        <v>1853</v>
      </c>
      <c r="AB21" s="1" t="s">
        <v>1853</v>
      </c>
      <c r="AC21" s="1" t="s">
        <v>1853</v>
      </c>
      <c r="AD21" s="1" t="s">
        <v>1853</v>
      </c>
      <c r="AE21" s="56">
        <v>45331</v>
      </c>
      <c r="AF21" s="56">
        <v>45341</v>
      </c>
      <c r="AG21" s="56">
        <v>45341</v>
      </c>
      <c r="AH21" s="56">
        <v>49003</v>
      </c>
      <c r="AJ21" s="4" t="s">
        <v>109</v>
      </c>
      <c r="AK21" s="4" t="s">
        <v>109</v>
      </c>
      <c r="AL21" s="4" t="s">
        <v>109</v>
      </c>
      <c r="AM21" s="4" t="s">
        <v>109</v>
      </c>
      <c r="AP21" s="1">
        <f t="shared" si="1"/>
        <v>28</v>
      </c>
      <c r="AQ21" s="38" t="e">
        <f>AA21-Table1[[#This Row],[Closed Date]]</f>
        <v>#VALUE!</v>
      </c>
    </row>
    <row r="22" spans="1:43" ht="18.75" customHeight="1" x14ac:dyDescent="0.3">
      <c r="A22" s="4">
        <f>Table1[[#This Row],[Project No]]</f>
        <v>2305024</v>
      </c>
      <c r="B22" s="110" t="str">
        <f>VLOOKUP(A:A,Table1[[Project No]:[Additional Remark]],2,FALSE)</f>
        <v>Beh Poh Loh</v>
      </c>
      <c r="C22" s="4" t="e" vm="16">
        <f>VLOOKUP(A:A,Table1[[#All],[Project No]:[Additional Remark]],7,FALSE)</f>
        <v>#VALUE!</v>
      </c>
      <c r="D22" s="4" t="str">
        <f>VLOOKUP(A:A,Table1[[#All],[Project No]:[Additional Remark]],4,FALSE)</f>
        <v>Chean Bang</v>
      </c>
      <c r="E22" s="4" t="str">
        <f>VLOOKUP(A:A,Table1[[#All],[Project No]:[Additional Remark]],5,FALSE)</f>
        <v>R-PV</v>
      </c>
      <c r="F22" s="4" t="str">
        <f>VLOOKUP(A:A,Table1[[Project No]:[Additional Remark]],6,FALSE)</f>
        <v>NEM</v>
      </c>
      <c r="G22" s="4">
        <f>VLOOKUP(A:A,Table1[[Project No]:[Additional Remark]],8,FALSE)</f>
        <v>12.65</v>
      </c>
      <c r="H22" s="4" t="str">
        <f>VLOOKUP(A:A,Table1[[Project No]:[Additional Remark]],15,FALSE)</f>
        <v>Astronergy 575Wp</v>
      </c>
      <c r="I22" s="4">
        <f>VLOOKUP(A:A,Table1[[Project No]:[Additional Remark]],16,FALSE)</f>
        <v>22.000000000000004</v>
      </c>
      <c r="J22" s="1" t="str">
        <f>VLOOKUP(A:A,Table1[[Project No]:[Additional Remark]],17,FALSE)</f>
        <v>GoodWe GW10KN-ET</v>
      </c>
      <c r="K22" s="127"/>
      <c r="L22" s="1" t="str">
        <f t="shared" si="0"/>
        <v>Completed</v>
      </c>
      <c r="M22" s="1" t="str">
        <f>VLOOKUP(A:A,'Finance Tracker'!A20:K264,8,FALSE)</f>
        <v>Pending 1st Invoice</v>
      </c>
      <c r="N22" s="127"/>
      <c r="O22" s="1" t="s">
        <v>109</v>
      </c>
      <c r="P22" s="1" t="s">
        <v>109</v>
      </c>
      <c r="Q22" s="127"/>
      <c r="R22" s="56">
        <v>45113</v>
      </c>
      <c r="S22" s="56">
        <v>45127</v>
      </c>
      <c r="T22" s="1" t="s">
        <v>1822</v>
      </c>
      <c r="U22" s="56">
        <v>45939</v>
      </c>
      <c r="V22" s="39" t="s">
        <v>1853</v>
      </c>
      <c r="W22" s="1" t="s">
        <v>1853</v>
      </c>
      <c r="X22" s="4" t="s">
        <v>109</v>
      </c>
      <c r="Y22" s="4" t="s">
        <v>1853</v>
      </c>
      <c r="Z22" s="4" t="s">
        <v>1853</v>
      </c>
      <c r="AA22" s="39" t="s">
        <v>1853</v>
      </c>
      <c r="AB22" s="1" t="s">
        <v>1853</v>
      </c>
      <c r="AC22" s="1" t="s">
        <v>1853</v>
      </c>
      <c r="AD22" s="1" t="s">
        <v>1853</v>
      </c>
      <c r="AE22" s="56">
        <v>45449</v>
      </c>
      <c r="AF22" s="56">
        <v>45463</v>
      </c>
      <c r="AG22" s="56">
        <v>45463</v>
      </c>
      <c r="AH22" s="56">
        <v>49125</v>
      </c>
      <c r="AJ22" s="4" t="s">
        <v>109</v>
      </c>
      <c r="AK22" s="4" t="s">
        <v>109</v>
      </c>
      <c r="AL22" s="4" t="s">
        <v>109</v>
      </c>
      <c r="AM22" s="4" t="s">
        <v>109</v>
      </c>
      <c r="AP22" s="1">
        <f t="shared" si="1"/>
        <v>14</v>
      </c>
      <c r="AQ22" s="38" t="e">
        <f>AA22-Table1[[#This Row],[Closed Date]]</f>
        <v>#VALUE!</v>
      </c>
    </row>
    <row r="23" spans="1:43" s="142" customFormat="1" ht="18.75" customHeight="1" x14ac:dyDescent="0.3">
      <c r="A23" s="116">
        <f>Table1[[#This Row],[Project No]]</f>
        <v>2307052</v>
      </c>
      <c r="B23" s="125" t="str">
        <f>VLOOKUP(A:A,Table1[[Project No]:[Additional Remark]],2,FALSE)</f>
        <v>Ngoh Win Nee</v>
      </c>
      <c r="C23" s="116" t="e" vm="16">
        <f>VLOOKUP(A:A,Table1[[#All],[Project No]:[Additional Remark]],7,FALSE)</f>
        <v>#VALUE!</v>
      </c>
      <c r="D23" s="4" t="str">
        <f>VLOOKUP(A:A,Table1[[#All],[Project No]:[Additional Remark]],4,FALSE)</f>
        <v>Chean Bang</v>
      </c>
      <c r="E23" s="116" t="str">
        <f>VLOOKUP(A:A,Table1[[#All],[Project No]:[Additional Remark]],5,FALSE)</f>
        <v>R-PV</v>
      </c>
      <c r="F23" s="116" t="str">
        <f>VLOOKUP(A:A,Table1[[Project No]:[Additional Remark]],6,FALSE)</f>
        <v>NEM</v>
      </c>
      <c r="G23" s="116">
        <f>VLOOKUP(A:A,Table1[[Project No]:[Additional Remark]],8,FALSE)</f>
        <v>4.5999999999999996</v>
      </c>
      <c r="H23" s="116" t="str">
        <f>VLOOKUP(A:A,Table1[[Project No]:[Additional Remark]],15,FALSE)</f>
        <v>Astronergy 575Wp</v>
      </c>
      <c r="I23" s="116">
        <f>VLOOKUP(A:A,Table1[[Project No]:[Additional Remark]],16,FALSE)</f>
        <v>8</v>
      </c>
      <c r="J23" s="139" t="str">
        <f>VLOOKUP(A:A,Table1[[Project No]:[Additional Remark]],17,FALSE)</f>
        <v>Solinteg MHS-3.6K-30 hybrid</v>
      </c>
      <c r="K23" s="140"/>
      <c r="L23" s="1" t="str">
        <f t="shared" si="0"/>
        <v>Completed</v>
      </c>
      <c r="M23" s="139" t="str">
        <f>VLOOKUP(A:A,'Finance Tracker'!A21:K265,8,FALSE)</f>
        <v>1st invoice</v>
      </c>
      <c r="N23" s="140"/>
      <c r="O23" s="139" t="s">
        <v>109</v>
      </c>
      <c r="P23" s="139" t="s">
        <v>109</v>
      </c>
      <c r="Q23" s="140"/>
      <c r="R23" s="141">
        <v>45162</v>
      </c>
      <c r="S23" s="141">
        <v>45182</v>
      </c>
      <c r="T23" s="139" t="s">
        <v>1819</v>
      </c>
      <c r="U23" s="141">
        <v>45505</v>
      </c>
      <c r="V23" s="120" t="s">
        <v>1853</v>
      </c>
      <c r="W23" s="139" t="s">
        <v>1853</v>
      </c>
      <c r="X23" s="116" t="s">
        <v>109</v>
      </c>
      <c r="Y23" s="116" t="s">
        <v>1853</v>
      </c>
      <c r="Z23" s="116" t="s">
        <v>109</v>
      </c>
      <c r="AA23" s="116" t="s">
        <v>109</v>
      </c>
      <c r="AB23" s="116" t="s">
        <v>109</v>
      </c>
      <c r="AC23" s="116" t="s">
        <v>109</v>
      </c>
      <c r="AD23" s="116" t="s">
        <v>109</v>
      </c>
      <c r="AE23" s="116" t="s">
        <v>109</v>
      </c>
      <c r="AF23" s="116" t="s">
        <v>109</v>
      </c>
      <c r="AG23" s="116" t="s">
        <v>109</v>
      </c>
      <c r="AH23" s="116" t="s">
        <v>109</v>
      </c>
      <c r="AI23" s="123"/>
      <c r="AJ23" s="116" t="s">
        <v>109</v>
      </c>
      <c r="AK23" s="116" t="s">
        <v>109</v>
      </c>
      <c r="AL23" s="116" t="s">
        <v>109</v>
      </c>
      <c r="AM23" s="116" t="s">
        <v>109</v>
      </c>
      <c r="AP23" s="1">
        <f t="shared" si="1"/>
        <v>20</v>
      </c>
      <c r="AQ23" s="143" t="e">
        <f>AA23-Table1[[#This Row],[Closed Date]]</f>
        <v>#VALUE!</v>
      </c>
    </row>
    <row r="24" spans="1:43" s="142" customFormat="1" ht="18.75" customHeight="1" x14ac:dyDescent="0.3">
      <c r="A24" s="116">
        <f>Table1[[#This Row],[Project No]]</f>
        <v>2304010</v>
      </c>
      <c r="B24" s="125" t="str">
        <f>VLOOKUP(A:A,Table1[[Project No]:[Additional Remark]],2,FALSE)</f>
        <v>Tung Seng Chang</v>
      </c>
      <c r="C24" s="116" t="e" vm="15">
        <f>VLOOKUP(A:A,Table1[[#All],[Project No]:[Additional Remark]],7,FALSE)</f>
        <v>#VALUE!</v>
      </c>
      <c r="D24" s="4" t="str">
        <f>VLOOKUP(A:A,Table1[[#All],[Project No]:[Additional Remark]],4,FALSE)</f>
        <v>Simon</v>
      </c>
      <c r="E24" s="116" t="str">
        <f>VLOOKUP(A:A,Table1[[#All],[Project No]:[Additional Remark]],5,FALSE)</f>
        <v>R-PV</v>
      </c>
      <c r="F24" s="116" t="str">
        <f>VLOOKUP(A:A,Table1[[Project No]:[Additional Remark]],6,FALSE)</f>
        <v>NEM</v>
      </c>
      <c r="G24" s="116">
        <f>VLOOKUP(A:A,Table1[[Project No]:[Additional Remark]],8,FALSE)</f>
        <v>13.625</v>
      </c>
      <c r="H24" s="116" t="str">
        <f>VLOOKUP(A:A,Table1[[Project No]:[Additional Remark]],15,FALSE)</f>
        <v>-</v>
      </c>
      <c r="I24" s="116" t="str">
        <f>VLOOKUP(A:A,Table1[[Project No]:[Additional Remark]],16,FALSE)</f>
        <v>-</v>
      </c>
      <c r="J24" s="139" t="str">
        <f>VLOOKUP(A:A,Table1[[Project No]:[Additional Remark]],17,FALSE)</f>
        <v>Goodwe GW10K-SDT-20</v>
      </c>
      <c r="K24" s="140"/>
      <c r="L24" s="1" t="str">
        <f t="shared" si="0"/>
        <v>Completed</v>
      </c>
      <c r="M24" s="139" t="str">
        <f>VLOOKUP(A:A,'Finance Tracker'!A22:K266,8,FALSE)</f>
        <v>1st invoice</v>
      </c>
      <c r="N24" s="140"/>
      <c r="O24" s="139" t="s">
        <v>109</v>
      </c>
      <c r="P24" s="139" t="s">
        <v>109</v>
      </c>
      <c r="Q24" s="140"/>
      <c r="R24" s="141">
        <v>45107</v>
      </c>
      <c r="S24" s="141">
        <v>45120</v>
      </c>
      <c r="T24" s="139" t="s">
        <v>1819</v>
      </c>
      <c r="U24" s="141">
        <v>45474</v>
      </c>
      <c r="V24" s="120" t="s">
        <v>1853</v>
      </c>
      <c r="W24" s="139" t="s">
        <v>1853</v>
      </c>
      <c r="X24" s="116" t="s">
        <v>109</v>
      </c>
      <c r="Y24" s="116" t="s">
        <v>1853</v>
      </c>
      <c r="Z24" s="116" t="s">
        <v>109</v>
      </c>
      <c r="AA24" s="116" t="s">
        <v>109</v>
      </c>
      <c r="AB24" s="116" t="s">
        <v>109</v>
      </c>
      <c r="AC24" s="116" t="s">
        <v>109</v>
      </c>
      <c r="AD24" s="116" t="s">
        <v>109</v>
      </c>
      <c r="AE24" s="116" t="s">
        <v>109</v>
      </c>
      <c r="AF24" s="116" t="s">
        <v>109</v>
      </c>
      <c r="AG24" s="116" t="s">
        <v>109</v>
      </c>
      <c r="AH24" s="116" t="s">
        <v>109</v>
      </c>
      <c r="AI24" s="123"/>
      <c r="AJ24" s="116" t="s">
        <v>109</v>
      </c>
      <c r="AK24" s="116" t="s">
        <v>109</v>
      </c>
      <c r="AL24" s="116" t="s">
        <v>109</v>
      </c>
      <c r="AM24" s="116" t="s">
        <v>109</v>
      </c>
      <c r="AP24" s="1">
        <f t="shared" si="1"/>
        <v>13</v>
      </c>
      <c r="AQ24" s="143" t="e">
        <f>AA24-Table1[[#This Row],[Closed Date]]</f>
        <v>#VALUE!</v>
      </c>
    </row>
    <row r="25" spans="1:43" ht="18.75" customHeight="1" x14ac:dyDescent="0.3">
      <c r="A25" s="4">
        <f>Table1[[#This Row],[Project No]]</f>
        <v>2308065</v>
      </c>
      <c r="B25" s="110" t="str">
        <f>VLOOKUP(A:A,Table1[[Project No]:[Additional Remark]],2,FALSE)</f>
        <v xml:space="preserve">Pua Hock Meng </v>
      </c>
      <c r="C25" s="4" t="e" vm="16">
        <f>VLOOKUP(A:A,Table1[[#All],[Project No]:[Additional Remark]],7,FALSE)</f>
        <v>#VALUE!</v>
      </c>
      <c r="D25" s="4" t="str">
        <f>VLOOKUP(A:A,Table1[[#All],[Project No]:[Additional Remark]],4,FALSE)</f>
        <v>Chean Bang</v>
      </c>
      <c r="E25" s="4" t="str">
        <f>VLOOKUP(A:A,Table1[[#All],[Project No]:[Additional Remark]],5,FALSE)</f>
        <v>R-PV</v>
      </c>
      <c r="F25" s="4" t="str">
        <f>VLOOKUP(A:A,Table1[[Project No]:[Additional Remark]],6,FALSE)</f>
        <v>NEM</v>
      </c>
      <c r="G25" s="4">
        <f>VLOOKUP(A:A,Table1[[Project No]:[Additional Remark]],8,FALSE)</f>
        <v>8.625</v>
      </c>
      <c r="H25" s="4" t="str">
        <f>VLOOKUP(A:A,Table1[[Project No]:[Additional Remark]],15,FALSE)</f>
        <v>Astronergy 575Wp</v>
      </c>
      <c r="I25" s="4">
        <f>VLOOKUP(A:A,Table1[[Project No]:[Additional Remark]],16,FALSE)</f>
        <v>15.000000000000002</v>
      </c>
      <c r="J25" s="1" t="str">
        <f>VLOOKUP(A:A,Table1[[Project No]:[Additional Remark]],17,FALSE)</f>
        <v>Solinteg MHT-8K-25 hybrid</v>
      </c>
      <c r="K25" s="127"/>
      <c r="L25" s="1" t="str">
        <f t="shared" si="0"/>
        <v>Completed</v>
      </c>
      <c r="M25" s="1" t="str">
        <f>VLOOKUP(A:A,'Finance Tracker'!A23:K267,8,FALSE)</f>
        <v>4th invoice</v>
      </c>
      <c r="N25" s="127"/>
      <c r="O25" s="1" t="s">
        <v>109</v>
      </c>
      <c r="P25" s="1" t="s">
        <v>109</v>
      </c>
      <c r="Q25" s="127"/>
      <c r="R25" s="56">
        <v>45190</v>
      </c>
      <c r="S25" s="56">
        <v>45211</v>
      </c>
      <c r="T25" s="1" t="s">
        <v>1823</v>
      </c>
      <c r="U25" s="56">
        <v>45632</v>
      </c>
      <c r="V25" s="39" t="s">
        <v>1853</v>
      </c>
      <c r="W25" s="1" t="s">
        <v>1853</v>
      </c>
      <c r="X25" s="4" t="s">
        <v>109</v>
      </c>
      <c r="Y25" s="4" t="s">
        <v>1853</v>
      </c>
      <c r="Z25" s="4" t="s">
        <v>1854</v>
      </c>
      <c r="AA25" s="39">
        <v>45566</v>
      </c>
      <c r="AB25" s="1" t="s">
        <v>1853</v>
      </c>
      <c r="AC25" s="1" t="s">
        <v>1853</v>
      </c>
      <c r="AD25" s="1" t="s">
        <v>1853</v>
      </c>
      <c r="AE25" s="56">
        <v>45600</v>
      </c>
      <c r="AF25" s="56">
        <v>45601</v>
      </c>
      <c r="AG25" s="56">
        <v>45601</v>
      </c>
      <c r="AH25" s="56">
        <v>49278</v>
      </c>
      <c r="AJ25" s="4" t="s">
        <v>109</v>
      </c>
      <c r="AK25" s="4" t="s">
        <v>109</v>
      </c>
      <c r="AL25" s="4" t="s">
        <v>109</v>
      </c>
      <c r="AM25" s="4" t="s">
        <v>109</v>
      </c>
      <c r="AP25" s="1">
        <f t="shared" si="1"/>
        <v>21</v>
      </c>
      <c r="AQ25" s="38">
        <f>AA25-Table1[[#This Row],[Closed Date]]</f>
        <v>390</v>
      </c>
    </row>
    <row r="26" spans="1:43" ht="18.75" customHeight="1" x14ac:dyDescent="0.3">
      <c r="A26" s="4">
        <f>Table1[[#This Row],[Project No]]</f>
        <v>2306009</v>
      </c>
      <c r="B26" s="110" t="str">
        <f>VLOOKUP(A:A,Table1[[Project No]:[Additional Remark]],2,FALSE)</f>
        <v>Dato Arif Stephen bin Abdullah</v>
      </c>
      <c r="C26" s="4" t="e" vm="15">
        <f>VLOOKUP(A:A,Table1[[#All],[Project No]:[Additional Remark]],7,FALSE)</f>
        <v>#VALUE!</v>
      </c>
      <c r="D26" s="4" t="str">
        <f>VLOOKUP(A:A,Table1[[#All],[Project No]:[Additional Remark]],4,FALSE)</f>
        <v>Simon</v>
      </c>
      <c r="E26" s="4" t="str">
        <f>VLOOKUP(A:A,Table1[[#All],[Project No]:[Additional Remark]],5,FALSE)</f>
        <v>R-BESS</v>
      </c>
      <c r="F26" s="4" t="str">
        <f>VLOOKUP(A:A,Table1[[Project No]:[Additional Remark]],6,FALSE)</f>
        <v>SELCO</v>
      </c>
      <c r="G26" s="4">
        <f>VLOOKUP(A:A,Table1[[Project No]:[Additional Remark]],8,FALSE)</f>
        <v>85.1</v>
      </c>
      <c r="H26" s="4" t="str">
        <f>VLOOKUP(A:A,Table1[[Project No]:[Additional Remark]],15,FALSE)</f>
        <v>Astronergy 575Wp</v>
      </c>
      <c r="I26" s="4">
        <f>VLOOKUP(A:A,Table1[[Project No]:[Additional Remark]],16,FALSE)</f>
        <v>148</v>
      </c>
      <c r="J26" s="1" t="str">
        <f>VLOOKUP(A:A,Table1[[Project No]:[Additional Remark]],17,FALSE)</f>
        <v>Solax X3-Ultra 20kW x 3</v>
      </c>
      <c r="K26" s="127"/>
      <c r="L26" s="1" t="str">
        <f t="shared" si="0"/>
        <v>Completed</v>
      </c>
      <c r="M26" s="1" t="str">
        <f>VLOOKUP(A:A,'Finance Tracker'!A24:K268,8,FALSE)</f>
        <v>Invoice Completed</v>
      </c>
      <c r="N26" s="127"/>
      <c r="O26" s="1" t="s">
        <v>109</v>
      </c>
      <c r="P26" s="1" t="s">
        <v>109</v>
      </c>
      <c r="Q26" s="127"/>
      <c r="R26" s="56" t="s">
        <v>109</v>
      </c>
      <c r="S26" s="56" t="s">
        <v>109</v>
      </c>
      <c r="T26" s="56" t="s">
        <v>109</v>
      </c>
      <c r="U26" s="56" t="s">
        <v>109</v>
      </c>
      <c r="V26" s="39" t="s">
        <v>1853</v>
      </c>
      <c r="W26" s="1" t="s">
        <v>1853</v>
      </c>
      <c r="X26" s="4" t="s">
        <v>109</v>
      </c>
      <c r="Y26" s="4" t="s">
        <v>1853</v>
      </c>
      <c r="Z26" s="4" t="s">
        <v>1853</v>
      </c>
      <c r="AA26" s="39" t="s">
        <v>1853</v>
      </c>
      <c r="AB26" s="1" t="s">
        <v>109</v>
      </c>
      <c r="AC26" s="1" t="s">
        <v>109</v>
      </c>
      <c r="AD26" s="1" t="s">
        <v>109</v>
      </c>
      <c r="AE26" s="1" t="s">
        <v>109</v>
      </c>
      <c r="AF26" s="1" t="s">
        <v>109</v>
      </c>
      <c r="AG26" s="1" t="s">
        <v>109</v>
      </c>
      <c r="AH26" s="1" t="s">
        <v>109</v>
      </c>
      <c r="AJ26" s="4" t="s">
        <v>109</v>
      </c>
      <c r="AK26" s="4" t="s">
        <v>109</v>
      </c>
      <c r="AL26" s="4" t="s">
        <v>109</v>
      </c>
      <c r="AM26" s="4" t="s">
        <v>109</v>
      </c>
      <c r="AP26" s="1" t="e">
        <f t="shared" si="1"/>
        <v>#VALUE!</v>
      </c>
      <c r="AQ26" s="38" t="e">
        <f>AA26-Table1[[#This Row],[Closed Date]]</f>
        <v>#VALUE!</v>
      </c>
    </row>
    <row r="27" spans="1:43" ht="18.75" customHeight="1" x14ac:dyDescent="0.3">
      <c r="A27" s="4">
        <f>Table1[[#This Row],[Project No]]</f>
        <v>2303003</v>
      </c>
      <c r="B27" s="110" t="str">
        <f>VLOOKUP(A:A,Table1[[Project No]:[Additional Remark]],2,FALSE)</f>
        <v>Greenlast Housing Development Sdn Bhd</v>
      </c>
      <c r="C27" s="4" t="e" vm="16">
        <f>VLOOKUP(A:A,Table1[[#All],[Project No]:[Additional Remark]],7,FALSE)</f>
        <v>#VALUE!</v>
      </c>
      <c r="D27" s="4" t="str">
        <f>VLOOKUP(A:A,Table1[[#All],[Project No]:[Additional Remark]],4,FALSE)</f>
        <v>Chean Bang</v>
      </c>
      <c r="E27" s="4" t="str">
        <f>VLOOKUP(A:A,Table1[[#All],[Project No]:[Additional Remark]],5,FALSE)</f>
        <v>C&amp;I-PV</v>
      </c>
      <c r="F27" s="4" t="str">
        <f>VLOOKUP(A:A,Table1[[Project No]:[Additional Remark]],6,FALSE)</f>
        <v>NEM</v>
      </c>
      <c r="G27" s="4">
        <f>VLOOKUP(A:A,Table1[[Project No]:[Additional Remark]],8,FALSE)</f>
        <v>23</v>
      </c>
      <c r="H27" s="4" t="str">
        <f>VLOOKUP(A:A,Table1[[Project No]:[Additional Remark]],15,FALSE)</f>
        <v>Astronergy 575Wp</v>
      </c>
      <c r="I27" s="4">
        <f>VLOOKUP(A:A,Table1[[Project No]:[Additional Remark]],16,FALSE)</f>
        <v>40</v>
      </c>
      <c r="J27" s="1" t="str">
        <f>VLOOKUP(A:A,Table1[[Project No]:[Additional Remark]],17,FALSE)</f>
        <v>Goodwe GW20K-SDT-20</v>
      </c>
      <c r="K27" s="127"/>
      <c r="L27" s="1" t="str">
        <f t="shared" si="0"/>
        <v>Completed</v>
      </c>
      <c r="M27" s="1" t="str">
        <f>VLOOKUP(A:A,'Finance Tracker'!A25:K269,8,FALSE)</f>
        <v>Invoice Completed</v>
      </c>
      <c r="N27" s="127"/>
      <c r="O27" s="1" t="s">
        <v>109</v>
      </c>
      <c r="P27" s="1" t="s">
        <v>109</v>
      </c>
      <c r="Q27" s="127"/>
      <c r="R27" s="56">
        <v>45275</v>
      </c>
      <c r="S27" s="56">
        <v>45321</v>
      </c>
      <c r="T27" s="1" t="s">
        <v>1823</v>
      </c>
      <c r="U27" s="56">
        <v>45654</v>
      </c>
      <c r="V27" s="39" t="s">
        <v>1853</v>
      </c>
      <c r="W27" s="1" t="s">
        <v>1853</v>
      </c>
      <c r="X27" s="4" t="s">
        <v>109</v>
      </c>
      <c r="Y27" s="4" t="s">
        <v>1853</v>
      </c>
      <c r="Z27" s="4" t="s">
        <v>1853</v>
      </c>
      <c r="AA27" s="39" t="s">
        <v>1853</v>
      </c>
      <c r="AB27" s="1" t="s">
        <v>1853</v>
      </c>
      <c r="AC27" s="1" t="s">
        <v>1853</v>
      </c>
      <c r="AD27" s="1" t="s">
        <v>1853</v>
      </c>
      <c r="AE27" s="1" t="s">
        <v>1853</v>
      </c>
      <c r="AF27" s="56">
        <v>45464</v>
      </c>
      <c r="AG27" s="56">
        <v>45464</v>
      </c>
      <c r="AH27" s="56">
        <v>49125</v>
      </c>
      <c r="AJ27" s="4" t="s">
        <v>109</v>
      </c>
      <c r="AK27" s="4" t="s">
        <v>109</v>
      </c>
      <c r="AL27" s="4" t="s">
        <v>1853</v>
      </c>
      <c r="AM27" s="4" t="s">
        <v>1853</v>
      </c>
      <c r="AP27" s="1">
        <f t="shared" si="1"/>
        <v>46</v>
      </c>
      <c r="AQ27" s="38" t="e">
        <f>AA27-Table1[[#This Row],[Closed Date]]</f>
        <v>#VALUE!</v>
      </c>
    </row>
    <row r="28" spans="1:43" ht="18.75" customHeight="1" x14ac:dyDescent="0.3">
      <c r="A28" s="4">
        <f>Table1[[#This Row],[Project No]]</f>
        <v>2311040</v>
      </c>
      <c r="B28" s="110" t="str">
        <f>VLOOKUP(A:A,Table1[[Project No]:[Additional Remark]],2,FALSE)</f>
        <v>DBTS Industries Sdn Bhd</v>
      </c>
      <c r="C28" s="4" t="e" vm="15">
        <f>VLOOKUP(A:A,Table1[[#All],[Project No]:[Additional Remark]],7,FALSE)</f>
        <v>#VALUE!</v>
      </c>
      <c r="D28" s="4" t="str">
        <f>VLOOKUP(A:A,Table1[[#All],[Project No]:[Additional Remark]],4,FALSE)</f>
        <v>SImon</v>
      </c>
      <c r="E28" s="4" t="str">
        <f>VLOOKUP(A:A,Table1[[#All],[Project No]:[Additional Remark]],5,FALSE)</f>
        <v>C&amp;I-PV</v>
      </c>
      <c r="F28" s="4" t="str">
        <f>VLOOKUP(A:A,Table1[[Project No]:[Additional Remark]],6,FALSE)</f>
        <v>NEM</v>
      </c>
      <c r="G28" s="4">
        <f>VLOOKUP(A:A,Table1[[Project No]:[Additional Remark]],8,FALSE)</f>
        <v>93</v>
      </c>
      <c r="H28" s="4" t="str">
        <f>VLOOKUP(A:A,Table1[[Project No]:[Additional Remark]],15,FALSE)</f>
        <v>-</v>
      </c>
      <c r="I28" s="4" t="str">
        <f>VLOOKUP(A:A,Table1[[Project No]:[Additional Remark]],16,FALSE)</f>
        <v>-</v>
      </c>
      <c r="J28" s="1" t="str">
        <f>VLOOKUP(A:A,Table1[[Project No]:[Additional Remark]],17,FALSE)</f>
        <v>-</v>
      </c>
      <c r="K28" s="127"/>
      <c r="L28" s="1" t="str">
        <f t="shared" si="0"/>
        <v>Completed</v>
      </c>
      <c r="M28" s="1" t="str">
        <f>VLOOKUP(A:A,'Finance Tracker'!A26:K270,8,FALSE)</f>
        <v>1st invoice</v>
      </c>
      <c r="N28" s="127"/>
      <c r="O28" s="1" t="s">
        <v>109</v>
      </c>
      <c r="P28" s="1" t="s">
        <v>109</v>
      </c>
      <c r="Q28" s="127"/>
      <c r="R28" s="56" t="s">
        <v>109</v>
      </c>
      <c r="S28" s="56" t="s">
        <v>109</v>
      </c>
      <c r="T28" s="56" t="s">
        <v>109</v>
      </c>
      <c r="U28" s="56" t="s">
        <v>109</v>
      </c>
      <c r="V28" s="39" t="s">
        <v>1853</v>
      </c>
      <c r="W28" s="1" t="s">
        <v>1853</v>
      </c>
      <c r="X28" s="4" t="s">
        <v>109</v>
      </c>
      <c r="Y28" s="4" t="s">
        <v>1853</v>
      </c>
      <c r="Z28" s="4" t="s">
        <v>1853</v>
      </c>
      <c r="AA28" s="39" t="s">
        <v>1853</v>
      </c>
      <c r="AB28" s="1" t="s">
        <v>1853</v>
      </c>
      <c r="AC28" s="1" t="s">
        <v>1853</v>
      </c>
      <c r="AD28" s="1" t="s">
        <v>1853</v>
      </c>
      <c r="AE28" s="1" t="s">
        <v>1853</v>
      </c>
      <c r="AF28" s="1" t="s">
        <v>1853</v>
      </c>
      <c r="AG28" s="1" t="s">
        <v>1853</v>
      </c>
      <c r="AH28" s="1" t="s">
        <v>1853</v>
      </c>
      <c r="AJ28" s="4" t="s">
        <v>109</v>
      </c>
      <c r="AK28" s="4" t="s">
        <v>109</v>
      </c>
      <c r="AL28" s="4" t="s">
        <v>109</v>
      </c>
      <c r="AM28" s="4" t="s">
        <v>109</v>
      </c>
      <c r="AP28" s="1" t="e">
        <f t="shared" si="1"/>
        <v>#VALUE!</v>
      </c>
      <c r="AQ28" s="38" t="e">
        <f>AA28-Table1[[#This Row],[Closed Date]]</f>
        <v>#VALUE!</v>
      </c>
    </row>
    <row r="29" spans="1:43" ht="18.75" customHeight="1" x14ac:dyDescent="0.3">
      <c r="A29" s="4">
        <f>Table1[[#This Row],[Project No]]</f>
        <v>2308007</v>
      </c>
      <c r="B29" s="110" t="str">
        <f>VLOOKUP(A:A,Table1[[Project No]:[Additional Remark]],2,FALSE)</f>
        <v>EV Connection Sdn Bhd (The Pines Melaka)</v>
      </c>
      <c r="C29" s="4" t="e" vm="19">
        <f>VLOOKUP(A:A,Table1[[#All],[Project No]:[Additional Remark]],7,FALSE)</f>
        <v>#VALUE!</v>
      </c>
      <c r="D29" s="4" t="str">
        <f>VLOOKUP(A:A,Table1[[#All],[Project No]:[Additional Remark]],4,FALSE)</f>
        <v>Simon</v>
      </c>
      <c r="E29" s="4" t="str">
        <f>VLOOKUP(A:A,Table1[[#All],[Project No]:[Additional Remark]],5,FALSE)</f>
        <v>EV Charger</v>
      </c>
      <c r="F29" s="4" t="str">
        <f>VLOOKUP(A:A,Table1[[Project No]:[Additional Remark]],6,FALSE)</f>
        <v>-</v>
      </c>
      <c r="G29" s="4">
        <f>VLOOKUP(A:A,Table1[[Project No]:[Additional Remark]],8,FALSE)</f>
        <v>0</v>
      </c>
      <c r="H29" s="4" t="str">
        <f>VLOOKUP(A:A,Table1[[Project No]:[Additional Remark]],15,FALSE)</f>
        <v>-</v>
      </c>
      <c r="I29" s="4" t="str">
        <f>VLOOKUP(A:A,Table1[[Project No]:[Additional Remark]],16,FALSE)</f>
        <v>-</v>
      </c>
      <c r="J29" s="1" t="str">
        <f>VLOOKUP(A:A,Table1[[Project No]:[Additional Remark]],17,FALSE)</f>
        <v>-</v>
      </c>
      <c r="K29" s="127"/>
      <c r="L29" s="1" t="str">
        <f t="shared" si="0"/>
        <v>Completed</v>
      </c>
      <c r="M29" s="1" t="str">
        <f>VLOOKUP(A:A,'Finance Tracker'!A27:K271,8,FALSE)</f>
        <v>Invoice Completed</v>
      </c>
      <c r="N29" s="127"/>
      <c r="O29" s="1" t="s">
        <v>109</v>
      </c>
      <c r="P29" s="1" t="s">
        <v>109</v>
      </c>
      <c r="Q29" s="127"/>
      <c r="R29" s="56" t="s">
        <v>109</v>
      </c>
      <c r="S29" s="56" t="s">
        <v>109</v>
      </c>
      <c r="T29" s="56" t="s">
        <v>109</v>
      </c>
      <c r="U29" s="56" t="s">
        <v>109</v>
      </c>
      <c r="V29" s="39" t="s">
        <v>1853</v>
      </c>
      <c r="W29" s="1" t="s">
        <v>1853</v>
      </c>
      <c r="X29" s="4" t="s">
        <v>109</v>
      </c>
      <c r="Y29" s="4" t="s">
        <v>1853</v>
      </c>
      <c r="Z29" s="4" t="s">
        <v>1853</v>
      </c>
      <c r="AA29" s="39" t="s">
        <v>1853</v>
      </c>
      <c r="AB29" s="1" t="s">
        <v>109</v>
      </c>
      <c r="AC29" s="1" t="s">
        <v>109</v>
      </c>
      <c r="AD29" s="1" t="s">
        <v>109</v>
      </c>
      <c r="AE29" s="1" t="s">
        <v>109</v>
      </c>
      <c r="AF29" s="1" t="s">
        <v>109</v>
      </c>
      <c r="AG29" s="1" t="s">
        <v>109</v>
      </c>
      <c r="AH29" s="1" t="s">
        <v>109</v>
      </c>
      <c r="AJ29" s="4" t="s">
        <v>109</v>
      </c>
      <c r="AK29" s="4" t="s">
        <v>109</v>
      </c>
      <c r="AL29" s="4" t="s">
        <v>109</v>
      </c>
      <c r="AM29" s="4" t="s">
        <v>109</v>
      </c>
      <c r="AP29" s="1" t="e">
        <f t="shared" si="1"/>
        <v>#VALUE!</v>
      </c>
      <c r="AQ29" s="38" t="e">
        <f>AA29-Table1[[#This Row],[Closed Date]]</f>
        <v>#VALUE!</v>
      </c>
    </row>
    <row r="30" spans="1:43" ht="18.75" customHeight="1" x14ac:dyDescent="0.3">
      <c r="A30" s="4">
        <f>Table1[[#This Row],[Project No]]</f>
        <v>2311094</v>
      </c>
      <c r="B30" s="110" t="str">
        <f>VLOOKUP(A:A,Table1[[Project No]:[Additional Remark]],2,FALSE)</f>
        <v>Ching Kok Keong</v>
      </c>
      <c r="C30" s="4" t="e" vm="20">
        <f>VLOOKUP(A:A,Table1[[#All],[Project No]:[Additional Remark]],7,FALSE)</f>
        <v>#VALUE!</v>
      </c>
      <c r="D30" s="4" t="str">
        <f>VLOOKUP(A:A,Table1[[#All],[Project No]:[Additional Remark]],4,FALSE)</f>
        <v>Chean Bang</v>
      </c>
      <c r="E30" s="4" t="str">
        <f>VLOOKUP(A:A,Table1[[#All],[Project No]:[Additional Remark]],5,FALSE)</f>
        <v>R-PV</v>
      </c>
      <c r="F30" s="4" t="str">
        <f>VLOOKUP(A:A,Table1[[Project No]:[Additional Remark]],6,FALSE)</f>
        <v>NEM</v>
      </c>
      <c r="G30" s="4">
        <f>VLOOKUP(A:A,Table1[[Project No]:[Additional Remark]],8,FALSE)</f>
        <v>9.7750000000000004</v>
      </c>
      <c r="H30" s="4" t="str">
        <f>VLOOKUP(A:A,Table1[[Project No]:[Additional Remark]],15,FALSE)</f>
        <v>Astronergy 575Wp</v>
      </c>
      <c r="I30" s="4">
        <f>VLOOKUP(A:A,Table1[[Project No]:[Additional Remark]],16,FALSE)</f>
        <v>17.000000000000004</v>
      </c>
      <c r="J30" s="1" t="str">
        <f>VLOOKUP(A:A,Table1[[Project No]:[Additional Remark]],17,FALSE)</f>
        <v>Solinteg MHT-8K-25 hybrid</v>
      </c>
      <c r="K30" s="127"/>
      <c r="L30" s="1" t="str">
        <f t="shared" si="0"/>
        <v>Completed</v>
      </c>
      <c r="M30" s="1" t="str">
        <f>VLOOKUP(A:A,'Finance Tracker'!A28:K272,8,FALSE)</f>
        <v>Invoice Completed</v>
      </c>
      <c r="N30" s="127"/>
      <c r="O30" s="1" t="s">
        <v>109</v>
      </c>
      <c r="P30" s="1" t="s">
        <v>109</v>
      </c>
      <c r="Q30" s="127"/>
      <c r="R30" s="56">
        <v>45259</v>
      </c>
      <c r="S30" s="56">
        <v>45321</v>
      </c>
      <c r="T30" s="1" t="s">
        <v>1822</v>
      </c>
      <c r="U30" s="56">
        <v>45939</v>
      </c>
      <c r="V30" s="39" t="s">
        <v>1853</v>
      </c>
      <c r="W30" s="1" t="s">
        <v>1853</v>
      </c>
      <c r="X30" s="4" t="s">
        <v>109</v>
      </c>
      <c r="Y30" s="4" t="s">
        <v>1853</v>
      </c>
      <c r="Z30" s="4" t="s">
        <v>1853</v>
      </c>
      <c r="AA30" s="39" t="s">
        <v>1853</v>
      </c>
      <c r="AB30" s="1" t="s">
        <v>1853</v>
      </c>
      <c r="AC30" s="1" t="s">
        <v>1853</v>
      </c>
      <c r="AD30" s="1" t="s">
        <v>1853</v>
      </c>
      <c r="AE30" s="56">
        <v>45854</v>
      </c>
      <c r="AF30" s="56">
        <v>45497</v>
      </c>
      <c r="AG30" s="56">
        <v>45497</v>
      </c>
      <c r="AH30" s="56">
        <v>49156</v>
      </c>
      <c r="AJ30" s="4" t="s">
        <v>109</v>
      </c>
      <c r="AK30" s="4" t="s">
        <v>109</v>
      </c>
      <c r="AL30" s="4" t="s">
        <v>109</v>
      </c>
      <c r="AM30" s="4" t="s">
        <v>109</v>
      </c>
      <c r="AP30" s="1">
        <f t="shared" si="1"/>
        <v>62</v>
      </c>
      <c r="AQ30" s="38" t="e">
        <f>AA30-Table1[[#This Row],[Closed Date]]</f>
        <v>#VALUE!</v>
      </c>
    </row>
    <row r="31" spans="1:43" ht="18.75" customHeight="1" x14ac:dyDescent="0.3">
      <c r="A31" s="4">
        <f>Table1[[#This Row],[Project No]]</f>
        <v>2311095</v>
      </c>
      <c r="B31" s="110" t="str">
        <f>VLOOKUP(A:A,Table1[[Project No]:[Additional Remark]],2,FALSE)</f>
        <v>Chu Yin Siong</v>
      </c>
      <c r="C31" s="4" t="e" vm="20">
        <f>VLOOKUP(A:A,Table1[[#All],[Project No]:[Additional Remark]],7,FALSE)</f>
        <v>#VALUE!</v>
      </c>
      <c r="D31" s="4" t="str">
        <f>VLOOKUP(A:A,Table1[[#All],[Project No]:[Additional Remark]],4,FALSE)</f>
        <v>Chean Bang</v>
      </c>
      <c r="E31" s="4" t="str">
        <f>VLOOKUP(A:A,Table1[[#All],[Project No]:[Additional Remark]],5,FALSE)</f>
        <v>R-PV</v>
      </c>
      <c r="F31" s="4" t="str">
        <f>VLOOKUP(A:A,Table1[[Project No]:[Additional Remark]],6,FALSE)</f>
        <v>NEM</v>
      </c>
      <c r="G31" s="4">
        <f>VLOOKUP(A:A,Table1[[Project No]:[Additional Remark]],8,FALSE)</f>
        <v>12.65</v>
      </c>
      <c r="H31" s="4" t="str">
        <f>VLOOKUP(A:A,Table1[[Project No]:[Additional Remark]],15,FALSE)</f>
        <v>Astronergy 575Wp</v>
      </c>
      <c r="I31" s="4">
        <f>VLOOKUP(A:A,Table1[[Project No]:[Additional Remark]],16,FALSE)</f>
        <v>22.000000000000004</v>
      </c>
      <c r="J31" s="1" t="str">
        <f>VLOOKUP(A:A,Table1[[Project No]:[Additional Remark]],17,FALSE)</f>
        <v>Solinteg MHT-10K-25 hybrid</v>
      </c>
      <c r="K31" s="127"/>
      <c r="L31" s="1" t="str">
        <f t="shared" si="0"/>
        <v>Completed</v>
      </c>
      <c r="M31" s="1" t="str">
        <f>VLOOKUP(A:A,'Finance Tracker'!A29:K273,8,FALSE)</f>
        <v>Invoice Completed</v>
      </c>
      <c r="N31" s="127"/>
      <c r="O31" s="1" t="s">
        <v>109</v>
      </c>
      <c r="P31" s="1" t="s">
        <v>109</v>
      </c>
      <c r="Q31" s="127"/>
      <c r="R31" s="56">
        <v>45258</v>
      </c>
      <c r="S31" s="56">
        <v>45328</v>
      </c>
      <c r="T31" s="1" t="s">
        <v>1823</v>
      </c>
      <c r="U31" s="56">
        <v>45910</v>
      </c>
      <c r="V31" s="39" t="s">
        <v>1853</v>
      </c>
      <c r="W31" s="1" t="s">
        <v>1853</v>
      </c>
      <c r="X31" s="4" t="s">
        <v>109</v>
      </c>
      <c r="Y31" s="4" t="s">
        <v>1853</v>
      </c>
      <c r="Z31" s="4" t="s">
        <v>1853</v>
      </c>
      <c r="AA31" s="39" t="s">
        <v>1853</v>
      </c>
      <c r="AB31" s="1" t="s">
        <v>1853</v>
      </c>
      <c r="AC31" s="1" t="s">
        <v>1853</v>
      </c>
      <c r="AD31" s="1" t="s">
        <v>1853</v>
      </c>
      <c r="AE31" s="135" t="s">
        <v>1853</v>
      </c>
      <c r="AF31" s="56">
        <v>45481</v>
      </c>
      <c r="AG31" s="56">
        <v>45481</v>
      </c>
      <c r="AH31" s="56">
        <v>49156</v>
      </c>
      <c r="AJ31" s="4" t="s">
        <v>109</v>
      </c>
      <c r="AK31" s="4" t="s">
        <v>109</v>
      </c>
      <c r="AL31" s="4" t="s">
        <v>109</v>
      </c>
      <c r="AM31" s="4" t="s">
        <v>109</v>
      </c>
      <c r="AP31" s="1">
        <f t="shared" si="1"/>
        <v>70</v>
      </c>
      <c r="AQ31" s="38" t="e">
        <f>AA31-Table1[[#This Row],[Closed Date]]</f>
        <v>#VALUE!</v>
      </c>
    </row>
    <row r="32" spans="1:43" ht="18.75" customHeight="1" x14ac:dyDescent="0.3">
      <c r="A32" s="4">
        <f>Table1[[#This Row],[Project No]]</f>
        <v>2311039</v>
      </c>
      <c r="B32" s="110" t="str">
        <f>VLOOKUP(A:A,Table1[[Project No]:[Additional Remark]],2,FALSE)</f>
        <v>DC Handal EV Charging Hub</v>
      </c>
      <c r="C32" s="4" t="e" vm="17">
        <f>VLOOKUP(A:A,Table1[[#All],[Project No]:[Additional Remark]],7,FALSE)</f>
        <v>#VALUE!</v>
      </c>
      <c r="D32" s="4" t="str">
        <f>VLOOKUP(A:A,Table1[[#All],[Project No]:[Additional Remark]],4,FALSE)</f>
        <v>Simon</v>
      </c>
      <c r="E32" s="4" t="str">
        <f>VLOOKUP(A:A,Table1[[#All],[Project No]:[Additional Remark]],5,FALSE)</f>
        <v>C&amp;I-PV</v>
      </c>
      <c r="F32" s="4" t="str">
        <f>VLOOKUP(A:A,Table1[[Project No]:[Additional Remark]],6,FALSE)</f>
        <v>SELCO</v>
      </c>
      <c r="G32" s="4">
        <f>VLOOKUP(A:A,Table1[[Project No]:[Additional Remark]],8,FALSE)</f>
        <v>370.05500000000001</v>
      </c>
      <c r="H32" s="4" t="str">
        <f>VLOOKUP(A:A,Table1[[Project No]:[Additional Remark]],15,FALSE)</f>
        <v>-</v>
      </c>
      <c r="I32" s="4" t="str">
        <f>VLOOKUP(A:A,Table1[[Project No]:[Additional Remark]],16,FALSE)</f>
        <v>-</v>
      </c>
      <c r="J32" s="1" t="str">
        <f>VLOOKUP(A:A,Table1[[Project No]:[Additional Remark]],17,FALSE)</f>
        <v>-</v>
      </c>
      <c r="K32" s="127"/>
      <c r="L32" s="1" t="str">
        <f t="shared" si="0"/>
        <v>Completed</v>
      </c>
      <c r="M32" s="1" t="str">
        <f>VLOOKUP(A:A,'Finance Tracker'!A30:K274,8,FALSE)</f>
        <v>Invoice Completed</v>
      </c>
      <c r="N32" s="127"/>
      <c r="O32" s="1" t="s">
        <v>109</v>
      </c>
      <c r="P32" s="1" t="s">
        <v>109</v>
      </c>
      <c r="Q32" s="127"/>
      <c r="R32" s="56" t="s">
        <v>109</v>
      </c>
      <c r="S32" s="56" t="s">
        <v>109</v>
      </c>
      <c r="T32" s="56" t="s">
        <v>109</v>
      </c>
      <c r="U32" s="56" t="s">
        <v>109</v>
      </c>
      <c r="V32" s="39" t="s">
        <v>1853</v>
      </c>
      <c r="W32" s="1" t="s">
        <v>1853</v>
      </c>
      <c r="X32" s="4" t="s">
        <v>109</v>
      </c>
      <c r="Y32" s="4" t="s">
        <v>1853</v>
      </c>
      <c r="Z32" s="4" t="s">
        <v>1853</v>
      </c>
      <c r="AA32" s="39" t="s">
        <v>1853</v>
      </c>
      <c r="AB32" s="1" t="s">
        <v>109</v>
      </c>
      <c r="AC32" s="1" t="s">
        <v>109</v>
      </c>
      <c r="AD32" s="1" t="s">
        <v>109</v>
      </c>
      <c r="AE32" s="1" t="s">
        <v>109</v>
      </c>
      <c r="AF32" s="1" t="s">
        <v>109</v>
      </c>
      <c r="AG32" s="1" t="s">
        <v>109</v>
      </c>
      <c r="AH32" s="1" t="s">
        <v>109</v>
      </c>
      <c r="AJ32" s="4" t="s">
        <v>109</v>
      </c>
      <c r="AK32" s="4" t="s">
        <v>109</v>
      </c>
      <c r="AL32" s="4" t="s">
        <v>109</v>
      </c>
      <c r="AM32" s="4" t="s">
        <v>109</v>
      </c>
      <c r="AP32" s="1" t="e">
        <f t="shared" si="1"/>
        <v>#VALUE!</v>
      </c>
      <c r="AQ32" s="38" t="e">
        <f>AA32-Table1[[#This Row],[Closed Date]]</f>
        <v>#VALUE!</v>
      </c>
    </row>
    <row r="33" spans="1:43" ht="18.75" customHeight="1" x14ac:dyDescent="0.3">
      <c r="A33" s="4">
        <f>Table1[[#This Row],[Project No]]</f>
        <v>2311012</v>
      </c>
      <c r="B33" s="110" t="str">
        <f>VLOOKUP(A:A,Table1[[Project No]:[Additional Remark]],2,FALSE)</f>
        <v>EV Connection Sdn Bhd (IOI Citymall, Putrajaya)</v>
      </c>
      <c r="C33" s="4" t="e" vm="21">
        <f>VLOOKUP(A:A,Table1[[#All],[Project No]:[Additional Remark]],7,FALSE)</f>
        <v>#VALUE!</v>
      </c>
      <c r="D33" s="4" t="str">
        <f>VLOOKUP(A:A,Table1[[#All],[Project No]:[Additional Remark]],4,FALSE)</f>
        <v>Simon</v>
      </c>
      <c r="E33" s="4" t="str">
        <f>VLOOKUP(A:A,Table1[[#All],[Project No]:[Additional Remark]],5,FALSE)</f>
        <v>EV Charger</v>
      </c>
      <c r="F33" s="4" t="str">
        <f>VLOOKUP(A:A,Table1[[Project No]:[Additional Remark]],6,FALSE)</f>
        <v>-</v>
      </c>
      <c r="G33" s="4">
        <f>VLOOKUP(A:A,Table1[[Project No]:[Additional Remark]],8,FALSE)</f>
        <v>0</v>
      </c>
      <c r="H33" s="4" t="str">
        <f>VLOOKUP(A:A,Table1[[Project No]:[Additional Remark]],15,FALSE)</f>
        <v>-</v>
      </c>
      <c r="I33" s="4" t="str">
        <f>VLOOKUP(A:A,Table1[[Project No]:[Additional Remark]],16,FALSE)</f>
        <v>-</v>
      </c>
      <c r="J33" s="1" t="str">
        <f>VLOOKUP(A:A,Table1[[Project No]:[Additional Remark]],17,FALSE)</f>
        <v>-</v>
      </c>
      <c r="K33" s="127"/>
      <c r="L33" s="1" t="str">
        <f t="shared" si="0"/>
        <v>Completed</v>
      </c>
      <c r="M33" s="1" t="str">
        <f>VLOOKUP(A:A,'Finance Tracker'!A31:K275,8,FALSE)</f>
        <v>Invoice Completed</v>
      </c>
      <c r="N33" s="127"/>
      <c r="O33" s="1" t="s">
        <v>109</v>
      </c>
      <c r="P33" s="1" t="s">
        <v>109</v>
      </c>
      <c r="Q33" s="127"/>
      <c r="R33" s="56" t="s">
        <v>109</v>
      </c>
      <c r="S33" s="56" t="s">
        <v>109</v>
      </c>
      <c r="T33" s="56" t="s">
        <v>109</v>
      </c>
      <c r="U33" s="56" t="s">
        <v>109</v>
      </c>
      <c r="V33" s="39" t="s">
        <v>1853</v>
      </c>
      <c r="W33" s="1" t="s">
        <v>1853</v>
      </c>
      <c r="X33" s="4" t="s">
        <v>109</v>
      </c>
      <c r="Y33" s="4" t="s">
        <v>1853</v>
      </c>
      <c r="Z33" s="4" t="s">
        <v>1853</v>
      </c>
      <c r="AA33" s="39" t="s">
        <v>1853</v>
      </c>
      <c r="AB33" s="1" t="s">
        <v>109</v>
      </c>
      <c r="AC33" s="1" t="s">
        <v>109</v>
      </c>
      <c r="AD33" s="1" t="s">
        <v>109</v>
      </c>
      <c r="AE33" s="1" t="s">
        <v>109</v>
      </c>
      <c r="AF33" s="1" t="s">
        <v>109</v>
      </c>
      <c r="AG33" s="1" t="s">
        <v>109</v>
      </c>
      <c r="AH33" s="1" t="s">
        <v>109</v>
      </c>
      <c r="AJ33" s="4" t="s">
        <v>109</v>
      </c>
      <c r="AK33" s="4" t="s">
        <v>109</v>
      </c>
      <c r="AL33" s="4" t="s">
        <v>109</v>
      </c>
      <c r="AM33" s="4" t="s">
        <v>109</v>
      </c>
      <c r="AP33" s="1" t="e">
        <f t="shared" si="1"/>
        <v>#VALUE!</v>
      </c>
      <c r="AQ33" s="38" t="e">
        <f>AA33-Table1[[#This Row],[Closed Date]]</f>
        <v>#VALUE!</v>
      </c>
    </row>
    <row r="34" spans="1:43" ht="18.75" customHeight="1" x14ac:dyDescent="0.3">
      <c r="A34" s="4">
        <f>Table1[[#This Row],[Project No]]</f>
        <v>2311089</v>
      </c>
      <c r="B34" s="110" t="str">
        <f>VLOOKUP(A:A,Table1[[Project No]:[Additional Remark]],2,FALSE)</f>
        <v>Susan Lau Shiew Hung</v>
      </c>
      <c r="C34" s="4" t="e" vm="15">
        <f>VLOOKUP(A:A,Table1[[#All],[Project No]:[Additional Remark]],7,FALSE)</f>
        <v>#VALUE!</v>
      </c>
      <c r="D34" s="4" t="str">
        <f>VLOOKUP(A:A,Table1[[#All],[Project No]:[Additional Remark]],4,FALSE)</f>
        <v>Simon</v>
      </c>
      <c r="E34" s="4" t="str">
        <f>VLOOKUP(A:A,Table1[[#All],[Project No]:[Additional Remark]],5,FALSE)</f>
        <v>R-PV</v>
      </c>
      <c r="F34" s="4" t="str">
        <f>VLOOKUP(A:A,Table1[[Project No]:[Additional Remark]],6,FALSE)</f>
        <v>NEM</v>
      </c>
      <c r="G34" s="4">
        <f>VLOOKUP(A:A,Table1[[Project No]:[Additional Remark]],8,FALSE)</f>
        <v>11.5</v>
      </c>
      <c r="H34" s="4" t="str">
        <f>VLOOKUP(A:A,Table1[[Project No]:[Additional Remark]],15,FALSE)</f>
        <v>Astronergy 575Wp</v>
      </c>
      <c r="I34" s="4">
        <f>VLOOKUP(A:A,Table1[[Project No]:[Additional Remark]],16,FALSE)</f>
        <v>20</v>
      </c>
      <c r="J34" s="1" t="str">
        <f>VLOOKUP(A:A,Table1[[Project No]:[Additional Remark]],17,FALSE)</f>
        <v>GoodWe GW10K-SDT-20</v>
      </c>
      <c r="K34" s="127"/>
      <c r="L34" s="1" t="str">
        <f t="shared" si="0"/>
        <v>Completed</v>
      </c>
      <c r="M34" s="1" t="str">
        <f>VLOOKUP(A:A,'Finance Tracker'!A32:K276,8,FALSE)</f>
        <v>Invoice Completed</v>
      </c>
      <c r="N34" s="127"/>
      <c r="O34" s="1" t="s">
        <v>109</v>
      </c>
      <c r="P34" s="1" t="s">
        <v>109</v>
      </c>
      <c r="Q34" s="127"/>
      <c r="R34" s="56">
        <v>45415</v>
      </c>
      <c r="S34" s="56">
        <v>45432</v>
      </c>
      <c r="T34" s="1" t="s">
        <v>1822</v>
      </c>
      <c r="U34" s="56">
        <v>45775</v>
      </c>
      <c r="V34" s="39" t="s">
        <v>1853</v>
      </c>
      <c r="W34" s="1" t="s">
        <v>1853</v>
      </c>
      <c r="X34" s="4" t="s">
        <v>109</v>
      </c>
      <c r="Y34" s="4" t="s">
        <v>1853</v>
      </c>
      <c r="Z34" s="4" t="s">
        <v>1853</v>
      </c>
      <c r="AA34" s="39" t="s">
        <v>1853</v>
      </c>
      <c r="AB34" s="1" t="s">
        <v>1853</v>
      </c>
      <c r="AC34" s="1" t="s">
        <v>1853</v>
      </c>
      <c r="AD34" s="1" t="s">
        <v>1853</v>
      </c>
      <c r="AE34" s="56">
        <v>45475</v>
      </c>
      <c r="AF34" s="56">
        <v>45479</v>
      </c>
      <c r="AG34" s="56">
        <v>45479</v>
      </c>
      <c r="AH34" s="56">
        <v>49156</v>
      </c>
      <c r="AJ34" s="4" t="s">
        <v>109</v>
      </c>
      <c r="AK34" s="4" t="s">
        <v>109</v>
      </c>
      <c r="AL34" s="4" t="s">
        <v>109</v>
      </c>
      <c r="AM34" s="4" t="s">
        <v>109</v>
      </c>
      <c r="AP34" s="1">
        <f t="shared" si="1"/>
        <v>17</v>
      </c>
      <c r="AQ34" s="38" t="e">
        <f>AA34-Table1[[#This Row],[Closed Date]]</f>
        <v>#VALUE!</v>
      </c>
    </row>
    <row r="35" spans="1:43" ht="18.75" customHeight="1" x14ac:dyDescent="0.3">
      <c r="A35" s="4">
        <f>Table1[[#This Row],[Project No]]</f>
        <v>2312118</v>
      </c>
      <c r="B35" s="110" t="str">
        <f>VLOOKUP(A:A,Table1[[Project No]:[Additional Remark]],2,FALSE)</f>
        <v>Dr Suntheresan A/L Ganapathy</v>
      </c>
      <c r="C35" s="4" t="e" vm="15">
        <f>VLOOKUP(A:A,Table1[[#All],[Project No]:[Additional Remark]],7,FALSE)</f>
        <v>#VALUE!</v>
      </c>
      <c r="D35" s="4" t="str">
        <f>VLOOKUP(A:A,Table1[[#All],[Project No]:[Additional Remark]],4,FALSE)</f>
        <v>Ong</v>
      </c>
      <c r="E35" s="4" t="str">
        <f>VLOOKUP(A:A,Table1[[#All],[Project No]:[Additional Remark]],5,FALSE)</f>
        <v>R-PV</v>
      </c>
      <c r="F35" s="4" t="str">
        <f>VLOOKUP(A:A,Table1[[Project No]:[Additional Remark]],6,FALSE)</f>
        <v>NEM</v>
      </c>
      <c r="G35" s="4">
        <f>VLOOKUP(A:A,Table1[[Project No]:[Additional Remark]],8,FALSE)</f>
        <v>13.8</v>
      </c>
      <c r="H35" s="4" t="str">
        <f>VLOOKUP(A:A,Table1[[Project No]:[Additional Remark]],15,FALSE)</f>
        <v>Astronergy 575Wp</v>
      </c>
      <c r="I35" s="4">
        <f>VLOOKUP(A:A,Table1[[Project No]:[Additional Remark]],16,FALSE)</f>
        <v>24.000000000000004</v>
      </c>
      <c r="J35" s="1" t="str">
        <f>VLOOKUP(A:A,Table1[[Project No]:[Additional Remark]],17,FALSE)</f>
        <v>Solinteg MHT-12K-25 hybrid</v>
      </c>
      <c r="K35" s="127"/>
      <c r="L35" s="1" t="str">
        <f t="shared" si="0"/>
        <v>Completed</v>
      </c>
      <c r="M35" s="1" t="str">
        <f>VLOOKUP(A:A,'Finance Tracker'!A33:K277,8,FALSE)</f>
        <v>Invoice Completed</v>
      </c>
      <c r="N35" s="127"/>
      <c r="O35" s="1" t="s">
        <v>109</v>
      </c>
      <c r="P35" s="1" t="s">
        <v>109</v>
      </c>
      <c r="Q35" s="127"/>
      <c r="R35" s="56">
        <v>45331</v>
      </c>
      <c r="S35" s="56">
        <v>45385</v>
      </c>
      <c r="T35" s="1" t="s">
        <v>1822</v>
      </c>
      <c r="U35" s="56">
        <v>45769</v>
      </c>
      <c r="V35" s="39" t="s">
        <v>1853</v>
      </c>
      <c r="W35" s="1" t="s">
        <v>1853</v>
      </c>
      <c r="X35" s="4" t="s">
        <v>109</v>
      </c>
      <c r="Y35" s="4" t="s">
        <v>1853</v>
      </c>
      <c r="Z35" s="4" t="s">
        <v>1853</v>
      </c>
      <c r="AA35" s="39" t="s">
        <v>1853</v>
      </c>
      <c r="AB35" s="1" t="s">
        <v>1853</v>
      </c>
      <c r="AC35" s="1" t="s">
        <v>1853</v>
      </c>
      <c r="AD35" s="1" t="s">
        <v>1853</v>
      </c>
      <c r="AE35" s="56" t="s">
        <v>1853</v>
      </c>
      <c r="AF35" s="56">
        <v>45423</v>
      </c>
      <c r="AG35" s="56">
        <v>45423</v>
      </c>
      <c r="AH35" s="56">
        <v>49095</v>
      </c>
      <c r="AJ35" s="4" t="s">
        <v>109</v>
      </c>
      <c r="AK35" s="4" t="s">
        <v>109</v>
      </c>
      <c r="AL35" s="4" t="s">
        <v>109</v>
      </c>
      <c r="AM35" s="4" t="s">
        <v>109</v>
      </c>
      <c r="AP35" s="1">
        <f t="shared" si="1"/>
        <v>54</v>
      </c>
      <c r="AQ35" s="38" t="e">
        <f>AA35-Table1[[#This Row],[Closed Date]]</f>
        <v>#VALUE!</v>
      </c>
    </row>
    <row r="36" spans="1:43" ht="18.75" customHeight="1" x14ac:dyDescent="0.3">
      <c r="A36" s="4">
        <f>Table1[[#This Row],[Project No]]</f>
        <v>2309070</v>
      </c>
      <c r="B36" s="110" t="str">
        <f>VLOOKUP(A:A,Table1[[Project No]:[Additional Remark]],2,FALSE)</f>
        <v>Saiful Lizan Bin Ibrahim</v>
      </c>
      <c r="C36" s="4" t="e" vm="15">
        <f>VLOOKUP(A:A,Table1[[#All],[Project No]:[Additional Remark]],7,FALSE)</f>
        <v>#VALUE!</v>
      </c>
      <c r="D36" s="4" t="str">
        <f>VLOOKUP(A:A,Table1[[#All],[Project No]:[Additional Remark]],4,FALSE)</f>
        <v>Simon</v>
      </c>
      <c r="E36" s="4" t="str">
        <f>VLOOKUP(A:A,Table1[[#All],[Project No]:[Additional Remark]],5,FALSE)</f>
        <v>R-PV</v>
      </c>
      <c r="F36" s="4" t="str">
        <f>VLOOKUP(A:A,Table1[[Project No]:[Additional Remark]],6,FALSE)</f>
        <v>NEM</v>
      </c>
      <c r="G36" s="4">
        <f>VLOOKUP(A:A,Table1[[Project No]:[Additional Remark]],8,FALSE)</f>
        <v>13.8</v>
      </c>
      <c r="H36" s="4" t="str">
        <f>VLOOKUP(A:A,Table1[[Project No]:[Additional Remark]],15,FALSE)</f>
        <v>Astronergy 575Wp</v>
      </c>
      <c r="I36" s="4">
        <f>VLOOKUP(A:A,Table1[[Project No]:[Additional Remark]],16,FALSE)</f>
        <v>24.000000000000004</v>
      </c>
      <c r="J36" s="1" t="str">
        <f>VLOOKUP(A:A,Table1[[Project No]:[Additional Remark]],17,FALSE)</f>
        <v>Solinteg MHT-12K-25 hybrid</v>
      </c>
      <c r="K36" s="127"/>
      <c r="L36" s="1" t="str">
        <f t="shared" si="0"/>
        <v>Completed</v>
      </c>
      <c r="M36" s="1" t="str">
        <f>VLOOKUP(A:A,'Finance Tracker'!A34:K278,8,FALSE)</f>
        <v>Invoice Completed</v>
      </c>
      <c r="N36" s="127"/>
      <c r="O36" s="1" t="s">
        <v>109</v>
      </c>
      <c r="P36" s="1" t="s">
        <v>109</v>
      </c>
      <c r="Q36" s="127"/>
      <c r="R36" s="56">
        <v>45486</v>
      </c>
      <c r="S36" s="56">
        <v>45497</v>
      </c>
      <c r="T36" s="1" t="s">
        <v>1822</v>
      </c>
      <c r="U36" s="56">
        <v>45792</v>
      </c>
      <c r="V36" s="39" t="s">
        <v>1853</v>
      </c>
      <c r="W36" s="1" t="s">
        <v>1853</v>
      </c>
      <c r="X36" s="4" t="s">
        <v>109</v>
      </c>
      <c r="Y36" s="4" t="s">
        <v>1853</v>
      </c>
      <c r="Z36" s="4" t="s">
        <v>1853</v>
      </c>
      <c r="AA36" s="39" t="s">
        <v>1853</v>
      </c>
      <c r="AB36" s="1" t="s">
        <v>1853</v>
      </c>
      <c r="AC36" s="1" t="s">
        <v>1853</v>
      </c>
      <c r="AD36" s="1" t="s">
        <v>1853</v>
      </c>
      <c r="AE36" s="56" t="s">
        <v>1853</v>
      </c>
      <c r="AF36" s="56">
        <v>45551</v>
      </c>
      <c r="AG36" s="56">
        <v>45551</v>
      </c>
      <c r="AH36" s="56">
        <v>49217</v>
      </c>
      <c r="AJ36" s="4" t="s">
        <v>109</v>
      </c>
      <c r="AK36" s="4" t="s">
        <v>109</v>
      </c>
      <c r="AL36" s="4" t="s">
        <v>109</v>
      </c>
      <c r="AM36" s="4" t="s">
        <v>109</v>
      </c>
      <c r="AP36" s="1">
        <f t="shared" si="1"/>
        <v>11</v>
      </c>
      <c r="AQ36" s="38" t="e">
        <f>AA36-Table1[[#This Row],[Closed Date]]</f>
        <v>#VALUE!</v>
      </c>
    </row>
    <row r="37" spans="1:43" s="142" customFormat="1" ht="18.75" customHeight="1" x14ac:dyDescent="0.3">
      <c r="A37" s="116">
        <f>Table1[[#This Row],[Project No]]</f>
        <v>2310075</v>
      </c>
      <c r="B37" s="125" t="str">
        <f>VLOOKUP(A:A,Table1[[Project No]:[Additional Remark]],2,FALSE)</f>
        <v>Chong Fong Chin(Jessie)</v>
      </c>
      <c r="C37" s="116" t="e" vm="16">
        <f>VLOOKUP(A:A,Table1[[#All],[Project No]:[Additional Remark]],7,FALSE)</f>
        <v>#VALUE!</v>
      </c>
      <c r="D37" s="4" t="str">
        <f>VLOOKUP(A:A,Table1[[#All],[Project No]:[Additional Remark]],4,FALSE)</f>
        <v>Chean Bang</v>
      </c>
      <c r="E37" s="116" t="str">
        <f>VLOOKUP(A:A,Table1[[#All],[Project No]:[Additional Remark]],5,FALSE)</f>
        <v>R-PV</v>
      </c>
      <c r="F37" s="116" t="str">
        <f>VLOOKUP(A:A,Table1[[Project No]:[Additional Remark]],6,FALSE)</f>
        <v>NEM</v>
      </c>
      <c r="G37" s="116">
        <f>VLOOKUP(A:A,Table1[[Project No]:[Additional Remark]],8,FALSE)</f>
        <v>14.625</v>
      </c>
      <c r="H37" s="116" t="str">
        <f>VLOOKUP(A:A,Table1[[Project No]:[Additional Remark]],15,FALSE)</f>
        <v>Astronergy 585Wp</v>
      </c>
      <c r="I37" s="116">
        <f>VLOOKUP(A:A,Table1[[Project No]:[Additional Remark]],16,FALSE)</f>
        <v>25</v>
      </c>
      <c r="J37" s="139" t="str">
        <f>VLOOKUP(A:A,Table1[[Project No]:[Additional Remark]],17,FALSE)</f>
        <v>Solinteg MHT-12K-25 hybrid</v>
      </c>
      <c r="K37" s="140"/>
      <c r="L37" s="1" t="str">
        <f t="shared" si="0"/>
        <v>Completed</v>
      </c>
      <c r="M37" s="139" t="str">
        <f>VLOOKUP(A:A,'Finance Tracker'!A35:K279,8,FALSE)</f>
        <v>Pending 1st Invoice</v>
      </c>
      <c r="N37" s="140"/>
      <c r="O37" s="139" t="s">
        <v>109</v>
      </c>
      <c r="P37" s="139" t="s">
        <v>109</v>
      </c>
      <c r="Q37" s="140"/>
      <c r="R37" s="141">
        <v>45383</v>
      </c>
      <c r="S37" s="141">
        <v>45412</v>
      </c>
      <c r="T37" s="139" t="s">
        <v>1819</v>
      </c>
      <c r="U37" s="141">
        <v>45717</v>
      </c>
      <c r="V37" s="120" t="s">
        <v>1853</v>
      </c>
      <c r="W37" s="139" t="s">
        <v>1853</v>
      </c>
      <c r="X37" s="116" t="s">
        <v>109</v>
      </c>
      <c r="Y37" s="116" t="s">
        <v>1853</v>
      </c>
      <c r="Z37" s="116" t="s">
        <v>109</v>
      </c>
      <c r="AA37" s="116" t="s">
        <v>109</v>
      </c>
      <c r="AB37" s="116" t="s">
        <v>109</v>
      </c>
      <c r="AC37" s="116" t="s">
        <v>109</v>
      </c>
      <c r="AD37" s="116" t="s">
        <v>109</v>
      </c>
      <c r="AE37" s="116" t="s">
        <v>109</v>
      </c>
      <c r="AF37" s="116" t="s">
        <v>109</v>
      </c>
      <c r="AG37" s="116" t="s">
        <v>109</v>
      </c>
      <c r="AH37" s="116" t="s">
        <v>109</v>
      </c>
      <c r="AI37" s="123"/>
      <c r="AJ37" s="116" t="s">
        <v>109</v>
      </c>
      <c r="AK37" s="116" t="s">
        <v>109</v>
      </c>
      <c r="AL37" s="116" t="s">
        <v>109</v>
      </c>
      <c r="AM37" s="116" t="s">
        <v>109</v>
      </c>
      <c r="AP37" s="1">
        <f t="shared" si="1"/>
        <v>29</v>
      </c>
      <c r="AQ37" s="143" t="e">
        <f>AA37-Table1[[#This Row],[Closed Date]]</f>
        <v>#VALUE!</v>
      </c>
    </row>
    <row r="38" spans="1:43" s="244" customFormat="1" ht="18.75" customHeight="1" x14ac:dyDescent="0.3">
      <c r="A38" s="237">
        <f>Table1[[#This Row],[Project No]]</f>
        <v>2310076</v>
      </c>
      <c r="B38" s="238" t="str">
        <f>VLOOKUP(A:A,Table1[[Project No]:[Additional Remark]],2,FALSE)</f>
        <v>Loo Thiam Seng</v>
      </c>
      <c r="C38" s="237" t="e" vm="18">
        <f>VLOOKUP(A:A,Table1[[#All],[Project No]:[Additional Remark]],7,FALSE)</f>
        <v>#VALUE!</v>
      </c>
      <c r="D38" s="237" t="str">
        <f>VLOOKUP(A:A,Table1[[#All],[Project No]:[Additional Remark]],4,FALSE)</f>
        <v>Tham</v>
      </c>
      <c r="E38" s="237" t="str">
        <f>VLOOKUP(A:A,Table1[[#All],[Project No]:[Additional Remark]],5,FALSE)</f>
        <v>R-PV</v>
      </c>
      <c r="F38" s="237" t="str">
        <f>VLOOKUP(A:A,Table1[[Project No]:[Additional Remark]],6,FALSE)</f>
        <v>NEM</v>
      </c>
      <c r="G38" s="237">
        <f>VLOOKUP(A:A,Table1[[Project No]:[Additional Remark]],8,FALSE)</f>
        <v>8.26</v>
      </c>
      <c r="H38" s="237" t="str">
        <f>VLOOKUP(A:A,Table1[[Project No]:[Additional Remark]],15,FALSE)</f>
        <v>Astronergy 590Wp</v>
      </c>
      <c r="I38" s="237">
        <f>VLOOKUP(A:A,Table1[[Project No]:[Additional Remark]],16,FALSE)</f>
        <v>14</v>
      </c>
      <c r="J38" s="239" t="str">
        <f>VLOOKUP(A:A,Table1[[Project No]:[Additional Remark]],17,FALSE)</f>
        <v>Huawei SUN2000-6KTL</v>
      </c>
      <c r="K38" s="240"/>
      <c r="L38" s="239" t="str">
        <f t="shared" si="0"/>
        <v>Pending NEM Welcome Letter</v>
      </c>
      <c r="M38" s="239" t="str">
        <f>VLOOKUP(A:A,'Finance Tracker'!A36:K280,8,FALSE)</f>
        <v>Invoice Completed</v>
      </c>
      <c r="N38" s="240"/>
      <c r="O38" s="239" t="s">
        <v>109</v>
      </c>
      <c r="P38" s="239" t="s">
        <v>109</v>
      </c>
      <c r="Q38" s="240"/>
      <c r="R38" s="241">
        <v>45722</v>
      </c>
      <c r="S38" s="241">
        <v>45727</v>
      </c>
      <c r="T38" s="239" t="s">
        <v>1819</v>
      </c>
      <c r="U38" s="241">
        <v>46086</v>
      </c>
      <c r="V38" s="242" t="s">
        <v>1853</v>
      </c>
      <c r="W38" s="239" t="s">
        <v>1853</v>
      </c>
      <c r="X38" s="237" t="s">
        <v>109</v>
      </c>
      <c r="Y38" s="237" t="s">
        <v>1853</v>
      </c>
      <c r="Z38" s="237" t="s">
        <v>1853</v>
      </c>
      <c r="AA38" s="242">
        <v>45762</v>
      </c>
      <c r="AB38" s="242">
        <v>45764</v>
      </c>
      <c r="AC38" s="242" t="s">
        <v>1853</v>
      </c>
      <c r="AD38" s="242">
        <v>45775</v>
      </c>
      <c r="AE38" s="241">
        <v>45772</v>
      </c>
      <c r="AF38" s="241">
        <v>45775</v>
      </c>
      <c r="AG38" s="241"/>
      <c r="AH38" s="241"/>
      <c r="AI38" s="243"/>
      <c r="AJ38" s="237" t="s">
        <v>109</v>
      </c>
      <c r="AK38" s="237" t="s">
        <v>109</v>
      </c>
      <c r="AL38" s="237" t="s">
        <v>109</v>
      </c>
      <c r="AM38" s="237" t="s">
        <v>109</v>
      </c>
      <c r="AP38" s="239">
        <f t="shared" si="1"/>
        <v>5</v>
      </c>
      <c r="AQ38" s="245">
        <f>AA38-Table1[[#This Row],[Closed Date]]</f>
        <v>55</v>
      </c>
    </row>
    <row r="39" spans="1:43" ht="18.75" customHeight="1" x14ac:dyDescent="0.3">
      <c r="A39" s="4">
        <f>Table1[[#This Row],[Project No]]</f>
        <v>2310085</v>
      </c>
      <c r="B39" s="110" t="str">
        <f>VLOOKUP(A:A,Table1[[Project No]:[Additional Remark]],2,FALSE)</f>
        <v>Chew Mei May</v>
      </c>
      <c r="C39" s="4" t="e" vm="15">
        <f>VLOOKUP(A:A,Table1[[#All],[Project No]:[Additional Remark]],7,FALSE)</f>
        <v>#VALUE!</v>
      </c>
      <c r="D39" s="4" t="str">
        <f>VLOOKUP(A:A,Table1[[#All],[Project No]:[Additional Remark]],4,FALSE)</f>
        <v>Simon</v>
      </c>
      <c r="E39" s="4" t="str">
        <f>VLOOKUP(A:A,Table1[[#All],[Project No]:[Additional Remark]],5,FALSE)</f>
        <v>R-PV</v>
      </c>
      <c r="F39" s="4" t="str">
        <f>VLOOKUP(A:A,Table1[[Project No]:[Additional Remark]],6,FALSE)</f>
        <v>NEM</v>
      </c>
      <c r="G39" s="4">
        <f>VLOOKUP(A:A,Table1[[Project No]:[Additional Remark]],8,FALSE)</f>
        <v>12.074999999999999</v>
      </c>
      <c r="H39" s="4" t="str">
        <f>VLOOKUP(A:A,Table1[[Project No]:[Additional Remark]],15,FALSE)</f>
        <v>Astronergy 575Wp</v>
      </c>
      <c r="I39" s="4">
        <f>VLOOKUP(A:A,Table1[[Project No]:[Additional Remark]],16,FALSE)</f>
        <v>21</v>
      </c>
      <c r="J39" s="1" t="str">
        <f>VLOOKUP(A:A,Table1[[Project No]:[Additional Remark]],17,FALSE)</f>
        <v>Solinteg MHT-10K-25 hybrid</v>
      </c>
      <c r="K39" s="127"/>
      <c r="L39" s="1" t="str">
        <f t="shared" si="0"/>
        <v>Completed</v>
      </c>
      <c r="M39" s="1" t="str">
        <f>VLOOKUP(A:A,'Finance Tracker'!A37:K281,8,FALSE)</f>
        <v>Invoice Completed</v>
      </c>
      <c r="N39" s="127"/>
      <c r="O39" s="1" t="s">
        <v>109</v>
      </c>
      <c r="P39" s="1" t="s">
        <v>109</v>
      </c>
      <c r="Q39" s="127"/>
      <c r="R39" s="56">
        <v>45374</v>
      </c>
      <c r="S39" s="56">
        <v>45384</v>
      </c>
      <c r="T39" s="1" t="s">
        <v>1822</v>
      </c>
      <c r="U39" s="56">
        <v>45891</v>
      </c>
      <c r="V39" s="39" t="s">
        <v>1853</v>
      </c>
      <c r="W39" s="1" t="s">
        <v>1853</v>
      </c>
      <c r="X39" s="4" t="s">
        <v>109</v>
      </c>
      <c r="Y39" s="4" t="s">
        <v>1853</v>
      </c>
      <c r="Z39" s="4" t="s">
        <v>1853</v>
      </c>
      <c r="AA39" s="4" t="s">
        <v>1853</v>
      </c>
      <c r="AB39" s="4" t="s">
        <v>1853</v>
      </c>
      <c r="AC39" s="4" t="s">
        <v>1853</v>
      </c>
      <c r="AD39" s="4" t="s">
        <v>1853</v>
      </c>
      <c r="AE39" s="56">
        <v>45441</v>
      </c>
      <c r="AF39" s="56">
        <v>45455</v>
      </c>
      <c r="AG39" s="56">
        <v>45455</v>
      </c>
      <c r="AH39" s="56">
        <v>49125</v>
      </c>
      <c r="AJ39" s="4" t="s">
        <v>109</v>
      </c>
      <c r="AK39" s="4" t="s">
        <v>109</v>
      </c>
      <c r="AL39" s="4" t="s">
        <v>109</v>
      </c>
      <c r="AM39" s="4" t="s">
        <v>109</v>
      </c>
      <c r="AP39" s="1">
        <f t="shared" si="1"/>
        <v>10</v>
      </c>
      <c r="AQ39" s="38" t="e">
        <f>AA39-Table1[[#This Row],[Closed Date]]</f>
        <v>#VALUE!</v>
      </c>
    </row>
    <row r="40" spans="1:43" s="244" customFormat="1" ht="18.75" customHeight="1" x14ac:dyDescent="0.3">
      <c r="A40" s="237">
        <f>Table1[[#This Row],[Project No]]</f>
        <v>2312113</v>
      </c>
      <c r="B40" s="238" t="str">
        <f>VLOOKUP(A:A,Table1[[Project No]:[Additional Remark]],2,FALSE)</f>
        <v>Razman Bin Samsudin</v>
      </c>
      <c r="C40" s="237" t="e" vm="15">
        <f>VLOOKUP(A:A,Table1[[#All],[Project No]:[Additional Remark]],7,FALSE)</f>
        <v>#VALUE!</v>
      </c>
      <c r="D40" s="237" t="str">
        <f>VLOOKUP(A:A,Table1[[#All],[Project No]:[Additional Remark]],4,FALSE)</f>
        <v>Simon</v>
      </c>
      <c r="E40" s="237" t="str">
        <f>VLOOKUP(A:A,Table1[[#All],[Project No]:[Additional Remark]],5,FALSE)</f>
        <v>R-PV</v>
      </c>
      <c r="F40" s="237" t="str">
        <f>VLOOKUP(A:A,Table1[[Project No]:[Additional Remark]],6,FALSE)</f>
        <v>NEM</v>
      </c>
      <c r="G40" s="237">
        <f>VLOOKUP(A:A,Table1[[Project No]:[Additional Remark]],8,FALSE)</f>
        <v>13.8</v>
      </c>
      <c r="H40" s="237" t="str">
        <f>VLOOKUP(A:A,Table1[[Project No]:[Additional Remark]],15,FALSE)</f>
        <v>Astronergy 575Wp</v>
      </c>
      <c r="I40" s="237">
        <f>VLOOKUP(A:A,Table1[[Project No]:[Additional Remark]],16,FALSE)</f>
        <v>24.000000000000004</v>
      </c>
      <c r="J40" s="239" t="str">
        <f>VLOOKUP(A:A,Table1[[Project No]:[Additional Remark]],17,FALSE)</f>
        <v>Huawei SUN2000-12KTL</v>
      </c>
      <c r="K40" s="240"/>
      <c r="L40" s="239" t="str">
        <f t="shared" si="0"/>
        <v>Pending NEM Welcome Letter</v>
      </c>
      <c r="M40" s="239" t="str">
        <f>VLOOKUP(A:A,'Finance Tracker'!A38:K282,8,FALSE)</f>
        <v>2nd invoice</v>
      </c>
      <c r="N40" s="240"/>
      <c r="O40" s="239" t="s">
        <v>109</v>
      </c>
      <c r="P40" s="239" t="s">
        <v>109</v>
      </c>
      <c r="Q40" s="240"/>
      <c r="R40" s="241">
        <v>45601</v>
      </c>
      <c r="S40" s="241">
        <v>45617</v>
      </c>
      <c r="T40" s="239" t="s">
        <v>1819</v>
      </c>
      <c r="U40" s="241">
        <v>45965</v>
      </c>
      <c r="V40" s="242" t="s">
        <v>1853</v>
      </c>
      <c r="W40" s="239" t="s">
        <v>1853</v>
      </c>
      <c r="X40" s="237" t="s">
        <v>109</v>
      </c>
      <c r="Y40" s="237" t="s">
        <v>1853</v>
      </c>
      <c r="Z40" s="237" t="s">
        <v>1855</v>
      </c>
      <c r="AA40" s="242">
        <v>45700</v>
      </c>
      <c r="AB40" s="242" t="s">
        <v>1853</v>
      </c>
      <c r="AC40" s="242" t="s">
        <v>1853</v>
      </c>
      <c r="AD40" s="242">
        <v>45891</v>
      </c>
      <c r="AE40" s="241" t="s">
        <v>1853</v>
      </c>
      <c r="AF40" s="241" t="s">
        <v>1853</v>
      </c>
      <c r="AG40" s="241"/>
      <c r="AH40" s="241"/>
      <c r="AI40" s="243"/>
      <c r="AJ40" s="237" t="s">
        <v>109</v>
      </c>
      <c r="AK40" s="237" t="s">
        <v>109</v>
      </c>
      <c r="AL40" s="237" t="s">
        <v>109</v>
      </c>
      <c r="AM40" s="237" t="s">
        <v>109</v>
      </c>
      <c r="AP40" s="239">
        <f t="shared" si="1"/>
        <v>16</v>
      </c>
      <c r="AQ40" s="245">
        <f>AA40-Table1[[#This Row],[Closed Date]]</f>
        <v>387</v>
      </c>
    </row>
    <row r="41" spans="1:43" ht="18.75" customHeight="1" x14ac:dyDescent="0.3">
      <c r="A41" s="4">
        <f>Table1[[#This Row],[Project No]]</f>
        <v>2401121</v>
      </c>
      <c r="B41" s="110" t="str">
        <f>VLOOKUP(A:A,Table1[[Project No]:[Additional Remark]],2,FALSE)</f>
        <v>Chen Ah Hin</v>
      </c>
      <c r="C41" s="4" t="e" vm="18">
        <f>VLOOKUP(A:A,Table1[[#All],[Project No]:[Additional Remark]],7,FALSE)</f>
        <v>#VALUE!</v>
      </c>
      <c r="D41" s="4" t="str">
        <f>VLOOKUP(A:A,Table1[[#All],[Project No]:[Additional Remark]],4,FALSE)</f>
        <v>Tham</v>
      </c>
      <c r="E41" s="4" t="str">
        <f>VLOOKUP(A:A,Table1[[#All],[Project No]:[Additional Remark]],5,FALSE)</f>
        <v>R-PV</v>
      </c>
      <c r="F41" s="4" t="str">
        <f>VLOOKUP(A:A,Table1[[Project No]:[Additional Remark]],6,FALSE)</f>
        <v>NEM</v>
      </c>
      <c r="G41" s="4">
        <f>VLOOKUP(A:A,Table1[[Project No]:[Additional Remark]],8,FALSE)</f>
        <v>11.7</v>
      </c>
      <c r="H41" s="4" t="str">
        <f>VLOOKUP(A:A,Table1[[Project No]:[Additional Remark]],15,FALSE)</f>
        <v>Astronergy 585Wp</v>
      </c>
      <c r="I41" s="4">
        <f>VLOOKUP(A:A,Table1[[Project No]:[Additional Remark]],16,FALSE)</f>
        <v>20</v>
      </c>
      <c r="J41" s="1" t="str">
        <f>VLOOKUP(A:A,Table1[[Project No]:[Additional Remark]],17,FALSE)</f>
        <v>Solinteg MHT-10K-25 hybrid</v>
      </c>
      <c r="K41" s="127"/>
      <c r="L41" s="1" t="str">
        <f t="shared" si="0"/>
        <v>Completed</v>
      </c>
      <c r="M41" s="1" t="str">
        <f>VLOOKUP(A:A,'Finance Tracker'!A39:K283,8,FALSE)</f>
        <v>Invoice Completed</v>
      </c>
      <c r="N41" s="127"/>
      <c r="O41" s="1" t="s">
        <v>109</v>
      </c>
      <c r="P41" s="1" t="s">
        <v>109</v>
      </c>
      <c r="Q41" s="127"/>
      <c r="R41" s="56">
        <v>45399</v>
      </c>
      <c r="S41" s="56">
        <v>45407</v>
      </c>
      <c r="T41" s="1" t="s">
        <v>1822</v>
      </c>
      <c r="U41" s="56">
        <v>45769</v>
      </c>
      <c r="V41" s="39" t="s">
        <v>1853</v>
      </c>
      <c r="W41" s="1" t="s">
        <v>1853</v>
      </c>
      <c r="X41" s="4" t="s">
        <v>109</v>
      </c>
      <c r="Y41" s="4" t="s">
        <v>1853</v>
      </c>
      <c r="Z41" s="4" t="s">
        <v>1855</v>
      </c>
      <c r="AA41" s="4" t="s">
        <v>1853</v>
      </c>
      <c r="AB41" s="4" t="s">
        <v>1853</v>
      </c>
      <c r="AC41" s="4" t="s">
        <v>1853</v>
      </c>
      <c r="AD41" s="4" t="s">
        <v>1853</v>
      </c>
      <c r="AE41" s="56">
        <v>45449</v>
      </c>
      <c r="AF41" s="56">
        <v>45451</v>
      </c>
      <c r="AG41" s="56">
        <v>45451</v>
      </c>
      <c r="AH41" s="56">
        <v>49125</v>
      </c>
      <c r="AJ41" s="4" t="s">
        <v>109</v>
      </c>
      <c r="AK41" s="4" t="s">
        <v>109</v>
      </c>
      <c r="AL41" s="4" t="s">
        <v>109</v>
      </c>
      <c r="AM41" s="4" t="s">
        <v>109</v>
      </c>
      <c r="AP41" s="1">
        <f t="shared" si="1"/>
        <v>8</v>
      </c>
      <c r="AQ41" s="38" t="e">
        <f>AA41-Table1[[#This Row],[Closed Date]]</f>
        <v>#VALUE!</v>
      </c>
    </row>
    <row r="42" spans="1:43" ht="18.75" customHeight="1" x14ac:dyDescent="0.3">
      <c r="A42" s="4">
        <f>Table1[[#This Row],[Project No]]</f>
        <v>2401124</v>
      </c>
      <c r="B42" s="110" t="str">
        <f>VLOOKUP(A:A,Table1[[Project No]:[Additional Remark]],2,FALSE)</f>
        <v>Lim Kok Teong</v>
      </c>
      <c r="C42" s="4" t="e" vm="15">
        <f>VLOOKUP(A:A,Table1[[#All],[Project No]:[Additional Remark]],7,FALSE)</f>
        <v>#VALUE!</v>
      </c>
      <c r="D42" s="4" t="str">
        <f>VLOOKUP(A:A,Table1[[#All],[Project No]:[Additional Remark]],4,FALSE)</f>
        <v>Tham</v>
      </c>
      <c r="E42" s="4" t="str">
        <f>VLOOKUP(A:A,Table1[[#All],[Project No]:[Additional Remark]],5,FALSE)</f>
        <v>R-PV</v>
      </c>
      <c r="F42" s="4" t="str">
        <f>VLOOKUP(A:A,Table1[[Project No]:[Additional Remark]],6,FALSE)</f>
        <v>NEM</v>
      </c>
      <c r="G42" s="4">
        <f>VLOOKUP(A:A,Table1[[Project No]:[Additional Remark]],8,FALSE)</f>
        <v>17.55</v>
      </c>
      <c r="H42" s="4" t="str">
        <f>VLOOKUP(A:A,Table1[[Project No]:[Additional Remark]],15,FALSE)</f>
        <v>Astronergy 585Wp</v>
      </c>
      <c r="I42" s="4">
        <f>VLOOKUP(A:A,Table1[[Project No]:[Additional Remark]],16,FALSE)</f>
        <v>30.000000000000004</v>
      </c>
      <c r="J42" s="1" t="str">
        <f>VLOOKUP(A:A,Table1[[Project No]:[Additional Remark]],17,FALSE)</f>
        <v>Huawei SUN2000-12KTL</v>
      </c>
      <c r="K42" s="127"/>
      <c r="L42" s="1" t="str">
        <f t="shared" si="0"/>
        <v>Completed</v>
      </c>
      <c r="M42" s="1" t="str">
        <f>VLOOKUP(A:A,'Finance Tracker'!A40:K284,8,FALSE)</f>
        <v>Invoice Completed</v>
      </c>
      <c r="N42" s="127"/>
      <c r="O42" s="1" t="s">
        <v>109</v>
      </c>
      <c r="P42" s="1" t="s">
        <v>109</v>
      </c>
      <c r="Q42" s="127"/>
      <c r="R42" s="56">
        <v>45400</v>
      </c>
      <c r="S42" s="56">
        <v>45407</v>
      </c>
      <c r="T42" s="1" t="s">
        <v>1822</v>
      </c>
      <c r="U42" s="56">
        <v>45768</v>
      </c>
      <c r="V42" s="39" t="s">
        <v>1853</v>
      </c>
      <c r="W42" s="1" t="s">
        <v>1853</v>
      </c>
      <c r="X42" s="4" t="s">
        <v>109</v>
      </c>
      <c r="Y42" s="4" t="s">
        <v>1853</v>
      </c>
      <c r="Z42" s="4" t="s">
        <v>1853</v>
      </c>
      <c r="AA42" s="4" t="s">
        <v>1853</v>
      </c>
      <c r="AB42" s="4" t="s">
        <v>1853</v>
      </c>
      <c r="AC42" s="4" t="s">
        <v>1853</v>
      </c>
      <c r="AD42" s="4" t="s">
        <v>1853</v>
      </c>
      <c r="AE42" s="56">
        <v>45468</v>
      </c>
      <c r="AF42" s="56">
        <v>45470</v>
      </c>
      <c r="AG42" s="56">
        <v>45470</v>
      </c>
      <c r="AH42" s="56">
        <v>49125</v>
      </c>
      <c r="AJ42" s="4" t="s">
        <v>109</v>
      </c>
      <c r="AK42" s="4" t="s">
        <v>109</v>
      </c>
      <c r="AL42" s="4" t="s">
        <v>109</v>
      </c>
      <c r="AM42" s="4" t="s">
        <v>109</v>
      </c>
      <c r="AP42" s="1">
        <f t="shared" si="1"/>
        <v>7</v>
      </c>
      <c r="AQ42" s="38" t="e">
        <f>AA42-Table1[[#This Row],[Closed Date]]</f>
        <v>#VALUE!</v>
      </c>
    </row>
    <row r="43" spans="1:43" ht="18" customHeight="1" x14ac:dyDescent="0.3">
      <c r="A43" s="4">
        <f>Table1[[#This Row],[Project No]]</f>
        <v>2401131</v>
      </c>
      <c r="B43" s="110" t="str">
        <f>VLOOKUP(A:A,Table1[[Project No]:[Additional Remark]],2,FALSE)</f>
        <v>Chan Po Kok (JC Chan KEB)</v>
      </c>
      <c r="C43" s="4" t="e" vm="15">
        <f>VLOOKUP(A:A,Table1[[#All],[Project No]:[Additional Remark]],7,FALSE)</f>
        <v>#VALUE!</v>
      </c>
      <c r="D43" s="4" t="str">
        <f>VLOOKUP(A:A,Table1[[#All],[Project No]:[Additional Remark]],4,FALSE)</f>
        <v>Tham</v>
      </c>
      <c r="E43" s="4" t="str">
        <f>VLOOKUP(A:A,Table1[[#All],[Project No]:[Additional Remark]],5,FALSE)</f>
        <v>R-PV</v>
      </c>
      <c r="F43" s="4" t="str">
        <f>VLOOKUP(A:A,Table1[[Project No]:[Additional Remark]],6,FALSE)</f>
        <v>NEM</v>
      </c>
      <c r="G43" s="4">
        <f>VLOOKUP(A:A,Table1[[Project No]:[Additional Remark]],8,FALSE)</f>
        <v>8.19</v>
      </c>
      <c r="H43" s="4" t="str">
        <f>VLOOKUP(A:A,Table1[[Project No]:[Additional Remark]],15,FALSE)</f>
        <v>Astronergy 585Wp</v>
      </c>
      <c r="I43" s="4">
        <f>VLOOKUP(A:A,Table1[[Project No]:[Additional Remark]],16,FALSE)</f>
        <v>14</v>
      </c>
      <c r="J43" s="1" t="str">
        <f>VLOOKUP(A:A,Table1[[Project No]:[Additional Remark]],17,FALSE)</f>
        <v>Huawei SUN2000-6KTL</v>
      </c>
      <c r="K43" s="127"/>
      <c r="L43" s="1" t="str">
        <f t="shared" si="0"/>
        <v>Completed</v>
      </c>
      <c r="M43" s="1" t="str">
        <f>VLOOKUP(A:A,'Finance Tracker'!A41:K285,8,FALSE)</f>
        <v>Invoice Completed</v>
      </c>
      <c r="N43" s="127"/>
      <c r="O43" s="1" t="s">
        <v>109</v>
      </c>
      <c r="P43" s="1" t="s">
        <v>109</v>
      </c>
      <c r="Q43" s="127"/>
      <c r="R43" s="56">
        <v>45401</v>
      </c>
      <c r="S43" s="56">
        <v>45427</v>
      </c>
      <c r="T43" s="1" t="s">
        <v>1822</v>
      </c>
      <c r="U43" s="56">
        <v>45777</v>
      </c>
      <c r="V43" s="39" t="s">
        <v>1853</v>
      </c>
      <c r="W43" s="1" t="s">
        <v>1853</v>
      </c>
      <c r="X43" s="4" t="s">
        <v>109</v>
      </c>
      <c r="Y43" s="4" t="s">
        <v>1853</v>
      </c>
      <c r="Z43" s="4" t="s">
        <v>1853</v>
      </c>
      <c r="AA43" s="4" t="s">
        <v>1853</v>
      </c>
      <c r="AB43" s="4" t="s">
        <v>1853</v>
      </c>
      <c r="AC43" s="4" t="s">
        <v>1853</v>
      </c>
      <c r="AD43" s="4" t="s">
        <v>1853</v>
      </c>
      <c r="AE43" s="56">
        <v>45475</v>
      </c>
      <c r="AF43" s="56">
        <v>45477</v>
      </c>
      <c r="AG43" s="56">
        <v>45477</v>
      </c>
      <c r="AH43" s="56">
        <v>49156</v>
      </c>
      <c r="AJ43" s="4" t="s">
        <v>109</v>
      </c>
      <c r="AK43" s="4" t="s">
        <v>109</v>
      </c>
      <c r="AL43" s="4" t="s">
        <v>109</v>
      </c>
      <c r="AM43" s="4" t="s">
        <v>109</v>
      </c>
      <c r="AP43" s="1">
        <f t="shared" si="1"/>
        <v>26</v>
      </c>
      <c r="AQ43" s="38" t="e">
        <f>AA43-Table1[[#This Row],[Closed Date]]</f>
        <v>#VALUE!</v>
      </c>
    </row>
    <row r="44" spans="1:43" ht="18.75" customHeight="1" x14ac:dyDescent="0.3">
      <c r="A44" s="4">
        <f>Table1[[#This Row],[Project No]]</f>
        <v>2401137</v>
      </c>
      <c r="B44" s="110" t="str">
        <f>VLOOKUP(A:A,Table1[[Project No]:[Additional Remark]],2,FALSE)</f>
        <v>Lim Kok Liang</v>
      </c>
      <c r="C44" s="4" t="e" vm="15">
        <f>VLOOKUP(A:A,Table1[[#All],[Project No]:[Additional Remark]],7,FALSE)</f>
        <v>#VALUE!</v>
      </c>
      <c r="D44" s="4" t="str">
        <f>VLOOKUP(A:A,Table1[[#All],[Project No]:[Additional Remark]],4,FALSE)</f>
        <v>Tham</v>
      </c>
      <c r="E44" s="4" t="str">
        <f>VLOOKUP(A:A,Table1[[#All],[Project No]:[Additional Remark]],5,FALSE)</f>
        <v>R-PV</v>
      </c>
      <c r="F44" s="4" t="str">
        <f>VLOOKUP(A:A,Table1[[Project No]:[Additional Remark]],6,FALSE)</f>
        <v>NEM</v>
      </c>
      <c r="G44" s="4">
        <f>VLOOKUP(A:A,Table1[[Project No]:[Additional Remark]],8,FALSE)</f>
        <v>11.7</v>
      </c>
      <c r="H44" s="4" t="str">
        <f>VLOOKUP(A:A,Table1[[Project No]:[Additional Remark]],15,FALSE)</f>
        <v>Astronergy 585Wp</v>
      </c>
      <c r="I44" s="4">
        <f>VLOOKUP(A:A,Table1[[Project No]:[Additional Remark]],16,FALSE)</f>
        <v>20</v>
      </c>
      <c r="J44" s="1" t="str">
        <f>VLOOKUP(A:A,Table1[[Project No]:[Additional Remark]],17,FALSE)</f>
        <v>Huawei SUN2000-10KTL</v>
      </c>
      <c r="K44" s="127"/>
      <c r="L44" s="1" t="str">
        <f t="shared" si="0"/>
        <v>Completed</v>
      </c>
      <c r="M44" s="1" t="str">
        <f>VLOOKUP(A:A,'Finance Tracker'!A42:K286,8,FALSE)</f>
        <v>Invoice Completed</v>
      </c>
      <c r="N44" s="127"/>
      <c r="O44" s="1" t="s">
        <v>109</v>
      </c>
      <c r="P44" s="1" t="s">
        <v>109</v>
      </c>
      <c r="Q44" s="127"/>
      <c r="R44" s="56">
        <v>45391</v>
      </c>
      <c r="S44" s="56">
        <v>45427</v>
      </c>
      <c r="T44" s="1" t="s">
        <v>1822</v>
      </c>
      <c r="U44" s="56">
        <v>45775</v>
      </c>
      <c r="V44" s="39" t="s">
        <v>1853</v>
      </c>
      <c r="W44" s="1" t="s">
        <v>1853</v>
      </c>
      <c r="X44" s="4" t="s">
        <v>109</v>
      </c>
      <c r="Y44" s="4" t="s">
        <v>1853</v>
      </c>
      <c r="Z44" s="4" t="s">
        <v>1853</v>
      </c>
      <c r="AA44" s="4" t="s">
        <v>1853</v>
      </c>
      <c r="AB44" s="4" t="s">
        <v>1853</v>
      </c>
      <c r="AC44" s="4" t="s">
        <v>1853</v>
      </c>
      <c r="AD44" s="4" t="s">
        <v>1853</v>
      </c>
      <c r="AE44" s="4" t="s">
        <v>1853</v>
      </c>
      <c r="AF44" s="56">
        <v>45463</v>
      </c>
      <c r="AG44" s="56">
        <v>45463</v>
      </c>
      <c r="AH44" s="56">
        <v>45473</v>
      </c>
      <c r="AJ44" s="4" t="s">
        <v>109</v>
      </c>
      <c r="AK44" s="4" t="s">
        <v>109</v>
      </c>
      <c r="AL44" s="4" t="s">
        <v>109</v>
      </c>
      <c r="AM44" s="4" t="s">
        <v>109</v>
      </c>
      <c r="AP44" s="1">
        <f t="shared" si="1"/>
        <v>36</v>
      </c>
      <c r="AQ44" s="38" t="e">
        <f>AA44-Table1[[#This Row],[Closed Date]]</f>
        <v>#VALUE!</v>
      </c>
    </row>
    <row r="45" spans="1:43" ht="18.75" customHeight="1" x14ac:dyDescent="0.3">
      <c r="A45" s="4">
        <f>Table1[[#This Row],[Project No]]</f>
        <v>2401147</v>
      </c>
      <c r="B45" s="110" t="str">
        <f>VLOOKUP(A:A,Table1[[Project No]:[Additional Remark]],2,FALSE)</f>
        <v>Susan Sung Fong Thieng</v>
      </c>
      <c r="C45" s="4" t="e" vm="18">
        <f>VLOOKUP(A:A,Table1[[#All],[Project No]:[Additional Remark]],7,FALSE)</f>
        <v>#VALUE!</v>
      </c>
      <c r="D45" s="4" t="str">
        <f>VLOOKUP(A:A,Table1[[#All],[Project No]:[Additional Remark]],4,FALSE)</f>
        <v>Tham</v>
      </c>
      <c r="E45" s="4" t="str">
        <f>VLOOKUP(A:A,Table1[[#All],[Project No]:[Additional Remark]],5,FALSE)</f>
        <v>R-PV</v>
      </c>
      <c r="F45" s="4" t="str">
        <f>VLOOKUP(A:A,Table1[[Project No]:[Additional Remark]],6,FALSE)</f>
        <v>NEM</v>
      </c>
      <c r="G45" s="4">
        <f>VLOOKUP(A:A,Table1[[Project No]:[Additional Remark]],8,FALSE)</f>
        <v>11.7</v>
      </c>
      <c r="H45" s="4" t="str">
        <f>VLOOKUP(A:A,Table1[[Project No]:[Additional Remark]],15,FALSE)</f>
        <v>Astronergy 585Wp</v>
      </c>
      <c r="I45" s="4">
        <f>VLOOKUP(A:A,Table1[[Project No]:[Additional Remark]],16,FALSE)</f>
        <v>20</v>
      </c>
      <c r="J45" s="1" t="str">
        <f>VLOOKUP(A:A,Table1[[Project No]:[Additional Remark]],17,FALSE)</f>
        <v>Huawei SUN2000-10KTL</v>
      </c>
      <c r="K45" s="127"/>
      <c r="L45" s="1" t="str">
        <f t="shared" si="0"/>
        <v>Completed</v>
      </c>
      <c r="M45" s="1" t="str">
        <f>VLOOKUP(A:A,'Finance Tracker'!A43:K287,8,FALSE)</f>
        <v>Invoice Completed</v>
      </c>
      <c r="N45" s="127"/>
      <c r="O45" s="1" t="s">
        <v>109</v>
      </c>
      <c r="P45" s="1" t="s">
        <v>109</v>
      </c>
      <c r="Q45" s="127"/>
      <c r="R45" s="56">
        <v>45386</v>
      </c>
      <c r="S45" s="56">
        <v>45420</v>
      </c>
      <c r="T45" s="1" t="s">
        <v>1822</v>
      </c>
      <c r="U45" s="56">
        <v>45792</v>
      </c>
      <c r="V45" s="39" t="s">
        <v>1853</v>
      </c>
      <c r="W45" s="1" t="s">
        <v>1853</v>
      </c>
      <c r="X45" s="4" t="s">
        <v>109</v>
      </c>
      <c r="Y45" s="4" t="s">
        <v>1853</v>
      </c>
      <c r="Z45" s="4" t="s">
        <v>1853</v>
      </c>
      <c r="AA45" s="4" t="s">
        <v>1853</v>
      </c>
      <c r="AB45" s="4" t="s">
        <v>1853</v>
      </c>
      <c r="AC45" s="4" t="s">
        <v>1853</v>
      </c>
      <c r="AD45" s="4" t="s">
        <v>1853</v>
      </c>
      <c r="AE45" s="56">
        <v>45468</v>
      </c>
      <c r="AF45" s="56">
        <v>45474</v>
      </c>
      <c r="AG45" s="56">
        <v>45474</v>
      </c>
      <c r="AH45" s="56">
        <v>49156</v>
      </c>
      <c r="AJ45" s="4" t="s">
        <v>109</v>
      </c>
      <c r="AK45" s="4" t="s">
        <v>109</v>
      </c>
      <c r="AL45" s="4" t="s">
        <v>109</v>
      </c>
      <c r="AM45" s="4" t="s">
        <v>109</v>
      </c>
      <c r="AP45" s="1">
        <f t="shared" si="1"/>
        <v>34</v>
      </c>
      <c r="AQ45" s="38" t="e">
        <f>AA45-Table1[[#This Row],[Closed Date]]</f>
        <v>#VALUE!</v>
      </c>
    </row>
    <row r="46" spans="1:43" ht="18.75" customHeight="1" x14ac:dyDescent="0.3">
      <c r="A46" s="4">
        <f>Table1[[#This Row],[Project No]]</f>
        <v>2403165</v>
      </c>
      <c r="B46" s="110" t="str">
        <f>VLOOKUP(A:A,Table1[[Project No]:[Additional Remark]],2,FALSE)</f>
        <v>Lee Boon Huet</v>
      </c>
      <c r="C46" s="4" t="e" vm="15">
        <f>VLOOKUP(A:A,Table1[[#All],[Project No]:[Additional Remark]],7,FALSE)</f>
        <v>#VALUE!</v>
      </c>
      <c r="D46" s="4" t="str">
        <f>VLOOKUP(A:A,Table1[[#All],[Project No]:[Additional Remark]],4,FALSE)</f>
        <v>Tham</v>
      </c>
      <c r="E46" s="4" t="str">
        <f>VLOOKUP(A:A,Table1[[#All],[Project No]:[Additional Remark]],5,FALSE)</f>
        <v>R-PV</v>
      </c>
      <c r="F46" s="4" t="str">
        <f>VLOOKUP(A:A,Table1[[Project No]:[Additional Remark]],6,FALSE)</f>
        <v>NEM</v>
      </c>
      <c r="G46" s="4">
        <f>VLOOKUP(A:A,Table1[[Project No]:[Additional Remark]],8,FALSE)</f>
        <v>7.02</v>
      </c>
      <c r="H46" s="4" t="str">
        <f>VLOOKUP(A:A,Table1[[Project No]:[Additional Remark]],15,FALSE)</f>
        <v>Astronergy 585Wp</v>
      </c>
      <c r="I46" s="4">
        <f>VLOOKUP(A:A,Table1[[Project No]:[Additional Remark]],16,FALSE)</f>
        <v>12</v>
      </c>
      <c r="J46" s="1" t="str">
        <f>VLOOKUP(A:A,Table1[[Project No]:[Additional Remark]],17,FALSE)</f>
        <v>Huawei SUN2000-5KTL-L1</v>
      </c>
      <c r="K46" s="127"/>
      <c r="L46" s="1" t="str">
        <f t="shared" si="0"/>
        <v>Completed</v>
      </c>
      <c r="M46" s="1" t="str">
        <f>VLOOKUP(A:A,'Finance Tracker'!A44:K288,8,FALSE)</f>
        <v>Invoice Completed</v>
      </c>
      <c r="N46" s="127"/>
      <c r="O46" s="1" t="s">
        <v>109</v>
      </c>
      <c r="P46" s="1" t="s">
        <v>109</v>
      </c>
      <c r="Q46" s="127"/>
      <c r="R46" s="56">
        <v>45398</v>
      </c>
      <c r="S46" s="56">
        <v>45407</v>
      </c>
      <c r="T46" s="1" t="s">
        <v>1822</v>
      </c>
      <c r="U46" s="56">
        <v>45768</v>
      </c>
      <c r="V46" s="39" t="s">
        <v>1853</v>
      </c>
      <c r="W46" s="1" t="s">
        <v>1853</v>
      </c>
      <c r="X46" s="4" t="s">
        <v>109</v>
      </c>
      <c r="Y46" s="4" t="s">
        <v>1853</v>
      </c>
      <c r="Z46" s="4" t="s">
        <v>1853</v>
      </c>
      <c r="AA46" s="4" t="s">
        <v>1853</v>
      </c>
      <c r="AB46" s="4" t="s">
        <v>1853</v>
      </c>
      <c r="AC46" s="4" t="s">
        <v>1853</v>
      </c>
      <c r="AD46" s="4" t="s">
        <v>1853</v>
      </c>
      <c r="AE46" s="56" t="s">
        <v>1853</v>
      </c>
      <c r="AF46" s="56">
        <v>45462</v>
      </c>
      <c r="AG46" s="56">
        <v>45462</v>
      </c>
      <c r="AH46" s="56">
        <v>49125</v>
      </c>
      <c r="AJ46" s="4" t="s">
        <v>109</v>
      </c>
      <c r="AK46" s="4" t="s">
        <v>109</v>
      </c>
      <c r="AL46" s="4" t="s">
        <v>109</v>
      </c>
      <c r="AM46" s="4" t="s">
        <v>109</v>
      </c>
      <c r="AP46" s="1">
        <f t="shared" si="1"/>
        <v>9</v>
      </c>
      <c r="AQ46" s="38" t="e">
        <f>AA46-Table1[[#This Row],[Closed Date]]</f>
        <v>#VALUE!</v>
      </c>
    </row>
    <row r="47" spans="1:43" ht="18.75" customHeight="1" x14ac:dyDescent="0.3">
      <c r="A47" s="4">
        <f>Table1[[#This Row],[Project No]]</f>
        <v>2403167</v>
      </c>
      <c r="B47" s="110" t="str">
        <f>VLOOKUP(A:A,Table1[[Project No]:[Additional Remark]],2,FALSE)</f>
        <v>Ng Yunn Chong</v>
      </c>
      <c r="C47" s="4" t="e" vm="22">
        <f>VLOOKUP(A:A,Table1[[#All],[Project No]:[Additional Remark]],7,FALSE)</f>
        <v>#VALUE!</v>
      </c>
      <c r="D47" s="4" t="str">
        <f>VLOOKUP(A:A,Table1[[#All],[Project No]:[Additional Remark]],4,FALSE)</f>
        <v>Tham</v>
      </c>
      <c r="E47" s="4" t="str">
        <f>VLOOKUP(A:A,Table1[[#All],[Project No]:[Additional Remark]],5,FALSE)</f>
        <v>R-PV</v>
      </c>
      <c r="F47" s="4" t="str">
        <f>VLOOKUP(A:A,Table1[[Project No]:[Additional Remark]],6,FALSE)</f>
        <v>NEM</v>
      </c>
      <c r="G47" s="4">
        <f>VLOOKUP(A:A,Table1[[Project No]:[Additional Remark]],8,FALSE)</f>
        <v>17.55</v>
      </c>
      <c r="H47" s="4" t="str">
        <f>VLOOKUP(A:A,Table1[[Project No]:[Additional Remark]],15,FALSE)</f>
        <v>Astronergy 585Wp</v>
      </c>
      <c r="I47" s="4">
        <f>VLOOKUP(A:A,Table1[[Project No]:[Additional Remark]],16,FALSE)</f>
        <v>30.000000000000004</v>
      </c>
      <c r="J47" s="1" t="str">
        <f>VLOOKUP(A:A,Table1[[Project No]:[Additional Remark]],17,FALSE)</f>
        <v>Huawei SUN2000-12KTL</v>
      </c>
      <c r="K47" s="127"/>
      <c r="L47" s="1" t="str">
        <f t="shared" si="0"/>
        <v>Completed</v>
      </c>
      <c r="M47" s="1" t="str">
        <f>VLOOKUP(A:A,'Finance Tracker'!A45:K289,8,FALSE)</f>
        <v>Invoice Completed</v>
      </c>
      <c r="N47" s="127"/>
      <c r="O47" s="1" t="s">
        <v>109</v>
      </c>
      <c r="P47" s="1" t="s">
        <v>109</v>
      </c>
      <c r="Q47" s="127"/>
      <c r="R47" s="56">
        <v>45384</v>
      </c>
      <c r="S47" s="56">
        <v>45407</v>
      </c>
      <c r="T47" s="1" t="s">
        <v>1822</v>
      </c>
      <c r="U47" s="56">
        <v>45775</v>
      </c>
      <c r="V47" s="39" t="s">
        <v>1853</v>
      </c>
      <c r="W47" s="1" t="s">
        <v>1853</v>
      </c>
      <c r="X47" s="4" t="s">
        <v>109</v>
      </c>
      <c r="Y47" s="4" t="s">
        <v>1853</v>
      </c>
      <c r="Z47" s="4" t="s">
        <v>1853</v>
      </c>
      <c r="AA47" s="4" t="s">
        <v>1853</v>
      </c>
      <c r="AB47" s="4" t="s">
        <v>1853</v>
      </c>
      <c r="AC47" s="4" t="s">
        <v>1853</v>
      </c>
      <c r="AD47" s="4" t="s">
        <v>1853</v>
      </c>
      <c r="AE47" s="56">
        <v>45441</v>
      </c>
      <c r="AF47" s="56">
        <v>45457</v>
      </c>
      <c r="AG47" s="56">
        <v>45457</v>
      </c>
      <c r="AH47" s="56">
        <v>49125</v>
      </c>
      <c r="AJ47" s="4" t="s">
        <v>109</v>
      </c>
      <c r="AK47" s="4" t="s">
        <v>109</v>
      </c>
      <c r="AL47" s="4" t="s">
        <v>109</v>
      </c>
      <c r="AM47" s="4" t="s">
        <v>109</v>
      </c>
      <c r="AP47" s="1">
        <f t="shared" si="1"/>
        <v>23</v>
      </c>
      <c r="AQ47" s="38" t="e">
        <f>AA47-Table1[[#This Row],[Closed Date]]</f>
        <v>#VALUE!</v>
      </c>
    </row>
    <row r="48" spans="1:43" ht="18.75" customHeight="1" x14ac:dyDescent="0.3">
      <c r="A48" s="4">
        <f>Table1[[#This Row],[Project No]]</f>
        <v>2403170</v>
      </c>
      <c r="B48" s="110" t="str">
        <f>VLOOKUP(A:A,Table1[[Project No]:[Additional Remark]],2,FALSE)</f>
        <v>Wong Hoon Sang</v>
      </c>
      <c r="C48" s="4" t="e" vm="15">
        <f>VLOOKUP(A:A,Table1[[#All],[Project No]:[Additional Remark]],7,FALSE)</f>
        <v>#VALUE!</v>
      </c>
      <c r="D48" s="4" t="str">
        <f>VLOOKUP(A:A,Table1[[#All],[Project No]:[Additional Remark]],4,FALSE)</f>
        <v>Tham</v>
      </c>
      <c r="E48" s="4" t="str">
        <f>VLOOKUP(A:A,Table1[[#All],[Project No]:[Additional Remark]],5,FALSE)</f>
        <v>R-PV</v>
      </c>
      <c r="F48" s="4" t="str">
        <f>VLOOKUP(A:A,Table1[[Project No]:[Additional Remark]],6,FALSE)</f>
        <v>NEM</v>
      </c>
      <c r="G48" s="4">
        <f>VLOOKUP(A:A,Table1[[Project No]:[Additional Remark]],8,FALSE)</f>
        <v>10.53</v>
      </c>
      <c r="H48" s="4" t="str">
        <f>VLOOKUP(A:A,Table1[[Project No]:[Additional Remark]],15,FALSE)</f>
        <v>Astronergy 585Wp</v>
      </c>
      <c r="I48" s="4">
        <f>VLOOKUP(A:A,Table1[[Project No]:[Additional Remark]],16,FALSE)</f>
        <v>18</v>
      </c>
      <c r="J48" s="1" t="str">
        <f>VLOOKUP(A:A,Table1[[Project No]:[Additional Remark]],17,FALSE)</f>
        <v>Solinteg MHT-8K-25 hybrid</v>
      </c>
      <c r="K48" s="127"/>
      <c r="L48" s="1" t="str">
        <f t="shared" si="0"/>
        <v>Completed</v>
      </c>
      <c r="M48" s="1" t="str">
        <f>VLOOKUP(A:A,'Finance Tracker'!A46:K290,8,FALSE)</f>
        <v>Invoice Completed</v>
      </c>
      <c r="N48" s="127"/>
      <c r="O48" s="1" t="s">
        <v>109</v>
      </c>
      <c r="P48" s="1" t="s">
        <v>109</v>
      </c>
      <c r="Q48" s="127"/>
      <c r="R48" s="56">
        <v>45383</v>
      </c>
      <c r="S48" s="56">
        <v>45447</v>
      </c>
      <c r="T48" s="1" t="s">
        <v>1822</v>
      </c>
      <c r="U48" s="56">
        <v>45891</v>
      </c>
      <c r="V48" s="39" t="s">
        <v>1853</v>
      </c>
      <c r="W48" s="1" t="s">
        <v>1853</v>
      </c>
      <c r="X48" s="4" t="s">
        <v>109</v>
      </c>
      <c r="Y48" s="4" t="s">
        <v>1853</v>
      </c>
      <c r="Z48" s="4" t="s">
        <v>1853</v>
      </c>
      <c r="AA48" s="4" t="s">
        <v>1853</v>
      </c>
      <c r="AB48" s="4" t="s">
        <v>1853</v>
      </c>
      <c r="AC48" s="4" t="s">
        <v>1853</v>
      </c>
      <c r="AD48" s="4" t="s">
        <v>1853</v>
      </c>
      <c r="AE48" s="56" t="s">
        <v>1853</v>
      </c>
      <c r="AF48" s="56">
        <v>45478</v>
      </c>
      <c r="AG48" s="56">
        <v>45478</v>
      </c>
      <c r="AH48" s="56">
        <v>49156</v>
      </c>
      <c r="AJ48" s="4" t="s">
        <v>109</v>
      </c>
      <c r="AK48" s="4" t="s">
        <v>109</v>
      </c>
      <c r="AL48" s="4" t="s">
        <v>109</v>
      </c>
      <c r="AM48" s="4" t="s">
        <v>109</v>
      </c>
      <c r="AP48" s="1">
        <f t="shared" si="1"/>
        <v>64</v>
      </c>
      <c r="AQ48" s="38" t="e">
        <f>AA48-Table1[[#This Row],[Closed Date]]</f>
        <v>#VALUE!</v>
      </c>
    </row>
    <row r="49" spans="1:43" ht="18.75" customHeight="1" x14ac:dyDescent="0.3">
      <c r="A49" s="4">
        <f>Table1[[#This Row],[Project No]]</f>
        <v>2403177</v>
      </c>
      <c r="B49" s="110" t="str">
        <f>VLOOKUP(A:A,Table1[[Project No]:[Additional Remark]],2,FALSE)</f>
        <v>Nor Aini binti Mohd Ashari</v>
      </c>
      <c r="C49" s="4" t="e" vm="15">
        <f>VLOOKUP(A:A,Table1[[#All],[Project No]:[Additional Remark]],7,FALSE)</f>
        <v>#VALUE!</v>
      </c>
      <c r="D49" s="4" t="str">
        <f>VLOOKUP(A:A,Table1[[#All],[Project No]:[Additional Remark]],4,FALSE)</f>
        <v>Tham</v>
      </c>
      <c r="E49" s="4" t="str">
        <f>VLOOKUP(A:A,Table1[[#All],[Project No]:[Additional Remark]],5,FALSE)</f>
        <v>R-PV</v>
      </c>
      <c r="F49" s="4" t="str">
        <f>VLOOKUP(A:A,Table1[[Project No]:[Additional Remark]],6,FALSE)</f>
        <v>NEM</v>
      </c>
      <c r="G49" s="4">
        <f>VLOOKUP(A:A,Table1[[Project No]:[Additional Remark]],8,FALSE)</f>
        <v>4.68</v>
      </c>
      <c r="H49" s="4" t="str">
        <f>VLOOKUP(A:A,Table1[[Project No]:[Additional Remark]],15,FALSE)</f>
        <v>Astronergy 585Wp</v>
      </c>
      <c r="I49" s="4">
        <f>VLOOKUP(A:A,Table1[[Project No]:[Additional Remark]],16,FALSE)</f>
        <v>8</v>
      </c>
      <c r="J49" s="1" t="str">
        <f>VLOOKUP(A:A,Table1[[Project No]:[Additional Remark]],17,FALSE)</f>
        <v>Huawei SUN2000-4KTL-L1</v>
      </c>
      <c r="K49" s="127"/>
      <c r="L49" s="1" t="str">
        <f t="shared" si="0"/>
        <v>Completed</v>
      </c>
      <c r="M49" s="1" t="str">
        <f>VLOOKUP(A:A,'Finance Tracker'!A47:K291,8,FALSE)</f>
        <v>Invoice Completed</v>
      </c>
      <c r="N49" s="127"/>
      <c r="O49" s="1" t="s">
        <v>109</v>
      </c>
      <c r="P49" s="1" t="s">
        <v>109</v>
      </c>
      <c r="Q49" s="127"/>
      <c r="R49" s="56">
        <v>45440</v>
      </c>
      <c r="S49" s="56">
        <v>45456</v>
      </c>
      <c r="T49" s="1" t="s">
        <v>1822</v>
      </c>
      <c r="U49" s="56">
        <v>45775</v>
      </c>
      <c r="V49" s="39" t="s">
        <v>1853</v>
      </c>
      <c r="W49" s="1" t="s">
        <v>1853</v>
      </c>
      <c r="X49" s="4" t="s">
        <v>109</v>
      </c>
      <c r="Y49" s="4" t="s">
        <v>1853</v>
      </c>
      <c r="Z49" s="4" t="s">
        <v>1853</v>
      </c>
      <c r="AA49" s="39">
        <v>45484</v>
      </c>
      <c r="AB49" s="39" t="s">
        <v>1853</v>
      </c>
      <c r="AC49" s="39" t="s">
        <v>1853</v>
      </c>
      <c r="AD49" s="39" t="s">
        <v>1853</v>
      </c>
      <c r="AE49" s="56">
        <v>45561</v>
      </c>
      <c r="AF49" s="56">
        <v>45606</v>
      </c>
      <c r="AG49" s="56">
        <v>45606</v>
      </c>
      <c r="AH49" s="56">
        <v>49278</v>
      </c>
      <c r="AJ49" s="4" t="s">
        <v>109</v>
      </c>
      <c r="AK49" s="4" t="s">
        <v>109</v>
      </c>
      <c r="AL49" s="4" t="s">
        <v>109</v>
      </c>
      <c r="AM49" s="4" t="s">
        <v>109</v>
      </c>
      <c r="AP49" s="1">
        <f t="shared" si="1"/>
        <v>16</v>
      </c>
      <c r="AQ49" s="38">
        <f>AA49-Table1[[#This Row],[Closed Date]]</f>
        <v>108</v>
      </c>
    </row>
    <row r="50" spans="1:43" ht="18.75" customHeight="1" x14ac:dyDescent="0.3">
      <c r="A50" s="4">
        <f>Table1[[#This Row],[Project No]]</f>
        <v>2403189</v>
      </c>
      <c r="B50" s="110" t="str">
        <f>VLOOKUP(A:A,Table1[[Project No]:[Additional Remark]],2,FALSE)</f>
        <v>Lai Kim Soon (Stella)</v>
      </c>
      <c r="C50" s="4" t="e" vm="16">
        <f>VLOOKUP(A:A,Table1[[#All],[Project No]:[Additional Remark]],7,FALSE)</f>
        <v>#VALUE!</v>
      </c>
      <c r="D50" s="4" t="str">
        <f>VLOOKUP(A:A,Table1[[#All],[Project No]:[Additional Remark]],4,FALSE)</f>
        <v>Chean Bang</v>
      </c>
      <c r="E50" s="4" t="str">
        <f>VLOOKUP(A:A,Table1[[#All],[Project No]:[Additional Remark]],5,FALSE)</f>
        <v>R-PV</v>
      </c>
      <c r="F50" s="4" t="str">
        <f>VLOOKUP(A:A,Table1[[Project No]:[Additional Remark]],6,FALSE)</f>
        <v>NEM</v>
      </c>
      <c r="G50" s="4">
        <f>VLOOKUP(A:A,Table1[[Project No]:[Additional Remark]],8,FALSE)</f>
        <v>7.02</v>
      </c>
      <c r="H50" s="4" t="str">
        <f>VLOOKUP(A:A,Table1[[Project No]:[Additional Remark]],15,FALSE)</f>
        <v>Astronergy 585Wp</v>
      </c>
      <c r="I50" s="4">
        <f>VLOOKUP(A:A,Table1[[Project No]:[Additional Remark]],16,FALSE)</f>
        <v>12</v>
      </c>
      <c r="J50" s="1" t="str">
        <f>VLOOKUP(A:A,Table1[[Project No]:[Additional Remark]],17,FALSE)</f>
        <v>Solinteg MHS-5K-30 hybrid</v>
      </c>
      <c r="K50" s="127"/>
      <c r="L50" s="1" t="str">
        <f t="shared" si="0"/>
        <v>Completed</v>
      </c>
      <c r="M50" s="1" t="str">
        <f>VLOOKUP(A:A,'Finance Tracker'!A48:K292,8,FALSE)</f>
        <v>Invoice Completed</v>
      </c>
      <c r="N50" s="127"/>
      <c r="O50" s="1" t="s">
        <v>109</v>
      </c>
      <c r="P50" s="1" t="s">
        <v>109</v>
      </c>
      <c r="Q50" s="127"/>
      <c r="R50" s="56">
        <v>45386</v>
      </c>
      <c r="S50" s="56">
        <v>45407</v>
      </c>
      <c r="T50" s="1" t="s">
        <v>1822</v>
      </c>
      <c r="U50" s="56">
        <v>45891</v>
      </c>
      <c r="V50" s="39" t="s">
        <v>1853</v>
      </c>
      <c r="W50" s="1" t="s">
        <v>1853</v>
      </c>
      <c r="X50" s="4" t="s">
        <v>109</v>
      </c>
      <c r="Y50" s="4" t="s">
        <v>1853</v>
      </c>
      <c r="Z50" s="4" t="s">
        <v>1853</v>
      </c>
      <c r="AA50" s="39" t="s">
        <v>1853</v>
      </c>
      <c r="AB50" s="39" t="s">
        <v>1853</v>
      </c>
      <c r="AC50" s="39" t="s">
        <v>1853</v>
      </c>
      <c r="AD50" s="39" t="s">
        <v>1853</v>
      </c>
      <c r="AE50" s="56">
        <v>45468</v>
      </c>
      <c r="AF50" s="56">
        <v>45482</v>
      </c>
      <c r="AG50" s="56">
        <v>45482</v>
      </c>
      <c r="AH50" s="56">
        <v>49156</v>
      </c>
      <c r="AJ50" s="4" t="s">
        <v>109</v>
      </c>
      <c r="AK50" s="4" t="s">
        <v>109</v>
      </c>
      <c r="AL50" s="4" t="s">
        <v>109</v>
      </c>
      <c r="AM50" s="4" t="s">
        <v>109</v>
      </c>
      <c r="AP50" s="1">
        <f t="shared" si="1"/>
        <v>21</v>
      </c>
      <c r="AQ50" s="38" t="e">
        <f>AA50-Table1[[#This Row],[Closed Date]]</f>
        <v>#VALUE!</v>
      </c>
    </row>
    <row r="51" spans="1:43" ht="18.75" customHeight="1" x14ac:dyDescent="0.3">
      <c r="A51" s="4">
        <f>Table1[[#This Row],[Project No]]</f>
        <v>2403190</v>
      </c>
      <c r="B51" s="110" t="str">
        <f>VLOOKUP(A:A,Table1[[Project No]:[Additional Remark]],2,FALSE)</f>
        <v>Tan Poh Poh</v>
      </c>
      <c r="C51" s="4" t="e" vm="16">
        <f>VLOOKUP(A:A,Table1[[#All],[Project No]:[Additional Remark]],7,FALSE)</f>
        <v>#VALUE!</v>
      </c>
      <c r="D51" s="4" t="str">
        <f>VLOOKUP(A:A,Table1[[#All],[Project No]:[Additional Remark]],4,FALSE)</f>
        <v>Chean Bang</v>
      </c>
      <c r="E51" s="4" t="str">
        <f>VLOOKUP(A:A,Table1[[#All],[Project No]:[Additional Remark]],5,FALSE)</f>
        <v>R-PV</v>
      </c>
      <c r="F51" s="4" t="str">
        <f>VLOOKUP(A:A,Table1[[Project No]:[Additional Remark]],6,FALSE)</f>
        <v>NEM</v>
      </c>
      <c r="G51" s="4">
        <f>VLOOKUP(A:A,Table1[[Project No]:[Additional Remark]],8,FALSE)</f>
        <v>7.02</v>
      </c>
      <c r="H51" s="4" t="str">
        <f>VLOOKUP(A:A,Table1[[Project No]:[Additional Remark]],15,FALSE)</f>
        <v>Astronergy 585Wp</v>
      </c>
      <c r="I51" s="4">
        <f>VLOOKUP(A:A,Table1[[Project No]:[Additional Remark]],16,FALSE)</f>
        <v>12</v>
      </c>
      <c r="J51" s="1" t="str">
        <f>VLOOKUP(A:A,Table1[[Project No]:[Additional Remark]],17,FALSE)</f>
        <v>Solinteg MHS-5K-30 hybrid</v>
      </c>
      <c r="K51" s="127"/>
      <c r="L51" s="1" t="str">
        <f t="shared" si="0"/>
        <v>Completed</v>
      </c>
      <c r="M51" s="1" t="str">
        <f>VLOOKUP(A:A,'Finance Tracker'!A49:K293,8,FALSE)</f>
        <v>Invoice Completed</v>
      </c>
      <c r="N51" s="127"/>
      <c r="O51" s="1" t="s">
        <v>109</v>
      </c>
      <c r="P51" s="1" t="s">
        <v>109</v>
      </c>
      <c r="Q51" s="127"/>
      <c r="R51" s="56">
        <v>45386</v>
      </c>
      <c r="S51" s="56">
        <v>45407</v>
      </c>
      <c r="T51" s="1" t="s">
        <v>1822</v>
      </c>
      <c r="U51" s="56">
        <v>45775</v>
      </c>
      <c r="V51" s="39" t="s">
        <v>1853</v>
      </c>
      <c r="W51" s="1" t="s">
        <v>1853</v>
      </c>
      <c r="X51" s="4" t="s">
        <v>109</v>
      </c>
      <c r="Y51" s="4" t="s">
        <v>1853</v>
      </c>
      <c r="Z51" s="4" t="s">
        <v>1853</v>
      </c>
      <c r="AA51" s="39" t="s">
        <v>1853</v>
      </c>
      <c r="AB51" s="39" t="s">
        <v>1853</v>
      </c>
      <c r="AC51" s="39" t="s">
        <v>1853</v>
      </c>
      <c r="AD51" s="39" t="s">
        <v>1853</v>
      </c>
      <c r="AE51" s="56">
        <v>45449</v>
      </c>
      <c r="AF51" s="56">
        <v>45460</v>
      </c>
      <c r="AG51" s="56">
        <v>45460</v>
      </c>
      <c r="AH51" s="56">
        <v>49125</v>
      </c>
      <c r="AJ51" s="4" t="s">
        <v>109</v>
      </c>
      <c r="AK51" s="4" t="s">
        <v>109</v>
      </c>
      <c r="AL51" s="4" t="s">
        <v>109</v>
      </c>
      <c r="AM51" s="4" t="s">
        <v>109</v>
      </c>
      <c r="AP51" s="1">
        <f t="shared" si="1"/>
        <v>21</v>
      </c>
      <c r="AQ51" s="38" t="e">
        <f>AA51-Table1[[#This Row],[Closed Date]]</f>
        <v>#VALUE!</v>
      </c>
    </row>
    <row r="52" spans="1:43" s="142" customFormat="1" ht="18.75" customHeight="1" x14ac:dyDescent="0.3">
      <c r="A52" s="116">
        <f>Table1[[#This Row],[Project No]]</f>
        <v>2403197</v>
      </c>
      <c r="B52" s="125" t="str">
        <f>VLOOKUP(A:A,Table1[[Project No]:[Additional Remark]],2,FALSE)</f>
        <v>Leau Koo Sien (Eric)</v>
      </c>
      <c r="C52" s="116" t="e" vm="16">
        <f>VLOOKUP(A:A,Table1[[#All],[Project No]:[Additional Remark]],7,FALSE)</f>
        <v>#VALUE!</v>
      </c>
      <c r="D52" s="4" t="str">
        <f>VLOOKUP(A:A,Table1[[#All],[Project No]:[Additional Remark]],4,FALSE)</f>
        <v>Chean Bang</v>
      </c>
      <c r="E52" s="116" t="str">
        <f>VLOOKUP(A:A,Table1[[#All],[Project No]:[Additional Remark]],5,FALSE)</f>
        <v>R-PV</v>
      </c>
      <c r="F52" s="116" t="str">
        <f>VLOOKUP(A:A,Table1[[Project No]:[Additional Remark]],6,FALSE)</f>
        <v>NEM</v>
      </c>
      <c r="G52" s="116">
        <f>VLOOKUP(A:A,Table1[[Project No]:[Additional Remark]],8,FALSE)</f>
        <v>16.38</v>
      </c>
      <c r="H52" s="116" t="str">
        <f>VLOOKUP(A:A,Table1[[Project No]:[Additional Remark]],15,FALSE)</f>
        <v>Astronergy 585Wp</v>
      </c>
      <c r="I52" s="116">
        <f>VLOOKUP(A:A,Table1[[Project No]:[Additional Remark]],16,FALSE)</f>
        <v>28</v>
      </c>
      <c r="J52" s="139" t="str">
        <f>VLOOKUP(A:A,Table1[[Project No]:[Additional Remark]],17,FALSE)</f>
        <v>Solinteg MHT-12K-25 hybrid</v>
      </c>
      <c r="K52" s="140"/>
      <c r="L52" s="1" t="str">
        <f t="shared" si="0"/>
        <v>Completed</v>
      </c>
      <c r="M52" s="139" t="str">
        <f>VLOOKUP(A:A,'Finance Tracker'!A50:K294,8,FALSE)</f>
        <v>1st invoice</v>
      </c>
      <c r="N52" s="140"/>
      <c r="O52" s="139" t="s">
        <v>109</v>
      </c>
      <c r="P52" s="139" t="s">
        <v>109</v>
      </c>
      <c r="Q52" s="140"/>
      <c r="R52" s="141">
        <v>45404</v>
      </c>
      <c r="S52" s="141">
        <v>45427</v>
      </c>
      <c r="T52" s="139" t="s">
        <v>1819</v>
      </c>
      <c r="U52" s="141">
        <v>45748</v>
      </c>
      <c r="V52" s="120" t="s">
        <v>1853</v>
      </c>
      <c r="W52" s="139" t="s">
        <v>1853</v>
      </c>
      <c r="X52" s="116" t="s">
        <v>109</v>
      </c>
      <c r="Y52" s="116" t="s">
        <v>1853</v>
      </c>
      <c r="Z52" s="116" t="s">
        <v>109</v>
      </c>
      <c r="AA52" s="116" t="s">
        <v>109</v>
      </c>
      <c r="AB52" s="116" t="s">
        <v>109</v>
      </c>
      <c r="AC52" s="116" t="s">
        <v>109</v>
      </c>
      <c r="AD52" s="116" t="s">
        <v>109</v>
      </c>
      <c r="AE52" s="116" t="s">
        <v>109</v>
      </c>
      <c r="AF52" s="116" t="s">
        <v>109</v>
      </c>
      <c r="AG52" s="116" t="s">
        <v>109</v>
      </c>
      <c r="AH52" s="116" t="s">
        <v>109</v>
      </c>
      <c r="AI52" s="123"/>
      <c r="AJ52" s="116" t="s">
        <v>109</v>
      </c>
      <c r="AK52" s="116" t="s">
        <v>109</v>
      </c>
      <c r="AL52" s="116" t="s">
        <v>109</v>
      </c>
      <c r="AM52" s="116" t="s">
        <v>109</v>
      </c>
      <c r="AP52" s="1">
        <f t="shared" si="1"/>
        <v>23</v>
      </c>
      <c r="AQ52" s="143" t="e">
        <f>AA52-Table1[[#This Row],[Closed Date]]</f>
        <v>#VALUE!</v>
      </c>
    </row>
    <row r="53" spans="1:43" ht="18.75" customHeight="1" x14ac:dyDescent="0.3">
      <c r="A53" s="4" t="str">
        <f>Table1[[#This Row],[Project No]]</f>
        <v>2403197-1</v>
      </c>
      <c r="B53" s="110" t="str">
        <f>VLOOKUP(A:A,Table1[[Project No]:[Additional Remark]],2,FALSE)</f>
        <v>Koon Kok Leong</v>
      </c>
      <c r="C53" s="4" t="e" vm="15">
        <f>VLOOKUP(A:A,Table1[[#All],[Project No]:[Additional Remark]],7,FALSE)</f>
        <v>#VALUE!</v>
      </c>
      <c r="D53" s="4" t="str">
        <f>VLOOKUP(A:A,Table1[[#All],[Project No]:[Additional Remark]],4,FALSE)</f>
        <v>Tham</v>
      </c>
      <c r="E53" s="4" t="str">
        <f>VLOOKUP(A:A,Table1[[#All],[Project No]:[Additional Remark]],5,FALSE)</f>
        <v>R-PV</v>
      </c>
      <c r="F53" s="4" t="str">
        <f>VLOOKUP(A:A,Table1[[Project No]:[Additional Remark]],6,FALSE)</f>
        <v>NEM</v>
      </c>
      <c r="G53" s="4">
        <f>VLOOKUP(A:A,Table1[[Project No]:[Additional Remark]],8,FALSE)</f>
        <v>7.02</v>
      </c>
      <c r="H53" s="4" t="str">
        <f>VLOOKUP(A:A,Table1[[Project No]:[Additional Remark]],15,FALSE)</f>
        <v>Astronergy 585Wp</v>
      </c>
      <c r="I53" s="4">
        <f>VLOOKUP(A:A,Table1[[Project No]:[Additional Remark]],16,FALSE)</f>
        <v>12</v>
      </c>
      <c r="J53" s="1" t="str">
        <f>VLOOKUP(A:A,Table1[[Project No]:[Additional Remark]],17,FALSE)</f>
        <v>Huawei SUN2000-5KTL-L1</v>
      </c>
      <c r="K53" s="127"/>
      <c r="L53" s="1" t="str">
        <f t="shared" si="0"/>
        <v>Completed</v>
      </c>
      <c r="M53" s="1" t="str">
        <f>VLOOKUP(A:A,'Finance Tracker'!A51:K295,8,FALSE)</f>
        <v>Invoice Completed</v>
      </c>
      <c r="N53" s="127"/>
      <c r="O53" s="1" t="s">
        <v>109</v>
      </c>
      <c r="P53" s="1" t="s">
        <v>109</v>
      </c>
      <c r="Q53" s="127"/>
      <c r="R53" s="56">
        <v>45386</v>
      </c>
      <c r="S53" s="56">
        <v>45407</v>
      </c>
      <c r="T53" s="1" t="s">
        <v>1822</v>
      </c>
      <c r="U53" s="56">
        <v>45768</v>
      </c>
      <c r="V53" s="39" t="s">
        <v>1853</v>
      </c>
      <c r="W53" s="1" t="s">
        <v>1853</v>
      </c>
      <c r="X53" s="4" t="s">
        <v>109</v>
      </c>
      <c r="Y53" s="4" t="s">
        <v>1853</v>
      </c>
      <c r="Z53" s="4" t="s">
        <v>1853</v>
      </c>
      <c r="AA53" s="39" t="s">
        <v>1853</v>
      </c>
      <c r="AB53" s="39">
        <v>45428</v>
      </c>
      <c r="AC53" s="39" t="s">
        <v>1853</v>
      </c>
      <c r="AD53" s="39" t="s">
        <v>1853</v>
      </c>
      <c r="AE53" s="56">
        <v>45441</v>
      </c>
      <c r="AF53" s="56">
        <v>45448</v>
      </c>
      <c r="AG53" s="56">
        <v>45448</v>
      </c>
      <c r="AH53" s="56">
        <v>49125</v>
      </c>
      <c r="AJ53" s="4" t="s">
        <v>109</v>
      </c>
      <c r="AK53" s="4" t="s">
        <v>109</v>
      </c>
      <c r="AL53" s="4" t="s">
        <v>109</v>
      </c>
      <c r="AM53" s="4" t="s">
        <v>109</v>
      </c>
      <c r="AP53" s="1">
        <f t="shared" si="1"/>
        <v>21</v>
      </c>
      <c r="AQ53" s="38" t="e">
        <f>AA53-Table1[[#This Row],[Closed Date]]</f>
        <v>#VALUE!</v>
      </c>
    </row>
    <row r="54" spans="1:43" ht="18.75" customHeight="1" x14ac:dyDescent="0.3">
      <c r="A54" s="4">
        <f>Table1[[#This Row],[Project No]]</f>
        <v>2404206</v>
      </c>
      <c r="B54" s="110" t="str">
        <f>VLOOKUP(A:A,Table1[[Project No]:[Additional Remark]],2,FALSE)</f>
        <v>Wong Wai Kwong</v>
      </c>
      <c r="C54" s="4" t="e" vm="16">
        <f>VLOOKUP(A:A,Table1[[#All],[Project No]:[Additional Remark]],7,FALSE)</f>
        <v>#VALUE!</v>
      </c>
      <c r="D54" s="4" t="str">
        <f>VLOOKUP(A:A,Table1[[#All],[Project No]:[Additional Remark]],4,FALSE)</f>
        <v>Chean Bang</v>
      </c>
      <c r="E54" s="4" t="str">
        <f>VLOOKUP(A:A,Table1[[#All],[Project No]:[Additional Remark]],5,FALSE)</f>
        <v>R-PV</v>
      </c>
      <c r="F54" s="4" t="str">
        <f>VLOOKUP(A:A,Table1[[Project No]:[Additional Remark]],6,FALSE)</f>
        <v>NEM</v>
      </c>
      <c r="G54" s="4">
        <f>VLOOKUP(A:A,Table1[[Project No]:[Additional Remark]],8,FALSE)</f>
        <v>8.19</v>
      </c>
      <c r="H54" s="4" t="str">
        <f>VLOOKUP(A:A,Table1[[Project No]:[Additional Remark]],15,FALSE)</f>
        <v>Astronergy 585Wp</v>
      </c>
      <c r="I54" s="4">
        <f>VLOOKUP(A:A,Table1[[Project No]:[Additional Remark]],16,FALSE)</f>
        <v>14</v>
      </c>
      <c r="J54" s="1" t="str">
        <f>VLOOKUP(A:A,Table1[[Project No]:[Additional Remark]],17,FALSE)</f>
        <v>Huawei SUN2000-6KTL</v>
      </c>
      <c r="K54" s="127"/>
      <c r="L54" s="1" t="str">
        <f t="shared" si="0"/>
        <v>Completed</v>
      </c>
      <c r="M54" s="1" t="str">
        <f>VLOOKUP(A:A,'Finance Tracker'!A52:K296,8,FALSE)</f>
        <v>Invoice Completed</v>
      </c>
      <c r="N54" s="127"/>
      <c r="O54" s="1" t="s">
        <v>109</v>
      </c>
      <c r="P54" s="1" t="s">
        <v>109</v>
      </c>
      <c r="Q54" s="127"/>
      <c r="R54" s="56">
        <v>45397</v>
      </c>
      <c r="S54" s="56">
        <v>45407</v>
      </c>
      <c r="T54" s="1" t="s">
        <v>1822</v>
      </c>
      <c r="U54" s="56">
        <v>45891</v>
      </c>
      <c r="V54" s="39" t="s">
        <v>1853</v>
      </c>
      <c r="W54" s="1" t="s">
        <v>1853</v>
      </c>
      <c r="X54" s="4" t="s">
        <v>109</v>
      </c>
      <c r="Y54" s="4" t="s">
        <v>1853</v>
      </c>
      <c r="Z54" s="4" t="s">
        <v>1853</v>
      </c>
      <c r="AA54" s="39" t="s">
        <v>1853</v>
      </c>
      <c r="AB54" s="39" t="s">
        <v>1853</v>
      </c>
      <c r="AC54" s="39" t="s">
        <v>1853</v>
      </c>
      <c r="AD54" s="39" t="s">
        <v>1853</v>
      </c>
      <c r="AE54" s="56" t="s">
        <v>1853</v>
      </c>
      <c r="AF54" s="56">
        <v>45454</v>
      </c>
      <c r="AG54" s="56">
        <v>45454</v>
      </c>
      <c r="AH54" s="56">
        <v>49125</v>
      </c>
      <c r="AJ54" s="4" t="s">
        <v>109</v>
      </c>
      <c r="AK54" s="4" t="s">
        <v>109</v>
      </c>
      <c r="AL54" s="4" t="s">
        <v>109</v>
      </c>
      <c r="AM54" s="4" t="s">
        <v>109</v>
      </c>
      <c r="AP54" s="1">
        <f t="shared" si="1"/>
        <v>10</v>
      </c>
      <c r="AQ54" s="38" t="e">
        <f>AA54-Table1[[#This Row],[Closed Date]]</f>
        <v>#VALUE!</v>
      </c>
    </row>
    <row r="55" spans="1:43" ht="18.75" customHeight="1" x14ac:dyDescent="0.3">
      <c r="A55" s="4">
        <f>Table1[[#This Row],[Project No]]</f>
        <v>2404226</v>
      </c>
      <c r="B55" s="110" t="str">
        <f>VLOOKUP(A:A,Table1[[Project No]:[Additional Remark]],2,FALSE)</f>
        <v>Jimmy Kok Aik Lim</v>
      </c>
      <c r="C55" s="4" t="e" vm="18">
        <f>VLOOKUP(A:A,Table1[[#All],[Project No]:[Additional Remark]],7,FALSE)</f>
        <v>#VALUE!</v>
      </c>
      <c r="D55" s="4" t="str">
        <f>VLOOKUP(A:A,Table1[[#All],[Project No]:[Additional Remark]],4,FALSE)</f>
        <v>Tham</v>
      </c>
      <c r="E55" s="4" t="str">
        <f>VLOOKUP(A:A,Table1[[#All],[Project No]:[Additional Remark]],5,FALSE)</f>
        <v>R-PV</v>
      </c>
      <c r="F55" s="4" t="str">
        <f>VLOOKUP(A:A,Table1[[Project No]:[Additional Remark]],6,FALSE)</f>
        <v>NEM</v>
      </c>
      <c r="G55" s="4">
        <f>VLOOKUP(A:A,Table1[[Project No]:[Additional Remark]],8,FALSE)</f>
        <v>7.02</v>
      </c>
      <c r="H55" s="4" t="str">
        <f>VLOOKUP(A:A,Table1[[Project No]:[Additional Remark]],15,FALSE)</f>
        <v>Astronergy 585Wp</v>
      </c>
      <c r="I55" s="4">
        <f>VLOOKUP(A:A,Table1[[Project No]:[Additional Remark]],16,FALSE)</f>
        <v>12</v>
      </c>
      <c r="J55" s="1" t="str">
        <f>VLOOKUP(A:A,Table1[[Project No]:[Additional Remark]],17,FALSE)</f>
        <v>Huawei SUN2000-5KTL-L1</v>
      </c>
      <c r="K55" s="127"/>
      <c r="L55" s="1" t="str">
        <f t="shared" si="0"/>
        <v>Completed</v>
      </c>
      <c r="M55" s="1" t="str">
        <f>VLOOKUP(A:A,'Finance Tracker'!A53:K297,8,FALSE)</f>
        <v>Invoice Completed</v>
      </c>
      <c r="N55" s="127"/>
      <c r="O55" s="1" t="s">
        <v>109</v>
      </c>
      <c r="P55" s="1" t="s">
        <v>109</v>
      </c>
      <c r="Q55" s="127"/>
      <c r="R55" s="56">
        <v>45404</v>
      </c>
      <c r="S55" s="56">
        <v>45427</v>
      </c>
      <c r="T55" s="1" t="s">
        <v>1822</v>
      </c>
      <c r="U55" s="56">
        <v>45768</v>
      </c>
      <c r="V55" s="39" t="s">
        <v>1853</v>
      </c>
      <c r="W55" s="1" t="s">
        <v>1853</v>
      </c>
      <c r="X55" s="4" t="s">
        <v>109</v>
      </c>
      <c r="Y55" s="4" t="s">
        <v>1853</v>
      </c>
      <c r="Z55" s="4" t="s">
        <v>1853</v>
      </c>
      <c r="AA55" s="39" t="s">
        <v>1853</v>
      </c>
      <c r="AB55" s="39">
        <v>45470</v>
      </c>
      <c r="AC55" s="39" t="s">
        <v>1853</v>
      </c>
      <c r="AD55" s="39" t="s">
        <v>1853</v>
      </c>
      <c r="AE55" s="56">
        <v>45482</v>
      </c>
      <c r="AF55" s="56">
        <v>45483</v>
      </c>
      <c r="AG55" s="56">
        <v>45483</v>
      </c>
      <c r="AH55" s="56">
        <v>49156</v>
      </c>
      <c r="AJ55" s="4" t="s">
        <v>109</v>
      </c>
      <c r="AK55" s="4" t="s">
        <v>109</v>
      </c>
      <c r="AL55" s="4" t="s">
        <v>109</v>
      </c>
      <c r="AM55" s="4" t="s">
        <v>109</v>
      </c>
      <c r="AP55" s="1">
        <f t="shared" si="1"/>
        <v>23</v>
      </c>
      <c r="AQ55" s="38" t="e">
        <f>AA55-Table1[[#This Row],[Closed Date]]</f>
        <v>#VALUE!</v>
      </c>
    </row>
    <row r="56" spans="1:43" s="217" customFormat="1" ht="18.75" customHeight="1" x14ac:dyDescent="0.3">
      <c r="A56" s="210">
        <f>Table1[[#This Row],[Project No]]</f>
        <v>2401063</v>
      </c>
      <c r="B56" s="211" t="str">
        <f>VLOOKUP(A:A,Table1[[Project No]:[Additional Remark]],2,FALSE)</f>
        <v>Weller Air-Cond Parts Enterprise Sdn Bhd</v>
      </c>
      <c r="C56" s="210" t="e" vm="15">
        <f>VLOOKUP(A:A,Table1[[#All],[Project No]:[Additional Remark]],7,FALSE)</f>
        <v>#VALUE!</v>
      </c>
      <c r="D56" s="210" t="str">
        <f>VLOOKUP(A:A,Table1[[#All],[Project No]:[Additional Remark]],4,FALSE)</f>
        <v>Tham</v>
      </c>
      <c r="E56" s="210" t="str">
        <f>VLOOKUP(A:A,Table1[[#All],[Project No]:[Additional Remark]],5,FALSE)</f>
        <v>C&amp;I-PV</v>
      </c>
      <c r="F56" s="210" t="str">
        <f>VLOOKUP(A:A,Table1[[Project No]:[Additional Remark]],6,FALSE)</f>
        <v>NEM</v>
      </c>
      <c r="G56" s="210">
        <f>VLOOKUP(A:A,Table1[[Project No]:[Additional Remark]],8,FALSE)</f>
        <v>26.91</v>
      </c>
      <c r="H56" s="210" t="str">
        <f>VLOOKUP(A:A,Table1[[Project No]:[Additional Remark]],15,FALSE)</f>
        <v>Astronergy 585Wp</v>
      </c>
      <c r="I56" s="210">
        <f>VLOOKUP(A:A,Table1[[Project No]:[Additional Remark]],16,FALSE)</f>
        <v>46</v>
      </c>
      <c r="J56" s="212" t="str">
        <f>VLOOKUP(A:A,Table1[[Project No]:[Additional Remark]],17,FALSE)</f>
        <v>Huawei SUN2000-20KTL</v>
      </c>
      <c r="K56" s="213"/>
      <c r="L56" s="212" t="str">
        <f t="shared" si="0"/>
        <v>Pending GITA Application</v>
      </c>
      <c r="M56" s="212" t="str">
        <f>VLOOKUP(A:A,'Finance Tracker'!A54:K298,8,FALSE)</f>
        <v>Invoice Completed</v>
      </c>
      <c r="N56" s="213"/>
      <c r="O56" s="212" t="s">
        <v>109</v>
      </c>
      <c r="P56" s="212" t="s">
        <v>109</v>
      </c>
      <c r="Q56" s="213"/>
      <c r="R56" s="214">
        <v>45434</v>
      </c>
      <c r="S56" s="214">
        <v>45449</v>
      </c>
      <c r="T56" s="212" t="s">
        <v>1823</v>
      </c>
      <c r="U56" s="214">
        <v>45816</v>
      </c>
      <c r="V56" s="215" t="s">
        <v>1853</v>
      </c>
      <c r="W56" s="212" t="s">
        <v>1853</v>
      </c>
      <c r="X56" s="210" t="s">
        <v>1853</v>
      </c>
      <c r="Y56" s="210" t="s">
        <v>1853</v>
      </c>
      <c r="Z56" s="210" t="s">
        <v>1853</v>
      </c>
      <c r="AA56" s="215">
        <v>45509</v>
      </c>
      <c r="AB56" s="215" t="s">
        <v>1853</v>
      </c>
      <c r="AC56" s="215" t="s">
        <v>1853</v>
      </c>
      <c r="AD56" s="215" t="s">
        <v>1853</v>
      </c>
      <c r="AE56" s="214">
        <v>45561</v>
      </c>
      <c r="AF56" s="214">
        <v>45579</v>
      </c>
      <c r="AG56" s="214">
        <v>45579</v>
      </c>
      <c r="AH56" s="214">
        <v>49248</v>
      </c>
      <c r="AI56" s="216"/>
      <c r="AJ56" s="210" t="s">
        <v>109</v>
      </c>
      <c r="AK56" s="210" t="s">
        <v>109</v>
      </c>
      <c r="AL56" s="210"/>
      <c r="AM56" s="210"/>
      <c r="AP56" s="212">
        <f t="shared" si="1"/>
        <v>15</v>
      </c>
      <c r="AQ56" s="218">
        <f>AA56-Table1[[#This Row],[Closed Date]]</f>
        <v>146</v>
      </c>
    </row>
    <row r="57" spans="1:43" ht="57.6" x14ac:dyDescent="0.3">
      <c r="A57" s="4">
        <f>Table1[[#This Row],[Project No]]</f>
        <v>2401069</v>
      </c>
      <c r="B57" s="110" t="str">
        <f>VLOOKUP(A:A,Table1[[Project No]:[Additional Remark]],2,FALSE)</f>
        <v>Enviri Industries Sdn Bhd</v>
      </c>
      <c r="C57" s="4" t="e" vm="15">
        <f>VLOOKUP(A:A,Table1[[#All],[Project No]:[Additional Remark]],7,FALSE)</f>
        <v>#VALUE!</v>
      </c>
      <c r="D57" s="4" t="str">
        <f>VLOOKUP(A:A,Table1[[#All],[Project No]:[Additional Remark]],4,FALSE)</f>
        <v>Tham</v>
      </c>
      <c r="E57" s="4" t="str">
        <f>VLOOKUP(A:A,Table1[[#All],[Project No]:[Additional Remark]],5,FALSE)</f>
        <v>C&amp;I-PV</v>
      </c>
      <c r="F57" s="4" t="str">
        <f>VLOOKUP(A:A,Table1[[Project No]:[Additional Remark]],6,FALSE)</f>
        <v>NEM</v>
      </c>
      <c r="G57" s="4">
        <f>VLOOKUP(A:A,Table1[[Project No]:[Additional Remark]],8,FALSE)</f>
        <v>290.39999999999998</v>
      </c>
      <c r="H57" s="4" t="str">
        <f>VLOOKUP(A:A,Table1[[Project No]:[Additional Remark]],15,FALSE)</f>
        <v>Jinko Solar 575Wp</v>
      </c>
      <c r="I57" s="4">
        <f>VLOOKUP(A:A,Table1[[Project No]:[Additional Remark]],16,FALSE)</f>
        <v>505.00000000000006</v>
      </c>
      <c r="J57" s="1" t="str">
        <f>VLOOKUP(A:A,Table1[[Project No]:[Additional Remark]],17,FALSE)</f>
        <v>Huawei SUN2000-100KTL x 2
Huawei SUN2000-36KTL x 1</v>
      </c>
      <c r="K57" s="127"/>
      <c r="L57" s="1" t="str">
        <f t="shared" si="0"/>
        <v>Completed</v>
      </c>
      <c r="M57" s="1" t="str">
        <f>VLOOKUP(A:A,'Finance Tracker'!A55:K299,8,FALSE)</f>
        <v>Invoice Completed</v>
      </c>
      <c r="N57" s="127"/>
      <c r="O57" s="1" t="s">
        <v>1853</v>
      </c>
      <c r="P57" s="1" t="s">
        <v>1853</v>
      </c>
      <c r="Q57" s="127"/>
      <c r="R57" s="56">
        <v>45423</v>
      </c>
      <c r="S57" s="56">
        <v>45492</v>
      </c>
      <c r="T57" s="1" t="s">
        <v>1822</v>
      </c>
      <c r="U57" s="56">
        <v>45807</v>
      </c>
      <c r="V57" s="39" t="s">
        <v>1853</v>
      </c>
      <c r="W57" s="1" t="s">
        <v>1853</v>
      </c>
      <c r="X57" s="4" t="s">
        <v>1853</v>
      </c>
      <c r="Y57" s="4" t="s">
        <v>1853</v>
      </c>
      <c r="Z57" s="4" t="s">
        <v>1853</v>
      </c>
      <c r="AA57" s="39" t="s">
        <v>1853</v>
      </c>
      <c r="AB57" s="39" t="s">
        <v>1853</v>
      </c>
      <c r="AC57" s="39" t="s">
        <v>1853</v>
      </c>
      <c r="AD57" s="39" t="s">
        <v>1853</v>
      </c>
      <c r="AE57" s="56">
        <v>45635</v>
      </c>
      <c r="AF57" s="56">
        <v>45657</v>
      </c>
      <c r="AG57" s="56">
        <v>45657</v>
      </c>
      <c r="AH57" s="56">
        <v>49309</v>
      </c>
      <c r="AJ57" s="4" t="s">
        <v>1853</v>
      </c>
      <c r="AK57" s="4" t="s">
        <v>1853</v>
      </c>
      <c r="AL57" s="4" t="s">
        <v>1853</v>
      </c>
      <c r="AM57" s="56">
        <v>45880</v>
      </c>
      <c r="AP57" s="1">
        <f t="shared" si="1"/>
        <v>69</v>
      </c>
      <c r="AQ57" s="38" t="e">
        <f>AA57-Table1[[#This Row],[Closed Date]]</f>
        <v>#VALUE!</v>
      </c>
    </row>
    <row r="58" spans="1:43" s="217" customFormat="1" ht="18.75" customHeight="1" x14ac:dyDescent="0.3">
      <c r="A58" s="210">
        <f>Table1[[#This Row],[Project No]]</f>
        <v>2402079</v>
      </c>
      <c r="B58" s="211" t="str">
        <f>VLOOKUP(A:A,Table1[[Project No]:[Additional Remark]],2,FALSE)</f>
        <v>Intergreen Holdings Sdn Bhd</v>
      </c>
      <c r="C58" s="210" t="e" vm="15">
        <f>VLOOKUP(A:A,Table1[[#All],[Project No]:[Additional Remark]],7,FALSE)</f>
        <v>#VALUE!</v>
      </c>
      <c r="D58" s="210" t="str">
        <f>VLOOKUP(A:A,Table1[[#All],[Project No]:[Additional Remark]],4,FALSE)</f>
        <v>Tham</v>
      </c>
      <c r="E58" s="210" t="str">
        <f>VLOOKUP(A:A,Table1[[#All],[Project No]:[Additional Remark]],5,FALSE)</f>
        <v>C&amp;I-PV</v>
      </c>
      <c r="F58" s="210" t="str">
        <f>VLOOKUP(A:A,Table1[[Project No]:[Additional Remark]],6,FALSE)</f>
        <v>NEM</v>
      </c>
      <c r="G58" s="210">
        <f>VLOOKUP(A:A,Table1[[Project No]:[Additional Remark]],8,FALSE)</f>
        <v>46.8</v>
      </c>
      <c r="H58" s="210" t="str">
        <f>VLOOKUP(A:A,Table1[[Project No]:[Additional Remark]],15,FALSE)</f>
        <v>Astronergy 585Wp</v>
      </c>
      <c r="I58" s="210">
        <f>VLOOKUP(A:A,Table1[[Project No]:[Additional Remark]],16,FALSE)</f>
        <v>80</v>
      </c>
      <c r="J58" s="212" t="str">
        <f>VLOOKUP(A:A,Table1[[Project No]:[Additional Remark]],17,FALSE)</f>
        <v>Huawei SUN2000-12KTL-M5 x 2
Huawei SUN2000-12KTL-MB0 x 1</v>
      </c>
      <c r="K58" s="213"/>
      <c r="L58" s="212" t="str">
        <f t="shared" si="0"/>
        <v>Pending GITA Application</v>
      </c>
      <c r="M58" s="212" t="str">
        <f>VLOOKUP(A:A,'Finance Tracker'!A56:K300,8,FALSE)</f>
        <v>Invoice Completed</v>
      </c>
      <c r="N58" s="213"/>
      <c r="O58" s="212" t="s">
        <v>109</v>
      </c>
      <c r="P58" s="212" t="s">
        <v>109</v>
      </c>
      <c r="Q58" s="213"/>
      <c r="R58" s="214">
        <v>45425</v>
      </c>
      <c r="S58" s="214">
        <v>45441</v>
      </c>
      <c r="T58" s="212" t="s">
        <v>1823</v>
      </c>
      <c r="U58" s="214">
        <v>45816</v>
      </c>
      <c r="V58" s="215" t="s">
        <v>1853</v>
      </c>
      <c r="W58" s="212" t="s">
        <v>1853</v>
      </c>
      <c r="X58" s="210" t="s">
        <v>1853</v>
      </c>
      <c r="Y58" s="210" t="s">
        <v>1853</v>
      </c>
      <c r="Z58" s="210" t="s">
        <v>1853</v>
      </c>
      <c r="AA58" s="215" t="s">
        <v>1853</v>
      </c>
      <c r="AB58" s="215" t="s">
        <v>1853</v>
      </c>
      <c r="AC58" s="215" t="s">
        <v>1853</v>
      </c>
      <c r="AD58" s="215" t="s">
        <v>1853</v>
      </c>
      <c r="AE58" s="214">
        <v>45584</v>
      </c>
      <c r="AF58" s="214">
        <v>45590</v>
      </c>
      <c r="AG58" s="214">
        <v>45590</v>
      </c>
      <c r="AH58" s="214">
        <v>49248</v>
      </c>
      <c r="AI58" s="216"/>
      <c r="AJ58" s="210" t="s">
        <v>109</v>
      </c>
      <c r="AK58" s="210" t="s">
        <v>109</v>
      </c>
      <c r="AL58" s="210"/>
      <c r="AM58" s="210"/>
      <c r="AP58" s="212">
        <f t="shared" si="1"/>
        <v>16</v>
      </c>
      <c r="AQ58" s="218" t="e">
        <f>AA58-Table1[[#This Row],[Closed Date]]</f>
        <v>#VALUE!</v>
      </c>
    </row>
    <row r="59" spans="1:43" s="217" customFormat="1" ht="18.75" customHeight="1" x14ac:dyDescent="0.3">
      <c r="A59" s="210">
        <f>Table1[[#This Row],[Project No]]</f>
        <v>2402080</v>
      </c>
      <c r="B59" s="211" t="str">
        <f>VLOOKUP(A:A,Table1[[Project No]:[Additional Remark]],2,FALSE)</f>
        <v>CK Fresh Sdn Bhd</v>
      </c>
      <c r="C59" s="210" t="e" vm="17">
        <f>VLOOKUP(A:A,Table1[[#All],[Project No]:[Additional Remark]],7,FALSE)</f>
        <v>#VALUE!</v>
      </c>
      <c r="D59" s="210" t="str">
        <f>VLOOKUP(A:A,Table1[[#All],[Project No]:[Additional Remark]],4,FALSE)</f>
        <v>Tham</v>
      </c>
      <c r="E59" s="210" t="str">
        <f>VLOOKUP(A:A,Table1[[#All],[Project No]:[Additional Remark]],5,FALSE)</f>
        <v>C&amp;I-PV</v>
      </c>
      <c r="F59" s="210" t="str">
        <f>VLOOKUP(A:A,Table1[[Project No]:[Additional Remark]],6,FALSE)</f>
        <v>SELCO</v>
      </c>
      <c r="G59" s="210">
        <f>VLOOKUP(A:A,Table1[[Project No]:[Additional Remark]],8,FALSE)</f>
        <v>43.29</v>
      </c>
      <c r="H59" s="210" t="str">
        <f>VLOOKUP(A:A,Table1[[Project No]:[Additional Remark]],15,FALSE)</f>
        <v>Astronergy 585Wp</v>
      </c>
      <c r="I59" s="210">
        <f>VLOOKUP(A:A,Table1[[Project No]:[Additional Remark]],16,FALSE)</f>
        <v>74</v>
      </c>
      <c r="J59" s="212" t="str">
        <f>VLOOKUP(A:A,Table1[[Project No]:[Additional Remark]],17,FALSE)</f>
        <v>Huawei SUN2000-30KTL</v>
      </c>
      <c r="K59" s="213"/>
      <c r="L59" s="212" t="str">
        <f t="shared" si="0"/>
        <v>Pending GITA Application</v>
      </c>
      <c r="M59" s="212" t="str">
        <f>VLOOKUP(A:A,'Finance Tracker'!A57:K301,8,FALSE)</f>
        <v>Invoice Completed</v>
      </c>
      <c r="N59" s="213"/>
      <c r="O59" s="212" t="s">
        <v>109</v>
      </c>
      <c r="P59" s="212" t="s">
        <v>109</v>
      </c>
      <c r="Q59" s="213"/>
      <c r="R59" s="214" t="s">
        <v>109</v>
      </c>
      <c r="S59" s="214" t="s">
        <v>109</v>
      </c>
      <c r="T59" s="214" t="s">
        <v>109</v>
      </c>
      <c r="U59" s="214" t="s">
        <v>109</v>
      </c>
      <c r="V59" s="215" t="s">
        <v>1853</v>
      </c>
      <c r="W59" s="212" t="s">
        <v>1853</v>
      </c>
      <c r="X59" s="210" t="s">
        <v>1853</v>
      </c>
      <c r="Y59" s="210" t="s">
        <v>1853</v>
      </c>
      <c r="Z59" s="210" t="s">
        <v>1853</v>
      </c>
      <c r="AA59" s="215" t="s">
        <v>1853</v>
      </c>
      <c r="AB59" s="215" t="s">
        <v>109</v>
      </c>
      <c r="AC59" s="215" t="s">
        <v>109</v>
      </c>
      <c r="AD59" s="215" t="s">
        <v>109</v>
      </c>
      <c r="AE59" s="215" t="s">
        <v>109</v>
      </c>
      <c r="AF59" s="215" t="s">
        <v>109</v>
      </c>
      <c r="AG59" s="215" t="s">
        <v>109</v>
      </c>
      <c r="AH59" s="215" t="s">
        <v>109</v>
      </c>
      <c r="AI59" s="216"/>
      <c r="AJ59" s="210" t="s">
        <v>109</v>
      </c>
      <c r="AK59" s="210" t="s">
        <v>109</v>
      </c>
      <c r="AL59" s="210"/>
      <c r="AM59" s="210"/>
      <c r="AP59" s="212" t="e">
        <f t="shared" si="1"/>
        <v>#VALUE!</v>
      </c>
      <c r="AQ59" s="218" t="e">
        <f>AA59-Table1[[#This Row],[Closed Date]]</f>
        <v>#VALUE!</v>
      </c>
    </row>
    <row r="60" spans="1:43" ht="18.75" customHeight="1" x14ac:dyDescent="0.3">
      <c r="A60" s="4">
        <f>Table1[[#This Row],[Project No]]</f>
        <v>2312120</v>
      </c>
      <c r="B60" s="110" t="str">
        <f>VLOOKUP(A:A,Table1[[Project No]:[Additional Remark]],2,FALSE)</f>
        <v>Ling Duon Kwan</v>
      </c>
      <c r="C60" s="4" t="e" vm="15">
        <f>VLOOKUP(A:A,Table1[[#All],[Project No]:[Additional Remark]],7,FALSE)</f>
        <v>#VALUE!</v>
      </c>
      <c r="D60" s="4" t="str">
        <f>VLOOKUP(A:A,Table1[[#All],[Project No]:[Additional Remark]],4,FALSE)</f>
        <v>Tham</v>
      </c>
      <c r="E60" s="4" t="str">
        <f>VLOOKUP(A:A,Table1[[#All],[Project No]:[Additional Remark]],5,FALSE)</f>
        <v>R-PV</v>
      </c>
      <c r="F60" s="4" t="str">
        <f>VLOOKUP(A:A,Table1[[Project No]:[Additional Remark]],6,FALSE)</f>
        <v>NEM</v>
      </c>
      <c r="G60" s="4">
        <f>VLOOKUP(A:A,Table1[[Project No]:[Additional Remark]],8,FALSE)</f>
        <v>7.6050000000000004</v>
      </c>
      <c r="H60" s="4" t="str">
        <f>VLOOKUP(A:A,Table1[[Project No]:[Additional Remark]],15,FALSE)</f>
        <v>Astronergy 585Wp</v>
      </c>
      <c r="I60" s="4">
        <f>VLOOKUP(A:A,Table1[[Project No]:[Additional Remark]],16,FALSE)</f>
        <v>13.000000000000002</v>
      </c>
      <c r="J60" s="1" t="str">
        <f>VLOOKUP(A:A,Table1[[Project No]:[Additional Remark]],17,FALSE)</f>
        <v>Huawei SUN2000-6KTL</v>
      </c>
      <c r="K60" s="127"/>
      <c r="L60" s="1" t="str">
        <f t="shared" si="0"/>
        <v>Completed</v>
      </c>
      <c r="M60" s="1" t="str">
        <f>VLOOKUP(A:A,'Finance Tracker'!A58:K302,8,FALSE)</f>
        <v>Invoice Completed</v>
      </c>
      <c r="N60" s="127"/>
      <c r="O60" s="1" t="s">
        <v>109</v>
      </c>
      <c r="P60" s="1" t="s">
        <v>109</v>
      </c>
      <c r="Q60" s="127"/>
      <c r="R60" s="56">
        <v>45400</v>
      </c>
      <c r="S60" s="56">
        <v>45407</v>
      </c>
      <c r="T60" s="1" t="s">
        <v>1822</v>
      </c>
      <c r="U60" s="56">
        <v>45768</v>
      </c>
      <c r="V60" s="39" t="s">
        <v>1853</v>
      </c>
      <c r="W60" s="1" t="s">
        <v>1853</v>
      </c>
      <c r="X60" s="4" t="s">
        <v>109</v>
      </c>
      <c r="Y60" s="4" t="s">
        <v>1853</v>
      </c>
      <c r="Z60" s="4" t="s">
        <v>1853</v>
      </c>
      <c r="AA60" s="39" t="s">
        <v>1853</v>
      </c>
      <c r="AB60" s="39" t="s">
        <v>1853</v>
      </c>
      <c r="AC60" s="39" t="s">
        <v>1853</v>
      </c>
      <c r="AD60" s="39" t="s">
        <v>1853</v>
      </c>
      <c r="AE60" s="56" t="s">
        <v>1853</v>
      </c>
      <c r="AF60" s="56">
        <v>45435</v>
      </c>
      <c r="AG60" s="56">
        <v>45435</v>
      </c>
      <c r="AH60" s="56">
        <v>49095</v>
      </c>
      <c r="AJ60" s="4" t="s">
        <v>109</v>
      </c>
      <c r="AK60" s="4" t="s">
        <v>109</v>
      </c>
      <c r="AL60" s="4" t="s">
        <v>109</v>
      </c>
      <c r="AM60" s="4" t="s">
        <v>109</v>
      </c>
      <c r="AP60" s="1">
        <f t="shared" si="1"/>
        <v>7</v>
      </c>
      <c r="AQ60" s="38" t="e">
        <f>AA60-Table1[[#This Row],[Closed Date]]</f>
        <v>#VALUE!</v>
      </c>
    </row>
    <row r="61" spans="1:43" ht="18.75" customHeight="1" x14ac:dyDescent="0.3">
      <c r="A61" s="4">
        <f>Table1[[#This Row],[Project No]]</f>
        <v>2311092</v>
      </c>
      <c r="B61" s="110" t="str">
        <f>VLOOKUP(A:A,Table1[[Project No]:[Additional Remark]],2,FALSE)</f>
        <v>Tham Chee Man</v>
      </c>
      <c r="C61" s="4" t="e" vm="15">
        <f>VLOOKUP(A:A,Table1[[#All],[Project No]:[Additional Remark]],7,FALSE)</f>
        <v>#VALUE!</v>
      </c>
      <c r="D61" s="4" t="str">
        <f>VLOOKUP(A:A,Table1[[#All],[Project No]:[Additional Remark]],4,FALSE)</f>
        <v>Tham</v>
      </c>
      <c r="E61" s="4" t="str">
        <f>VLOOKUP(A:A,Table1[[#All],[Project No]:[Additional Remark]],5,FALSE)</f>
        <v>R-PV</v>
      </c>
      <c r="F61" s="4" t="str">
        <f>VLOOKUP(A:A,Table1[[Project No]:[Additional Remark]],6,FALSE)</f>
        <v>NEM</v>
      </c>
      <c r="G61" s="4">
        <f>VLOOKUP(A:A,Table1[[Project No]:[Additional Remark]],8,FALSE)</f>
        <v>5.75</v>
      </c>
      <c r="H61" s="4" t="str">
        <f>VLOOKUP(A:A,Table1[[Project No]:[Additional Remark]],15,FALSE)</f>
        <v>Astronergy 575Wp</v>
      </c>
      <c r="I61" s="4">
        <f>VLOOKUP(A:A,Table1[[Project No]:[Additional Remark]],16,FALSE)</f>
        <v>10</v>
      </c>
      <c r="J61" s="1" t="str">
        <f>VLOOKUP(A:A,Table1[[Project No]:[Additional Remark]],17,FALSE)</f>
        <v>Solinteg MHS-5K-30 hybrid</v>
      </c>
      <c r="K61" s="127"/>
      <c r="L61" s="1" t="str">
        <f t="shared" si="0"/>
        <v>Completed</v>
      </c>
      <c r="M61" s="1" t="str">
        <f>VLOOKUP(A:A,'Finance Tracker'!A59:K303,8,FALSE)</f>
        <v>1st invoice</v>
      </c>
      <c r="N61" s="127"/>
      <c r="O61" s="1" t="s">
        <v>109</v>
      </c>
      <c r="P61" s="1" t="s">
        <v>109</v>
      </c>
      <c r="Q61" s="127"/>
      <c r="R61" s="56">
        <v>45257</v>
      </c>
      <c r="S61" s="56">
        <v>45307</v>
      </c>
      <c r="T61" s="1" t="s">
        <v>1823</v>
      </c>
      <c r="U61" s="56">
        <v>45874</v>
      </c>
      <c r="V61" s="39" t="s">
        <v>1853</v>
      </c>
      <c r="W61" s="1" t="s">
        <v>1853</v>
      </c>
      <c r="X61" s="4" t="s">
        <v>109</v>
      </c>
      <c r="Y61" s="4" t="s">
        <v>1853</v>
      </c>
      <c r="Z61" s="4" t="s">
        <v>1853</v>
      </c>
      <c r="AA61" s="39" t="s">
        <v>1853</v>
      </c>
      <c r="AB61" s="39" t="s">
        <v>1853</v>
      </c>
      <c r="AC61" s="39" t="s">
        <v>1853</v>
      </c>
      <c r="AD61" s="39" t="s">
        <v>1853</v>
      </c>
      <c r="AE61" s="56">
        <v>45425</v>
      </c>
      <c r="AF61" s="56">
        <v>45426</v>
      </c>
      <c r="AG61" s="56">
        <v>45426</v>
      </c>
      <c r="AH61" s="56">
        <v>49095</v>
      </c>
      <c r="AJ61" s="4" t="s">
        <v>109</v>
      </c>
      <c r="AK61" s="4" t="s">
        <v>109</v>
      </c>
      <c r="AL61" s="4" t="s">
        <v>109</v>
      </c>
      <c r="AM61" s="4" t="s">
        <v>109</v>
      </c>
      <c r="AP61" s="1">
        <f t="shared" si="1"/>
        <v>50</v>
      </c>
      <c r="AQ61" s="38" t="e">
        <f>AA61-Table1[[#This Row],[Closed Date]]</f>
        <v>#VALUE!</v>
      </c>
    </row>
    <row r="62" spans="1:43" ht="18.75" customHeight="1" x14ac:dyDescent="0.3">
      <c r="A62" s="4">
        <f>Table1[[#This Row],[Project No]]</f>
        <v>2404230</v>
      </c>
      <c r="B62" s="110" t="str">
        <f>VLOOKUP(A:A,Table1[[Project No]:[Additional Remark]],2,FALSE)</f>
        <v>Yap Bee Im Marianne</v>
      </c>
      <c r="C62" s="4" t="e" vm="15">
        <f>VLOOKUP(A:A,Table1[[#All],[Project No]:[Additional Remark]],7,FALSE)</f>
        <v>#VALUE!</v>
      </c>
      <c r="D62" s="4" t="str">
        <f>VLOOKUP(A:A,Table1[[#All],[Project No]:[Additional Remark]],4,FALSE)</f>
        <v>Tham</v>
      </c>
      <c r="E62" s="4" t="str">
        <f>VLOOKUP(A:A,Table1[[#All],[Project No]:[Additional Remark]],5,FALSE)</f>
        <v>R-PV</v>
      </c>
      <c r="F62" s="4" t="str">
        <f>VLOOKUP(A:A,Table1[[Project No]:[Additional Remark]],6,FALSE)</f>
        <v>NEM</v>
      </c>
      <c r="G62" s="4">
        <f>VLOOKUP(A:A,Table1[[Project No]:[Additional Remark]],8,FALSE)</f>
        <v>8.7750000000000004</v>
      </c>
      <c r="H62" s="4" t="str">
        <f>VLOOKUP(A:A,Table1[[Project No]:[Additional Remark]],15,FALSE)</f>
        <v>Astronergy 585Wp</v>
      </c>
      <c r="I62" s="4">
        <f>VLOOKUP(A:A,Table1[[Project No]:[Additional Remark]],16,FALSE)</f>
        <v>15.000000000000002</v>
      </c>
      <c r="J62" s="1" t="str">
        <f>VLOOKUP(A:A,Table1[[Project No]:[Additional Remark]],17,FALSE)</f>
        <v>Huawei SUN2000-8KTL</v>
      </c>
      <c r="K62" s="127"/>
      <c r="L62" s="1" t="str">
        <f t="shared" si="0"/>
        <v>Completed</v>
      </c>
      <c r="M62" s="1" t="str">
        <f>VLOOKUP(A:A,'Finance Tracker'!A60:K304,8,FALSE)</f>
        <v>Invoice Completed</v>
      </c>
      <c r="N62" s="127"/>
      <c r="O62" s="1" t="s">
        <v>109</v>
      </c>
      <c r="P62" s="1" t="s">
        <v>109</v>
      </c>
      <c r="Q62" s="127"/>
      <c r="R62" s="56">
        <v>45415</v>
      </c>
      <c r="S62" s="56">
        <v>45432</v>
      </c>
      <c r="T62" s="1" t="s">
        <v>1823</v>
      </c>
      <c r="U62" s="56">
        <v>45769</v>
      </c>
      <c r="V62" s="39" t="s">
        <v>1853</v>
      </c>
      <c r="W62" s="1" t="s">
        <v>1853</v>
      </c>
      <c r="X62" s="4" t="s">
        <v>109</v>
      </c>
      <c r="Y62" s="4" t="s">
        <v>1853</v>
      </c>
      <c r="Z62" s="4" t="s">
        <v>1853</v>
      </c>
      <c r="AA62" s="39" t="s">
        <v>1853</v>
      </c>
      <c r="AB62" s="39" t="s">
        <v>1853</v>
      </c>
      <c r="AC62" s="39" t="s">
        <v>1853</v>
      </c>
      <c r="AD62" s="39" t="s">
        <v>1853</v>
      </c>
      <c r="AE62" s="56">
        <v>45475</v>
      </c>
      <c r="AF62" s="56">
        <v>45477</v>
      </c>
      <c r="AG62" s="56">
        <v>45477</v>
      </c>
      <c r="AH62" s="56">
        <v>49156</v>
      </c>
      <c r="AJ62" s="4" t="s">
        <v>109</v>
      </c>
      <c r="AK62" s="4" t="s">
        <v>109</v>
      </c>
      <c r="AL62" s="4" t="s">
        <v>109</v>
      </c>
      <c r="AM62" s="4" t="s">
        <v>109</v>
      </c>
      <c r="AP62" s="1">
        <f t="shared" si="1"/>
        <v>17</v>
      </c>
      <c r="AQ62" s="38" t="e">
        <f>AA62-Table1[[#This Row],[Closed Date]]</f>
        <v>#VALUE!</v>
      </c>
    </row>
    <row r="63" spans="1:43" ht="18.75" customHeight="1" x14ac:dyDescent="0.3">
      <c r="A63" s="4">
        <f>Table1[[#This Row],[Project No]]</f>
        <v>2401133</v>
      </c>
      <c r="B63" s="110" t="str">
        <f>VLOOKUP(A:A,Table1[[Project No]:[Additional Remark]],2,FALSE)</f>
        <v>Cheong Sau Ling</v>
      </c>
      <c r="C63" s="4" t="e" vm="15">
        <f>VLOOKUP(A:A,Table1[[#All],[Project No]:[Additional Remark]],7,FALSE)</f>
        <v>#VALUE!</v>
      </c>
      <c r="D63" s="4" t="str">
        <f>VLOOKUP(A:A,Table1[[#All],[Project No]:[Additional Remark]],4,FALSE)</f>
        <v>Tham</v>
      </c>
      <c r="E63" s="4" t="str">
        <f>VLOOKUP(A:A,Table1[[#All],[Project No]:[Additional Remark]],5,FALSE)</f>
        <v>R-PV</v>
      </c>
      <c r="F63" s="4" t="str">
        <f>VLOOKUP(A:A,Table1[[Project No]:[Additional Remark]],6,FALSE)</f>
        <v>NEM</v>
      </c>
      <c r="G63" s="4">
        <f>VLOOKUP(A:A,Table1[[Project No]:[Additional Remark]],8,FALSE)</f>
        <v>8.7750000000000004</v>
      </c>
      <c r="H63" s="4" t="str">
        <f>VLOOKUP(A:A,Table1[[Project No]:[Additional Remark]],15,FALSE)</f>
        <v>Astronergy 585Wp</v>
      </c>
      <c r="I63" s="4">
        <f>VLOOKUP(A:A,Table1[[Project No]:[Additional Remark]],16,FALSE)</f>
        <v>15.000000000000002</v>
      </c>
      <c r="J63" s="1" t="str">
        <f>VLOOKUP(A:A,Table1[[Project No]:[Additional Remark]],17,FALSE)</f>
        <v>Huawei SUN2000-8KTL</v>
      </c>
      <c r="K63" s="127"/>
      <c r="L63" s="1" t="str">
        <f t="shared" si="0"/>
        <v>Completed</v>
      </c>
      <c r="M63" s="1" t="str">
        <f>VLOOKUP(A:A,'Finance Tracker'!A61:K305,8,FALSE)</f>
        <v>Invoice Completed</v>
      </c>
      <c r="N63" s="127"/>
      <c r="O63" s="1" t="s">
        <v>109</v>
      </c>
      <c r="P63" s="1" t="s">
        <v>109</v>
      </c>
      <c r="Q63" s="127"/>
      <c r="R63" s="56">
        <v>45415</v>
      </c>
      <c r="S63" s="56">
        <v>45432</v>
      </c>
      <c r="T63" s="1" t="s">
        <v>1822</v>
      </c>
      <c r="U63" s="56">
        <v>45793</v>
      </c>
      <c r="V63" s="39" t="s">
        <v>1853</v>
      </c>
      <c r="W63" s="1" t="s">
        <v>1853</v>
      </c>
      <c r="X63" s="4" t="s">
        <v>109</v>
      </c>
      <c r="Y63" s="4" t="s">
        <v>1853</v>
      </c>
      <c r="Z63" s="4" t="s">
        <v>1853</v>
      </c>
      <c r="AA63" s="39">
        <v>45582</v>
      </c>
      <c r="AB63" s="39" t="s">
        <v>1853</v>
      </c>
      <c r="AC63" s="39" t="s">
        <v>1853</v>
      </c>
      <c r="AD63" s="39" t="s">
        <v>1853</v>
      </c>
      <c r="AE63" s="56">
        <v>45610</v>
      </c>
      <c r="AF63" s="56">
        <v>45614</v>
      </c>
      <c r="AG63" s="56">
        <v>45614</v>
      </c>
      <c r="AH63" s="56">
        <v>49278</v>
      </c>
      <c r="AJ63" s="4" t="s">
        <v>109</v>
      </c>
      <c r="AK63" s="4" t="s">
        <v>109</v>
      </c>
      <c r="AL63" s="4" t="s">
        <v>109</v>
      </c>
      <c r="AM63" s="4" t="s">
        <v>109</v>
      </c>
      <c r="AP63" s="1">
        <f t="shared" si="1"/>
        <v>17</v>
      </c>
      <c r="AQ63" s="38">
        <f>AA63-Table1[[#This Row],[Closed Date]]</f>
        <v>178</v>
      </c>
    </row>
    <row r="64" spans="1:43" ht="18.75" customHeight="1" x14ac:dyDescent="0.3">
      <c r="A64" s="4">
        <f>Table1[[#This Row],[Project No]]</f>
        <v>2403171</v>
      </c>
      <c r="B64" s="110" t="str">
        <f>VLOOKUP(A:A,Table1[[Project No]:[Additional Remark]],2,FALSE)</f>
        <v>Sim Keng Chor</v>
      </c>
      <c r="C64" s="4" t="e" vm="18">
        <f>VLOOKUP(A:A,Table1[[#All],[Project No]:[Additional Remark]],7,FALSE)</f>
        <v>#VALUE!</v>
      </c>
      <c r="D64" s="4" t="str">
        <f>VLOOKUP(A:A,Table1[[#All],[Project No]:[Additional Remark]],4,FALSE)</f>
        <v>Tham</v>
      </c>
      <c r="E64" s="4" t="str">
        <f>VLOOKUP(A:A,Table1[[#All],[Project No]:[Additional Remark]],5,FALSE)</f>
        <v>R-PV</v>
      </c>
      <c r="F64" s="4" t="str">
        <f>VLOOKUP(A:A,Table1[[Project No]:[Additional Remark]],6,FALSE)</f>
        <v>NEM</v>
      </c>
      <c r="G64" s="4">
        <f>VLOOKUP(A:A,Table1[[Project No]:[Additional Remark]],8,FALSE)</f>
        <v>17.55</v>
      </c>
      <c r="H64" s="4" t="str">
        <f>VLOOKUP(A:A,Table1[[Project No]:[Additional Remark]],15,FALSE)</f>
        <v>Astronergy 585Wp</v>
      </c>
      <c r="I64" s="4">
        <f>VLOOKUP(A:A,Table1[[Project No]:[Additional Remark]],16,FALSE)</f>
        <v>30.000000000000004</v>
      </c>
      <c r="J64" s="1" t="str">
        <f>VLOOKUP(A:A,Table1[[Project No]:[Additional Remark]],17,FALSE)</f>
        <v>Huawei SUN2000-12KTL</v>
      </c>
      <c r="K64" s="127"/>
      <c r="L64" s="1" t="str">
        <f t="shared" si="0"/>
        <v>Completed</v>
      </c>
      <c r="M64" s="1" t="str">
        <f>VLOOKUP(A:A,'Finance Tracker'!A62:K306,8,FALSE)</f>
        <v>Invoice Completed</v>
      </c>
      <c r="N64" s="127"/>
      <c r="O64" s="1" t="s">
        <v>109</v>
      </c>
      <c r="P64" s="1" t="s">
        <v>109</v>
      </c>
      <c r="Q64" s="127"/>
      <c r="R64" s="56">
        <v>45427</v>
      </c>
      <c r="S64" s="56">
        <v>45447</v>
      </c>
      <c r="T64" s="1" t="s">
        <v>1822</v>
      </c>
      <c r="U64" s="56">
        <v>45769</v>
      </c>
      <c r="V64" s="39" t="s">
        <v>1853</v>
      </c>
      <c r="W64" s="1" t="s">
        <v>1853</v>
      </c>
      <c r="X64" s="4" t="s">
        <v>109</v>
      </c>
      <c r="Y64" s="4" t="s">
        <v>1853</v>
      </c>
      <c r="Z64" s="4" t="s">
        <v>1853</v>
      </c>
      <c r="AA64" s="39" t="s">
        <v>1853</v>
      </c>
      <c r="AB64" s="39" t="s">
        <v>1853</v>
      </c>
      <c r="AC64" s="39" t="s">
        <v>1853</v>
      </c>
      <c r="AD64" s="39" t="s">
        <v>1853</v>
      </c>
      <c r="AE64" s="56">
        <v>45504</v>
      </c>
      <c r="AF64" s="56">
        <v>45511</v>
      </c>
      <c r="AG64" s="56">
        <v>45511</v>
      </c>
      <c r="AH64" s="56">
        <v>49187</v>
      </c>
      <c r="AJ64" s="4" t="s">
        <v>109</v>
      </c>
      <c r="AK64" s="4" t="s">
        <v>109</v>
      </c>
      <c r="AL64" s="4" t="s">
        <v>109</v>
      </c>
      <c r="AM64" s="4" t="s">
        <v>109</v>
      </c>
      <c r="AP64" s="1">
        <f t="shared" si="1"/>
        <v>20</v>
      </c>
      <c r="AQ64" s="38" t="e">
        <f>AA64-Table1[[#This Row],[Closed Date]]</f>
        <v>#VALUE!</v>
      </c>
    </row>
    <row r="65" spans="1:43" ht="28.8" x14ac:dyDescent="0.3">
      <c r="A65" s="4">
        <f>Table1[[#This Row],[Project No]]</f>
        <v>2403176</v>
      </c>
      <c r="B65" s="110" t="str">
        <f>VLOOKUP(A:A,Table1[[Project No]:[Additional Remark]],2,FALSE)</f>
        <v>Nor Hana binti Supiran @ Soviran</v>
      </c>
      <c r="C65" s="4" t="e" vm="15">
        <f>VLOOKUP(A:A,Table1[[#All],[Project No]:[Additional Remark]],7,FALSE)</f>
        <v>#VALUE!</v>
      </c>
      <c r="D65" s="4" t="str">
        <f>VLOOKUP(A:A,Table1[[#All],[Project No]:[Additional Remark]],4,FALSE)</f>
        <v>Tham</v>
      </c>
      <c r="E65" s="4" t="str">
        <f>VLOOKUP(A:A,Table1[[#All],[Project No]:[Additional Remark]],5,FALSE)</f>
        <v>R-PV</v>
      </c>
      <c r="F65" s="4" t="str">
        <f>VLOOKUP(A:A,Table1[[Project No]:[Additional Remark]],6,FALSE)</f>
        <v>NEM</v>
      </c>
      <c r="G65" s="4">
        <f>VLOOKUP(A:A,Table1[[Project No]:[Additional Remark]],8,FALSE)</f>
        <v>6.4349999999999996</v>
      </c>
      <c r="H65" s="4" t="str">
        <f>VLOOKUP(A:A,Table1[[Project No]:[Additional Remark]],15,FALSE)</f>
        <v>Astronergy 585Wp</v>
      </c>
      <c r="I65" s="4">
        <f>VLOOKUP(A:A,Table1[[Project No]:[Additional Remark]],16,FALSE)</f>
        <v>11</v>
      </c>
      <c r="J65" s="1" t="str">
        <f>VLOOKUP(A:A,Table1[[Project No]:[Additional Remark]],17,FALSE)</f>
        <v>Huawei SUN2000-5KTL-M1</v>
      </c>
      <c r="K65" s="127"/>
      <c r="L65" s="1" t="str">
        <f t="shared" si="0"/>
        <v>Completed</v>
      </c>
      <c r="M65" s="1" t="str">
        <f>VLOOKUP(A:A,'Finance Tracker'!A63:K307,8,FALSE)</f>
        <v>Invoice Completed</v>
      </c>
      <c r="N65" s="127"/>
      <c r="O65" s="1" t="s">
        <v>109</v>
      </c>
      <c r="P65" s="1" t="s">
        <v>109</v>
      </c>
      <c r="Q65" s="127"/>
      <c r="R65" s="56">
        <v>45417</v>
      </c>
      <c r="S65" s="56">
        <v>45432</v>
      </c>
      <c r="T65" s="1" t="s">
        <v>1822</v>
      </c>
      <c r="U65" s="56">
        <v>45769</v>
      </c>
      <c r="V65" s="39" t="s">
        <v>1853</v>
      </c>
      <c r="W65" s="1" t="s">
        <v>1853</v>
      </c>
      <c r="X65" s="4" t="s">
        <v>109</v>
      </c>
      <c r="Y65" s="4" t="s">
        <v>1853</v>
      </c>
      <c r="Z65" s="4" t="s">
        <v>1853</v>
      </c>
      <c r="AA65" s="39">
        <v>45520</v>
      </c>
      <c r="AB65" s="39" t="s">
        <v>1853</v>
      </c>
      <c r="AC65" s="39" t="s">
        <v>1853</v>
      </c>
      <c r="AD65" s="39" t="s">
        <v>1853</v>
      </c>
      <c r="AE65" s="1" t="s">
        <v>1853</v>
      </c>
      <c r="AF65" s="56">
        <v>45554</v>
      </c>
      <c r="AG65" s="56">
        <v>45554</v>
      </c>
      <c r="AH65" s="56">
        <v>49217</v>
      </c>
      <c r="AJ65" s="4" t="s">
        <v>109</v>
      </c>
      <c r="AK65" s="4" t="s">
        <v>109</v>
      </c>
      <c r="AL65" s="4" t="s">
        <v>109</v>
      </c>
      <c r="AM65" s="4" t="s">
        <v>109</v>
      </c>
      <c r="AP65" s="1">
        <f t="shared" si="1"/>
        <v>15</v>
      </c>
      <c r="AQ65" s="38">
        <f>AA65-Table1[[#This Row],[Closed Date]]</f>
        <v>114</v>
      </c>
    </row>
    <row r="66" spans="1:43" ht="18.75" customHeight="1" x14ac:dyDescent="0.3">
      <c r="A66" s="4">
        <f>Table1[[#This Row],[Project No]]</f>
        <v>2404229</v>
      </c>
      <c r="B66" s="110" t="str">
        <f>VLOOKUP(A:A,Table1[[Project No]:[Additional Remark]],2,FALSE)</f>
        <v>Ng Lay Ping</v>
      </c>
      <c r="C66" s="4" t="e" vm="15">
        <f>VLOOKUP(A:A,Table1[[#All],[Project No]:[Additional Remark]],7,FALSE)</f>
        <v>#VALUE!</v>
      </c>
      <c r="D66" s="4" t="str">
        <f>VLOOKUP(A:A,Table1[[#All],[Project No]:[Additional Remark]],4,FALSE)</f>
        <v>Tham</v>
      </c>
      <c r="E66" s="4" t="str">
        <f>VLOOKUP(A:A,Table1[[#All],[Project No]:[Additional Remark]],5,FALSE)</f>
        <v>R-PV</v>
      </c>
      <c r="F66" s="4" t="str">
        <f>VLOOKUP(A:A,Table1[[Project No]:[Additional Remark]],6,FALSE)</f>
        <v>NEM</v>
      </c>
      <c r="G66" s="4">
        <f>VLOOKUP(A:A,Table1[[Project No]:[Additional Remark]],8,FALSE)</f>
        <v>14.625</v>
      </c>
      <c r="H66" s="4" t="str">
        <f>VLOOKUP(A:A,Table1[[Project No]:[Additional Remark]],15,FALSE)</f>
        <v>Astronergy 585Wp</v>
      </c>
      <c r="I66" s="4">
        <f>VLOOKUP(A:A,Table1[[Project No]:[Additional Remark]],16,FALSE)</f>
        <v>25</v>
      </c>
      <c r="J66" s="1" t="str">
        <f>VLOOKUP(A:A,Table1[[Project No]:[Additional Remark]],17,FALSE)</f>
        <v>Huawei SUN2000-12KTL</v>
      </c>
      <c r="K66" s="127"/>
      <c r="L66" s="1" t="str">
        <f t="shared" si="0"/>
        <v>Completed</v>
      </c>
      <c r="M66" s="1" t="str">
        <f>VLOOKUP(A:A,'Finance Tracker'!A64:K308,8,FALSE)</f>
        <v>Invoice Completed</v>
      </c>
      <c r="N66" s="127"/>
      <c r="O66" s="1" t="s">
        <v>109</v>
      </c>
      <c r="P66" s="1" t="s">
        <v>109</v>
      </c>
      <c r="Q66" s="127"/>
      <c r="R66" s="56">
        <v>45415</v>
      </c>
      <c r="S66" s="56">
        <v>45432</v>
      </c>
      <c r="T66" s="1" t="s">
        <v>1822</v>
      </c>
      <c r="U66" s="56">
        <v>45769</v>
      </c>
      <c r="V66" s="39" t="s">
        <v>1853</v>
      </c>
      <c r="W66" s="1" t="s">
        <v>1853</v>
      </c>
      <c r="X66" s="4" t="s">
        <v>109</v>
      </c>
      <c r="Y66" s="4" t="s">
        <v>1853</v>
      </c>
      <c r="Z66" s="4" t="s">
        <v>1853</v>
      </c>
      <c r="AA66" s="39" t="s">
        <v>1853</v>
      </c>
      <c r="AB66" s="39" t="s">
        <v>1853</v>
      </c>
      <c r="AC66" s="39" t="s">
        <v>1853</v>
      </c>
      <c r="AD66" s="39" t="s">
        <v>1853</v>
      </c>
      <c r="AE66" s="56">
        <v>45468</v>
      </c>
      <c r="AF66" s="56">
        <v>45470</v>
      </c>
      <c r="AG66" s="56">
        <v>45470</v>
      </c>
      <c r="AH66" s="56">
        <v>49125</v>
      </c>
      <c r="AJ66" s="4" t="s">
        <v>109</v>
      </c>
      <c r="AK66" s="4" t="s">
        <v>109</v>
      </c>
      <c r="AL66" s="4" t="s">
        <v>109</v>
      </c>
      <c r="AM66" s="4" t="s">
        <v>109</v>
      </c>
      <c r="AP66" s="1">
        <f t="shared" si="1"/>
        <v>17</v>
      </c>
      <c r="AQ66" s="38" t="e">
        <f>AA66-Table1[[#This Row],[Closed Date]]</f>
        <v>#VALUE!</v>
      </c>
    </row>
    <row r="67" spans="1:43" s="244" customFormat="1" ht="18.75" customHeight="1" x14ac:dyDescent="0.3">
      <c r="A67" s="237">
        <f>Table1[[#This Row],[Project No]]</f>
        <v>2404211</v>
      </c>
      <c r="B67" s="238" t="str">
        <f>VLOOKUP(A:A,Table1[[Project No]:[Additional Remark]],2,FALSE)</f>
        <v>Nor Fadillah</v>
      </c>
      <c r="C67" s="237" t="e" vm="23">
        <f>VLOOKUP(A:A,Table1[[#All],[Project No]:[Additional Remark]],7,FALSE)</f>
        <v>#VALUE!</v>
      </c>
      <c r="D67" s="237" t="str">
        <f>VLOOKUP(A:A,Table1[[#All],[Project No]:[Additional Remark]],4,FALSE)</f>
        <v>Tham</v>
      </c>
      <c r="E67" s="237" t="str">
        <f>VLOOKUP(A:A,Table1[[#All],[Project No]:[Additional Remark]],5,FALSE)</f>
        <v>R-PV</v>
      </c>
      <c r="F67" s="237" t="str">
        <f>VLOOKUP(A:A,Table1[[Project No]:[Additional Remark]],6,FALSE)</f>
        <v>NEM</v>
      </c>
      <c r="G67" s="237">
        <f>VLOOKUP(A:A,Table1[[Project No]:[Additional Remark]],8,FALSE)</f>
        <v>17.55</v>
      </c>
      <c r="H67" s="237" t="str">
        <f>VLOOKUP(A:A,Table1[[Project No]:[Additional Remark]],15,FALSE)</f>
        <v>Astronergy 585Wp</v>
      </c>
      <c r="I67" s="237">
        <f>VLOOKUP(A:A,Table1[[Project No]:[Additional Remark]],16,FALSE)</f>
        <v>30.000000000000004</v>
      </c>
      <c r="J67" s="239" t="str">
        <f>VLOOKUP(A:A,Table1[[Project No]:[Additional Remark]],17,FALSE)</f>
        <v>Huawei SUN2000-12KTL</v>
      </c>
      <c r="K67" s="240"/>
      <c r="L67" s="239" t="str">
        <f t="shared" si="0"/>
        <v>Pending NEM Welcome Letter</v>
      </c>
      <c r="M67" s="239" t="str">
        <f>VLOOKUP(A:A,'Finance Tracker'!A65:K309,8,FALSE)</f>
        <v>Invoice Completed</v>
      </c>
      <c r="N67" s="240"/>
      <c r="O67" s="239" t="s">
        <v>109</v>
      </c>
      <c r="P67" s="239" t="s">
        <v>109</v>
      </c>
      <c r="Q67" s="240"/>
      <c r="R67" s="241" t="s">
        <v>1853</v>
      </c>
      <c r="S67" s="241" t="s">
        <v>1853</v>
      </c>
      <c r="T67" s="239"/>
      <c r="U67" s="241"/>
      <c r="V67" s="242" t="s">
        <v>1853</v>
      </c>
      <c r="W67" s="239" t="s">
        <v>1853</v>
      </c>
      <c r="X67" s="237" t="s">
        <v>109</v>
      </c>
      <c r="Y67" s="237" t="s">
        <v>1853</v>
      </c>
      <c r="Z67" s="237" t="s">
        <v>1853</v>
      </c>
      <c r="AA67" s="242" t="s">
        <v>1853</v>
      </c>
      <c r="AB67" s="242" t="s">
        <v>1853</v>
      </c>
      <c r="AC67" s="242" t="s">
        <v>1853</v>
      </c>
      <c r="AD67" s="242" t="s">
        <v>1853</v>
      </c>
      <c r="AE67" s="241">
        <v>45482</v>
      </c>
      <c r="AF67" s="241" t="s">
        <v>1853</v>
      </c>
      <c r="AG67" s="241"/>
      <c r="AH67" s="241"/>
      <c r="AI67" s="243"/>
      <c r="AJ67" s="237" t="s">
        <v>109</v>
      </c>
      <c r="AK67" s="237" t="s">
        <v>109</v>
      </c>
      <c r="AL67" s="237" t="s">
        <v>109</v>
      </c>
      <c r="AM67" s="237" t="s">
        <v>109</v>
      </c>
      <c r="AP67" s="239" t="e">
        <f t="shared" si="1"/>
        <v>#VALUE!</v>
      </c>
      <c r="AQ67" s="245" t="e">
        <f>AA67-Table1[[#This Row],[Closed Date]]</f>
        <v>#VALUE!</v>
      </c>
    </row>
    <row r="68" spans="1:43" s="217" customFormat="1" ht="18.75" customHeight="1" x14ac:dyDescent="0.3">
      <c r="A68" s="210">
        <f>Table1[[#This Row],[Project No]]</f>
        <v>2404111</v>
      </c>
      <c r="B68" s="211" t="str">
        <f>VLOOKUP(A:A,Table1[[Project No]:[Additional Remark]],2,FALSE)</f>
        <v>Budi Jelas Sdn Bhd</v>
      </c>
      <c r="C68" s="210" t="e" vm="16">
        <f>VLOOKUP(A:A,Table1[[#All],[Project No]:[Additional Remark]],7,FALSE)</f>
        <v>#VALUE!</v>
      </c>
      <c r="D68" s="210" t="str">
        <f>VLOOKUP(A:A,Table1[[#All],[Project No]:[Additional Remark]],4,FALSE)</f>
        <v>Tham</v>
      </c>
      <c r="E68" s="210" t="str">
        <f>VLOOKUP(A:A,Table1[[#All],[Project No]:[Additional Remark]],5,FALSE)</f>
        <v>C&amp;I-PV</v>
      </c>
      <c r="F68" s="210" t="str">
        <f>VLOOKUP(A:A,Table1[[Project No]:[Additional Remark]],6,FALSE)</f>
        <v>NEM</v>
      </c>
      <c r="G68" s="210">
        <f>VLOOKUP(A:A,Table1[[Project No]:[Additional Remark]],8,FALSE)</f>
        <v>26.91</v>
      </c>
      <c r="H68" s="210" t="str">
        <f>VLOOKUP(A:A,Table1[[Project No]:[Additional Remark]],15,FALSE)</f>
        <v>Astronergy 585Wp</v>
      </c>
      <c r="I68" s="210">
        <f>VLOOKUP(A:A,Table1[[Project No]:[Additional Remark]],16,FALSE)</f>
        <v>46</v>
      </c>
      <c r="J68" s="212" t="str">
        <f>VLOOKUP(A:A,Table1[[Project No]:[Additional Remark]],17,FALSE)</f>
        <v>Huawei SUN2000-20KTL</v>
      </c>
      <c r="K68" s="213"/>
      <c r="L68" s="212" t="str">
        <f t="shared" si="0"/>
        <v>Pending GITA Application</v>
      </c>
      <c r="M68" s="212" t="str">
        <f>VLOOKUP(A:A,'Finance Tracker'!A66:K310,8,FALSE)</f>
        <v>Invoice Completed</v>
      </c>
      <c r="N68" s="213"/>
      <c r="O68" s="212" t="s">
        <v>109</v>
      </c>
      <c r="P68" s="212" t="s">
        <v>109</v>
      </c>
      <c r="Q68" s="213"/>
      <c r="R68" s="214">
        <v>45453</v>
      </c>
      <c r="S68" s="214">
        <v>45531</v>
      </c>
      <c r="T68" s="212" t="s">
        <v>1823</v>
      </c>
      <c r="U68" s="214">
        <v>45816</v>
      </c>
      <c r="V68" s="215" t="s">
        <v>1853</v>
      </c>
      <c r="W68" s="212" t="s">
        <v>1853</v>
      </c>
      <c r="X68" s="210" t="s">
        <v>109</v>
      </c>
      <c r="Y68" s="210" t="s">
        <v>1853</v>
      </c>
      <c r="Z68" s="210" t="s">
        <v>307</v>
      </c>
      <c r="AA68" s="215">
        <v>45636</v>
      </c>
      <c r="AB68" s="215" t="s">
        <v>1853</v>
      </c>
      <c r="AC68" s="215" t="s">
        <v>1853</v>
      </c>
      <c r="AD68" s="215" t="s">
        <v>1853</v>
      </c>
      <c r="AE68" s="214" t="s">
        <v>1853</v>
      </c>
      <c r="AF68" s="214">
        <v>45707</v>
      </c>
      <c r="AG68" s="214">
        <v>45707</v>
      </c>
      <c r="AH68" s="214">
        <v>49368</v>
      </c>
      <c r="AI68" s="216"/>
      <c r="AJ68" s="210" t="s">
        <v>109</v>
      </c>
      <c r="AK68" s="210" t="s">
        <v>109</v>
      </c>
      <c r="AL68" s="210"/>
      <c r="AM68" s="210"/>
      <c r="AP68" s="212">
        <f t="shared" si="1"/>
        <v>78</v>
      </c>
      <c r="AQ68" s="218">
        <f>AA68-Table1[[#This Row],[Closed Date]]</f>
        <v>229</v>
      </c>
    </row>
    <row r="69" spans="1:43" ht="18.75" customHeight="1" x14ac:dyDescent="0.3">
      <c r="A69" s="4">
        <f>Table1[[#This Row],[Project No]]</f>
        <v>2404219</v>
      </c>
      <c r="B69" s="110" t="str">
        <f>VLOOKUP(A:A,Table1[[Project No]:[Additional Remark]],2,FALSE)</f>
        <v>Billy Teoh Wee Wei</v>
      </c>
      <c r="C69" s="4" t="e" vm="24">
        <f>VLOOKUP(A:A,Table1[[#All],[Project No]:[Additional Remark]],7,FALSE)</f>
        <v>#VALUE!</v>
      </c>
      <c r="D69" s="4" t="str">
        <f>VLOOKUP(A:A,Table1[[#All],[Project No]:[Additional Remark]],4,FALSE)</f>
        <v>Tham</v>
      </c>
      <c r="E69" s="4" t="str">
        <f>VLOOKUP(A:A,Table1[[#All],[Project No]:[Additional Remark]],5,FALSE)</f>
        <v>R-PV</v>
      </c>
      <c r="F69" s="4" t="str">
        <f>VLOOKUP(A:A,Table1[[Project No]:[Additional Remark]],6,FALSE)</f>
        <v>NEM</v>
      </c>
      <c r="G69" s="4">
        <f>VLOOKUP(A:A,Table1[[Project No]:[Additional Remark]],8,FALSE)</f>
        <v>17.55</v>
      </c>
      <c r="H69" s="4" t="str">
        <f>VLOOKUP(A:A,Table1[[Project No]:[Additional Remark]],15,FALSE)</f>
        <v>Astronergy 585Wp</v>
      </c>
      <c r="I69" s="4">
        <f>VLOOKUP(A:A,Table1[[Project No]:[Additional Remark]],16,FALSE)</f>
        <v>30.000000000000004</v>
      </c>
      <c r="J69" s="1" t="str">
        <f>VLOOKUP(A:A,Table1[[Project No]:[Additional Remark]],17,FALSE)</f>
        <v>Huawei SUN2000-12KTL</v>
      </c>
      <c r="K69" s="127"/>
      <c r="L69" s="1" t="str">
        <f t="shared" ref="L69:L132" si="2">IF(ISBLANK(R69),"Pending NEM Qouta Submission",IF(ISBLANK(S69),"Pending NEM Qouta Approval",IF(ISBLANK(AA69),"Pending Site Installation",IF(ISBLANK(AJ69),"Pending ST License Application",IF(ISBLANK(AK69),"Pending ST License Approval", IF(ISBLANK(AB69),"Pending Meter Change Application",IF(AND(ISBLANK(AG69),ISBLANK(AF69)),"Pending Meter Change",IF(ISBLANK(AG69),"Pending NEM Welcome Letter",IF(ISBLANK(AL69),"Pending GITA Application",IF(ISBLANK(AM69),"Pending GITA Approval","Completed"))))))))))</f>
        <v>Completed</v>
      </c>
      <c r="M69" s="1" t="str">
        <f>VLOOKUP(A:A,'Finance Tracker'!A67:K311,8,FALSE)</f>
        <v>Invoice Completed</v>
      </c>
      <c r="N69" s="127"/>
      <c r="O69" s="1" t="s">
        <v>109</v>
      </c>
      <c r="P69" s="1" t="s">
        <v>109</v>
      </c>
      <c r="Q69" s="127"/>
      <c r="R69" s="56">
        <v>45486</v>
      </c>
      <c r="S69" s="56">
        <v>45497</v>
      </c>
      <c r="T69" s="1" t="s">
        <v>1822</v>
      </c>
      <c r="U69" s="56">
        <v>45769</v>
      </c>
      <c r="V69" s="39" t="s">
        <v>1853</v>
      </c>
      <c r="W69" s="1" t="s">
        <v>1853</v>
      </c>
      <c r="X69" s="4" t="s">
        <v>109</v>
      </c>
      <c r="Y69" s="4" t="s">
        <v>1853</v>
      </c>
      <c r="Z69" s="4" t="s">
        <v>1853</v>
      </c>
      <c r="AA69" s="39" t="s">
        <v>1853</v>
      </c>
      <c r="AB69" s="39" t="s">
        <v>1853</v>
      </c>
      <c r="AC69" s="39" t="s">
        <v>1853</v>
      </c>
      <c r="AD69" s="39" t="s">
        <v>1853</v>
      </c>
      <c r="AE69" s="56" t="s">
        <v>1853</v>
      </c>
      <c r="AF69" s="56">
        <v>45532</v>
      </c>
      <c r="AG69" s="56">
        <v>45532</v>
      </c>
      <c r="AH69" s="56">
        <v>49187</v>
      </c>
      <c r="AJ69" s="4" t="s">
        <v>109</v>
      </c>
      <c r="AK69" s="4" t="s">
        <v>109</v>
      </c>
      <c r="AL69" s="4" t="s">
        <v>109</v>
      </c>
      <c r="AM69" s="4" t="s">
        <v>109</v>
      </c>
      <c r="AP69" s="1">
        <f t="shared" ref="AP69:AP132" si="3">S69-R69</f>
        <v>11</v>
      </c>
      <c r="AQ69" s="38" t="e">
        <f>AA69-Table1[[#This Row],[Closed Date]]</f>
        <v>#VALUE!</v>
      </c>
    </row>
    <row r="70" spans="1:43" ht="18.75" customHeight="1" x14ac:dyDescent="0.3">
      <c r="A70" s="4">
        <f>Table1[[#This Row],[Project No]]</f>
        <v>2404214</v>
      </c>
      <c r="B70" s="110" t="str">
        <f>VLOOKUP(A:A,Table1[[Project No]:[Additional Remark]],2,FALSE)</f>
        <v>Teo En Chie</v>
      </c>
      <c r="C70" s="4" t="e" vm="17">
        <f>VLOOKUP(A:A,Table1[[#All],[Project No]:[Additional Remark]],7,FALSE)</f>
        <v>#VALUE!</v>
      </c>
      <c r="D70" s="4" t="str">
        <f>VLOOKUP(A:A,Table1[[#All],[Project No]:[Additional Remark]],4,FALSE)</f>
        <v>Tham</v>
      </c>
      <c r="E70" s="4" t="str">
        <f>VLOOKUP(A:A,Table1[[#All],[Project No]:[Additional Remark]],5,FALSE)</f>
        <v>R-PV</v>
      </c>
      <c r="F70" s="4" t="str">
        <f>VLOOKUP(A:A,Table1[[Project No]:[Additional Remark]],6,FALSE)</f>
        <v>NEM</v>
      </c>
      <c r="G70" s="4">
        <f>VLOOKUP(A:A,Table1[[Project No]:[Additional Remark]],8,FALSE)</f>
        <v>15.795</v>
      </c>
      <c r="H70" s="4" t="str">
        <f>VLOOKUP(A:A,Table1[[Project No]:[Additional Remark]],15,FALSE)</f>
        <v>Astronergy 585Wp</v>
      </c>
      <c r="I70" s="4">
        <f>VLOOKUP(A:A,Table1[[Project No]:[Additional Remark]],16,FALSE)</f>
        <v>27</v>
      </c>
      <c r="J70" s="1" t="str">
        <f>VLOOKUP(A:A,Table1[[Project No]:[Additional Remark]],17,FALSE)</f>
        <v>Huawei SUN2000-12KTL</v>
      </c>
      <c r="K70" s="127"/>
      <c r="L70" s="1" t="str">
        <f t="shared" si="2"/>
        <v>Completed</v>
      </c>
      <c r="M70" s="1" t="str">
        <f>VLOOKUP(A:A,'Finance Tracker'!A68:K312,8,FALSE)</f>
        <v>Invoice Completed</v>
      </c>
      <c r="N70" s="127"/>
      <c r="O70" s="1" t="s">
        <v>109</v>
      </c>
      <c r="P70" s="1" t="s">
        <v>109</v>
      </c>
      <c r="Q70" s="127"/>
      <c r="R70" s="56">
        <v>45437</v>
      </c>
      <c r="S70" s="56">
        <v>45449</v>
      </c>
      <c r="T70" s="1" t="s">
        <v>1822</v>
      </c>
      <c r="U70" s="56">
        <v>45891</v>
      </c>
      <c r="V70" s="39" t="s">
        <v>1853</v>
      </c>
      <c r="W70" s="1" t="s">
        <v>1853</v>
      </c>
      <c r="X70" s="4" t="s">
        <v>109</v>
      </c>
      <c r="Y70" s="4" t="s">
        <v>1853</v>
      </c>
      <c r="Z70" s="4" t="s">
        <v>1853</v>
      </c>
      <c r="AA70" s="39">
        <v>45483</v>
      </c>
      <c r="AB70" s="39" t="s">
        <v>1853</v>
      </c>
      <c r="AC70" s="39" t="s">
        <v>1853</v>
      </c>
      <c r="AD70" s="39" t="s">
        <v>1853</v>
      </c>
      <c r="AE70" s="56">
        <v>45510</v>
      </c>
      <c r="AF70" s="56">
        <v>45517</v>
      </c>
      <c r="AG70" s="56">
        <v>45517</v>
      </c>
      <c r="AH70" s="56">
        <v>49187</v>
      </c>
      <c r="AJ70" s="4" t="s">
        <v>109</v>
      </c>
      <c r="AK70" s="4" t="s">
        <v>109</v>
      </c>
      <c r="AL70" s="4" t="s">
        <v>109</v>
      </c>
      <c r="AM70" s="4" t="s">
        <v>109</v>
      </c>
      <c r="AP70" s="1">
        <f t="shared" si="3"/>
        <v>12</v>
      </c>
      <c r="AQ70" s="38">
        <f>AA70-Table1[[#This Row],[Closed Date]]</f>
        <v>69</v>
      </c>
    </row>
    <row r="71" spans="1:43" s="190" customFormat="1" ht="57.6" x14ac:dyDescent="0.3">
      <c r="A71" s="183">
        <f>Table1[[#This Row],[Project No]]</f>
        <v>2403102</v>
      </c>
      <c r="B71" s="184" t="str">
        <f>VLOOKUP(A:A,Table1[[Project No]:[Additional Remark]],2,FALSE)</f>
        <v>Sleep Matics (Asia) Sdn Bhd</v>
      </c>
      <c r="C71" s="183" t="e" vm="15">
        <f>VLOOKUP(A:A,Table1[[#All],[Project No]:[Additional Remark]],7,FALSE)</f>
        <v>#VALUE!</v>
      </c>
      <c r="D71" s="183" t="str">
        <f>VLOOKUP(A:A,Table1[[#All],[Project No]:[Additional Remark]],4,FALSE)</f>
        <v>Tham</v>
      </c>
      <c r="E71" s="183" t="str">
        <f>VLOOKUP(A:A,Table1[[#All],[Project No]:[Additional Remark]],5,FALSE)</f>
        <v>C&amp;I-PV</v>
      </c>
      <c r="F71" s="183" t="str">
        <f>VLOOKUP(A:A,Table1[[Project No]:[Additional Remark]],6,FALSE)</f>
        <v>NEM</v>
      </c>
      <c r="G71" s="183">
        <f>VLOOKUP(A:A,Table1[[Project No]:[Additional Remark]],8,FALSE)</f>
        <v>374.4</v>
      </c>
      <c r="H71" s="183" t="str">
        <f>VLOOKUP(A:A,Table1[[Project No]:[Additional Remark]],15,FALSE)</f>
        <v>Astronergy 585Wp</v>
      </c>
      <c r="I71" s="183">
        <f>VLOOKUP(A:A,Table1[[Project No]:[Additional Remark]],16,FALSE)</f>
        <v>640</v>
      </c>
      <c r="J71" s="185" t="str">
        <f>VLOOKUP(A:A,Table1[[Project No]:[Additional Remark]],17,FALSE)</f>
        <v>Huawei SUN2000-115KTL x 2
Huawei SUN2000-50KTL x 1</v>
      </c>
      <c r="K71" s="186"/>
      <c r="L71" s="185" t="str">
        <f t="shared" si="2"/>
        <v>Pending ST License Application</v>
      </c>
      <c r="M71" s="185" t="str">
        <f>VLOOKUP(A:A,'Finance Tracker'!A69:K313,8,FALSE)</f>
        <v>3rd invoice</v>
      </c>
      <c r="N71" s="186"/>
      <c r="O71" s="185" t="s">
        <v>1853</v>
      </c>
      <c r="P71" s="185" t="s">
        <v>1853</v>
      </c>
      <c r="Q71" s="186"/>
      <c r="R71" s="187">
        <v>45833</v>
      </c>
      <c r="S71" s="187">
        <v>45888</v>
      </c>
      <c r="T71" s="185" t="s">
        <v>1819</v>
      </c>
      <c r="U71" s="187">
        <v>46197</v>
      </c>
      <c r="V71" s="188" t="s">
        <v>1853</v>
      </c>
      <c r="W71" s="185" t="s">
        <v>1853</v>
      </c>
      <c r="X71" s="185" t="s">
        <v>1853</v>
      </c>
      <c r="Y71" s="183" t="s">
        <v>1853</v>
      </c>
      <c r="Z71" s="183" t="s">
        <v>1856</v>
      </c>
      <c r="AA71" s="188">
        <v>45937</v>
      </c>
      <c r="AB71" s="188"/>
      <c r="AC71" s="188"/>
      <c r="AD71" s="188"/>
      <c r="AE71" s="187"/>
      <c r="AF71" s="187"/>
      <c r="AG71" s="187"/>
      <c r="AH71" s="187"/>
      <c r="AI71" s="189"/>
      <c r="AJ71" s="183"/>
      <c r="AK71" s="183"/>
      <c r="AL71" s="183"/>
      <c r="AM71" s="183"/>
      <c r="AP71" s="185">
        <f t="shared" si="3"/>
        <v>55</v>
      </c>
      <c r="AQ71" s="191">
        <f>AA71-Table1[[#This Row],[Closed Date]]</f>
        <v>522</v>
      </c>
    </row>
    <row r="72" spans="1:43" s="217" customFormat="1" ht="57.6" x14ac:dyDescent="0.3">
      <c r="A72" s="210">
        <f>Table1[[#This Row],[Project No]]</f>
        <v>2312059</v>
      </c>
      <c r="B72" s="211" t="str">
        <f>VLOOKUP(A:A,Table1[[Project No]:[Additional Remark]],2,FALSE)</f>
        <v>CHL Foam Industries Sdn Bhd</v>
      </c>
      <c r="C72" s="210" t="e" vm="15">
        <f>VLOOKUP(A:A,Table1[[#All],[Project No]:[Additional Remark]],7,FALSE)</f>
        <v>#VALUE!</v>
      </c>
      <c r="D72" s="210" t="str">
        <f>VLOOKUP(A:A,Table1[[#All],[Project No]:[Additional Remark]],4,FALSE)</f>
        <v>Tham</v>
      </c>
      <c r="E72" s="210" t="str">
        <f>VLOOKUP(A:A,Table1[[#All],[Project No]:[Additional Remark]],5,FALSE)</f>
        <v>C&amp;I-PV</v>
      </c>
      <c r="F72" s="210" t="str">
        <f>VLOOKUP(A:A,Table1[[Project No]:[Additional Remark]],6,FALSE)</f>
        <v>NEM</v>
      </c>
      <c r="G72" s="210">
        <f>VLOOKUP(A:A,Table1[[Project No]:[Additional Remark]],8,FALSE)</f>
        <v>345.15</v>
      </c>
      <c r="H72" s="210" t="str">
        <f>VLOOKUP(A:A,Table1[[Project No]:[Additional Remark]],15,FALSE)</f>
        <v>Astronergy 585Wp</v>
      </c>
      <c r="I72" s="210">
        <f>VLOOKUP(A:A,Table1[[Project No]:[Additional Remark]],16,FALSE)</f>
        <v>590</v>
      </c>
      <c r="J72" s="212" t="str">
        <f>VLOOKUP(A:A,Table1[[Project No]:[Additional Remark]],17,FALSE)</f>
        <v>Huawei SUN2000-115KTL x 2
Huawei SUN2000-30KTL x 1</v>
      </c>
      <c r="K72" s="213"/>
      <c r="L72" s="212" t="str">
        <f t="shared" si="2"/>
        <v>Pending GITA Application</v>
      </c>
      <c r="M72" s="212" t="str">
        <f>VLOOKUP(A:A,'Finance Tracker'!A70:K314,8,FALSE)</f>
        <v>Invoice Completed</v>
      </c>
      <c r="N72" s="213"/>
      <c r="O72" s="212" t="s">
        <v>1853</v>
      </c>
      <c r="P72" s="212" t="s">
        <v>1853</v>
      </c>
      <c r="Q72" s="213"/>
      <c r="R72" s="214">
        <v>45510</v>
      </c>
      <c r="S72" s="214">
        <v>45642</v>
      </c>
      <c r="T72" s="212" t="s">
        <v>1819</v>
      </c>
      <c r="U72" s="214">
        <v>45987</v>
      </c>
      <c r="V72" s="215" t="s">
        <v>1853</v>
      </c>
      <c r="W72" s="212" t="s">
        <v>1853</v>
      </c>
      <c r="X72" s="212" t="s">
        <v>1853</v>
      </c>
      <c r="Y72" s="210" t="s">
        <v>1853</v>
      </c>
      <c r="Z72" s="210" t="s">
        <v>1856</v>
      </c>
      <c r="AA72" s="215">
        <v>45691</v>
      </c>
      <c r="AB72" s="215" t="s">
        <v>1853</v>
      </c>
      <c r="AC72" s="215" t="s">
        <v>1853</v>
      </c>
      <c r="AD72" s="215" t="s">
        <v>1853</v>
      </c>
      <c r="AE72" s="214">
        <v>45890</v>
      </c>
      <c r="AF72" s="214">
        <v>45912</v>
      </c>
      <c r="AG72" s="214">
        <v>45912</v>
      </c>
      <c r="AH72" s="214">
        <v>49582</v>
      </c>
      <c r="AI72" s="216"/>
      <c r="AJ72" s="210" t="s">
        <v>1853</v>
      </c>
      <c r="AK72" s="210" t="s">
        <v>1853</v>
      </c>
      <c r="AL72" s="210"/>
      <c r="AM72" s="210"/>
      <c r="AP72" s="212">
        <f t="shared" si="3"/>
        <v>132</v>
      </c>
      <c r="AQ72" s="218">
        <f>AA72-Table1[[#This Row],[Closed Date]]</f>
        <v>276</v>
      </c>
    </row>
    <row r="73" spans="1:43" ht="18.75" customHeight="1" x14ac:dyDescent="0.3">
      <c r="A73" s="4">
        <f>Table1[[#This Row],[Project No]]</f>
        <v>2404255</v>
      </c>
      <c r="B73" s="110" t="str">
        <f>VLOOKUP(A:A,Table1[[Project No]:[Additional Remark]],2,FALSE)</f>
        <v>Ong Pui Fen</v>
      </c>
      <c r="C73" s="4" t="e" vm="15">
        <f>VLOOKUP(A:A,Table1[[#All],[Project No]:[Additional Remark]],7,FALSE)</f>
        <v>#VALUE!</v>
      </c>
      <c r="D73" s="4" t="str">
        <f>VLOOKUP(A:A,Table1[[#All],[Project No]:[Additional Remark]],4,FALSE)</f>
        <v>Tham</v>
      </c>
      <c r="E73" s="4" t="str">
        <f>VLOOKUP(A:A,Table1[[#All],[Project No]:[Additional Remark]],5,FALSE)</f>
        <v>R-PV</v>
      </c>
      <c r="F73" s="4" t="str">
        <f>VLOOKUP(A:A,Table1[[Project No]:[Additional Remark]],6,FALSE)</f>
        <v>NEM</v>
      </c>
      <c r="G73" s="4">
        <f>VLOOKUP(A:A,Table1[[Project No]:[Additional Remark]],8,FALSE)</f>
        <v>7.6050000000000004</v>
      </c>
      <c r="H73" s="4" t="str">
        <f>VLOOKUP(A:A,Table1[[Project No]:[Additional Remark]],15,FALSE)</f>
        <v>Astronergy 585Wp</v>
      </c>
      <c r="I73" s="4">
        <f>VLOOKUP(A:A,Table1[[Project No]:[Additional Remark]],16,FALSE)</f>
        <v>13.000000000000002</v>
      </c>
      <c r="J73" s="1" t="str">
        <f>VLOOKUP(A:A,Table1[[Project No]:[Additional Remark]],17,FALSE)</f>
        <v>Huawei SUN2000-6KTL</v>
      </c>
      <c r="K73" s="127"/>
      <c r="L73" s="1" t="str">
        <f t="shared" si="2"/>
        <v>Completed</v>
      </c>
      <c r="M73" s="1" t="str">
        <f>VLOOKUP(A:A,'Finance Tracker'!A71:K315,8,FALSE)</f>
        <v>Invoice Completed</v>
      </c>
      <c r="N73" s="127"/>
      <c r="O73" s="1" t="s">
        <v>109</v>
      </c>
      <c r="P73" s="1" t="s">
        <v>109</v>
      </c>
      <c r="Q73" s="127"/>
      <c r="R73" s="56">
        <v>45485</v>
      </c>
      <c r="S73" s="56">
        <v>45515</v>
      </c>
      <c r="T73" s="1" t="s">
        <v>1822</v>
      </c>
      <c r="U73" s="56">
        <v>45891</v>
      </c>
      <c r="V73" s="39" t="s">
        <v>1853</v>
      </c>
      <c r="W73" s="1" t="s">
        <v>1853</v>
      </c>
      <c r="X73" s="4" t="s">
        <v>109</v>
      </c>
      <c r="Y73" s="4" t="s">
        <v>1853</v>
      </c>
      <c r="Z73" s="4" t="s">
        <v>1855</v>
      </c>
      <c r="AA73" s="39">
        <v>45530</v>
      </c>
      <c r="AB73" s="39" t="s">
        <v>1853</v>
      </c>
      <c r="AC73" s="39" t="s">
        <v>1853</v>
      </c>
      <c r="AD73" s="39" t="s">
        <v>1853</v>
      </c>
      <c r="AE73" s="56">
        <v>45561</v>
      </c>
      <c r="AF73" s="56">
        <v>45568</v>
      </c>
      <c r="AG73" s="56">
        <v>45568</v>
      </c>
      <c r="AH73" s="56">
        <v>49248</v>
      </c>
      <c r="AJ73" s="4" t="s">
        <v>109</v>
      </c>
      <c r="AK73" s="4" t="s">
        <v>109</v>
      </c>
      <c r="AL73" s="4" t="s">
        <v>109</v>
      </c>
      <c r="AM73" s="4" t="s">
        <v>109</v>
      </c>
      <c r="AP73" s="1">
        <f t="shared" si="3"/>
        <v>30</v>
      </c>
      <c r="AQ73" s="38">
        <f>AA73-Table1[[#This Row],[Closed Date]]</f>
        <v>106</v>
      </c>
    </row>
    <row r="74" spans="1:43" ht="18.75" customHeight="1" x14ac:dyDescent="0.3">
      <c r="A74" s="4">
        <f>Table1[[#This Row],[Project No]]</f>
        <v>2404242</v>
      </c>
      <c r="B74" s="110" t="str">
        <f>VLOOKUP(A:A,Table1[[Project No]:[Additional Remark]],2,FALSE)</f>
        <v>Chua Boon Seng</v>
      </c>
      <c r="C74" s="4" t="e" vm="16">
        <f>VLOOKUP(A:A,Table1[[#All],[Project No]:[Additional Remark]],7,FALSE)</f>
        <v>#VALUE!</v>
      </c>
      <c r="D74" s="4" t="str">
        <f>VLOOKUP(A:A,Table1[[#All],[Project No]:[Additional Remark]],4,FALSE)</f>
        <v>Azra</v>
      </c>
      <c r="E74" s="4" t="str">
        <f>VLOOKUP(A:A,Table1[[#All],[Project No]:[Additional Remark]],5,FALSE)</f>
        <v>R-PV</v>
      </c>
      <c r="F74" s="4" t="str">
        <f>VLOOKUP(A:A,Table1[[Project No]:[Additional Remark]],6,FALSE)</f>
        <v>NEM</v>
      </c>
      <c r="G74" s="4">
        <f>VLOOKUP(A:A,Table1[[Project No]:[Additional Remark]],8,FALSE)</f>
        <v>10.53</v>
      </c>
      <c r="H74" s="4" t="str">
        <f>VLOOKUP(A:A,Table1[[Project No]:[Additional Remark]],15,FALSE)</f>
        <v>Astronergy 585Wp</v>
      </c>
      <c r="I74" s="4">
        <f>VLOOKUP(A:A,Table1[[Project No]:[Additional Remark]],16,FALSE)</f>
        <v>21</v>
      </c>
      <c r="J74" s="1" t="str">
        <f>VLOOKUP(A:A,Table1[[Project No]:[Additional Remark]],17,FALSE)</f>
        <v>Huawei SUN2000-8KTL</v>
      </c>
      <c r="K74" s="127"/>
      <c r="L74" s="1" t="str">
        <f t="shared" si="2"/>
        <v>Completed</v>
      </c>
      <c r="M74" s="1" t="str">
        <f>VLOOKUP(A:A,'Finance Tracker'!A72:K316,8,FALSE)</f>
        <v>Invoice Completed</v>
      </c>
      <c r="N74" s="127"/>
      <c r="O74" s="1" t="s">
        <v>109</v>
      </c>
      <c r="P74" s="1" t="s">
        <v>109</v>
      </c>
      <c r="Q74" s="127"/>
      <c r="R74" s="56">
        <v>45486</v>
      </c>
      <c r="S74" s="56">
        <v>45497</v>
      </c>
      <c r="T74" s="1" t="s">
        <v>1822</v>
      </c>
      <c r="U74" s="56">
        <v>45769</v>
      </c>
      <c r="V74" s="39" t="s">
        <v>1853</v>
      </c>
      <c r="W74" s="1" t="s">
        <v>1853</v>
      </c>
      <c r="X74" s="4" t="s">
        <v>109</v>
      </c>
      <c r="Y74" s="4" t="s">
        <v>1853</v>
      </c>
      <c r="Z74" s="4" t="s">
        <v>1854</v>
      </c>
      <c r="AA74" s="39">
        <v>45530</v>
      </c>
      <c r="AB74" s="39" t="s">
        <v>1853</v>
      </c>
      <c r="AC74" s="39" t="s">
        <v>1853</v>
      </c>
      <c r="AD74" s="39" t="s">
        <v>1853</v>
      </c>
      <c r="AE74" s="56">
        <v>45559</v>
      </c>
      <c r="AF74" s="56">
        <v>45565</v>
      </c>
      <c r="AG74" s="56">
        <v>45565</v>
      </c>
      <c r="AH74" s="56">
        <v>49217</v>
      </c>
      <c r="AJ74" s="4" t="s">
        <v>109</v>
      </c>
      <c r="AK74" s="4" t="s">
        <v>109</v>
      </c>
      <c r="AL74" s="4" t="s">
        <v>109</v>
      </c>
      <c r="AM74" s="4" t="s">
        <v>109</v>
      </c>
      <c r="AP74" s="1">
        <f t="shared" si="3"/>
        <v>11</v>
      </c>
      <c r="AQ74" s="38">
        <f>AA74-Table1[[#This Row],[Closed Date]]</f>
        <v>122</v>
      </c>
    </row>
    <row r="75" spans="1:43" ht="18.75" customHeight="1" x14ac:dyDescent="0.3">
      <c r="A75" s="4">
        <f>Table1[[#This Row],[Project No]]</f>
        <v>2405272</v>
      </c>
      <c r="B75" s="110" t="str">
        <f>VLOOKUP(A:A,Table1[[Project No]:[Additional Remark]],2,FALSE)</f>
        <v>Chan Hui Li</v>
      </c>
      <c r="C75" s="4" t="e" vm="16">
        <f>VLOOKUP(A:A,Table1[[#All],[Project No]:[Additional Remark]],7,FALSE)</f>
        <v>#VALUE!</v>
      </c>
      <c r="D75" s="4" t="str">
        <f>VLOOKUP(A:A,Table1[[#All],[Project No]:[Additional Remark]],4,FALSE)</f>
        <v>Tham</v>
      </c>
      <c r="E75" s="4" t="str">
        <f>VLOOKUP(A:A,Table1[[#All],[Project No]:[Additional Remark]],5,FALSE)</f>
        <v>R-PV</v>
      </c>
      <c r="F75" s="4" t="str">
        <f>VLOOKUP(A:A,Table1[[Project No]:[Additional Remark]],6,FALSE)</f>
        <v>NEM</v>
      </c>
      <c r="G75" s="4">
        <f>VLOOKUP(A:A,Table1[[Project No]:[Additional Remark]],8,FALSE)</f>
        <v>9.36</v>
      </c>
      <c r="H75" s="4" t="str">
        <f>VLOOKUP(A:A,Table1[[Project No]:[Additional Remark]],15,FALSE)</f>
        <v>Astronergy 585Wp</v>
      </c>
      <c r="I75" s="4">
        <f>VLOOKUP(A:A,Table1[[Project No]:[Additional Remark]],16,FALSE)</f>
        <v>16</v>
      </c>
      <c r="J75" s="1" t="str">
        <f>VLOOKUP(A:A,Table1[[Project No]:[Additional Remark]],17,FALSE)</f>
        <v>Huawei SUN2000-8KTL</v>
      </c>
      <c r="K75" s="127"/>
      <c r="L75" s="1" t="str">
        <f t="shared" si="2"/>
        <v>Completed</v>
      </c>
      <c r="M75" s="1" t="str">
        <f>VLOOKUP(A:A,'Finance Tracker'!A73:K317,8,FALSE)</f>
        <v>Invoice Completed</v>
      </c>
      <c r="N75" s="127"/>
      <c r="O75" s="1" t="s">
        <v>109</v>
      </c>
      <c r="P75" s="1" t="s">
        <v>109</v>
      </c>
      <c r="Q75" s="127"/>
      <c r="R75" s="56">
        <v>45440</v>
      </c>
      <c r="S75" s="56">
        <v>45456</v>
      </c>
      <c r="T75" s="1" t="s">
        <v>1822</v>
      </c>
      <c r="U75" s="56">
        <v>45776</v>
      </c>
      <c r="V75" s="39" t="s">
        <v>1853</v>
      </c>
      <c r="W75" s="1" t="s">
        <v>1853</v>
      </c>
      <c r="X75" s="4" t="s">
        <v>109</v>
      </c>
      <c r="Y75" s="4" t="s">
        <v>1853</v>
      </c>
      <c r="Z75" s="4" t="s">
        <v>1854</v>
      </c>
      <c r="AA75" s="39">
        <v>45527</v>
      </c>
      <c r="AB75" s="39" t="s">
        <v>1853</v>
      </c>
      <c r="AC75" s="39" t="s">
        <v>1853</v>
      </c>
      <c r="AD75" s="39" t="s">
        <v>1853</v>
      </c>
      <c r="AE75" s="56">
        <v>45538</v>
      </c>
      <c r="AF75" s="56">
        <v>45546</v>
      </c>
      <c r="AG75" s="56">
        <v>45546</v>
      </c>
      <c r="AH75" s="56">
        <v>49217</v>
      </c>
      <c r="AJ75" s="4" t="s">
        <v>109</v>
      </c>
      <c r="AK75" s="4" t="s">
        <v>109</v>
      </c>
      <c r="AL75" s="4" t="s">
        <v>109</v>
      </c>
      <c r="AM75" s="4" t="s">
        <v>109</v>
      </c>
      <c r="AP75" s="1">
        <f t="shared" si="3"/>
        <v>16</v>
      </c>
      <c r="AQ75" s="38">
        <f>AA75-Table1[[#This Row],[Closed Date]]</f>
        <v>100</v>
      </c>
    </row>
    <row r="76" spans="1:43" ht="18.75" customHeight="1" x14ac:dyDescent="0.3">
      <c r="A76" s="4">
        <f>Table1[[#This Row],[Project No]]</f>
        <v>2405266</v>
      </c>
      <c r="B76" s="110" t="str">
        <f>VLOOKUP(A:A,Table1[[Project No]:[Additional Remark]],2,FALSE)</f>
        <v>Goh Wee Bang (Goh Swee Teng)</v>
      </c>
      <c r="C76" s="4" t="e" vm="15">
        <f>VLOOKUP(A:A,Table1[[#All],[Project No]:[Additional Remark]],7,FALSE)</f>
        <v>#VALUE!</v>
      </c>
      <c r="D76" s="4" t="str">
        <f>VLOOKUP(A:A,Table1[[#All],[Project No]:[Additional Remark]],4,FALSE)</f>
        <v>Tham</v>
      </c>
      <c r="E76" s="4" t="str">
        <f>VLOOKUP(A:A,Table1[[#All],[Project No]:[Additional Remark]],5,FALSE)</f>
        <v>R-PV</v>
      </c>
      <c r="F76" s="4" t="str">
        <f>VLOOKUP(A:A,Table1[[Project No]:[Additional Remark]],6,FALSE)</f>
        <v>NEM</v>
      </c>
      <c r="G76" s="4">
        <f>VLOOKUP(A:A,Table1[[Project No]:[Additional Remark]],8,FALSE)</f>
        <v>13.455</v>
      </c>
      <c r="H76" s="4" t="str">
        <f>VLOOKUP(A:A,Table1[[Project No]:[Additional Remark]],15,FALSE)</f>
        <v>Astronergy 585Wp</v>
      </c>
      <c r="I76" s="4">
        <f>VLOOKUP(A:A,Table1[[Project No]:[Additional Remark]],16,FALSE)</f>
        <v>23</v>
      </c>
      <c r="J76" s="1" t="str">
        <f>VLOOKUP(A:A,Table1[[Project No]:[Additional Remark]],17,FALSE)</f>
        <v>Huawei SUN2000-10KTL</v>
      </c>
      <c r="K76" s="127"/>
      <c r="L76" s="1" t="str">
        <f t="shared" si="2"/>
        <v>Completed</v>
      </c>
      <c r="M76" s="1" t="str">
        <f>VLOOKUP(A:A,'Finance Tracker'!A74:K318,8,FALSE)</f>
        <v>Invoice Completed</v>
      </c>
      <c r="N76" s="127"/>
      <c r="O76" s="1" t="s">
        <v>109</v>
      </c>
      <c r="P76" s="1" t="s">
        <v>109</v>
      </c>
      <c r="Q76" s="127"/>
      <c r="R76" s="56">
        <v>45437</v>
      </c>
      <c r="S76" s="56">
        <v>45449</v>
      </c>
      <c r="T76" s="1" t="s">
        <v>1822</v>
      </c>
      <c r="U76" s="56">
        <v>45769</v>
      </c>
      <c r="V76" s="39" t="s">
        <v>1853</v>
      </c>
      <c r="W76" s="1" t="s">
        <v>1853</v>
      </c>
      <c r="X76" s="4" t="s">
        <v>109</v>
      </c>
      <c r="Y76" s="4" t="s">
        <v>1853</v>
      </c>
      <c r="Z76" s="4" t="s">
        <v>1855</v>
      </c>
      <c r="AA76" s="39">
        <v>45489</v>
      </c>
      <c r="AB76" s="39" t="s">
        <v>1853</v>
      </c>
      <c r="AC76" s="39" t="s">
        <v>1853</v>
      </c>
      <c r="AD76" s="39" t="s">
        <v>1853</v>
      </c>
      <c r="AE76" s="56">
        <v>45504</v>
      </c>
      <c r="AF76" s="56">
        <v>45508</v>
      </c>
      <c r="AG76" s="56">
        <v>45508</v>
      </c>
      <c r="AH76" s="56">
        <v>49187</v>
      </c>
      <c r="AJ76" s="4" t="s">
        <v>109</v>
      </c>
      <c r="AK76" s="4" t="s">
        <v>109</v>
      </c>
      <c r="AL76" s="4" t="s">
        <v>109</v>
      </c>
      <c r="AM76" s="4" t="s">
        <v>109</v>
      </c>
      <c r="AP76" s="1">
        <f t="shared" si="3"/>
        <v>12</v>
      </c>
      <c r="AQ76" s="38">
        <f>AA76-Table1[[#This Row],[Closed Date]]</f>
        <v>57</v>
      </c>
    </row>
    <row r="77" spans="1:43" ht="18.75" customHeight="1" x14ac:dyDescent="0.3">
      <c r="A77" s="4">
        <f>Table1[[#This Row],[Project No]]</f>
        <v>2405280</v>
      </c>
      <c r="B77" s="110" t="str">
        <f>VLOOKUP(A:A,Table1[[Project No]:[Additional Remark]],2,FALSE)</f>
        <v>Teoh Kah Ming</v>
      </c>
      <c r="C77" s="4" t="e" vm="15">
        <f>VLOOKUP(A:A,Table1[[#All],[Project No]:[Additional Remark]],7,FALSE)</f>
        <v>#VALUE!</v>
      </c>
      <c r="D77" s="4" t="str">
        <f>VLOOKUP(A:A,Table1[[#All],[Project No]:[Additional Remark]],4,FALSE)</f>
        <v>Tham</v>
      </c>
      <c r="E77" s="4" t="str">
        <f>VLOOKUP(A:A,Table1[[#All],[Project No]:[Additional Remark]],5,FALSE)</f>
        <v>R-PV</v>
      </c>
      <c r="F77" s="4" t="str">
        <f>VLOOKUP(A:A,Table1[[Project No]:[Additional Remark]],6,FALSE)</f>
        <v>NEM</v>
      </c>
      <c r="G77" s="4">
        <f>VLOOKUP(A:A,Table1[[Project No]:[Additional Remark]],8,FALSE)</f>
        <v>9.36</v>
      </c>
      <c r="H77" s="4" t="str">
        <f>VLOOKUP(A:A,Table1[[Project No]:[Additional Remark]],15,FALSE)</f>
        <v>Astronergy 585Wp</v>
      </c>
      <c r="I77" s="4">
        <f>VLOOKUP(A:A,Table1[[Project No]:[Additional Remark]],16,FALSE)</f>
        <v>16</v>
      </c>
      <c r="J77" s="1" t="str">
        <f>VLOOKUP(A:A,Table1[[Project No]:[Additional Remark]],17,FALSE)</f>
        <v>Huawei SUN2000-8KTL</v>
      </c>
      <c r="K77" s="127"/>
      <c r="L77" s="1" t="str">
        <f t="shared" si="2"/>
        <v>Completed</v>
      </c>
      <c r="M77" s="1" t="str">
        <f>VLOOKUP(A:A,'Finance Tracker'!A75:K319,8,FALSE)</f>
        <v>Invoice Completed</v>
      </c>
      <c r="N77" s="127"/>
      <c r="O77" s="1" t="s">
        <v>109</v>
      </c>
      <c r="P77" s="1" t="s">
        <v>109</v>
      </c>
      <c r="Q77" s="127"/>
      <c r="R77" s="56">
        <v>45431</v>
      </c>
      <c r="S77" s="56">
        <v>45463</v>
      </c>
      <c r="T77" s="1" t="s">
        <v>1822</v>
      </c>
      <c r="U77" s="56">
        <v>45775</v>
      </c>
      <c r="V77" s="39" t="s">
        <v>1853</v>
      </c>
      <c r="W77" s="1" t="s">
        <v>1853</v>
      </c>
      <c r="X77" s="4" t="s">
        <v>109</v>
      </c>
      <c r="Y77" s="4" t="s">
        <v>1853</v>
      </c>
      <c r="Z77" s="4" t="s">
        <v>1855</v>
      </c>
      <c r="AA77" s="39">
        <v>45511</v>
      </c>
      <c r="AB77" s="39" t="s">
        <v>1853</v>
      </c>
      <c r="AC77" s="39" t="s">
        <v>1853</v>
      </c>
      <c r="AD77" s="39" t="s">
        <v>1853</v>
      </c>
      <c r="AE77" s="56" t="s">
        <v>1853</v>
      </c>
      <c r="AF77" s="56">
        <v>45531</v>
      </c>
      <c r="AG77" s="56">
        <v>45531</v>
      </c>
      <c r="AH77" s="56">
        <v>49187</v>
      </c>
      <c r="AJ77" s="4" t="s">
        <v>109</v>
      </c>
      <c r="AK77" s="4" t="s">
        <v>109</v>
      </c>
      <c r="AL77" s="4" t="s">
        <v>109</v>
      </c>
      <c r="AM77" s="4" t="s">
        <v>109</v>
      </c>
      <c r="AP77" s="1">
        <f t="shared" si="3"/>
        <v>32</v>
      </c>
      <c r="AQ77" s="38">
        <f>AA77-Table1[[#This Row],[Closed Date]]</f>
        <v>89</v>
      </c>
    </row>
    <row r="78" spans="1:43" s="142" customFormat="1" ht="18.75" customHeight="1" x14ac:dyDescent="0.3">
      <c r="A78" s="116">
        <f>Table1[[#This Row],[Project No]]</f>
        <v>2405294</v>
      </c>
      <c r="B78" s="125" t="str">
        <f>VLOOKUP(A:A,Table1[[Project No]:[Additional Remark]],2,FALSE)</f>
        <v>Gan Wei Kuan</v>
      </c>
      <c r="C78" s="116">
        <f>VLOOKUP(A:A,Table1[[#All],[Project No]:[Additional Remark]],7,FALSE)</f>
        <v>0</v>
      </c>
      <c r="D78" s="4" t="str">
        <f>VLOOKUP(A:A,Table1[[#All],[Project No]:[Additional Remark]],4,FALSE)</f>
        <v>Tham</v>
      </c>
      <c r="E78" s="116">
        <f>VLOOKUP(A:A,Table1[[#All],[Project No]:[Additional Remark]],5,FALSE)</f>
        <v>0</v>
      </c>
      <c r="F78" s="116">
        <f>VLOOKUP(A:A,Table1[[Project No]:[Additional Remark]],6,FALSE)</f>
        <v>0</v>
      </c>
      <c r="G78" s="116">
        <f>VLOOKUP(A:A,Table1[[Project No]:[Additional Remark]],8,FALSE)</f>
        <v>7.02</v>
      </c>
      <c r="H78" s="116" t="str">
        <f>VLOOKUP(A:A,Table1[[Project No]:[Additional Remark]],15,FALSE)</f>
        <v>Astronergy 585Wp</v>
      </c>
      <c r="I78" s="116">
        <f>VLOOKUP(A:A,Table1[[Project No]:[Additional Remark]],16,FALSE)</f>
        <v>12</v>
      </c>
      <c r="J78" s="139" t="str">
        <f>VLOOKUP(A:A,Table1[[Project No]:[Additional Remark]],17,FALSE)</f>
        <v>Huawei SUN2000-5KTL-L1</v>
      </c>
      <c r="K78" s="140"/>
      <c r="L78" s="1" t="str">
        <f t="shared" si="2"/>
        <v>Completed</v>
      </c>
      <c r="M78" s="139" t="str">
        <f>VLOOKUP(A:A,'Finance Tracker'!A76:K320,8,FALSE)</f>
        <v>Pending 1st Invoice</v>
      </c>
      <c r="N78" s="140"/>
      <c r="O78" s="139" t="s">
        <v>109</v>
      </c>
      <c r="P78" s="139" t="s">
        <v>109</v>
      </c>
      <c r="Q78" s="140"/>
      <c r="R78" s="141">
        <v>45486</v>
      </c>
      <c r="S78" s="141">
        <v>45497</v>
      </c>
      <c r="T78" s="139" t="s">
        <v>1820</v>
      </c>
      <c r="U78" s="141">
        <v>45839</v>
      </c>
      <c r="V78" s="120" t="s">
        <v>1853</v>
      </c>
      <c r="W78" s="139" t="s">
        <v>1853</v>
      </c>
      <c r="X78" s="116" t="s">
        <v>109</v>
      </c>
      <c r="Y78" s="116" t="s">
        <v>1853</v>
      </c>
      <c r="Z78" s="116" t="s">
        <v>109</v>
      </c>
      <c r="AA78" s="116" t="s">
        <v>109</v>
      </c>
      <c r="AB78" s="116" t="s">
        <v>109</v>
      </c>
      <c r="AC78" s="116" t="s">
        <v>109</v>
      </c>
      <c r="AD78" s="116" t="s">
        <v>109</v>
      </c>
      <c r="AE78" s="116" t="s">
        <v>109</v>
      </c>
      <c r="AF78" s="116" t="s">
        <v>109</v>
      </c>
      <c r="AG78" s="116" t="s">
        <v>109</v>
      </c>
      <c r="AH78" s="116" t="s">
        <v>109</v>
      </c>
      <c r="AI78" s="123"/>
      <c r="AJ78" s="116" t="s">
        <v>109</v>
      </c>
      <c r="AK78" s="116" t="s">
        <v>109</v>
      </c>
      <c r="AL78" s="116" t="s">
        <v>109</v>
      </c>
      <c r="AM78" s="116" t="s">
        <v>109</v>
      </c>
      <c r="AP78" s="1">
        <f t="shared" si="3"/>
        <v>11</v>
      </c>
      <c r="AQ78" s="143" t="e">
        <f>AA78-Table1[[#This Row],[Closed Date]]</f>
        <v>#VALUE!</v>
      </c>
    </row>
    <row r="79" spans="1:43" ht="18.75" customHeight="1" x14ac:dyDescent="0.3">
      <c r="A79" s="4">
        <f>Table1[[#This Row],[Project No]]</f>
        <v>2405296</v>
      </c>
      <c r="B79" s="110" t="str">
        <f>VLOOKUP(A:A,Table1[[Project No]:[Additional Remark]],2,FALSE)</f>
        <v>Haiu Chan Lai</v>
      </c>
      <c r="C79" s="4" t="e" vm="18">
        <f>VLOOKUP(A:A,Table1[[#All],[Project No]:[Additional Remark]],7,FALSE)</f>
        <v>#VALUE!</v>
      </c>
      <c r="D79" s="4" t="str">
        <f>VLOOKUP(A:A,Table1[[#All],[Project No]:[Additional Remark]],4,FALSE)</f>
        <v>Tham</v>
      </c>
      <c r="E79" s="4" t="str">
        <f>VLOOKUP(A:A,Table1[[#All],[Project No]:[Additional Remark]],5,FALSE)</f>
        <v>R-PV</v>
      </c>
      <c r="F79" s="4" t="str">
        <f>VLOOKUP(A:A,Table1[[Project No]:[Additional Remark]],6,FALSE)</f>
        <v>NEM</v>
      </c>
      <c r="G79" s="4">
        <f>VLOOKUP(A:A,Table1[[Project No]:[Additional Remark]],8,FALSE)</f>
        <v>8.7750000000000004</v>
      </c>
      <c r="H79" s="4" t="str">
        <f>VLOOKUP(A:A,Table1[[Project No]:[Additional Remark]],15,FALSE)</f>
        <v>Astronergy 585Wp</v>
      </c>
      <c r="I79" s="4">
        <f>VLOOKUP(A:A,Table1[[Project No]:[Additional Remark]],16,FALSE)</f>
        <v>15.000000000000002</v>
      </c>
      <c r="J79" s="1" t="str">
        <f>VLOOKUP(A:A,Table1[[Project No]:[Additional Remark]],17,FALSE)</f>
        <v>Huawei SUN2000-8KTL</v>
      </c>
      <c r="K79" s="127"/>
      <c r="L79" s="1" t="str">
        <f t="shared" si="2"/>
        <v>Completed</v>
      </c>
      <c r="M79" s="1" t="str">
        <f>VLOOKUP(A:A,'Finance Tracker'!A77:K321,8,FALSE)</f>
        <v>Invoice Completed</v>
      </c>
      <c r="N79" s="127"/>
      <c r="O79" s="1" t="s">
        <v>109</v>
      </c>
      <c r="P79" s="1" t="s">
        <v>109</v>
      </c>
      <c r="Q79" s="127"/>
      <c r="R79" s="56">
        <v>45443</v>
      </c>
      <c r="S79" s="56">
        <v>45456</v>
      </c>
      <c r="T79" s="1" t="s">
        <v>1822</v>
      </c>
      <c r="U79" s="56">
        <v>45768</v>
      </c>
      <c r="V79" s="39" t="s">
        <v>1853</v>
      </c>
      <c r="W79" s="1" t="s">
        <v>1853</v>
      </c>
      <c r="X79" s="4" t="s">
        <v>109</v>
      </c>
      <c r="Y79" s="4" t="s">
        <v>1853</v>
      </c>
      <c r="Z79" s="4" t="s">
        <v>1855</v>
      </c>
      <c r="AA79" s="39">
        <v>45597</v>
      </c>
      <c r="AB79" s="39" t="s">
        <v>1853</v>
      </c>
      <c r="AC79" s="39" t="s">
        <v>1853</v>
      </c>
      <c r="AD79" s="39" t="s">
        <v>1853</v>
      </c>
      <c r="AE79" s="56">
        <v>45611</v>
      </c>
      <c r="AF79" s="56">
        <v>45614</v>
      </c>
      <c r="AG79" s="56">
        <v>45614</v>
      </c>
      <c r="AH79" s="56">
        <v>49278</v>
      </c>
      <c r="AJ79" s="4" t="s">
        <v>109</v>
      </c>
      <c r="AK79" s="4" t="s">
        <v>109</v>
      </c>
      <c r="AL79" s="4" t="s">
        <v>109</v>
      </c>
      <c r="AM79" s="4" t="s">
        <v>109</v>
      </c>
      <c r="AP79" s="1">
        <f t="shared" si="3"/>
        <v>13</v>
      </c>
      <c r="AQ79" s="38">
        <f>AA79-Table1[[#This Row],[Closed Date]]</f>
        <v>183</v>
      </c>
    </row>
    <row r="80" spans="1:43" ht="18.75" customHeight="1" x14ac:dyDescent="0.3">
      <c r="A80" s="4">
        <f>Table1[[#This Row],[Project No]]</f>
        <v>2405307</v>
      </c>
      <c r="B80" s="110" t="str">
        <f>VLOOKUP(A:A,Table1[[Project No]:[Additional Remark]],2,FALSE)</f>
        <v>Shreeram Nadarajah</v>
      </c>
      <c r="C80" s="4" t="e" vm="18">
        <f>VLOOKUP(A:A,Table1[[#All],[Project No]:[Additional Remark]],7,FALSE)</f>
        <v>#VALUE!</v>
      </c>
      <c r="D80" s="4" t="str">
        <f>VLOOKUP(A:A,Table1[[#All],[Project No]:[Additional Remark]],4,FALSE)</f>
        <v>Tham</v>
      </c>
      <c r="E80" s="4" t="str">
        <f>VLOOKUP(A:A,Table1[[#All],[Project No]:[Additional Remark]],5,FALSE)</f>
        <v>R-PV</v>
      </c>
      <c r="F80" s="4" t="str">
        <f>VLOOKUP(A:A,Table1[[Project No]:[Additional Remark]],6,FALSE)</f>
        <v>NEM</v>
      </c>
      <c r="G80" s="4">
        <f>VLOOKUP(A:A,Table1[[Project No]:[Additional Remark]],8,FALSE)</f>
        <v>8.19</v>
      </c>
      <c r="H80" s="4" t="str">
        <f>VLOOKUP(A:A,Table1[[Project No]:[Additional Remark]],15,FALSE)</f>
        <v>Astronergy 585Wp</v>
      </c>
      <c r="I80" s="4">
        <f>VLOOKUP(A:A,Table1[[Project No]:[Additional Remark]],16,FALSE)</f>
        <v>14</v>
      </c>
      <c r="J80" s="1" t="str">
        <f>VLOOKUP(A:A,Table1[[Project No]:[Additional Remark]],17,FALSE)</f>
        <v>Huawei SUN2000-6KTL</v>
      </c>
      <c r="K80" s="127"/>
      <c r="L80" s="1" t="str">
        <f t="shared" si="2"/>
        <v>Completed</v>
      </c>
      <c r="M80" s="1" t="str">
        <f>VLOOKUP(A:A,'Finance Tracker'!A78:K322,8,FALSE)</f>
        <v>Invoice Completed</v>
      </c>
      <c r="N80" s="127"/>
      <c r="O80" s="1" t="s">
        <v>109</v>
      </c>
      <c r="P80" s="1" t="s">
        <v>109</v>
      </c>
      <c r="Q80" s="127"/>
      <c r="R80" s="56">
        <v>45440</v>
      </c>
      <c r="S80" s="56">
        <v>45456</v>
      </c>
      <c r="T80" s="1" t="s">
        <v>1822</v>
      </c>
      <c r="U80" s="56">
        <v>45793</v>
      </c>
      <c r="V80" s="39" t="s">
        <v>1853</v>
      </c>
      <c r="W80" s="1" t="s">
        <v>1853</v>
      </c>
      <c r="X80" s="4" t="s">
        <v>109</v>
      </c>
      <c r="Y80" s="4" t="s">
        <v>1853</v>
      </c>
      <c r="Z80" s="4" t="s">
        <v>1855</v>
      </c>
      <c r="AA80" s="39">
        <v>45538</v>
      </c>
      <c r="AB80" s="39" t="s">
        <v>1853</v>
      </c>
      <c r="AC80" s="39" t="s">
        <v>1853</v>
      </c>
      <c r="AD80" s="39" t="s">
        <v>1853</v>
      </c>
      <c r="AE80" s="56">
        <v>45559</v>
      </c>
      <c r="AF80" s="56">
        <v>45560</v>
      </c>
      <c r="AG80" s="56">
        <v>45560</v>
      </c>
      <c r="AH80" s="56">
        <v>49217</v>
      </c>
      <c r="AJ80" s="4" t="s">
        <v>109</v>
      </c>
      <c r="AK80" s="4" t="s">
        <v>109</v>
      </c>
      <c r="AL80" s="4" t="s">
        <v>109</v>
      </c>
      <c r="AM80" s="4" t="s">
        <v>109</v>
      </c>
      <c r="AP80" s="1">
        <f t="shared" si="3"/>
        <v>16</v>
      </c>
      <c r="AQ80" s="38">
        <f>AA80-Table1[[#This Row],[Closed Date]]</f>
        <v>104</v>
      </c>
    </row>
    <row r="81" spans="1:43" ht="18.75" customHeight="1" x14ac:dyDescent="0.3">
      <c r="A81" s="4">
        <f>Table1[[#This Row],[Project No]]</f>
        <v>2404227</v>
      </c>
      <c r="B81" s="110" t="str">
        <f>VLOOKUP(A:A,Table1[[Project No]:[Additional Remark]],2,FALSE)</f>
        <v>Datin Tai Bee Choon</v>
      </c>
      <c r="C81" s="4" t="e" vm="17">
        <f>VLOOKUP(A:A,Table1[[#All],[Project No]:[Additional Remark]],7,FALSE)</f>
        <v>#VALUE!</v>
      </c>
      <c r="D81" s="4" t="str">
        <f>VLOOKUP(A:A,Table1[[#All],[Project No]:[Additional Remark]],4,FALSE)</f>
        <v>Tham</v>
      </c>
      <c r="E81" s="4" t="str">
        <f>VLOOKUP(A:A,Table1[[#All],[Project No]:[Additional Remark]],5,FALSE)</f>
        <v>R-PV</v>
      </c>
      <c r="F81" s="4" t="str">
        <f>VLOOKUP(A:A,Table1[[Project No]:[Additional Remark]],6,FALSE)</f>
        <v>NEM</v>
      </c>
      <c r="G81" s="4">
        <f>VLOOKUP(A:A,Table1[[Project No]:[Additional Remark]],8,FALSE)</f>
        <v>17.55</v>
      </c>
      <c r="H81" s="4" t="str">
        <f>VLOOKUP(A:A,Table1[[Project No]:[Additional Remark]],15,FALSE)</f>
        <v>Astronergy 585Wp</v>
      </c>
      <c r="I81" s="4">
        <f>VLOOKUP(A:A,Table1[[Project No]:[Additional Remark]],16,FALSE)</f>
        <v>30.000000000000004</v>
      </c>
      <c r="J81" s="1" t="str">
        <f>VLOOKUP(A:A,Table1[[Project No]:[Additional Remark]],17,FALSE)</f>
        <v>Huawei SUN2000-12KTL</v>
      </c>
      <c r="K81" s="127"/>
      <c r="L81" s="1" t="str">
        <f t="shared" si="2"/>
        <v>Completed</v>
      </c>
      <c r="M81" s="1" t="str">
        <f>VLOOKUP(A:A,'Finance Tracker'!A79:K323,8,FALSE)</f>
        <v>Invoice Completed</v>
      </c>
      <c r="N81" s="127"/>
      <c r="O81" s="1" t="s">
        <v>109</v>
      </c>
      <c r="P81" s="1" t="s">
        <v>109</v>
      </c>
      <c r="Q81" s="127"/>
      <c r="R81" s="56">
        <v>45486</v>
      </c>
      <c r="S81" s="56">
        <v>45497</v>
      </c>
      <c r="T81" s="1" t="s">
        <v>1822</v>
      </c>
      <c r="U81" s="56">
        <v>45895</v>
      </c>
      <c r="V81" s="39" t="s">
        <v>1853</v>
      </c>
      <c r="W81" s="1" t="s">
        <v>1853</v>
      </c>
      <c r="X81" s="4" t="s">
        <v>109</v>
      </c>
      <c r="Y81" s="4" t="s">
        <v>1853</v>
      </c>
      <c r="Z81" s="39" t="s">
        <v>1853</v>
      </c>
      <c r="AA81" s="39" t="s">
        <v>1853</v>
      </c>
      <c r="AB81" s="39" t="s">
        <v>1853</v>
      </c>
      <c r="AC81" s="39" t="s">
        <v>1853</v>
      </c>
      <c r="AD81" s="39" t="s">
        <v>1853</v>
      </c>
      <c r="AE81" s="56" t="s">
        <v>1853</v>
      </c>
      <c r="AF81" s="56">
        <v>45595</v>
      </c>
      <c r="AG81" s="56">
        <v>45595</v>
      </c>
      <c r="AH81" s="56">
        <v>49248</v>
      </c>
      <c r="AJ81" s="4" t="s">
        <v>109</v>
      </c>
      <c r="AK81" s="4" t="s">
        <v>109</v>
      </c>
      <c r="AL81" s="4" t="s">
        <v>109</v>
      </c>
      <c r="AM81" s="4" t="s">
        <v>109</v>
      </c>
      <c r="AP81" s="1">
        <f t="shared" si="3"/>
        <v>11</v>
      </c>
      <c r="AQ81" s="38" t="e">
        <f>AA81-Table1[[#This Row],[Closed Date]]</f>
        <v>#VALUE!</v>
      </c>
    </row>
    <row r="82" spans="1:43" ht="18.75" customHeight="1" x14ac:dyDescent="0.3">
      <c r="A82" s="4">
        <f>Table1[[#This Row],[Project No]]</f>
        <v>2405315</v>
      </c>
      <c r="B82" s="110" t="str">
        <f>VLOOKUP(A:A,Table1[[Project No]:[Additional Remark]],2,FALSE)</f>
        <v>Yeap Say Woei</v>
      </c>
      <c r="C82" s="4" t="e" vm="24">
        <f>VLOOKUP(A:A,Table1[[#All],[Project No]:[Additional Remark]],7,FALSE)</f>
        <v>#VALUE!</v>
      </c>
      <c r="D82" s="4" t="str">
        <f>VLOOKUP(A:A,Table1[[#All],[Project No]:[Additional Remark]],4,FALSE)</f>
        <v>Tham</v>
      </c>
      <c r="E82" s="4" t="str">
        <f>VLOOKUP(A:A,Table1[[#All],[Project No]:[Additional Remark]],5,FALSE)</f>
        <v>R-PV</v>
      </c>
      <c r="F82" s="4" t="str">
        <f>VLOOKUP(A:A,Table1[[Project No]:[Additional Remark]],6,FALSE)</f>
        <v>NEM</v>
      </c>
      <c r="G82" s="4">
        <f>VLOOKUP(A:A,Table1[[Project No]:[Additional Remark]],8,FALSE)</f>
        <v>13.455</v>
      </c>
      <c r="H82" s="4" t="str">
        <f>VLOOKUP(A:A,Table1[[Project No]:[Additional Remark]],15,FALSE)</f>
        <v>Astronergy 585Wp</v>
      </c>
      <c r="I82" s="4">
        <f>VLOOKUP(A:A,Table1[[Project No]:[Additional Remark]],16,FALSE)</f>
        <v>23</v>
      </c>
      <c r="J82" s="1" t="str">
        <f>VLOOKUP(A:A,Table1[[Project No]:[Additional Remark]],17,FALSE)</f>
        <v>Huawei SUN2000-10KTL</v>
      </c>
      <c r="K82" s="127"/>
      <c r="L82" s="1" t="str">
        <f t="shared" si="2"/>
        <v>Completed</v>
      </c>
      <c r="M82" s="1" t="str">
        <f>VLOOKUP(A:A,'Finance Tracker'!A80:K324,8,FALSE)</f>
        <v>Invoice Completed</v>
      </c>
      <c r="N82" s="127"/>
      <c r="O82" s="1" t="s">
        <v>109</v>
      </c>
      <c r="P82" s="1" t="s">
        <v>109</v>
      </c>
      <c r="Q82" s="127"/>
      <c r="R82" s="56">
        <v>45486</v>
      </c>
      <c r="S82" s="56">
        <v>45497</v>
      </c>
      <c r="T82" s="1" t="s">
        <v>1822</v>
      </c>
      <c r="U82" s="56">
        <v>45792</v>
      </c>
      <c r="V82" s="39" t="s">
        <v>1853</v>
      </c>
      <c r="W82" s="1" t="s">
        <v>1853</v>
      </c>
      <c r="X82" s="4" t="s">
        <v>109</v>
      </c>
      <c r="Y82" s="4" t="s">
        <v>1853</v>
      </c>
      <c r="Z82" s="39" t="s">
        <v>1853</v>
      </c>
      <c r="AA82" s="39" t="s">
        <v>1853</v>
      </c>
      <c r="AB82" s="39" t="s">
        <v>1853</v>
      </c>
      <c r="AC82" s="39" t="s">
        <v>1853</v>
      </c>
      <c r="AD82" s="39" t="s">
        <v>1853</v>
      </c>
      <c r="AE82" s="39">
        <v>45538</v>
      </c>
      <c r="AF82" s="56">
        <v>45536</v>
      </c>
      <c r="AG82" s="56">
        <v>45536</v>
      </c>
      <c r="AH82" s="56">
        <v>49217</v>
      </c>
      <c r="AJ82" s="4" t="s">
        <v>109</v>
      </c>
      <c r="AK82" s="4" t="s">
        <v>109</v>
      </c>
      <c r="AL82" s="4" t="s">
        <v>109</v>
      </c>
      <c r="AM82" s="4" t="s">
        <v>109</v>
      </c>
      <c r="AP82" s="1">
        <f t="shared" si="3"/>
        <v>11</v>
      </c>
      <c r="AQ82" s="38" t="e">
        <f>AA82-Table1[[#This Row],[Closed Date]]</f>
        <v>#VALUE!</v>
      </c>
    </row>
    <row r="83" spans="1:43" ht="18.75" customHeight="1" x14ac:dyDescent="0.3">
      <c r="A83" s="4">
        <f>Table1[[#This Row],[Project No]]</f>
        <v>2405319</v>
      </c>
      <c r="B83" s="110" t="str">
        <f>VLOOKUP(A:A,Table1[[Project No]:[Additional Remark]],2,FALSE)</f>
        <v>Tan Zhi Cheng</v>
      </c>
      <c r="C83" s="4" t="e" vm="15">
        <f>VLOOKUP(A:A,Table1[[#All],[Project No]:[Additional Remark]],7,FALSE)</f>
        <v>#VALUE!</v>
      </c>
      <c r="D83" s="4" t="str">
        <f>VLOOKUP(A:A,Table1[[#All],[Project No]:[Additional Remark]],4,FALSE)</f>
        <v>Tham</v>
      </c>
      <c r="E83" s="4" t="str">
        <f>VLOOKUP(A:A,Table1[[#All],[Project No]:[Additional Remark]],5,FALSE)</f>
        <v>R-PV</v>
      </c>
      <c r="F83" s="4" t="str">
        <f>VLOOKUP(A:A,Table1[[Project No]:[Additional Remark]],6,FALSE)</f>
        <v>NEM</v>
      </c>
      <c r="G83" s="4">
        <f>VLOOKUP(A:A,Table1[[Project No]:[Additional Remark]],8,FALSE)</f>
        <v>7.02</v>
      </c>
      <c r="H83" s="4" t="str">
        <f>VLOOKUP(A:A,Table1[[Project No]:[Additional Remark]],15,FALSE)</f>
        <v>Astronergy 585Wp</v>
      </c>
      <c r="I83" s="4">
        <f>VLOOKUP(A:A,Table1[[Project No]:[Additional Remark]],16,FALSE)</f>
        <v>12</v>
      </c>
      <c r="J83" s="1" t="str">
        <f>VLOOKUP(A:A,Table1[[Project No]:[Additional Remark]],17,FALSE)</f>
        <v>Huawei SUN2000-5KTL-L1</v>
      </c>
      <c r="K83" s="127"/>
      <c r="L83" s="1" t="str">
        <f t="shared" si="2"/>
        <v>Completed</v>
      </c>
      <c r="M83" s="1" t="str">
        <f>VLOOKUP(A:A,'Finance Tracker'!A81:K325,8,FALSE)</f>
        <v>Invoice Completed</v>
      </c>
      <c r="N83" s="127"/>
      <c r="O83" s="1" t="s">
        <v>109</v>
      </c>
      <c r="P83" s="1" t="s">
        <v>109</v>
      </c>
      <c r="Q83" s="127"/>
      <c r="R83" s="56">
        <v>45486</v>
      </c>
      <c r="S83" s="56">
        <v>45497</v>
      </c>
      <c r="T83" s="1" t="s">
        <v>1822</v>
      </c>
      <c r="U83" s="56">
        <v>45775</v>
      </c>
      <c r="V83" s="39" t="s">
        <v>1853</v>
      </c>
      <c r="W83" s="1" t="s">
        <v>1853</v>
      </c>
      <c r="X83" s="4" t="s">
        <v>109</v>
      </c>
      <c r="Y83" s="4" t="s">
        <v>1853</v>
      </c>
      <c r="Z83" s="4" t="s">
        <v>1855</v>
      </c>
      <c r="AA83" s="39">
        <v>45523</v>
      </c>
      <c r="AB83" s="39" t="s">
        <v>1853</v>
      </c>
      <c r="AC83" s="39" t="s">
        <v>1853</v>
      </c>
      <c r="AD83" s="39" t="s">
        <v>1853</v>
      </c>
      <c r="AE83" s="39">
        <v>45539</v>
      </c>
      <c r="AF83" s="56">
        <v>45541</v>
      </c>
      <c r="AG83" s="56">
        <v>45541</v>
      </c>
      <c r="AH83" s="56">
        <v>49217</v>
      </c>
      <c r="AJ83" s="4" t="s">
        <v>109</v>
      </c>
      <c r="AK83" s="4" t="s">
        <v>109</v>
      </c>
      <c r="AL83" s="4" t="s">
        <v>109</v>
      </c>
      <c r="AM83" s="4" t="s">
        <v>109</v>
      </c>
      <c r="AP83" s="1">
        <f t="shared" si="3"/>
        <v>11</v>
      </c>
      <c r="AQ83" s="38">
        <f>AA83-Table1[[#This Row],[Closed Date]]</f>
        <v>78</v>
      </c>
    </row>
    <row r="84" spans="1:43" ht="18.75" customHeight="1" x14ac:dyDescent="0.3">
      <c r="A84" s="4">
        <f>Table1[[#This Row],[Project No]]</f>
        <v>2405288</v>
      </c>
      <c r="B84" s="110" t="str">
        <f>VLOOKUP(A:A,Table1[[Project No]:[Additional Remark]],2,FALSE)</f>
        <v>Teh Siew Eng</v>
      </c>
      <c r="C84" s="4" t="e" vm="18">
        <f>VLOOKUP(A:A,Table1[[#All],[Project No]:[Additional Remark]],7,FALSE)</f>
        <v>#VALUE!</v>
      </c>
      <c r="D84" s="4" t="str">
        <f>VLOOKUP(A:A,Table1[[#All],[Project No]:[Additional Remark]],4,FALSE)</f>
        <v>Tham</v>
      </c>
      <c r="E84" s="4" t="str">
        <f>VLOOKUP(A:A,Table1[[#All],[Project No]:[Additional Remark]],5,FALSE)</f>
        <v>R-PV</v>
      </c>
      <c r="F84" s="4" t="str">
        <f>VLOOKUP(A:A,Table1[[Project No]:[Additional Remark]],6,FALSE)</f>
        <v>NEM</v>
      </c>
      <c r="G84" s="4">
        <f>VLOOKUP(A:A,Table1[[Project No]:[Additional Remark]],8,FALSE)</f>
        <v>12.285</v>
      </c>
      <c r="H84" s="4" t="str">
        <f>VLOOKUP(A:A,Table1[[Project No]:[Additional Remark]],15,FALSE)</f>
        <v>Astronergy 585Wp</v>
      </c>
      <c r="I84" s="4">
        <f>VLOOKUP(A:A,Table1[[Project No]:[Additional Remark]],16,FALSE)</f>
        <v>21</v>
      </c>
      <c r="J84" s="1" t="str">
        <f>VLOOKUP(A:A,Table1[[Project No]:[Additional Remark]],17,FALSE)</f>
        <v>Huawei SUN2000-10KTL</v>
      </c>
      <c r="K84" s="127"/>
      <c r="L84" s="1" t="str">
        <f t="shared" si="2"/>
        <v>Completed</v>
      </c>
      <c r="M84" s="1" t="str">
        <f>VLOOKUP(A:A,'Finance Tracker'!A82:K326,8,FALSE)</f>
        <v>Invoice Completed</v>
      </c>
      <c r="N84" s="127"/>
      <c r="O84" s="1" t="s">
        <v>109</v>
      </c>
      <c r="P84" s="1" t="s">
        <v>109</v>
      </c>
      <c r="Q84" s="127"/>
      <c r="R84" s="56">
        <v>45496</v>
      </c>
      <c r="S84" s="56">
        <v>45505</v>
      </c>
      <c r="T84" s="1" t="s">
        <v>1822</v>
      </c>
      <c r="U84" s="56">
        <v>45775</v>
      </c>
      <c r="V84" s="39" t="s">
        <v>1853</v>
      </c>
      <c r="W84" s="1" t="s">
        <v>1853</v>
      </c>
      <c r="X84" s="4" t="s">
        <v>109</v>
      </c>
      <c r="Y84" s="4" t="s">
        <v>1853</v>
      </c>
      <c r="Z84" s="4" t="s">
        <v>1855</v>
      </c>
      <c r="AA84" s="39">
        <v>45532</v>
      </c>
      <c r="AB84" s="39" t="s">
        <v>1853</v>
      </c>
      <c r="AC84" s="39" t="s">
        <v>1853</v>
      </c>
      <c r="AD84" s="39" t="s">
        <v>1853</v>
      </c>
      <c r="AE84" s="39" t="s">
        <v>1853</v>
      </c>
      <c r="AF84" s="56">
        <v>45558</v>
      </c>
      <c r="AG84" s="56">
        <v>45558</v>
      </c>
      <c r="AH84" s="56">
        <v>49217</v>
      </c>
      <c r="AJ84" s="4" t="s">
        <v>109</v>
      </c>
      <c r="AK84" s="4" t="s">
        <v>109</v>
      </c>
      <c r="AL84" s="4" t="s">
        <v>109</v>
      </c>
      <c r="AM84" s="4" t="s">
        <v>109</v>
      </c>
      <c r="AP84" s="1">
        <f t="shared" si="3"/>
        <v>9</v>
      </c>
      <c r="AQ84" s="38">
        <f>AA84-Table1[[#This Row],[Closed Date]]</f>
        <v>92</v>
      </c>
    </row>
    <row r="85" spans="1:43" ht="18.75" customHeight="1" x14ac:dyDescent="0.3">
      <c r="A85" s="4">
        <f>Table1[[#This Row],[Project No]]</f>
        <v>2404256</v>
      </c>
      <c r="B85" s="110" t="str">
        <f>VLOOKUP(A:A,Table1[[Project No]:[Additional Remark]],2,FALSE)</f>
        <v>Lai Chun Wai</v>
      </c>
      <c r="C85" s="4" t="e" vm="16">
        <f>VLOOKUP(A:A,Table1[[#All],[Project No]:[Additional Remark]],7,FALSE)</f>
        <v>#VALUE!</v>
      </c>
      <c r="D85" s="4" t="str">
        <f>VLOOKUP(A:A,Table1[[#All],[Project No]:[Additional Remark]],4,FALSE)</f>
        <v>Azra</v>
      </c>
      <c r="E85" s="4" t="str">
        <f>VLOOKUP(A:A,Table1[[#All],[Project No]:[Additional Remark]],5,FALSE)</f>
        <v>R-PV</v>
      </c>
      <c r="F85" s="4" t="str">
        <f>VLOOKUP(A:A,Table1[[Project No]:[Additional Remark]],6,FALSE)</f>
        <v>NEM</v>
      </c>
      <c r="G85" s="4">
        <f>VLOOKUP(A:A,Table1[[Project No]:[Additional Remark]],8,FALSE)</f>
        <v>8.7750000000000004</v>
      </c>
      <c r="H85" s="4" t="str">
        <f>VLOOKUP(A:A,Table1[[Project No]:[Additional Remark]],15,FALSE)</f>
        <v>Astronergy 585Wp</v>
      </c>
      <c r="I85" s="4">
        <f>VLOOKUP(A:A,Table1[[Project No]:[Additional Remark]],16,FALSE)</f>
        <v>14</v>
      </c>
      <c r="J85" s="1" t="str">
        <f>VLOOKUP(A:A,Table1[[Project No]:[Additional Remark]],17,FALSE)</f>
        <v>Solinteg MHT-8K-25 hybrid</v>
      </c>
      <c r="K85" s="127"/>
      <c r="L85" s="1" t="str">
        <f t="shared" si="2"/>
        <v>Completed</v>
      </c>
      <c r="M85" s="1" t="str">
        <f>VLOOKUP(A:A,'Finance Tracker'!A83:K327,8,FALSE)</f>
        <v>Invoice Completed</v>
      </c>
      <c r="N85" s="127"/>
      <c r="O85" s="1" t="s">
        <v>109</v>
      </c>
      <c r="P85" s="1" t="s">
        <v>109</v>
      </c>
      <c r="Q85" s="127"/>
      <c r="R85" s="56">
        <v>45500</v>
      </c>
      <c r="S85" s="56">
        <v>45557</v>
      </c>
      <c r="T85" s="1" t="s">
        <v>1823</v>
      </c>
      <c r="U85" s="56">
        <v>45884</v>
      </c>
      <c r="V85" s="39" t="s">
        <v>1853</v>
      </c>
      <c r="W85" s="1" t="s">
        <v>1853</v>
      </c>
      <c r="X85" s="4" t="s">
        <v>109</v>
      </c>
      <c r="Y85" s="4" t="s">
        <v>1853</v>
      </c>
      <c r="Z85" s="4" t="s">
        <v>1855</v>
      </c>
      <c r="AA85" s="39">
        <v>45563</v>
      </c>
      <c r="AB85" s="39" t="s">
        <v>1853</v>
      </c>
      <c r="AC85" s="39" t="s">
        <v>1853</v>
      </c>
      <c r="AD85" s="39" t="s">
        <v>1853</v>
      </c>
      <c r="AE85" s="39" t="s">
        <v>1853</v>
      </c>
      <c r="AF85" s="56">
        <v>45585</v>
      </c>
      <c r="AG85" s="56">
        <v>45585</v>
      </c>
      <c r="AH85" s="56">
        <v>49248</v>
      </c>
      <c r="AJ85" s="4" t="s">
        <v>109</v>
      </c>
      <c r="AK85" s="4" t="s">
        <v>109</v>
      </c>
      <c r="AL85" s="4" t="s">
        <v>109</v>
      </c>
      <c r="AM85" s="4" t="s">
        <v>109</v>
      </c>
      <c r="AP85" s="1">
        <f t="shared" si="3"/>
        <v>57</v>
      </c>
      <c r="AQ85" s="38">
        <f>AA85-Table1[[#This Row],[Closed Date]]</f>
        <v>99</v>
      </c>
    </row>
    <row r="86" spans="1:43" ht="18.75" customHeight="1" x14ac:dyDescent="0.3">
      <c r="A86" s="4">
        <f>Table1[[#This Row],[Project No]]</f>
        <v>2406323</v>
      </c>
      <c r="B86" s="110" t="str">
        <f>VLOOKUP(A:A,Table1[[Project No]:[Additional Remark]],2,FALSE)</f>
        <v>Tay Poh Chai</v>
      </c>
      <c r="C86" s="4" t="e" vm="23">
        <f>VLOOKUP(A:A,Table1[[#All],[Project No]:[Additional Remark]],7,FALSE)</f>
        <v>#VALUE!</v>
      </c>
      <c r="D86" s="4" t="str">
        <f>VLOOKUP(A:A,Table1[[#All],[Project No]:[Additional Remark]],4,FALSE)</f>
        <v>Tham</v>
      </c>
      <c r="E86" s="4" t="str">
        <f>VLOOKUP(A:A,Table1[[#All],[Project No]:[Additional Remark]],5,FALSE)</f>
        <v>R-PV</v>
      </c>
      <c r="F86" s="4" t="str">
        <f>VLOOKUP(A:A,Table1[[Project No]:[Additional Remark]],6,FALSE)</f>
        <v>NEM</v>
      </c>
      <c r="G86" s="4">
        <f>VLOOKUP(A:A,Table1[[Project No]:[Additional Remark]],8,FALSE)</f>
        <v>14.04</v>
      </c>
      <c r="H86" s="4" t="str">
        <f>VLOOKUP(A:A,Table1[[Project No]:[Additional Remark]],15,FALSE)</f>
        <v>Astronergy 585Wp</v>
      </c>
      <c r="I86" s="4">
        <f>VLOOKUP(A:A,Table1[[Project No]:[Additional Remark]],16,FALSE)</f>
        <v>24</v>
      </c>
      <c r="J86" s="1" t="str">
        <f>VLOOKUP(A:A,Table1[[Project No]:[Additional Remark]],17,FALSE)</f>
        <v>Huawei SUN2000-12KTL</v>
      </c>
      <c r="K86" s="127"/>
      <c r="L86" s="1" t="str">
        <f t="shared" si="2"/>
        <v>Completed</v>
      </c>
      <c r="M86" s="1" t="str">
        <f>VLOOKUP(A:A,'Finance Tracker'!A84:K328,8,FALSE)</f>
        <v>Invoice Completed</v>
      </c>
      <c r="N86" s="127"/>
      <c r="O86" s="1" t="s">
        <v>109</v>
      </c>
      <c r="P86" s="1" t="s">
        <v>109</v>
      </c>
      <c r="Q86" s="127"/>
      <c r="R86" s="56">
        <v>45486</v>
      </c>
      <c r="S86" s="56">
        <v>45497</v>
      </c>
      <c r="T86" s="1" t="s">
        <v>1822</v>
      </c>
      <c r="U86" s="56">
        <v>45792</v>
      </c>
      <c r="V86" s="39" t="s">
        <v>1853</v>
      </c>
      <c r="W86" s="1" t="s">
        <v>1853</v>
      </c>
      <c r="X86" s="4" t="s">
        <v>109</v>
      </c>
      <c r="Y86" s="4" t="s">
        <v>1853</v>
      </c>
      <c r="Z86" s="4" t="s">
        <v>1855</v>
      </c>
      <c r="AA86" s="39">
        <v>45509</v>
      </c>
      <c r="AB86" s="39" t="s">
        <v>1853</v>
      </c>
      <c r="AC86" s="39" t="s">
        <v>1853</v>
      </c>
      <c r="AD86" s="39" t="s">
        <v>1853</v>
      </c>
      <c r="AE86" s="39">
        <v>45539</v>
      </c>
      <c r="AF86" s="56">
        <v>45541</v>
      </c>
      <c r="AG86" s="56">
        <v>45541</v>
      </c>
      <c r="AH86" s="56">
        <v>49217</v>
      </c>
      <c r="AJ86" s="4" t="s">
        <v>109</v>
      </c>
      <c r="AK86" s="4" t="s">
        <v>109</v>
      </c>
      <c r="AL86" s="4" t="s">
        <v>109</v>
      </c>
      <c r="AM86" s="4" t="s">
        <v>109</v>
      </c>
      <c r="AP86" s="1">
        <f t="shared" si="3"/>
        <v>11</v>
      </c>
      <c r="AQ86" s="38">
        <f>AA86-Table1[[#This Row],[Closed Date]]</f>
        <v>52</v>
      </c>
    </row>
    <row r="87" spans="1:43" ht="18.75" customHeight="1" x14ac:dyDescent="0.3">
      <c r="A87" s="4">
        <f>Table1[[#This Row],[Project No]]</f>
        <v>2406336</v>
      </c>
      <c r="B87" s="110" t="str">
        <f>VLOOKUP(A:A,Table1[[Project No]:[Additional Remark]],2,FALSE)</f>
        <v>Alex How Chee Keong</v>
      </c>
      <c r="C87" s="4" t="e" vm="18">
        <f>VLOOKUP(A:A,Table1[[#All],[Project No]:[Additional Remark]],7,FALSE)</f>
        <v>#VALUE!</v>
      </c>
      <c r="D87" s="4" t="str">
        <f>VLOOKUP(A:A,Table1[[#All],[Project No]:[Additional Remark]],4,FALSE)</f>
        <v>Tham</v>
      </c>
      <c r="E87" s="4" t="str">
        <f>VLOOKUP(A:A,Table1[[#All],[Project No]:[Additional Remark]],5,FALSE)</f>
        <v>R-PV</v>
      </c>
      <c r="F87" s="4" t="str">
        <f>VLOOKUP(A:A,Table1[[Project No]:[Additional Remark]],6,FALSE)</f>
        <v>NEM</v>
      </c>
      <c r="G87" s="4">
        <f>VLOOKUP(A:A,Table1[[Project No]:[Additional Remark]],8,FALSE)</f>
        <v>11.7</v>
      </c>
      <c r="H87" s="4" t="str">
        <f>VLOOKUP(A:A,Table1[[Project No]:[Additional Remark]],15,FALSE)</f>
        <v>Astronergy 585Wp</v>
      </c>
      <c r="I87" s="4">
        <f>VLOOKUP(A:A,Table1[[Project No]:[Additional Remark]],16,FALSE)</f>
        <v>20</v>
      </c>
      <c r="J87" s="1" t="str">
        <f>VLOOKUP(A:A,Table1[[Project No]:[Additional Remark]],17,FALSE)</f>
        <v>Huawei SUN2000-10KTL</v>
      </c>
      <c r="K87" s="127"/>
      <c r="L87" s="1" t="str">
        <f t="shared" si="2"/>
        <v>Completed</v>
      </c>
      <c r="M87" s="1" t="str">
        <f>VLOOKUP(A:A,'Finance Tracker'!A85:K329,8,FALSE)</f>
        <v>Invoice Completed</v>
      </c>
      <c r="N87" s="127"/>
      <c r="O87" s="1" t="s">
        <v>109</v>
      </c>
      <c r="P87" s="1" t="s">
        <v>109</v>
      </c>
      <c r="Q87" s="127"/>
      <c r="R87" s="56">
        <v>45486</v>
      </c>
      <c r="S87" s="56">
        <v>45497</v>
      </c>
      <c r="T87" s="1" t="s">
        <v>1822</v>
      </c>
      <c r="U87" s="56">
        <v>45769</v>
      </c>
      <c r="V87" s="39" t="s">
        <v>1853</v>
      </c>
      <c r="W87" s="1" t="s">
        <v>1853</v>
      </c>
      <c r="X87" s="4" t="s">
        <v>109</v>
      </c>
      <c r="Y87" s="4" t="s">
        <v>1853</v>
      </c>
      <c r="Z87" s="4" t="s">
        <v>1855</v>
      </c>
      <c r="AA87" s="39">
        <v>45524</v>
      </c>
      <c r="AB87" s="39">
        <v>45541</v>
      </c>
      <c r="AC87" s="39" t="s">
        <v>1853</v>
      </c>
      <c r="AD87" s="39" t="s">
        <v>1853</v>
      </c>
      <c r="AE87" s="39">
        <v>45559</v>
      </c>
      <c r="AF87" s="56">
        <v>45551</v>
      </c>
      <c r="AG87" s="56">
        <v>45551</v>
      </c>
      <c r="AH87" s="56">
        <v>49217</v>
      </c>
      <c r="AJ87" s="4" t="s">
        <v>109</v>
      </c>
      <c r="AK87" s="4" t="s">
        <v>109</v>
      </c>
      <c r="AL87" s="4" t="s">
        <v>109</v>
      </c>
      <c r="AM87" s="4" t="s">
        <v>109</v>
      </c>
      <c r="AP87" s="1">
        <f t="shared" si="3"/>
        <v>11</v>
      </c>
      <c r="AQ87" s="38">
        <f>AA87-Table1[[#This Row],[Closed Date]]</f>
        <v>62</v>
      </c>
    </row>
    <row r="88" spans="1:43" ht="18.75" customHeight="1" x14ac:dyDescent="0.3">
      <c r="A88" s="4">
        <f>Table1[[#This Row],[Project No]]</f>
        <v>2406340</v>
      </c>
      <c r="B88" s="110" t="str">
        <f>VLOOKUP(A:A,Table1[[Project No]:[Additional Remark]],2,FALSE)</f>
        <v>How Mei Cheng</v>
      </c>
      <c r="C88" s="4" t="e" vm="18">
        <f>VLOOKUP(A:A,Table1[[#All],[Project No]:[Additional Remark]],7,FALSE)</f>
        <v>#VALUE!</v>
      </c>
      <c r="D88" s="4" t="str">
        <f>VLOOKUP(A:A,Table1[[#All],[Project No]:[Additional Remark]],4,FALSE)</f>
        <v>Tham</v>
      </c>
      <c r="E88" s="4" t="str">
        <f>VLOOKUP(A:A,Table1[[#All],[Project No]:[Additional Remark]],5,FALSE)</f>
        <v>R-PV</v>
      </c>
      <c r="F88" s="4" t="str">
        <f>VLOOKUP(A:A,Table1[[Project No]:[Additional Remark]],6,FALSE)</f>
        <v>NEM</v>
      </c>
      <c r="G88" s="4">
        <f>VLOOKUP(A:A,Table1[[Project No]:[Additional Remark]],8,FALSE)</f>
        <v>7.02</v>
      </c>
      <c r="H88" s="4" t="str">
        <f>VLOOKUP(A:A,Table1[[Project No]:[Additional Remark]],15,FALSE)</f>
        <v>Astronergy 585Wp</v>
      </c>
      <c r="I88" s="4">
        <f>VLOOKUP(A:A,Table1[[Project No]:[Additional Remark]],16,FALSE)</f>
        <v>12</v>
      </c>
      <c r="J88" s="1" t="str">
        <f>VLOOKUP(A:A,Table1[[Project No]:[Additional Remark]],17,FALSE)</f>
        <v>Huawei SUN2000-5KTL-L1</v>
      </c>
      <c r="K88" s="127"/>
      <c r="L88" s="1" t="str">
        <f t="shared" si="2"/>
        <v>Completed</v>
      </c>
      <c r="M88" s="1" t="str">
        <f>VLOOKUP(A:A,'Finance Tracker'!A86:K330,8,FALSE)</f>
        <v>Invoice Completed</v>
      </c>
      <c r="N88" s="127"/>
      <c r="O88" s="1" t="s">
        <v>109</v>
      </c>
      <c r="P88" s="1" t="s">
        <v>109</v>
      </c>
      <c r="Q88" s="127"/>
      <c r="R88" s="56">
        <v>45486</v>
      </c>
      <c r="S88" s="56">
        <v>45497</v>
      </c>
      <c r="T88" s="1" t="s">
        <v>1822</v>
      </c>
      <c r="U88" s="56">
        <v>45768</v>
      </c>
      <c r="V88" s="39" t="s">
        <v>1853</v>
      </c>
      <c r="W88" s="1" t="s">
        <v>1853</v>
      </c>
      <c r="X88" s="4" t="s">
        <v>109</v>
      </c>
      <c r="Y88" s="4" t="s">
        <v>1853</v>
      </c>
      <c r="Z88" s="4" t="s">
        <v>1855</v>
      </c>
      <c r="AA88" s="39">
        <v>45528</v>
      </c>
      <c r="AB88" s="39" t="s">
        <v>1853</v>
      </c>
      <c r="AC88" s="39" t="s">
        <v>1853</v>
      </c>
      <c r="AD88" s="39" t="s">
        <v>1853</v>
      </c>
      <c r="AE88" s="39">
        <v>45559</v>
      </c>
      <c r="AF88" s="56">
        <v>45559</v>
      </c>
      <c r="AG88" s="56">
        <v>45559</v>
      </c>
      <c r="AH88" s="56">
        <v>49217</v>
      </c>
      <c r="AJ88" s="4" t="s">
        <v>109</v>
      </c>
      <c r="AK88" s="4" t="s">
        <v>109</v>
      </c>
      <c r="AL88" s="4" t="s">
        <v>109</v>
      </c>
      <c r="AM88" s="4" t="s">
        <v>109</v>
      </c>
      <c r="AP88" s="1">
        <f t="shared" si="3"/>
        <v>11</v>
      </c>
      <c r="AQ88" s="38">
        <f>AA88-Table1[[#This Row],[Closed Date]]</f>
        <v>64</v>
      </c>
    </row>
    <row r="89" spans="1:43" ht="18.75" customHeight="1" x14ac:dyDescent="0.3">
      <c r="A89" s="4">
        <f>Table1[[#This Row],[Project No]]</f>
        <v>2406355</v>
      </c>
      <c r="B89" s="110" t="str">
        <f>VLOOKUP(A:A,Table1[[Project No]:[Additional Remark]],2,FALSE)</f>
        <v>Windy Ng</v>
      </c>
      <c r="C89" s="4" t="e" vm="15">
        <f>VLOOKUP(A:A,Table1[[#All],[Project No]:[Additional Remark]],7,FALSE)</f>
        <v>#VALUE!</v>
      </c>
      <c r="D89" s="4" t="str">
        <f>VLOOKUP(A:A,Table1[[#All],[Project No]:[Additional Remark]],4,FALSE)</f>
        <v>Tham</v>
      </c>
      <c r="E89" s="4" t="str">
        <f>VLOOKUP(A:A,Table1[[#All],[Project No]:[Additional Remark]],5,FALSE)</f>
        <v>R-PV</v>
      </c>
      <c r="F89" s="4" t="str">
        <f>VLOOKUP(A:A,Table1[[Project No]:[Additional Remark]],6,FALSE)</f>
        <v>NEM</v>
      </c>
      <c r="G89" s="4">
        <f>VLOOKUP(A:A,Table1[[Project No]:[Additional Remark]],8,FALSE)</f>
        <v>9.36</v>
      </c>
      <c r="H89" s="4" t="str">
        <f>VLOOKUP(A:A,Table1[[Project No]:[Additional Remark]],15,FALSE)</f>
        <v>Astronergy 585Wp</v>
      </c>
      <c r="I89" s="4">
        <f>VLOOKUP(A:A,Table1[[Project No]:[Additional Remark]],16,FALSE)</f>
        <v>16</v>
      </c>
      <c r="J89" s="1" t="str">
        <f>VLOOKUP(A:A,Table1[[Project No]:[Additional Remark]],17,FALSE)</f>
        <v>Huawei SUN2000-8KTL</v>
      </c>
      <c r="K89" s="127"/>
      <c r="L89" s="1" t="str">
        <f t="shared" si="2"/>
        <v>Completed</v>
      </c>
      <c r="M89" s="1" t="str">
        <f>VLOOKUP(A:A,'Finance Tracker'!A87:K331,8,FALSE)</f>
        <v>Invoice Completed</v>
      </c>
      <c r="N89" s="127"/>
      <c r="O89" s="1" t="s">
        <v>109</v>
      </c>
      <c r="P89" s="1" t="s">
        <v>109</v>
      </c>
      <c r="Q89" s="127"/>
      <c r="R89" s="56">
        <v>45496</v>
      </c>
      <c r="S89" s="56">
        <v>45505</v>
      </c>
      <c r="T89" s="1" t="s">
        <v>1822</v>
      </c>
      <c r="U89" s="56">
        <v>45792</v>
      </c>
      <c r="V89" s="39" t="s">
        <v>1853</v>
      </c>
      <c r="W89" s="1" t="s">
        <v>1853</v>
      </c>
      <c r="X89" s="4" t="s">
        <v>109</v>
      </c>
      <c r="Y89" s="4" t="s">
        <v>1853</v>
      </c>
      <c r="Z89" s="4" t="s">
        <v>1855</v>
      </c>
      <c r="AA89" s="39">
        <v>45575</v>
      </c>
      <c r="AB89" s="39" t="s">
        <v>1853</v>
      </c>
      <c r="AC89" s="39" t="s">
        <v>1853</v>
      </c>
      <c r="AD89" s="39" t="s">
        <v>1853</v>
      </c>
      <c r="AE89" s="1" t="s">
        <v>1853</v>
      </c>
      <c r="AF89" s="56">
        <v>45592</v>
      </c>
      <c r="AG89" s="56">
        <v>45592</v>
      </c>
      <c r="AH89" s="56">
        <v>49248</v>
      </c>
      <c r="AJ89" s="4" t="s">
        <v>109</v>
      </c>
      <c r="AK89" s="4" t="s">
        <v>109</v>
      </c>
      <c r="AL89" s="4" t="s">
        <v>109</v>
      </c>
      <c r="AM89" s="4" t="s">
        <v>109</v>
      </c>
      <c r="AP89" s="1">
        <f t="shared" si="3"/>
        <v>9</v>
      </c>
      <c r="AQ89" s="38">
        <f>AA89-Table1[[#This Row],[Closed Date]]</f>
        <v>104</v>
      </c>
    </row>
    <row r="90" spans="1:43" ht="18.75" customHeight="1" x14ac:dyDescent="0.3">
      <c r="A90" s="4">
        <f>Table1[[#This Row],[Project No]]</f>
        <v>2406357</v>
      </c>
      <c r="B90" s="110" t="str">
        <f>VLOOKUP(A:A,Table1[[Project No]:[Additional Remark]],2,FALSE)</f>
        <v>Zainuddin Zin</v>
      </c>
      <c r="C90" s="4" t="e" vm="16">
        <f>VLOOKUP(A:A,Table1[[#All],[Project No]:[Additional Remark]],7,FALSE)</f>
        <v>#VALUE!</v>
      </c>
      <c r="D90" s="4" t="str">
        <f>VLOOKUP(A:A,Table1[[#All],[Project No]:[Additional Remark]],4,FALSE)</f>
        <v>Patricia</v>
      </c>
      <c r="E90" s="4" t="str">
        <f>VLOOKUP(A:A,Table1[[#All],[Project No]:[Additional Remark]],5,FALSE)</f>
        <v>R-PV</v>
      </c>
      <c r="F90" s="4" t="str">
        <f>VLOOKUP(A:A,Table1[[Project No]:[Additional Remark]],6,FALSE)</f>
        <v>NEM</v>
      </c>
      <c r="G90" s="4">
        <f>VLOOKUP(A:A,Table1[[Project No]:[Additional Remark]],8,FALSE)</f>
        <v>12.285</v>
      </c>
      <c r="H90" s="4" t="str">
        <f>VLOOKUP(A:A,Table1[[Project No]:[Additional Remark]],15,FALSE)</f>
        <v>Astronergy 585Wp</v>
      </c>
      <c r="I90" s="4">
        <f>VLOOKUP(A:A,Table1[[Project No]:[Additional Remark]],16,FALSE)</f>
        <v>21</v>
      </c>
      <c r="J90" s="1" t="str">
        <f>VLOOKUP(A:A,Table1[[Project No]:[Additional Remark]],17,FALSE)</f>
        <v>Huawei SUN2000-10KTL</v>
      </c>
      <c r="K90" s="127"/>
      <c r="L90" s="1" t="str">
        <f t="shared" si="2"/>
        <v>Completed</v>
      </c>
      <c r="M90" s="1" t="str">
        <f>VLOOKUP(A:A,'Finance Tracker'!A88:K332,8,FALSE)</f>
        <v>Invoice Completed</v>
      </c>
      <c r="N90" s="127"/>
      <c r="O90" s="1" t="s">
        <v>109</v>
      </c>
      <c r="P90" s="1" t="s">
        <v>109</v>
      </c>
      <c r="Q90" s="127"/>
      <c r="R90" s="56">
        <v>45498</v>
      </c>
      <c r="S90" s="56">
        <v>45504</v>
      </c>
      <c r="T90" s="1" t="s">
        <v>1822</v>
      </c>
      <c r="U90" s="56">
        <v>45891</v>
      </c>
      <c r="V90" s="39" t="s">
        <v>1853</v>
      </c>
      <c r="W90" s="1" t="s">
        <v>1853</v>
      </c>
      <c r="X90" s="4" t="s">
        <v>109</v>
      </c>
      <c r="Y90" s="4" t="s">
        <v>1853</v>
      </c>
      <c r="Z90" s="4" t="s">
        <v>1854</v>
      </c>
      <c r="AA90" s="39">
        <v>45533</v>
      </c>
      <c r="AB90" s="39" t="s">
        <v>1853</v>
      </c>
      <c r="AC90" s="39" t="s">
        <v>1853</v>
      </c>
      <c r="AD90" s="39" t="s">
        <v>1853</v>
      </c>
      <c r="AE90" s="39">
        <v>45572</v>
      </c>
      <c r="AF90" s="56">
        <v>45585</v>
      </c>
      <c r="AG90" s="56">
        <v>45585</v>
      </c>
      <c r="AH90" s="56">
        <v>49248</v>
      </c>
      <c r="AJ90" s="4" t="s">
        <v>109</v>
      </c>
      <c r="AK90" s="4" t="s">
        <v>109</v>
      </c>
      <c r="AL90" s="4" t="s">
        <v>109</v>
      </c>
      <c r="AM90" s="4" t="s">
        <v>109</v>
      </c>
      <c r="AP90" s="1">
        <f t="shared" si="3"/>
        <v>6</v>
      </c>
      <c r="AQ90" s="38">
        <f>AA90-Table1[[#This Row],[Closed Date]]</f>
        <v>62</v>
      </c>
    </row>
    <row r="91" spans="1:43" ht="18.75" customHeight="1" x14ac:dyDescent="0.3">
      <c r="A91" s="4">
        <f>Table1[[#This Row],[Project No]]</f>
        <v>2405019</v>
      </c>
      <c r="B91" s="110" t="str">
        <f>VLOOKUP(A:A,Table1[[Project No]:[Additional Remark]],2,FALSE)</f>
        <v>Handal Green Mobility Sdn Bhd (Encore Melaka)</v>
      </c>
      <c r="C91" s="4" t="e" vm="19">
        <f>VLOOKUP(A:A,Table1[[#All],[Project No]:[Additional Remark]],7,FALSE)</f>
        <v>#VALUE!</v>
      </c>
      <c r="D91" s="4" t="str">
        <f>VLOOKUP(A:A,Table1[[#All],[Project No]:[Additional Remark]],4,FALSE)</f>
        <v>Simon</v>
      </c>
      <c r="E91" s="4" t="str">
        <f>VLOOKUP(A:A,Table1[[#All],[Project No]:[Additional Remark]],5,FALSE)</f>
        <v>EV Charger</v>
      </c>
      <c r="F91" s="4" t="str">
        <f>VLOOKUP(A:A,Table1[[Project No]:[Additional Remark]],6,FALSE)</f>
        <v>-</v>
      </c>
      <c r="G91" s="4">
        <f>VLOOKUP(A:A,Table1[[Project No]:[Additional Remark]],8,FALSE)</f>
        <v>0</v>
      </c>
      <c r="H91" s="4" t="str">
        <f>VLOOKUP(A:A,Table1[[Project No]:[Additional Remark]],15,FALSE)</f>
        <v>-</v>
      </c>
      <c r="I91" s="4" t="str">
        <f>VLOOKUP(A:A,Table1[[Project No]:[Additional Remark]],16,FALSE)</f>
        <v>-</v>
      </c>
      <c r="J91" s="1" t="str">
        <f>VLOOKUP(A:A,Table1[[Project No]:[Additional Remark]],17,FALSE)</f>
        <v>-</v>
      </c>
      <c r="K91" s="127"/>
      <c r="L91" s="1" t="str">
        <f t="shared" si="2"/>
        <v>Completed</v>
      </c>
      <c r="M91" s="1" t="str">
        <f>VLOOKUP(A:A,'Finance Tracker'!A89:K333,8,FALSE)</f>
        <v>Invoice Completed</v>
      </c>
      <c r="N91" s="127"/>
      <c r="O91" s="1" t="s">
        <v>109</v>
      </c>
      <c r="P91" s="1" t="s">
        <v>109</v>
      </c>
      <c r="Q91" s="127"/>
      <c r="R91" s="56" t="s">
        <v>109</v>
      </c>
      <c r="S91" s="56" t="s">
        <v>109</v>
      </c>
      <c r="T91" s="56" t="s">
        <v>109</v>
      </c>
      <c r="U91" s="56" t="s">
        <v>109</v>
      </c>
      <c r="V91" s="39" t="s">
        <v>1853</v>
      </c>
      <c r="W91" s="1" t="s">
        <v>1853</v>
      </c>
      <c r="X91" s="4" t="s">
        <v>109</v>
      </c>
      <c r="Y91" s="4" t="s">
        <v>1853</v>
      </c>
      <c r="Z91" s="4" t="s">
        <v>1853</v>
      </c>
      <c r="AA91" s="4" t="s">
        <v>1853</v>
      </c>
      <c r="AB91" s="4" t="s">
        <v>109</v>
      </c>
      <c r="AC91" s="4" t="s">
        <v>109</v>
      </c>
      <c r="AD91" s="4" t="s">
        <v>109</v>
      </c>
      <c r="AE91" s="4" t="s">
        <v>109</v>
      </c>
      <c r="AF91" s="4" t="s">
        <v>109</v>
      </c>
      <c r="AG91" s="4" t="s">
        <v>109</v>
      </c>
      <c r="AH91" s="4" t="s">
        <v>109</v>
      </c>
      <c r="AJ91" s="4" t="s">
        <v>109</v>
      </c>
      <c r="AK91" s="4" t="s">
        <v>109</v>
      </c>
      <c r="AL91" s="4" t="s">
        <v>109</v>
      </c>
      <c r="AM91" s="4" t="s">
        <v>109</v>
      </c>
      <c r="AP91" s="1" t="e">
        <f t="shared" si="3"/>
        <v>#VALUE!</v>
      </c>
      <c r="AQ91" s="38" t="e">
        <f>AA91-Table1[[#This Row],[Closed Date]]</f>
        <v>#VALUE!</v>
      </c>
    </row>
    <row r="92" spans="1:43" ht="18.75" customHeight="1" x14ac:dyDescent="0.3">
      <c r="A92" s="4">
        <f>Table1[[#This Row],[Project No]]</f>
        <v>2406358</v>
      </c>
      <c r="B92" s="110" t="str">
        <f>VLOOKUP(A:A,Table1[[Project No]:[Additional Remark]],2,FALSE)</f>
        <v>Kwan Li Shan</v>
      </c>
      <c r="C92" s="4" t="e" vm="22">
        <f>VLOOKUP(A:A,Table1[[#All],[Project No]:[Additional Remark]],7,FALSE)</f>
        <v>#VALUE!</v>
      </c>
      <c r="D92" s="4" t="str">
        <f>VLOOKUP(A:A,Table1[[#All],[Project No]:[Additional Remark]],4,FALSE)</f>
        <v>Tham</v>
      </c>
      <c r="E92" s="4" t="str">
        <f>VLOOKUP(A:A,Table1[[#All],[Project No]:[Additional Remark]],5,FALSE)</f>
        <v>R-PV</v>
      </c>
      <c r="F92" s="4" t="str">
        <f>VLOOKUP(A:A,Table1[[Project No]:[Additional Remark]],6,FALSE)</f>
        <v>NEM</v>
      </c>
      <c r="G92" s="4">
        <f>VLOOKUP(A:A,Table1[[Project No]:[Additional Remark]],8,FALSE)</f>
        <v>9.36</v>
      </c>
      <c r="H92" s="4" t="str">
        <f>VLOOKUP(A:A,Table1[[Project No]:[Additional Remark]],15,FALSE)</f>
        <v>Astronergy 585Wp</v>
      </c>
      <c r="I92" s="4">
        <f>VLOOKUP(A:A,Table1[[Project No]:[Additional Remark]],16,FALSE)</f>
        <v>16</v>
      </c>
      <c r="J92" s="1" t="str">
        <f>VLOOKUP(A:A,Table1[[Project No]:[Additional Remark]],17,FALSE)</f>
        <v>Huawei SUN2000-8KTL</v>
      </c>
      <c r="K92" s="127"/>
      <c r="L92" s="1" t="str">
        <f t="shared" si="2"/>
        <v>Completed</v>
      </c>
      <c r="M92" s="1" t="str">
        <f>VLOOKUP(A:A,'Finance Tracker'!A90:K334,8,FALSE)</f>
        <v>Invoice Completed</v>
      </c>
      <c r="N92" s="127"/>
      <c r="O92" s="1" t="s">
        <v>109</v>
      </c>
      <c r="P92" s="1" t="s">
        <v>109</v>
      </c>
      <c r="Q92" s="127"/>
      <c r="R92" s="56">
        <v>45495</v>
      </c>
      <c r="S92" s="56">
        <v>45503</v>
      </c>
      <c r="T92" s="1" t="s">
        <v>1822</v>
      </c>
      <c r="U92" s="56">
        <v>45776</v>
      </c>
      <c r="V92" s="39" t="s">
        <v>1853</v>
      </c>
      <c r="W92" s="1" t="s">
        <v>1853</v>
      </c>
      <c r="X92" s="4" t="s">
        <v>109</v>
      </c>
      <c r="Y92" s="4" t="s">
        <v>1853</v>
      </c>
      <c r="Z92" s="4" t="s">
        <v>1855</v>
      </c>
      <c r="AA92" s="39">
        <v>45549</v>
      </c>
      <c r="AB92" s="39">
        <v>45558</v>
      </c>
      <c r="AC92" s="39" t="s">
        <v>1853</v>
      </c>
      <c r="AD92" s="39" t="s">
        <v>1853</v>
      </c>
      <c r="AE92" s="39" t="s">
        <v>1853</v>
      </c>
      <c r="AF92" s="56">
        <v>45571</v>
      </c>
      <c r="AG92" s="56">
        <v>45571</v>
      </c>
      <c r="AH92" s="56">
        <v>49248</v>
      </c>
      <c r="AJ92" s="4" t="s">
        <v>109</v>
      </c>
      <c r="AK92" s="4" t="s">
        <v>109</v>
      </c>
      <c r="AL92" s="4" t="s">
        <v>109</v>
      </c>
      <c r="AM92" s="4" t="s">
        <v>109</v>
      </c>
      <c r="AP92" s="1">
        <f t="shared" si="3"/>
        <v>8</v>
      </c>
      <c r="AQ92" s="38">
        <f>AA92-Table1[[#This Row],[Closed Date]]</f>
        <v>75</v>
      </c>
    </row>
    <row r="93" spans="1:43" ht="18.75" customHeight="1" x14ac:dyDescent="0.3">
      <c r="A93" s="4">
        <f>Table1[[#This Row],[Project No]]</f>
        <v>2407360</v>
      </c>
      <c r="B93" s="110" t="str">
        <f>VLOOKUP(A:A,Table1[[Project No]:[Additional Remark]],2,FALSE)</f>
        <v>Liau Hui Kiem</v>
      </c>
      <c r="C93" s="4" t="e" vm="15">
        <f>VLOOKUP(A:A,Table1[[#All],[Project No]:[Additional Remark]],7,FALSE)</f>
        <v>#VALUE!</v>
      </c>
      <c r="D93" s="4" t="str">
        <f>VLOOKUP(A:A,Table1[[#All],[Project No]:[Additional Remark]],4,FALSE)</f>
        <v>Tham</v>
      </c>
      <c r="E93" s="4" t="str">
        <f>VLOOKUP(A:A,Table1[[#All],[Project No]:[Additional Remark]],5,FALSE)</f>
        <v>R-PV</v>
      </c>
      <c r="F93" s="4" t="str">
        <f>VLOOKUP(A:A,Table1[[Project No]:[Additional Remark]],6,FALSE)</f>
        <v>NEM</v>
      </c>
      <c r="G93" s="4">
        <f>VLOOKUP(A:A,Table1[[Project No]:[Additional Remark]],8,FALSE)</f>
        <v>14.04</v>
      </c>
      <c r="H93" s="4" t="str">
        <f>VLOOKUP(A:A,Table1[[Project No]:[Additional Remark]],15,FALSE)</f>
        <v>Astronergy 585Wp</v>
      </c>
      <c r="I93" s="4">
        <f>VLOOKUP(A:A,Table1[[Project No]:[Additional Remark]],16,FALSE)</f>
        <v>24</v>
      </c>
      <c r="J93" s="1" t="str">
        <f>VLOOKUP(A:A,Table1[[Project No]:[Additional Remark]],17,FALSE)</f>
        <v>Huawei SUN2000-12KTL</v>
      </c>
      <c r="K93" s="127"/>
      <c r="L93" s="1" t="str">
        <f t="shared" si="2"/>
        <v>Completed</v>
      </c>
      <c r="M93" s="1" t="str">
        <f>VLOOKUP(A:A,'Finance Tracker'!A91:K335,8,FALSE)</f>
        <v>Invoice Completed</v>
      </c>
      <c r="N93" s="127"/>
      <c r="O93" s="1" t="s">
        <v>109</v>
      </c>
      <c r="P93" s="1" t="s">
        <v>109</v>
      </c>
      <c r="Q93" s="127"/>
      <c r="R93" s="56">
        <v>45505</v>
      </c>
      <c r="S93" s="56">
        <v>45515</v>
      </c>
      <c r="T93" s="1" t="s">
        <v>1822</v>
      </c>
      <c r="U93" s="56">
        <v>45768</v>
      </c>
      <c r="V93" s="39" t="s">
        <v>1853</v>
      </c>
      <c r="W93" s="1" t="s">
        <v>1853</v>
      </c>
      <c r="X93" s="4" t="s">
        <v>109</v>
      </c>
      <c r="Y93" s="4" t="s">
        <v>1853</v>
      </c>
      <c r="Z93" s="4" t="s">
        <v>1855</v>
      </c>
      <c r="AA93" s="39">
        <v>45537</v>
      </c>
      <c r="AB93" s="39" t="s">
        <v>1853</v>
      </c>
      <c r="AC93" s="39" t="s">
        <v>1853</v>
      </c>
      <c r="AD93" s="39" t="s">
        <v>1853</v>
      </c>
      <c r="AE93" s="1" t="s">
        <v>1853</v>
      </c>
      <c r="AF93" s="56">
        <v>45555</v>
      </c>
      <c r="AG93" s="56">
        <v>45555</v>
      </c>
      <c r="AH93" s="56">
        <v>49217</v>
      </c>
      <c r="AJ93" s="4" t="s">
        <v>109</v>
      </c>
      <c r="AK93" s="4" t="s">
        <v>109</v>
      </c>
      <c r="AL93" s="4" t="s">
        <v>109</v>
      </c>
      <c r="AM93" s="4" t="s">
        <v>109</v>
      </c>
      <c r="AP93" s="1">
        <f t="shared" si="3"/>
        <v>10</v>
      </c>
      <c r="AQ93" s="38">
        <f>AA93-Table1[[#This Row],[Closed Date]]</f>
        <v>46</v>
      </c>
    </row>
    <row r="94" spans="1:43" ht="18.75" customHeight="1" x14ac:dyDescent="0.3">
      <c r="A94" s="4">
        <f>Table1[[#This Row],[Project No]]</f>
        <v>2407364</v>
      </c>
      <c r="B94" s="110" t="str">
        <f>VLOOKUP(A:A,Table1[[Project No]:[Additional Remark]],2,FALSE)</f>
        <v>Mohd Nasir Man</v>
      </c>
      <c r="C94" s="4" t="e" vm="16">
        <f>VLOOKUP(A:A,Table1[[#All],[Project No]:[Additional Remark]],7,FALSE)</f>
        <v>#VALUE!</v>
      </c>
      <c r="D94" s="4" t="str">
        <f>VLOOKUP(A:A,Table1[[#All],[Project No]:[Additional Remark]],4,FALSE)</f>
        <v>Patricia</v>
      </c>
      <c r="E94" s="4" t="str">
        <f>VLOOKUP(A:A,Table1[[#All],[Project No]:[Additional Remark]],5,FALSE)</f>
        <v>R-PV</v>
      </c>
      <c r="F94" s="4" t="str">
        <f>VLOOKUP(A:A,Table1[[Project No]:[Additional Remark]],6,FALSE)</f>
        <v>NEM</v>
      </c>
      <c r="G94" s="4">
        <f>VLOOKUP(A:A,Table1[[Project No]:[Additional Remark]],8,FALSE)</f>
        <v>8.19</v>
      </c>
      <c r="H94" s="4" t="str">
        <f>VLOOKUP(A:A,Table1[[Project No]:[Additional Remark]],15,FALSE)</f>
        <v>Astronergy 585Wp</v>
      </c>
      <c r="I94" s="4">
        <f>VLOOKUP(A:A,Table1[[Project No]:[Additional Remark]],16,FALSE)</f>
        <v>14</v>
      </c>
      <c r="J94" s="1" t="str">
        <f>VLOOKUP(A:A,Table1[[Project No]:[Additional Remark]],17,FALSE)</f>
        <v>Huawei SUN2000-6KTL</v>
      </c>
      <c r="K94" s="127"/>
      <c r="L94" s="1" t="str">
        <f t="shared" si="2"/>
        <v>Completed</v>
      </c>
      <c r="M94" s="1" t="str">
        <f>VLOOKUP(A:A,'Finance Tracker'!A92:K336,8,FALSE)</f>
        <v>Invoice Completed</v>
      </c>
      <c r="N94" s="127"/>
      <c r="O94" s="1" t="s">
        <v>109</v>
      </c>
      <c r="P94" s="1" t="s">
        <v>109</v>
      </c>
      <c r="Q94" s="127"/>
      <c r="R94" s="56">
        <v>45498</v>
      </c>
      <c r="S94" s="56">
        <v>45504</v>
      </c>
      <c r="T94" s="1" t="s">
        <v>1822</v>
      </c>
      <c r="U94" s="56">
        <v>45891</v>
      </c>
      <c r="V94" s="39" t="s">
        <v>1853</v>
      </c>
      <c r="W94" s="1" t="s">
        <v>1853</v>
      </c>
      <c r="X94" s="4" t="s">
        <v>109</v>
      </c>
      <c r="Y94" s="4" t="s">
        <v>1853</v>
      </c>
      <c r="Z94" s="4" t="s">
        <v>1854</v>
      </c>
      <c r="AA94" s="39">
        <v>45538</v>
      </c>
      <c r="AB94" s="39" t="s">
        <v>1853</v>
      </c>
      <c r="AC94" s="39" t="s">
        <v>1853</v>
      </c>
      <c r="AD94" s="39" t="s">
        <v>1853</v>
      </c>
      <c r="AE94" s="39">
        <v>45561</v>
      </c>
      <c r="AF94" s="56">
        <v>45585</v>
      </c>
      <c r="AG94" s="56">
        <v>45585</v>
      </c>
      <c r="AH94" s="56">
        <v>49248</v>
      </c>
      <c r="AJ94" s="4" t="s">
        <v>109</v>
      </c>
      <c r="AK94" s="4" t="s">
        <v>109</v>
      </c>
      <c r="AL94" s="4" t="s">
        <v>109</v>
      </c>
      <c r="AM94" s="4" t="s">
        <v>109</v>
      </c>
      <c r="AP94" s="1">
        <f t="shared" si="3"/>
        <v>6</v>
      </c>
      <c r="AQ94" s="38">
        <f>AA94-Table1[[#This Row],[Closed Date]]</f>
        <v>57</v>
      </c>
    </row>
    <row r="95" spans="1:43" ht="18.75" customHeight="1" x14ac:dyDescent="0.3">
      <c r="A95" s="4">
        <f>Table1[[#This Row],[Project No]]</f>
        <v>2407375</v>
      </c>
      <c r="B95" s="110" t="str">
        <f>VLOOKUP(A:A,Table1[[Project No]:[Additional Remark]],2,FALSE)</f>
        <v>Tan Ger Ber</v>
      </c>
      <c r="C95" s="4" t="e" vm="15">
        <f>VLOOKUP(A:A,Table1[[#All],[Project No]:[Additional Remark]],7,FALSE)</f>
        <v>#VALUE!</v>
      </c>
      <c r="D95" s="4" t="str">
        <f>VLOOKUP(A:A,Table1[[#All],[Project No]:[Additional Remark]],4,FALSE)</f>
        <v>Tham</v>
      </c>
      <c r="E95" s="4" t="str">
        <f>VLOOKUP(A:A,Table1[[#All],[Project No]:[Additional Remark]],5,FALSE)</f>
        <v>R-PV</v>
      </c>
      <c r="F95" s="4" t="str">
        <f>VLOOKUP(A:A,Table1[[Project No]:[Additional Remark]],6,FALSE)</f>
        <v>NEM</v>
      </c>
      <c r="G95" s="4">
        <f>VLOOKUP(A:A,Table1[[Project No]:[Additional Remark]],8,FALSE)</f>
        <v>14.04</v>
      </c>
      <c r="H95" s="4" t="str">
        <f>VLOOKUP(A:A,Table1[[Project No]:[Additional Remark]],15,FALSE)</f>
        <v>Astronergy 585Wp</v>
      </c>
      <c r="I95" s="4">
        <f>VLOOKUP(A:A,Table1[[Project No]:[Additional Remark]],16,FALSE)</f>
        <v>24</v>
      </c>
      <c r="J95" s="1" t="str">
        <f>VLOOKUP(A:A,Table1[[Project No]:[Additional Remark]],17,FALSE)</f>
        <v>Huawei SUN2000-12KTL</v>
      </c>
      <c r="K95" s="127"/>
      <c r="L95" s="1" t="str">
        <f t="shared" si="2"/>
        <v>Completed</v>
      </c>
      <c r="M95" s="1" t="str">
        <f>VLOOKUP(A:A,'Finance Tracker'!A93:K337,8,FALSE)</f>
        <v>Invoice Completed</v>
      </c>
      <c r="N95" s="127"/>
      <c r="O95" s="1" t="s">
        <v>109</v>
      </c>
      <c r="P95" s="1" t="s">
        <v>109</v>
      </c>
      <c r="Q95" s="127"/>
      <c r="R95" s="56">
        <v>45495</v>
      </c>
      <c r="S95" s="56">
        <v>45503</v>
      </c>
      <c r="T95" s="1" t="s">
        <v>1822</v>
      </c>
      <c r="U95" s="56">
        <v>45775</v>
      </c>
      <c r="V95" s="39" t="s">
        <v>1853</v>
      </c>
      <c r="W95" s="1" t="s">
        <v>1853</v>
      </c>
      <c r="X95" s="4" t="s">
        <v>109</v>
      </c>
      <c r="Y95" s="4" t="s">
        <v>1853</v>
      </c>
      <c r="Z95" s="4" t="s">
        <v>1855</v>
      </c>
      <c r="AA95" s="39">
        <v>45545</v>
      </c>
      <c r="AB95" s="39" t="s">
        <v>1853</v>
      </c>
      <c r="AC95" s="39" t="s">
        <v>1853</v>
      </c>
      <c r="AD95" s="39" t="s">
        <v>1853</v>
      </c>
      <c r="AE95" s="39">
        <v>45561</v>
      </c>
      <c r="AF95" s="56">
        <v>45565</v>
      </c>
      <c r="AG95" s="56">
        <v>45565</v>
      </c>
      <c r="AH95" s="56">
        <v>49217</v>
      </c>
      <c r="AJ95" s="4" t="s">
        <v>109</v>
      </c>
      <c r="AK95" s="4" t="s">
        <v>109</v>
      </c>
      <c r="AL95" s="4" t="s">
        <v>109</v>
      </c>
      <c r="AM95" s="4" t="s">
        <v>109</v>
      </c>
      <c r="AP95" s="1">
        <f t="shared" si="3"/>
        <v>8</v>
      </c>
      <c r="AQ95" s="38">
        <f>AA95-Table1[[#This Row],[Closed Date]]</f>
        <v>60</v>
      </c>
    </row>
    <row r="96" spans="1:43" ht="18.75" customHeight="1" x14ac:dyDescent="0.3">
      <c r="A96" s="4">
        <f>Table1[[#This Row],[Project No]]</f>
        <v>2407379</v>
      </c>
      <c r="B96" s="110" t="str">
        <f>VLOOKUP(A:A,Table1[[Project No]:[Additional Remark]],2,FALSE)</f>
        <v>Ng Boon Kiat (Daniel)</v>
      </c>
      <c r="C96" s="4" t="e" vm="16">
        <f>VLOOKUP(A:A,Table1[[#All],[Project No]:[Additional Remark]],7,FALSE)</f>
        <v>#VALUE!</v>
      </c>
      <c r="D96" s="4" t="str">
        <f>VLOOKUP(A:A,Table1[[#All],[Project No]:[Additional Remark]],4,FALSE)</f>
        <v>Chean Bang</v>
      </c>
      <c r="E96" s="4" t="str">
        <f>VLOOKUP(A:A,Table1[[#All],[Project No]:[Additional Remark]],5,FALSE)</f>
        <v>R-PV</v>
      </c>
      <c r="F96" s="4" t="str">
        <f>VLOOKUP(A:A,Table1[[Project No]:[Additional Remark]],6,FALSE)</f>
        <v>NEM</v>
      </c>
      <c r="G96" s="4">
        <f>VLOOKUP(A:A,Table1[[Project No]:[Additional Remark]],8,FALSE)</f>
        <v>5.2649999999999997</v>
      </c>
      <c r="H96" s="4" t="str">
        <f>VLOOKUP(A:A,Table1[[Project No]:[Additional Remark]],15,FALSE)</f>
        <v>Astronergy 585Wp</v>
      </c>
      <c r="I96" s="4">
        <f>VLOOKUP(A:A,Table1[[Project No]:[Additional Remark]],16,FALSE)</f>
        <v>9</v>
      </c>
      <c r="J96" s="1" t="str">
        <f>VLOOKUP(A:A,Table1[[Project No]:[Additional Remark]],17,FALSE)</f>
        <v>Solinteg MHS-5K-30 hybrid</v>
      </c>
      <c r="K96" s="127"/>
      <c r="L96" s="1" t="str">
        <f t="shared" si="2"/>
        <v>Completed</v>
      </c>
      <c r="M96" s="1" t="str">
        <f>VLOOKUP(A:A,'Finance Tracker'!A94:K338,8,FALSE)</f>
        <v>Invoice Completed</v>
      </c>
      <c r="N96" s="127"/>
      <c r="O96" s="1" t="s">
        <v>109</v>
      </c>
      <c r="P96" s="1" t="s">
        <v>109</v>
      </c>
      <c r="Q96" s="127"/>
      <c r="R96" s="56">
        <v>45495</v>
      </c>
      <c r="S96" s="56">
        <v>45503</v>
      </c>
      <c r="T96" s="1" t="s">
        <v>1822</v>
      </c>
      <c r="U96" s="56">
        <v>45891</v>
      </c>
      <c r="V96" s="39" t="s">
        <v>1853</v>
      </c>
      <c r="W96" s="1" t="s">
        <v>1853</v>
      </c>
      <c r="X96" s="4" t="s">
        <v>109</v>
      </c>
      <c r="Y96" s="4" t="s">
        <v>1853</v>
      </c>
      <c r="Z96" s="4" t="s">
        <v>1854</v>
      </c>
      <c r="AA96" s="39">
        <v>45524</v>
      </c>
      <c r="AB96" s="39" t="s">
        <v>1853</v>
      </c>
      <c r="AC96" s="39" t="s">
        <v>1853</v>
      </c>
      <c r="AD96" s="39" t="s">
        <v>1853</v>
      </c>
      <c r="AE96" s="39" t="s">
        <v>1853</v>
      </c>
      <c r="AF96" s="56">
        <v>45551</v>
      </c>
      <c r="AG96" s="56">
        <v>45551</v>
      </c>
      <c r="AH96" s="56">
        <v>49217</v>
      </c>
      <c r="AJ96" s="4" t="s">
        <v>109</v>
      </c>
      <c r="AK96" s="4" t="s">
        <v>109</v>
      </c>
      <c r="AL96" s="4" t="s">
        <v>109</v>
      </c>
      <c r="AM96" s="4" t="s">
        <v>109</v>
      </c>
      <c r="AP96" s="1">
        <f t="shared" si="3"/>
        <v>8</v>
      </c>
      <c r="AQ96" s="38">
        <f>AA96-Table1[[#This Row],[Closed Date]]</f>
        <v>40</v>
      </c>
    </row>
    <row r="97" spans="1:43" ht="18.75" customHeight="1" x14ac:dyDescent="0.3">
      <c r="A97" s="4">
        <f>Table1[[#This Row],[Project No]]</f>
        <v>2407380</v>
      </c>
      <c r="B97" s="110" t="str">
        <f>VLOOKUP(A:A,Table1[[Project No]:[Additional Remark]],2,FALSE)</f>
        <v>How Yee Seun</v>
      </c>
      <c r="C97" s="4" t="e" vm="15">
        <f>VLOOKUP(A:A,Table1[[#All],[Project No]:[Additional Remark]],7,FALSE)</f>
        <v>#VALUE!</v>
      </c>
      <c r="D97" s="4" t="str">
        <f>VLOOKUP(A:A,Table1[[#All],[Project No]:[Additional Remark]],4,FALSE)</f>
        <v>Tham</v>
      </c>
      <c r="E97" s="4" t="str">
        <f>VLOOKUP(A:A,Table1[[#All],[Project No]:[Additional Remark]],5,FALSE)</f>
        <v>R-PV</v>
      </c>
      <c r="F97" s="4" t="str">
        <f>VLOOKUP(A:A,Table1[[Project No]:[Additional Remark]],6,FALSE)</f>
        <v>NEM</v>
      </c>
      <c r="G97" s="4">
        <f>VLOOKUP(A:A,Table1[[Project No]:[Additional Remark]],8,FALSE)</f>
        <v>12.87</v>
      </c>
      <c r="H97" s="4" t="str">
        <f>VLOOKUP(A:A,Table1[[Project No]:[Additional Remark]],15,FALSE)</f>
        <v>Astronergy 585Wp</v>
      </c>
      <c r="I97" s="4">
        <f>VLOOKUP(A:A,Table1[[Project No]:[Additional Remark]],16,FALSE)</f>
        <v>22</v>
      </c>
      <c r="J97" s="1" t="str">
        <f>VLOOKUP(A:A,Table1[[Project No]:[Additional Remark]],17,FALSE)</f>
        <v>Huawei SUN2000-10KTL</v>
      </c>
      <c r="K97" s="127"/>
      <c r="L97" s="1" t="str">
        <f t="shared" si="2"/>
        <v>Completed</v>
      </c>
      <c r="M97" s="1" t="str">
        <f>VLOOKUP(A:A,'Finance Tracker'!A95:K339,8,FALSE)</f>
        <v>Invoice Completed</v>
      </c>
      <c r="N97" s="127"/>
      <c r="O97" s="1" t="s">
        <v>109</v>
      </c>
      <c r="P97" s="1" t="s">
        <v>109</v>
      </c>
      <c r="Q97" s="127"/>
      <c r="R97" s="56">
        <v>45500</v>
      </c>
      <c r="S97" s="56">
        <v>45505</v>
      </c>
      <c r="T97" s="1" t="s">
        <v>1822</v>
      </c>
      <c r="U97" s="56">
        <v>45768</v>
      </c>
      <c r="V97" s="39" t="s">
        <v>1853</v>
      </c>
      <c r="W97" s="1" t="s">
        <v>1853</v>
      </c>
      <c r="X97" s="4" t="s">
        <v>109</v>
      </c>
      <c r="Y97" s="4" t="s">
        <v>1853</v>
      </c>
      <c r="Z97" s="4" t="s">
        <v>1855</v>
      </c>
      <c r="AA97" s="39">
        <v>45533</v>
      </c>
      <c r="AB97" s="39" t="s">
        <v>1853</v>
      </c>
      <c r="AC97" s="39" t="s">
        <v>1853</v>
      </c>
      <c r="AD97" s="39" t="s">
        <v>1853</v>
      </c>
      <c r="AE97" s="39">
        <v>45539</v>
      </c>
      <c r="AF97" s="56">
        <v>45548</v>
      </c>
      <c r="AG97" s="56">
        <v>45548</v>
      </c>
      <c r="AH97" s="56">
        <v>49217</v>
      </c>
      <c r="AJ97" s="4" t="s">
        <v>109</v>
      </c>
      <c r="AK97" s="4" t="s">
        <v>109</v>
      </c>
      <c r="AL97" s="4" t="s">
        <v>109</v>
      </c>
      <c r="AM97" s="4" t="s">
        <v>109</v>
      </c>
      <c r="AP97" s="1">
        <f t="shared" si="3"/>
        <v>5</v>
      </c>
      <c r="AQ97" s="38">
        <f>AA97-Table1[[#This Row],[Closed Date]]</f>
        <v>47</v>
      </c>
    </row>
    <row r="98" spans="1:43" ht="18.75" customHeight="1" x14ac:dyDescent="0.3">
      <c r="A98" s="4">
        <f>Table1[[#This Row],[Project No]]</f>
        <v>2407381</v>
      </c>
      <c r="B98" s="110" t="str">
        <f>VLOOKUP(A:A,Table1[[Project No]:[Additional Remark]],2,FALSE)</f>
        <v>Lau Ah Leng</v>
      </c>
      <c r="C98" s="4" t="e" vm="15">
        <f>VLOOKUP(A:A,Table1[[#All],[Project No]:[Additional Remark]],7,FALSE)</f>
        <v>#VALUE!</v>
      </c>
      <c r="D98" s="4" t="str">
        <f>VLOOKUP(A:A,Table1[[#All],[Project No]:[Additional Remark]],4,FALSE)</f>
        <v>Tham</v>
      </c>
      <c r="E98" s="4" t="str">
        <f>VLOOKUP(A:A,Table1[[#All],[Project No]:[Additional Remark]],5,FALSE)</f>
        <v>R-PV</v>
      </c>
      <c r="F98" s="4" t="str">
        <f>VLOOKUP(A:A,Table1[[Project No]:[Additional Remark]],6,FALSE)</f>
        <v>NEM</v>
      </c>
      <c r="G98" s="4">
        <f>VLOOKUP(A:A,Table1[[Project No]:[Additional Remark]],8,FALSE)</f>
        <v>12.285</v>
      </c>
      <c r="H98" s="4" t="str">
        <f>VLOOKUP(A:A,Table1[[Project No]:[Additional Remark]],15,FALSE)</f>
        <v>Astronergy 585Wp</v>
      </c>
      <c r="I98" s="4">
        <f>VLOOKUP(A:A,Table1[[Project No]:[Additional Remark]],16,FALSE)</f>
        <v>21</v>
      </c>
      <c r="J98" s="1" t="str">
        <f>VLOOKUP(A:A,Table1[[Project No]:[Additional Remark]],17,FALSE)</f>
        <v>Huawei SUN2000-10KTL</v>
      </c>
      <c r="K98" s="127"/>
      <c r="L98" s="1" t="str">
        <f t="shared" si="2"/>
        <v>Completed</v>
      </c>
      <c r="M98" s="1" t="str">
        <f>VLOOKUP(A:A,'Finance Tracker'!A96:K340,8,FALSE)</f>
        <v>Invoice Completed</v>
      </c>
      <c r="N98" s="127"/>
      <c r="O98" s="1" t="s">
        <v>109</v>
      </c>
      <c r="P98" s="1" t="s">
        <v>109</v>
      </c>
      <c r="Q98" s="127"/>
      <c r="R98" s="56">
        <v>45500</v>
      </c>
      <c r="S98" s="56">
        <v>45505</v>
      </c>
      <c r="T98" s="1" t="s">
        <v>1822</v>
      </c>
      <c r="U98" s="56">
        <v>45775</v>
      </c>
      <c r="V98" s="39" t="s">
        <v>1853</v>
      </c>
      <c r="W98" s="1" t="s">
        <v>1853</v>
      </c>
      <c r="X98" s="4" t="s">
        <v>109</v>
      </c>
      <c r="Y98" s="4" t="s">
        <v>1853</v>
      </c>
      <c r="Z98" s="4" t="s">
        <v>1855</v>
      </c>
      <c r="AA98" s="39">
        <v>45567</v>
      </c>
      <c r="AB98" s="39" t="s">
        <v>1853</v>
      </c>
      <c r="AC98" s="39" t="s">
        <v>1853</v>
      </c>
      <c r="AD98" s="39" t="s">
        <v>1853</v>
      </c>
      <c r="AE98" s="56">
        <v>45581</v>
      </c>
      <c r="AF98" s="56">
        <v>45586</v>
      </c>
      <c r="AG98" s="56">
        <v>45586</v>
      </c>
      <c r="AH98" s="56">
        <v>49248</v>
      </c>
      <c r="AJ98" s="4" t="s">
        <v>109</v>
      </c>
      <c r="AK98" s="4" t="s">
        <v>109</v>
      </c>
      <c r="AL98" s="4" t="s">
        <v>109</v>
      </c>
      <c r="AM98" s="4" t="s">
        <v>109</v>
      </c>
      <c r="AP98" s="1">
        <f t="shared" si="3"/>
        <v>5</v>
      </c>
      <c r="AQ98" s="38">
        <f>AA98-Table1[[#This Row],[Closed Date]]</f>
        <v>81</v>
      </c>
    </row>
    <row r="99" spans="1:43" ht="18.75" customHeight="1" x14ac:dyDescent="0.3">
      <c r="A99" s="4">
        <f>Table1[[#This Row],[Project No]]</f>
        <v>2407382</v>
      </c>
      <c r="B99" s="110" t="str">
        <f>VLOOKUP(A:A,Table1[[Project No]:[Additional Remark]],2,FALSE)</f>
        <v>Leong Tack Ming</v>
      </c>
      <c r="C99" s="4" t="e" vm="15">
        <f>VLOOKUP(A:A,Table1[[#All],[Project No]:[Additional Remark]],7,FALSE)</f>
        <v>#VALUE!</v>
      </c>
      <c r="D99" s="4" t="str">
        <f>VLOOKUP(A:A,Table1[[#All],[Project No]:[Additional Remark]],4,FALSE)</f>
        <v>Tham</v>
      </c>
      <c r="E99" s="4" t="str">
        <f>VLOOKUP(A:A,Table1[[#All],[Project No]:[Additional Remark]],5,FALSE)</f>
        <v>R-PV</v>
      </c>
      <c r="F99" s="4" t="str">
        <f>VLOOKUP(A:A,Table1[[Project No]:[Additional Remark]],6,FALSE)</f>
        <v>NEM</v>
      </c>
      <c r="G99" s="4">
        <f>VLOOKUP(A:A,Table1[[Project No]:[Additional Remark]],8,FALSE)</f>
        <v>8.7750000000000004</v>
      </c>
      <c r="H99" s="4" t="str">
        <f>VLOOKUP(A:A,Table1[[Project No]:[Additional Remark]],15,FALSE)</f>
        <v>Astronergy 585Wp</v>
      </c>
      <c r="I99" s="4">
        <f>VLOOKUP(A:A,Table1[[Project No]:[Additional Remark]],16,FALSE)</f>
        <v>15.000000000000002</v>
      </c>
      <c r="J99" s="1" t="str">
        <f>VLOOKUP(A:A,Table1[[Project No]:[Additional Remark]],17,FALSE)</f>
        <v>Huawei SUN2000-8KTL</v>
      </c>
      <c r="K99" s="127"/>
      <c r="L99" s="1" t="str">
        <f t="shared" si="2"/>
        <v>Completed</v>
      </c>
      <c r="M99" s="1" t="str">
        <f>VLOOKUP(A:A,'Finance Tracker'!A97:K341,8,FALSE)</f>
        <v>Invoice Completed</v>
      </c>
      <c r="N99" s="127"/>
      <c r="O99" s="1" t="s">
        <v>109</v>
      </c>
      <c r="P99" s="1" t="s">
        <v>109</v>
      </c>
      <c r="Q99" s="127"/>
      <c r="R99" s="56">
        <v>45505</v>
      </c>
      <c r="S99" s="56">
        <v>45515</v>
      </c>
      <c r="T99" s="1" t="s">
        <v>1822</v>
      </c>
      <c r="U99" s="56">
        <v>45775</v>
      </c>
      <c r="V99" s="39" t="s">
        <v>1853</v>
      </c>
      <c r="W99" s="1" t="s">
        <v>1853</v>
      </c>
      <c r="X99" s="4" t="s">
        <v>109</v>
      </c>
      <c r="Y99" s="4" t="s">
        <v>1853</v>
      </c>
      <c r="Z99" s="4" t="s">
        <v>1855</v>
      </c>
      <c r="AA99" s="39">
        <v>45665</v>
      </c>
      <c r="AB99" s="39">
        <v>45614</v>
      </c>
      <c r="AC99" s="39" t="s">
        <v>1853</v>
      </c>
      <c r="AD99" s="39">
        <v>45979</v>
      </c>
      <c r="AE99" s="56">
        <v>45981</v>
      </c>
      <c r="AF99" s="56">
        <v>45617</v>
      </c>
      <c r="AG99" s="56">
        <v>45617</v>
      </c>
      <c r="AH99" s="56">
        <v>49278</v>
      </c>
      <c r="AJ99" s="4" t="s">
        <v>109</v>
      </c>
      <c r="AK99" s="4" t="s">
        <v>109</v>
      </c>
      <c r="AL99" s="4" t="s">
        <v>109</v>
      </c>
      <c r="AM99" s="4" t="s">
        <v>109</v>
      </c>
      <c r="AP99" s="1">
        <f t="shared" si="3"/>
        <v>10</v>
      </c>
      <c r="AQ99" s="38">
        <f>AA99-Table1[[#This Row],[Closed Date]]</f>
        <v>177</v>
      </c>
    </row>
    <row r="100" spans="1:43" ht="18.75" customHeight="1" x14ac:dyDescent="0.3">
      <c r="A100" s="4">
        <f>Table1[[#This Row],[Project No]]</f>
        <v>2407383</v>
      </c>
      <c r="B100" s="110" t="str">
        <f>VLOOKUP(A:A,Table1[[Project No]:[Additional Remark]],2,FALSE)</f>
        <v>Charles Lew Chow Leng</v>
      </c>
      <c r="C100" s="4" t="e" vm="15">
        <f>VLOOKUP(A:A,Table1[[#All],[Project No]:[Additional Remark]],7,FALSE)</f>
        <v>#VALUE!</v>
      </c>
      <c r="D100" s="4" t="str">
        <f>VLOOKUP(A:A,Table1[[#All],[Project No]:[Additional Remark]],4,FALSE)</f>
        <v>Tham</v>
      </c>
      <c r="E100" s="4" t="str">
        <f>VLOOKUP(A:A,Table1[[#All],[Project No]:[Additional Remark]],5,FALSE)</f>
        <v>R-PV</v>
      </c>
      <c r="F100" s="4" t="str">
        <f>VLOOKUP(A:A,Table1[[Project No]:[Additional Remark]],6,FALSE)</f>
        <v>NEM</v>
      </c>
      <c r="G100" s="4">
        <f>VLOOKUP(A:A,Table1[[Project No]:[Additional Remark]],8,FALSE)</f>
        <v>14.04</v>
      </c>
      <c r="H100" s="4" t="str">
        <f>VLOOKUP(A:A,Table1[[Project No]:[Additional Remark]],15,FALSE)</f>
        <v>Astronergy 585Wp</v>
      </c>
      <c r="I100" s="4">
        <f>VLOOKUP(A:A,Table1[[Project No]:[Additional Remark]],16,FALSE)</f>
        <v>24</v>
      </c>
      <c r="J100" s="1" t="str">
        <f>VLOOKUP(A:A,Table1[[Project No]:[Additional Remark]],17,FALSE)</f>
        <v>Huawei SUN2000-12KTL</v>
      </c>
      <c r="K100" s="127"/>
      <c r="L100" s="1" t="str">
        <f t="shared" si="2"/>
        <v>Completed</v>
      </c>
      <c r="M100" s="1" t="str">
        <f>VLOOKUP(A:A,'Finance Tracker'!A98:K342,8,FALSE)</f>
        <v>Invoice Completed</v>
      </c>
      <c r="N100" s="127"/>
      <c r="O100" s="1" t="s">
        <v>109</v>
      </c>
      <c r="P100" s="1" t="s">
        <v>109</v>
      </c>
      <c r="Q100" s="127"/>
      <c r="R100" s="56">
        <v>45497</v>
      </c>
      <c r="S100" s="56">
        <v>45505</v>
      </c>
      <c r="T100" s="1" t="s">
        <v>1822</v>
      </c>
      <c r="U100" s="56">
        <v>45768</v>
      </c>
      <c r="V100" s="39" t="s">
        <v>1853</v>
      </c>
      <c r="W100" s="1" t="s">
        <v>1853</v>
      </c>
      <c r="X100" s="4" t="s">
        <v>109</v>
      </c>
      <c r="Y100" s="4" t="s">
        <v>1853</v>
      </c>
      <c r="Z100" s="4" t="s">
        <v>1855</v>
      </c>
      <c r="AA100" s="39">
        <v>45544</v>
      </c>
      <c r="AB100" s="39" t="s">
        <v>1853</v>
      </c>
      <c r="AC100" s="39" t="s">
        <v>1853</v>
      </c>
      <c r="AD100" s="39" t="s">
        <v>1853</v>
      </c>
      <c r="AE100" s="56">
        <v>45559</v>
      </c>
      <c r="AF100" s="56">
        <v>45560</v>
      </c>
      <c r="AG100" s="56">
        <v>45560</v>
      </c>
      <c r="AH100" s="56">
        <v>49217</v>
      </c>
      <c r="AJ100" s="4" t="s">
        <v>109</v>
      </c>
      <c r="AK100" s="4" t="s">
        <v>109</v>
      </c>
      <c r="AL100" s="4" t="s">
        <v>109</v>
      </c>
      <c r="AM100" s="4" t="s">
        <v>109</v>
      </c>
      <c r="AP100" s="1">
        <f t="shared" si="3"/>
        <v>8</v>
      </c>
      <c r="AQ100" s="38">
        <f>AA100-Table1[[#This Row],[Closed Date]]</f>
        <v>56</v>
      </c>
    </row>
    <row r="101" spans="1:43" ht="18.75" customHeight="1" x14ac:dyDescent="0.3">
      <c r="A101" s="4">
        <f>Table1[[#This Row],[Project No]]</f>
        <v>2407384</v>
      </c>
      <c r="B101" s="110" t="str">
        <f>VLOOKUP(A:A,Table1[[Project No]:[Additional Remark]],2,FALSE)</f>
        <v>Loh Fook Khew</v>
      </c>
      <c r="C101" s="4" t="e" vm="15">
        <f>VLOOKUP(A:A,Table1[[#All],[Project No]:[Additional Remark]],7,FALSE)</f>
        <v>#VALUE!</v>
      </c>
      <c r="D101" s="4" t="str">
        <f>VLOOKUP(A:A,Table1[[#All],[Project No]:[Additional Remark]],4,FALSE)</f>
        <v>Tham</v>
      </c>
      <c r="E101" s="4" t="str">
        <f>VLOOKUP(A:A,Table1[[#All],[Project No]:[Additional Remark]],5,FALSE)</f>
        <v>R-PV</v>
      </c>
      <c r="F101" s="4" t="str">
        <f>VLOOKUP(A:A,Table1[[Project No]:[Additional Remark]],6,FALSE)</f>
        <v>NEM</v>
      </c>
      <c r="G101" s="4">
        <f>VLOOKUP(A:A,Table1[[Project No]:[Additional Remark]],8,FALSE)</f>
        <v>12.285</v>
      </c>
      <c r="H101" s="4" t="str">
        <f>VLOOKUP(A:A,Table1[[Project No]:[Additional Remark]],15,FALSE)</f>
        <v>Astronergy 585Wp</v>
      </c>
      <c r="I101" s="4">
        <f>VLOOKUP(A:A,Table1[[Project No]:[Additional Remark]],16,FALSE)</f>
        <v>21</v>
      </c>
      <c r="J101" s="1" t="str">
        <f>VLOOKUP(A:A,Table1[[Project No]:[Additional Remark]],17,FALSE)</f>
        <v>Huawei SUN2000-10KTL</v>
      </c>
      <c r="K101" s="127"/>
      <c r="L101" s="1" t="str">
        <f t="shared" si="2"/>
        <v>Completed</v>
      </c>
      <c r="M101" s="1" t="str">
        <f>VLOOKUP(A:A,'Finance Tracker'!A99:K343,8,FALSE)</f>
        <v>Invoice Completed</v>
      </c>
      <c r="N101" s="127"/>
      <c r="O101" s="1" t="s">
        <v>109</v>
      </c>
      <c r="P101" s="1" t="s">
        <v>109</v>
      </c>
      <c r="Q101" s="127"/>
      <c r="R101" s="56">
        <v>45499</v>
      </c>
      <c r="S101" s="56">
        <v>45505</v>
      </c>
      <c r="T101" s="1" t="s">
        <v>1822</v>
      </c>
      <c r="U101" s="56">
        <v>45768</v>
      </c>
      <c r="V101" s="39" t="s">
        <v>1853</v>
      </c>
      <c r="W101" s="1" t="s">
        <v>1853</v>
      </c>
      <c r="X101" s="4" t="s">
        <v>109</v>
      </c>
      <c r="Y101" s="4" t="s">
        <v>1853</v>
      </c>
      <c r="Z101" s="4" t="s">
        <v>1855</v>
      </c>
      <c r="AA101" s="39">
        <v>45547</v>
      </c>
      <c r="AB101" s="39" t="s">
        <v>1853</v>
      </c>
      <c r="AC101" s="39" t="s">
        <v>1853</v>
      </c>
      <c r="AD101" s="39" t="s">
        <v>1853</v>
      </c>
      <c r="AE101" s="56">
        <v>45561</v>
      </c>
      <c r="AF101" s="56">
        <v>45565</v>
      </c>
      <c r="AG101" s="56">
        <v>45565</v>
      </c>
      <c r="AH101" s="56">
        <v>49217</v>
      </c>
      <c r="AJ101" s="4" t="s">
        <v>109</v>
      </c>
      <c r="AK101" s="4" t="s">
        <v>109</v>
      </c>
      <c r="AL101" s="4" t="s">
        <v>109</v>
      </c>
      <c r="AM101" s="4" t="s">
        <v>109</v>
      </c>
      <c r="AP101" s="1">
        <f t="shared" si="3"/>
        <v>6</v>
      </c>
      <c r="AQ101" s="38">
        <f>AA101-Table1[[#This Row],[Closed Date]]</f>
        <v>59</v>
      </c>
    </row>
    <row r="102" spans="1:43" ht="18.75" customHeight="1" x14ac:dyDescent="0.3">
      <c r="A102" s="4">
        <f>Table1[[#This Row],[Project No]]</f>
        <v>2407385</v>
      </c>
      <c r="B102" s="110" t="str">
        <f>VLOOKUP(A:A,Table1[[Project No]:[Additional Remark]],2,FALSE)</f>
        <v>Cheong Chin Meng</v>
      </c>
      <c r="C102" s="4" t="e" vm="16">
        <f>VLOOKUP(A:A,Table1[[#All],[Project No]:[Additional Remark]],7,FALSE)</f>
        <v>#VALUE!</v>
      </c>
      <c r="D102" s="4" t="str">
        <f>VLOOKUP(A:A,Table1[[#All],[Project No]:[Additional Remark]],4,FALSE)</f>
        <v>Chean Bang</v>
      </c>
      <c r="E102" s="4" t="str">
        <f>VLOOKUP(A:A,Table1[[#All],[Project No]:[Additional Remark]],5,FALSE)</f>
        <v>R-PV</v>
      </c>
      <c r="F102" s="4" t="str">
        <f>VLOOKUP(A:A,Table1[[Project No]:[Additional Remark]],6,FALSE)</f>
        <v>NEM</v>
      </c>
      <c r="G102" s="4">
        <f>VLOOKUP(A:A,Table1[[Project No]:[Additional Remark]],8,FALSE)</f>
        <v>15.21</v>
      </c>
      <c r="H102" s="4" t="str">
        <f>VLOOKUP(A:A,Table1[[Project No]:[Additional Remark]],15,FALSE)</f>
        <v>Astronergy 585Wp</v>
      </c>
      <c r="I102" s="4">
        <f>VLOOKUP(A:A,Table1[[Project No]:[Additional Remark]],16,FALSE)</f>
        <v>26.000000000000004</v>
      </c>
      <c r="J102" s="1" t="str">
        <f>VLOOKUP(A:A,Table1[[Project No]:[Additional Remark]],17,FALSE)</f>
        <v>Solinteg MHT-12K-25 hybrid</v>
      </c>
      <c r="K102" s="127"/>
      <c r="L102" s="1" t="str">
        <f t="shared" si="2"/>
        <v>Completed</v>
      </c>
      <c r="M102" s="1" t="str">
        <f>VLOOKUP(A:A,'Finance Tracker'!A100:K344,8,FALSE)</f>
        <v>Invoice Completed</v>
      </c>
      <c r="N102" s="127"/>
      <c r="O102" s="1" t="s">
        <v>109</v>
      </c>
      <c r="P102" s="1" t="s">
        <v>109</v>
      </c>
      <c r="Q102" s="127"/>
      <c r="R102" s="56">
        <v>45498</v>
      </c>
      <c r="S102" s="56">
        <v>45504</v>
      </c>
      <c r="T102" s="1" t="s">
        <v>1822</v>
      </c>
      <c r="U102" s="56">
        <v>45776</v>
      </c>
      <c r="V102" s="39" t="s">
        <v>1853</v>
      </c>
      <c r="W102" s="1" t="s">
        <v>1853</v>
      </c>
      <c r="X102" s="4" t="s">
        <v>109</v>
      </c>
      <c r="Y102" s="4" t="s">
        <v>1853</v>
      </c>
      <c r="Z102" s="4" t="s">
        <v>1854</v>
      </c>
      <c r="AA102" s="39">
        <v>45545</v>
      </c>
      <c r="AB102" s="39" t="s">
        <v>1853</v>
      </c>
      <c r="AC102" s="39" t="s">
        <v>1853</v>
      </c>
      <c r="AD102" s="39" t="s">
        <v>1853</v>
      </c>
      <c r="AE102" s="56">
        <v>45572</v>
      </c>
      <c r="AF102" s="56">
        <v>45585</v>
      </c>
      <c r="AG102" s="56">
        <v>45585</v>
      </c>
      <c r="AH102" s="56">
        <v>49248</v>
      </c>
      <c r="AJ102" s="4" t="s">
        <v>109</v>
      </c>
      <c r="AK102" s="4" t="s">
        <v>109</v>
      </c>
      <c r="AL102" s="4" t="s">
        <v>109</v>
      </c>
      <c r="AM102" s="4" t="s">
        <v>109</v>
      </c>
      <c r="AP102" s="1">
        <f t="shared" si="3"/>
        <v>6</v>
      </c>
      <c r="AQ102" s="38">
        <f>AA102-Table1[[#This Row],[Closed Date]]</f>
        <v>57</v>
      </c>
    </row>
    <row r="103" spans="1:43" s="217" customFormat="1" ht="18.75" customHeight="1" x14ac:dyDescent="0.3">
      <c r="A103" s="210">
        <f>Table1[[#This Row],[Project No]]</f>
        <v>2310035</v>
      </c>
      <c r="B103" s="211" t="str">
        <f>VLOOKUP(A:A,Table1[[Project No]:[Additional Remark]],2,FALSE)</f>
        <v>Advantic Nutraceuticals</v>
      </c>
      <c r="C103" s="210" t="e" vm="5">
        <f>VLOOKUP(A:A,Table1[[#All],[Project No]:[Additional Remark]],7,FALSE)</f>
        <v>#VALUE!</v>
      </c>
      <c r="D103" s="210" t="str">
        <f>VLOOKUP(A:A,Table1[[#All],[Project No]:[Additional Remark]],4,FALSE)</f>
        <v>Tham</v>
      </c>
      <c r="E103" s="210" t="str">
        <f>VLOOKUP(A:A,Table1[[#All],[Project No]:[Additional Remark]],5,FALSE)</f>
        <v>C&amp;I-PV</v>
      </c>
      <c r="F103" s="210" t="s">
        <v>14</v>
      </c>
      <c r="G103" s="210">
        <f>VLOOKUP(A:A,Table1[[Project No]:[Additional Remark]],8,FALSE)</f>
        <v>87.84</v>
      </c>
      <c r="H103" s="210" t="str">
        <f>VLOOKUP(A:A,Table1[[Project No]:[Additional Remark]],15,FALSE)</f>
        <v>Astronergy 610Wp</v>
      </c>
      <c r="I103" s="210">
        <f>VLOOKUP(A:A,Table1[[Project No]:[Additional Remark]],16,FALSE)</f>
        <v>144</v>
      </c>
      <c r="J103" s="212" t="str">
        <f>VLOOKUP(A:A,Table1[[Project No]:[Additional Remark]],17,FALSE)</f>
        <v xml:space="preserve">Huawei SUN2000-30KTL + Huawei SUN2000-36KTL </v>
      </c>
      <c r="K103" s="213"/>
      <c r="L103" s="212" t="str">
        <f t="shared" si="2"/>
        <v>Pending GITA Application</v>
      </c>
      <c r="M103" s="212" t="str">
        <f>VLOOKUP(A:A,'Finance Tracker'!A101:K345,8,FALSE)</f>
        <v>Invoice Completed</v>
      </c>
      <c r="N103" s="213"/>
      <c r="O103" s="212" t="s">
        <v>109</v>
      </c>
      <c r="P103" s="212" t="s">
        <v>109</v>
      </c>
      <c r="Q103" s="213"/>
      <c r="R103" s="214">
        <v>45834</v>
      </c>
      <c r="S103" s="214">
        <v>45875</v>
      </c>
      <c r="T103" s="212" t="s">
        <v>1822</v>
      </c>
      <c r="U103" s="214">
        <v>46198</v>
      </c>
      <c r="V103" s="215" t="s">
        <v>1853</v>
      </c>
      <c r="W103" s="212" t="s">
        <v>1853</v>
      </c>
      <c r="X103" s="212" t="s">
        <v>1853</v>
      </c>
      <c r="Y103" s="210" t="s">
        <v>1853</v>
      </c>
      <c r="Z103" s="210" t="s">
        <v>1855</v>
      </c>
      <c r="AA103" s="215">
        <v>45817</v>
      </c>
      <c r="AB103" s="215" t="s">
        <v>1853</v>
      </c>
      <c r="AC103" s="215" t="s">
        <v>1853</v>
      </c>
      <c r="AD103" s="215" t="s">
        <v>1853</v>
      </c>
      <c r="AE103" s="215" t="s">
        <v>1853</v>
      </c>
      <c r="AF103" s="214">
        <v>45909</v>
      </c>
      <c r="AG103" s="214">
        <v>45909</v>
      </c>
      <c r="AH103" s="214">
        <v>49582</v>
      </c>
      <c r="AI103" s="216"/>
      <c r="AJ103" s="210" t="s">
        <v>109</v>
      </c>
      <c r="AK103" s="210" t="s">
        <v>109</v>
      </c>
      <c r="AL103" s="210"/>
      <c r="AM103" s="210"/>
      <c r="AP103" s="212">
        <f t="shared" si="3"/>
        <v>41</v>
      </c>
      <c r="AQ103" s="218">
        <f>AA103-Table1[[#This Row],[Closed Date]]</f>
        <v>24</v>
      </c>
    </row>
    <row r="104" spans="1:43" s="217" customFormat="1" ht="18.75" customHeight="1" x14ac:dyDescent="0.3">
      <c r="A104" s="210">
        <f>Table1[[#This Row],[Project No]]</f>
        <v>2403088</v>
      </c>
      <c r="B104" s="211" t="str">
        <f>VLOOKUP(A:A,Table1[[Project No]:[Additional Remark]],2,FALSE)</f>
        <v>Chua Tong Hin Hardware Sdn Bhd</v>
      </c>
      <c r="C104" s="210" t="e" vm="5">
        <f>VLOOKUP(A:A,Table1[[#All],[Project No]:[Additional Remark]],7,FALSE)</f>
        <v>#VALUE!</v>
      </c>
      <c r="D104" s="210" t="str">
        <f>VLOOKUP(A:A,Table1[[#All],[Project No]:[Additional Remark]],4,FALSE)</f>
        <v>Tham</v>
      </c>
      <c r="E104" s="210" t="str">
        <f>VLOOKUP(A:A,Table1[[#All],[Project No]:[Additional Remark]],5,FALSE)</f>
        <v>C&amp;I-PV</v>
      </c>
      <c r="F104" s="210" t="str">
        <f>VLOOKUP(A:A,Table1[[Project No]:[Additional Remark]],6,FALSE)</f>
        <v>NEM</v>
      </c>
      <c r="G104" s="210">
        <f>VLOOKUP(A:A,Table1[[Project No]:[Additional Remark]],8,FALSE)</f>
        <v>37.44</v>
      </c>
      <c r="H104" s="210" t="str">
        <f>VLOOKUP(A:A,Table1[[Project No]:[Additional Remark]],15,FALSE)</f>
        <v>Astronergy 585Wp</v>
      </c>
      <c r="I104" s="210">
        <f>VLOOKUP(A:A,Table1[[Project No]:[Additional Remark]],16,FALSE)</f>
        <v>64</v>
      </c>
      <c r="J104" s="212" t="str">
        <f>VLOOKUP(A:A,Table1[[Project No]:[Additional Remark]],17,FALSE)</f>
        <v>Huawei SUN2000-30KTL</v>
      </c>
      <c r="K104" s="213"/>
      <c r="L104" s="212" t="str">
        <f t="shared" si="2"/>
        <v>Pending GITA Application</v>
      </c>
      <c r="M104" s="212" t="str">
        <f>VLOOKUP(A:A,'Finance Tracker'!A102:K346,8,FALSE)</f>
        <v>Invoice Completed</v>
      </c>
      <c r="N104" s="213"/>
      <c r="O104" s="212" t="s">
        <v>109</v>
      </c>
      <c r="P104" s="212" t="s">
        <v>109</v>
      </c>
      <c r="Q104" s="213"/>
      <c r="R104" s="214">
        <v>45608</v>
      </c>
      <c r="S104" s="214">
        <v>45623</v>
      </c>
      <c r="T104" s="212" t="s">
        <v>1823</v>
      </c>
      <c r="U104" s="214">
        <v>45816</v>
      </c>
      <c r="V104" s="215" t="s">
        <v>1853</v>
      </c>
      <c r="W104" s="212" t="s">
        <v>1853</v>
      </c>
      <c r="X104" s="210" t="s">
        <v>1853</v>
      </c>
      <c r="Y104" s="210" t="s">
        <v>1853</v>
      </c>
      <c r="Z104" s="210" t="s">
        <v>307</v>
      </c>
      <c r="AA104" s="215">
        <v>45653</v>
      </c>
      <c r="AB104" s="215" t="s">
        <v>1853</v>
      </c>
      <c r="AC104" s="215" t="s">
        <v>1853</v>
      </c>
      <c r="AD104" s="215" t="s">
        <v>1853</v>
      </c>
      <c r="AE104" s="214" t="s">
        <v>1853</v>
      </c>
      <c r="AF104" s="214">
        <v>45723</v>
      </c>
      <c r="AG104" s="214">
        <v>45723</v>
      </c>
      <c r="AH104" s="214">
        <v>49399</v>
      </c>
      <c r="AI104" s="216"/>
      <c r="AJ104" s="210" t="s">
        <v>109</v>
      </c>
      <c r="AK104" s="210" t="s">
        <v>109</v>
      </c>
      <c r="AL104" s="210"/>
      <c r="AM104" s="210"/>
      <c r="AP104" s="212">
        <f t="shared" si="3"/>
        <v>15</v>
      </c>
      <c r="AQ104" s="218">
        <f>AA104-Table1[[#This Row],[Closed Date]]</f>
        <v>163</v>
      </c>
    </row>
    <row r="105" spans="1:43" ht="18.75" customHeight="1" x14ac:dyDescent="0.3">
      <c r="A105" s="4">
        <f>Table1[[#This Row],[Project No]]</f>
        <v>2407157</v>
      </c>
      <c r="B105" s="110" t="str">
        <f>VLOOKUP(A:A,Table1[[Project No]:[Additional Remark]],2,FALSE)</f>
        <v>NMSY Capital Sdn Bhd (Mohd Nasir)</v>
      </c>
      <c r="C105" s="4" t="e" vm="11">
        <f>VLOOKUP(A:A,Table1[[#All],[Project No]:[Additional Remark]],7,FALSE)</f>
        <v>#VALUE!</v>
      </c>
      <c r="D105" s="4" t="str">
        <f>VLOOKUP(A:A,Table1[[#All],[Project No]:[Additional Remark]],4,FALSE)</f>
        <v>Patricia</v>
      </c>
      <c r="E105" s="4" t="str">
        <f>VLOOKUP(A:A,Table1[[#All],[Project No]:[Additional Remark]],5,FALSE)</f>
        <v>C&amp;I-PV</v>
      </c>
      <c r="F105" s="4" t="str">
        <f>VLOOKUP(A:A,Table1[[Project No]:[Additional Remark]],6,FALSE)</f>
        <v>NEM</v>
      </c>
      <c r="G105" s="4">
        <f>VLOOKUP(A:A,Table1[[Project No]:[Additional Remark]],8,FALSE)</f>
        <v>18.72</v>
      </c>
      <c r="H105" s="4" t="str">
        <f>VLOOKUP(A:A,Table1[[Project No]:[Additional Remark]],15,FALSE)</f>
        <v>Astronergy 585Wp</v>
      </c>
      <c r="I105" s="4">
        <f>VLOOKUP(A:A,Table1[[Project No]:[Additional Remark]],16,FALSE)</f>
        <v>32</v>
      </c>
      <c r="J105" s="1" t="str">
        <f>VLOOKUP(A:A,Table1[[Project No]:[Additional Remark]],17,FALSE)</f>
        <v>Huawei SUN2000-17KTL</v>
      </c>
      <c r="K105" s="127"/>
      <c r="L105" s="1" t="str">
        <f t="shared" si="2"/>
        <v>Completed</v>
      </c>
      <c r="M105" s="1" t="str">
        <f>VLOOKUP(A:A,'Finance Tracker'!A103:K347,8,FALSE)</f>
        <v>Invoice Completed</v>
      </c>
      <c r="N105" s="127"/>
      <c r="O105" s="1" t="s">
        <v>109</v>
      </c>
      <c r="P105" s="1" t="s">
        <v>109</v>
      </c>
      <c r="Q105" s="127"/>
      <c r="R105" s="56">
        <v>45510</v>
      </c>
      <c r="S105" s="56">
        <v>45545</v>
      </c>
      <c r="T105" s="1" t="s">
        <v>1823</v>
      </c>
      <c r="U105" s="56">
        <v>45932</v>
      </c>
      <c r="V105" s="39" t="s">
        <v>1853</v>
      </c>
      <c r="W105" s="1" t="s">
        <v>1853</v>
      </c>
      <c r="X105" s="4" t="s">
        <v>1853</v>
      </c>
      <c r="Y105" s="4" t="s">
        <v>1853</v>
      </c>
      <c r="Z105" s="4" t="s">
        <v>1854</v>
      </c>
      <c r="AA105" s="39">
        <v>45547</v>
      </c>
      <c r="AB105" s="39" t="s">
        <v>1853</v>
      </c>
      <c r="AC105" s="39" t="s">
        <v>1853</v>
      </c>
      <c r="AD105" s="39" t="s">
        <v>1853</v>
      </c>
      <c r="AE105" s="56">
        <v>45561</v>
      </c>
      <c r="AF105" s="56">
        <v>45575</v>
      </c>
      <c r="AG105" s="56">
        <v>45575</v>
      </c>
      <c r="AH105" s="56">
        <v>49248</v>
      </c>
      <c r="AJ105" s="4" t="s">
        <v>109</v>
      </c>
      <c r="AK105" s="4" t="s">
        <v>109</v>
      </c>
      <c r="AL105" s="4" t="s">
        <v>109</v>
      </c>
      <c r="AM105" s="4" t="s">
        <v>109</v>
      </c>
      <c r="AP105" s="1">
        <f t="shared" si="3"/>
        <v>35</v>
      </c>
      <c r="AQ105" s="38">
        <f>AA105-Table1[[#This Row],[Closed Date]]</f>
        <v>66</v>
      </c>
    </row>
    <row r="106" spans="1:43" ht="18.75" customHeight="1" x14ac:dyDescent="0.3">
      <c r="A106" s="4">
        <f>Table1[[#This Row],[Project No]]</f>
        <v>2312116</v>
      </c>
      <c r="B106" s="110" t="str">
        <f>VLOOKUP(A:A,Table1[[Project No]:[Additional Remark]],2,FALSE)</f>
        <v>Chua Ling Ling</v>
      </c>
      <c r="C106" s="4" t="e" vm="12">
        <f>VLOOKUP(A:A,Table1[[#All],[Project No]:[Additional Remark]],7,FALSE)</f>
        <v>#VALUE!</v>
      </c>
      <c r="D106" s="4" t="str">
        <f>VLOOKUP(A:A,Table1[[#All],[Project No]:[Additional Remark]],4,FALSE)</f>
        <v>Tham</v>
      </c>
      <c r="E106" s="4" t="str">
        <f>VLOOKUP(A:A,Table1[[#All],[Project No]:[Additional Remark]],5,FALSE)</f>
        <v>R-PV</v>
      </c>
      <c r="F106" s="4" t="str">
        <f>VLOOKUP(A:A,Table1[[Project No]:[Additional Remark]],6,FALSE)</f>
        <v>NEM</v>
      </c>
      <c r="G106" s="4">
        <f>VLOOKUP(A:A,Table1[[Project No]:[Additional Remark]],8,FALSE)</f>
        <v>11.7</v>
      </c>
      <c r="H106" s="4" t="str">
        <f>VLOOKUP(A:A,Table1[[Project No]:[Additional Remark]],15,FALSE)</f>
        <v>Astronergy 585Wp</v>
      </c>
      <c r="I106" s="4">
        <f>VLOOKUP(A:A,Table1[[Project No]:[Additional Remark]],16,FALSE)</f>
        <v>20</v>
      </c>
      <c r="J106" s="1" t="str">
        <f>VLOOKUP(A:A,Table1[[Project No]:[Additional Remark]],17,FALSE)</f>
        <v>Huawei SUN2000-10KTL</v>
      </c>
      <c r="K106" s="127"/>
      <c r="L106" s="1" t="str">
        <f t="shared" si="2"/>
        <v>Completed</v>
      </c>
      <c r="M106" s="1" t="str">
        <f>VLOOKUP(A:A,'Finance Tracker'!A104:K347,8,FALSE)</f>
        <v>Invoice Completed</v>
      </c>
      <c r="N106" s="127"/>
      <c r="O106" s="1" t="s">
        <v>109</v>
      </c>
      <c r="P106" s="1" t="s">
        <v>109</v>
      </c>
      <c r="Q106" s="127"/>
      <c r="R106" s="56">
        <v>45518</v>
      </c>
      <c r="S106" s="56">
        <v>45535</v>
      </c>
      <c r="T106" s="1" t="s">
        <v>1822</v>
      </c>
      <c r="U106" s="56">
        <v>45769</v>
      </c>
      <c r="V106" s="39" t="s">
        <v>1853</v>
      </c>
      <c r="W106" s="1" t="s">
        <v>1853</v>
      </c>
      <c r="X106" s="4" t="s">
        <v>109</v>
      </c>
      <c r="Y106" s="4" t="s">
        <v>1853</v>
      </c>
      <c r="Z106" s="4" t="s">
        <v>1855</v>
      </c>
      <c r="AA106" s="39">
        <v>45555</v>
      </c>
      <c r="AB106" s="39" t="s">
        <v>1853</v>
      </c>
      <c r="AC106" s="39" t="s">
        <v>1853</v>
      </c>
      <c r="AD106" s="39" t="s">
        <v>1853</v>
      </c>
      <c r="AE106" s="56">
        <v>45600</v>
      </c>
      <c r="AF106" s="56">
        <v>45607</v>
      </c>
      <c r="AG106" s="56">
        <v>45607</v>
      </c>
      <c r="AH106" s="56">
        <v>49278</v>
      </c>
      <c r="AJ106" s="4" t="s">
        <v>109</v>
      </c>
      <c r="AK106" s="4" t="s">
        <v>109</v>
      </c>
      <c r="AL106" s="4" t="s">
        <v>109</v>
      </c>
      <c r="AM106" s="4" t="s">
        <v>109</v>
      </c>
      <c r="AP106" s="1">
        <f t="shared" si="3"/>
        <v>17</v>
      </c>
      <c r="AQ106" s="38">
        <f>AA106-Table1[[#This Row],[Closed Date]]</f>
        <v>94</v>
      </c>
    </row>
    <row r="107" spans="1:43" ht="18.75" customHeight="1" x14ac:dyDescent="0.3">
      <c r="A107" s="4">
        <f>Table1[[#This Row],[Project No]]</f>
        <v>2407388</v>
      </c>
      <c r="B107" s="110" t="str">
        <f>VLOOKUP(A:A,Table1[[Project No]:[Additional Remark]],2,FALSE)</f>
        <v>Yeo Chen Kok</v>
      </c>
      <c r="C107" s="4" t="e" vm="12">
        <f>VLOOKUP(A:A,Table1[[#All],[Project No]:[Additional Remark]],7,FALSE)</f>
        <v>#VALUE!</v>
      </c>
      <c r="D107" s="4" t="str">
        <f>VLOOKUP(A:A,Table1[[#All],[Project No]:[Additional Remark]],4,FALSE)</f>
        <v>Tham</v>
      </c>
      <c r="E107" s="4" t="str">
        <f>VLOOKUP(A:A,Table1[[#All],[Project No]:[Additional Remark]],5,FALSE)</f>
        <v>R-PV</v>
      </c>
      <c r="F107" s="4" t="str">
        <f>VLOOKUP(A:A,Table1[[Project No]:[Additional Remark]],6,FALSE)</f>
        <v>NEM</v>
      </c>
      <c r="G107" s="4">
        <f>VLOOKUP(A:A,Table1[[Project No]:[Additional Remark]],8,FALSE)</f>
        <v>12.285</v>
      </c>
      <c r="H107" s="4" t="str">
        <f>VLOOKUP(A:A,Table1[[Project No]:[Additional Remark]],15,FALSE)</f>
        <v>Astronergy 585Wp</v>
      </c>
      <c r="I107" s="4">
        <f>VLOOKUP(A:A,Table1[[Project No]:[Additional Remark]],16,FALSE)</f>
        <v>21</v>
      </c>
      <c r="J107" s="1" t="str">
        <f>VLOOKUP(A:A,Table1[[Project No]:[Additional Remark]],17,FALSE)</f>
        <v>Huawei SUN2000-10KTL</v>
      </c>
      <c r="K107" s="127"/>
      <c r="L107" s="1" t="str">
        <f t="shared" si="2"/>
        <v>Completed</v>
      </c>
      <c r="M107" s="1" t="str">
        <f>VLOOKUP(A:A,'Finance Tracker'!A105:K347,8,FALSE)</f>
        <v>Invoice Completed</v>
      </c>
      <c r="N107" s="127"/>
      <c r="O107" s="1" t="s">
        <v>109</v>
      </c>
      <c r="P107" s="1" t="s">
        <v>109</v>
      </c>
      <c r="Q107" s="127"/>
      <c r="R107" s="56">
        <v>45505</v>
      </c>
      <c r="S107" s="56">
        <v>45515</v>
      </c>
      <c r="T107" s="1" t="s">
        <v>1822</v>
      </c>
      <c r="U107" s="56">
        <v>45775</v>
      </c>
      <c r="V107" s="39" t="s">
        <v>1853</v>
      </c>
      <c r="W107" s="1" t="s">
        <v>1853</v>
      </c>
      <c r="X107" s="4" t="s">
        <v>109</v>
      </c>
      <c r="Y107" s="4" t="s">
        <v>1853</v>
      </c>
      <c r="Z107" s="4" t="s">
        <v>1855</v>
      </c>
      <c r="AA107" s="39">
        <v>45562</v>
      </c>
      <c r="AB107" s="39" t="s">
        <v>1853</v>
      </c>
      <c r="AC107" s="39" t="s">
        <v>1853</v>
      </c>
      <c r="AD107" s="39" t="s">
        <v>1853</v>
      </c>
      <c r="AE107" s="39" t="s">
        <v>1853</v>
      </c>
      <c r="AF107" s="56">
        <v>45569</v>
      </c>
      <c r="AG107" s="56">
        <v>45569</v>
      </c>
      <c r="AH107" s="56">
        <v>49248</v>
      </c>
      <c r="AJ107" s="4" t="s">
        <v>109</v>
      </c>
      <c r="AK107" s="4" t="s">
        <v>109</v>
      </c>
      <c r="AL107" s="4" t="s">
        <v>109</v>
      </c>
      <c r="AM107" s="4" t="s">
        <v>109</v>
      </c>
      <c r="AP107" s="1">
        <f t="shared" si="3"/>
        <v>10</v>
      </c>
      <c r="AQ107" s="38">
        <f>AA107-Table1[[#This Row],[Closed Date]]</f>
        <v>70</v>
      </c>
    </row>
    <row r="108" spans="1:43" ht="18.75" customHeight="1" x14ac:dyDescent="0.3">
      <c r="A108" s="4">
        <f>Table1[[#This Row],[Project No]]</f>
        <v>2407386</v>
      </c>
      <c r="B108" s="110" t="str">
        <f>VLOOKUP(A:A,Table1[[Project No]:[Additional Remark]],2,FALSE)</f>
        <v>Amirluddin bin Awang</v>
      </c>
      <c r="C108" s="4" t="e" vm="16">
        <f>VLOOKUP(A:A,Table1[[#All],[Project No]:[Additional Remark]],7,FALSE)</f>
        <v>#VALUE!</v>
      </c>
      <c r="D108" s="4" t="str">
        <f>VLOOKUP(A:A,Table1[[#All],[Project No]:[Additional Remark]],4,FALSE)</f>
        <v>Chean Bang</v>
      </c>
      <c r="E108" s="4" t="str">
        <f>VLOOKUP(A:A,Table1[[#All],[Project No]:[Additional Remark]],5,FALSE)</f>
        <v>R-PV</v>
      </c>
      <c r="F108" s="4" t="str">
        <f>VLOOKUP(A:A,Table1[[Project No]:[Additional Remark]],6,FALSE)</f>
        <v>NEM</v>
      </c>
      <c r="G108" s="4">
        <f>VLOOKUP(A:A,Table1[[Project No]:[Additional Remark]],8,FALSE)</f>
        <v>12.285</v>
      </c>
      <c r="H108" s="4" t="str">
        <f>VLOOKUP(A:A,Table1[[Project No]:[Additional Remark]],15,FALSE)</f>
        <v>Astronergy 585Wp</v>
      </c>
      <c r="I108" s="4">
        <f>VLOOKUP(A:A,Table1[[Project No]:[Additional Remark]],16,FALSE)</f>
        <v>21</v>
      </c>
      <c r="J108" s="1" t="str">
        <f>VLOOKUP(A:A,Table1[[Project No]:[Additional Remark]],17,FALSE)</f>
        <v>Solinteg MHT-10K-25 hybrid</v>
      </c>
      <c r="K108" s="127"/>
      <c r="L108" s="1" t="str">
        <f t="shared" si="2"/>
        <v>Completed</v>
      </c>
      <c r="M108" s="1" t="str">
        <f>VLOOKUP(A:A,'Finance Tracker'!A106:K347,8,FALSE)</f>
        <v>Invoice Completed</v>
      </c>
      <c r="N108" s="127"/>
      <c r="O108" s="1" t="s">
        <v>109</v>
      </c>
      <c r="P108" s="1" t="s">
        <v>109</v>
      </c>
      <c r="Q108" s="127"/>
      <c r="R108" s="56">
        <v>45508</v>
      </c>
      <c r="S108" s="56">
        <v>45518</v>
      </c>
      <c r="T108" s="1" t="s">
        <v>1822</v>
      </c>
      <c r="U108" s="56">
        <v>45776</v>
      </c>
      <c r="V108" s="39" t="s">
        <v>1853</v>
      </c>
      <c r="W108" s="1" t="s">
        <v>1853</v>
      </c>
      <c r="X108" s="4" t="s">
        <v>109</v>
      </c>
      <c r="Y108" s="4" t="s">
        <v>1853</v>
      </c>
      <c r="Z108" s="4" t="s">
        <v>1854</v>
      </c>
      <c r="AA108" s="39">
        <v>45559</v>
      </c>
      <c r="AB108" s="39" t="s">
        <v>1853</v>
      </c>
      <c r="AC108" s="39" t="s">
        <v>1853</v>
      </c>
      <c r="AD108" s="39" t="s">
        <v>1853</v>
      </c>
      <c r="AE108" s="56">
        <v>45572</v>
      </c>
      <c r="AF108" s="56">
        <v>45576</v>
      </c>
      <c r="AG108" s="56">
        <v>45576</v>
      </c>
      <c r="AH108" s="56">
        <v>49248</v>
      </c>
      <c r="AJ108" s="4" t="s">
        <v>109</v>
      </c>
      <c r="AK108" s="4" t="s">
        <v>109</v>
      </c>
      <c r="AL108" s="4" t="s">
        <v>109</v>
      </c>
      <c r="AM108" s="4" t="s">
        <v>109</v>
      </c>
      <c r="AP108" s="1">
        <f t="shared" si="3"/>
        <v>10</v>
      </c>
      <c r="AQ108" s="38">
        <f>AA108-Table1[[#This Row],[Closed Date]]</f>
        <v>65</v>
      </c>
    </row>
    <row r="109" spans="1:43" ht="18.75" customHeight="1" x14ac:dyDescent="0.3">
      <c r="A109" s="4">
        <f>Table1[[#This Row],[Project No]]</f>
        <v>2403158</v>
      </c>
      <c r="B109" s="110" t="str">
        <f>VLOOKUP(A:A,Table1[[Project No]:[Additional Remark]],2,FALSE)</f>
        <v>Ong Gin Chin</v>
      </c>
      <c r="C109" s="4" t="e" vm="5">
        <f>VLOOKUP(A:A,Table1[[#All],[Project No]:[Additional Remark]],7,FALSE)</f>
        <v>#VALUE!</v>
      </c>
      <c r="D109" s="4" t="str">
        <f>VLOOKUP(A:A,Table1[[#All],[Project No]:[Additional Remark]],4,FALSE)</f>
        <v>Tham</v>
      </c>
      <c r="E109" s="4" t="str">
        <f>VLOOKUP(A:A,Table1[[#All],[Project No]:[Additional Remark]],5,FALSE)</f>
        <v>R-PV</v>
      </c>
      <c r="F109" s="4" t="str">
        <f>VLOOKUP(A:A,Table1[[Project No]:[Additional Remark]],6,FALSE)</f>
        <v>NEM</v>
      </c>
      <c r="G109" s="4">
        <f>VLOOKUP(A:A,Table1[[Project No]:[Additional Remark]],8,FALSE)</f>
        <v>7.02</v>
      </c>
      <c r="H109" s="4" t="str">
        <f>VLOOKUP(A:A,Table1[[Project No]:[Additional Remark]],15,FALSE)</f>
        <v>Astronergy 585Wp</v>
      </c>
      <c r="I109" s="4">
        <f>VLOOKUP(A:A,Table1[[Project No]:[Additional Remark]],16,FALSE)</f>
        <v>12</v>
      </c>
      <c r="J109" s="1" t="str">
        <f>VLOOKUP(A:A,Table1[[Project No]:[Additional Remark]],17,FALSE)</f>
        <v>Huawei SUN2000-5KTL-L1</v>
      </c>
      <c r="K109" s="127"/>
      <c r="L109" s="1" t="str">
        <f t="shared" si="2"/>
        <v>Completed</v>
      </c>
      <c r="M109" s="1" t="str">
        <f>VLOOKUP(A:A,'Finance Tracker'!A107:K348,8,FALSE)</f>
        <v>Invoice Completed</v>
      </c>
      <c r="N109" s="127"/>
      <c r="O109" s="1" t="s">
        <v>109</v>
      </c>
      <c r="P109" s="1" t="s">
        <v>109</v>
      </c>
      <c r="Q109" s="127"/>
      <c r="R109" s="56">
        <v>45505</v>
      </c>
      <c r="S109" s="56">
        <v>45554</v>
      </c>
      <c r="T109" s="1" t="s">
        <v>1822</v>
      </c>
      <c r="U109" s="56">
        <v>45792</v>
      </c>
      <c r="V109" s="39" t="s">
        <v>1853</v>
      </c>
      <c r="W109" s="1" t="s">
        <v>1853</v>
      </c>
      <c r="X109" s="4" t="s">
        <v>109</v>
      </c>
      <c r="Y109" s="4" t="s">
        <v>1853</v>
      </c>
      <c r="Z109" s="4" t="s">
        <v>1853</v>
      </c>
      <c r="AA109" s="39">
        <v>45574</v>
      </c>
      <c r="AB109" s="39" t="s">
        <v>1853</v>
      </c>
      <c r="AC109" s="39" t="s">
        <v>1853</v>
      </c>
      <c r="AD109" s="39" t="s">
        <v>1853</v>
      </c>
      <c r="AE109" s="56" t="s">
        <v>1853</v>
      </c>
      <c r="AF109" s="56">
        <v>45593</v>
      </c>
      <c r="AG109" s="56">
        <v>41940</v>
      </c>
      <c r="AH109" s="56">
        <v>49248</v>
      </c>
      <c r="AJ109" s="4" t="s">
        <v>109</v>
      </c>
      <c r="AK109" s="4" t="s">
        <v>109</v>
      </c>
      <c r="AL109" s="4" t="s">
        <v>109</v>
      </c>
      <c r="AM109" s="4" t="s">
        <v>109</v>
      </c>
      <c r="AP109" s="1">
        <f t="shared" si="3"/>
        <v>49</v>
      </c>
      <c r="AQ109" s="38">
        <f>AA109-Table1[[#This Row],[Closed Date]]</f>
        <v>79</v>
      </c>
    </row>
    <row r="110" spans="1:43" ht="18.75" customHeight="1" x14ac:dyDescent="0.3">
      <c r="A110" s="4">
        <f>Table1[[#This Row],[Project No]]</f>
        <v>2404220</v>
      </c>
      <c r="B110" s="110" t="str">
        <f>VLOOKUP(A:A,Table1[[Project No]:[Additional Remark]],2,FALSE)</f>
        <v>Ng Seow Fong</v>
      </c>
      <c r="C110" s="4" t="e" vm="5">
        <f>VLOOKUP(A:A,Table1[[#All],[Project No]:[Additional Remark]],7,FALSE)</f>
        <v>#VALUE!</v>
      </c>
      <c r="D110" s="4" t="str">
        <f>VLOOKUP(A:A,Table1[[#All],[Project No]:[Additional Remark]],4,FALSE)</f>
        <v>Tham</v>
      </c>
      <c r="E110" s="4" t="str">
        <f>VLOOKUP(A:A,Table1[[#All],[Project No]:[Additional Remark]],5,FALSE)</f>
        <v>R-PV</v>
      </c>
      <c r="F110" s="4" t="str">
        <f>VLOOKUP(A:A,Table1[[Project No]:[Additional Remark]],6,FALSE)</f>
        <v>NEM</v>
      </c>
      <c r="G110" s="4">
        <f>VLOOKUP(A:A,Table1[[Project No]:[Additional Remark]],8,FALSE)</f>
        <v>7.02</v>
      </c>
      <c r="H110" s="4" t="str">
        <f>VLOOKUP(A:A,Table1[[Project No]:[Additional Remark]],15,FALSE)</f>
        <v>Astronergy 585Wp</v>
      </c>
      <c r="I110" s="4">
        <f>VLOOKUP(A:A,Table1[[Project No]:[Additional Remark]],16,FALSE)</f>
        <v>12</v>
      </c>
      <c r="J110" s="1" t="str">
        <f>VLOOKUP(A:A,Table1[[Project No]:[Additional Remark]],17,FALSE)</f>
        <v>Huawei SUN2000-5KTL-L1</v>
      </c>
      <c r="K110" s="127"/>
      <c r="L110" s="1" t="str">
        <f t="shared" si="2"/>
        <v>Completed</v>
      </c>
      <c r="M110" s="1" t="str">
        <f>VLOOKUP(A:A,'Finance Tracker'!A108:K349,8,FALSE)</f>
        <v>Invoice Completed</v>
      </c>
      <c r="N110" s="127"/>
      <c r="O110" s="1" t="s">
        <v>109</v>
      </c>
      <c r="P110" s="1" t="s">
        <v>109</v>
      </c>
      <c r="Q110" s="127"/>
      <c r="R110" s="56">
        <v>45505</v>
      </c>
      <c r="S110" s="56">
        <v>45547</v>
      </c>
      <c r="T110" s="1" t="s">
        <v>1822</v>
      </c>
      <c r="U110" s="56">
        <v>45792</v>
      </c>
      <c r="V110" s="39" t="s">
        <v>1853</v>
      </c>
      <c r="W110" s="1" t="s">
        <v>1853</v>
      </c>
      <c r="X110" s="4" t="s">
        <v>109</v>
      </c>
      <c r="Y110" s="4" t="s">
        <v>1853</v>
      </c>
      <c r="Z110" s="4" t="s">
        <v>1855</v>
      </c>
      <c r="AA110" s="39">
        <v>45572</v>
      </c>
      <c r="AB110" s="39" t="s">
        <v>1853</v>
      </c>
      <c r="AC110" s="39" t="s">
        <v>1853</v>
      </c>
      <c r="AD110" s="39" t="s">
        <v>1853</v>
      </c>
      <c r="AE110" s="56">
        <v>45581</v>
      </c>
      <c r="AF110" s="56">
        <v>45580</v>
      </c>
      <c r="AG110" s="56">
        <v>45580</v>
      </c>
      <c r="AH110" s="56">
        <v>49248</v>
      </c>
      <c r="AJ110" s="4" t="s">
        <v>109</v>
      </c>
      <c r="AK110" s="4" t="s">
        <v>109</v>
      </c>
      <c r="AL110" s="4" t="s">
        <v>109</v>
      </c>
      <c r="AM110" s="4" t="s">
        <v>109</v>
      </c>
      <c r="AP110" s="1">
        <f t="shared" si="3"/>
        <v>42</v>
      </c>
      <c r="AQ110" s="38">
        <f>AA110-Table1[[#This Row],[Closed Date]]</f>
        <v>81</v>
      </c>
    </row>
    <row r="111" spans="1:43" ht="18.75" customHeight="1" x14ac:dyDescent="0.3">
      <c r="A111" s="4">
        <f>Table1[[#This Row],[Project No]]</f>
        <v>2403202</v>
      </c>
      <c r="B111" s="110" t="str">
        <f>VLOOKUP(A:A,Table1[[Project No]:[Additional Remark]],2,FALSE)</f>
        <v>Chuah Teah Soo</v>
      </c>
      <c r="C111" s="4" t="e" vm="11">
        <f>VLOOKUP(A:A,Table1[[#All],[Project No]:[Additional Remark]],7,FALSE)</f>
        <v>#VALUE!</v>
      </c>
      <c r="D111" s="4" t="str">
        <f>VLOOKUP(A:A,Table1[[#All],[Project No]:[Additional Remark]],4,FALSE)</f>
        <v>Tham</v>
      </c>
      <c r="E111" s="4" t="str">
        <f>VLOOKUP(A:A,Table1[[#All],[Project No]:[Additional Remark]],5,FALSE)</f>
        <v>R-PV</v>
      </c>
      <c r="F111" s="4" t="str">
        <f>VLOOKUP(A:A,Table1[[Project No]:[Additional Remark]],6,FALSE)</f>
        <v>NEM</v>
      </c>
      <c r="G111" s="4">
        <f>VLOOKUP(A:A,Table1[[Project No]:[Additional Remark]],8,FALSE)</f>
        <v>10.53</v>
      </c>
      <c r="H111" s="4" t="str">
        <f>VLOOKUP(A:A,Table1[[Project No]:[Additional Remark]],15,FALSE)</f>
        <v>Astronergy 585Wp</v>
      </c>
      <c r="I111" s="4">
        <f>VLOOKUP(A:A,Table1[[Project No]:[Additional Remark]],16,FALSE)</f>
        <v>18</v>
      </c>
      <c r="J111" s="1" t="str">
        <f>VLOOKUP(A:A,Table1[[Project No]:[Additional Remark]],17,FALSE)</f>
        <v>Huawei SUN2000-8KTL</v>
      </c>
      <c r="K111" s="127"/>
      <c r="L111" s="1" t="str">
        <f t="shared" si="2"/>
        <v>Completed</v>
      </c>
      <c r="M111" s="1" t="str">
        <f>VLOOKUP(A:A,'Finance Tracker'!A109:K350,8,FALSE)</f>
        <v>Invoice Completed</v>
      </c>
      <c r="N111" s="127"/>
      <c r="O111" s="1" t="s">
        <v>109</v>
      </c>
      <c r="P111" s="1" t="s">
        <v>109</v>
      </c>
      <c r="Q111" s="127"/>
      <c r="R111" s="56">
        <v>45509</v>
      </c>
      <c r="S111" s="56">
        <v>45517</v>
      </c>
      <c r="T111" s="1" t="s">
        <v>1822</v>
      </c>
      <c r="U111" s="56">
        <v>45769</v>
      </c>
      <c r="V111" s="39" t="s">
        <v>1853</v>
      </c>
      <c r="W111" s="1" t="s">
        <v>1853</v>
      </c>
      <c r="X111" s="4" t="s">
        <v>109</v>
      </c>
      <c r="Y111" s="4" t="s">
        <v>1853</v>
      </c>
      <c r="Z111" s="4" t="s">
        <v>1853</v>
      </c>
      <c r="AA111" s="39">
        <v>45536</v>
      </c>
      <c r="AB111" s="39" t="s">
        <v>1853</v>
      </c>
      <c r="AC111" s="39" t="s">
        <v>1853</v>
      </c>
      <c r="AD111" s="39" t="s">
        <v>1853</v>
      </c>
      <c r="AE111" s="39" t="s">
        <v>1853</v>
      </c>
      <c r="AF111" s="56">
        <v>45558</v>
      </c>
      <c r="AG111" s="56">
        <v>45558</v>
      </c>
      <c r="AH111" s="56">
        <v>49217</v>
      </c>
      <c r="AJ111" s="4" t="s">
        <v>109</v>
      </c>
      <c r="AK111" s="4" t="s">
        <v>109</v>
      </c>
      <c r="AL111" s="4" t="s">
        <v>109</v>
      </c>
      <c r="AM111" s="4" t="s">
        <v>109</v>
      </c>
      <c r="AP111" s="1">
        <f t="shared" si="3"/>
        <v>8</v>
      </c>
      <c r="AQ111" s="38">
        <f>AA111-Table1[[#This Row],[Closed Date]]</f>
        <v>39</v>
      </c>
    </row>
    <row r="112" spans="1:43" ht="18.75" customHeight="1" x14ac:dyDescent="0.3">
      <c r="A112" s="4">
        <f>Table1[[#This Row],[Project No]]</f>
        <v>2407392</v>
      </c>
      <c r="B112" s="110" t="str">
        <f>VLOOKUP(A:A,Table1[[Project No]:[Additional Remark]],2,FALSE)</f>
        <v>Ecila Sim Ju-Inn</v>
      </c>
      <c r="C112" s="4" t="e" vm="5">
        <f>VLOOKUP(A:A,Table1[[#All],[Project No]:[Additional Remark]],7,FALSE)</f>
        <v>#VALUE!</v>
      </c>
      <c r="D112" s="4" t="str">
        <f>VLOOKUP(A:A,Table1[[#All],[Project No]:[Additional Remark]],4,FALSE)</f>
        <v>Tham</v>
      </c>
      <c r="E112" s="4" t="str">
        <f>VLOOKUP(A:A,Table1[[#All],[Project No]:[Additional Remark]],5,FALSE)</f>
        <v>R-PV</v>
      </c>
      <c r="F112" s="4" t="str">
        <f>VLOOKUP(A:A,Table1[[Project No]:[Additional Remark]],6,FALSE)</f>
        <v>NEM</v>
      </c>
      <c r="G112" s="4">
        <f>VLOOKUP(A:A,Table1[[Project No]:[Additional Remark]],8,FALSE)</f>
        <v>11.7</v>
      </c>
      <c r="H112" s="4" t="str">
        <f>VLOOKUP(A:A,Table1[[Project No]:[Additional Remark]],15,FALSE)</f>
        <v>Astronergy 585Wp</v>
      </c>
      <c r="I112" s="4">
        <f>VLOOKUP(A:A,Table1[[Project No]:[Additional Remark]],16,FALSE)</f>
        <v>20</v>
      </c>
      <c r="J112" s="1" t="str">
        <f>VLOOKUP(A:A,Table1[[Project No]:[Additional Remark]],17,FALSE)</f>
        <v>Huawei SUN2000-10KTL</v>
      </c>
      <c r="K112" s="127"/>
      <c r="L112" s="1" t="str">
        <f t="shared" si="2"/>
        <v>Completed</v>
      </c>
      <c r="M112" s="1" t="str">
        <f>VLOOKUP(A:A,'Finance Tracker'!A110:K351,8,FALSE)</f>
        <v>Invoice Completed</v>
      </c>
      <c r="N112" s="127"/>
      <c r="O112" s="1" t="s">
        <v>109</v>
      </c>
      <c r="P112" s="1" t="s">
        <v>109</v>
      </c>
      <c r="Q112" s="127"/>
      <c r="R112" s="56">
        <v>45509</v>
      </c>
      <c r="S112" s="56">
        <v>45547</v>
      </c>
      <c r="T112" s="1" t="s">
        <v>1822</v>
      </c>
      <c r="U112" s="56">
        <v>45792</v>
      </c>
      <c r="V112" s="39" t="s">
        <v>1853</v>
      </c>
      <c r="W112" s="1" t="s">
        <v>1853</v>
      </c>
      <c r="X112" s="4" t="s">
        <v>109</v>
      </c>
      <c r="Y112" s="4" t="s">
        <v>1853</v>
      </c>
      <c r="Z112" s="4" t="s">
        <v>1855</v>
      </c>
      <c r="AA112" s="39">
        <v>45580</v>
      </c>
      <c r="AB112" s="39" t="s">
        <v>1853</v>
      </c>
      <c r="AC112" s="39" t="s">
        <v>1853</v>
      </c>
      <c r="AD112" s="39" t="s">
        <v>1853</v>
      </c>
      <c r="AE112" s="39">
        <v>45588</v>
      </c>
      <c r="AF112" s="56">
        <v>45589</v>
      </c>
      <c r="AG112" s="56">
        <v>45589</v>
      </c>
      <c r="AH112" s="56">
        <v>49248</v>
      </c>
      <c r="AJ112" s="4" t="s">
        <v>109</v>
      </c>
      <c r="AK112" s="4" t="s">
        <v>109</v>
      </c>
      <c r="AL112" s="4" t="s">
        <v>109</v>
      </c>
      <c r="AM112" s="4" t="s">
        <v>109</v>
      </c>
      <c r="AP112" s="1">
        <f t="shared" si="3"/>
        <v>38</v>
      </c>
      <c r="AQ112" s="38">
        <f>AA112-Table1[[#This Row],[Closed Date]]</f>
        <v>83</v>
      </c>
    </row>
    <row r="113" spans="1:43" ht="18.75" customHeight="1" x14ac:dyDescent="0.3">
      <c r="A113" s="4">
        <f>Table1[[#This Row],[Project No]]</f>
        <v>2404232</v>
      </c>
      <c r="B113" s="110" t="str">
        <f>VLOOKUP(A:A,Table1[[Project No]:[Additional Remark]],2,FALSE)</f>
        <v>Wong Yoke Chon</v>
      </c>
      <c r="C113" s="4" t="e" vm="5">
        <f>VLOOKUP(A:A,Table1[[#All],[Project No]:[Additional Remark]],7,FALSE)</f>
        <v>#VALUE!</v>
      </c>
      <c r="D113" s="4" t="str">
        <f>VLOOKUP(A:A,Table1[[#All],[Project No]:[Additional Remark]],4,FALSE)</f>
        <v>Tham</v>
      </c>
      <c r="E113" s="4" t="str">
        <f>VLOOKUP(A:A,Table1[[#All],[Project No]:[Additional Remark]],5,FALSE)</f>
        <v>R-PV</v>
      </c>
      <c r="F113" s="4" t="str">
        <f>VLOOKUP(A:A,Table1[[Project No]:[Additional Remark]],6,FALSE)</f>
        <v>NEM</v>
      </c>
      <c r="G113" s="4">
        <f>VLOOKUP(A:A,Table1[[Project No]:[Additional Remark]],8,FALSE)</f>
        <v>7.02</v>
      </c>
      <c r="H113" s="4" t="str">
        <f>VLOOKUP(A:A,Table1[[Project No]:[Additional Remark]],15,FALSE)</f>
        <v>Astronergy 585Wp</v>
      </c>
      <c r="I113" s="4">
        <f>VLOOKUP(A:A,Table1[[Project No]:[Additional Remark]],16,FALSE)</f>
        <v>12</v>
      </c>
      <c r="J113" s="1" t="str">
        <f>VLOOKUP(A:A,Table1[[Project No]:[Additional Remark]],17,FALSE)</f>
        <v>Huawei SUN2000-5KTL-L1</v>
      </c>
      <c r="K113" s="127"/>
      <c r="L113" s="1" t="str">
        <f t="shared" si="2"/>
        <v>Completed</v>
      </c>
      <c r="M113" s="1" t="str">
        <f>VLOOKUP(A:A,'Finance Tracker'!A111:K352,8,FALSE)</f>
        <v>Invoice Completed</v>
      </c>
      <c r="N113" s="127"/>
      <c r="O113" s="1" t="s">
        <v>109</v>
      </c>
      <c r="P113" s="1" t="s">
        <v>109</v>
      </c>
      <c r="Q113" s="127"/>
      <c r="R113" s="56">
        <v>45510</v>
      </c>
      <c r="S113" s="56">
        <v>45522</v>
      </c>
      <c r="T113" s="1" t="s">
        <v>1822</v>
      </c>
      <c r="U113" s="56">
        <v>45891</v>
      </c>
      <c r="V113" s="39" t="s">
        <v>1853</v>
      </c>
      <c r="W113" s="1" t="s">
        <v>1853</v>
      </c>
      <c r="X113" s="4" t="s">
        <v>109</v>
      </c>
      <c r="Y113" s="4" t="s">
        <v>1853</v>
      </c>
      <c r="Z113" s="4" t="s">
        <v>1855</v>
      </c>
      <c r="AA113" s="39">
        <v>45565</v>
      </c>
      <c r="AB113" s="39" t="s">
        <v>1853</v>
      </c>
      <c r="AC113" s="39" t="s">
        <v>1853</v>
      </c>
      <c r="AD113" s="39" t="s">
        <v>1853</v>
      </c>
      <c r="AE113" s="39">
        <v>45581</v>
      </c>
      <c r="AF113" s="56">
        <v>45589</v>
      </c>
      <c r="AG113" s="56">
        <v>45589</v>
      </c>
      <c r="AH113" s="56">
        <v>49248</v>
      </c>
      <c r="AJ113" s="4" t="s">
        <v>109</v>
      </c>
      <c r="AK113" s="4" t="s">
        <v>109</v>
      </c>
      <c r="AL113" s="4" t="s">
        <v>109</v>
      </c>
      <c r="AM113" s="4" t="s">
        <v>109</v>
      </c>
      <c r="AP113" s="1">
        <f t="shared" si="3"/>
        <v>12</v>
      </c>
      <c r="AQ113" s="38">
        <f>AA113-Table1[[#This Row],[Closed Date]]</f>
        <v>97</v>
      </c>
    </row>
    <row r="114" spans="1:43" ht="18.75" customHeight="1" x14ac:dyDescent="0.3">
      <c r="A114" s="4">
        <f>Table1[[#This Row],[Project No]]</f>
        <v>2407397</v>
      </c>
      <c r="B114" s="110" t="str">
        <f>VLOOKUP(A:A,Table1[[Project No]:[Additional Remark]],2,FALSE)</f>
        <v>Foo Su Hoong</v>
      </c>
      <c r="C114" s="4" t="e" vm="5">
        <f>VLOOKUP(A:A,Table1[[#All],[Project No]:[Additional Remark]],7,FALSE)</f>
        <v>#VALUE!</v>
      </c>
      <c r="D114" s="4" t="str">
        <f>VLOOKUP(A:A,Table1[[#All],[Project No]:[Additional Remark]],4,FALSE)</f>
        <v>Tham</v>
      </c>
      <c r="E114" s="4" t="str">
        <f>VLOOKUP(A:A,Table1[[#All],[Project No]:[Additional Remark]],5,FALSE)</f>
        <v>R-PV</v>
      </c>
      <c r="F114" s="4" t="str">
        <f>VLOOKUP(A:A,Table1[[Project No]:[Additional Remark]],6,FALSE)</f>
        <v>NEM</v>
      </c>
      <c r="G114" s="4">
        <f>VLOOKUP(A:A,Table1[[Project No]:[Additional Remark]],8,FALSE)</f>
        <v>15.21</v>
      </c>
      <c r="H114" s="4" t="str">
        <f>VLOOKUP(A:A,Table1[[Project No]:[Additional Remark]],15,FALSE)</f>
        <v>Astronergy 585Wp</v>
      </c>
      <c r="I114" s="4">
        <f>VLOOKUP(A:A,Table1[[Project No]:[Additional Remark]],16,FALSE)</f>
        <v>26.000000000000004</v>
      </c>
      <c r="J114" s="1" t="str">
        <f>VLOOKUP(A:A,Table1[[Project No]:[Additional Remark]],17,FALSE)</f>
        <v>Huawei SUN2000-12KTL</v>
      </c>
      <c r="K114" s="127"/>
      <c r="L114" s="1" t="str">
        <f t="shared" si="2"/>
        <v>Completed</v>
      </c>
      <c r="M114" s="1" t="str">
        <f>VLOOKUP(A:A,'Finance Tracker'!A112:K353,8,FALSE)</f>
        <v>Invoice Completed</v>
      </c>
      <c r="N114" s="127"/>
      <c r="O114" s="1" t="s">
        <v>109</v>
      </c>
      <c r="P114" s="1" t="s">
        <v>109</v>
      </c>
      <c r="Q114" s="127"/>
      <c r="R114" s="56">
        <v>45512</v>
      </c>
      <c r="S114" s="56">
        <v>45531</v>
      </c>
      <c r="T114" s="1" t="s">
        <v>1822</v>
      </c>
      <c r="U114" s="56">
        <v>45769</v>
      </c>
      <c r="V114" s="39" t="s">
        <v>1853</v>
      </c>
      <c r="W114" s="1" t="s">
        <v>1853</v>
      </c>
      <c r="X114" s="4" t="s">
        <v>109</v>
      </c>
      <c r="Y114" s="4" t="s">
        <v>1853</v>
      </c>
      <c r="Z114" s="4" t="s">
        <v>1855</v>
      </c>
      <c r="AA114" s="39">
        <v>45558</v>
      </c>
      <c r="AB114" s="39" t="s">
        <v>1853</v>
      </c>
      <c r="AC114" s="39" t="s">
        <v>1853</v>
      </c>
      <c r="AD114" s="39" t="s">
        <v>1853</v>
      </c>
      <c r="AE114" s="39">
        <v>45568</v>
      </c>
      <c r="AF114" s="56">
        <v>45936</v>
      </c>
      <c r="AG114" s="56">
        <v>45571</v>
      </c>
      <c r="AH114" s="56">
        <v>49248</v>
      </c>
      <c r="AJ114" s="4" t="s">
        <v>109</v>
      </c>
      <c r="AK114" s="4" t="s">
        <v>109</v>
      </c>
      <c r="AL114" s="4" t="s">
        <v>109</v>
      </c>
      <c r="AM114" s="4" t="s">
        <v>109</v>
      </c>
      <c r="AP114" s="1">
        <f t="shared" si="3"/>
        <v>19</v>
      </c>
      <c r="AQ114" s="38">
        <f>AA114-Table1[[#This Row],[Closed Date]]</f>
        <v>60</v>
      </c>
    </row>
    <row r="115" spans="1:43" ht="18.75" customHeight="1" x14ac:dyDescent="0.3">
      <c r="A115" s="4">
        <f>Table1[[#This Row],[Project No]]</f>
        <v>2404250</v>
      </c>
      <c r="B115" s="110" t="str">
        <f>VLOOKUP(A:A,Table1[[Project No]:[Additional Remark]],2,FALSE)</f>
        <v>Wan Johan Bin Rahim</v>
      </c>
      <c r="C115" s="4" t="e" vm="5">
        <f>VLOOKUP(A:A,Table1[[#All],[Project No]:[Additional Remark]],7,FALSE)</f>
        <v>#VALUE!</v>
      </c>
      <c r="D115" s="4" t="str">
        <f>VLOOKUP(A:A,Table1[[#All],[Project No]:[Additional Remark]],4,FALSE)</f>
        <v>Tham</v>
      </c>
      <c r="E115" s="4" t="str">
        <f>VLOOKUP(A:A,Table1[[#All],[Project No]:[Additional Remark]],5,FALSE)</f>
        <v>R-PV</v>
      </c>
      <c r="F115" s="4" t="str">
        <f>VLOOKUP(A:A,Table1[[Project No]:[Additional Remark]],6,FALSE)</f>
        <v>NEM</v>
      </c>
      <c r="G115" s="4">
        <f>VLOOKUP(A:A,Table1[[Project No]:[Additional Remark]],8,FALSE)</f>
        <v>17.55</v>
      </c>
      <c r="H115" s="4" t="str">
        <f>VLOOKUP(A:A,Table1[[Project No]:[Additional Remark]],15,FALSE)</f>
        <v>Astronergy 585Wp</v>
      </c>
      <c r="I115" s="4">
        <f>VLOOKUP(A:A,Table1[[Project No]:[Additional Remark]],16,FALSE)</f>
        <v>30.000000000000004</v>
      </c>
      <c r="J115" s="1" t="str">
        <f>VLOOKUP(A:A,Table1[[Project No]:[Additional Remark]],17,FALSE)</f>
        <v>Huawei SUN2000-12KTL</v>
      </c>
      <c r="K115" s="127"/>
      <c r="L115" s="1" t="str">
        <f t="shared" si="2"/>
        <v>Completed</v>
      </c>
      <c r="M115" s="1" t="str">
        <f>VLOOKUP(A:A,'Finance Tracker'!A113:K354,8,FALSE)</f>
        <v>Invoice Completed</v>
      </c>
      <c r="N115" s="127"/>
      <c r="O115" s="1" t="s">
        <v>109</v>
      </c>
      <c r="P115" s="1" t="s">
        <v>109</v>
      </c>
      <c r="Q115" s="127"/>
      <c r="R115" s="56">
        <v>45511</v>
      </c>
      <c r="S115" s="56">
        <v>45530</v>
      </c>
      <c r="T115" s="1" t="s">
        <v>1822</v>
      </c>
      <c r="U115" s="56">
        <v>45775</v>
      </c>
      <c r="V115" s="39" t="s">
        <v>1853</v>
      </c>
      <c r="W115" s="1" t="s">
        <v>1853</v>
      </c>
      <c r="X115" s="4" t="s">
        <v>109</v>
      </c>
      <c r="Y115" s="4" t="s">
        <v>1853</v>
      </c>
      <c r="Z115" s="4" t="s">
        <v>1855</v>
      </c>
      <c r="AA115" s="39">
        <v>45579</v>
      </c>
      <c r="AB115" s="39" t="s">
        <v>1853</v>
      </c>
      <c r="AC115" s="39" t="s">
        <v>1853</v>
      </c>
      <c r="AD115" s="39" t="s">
        <v>1853</v>
      </c>
      <c r="AE115" s="39">
        <v>45617</v>
      </c>
      <c r="AF115" s="56">
        <v>45618</v>
      </c>
      <c r="AG115" s="56">
        <v>45618</v>
      </c>
      <c r="AH115" s="56">
        <v>45626</v>
      </c>
      <c r="AJ115" s="4" t="s">
        <v>109</v>
      </c>
      <c r="AK115" s="4" t="s">
        <v>109</v>
      </c>
      <c r="AL115" s="4" t="s">
        <v>109</v>
      </c>
      <c r="AM115" s="4" t="s">
        <v>109</v>
      </c>
      <c r="AP115" s="1">
        <f t="shared" si="3"/>
        <v>19</v>
      </c>
      <c r="AQ115" s="38">
        <f>AA115-Table1[[#This Row],[Closed Date]]</f>
        <v>77</v>
      </c>
    </row>
    <row r="116" spans="1:43" ht="18.75" customHeight="1" x14ac:dyDescent="0.3">
      <c r="A116" s="4">
        <f>Table1[[#This Row],[Project No]]</f>
        <v>2407399</v>
      </c>
      <c r="B116" s="110" t="str">
        <f>VLOOKUP(A:A,Table1[[Project No]:[Additional Remark]],2,FALSE)</f>
        <v>Koo Woon Kee</v>
      </c>
      <c r="C116" s="4" t="e" vm="5">
        <f>VLOOKUP(A:A,Table1[[#All],[Project No]:[Additional Remark]],7,FALSE)</f>
        <v>#VALUE!</v>
      </c>
      <c r="D116" s="4" t="str">
        <f>VLOOKUP(A:A,Table1[[#All],[Project No]:[Additional Remark]],4,FALSE)</f>
        <v>Tham</v>
      </c>
      <c r="E116" s="4" t="str">
        <f>VLOOKUP(A:A,Table1[[#All],[Project No]:[Additional Remark]],5,FALSE)</f>
        <v>R-PV</v>
      </c>
      <c r="F116" s="4" t="str">
        <f>VLOOKUP(A:A,Table1[[Project No]:[Additional Remark]],6,FALSE)</f>
        <v>NEM</v>
      </c>
      <c r="G116" s="4">
        <f>VLOOKUP(A:A,Table1[[Project No]:[Additional Remark]],8,FALSE)</f>
        <v>10.53</v>
      </c>
      <c r="H116" s="4" t="str">
        <f>VLOOKUP(A:A,Table1[[Project No]:[Additional Remark]],15,FALSE)</f>
        <v>Astronergy 585Wp</v>
      </c>
      <c r="I116" s="4">
        <f>VLOOKUP(A:A,Table1[[Project No]:[Additional Remark]],16,FALSE)</f>
        <v>18</v>
      </c>
      <c r="J116" s="1" t="str">
        <f>VLOOKUP(A:A,Table1[[Project No]:[Additional Remark]],17,FALSE)</f>
        <v>Huawei SUN2000-8KTL</v>
      </c>
      <c r="K116" s="127"/>
      <c r="L116" s="1" t="str">
        <f t="shared" si="2"/>
        <v>Completed</v>
      </c>
      <c r="M116" s="1" t="str">
        <f>VLOOKUP(A:A,'Finance Tracker'!A114:K355,8,FALSE)</f>
        <v>Invoice Completed</v>
      </c>
      <c r="N116" s="127"/>
      <c r="O116" s="1" t="s">
        <v>109</v>
      </c>
      <c r="P116" s="1" t="s">
        <v>109</v>
      </c>
      <c r="Q116" s="127"/>
      <c r="R116" s="56">
        <v>45517</v>
      </c>
      <c r="S116" s="56">
        <v>45534</v>
      </c>
      <c r="T116" s="1" t="s">
        <v>1822</v>
      </c>
      <c r="U116" s="56">
        <v>45768</v>
      </c>
      <c r="V116" s="39" t="s">
        <v>1853</v>
      </c>
      <c r="W116" s="1" t="s">
        <v>1853</v>
      </c>
      <c r="X116" s="4" t="s">
        <v>109</v>
      </c>
      <c r="Y116" s="4" t="s">
        <v>1853</v>
      </c>
      <c r="Z116" s="4" t="s">
        <v>1855</v>
      </c>
      <c r="AA116" s="39">
        <v>45573</v>
      </c>
      <c r="AB116" s="39">
        <v>45568</v>
      </c>
      <c r="AC116" s="39" t="s">
        <v>1853</v>
      </c>
      <c r="AD116" s="39" t="s">
        <v>1853</v>
      </c>
      <c r="AE116" s="39">
        <v>45581</v>
      </c>
      <c r="AF116" s="39">
        <v>45583</v>
      </c>
      <c r="AG116" s="56">
        <v>45583</v>
      </c>
      <c r="AH116" s="56">
        <v>49248</v>
      </c>
      <c r="AJ116" s="4" t="s">
        <v>109</v>
      </c>
      <c r="AK116" s="4" t="s">
        <v>109</v>
      </c>
      <c r="AL116" s="4" t="s">
        <v>109</v>
      </c>
      <c r="AM116" s="4" t="s">
        <v>109</v>
      </c>
      <c r="AP116" s="1">
        <f t="shared" si="3"/>
        <v>17</v>
      </c>
      <c r="AQ116" s="38">
        <f>AA116-Table1[[#This Row],[Closed Date]]</f>
        <v>74</v>
      </c>
    </row>
    <row r="117" spans="1:43" ht="18.75" customHeight="1" x14ac:dyDescent="0.3">
      <c r="A117" s="4">
        <f>Table1[[#This Row],[Project No]]</f>
        <v>2407394</v>
      </c>
      <c r="B117" s="110" t="str">
        <f>VLOOKUP(A:A,Table1[[Project No]:[Additional Remark]],2,FALSE)</f>
        <v>Nor Aini binti Mat Saman (Nazrul Latif)</v>
      </c>
      <c r="C117" s="4" t="e" vm="11">
        <f>VLOOKUP(A:A,Table1[[#All],[Project No]:[Additional Remark]],7,FALSE)</f>
        <v>#VALUE!</v>
      </c>
      <c r="D117" s="4" t="str">
        <f>VLOOKUP(A:A,Table1[[#All],[Project No]:[Additional Remark]],4,FALSE)</f>
        <v>Patricia</v>
      </c>
      <c r="E117" s="4" t="str">
        <f>VLOOKUP(A:A,Table1[[#All],[Project No]:[Additional Remark]],5,FALSE)</f>
        <v>R-PV</v>
      </c>
      <c r="F117" s="4" t="str">
        <f>VLOOKUP(A:A,Table1[[Project No]:[Additional Remark]],6,FALSE)</f>
        <v>NEM</v>
      </c>
      <c r="G117" s="4">
        <f>VLOOKUP(A:A,Table1[[Project No]:[Additional Remark]],8,FALSE)</f>
        <v>7.02</v>
      </c>
      <c r="H117" s="4" t="str">
        <f>VLOOKUP(A:A,Table1[[Project No]:[Additional Remark]],15,FALSE)</f>
        <v>Astronergy 585Wp</v>
      </c>
      <c r="I117" s="4">
        <f>VLOOKUP(A:A,Table1[[Project No]:[Additional Remark]],16,FALSE)</f>
        <v>12</v>
      </c>
      <c r="J117" s="1" t="str">
        <f>VLOOKUP(A:A,Table1[[Project No]:[Additional Remark]],17,FALSE)</f>
        <v>Huawei SUN2000-5KTL-L1</v>
      </c>
      <c r="K117" s="127"/>
      <c r="L117" s="1" t="str">
        <f t="shared" si="2"/>
        <v>Completed</v>
      </c>
      <c r="M117" s="1" t="str">
        <f>VLOOKUP(A:A,'Finance Tracker'!A115:K356,8,FALSE)</f>
        <v>Invoice Completed</v>
      </c>
      <c r="N117" s="127"/>
      <c r="O117" s="1" t="s">
        <v>109</v>
      </c>
      <c r="P117" s="1" t="s">
        <v>109</v>
      </c>
      <c r="Q117" s="127"/>
      <c r="R117" s="56">
        <v>45509</v>
      </c>
      <c r="S117" s="56">
        <v>45517</v>
      </c>
      <c r="T117" s="1" t="s">
        <v>1822</v>
      </c>
      <c r="U117" s="56">
        <v>45891</v>
      </c>
      <c r="V117" s="39" t="s">
        <v>1853</v>
      </c>
      <c r="W117" s="1" t="s">
        <v>1853</v>
      </c>
      <c r="X117" s="4" t="s">
        <v>109</v>
      </c>
      <c r="Y117" s="4" t="s">
        <v>1853</v>
      </c>
      <c r="Z117" s="4" t="s">
        <v>1854</v>
      </c>
      <c r="AA117" s="39">
        <v>45554</v>
      </c>
      <c r="AB117" s="39" t="s">
        <v>1853</v>
      </c>
      <c r="AC117" s="39" t="s">
        <v>1853</v>
      </c>
      <c r="AD117" s="39" t="s">
        <v>1853</v>
      </c>
      <c r="AE117" s="39">
        <v>45569</v>
      </c>
      <c r="AF117" s="39">
        <v>45583</v>
      </c>
      <c r="AG117" s="56">
        <v>45583</v>
      </c>
      <c r="AH117" s="56">
        <v>49248</v>
      </c>
      <c r="AJ117" s="4" t="s">
        <v>109</v>
      </c>
      <c r="AK117" s="4" t="s">
        <v>109</v>
      </c>
      <c r="AL117" s="4" t="s">
        <v>109</v>
      </c>
      <c r="AM117" s="4" t="s">
        <v>109</v>
      </c>
      <c r="AP117" s="1">
        <f t="shared" si="3"/>
        <v>8</v>
      </c>
      <c r="AQ117" s="38">
        <f>AA117-Table1[[#This Row],[Closed Date]]</f>
        <v>50</v>
      </c>
    </row>
    <row r="118" spans="1:43" ht="18.75" customHeight="1" x14ac:dyDescent="0.3">
      <c r="A118" s="4" t="str">
        <f>Table1[[#This Row],[Project No]]</f>
        <v>2407397-1</v>
      </c>
      <c r="B118" s="110" t="str">
        <f>VLOOKUP(A:A,Table1[[Project No]:[Additional Remark]],2,FALSE)</f>
        <v>Teo Kai Yun</v>
      </c>
      <c r="C118" s="4" t="e" vm="6">
        <f>VLOOKUP(A:A,Table1[[#All],[Project No]:[Additional Remark]],7,FALSE)</f>
        <v>#VALUE!</v>
      </c>
      <c r="D118" s="4" t="str">
        <f>VLOOKUP(A:A,Table1[[#All],[Project No]:[Additional Remark]],4,FALSE)</f>
        <v>Tham</v>
      </c>
      <c r="E118" s="4" t="str">
        <f>VLOOKUP(A:A,Table1[[#All],[Project No]:[Additional Remark]],5,FALSE)</f>
        <v>R-PV</v>
      </c>
      <c r="F118" s="4" t="str">
        <f>VLOOKUP(A:A,Table1[[Project No]:[Additional Remark]],6,FALSE)</f>
        <v>NEM</v>
      </c>
      <c r="G118" s="4">
        <f>VLOOKUP(A:A,Table1[[Project No]:[Additional Remark]],8,FALSE)</f>
        <v>15.21</v>
      </c>
      <c r="H118" s="4" t="str">
        <f>VLOOKUP(A:A,Table1[[Project No]:[Additional Remark]],15,FALSE)</f>
        <v>Astronergy 585Wp</v>
      </c>
      <c r="I118" s="4">
        <f>VLOOKUP(A:A,Table1[[Project No]:[Additional Remark]],16,FALSE)</f>
        <v>26.000000000000004</v>
      </c>
      <c r="J118" s="1" t="str">
        <f>VLOOKUP(A:A,Table1[[Project No]:[Additional Remark]],17,FALSE)</f>
        <v>Huawei SUN2000-12KTL</v>
      </c>
      <c r="K118" s="127"/>
      <c r="L118" s="1" t="str">
        <f t="shared" si="2"/>
        <v>Completed</v>
      </c>
      <c r="M118" s="1" t="str">
        <f>VLOOKUP(A:A,'Finance Tracker'!A116:K357,8,FALSE)</f>
        <v>Invoice Completed</v>
      </c>
      <c r="N118" s="127"/>
      <c r="O118" s="1" t="s">
        <v>109</v>
      </c>
      <c r="P118" s="1" t="s">
        <v>109</v>
      </c>
      <c r="Q118" s="127"/>
      <c r="R118" s="56">
        <v>45498</v>
      </c>
      <c r="S118" s="56">
        <v>45607</v>
      </c>
      <c r="T118" s="1" t="s">
        <v>1822</v>
      </c>
      <c r="U118" s="56">
        <v>45898</v>
      </c>
      <c r="V118" s="39" t="s">
        <v>1853</v>
      </c>
      <c r="W118" s="1" t="s">
        <v>1853</v>
      </c>
      <c r="X118" s="4" t="s">
        <v>109</v>
      </c>
      <c r="Y118" s="4" t="s">
        <v>1853</v>
      </c>
      <c r="Z118" s="4" t="s">
        <v>1855</v>
      </c>
      <c r="AA118" s="39">
        <v>45610</v>
      </c>
      <c r="AB118" s="39" t="s">
        <v>1853</v>
      </c>
      <c r="AC118" s="39" t="s">
        <v>1853</v>
      </c>
      <c r="AD118" s="39">
        <v>46003</v>
      </c>
      <c r="AE118" s="39">
        <v>45622</v>
      </c>
      <c r="AF118" s="39">
        <v>45638</v>
      </c>
      <c r="AG118" s="39">
        <v>45638</v>
      </c>
      <c r="AH118" s="39">
        <v>49309</v>
      </c>
      <c r="AJ118" s="4" t="s">
        <v>109</v>
      </c>
      <c r="AK118" s="4" t="s">
        <v>109</v>
      </c>
      <c r="AL118" s="4" t="s">
        <v>109</v>
      </c>
      <c r="AM118" s="4" t="s">
        <v>109</v>
      </c>
      <c r="AP118" s="1">
        <f t="shared" si="3"/>
        <v>109</v>
      </c>
      <c r="AQ118" s="38">
        <f>AA118-Table1[[#This Row],[Closed Date]]</f>
        <v>104</v>
      </c>
    </row>
    <row r="119" spans="1:43" ht="18.75" customHeight="1" x14ac:dyDescent="0.3">
      <c r="A119" s="4">
        <f>Table1[[#This Row],[Project No]]</f>
        <v>2312114</v>
      </c>
      <c r="B119" s="110" t="str">
        <f>VLOOKUP(A:A,Table1[[Project No]:[Additional Remark]],2,FALSE)</f>
        <v>Chua Teng Teng</v>
      </c>
      <c r="C119" s="4" t="e" vm="12">
        <f>VLOOKUP(A:A,Table1[[#All],[Project No]:[Additional Remark]],7,FALSE)</f>
        <v>#VALUE!</v>
      </c>
      <c r="D119" s="4" t="str">
        <f>VLOOKUP(A:A,Table1[[#All],[Project No]:[Additional Remark]],4,FALSE)</f>
        <v>Tham</v>
      </c>
      <c r="E119" s="4" t="str">
        <f>VLOOKUP(A:A,Table1[[#All],[Project No]:[Additional Remark]],5,FALSE)</f>
        <v>R-PV</v>
      </c>
      <c r="F119" s="4" t="str">
        <f>VLOOKUP(A:A,Table1[[Project No]:[Additional Remark]],6,FALSE)</f>
        <v>NEM</v>
      </c>
      <c r="G119" s="4">
        <f>VLOOKUP(A:A,Table1[[Project No]:[Additional Remark]],8,FALSE)</f>
        <v>11.7</v>
      </c>
      <c r="H119" s="4" t="str">
        <f>VLOOKUP(A:A,Table1[[Project No]:[Additional Remark]],15,FALSE)</f>
        <v>Astronergy 585Wp</v>
      </c>
      <c r="I119" s="4">
        <f>VLOOKUP(A:A,Table1[[Project No]:[Additional Remark]],16,FALSE)</f>
        <v>20</v>
      </c>
      <c r="J119" s="1" t="str">
        <f>VLOOKUP(A:A,Table1[[Project No]:[Additional Remark]],17,FALSE)</f>
        <v>Huawei SUN2000-10KTL</v>
      </c>
      <c r="K119" s="127"/>
      <c r="L119" s="1" t="str">
        <f t="shared" si="2"/>
        <v>Completed</v>
      </c>
      <c r="M119" s="1" t="str">
        <f>VLOOKUP(A:A,'Finance Tracker'!A117:K358,8,FALSE)</f>
        <v>Invoice Completed</v>
      </c>
      <c r="N119" s="127"/>
      <c r="O119" s="1" t="s">
        <v>109</v>
      </c>
      <c r="P119" s="1" t="s">
        <v>109</v>
      </c>
      <c r="Q119" s="127"/>
      <c r="R119" s="56">
        <v>45489</v>
      </c>
      <c r="S119" s="56">
        <v>45513</v>
      </c>
      <c r="T119" s="1" t="s">
        <v>1822</v>
      </c>
      <c r="U119" s="56">
        <v>45769</v>
      </c>
      <c r="V119" s="39" t="s">
        <v>1853</v>
      </c>
      <c r="W119" s="1" t="s">
        <v>1853</v>
      </c>
      <c r="X119" s="4" t="s">
        <v>109</v>
      </c>
      <c r="Y119" s="4" t="s">
        <v>1853</v>
      </c>
      <c r="Z119" s="4" t="s">
        <v>1855</v>
      </c>
      <c r="AA119" s="39">
        <v>45518</v>
      </c>
      <c r="AB119" s="39" t="s">
        <v>1853</v>
      </c>
      <c r="AC119" s="39" t="s">
        <v>1853</v>
      </c>
      <c r="AD119" s="39" t="s">
        <v>1853</v>
      </c>
      <c r="AE119" s="1" t="s">
        <v>1853</v>
      </c>
      <c r="AF119" s="56">
        <v>45583</v>
      </c>
      <c r="AG119" s="56">
        <v>45583</v>
      </c>
      <c r="AH119" s="56">
        <v>49248</v>
      </c>
      <c r="AJ119" s="4" t="s">
        <v>109</v>
      </c>
      <c r="AK119" s="4" t="s">
        <v>109</v>
      </c>
      <c r="AL119" s="4" t="s">
        <v>109</v>
      </c>
      <c r="AM119" s="4" t="s">
        <v>109</v>
      </c>
      <c r="AP119" s="1">
        <f t="shared" si="3"/>
        <v>24</v>
      </c>
      <c r="AQ119" s="38">
        <f>AA119-Table1[[#This Row],[Closed Date]]</f>
        <v>57</v>
      </c>
    </row>
    <row r="120" spans="1:43" ht="18.75" customHeight="1" x14ac:dyDescent="0.3">
      <c r="A120" s="4">
        <f>Table1[[#This Row],[Project No]]</f>
        <v>2401123</v>
      </c>
      <c r="B120" s="110" t="str">
        <f>VLOOKUP(A:A,Table1[[Project No]:[Additional Remark]],2,FALSE)</f>
        <v>Lee Yoon Huat</v>
      </c>
      <c r="C120" s="4" t="e" vm="12">
        <f>VLOOKUP(A:A,Table1[[#All],[Project No]:[Additional Remark]],7,FALSE)</f>
        <v>#VALUE!</v>
      </c>
      <c r="D120" s="4" t="str">
        <f>VLOOKUP(A:A,Table1[[#All],[Project No]:[Additional Remark]],4,FALSE)</f>
        <v>Tham</v>
      </c>
      <c r="E120" s="4" t="str">
        <f>VLOOKUP(A:A,Table1[[#All],[Project No]:[Additional Remark]],5,FALSE)</f>
        <v>R-PV</v>
      </c>
      <c r="F120" s="4" t="str">
        <f>VLOOKUP(A:A,Table1[[Project No]:[Additional Remark]],6,FALSE)</f>
        <v>NEM</v>
      </c>
      <c r="G120" s="4">
        <f>VLOOKUP(A:A,Table1[[Project No]:[Additional Remark]],8,FALSE)</f>
        <v>12.285</v>
      </c>
      <c r="H120" s="4" t="str">
        <f>VLOOKUP(A:A,Table1[[Project No]:[Additional Remark]],15,FALSE)</f>
        <v>Astronergy 585Wp</v>
      </c>
      <c r="I120" s="4">
        <f>VLOOKUP(A:A,Table1[[Project No]:[Additional Remark]],16,FALSE)</f>
        <v>21</v>
      </c>
      <c r="J120" s="1" t="str">
        <f>VLOOKUP(A:A,Table1[[Project No]:[Additional Remark]],17,FALSE)</f>
        <v>Huawei SUN2000-10KTL</v>
      </c>
      <c r="K120" s="127"/>
      <c r="L120" s="1" t="str">
        <f t="shared" si="2"/>
        <v>Completed</v>
      </c>
      <c r="M120" s="1" t="str">
        <f>VLOOKUP(A:A,'Finance Tracker'!A118:K359,8,FALSE)</f>
        <v>Invoice Completed</v>
      </c>
      <c r="N120" s="127"/>
      <c r="O120" s="1" t="s">
        <v>109</v>
      </c>
      <c r="P120" s="1" t="s">
        <v>109</v>
      </c>
      <c r="Q120" s="127"/>
      <c r="R120" s="56">
        <v>45505</v>
      </c>
      <c r="S120" s="56">
        <v>45515</v>
      </c>
      <c r="T120" s="1" t="s">
        <v>1822</v>
      </c>
      <c r="U120" s="56">
        <v>45775</v>
      </c>
      <c r="V120" s="39" t="s">
        <v>1853</v>
      </c>
      <c r="W120" s="1" t="s">
        <v>1853</v>
      </c>
      <c r="X120" s="4" t="s">
        <v>109</v>
      </c>
      <c r="Y120" s="4" t="s">
        <v>1853</v>
      </c>
      <c r="Z120" s="4" t="s">
        <v>1855</v>
      </c>
      <c r="AA120" s="39">
        <v>45553</v>
      </c>
      <c r="AB120" s="39" t="s">
        <v>1853</v>
      </c>
      <c r="AC120" s="39" t="s">
        <v>1853</v>
      </c>
      <c r="AD120" s="39" t="s">
        <v>1853</v>
      </c>
      <c r="AE120" s="1" t="s">
        <v>1853</v>
      </c>
      <c r="AF120" s="56">
        <v>45567</v>
      </c>
      <c r="AG120" s="56">
        <v>45567</v>
      </c>
      <c r="AH120" s="56">
        <v>49248</v>
      </c>
      <c r="AJ120" s="4" t="s">
        <v>109</v>
      </c>
      <c r="AK120" s="4" t="s">
        <v>109</v>
      </c>
      <c r="AL120" s="4" t="s">
        <v>109</v>
      </c>
      <c r="AM120" s="4" t="s">
        <v>109</v>
      </c>
      <c r="AP120" s="1">
        <f t="shared" si="3"/>
        <v>10</v>
      </c>
      <c r="AQ120" s="38">
        <f>AA120-Table1[[#This Row],[Closed Date]]</f>
        <v>75</v>
      </c>
    </row>
    <row r="121" spans="1:43" ht="18.75" customHeight="1" x14ac:dyDescent="0.3">
      <c r="A121" s="4">
        <f>Table1[[#This Row],[Project No]]</f>
        <v>2404207</v>
      </c>
      <c r="B121" s="110" t="str">
        <f>VLOOKUP(A:A,Table1[[Project No]:[Additional Remark]],2,FALSE)</f>
        <v>Tan Boon Siang (Han Father)</v>
      </c>
      <c r="C121" s="4" t="e" vm="2">
        <f>VLOOKUP(A:A,Table1[[#All],[Project No]:[Additional Remark]],7,FALSE)</f>
        <v>#VALUE!</v>
      </c>
      <c r="D121" s="4" t="str">
        <f>VLOOKUP(A:A,Table1[[#All],[Project No]:[Additional Remark]],4,FALSE)</f>
        <v>Tham</v>
      </c>
      <c r="E121" s="4" t="str">
        <f>VLOOKUP(A:A,Table1[[#All],[Project No]:[Additional Remark]],5,FALSE)</f>
        <v>R-PV</v>
      </c>
      <c r="F121" s="4" t="str">
        <f>VLOOKUP(A:A,Table1[[Project No]:[Additional Remark]],6,FALSE)</f>
        <v>NEM</v>
      </c>
      <c r="G121" s="4">
        <f>VLOOKUP(A:A,Table1[[Project No]:[Additional Remark]],8,FALSE)</f>
        <v>7.02</v>
      </c>
      <c r="H121" s="4" t="str">
        <f>VLOOKUP(A:A,Table1[[Project No]:[Additional Remark]],15,FALSE)</f>
        <v>Astronergy 585Wp</v>
      </c>
      <c r="I121" s="4">
        <f>VLOOKUP(A:A,Table1[[Project No]:[Additional Remark]],16,FALSE)</f>
        <v>12</v>
      </c>
      <c r="J121" s="1" t="str">
        <f>VLOOKUP(A:A,Table1[[Project No]:[Additional Remark]],17,FALSE)</f>
        <v>Huawei SUN2000-5KTL-L1</v>
      </c>
      <c r="K121" s="127"/>
      <c r="L121" s="1" t="str">
        <f t="shared" si="2"/>
        <v>Completed</v>
      </c>
      <c r="M121" s="1" t="str">
        <f>VLOOKUP(A:A,'Finance Tracker'!A119:K360,8,FALSE)</f>
        <v>Invoice Completed</v>
      </c>
      <c r="N121" s="127"/>
      <c r="O121" s="1" t="s">
        <v>109</v>
      </c>
      <c r="P121" s="1" t="s">
        <v>109</v>
      </c>
      <c r="Q121" s="127"/>
      <c r="R121" s="56">
        <v>45443</v>
      </c>
      <c r="S121" s="56">
        <v>45457</v>
      </c>
      <c r="T121" s="1" t="s">
        <v>1822</v>
      </c>
      <c r="U121" s="56">
        <v>45891</v>
      </c>
      <c r="V121" s="39" t="s">
        <v>1853</v>
      </c>
      <c r="W121" s="1" t="s">
        <v>1853</v>
      </c>
      <c r="X121" s="4" t="s">
        <v>109</v>
      </c>
      <c r="Y121" s="4" t="s">
        <v>1853</v>
      </c>
      <c r="Z121" s="4" t="s">
        <v>1855</v>
      </c>
      <c r="AA121" s="39">
        <v>45516</v>
      </c>
      <c r="AB121" s="39" t="s">
        <v>1853</v>
      </c>
      <c r="AC121" s="39" t="s">
        <v>1853</v>
      </c>
      <c r="AD121" s="39" t="s">
        <v>1853</v>
      </c>
      <c r="AE121" s="56">
        <v>45532</v>
      </c>
      <c r="AF121" s="56">
        <v>45529</v>
      </c>
      <c r="AG121" s="56">
        <v>45529</v>
      </c>
      <c r="AH121" s="56">
        <v>49187</v>
      </c>
      <c r="AJ121" s="4" t="s">
        <v>109</v>
      </c>
      <c r="AK121" s="4" t="s">
        <v>109</v>
      </c>
      <c r="AL121" s="4" t="s">
        <v>109</v>
      </c>
      <c r="AM121" s="4" t="s">
        <v>109</v>
      </c>
      <c r="AP121" s="1">
        <f t="shared" si="3"/>
        <v>14</v>
      </c>
      <c r="AQ121" s="38">
        <f>AA121-Table1[[#This Row],[Closed Date]]</f>
        <v>84</v>
      </c>
    </row>
    <row r="122" spans="1:43" ht="18.75" customHeight="1" x14ac:dyDescent="0.3">
      <c r="A122" s="4">
        <f>Table1[[#This Row],[Project No]]</f>
        <v>2408402</v>
      </c>
      <c r="B122" s="110" t="str">
        <f>VLOOKUP(A:A,Table1[[Project No]:[Additional Remark]],2,FALSE)</f>
        <v>Tee Cheong Tuan</v>
      </c>
      <c r="C122" s="4" t="e" vm="5">
        <f>VLOOKUP(A:A,Table1[[#All],[Project No]:[Additional Remark]],7,FALSE)</f>
        <v>#VALUE!</v>
      </c>
      <c r="D122" s="4" t="str">
        <f>VLOOKUP(A:A,Table1[[#All],[Project No]:[Additional Remark]],4,FALSE)</f>
        <v>Tham</v>
      </c>
      <c r="E122" s="4" t="str">
        <f>VLOOKUP(A:A,Table1[[#All],[Project No]:[Additional Remark]],5,FALSE)</f>
        <v>R-PV</v>
      </c>
      <c r="F122" s="4" t="str">
        <f>VLOOKUP(A:A,Table1[[Project No]:[Additional Remark]],6,FALSE)</f>
        <v>NEM</v>
      </c>
      <c r="G122" s="4">
        <f>VLOOKUP(A:A,Table1[[Project No]:[Additional Remark]],8,FALSE)</f>
        <v>12.87</v>
      </c>
      <c r="H122" s="4" t="str">
        <f>VLOOKUP(A:A,Table1[[Project No]:[Additional Remark]],15,FALSE)</f>
        <v>Astronergy 585Wp</v>
      </c>
      <c r="I122" s="4">
        <f>VLOOKUP(A:A,Table1[[Project No]:[Additional Remark]],16,FALSE)</f>
        <v>22</v>
      </c>
      <c r="J122" s="1" t="str">
        <f>VLOOKUP(A:A,Table1[[Project No]:[Additional Remark]],17,FALSE)</f>
        <v>Huawei SUN2000-10KTL</v>
      </c>
      <c r="K122" s="127"/>
      <c r="L122" s="1" t="str">
        <f t="shared" si="2"/>
        <v>Completed</v>
      </c>
      <c r="M122" s="1" t="str">
        <f>VLOOKUP(A:A,'Finance Tracker'!A120:K361,8,FALSE)</f>
        <v>Invoice Completed</v>
      </c>
      <c r="N122" s="127"/>
      <c r="O122" s="1" t="s">
        <v>109</v>
      </c>
      <c r="P122" s="1" t="s">
        <v>109</v>
      </c>
      <c r="Q122" s="127"/>
      <c r="R122" s="56">
        <v>45517</v>
      </c>
      <c r="S122" s="56">
        <v>45534</v>
      </c>
      <c r="T122" s="1" t="s">
        <v>1822</v>
      </c>
      <c r="U122" s="56">
        <v>45775</v>
      </c>
      <c r="V122" s="39" t="s">
        <v>1853</v>
      </c>
      <c r="W122" s="1" t="s">
        <v>1853</v>
      </c>
      <c r="X122" s="4" t="s">
        <v>109</v>
      </c>
      <c r="Y122" s="4" t="s">
        <v>1853</v>
      </c>
      <c r="Z122" s="4" t="s">
        <v>1855</v>
      </c>
      <c r="AA122" s="39">
        <v>45593</v>
      </c>
      <c r="AB122" s="39" t="s">
        <v>1853</v>
      </c>
      <c r="AC122" s="39" t="s">
        <v>1853</v>
      </c>
      <c r="AD122" s="39" t="s">
        <v>1853</v>
      </c>
      <c r="AE122" s="56">
        <v>45607</v>
      </c>
      <c r="AF122" s="56">
        <v>45608</v>
      </c>
      <c r="AG122" s="56">
        <v>45608</v>
      </c>
      <c r="AH122" s="56">
        <v>49278</v>
      </c>
      <c r="AJ122" s="4" t="s">
        <v>109</v>
      </c>
      <c r="AK122" s="4" t="s">
        <v>109</v>
      </c>
      <c r="AL122" s="4" t="s">
        <v>109</v>
      </c>
      <c r="AM122" s="4" t="s">
        <v>109</v>
      </c>
      <c r="AP122" s="1">
        <f t="shared" si="3"/>
        <v>17</v>
      </c>
      <c r="AQ122" s="38">
        <f>AA122-Table1[[#This Row],[Closed Date]]</f>
        <v>84</v>
      </c>
    </row>
    <row r="123" spans="1:43" ht="18.75" customHeight="1" x14ac:dyDescent="0.3">
      <c r="A123" s="4">
        <f>Table1[[#This Row],[Project No]]</f>
        <v>2407372</v>
      </c>
      <c r="B123" s="110" t="str">
        <f>VLOOKUP(A:A,Table1[[Project No]:[Additional Remark]],2,FALSE)</f>
        <v>Dato Tay Tong Ben</v>
      </c>
      <c r="C123" s="4" t="e" vm="8">
        <f>VLOOKUP(A:A,Table1[[#All],[Project No]:[Additional Remark]],7,FALSE)</f>
        <v>#VALUE!</v>
      </c>
      <c r="D123" s="4" t="str">
        <f>VLOOKUP(A:A,Table1[[#All],[Project No]:[Additional Remark]],4,FALSE)</f>
        <v>Tham</v>
      </c>
      <c r="E123" s="4" t="str">
        <f>VLOOKUP(A:A,Table1[[#All],[Project No]:[Additional Remark]],5,FALSE)</f>
        <v>R-PV</v>
      </c>
      <c r="F123" s="4" t="str">
        <f>VLOOKUP(A:A,Table1[[Project No]:[Additional Remark]],6,FALSE)</f>
        <v>NEM</v>
      </c>
      <c r="G123" s="4">
        <f>VLOOKUP(A:A,Table1[[Project No]:[Additional Remark]],8,FALSE)</f>
        <v>14.04</v>
      </c>
      <c r="H123" s="4" t="str">
        <f>VLOOKUP(A:A,Table1[[Project No]:[Additional Remark]],15,FALSE)</f>
        <v>Astronergy 585Wp</v>
      </c>
      <c r="I123" s="4">
        <f>VLOOKUP(A:A,Table1[[Project No]:[Additional Remark]],16,FALSE)</f>
        <v>24</v>
      </c>
      <c r="J123" s="1" t="str">
        <f>VLOOKUP(A:A,Table1[[Project No]:[Additional Remark]],17,FALSE)</f>
        <v>Huawei SUN2000-12KTL</v>
      </c>
      <c r="K123" s="127"/>
      <c r="L123" s="1" t="str">
        <f t="shared" si="2"/>
        <v>Completed</v>
      </c>
      <c r="M123" s="1" t="str">
        <f>VLOOKUP(A:A,'Finance Tracker'!A121:K362,8,FALSE)</f>
        <v>Invoice Completed</v>
      </c>
      <c r="N123" s="127"/>
      <c r="O123" s="1" t="s">
        <v>109</v>
      </c>
      <c r="P123" s="1" t="s">
        <v>109</v>
      </c>
      <c r="Q123" s="127"/>
      <c r="R123" s="56">
        <v>45517</v>
      </c>
      <c r="S123" s="56">
        <v>45534</v>
      </c>
      <c r="T123" s="1" t="s">
        <v>1822</v>
      </c>
      <c r="U123" s="56">
        <v>45775</v>
      </c>
      <c r="V123" s="39" t="s">
        <v>1853</v>
      </c>
      <c r="W123" s="1" t="s">
        <v>1853</v>
      </c>
      <c r="X123" s="4" t="s">
        <v>109</v>
      </c>
      <c r="Y123" s="4" t="s">
        <v>1853</v>
      </c>
      <c r="Z123" s="4" t="s">
        <v>1855</v>
      </c>
      <c r="AA123" s="39">
        <v>45560</v>
      </c>
      <c r="AB123" s="39" t="s">
        <v>1853</v>
      </c>
      <c r="AC123" s="39" t="s">
        <v>1853</v>
      </c>
      <c r="AD123" s="39" t="s">
        <v>1853</v>
      </c>
      <c r="AE123" s="1" t="s">
        <v>1853</v>
      </c>
      <c r="AF123" s="56">
        <v>45581</v>
      </c>
      <c r="AG123" s="56">
        <v>45581</v>
      </c>
      <c r="AH123" s="56">
        <v>49248</v>
      </c>
      <c r="AJ123" s="4" t="s">
        <v>109</v>
      </c>
      <c r="AK123" s="4" t="s">
        <v>109</v>
      </c>
      <c r="AL123" s="4" t="s">
        <v>109</v>
      </c>
      <c r="AM123" s="4" t="s">
        <v>109</v>
      </c>
      <c r="AP123" s="1">
        <f t="shared" si="3"/>
        <v>17</v>
      </c>
      <c r="AQ123" s="38">
        <f>AA123-Table1[[#This Row],[Closed Date]]</f>
        <v>50</v>
      </c>
    </row>
    <row r="124" spans="1:43" ht="18.75" customHeight="1" x14ac:dyDescent="0.3">
      <c r="A124" s="4">
        <f>Table1[[#This Row],[Project No]]</f>
        <v>2405298</v>
      </c>
      <c r="B124" s="110" t="str">
        <f>VLOOKUP(A:A,Table1[[Project No]:[Additional Remark]],2,FALSE)</f>
        <v>Lim Choon Huat</v>
      </c>
      <c r="C124" s="4" t="e" vm="8">
        <f>VLOOKUP(A:A,Table1[[#All],[Project No]:[Additional Remark]],7,FALSE)</f>
        <v>#VALUE!</v>
      </c>
      <c r="D124" s="4" t="str">
        <f>VLOOKUP(A:A,Table1[[#All],[Project No]:[Additional Remark]],4,FALSE)</f>
        <v>Tham</v>
      </c>
      <c r="E124" s="4" t="str">
        <f>VLOOKUP(A:A,Table1[[#All],[Project No]:[Additional Remark]],5,FALSE)</f>
        <v>R-PV</v>
      </c>
      <c r="F124" s="4" t="str">
        <f>VLOOKUP(A:A,Table1[[Project No]:[Additional Remark]],6,FALSE)</f>
        <v>NEM</v>
      </c>
      <c r="G124" s="4">
        <f>VLOOKUP(A:A,Table1[[Project No]:[Additional Remark]],8,FALSE)</f>
        <v>11.7</v>
      </c>
      <c r="H124" s="4" t="str">
        <f>VLOOKUP(A:A,Table1[[Project No]:[Additional Remark]],15,FALSE)</f>
        <v>Astronergy 585Wp</v>
      </c>
      <c r="I124" s="4">
        <f>VLOOKUP(A:A,Table1[[Project No]:[Additional Remark]],16,FALSE)</f>
        <v>20</v>
      </c>
      <c r="J124" s="1" t="str">
        <f>VLOOKUP(A:A,Table1[[Project No]:[Additional Remark]],17,FALSE)</f>
        <v>Huawei SUN2000-10KTL</v>
      </c>
      <c r="K124" s="127"/>
      <c r="L124" s="1" t="str">
        <f t="shared" si="2"/>
        <v>Completed</v>
      </c>
      <c r="M124" s="1" t="str">
        <f>VLOOKUP(A:A,'Finance Tracker'!A122:K363,8,FALSE)</f>
        <v>Invoice Completed</v>
      </c>
      <c r="N124" s="127"/>
      <c r="O124" s="1" t="s">
        <v>109</v>
      </c>
      <c r="P124" s="1" t="s">
        <v>109</v>
      </c>
      <c r="Q124" s="127"/>
      <c r="R124" s="56">
        <v>45517</v>
      </c>
      <c r="S124" s="56">
        <v>45534</v>
      </c>
      <c r="T124" s="1" t="s">
        <v>1822</v>
      </c>
      <c r="U124" s="56">
        <v>45768</v>
      </c>
      <c r="V124" s="39" t="s">
        <v>1853</v>
      </c>
      <c r="W124" s="1" t="s">
        <v>1853</v>
      </c>
      <c r="X124" s="4" t="s">
        <v>109</v>
      </c>
      <c r="Y124" s="4" t="s">
        <v>1853</v>
      </c>
      <c r="Z124" s="4" t="s">
        <v>1855</v>
      </c>
      <c r="AA124" s="39">
        <v>45559</v>
      </c>
      <c r="AB124" s="39" t="s">
        <v>1853</v>
      </c>
      <c r="AC124" s="39" t="s">
        <v>1853</v>
      </c>
      <c r="AD124" s="39" t="s">
        <v>1853</v>
      </c>
      <c r="AE124" s="39">
        <v>45572</v>
      </c>
      <c r="AF124" s="56">
        <v>45581</v>
      </c>
      <c r="AG124" s="56">
        <v>45581</v>
      </c>
      <c r="AH124" s="56">
        <v>49248</v>
      </c>
      <c r="AJ124" s="4" t="s">
        <v>109</v>
      </c>
      <c r="AK124" s="4" t="s">
        <v>109</v>
      </c>
      <c r="AL124" s="4" t="s">
        <v>109</v>
      </c>
      <c r="AM124" s="4" t="s">
        <v>109</v>
      </c>
      <c r="AP124" s="1">
        <f t="shared" si="3"/>
        <v>17</v>
      </c>
      <c r="AQ124" s="38">
        <f>AA124-Table1[[#This Row],[Closed Date]]</f>
        <v>60</v>
      </c>
    </row>
    <row r="125" spans="1:43" ht="18.75" customHeight="1" x14ac:dyDescent="0.3">
      <c r="A125" s="4">
        <f>Table1[[#This Row],[Project No]]</f>
        <v>2408404</v>
      </c>
      <c r="B125" s="110" t="str">
        <f>VLOOKUP(A:A,Table1[[Project No]:[Additional Remark]],2,FALSE)</f>
        <v>Ong Ling Gee</v>
      </c>
      <c r="C125" s="4" t="e" vm="8">
        <f>VLOOKUP(A:A,Table1[[#All],[Project No]:[Additional Remark]],7,FALSE)</f>
        <v>#VALUE!</v>
      </c>
      <c r="D125" s="4" t="str">
        <f>VLOOKUP(A:A,Table1[[#All],[Project No]:[Additional Remark]],4,FALSE)</f>
        <v>Tham</v>
      </c>
      <c r="E125" s="4" t="str">
        <f>VLOOKUP(A:A,Table1[[#All],[Project No]:[Additional Remark]],5,FALSE)</f>
        <v>R-PV</v>
      </c>
      <c r="F125" s="4" t="str">
        <f>VLOOKUP(A:A,Table1[[Project No]:[Additional Remark]],6,FALSE)</f>
        <v>NEM</v>
      </c>
      <c r="G125" s="4">
        <f>VLOOKUP(A:A,Table1[[Project No]:[Additional Remark]],8,FALSE)</f>
        <v>7.02</v>
      </c>
      <c r="H125" s="4" t="str">
        <f>VLOOKUP(A:A,Table1[[Project No]:[Additional Remark]],15,FALSE)</f>
        <v>Astronergy 585Wp</v>
      </c>
      <c r="I125" s="4">
        <f>VLOOKUP(A:A,Table1[[Project No]:[Additional Remark]],16,FALSE)</f>
        <v>12</v>
      </c>
      <c r="J125" s="1" t="str">
        <f>VLOOKUP(A:A,Table1[[Project No]:[Additional Remark]],17,FALSE)</f>
        <v>Huawei SUN2000-5KTL-L1</v>
      </c>
      <c r="K125" s="127"/>
      <c r="L125" s="1" t="str">
        <f t="shared" si="2"/>
        <v>Completed</v>
      </c>
      <c r="M125" s="1" t="str">
        <f>VLOOKUP(A:A,'Finance Tracker'!A123:K364,8,FALSE)</f>
        <v>Invoice Completed</v>
      </c>
      <c r="N125" s="127"/>
      <c r="O125" s="1" t="s">
        <v>109</v>
      </c>
      <c r="P125" s="1" t="s">
        <v>109</v>
      </c>
      <c r="Q125" s="127"/>
      <c r="R125" s="56">
        <v>45517</v>
      </c>
      <c r="S125" s="56">
        <v>45534</v>
      </c>
      <c r="T125" s="1" t="s">
        <v>1822</v>
      </c>
      <c r="U125" s="56">
        <v>45775</v>
      </c>
      <c r="V125" s="39" t="s">
        <v>1853</v>
      </c>
      <c r="W125" s="1" t="s">
        <v>1853</v>
      </c>
      <c r="X125" s="4" t="s">
        <v>109</v>
      </c>
      <c r="Y125" s="4" t="s">
        <v>1853</v>
      </c>
      <c r="Z125" s="4" t="s">
        <v>1854</v>
      </c>
      <c r="AA125" s="39">
        <v>45589</v>
      </c>
      <c r="AB125" s="39">
        <v>45617</v>
      </c>
      <c r="AC125" s="39" t="s">
        <v>1853</v>
      </c>
      <c r="AD125" s="39">
        <v>45621</v>
      </c>
      <c r="AE125" s="39">
        <v>45618</v>
      </c>
      <c r="AF125" s="56">
        <v>45621</v>
      </c>
      <c r="AG125" s="56">
        <v>45621</v>
      </c>
      <c r="AH125" s="56">
        <v>49278</v>
      </c>
      <c r="AJ125" s="4" t="s">
        <v>109</v>
      </c>
      <c r="AK125" s="4" t="s">
        <v>109</v>
      </c>
      <c r="AL125" s="4" t="s">
        <v>109</v>
      </c>
      <c r="AM125" s="4" t="s">
        <v>109</v>
      </c>
      <c r="AP125" s="1">
        <f t="shared" si="3"/>
        <v>17</v>
      </c>
      <c r="AQ125" s="38">
        <f>AA125-Table1[[#This Row],[Closed Date]]</f>
        <v>74</v>
      </c>
    </row>
    <row r="126" spans="1:43" ht="18.75" customHeight="1" x14ac:dyDescent="0.3">
      <c r="A126" s="4">
        <f>Table1[[#This Row],[Project No]]</f>
        <v>2408401</v>
      </c>
      <c r="B126" s="110" t="str">
        <f>VLOOKUP(A:A,Table1[[Project No]:[Additional Remark]],2,FALSE)</f>
        <v>Kuek Soon Yeam</v>
      </c>
      <c r="C126" s="4" t="e" vm="12">
        <f>VLOOKUP(A:A,Table1[[#All],[Project No]:[Additional Remark]],7,FALSE)</f>
        <v>#VALUE!</v>
      </c>
      <c r="D126" s="4" t="str">
        <f>VLOOKUP(A:A,Table1[[#All],[Project No]:[Additional Remark]],4,FALSE)</f>
        <v>Tham</v>
      </c>
      <c r="E126" s="4" t="str">
        <f>VLOOKUP(A:A,Table1[[#All],[Project No]:[Additional Remark]],5,FALSE)</f>
        <v>R-PV</v>
      </c>
      <c r="F126" s="4" t="str">
        <f>VLOOKUP(A:A,Table1[[Project No]:[Additional Remark]],6,FALSE)</f>
        <v>NEM</v>
      </c>
      <c r="G126" s="4">
        <f>VLOOKUP(A:A,Table1[[Project No]:[Additional Remark]],8,FALSE)</f>
        <v>7.02</v>
      </c>
      <c r="H126" s="4" t="str">
        <f>VLOOKUP(A:A,Table1[[Project No]:[Additional Remark]],15,FALSE)</f>
        <v>Astronergy 585Wp</v>
      </c>
      <c r="I126" s="4">
        <f>VLOOKUP(A:A,Table1[[Project No]:[Additional Remark]],16,FALSE)</f>
        <v>12</v>
      </c>
      <c r="J126" s="1" t="str">
        <f>VLOOKUP(A:A,Table1[[Project No]:[Additional Remark]],17,FALSE)</f>
        <v>Huawei SUN2000-5KTL-L1</v>
      </c>
      <c r="K126" s="127"/>
      <c r="L126" s="1" t="str">
        <f t="shared" si="2"/>
        <v>Completed</v>
      </c>
      <c r="M126" s="1" t="str">
        <f>VLOOKUP(A:A,'Finance Tracker'!A124:K365,8,FALSE)</f>
        <v>Invoice Completed</v>
      </c>
      <c r="N126" s="127"/>
      <c r="O126" s="1" t="s">
        <v>109</v>
      </c>
      <c r="P126" s="1" t="s">
        <v>109</v>
      </c>
      <c r="Q126" s="127"/>
      <c r="R126" s="56">
        <v>45518</v>
      </c>
      <c r="S126" s="56">
        <v>45535</v>
      </c>
      <c r="T126" s="1" t="s">
        <v>1822</v>
      </c>
      <c r="U126" s="56">
        <v>45768</v>
      </c>
      <c r="V126" s="39" t="s">
        <v>1853</v>
      </c>
      <c r="W126" s="1" t="s">
        <v>1853</v>
      </c>
      <c r="X126" s="4" t="s">
        <v>109</v>
      </c>
      <c r="Y126" s="4" t="s">
        <v>1853</v>
      </c>
      <c r="Z126" s="4" t="s">
        <v>1855</v>
      </c>
      <c r="AA126" s="39">
        <v>45581</v>
      </c>
      <c r="AB126" s="39">
        <v>45581</v>
      </c>
      <c r="AC126" s="39" t="s">
        <v>1853</v>
      </c>
      <c r="AD126" s="39" t="s">
        <v>1853</v>
      </c>
      <c r="AE126" s="39">
        <v>45600</v>
      </c>
      <c r="AF126" s="56">
        <v>45601</v>
      </c>
      <c r="AG126" s="56">
        <v>45601</v>
      </c>
      <c r="AH126" s="56">
        <v>49278</v>
      </c>
      <c r="AJ126" s="4" t="s">
        <v>109</v>
      </c>
      <c r="AK126" s="4" t="s">
        <v>109</v>
      </c>
      <c r="AL126" s="4" t="s">
        <v>109</v>
      </c>
      <c r="AM126" s="4" t="s">
        <v>109</v>
      </c>
      <c r="AP126" s="1">
        <f t="shared" si="3"/>
        <v>17</v>
      </c>
      <c r="AQ126" s="38">
        <f>AA126-Table1[[#This Row],[Closed Date]]</f>
        <v>69</v>
      </c>
    </row>
    <row r="127" spans="1:43" ht="18.75" customHeight="1" x14ac:dyDescent="0.3">
      <c r="A127" s="4">
        <f>Table1[[#This Row],[Project No]]</f>
        <v>2408398</v>
      </c>
      <c r="B127" s="110" t="str">
        <f>VLOOKUP(A:A,Table1[[Project No]:[Additional Remark]],2,FALSE)</f>
        <v>Yap Siok Ching</v>
      </c>
      <c r="C127" s="4" t="e" vm="12">
        <f>VLOOKUP(A:A,Table1[[#All],[Project No]:[Additional Remark]],7,FALSE)</f>
        <v>#VALUE!</v>
      </c>
      <c r="D127" s="4" t="str">
        <f>VLOOKUP(A:A,Table1[[#All],[Project No]:[Additional Remark]],4,FALSE)</f>
        <v>Tham</v>
      </c>
      <c r="E127" s="4" t="str">
        <f>VLOOKUP(A:A,Table1[[#All],[Project No]:[Additional Remark]],5,FALSE)</f>
        <v>R-PV</v>
      </c>
      <c r="F127" s="4" t="str">
        <f>VLOOKUP(A:A,Table1[[Project No]:[Additional Remark]],6,FALSE)</f>
        <v>NEM</v>
      </c>
      <c r="G127" s="4">
        <f>VLOOKUP(A:A,Table1[[Project No]:[Additional Remark]],8,FALSE)</f>
        <v>11.7</v>
      </c>
      <c r="H127" s="4" t="str">
        <f>VLOOKUP(A:A,Table1[[Project No]:[Additional Remark]],15,FALSE)</f>
        <v>Astronergy 585Wp</v>
      </c>
      <c r="I127" s="4">
        <f>VLOOKUP(A:A,Table1[[Project No]:[Additional Remark]],16,FALSE)</f>
        <v>20</v>
      </c>
      <c r="J127" s="1" t="str">
        <f>VLOOKUP(A:A,Table1[[Project No]:[Additional Remark]],17,FALSE)</f>
        <v>Huawei SUN2000-10KTL</v>
      </c>
      <c r="K127" s="127"/>
      <c r="L127" s="1" t="str">
        <f t="shared" si="2"/>
        <v>Completed</v>
      </c>
      <c r="M127" s="1" t="str">
        <f>VLOOKUP(A:A,'Finance Tracker'!A125:K366,8,FALSE)</f>
        <v>Invoice Completed</v>
      </c>
      <c r="N127" s="127"/>
      <c r="O127" s="1" t="s">
        <v>109</v>
      </c>
      <c r="P127" s="1" t="s">
        <v>109</v>
      </c>
      <c r="Q127" s="127"/>
      <c r="R127" s="56">
        <v>45529</v>
      </c>
      <c r="S127" s="56">
        <v>45547</v>
      </c>
      <c r="T127" s="1" t="s">
        <v>1822</v>
      </c>
      <c r="U127" s="56">
        <v>45792</v>
      </c>
      <c r="V127" s="39" t="s">
        <v>1853</v>
      </c>
      <c r="W127" s="1" t="s">
        <v>1853</v>
      </c>
      <c r="X127" s="4" t="s">
        <v>109</v>
      </c>
      <c r="Y127" s="4" t="s">
        <v>1853</v>
      </c>
      <c r="Z127" s="4" t="s">
        <v>1855</v>
      </c>
      <c r="AA127" s="39">
        <v>45583</v>
      </c>
      <c r="AB127" s="39" t="s">
        <v>1853</v>
      </c>
      <c r="AC127" s="39" t="s">
        <v>1853</v>
      </c>
      <c r="AD127" s="39" t="s">
        <v>1853</v>
      </c>
      <c r="AE127" s="1" t="s">
        <v>1853</v>
      </c>
      <c r="AF127" s="56">
        <v>45593</v>
      </c>
      <c r="AG127" s="56">
        <v>45593</v>
      </c>
      <c r="AH127" s="56">
        <v>49248</v>
      </c>
      <c r="AJ127" s="4" t="s">
        <v>109</v>
      </c>
      <c r="AK127" s="4" t="s">
        <v>109</v>
      </c>
      <c r="AL127" s="4" t="s">
        <v>109</v>
      </c>
      <c r="AM127" s="4" t="s">
        <v>109</v>
      </c>
      <c r="AP127" s="1">
        <f t="shared" si="3"/>
        <v>18</v>
      </c>
      <c r="AQ127" s="38">
        <f>AA127-Table1[[#This Row],[Closed Date]]</f>
        <v>64</v>
      </c>
    </row>
    <row r="128" spans="1:43" ht="18.75" customHeight="1" x14ac:dyDescent="0.3">
      <c r="A128" s="4">
        <f>Table1[[#This Row],[Project No]]</f>
        <v>2408415</v>
      </c>
      <c r="B128" s="110" t="str">
        <f>VLOOKUP(A:A,Table1[[Project No]:[Additional Remark]],2,FALSE)</f>
        <v>Shahrin Merican</v>
      </c>
      <c r="C128" s="4" t="e" vm="12">
        <f>VLOOKUP(A:A,Table1[[#All],[Project No]:[Additional Remark]],7,FALSE)</f>
        <v>#VALUE!</v>
      </c>
      <c r="D128" s="4" t="str">
        <f>VLOOKUP(A:A,Table1[[#All],[Project No]:[Additional Remark]],4,FALSE)</f>
        <v>Tham</v>
      </c>
      <c r="E128" s="4" t="str">
        <f>VLOOKUP(A:A,Table1[[#All],[Project No]:[Additional Remark]],5,FALSE)</f>
        <v>R-PV</v>
      </c>
      <c r="F128" s="4" t="str">
        <f>VLOOKUP(A:A,Table1[[Project No]:[Additional Remark]],6,FALSE)</f>
        <v>NEM</v>
      </c>
      <c r="G128" s="4">
        <f>VLOOKUP(A:A,Table1[[Project No]:[Additional Remark]],8,FALSE)</f>
        <v>17.55</v>
      </c>
      <c r="H128" s="4" t="str">
        <f>VLOOKUP(A:A,Table1[[Project No]:[Additional Remark]],15,FALSE)</f>
        <v>Astronergy 585Wp</v>
      </c>
      <c r="I128" s="4">
        <f>VLOOKUP(A:A,Table1[[Project No]:[Additional Remark]],16,FALSE)</f>
        <v>30</v>
      </c>
      <c r="J128" s="1" t="str">
        <f>VLOOKUP(A:A,Table1[[Project No]:[Additional Remark]],17,FALSE)</f>
        <v>Huawei SUN2000-12KTL</v>
      </c>
      <c r="K128" s="127"/>
      <c r="L128" s="1" t="str">
        <f t="shared" si="2"/>
        <v>Completed</v>
      </c>
      <c r="M128" s="1" t="str">
        <f>VLOOKUP(A:A,'Finance Tracker'!A126:K367,8,FALSE)</f>
        <v>Invoice Completed</v>
      </c>
      <c r="N128" s="127"/>
      <c r="O128" s="1" t="s">
        <v>109</v>
      </c>
      <c r="P128" s="1" t="s">
        <v>109</v>
      </c>
      <c r="Q128" s="127"/>
      <c r="R128" s="56">
        <v>45533</v>
      </c>
      <c r="S128" s="56">
        <v>45566</v>
      </c>
      <c r="T128" s="1" t="s">
        <v>1822</v>
      </c>
      <c r="U128" s="56">
        <v>45792</v>
      </c>
      <c r="V128" s="39" t="s">
        <v>1853</v>
      </c>
      <c r="W128" s="1" t="s">
        <v>1853</v>
      </c>
      <c r="X128" s="4" t="s">
        <v>109</v>
      </c>
      <c r="Y128" s="4" t="s">
        <v>1853</v>
      </c>
      <c r="Z128" s="4" t="s">
        <v>1855</v>
      </c>
      <c r="AA128" s="39">
        <v>45588</v>
      </c>
      <c r="AB128" s="39" t="s">
        <v>1853</v>
      </c>
      <c r="AC128" s="39" t="s">
        <v>1853</v>
      </c>
      <c r="AD128" s="39" t="s">
        <v>1853</v>
      </c>
      <c r="AE128" s="1" t="s">
        <v>1853</v>
      </c>
      <c r="AF128" s="56">
        <v>45597</v>
      </c>
      <c r="AG128" s="56">
        <v>45597</v>
      </c>
      <c r="AH128" s="56">
        <v>45626</v>
      </c>
      <c r="AJ128" s="4" t="s">
        <v>109</v>
      </c>
      <c r="AK128" s="4" t="s">
        <v>109</v>
      </c>
      <c r="AL128" s="4" t="s">
        <v>109</v>
      </c>
      <c r="AM128" s="4" t="s">
        <v>109</v>
      </c>
      <c r="AP128" s="1">
        <f t="shared" si="3"/>
        <v>33</v>
      </c>
      <c r="AQ128" s="38">
        <f>AA128-Table1[[#This Row],[Closed Date]]</f>
        <v>63</v>
      </c>
    </row>
    <row r="129" spans="1:43" ht="18.75" customHeight="1" x14ac:dyDescent="0.3">
      <c r="A129" s="4">
        <f>Table1[[#This Row],[Project No]]</f>
        <v>2408425</v>
      </c>
      <c r="B129" s="110" t="str">
        <f>VLOOKUP(A:A,Table1[[Project No]:[Additional Remark]],2,FALSE)</f>
        <v>Chua Shen Huat</v>
      </c>
      <c r="C129" s="4" t="e" vm="5">
        <f>VLOOKUP(A:A,Table1[[#All],[Project No]:[Additional Remark]],7,FALSE)</f>
        <v>#VALUE!</v>
      </c>
      <c r="D129" s="4" t="str">
        <f>VLOOKUP(A:A,Table1[[#All],[Project No]:[Additional Remark]],4,FALSE)</f>
        <v>Tham</v>
      </c>
      <c r="E129" s="4" t="str">
        <f>VLOOKUP(A:A,Table1[[#All],[Project No]:[Additional Remark]],5,FALSE)</f>
        <v>R-PV</v>
      </c>
      <c r="F129" s="4" t="str">
        <f>VLOOKUP(A:A,Table1[[Project No]:[Additional Remark]],6,FALSE)</f>
        <v>NEM</v>
      </c>
      <c r="G129" s="4">
        <f>VLOOKUP(A:A,Table1[[Project No]:[Additional Remark]],8,FALSE)</f>
        <v>14.04</v>
      </c>
      <c r="H129" s="4" t="str">
        <f>VLOOKUP(A:A,Table1[[Project No]:[Additional Remark]],15,FALSE)</f>
        <v>Astronergy 585Wp</v>
      </c>
      <c r="I129" s="4">
        <f>VLOOKUP(A:A,Table1[[Project No]:[Additional Remark]],16,FALSE)</f>
        <v>24</v>
      </c>
      <c r="J129" s="1" t="str">
        <f>VLOOKUP(A:A,Table1[[Project No]:[Additional Remark]],17,FALSE)</f>
        <v>Huawei SUN2000-12KTL</v>
      </c>
      <c r="K129" s="127"/>
      <c r="L129" s="1" t="str">
        <f t="shared" si="2"/>
        <v>Completed</v>
      </c>
      <c r="M129" s="1" t="str">
        <f>VLOOKUP(A:A,'Finance Tracker'!A127:K368,8,FALSE)</f>
        <v>Invoice Completed</v>
      </c>
      <c r="N129" s="127"/>
      <c r="O129" s="1" t="s">
        <v>109</v>
      </c>
      <c r="P129" s="1" t="s">
        <v>109</v>
      </c>
      <c r="Q129" s="127"/>
      <c r="R129" s="56">
        <v>45537</v>
      </c>
      <c r="S129" s="56">
        <v>45561</v>
      </c>
      <c r="T129" s="1" t="s">
        <v>1822</v>
      </c>
      <c r="U129" s="56">
        <v>45776</v>
      </c>
      <c r="V129" s="39" t="s">
        <v>1853</v>
      </c>
      <c r="W129" s="1" t="s">
        <v>1853</v>
      </c>
      <c r="X129" s="4" t="s">
        <v>109</v>
      </c>
      <c r="Y129" s="4" t="s">
        <v>1853</v>
      </c>
      <c r="Z129" s="4" t="s">
        <v>1855</v>
      </c>
      <c r="AA129" s="39">
        <v>45586</v>
      </c>
      <c r="AB129" s="39" t="s">
        <v>1853</v>
      </c>
      <c r="AC129" s="39" t="s">
        <v>1853</v>
      </c>
      <c r="AD129" s="39" t="s">
        <v>1853</v>
      </c>
      <c r="AE129" s="1" t="s">
        <v>1853</v>
      </c>
      <c r="AF129" s="56">
        <v>45604</v>
      </c>
      <c r="AG129" s="56">
        <v>45604</v>
      </c>
      <c r="AH129" s="56">
        <v>49278</v>
      </c>
      <c r="AJ129" s="4" t="s">
        <v>109</v>
      </c>
      <c r="AK129" s="4" t="s">
        <v>109</v>
      </c>
      <c r="AL129" s="4" t="s">
        <v>109</v>
      </c>
      <c r="AM129" s="4" t="s">
        <v>109</v>
      </c>
      <c r="AP129" s="1">
        <f t="shared" si="3"/>
        <v>24</v>
      </c>
      <c r="AQ129" s="38">
        <f>AA129-Table1[[#This Row],[Closed Date]]</f>
        <v>55</v>
      </c>
    </row>
    <row r="130" spans="1:43" ht="18.75" customHeight="1" x14ac:dyDescent="0.3">
      <c r="A130" s="4">
        <f>Table1[[#This Row],[Project No]]</f>
        <v>2406334</v>
      </c>
      <c r="B130" s="110" t="str">
        <f>VLOOKUP(A:A,Table1[[Project No]:[Additional Remark]],2,FALSE)</f>
        <v>Yap Kee Leong</v>
      </c>
      <c r="C130" s="4" t="e" vm="5">
        <f>VLOOKUP(A:A,Table1[[#All],[Project No]:[Additional Remark]],7,FALSE)</f>
        <v>#VALUE!</v>
      </c>
      <c r="D130" s="4" t="str">
        <f>VLOOKUP(A:A,Table1[[#All],[Project No]:[Additional Remark]],4,FALSE)</f>
        <v>Tham</v>
      </c>
      <c r="E130" s="4" t="str">
        <f>VLOOKUP(A:A,Table1[[#All],[Project No]:[Additional Remark]],5,FALSE)</f>
        <v>R-PV</v>
      </c>
      <c r="F130" s="4" t="str">
        <f>VLOOKUP(A:A,Table1[[Project No]:[Additional Remark]],6,FALSE)</f>
        <v>NEM</v>
      </c>
      <c r="G130" s="4">
        <f>VLOOKUP(A:A,Table1[[Project No]:[Additional Remark]],8,FALSE)</f>
        <v>14.04</v>
      </c>
      <c r="H130" s="4" t="str">
        <f>VLOOKUP(A:A,Table1[[Project No]:[Additional Remark]],15,FALSE)</f>
        <v>Astronergy 585Wp</v>
      </c>
      <c r="I130" s="4">
        <f>VLOOKUP(A:A,Table1[[Project No]:[Additional Remark]],16,FALSE)</f>
        <v>24</v>
      </c>
      <c r="J130" s="1" t="str">
        <f>VLOOKUP(A:A,Table1[[Project No]:[Additional Remark]],17,FALSE)</f>
        <v>Huawei SUN2000-12KTL</v>
      </c>
      <c r="K130" s="127"/>
      <c r="L130" s="1" t="str">
        <f t="shared" si="2"/>
        <v>Completed</v>
      </c>
      <c r="M130" s="1" t="str">
        <f>VLOOKUP(A:A,'Finance Tracker'!A128:K369,8,FALSE)</f>
        <v>Invoice Completed</v>
      </c>
      <c r="N130" s="127"/>
      <c r="O130" s="1" t="s">
        <v>109</v>
      </c>
      <c r="P130" s="1" t="s">
        <v>109</v>
      </c>
      <c r="Q130" s="127"/>
      <c r="R130" s="56">
        <v>45538</v>
      </c>
      <c r="S130" s="56">
        <v>45567</v>
      </c>
      <c r="T130" s="1" t="s">
        <v>1822</v>
      </c>
      <c r="U130" s="56">
        <v>45891</v>
      </c>
      <c r="V130" s="39" t="s">
        <v>1853</v>
      </c>
      <c r="W130" s="1" t="s">
        <v>1853</v>
      </c>
      <c r="X130" s="4" t="s">
        <v>109</v>
      </c>
      <c r="Y130" s="4" t="s">
        <v>1853</v>
      </c>
      <c r="Z130" s="4" t="s">
        <v>1855</v>
      </c>
      <c r="AA130" s="39">
        <v>45595</v>
      </c>
      <c r="AB130" s="39" t="s">
        <v>1853</v>
      </c>
      <c r="AC130" s="39" t="s">
        <v>1853</v>
      </c>
      <c r="AD130" s="39" t="s">
        <v>1853</v>
      </c>
      <c r="AE130" s="39">
        <v>45611</v>
      </c>
      <c r="AF130" s="56">
        <v>45627</v>
      </c>
      <c r="AG130" s="56">
        <v>45627</v>
      </c>
      <c r="AH130" s="56">
        <v>49309</v>
      </c>
      <c r="AJ130" s="4" t="s">
        <v>109</v>
      </c>
      <c r="AK130" s="4" t="s">
        <v>109</v>
      </c>
      <c r="AL130" s="4" t="s">
        <v>109</v>
      </c>
      <c r="AM130" s="4" t="s">
        <v>109</v>
      </c>
      <c r="AP130" s="1">
        <f t="shared" si="3"/>
        <v>29</v>
      </c>
      <c r="AQ130" s="38">
        <f>AA130-Table1[[#This Row],[Closed Date]]</f>
        <v>64</v>
      </c>
    </row>
    <row r="131" spans="1:43" ht="18.75" customHeight="1" x14ac:dyDescent="0.3">
      <c r="A131" s="4">
        <f>Table1[[#This Row],[Project No]]</f>
        <v>2407371</v>
      </c>
      <c r="B131" s="110" t="str">
        <f>VLOOKUP(A:A,Table1[[Project No]:[Additional Remark]],2,FALSE)</f>
        <v>Tiong Nguong Kiong</v>
      </c>
      <c r="C131" s="4" t="e" vm="11">
        <f>VLOOKUP(A:A,Table1[[#All],[Project No]:[Additional Remark]],7,FALSE)</f>
        <v>#VALUE!</v>
      </c>
      <c r="D131" s="4" t="str">
        <f>VLOOKUP(A:A,Table1[[#All],[Project No]:[Additional Remark]],4,FALSE)</f>
        <v>Chean Bang</v>
      </c>
      <c r="E131" s="4" t="str">
        <f>VLOOKUP(A:A,Table1[[#All],[Project No]:[Additional Remark]],5,FALSE)</f>
        <v>R-PV</v>
      </c>
      <c r="F131" s="4" t="str">
        <f>VLOOKUP(A:A,Table1[[Project No]:[Additional Remark]],6,FALSE)</f>
        <v>NEM</v>
      </c>
      <c r="G131" s="4">
        <f>VLOOKUP(A:A,Table1[[Project No]:[Additional Remark]],8,FALSE)</f>
        <v>10.53</v>
      </c>
      <c r="H131" s="4" t="str">
        <f>VLOOKUP(A:A,Table1[[Project No]:[Additional Remark]],15,FALSE)</f>
        <v>Astronergy 585Wp</v>
      </c>
      <c r="I131" s="4">
        <f>VLOOKUP(A:A,Table1[[Project No]:[Additional Remark]],16,FALSE)</f>
        <v>18</v>
      </c>
      <c r="J131" s="1" t="str">
        <f>VLOOKUP(A:A,Table1[[Project No]:[Additional Remark]],17,FALSE)</f>
        <v>Huawei SUN2000-8KTL</v>
      </c>
      <c r="K131" s="127"/>
      <c r="L131" s="1" t="str">
        <f t="shared" si="2"/>
        <v>Completed</v>
      </c>
      <c r="M131" s="1" t="str">
        <f>VLOOKUP(A:A,'Finance Tracker'!A129:K370,8,FALSE)</f>
        <v>Invoice Completed</v>
      </c>
      <c r="N131" s="127"/>
      <c r="O131" s="1" t="s">
        <v>109</v>
      </c>
      <c r="P131" s="1" t="s">
        <v>109</v>
      </c>
      <c r="Q131" s="127"/>
      <c r="R131" s="56">
        <v>45545</v>
      </c>
      <c r="S131" s="56">
        <v>45586</v>
      </c>
      <c r="T131" s="1" t="s">
        <v>1822</v>
      </c>
      <c r="U131" s="56">
        <v>45891</v>
      </c>
      <c r="V131" s="39" t="s">
        <v>1853</v>
      </c>
      <c r="W131" s="1" t="s">
        <v>1853</v>
      </c>
      <c r="X131" s="4" t="s">
        <v>109</v>
      </c>
      <c r="Y131" s="4" t="s">
        <v>1853</v>
      </c>
      <c r="Z131" s="4" t="s">
        <v>1854</v>
      </c>
      <c r="AA131" s="39">
        <v>45588</v>
      </c>
      <c r="AB131" s="39" t="s">
        <v>1853</v>
      </c>
      <c r="AC131" s="39" t="s">
        <v>1853</v>
      </c>
      <c r="AD131" s="39" t="s">
        <v>1853</v>
      </c>
      <c r="AE131" s="39">
        <v>45617</v>
      </c>
      <c r="AF131" s="56">
        <v>45634</v>
      </c>
      <c r="AG131" s="56">
        <v>45634</v>
      </c>
      <c r="AH131" s="56">
        <v>49309</v>
      </c>
      <c r="AJ131" s="4" t="s">
        <v>109</v>
      </c>
      <c r="AK131" s="4" t="s">
        <v>109</v>
      </c>
      <c r="AL131" s="4" t="s">
        <v>109</v>
      </c>
      <c r="AM131" s="4" t="s">
        <v>109</v>
      </c>
      <c r="AP131" s="1">
        <f t="shared" si="3"/>
        <v>41</v>
      </c>
      <c r="AQ131" s="38">
        <f>AA131-Table1[[#This Row],[Closed Date]]</f>
        <v>56</v>
      </c>
    </row>
    <row r="132" spans="1:43" ht="18.75" customHeight="1" x14ac:dyDescent="0.3">
      <c r="A132" s="4">
        <f>Table1[[#This Row],[Project No]]</f>
        <v>2408409</v>
      </c>
      <c r="B132" s="110" t="str">
        <f>VLOOKUP(A:A,Table1[[Project No]:[Additional Remark]],2,FALSE)</f>
        <v>Lua Peck Lay</v>
      </c>
      <c r="C132" s="4" t="e" vm="11">
        <f>VLOOKUP(A:A,Table1[[#All],[Project No]:[Additional Remark]],7,FALSE)</f>
        <v>#VALUE!</v>
      </c>
      <c r="D132" s="4" t="str">
        <f>VLOOKUP(A:A,Table1[[#All],[Project No]:[Additional Remark]],4,FALSE)</f>
        <v>Patricia</v>
      </c>
      <c r="E132" s="4" t="str">
        <f>VLOOKUP(A:A,Table1[[#All],[Project No]:[Additional Remark]],5,FALSE)</f>
        <v>R-PV</v>
      </c>
      <c r="F132" s="4" t="str">
        <f>VLOOKUP(A:A,Table1[[Project No]:[Additional Remark]],6,FALSE)</f>
        <v>NEM</v>
      </c>
      <c r="G132" s="4">
        <f>VLOOKUP(A:A,Table1[[Project No]:[Additional Remark]],8,FALSE)</f>
        <v>9.9450000000000003</v>
      </c>
      <c r="H132" s="4" t="str">
        <f>VLOOKUP(A:A,Table1[[Project No]:[Additional Remark]],15,FALSE)</f>
        <v>Astronergy 585Wp</v>
      </c>
      <c r="I132" s="4">
        <f>VLOOKUP(A:A,Table1[[Project No]:[Additional Remark]],16,FALSE)</f>
        <v>17</v>
      </c>
      <c r="J132" s="1" t="str">
        <f>VLOOKUP(A:A,Table1[[Project No]:[Additional Remark]],17,FALSE)</f>
        <v>Huawei SUN2000-8KTL</v>
      </c>
      <c r="K132" s="127"/>
      <c r="L132" s="1" t="str">
        <f t="shared" si="2"/>
        <v>Completed</v>
      </c>
      <c r="M132" s="1" t="str">
        <f>VLOOKUP(A:A,'Finance Tracker'!A130:K371,8,FALSE)</f>
        <v>Invoice Completed</v>
      </c>
      <c r="N132" s="127"/>
      <c r="O132" s="1" t="s">
        <v>109</v>
      </c>
      <c r="P132" s="1" t="s">
        <v>109</v>
      </c>
      <c r="Q132" s="127"/>
      <c r="R132" s="56">
        <v>45544</v>
      </c>
      <c r="S132" s="56">
        <v>45582</v>
      </c>
      <c r="T132" s="1" t="s">
        <v>1822</v>
      </c>
      <c r="U132" s="56">
        <v>45891</v>
      </c>
      <c r="V132" s="39" t="s">
        <v>1853</v>
      </c>
      <c r="W132" s="1" t="s">
        <v>1853</v>
      </c>
      <c r="X132" s="4" t="s">
        <v>109</v>
      </c>
      <c r="Y132" s="4" t="s">
        <v>1853</v>
      </c>
      <c r="Z132" s="4" t="s">
        <v>1854</v>
      </c>
      <c r="AA132" s="39">
        <v>45573</v>
      </c>
      <c r="AB132" s="39" t="s">
        <v>1853</v>
      </c>
      <c r="AC132" s="39" t="s">
        <v>1853</v>
      </c>
      <c r="AD132" s="39" t="s">
        <v>1853</v>
      </c>
      <c r="AE132" s="39">
        <v>45617</v>
      </c>
      <c r="AF132" s="56">
        <v>45701</v>
      </c>
      <c r="AG132" s="56">
        <v>45701</v>
      </c>
      <c r="AH132" s="56">
        <v>49368</v>
      </c>
      <c r="AJ132" s="4" t="s">
        <v>109</v>
      </c>
      <c r="AK132" s="4" t="s">
        <v>109</v>
      </c>
      <c r="AL132" s="4" t="s">
        <v>109</v>
      </c>
      <c r="AM132" s="4" t="s">
        <v>109</v>
      </c>
      <c r="AP132" s="1">
        <f t="shared" si="3"/>
        <v>38</v>
      </c>
      <c r="AQ132" s="38">
        <f>AA132-Table1[[#This Row],[Closed Date]]</f>
        <v>39</v>
      </c>
    </row>
    <row r="133" spans="1:43" ht="18.75" customHeight="1" x14ac:dyDescent="0.3">
      <c r="A133" s="4">
        <f>Table1[[#This Row],[Project No]]</f>
        <v>2408411</v>
      </c>
      <c r="B133" s="110" t="str">
        <f>VLOOKUP(A:A,Table1[[Project No]:[Additional Remark]],2,FALSE)</f>
        <v>Akhman Aidi Putra</v>
      </c>
      <c r="C133" s="4" t="e" vm="11">
        <f>VLOOKUP(A:A,Table1[[#All],[Project No]:[Additional Remark]],7,FALSE)</f>
        <v>#VALUE!</v>
      </c>
      <c r="D133" s="4" t="str">
        <f>VLOOKUP(A:A,Table1[[#All],[Project No]:[Additional Remark]],4,FALSE)</f>
        <v>Patricia</v>
      </c>
      <c r="E133" s="4" t="str">
        <f>VLOOKUP(A:A,Table1[[#All],[Project No]:[Additional Remark]],5,FALSE)</f>
        <v>R-PV</v>
      </c>
      <c r="F133" s="4" t="str">
        <f>VLOOKUP(A:A,Table1[[Project No]:[Additional Remark]],6,FALSE)</f>
        <v>NEM</v>
      </c>
      <c r="G133" s="4">
        <f>VLOOKUP(A:A,Table1[[Project No]:[Additional Remark]],8,FALSE)</f>
        <v>7.02</v>
      </c>
      <c r="H133" s="4" t="str">
        <f>VLOOKUP(A:A,Table1[[Project No]:[Additional Remark]],15,FALSE)</f>
        <v>Astronergy 585Wp</v>
      </c>
      <c r="I133" s="4">
        <f>VLOOKUP(A:A,Table1[[Project No]:[Additional Remark]],16,FALSE)</f>
        <v>12</v>
      </c>
      <c r="J133" s="1" t="str">
        <f>VLOOKUP(A:A,Table1[[Project No]:[Additional Remark]],17,FALSE)</f>
        <v>Huawei SUN2000-5KTL-L1</v>
      </c>
      <c r="K133" s="127"/>
      <c r="L133" s="1" t="str">
        <f t="shared" ref="L133:L196" si="4">IF(ISBLANK(R133),"Pending NEM Qouta Submission",IF(ISBLANK(S133),"Pending NEM Qouta Approval",IF(ISBLANK(AA133),"Pending Site Installation",IF(ISBLANK(AJ133),"Pending ST License Application",IF(ISBLANK(AK133),"Pending ST License Approval", IF(ISBLANK(AB133),"Pending Meter Change Application",IF(AND(ISBLANK(AG133),ISBLANK(AF133)),"Pending Meter Change",IF(ISBLANK(AG133),"Pending NEM Welcome Letter",IF(ISBLANK(AL133),"Pending GITA Application",IF(ISBLANK(AM133),"Pending GITA Approval","Completed"))))))))))</f>
        <v>Completed</v>
      </c>
      <c r="M133" s="1" t="str">
        <f>VLOOKUP(A:A,'Finance Tracker'!A131:K372,8,FALSE)</f>
        <v>Invoice Completed</v>
      </c>
      <c r="N133" s="127"/>
      <c r="O133" s="1" t="s">
        <v>109</v>
      </c>
      <c r="P133" s="1" t="s">
        <v>109</v>
      </c>
      <c r="Q133" s="127"/>
      <c r="R133" s="56">
        <v>45529</v>
      </c>
      <c r="S133" s="56">
        <v>45547</v>
      </c>
      <c r="T133" s="1" t="s">
        <v>1822</v>
      </c>
      <c r="U133" s="56">
        <v>45776</v>
      </c>
      <c r="V133" s="39" t="s">
        <v>1853</v>
      </c>
      <c r="W133" s="1" t="s">
        <v>1853</v>
      </c>
      <c r="X133" s="4" t="s">
        <v>109</v>
      </c>
      <c r="Y133" s="4" t="s">
        <v>1853</v>
      </c>
      <c r="Z133" s="4" t="s">
        <v>1854</v>
      </c>
      <c r="AA133" s="39">
        <v>45568</v>
      </c>
      <c r="AB133" s="39" t="s">
        <v>1853</v>
      </c>
      <c r="AC133" s="39" t="s">
        <v>1853</v>
      </c>
      <c r="AD133" s="39" t="s">
        <v>1853</v>
      </c>
      <c r="AE133" s="1" t="s">
        <v>1853</v>
      </c>
      <c r="AF133" s="56">
        <v>45581</v>
      </c>
      <c r="AG133" s="56">
        <v>45581</v>
      </c>
      <c r="AH133" s="56">
        <v>49248</v>
      </c>
      <c r="AJ133" s="4" t="s">
        <v>109</v>
      </c>
      <c r="AK133" s="4" t="s">
        <v>109</v>
      </c>
      <c r="AL133" s="4" t="s">
        <v>109</v>
      </c>
      <c r="AM133" s="4" t="s">
        <v>109</v>
      </c>
      <c r="AP133" s="1">
        <f t="shared" ref="AP133:AP196" si="5">S133-R133</f>
        <v>18</v>
      </c>
      <c r="AQ133" s="38">
        <f>AA133-Table1[[#This Row],[Closed Date]]</f>
        <v>49</v>
      </c>
    </row>
    <row r="134" spans="1:43" ht="18.75" customHeight="1" x14ac:dyDescent="0.3">
      <c r="A134" s="4">
        <f>Table1[[#This Row],[Project No]]</f>
        <v>2408408</v>
      </c>
      <c r="B134" s="110" t="str">
        <f>VLOOKUP(A:A,Table1[[Project No]:[Additional Remark]],2,FALSE)</f>
        <v>Chiang Yoke Har</v>
      </c>
      <c r="C134" s="4" t="e" vm="11">
        <f>VLOOKUP(A:A,Table1[[#All],[Project No]:[Additional Remark]],7,FALSE)</f>
        <v>#VALUE!</v>
      </c>
      <c r="D134" s="4" t="str">
        <f>VLOOKUP(A:A,Table1[[#All],[Project No]:[Additional Remark]],4,FALSE)</f>
        <v>Patricia</v>
      </c>
      <c r="E134" s="4" t="str">
        <f>VLOOKUP(A:A,Table1[[#All],[Project No]:[Additional Remark]],5,FALSE)</f>
        <v>R-PV</v>
      </c>
      <c r="F134" s="4" t="str">
        <f>VLOOKUP(A:A,Table1[[Project No]:[Additional Remark]],6,FALSE)</f>
        <v>NEM</v>
      </c>
      <c r="G134" s="4">
        <f>VLOOKUP(A:A,Table1[[Project No]:[Additional Remark]],8,FALSE)</f>
        <v>17.55</v>
      </c>
      <c r="H134" s="4" t="str">
        <f>VLOOKUP(A:A,Table1[[Project No]:[Additional Remark]],15,FALSE)</f>
        <v>Astronergy 585Wp</v>
      </c>
      <c r="I134" s="4">
        <f>VLOOKUP(A:A,Table1[[Project No]:[Additional Remark]],16,FALSE)</f>
        <v>30</v>
      </c>
      <c r="J134" s="1" t="str">
        <f>VLOOKUP(A:A,Table1[[Project No]:[Additional Remark]],17,FALSE)</f>
        <v>Huawei SUN2000-12KTL</v>
      </c>
      <c r="K134" s="127"/>
      <c r="L134" s="1" t="str">
        <f t="shared" si="4"/>
        <v>Completed</v>
      </c>
      <c r="M134" s="1" t="str">
        <f>VLOOKUP(A:A,'Finance Tracker'!A132:K373,8,FALSE)</f>
        <v>Invoice Completed</v>
      </c>
      <c r="N134" s="127"/>
      <c r="O134" s="1" t="s">
        <v>109</v>
      </c>
      <c r="P134" s="1" t="s">
        <v>109</v>
      </c>
      <c r="Q134" s="127"/>
      <c r="R134" s="56">
        <v>45529</v>
      </c>
      <c r="S134" s="56">
        <v>45547</v>
      </c>
      <c r="T134" s="1" t="s">
        <v>1822</v>
      </c>
      <c r="U134" s="56">
        <v>45776</v>
      </c>
      <c r="V134" s="39" t="s">
        <v>1853</v>
      </c>
      <c r="W134" s="1" t="s">
        <v>1853</v>
      </c>
      <c r="X134" s="4" t="s">
        <v>109</v>
      </c>
      <c r="Y134" s="4" t="s">
        <v>1853</v>
      </c>
      <c r="Z134" s="4" t="s">
        <v>1854</v>
      </c>
      <c r="AA134" s="39">
        <v>45575</v>
      </c>
      <c r="AB134" s="39" t="s">
        <v>1853</v>
      </c>
      <c r="AC134" s="39" t="s">
        <v>1853</v>
      </c>
      <c r="AD134" s="39" t="s">
        <v>1853</v>
      </c>
      <c r="AE134" s="39">
        <v>45600</v>
      </c>
      <c r="AF134" s="56">
        <v>45609</v>
      </c>
      <c r="AG134" s="56">
        <v>45609</v>
      </c>
      <c r="AH134" s="56">
        <v>49278</v>
      </c>
      <c r="AJ134" s="4" t="s">
        <v>109</v>
      </c>
      <c r="AK134" s="4" t="s">
        <v>109</v>
      </c>
      <c r="AL134" s="4" t="s">
        <v>109</v>
      </c>
      <c r="AM134" s="4" t="s">
        <v>109</v>
      </c>
      <c r="AP134" s="1">
        <f t="shared" si="5"/>
        <v>18</v>
      </c>
      <c r="AQ134" s="38">
        <f>AA134-Table1[[#This Row],[Closed Date]]</f>
        <v>56</v>
      </c>
    </row>
    <row r="135" spans="1:43" ht="18.75" customHeight="1" x14ac:dyDescent="0.3">
      <c r="A135" s="4">
        <f>Table1[[#This Row],[Project No]]</f>
        <v>2408025</v>
      </c>
      <c r="B135" s="110" t="str">
        <f>VLOOKUP(A:A,Table1[[Project No]:[Additional Remark]],2,FALSE)</f>
        <v>Handal Green Mobility Sdn Bhd (ICE Gallery @ Pantai Sentral)</v>
      </c>
      <c r="C135" s="4" t="e" vm="12">
        <f>VLOOKUP(A:A,Table1[[#All],[Project No]:[Additional Remark]],7,FALSE)</f>
        <v>#VALUE!</v>
      </c>
      <c r="D135" s="4" t="str">
        <f>VLOOKUP(A:A,Table1[[#All],[Project No]:[Additional Remark]],4,FALSE)</f>
        <v>Simon</v>
      </c>
      <c r="E135" s="4" t="str">
        <f>VLOOKUP(A:A,Table1[[#All],[Project No]:[Additional Remark]],5,FALSE)</f>
        <v>EV Charger</v>
      </c>
      <c r="F135" s="4" t="str">
        <f>VLOOKUP(A:A,Table1[[Project No]:[Additional Remark]],6,FALSE)</f>
        <v>-</v>
      </c>
      <c r="G135" s="4">
        <f>VLOOKUP(A:A,Table1[[Project No]:[Additional Remark]],8,FALSE)</f>
        <v>0</v>
      </c>
      <c r="H135" s="4" t="str">
        <f>VLOOKUP(A:A,Table1[[Project No]:[Additional Remark]],15,FALSE)</f>
        <v>-</v>
      </c>
      <c r="I135" s="4" t="str">
        <f>VLOOKUP(A:A,Table1[[Project No]:[Additional Remark]],16,FALSE)</f>
        <v>-</v>
      </c>
      <c r="J135" s="1" t="str">
        <f>VLOOKUP(A:A,Table1[[Project No]:[Additional Remark]],17,FALSE)</f>
        <v>-</v>
      </c>
      <c r="K135" s="127"/>
      <c r="L135" s="1" t="str">
        <f t="shared" si="4"/>
        <v>Completed</v>
      </c>
      <c r="M135" s="1" t="str">
        <f>VLOOKUP(A:A,'Finance Tracker'!A133:K374,8,FALSE)</f>
        <v>Invoice Completed</v>
      </c>
      <c r="N135" s="127"/>
      <c r="O135" s="1" t="s">
        <v>109</v>
      </c>
      <c r="P135" s="1" t="s">
        <v>109</v>
      </c>
      <c r="Q135" s="127"/>
      <c r="R135" s="56" t="s">
        <v>109</v>
      </c>
      <c r="S135" s="56" t="s">
        <v>109</v>
      </c>
      <c r="T135" s="56" t="s">
        <v>109</v>
      </c>
      <c r="U135" s="56" t="s">
        <v>109</v>
      </c>
      <c r="V135" s="39" t="s">
        <v>1853</v>
      </c>
      <c r="W135" s="1" t="s">
        <v>1853</v>
      </c>
      <c r="X135" s="4" t="s">
        <v>109</v>
      </c>
      <c r="Y135" s="4" t="s">
        <v>1853</v>
      </c>
      <c r="Z135" s="4" t="s">
        <v>1855</v>
      </c>
      <c r="AA135" s="39">
        <v>45580</v>
      </c>
      <c r="AB135" s="39" t="s">
        <v>109</v>
      </c>
      <c r="AC135" s="39" t="s">
        <v>109</v>
      </c>
      <c r="AD135" s="39" t="s">
        <v>109</v>
      </c>
      <c r="AE135" s="39" t="s">
        <v>109</v>
      </c>
      <c r="AF135" s="39" t="s">
        <v>109</v>
      </c>
      <c r="AG135" s="39" t="s">
        <v>109</v>
      </c>
      <c r="AH135" s="39" t="s">
        <v>109</v>
      </c>
      <c r="AJ135" s="4" t="s">
        <v>109</v>
      </c>
      <c r="AK135" s="4" t="s">
        <v>109</v>
      </c>
      <c r="AL135" s="4" t="s">
        <v>109</v>
      </c>
      <c r="AM135" s="4" t="s">
        <v>109</v>
      </c>
      <c r="AP135" s="1" t="e">
        <f t="shared" si="5"/>
        <v>#VALUE!</v>
      </c>
      <c r="AQ135" s="38">
        <f>AA135-Table1[[#This Row],[Closed Date]]</f>
        <v>47</v>
      </c>
    </row>
    <row r="136" spans="1:43" ht="18.75" customHeight="1" x14ac:dyDescent="0.3">
      <c r="A136" s="4">
        <f>Table1[[#This Row],[Project No]]</f>
        <v>2408431</v>
      </c>
      <c r="B136" s="110" t="str">
        <f>VLOOKUP(A:A,Table1[[Project No]:[Additional Remark]],2,FALSE)</f>
        <v>Lor Yean Yean</v>
      </c>
      <c r="C136" s="4" t="e" vm="10">
        <f>VLOOKUP(A:A,Table1[[#All],[Project No]:[Additional Remark]],7,FALSE)</f>
        <v>#VALUE!</v>
      </c>
      <c r="D136" s="4" t="str">
        <f>VLOOKUP(A:A,Table1[[#All],[Project No]:[Additional Remark]],4,FALSE)</f>
        <v>Tham</v>
      </c>
      <c r="E136" s="4" t="str">
        <f>VLOOKUP(A:A,Table1[[#All],[Project No]:[Additional Remark]],5,FALSE)</f>
        <v>R-PV</v>
      </c>
      <c r="F136" s="4" t="str">
        <f>VLOOKUP(A:A,Table1[[Project No]:[Additional Remark]],6,FALSE)</f>
        <v>NEM</v>
      </c>
      <c r="G136" s="4">
        <f>VLOOKUP(A:A,Table1[[Project No]:[Additional Remark]],8,FALSE)</f>
        <v>9.36</v>
      </c>
      <c r="H136" s="4" t="str">
        <f>VLOOKUP(A:A,Table1[[Project No]:[Additional Remark]],15,FALSE)</f>
        <v>Astronergy 585Wp</v>
      </c>
      <c r="I136" s="4">
        <f>VLOOKUP(A:A,Table1[[Project No]:[Additional Remark]],16,FALSE)</f>
        <v>16</v>
      </c>
      <c r="J136" s="1" t="str">
        <f>VLOOKUP(A:A,Table1[[Project No]:[Additional Remark]],17,FALSE)</f>
        <v>Huawei SUN2000-8KTL</v>
      </c>
      <c r="K136" s="127"/>
      <c r="L136" s="1" t="str">
        <f t="shared" si="4"/>
        <v>Completed</v>
      </c>
      <c r="M136" s="1" t="str">
        <f>VLOOKUP(A:A,'Finance Tracker'!A134:K375,8,FALSE)</f>
        <v>Invoice Completed</v>
      </c>
      <c r="N136" s="127"/>
      <c r="O136" s="1" t="s">
        <v>109</v>
      </c>
      <c r="P136" s="1" t="s">
        <v>109</v>
      </c>
      <c r="Q136" s="127"/>
      <c r="R136" s="56">
        <v>45546</v>
      </c>
      <c r="S136" s="56">
        <v>45606</v>
      </c>
      <c r="T136" s="1" t="s">
        <v>1819</v>
      </c>
      <c r="U136" s="56">
        <v>45958</v>
      </c>
      <c r="V136" s="39" t="s">
        <v>1853</v>
      </c>
      <c r="W136" s="1" t="s">
        <v>1853</v>
      </c>
      <c r="X136" s="4" t="s">
        <v>109</v>
      </c>
      <c r="Y136" s="4" t="s">
        <v>1853</v>
      </c>
      <c r="Z136" s="4" t="s">
        <v>1854</v>
      </c>
      <c r="AA136" s="39">
        <v>45680</v>
      </c>
      <c r="AB136" s="39">
        <v>45698</v>
      </c>
      <c r="AC136" s="39" t="s">
        <v>1853</v>
      </c>
      <c r="AD136" s="56">
        <v>45714</v>
      </c>
      <c r="AE136" s="56">
        <v>45706</v>
      </c>
      <c r="AF136" s="56">
        <v>45714</v>
      </c>
      <c r="AG136" s="56">
        <v>45714</v>
      </c>
      <c r="AH136" s="56">
        <v>49368</v>
      </c>
      <c r="AJ136" s="4" t="s">
        <v>109</v>
      </c>
      <c r="AK136" s="4" t="s">
        <v>109</v>
      </c>
      <c r="AL136" s="4" t="s">
        <v>109</v>
      </c>
      <c r="AM136" s="4" t="s">
        <v>109</v>
      </c>
      <c r="AP136" s="1">
        <f t="shared" si="5"/>
        <v>60</v>
      </c>
      <c r="AQ136" s="38">
        <f>AA136-Table1[[#This Row],[Closed Date]]</f>
        <v>136</v>
      </c>
    </row>
    <row r="137" spans="1:43" ht="18.75" customHeight="1" x14ac:dyDescent="0.3">
      <c r="A137" s="4">
        <f>Table1[[#This Row],[Project No]]</f>
        <v>2408432</v>
      </c>
      <c r="B137" s="110" t="str">
        <f>VLOOKUP(A:A,Table1[[Project No]:[Additional Remark]],2,FALSE)</f>
        <v>Lin Mok Kwai Yin</v>
      </c>
      <c r="C137" s="4" t="e" vm="11">
        <f>VLOOKUP(A:A,Table1[[#All],[Project No]:[Additional Remark]],7,FALSE)</f>
        <v>#VALUE!</v>
      </c>
      <c r="D137" s="4" t="str">
        <f>VLOOKUP(A:A,Table1[[#All],[Project No]:[Additional Remark]],4,FALSE)</f>
        <v>Chean Bang</v>
      </c>
      <c r="E137" s="4" t="str">
        <f>VLOOKUP(A:A,Table1[[#All],[Project No]:[Additional Remark]],5,FALSE)</f>
        <v>R-PV</v>
      </c>
      <c r="F137" s="4" t="str">
        <f>VLOOKUP(A:A,Table1[[Project No]:[Additional Remark]],6,FALSE)</f>
        <v>NEM</v>
      </c>
      <c r="G137" s="4">
        <f>VLOOKUP(A:A,Table1[[Project No]:[Additional Remark]],8,FALSE)</f>
        <v>8.19</v>
      </c>
      <c r="H137" s="4" t="str">
        <f>VLOOKUP(A:A,Table1[[Project No]:[Additional Remark]],15,FALSE)</f>
        <v>Astronergy 585Wp</v>
      </c>
      <c r="I137" s="4">
        <f>VLOOKUP(A:A,Table1[[Project No]:[Additional Remark]],16,FALSE)</f>
        <v>14</v>
      </c>
      <c r="J137" s="1" t="str">
        <f>VLOOKUP(A:A,Table1[[Project No]:[Additional Remark]],17,FALSE)</f>
        <v>Huawei SUN2000-6KTL</v>
      </c>
      <c r="K137" s="127"/>
      <c r="L137" s="1" t="str">
        <f t="shared" si="4"/>
        <v>Completed</v>
      </c>
      <c r="M137" s="1" t="str">
        <f>VLOOKUP(A:A,'Finance Tracker'!A135:K376,8,FALSE)</f>
        <v>Invoice Completed</v>
      </c>
      <c r="N137" s="127"/>
      <c r="O137" s="1" t="s">
        <v>109</v>
      </c>
      <c r="P137" s="1" t="s">
        <v>109</v>
      </c>
      <c r="Q137" s="127"/>
      <c r="R137" s="56">
        <v>45564</v>
      </c>
      <c r="S137" s="56">
        <v>45605</v>
      </c>
      <c r="T137" s="1" t="s">
        <v>1822</v>
      </c>
      <c r="U137" s="56">
        <v>45775</v>
      </c>
      <c r="V137" s="39" t="s">
        <v>1853</v>
      </c>
      <c r="W137" s="1" t="s">
        <v>1853</v>
      </c>
      <c r="X137" s="4" t="s">
        <v>109</v>
      </c>
      <c r="Y137" s="4" t="s">
        <v>1853</v>
      </c>
      <c r="Z137" s="4" t="s">
        <v>1854</v>
      </c>
      <c r="AA137" s="39">
        <v>45624</v>
      </c>
      <c r="AB137" s="39" t="s">
        <v>1853</v>
      </c>
      <c r="AC137" s="39" t="s">
        <v>1853</v>
      </c>
      <c r="AD137" s="56" t="s">
        <v>1853</v>
      </c>
      <c r="AE137" s="56" t="s">
        <v>1853</v>
      </c>
      <c r="AF137" s="56">
        <v>45755</v>
      </c>
      <c r="AG137" s="56">
        <v>45755</v>
      </c>
      <c r="AH137" s="56">
        <v>49429</v>
      </c>
      <c r="AJ137" s="4" t="s">
        <v>109</v>
      </c>
      <c r="AK137" s="4" t="s">
        <v>109</v>
      </c>
      <c r="AL137" s="4" t="s">
        <v>109</v>
      </c>
      <c r="AM137" s="4" t="s">
        <v>109</v>
      </c>
      <c r="AP137" s="1">
        <f t="shared" si="5"/>
        <v>41</v>
      </c>
      <c r="AQ137" s="38">
        <f>AA137-Table1[[#This Row],[Closed Date]]</f>
        <v>90</v>
      </c>
    </row>
    <row r="138" spans="1:43" ht="18.75" customHeight="1" x14ac:dyDescent="0.3">
      <c r="A138" s="4">
        <f>Table1[[#This Row],[Project No]]</f>
        <v>2408407</v>
      </c>
      <c r="B138" s="110" t="str">
        <f>VLOOKUP(A:A,Table1[[Project No]:[Additional Remark]],2,FALSE)</f>
        <v>Kwong Wui Ee</v>
      </c>
      <c r="C138" s="4" t="e" vm="11">
        <f>VLOOKUP(A:A,Table1[[#All],[Project No]:[Additional Remark]],7,FALSE)</f>
        <v>#VALUE!</v>
      </c>
      <c r="D138" s="4" t="str">
        <f>VLOOKUP(A:A,Table1[[#All],[Project No]:[Additional Remark]],4,FALSE)</f>
        <v>Patricia</v>
      </c>
      <c r="E138" s="4" t="str">
        <f>VLOOKUP(A:A,Table1[[#All],[Project No]:[Additional Remark]],5,FALSE)</f>
        <v>R-PV</v>
      </c>
      <c r="F138" s="4" t="str">
        <f>VLOOKUP(A:A,Table1[[Project No]:[Additional Remark]],6,FALSE)</f>
        <v>NEM</v>
      </c>
      <c r="G138" s="4">
        <f>VLOOKUP(A:A,Table1[[Project No]:[Additional Remark]],8,FALSE)</f>
        <v>9.36</v>
      </c>
      <c r="H138" s="4" t="str">
        <f>VLOOKUP(A:A,Table1[[Project No]:[Additional Remark]],15,FALSE)</f>
        <v>Astronergy 585Wp</v>
      </c>
      <c r="I138" s="4">
        <f>VLOOKUP(A:A,Table1[[Project No]:[Additional Remark]],16,FALSE)</f>
        <v>16</v>
      </c>
      <c r="J138" s="1" t="str">
        <f>VLOOKUP(A:A,Table1[[Project No]:[Additional Remark]],17,FALSE)</f>
        <v>Huawei SUN2000-8KTL</v>
      </c>
      <c r="K138" s="127"/>
      <c r="L138" s="1" t="str">
        <f t="shared" si="4"/>
        <v>Completed</v>
      </c>
      <c r="M138" s="1" t="str">
        <f>VLOOKUP(A:A,'Finance Tracker'!A136:K377,8,FALSE)</f>
        <v>Invoice Completed</v>
      </c>
      <c r="N138" s="127"/>
      <c r="O138" s="1" t="s">
        <v>109</v>
      </c>
      <c r="P138" s="1" t="s">
        <v>109</v>
      </c>
      <c r="Q138" s="127"/>
      <c r="R138" s="56">
        <v>45544</v>
      </c>
      <c r="S138" s="56">
        <v>45582</v>
      </c>
      <c r="T138" s="1" t="s">
        <v>1822</v>
      </c>
      <c r="U138" s="56">
        <v>45776</v>
      </c>
      <c r="V138" s="39" t="s">
        <v>1853</v>
      </c>
      <c r="W138" s="1" t="s">
        <v>1853</v>
      </c>
      <c r="X138" s="4" t="s">
        <v>109</v>
      </c>
      <c r="Y138" s="4" t="s">
        <v>1853</v>
      </c>
      <c r="Z138" s="4" t="s">
        <v>1854</v>
      </c>
      <c r="AA138" s="39">
        <v>45595</v>
      </c>
      <c r="AB138" s="39" t="s">
        <v>1853</v>
      </c>
      <c r="AC138" s="39" t="s">
        <v>1853</v>
      </c>
      <c r="AD138" s="56" t="s">
        <v>1853</v>
      </c>
      <c r="AE138" s="56">
        <v>45617</v>
      </c>
      <c r="AF138" s="56">
        <v>45663</v>
      </c>
      <c r="AG138" s="56">
        <v>45663</v>
      </c>
      <c r="AH138" s="56">
        <v>49340</v>
      </c>
      <c r="AJ138" s="4" t="s">
        <v>109</v>
      </c>
      <c r="AK138" s="4" t="s">
        <v>109</v>
      </c>
      <c r="AL138" s="4" t="s">
        <v>109</v>
      </c>
      <c r="AM138" s="4" t="s">
        <v>109</v>
      </c>
      <c r="AP138" s="1">
        <f t="shared" si="5"/>
        <v>38</v>
      </c>
      <c r="AQ138" s="38">
        <f>AA138-Table1[[#This Row],[Closed Date]]</f>
        <v>55</v>
      </c>
    </row>
    <row r="139" spans="1:43" ht="18.75" customHeight="1" x14ac:dyDescent="0.3">
      <c r="A139" s="4">
        <f>Table1[[#This Row],[Project No]]</f>
        <v>2409441</v>
      </c>
      <c r="B139" s="110" t="str">
        <f>VLOOKUP(A:A,Table1[[Project No]:[Additional Remark]],2,FALSE)</f>
        <v>Cheu Chow Sew @ Chew Chow Sew</v>
      </c>
      <c r="C139" s="4" t="e" vm="10">
        <f>VLOOKUP(A:A,Table1[[#All],[Project No]:[Additional Remark]],7,FALSE)</f>
        <v>#VALUE!</v>
      </c>
      <c r="D139" s="4" t="str">
        <f>VLOOKUP(A:A,Table1[[#All],[Project No]:[Additional Remark]],4,FALSE)</f>
        <v>Chean Bang</v>
      </c>
      <c r="E139" s="4" t="str">
        <f>VLOOKUP(A:A,Table1[[#All],[Project No]:[Additional Remark]],5,FALSE)</f>
        <v>R-PV</v>
      </c>
      <c r="F139" s="4" t="str">
        <f>VLOOKUP(A:A,Table1[[Project No]:[Additional Remark]],6,FALSE)</f>
        <v>NEM</v>
      </c>
      <c r="G139" s="4">
        <f>VLOOKUP(A:A,Table1[[Project No]:[Additional Remark]],8,FALSE)</f>
        <v>12.87</v>
      </c>
      <c r="H139" s="4" t="str">
        <f>VLOOKUP(A:A,Table1[[Project No]:[Additional Remark]],15,FALSE)</f>
        <v>Astronergy 585Wp</v>
      </c>
      <c r="I139" s="4">
        <f>VLOOKUP(A:A,Table1[[Project No]:[Additional Remark]],16,FALSE)</f>
        <v>22</v>
      </c>
      <c r="J139" s="1" t="str">
        <f>VLOOKUP(A:A,Table1[[Project No]:[Additional Remark]],17,FALSE)</f>
        <v>Huawei SUN2000-10KTL</v>
      </c>
      <c r="K139" s="127"/>
      <c r="L139" s="1" t="str">
        <f t="shared" si="4"/>
        <v>Completed</v>
      </c>
      <c r="M139" s="1" t="str">
        <f>VLOOKUP(A:A,'Finance Tracker'!A137:K378,8,FALSE)</f>
        <v>Invoice Completed</v>
      </c>
      <c r="N139" s="127"/>
      <c r="O139" s="1" t="s">
        <v>109</v>
      </c>
      <c r="P139" s="1" t="s">
        <v>109</v>
      </c>
      <c r="Q139" s="127"/>
      <c r="R139" s="56">
        <v>45544</v>
      </c>
      <c r="S139" s="56">
        <v>45582</v>
      </c>
      <c r="T139" s="1" t="s">
        <v>1822</v>
      </c>
      <c r="U139" s="56">
        <v>45776</v>
      </c>
      <c r="V139" s="39" t="s">
        <v>1853</v>
      </c>
      <c r="W139" s="1" t="s">
        <v>1853</v>
      </c>
      <c r="X139" s="4" t="s">
        <v>109</v>
      </c>
      <c r="Y139" s="4" t="s">
        <v>1853</v>
      </c>
      <c r="Z139" s="4" t="s">
        <v>1854</v>
      </c>
      <c r="AA139" s="39">
        <v>45601</v>
      </c>
      <c r="AB139" s="39">
        <v>45611</v>
      </c>
      <c r="AC139" s="39" t="s">
        <v>1853</v>
      </c>
      <c r="AD139" s="56">
        <v>45623</v>
      </c>
      <c r="AE139" s="56" t="s">
        <v>1853</v>
      </c>
      <c r="AF139" s="56">
        <v>45623</v>
      </c>
      <c r="AG139" s="56">
        <v>45623</v>
      </c>
      <c r="AH139" s="56">
        <v>49278</v>
      </c>
      <c r="AJ139" s="4" t="s">
        <v>109</v>
      </c>
      <c r="AK139" s="4" t="s">
        <v>109</v>
      </c>
      <c r="AL139" s="4" t="s">
        <v>109</v>
      </c>
      <c r="AM139" s="4" t="s">
        <v>109</v>
      </c>
      <c r="AP139" s="1">
        <f t="shared" si="5"/>
        <v>38</v>
      </c>
      <c r="AQ139" s="38">
        <f>AA139-Table1[[#This Row],[Closed Date]]</f>
        <v>61</v>
      </c>
    </row>
    <row r="140" spans="1:43" ht="18.75" customHeight="1" x14ac:dyDescent="0.3">
      <c r="A140" s="4">
        <f>Table1[[#This Row],[Project No]]</f>
        <v>2408433</v>
      </c>
      <c r="B140" s="110" t="str">
        <f>VLOOKUP(A:A,Table1[[Project No]:[Additional Remark]],2,FALSE)</f>
        <v>Ng Ek Hoo</v>
      </c>
      <c r="C140" s="4" t="e" vm="11">
        <f>VLOOKUP(A:A,Table1[[#All],[Project No]:[Additional Remark]],7,FALSE)</f>
        <v>#VALUE!</v>
      </c>
      <c r="D140" s="4" t="str">
        <f>VLOOKUP(A:A,Table1[[#All],[Project No]:[Additional Remark]],4,FALSE)</f>
        <v>Chean Bang</v>
      </c>
      <c r="E140" s="4" t="str">
        <f>VLOOKUP(A:A,Table1[[#All],[Project No]:[Additional Remark]],5,FALSE)</f>
        <v>R-PV</v>
      </c>
      <c r="F140" s="4" t="str">
        <f>VLOOKUP(A:A,Table1[[Project No]:[Additional Remark]],6,FALSE)</f>
        <v>NEM</v>
      </c>
      <c r="G140" s="4">
        <f>VLOOKUP(A:A,Table1[[Project No]:[Additional Remark]],8,FALSE)</f>
        <v>5.85</v>
      </c>
      <c r="H140" s="4" t="str">
        <f>VLOOKUP(A:A,Table1[[Project No]:[Additional Remark]],15,FALSE)</f>
        <v>Astronergy 585Wp</v>
      </c>
      <c r="I140" s="4">
        <f>VLOOKUP(A:A,Table1[[Project No]:[Additional Remark]],16,FALSE)</f>
        <v>10</v>
      </c>
      <c r="J140" s="1" t="str">
        <f>VLOOKUP(A:A,Table1[[Project No]:[Additional Remark]],17,FALSE)</f>
        <v>Huawei SUN2000-5KTL-M1</v>
      </c>
      <c r="K140" s="127"/>
      <c r="L140" s="1" t="str">
        <f t="shared" si="4"/>
        <v>Completed</v>
      </c>
      <c r="M140" s="1" t="str">
        <f>VLOOKUP(A:A,'Finance Tracker'!A138:K379,8,FALSE)</f>
        <v>Invoice Completed</v>
      </c>
      <c r="N140" s="127"/>
      <c r="O140" s="1" t="s">
        <v>109</v>
      </c>
      <c r="P140" s="1" t="s">
        <v>109</v>
      </c>
      <c r="Q140" s="127"/>
      <c r="R140" s="56">
        <v>45546</v>
      </c>
      <c r="S140" s="56">
        <v>45606</v>
      </c>
      <c r="T140" s="1" t="s">
        <v>1819</v>
      </c>
      <c r="U140" s="56"/>
      <c r="V140" s="39" t="s">
        <v>1853</v>
      </c>
      <c r="W140" s="1" t="s">
        <v>1853</v>
      </c>
      <c r="X140" s="4" t="s">
        <v>109</v>
      </c>
      <c r="Y140" s="4" t="s">
        <v>1853</v>
      </c>
      <c r="Z140" s="4" t="s">
        <v>1854</v>
      </c>
      <c r="AA140" s="39">
        <v>45626</v>
      </c>
      <c r="AB140" s="39">
        <v>45623</v>
      </c>
      <c r="AC140" s="39" t="s">
        <v>1853</v>
      </c>
      <c r="AD140" s="56">
        <v>45645</v>
      </c>
      <c r="AE140" s="56">
        <v>45631</v>
      </c>
      <c r="AF140" s="56">
        <v>45645</v>
      </c>
      <c r="AG140" s="56">
        <v>45645</v>
      </c>
      <c r="AH140" s="56">
        <v>49309</v>
      </c>
      <c r="AJ140" s="4" t="s">
        <v>109</v>
      </c>
      <c r="AK140" s="4" t="s">
        <v>109</v>
      </c>
      <c r="AL140" s="4" t="s">
        <v>109</v>
      </c>
      <c r="AM140" s="4" t="s">
        <v>109</v>
      </c>
      <c r="AP140" s="1">
        <f t="shared" si="5"/>
        <v>60</v>
      </c>
      <c r="AQ140" s="38">
        <f>AA140-Table1[[#This Row],[Closed Date]]</f>
        <v>89</v>
      </c>
    </row>
    <row r="141" spans="1:43" s="244" customFormat="1" ht="18.75" customHeight="1" x14ac:dyDescent="0.3">
      <c r="A141" s="237">
        <f>Table1[[#This Row],[Project No]]</f>
        <v>2409445</v>
      </c>
      <c r="B141" s="238" t="str">
        <f>VLOOKUP(A:A,Table1[[Project No]:[Additional Remark]],2,FALSE)</f>
        <v>Phang Kar Teck</v>
      </c>
      <c r="C141" s="237" t="e" vm="11">
        <f>VLOOKUP(A:A,Table1[[#All],[Project No]:[Additional Remark]],7,FALSE)</f>
        <v>#VALUE!</v>
      </c>
      <c r="D141" s="237" t="str">
        <f>VLOOKUP(A:A,Table1[[#All],[Project No]:[Additional Remark]],4,FALSE)</f>
        <v>Patricia</v>
      </c>
      <c r="E141" s="237" t="str">
        <f>VLOOKUP(A:A,Table1[[#All],[Project No]:[Additional Remark]],5,FALSE)</f>
        <v>R-PV</v>
      </c>
      <c r="F141" s="237" t="str">
        <f>VLOOKUP(A:A,Table1[[Project No]:[Additional Remark]],6,FALSE)</f>
        <v>NEM</v>
      </c>
      <c r="G141" s="237">
        <f>VLOOKUP(A:A,Table1[[Project No]:[Additional Remark]],8,FALSE)</f>
        <v>7.02</v>
      </c>
      <c r="H141" s="237" t="str">
        <f>VLOOKUP(A:A,Table1[[Project No]:[Additional Remark]],15,FALSE)</f>
        <v>Astronergy 585Wp</v>
      </c>
      <c r="I141" s="237">
        <f>VLOOKUP(A:A,Table1[[Project No]:[Additional Remark]],16,FALSE)</f>
        <v>12</v>
      </c>
      <c r="J141" s="239" t="str">
        <f>VLOOKUP(A:A,Table1[[Project No]:[Additional Remark]],17,FALSE)</f>
        <v>Huawei SUN2000-5KTL-L1</v>
      </c>
      <c r="K141" s="240"/>
      <c r="L141" s="239" t="str">
        <f t="shared" si="4"/>
        <v>Pending NEM Welcome Letter</v>
      </c>
      <c r="M141" s="239" t="str">
        <f>VLOOKUP(A:A,'Finance Tracker'!A139:K380,8,FALSE)</f>
        <v>Invoice Completed</v>
      </c>
      <c r="N141" s="240"/>
      <c r="O141" s="239" t="s">
        <v>109</v>
      </c>
      <c r="P141" s="239" t="s">
        <v>109</v>
      </c>
      <c r="Q141" s="240"/>
      <c r="R141" s="241">
        <v>45546</v>
      </c>
      <c r="S141" s="241">
        <v>45606</v>
      </c>
      <c r="T141" s="239" t="s">
        <v>1819</v>
      </c>
      <c r="U141" s="241"/>
      <c r="V141" s="242" t="s">
        <v>1853</v>
      </c>
      <c r="W141" s="239" t="s">
        <v>1853</v>
      </c>
      <c r="X141" s="237" t="s">
        <v>109</v>
      </c>
      <c r="Y141" s="237" t="s">
        <v>1853</v>
      </c>
      <c r="Z141" s="237" t="s">
        <v>1854</v>
      </c>
      <c r="AA141" s="242">
        <v>45757</v>
      </c>
      <c r="AB141" s="242" t="s">
        <v>1853</v>
      </c>
      <c r="AC141" s="242" t="s">
        <v>1853</v>
      </c>
      <c r="AD141" s="242" t="s">
        <v>1853</v>
      </c>
      <c r="AE141" s="241" t="s">
        <v>1853</v>
      </c>
      <c r="AF141" s="241" t="s">
        <v>1853</v>
      </c>
      <c r="AG141" s="241"/>
      <c r="AH141" s="241"/>
      <c r="AI141" s="243"/>
      <c r="AJ141" s="237" t="s">
        <v>109</v>
      </c>
      <c r="AK141" s="237" t="s">
        <v>109</v>
      </c>
      <c r="AL141" s="237" t="s">
        <v>109</v>
      </c>
      <c r="AM141" s="237" t="s">
        <v>109</v>
      </c>
      <c r="AP141" s="239">
        <f t="shared" si="5"/>
        <v>60</v>
      </c>
      <c r="AQ141" s="245">
        <f>AA141-Table1[[#This Row],[Closed Date]]</f>
        <v>213</v>
      </c>
    </row>
    <row r="142" spans="1:43" ht="18.75" customHeight="1" x14ac:dyDescent="0.3">
      <c r="A142" s="4">
        <f>Table1[[#This Row],[Project No]]</f>
        <v>2408434</v>
      </c>
      <c r="B142" s="110" t="str">
        <f>VLOOKUP(A:A,Table1[[Project No]:[Additional Remark]],2,FALSE)</f>
        <v>Lim Ye Soon</v>
      </c>
      <c r="C142" s="4" t="e" vm="11">
        <f>VLOOKUP(A:A,Table1[[#All],[Project No]:[Additional Remark]],7,FALSE)</f>
        <v>#VALUE!</v>
      </c>
      <c r="D142" s="4" t="str">
        <f>VLOOKUP(A:A,Table1[[#All],[Project No]:[Additional Remark]],4,FALSE)</f>
        <v>Chean Bang</v>
      </c>
      <c r="E142" s="4" t="str">
        <f>VLOOKUP(A:A,Table1[[#All],[Project No]:[Additional Remark]],5,FALSE)</f>
        <v>R-PV</v>
      </c>
      <c r="F142" s="4" t="str">
        <f>VLOOKUP(A:A,Table1[[Project No]:[Additional Remark]],6,FALSE)</f>
        <v>NEM</v>
      </c>
      <c r="G142" s="4">
        <f>VLOOKUP(A:A,Table1[[Project No]:[Additional Remark]],8,FALSE)</f>
        <v>14.04</v>
      </c>
      <c r="H142" s="4" t="str">
        <f>VLOOKUP(A:A,Table1[[Project No]:[Additional Remark]],15,FALSE)</f>
        <v>Astronergy 585Wp</v>
      </c>
      <c r="I142" s="4">
        <f>VLOOKUP(A:A,Table1[[Project No]:[Additional Remark]],16,FALSE)</f>
        <v>24</v>
      </c>
      <c r="J142" s="1" t="str">
        <f>VLOOKUP(A:A,Table1[[Project No]:[Additional Remark]],17,FALSE)</f>
        <v>Huawei SUN2000-12KTL</v>
      </c>
      <c r="K142" s="127"/>
      <c r="L142" s="1" t="str">
        <f t="shared" si="4"/>
        <v>Completed</v>
      </c>
      <c r="M142" s="1" t="str">
        <f>VLOOKUP(A:A,'Finance Tracker'!A140:K381,8,FALSE)</f>
        <v>Invoice Completed</v>
      </c>
      <c r="N142" s="127"/>
      <c r="O142" s="1" t="s">
        <v>109</v>
      </c>
      <c r="P142" s="1" t="s">
        <v>109</v>
      </c>
      <c r="Q142" s="127"/>
      <c r="R142" s="56">
        <v>45546</v>
      </c>
      <c r="S142" s="56">
        <v>45586</v>
      </c>
      <c r="T142" s="1" t="s">
        <v>1822</v>
      </c>
      <c r="U142" s="56">
        <v>45891</v>
      </c>
      <c r="V142" s="39" t="s">
        <v>1853</v>
      </c>
      <c r="W142" s="1" t="s">
        <v>1853</v>
      </c>
      <c r="X142" s="4" t="s">
        <v>109</v>
      </c>
      <c r="Y142" s="4" t="s">
        <v>1853</v>
      </c>
      <c r="Z142" s="4" t="s">
        <v>1854</v>
      </c>
      <c r="AA142" s="39">
        <v>45603</v>
      </c>
      <c r="AB142" s="39" t="s">
        <v>1853</v>
      </c>
      <c r="AC142" s="39" t="s">
        <v>1853</v>
      </c>
      <c r="AD142" s="39" t="s">
        <v>1853</v>
      </c>
      <c r="AE142" s="56">
        <v>45631</v>
      </c>
      <c r="AF142" s="39">
        <v>45633</v>
      </c>
      <c r="AG142" s="56">
        <v>45633</v>
      </c>
      <c r="AH142" s="56">
        <v>49309</v>
      </c>
      <c r="AJ142" s="4" t="s">
        <v>109</v>
      </c>
      <c r="AK142" s="4" t="s">
        <v>109</v>
      </c>
      <c r="AL142" s="4" t="s">
        <v>109</v>
      </c>
      <c r="AM142" s="4" t="s">
        <v>109</v>
      </c>
      <c r="AP142" s="1">
        <f t="shared" si="5"/>
        <v>40</v>
      </c>
      <c r="AQ142" s="38">
        <f>AA142-Table1[[#This Row],[Closed Date]]</f>
        <v>59</v>
      </c>
    </row>
    <row r="143" spans="1:43" s="244" customFormat="1" ht="18.75" customHeight="1" x14ac:dyDescent="0.3">
      <c r="A143" s="237">
        <f>Table1[[#This Row],[Project No]]</f>
        <v>2409442</v>
      </c>
      <c r="B143" s="238" t="str">
        <f>VLOOKUP(A:A,Table1[[Project No]:[Additional Remark]],2,FALSE)</f>
        <v>Lee Chiou Horng</v>
      </c>
      <c r="C143" s="237" t="e" vm="12">
        <f>VLOOKUP(A:A,Table1[[#All],[Project No]:[Additional Remark]],7,FALSE)</f>
        <v>#VALUE!</v>
      </c>
      <c r="D143" s="237" t="str">
        <f>VLOOKUP(A:A,Table1[[#All],[Project No]:[Additional Remark]],4,FALSE)</f>
        <v>Tham</v>
      </c>
      <c r="E143" s="237" t="str">
        <f>VLOOKUP(A:A,Table1[[#All],[Project No]:[Additional Remark]],5,FALSE)</f>
        <v>R-PV</v>
      </c>
      <c r="F143" s="237" t="str">
        <f>VLOOKUP(A:A,Table1[[Project No]:[Additional Remark]],6,FALSE)</f>
        <v>NEM</v>
      </c>
      <c r="G143" s="237">
        <f>VLOOKUP(A:A,Table1[[Project No]:[Additional Remark]],8,FALSE)</f>
        <v>9.44</v>
      </c>
      <c r="H143" s="237" t="str">
        <f>VLOOKUP(A:A,Table1[[Project No]:[Additional Remark]],15,FALSE)</f>
        <v>Astronergy 590Wp</v>
      </c>
      <c r="I143" s="237">
        <f>VLOOKUP(A:A,Table1[[Project No]:[Additional Remark]],16,FALSE)</f>
        <v>16</v>
      </c>
      <c r="J143" s="239" t="str">
        <f>VLOOKUP(A:A,Table1[[Project No]:[Additional Remark]],17,FALSE)</f>
        <v>Huawei SUN2000-8KTL</v>
      </c>
      <c r="K143" s="240"/>
      <c r="L143" s="239" t="str">
        <f t="shared" si="4"/>
        <v>Pending NEM Welcome Letter</v>
      </c>
      <c r="M143" s="239" t="str">
        <f>VLOOKUP(A:A,'Finance Tracker'!A141:K382,8,FALSE)</f>
        <v>Invoice Completed</v>
      </c>
      <c r="N143" s="240"/>
      <c r="O143" s="239" t="s">
        <v>109</v>
      </c>
      <c r="P143" s="239" t="s">
        <v>109</v>
      </c>
      <c r="Q143" s="240"/>
      <c r="R143" s="241">
        <v>45545</v>
      </c>
      <c r="S143" s="241">
        <v>45606</v>
      </c>
      <c r="T143" s="239" t="s">
        <v>1819</v>
      </c>
      <c r="U143" s="241">
        <v>45948</v>
      </c>
      <c r="V143" s="242" t="s">
        <v>1853</v>
      </c>
      <c r="W143" s="239" t="s">
        <v>1853</v>
      </c>
      <c r="X143" s="237" t="s">
        <v>109</v>
      </c>
      <c r="Y143" s="237" t="s">
        <v>1853</v>
      </c>
      <c r="Z143" s="237" t="s">
        <v>1855</v>
      </c>
      <c r="AA143" s="242">
        <v>45758</v>
      </c>
      <c r="AB143" s="242">
        <v>45737</v>
      </c>
      <c r="AC143" s="242" t="s">
        <v>1853</v>
      </c>
      <c r="AD143" s="242" t="s">
        <v>1853</v>
      </c>
      <c r="AE143" s="241" t="s">
        <v>1853</v>
      </c>
      <c r="AF143" s="239" t="s">
        <v>1853</v>
      </c>
      <c r="AG143" s="241"/>
      <c r="AH143" s="241"/>
      <c r="AI143" s="243"/>
      <c r="AJ143" s="237" t="s">
        <v>109</v>
      </c>
      <c r="AK143" s="237" t="s">
        <v>109</v>
      </c>
      <c r="AL143" s="237" t="s">
        <v>109</v>
      </c>
      <c r="AM143" s="237" t="s">
        <v>109</v>
      </c>
      <c r="AP143" s="239">
        <f t="shared" si="5"/>
        <v>61</v>
      </c>
      <c r="AQ143" s="245">
        <f>AA143-Table1[[#This Row],[Closed Date]]</f>
        <v>215</v>
      </c>
    </row>
    <row r="144" spans="1:43" ht="18.75" customHeight="1" x14ac:dyDescent="0.3">
      <c r="A144" s="4">
        <f>Table1[[#This Row],[Project No]]</f>
        <v>2409443</v>
      </c>
      <c r="B144" s="110" t="str">
        <f>VLOOKUP(A:A,Table1[[Project No]:[Additional Remark]],2,FALSE)</f>
        <v>Dato Lim Zhen Peng</v>
      </c>
      <c r="C144" s="4" t="e" vm="8">
        <f>VLOOKUP(A:A,Table1[[#All],[Project No]:[Additional Remark]],7,FALSE)</f>
        <v>#VALUE!</v>
      </c>
      <c r="D144" s="4" t="str">
        <f>VLOOKUP(A:A,Table1[[#All],[Project No]:[Additional Remark]],4,FALSE)</f>
        <v>Tham</v>
      </c>
      <c r="E144" s="4" t="str">
        <f>VLOOKUP(A:A,Table1[[#All],[Project No]:[Additional Remark]],5,FALSE)</f>
        <v>R-PV</v>
      </c>
      <c r="F144" s="4" t="str">
        <f>VLOOKUP(A:A,Table1[[Project No]:[Additional Remark]],6,FALSE)</f>
        <v>NEM</v>
      </c>
      <c r="G144" s="4">
        <f>VLOOKUP(A:A,Table1[[Project No]:[Additional Remark]],8,FALSE)</f>
        <v>17.55</v>
      </c>
      <c r="H144" s="4" t="str">
        <f>VLOOKUP(A:A,Table1[[Project No]:[Additional Remark]],15,FALSE)</f>
        <v>Astronergy 585Wp</v>
      </c>
      <c r="I144" s="4">
        <f>VLOOKUP(A:A,Table1[[Project No]:[Additional Remark]],16,FALSE)</f>
        <v>30</v>
      </c>
      <c r="J144" s="1" t="str">
        <f>VLOOKUP(A:A,Table1[[Project No]:[Additional Remark]],17,FALSE)</f>
        <v>Huawei SUN2000-12KTL</v>
      </c>
      <c r="K144" s="127"/>
      <c r="L144" s="1" t="str">
        <f t="shared" si="4"/>
        <v>Completed</v>
      </c>
      <c r="M144" s="1" t="str">
        <f>VLOOKUP(A:A,'Finance Tracker'!A142:K383,8,FALSE)</f>
        <v>Invoice Completed</v>
      </c>
      <c r="N144" s="127"/>
      <c r="O144" s="1" t="s">
        <v>109</v>
      </c>
      <c r="P144" s="1" t="s">
        <v>109</v>
      </c>
      <c r="Q144" s="127"/>
      <c r="R144" s="56">
        <v>45545</v>
      </c>
      <c r="S144" s="56">
        <v>45606</v>
      </c>
      <c r="T144" s="1" t="s">
        <v>1819</v>
      </c>
      <c r="U144" s="56"/>
      <c r="V144" s="39" t="s">
        <v>1853</v>
      </c>
      <c r="W144" s="1" t="s">
        <v>1853</v>
      </c>
      <c r="X144" s="4" t="s">
        <v>109</v>
      </c>
      <c r="Y144" s="4" t="s">
        <v>1853</v>
      </c>
      <c r="Z144" s="4" t="s">
        <v>1855</v>
      </c>
      <c r="AA144" s="39">
        <v>45592</v>
      </c>
      <c r="AB144" s="39">
        <v>46007</v>
      </c>
      <c r="AC144" s="39" t="s">
        <v>1853</v>
      </c>
      <c r="AD144" s="56">
        <v>45644</v>
      </c>
      <c r="AE144" s="56">
        <v>45643</v>
      </c>
      <c r="AF144" s="56">
        <v>45644</v>
      </c>
      <c r="AG144" s="56">
        <v>45644</v>
      </c>
      <c r="AH144" s="56">
        <v>49309</v>
      </c>
      <c r="AJ144" s="4" t="s">
        <v>109</v>
      </c>
      <c r="AK144" s="4" t="s">
        <v>109</v>
      </c>
      <c r="AL144" s="4" t="s">
        <v>109</v>
      </c>
      <c r="AM144" s="4" t="s">
        <v>109</v>
      </c>
      <c r="AP144" s="1">
        <f t="shared" si="5"/>
        <v>61</v>
      </c>
      <c r="AQ144" s="38">
        <f>AA144-Table1[[#This Row],[Closed Date]]</f>
        <v>48</v>
      </c>
    </row>
    <row r="145" spans="1:43" s="226" customFormat="1" ht="18.75" customHeight="1" x14ac:dyDescent="0.3">
      <c r="A145" s="219">
        <f>Table1[[#This Row],[Project No]]</f>
        <v>2408417</v>
      </c>
      <c r="B145" s="220" t="str">
        <f>VLOOKUP(A:A,Table1[[Project No]:[Additional Remark]],2,FALSE)</f>
        <v>Mohmad Nazeri bin Abdul Wahab</v>
      </c>
      <c r="C145" s="219" t="e" vm="5">
        <f>VLOOKUP(A:A,Table1[[#All],[Project No]:[Additional Remark]],7,FALSE)</f>
        <v>#VALUE!</v>
      </c>
      <c r="D145" s="219" t="str">
        <f>VLOOKUP(A:A,Table1[[#All],[Project No]:[Additional Remark]],4,FALSE)</f>
        <v>Tham</v>
      </c>
      <c r="E145" s="219" t="str">
        <f>VLOOKUP(A:A,Table1[[#All],[Project No]:[Additional Remark]],5,FALSE)</f>
        <v>R-PV</v>
      </c>
      <c r="F145" s="219" t="str">
        <f>VLOOKUP(A:A,Table1[[Project No]:[Additional Remark]],6,FALSE)</f>
        <v>NEM</v>
      </c>
      <c r="G145" s="219">
        <f>VLOOKUP(A:A,Table1[[Project No]:[Additional Remark]],8,FALSE)</f>
        <v>17.55</v>
      </c>
      <c r="H145" s="219" t="str">
        <f>VLOOKUP(A:A,Table1[[Project No]:[Additional Remark]],15,FALSE)</f>
        <v>Astronergy 590Wp</v>
      </c>
      <c r="I145" s="219">
        <f>VLOOKUP(A:A,Table1[[Project No]:[Additional Remark]],16,FALSE)</f>
        <v>30</v>
      </c>
      <c r="J145" s="221" t="str">
        <f>VLOOKUP(A:A,Table1[[Project No]:[Additional Remark]],17,FALSE)</f>
        <v>Huawei SUN2000-12KTL</v>
      </c>
      <c r="K145" s="222"/>
      <c r="L145" s="221" t="str">
        <f t="shared" si="4"/>
        <v>Pending Meter Change</v>
      </c>
      <c r="M145" s="221" t="str">
        <f>VLOOKUP(A:A,'Finance Tracker'!A143:K384,8,FALSE)</f>
        <v>Invoice Completed</v>
      </c>
      <c r="N145" s="222"/>
      <c r="O145" s="221" t="s">
        <v>109</v>
      </c>
      <c r="P145" s="221" t="s">
        <v>109</v>
      </c>
      <c r="Q145" s="222"/>
      <c r="R145" s="223">
        <v>45546</v>
      </c>
      <c r="S145" s="223">
        <v>45596</v>
      </c>
      <c r="T145" s="221" t="s">
        <v>1819</v>
      </c>
      <c r="U145" s="223">
        <v>45959</v>
      </c>
      <c r="V145" s="224" t="s">
        <v>1853</v>
      </c>
      <c r="W145" s="221" t="s">
        <v>1853</v>
      </c>
      <c r="X145" s="219" t="s">
        <v>109</v>
      </c>
      <c r="Y145" s="219" t="s">
        <v>1853</v>
      </c>
      <c r="Z145" s="219" t="s">
        <v>1855</v>
      </c>
      <c r="AA145" s="224">
        <v>45745</v>
      </c>
      <c r="AB145" s="224" t="s">
        <v>1853</v>
      </c>
      <c r="AC145" s="224" t="s">
        <v>1853</v>
      </c>
      <c r="AD145" s="224" t="s">
        <v>1853</v>
      </c>
      <c r="AE145" s="223" t="s">
        <v>1853</v>
      </c>
      <c r="AF145" s="223"/>
      <c r="AG145" s="223"/>
      <c r="AH145" s="223"/>
      <c r="AI145" s="225"/>
      <c r="AJ145" s="219" t="s">
        <v>109</v>
      </c>
      <c r="AK145" s="219" t="s">
        <v>109</v>
      </c>
      <c r="AL145" s="219" t="s">
        <v>109</v>
      </c>
      <c r="AM145" s="219" t="s">
        <v>109</v>
      </c>
      <c r="AP145" s="221">
        <f t="shared" si="5"/>
        <v>50</v>
      </c>
      <c r="AQ145" s="227">
        <f>AA145-Table1[[#This Row],[Closed Date]]</f>
        <v>202</v>
      </c>
    </row>
    <row r="146" spans="1:43" ht="18.75" customHeight="1" x14ac:dyDescent="0.3">
      <c r="A146" s="4">
        <f>Table1[[#This Row],[Project No]]</f>
        <v>2409440</v>
      </c>
      <c r="B146" s="110" t="str">
        <f>VLOOKUP(A:A,Table1[[Project No]:[Additional Remark]],2,FALSE)</f>
        <v>Tan Say Kheng</v>
      </c>
      <c r="C146" s="4" t="e" vm="5">
        <f>VLOOKUP(A:A,Table1[[#All],[Project No]:[Additional Remark]],7,FALSE)</f>
        <v>#VALUE!</v>
      </c>
      <c r="D146" s="4" t="str">
        <f>VLOOKUP(A:A,Table1[[#All],[Project No]:[Additional Remark]],4,FALSE)</f>
        <v>Tham</v>
      </c>
      <c r="E146" s="4" t="str">
        <f>VLOOKUP(A:A,Table1[[#All],[Project No]:[Additional Remark]],5,FALSE)</f>
        <v>R-PV</v>
      </c>
      <c r="F146" s="4" t="str">
        <f>VLOOKUP(A:A,Table1[[Project No]:[Additional Remark]],6,FALSE)</f>
        <v>NEM</v>
      </c>
      <c r="G146" s="4">
        <f>VLOOKUP(A:A,Table1[[Project No]:[Additional Remark]],8,FALSE)</f>
        <v>7.02</v>
      </c>
      <c r="H146" s="4" t="str">
        <f>VLOOKUP(A:A,Table1[[Project No]:[Additional Remark]],15,FALSE)</f>
        <v>Astronergy 585Wp</v>
      </c>
      <c r="I146" s="4">
        <f>VLOOKUP(A:A,Table1[[Project No]:[Additional Remark]],16,FALSE)</f>
        <v>12</v>
      </c>
      <c r="J146" s="1" t="str">
        <f>VLOOKUP(A:A,Table1[[Project No]:[Additional Remark]],17,FALSE)</f>
        <v>Huawei SUN2000-5KTL-L1</v>
      </c>
      <c r="K146" s="127"/>
      <c r="L146" s="1" t="str">
        <f t="shared" si="4"/>
        <v>Completed</v>
      </c>
      <c r="M146" s="1" t="str">
        <f>VLOOKUP(A:A,'Finance Tracker'!A144:K385,8,FALSE)</f>
        <v>Invoice Completed</v>
      </c>
      <c r="N146" s="127"/>
      <c r="O146" s="1" t="s">
        <v>109</v>
      </c>
      <c r="P146" s="1" t="s">
        <v>109</v>
      </c>
      <c r="Q146" s="127"/>
      <c r="R146" s="56">
        <v>45544</v>
      </c>
      <c r="S146" s="56">
        <v>45582</v>
      </c>
      <c r="T146" s="1" t="s">
        <v>1822</v>
      </c>
      <c r="U146" s="56">
        <v>45792</v>
      </c>
      <c r="V146" s="39" t="s">
        <v>1853</v>
      </c>
      <c r="W146" s="1" t="s">
        <v>1853</v>
      </c>
      <c r="X146" s="4" t="s">
        <v>109</v>
      </c>
      <c r="Y146" s="4" t="s">
        <v>1853</v>
      </c>
      <c r="Z146" s="4" t="s">
        <v>1855</v>
      </c>
      <c r="AA146" s="39">
        <v>45604</v>
      </c>
      <c r="AB146" s="39" t="s">
        <v>1853</v>
      </c>
      <c r="AC146" s="39" t="s">
        <v>1853</v>
      </c>
      <c r="AD146" s="39" t="s">
        <v>1853</v>
      </c>
      <c r="AE146" s="56">
        <v>45615</v>
      </c>
      <c r="AF146" s="56">
        <v>45622</v>
      </c>
      <c r="AG146" s="56">
        <v>45622</v>
      </c>
      <c r="AH146" s="56">
        <v>49278</v>
      </c>
      <c r="AJ146" s="4" t="s">
        <v>109</v>
      </c>
      <c r="AK146" s="4" t="s">
        <v>109</v>
      </c>
      <c r="AL146" s="4" t="s">
        <v>109</v>
      </c>
      <c r="AM146" s="4" t="s">
        <v>109</v>
      </c>
      <c r="AP146" s="1">
        <f t="shared" si="5"/>
        <v>38</v>
      </c>
      <c r="AQ146" s="38">
        <f>AA146-Table1[[#This Row],[Closed Date]]</f>
        <v>65</v>
      </c>
    </row>
    <row r="147" spans="1:43" ht="18.75" customHeight="1" x14ac:dyDescent="0.3">
      <c r="A147" s="4">
        <f>Table1[[#This Row],[Project No]]</f>
        <v>2405273</v>
      </c>
      <c r="B147" s="110" t="str">
        <f>VLOOKUP(A:A,Table1[[Project No]:[Additional Remark]],2,FALSE)</f>
        <v>Leong Ah Seng</v>
      </c>
      <c r="C147" s="4" t="e" vm="5">
        <f>VLOOKUP(A:A,Table1[[#All],[Project No]:[Additional Remark]],7,FALSE)</f>
        <v>#VALUE!</v>
      </c>
      <c r="D147" s="4" t="str">
        <f>VLOOKUP(A:A,Table1[[#All],[Project No]:[Additional Remark]],4,FALSE)</f>
        <v>Tham</v>
      </c>
      <c r="E147" s="4" t="str">
        <f>VLOOKUP(A:A,Table1[[#All],[Project No]:[Additional Remark]],5,FALSE)</f>
        <v>R-PV</v>
      </c>
      <c r="F147" s="4" t="str">
        <f>VLOOKUP(A:A,Table1[[Project No]:[Additional Remark]],6,FALSE)</f>
        <v>NEM</v>
      </c>
      <c r="G147" s="4">
        <f>VLOOKUP(A:A,Table1[[Project No]:[Additional Remark]],8,FALSE)</f>
        <v>17.55</v>
      </c>
      <c r="H147" s="4" t="str">
        <f>VLOOKUP(A:A,Table1[[Project No]:[Additional Remark]],15,FALSE)</f>
        <v>Astronergy 585Wp</v>
      </c>
      <c r="I147" s="4">
        <f>VLOOKUP(A:A,Table1[[Project No]:[Additional Remark]],16,FALSE)</f>
        <v>30</v>
      </c>
      <c r="J147" s="1" t="str">
        <f>VLOOKUP(A:A,Table1[[Project No]:[Additional Remark]],17,FALSE)</f>
        <v>Huawei SUN2000-12KTL</v>
      </c>
      <c r="K147" s="127"/>
      <c r="L147" s="1" t="str">
        <f t="shared" si="4"/>
        <v>Completed</v>
      </c>
      <c r="M147" s="1" t="str">
        <f>VLOOKUP(A:A,'Finance Tracker'!A145:K386,8,FALSE)</f>
        <v>Invoice Completed</v>
      </c>
      <c r="N147" s="127"/>
      <c r="O147" s="1" t="s">
        <v>109</v>
      </c>
      <c r="P147" s="1" t="s">
        <v>109</v>
      </c>
      <c r="Q147" s="127"/>
      <c r="R147" s="56">
        <v>45545</v>
      </c>
      <c r="S147" s="56">
        <v>45582</v>
      </c>
      <c r="T147" s="1" t="s">
        <v>1822</v>
      </c>
      <c r="U147" s="56">
        <v>45768</v>
      </c>
      <c r="V147" s="39" t="s">
        <v>1853</v>
      </c>
      <c r="W147" s="1" t="s">
        <v>1853</v>
      </c>
      <c r="X147" s="4" t="s">
        <v>109</v>
      </c>
      <c r="Y147" s="4" t="s">
        <v>1853</v>
      </c>
      <c r="Z147" s="4" t="s">
        <v>1855</v>
      </c>
      <c r="AA147" s="39">
        <v>45664</v>
      </c>
      <c r="AB147" s="39">
        <v>45695</v>
      </c>
      <c r="AC147" s="39" t="s">
        <v>1853</v>
      </c>
      <c r="AD147" s="39">
        <v>45700</v>
      </c>
      <c r="AE147" s="56">
        <v>45698</v>
      </c>
      <c r="AF147" s="56">
        <v>45700</v>
      </c>
      <c r="AG147" s="39">
        <v>45700</v>
      </c>
      <c r="AH147" s="39">
        <v>49368</v>
      </c>
      <c r="AJ147" s="4" t="s">
        <v>109</v>
      </c>
      <c r="AK147" s="4" t="s">
        <v>109</v>
      </c>
      <c r="AL147" s="4" t="s">
        <v>109</v>
      </c>
      <c r="AM147" s="4" t="s">
        <v>109</v>
      </c>
      <c r="AP147" s="1">
        <f t="shared" si="5"/>
        <v>37</v>
      </c>
      <c r="AQ147" s="38">
        <f>AA147-Table1[[#This Row],[Closed Date]]</f>
        <v>131</v>
      </c>
    </row>
    <row r="148" spans="1:43" s="244" customFormat="1" ht="18.75" customHeight="1" x14ac:dyDescent="0.3">
      <c r="A148" s="237">
        <f>Table1[[#This Row],[Project No]]</f>
        <v>2308064</v>
      </c>
      <c r="B148" s="238" t="str">
        <f>VLOOKUP(A:A,Table1[[Project No]:[Additional Remark]],2,FALSE)</f>
        <v>Low Yin Jun</v>
      </c>
      <c r="C148" s="237" t="e" vm="15">
        <f>VLOOKUP(A:A,Table1[[#All],[Project No]:[Additional Remark]],7,FALSE)</f>
        <v>#VALUE!</v>
      </c>
      <c r="D148" s="237" t="str">
        <f>VLOOKUP(A:A,Table1[[#All],[Project No]:[Additional Remark]],4,FALSE)</f>
        <v>Simon</v>
      </c>
      <c r="E148" s="237" t="str">
        <f>VLOOKUP(A:A,Table1[[#All],[Project No]:[Additional Remark]],5,FALSE)</f>
        <v>R-PV</v>
      </c>
      <c r="F148" s="237" t="str">
        <f>VLOOKUP(A:A,Table1[[Project No]:[Additional Remark]],6,FALSE)</f>
        <v>NEM</v>
      </c>
      <c r="G148" s="237">
        <f>VLOOKUP(A:A,Table1[[Project No]:[Additional Remark]],8,FALSE)</f>
        <v>11.7</v>
      </c>
      <c r="H148" s="237" t="str">
        <f>VLOOKUP(A:A,Table1[[Project No]:[Additional Remark]],15,FALSE)</f>
        <v>Astronergy 585Wp</v>
      </c>
      <c r="I148" s="237">
        <f>VLOOKUP(A:A,Table1[[Project No]:[Additional Remark]],16,FALSE)</f>
        <v>20</v>
      </c>
      <c r="J148" s="239" t="str">
        <f>VLOOKUP(A:A,Table1[[Project No]:[Additional Remark]],17,FALSE)</f>
        <v>Solinteg MHT-10K-25 hybrid</v>
      </c>
      <c r="K148" s="240"/>
      <c r="L148" s="239" t="str">
        <f t="shared" si="4"/>
        <v>Pending NEM Welcome Letter</v>
      </c>
      <c r="M148" s="239" t="str">
        <f>VLOOKUP(A:A,'Finance Tracker'!A146:K387,8,FALSE)</f>
        <v>Invoice Completed</v>
      </c>
      <c r="N148" s="240"/>
      <c r="O148" s="239" t="s">
        <v>109</v>
      </c>
      <c r="P148" s="239" t="s">
        <v>109</v>
      </c>
      <c r="Q148" s="240"/>
      <c r="R148" s="241">
        <v>45512</v>
      </c>
      <c r="S148" s="241">
        <v>45521</v>
      </c>
      <c r="T148" s="239" t="s">
        <v>1819</v>
      </c>
      <c r="U148" s="241"/>
      <c r="V148" s="242" t="s">
        <v>1853</v>
      </c>
      <c r="W148" s="239" t="s">
        <v>1853</v>
      </c>
      <c r="X148" s="237" t="s">
        <v>109</v>
      </c>
      <c r="Y148" s="237" t="s">
        <v>1853</v>
      </c>
      <c r="Z148" s="237" t="s">
        <v>1853</v>
      </c>
      <c r="AA148" s="242">
        <v>45770</v>
      </c>
      <c r="AB148" s="242">
        <v>45771</v>
      </c>
      <c r="AC148" s="242" t="s">
        <v>1853</v>
      </c>
      <c r="AD148" s="242">
        <v>45775</v>
      </c>
      <c r="AE148" s="241">
        <v>45772</v>
      </c>
      <c r="AF148" s="241">
        <v>45775</v>
      </c>
      <c r="AG148" s="241"/>
      <c r="AH148" s="241"/>
      <c r="AI148" s="243"/>
      <c r="AJ148" s="237" t="s">
        <v>109</v>
      </c>
      <c r="AK148" s="237" t="s">
        <v>109</v>
      </c>
      <c r="AL148" s="237" t="s">
        <v>109</v>
      </c>
      <c r="AM148" s="237" t="s">
        <v>109</v>
      </c>
      <c r="AP148" s="239">
        <f t="shared" si="5"/>
        <v>9</v>
      </c>
      <c r="AQ148" s="245">
        <f>AA149-Table1[[#This Row],[Closed Date]]</f>
        <v>99</v>
      </c>
    </row>
    <row r="149" spans="1:43" ht="18.75" customHeight="1" x14ac:dyDescent="0.3">
      <c r="A149" s="4">
        <f>Table1[[#This Row],[Project No]]</f>
        <v>2409447</v>
      </c>
      <c r="B149" s="110" t="str">
        <f>VLOOKUP(A:A,Table1[[Project No]:[Additional Remark]],2,FALSE)</f>
        <v>Chan Chee Tuck</v>
      </c>
      <c r="C149" s="4" t="e" vm="11">
        <f>VLOOKUP(A:A,Table1[[#All],[Project No]:[Additional Remark]],7,FALSE)</f>
        <v>#VALUE!</v>
      </c>
      <c r="D149" s="4" t="str">
        <f>VLOOKUP(A:A,Table1[[#All],[Project No]:[Additional Remark]],4,FALSE)</f>
        <v>Chean Bang</v>
      </c>
      <c r="E149" s="4" t="str">
        <f>VLOOKUP(A:A,Table1[[#All],[Project No]:[Additional Remark]],5,FALSE)</f>
        <v>R-PV</v>
      </c>
      <c r="F149" s="4" t="str">
        <f>VLOOKUP(A:A,Table1[[Project No]:[Additional Remark]],6,FALSE)</f>
        <v>NEM</v>
      </c>
      <c r="G149" s="4">
        <f>VLOOKUP(A:A,Table1[[Project No]:[Additional Remark]],8,FALSE)</f>
        <v>7.02</v>
      </c>
      <c r="H149" s="4" t="str">
        <f>VLOOKUP(A:A,Table1[[Project No]:[Additional Remark]],15,FALSE)</f>
        <v>Astronergy 585Wp</v>
      </c>
      <c r="I149" s="4">
        <f>VLOOKUP(A:A,Table1[[Project No]:[Additional Remark]],16,FALSE)</f>
        <v>12</v>
      </c>
      <c r="J149" s="1" t="str">
        <f>VLOOKUP(A:A,Table1[[Project No]:[Additional Remark]],17,FALSE)</f>
        <v>Huawei SUN2000-5KTL-L1</v>
      </c>
      <c r="K149" s="127"/>
      <c r="L149" s="1" t="str">
        <f t="shared" si="4"/>
        <v>Completed</v>
      </c>
      <c r="M149" s="1" t="str">
        <f>VLOOKUP(A:A,'Finance Tracker'!A146:K387,8,FALSE)</f>
        <v>Invoice Completed</v>
      </c>
      <c r="N149" s="127"/>
      <c r="O149" s="1" t="s">
        <v>109</v>
      </c>
      <c r="P149" s="1" t="s">
        <v>109</v>
      </c>
      <c r="Q149" s="127"/>
      <c r="R149" s="56">
        <v>45546</v>
      </c>
      <c r="S149" s="56">
        <v>45606</v>
      </c>
      <c r="T149" s="1" t="s">
        <v>1819</v>
      </c>
      <c r="U149" s="56">
        <v>45950</v>
      </c>
      <c r="V149" s="39" t="s">
        <v>1853</v>
      </c>
      <c r="W149" s="1" t="s">
        <v>1853</v>
      </c>
      <c r="X149" s="4" t="s">
        <v>109</v>
      </c>
      <c r="Y149" s="4" t="s">
        <v>1853</v>
      </c>
      <c r="Z149" s="4" t="s">
        <v>1854</v>
      </c>
      <c r="AA149" s="39">
        <v>45631</v>
      </c>
      <c r="AB149" s="39" t="s">
        <v>1853</v>
      </c>
      <c r="AC149" s="39" t="s">
        <v>1853</v>
      </c>
      <c r="AD149" s="39" t="s">
        <v>1853</v>
      </c>
      <c r="AE149" s="56">
        <v>45650</v>
      </c>
      <c r="AF149" s="56">
        <v>45648</v>
      </c>
      <c r="AG149" s="56">
        <v>45648</v>
      </c>
      <c r="AH149" s="56">
        <v>45657</v>
      </c>
      <c r="AJ149" s="4" t="s">
        <v>109</v>
      </c>
      <c r="AK149" s="4" t="s">
        <v>109</v>
      </c>
      <c r="AL149" s="4" t="s">
        <v>109</v>
      </c>
      <c r="AM149" s="4" t="s">
        <v>109</v>
      </c>
      <c r="AP149" s="1">
        <f t="shared" si="5"/>
        <v>60</v>
      </c>
      <c r="AQ149" s="38">
        <f>AA150-Table1[[#This Row],[Closed Date]]</f>
        <v>134</v>
      </c>
    </row>
    <row r="150" spans="1:43" ht="18.75" customHeight="1" x14ac:dyDescent="0.3">
      <c r="A150" s="4">
        <f>Table1[[#This Row],[Project No]]</f>
        <v>2409444</v>
      </c>
      <c r="B150" s="110" t="str">
        <f>VLOOKUP(A:A,Table1[[Project No]:[Additional Remark]],2,FALSE)</f>
        <v>Tuan Noraizan Bt Tuan Long</v>
      </c>
      <c r="C150" s="4" t="e" vm="10">
        <f>VLOOKUP(A:A,Table1[[#All],[Project No]:[Additional Remark]],7,FALSE)</f>
        <v>#VALUE!</v>
      </c>
      <c r="D150" s="4" t="str">
        <f>VLOOKUP(A:A,Table1[[#All],[Project No]:[Additional Remark]],4,FALSE)</f>
        <v>Chean Bang</v>
      </c>
      <c r="E150" s="4" t="str">
        <f>VLOOKUP(A:A,Table1[[#All],[Project No]:[Additional Remark]],5,FALSE)</f>
        <v>R-PV</v>
      </c>
      <c r="F150" s="4" t="str">
        <f>VLOOKUP(A:A,Table1[[Project No]:[Additional Remark]],6,FALSE)</f>
        <v>NEM</v>
      </c>
      <c r="G150" s="4">
        <f>VLOOKUP(A:A,Table1[[Project No]:[Additional Remark]],8,FALSE)</f>
        <v>9.36</v>
      </c>
      <c r="H150" s="4" t="str">
        <f>VLOOKUP(A:A,Table1[[Project No]:[Additional Remark]],15,FALSE)</f>
        <v>Astronergy 585Wp</v>
      </c>
      <c r="I150" s="4">
        <f>VLOOKUP(A:A,Table1[[Project No]:[Additional Remark]],16,FALSE)</f>
        <v>16</v>
      </c>
      <c r="J150" s="1" t="str">
        <f>VLOOKUP(A:A,Table1[[Project No]:[Additional Remark]],17,FALSE)</f>
        <v>Huawei SUN2000-8KTL</v>
      </c>
      <c r="K150" s="127"/>
      <c r="L150" s="1" t="str">
        <f t="shared" si="4"/>
        <v>Completed</v>
      </c>
      <c r="M150" s="1" t="str">
        <f>VLOOKUP(A:A,'Finance Tracker'!A147:K388,8,FALSE)</f>
        <v>Invoice Completed</v>
      </c>
      <c r="N150" s="127"/>
      <c r="O150" s="1" t="s">
        <v>109</v>
      </c>
      <c r="P150" s="1" t="s">
        <v>109</v>
      </c>
      <c r="Q150" s="127"/>
      <c r="R150" s="56">
        <v>45546</v>
      </c>
      <c r="S150" s="56">
        <v>45606</v>
      </c>
      <c r="T150" s="1" t="s">
        <v>1819</v>
      </c>
      <c r="U150" s="56">
        <v>45961</v>
      </c>
      <c r="V150" s="39" t="s">
        <v>1853</v>
      </c>
      <c r="W150" s="1" t="s">
        <v>1853</v>
      </c>
      <c r="X150" s="4" t="s">
        <v>109</v>
      </c>
      <c r="Y150" s="4" t="s">
        <v>1853</v>
      </c>
      <c r="Z150" s="4" t="s">
        <v>1854</v>
      </c>
      <c r="AA150" s="39">
        <v>45679</v>
      </c>
      <c r="AB150" s="39" t="s">
        <v>1853</v>
      </c>
      <c r="AC150" s="39" t="s">
        <v>1853</v>
      </c>
      <c r="AD150" s="39" t="s">
        <v>1853</v>
      </c>
      <c r="AE150" s="56" t="s">
        <v>1853</v>
      </c>
      <c r="AF150" s="56">
        <v>45720</v>
      </c>
      <c r="AG150" s="56">
        <v>45720</v>
      </c>
      <c r="AH150" s="56">
        <v>49399</v>
      </c>
      <c r="AJ150" s="4" t="s">
        <v>109</v>
      </c>
      <c r="AK150" s="4" t="s">
        <v>109</v>
      </c>
      <c r="AL150" s="4" t="s">
        <v>109</v>
      </c>
      <c r="AM150" s="4" t="s">
        <v>109</v>
      </c>
      <c r="AP150" s="1">
        <f t="shared" si="5"/>
        <v>60</v>
      </c>
      <c r="AQ150" s="38">
        <f>AA151-Table1[[#This Row],[Closed Date]]</f>
        <v>71</v>
      </c>
    </row>
    <row r="151" spans="1:43" ht="18.75" customHeight="1" x14ac:dyDescent="0.3">
      <c r="A151" s="4">
        <f>Table1[[#This Row],[Project No]]</f>
        <v>2407368</v>
      </c>
      <c r="B151" s="110" t="str">
        <f>VLOOKUP(A:A,Table1[[Project No]:[Additional Remark]],2,FALSE)</f>
        <v>Noor Izzah Akmal Bt Mohd Nordin</v>
      </c>
      <c r="C151" s="4" t="e" vm="11">
        <f>VLOOKUP(A:A,Table1[[#All],[Project No]:[Additional Remark]],7,FALSE)</f>
        <v>#VALUE!</v>
      </c>
      <c r="D151" s="4" t="str">
        <f>VLOOKUP(A:A,Table1[[#All],[Project No]:[Additional Remark]],4,FALSE)</f>
        <v>Chean Bang</v>
      </c>
      <c r="E151" s="4" t="str">
        <f>VLOOKUP(A:A,Table1[[#All],[Project No]:[Additional Remark]],5,FALSE)</f>
        <v>R-PV</v>
      </c>
      <c r="F151" s="4" t="str">
        <f>VLOOKUP(A:A,Table1[[Project No]:[Additional Remark]],6,FALSE)</f>
        <v>NEM</v>
      </c>
      <c r="G151" s="4">
        <f>VLOOKUP(A:A,Table1[[Project No]:[Additional Remark]],8,FALSE)</f>
        <v>12.87</v>
      </c>
      <c r="H151" s="4" t="str">
        <f>VLOOKUP(A:A,Table1[[Project No]:[Additional Remark]],15,FALSE)</f>
        <v>Astronergy 585Wp</v>
      </c>
      <c r="I151" s="4">
        <f>VLOOKUP(A:A,Table1[[Project No]:[Additional Remark]],16,FALSE)</f>
        <v>22</v>
      </c>
      <c r="J151" s="1" t="str">
        <f>VLOOKUP(A:A,Table1[[Project No]:[Additional Remark]],17,FALSE)</f>
        <v>Huawei SUN2000-10KTL</v>
      </c>
      <c r="K151" s="127"/>
      <c r="L151" s="1" t="str">
        <f t="shared" si="4"/>
        <v>Completed</v>
      </c>
      <c r="M151" s="1" t="str">
        <f>VLOOKUP(A:A,'Finance Tracker'!A148:K389,8,FALSE)</f>
        <v>Invoice Completed</v>
      </c>
      <c r="N151" s="127"/>
      <c r="O151" s="1" t="s">
        <v>109</v>
      </c>
      <c r="P151" s="1" t="s">
        <v>109</v>
      </c>
      <c r="Q151" s="127"/>
      <c r="R151" s="56">
        <v>45546</v>
      </c>
      <c r="S151" s="56">
        <v>45606</v>
      </c>
      <c r="T151" s="1" t="s">
        <v>1819</v>
      </c>
      <c r="U151" s="56"/>
      <c r="V151" s="39" t="s">
        <v>1853</v>
      </c>
      <c r="W151" s="1" t="s">
        <v>1853</v>
      </c>
      <c r="X151" s="4" t="s">
        <v>109</v>
      </c>
      <c r="Y151" s="4" t="s">
        <v>1853</v>
      </c>
      <c r="Z151" s="4" t="s">
        <v>1854</v>
      </c>
      <c r="AA151" s="39">
        <v>45617</v>
      </c>
      <c r="AB151" s="39">
        <v>45638</v>
      </c>
      <c r="AC151" s="39" t="s">
        <v>1853</v>
      </c>
      <c r="AD151" s="39">
        <v>45651</v>
      </c>
      <c r="AE151" s="56" t="s">
        <v>1853</v>
      </c>
      <c r="AF151" s="56">
        <v>45651</v>
      </c>
      <c r="AG151" s="56">
        <v>45651</v>
      </c>
      <c r="AH151" s="56">
        <v>49309</v>
      </c>
      <c r="AJ151" s="4" t="s">
        <v>109</v>
      </c>
      <c r="AK151" s="4" t="s">
        <v>109</v>
      </c>
      <c r="AL151" s="4" t="s">
        <v>109</v>
      </c>
      <c r="AM151" s="4" t="s">
        <v>109</v>
      </c>
      <c r="AP151" s="1">
        <f t="shared" si="5"/>
        <v>60</v>
      </c>
      <c r="AQ151" s="38">
        <f>AA152-Table1[[#This Row],[Closed Date]]</f>
        <v>38</v>
      </c>
    </row>
    <row r="152" spans="1:43" ht="18.75" customHeight="1" x14ac:dyDescent="0.3">
      <c r="A152" s="4">
        <f>Table1[[#This Row],[Project No]]</f>
        <v>2409446</v>
      </c>
      <c r="B152" s="110" t="str">
        <f>VLOOKUP(A:A,Table1[[Project No]:[Additional Remark]],2,FALSE)</f>
        <v>Guok Diong Chong</v>
      </c>
      <c r="C152" s="4" t="e" vm="5">
        <f>VLOOKUP(A:A,Table1[[#All],[Project No]:[Additional Remark]],7,FALSE)</f>
        <v>#VALUE!</v>
      </c>
      <c r="D152" s="4" t="str">
        <f>VLOOKUP(A:A,Table1[[#All],[Project No]:[Additional Remark]],4,FALSE)</f>
        <v>Tham</v>
      </c>
      <c r="E152" s="4" t="str">
        <f>VLOOKUP(A:A,Table1[[#All],[Project No]:[Additional Remark]],5,FALSE)</f>
        <v>R-PV</v>
      </c>
      <c r="F152" s="4" t="str">
        <f>VLOOKUP(A:A,Table1[[Project No]:[Additional Remark]],6,FALSE)</f>
        <v>NEM</v>
      </c>
      <c r="G152" s="4">
        <f>VLOOKUP(A:A,Table1[[Project No]:[Additional Remark]],8,FALSE)</f>
        <v>9.36</v>
      </c>
      <c r="H152" s="4" t="str">
        <f>VLOOKUP(A:A,Table1[[Project No]:[Additional Remark]],15,FALSE)</f>
        <v>Astronergy 585Wp</v>
      </c>
      <c r="I152" s="4">
        <f>VLOOKUP(A:A,Table1[[Project No]:[Additional Remark]],16,FALSE)</f>
        <v>16</v>
      </c>
      <c r="J152" s="1" t="str">
        <f>VLOOKUP(A:A,Table1[[Project No]:[Additional Remark]],17,FALSE)</f>
        <v>Huawei SUN2000-8KTL</v>
      </c>
      <c r="K152" s="127"/>
      <c r="L152" s="1" t="str">
        <f t="shared" si="4"/>
        <v>Completed</v>
      </c>
      <c r="M152" s="1" t="str">
        <f>VLOOKUP(A:A,'Finance Tracker'!A149:K390,8,FALSE)</f>
        <v>Invoice Completed</v>
      </c>
      <c r="N152" s="127"/>
      <c r="O152" s="1" t="s">
        <v>109</v>
      </c>
      <c r="P152" s="1" t="s">
        <v>109</v>
      </c>
      <c r="Q152" s="127"/>
      <c r="R152" s="56">
        <v>45546</v>
      </c>
      <c r="S152" s="56">
        <v>45606</v>
      </c>
      <c r="T152" s="1" t="s">
        <v>1819</v>
      </c>
      <c r="U152" s="56"/>
      <c r="V152" s="39" t="s">
        <v>1853</v>
      </c>
      <c r="W152" s="1" t="s">
        <v>1853</v>
      </c>
      <c r="X152" s="4" t="s">
        <v>109</v>
      </c>
      <c r="Y152" s="4" t="s">
        <v>1853</v>
      </c>
      <c r="Z152" s="4" t="s">
        <v>1855</v>
      </c>
      <c r="AA152" s="39">
        <v>45583</v>
      </c>
      <c r="AB152" s="39">
        <v>45622</v>
      </c>
      <c r="AC152" s="39" t="s">
        <v>1853</v>
      </c>
      <c r="AD152" s="56">
        <v>45624</v>
      </c>
      <c r="AE152" s="56">
        <v>45622</v>
      </c>
      <c r="AF152" s="56">
        <v>45624</v>
      </c>
      <c r="AG152" s="56">
        <v>45624</v>
      </c>
      <c r="AH152" s="56">
        <v>49278</v>
      </c>
      <c r="AJ152" s="4" t="s">
        <v>109</v>
      </c>
      <c r="AK152" s="4" t="s">
        <v>109</v>
      </c>
      <c r="AL152" s="4" t="s">
        <v>109</v>
      </c>
      <c r="AM152" s="4" t="s">
        <v>109</v>
      </c>
      <c r="AP152" s="1">
        <f t="shared" si="5"/>
        <v>60</v>
      </c>
      <c r="AQ152" s="38">
        <f>AA153-Table1[[#This Row],[Closed Date]]</f>
        <v>-45544</v>
      </c>
    </row>
    <row r="153" spans="1:43" s="199" customFormat="1" ht="18.75" customHeight="1" x14ac:dyDescent="0.3">
      <c r="A153" s="192">
        <f>Table1[[#This Row],[Project No]]</f>
        <v>2404249</v>
      </c>
      <c r="B153" s="193" t="str">
        <f>VLOOKUP(A:A,Table1[[Project No]:[Additional Remark]],2,FALSE)</f>
        <v>Tan Kheng Guan</v>
      </c>
      <c r="C153" s="192" t="e" vm="10">
        <f>VLOOKUP(A:A,Table1[[#All],[Project No]:[Additional Remark]],7,FALSE)</f>
        <v>#VALUE!</v>
      </c>
      <c r="D153" s="192" t="str">
        <f>VLOOKUP(A:A,Table1[[#All],[Project No]:[Additional Remark]],4,FALSE)</f>
        <v>Tham</v>
      </c>
      <c r="E153" s="192" t="str">
        <f>VLOOKUP(A:A,Table1[[#All],[Project No]:[Additional Remark]],5,FALSE)</f>
        <v>R-PV</v>
      </c>
      <c r="F153" s="192" t="str">
        <f>VLOOKUP(A:A,Table1[[Project No]:[Additional Remark]],6,FALSE)</f>
        <v>NEM</v>
      </c>
      <c r="G153" s="192">
        <f>VLOOKUP(A:A,Table1[[Project No]:[Additional Remark]],8,FALSE)</f>
        <v>17.55</v>
      </c>
      <c r="H153" s="192" t="str">
        <f>VLOOKUP(A:A,Table1[[Project No]:[Additional Remark]],15,FALSE)</f>
        <v>Astronergy 585Wp</v>
      </c>
      <c r="I153" s="192">
        <f>VLOOKUP(A:A,Table1[[Project No]:[Additional Remark]],16,FALSE)</f>
        <v>30</v>
      </c>
      <c r="J153" s="194" t="str">
        <f>VLOOKUP(A:A,Table1[[Project No]:[Additional Remark]],17,FALSE)</f>
        <v>Huawei SUN2000-12KTL</v>
      </c>
      <c r="K153" s="195"/>
      <c r="L153" s="194" t="str">
        <f t="shared" si="4"/>
        <v>Pending Site Installation</v>
      </c>
      <c r="M153" s="194" t="str">
        <f>VLOOKUP(A:A,'Finance Tracker'!A150:K391,8,FALSE)</f>
        <v>1st invoice</v>
      </c>
      <c r="N153" s="195"/>
      <c r="O153" s="194" t="s">
        <v>109</v>
      </c>
      <c r="P153" s="194" t="s">
        <v>109</v>
      </c>
      <c r="Q153" s="195"/>
      <c r="R153" s="196">
        <v>45546</v>
      </c>
      <c r="S153" s="196">
        <v>45594</v>
      </c>
      <c r="T153" s="194" t="s">
        <v>1819</v>
      </c>
      <c r="U153" s="196">
        <v>45957</v>
      </c>
      <c r="V153" s="197" t="s">
        <v>1853</v>
      </c>
      <c r="W153" s="194" t="s">
        <v>1853</v>
      </c>
      <c r="X153" s="192" t="s">
        <v>109</v>
      </c>
      <c r="Y153" s="192" t="s">
        <v>1853</v>
      </c>
      <c r="Z153" s="192"/>
      <c r="AA153" s="197"/>
      <c r="AB153" s="197">
        <v>45771</v>
      </c>
      <c r="AC153" s="197"/>
      <c r="AD153" s="197"/>
      <c r="AE153" s="196"/>
      <c r="AF153" s="196"/>
      <c r="AG153" s="196"/>
      <c r="AH153" s="196"/>
      <c r="AI153" s="198"/>
      <c r="AJ153" s="192" t="s">
        <v>109</v>
      </c>
      <c r="AK153" s="192" t="s">
        <v>109</v>
      </c>
      <c r="AL153" s="192" t="s">
        <v>109</v>
      </c>
      <c r="AM153" s="192" t="s">
        <v>109</v>
      </c>
      <c r="AP153" s="194">
        <f t="shared" si="5"/>
        <v>48</v>
      </c>
      <c r="AQ153" s="200">
        <f>AA154-Table1[[#This Row],[Closed Date]]</f>
        <v>97</v>
      </c>
    </row>
    <row r="154" spans="1:43" ht="18.75" customHeight="1" x14ac:dyDescent="0.3">
      <c r="A154" s="4" t="str">
        <f>Table1[[#This Row],[Project No]]</f>
        <v>2408424-1</v>
      </c>
      <c r="B154" s="110" t="str">
        <f>VLOOKUP(A:A,Table1[[Project No]:[Additional Remark]],2,FALSE)</f>
        <v>Low Bok Tek</v>
      </c>
      <c r="C154" s="4" t="e" vm="4">
        <f>VLOOKUP(A:A,Table1[[#All],[Project No]:[Additional Remark]],7,FALSE)</f>
        <v>#VALUE!</v>
      </c>
      <c r="D154" s="4" t="str">
        <f>VLOOKUP(A:A,Table1[[#All],[Project No]:[Additional Remark]],4,FALSE)</f>
        <v>Tham</v>
      </c>
      <c r="E154" s="4" t="str">
        <f>VLOOKUP(A:A,Table1[[#All],[Project No]:[Additional Remark]],5,FALSE)</f>
        <v>R-PV</v>
      </c>
      <c r="F154" s="4" t="str">
        <f>VLOOKUP(A:A,Table1[[Project No]:[Additional Remark]],6,FALSE)</f>
        <v>NEM</v>
      </c>
      <c r="G154" s="4">
        <f>VLOOKUP(A:A,Table1[[Project No]:[Additional Remark]],8,FALSE)</f>
        <v>17.55</v>
      </c>
      <c r="H154" s="4" t="str">
        <f>VLOOKUP(A:A,Table1[[Project No]:[Additional Remark]],15,FALSE)</f>
        <v>Astronergy 585Wp</v>
      </c>
      <c r="I154" s="4">
        <f>VLOOKUP(A:A,Table1[[Project No]:[Additional Remark]],16,FALSE)</f>
        <v>30</v>
      </c>
      <c r="J154" s="1" t="str">
        <f>VLOOKUP(A:A,Table1[[Project No]:[Additional Remark]],17,FALSE)</f>
        <v>Huawei SUN2000-12KTL</v>
      </c>
      <c r="K154" s="127"/>
      <c r="L154" s="1" t="str">
        <f t="shared" si="4"/>
        <v>Completed</v>
      </c>
      <c r="M154" s="1" t="str">
        <f>VLOOKUP(A:A,'Finance Tracker'!A151:K392,8,FALSE)</f>
        <v>Invoice Completed</v>
      </c>
      <c r="N154" s="127"/>
      <c r="O154" s="1" t="s">
        <v>109</v>
      </c>
      <c r="P154" s="1" t="s">
        <v>109</v>
      </c>
      <c r="Q154" s="127"/>
      <c r="R154" s="56">
        <v>45546</v>
      </c>
      <c r="S154" s="56">
        <v>45600</v>
      </c>
      <c r="T154" s="1" t="s">
        <v>1819</v>
      </c>
      <c r="U154" s="56">
        <v>45961</v>
      </c>
      <c r="V154" s="39" t="s">
        <v>1853</v>
      </c>
      <c r="W154" s="1" t="s">
        <v>1853</v>
      </c>
      <c r="X154" s="4" t="s">
        <v>109</v>
      </c>
      <c r="Y154" s="4" t="s">
        <v>1853</v>
      </c>
      <c r="Z154" s="4" t="s">
        <v>1855</v>
      </c>
      <c r="AA154" s="39">
        <v>45643</v>
      </c>
      <c r="AB154" s="39" t="s">
        <v>1853</v>
      </c>
      <c r="AC154" s="39" t="s">
        <v>1853</v>
      </c>
      <c r="AD154" s="56" t="s">
        <v>1853</v>
      </c>
      <c r="AE154" s="56" t="s">
        <v>1853</v>
      </c>
      <c r="AF154" s="56">
        <v>45659</v>
      </c>
      <c r="AG154" s="56">
        <v>45659</v>
      </c>
      <c r="AH154" s="56">
        <v>49340</v>
      </c>
      <c r="AJ154" s="4" t="s">
        <v>109</v>
      </c>
      <c r="AK154" s="4" t="s">
        <v>109</v>
      </c>
      <c r="AL154" s="4" t="s">
        <v>109</v>
      </c>
      <c r="AM154" s="4" t="s">
        <v>109</v>
      </c>
      <c r="AP154" s="1">
        <f t="shared" si="5"/>
        <v>54</v>
      </c>
      <c r="AQ154" s="38">
        <f>AA155-Table1[[#This Row],[Closed Date]]</f>
        <v>97</v>
      </c>
    </row>
    <row r="155" spans="1:43" ht="18.75" customHeight="1" x14ac:dyDescent="0.3">
      <c r="A155" s="4" t="str">
        <f>Table1[[#This Row],[Project No]]</f>
        <v>2408424-2</v>
      </c>
      <c r="B155" s="110" t="str">
        <f>VLOOKUP(A:A,Table1[[Project No]:[Additional Remark]],2,FALSE)</f>
        <v>Low Bok Tek</v>
      </c>
      <c r="C155" s="4" t="e" vm="4">
        <f>VLOOKUP(A:A,Table1[[#All],[Project No]:[Additional Remark]],7,FALSE)</f>
        <v>#VALUE!</v>
      </c>
      <c r="D155" s="4" t="str">
        <f>VLOOKUP(A:A,Table1[[#All],[Project No]:[Additional Remark]],4,FALSE)</f>
        <v>Tham</v>
      </c>
      <c r="E155" s="4" t="str">
        <f>VLOOKUP(A:A,Table1[[#All],[Project No]:[Additional Remark]],5,FALSE)</f>
        <v>R-PV</v>
      </c>
      <c r="F155" s="4" t="str">
        <f>VLOOKUP(A:A,Table1[[Project No]:[Additional Remark]],6,FALSE)</f>
        <v>NEM</v>
      </c>
      <c r="G155" s="4">
        <f>VLOOKUP(A:A,Table1[[Project No]:[Additional Remark]],8,FALSE)</f>
        <v>17.55</v>
      </c>
      <c r="H155" s="4" t="str">
        <f>VLOOKUP(A:A,Table1[[Project No]:[Additional Remark]],15,FALSE)</f>
        <v>Astronergy 585Wp</v>
      </c>
      <c r="I155" s="4">
        <f>VLOOKUP(A:A,Table1[[Project No]:[Additional Remark]],16,FALSE)</f>
        <v>30</v>
      </c>
      <c r="J155" s="1" t="str">
        <f>VLOOKUP(A:A,Table1[[Project No]:[Additional Remark]],17,FALSE)</f>
        <v>Huawei SUN2000-12KTL</v>
      </c>
      <c r="K155" s="127"/>
      <c r="L155" s="1" t="str">
        <f t="shared" si="4"/>
        <v>Completed</v>
      </c>
      <c r="M155" s="1" t="str">
        <f>VLOOKUP(A:A,'Finance Tracker'!A152:K393,8,FALSE)</f>
        <v>Invoice Completed</v>
      </c>
      <c r="N155" s="127"/>
      <c r="O155" s="1" t="s">
        <v>109</v>
      </c>
      <c r="P155" s="1" t="s">
        <v>109</v>
      </c>
      <c r="Q155" s="127"/>
      <c r="R155" s="56">
        <v>45546</v>
      </c>
      <c r="S155" s="56">
        <v>45596</v>
      </c>
      <c r="T155" s="1" t="s">
        <v>1819</v>
      </c>
      <c r="U155" s="56">
        <v>45959</v>
      </c>
      <c r="V155" s="39" t="s">
        <v>1853</v>
      </c>
      <c r="W155" s="1" t="s">
        <v>1853</v>
      </c>
      <c r="X155" s="4" t="s">
        <v>109</v>
      </c>
      <c r="Y155" s="4" t="s">
        <v>1853</v>
      </c>
      <c r="Z155" s="4" t="s">
        <v>1855</v>
      </c>
      <c r="AA155" s="39">
        <v>45643</v>
      </c>
      <c r="AB155" s="39" t="s">
        <v>1853</v>
      </c>
      <c r="AC155" s="39" t="s">
        <v>1853</v>
      </c>
      <c r="AD155" s="56" t="s">
        <v>1853</v>
      </c>
      <c r="AE155" s="56" t="s">
        <v>1853</v>
      </c>
      <c r="AF155" s="56">
        <v>45659</v>
      </c>
      <c r="AG155" s="56">
        <v>45659</v>
      </c>
      <c r="AH155" s="56">
        <v>49340</v>
      </c>
      <c r="AJ155" s="4" t="s">
        <v>109</v>
      </c>
      <c r="AK155" s="4" t="s">
        <v>109</v>
      </c>
      <c r="AL155" s="4" t="s">
        <v>109</v>
      </c>
      <c r="AM155" s="4" t="s">
        <v>109</v>
      </c>
      <c r="AP155" s="1">
        <f t="shared" si="5"/>
        <v>50</v>
      </c>
      <c r="AQ155" s="38">
        <f>AA156-Table1[[#This Row],[Closed Date]]</f>
        <v>169</v>
      </c>
    </row>
    <row r="156" spans="1:43" s="244" customFormat="1" ht="18.75" customHeight="1" x14ac:dyDescent="0.3">
      <c r="A156" s="237">
        <f>Table1[[#This Row],[Project No]]</f>
        <v>2405284</v>
      </c>
      <c r="B156" s="238" t="str">
        <f>VLOOKUP(A:A,Table1[[Project No]:[Additional Remark]],2,FALSE)</f>
        <v>Amirul Hakim bin Omar</v>
      </c>
      <c r="C156" s="237" t="e" vm="5">
        <f>VLOOKUP(A:A,Table1[[#All],[Project No]:[Additional Remark]],7,FALSE)</f>
        <v>#VALUE!</v>
      </c>
      <c r="D156" s="237" t="str">
        <f>VLOOKUP(A:A,Table1[[#All],[Project No]:[Additional Remark]],4,FALSE)</f>
        <v>Tham</v>
      </c>
      <c r="E156" s="237" t="str">
        <f>VLOOKUP(A:A,Table1[[#All],[Project No]:[Additional Remark]],5,FALSE)</f>
        <v>R-PV</v>
      </c>
      <c r="F156" s="237" t="str">
        <f>VLOOKUP(A:A,Table1[[Project No]:[Additional Remark]],6,FALSE)</f>
        <v>NEM</v>
      </c>
      <c r="G156" s="237">
        <f>VLOOKUP(A:A,Table1[[Project No]:[Additional Remark]],8,FALSE)</f>
        <v>7.02</v>
      </c>
      <c r="H156" s="237" t="str">
        <f>VLOOKUP(A:A,Table1[[Project No]:[Additional Remark]],15,FALSE)</f>
        <v>Astronergy 585Wp</v>
      </c>
      <c r="I156" s="237">
        <f>VLOOKUP(A:A,Table1[[Project No]:[Additional Remark]],16,FALSE)</f>
        <v>12</v>
      </c>
      <c r="J156" s="239" t="str">
        <f>VLOOKUP(A:A,Table1[[Project No]:[Additional Remark]],17,FALSE)</f>
        <v>Huawei SUN2000-5KTL-L1</v>
      </c>
      <c r="K156" s="240"/>
      <c r="L156" s="239" t="str">
        <f t="shared" si="4"/>
        <v>Pending NEM Welcome Letter</v>
      </c>
      <c r="M156" s="239" t="str">
        <f>VLOOKUP(A:A,'Finance Tracker'!A154:K395,8,FALSE)</f>
        <v>Invoice Completed</v>
      </c>
      <c r="N156" s="240"/>
      <c r="O156" s="239" t="s">
        <v>109</v>
      </c>
      <c r="P156" s="239" t="s">
        <v>109</v>
      </c>
      <c r="Q156" s="240"/>
      <c r="R156" s="241">
        <v>45546</v>
      </c>
      <c r="S156" s="241">
        <v>45600</v>
      </c>
      <c r="T156" s="239" t="s">
        <v>1819</v>
      </c>
      <c r="U156" s="241">
        <v>45961</v>
      </c>
      <c r="V156" s="242" t="s">
        <v>1853</v>
      </c>
      <c r="W156" s="239" t="s">
        <v>1853</v>
      </c>
      <c r="X156" s="237" t="s">
        <v>109</v>
      </c>
      <c r="Y156" s="237" t="s">
        <v>1853</v>
      </c>
      <c r="Z156" s="237" t="s">
        <v>1855</v>
      </c>
      <c r="AA156" s="242">
        <v>45715</v>
      </c>
      <c r="AB156" s="242" t="s">
        <v>1853</v>
      </c>
      <c r="AC156" s="242" t="s">
        <v>1853</v>
      </c>
      <c r="AD156" s="241" t="s">
        <v>1853</v>
      </c>
      <c r="AE156" s="241">
        <v>45719</v>
      </c>
      <c r="AF156" s="241" t="s">
        <v>1853</v>
      </c>
      <c r="AG156" s="241"/>
      <c r="AH156" s="241"/>
      <c r="AI156" s="243"/>
      <c r="AJ156" s="237" t="s">
        <v>109</v>
      </c>
      <c r="AK156" s="237" t="s">
        <v>109</v>
      </c>
      <c r="AL156" s="237" t="s">
        <v>109</v>
      </c>
      <c r="AM156" s="237" t="s">
        <v>109</v>
      </c>
      <c r="AP156" s="239">
        <f t="shared" si="5"/>
        <v>54</v>
      </c>
      <c r="AQ156" s="245">
        <f>AA157-Table1[[#This Row],[Closed Date]]</f>
        <v>184</v>
      </c>
    </row>
    <row r="157" spans="1:43" s="244" customFormat="1" ht="18.75" customHeight="1" x14ac:dyDescent="0.3">
      <c r="A157" s="237">
        <f>Table1[[#This Row],[Project No]]</f>
        <v>2409448</v>
      </c>
      <c r="B157" s="238" t="str">
        <f>VLOOKUP(A:A,Table1[[Project No]:[Additional Remark]],2,FALSE)</f>
        <v>Pang Chong Han</v>
      </c>
      <c r="C157" s="237" t="e" vm="5">
        <f>VLOOKUP(A:A,Table1[[#All],[Project No]:[Additional Remark]],7,FALSE)</f>
        <v>#VALUE!</v>
      </c>
      <c r="D157" s="237" t="str">
        <f>VLOOKUP(A:A,Table1[[#All],[Project No]:[Additional Remark]],4,FALSE)</f>
        <v>Simon</v>
      </c>
      <c r="E157" s="237" t="str">
        <f>VLOOKUP(A:A,Table1[[#All],[Project No]:[Additional Remark]],5,FALSE)</f>
        <v>R-PV</v>
      </c>
      <c r="F157" s="237" t="str">
        <f>VLOOKUP(A:A,Table1[[Project No]:[Additional Remark]],6,FALSE)</f>
        <v>NEM</v>
      </c>
      <c r="G157" s="237">
        <f>VLOOKUP(A:A,Table1[[Project No]:[Additional Remark]],8,FALSE)</f>
        <v>8.26</v>
      </c>
      <c r="H157" s="237" t="str">
        <f>VLOOKUP(A:A,Table1[[Project No]:[Additional Remark]],15,FALSE)</f>
        <v>Astronergy 590Wp</v>
      </c>
      <c r="I157" s="237">
        <f>VLOOKUP(A:A,Table1[[Project No]:[Additional Remark]],16,FALSE)</f>
        <v>14</v>
      </c>
      <c r="J157" s="239" t="str">
        <f>VLOOKUP(A:A,Table1[[Project No]:[Additional Remark]],17,FALSE)</f>
        <v>Solinteg MHS-8K-25</v>
      </c>
      <c r="K157" s="240"/>
      <c r="L157" s="239" t="str">
        <f t="shared" si="4"/>
        <v>Pending NEM Welcome Letter</v>
      </c>
      <c r="M157" s="239" t="str">
        <f>VLOOKUP(A:A,'Finance Tracker'!A155:K396,8,FALSE)</f>
        <v>Invoice Completed</v>
      </c>
      <c r="N157" s="240"/>
      <c r="O157" s="239" t="s">
        <v>109</v>
      </c>
      <c r="P157" s="239" t="s">
        <v>109</v>
      </c>
      <c r="Q157" s="240"/>
      <c r="R157" s="241">
        <v>45546</v>
      </c>
      <c r="S157" s="241">
        <v>45594</v>
      </c>
      <c r="T157" s="239" t="s">
        <v>1819</v>
      </c>
      <c r="U157" s="241">
        <v>45957</v>
      </c>
      <c r="V157" s="242" t="s">
        <v>1853</v>
      </c>
      <c r="W157" s="239" t="s">
        <v>1853</v>
      </c>
      <c r="X157" s="237" t="s">
        <v>109</v>
      </c>
      <c r="Y157" s="237" t="s">
        <v>1853</v>
      </c>
      <c r="Z157" s="237" t="s">
        <v>1855</v>
      </c>
      <c r="AA157" s="242">
        <v>45730</v>
      </c>
      <c r="AB157" s="242">
        <v>45735</v>
      </c>
      <c r="AC157" s="242" t="s">
        <v>1853</v>
      </c>
      <c r="AD157" s="242">
        <v>45736</v>
      </c>
      <c r="AE157" s="241">
        <v>45735</v>
      </c>
      <c r="AF157" s="241" t="s">
        <v>1853</v>
      </c>
      <c r="AG157" s="241"/>
      <c r="AH157" s="241"/>
      <c r="AI157" s="243"/>
      <c r="AJ157" s="237" t="s">
        <v>109</v>
      </c>
      <c r="AK157" s="237" t="s">
        <v>109</v>
      </c>
      <c r="AL157" s="237" t="s">
        <v>109</v>
      </c>
      <c r="AM157" s="237" t="s">
        <v>109</v>
      </c>
      <c r="AP157" s="239">
        <f t="shared" si="5"/>
        <v>48</v>
      </c>
      <c r="AQ157" s="245">
        <f>AA158-Table1[[#This Row],[Closed Date]]</f>
        <v>170</v>
      </c>
    </row>
    <row r="158" spans="1:43" ht="18.75" customHeight="1" x14ac:dyDescent="0.3">
      <c r="A158" s="4">
        <f>Table1[[#This Row],[Project No]]</f>
        <v>2408400</v>
      </c>
      <c r="B158" s="110" t="str">
        <f>VLOOKUP(A:A,Table1[[Project No]:[Additional Remark]],2,FALSE)</f>
        <v>Oh Chai Ean</v>
      </c>
      <c r="C158" s="4" t="e" vm="11">
        <f>VLOOKUP(A:A,Table1[[#All],[Project No]:[Additional Remark]],7,FALSE)</f>
        <v>#VALUE!</v>
      </c>
      <c r="D158" s="4" t="str">
        <f>VLOOKUP(A:A,Table1[[#All],[Project No]:[Additional Remark]],4,FALSE)</f>
        <v>Chean Bang</v>
      </c>
      <c r="E158" s="4" t="str">
        <f>VLOOKUP(A:A,Table1[[#All],[Project No]:[Additional Remark]],5,FALSE)</f>
        <v>R-PV</v>
      </c>
      <c r="F158" s="4" t="str">
        <f>VLOOKUP(A:A,Table1[[Project No]:[Additional Remark]],6,FALSE)</f>
        <v>NEM</v>
      </c>
      <c r="G158" s="4">
        <f>VLOOKUP(A:A,Table1[[Project No]:[Additional Remark]],8,FALSE)</f>
        <v>17.55</v>
      </c>
      <c r="H158" s="4" t="str">
        <f>VLOOKUP(A:A,Table1[[Project No]:[Additional Remark]],15,FALSE)</f>
        <v>Astronergy 585Wp</v>
      </c>
      <c r="I158" s="4">
        <f>VLOOKUP(A:A,Table1[[Project No]:[Additional Remark]],16,FALSE)</f>
        <v>30</v>
      </c>
      <c r="J158" s="1" t="str">
        <f>VLOOKUP(A:A,Table1[[Project No]:[Additional Remark]],17,FALSE)</f>
        <v>Huawei SUN2000-12KTL</v>
      </c>
      <c r="K158" s="127"/>
      <c r="L158" s="1" t="str">
        <f t="shared" si="4"/>
        <v>Completed</v>
      </c>
      <c r="M158" s="1" t="str">
        <f>VLOOKUP(A:A,'Finance Tracker'!A155:K396,8,FALSE)</f>
        <v>Invoice Completed</v>
      </c>
      <c r="N158" s="127"/>
      <c r="O158" s="1" t="s">
        <v>109</v>
      </c>
      <c r="P158" s="1" t="s">
        <v>109</v>
      </c>
      <c r="Q158" s="127"/>
      <c r="R158" s="56">
        <v>45546</v>
      </c>
      <c r="S158" s="56">
        <v>45600</v>
      </c>
      <c r="T158" s="1" t="s">
        <v>1819</v>
      </c>
      <c r="U158" s="56">
        <v>45961</v>
      </c>
      <c r="V158" s="39" t="s">
        <v>1853</v>
      </c>
      <c r="W158" s="1" t="s">
        <v>1853</v>
      </c>
      <c r="X158" s="4" t="s">
        <v>109</v>
      </c>
      <c r="Y158" s="4" t="s">
        <v>1853</v>
      </c>
      <c r="Z158" s="4" t="s">
        <v>1854</v>
      </c>
      <c r="AA158" s="39">
        <v>45715</v>
      </c>
      <c r="AB158" s="39" t="s">
        <v>1853</v>
      </c>
      <c r="AC158" s="39" t="s">
        <v>1853</v>
      </c>
      <c r="AD158" s="39" t="s">
        <v>1853</v>
      </c>
      <c r="AE158" s="56">
        <v>45743</v>
      </c>
      <c r="AF158" s="56">
        <v>45770</v>
      </c>
      <c r="AG158" s="56">
        <v>45770</v>
      </c>
      <c r="AH158" s="56">
        <v>49429</v>
      </c>
      <c r="AJ158" s="4" t="s">
        <v>109</v>
      </c>
      <c r="AK158" s="4" t="s">
        <v>109</v>
      </c>
      <c r="AL158" s="4" t="s">
        <v>109</v>
      </c>
      <c r="AM158" s="4" t="s">
        <v>109</v>
      </c>
      <c r="AP158" s="1">
        <f t="shared" si="5"/>
        <v>54</v>
      </c>
      <c r="AQ158" s="38">
        <f>AA159-Table1[[#This Row],[Closed Date]]</f>
        <v>107</v>
      </c>
    </row>
    <row r="159" spans="1:43" ht="18.75" customHeight="1" x14ac:dyDescent="0.3">
      <c r="A159" s="4" t="str">
        <f>Table1[[#This Row],[Project No]]</f>
        <v>2409449-1</v>
      </c>
      <c r="B159" s="110" t="str">
        <f>VLOOKUP(A:A,Table1[[Project No]:[Additional Remark]],2,FALSE)</f>
        <v>Nurul Ain Binti Yahaya</v>
      </c>
      <c r="C159" s="4" t="e" vm="11">
        <f>VLOOKUP(A:A,Table1[[#All],[Project No]:[Additional Remark]],7,FALSE)</f>
        <v>#VALUE!</v>
      </c>
      <c r="D159" s="4" t="str">
        <f>VLOOKUP(A:A,Table1[[#All],[Project No]:[Additional Remark]],4,FALSE)</f>
        <v>Chean Bang</v>
      </c>
      <c r="E159" s="4" t="str">
        <f>VLOOKUP(A:A,Table1[[#All],[Project No]:[Additional Remark]],5,FALSE)</f>
        <v>R-PV</v>
      </c>
      <c r="F159" s="4" t="str">
        <f>VLOOKUP(A:A,Table1[[Project No]:[Additional Remark]],6,FALSE)</f>
        <v>NEM</v>
      </c>
      <c r="G159" s="4">
        <f>VLOOKUP(A:A,Table1[[Project No]:[Additional Remark]],8,FALSE)</f>
        <v>9.36</v>
      </c>
      <c r="H159" s="4" t="str">
        <f>VLOOKUP(A:A,Table1[[Project No]:[Additional Remark]],15,FALSE)</f>
        <v>Astronergy 585Wp</v>
      </c>
      <c r="I159" s="4">
        <f>VLOOKUP(A:A,Table1[[Project No]:[Additional Remark]],16,FALSE)</f>
        <v>16</v>
      </c>
      <c r="J159" s="1" t="str">
        <f>VLOOKUP(A:A,Table1[[Project No]:[Additional Remark]],17,FALSE)</f>
        <v>Huawei SUN2000-8KTL</v>
      </c>
      <c r="K159" s="127"/>
      <c r="L159" s="1" t="str">
        <f t="shared" si="4"/>
        <v>Completed</v>
      </c>
      <c r="M159" s="1" t="str">
        <f>VLOOKUP(A:A,'Finance Tracker'!A156:K397,8,FALSE)</f>
        <v>Invoice Completed</v>
      </c>
      <c r="N159" s="127"/>
      <c r="O159" s="1" t="s">
        <v>109</v>
      </c>
      <c r="P159" s="1" t="s">
        <v>109</v>
      </c>
      <c r="Q159" s="127"/>
      <c r="R159" s="56">
        <v>45546</v>
      </c>
      <c r="S159" s="56">
        <v>45600</v>
      </c>
      <c r="T159" s="1" t="s">
        <v>1819</v>
      </c>
      <c r="U159" s="56">
        <v>45961</v>
      </c>
      <c r="V159" s="39" t="s">
        <v>1853</v>
      </c>
      <c r="W159" s="1" t="s">
        <v>1853</v>
      </c>
      <c r="X159" s="4" t="s">
        <v>109</v>
      </c>
      <c r="Y159" s="4" t="s">
        <v>1853</v>
      </c>
      <c r="Z159" s="4" t="s">
        <v>1854</v>
      </c>
      <c r="AA159" s="39">
        <v>45653</v>
      </c>
      <c r="AB159" s="39" t="s">
        <v>1853</v>
      </c>
      <c r="AC159" s="39" t="s">
        <v>1853</v>
      </c>
      <c r="AD159" s="39" t="s">
        <v>1853</v>
      </c>
      <c r="AE159" s="56" t="s">
        <v>1853</v>
      </c>
      <c r="AF159" s="56">
        <v>45716</v>
      </c>
      <c r="AG159" s="56">
        <v>45716</v>
      </c>
      <c r="AH159" s="56">
        <v>49368</v>
      </c>
      <c r="AJ159" s="4" t="s">
        <v>109</v>
      </c>
      <c r="AK159" s="4" t="s">
        <v>109</v>
      </c>
      <c r="AL159" s="4" t="s">
        <v>109</v>
      </c>
      <c r="AM159" s="4" t="s">
        <v>109</v>
      </c>
      <c r="AP159" s="1">
        <f t="shared" si="5"/>
        <v>54</v>
      </c>
      <c r="AQ159" s="38">
        <f>AA160-Table1[[#This Row],[Closed Date]]</f>
        <v>63</v>
      </c>
    </row>
    <row r="160" spans="1:43" ht="18.75" customHeight="1" x14ac:dyDescent="0.3">
      <c r="A160" s="4">
        <f>Table1[[#This Row],[Project No]]</f>
        <v>2409452</v>
      </c>
      <c r="B160" s="110" t="str">
        <f>VLOOKUP(A:A,Table1[[Project No]:[Additional Remark]],2,FALSE)</f>
        <v>Yio Pee Ban</v>
      </c>
      <c r="C160" s="4" t="e" vm="11">
        <f>VLOOKUP(A:A,Table1[[#All],[Project No]:[Additional Remark]],7,FALSE)</f>
        <v>#VALUE!</v>
      </c>
      <c r="D160" s="4" t="str">
        <f>VLOOKUP(A:A,Table1[[#All],[Project No]:[Additional Remark]],4,FALSE)</f>
        <v>Chean Bang</v>
      </c>
      <c r="E160" s="4" t="str">
        <f>VLOOKUP(A:A,Table1[[#All],[Project No]:[Additional Remark]],5,FALSE)</f>
        <v>R-PV</v>
      </c>
      <c r="F160" s="4" t="str">
        <f>VLOOKUP(A:A,Table1[[Project No]:[Additional Remark]],6,FALSE)</f>
        <v>NEM</v>
      </c>
      <c r="G160" s="4">
        <f>VLOOKUP(A:A,Table1[[Project No]:[Additional Remark]],8,FALSE)</f>
        <v>10.53</v>
      </c>
      <c r="H160" s="4" t="str">
        <f>VLOOKUP(A:A,Table1[[Project No]:[Additional Remark]],15,FALSE)</f>
        <v>Astronergy 585Wp</v>
      </c>
      <c r="I160" s="4">
        <f>VLOOKUP(A:A,Table1[[Project No]:[Additional Remark]],16,FALSE)</f>
        <v>18</v>
      </c>
      <c r="J160" s="1" t="str">
        <f>VLOOKUP(A:A,Table1[[Project No]:[Additional Remark]],17,FALSE)</f>
        <v>Huawei SUN2000-8KTL</v>
      </c>
      <c r="K160" s="127"/>
      <c r="L160" s="1" t="str">
        <f t="shared" si="4"/>
        <v>Completed</v>
      </c>
      <c r="M160" s="1" t="str">
        <f>VLOOKUP(A:A,'Finance Tracker'!A157:K398,8,FALSE)</f>
        <v>Invoice Completed</v>
      </c>
      <c r="N160" s="127"/>
      <c r="O160" s="1" t="s">
        <v>109</v>
      </c>
      <c r="P160" s="1" t="s">
        <v>109</v>
      </c>
      <c r="Q160" s="127"/>
      <c r="R160" s="56">
        <v>45559</v>
      </c>
      <c r="S160" s="56">
        <v>45603</v>
      </c>
      <c r="T160" s="1" t="s">
        <v>1822</v>
      </c>
      <c r="U160" s="56">
        <v>45891</v>
      </c>
      <c r="V160" s="39" t="s">
        <v>1853</v>
      </c>
      <c r="W160" s="1" t="s">
        <v>1853</v>
      </c>
      <c r="X160" s="4" t="s">
        <v>109</v>
      </c>
      <c r="Y160" s="4" t="s">
        <v>1853</v>
      </c>
      <c r="Z160" s="4" t="s">
        <v>1854</v>
      </c>
      <c r="AA160" s="39">
        <v>45609</v>
      </c>
      <c r="AB160" s="39" t="s">
        <v>1853</v>
      </c>
      <c r="AC160" s="39" t="s">
        <v>1853</v>
      </c>
      <c r="AD160" s="39" t="s">
        <v>1853</v>
      </c>
      <c r="AE160" s="56" t="s">
        <v>1853</v>
      </c>
      <c r="AF160" s="56">
        <v>45630</v>
      </c>
      <c r="AG160" s="56">
        <v>45630</v>
      </c>
      <c r="AH160" s="56">
        <v>49309</v>
      </c>
      <c r="AJ160" s="4" t="s">
        <v>109</v>
      </c>
      <c r="AK160" s="4" t="s">
        <v>109</v>
      </c>
      <c r="AL160" s="4" t="s">
        <v>109</v>
      </c>
      <c r="AM160" s="4" t="s">
        <v>109</v>
      </c>
      <c r="AP160" s="1">
        <f t="shared" si="5"/>
        <v>44</v>
      </c>
      <c r="AQ160" s="38">
        <f>AA161-Table1[[#This Row],[Closed Date]]</f>
        <v>51</v>
      </c>
    </row>
    <row r="161" spans="1:43" ht="18.75" customHeight="1" x14ac:dyDescent="0.3">
      <c r="A161" s="4">
        <f>Table1[[#This Row],[Project No]]</f>
        <v>2409449</v>
      </c>
      <c r="B161" s="110" t="str">
        <f>VLOOKUP(A:A,Table1[[Project No]:[Additional Remark]],2,FALSE)</f>
        <v>Tan Hock Seng</v>
      </c>
      <c r="C161" s="4" t="e" vm="12">
        <f>VLOOKUP(A:A,Table1[[#All],[Project No]:[Additional Remark]],7,FALSE)</f>
        <v>#VALUE!</v>
      </c>
      <c r="D161" s="4" t="str">
        <f>VLOOKUP(A:A,Table1[[#All],[Project No]:[Additional Remark]],4,FALSE)</f>
        <v>Tham</v>
      </c>
      <c r="E161" s="4" t="str">
        <f>VLOOKUP(A:A,Table1[[#All],[Project No]:[Additional Remark]],5,FALSE)</f>
        <v>R-PV</v>
      </c>
      <c r="F161" s="4" t="str">
        <f>VLOOKUP(A:A,Table1[[Project No]:[Additional Remark]],6,FALSE)</f>
        <v>NEM</v>
      </c>
      <c r="G161" s="4">
        <f>VLOOKUP(A:A,Table1[[Project No]:[Additional Remark]],8,FALSE)</f>
        <v>7.02</v>
      </c>
      <c r="H161" s="4" t="str">
        <f>VLOOKUP(A:A,Table1[[Project No]:[Additional Remark]],15,FALSE)</f>
        <v>Astronergy 585Wp</v>
      </c>
      <c r="I161" s="4">
        <f>VLOOKUP(A:A,Table1[[Project No]:[Additional Remark]],16,FALSE)</f>
        <v>12</v>
      </c>
      <c r="J161" s="1" t="str">
        <f>VLOOKUP(A:A,Table1[[Project No]:[Additional Remark]],17,FALSE)</f>
        <v>Huawei SUN2000-5KTL-L1</v>
      </c>
      <c r="K161" s="127"/>
      <c r="L161" s="1" t="str">
        <f t="shared" si="4"/>
        <v>Completed</v>
      </c>
      <c r="M161" s="1" t="str">
        <f>VLOOKUP(A:A,'Finance Tracker'!A158:K399,8,FALSE)</f>
        <v>Invoice Completed</v>
      </c>
      <c r="N161" s="127"/>
      <c r="O161" s="1" t="s">
        <v>109</v>
      </c>
      <c r="P161" s="1" t="s">
        <v>109</v>
      </c>
      <c r="Q161" s="127"/>
      <c r="R161" s="56">
        <v>45567</v>
      </c>
      <c r="S161" s="56">
        <v>45604</v>
      </c>
      <c r="T161" s="1" t="s">
        <v>1822</v>
      </c>
      <c r="U161" s="56">
        <v>45792</v>
      </c>
      <c r="V161" s="39" t="s">
        <v>1853</v>
      </c>
      <c r="W161" s="1" t="s">
        <v>1853</v>
      </c>
      <c r="X161" s="4" t="s">
        <v>109</v>
      </c>
      <c r="Y161" s="4" t="s">
        <v>1853</v>
      </c>
      <c r="Z161" s="93" t="s">
        <v>1855</v>
      </c>
      <c r="AA161" s="39">
        <v>45607</v>
      </c>
      <c r="AB161" s="39" t="s">
        <v>1853</v>
      </c>
      <c r="AC161" s="39" t="s">
        <v>1853</v>
      </c>
      <c r="AD161" s="39" t="s">
        <v>1853</v>
      </c>
      <c r="AE161" s="56">
        <v>45628</v>
      </c>
      <c r="AF161" s="56">
        <v>45630</v>
      </c>
      <c r="AG161" s="56">
        <v>45630</v>
      </c>
      <c r="AH161" s="56">
        <v>49309</v>
      </c>
      <c r="AJ161" s="4" t="s">
        <v>109</v>
      </c>
      <c r="AK161" s="4" t="s">
        <v>109</v>
      </c>
      <c r="AL161" s="4" t="s">
        <v>109</v>
      </c>
      <c r="AM161" s="4" t="s">
        <v>109</v>
      </c>
      <c r="AP161" s="1">
        <f t="shared" si="5"/>
        <v>37</v>
      </c>
      <c r="AQ161" s="38">
        <f>AA162-Table1[[#This Row],[Closed Date]]</f>
        <v>33</v>
      </c>
    </row>
    <row r="162" spans="1:43" ht="18.75" customHeight="1" x14ac:dyDescent="0.3">
      <c r="A162" s="4" t="str">
        <f>Table1[[#This Row],[Project No]]</f>
        <v>2409448-1</v>
      </c>
      <c r="B162" s="110" t="str">
        <f>VLOOKUP(A:A,Table1[[Project No]:[Additional Remark]],2,FALSE)</f>
        <v>Claris Lim Jink Niee (Lim Chin Horng)</v>
      </c>
      <c r="C162" s="4" t="e" vm="5">
        <f>VLOOKUP(A:A,Table1[[#All],[Project No]:[Additional Remark]],7,FALSE)</f>
        <v>#VALUE!</v>
      </c>
      <c r="D162" s="4" t="str">
        <f>VLOOKUP(A:A,Table1[[#All],[Project No]:[Additional Remark]],4,FALSE)</f>
        <v>Tham</v>
      </c>
      <c r="E162" s="4" t="str">
        <f>VLOOKUP(A:A,Table1[[#All],[Project No]:[Additional Remark]],5,FALSE)</f>
        <v>R-PV</v>
      </c>
      <c r="F162" s="4" t="str">
        <f>VLOOKUP(A:A,Table1[[Project No]:[Additional Remark]],6,FALSE)</f>
        <v>NEM</v>
      </c>
      <c r="G162" s="4">
        <f>VLOOKUP(A:A,Table1[[Project No]:[Additional Remark]],8,FALSE)</f>
        <v>11.7</v>
      </c>
      <c r="H162" s="4" t="str">
        <f>VLOOKUP(A:A,Table1[[Project No]:[Additional Remark]],15,FALSE)</f>
        <v>Astronergy 585Wp</v>
      </c>
      <c r="I162" s="4">
        <f>VLOOKUP(A:A,Table1[[Project No]:[Additional Remark]],16,FALSE)</f>
        <v>20</v>
      </c>
      <c r="J162" s="1" t="str">
        <f>VLOOKUP(A:A,Table1[[Project No]:[Additional Remark]],17,FALSE)</f>
        <v>Huawei SUN2000-10KTL</v>
      </c>
      <c r="K162" s="127"/>
      <c r="L162" s="1" t="str">
        <f t="shared" si="4"/>
        <v>Completed</v>
      </c>
      <c r="M162" s="1" t="str">
        <f>VLOOKUP(A:A,'Finance Tracker'!A159:K400,8,FALSE)</f>
        <v>Invoice Completed</v>
      </c>
      <c r="N162" s="127"/>
      <c r="O162" s="1" t="s">
        <v>109</v>
      </c>
      <c r="P162" s="1" t="s">
        <v>109</v>
      </c>
      <c r="Q162" s="127"/>
      <c r="R162" s="56">
        <v>45568</v>
      </c>
      <c r="S162" s="56">
        <v>45604</v>
      </c>
      <c r="T162" s="1" t="s">
        <v>1822</v>
      </c>
      <c r="U162" s="56">
        <v>45891</v>
      </c>
      <c r="V162" s="39" t="s">
        <v>1853</v>
      </c>
      <c r="W162" s="1" t="s">
        <v>1853</v>
      </c>
      <c r="X162" s="4" t="s">
        <v>109</v>
      </c>
      <c r="Y162" s="4" t="s">
        <v>1853</v>
      </c>
      <c r="Z162" s="4" t="s">
        <v>1855</v>
      </c>
      <c r="AA162" s="39">
        <v>45594</v>
      </c>
      <c r="AB162" s="39" t="s">
        <v>1853</v>
      </c>
      <c r="AC162" s="39" t="s">
        <v>1853</v>
      </c>
      <c r="AD162" s="39" t="s">
        <v>1853</v>
      </c>
      <c r="AE162" s="56">
        <v>45657</v>
      </c>
      <c r="AF162" s="56">
        <v>45663</v>
      </c>
      <c r="AG162" s="56">
        <v>45663</v>
      </c>
      <c r="AH162" s="56">
        <v>49340</v>
      </c>
      <c r="AJ162" s="4" t="s">
        <v>109</v>
      </c>
      <c r="AK162" s="4" t="s">
        <v>109</v>
      </c>
      <c r="AL162" s="4" t="s">
        <v>109</v>
      </c>
      <c r="AM162" s="4" t="s">
        <v>109</v>
      </c>
      <c r="AP162" s="1">
        <f t="shared" si="5"/>
        <v>36</v>
      </c>
      <c r="AQ162" s="38">
        <f>AA163-Table1[[#This Row],[Closed Date]]</f>
        <v>28</v>
      </c>
    </row>
    <row r="163" spans="1:43" ht="18.75" customHeight="1" x14ac:dyDescent="0.3">
      <c r="A163" s="4">
        <f>Table1[[#This Row],[Project No]]</f>
        <v>2406343</v>
      </c>
      <c r="B163" s="110" t="str">
        <f>VLOOKUP(A:A,Table1[[Project No]:[Additional Remark]],2,FALSE)</f>
        <v>Dato Sim Keng Piao</v>
      </c>
      <c r="C163" s="4" t="e" vm="6">
        <f>VLOOKUP(A:A,Table1[[#All],[Project No]:[Additional Remark]],7,FALSE)</f>
        <v>#VALUE!</v>
      </c>
      <c r="D163" s="4" t="str">
        <f>VLOOKUP(A:A,Table1[[#All],[Project No]:[Additional Remark]],4,FALSE)</f>
        <v>Tham</v>
      </c>
      <c r="E163" s="4" t="str">
        <f>VLOOKUP(A:A,Table1[[#All],[Project No]:[Additional Remark]],5,FALSE)</f>
        <v>R-PV</v>
      </c>
      <c r="F163" s="4" t="str">
        <f>VLOOKUP(A:A,Table1[[Project No]:[Additional Remark]],6,FALSE)</f>
        <v>NEM</v>
      </c>
      <c r="G163" s="4">
        <f>VLOOKUP(A:A,Table1[[Project No]:[Additional Remark]],8,FALSE)</f>
        <v>9.36</v>
      </c>
      <c r="H163" s="4" t="str">
        <f>VLOOKUP(A:A,Table1[[Project No]:[Additional Remark]],15,FALSE)</f>
        <v>Astronergy 585Wp</v>
      </c>
      <c r="I163" s="4">
        <f>VLOOKUP(A:A,Table1[[Project No]:[Additional Remark]],16,FALSE)</f>
        <v>16</v>
      </c>
      <c r="J163" s="1" t="str">
        <f>VLOOKUP(A:A,Table1[[Project No]:[Additional Remark]],17,FALSE)</f>
        <v>Huawei SUN2000-8KTL</v>
      </c>
      <c r="K163" s="127"/>
      <c r="L163" s="1" t="str">
        <f t="shared" si="4"/>
        <v>Completed</v>
      </c>
      <c r="M163" s="1" t="str">
        <f>VLOOKUP(A:A,'Finance Tracker'!A160:K401,8,FALSE)</f>
        <v>Invoice Completed</v>
      </c>
      <c r="N163" s="127"/>
      <c r="O163" s="1" t="s">
        <v>109</v>
      </c>
      <c r="P163" s="1" t="s">
        <v>109</v>
      </c>
      <c r="Q163" s="127"/>
      <c r="R163" s="56">
        <v>45567</v>
      </c>
      <c r="S163" s="56">
        <v>45604</v>
      </c>
      <c r="T163" s="1" t="s">
        <v>1822</v>
      </c>
      <c r="U163" s="56">
        <v>45792</v>
      </c>
      <c r="V163" s="39" t="s">
        <v>1853</v>
      </c>
      <c r="W163" s="1" t="s">
        <v>1853</v>
      </c>
      <c r="X163" s="4" t="s">
        <v>109</v>
      </c>
      <c r="Y163" s="4" t="s">
        <v>1853</v>
      </c>
      <c r="Z163" s="4" t="s">
        <v>1855</v>
      </c>
      <c r="AA163" s="39">
        <v>45584</v>
      </c>
      <c r="AB163" s="39" t="s">
        <v>1853</v>
      </c>
      <c r="AC163" s="39" t="s">
        <v>1853</v>
      </c>
      <c r="AD163" s="39" t="s">
        <v>1853</v>
      </c>
      <c r="AE163" s="56">
        <v>45625</v>
      </c>
      <c r="AF163" s="56">
        <v>45627</v>
      </c>
      <c r="AG163" s="56">
        <v>45627</v>
      </c>
      <c r="AH163" s="56">
        <v>49309</v>
      </c>
      <c r="AJ163" s="4" t="s">
        <v>109</v>
      </c>
      <c r="AK163" s="4" t="s">
        <v>109</v>
      </c>
      <c r="AL163" s="4" t="s">
        <v>109</v>
      </c>
      <c r="AM163" s="4" t="s">
        <v>109</v>
      </c>
      <c r="AP163" s="1">
        <f t="shared" si="5"/>
        <v>37</v>
      </c>
      <c r="AQ163" s="38">
        <f>AA164-Table1[[#This Row],[Closed Date]]</f>
        <v>45</v>
      </c>
    </row>
    <row r="164" spans="1:43" ht="18.75" customHeight="1" x14ac:dyDescent="0.3">
      <c r="A164" s="4">
        <f>Table1[[#This Row],[Project No]]</f>
        <v>2409455</v>
      </c>
      <c r="B164" s="110" t="str">
        <f>VLOOKUP(A:A,Table1[[Project No]:[Additional Remark]],2,FALSE)</f>
        <v>Muhamad Syamil bin Zulkafli</v>
      </c>
      <c r="C164" s="4" t="e" vm="11">
        <f>VLOOKUP(A:A,Table1[[#All],[Project No]:[Additional Remark]],7,FALSE)</f>
        <v>#VALUE!</v>
      </c>
      <c r="D164" s="4" t="str">
        <f>VLOOKUP(A:A,Table1[[#All],[Project No]:[Additional Remark]],4,FALSE)</f>
        <v>Tham</v>
      </c>
      <c r="E164" s="4" t="str">
        <f>VLOOKUP(A:A,Table1[[#All],[Project No]:[Additional Remark]],5,FALSE)</f>
        <v>R-PV</v>
      </c>
      <c r="F164" s="4" t="str">
        <f>VLOOKUP(A:A,Table1[[Project No]:[Additional Remark]],6,FALSE)</f>
        <v>NEM</v>
      </c>
      <c r="G164" s="4">
        <f>VLOOKUP(A:A,Table1[[Project No]:[Additional Remark]],8,FALSE)</f>
        <v>7.02</v>
      </c>
      <c r="H164" s="4" t="str">
        <f>VLOOKUP(A:A,Table1[[Project No]:[Additional Remark]],15,FALSE)</f>
        <v>Astronergy 585Wp</v>
      </c>
      <c r="I164" s="4">
        <f>VLOOKUP(A:A,Table1[[Project No]:[Additional Remark]],16,FALSE)</f>
        <v>12</v>
      </c>
      <c r="J164" s="1" t="str">
        <f>VLOOKUP(A:A,Table1[[Project No]:[Additional Remark]],17,FALSE)</f>
        <v>Huawei SUN2000-5KTL-L1</v>
      </c>
      <c r="K164" s="127"/>
      <c r="L164" s="1" t="str">
        <f t="shared" si="4"/>
        <v>Completed</v>
      </c>
      <c r="M164" s="1" t="str">
        <f>VLOOKUP(A:A,'Finance Tracker'!A161:K402,8,FALSE)</f>
        <v>Invoice Completed</v>
      </c>
      <c r="N164" s="127"/>
      <c r="O164" s="1" t="s">
        <v>109</v>
      </c>
      <c r="P164" s="1" t="s">
        <v>109</v>
      </c>
      <c r="Q164" s="127"/>
      <c r="R164" s="56">
        <v>45568</v>
      </c>
      <c r="S164" s="56">
        <v>45604</v>
      </c>
      <c r="T164" s="1" t="s">
        <v>1822</v>
      </c>
      <c r="U164" s="56">
        <v>45891</v>
      </c>
      <c r="V164" s="39" t="s">
        <v>1853</v>
      </c>
      <c r="W164" s="1" t="s">
        <v>1853</v>
      </c>
      <c r="X164" s="4" t="s">
        <v>109</v>
      </c>
      <c r="Y164" s="4" t="s">
        <v>1853</v>
      </c>
      <c r="Z164" s="4" t="s">
        <v>1854</v>
      </c>
      <c r="AA164" s="39">
        <v>45607</v>
      </c>
      <c r="AB164" s="39" t="s">
        <v>1853</v>
      </c>
      <c r="AC164" s="39" t="s">
        <v>1853</v>
      </c>
      <c r="AD164" s="39" t="s">
        <v>1853</v>
      </c>
      <c r="AE164" s="56">
        <v>45617</v>
      </c>
      <c r="AF164" s="56">
        <v>45632</v>
      </c>
      <c r="AG164" s="56">
        <v>45632</v>
      </c>
      <c r="AH164" s="56">
        <v>49309</v>
      </c>
      <c r="AJ164" s="4" t="s">
        <v>109</v>
      </c>
      <c r="AK164" s="4" t="s">
        <v>109</v>
      </c>
      <c r="AL164" s="4" t="s">
        <v>109</v>
      </c>
      <c r="AM164" s="4" t="s">
        <v>109</v>
      </c>
      <c r="AP164" s="1">
        <f t="shared" si="5"/>
        <v>36</v>
      </c>
      <c r="AQ164" s="38">
        <f>AA165-Table1[[#This Row],[Closed Date]]</f>
        <v>91</v>
      </c>
    </row>
    <row r="165" spans="1:43" ht="18.75" customHeight="1" x14ac:dyDescent="0.3">
      <c r="A165" s="4">
        <f>Table1[[#This Row],[Project No]]</f>
        <v>2410064</v>
      </c>
      <c r="B165" s="110" t="str">
        <f>VLOOKUP(A:A,Table1[[Project No]:[Additional Remark]],2,FALSE)</f>
        <v>Zarita binti Saliman</v>
      </c>
      <c r="C165" s="4" t="e" vm="5">
        <f>VLOOKUP(A:A,Table1[[#All],[Project No]:[Additional Remark]],7,FALSE)</f>
        <v>#VALUE!</v>
      </c>
      <c r="D165" s="4" t="str">
        <f>VLOOKUP(A:A,Table1[[#All],[Project No]:[Additional Remark]],4,FALSE)</f>
        <v>Tham</v>
      </c>
      <c r="E165" s="4" t="str">
        <f>VLOOKUP(A:A,Table1[[#All],[Project No]:[Additional Remark]],5,FALSE)</f>
        <v>R-PV</v>
      </c>
      <c r="F165" s="4" t="str">
        <f>VLOOKUP(A:A,Table1[[Project No]:[Additional Remark]],6,FALSE)</f>
        <v>NEM</v>
      </c>
      <c r="G165" s="4">
        <f>VLOOKUP(A:A,Table1[[Project No]:[Additional Remark]],8,FALSE)</f>
        <v>7.6050000000000004</v>
      </c>
      <c r="H165" s="4" t="str">
        <f>VLOOKUP(A:A,Table1[[Project No]:[Additional Remark]],15,FALSE)</f>
        <v>Astronergy 585Wp</v>
      </c>
      <c r="I165" s="4">
        <f>VLOOKUP(A:A,Table1[[Project No]:[Additional Remark]],16,FALSE)</f>
        <v>13</v>
      </c>
      <c r="J165" s="1" t="str">
        <f>VLOOKUP(A:A,Table1[[Project No]:[Additional Remark]],17,FALSE)</f>
        <v>Solinteg MHS-5K-30 hybrid</v>
      </c>
      <c r="K165" s="127"/>
      <c r="L165" s="1" t="str">
        <f t="shared" si="4"/>
        <v>Completed</v>
      </c>
      <c r="M165" s="1" t="str">
        <f>VLOOKUP(A:A,'Finance Tracker'!A162:K403,8,FALSE)</f>
        <v>Invoice Completed</v>
      </c>
      <c r="N165" s="127"/>
      <c r="O165" s="1" t="s">
        <v>109</v>
      </c>
      <c r="P165" s="1" t="s">
        <v>109</v>
      </c>
      <c r="Q165" s="127"/>
      <c r="R165" s="56">
        <v>45575</v>
      </c>
      <c r="S165" s="56">
        <v>45607</v>
      </c>
      <c r="T165" s="1" t="s">
        <v>1822</v>
      </c>
      <c r="U165" s="56">
        <v>45792</v>
      </c>
      <c r="V165" s="39" t="s">
        <v>1853</v>
      </c>
      <c r="W165" s="1" t="s">
        <v>1853</v>
      </c>
      <c r="X165" s="4" t="s">
        <v>109</v>
      </c>
      <c r="Y165" s="4" t="s">
        <v>1853</v>
      </c>
      <c r="Z165" s="4" t="s">
        <v>1855</v>
      </c>
      <c r="AA165" s="39">
        <v>45629</v>
      </c>
      <c r="AB165" s="39" t="s">
        <v>1853</v>
      </c>
      <c r="AC165" s="39" t="s">
        <v>1853</v>
      </c>
      <c r="AD165" s="39" t="s">
        <v>1853</v>
      </c>
      <c r="AE165" s="56">
        <v>45650</v>
      </c>
      <c r="AF165" s="56">
        <v>45648</v>
      </c>
      <c r="AG165" s="56">
        <v>45648</v>
      </c>
      <c r="AH165" s="56">
        <v>49309</v>
      </c>
      <c r="AJ165" s="4" t="s">
        <v>109</v>
      </c>
      <c r="AK165" s="4" t="s">
        <v>109</v>
      </c>
      <c r="AL165" s="4" t="s">
        <v>109</v>
      </c>
      <c r="AM165" s="4" t="s">
        <v>109</v>
      </c>
      <c r="AP165" s="1">
        <f t="shared" si="5"/>
        <v>32</v>
      </c>
      <c r="AQ165" s="38">
        <f>AA166-Table1[[#This Row],[Closed Date]]</f>
        <v>126</v>
      </c>
    </row>
    <row r="166" spans="1:43" s="244" customFormat="1" ht="18.75" customHeight="1" x14ac:dyDescent="0.3">
      <c r="A166" s="237">
        <f>Table1[[#This Row],[Project No]]</f>
        <v>2405305</v>
      </c>
      <c r="B166" s="238" t="str">
        <f>VLOOKUP(A:A,Table1[[Project No]:[Additional Remark]],2,FALSE)</f>
        <v>Chan Woei Jye</v>
      </c>
      <c r="C166" s="237" t="e" vm="5">
        <f>VLOOKUP(A:A,Table1[[#All],[Project No]:[Additional Remark]],7,FALSE)</f>
        <v>#VALUE!</v>
      </c>
      <c r="D166" s="237" t="str">
        <f>VLOOKUP(A:A,Table1[[#All],[Project No]:[Additional Remark]],4,FALSE)</f>
        <v>Tham</v>
      </c>
      <c r="E166" s="237" t="str">
        <f>VLOOKUP(A:A,Table1[[#All],[Project No]:[Additional Remark]],5,FALSE)</f>
        <v>R-PV</v>
      </c>
      <c r="F166" s="237" t="str">
        <f>VLOOKUP(A:A,Table1[[Project No]:[Additional Remark]],6,FALSE)</f>
        <v>NEM</v>
      </c>
      <c r="G166" s="237">
        <f>VLOOKUP(A:A,Table1[[Project No]:[Additional Remark]],8,FALSE)</f>
        <v>10.53</v>
      </c>
      <c r="H166" s="237" t="str">
        <f>VLOOKUP(A:A,Table1[[Project No]:[Additional Remark]],15,FALSE)</f>
        <v>Astronergy 585Wp</v>
      </c>
      <c r="I166" s="237">
        <f>VLOOKUP(A:A,Table1[[Project No]:[Additional Remark]],16,FALSE)</f>
        <v>18</v>
      </c>
      <c r="J166" s="239" t="str">
        <f>VLOOKUP(A:A,Table1[[Project No]:[Additional Remark]],17,FALSE)</f>
        <v>Huawei SUN2000-8KTL</v>
      </c>
      <c r="K166" s="240"/>
      <c r="L166" s="239" t="str">
        <f t="shared" si="4"/>
        <v>Pending NEM Welcome Letter</v>
      </c>
      <c r="M166" s="239" t="str">
        <f>VLOOKUP(A:A,'Finance Tracker'!A164:K404,8,FALSE)</f>
        <v>Invoice Completed</v>
      </c>
      <c r="N166" s="240"/>
      <c r="O166" s="239" t="s">
        <v>109</v>
      </c>
      <c r="P166" s="239" t="s">
        <v>109</v>
      </c>
      <c r="Q166" s="240"/>
      <c r="R166" s="241">
        <v>45588</v>
      </c>
      <c r="S166" s="241">
        <v>45611</v>
      </c>
      <c r="T166" s="239" t="s">
        <v>1819</v>
      </c>
      <c r="U166" s="241">
        <v>45952</v>
      </c>
      <c r="V166" s="242" t="s">
        <v>1853</v>
      </c>
      <c r="W166" s="239" t="s">
        <v>1853</v>
      </c>
      <c r="X166" s="237" t="s">
        <v>109</v>
      </c>
      <c r="Y166" s="237" t="s">
        <v>1853</v>
      </c>
      <c r="Z166" s="237" t="s">
        <v>1855</v>
      </c>
      <c r="AA166" s="242">
        <v>45699</v>
      </c>
      <c r="AB166" s="242">
        <v>45697</v>
      </c>
      <c r="AC166" s="242" t="s">
        <v>1853</v>
      </c>
      <c r="AD166" s="242" t="s">
        <v>1853</v>
      </c>
      <c r="AE166" s="242" t="s">
        <v>1853</v>
      </c>
      <c r="AF166" s="242" t="s">
        <v>1853</v>
      </c>
      <c r="AG166" s="241"/>
      <c r="AH166" s="241"/>
      <c r="AI166" s="243"/>
      <c r="AJ166" s="237" t="s">
        <v>109</v>
      </c>
      <c r="AK166" s="237" t="s">
        <v>109</v>
      </c>
      <c r="AL166" s="237" t="s">
        <v>109</v>
      </c>
      <c r="AM166" s="237" t="s">
        <v>109</v>
      </c>
      <c r="AP166" s="239">
        <f t="shared" si="5"/>
        <v>23</v>
      </c>
      <c r="AQ166" s="245">
        <f>AA167-Table1[[#This Row],[Closed Date]]</f>
        <v>74</v>
      </c>
    </row>
    <row r="167" spans="1:43" ht="18.75" customHeight="1" x14ac:dyDescent="0.3">
      <c r="A167" s="4">
        <f>Table1[[#This Row],[Project No]]</f>
        <v>2409456</v>
      </c>
      <c r="B167" s="110" t="str">
        <f>VLOOKUP(A:A,Table1[[Project No]:[Additional Remark]],2,FALSE)</f>
        <v>Low Hong Chin</v>
      </c>
      <c r="C167" s="4" t="e" vm="8">
        <f>VLOOKUP(A:A,Table1[[#All],[Project No]:[Additional Remark]],7,FALSE)</f>
        <v>#VALUE!</v>
      </c>
      <c r="D167" s="4" t="str">
        <f>VLOOKUP(A:A,Table1[[#All],[Project No]:[Additional Remark]],4,FALSE)</f>
        <v>Tham</v>
      </c>
      <c r="E167" s="4" t="str">
        <f>VLOOKUP(A:A,Table1[[#All],[Project No]:[Additional Remark]],5,FALSE)</f>
        <v>R-PV</v>
      </c>
      <c r="F167" s="4" t="str">
        <f>VLOOKUP(A:A,Table1[[Project No]:[Additional Remark]],6,FALSE)</f>
        <v>NEM</v>
      </c>
      <c r="G167" s="4">
        <f>VLOOKUP(A:A,Table1[[Project No]:[Additional Remark]],8,FALSE)</f>
        <v>11.115</v>
      </c>
      <c r="H167" s="4" t="str">
        <f>VLOOKUP(A:A,Table1[[Project No]:[Additional Remark]],15,FALSE)</f>
        <v>Astronergy 585Wp</v>
      </c>
      <c r="I167" s="4">
        <f>VLOOKUP(A:A,Table1[[Project No]:[Additional Remark]],16,FALSE)</f>
        <v>19</v>
      </c>
      <c r="J167" s="1" t="str">
        <f>VLOOKUP(A:A,Table1[[Project No]:[Additional Remark]],17,FALSE)</f>
        <v>Huawei SUN2000-10KTL</v>
      </c>
      <c r="K167" s="127"/>
      <c r="L167" s="1" t="str">
        <f t="shared" si="4"/>
        <v>Completed</v>
      </c>
      <c r="M167" s="1" t="str">
        <f>VLOOKUP(A:A,'Finance Tracker'!A164:K404,8,FALSE)</f>
        <v>Invoice Completed</v>
      </c>
      <c r="N167" s="127"/>
      <c r="O167" s="1" t="s">
        <v>109</v>
      </c>
      <c r="P167" s="1" t="s">
        <v>109</v>
      </c>
      <c r="Q167" s="127"/>
      <c r="R167" s="56">
        <v>45628</v>
      </c>
      <c r="S167" s="56">
        <v>45635</v>
      </c>
      <c r="T167" s="1" t="s">
        <v>1822</v>
      </c>
      <c r="U167" s="56">
        <v>45768</v>
      </c>
      <c r="V167" s="39" t="s">
        <v>1853</v>
      </c>
      <c r="W167" s="1" t="s">
        <v>1853</v>
      </c>
      <c r="X167" s="4" t="s">
        <v>109</v>
      </c>
      <c r="Y167" s="4" t="s">
        <v>1853</v>
      </c>
      <c r="Z167" s="4" t="s">
        <v>1855</v>
      </c>
      <c r="AA167" s="39">
        <v>45657</v>
      </c>
      <c r="AB167" s="39">
        <v>45671</v>
      </c>
      <c r="AC167" s="39" t="s">
        <v>1853</v>
      </c>
      <c r="AD167" s="39">
        <v>45678</v>
      </c>
      <c r="AE167" s="39">
        <v>45674</v>
      </c>
      <c r="AF167" s="56">
        <v>45678</v>
      </c>
      <c r="AG167" s="56">
        <v>45678</v>
      </c>
      <c r="AH167" s="56">
        <v>49340</v>
      </c>
      <c r="AJ167" s="4" t="s">
        <v>109</v>
      </c>
      <c r="AK167" s="4" t="s">
        <v>109</v>
      </c>
      <c r="AL167" s="4" t="s">
        <v>109</v>
      </c>
      <c r="AM167" s="4" t="s">
        <v>109</v>
      </c>
      <c r="AP167" s="1">
        <f t="shared" si="5"/>
        <v>7</v>
      </c>
      <c r="AQ167" s="38">
        <f>AA168-Table1[[#This Row],[Closed Date]]</f>
        <v>70</v>
      </c>
    </row>
    <row r="168" spans="1:43" ht="18.75" customHeight="1" x14ac:dyDescent="0.3">
      <c r="A168" s="4">
        <f>Table1[[#This Row],[Project No]]</f>
        <v>2410461</v>
      </c>
      <c r="B168" s="110" t="str">
        <f>VLOOKUP(A:A,Table1[[Project No]:[Additional Remark]],2,FALSE)</f>
        <v>Low Hong Choon</v>
      </c>
      <c r="C168" s="4" t="e" vm="8">
        <f>VLOOKUP(A:A,Table1[[#All],[Project No]:[Additional Remark]],7,FALSE)</f>
        <v>#VALUE!</v>
      </c>
      <c r="D168" s="4" t="str">
        <f>VLOOKUP(A:A,Table1[[#All],[Project No]:[Additional Remark]],4,FALSE)</f>
        <v>Tham</v>
      </c>
      <c r="E168" s="4" t="str">
        <f>VLOOKUP(A:A,Table1[[#All],[Project No]:[Additional Remark]],5,FALSE)</f>
        <v>R-PV</v>
      </c>
      <c r="F168" s="4" t="str">
        <f>VLOOKUP(A:A,Table1[[Project No]:[Additional Remark]],6,FALSE)</f>
        <v>NEM</v>
      </c>
      <c r="G168" s="4">
        <f>VLOOKUP(A:A,Table1[[Project No]:[Additional Remark]],8,FALSE)</f>
        <v>7.02</v>
      </c>
      <c r="H168" s="4" t="str">
        <f>VLOOKUP(A:A,Table1[[Project No]:[Additional Remark]],15,FALSE)</f>
        <v>Astronergy 585Wp</v>
      </c>
      <c r="I168" s="4">
        <f>VLOOKUP(A:A,Table1[[Project No]:[Additional Remark]],16,FALSE)</f>
        <v>12</v>
      </c>
      <c r="J168" s="1" t="str">
        <f>VLOOKUP(A:A,Table1[[Project No]:[Additional Remark]],17,FALSE)</f>
        <v>Huawei SUN2000-5KTL-L1</v>
      </c>
      <c r="K168" s="127"/>
      <c r="L168" s="1" t="str">
        <f t="shared" si="4"/>
        <v>Completed</v>
      </c>
      <c r="M168" s="1" t="str">
        <f>VLOOKUP(A:A,'Finance Tracker'!A165:K405,8,FALSE)</f>
        <v>Invoice Completed</v>
      </c>
      <c r="N168" s="127"/>
      <c r="O168" s="1" t="s">
        <v>109</v>
      </c>
      <c r="P168" s="1" t="s">
        <v>109</v>
      </c>
      <c r="Q168" s="127"/>
      <c r="R168" s="56">
        <v>45660</v>
      </c>
      <c r="S168" s="56">
        <v>45666</v>
      </c>
      <c r="T168" s="1" t="s">
        <v>1819</v>
      </c>
      <c r="U168" s="56"/>
      <c r="V168" s="39" t="s">
        <v>1853</v>
      </c>
      <c r="W168" s="1" t="s">
        <v>1853</v>
      </c>
      <c r="X168" s="4" t="s">
        <v>109</v>
      </c>
      <c r="Y168" s="4" t="s">
        <v>1853</v>
      </c>
      <c r="Z168" s="4" t="s">
        <v>1855</v>
      </c>
      <c r="AA168" s="39">
        <v>45656</v>
      </c>
      <c r="AB168" s="39">
        <v>45672</v>
      </c>
      <c r="AC168" s="39" t="s">
        <v>1853</v>
      </c>
      <c r="AD168" s="39">
        <v>45703</v>
      </c>
      <c r="AE168" s="39">
        <v>45674</v>
      </c>
      <c r="AF168" s="56">
        <v>45703</v>
      </c>
      <c r="AG168" s="56">
        <v>45703</v>
      </c>
      <c r="AH168" s="56">
        <v>49368</v>
      </c>
      <c r="AJ168" s="4" t="s">
        <v>109</v>
      </c>
      <c r="AK168" s="4" t="s">
        <v>109</v>
      </c>
      <c r="AL168" s="4" t="s">
        <v>109</v>
      </c>
      <c r="AM168" s="4" t="s">
        <v>109</v>
      </c>
      <c r="AP168" s="1">
        <f t="shared" si="5"/>
        <v>6</v>
      </c>
      <c r="AQ168" s="38" t="e">
        <f>AA169-Table1[[#This Row],[Closed Date]]</f>
        <v>#VALUE!</v>
      </c>
    </row>
    <row r="169" spans="1:43" ht="18.75" customHeight="1" x14ac:dyDescent="0.3">
      <c r="A169" s="4">
        <f>Table1[[#This Row],[Project No]]</f>
        <v>2409029</v>
      </c>
      <c r="B169" s="110" t="str">
        <f>VLOOKUP(A:A,Table1[[Project No]:[Additional Remark]],2,FALSE)</f>
        <v>Handal Green Mobility Sdn Bhd (Mazda Kuantan Showroom)</v>
      </c>
      <c r="C169" s="4" t="e" vm="11">
        <f>VLOOKUP(A:A,Table1[[#All],[Project No]:[Additional Remark]],7,FALSE)</f>
        <v>#VALUE!</v>
      </c>
      <c r="D169" s="4" t="str">
        <f>VLOOKUP(A:A,Table1[[#All],[Project No]:[Additional Remark]],4,FALSE)</f>
        <v>Simon</v>
      </c>
      <c r="E169" s="4" t="str">
        <f>VLOOKUP(A:A,Table1[[#All],[Project No]:[Additional Remark]],5,FALSE)</f>
        <v>EV Charger</v>
      </c>
      <c r="F169" s="4" t="str">
        <f>VLOOKUP(A:A,Table1[[Project No]:[Additional Remark]],6,FALSE)</f>
        <v>-</v>
      </c>
      <c r="G169" s="4">
        <f>VLOOKUP(A:A,Table1[[Project No]:[Additional Remark]],8,FALSE)</f>
        <v>0</v>
      </c>
      <c r="H169" s="4" t="str">
        <f>VLOOKUP(A:A,Table1[[Project No]:[Additional Remark]],15,FALSE)</f>
        <v>-</v>
      </c>
      <c r="I169" s="4" t="str">
        <f>VLOOKUP(A:A,Table1[[Project No]:[Additional Remark]],16,FALSE)</f>
        <v>-</v>
      </c>
      <c r="J169" s="1" t="str">
        <f>VLOOKUP(A:A,Table1[[Project No]:[Additional Remark]],17,FALSE)</f>
        <v>-</v>
      </c>
      <c r="K169" s="127"/>
      <c r="L169" s="1" t="str">
        <f t="shared" si="4"/>
        <v>Completed</v>
      </c>
      <c r="M169" s="1" t="str">
        <f>VLOOKUP(A:A,'Finance Tracker'!A166:K406,8,FALSE)</f>
        <v>Invoice Completed</v>
      </c>
      <c r="N169" s="127"/>
      <c r="O169" s="1" t="s">
        <v>109</v>
      </c>
      <c r="P169" s="1" t="s">
        <v>109</v>
      </c>
      <c r="Q169" s="127"/>
      <c r="R169" s="56" t="s">
        <v>109</v>
      </c>
      <c r="S169" s="56" t="s">
        <v>109</v>
      </c>
      <c r="T169" s="56" t="s">
        <v>109</v>
      </c>
      <c r="U169" s="56" t="s">
        <v>109</v>
      </c>
      <c r="V169" s="39" t="s">
        <v>1853</v>
      </c>
      <c r="W169" s="1" t="s">
        <v>1853</v>
      </c>
      <c r="X169" s="4" t="s">
        <v>109</v>
      </c>
      <c r="Y169" s="4" t="s">
        <v>1853</v>
      </c>
      <c r="Z169" s="4" t="s">
        <v>1853</v>
      </c>
      <c r="AA169" s="4" t="s">
        <v>1853</v>
      </c>
      <c r="AB169" s="39" t="s">
        <v>109</v>
      </c>
      <c r="AC169" s="39" t="s">
        <v>109</v>
      </c>
      <c r="AD169" s="39" t="s">
        <v>109</v>
      </c>
      <c r="AE169" s="39" t="s">
        <v>109</v>
      </c>
      <c r="AF169" s="39" t="s">
        <v>109</v>
      </c>
      <c r="AG169" s="39" t="s">
        <v>109</v>
      </c>
      <c r="AH169" s="39" t="s">
        <v>109</v>
      </c>
      <c r="AJ169" s="4" t="s">
        <v>109</v>
      </c>
      <c r="AK169" s="4" t="s">
        <v>109</v>
      </c>
      <c r="AL169" s="4" t="s">
        <v>109</v>
      </c>
      <c r="AM169" s="4" t="s">
        <v>109</v>
      </c>
      <c r="AP169" s="1" t="e">
        <f t="shared" si="5"/>
        <v>#VALUE!</v>
      </c>
      <c r="AQ169" s="38" t="e">
        <f>AA170-Table1[[#This Row],[Closed Date]]</f>
        <v>#VALUE!</v>
      </c>
    </row>
    <row r="170" spans="1:43" ht="18.75" customHeight="1" x14ac:dyDescent="0.3">
      <c r="A170" s="4">
        <f>Table1[[#This Row],[Project No]]</f>
        <v>2410032</v>
      </c>
      <c r="B170" s="110" t="str">
        <f>VLOOKUP(A:A,Table1[[Project No]:[Additional Remark]],2,FALSE)</f>
        <v>Handal Green Mobility Sdn Bhd (United Point Mall, Kuala Lumpur)</v>
      </c>
      <c r="C170" s="4" t="e" vm="12">
        <f>VLOOKUP(A:A,Table1[[#All],[Project No]:[Additional Remark]],7,FALSE)</f>
        <v>#VALUE!</v>
      </c>
      <c r="D170" s="4" t="str">
        <f>VLOOKUP(A:A,Table1[[#All],[Project No]:[Additional Remark]],4,FALSE)</f>
        <v>Simon</v>
      </c>
      <c r="E170" s="4" t="str">
        <f>VLOOKUP(A:A,Table1[[#All],[Project No]:[Additional Remark]],5,FALSE)</f>
        <v>EV Charger</v>
      </c>
      <c r="F170" s="4" t="str">
        <f>VLOOKUP(A:A,Table1[[Project No]:[Additional Remark]],6,FALSE)</f>
        <v>-</v>
      </c>
      <c r="G170" s="4">
        <f>VLOOKUP(A:A,Table1[[Project No]:[Additional Remark]],8,FALSE)</f>
        <v>0</v>
      </c>
      <c r="H170" s="4" t="str">
        <f>VLOOKUP(A:A,Table1[[Project No]:[Additional Remark]],15,FALSE)</f>
        <v>-</v>
      </c>
      <c r="I170" s="4" t="str">
        <f>VLOOKUP(A:A,Table1[[Project No]:[Additional Remark]],16,FALSE)</f>
        <v>-</v>
      </c>
      <c r="J170" s="1" t="str">
        <f>VLOOKUP(A:A,Table1[[Project No]:[Additional Remark]],17,FALSE)</f>
        <v>-</v>
      </c>
      <c r="K170" s="127"/>
      <c r="L170" s="1" t="str">
        <f t="shared" si="4"/>
        <v>Completed</v>
      </c>
      <c r="M170" s="1" t="str">
        <f>VLOOKUP(A:A,'Finance Tracker'!A167:K407,8,FALSE)</f>
        <v>Invoice Completed</v>
      </c>
      <c r="N170" s="127"/>
      <c r="O170" s="1" t="s">
        <v>109</v>
      </c>
      <c r="P170" s="1" t="s">
        <v>109</v>
      </c>
      <c r="Q170" s="127"/>
      <c r="R170" s="56" t="s">
        <v>109</v>
      </c>
      <c r="S170" s="56" t="s">
        <v>109</v>
      </c>
      <c r="T170" s="56" t="s">
        <v>109</v>
      </c>
      <c r="U170" s="56" t="s">
        <v>109</v>
      </c>
      <c r="V170" s="39" t="s">
        <v>1853</v>
      </c>
      <c r="W170" s="1" t="s">
        <v>1853</v>
      </c>
      <c r="X170" s="4" t="s">
        <v>109</v>
      </c>
      <c r="Y170" s="4" t="s">
        <v>1853</v>
      </c>
      <c r="Z170" s="4" t="s">
        <v>1853</v>
      </c>
      <c r="AA170" s="4" t="s">
        <v>1853</v>
      </c>
      <c r="AB170" s="39" t="s">
        <v>109</v>
      </c>
      <c r="AC170" s="39" t="s">
        <v>109</v>
      </c>
      <c r="AD170" s="39" t="s">
        <v>109</v>
      </c>
      <c r="AE170" s="39" t="s">
        <v>109</v>
      </c>
      <c r="AF170" s="39" t="s">
        <v>109</v>
      </c>
      <c r="AG170" s="39" t="s">
        <v>109</v>
      </c>
      <c r="AH170" s="39" t="s">
        <v>109</v>
      </c>
      <c r="AJ170" s="4" t="s">
        <v>109</v>
      </c>
      <c r="AK170" s="4" t="s">
        <v>109</v>
      </c>
      <c r="AL170" s="4" t="s">
        <v>109</v>
      </c>
      <c r="AM170" s="4" t="s">
        <v>109</v>
      </c>
      <c r="AP170" s="1" t="e">
        <f t="shared" si="5"/>
        <v>#VALUE!</v>
      </c>
      <c r="AQ170" s="38" t="e">
        <f>AA171-Table1[[#This Row],[Closed Date]]</f>
        <v>#VALUE!</v>
      </c>
    </row>
    <row r="171" spans="1:43" s="217" customFormat="1" ht="18.75" customHeight="1" x14ac:dyDescent="0.3">
      <c r="A171" s="210" t="str">
        <f>Table1[[#This Row],[Project No]]</f>
        <v>2407167-1</v>
      </c>
      <c r="B171" s="211" t="str">
        <f>VLOOKUP(A:A,Table1[[Project No]:[Additional Remark]],2,FALSE)</f>
        <v>Econframe Marketing Sdn Bhd (Kilang 1 &amp; 3)</v>
      </c>
      <c r="C171" s="210" t="e" vm="5">
        <f>VLOOKUP(A:A,Table1[[#All],[Project No]:[Additional Remark]],7,FALSE)</f>
        <v>#VALUE!</v>
      </c>
      <c r="D171" s="210" t="str">
        <f>VLOOKUP(A:A,Table1[[#All],[Project No]:[Additional Remark]],4,FALSE)</f>
        <v>Tham</v>
      </c>
      <c r="E171" s="210" t="str">
        <f>VLOOKUP(A:A,Table1[[#All],[Project No]:[Additional Remark]],5,FALSE)</f>
        <v>C&amp;I-PV</v>
      </c>
      <c r="F171" s="210" t="str">
        <f>VLOOKUP(A:A,Table1[[Project No]:[Additional Remark]],6,FALSE)</f>
        <v>NEM</v>
      </c>
      <c r="G171" s="210">
        <f>VLOOKUP(A:A,Table1[[Project No]:[Additional Remark]],8,FALSE)</f>
        <v>109.395</v>
      </c>
      <c r="H171" s="210" t="str">
        <f>VLOOKUP(A:A,Table1[[Project No]:[Additional Remark]],15,FALSE)</f>
        <v>Yingli Solar 585Wp</v>
      </c>
      <c r="I171" s="210">
        <f>VLOOKUP(A:A,Table1[[Project No]:[Additional Remark]],16,FALSE)</f>
        <v>187</v>
      </c>
      <c r="J171" s="212" t="str">
        <f>VLOOKUP(A:A,Table1[[Project No]:[Additional Remark]],17,FALSE)</f>
        <v>Huawei SUN2000-50KTL + SUN2000-36KTL</v>
      </c>
      <c r="K171" s="213"/>
      <c r="L171" s="212" t="str">
        <f t="shared" si="4"/>
        <v>Pending GITA Application</v>
      </c>
      <c r="M171" s="212" t="str">
        <f>VLOOKUP(A:A,'Finance Tracker'!A168:K408,8,FALSE)</f>
        <v>Invoice Completed</v>
      </c>
      <c r="N171" s="213"/>
      <c r="O171" s="212" t="s">
        <v>109</v>
      </c>
      <c r="P171" s="212" t="s">
        <v>109</v>
      </c>
      <c r="Q171" s="213"/>
      <c r="R171" s="214">
        <v>45560</v>
      </c>
      <c r="S171" s="214">
        <v>45582</v>
      </c>
      <c r="T171" s="212" t="s">
        <v>1823</v>
      </c>
      <c r="U171" s="214">
        <v>45932</v>
      </c>
      <c r="V171" s="215">
        <v>45588</v>
      </c>
      <c r="W171" s="212" t="s">
        <v>1853</v>
      </c>
      <c r="X171" s="210" t="s">
        <v>1853</v>
      </c>
      <c r="Y171" s="210" t="s">
        <v>1853</v>
      </c>
      <c r="Z171" s="210" t="s">
        <v>307</v>
      </c>
      <c r="AA171" s="210" t="s">
        <v>1853</v>
      </c>
      <c r="AB171" s="215" t="s">
        <v>1853</v>
      </c>
      <c r="AC171" s="215" t="s">
        <v>1853</v>
      </c>
      <c r="AD171" s="215" t="s">
        <v>1853</v>
      </c>
      <c r="AE171" s="214">
        <v>45719</v>
      </c>
      <c r="AF171" s="214">
        <v>45728</v>
      </c>
      <c r="AG171" s="214">
        <v>45728</v>
      </c>
      <c r="AH171" s="214">
        <v>49399</v>
      </c>
      <c r="AI171" s="216"/>
      <c r="AJ171" s="210" t="s">
        <v>109</v>
      </c>
      <c r="AK171" s="210" t="s">
        <v>109</v>
      </c>
      <c r="AL171" s="210"/>
      <c r="AM171" s="210"/>
      <c r="AP171" s="212">
        <f t="shared" si="5"/>
        <v>22</v>
      </c>
      <c r="AQ171" s="218" t="e">
        <f>AA172-Table1[[#This Row],[Closed Date]]</f>
        <v>#VALUE!</v>
      </c>
    </row>
    <row r="172" spans="1:43" s="217" customFormat="1" ht="18.75" customHeight="1" x14ac:dyDescent="0.3">
      <c r="A172" s="210" t="str">
        <f>Table1[[#This Row],[Project No]]</f>
        <v>2407167-2</v>
      </c>
      <c r="B172" s="211" t="str">
        <f>VLOOKUP(A:A,Table1[[Project No]:[Additional Remark]],2,FALSE)</f>
        <v>Econframe Marketing Sdn Bhd (Kilang 4)</v>
      </c>
      <c r="C172" s="210" t="e" vm="5">
        <f>VLOOKUP(A:A,Table1[[#All],[Project No]:[Additional Remark]],7,FALSE)</f>
        <v>#VALUE!</v>
      </c>
      <c r="D172" s="210" t="str">
        <f>VLOOKUP(A:A,Table1[[#All],[Project No]:[Additional Remark]],4,FALSE)</f>
        <v>Tham</v>
      </c>
      <c r="E172" s="210" t="str">
        <f>VLOOKUP(A:A,Table1[[#All],[Project No]:[Additional Remark]],5,FALSE)</f>
        <v>C&amp;I-PV</v>
      </c>
      <c r="F172" s="210" t="str">
        <f>VLOOKUP(A:A,Table1[[Project No]:[Additional Remark]],6,FALSE)</f>
        <v>NEM</v>
      </c>
      <c r="G172" s="210">
        <f>VLOOKUP(A:A,Table1[[Project No]:[Additional Remark]],8,FALSE)</f>
        <v>26.91</v>
      </c>
      <c r="H172" s="210" t="str">
        <f>VLOOKUP(A:A,Table1[[Project No]:[Additional Remark]],15,FALSE)</f>
        <v>Yingli Solar 585Wp</v>
      </c>
      <c r="I172" s="210">
        <f>VLOOKUP(A:A,Table1[[Project No]:[Additional Remark]],16,FALSE)</f>
        <v>46</v>
      </c>
      <c r="J172" s="212" t="str">
        <f>VLOOKUP(A:A,Table1[[Project No]:[Additional Remark]],17,FALSE)</f>
        <v>Huawei SUN2000-20KTL</v>
      </c>
      <c r="K172" s="213"/>
      <c r="L172" s="212" t="str">
        <f t="shared" si="4"/>
        <v>Pending GITA Application</v>
      </c>
      <c r="M172" s="212" t="str">
        <f>VLOOKUP(A:A,'Finance Tracker'!A169:K409,8,FALSE)</f>
        <v>Invoice Completed</v>
      </c>
      <c r="N172" s="213"/>
      <c r="O172" s="212" t="s">
        <v>109</v>
      </c>
      <c r="P172" s="212" t="s">
        <v>109</v>
      </c>
      <c r="Q172" s="213"/>
      <c r="R172" s="214">
        <v>45560</v>
      </c>
      <c r="S172" s="214">
        <v>45582</v>
      </c>
      <c r="T172" s="212" t="s">
        <v>1823</v>
      </c>
      <c r="U172" s="214">
        <v>45932</v>
      </c>
      <c r="V172" s="215">
        <v>45588</v>
      </c>
      <c r="W172" s="212" t="s">
        <v>1853</v>
      </c>
      <c r="X172" s="210" t="s">
        <v>1853</v>
      </c>
      <c r="Y172" s="210" t="s">
        <v>1853</v>
      </c>
      <c r="Z172" s="210" t="s">
        <v>307</v>
      </c>
      <c r="AA172" s="210" t="s">
        <v>1853</v>
      </c>
      <c r="AB172" s="215" t="s">
        <v>1853</v>
      </c>
      <c r="AC172" s="215" t="s">
        <v>1853</v>
      </c>
      <c r="AD172" s="215" t="s">
        <v>1853</v>
      </c>
      <c r="AE172" s="214">
        <v>45708</v>
      </c>
      <c r="AF172" s="214">
        <v>45710</v>
      </c>
      <c r="AG172" s="214">
        <v>45710</v>
      </c>
      <c r="AH172" s="214">
        <v>49368</v>
      </c>
      <c r="AI172" s="216"/>
      <c r="AJ172" s="210" t="s">
        <v>109</v>
      </c>
      <c r="AK172" s="210" t="s">
        <v>109</v>
      </c>
      <c r="AL172" s="210"/>
      <c r="AM172" s="210"/>
      <c r="AP172" s="212">
        <f t="shared" si="5"/>
        <v>22</v>
      </c>
      <c r="AQ172" s="218" t="e">
        <f>AA173-Table1[[#This Row],[Closed Date]]</f>
        <v>#VALUE!</v>
      </c>
    </row>
    <row r="173" spans="1:43" s="217" customFormat="1" ht="18.75" customHeight="1" x14ac:dyDescent="0.3">
      <c r="A173" s="210" t="str">
        <f>Table1[[#This Row],[Project No]]</f>
        <v>2407167-3</v>
      </c>
      <c r="B173" s="211" t="str">
        <f>VLOOKUP(A:A,Table1[[Project No]:[Additional Remark]],2,FALSE)</f>
        <v>Econframe Marketing Sdn Bhd (Kilang 20)</v>
      </c>
      <c r="C173" s="210" t="e" vm="5">
        <f>VLOOKUP(A:A,Table1[[#All],[Project No]:[Additional Remark]],7,FALSE)</f>
        <v>#VALUE!</v>
      </c>
      <c r="D173" s="210" t="str">
        <f>VLOOKUP(A:A,Table1[[#All],[Project No]:[Additional Remark]],4,FALSE)</f>
        <v>Tham</v>
      </c>
      <c r="E173" s="210" t="str">
        <f>VLOOKUP(A:A,Table1[[#All],[Project No]:[Additional Remark]],5,FALSE)</f>
        <v>C&amp;I-PV</v>
      </c>
      <c r="F173" s="210" t="str">
        <f>VLOOKUP(A:A,Table1[[Project No]:[Additional Remark]],6,FALSE)</f>
        <v>NEM</v>
      </c>
      <c r="G173" s="210">
        <f>VLOOKUP(A:A,Table1[[Project No]:[Additional Remark]],8,FALSE)</f>
        <v>67.275000000000006</v>
      </c>
      <c r="H173" s="210" t="str">
        <f>VLOOKUP(A:A,Table1[[Project No]:[Additional Remark]],15,FALSE)</f>
        <v>Yingli Solar 585Wp</v>
      </c>
      <c r="I173" s="210">
        <f>VLOOKUP(A:A,Table1[[Project No]:[Additional Remark]],16,FALSE)</f>
        <v>115</v>
      </c>
      <c r="J173" s="212" t="str">
        <f>VLOOKUP(A:A,Table1[[Project No]:[Additional Remark]],17,FALSE)</f>
        <v>Huawei SUN2000-50KTL</v>
      </c>
      <c r="K173" s="213"/>
      <c r="L173" s="212" t="str">
        <f t="shared" si="4"/>
        <v>Pending GITA Application</v>
      </c>
      <c r="M173" s="212" t="str">
        <f>VLOOKUP(A:A,'Finance Tracker'!A170:K410,8,FALSE)</f>
        <v>Invoice Completed</v>
      </c>
      <c r="N173" s="213"/>
      <c r="O173" s="212" t="s">
        <v>109</v>
      </c>
      <c r="P173" s="212" t="s">
        <v>109</v>
      </c>
      <c r="Q173" s="213"/>
      <c r="R173" s="214">
        <v>45560</v>
      </c>
      <c r="S173" s="214">
        <v>45574</v>
      </c>
      <c r="T173" s="212" t="s">
        <v>1823</v>
      </c>
      <c r="U173" s="214">
        <v>45932</v>
      </c>
      <c r="V173" s="215">
        <v>45588</v>
      </c>
      <c r="W173" s="212" t="s">
        <v>1853</v>
      </c>
      <c r="X173" s="210" t="s">
        <v>1853</v>
      </c>
      <c r="Y173" s="210" t="s">
        <v>1853</v>
      </c>
      <c r="Z173" s="210" t="s">
        <v>307</v>
      </c>
      <c r="AA173" s="210" t="s">
        <v>1853</v>
      </c>
      <c r="AB173" s="215" t="s">
        <v>1853</v>
      </c>
      <c r="AC173" s="215" t="s">
        <v>1853</v>
      </c>
      <c r="AD173" s="215" t="s">
        <v>1853</v>
      </c>
      <c r="AE173" s="214">
        <v>45719</v>
      </c>
      <c r="AF173" s="214">
        <v>45728</v>
      </c>
      <c r="AG173" s="214">
        <v>45728</v>
      </c>
      <c r="AH173" s="214">
        <v>49399</v>
      </c>
      <c r="AI173" s="216"/>
      <c r="AJ173" s="210" t="s">
        <v>109</v>
      </c>
      <c r="AK173" s="210" t="s">
        <v>109</v>
      </c>
      <c r="AL173" s="210"/>
      <c r="AM173" s="210"/>
      <c r="AP173" s="212">
        <f t="shared" si="5"/>
        <v>14</v>
      </c>
      <c r="AQ173" s="218" t="e">
        <f>AA174-Table1[[#This Row],[Closed Date]]</f>
        <v>#VALUE!</v>
      </c>
    </row>
    <row r="174" spans="1:43" s="244" customFormat="1" ht="48" customHeight="1" x14ac:dyDescent="0.3">
      <c r="A174" s="237">
        <f>Table1[[#This Row],[Project No]]</f>
        <v>2408174</v>
      </c>
      <c r="B174" s="238" t="str">
        <f>VLOOKUP(A:A,Table1[[Project No]:[Additional Remark]],2,FALSE)</f>
        <v>Zimandy Construction Sdn Bhd (Bandar Tenggara)</v>
      </c>
      <c r="C174" s="237" t="e" vm="8">
        <f>VLOOKUP(A:A,Table1[[#All],[Project No]:[Additional Remark]],7,FALSE)</f>
        <v>#VALUE!</v>
      </c>
      <c r="D174" s="237" t="str">
        <f>VLOOKUP(A:A,Table1[[#All],[Project No]:[Additional Remark]],4,FALSE)</f>
        <v>Tham</v>
      </c>
      <c r="E174" s="237" t="str">
        <f>VLOOKUP(A:A,Table1[[#All],[Project No]:[Additional Remark]],5,FALSE)</f>
        <v>C&amp;I-PV</v>
      </c>
      <c r="F174" s="237" t="str">
        <f>VLOOKUP(A:A,Table1[[Project No]:[Additional Remark]],6,FALSE)</f>
        <v>NEM</v>
      </c>
      <c r="G174" s="237">
        <f>VLOOKUP(A:A,Table1[[Project No]:[Additional Remark]],8,FALSE)</f>
        <v>120.95</v>
      </c>
      <c r="H174" s="237" t="str">
        <f>VLOOKUP(A:A,Table1[[Project No]:[Additional Remark]],15,FALSE)</f>
        <v>Astronergy 590Wp</v>
      </c>
      <c r="I174" s="237">
        <f>VLOOKUP(A:A,Table1[[Project No]:[Additional Remark]],16,FALSE)</f>
        <v>205</v>
      </c>
      <c r="J174" s="239" t="str">
        <f>VLOOKUP(A:A,Table1[[Project No]:[Additional Remark]],17,FALSE)</f>
        <v>Huawei SUN2000-40KTL +SUN2000-30KTL + SUN2000-20KTL</v>
      </c>
      <c r="K174" s="240"/>
      <c r="L174" s="239" t="str">
        <f t="shared" si="4"/>
        <v>Pending NEM Welcome Letter</v>
      </c>
      <c r="M174" s="239" t="str">
        <f>VLOOKUP(A:A,'Finance Tracker'!A171:K411,8,FALSE)</f>
        <v>Invoice Completed</v>
      </c>
      <c r="N174" s="240"/>
      <c r="O174" s="239" t="s">
        <v>109</v>
      </c>
      <c r="P174" s="239" t="s">
        <v>109</v>
      </c>
      <c r="Q174" s="240"/>
      <c r="R174" s="241">
        <v>45737</v>
      </c>
      <c r="S174" s="241">
        <v>45798</v>
      </c>
      <c r="T174" s="239" t="s">
        <v>1819</v>
      </c>
      <c r="U174" s="241">
        <v>46104</v>
      </c>
      <c r="V174" s="242">
        <v>45827</v>
      </c>
      <c r="W174" s="239" t="s">
        <v>1853</v>
      </c>
      <c r="X174" s="237" t="s">
        <v>1853</v>
      </c>
      <c r="Y174" s="237" t="s">
        <v>1853</v>
      </c>
      <c r="Z174" s="237" t="s">
        <v>1854</v>
      </c>
      <c r="AA174" s="237" t="s">
        <v>1853</v>
      </c>
      <c r="AB174" s="242">
        <v>45717</v>
      </c>
      <c r="AC174" s="242" t="s">
        <v>1853</v>
      </c>
      <c r="AD174" s="242">
        <v>45955</v>
      </c>
      <c r="AE174" s="239" t="s">
        <v>1853</v>
      </c>
      <c r="AF174" s="241">
        <v>45955</v>
      </c>
      <c r="AG174" s="241"/>
      <c r="AH174" s="241"/>
      <c r="AI174" s="243"/>
      <c r="AJ174" s="237" t="s">
        <v>109</v>
      </c>
      <c r="AK174" s="237" t="s">
        <v>109</v>
      </c>
      <c r="AL174" s="237"/>
      <c r="AM174" s="237"/>
      <c r="AP174" s="239">
        <f t="shared" si="5"/>
        <v>61</v>
      </c>
      <c r="AQ174" s="245">
        <f>AA175-Table1[[#This Row],[Closed Date]]</f>
        <v>87</v>
      </c>
    </row>
    <row r="175" spans="1:43" s="217" customFormat="1" ht="18.75" customHeight="1" x14ac:dyDescent="0.3">
      <c r="A175" s="210">
        <f>Table1[[#This Row],[Project No]]</f>
        <v>2408179</v>
      </c>
      <c r="B175" s="211" t="str">
        <f>VLOOKUP(A:A,Table1[[Project No]:[Additional Remark]],2,FALSE)</f>
        <v>Pelita Hijrah Sdn Bhd</v>
      </c>
      <c r="C175" s="210" t="e" vm="5">
        <f>VLOOKUP(A:A,Table1[[#All],[Project No]:[Additional Remark]],7,FALSE)</f>
        <v>#VALUE!</v>
      </c>
      <c r="D175" s="210" t="str">
        <f>VLOOKUP(A:A,Table1[[#All],[Project No]:[Additional Remark]],4,FALSE)</f>
        <v>Tham</v>
      </c>
      <c r="E175" s="210" t="str">
        <f>VLOOKUP(A:A,Table1[[#All],[Project No]:[Additional Remark]],5,FALSE)</f>
        <v>C&amp;I-PV</v>
      </c>
      <c r="F175" s="210" t="str">
        <f>VLOOKUP(A:A,Table1[[Project No]:[Additional Remark]],6,FALSE)</f>
        <v>NEM</v>
      </c>
      <c r="G175" s="210">
        <f>VLOOKUP(A:A,Table1[[Project No]:[Additional Remark]],8,FALSE)</f>
        <v>107.64</v>
      </c>
      <c r="H175" s="210" t="str">
        <f>VLOOKUP(A:A,Table1[[Project No]:[Additional Remark]],15,FALSE)</f>
        <v>Astronergy 585Wp</v>
      </c>
      <c r="I175" s="210">
        <f>VLOOKUP(A:A,Table1[[Project No]:[Additional Remark]],16,FALSE)</f>
        <v>184</v>
      </c>
      <c r="J175" s="212" t="str">
        <f>VLOOKUP(A:A,Table1[[Project No]:[Additional Remark]],17,FALSE)</f>
        <v>Huawei SUN2000-20KTL x  4</v>
      </c>
      <c r="K175" s="213"/>
      <c r="L175" s="212" t="str">
        <f t="shared" si="4"/>
        <v>Pending GITA Application</v>
      </c>
      <c r="M175" s="212" t="str">
        <f>VLOOKUP(A:A,'Finance Tracker'!A172:K412,8,FALSE)</f>
        <v>Invoice Completed</v>
      </c>
      <c r="N175" s="213"/>
      <c r="O175" s="212" t="s">
        <v>109</v>
      </c>
      <c r="P175" s="212" t="s">
        <v>109</v>
      </c>
      <c r="Q175" s="213"/>
      <c r="R175" s="214">
        <v>45620</v>
      </c>
      <c r="S175" s="214">
        <v>45666</v>
      </c>
      <c r="T175" s="212" t="s">
        <v>1823</v>
      </c>
      <c r="U175" s="214">
        <v>45816</v>
      </c>
      <c r="V175" s="215" t="s">
        <v>1853</v>
      </c>
      <c r="W175" s="212" t="s">
        <v>1853</v>
      </c>
      <c r="X175" s="210" t="s">
        <v>1853</v>
      </c>
      <c r="Y175" s="210" t="s">
        <v>1853</v>
      </c>
      <c r="Z175" s="210"/>
      <c r="AA175" s="215">
        <v>45670</v>
      </c>
      <c r="AB175" s="212" t="s">
        <v>1853</v>
      </c>
      <c r="AC175" s="212" t="s">
        <v>1853</v>
      </c>
      <c r="AD175" s="212" t="s">
        <v>1853</v>
      </c>
      <c r="AE175" s="212" t="s">
        <v>1853</v>
      </c>
      <c r="AF175" s="214">
        <v>45729</v>
      </c>
      <c r="AG175" s="214">
        <v>45729</v>
      </c>
      <c r="AH175" s="214">
        <v>49399</v>
      </c>
      <c r="AI175" s="216"/>
      <c r="AJ175" s="210" t="s">
        <v>109</v>
      </c>
      <c r="AK175" s="210" t="s">
        <v>109</v>
      </c>
      <c r="AL175" s="210"/>
      <c r="AM175" s="210"/>
      <c r="AP175" s="212">
        <f t="shared" si="5"/>
        <v>46</v>
      </c>
      <c r="AQ175" s="218">
        <f>AA176-Table1[[#This Row],[Closed Date]]</f>
        <v>87</v>
      </c>
    </row>
    <row r="176" spans="1:43" s="217" customFormat="1" ht="18.75" customHeight="1" x14ac:dyDescent="0.3">
      <c r="A176" s="210">
        <f>Table1[[#This Row],[Project No]]</f>
        <v>2409185</v>
      </c>
      <c r="B176" s="211" t="str">
        <f>VLOOKUP(A:A,Table1[[Project No]:[Additional Remark]],2,FALSE)</f>
        <v>Kim Chong Mechanical Services Sdn Bhd</v>
      </c>
      <c r="C176" s="210" t="e" vm="5">
        <f>VLOOKUP(A:A,Table1[[#All],[Project No]:[Additional Remark]],7,FALSE)</f>
        <v>#VALUE!</v>
      </c>
      <c r="D176" s="210" t="str">
        <f>VLOOKUP(A:A,Table1[[#All],[Project No]:[Additional Remark]],4,FALSE)</f>
        <v>Tham</v>
      </c>
      <c r="E176" s="210" t="str">
        <f>VLOOKUP(A:A,Table1[[#All],[Project No]:[Additional Remark]],5,FALSE)</f>
        <v>C&amp;I-PV</v>
      </c>
      <c r="F176" s="210" t="str">
        <f>VLOOKUP(A:A,Table1[[Project No]:[Additional Remark]],6,FALSE)</f>
        <v>NEM</v>
      </c>
      <c r="G176" s="210">
        <f>VLOOKUP(A:A,Table1[[Project No]:[Additional Remark]],8,FALSE)</f>
        <v>26.55</v>
      </c>
      <c r="H176" s="210" t="str">
        <f>VLOOKUP(A:A,Table1[[Project No]:[Additional Remark]],15,FALSE)</f>
        <v>Astronergy 590Wp</v>
      </c>
      <c r="I176" s="210">
        <f>VLOOKUP(A:A,Table1[[Project No]:[Additional Remark]],16,FALSE)</f>
        <v>45</v>
      </c>
      <c r="J176" s="212" t="str">
        <f>VLOOKUP(A:A,Table1[[Project No]:[Additional Remark]],17,FALSE)</f>
        <v>Huawei SUN2000-20KTL</v>
      </c>
      <c r="K176" s="213"/>
      <c r="L176" s="212" t="str">
        <f t="shared" si="4"/>
        <v>Pending GITA Application</v>
      </c>
      <c r="M176" s="212" t="str">
        <f>VLOOKUP(A:A,'Finance Tracker'!A173:K413,8,FALSE)</f>
        <v>Invoice Completed</v>
      </c>
      <c r="N176" s="213"/>
      <c r="O176" s="212" t="s">
        <v>109</v>
      </c>
      <c r="P176" s="212" t="s">
        <v>109</v>
      </c>
      <c r="Q176" s="213"/>
      <c r="R176" s="214">
        <v>45569</v>
      </c>
      <c r="S176" s="214">
        <v>45617</v>
      </c>
      <c r="T176" s="212" t="s">
        <v>1823</v>
      </c>
      <c r="U176" s="214">
        <v>45816</v>
      </c>
      <c r="V176" s="215">
        <v>45588</v>
      </c>
      <c r="W176" s="212" t="s">
        <v>1853</v>
      </c>
      <c r="X176" s="210" t="s">
        <v>1853</v>
      </c>
      <c r="Y176" s="210" t="s">
        <v>1853</v>
      </c>
      <c r="Z176" s="210" t="s">
        <v>307</v>
      </c>
      <c r="AA176" s="215">
        <v>45649</v>
      </c>
      <c r="AB176" s="212" t="s">
        <v>1853</v>
      </c>
      <c r="AC176" s="212" t="s">
        <v>1853</v>
      </c>
      <c r="AD176" s="212" t="s">
        <v>1853</v>
      </c>
      <c r="AE176" s="212" t="s">
        <v>1853</v>
      </c>
      <c r="AF176" s="214">
        <v>45673</v>
      </c>
      <c r="AG176" s="214">
        <v>45673</v>
      </c>
      <c r="AH176" s="214">
        <v>49340</v>
      </c>
      <c r="AI176" s="216"/>
      <c r="AJ176" s="210" t="s">
        <v>109</v>
      </c>
      <c r="AK176" s="210" t="s">
        <v>109</v>
      </c>
      <c r="AL176" s="210"/>
      <c r="AM176" s="210"/>
      <c r="AP176" s="212">
        <f t="shared" si="5"/>
        <v>48</v>
      </c>
      <c r="AQ176" s="218">
        <f>AA177-Table1[[#This Row],[Closed Date]]</f>
        <v>115</v>
      </c>
    </row>
    <row r="177" spans="1:43" s="217" customFormat="1" ht="18.75" customHeight="1" x14ac:dyDescent="0.3">
      <c r="A177" s="210">
        <f>Table1[[#This Row],[Project No]]</f>
        <v>2410196</v>
      </c>
      <c r="B177" s="211" t="str">
        <f>VLOOKUP(A:A,Table1[[Project No]:[Additional Remark]],2,FALSE)</f>
        <v>Unilink Machinery Sdn Bhd</v>
      </c>
      <c r="C177" s="210" t="e" vm="5">
        <f>VLOOKUP(A:A,Table1[[#All],[Project No]:[Additional Remark]],7,FALSE)</f>
        <v>#VALUE!</v>
      </c>
      <c r="D177" s="210" t="str">
        <f>VLOOKUP(A:A,Table1[[#All],[Project No]:[Additional Remark]],4,FALSE)</f>
        <v>Tham</v>
      </c>
      <c r="E177" s="210" t="str">
        <f>VLOOKUP(A:A,Table1[[#All],[Project No]:[Additional Remark]],5,FALSE)</f>
        <v>C&amp;I-PV</v>
      </c>
      <c r="F177" s="210" t="str">
        <f>VLOOKUP(A:A,Table1[[Project No]:[Additional Remark]],6,FALSE)</f>
        <v>NEM</v>
      </c>
      <c r="G177" s="210">
        <f>VLOOKUP(A:A,Table1[[Project No]:[Additional Remark]],8,FALSE)</f>
        <v>26.55</v>
      </c>
      <c r="H177" s="210" t="str">
        <f>VLOOKUP(A:A,Table1[[Project No]:[Additional Remark]],15,FALSE)</f>
        <v>Astronergy 590Wp</v>
      </c>
      <c r="I177" s="210">
        <f>VLOOKUP(A:A,Table1[[Project No]:[Additional Remark]],16,FALSE)</f>
        <v>45</v>
      </c>
      <c r="J177" s="212" t="str">
        <f>VLOOKUP(A:A,Table1[[Project No]:[Additional Remark]],17,FALSE)</f>
        <v>Huawei SUN2000-20KTL</v>
      </c>
      <c r="K177" s="213"/>
      <c r="L177" s="212" t="str">
        <f t="shared" si="4"/>
        <v>Pending GITA Application</v>
      </c>
      <c r="M177" s="212" t="str">
        <f>VLOOKUP(A:A,'Finance Tracker'!A174:K414,8,FALSE)</f>
        <v>Invoice Completed</v>
      </c>
      <c r="N177" s="213"/>
      <c r="O177" s="212" t="s">
        <v>109</v>
      </c>
      <c r="P177" s="212" t="s">
        <v>109</v>
      </c>
      <c r="Q177" s="213"/>
      <c r="R177" s="214">
        <v>45607</v>
      </c>
      <c r="S177" s="214">
        <v>45623</v>
      </c>
      <c r="T177" s="212" t="s">
        <v>1823</v>
      </c>
      <c r="U177" s="214">
        <v>45816</v>
      </c>
      <c r="V177" s="215" t="s">
        <v>1853</v>
      </c>
      <c r="W177" s="212" t="s">
        <v>1853</v>
      </c>
      <c r="X177" s="210" t="s">
        <v>1853</v>
      </c>
      <c r="Y177" s="210" t="s">
        <v>1853</v>
      </c>
      <c r="Z177" s="210"/>
      <c r="AA177" s="215">
        <v>45680</v>
      </c>
      <c r="AB177" s="212" t="s">
        <v>1853</v>
      </c>
      <c r="AC177" s="212" t="s">
        <v>1853</v>
      </c>
      <c r="AD177" s="212" t="s">
        <v>1853</v>
      </c>
      <c r="AE177" s="212" t="s">
        <v>1853</v>
      </c>
      <c r="AF177" s="214">
        <v>45715</v>
      </c>
      <c r="AG177" s="214">
        <v>45715</v>
      </c>
      <c r="AH177" s="214">
        <v>49368</v>
      </c>
      <c r="AI177" s="216"/>
      <c r="AJ177" s="210" t="s">
        <v>109</v>
      </c>
      <c r="AK177" s="210" t="s">
        <v>109</v>
      </c>
      <c r="AL177" s="210"/>
      <c r="AM177" s="210"/>
      <c r="AP177" s="212">
        <f t="shared" si="5"/>
        <v>16</v>
      </c>
      <c r="AQ177" s="218">
        <f>AA178-Table1[[#This Row],[Closed Date]]</f>
        <v>43</v>
      </c>
    </row>
    <row r="178" spans="1:43" ht="18.75" customHeight="1" x14ac:dyDescent="0.3">
      <c r="A178" s="4">
        <f>Table1[[#This Row],[Project No]]</f>
        <v>2410474</v>
      </c>
      <c r="B178" s="110" t="str">
        <f>VLOOKUP(A:A,Table1[[Project No]:[Additional Remark]],2,FALSE)</f>
        <v>Koe Ban Seng</v>
      </c>
      <c r="C178" s="4" t="e" vm="5">
        <f>VLOOKUP(A:A,Table1[[#All],[Project No]:[Additional Remark]],7,FALSE)</f>
        <v>#VALUE!</v>
      </c>
      <c r="D178" s="4" t="str">
        <f>VLOOKUP(A:A,Table1[[#All],[Project No]:[Additional Remark]],4,FALSE)</f>
        <v>Tham</v>
      </c>
      <c r="E178" s="4" t="str">
        <f>VLOOKUP(A:A,Table1[[#All],[Project No]:[Additional Remark]],5,FALSE)</f>
        <v>R-PV</v>
      </c>
      <c r="F178" s="4" t="str">
        <f>VLOOKUP(A:A,Table1[[Project No]:[Additional Remark]],6,FALSE)</f>
        <v>NEM</v>
      </c>
      <c r="G178" s="4">
        <f>VLOOKUP(A:A,Table1[[Project No]:[Additional Remark]],8,FALSE)</f>
        <v>14.04</v>
      </c>
      <c r="H178" s="4" t="str">
        <f>VLOOKUP(A:A,Table1[[Project No]:[Additional Remark]],15,FALSE)</f>
        <v>Astronergy 585Wp</v>
      </c>
      <c r="I178" s="4">
        <f>VLOOKUP(A:A,Table1[[Project No]:[Additional Remark]],16,FALSE)</f>
        <v>24</v>
      </c>
      <c r="J178" s="1" t="str">
        <f>VLOOKUP(A:A,Table1[[Project No]:[Additional Remark]],17,FALSE)</f>
        <v>Huawei SUN2000-12KTL</v>
      </c>
      <c r="K178" s="127"/>
      <c r="L178" s="1" t="str">
        <f t="shared" si="4"/>
        <v>Completed</v>
      </c>
      <c r="M178" s="1" t="str">
        <f>VLOOKUP(A:A,'Finance Tracker'!A175:K415,8,FALSE)</f>
        <v>Invoice Completed</v>
      </c>
      <c r="N178" s="127"/>
      <c r="O178" s="1" t="s">
        <v>109</v>
      </c>
      <c r="P178" s="1" t="s">
        <v>109</v>
      </c>
      <c r="Q178" s="127"/>
      <c r="R178" s="56">
        <v>45601</v>
      </c>
      <c r="S178" s="56">
        <v>45617</v>
      </c>
      <c r="T178" s="1" t="s">
        <v>1822</v>
      </c>
      <c r="U178" s="56">
        <v>45768</v>
      </c>
      <c r="V178" s="39" t="s">
        <v>1853</v>
      </c>
      <c r="W178" s="1" t="s">
        <v>1853</v>
      </c>
      <c r="X178" s="4" t="s">
        <v>109</v>
      </c>
      <c r="Y178" s="4" t="s">
        <v>1853</v>
      </c>
      <c r="Z178" s="4" t="s">
        <v>1855</v>
      </c>
      <c r="AA178" s="56">
        <v>45632</v>
      </c>
      <c r="AB178" s="39">
        <v>46009</v>
      </c>
      <c r="AC178" s="39" t="s">
        <v>1853</v>
      </c>
      <c r="AD178" s="39">
        <v>45650</v>
      </c>
      <c r="AE178" s="39">
        <v>45650</v>
      </c>
      <c r="AF178" s="39">
        <v>45650</v>
      </c>
      <c r="AG178" s="56">
        <v>45650</v>
      </c>
      <c r="AH178" s="56">
        <v>49309</v>
      </c>
      <c r="AJ178" s="4" t="s">
        <v>109</v>
      </c>
      <c r="AK178" s="4" t="s">
        <v>109</v>
      </c>
      <c r="AL178" s="4" t="s">
        <v>109</v>
      </c>
      <c r="AM178" s="4" t="s">
        <v>109</v>
      </c>
      <c r="AP178" s="1">
        <f t="shared" si="5"/>
        <v>16</v>
      </c>
      <c r="AQ178" s="38">
        <f>AA179-Table1[[#This Row],[Closed Date]]</f>
        <v>228</v>
      </c>
    </row>
    <row r="179" spans="1:43" s="244" customFormat="1" ht="18.75" customHeight="1" x14ac:dyDescent="0.3">
      <c r="A179" s="237">
        <f>Table1[[#This Row],[Project No]]</f>
        <v>2410468</v>
      </c>
      <c r="B179" s="238" t="str">
        <f>VLOOKUP(A:A,Table1[[Project No]:[Additional Remark]],2,FALSE)</f>
        <v>Teo Boon Ling</v>
      </c>
      <c r="C179" s="237" t="e" vm="12">
        <f>VLOOKUP(A:A,Table1[[#All],[Project No]:[Additional Remark]],7,FALSE)</f>
        <v>#VALUE!</v>
      </c>
      <c r="D179" s="237" t="str">
        <f>VLOOKUP(A:A,Table1[[#All],[Project No]:[Additional Remark]],4,FALSE)</f>
        <v>Tham</v>
      </c>
      <c r="E179" s="237" t="str">
        <f>VLOOKUP(A:A,Table1[[#All],[Project No]:[Additional Remark]],5,FALSE)</f>
        <v>R-PV</v>
      </c>
      <c r="F179" s="237" t="str">
        <f>VLOOKUP(A:A,Table1[[Project No]:[Additional Remark]],6,FALSE)</f>
        <v>NEM</v>
      </c>
      <c r="G179" s="237">
        <f>VLOOKUP(A:A,Table1[[Project No]:[Additional Remark]],8,FALSE)</f>
        <v>11.7</v>
      </c>
      <c r="H179" s="237" t="str">
        <f>VLOOKUP(A:A,Table1[[Project No]:[Additional Remark]],15,FALSE)</f>
        <v>Astronergy 585Wp</v>
      </c>
      <c r="I179" s="237">
        <f>VLOOKUP(A:A,Table1[[Project No]:[Additional Remark]],16,FALSE)</f>
        <v>20</v>
      </c>
      <c r="J179" s="239" t="str">
        <f>VLOOKUP(A:A,Table1[[Project No]:[Additional Remark]],17,FALSE)</f>
        <v>Huawei SUN2000-10KTL</v>
      </c>
      <c r="K179" s="240"/>
      <c r="L179" s="239" t="str">
        <f t="shared" si="4"/>
        <v>Pending NEM Welcome Letter</v>
      </c>
      <c r="M179" s="239" t="str">
        <f>VLOOKUP(A:A,'Finance Tracker'!A177:K417,8,FALSE)</f>
        <v>Invoice Completed</v>
      </c>
      <c r="N179" s="240"/>
      <c r="O179" s="239" t="s">
        <v>109</v>
      </c>
      <c r="P179" s="239" t="s">
        <v>109</v>
      </c>
      <c r="Q179" s="240"/>
      <c r="R179" s="241">
        <v>45621</v>
      </c>
      <c r="S179" s="241">
        <v>45628</v>
      </c>
      <c r="T179" s="239" t="s">
        <v>1819</v>
      </c>
      <c r="U179" s="241"/>
      <c r="V179" s="242" t="s">
        <v>1853</v>
      </c>
      <c r="W179" s="239" t="s">
        <v>1853</v>
      </c>
      <c r="X179" s="237" t="s">
        <v>109</v>
      </c>
      <c r="Y179" s="237" t="s">
        <v>1853</v>
      </c>
      <c r="Z179" s="237" t="s">
        <v>1855</v>
      </c>
      <c r="AA179" s="242">
        <v>45825</v>
      </c>
      <c r="AB179" s="242" t="s">
        <v>1853</v>
      </c>
      <c r="AC179" s="242" t="s">
        <v>1853</v>
      </c>
      <c r="AD179" s="242" t="s">
        <v>1853</v>
      </c>
      <c r="AE179" s="242">
        <v>45768</v>
      </c>
      <c r="AF179" s="242" t="s">
        <v>1853</v>
      </c>
      <c r="AG179" s="237"/>
      <c r="AH179" s="237"/>
      <c r="AI179" s="243"/>
      <c r="AJ179" s="237" t="s">
        <v>109</v>
      </c>
      <c r="AK179" s="237" t="s">
        <v>109</v>
      </c>
      <c r="AL179" s="237" t="s">
        <v>109</v>
      </c>
      <c r="AM179" s="237" t="s">
        <v>109</v>
      </c>
      <c r="AP179" s="239">
        <f t="shared" si="5"/>
        <v>7</v>
      </c>
      <c r="AQ179" s="245">
        <f>AA180-Table1[[#This Row],[Closed Date]]</f>
        <v>49</v>
      </c>
    </row>
    <row r="180" spans="1:43" ht="18.75" customHeight="1" x14ac:dyDescent="0.3">
      <c r="A180" s="4">
        <f>Table1[[#This Row],[Project No]]</f>
        <v>2409450</v>
      </c>
      <c r="B180" s="110" t="str">
        <f>VLOOKUP(A:A,Table1[[Project No]:[Additional Remark]],2,FALSE)</f>
        <v>David Hie Wen Jian</v>
      </c>
      <c r="C180" s="4" t="e" vm="5">
        <f>VLOOKUP(A:A,Table1[[#All],[Project No]:[Additional Remark]],7,FALSE)</f>
        <v>#VALUE!</v>
      </c>
      <c r="D180" s="4" t="str">
        <f>VLOOKUP(A:A,Table1[[#All],[Project No]:[Additional Remark]],4,FALSE)</f>
        <v>Tham</v>
      </c>
      <c r="E180" s="4" t="str">
        <f>VLOOKUP(A:A,Table1[[#All],[Project No]:[Additional Remark]],5,FALSE)</f>
        <v>R-PV</v>
      </c>
      <c r="F180" s="4" t="str">
        <f>VLOOKUP(A:A,Table1[[Project No]:[Additional Remark]],6,FALSE)</f>
        <v>NEM</v>
      </c>
      <c r="G180" s="4">
        <f>VLOOKUP(A:A,Table1[[Project No]:[Additional Remark]],8,FALSE)</f>
        <v>7.02</v>
      </c>
      <c r="H180" s="4" t="str">
        <f>VLOOKUP(A:A,Table1[[Project No]:[Additional Remark]],15,FALSE)</f>
        <v>Astronergy 585Wp</v>
      </c>
      <c r="I180" s="4">
        <f>VLOOKUP(A:A,Table1[[Project No]:[Additional Remark]],16,FALSE)</f>
        <v>12</v>
      </c>
      <c r="J180" s="1" t="str">
        <f>VLOOKUP(A:A,Table1[[Project No]:[Additional Remark]],17,FALSE)</f>
        <v>Huawei SUN2000-5KTL-L1</v>
      </c>
      <c r="K180" s="127"/>
      <c r="L180" s="1" t="str">
        <f t="shared" si="4"/>
        <v>Completed</v>
      </c>
      <c r="M180" s="1" t="str">
        <f>VLOOKUP(A:A,'Finance Tracker'!A177:K417,8,FALSE)</f>
        <v>Invoice Completed</v>
      </c>
      <c r="N180" s="127"/>
      <c r="O180" s="1" t="s">
        <v>109</v>
      </c>
      <c r="P180" s="1" t="s">
        <v>109</v>
      </c>
      <c r="Q180" s="127"/>
      <c r="R180" s="56">
        <v>45601</v>
      </c>
      <c r="S180" s="56">
        <v>45617</v>
      </c>
      <c r="T180" s="1" t="s">
        <v>1822</v>
      </c>
      <c r="U180" s="56">
        <v>45769</v>
      </c>
      <c r="V180" s="39" t="s">
        <v>1853</v>
      </c>
      <c r="W180" s="1" t="s">
        <v>1853</v>
      </c>
      <c r="X180" s="4" t="s">
        <v>109</v>
      </c>
      <c r="Y180" s="4" t="s">
        <v>1853</v>
      </c>
      <c r="Z180" s="4" t="s">
        <v>1855</v>
      </c>
      <c r="AA180" s="39">
        <v>45639</v>
      </c>
      <c r="AB180" s="39">
        <v>45650</v>
      </c>
      <c r="AC180" s="39" t="s">
        <v>1853</v>
      </c>
      <c r="AD180" s="39">
        <v>45661</v>
      </c>
      <c r="AE180" s="39" t="s">
        <v>1853</v>
      </c>
      <c r="AF180" s="39">
        <v>45661</v>
      </c>
      <c r="AG180" s="56">
        <v>45661</v>
      </c>
      <c r="AH180" s="56">
        <v>49340</v>
      </c>
      <c r="AJ180" s="4" t="s">
        <v>109</v>
      </c>
      <c r="AK180" s="4" t="s">
        <v>109</v>
      </c>
      <c r="AL180" s="4" t="s">
        <v>109</v>
      </c>
      <c r="AM180" s="4" t="s">
        <v>109</v>
      </c>
      <c r="AP180" s="1">
        <f t="shared" si="5"/>
        <v>16</v>
      </c>
      <c r="AQ180" s="38">
        <f>AA181-Table1[[#This Row],[Closed Date]]</f>
        <v>49</v>
      </c>
    </row>
    <row r="181" spans="1:43" ht="18.75" customHeight="1" x14ac:dyDescent="0.3">
      <c r="A181" s="4">
        <f>Table1[[#This Row],[Project No]]</f>
        <v>2411488</v>
      </c>
      <c r="B181" s="110" t="str">
        <f>VLOOKUP(A:A,Table1[[Project No]:[Additional Remark]],2,FALSE)</f>
        <v>Tan Kong Ling</v>
      </c>
      <c r="C181" s="4" t="e" vm="5">
        <f>VLOOKUP(A:A,Table1[[#All],[Project No]:[Additional Remark]],7,FALSE)</f>
        <v>#VALUE!</v>
      </c>
      <c r="D181" s="4" t="str">
        <f>VLOOKUP(A:A,Table1[[#All],[Project No]:[Additional Remark]],4,FALSE)</f>
        <v>Chean Bang</v>
      </c>
      <c r="E181" s="4" t="str">
        <f>VLOOKUP(A:A,Table1[[#All],[Project No]:[Additional Remark]],5,FALSE)</f>
        <v>R-PV</v>
      </c>
      <c r="F181" s="4" t="str">
        <f>VLOOKUP(A:A,Table1[[Project No]:[Additional Remark]],6,FALSE)</f>
        <v>NEM</v>
      </c>
      <c r="G181" s="4">
        <f>VLOOKUP(A:A,Table1[[Project No]:[Additional Remark]],8,FALSE)</f>
        <v>10.53</v>
      </c>
      <c r="H181" s="4" t="str">
        <f>VLOOKUP(A:A,Table1[[Project No]:[Additional Remark]],15,FALSE)</f>
        <v>Astronergy 585Wp</v>
      </c>
      <c r="I181" s="4">
        <f>VLOOKUP(A:A,Table1[[Project No]:[Additional Remark]],16,FALSE)</f>
        <v>18</v>
      </c>
      <c r="J181" s="1" t="str">
        <f>VLOOKUP(A:A,Table1[[Project No]:[Additional Remark]],17,FALSE)</f>
        <v>Huawei SUN2000-8KTL</v>
      </c>
      <c r="K181" s="127"/>
      <c r="L181" s="1" t="str">
        <f t="shared" si="4"/>
        <v>Completed</v>
      </c>
      <c r="M181" s="1" t="str">
        <f>VLOOKUP(A:A,'Finance Tracker'!A178:K418,8,FALSE)</f>
        <v>Invoice Completed</v>
      </c>
      <c r="N181" s="127"/>
      <c r="O181" s="1" t="s">
        <v>109</v>
      </c>
      <c r="P181" s="1" t="s">
        <v>109</v>
      </c>
      <c r="Q181" s="127"/>
      <c r="R181" s="56">
        <v>45602</v>
      </c>
      <c r="S181" s="56">
        <v>45617</v>
      </c>
      <c r="T181" s="1" t="s">
        <v>1819</v>
      </c>
      <c r="U181" s="56">
        <v>45966</v>
      </c>
      <c r="V181" s="39" t="s">
        <v>1853</v>
      </c>
      <c r="W181" s="1" t="s">
        <v>1853</v>
      </c>
      <c r="X181" s="4" t="s">
        <v>109</v>
      </c>
      <c r="Y181" s="4" t="s">
        <v>1853</v>
      </c>
      <c r="Z181" s="4" t="s">
        <v>1854</v>
      </c>
      <c r="AA181" s="39">
        <v>45640</v>
      </c>
      <c r="AB181" s="39">
        <v>45654</v>
      </c>
      <c r="AC181" s="39" t="s">
        <v>1853</v>
      </c>
      <c r="AD181" s="39">
        <v>45667</v>
      </c>
      <c r="AE181" s="39" t="s">
        <v>1853</v>
      </c>
      <c r="AF181" s="39">
        <v>45667</v>
      </c>
      <c r="AG181" s="56">
        <v>45667</v>
      </c>
      <c r="AH181" s="56">
        <v>49340</v>
      </c>
      <c r="AJ181" s="4" t="s">
        <v>109</v>
      </c>
      <c r="AK181" s="4" t="s">
        <v>109</v>
      </c>
      <c r="AL181" s="4" t="s">
        <v>109</v>
      </c>
      <c r="AM181" s="4" t="s">
        <v>109</v>
      </c>
      <c r="AP181" s="1">
        <f t="shared" si="5"/>
        <v>15</v>
      </c>
      <c r="AQ181" s="38">
        <f>AA182-Table1[[#This Row],[Closed Date]]</f>
        <v>49</v>
      </c>
    </row>
    <row r="182" spans="1:43" ht="18.75" customHeight="1" x14ac:dyDescent="0.3">
      <c r="A182" s="4">
        <f>Table1[[#This Row],[Project No]]</f>
        <v>2411487</v>
      </c>
      <c r="B182" s="110" t="str">
        <f>VLOOKUP(A:A,Table1[[Project No]:[Additional Remark]],2,FALSE)</f>
        <v>Lim Daw Woei</v>
      </c>
      <c r="C182" s="4" t="e" vm="5">
        <f>VLOOKUP(A:A,Table1[[#All],[Project No]:[Additional Remark]],7,FALSE)</f>
        <v>#VALUE!</v>
      </c>
      <c r="D182" s="4" t="str">
        <f>VLOOKUP(A:A,Table1[[#All],[Project No]:[Additional Remark]],4,FALSE)</f>
        <v>Tham</v>
      </c>
      <c r="E182" s="4" t="str">
        <f>VLOOKUP(A:A,Table1[[#All],[Project No]:[Additional Remark]],5,FALSE)</f>
        <v>R-PV</v>
      </c>
      <c r="F182" s="4" t="str">
        <f>VLOOKUP(A:A,Table1[[Project No]:[Additional Remark]],6,FALSE)</f>
        <v>NEM</v>
      </c>
      <c r="G182" s="4">
        <f>VLOOKUP(A:A,Table1[[Project No]:[Additional Remark]],8,FALSE)</f>
        <v>15.21</v>
      </c>
      <c r="H182" s="4" t="str">
        <f>VLOOKUP(A:A,Table1[[Project No]:[Additional Remark]],15,FALSE)</f>
        <v>Astronergy 585Wp</v>
      </c>
      <c r="I182" s="4">
        <f>VLOOKUP(A:A,Table1[[Project No]:[Additional Remark]],16,FALSE)</f>
        <v>26</v>
      </c>
      <c r="J182" s="1" t="str">
        <f>VLOOKUP(A:A,Table1[[Project No]:[Additional Remark]],17,FALSE)</f>
        <v>Huawei SUN2000-12KTL</v>
      </c>
      <c r="K182" s="127"/>
      <c r="L182" s="1" t="str">
        <f t="shared" si="4"/>
        <v>Completed</v>
      </c>
      <c r="M182" s="1" t="str">
        <f>VLOOKUP(A:A,'Finance Tracker'!A179:K419,8,FALSE)</f>
        <v>Invoice Completed</v>
      </c>
      <c r="N182" s="127"/>
      <c r="O182" s="1" t="s">
        <v>109</v>
      </c>
      <c r="P182" s="1" t="s">
        <v>109</v>
      </c>
      <c r="Q182" s="127"/>
      <c r="R182" s="56">
        <v>45621</v>
      </c>
      <c r="S182" s="56">
        <v>45628</v>
      </c>
      <c r="T182" s="1" t="s">
        <v>1819</v>
      </c>
      <c r="U182" s="56">
        <v>45985</v>
      </c>
      <c r="V182" s="39" t="s">
        <v>1853</v>
      </c>
      <c r="W182" s="1" t="s">
        <v>1853</v>
      </c>
      <c r="X182" s="4" t="s">
        <v>109</v>
      </c>
      <c r="Y182" s="4" t="s">
        <v>1853</v>
      </c>
      <c r="Z182" s="4" t="s">
        <v>1855</v>
      </c>
      <c r="AA182" s="39">
        <v>45649</v>
      </c>
      <c r="AB182" s="39">
        <v>45661</v>
      </c>
      <c r="AC182" s="39" t="s">
        <v>1853</v>
      </c>
      <c r="AD182" s="39">
        <v>45666</v>
      </c>
      <c r="AE182" s="39">
        <v>45663</v>
      </c>
      <c r="AF182" s="56">
        <v>45666</v>
      </c>
      <c r="AG182" s="56">
        <v>45666</v>
      </c>
      <c r="AH182" s="56">
        <v>49340</v>
      </c>
      <c r="AJ182" s="4" t="s">
        <v>109</v>
      </c>
      <c r="AK182" s="4" t="s">
        <v>109</v>
      </c>
      <c r="AL182" s="4" t="s">
        <v>109</v>
      </c>
      <c r="AM182" s="4" t="s">
        <v>109</v>
      </c>
      <c r="AP182" s="1">
        <f t="shared" si="5"/>
        <v>7</v>
      </c>
      <c r="AQ182" s="38">
        <f>AA183-Table1[[#This Row],[Closed Date]]</f>
        <v>60</v>
      </c>
    </row>
    <row r="183" spans="1:43" ht="18.75" customHeight="1" x14ac:dyDescent="0.3">
      <c r="A183" s="4">
        <f>Table1[[#This Row],[Project No]]</f>
        <v>2410476</v>
      </c>
      <c r="B183" s="110" t="str">
        <f>VLOOKUP(A:A,Table1[[Project No]:[Additional Remark]],2,FALSE)</f>
        <v>Choong Chin Fong</v>
      </c>
      <c r="C183" s="4" t="e" vm="8">
        <f>VLOOKUP(A:A,Table1[[#All],[Project No]:[Additional Remark]],7,FALSE)</f>
        <v>#VALUE!</v>
      </c>
      <c r="D183" s="4" t="str">
        <f>VLOOKUP(A:A,Table1[[#All],[Project No]:[Additional Remark]],4,FALSE)</f>
        <v>Tham</v>
      </c>
      <c r="E183" s="4" t="str">
        <f>VLOOKUP(A:A,Table1[[#All],[Project No]:[Additional Remark]],5,FALSE)</f>
        <v>R-PV</v>
      </c>
      <c r="F183" s="4" t="str">
        <f>VLOOKUP(A:A,Table1[[Project No]:[Additional Remark]],6,FALSE)</f>
        <v>NEM</v>
      </c>
      <c r="G183" s="4">
        <f>VLOOKUP(A:A,Table1[[Project No]:[Additional Remark]],8,FALSE)</f>
        <v>7.02</v>
      </c>
      <c r="H183" s="4" t="str">
        <f>VLOOKUP(A:A,Table1[[Project No]:[Additional Remark]],15,FALSE)</f>
        <v>Astronergy 585Wp</v>
      </c>
      <c r="I183" s="4">
        <f>VLOOKUP(A:A,Table1[[Project No]:[Additional Remark]],16,FALSE)</f>
        <v>12</v>
      </c>
      <c r="J183" s="1" t="str">
        <f>VLOOKUP(A:A,Table1[[Project No]:[Additional Remark]],17,FALSE)</f>
        <v>Huawei SUN2000-5KTL-L1</v>
      </c>
      <c r="K183" s="127"/>
      <c r="L183" s="1" t="str">
        <f t="shared" si="4"/>
        <v>Completed</v>
      </c>
      <c r="M183" s="1" t="str">
        <f>VLOOKUP(A:A,'Finance Tracker'!A180:K420,8,FALSE)</f>
        <v>Invoice Completed</v>
      </c>
      <c r="N183" s="127"/>
      <c r="O183" s="1" t="s">
        <v>109</v>
      </c>
      <c r="P183" s="1" t="s">
        <v>109</v>
      </c>
      <c r="Q183" s="127"/>
      <c r="R183" s="56">
        <v>45602</v>
      </c>
      <c r="S183" s="56">
        <v>45637</v>
      </c>
      <c r="T183" s="1" t="s">
        <v>1819</v>
      </c>
      <c r="U183" s="56"/>
      <c r="V183" s="39" t="s">
        <v>1853</v>
      </c>
      <c r="W183" s="1" t="s">
        <v>1853</v>
      </c>
      <c r="X183" s="4" t="s">
        <v>109</v>
      </c>
      <c r="Y183" s="4" t="s">
        <v>1853</v>
      </c>
      <c r="Z183" s="4" t="s">
        <v>1855</v>
      </c>
      <c r="AA183" s="39">
        <v>45660</v>
      </c>
      <c r="AB183" s="39" t="s">
        <v>1853</v>
      </c>
      <c r="AC183" s="39" t="s">
        <v>1853</v>
      </c>
      <c r="AD183" s="39" t="s">
        <v>1853</v>
      </c>
      <c r="AE183" s="39" t="s">
        <v>1853</v>
      </c>
      <c r="AF183" s="39">
        <v>45685</v>
      </c>
      <c r="AG183" s="56">
        <v>45685</v>
      </c>
      <c r="AH183" s="56">
        <v>49340</v>
      </c>
      <c r="AJ183" s="4" t="s">
        <v>109</v>
      </c>
      <c r="AK183" s="4" t="s">
        <v>109</v>
      </c>
      <c r="AL183" s="4" t="s">
        <v>109</v>
      </c>
      <c r="AM183" s="4" t="s">
        <v>109</v>
      </c>
      <c r="AP183" s="1">
        <f t="shared" si="5"/>
        <v>35</v>
      </c>
      <c r="AQ183" s="38">
        <f>AA184-Table1[[#This Row],[Closed Date]]</f>
        <v>-57</v>
      </c>
    </row>
    <row r="184" spans="1:43" ht="18.75" customHeight="1" x14ac:dyDescent="0.3">
      <c r="A184" s="4">
        <f>Table1[[#This Row],[Project No]]</f>
        <v>2407376</v>
      </c>
      <c r="B184" s="110" t="str">
        <f>VLOOKUP(A:A,Table1[[Project No]:[Additional Remark]],2,FALSE)</f>
        <v>Teoh Eng Siong</v>
      </c>
      <c r="C184" s="4" t="e" vm="11">
        <f>VLOOKUP(A:A,Table1[[#All],[Project No]:[Additional Remark]],7,FALSE)</f>
        <v>#VALUE!</v>
      </c>
      <c r="D184" s="4" t="str">
        <f>VLOOKUP(A:A,Table1[[#All],[Project No]:[Additional Remark]],4,FALSE)</f>
        <v>Chean Bang</v>
      </c>
      <c r="E184" s="4" t="str">
        <f>VLOOKUP(A:A,Table1[[#All],[Project No]:[Additional Remark]],5,FALSE)</f>
        <v>R-PV</v>
      </c>
      <c r="F184" s="4" t="str">
        <f>VLOOKUP(A:A,Table1[[Project No]:[Additional Remark]],6,FALSE)</f>
        <v>NEM</v>
      </c>
      <c r="G184" s="4">
        <f>VLOOKUP(A:A,Table1[[Project No]:[Additional Remark]],8,FALSE)</f>
        <v>10.53</v>
      </c>
      <c r="H184" s="4" t="str">
        <f>VLOOKUP(A:A,Table1[[Project No]:[Additional Remark]],15,FALSE)</f>
        <v>Astronergy 585Wp</v>
      </c>
      <c r="I184" s="4">
        <f>VLOOKUP(A:A,Table1[[Project No]:[Additional Remark]],16,FALSE)</f>
        <v>18</v>
      </c>
      <c r="J184" s="1" t="str">
        <f>VLOOKUP(A:A,Table1[[Project No]:[Additional Remark]],17,FALSE)</f>
        <v>Huawei SUN2000-8KTL</v>
      </c>
      <c r="K184" s="127"/>
      <c r="L184" s="1" t="str">
        <f t="shared" si="4"/>
        <v>Completed</v>
      </c>
      <c r="M184" s="1" t="str">
        <f>VLOOKUP(A:A,'Finance Tracker'!A181:K421,8,FALSE)</f>
        <v>Invoice Completed</v>
      </c>
      <c r="N184" s="127"/>
      <c r="O184" s="1" t="s">
        <v>109</v>
      </c>
      <c r="P184" s="1" t="s">
        <v>109</v>
      </c>
      <c r="Q184" s="127"/>
      <c r="R184" s="56">
        <v>45511</v>
      </c>
      <c r="S184" s="56">
        <v>45530</v>
      </c>
      <c r="T184" s="1" t="s">
        <v>1822</v>
      </c>
      <c r="U184" s="56">
        <v>45891</v>
      </c>
      <c r="V184" s="39" t="s">
        <v>1853</v>
      </c>
      <c r="W184" s="1" t="s">
        <v>1853</v>
      </c>
      <c r="X184" s="4" t="s">
        <v>109</v>
      </c>
      <c r="Y184" s="4" t="s">
        <v>1853</v>
      </c>
      <c r="Z184" s="4" t="s">
        <v>1853</v>
      </c>
      <c r="AA184" s="39">
        <v>45542</v>
      </c>
      <c r="AB184" s="39" t="s">
        <v>1853</v>
      </c>
      <c r="AC184" s="39" t="s">
        <v>1853</v>
      </c>
      <c r="AD184" s="39" t="s">
        <v>1853</v>
      </c>
      <c r="AE184" s="39">
        <v>45561</v>
      </c>
      <c r="AF184" s="39">
        <v>45564</v>
      </c>
      <c r="AG184" s="56">
        <v>45564</v>
      </c>
      <c r="AH184" s="56">
        <v>49217</v>
      </c>
      <c r="AJ184" s="4" t="s">
        <v>109</v>
      </c>
      <c r="AK184" s="4" t="s">
        <v>109</v>
      </c>
      <c r="AL184" s="4" t="s">
        <v>109</v>
      </c>
      <c r="AM184" s="4" t="s">
        <v>109</v>
      </c>
      <c r="AP184" s="1">
        <f t="shared" si="5"/>
        <v>19</v>
      </c>
      <c r="AQ184" s="38">
        <f>AA185-Table1[[#This Row],[Closed Date]]</f>
        <v>166</v>
      </c>
    </row>
    <row r="185" spans="1:43" ht="18.75" customHeight="1" x14ac:dyDescent="0.3">
      <c r="A185" s="4">
        <f>Table1[[#This Row],[Project No]]</f>
        <v>2410482</v>
      </c>
      <c r="B185" s="110" t="str">
        <f>VLOOKUP(A:A,Table1[[Project No]:[Additional Remark]],2,FALSE)</f>
        <v>Teo Thian Keong</v>
      </c>
      <c r="C185" s="4" t="e" vm="5">
        <f>VLOOKUP(A:A,Table1[[#All],[Project No]:[Additional Remark]],7,FALSE)</f>
        <v>#VALUE!</v>
      </c>
      <c r="D185" s="4" t="str">
        <f>VLOOKUP(A:A,Table1[[#All],[Project No]:[Additional Remark]],4,FALSE)</f>
        <v>Tham</v>
      </c>
      <c r="E185" s="4" t="str">
        <f>VLOOKUP(A:A,Table1[[#All],[Project No]:[Additional Remark]],5,FALSE)</f>
        <v>R-PV</v>
      </c>
      <c r="F185" s="4" t="str">
        <f>VLOOKUP(A:A,Table1[[Project No]:[Additional Remark]],6,FALSE)</f>
        <v>NEM</v>
      </c>
      <c r="G185" s="4">
        <f>VLOOKUP(A:A,Table1[[Project No]:[Additional Remark]],8,FALSE)</f>
        <v>8.7750000000000004</v>
      </c>
      <c r="H185" s="4" t="str">
        <f>VLOOKUP(A:A,Table1[[Project No]:[Additional Remark]],15,FALSE)</f>
        <v>Astronergy 585Wp</v>
      </c>
      <c r="I185" s="4">
        <f>VLOOKUP(A:A,Table1[[Project No]:[Additional Remark]],16,FALSE)</f>
        <v>15</v>
      </c>
      <c r="J185" s="1" t="str">
        <f>VLOOKUP(A:A,Table1[[Project No]:[Additional Remark]],17,FALSE)</f>
        <v>Huawei SUN2000-8KTL</v>
      </c>
      <c r="K185" s="127"/>
      <c r="L185" s="1" t="str">
        <f t="shared" si="4"/>
        <v>Completed</v>
      </c>
      <c r="M185" s="1" t="str">
        <f>VLOOKUP(A:A,'Finance Tracker'!A182:K422,8,FALSE)</f>
        <v>Invoice Completed</v>
      </c>
      <c r="N185" s="127"/>
      <c r="O185" s="1" t="s">
        <v>109</v>
      </c>
      <c r="P185" s="1" t="s">
        <v>109</v>
      </c>
      <c r="Q185" s="127"/>
      <c r="R185" s="56">
        <v>45621</v>
      </c>
      <c r="S185" s="56">
        <v>45632</v>
      </c>
      <c r="T185" s="1" t="s">
        <v>1819</v>
      </c>
      <c r="U185" s="56"/>
      <c r="V185" s="39" t="s">
        <v>1853</v>
      </c>
      <c r="W185" s="1" t="s">
        <v>1853</v>
      </c>
      <c r="X185" s="4" t="s">
        <v>109</v>
      </c>
      <c r="Y185" s="4" t="s">
        <v>1853</v>
      </c>
      <c r="Z185" s="4" t="s">
        <v>1853</v>
      </c>
      <c r="AA185" s="39">
        <v>45666</v>
      </c>
      <c r="AB185" s="39">
        <v>45685</v>
      </c>
      <c r="AC185" s="39" t="s">
        <v>1853</v>
      </c>
      <c r="AD185" s="39">
        <v>45693</v>
      </c>
      <c r="AE185" s="39">
        <v>45691</v>
      </c>
      <c r="AF185" s="39">
        <v>45693</v>
      </c>
      <c r="AG185" s="56">
        <v>45693</v>
      </c>
      <c r="AH185" s="56">
        <v>45716</v>
      </c>
      <c r="AJ185" s="4" t="s">
        <v>109</v>
      </c>
      <c r="AK185" s="4" t="s">
        <v>109</v>
      </c>
      <c r="AL185" s="4" t="s">
        <v>109</v>
      </c>
      <c r="AM185" s="4" t="s">
        <v>109</v>
      </c>
      <c r="AP185" s="1">
        <f t="shared" si="5"/>
        <v>11</v>
      </c>
      <c r="AQ185" s="38">
        <f>AA186-Table1[[#This Row],[Closed Date]]</f>
        <v>-45596</v>
      </c>
    </row>
    <row r="186" spans="1:43" s="199" customFormat="1" ht="18.75" customHeight="1" x14ac:dyDescent="0.3">
      <c r="A186" s="192">
        <f>Table1[[#This Row],[Project No]]</f>
        <v>2410471</v>
      </c>
      <c r="B186" s="193" t="str">
        <f>VLOOKUP(A:A,Table1[[Project No]:[Additional Remark]],2,FALSE)</f>
        <v>Chua Lu Chuan</v>
      </c>
      <c r="C186" s="192" t="e" vm="11">
        <f>VLOOKUP(A:A,Table1[[#All],[Project No]:[Additional Remark]],7,FALSE)</f>
        <v>#VALUE!</v>
      </c>
      <c r="D186" s="192" t="str">
        <f>VLOOKUP(A:A,Table1[[#All],[Project No]:[Additional Remark]],4,FALSE)</f>
        <v>Chean Bang</v>
      </c>
      <c r="E186" s="192" t="str">
        <f>VLOOKUP(A:A,Table1[[#All],[Project No]:[Additional Remark]],5,FALSE)</f>
        <v>R-PV</v>
      </c>
      <c r="F186" s="192" t="str">
        <f>VLOOKUP(A:A,Table1[[Project No]:[Additional Remark]],6,FALSE)</f>
        <v>NEM</v>
      </c>
      <c r="G186" s="192">
        <f>VLOOKUP(A:A,Table1[[Project No]:[Additional Remark]],8,FALSE)</f>
        <v>17.55</v>
      </c>
      <c r="H186" s="192" t="str">
        <f>VLOOKUP(A:A,Table1[[Project No]:[Additional Remark]],15,FALSE)</f>
        <v>Astronergy 585Wp</v>
      </c>
      <c r="I186" s="192">
        <f>VLOOKUP(A:A,Table1[[Project No]:[Additional Remark]],16,FALSE)</f>
        <v>30</v>
      </c>
      <c r="J186" s="194" t="str">
        <f>VLOOKUP(A:A,Table1[[Project No]:[Additional Remark]],17,FALSE)</f>
        <v>Huawei SUN2000-12KTL</v>
      </c>
      <c r="K186" s="195"/>
      <c r="L186" s="194" t="str">
        <f t="shared" si="4"/>
        <v>Pending Site Installation</v>
      </c>
      <c r="M186" s="194" t="str">
        <f>VLOOKUP(A:A,'Finance Tracker'!A183:K423,8,FALSE)</f>
        <v>1st invoice</v>
      </c>
      <c r="N186" s="195"/>
      <c r="O186" s="194" t="s">
        <v>109</v>
      </c>
      <c r="P186" s="194" t="s">
        <v>109</v>
      </c>
      <c r="Q186" s="195"/>
      <c r="R186" s="196">
        <v>45580</v>
      </c>
      <c r="S186" s="196">
        <v>45608</v>
      </c>
      <c r="T186" s="194" t="s">
        <v>1819</v>
      </c>
      <c r="U186" s="196">
        <v>45944</v>
      </c>
      <c r="V186" s="197" t="s">
        <v>1853</v>
      </c>
      <c r="W186" s="194" t="s">
        <v>1853</v>
      </c>
      <c r="X186" s="192" t="s">
        <v>109</v>
      </c>
      <c r="Y186" s="192" t="s">
        <v>1853</v>
      </c>
      <c r="Z186" s="192"/>
      <c r="AA186" s="197"/>
      <c r="AB186" s="197"/>
      <c r="AC186" s="197"/>
      <c r="AD186" s="197"/>
      <c r="AE186" s="197"/>
      <c r="AF186" s="197"/>
      <c r="AG186" s="196"/>
      <c r="AH186" s="196"/>
      <c r="AI186" s="198"/>
      <c r="AJ186" s="192" t="s">
        <v>109</v>
      </c>
      <c r="AK186" s="192" t="s">
        <v>109</v>
      </c>
      <c r="AL186" s="192" t="s">
        <v>109</v>
      </c>
      <c r="AM186" s="192" t="s">
        <v>109</v>
      </c>
      <c r="AP186" s="194">
        <f t="shared" si="5"/>
        <v>28</v>
      </c>
      <c r="AQ186" s="200">
        <f>AA187-Table1[[#This Row],[Closed Date]]</f>
        <v>74</v>
      </c>
    </row>
    <row r="187" spans="1:43" ht="18.75" customHeight="1" x14ac:dyDescent="0.3">
      <c r="A187" s="4">
        <f>Table1[[#This Row],[Project No]]</f>
        <v>2411489</v>
      </c>
      <c r="B187" s="110" t="str">
        <f>VLOOKUP(A:A,Table1[[Project No]:[Additional Remark]],2,FALSE)</f>
        <v>Quah Ewe Lee</v>
      </c>
      <c r="C187" s="4" t="e" vm="5">
        <f>VLOOKUP(A:A,Table1[[#All],[Project No]:[Additional Remark]],7,FALSE)</f>
        <v>#VALUE!</v>
      </c>
      <c r="D187" s="4" t="str">
        <f>VLOOKUP(A:A,Table1[[#All],[Project No]:[Additional Remark]],4,FALSE)</f>
        <v>Tham</v>
      </c>
      <c r="E187" s="4" t="str">
        <f>VLOOKUP(A:A,Table1[[#All],[Project No]:[Additional Remark]],5,FALSE)</f>
        <v>R-PV</v>
      </c>
      <c r="F187" s="4" t="str">
        <f>VLOOKUP(A:A,Table1[[Project No]:[Additional Remark]],6,FALSE)</f>
        <v>NEM</v>
      </c>
      <c r="G187" s="4">
        <f>VLOOKUP(A:A,Table1[[Project No]:[Additional Remark]],8,FALSE)</f>
        <v>14.04</v>
      </c>
      <c r="H187" s="4" t="str">
        <f>VLOOKUP(A:A,Table1[[Project No]:[Additional Remark]],15,FALSE)</f>
        <v>Astronergy 585Wp</v>
      </c>
      <c r="I187" s="4">
        <f>VLOOKUP(A:A,Table1[[Project No]:[Additional Remark]],16,FALSE)</f>
        <v>24</v>
      </c>
      <c r="J187" s="1" t="str">
        <f>VLOOKUP(A:A,Table1[[Project No]:[Additional Remark]],17,FALSE)</f>
        <v>Huawei SUN2000-12KTL</v>
      </c>
      <c r="K187" s="127"/>
      <c r="L187" s="1" t="str">
        <f t="shared" si="4"/>
        <v>Completed</v>
      </c>
      <c r="M187" s="1" t="str">
        <f>VLOOKUP(A:A,'Finance Tracker'!A184:K424,8,FALSE)</f>
        <v>Invoice Completed</v>
      </c>
      <c r="N187" s="127"/>
      <c r="O187" s="1" t="s">
        <v>109</v>
      </c>
      <c r="P187" s="1" t="s">
        <v>109</v>
      </c>
      <c r="Q187" s="127"/>
      <c r="R187" s="56">
        <v>45624</v>
      </c>
      <c r="S187" s="56">
        <v>45629</v>
      </c>
      <c r="T187" s="1" t="s">
        <v>1822</v>
      </c>
      <c r="U187" s="56">
        <v>45775</v>
      </c>
      <c r="V187" s="39" t="s">
        <v>1853</v>
      </c>
      <c r="W187" s="1" t="s">
        <v>1853</v>
      </c>
      <c r="X187" s="4" t="s">
        <v>109</v>
      </c>
      <c r="Y187" s="4" t="s">
        <v>1853</v>
      </c>
      <c r="Z187" s="4" t="s">
        <v>1853</v>
      </c>
      <c r="AA187" s="39">
        <v>45650</v>
      </c>
      <c r="AB187" s="39">
        <v>45661</v>
      </c>
      <c r="AC187" s="39" t="s">
        <v>1853</v>
      </c>
      <c r="AD187" s="39">
        <v>45666</v>
      </c>
      <c r="AE187" s="39">
        <v>45663</v>
      </c>
      <c r="AF187" s="39">
        <v>45666</v>
      </c>
      <c r="AG187" s="56">
        <v>45666</v>
      </c>
      <c r="AH187" s="56">
        <v>49340</v>
      </c>
      <c r="AJ187" s="4" t="s">
        <v>109</v>
      </c>
      <c r="AK187" s="4" t="s">
        <v>109</v>
      </c>
      <c r="AL187" s="4" t="s">
        <v>109</v>
      </c>
      <c r="AM187" s="4" t="s">
        <v>109</v>
      </c>
      <c r="AP187" s="1">
        <f t="shared" si="5"/>
        <v>5</v>
      </c>
      <c r="AQ187" s="38">
        <f>AA188-Table1[[#This Row],[Closed Date]]</f>
        <v>56</v>
      </c>
    </row>
    <row r="188" spans="1:43" ht="18.75" customHeight="1" x14ac:dyDescent="0.3">
      <c r="A188" s="4">
        <f>Table1[[#This Row],[Project No]]</f>
        <v>2411486</v>
      </c>
      <c r="B188" s="110" t="str">
        <f>VLOOKUP(A:A,Table1[[Project No]:[Additional Remark]],2,FALSE)</f>
        <v>Lim Chee Keong</v>
      </c>
      <c r="C188" s="4" t="e" vm="5">
        <f>VLOOKUP(A:A,Table1[[#All],[Project No]:[Additional Remark]],7,FALSE)</f>
        <v>#VALUE!</v>
      </c>
      <c r="D188" s="4" t="str">
        <f>VLOOKUP(A:A,Table1[[#All],[Project No]:[Additional Remark]],4,FALSE)</f>
        <v>Tham</v>
      </c>
      <c r="E188" s="4" t="str">
        <f>VLOOKUP(A:A,Table1[[#All],[Project No]:[Additional Remark]],5,FALSE)</f>
        <v>R-PV</v>
      </c>
      <c r="F188" s="4" t="str">
        <f>VLOOKUP(A:A,Table1[[Project No]:[Additional Remark]],6,FALSE)</f>
        <v>NEM</v>
      </c>
      <c r="G188" s="4">
        <f>VLOOKUP(A:A,Table1[[Project No]:[Additional Remark]],8,FALSE)</f>
        <v>13.455</v>
      </c>
      <c r="H188" s="4" t="str">
        <f>VLOOKUP(A:A,Table1[[Project No]:[Additional Remark]],15,FALSE)</f>
        <v>Astronergy 585Wp</v>
      </c>
      <c r="I188" s="4">
        <f>VLOOKUP(A:A,Table1[[Project No]:[Additional Remark]],16,FALSE)</f>
        <v>23</v>
      </c>
      <c r="J188" s="1" t="str">
        <f>VLOOKUP(A:A,Table1[[Project No]:[Additional Remark]],17,FALSE)</f>
        <v>Huawei SUN2000-10KTL</v>
      </c>
      <c r="K188" s="127"/>
      <c r="L188" s="1" t="str">
        <f t="shared" si="4"/>
        <v>Completed</v>
      </c>
      <c r="M188" s="1" t="str">
        <f>VLOOKUP(A:A,'Finance Tracker'!A185:K425,8,FALSE)</f>
        <v>Invoice Completed</v>
      </c>
      <c r="N188" s="127"/>
      <c r="O188" s="1" t="s">
        <v>109</v>
      </c>
      <c r="P188" s="1" t="s">
        <v>109</v>
      </c>
      <c r="Q188" s="127"/>
      <c r="R188" s="56">
        <v>45635</v>
      </c>
      <c r="S188" s="56">
        <v>45643</v>
      </c>
      <c r="T188" s="1" t="s">
        <v>1822</v>
      </c>
      <c r="U188" s="56">
        <v>45768</v>
      </c>
      <c r="V188" s="39" t="s">
        <v>1853</v>
      </c>
      <c r="W188" s="1" t="s">
        <v>1853</v>
      </c>
      <c r="X188" s="4" t="s">
        <v>109</v>
      </c>
      <c r="Y188" s="4" t="s">
        <v>1853</v>
      </c>
      <c r="Z188" s="4" t="s">
        <v>1853</v>
      </c>
      <c r="AA188" s="39">
        <v>45678</v>
      </c>
      <c r="AB188" s="39">
        <v>45684</v>
      </c>
      <c r="AC188" s="39" t="s">
        <v>1853</v>
      </c>
      <c r="AD188" s="39">
        <v>45688</v>
      </c>
      <c r="AE188" s="56">
        <v>45685</v>
      </c>
      <c r="AF188" s="56">
        <v>45688</v>
      </c>
      <c r="AG188" s="56">
        <v>45688</v>
      </c>
      <c r="AH188" s="56">
        <v>49340</v>
      </c>
      <c r="AJ188" s="4" t="s">
        <v>109</v>
      </c>
      <c r="AK188" s="4" t="s">
        <v>109</v>
      </c>
      <c r="AL188" s="4" t="s">
        <v>109</v>
      </c>
      <c r="AM188" s="4" t="s">
        <v>109</v>
      </c>
      <c r="AP188" s="1">
        <f t="shared" si="5"/>
        <v>8</v>
      </c>
      <c r="AQ188" s="38">
        <f>AA189-Table1[[#This Row],[Closed Date]]</f>
        <v>42</v>
      </c>
    </row>
    <row r="189" spans="1:43" ht="18.75" customHeight="1" x14ac:dyDescent="0.3">
      <c r="A189" s="4">
        <f>Table1[[#This Row],[Project No]]</f>
        <v>2411500</v>
      </c>
      <c r="B189" s="110" t="str">
        <f>VLOOKUP(A:A,Table1[[Project No]:[Additional Remark]],2,FALSE)</f>
        <v>Ho Maw Chun</v>
      </c>
      <c r="C189" s="4" t="e" vm="5">
        <f>VLOOKUP(A:A,Table1[[#All],[Project No]:[Additional Remark]],7,FALSE)</f>
        <v>#VALUE!</v>
      </c>
      <c r="D189" s="4" t="str">
        <f>VLOOKUP(A:A,Table1[[#All],[Project No]:[Additional Remark]],4,FALSE)</f>
        <v>Tham</v>
      </c>
      <c r="E189" s="4" t="str">
        <f>VLOOKUP(A:A,Table1[[#All],[Project No]:[Additional Remark]],5,FALSE)</f>
        <v>R-PV</v>
      </c>
      <c r="F189" s="4" t="str">
        <f>VLOOKUP(A:A,Table1[[Project No]:[Additional Remark]],6,FALSE)</f>
        <v>NEM</v>
      </c>
      <c r="G189" s="4">
        <f>VLOOKUP(A:A,Table1[[Project No]:[Additional Remark]],8,FALSE)</f>
        <v>14.16</v>
      </c>
      <c r="H189" s="4" t="str">
        <f>VLOOKUP(A:A,Table1[[Project No]:[Additional Remark]],15,FALSE)</f>
        <v>Astronergy 590Wp</v>
      </c>
      <c r="I189" s="4">
        <f>VLOOKUP(A:A,Table1[[Project No]:[Additional Remark]],16,FALSE)</f>
        <v>24</v>
      </c>
      <c r="J189" s="1" t="str">
        <f>VLOOKUP(A:A,Table1[[Project No]:[Additional Remark]],17,FALSE)</f>
        <v>Huawei SUN2000-12KTL</v>
      </c>
      <c r="K189" s="127"/>
      <c r="L189" s="1" t="str">
        <f t="shared" si="4"/>
        <v>Completed</v>
      </c>
      <c r="M189" s="1" t="str">
        <f>VLOOKUP(A:A,'Finance Tracker'!A186:K426,8,FALSE)</f>
        <v>Invoice Completed</v>
      </c>
      <c r="N189" s="127"/>
      <c r="O189" s="1" t="s">
        <v>109</v>
      </c>
      <c r="P189" s="1" t="s">
        <v>109</v>
      </c>
      <c r="Q189" s="127"/>
      <c r="R189" s="56">
        <v>45636</v>
      </c>
      <c r="S189" s="56">
        <v>45643</v>
      </c>
      <c r="T189" s="1" t="s">
        <v>1822</v>
      </c>
      <c r="U189" s="56">
        <v>45768</v>
      </c>
      <c r="V189" s="39" t="s">
        <v>1853</v>
      </c>
      <c r="W189" s="1" t="s">
        <v>1853</v>
      </c>
      <c r="X189" s="4" t="s">
        <v>109</v>
      </c>
      <c r="Y189" s="4" t="s">
        <v>1853</v>
      </c>
      <c r="Z189" s="4" t="s">
        <v>1853</v>
      </c>
      <c r="AA189" s="39">
        <v>45670</v>
      </c>
      <c r="AB189" s="39">
        <v>45683</v>
      </c>
      <c r="AC189" s="39" t="s">
        <v>1853</v>
      </c>
      <c r="AD189" s="39">
        <v>45694</v>
      </c>
      <c r="AE189" s="56">
        <v>45693</v>
      </c>
      <c r="AF189" s="56">
        <v>45694</v>
      </c>
      <c r="AG189" s="56">
        <v>45694</v>
      </c>
      <c r="AH189" s="56">
        <v>49368</v>
      </c>
      <c r="AJ189" s="4" t="s">
        <v>109</v>
      </c>
      <c r="AK189" s="4" t="s">
        <v>109</v>
      </c>
      <c r="AL189" s="4" t="s">
        <v>109</v>
      </c>
      <c r="AM189" s="4" t="s">
        <v>109</v>
      </c>
      <c r="AP189" s="1">
        <f t="shared" si="5"/>
        <v>7</v>
      </c>
      <c r="AQ189" s="38" t="e">
        <f>AA190-Table1[[#This Row],[Closed Date]]</f>
        <v>#VALUE!</v>
      </c>
    </row>
    <row r="190" spans="1:43" ht="18.75" customHeight="1" x14ac:dyDescent="0.3">
      <c r="A190" s="4">
        <f>Table1[[#This Row],[Project No]]</f>
        <v>2410034</v>
      </c>
      <c r="B190" s="110" t="str">
        <f>VLOOKUP(A:A,Table1[[Project No]:[Additional Remark]],2,FALSE)</f>
        <v>Handal Green Mobility Sdn Bhd (Pulse Grande Hotel)</v>
      </c>
      <c r="C190" s="4" t="e" vm="5">
        <f>VLOOKUP(A:A,Table1[[#All],[Project No]:[Additional Remark]],7,FALSE)</f>
        <v>#VALUE!</v>
      </c>
      <c r="D190" s="4" t="str">
        <f>VLOOKUP(A:A,Table1[[#All],[Project No]:[Additional Remark]],4,FALSE)</f>
        <v>Chean Bang</v>
      </c>
      <c r="E190" s="4" t="str">
        <f>VLOOKUP(A:A,Table1[[#All],[Project No]:[Additional Remark]],5,FALSE)</f>
        <v>EV Charger</v>
      </c>
      <c r="F190" s="4" t="str">
        <f>VLOOKUP(A:A,Table1[[Project No]:[Additional Remark]],6,FALSE)</f>
        <v>-</v>
      </c>
      <c r="G190" s="4">
        <f>VLOOKUP(A:A,Table1[[Project No]:[Additional Remark]],8,FALSE)</f>
        <v>0</v>
      </c>
      <c r="H190" s="4" t="str">
        <f>VLOOKUP(A:A,Table1[[Project No]:[Additional Remark]],15,FALSE)</f>
        <v>-</v>
      </c>
      <c r="I190" s="4" t="str">
        <f>VLOOKUP(A:A,Table1[[Project No]:[Additional Remark]],16,FALSE)</f>
        <v>-</v>
      </c>
      <c r="J190" s="1" t="str">
        <f>VLOOKUP(A:A,Table1[[Project No]:[Additional Remark]],17,FALSE)</f>
        <v>-</v>
      </c>
      <c r="K190" s="127"/>
      <c r="L190" s="1" t="str">
        <f t="shared" si="4"/>
        <v>Completed</v>
      </c>
      <c r="M190" s="1" t="str">
        <f>VLOOKUP(A:A,'Finance Tracker'!A187:K427,8,FALSE)</f>
        <v>Invoice Completed</v>
      </c>
      <c r="N190" s="127"/>
      <c r="O190" s="1" t="s">
        <v>109</v>
      </c>
      <c r="P190" s="1" t="s">
        <v>109</v>
      </c>
      <c r="Q190" s="127"/>
      <c r="R190" s="56" t="s">
        <v>109</v>
      </c>
      <c r="S190" s="56" t="s">
        <v>109</v>
      </c>
      <c r="T190" s="56" t="s">
        <v>109</v>
      </c>
      <c r="U190" s="56" t="s">
        <v>109</v>
      </c>
      <c r="V190" s="39" t="s">
        <v>1853</v>
      </c>
      <c r="W190" s="1" t="s">
        <v>1853</v>
      </c>
      <c r="X190" s="4" t="s">
        <v>109</v>
      </c>
      <c r="Y190" s="4" t="s">
        <v>1853</v>
      </c>
      <c r="Z190" s="4" t="s">
        <v>1853</v>
      </c>
      <c r="AA190" s="39" t="s">
        <v>1853</v>
      </c>
      <c r="AB190" s="39" t="s">
        <v>109</v>
      </c>
      <c r="AC190" s="39" t="s">
        <v>109</v>
      </c>
      <c r="AD190" s="39" t="s">
        <v>109</v>
      </c>
      <c r="AE190" s="39" t="s">
        <v>109</v>
      </c>
      <c r="AF190" s="39" t="s">
        <v>109</v>
      </c>
      <c r="AG190" s="39" t="s">
        <v>109</v>
      </c>
      <c r="AH190" s="39" t="s">
        <v>109</v>
      </c>
      <c r="AJ190" s="4" t="s">
        <v>109</v>
      </c>
      <c r="AK190" s="4" t="s">
        <v>109</v>
      </c>
      <c r="AL190" s="4" t="s">
        <v>109</v>
      </c>
      <c r="AM190" s="4" t="s">
        <v>109</v>
      </c>
      <c r="AP190" s="1" t="e">
        <f t="shared" si="5"/>
        <v>#VALUE!</v>
      </c>
      <c r="AQ190" s="38">
        <f>AA191-Table1[[#This Row],[Closed Date]]</f>
        <v>101</v>
      </c>
    </row>
    <row r="191" spans="1:43" s="244" customFormat="1" ht="18.75" customHeight="1" x14ac:dyDescent="0.3">
      <c r="A191" s="237">
        <f>Table1[[#This Row],[Project No]]</f>
        <v>2411494</v>
      </c>
      <c r="B191" s="238" t="str">
        <f>VLOOKUP(A:A,Table1[[Project No]:[Additional Remark]],2,FALSE)</f>
        <v>Pang Kim Soon</v>
      </c>
      <c r="C191" s="237" t="e" vm="11">
        <f>VLOOKUP(A:A,Table1[[#All],[Project No]:[Additional Remark]],7,FALSE)</f>
        <v>#VALUE!</v>
      </c>
      <c r="D191" s="237" t="str">
        <f>VLOOKUP(A:A,Table1[[#All],[Project No]:[Additional Remark]],4,FALSE)</f>
        <v>Chean Bang</v>
      </c>
      <c r="E191" s="237" t="str">
        <f>VLOOKUP(A:A,Table1[[#All],[Project No]:[Additional Remark]],5,FALSE)</f>
        <v>R-PV</v>
      </c>
      <c r="F191" s="237" t="str">
        <f>VLOOKUP(A:A,Table1[[Project No]:[Additional Remark]],6,FALSE)</f>
        <v>NEM</v>
      </c>
      <c r="G191" s="237">
        <f>VLOOKUP(A:A,Table1[[Project No]:[Additional Remark]],8,FALSE)</f>
        <v>17.55</v>
      </c>
      <c r="H191" s="237" t="str">
        <f>VLOOKUP(A:A,Table1[[Project No]:[Additional Remark]],15,FALSE)</f>
        <v>Astronergy 585Wp</v>
      </c>
      <c r="I191" s="237">
        <f>VLOOKUP(A:A,Table1[[Project No]:[Additional Remark]],16,FALSE)</f>
        <v>30</v>
      </c>
      <c r="J191" s="239" t="str">
        <f>VLOOKUP(A:A,Table1[[Project No]:[Additional Remark]],17,FALSE)</f>
        <v>Huawei SUN2000-12KTL</v>
      </c>
      <c r="K191" s="240"/>
      <c r="L191" s="239" t="str">
        <f t="shared" si="4"/>
        <v>Pending NEM Welcome Letter</v>
      </c>
      <c r="M191" s="239" t="str">
        <f>VLOOKUP(A:A,'Finance Tracker'!A189:K429,8,FALSE)</f>
        <v>Invoice Completed</v>
      </c>
      <c r="N191" s="240"/>
      <c r="O191" s="239" t="s">
        <v>109</v>
      </c>
      <c r="P191" s="239" t="s">
        <v>109</v>
      </c>
      <c r="Q191" s="240"/>
      <c r="R191" s="241">
        <v>45635</v>
      </c>
      <c r="S191" s="241">
        <v>45643</v>
      </c>
      <c r="T191" s="239" t="s">
        <v>1819</v>
      </c>
      <c r="U191" s="241"/>
      <c r="V191" s="242" t="s">
        <v>1853</v>
      </c>
      <c r="W191" s="239" t="s">
        <v>1853</v>
      </c>
      <c r="X191" s="237" t="s">
        <v>109</v>
      </c>
      <c r="Y191" s="237" t="s">
        <v>1853</v>
      </c>
      <c r="Z191" s="237" t="s">
        <v>1853</v>
      </c>
      <c r="AA191" s="242">
        <v>45722</v>
      </c>
      <c r="AB191" s="242">
        <v>45741</v>
      </c>
      <c r="AC191" s="242" t="s">
        <v>1857</v>
      </c>
      <c r="AD191" s="242">
        <v>45755</v>
      </c>
      <c r="AE191" s="241">
        <v>45755</v>
      </c>
      <c r="AF191" s="241" t="s">
        <v>1853</v>
      </c>
      <c r="AG191" s="241"/>
      <c r="AH191" s="241"/>
      <c r="AI191" s="243"/>
      <c r="AJ191" s="237" t="s">
        <v>109</v>
      </c>
      <c r="AK191" s="237" t="s">
        <v>109</v>
      </c>
      <c r="AL191" s="237" t="s">
        <v>109</v>
      </c>
      <c r="AM191" s="237" t="s">
        <v>109</v>
      </c>
      <c r="AP191" s="239">
        <f t="shared" si="5"/>
        <v>8</v>
      </c>
      <c r="AQ191" s="245">
        <f>AA192-Table1[[#This Row],[Closed Date]]</f>
        <v>50</v>
      </c>
    </row>
    <row r="192" spans="1:43" ht="18.75" customHeight="1" x14ac:dyDescent="0.3">
      <c r="A192" s="4">
        <f>Table1[[#This Row],[Project No]]</f>
        <v>2411496</v>
      </c>
      <c r="B192" s="110" t="str">
        <f>VLOOKUP(A:A,Table1[[Project No]:[Additional Remark]],2,FALSE)</f>
        <v>Teong Lian Aik</v>
      </c>
      <c r="C192" s="4" t="e" vm="4">
        <f>VLOOKUP(A:A,Table1[[#All],[Project No]:[Additional Remark]],7,FALSE)</f>
        <v>#VALUE!</v>
      </c>
      <c r="D192" s="4" t="str">
        <f>VLOOKUP(A:A,Table1[[#All],[Project No]:[Additional Remark]],4,FALSE)</f>
        <v>Tham</v>
      </c>
      <c r="E192" s="4" t="str">
        <f>VLOOKUP(A:A,Table1[[#All],[Project No]:[Additional Remark]],5,FALSE)</f>
        <v>R-PV</v>
      </c>
      <c r="F192" s="4" t="str">
        <f>VLOOKUP(A:A,Table1[[Project No]:[Additional Remark]],6,FALSE)</f>
        <v>NEM</v>
      </c>
      <c r="G192" s="4">
        <f>VLOOKUP(A:A,Table1[[Project No]:[Additional Remark]],8,FALSE)</f>
        <v>9.36</v>
      </c>
      <c r="H192" s="4" t="str">
        <f>VLOOKUP(A:A,Table1[[Project No]:[Additional Remark]],15,FALSE)</f>
        <v>Astronergy 585Wp</v>
      </c>
      <c r="I192" s="4">
        <f>VLOOKUP(A:A,Table1[[Project No]:[Additional Remark]],16,FALSE)</f>
        <v>16</v>
      </c>
      <c r="J192" s="1" t="str">
        <f>VLOOKUP(A:A,Table1[[Project No]:[Additional Remark]],17,FALSE)</f>
        <v>Huawei SUN2000-8KTL</v>
      </c>
      <c r="K192" s="127"/>
      <c r="L192" s="1" t="str">
        <f t="shared" si="4"/>
        <v>Completed</v>
      </c>
      <c r="M192" s="1" t="str">
        <f>VLOOKUP(A:A,'Finance Tracker'!A189:K429,8,FALSE)</f>
        <v>Invoice Completed</v>
      </c>
      <c r="N192" s="127"/>
      <c r="O192" s="1" t="s">
        <v>109</v>
      </c>
      <c r="P192" s="1" t="s">
        <v>109</v>
      </c>
      <c r="Q192" s="127"/>
      <c r="R192" s="56">
        <v>45654</v>
      </c>
      <c r="S192" s="56">
        <v>45657</v>
      </c>
      <c r="T192" s="1" t="s">
        <v>1822</v>
      </c>
      <c r="U192" s="56">
        <v>45792</v>
      </c>
      <c r="V192" s="39" t="s">
        <v>1853</v>
      </c>
      <c r="W192" s="1" t="s">
        <v>1853</v>
      </c>
      <c r="X192" s="4" t="s">
        <v>109</v>
      </c>
      <c r="Y192" s="4" t="s">
        <v>1853</v>
      </c>
      <c r="Z192" s="4" t="s">
        <v>1855</v>
      </c>
      <c r="AA192" s="39">
        <v>45672</v>
      </c>
      <c r="AB192" s="39">
        <v>45685</v>
      </c>
      <c r="AC192" s="39" t="s">
        <v>1853</v>
      </c>
      <c r="AD192" s="39">
        <v>45690</v>
      </c>
      <c r="AE192" s="56">
        <v>45685</v>
      </c>
      <c r="AF192" s="56">
        <v>45690</v>
      </c>
      <c r="AG192" s="56">
        <v>45690</v>
      </c>
      <c r="AH192" s="56">
        <v>49368</v>
      </c>
      <c r="AJ192" s="4" t="s">
        <v>109</v>
      </c>
      <c r="AK192" s="4" t="s">
        <v>109</v>
      </c>
      <c r="AL192" s="4" t="s">
        <v>109</v>
      </c>
      <c r="AM192" s="4" t="s">
        <v>109</v>
      </c>
      <c r="AP192" s="1">
        <f t="shared" si="5"/>
        <v>3</v>
      </c>
      <c r="AQ192" s="38">
        <f>AA193-Table1[[#This Row],[Closed Date]]</f>
        <v>71</v>
      </c>
    </row>
    <row r="193" spans="1:43" s="244" customFormat="1" ht="18.75" customHeight="1" x14ac:dyDescent="0.3">
      <c r="A193" s="237">
        <f>Table1[[#This Row],[Project No]]</f>
        <v>2404224</v>
      </c>
      <c r="B193" s="238" t="str">
        <f>VLOOKUP(A:A,Table1[[Project No]:[Additional Remark]],2,FALSE)</f>
        <v>Vijayalakshmi a/p Krishnaswamy (Tan Sri Rama Iyer)</v>
      </c>
      <c r="C193" s="237" t="e" vm="5">
        <f>VLOOKUP(A:A,Table1[[#All],[Project No]:[Additional Remark]],7,FALSE)</f>
        <v>#VALUE!</v>
      </c>
      <c r="D193" s="237" t="str">
        <f>VLOOKUP(A:A,Table1[[#All],[Project No]:[Additional Remark]],4,FALSE)</f>
        <v>Tham</v>
      </c>
      <c r="E193" s="237" t="str">
        <f>VLOOKUP(A:A,Table1[[#All],[Project No]:[Additional Remark]],5,FALSE)</f>
        <v>R-PV</v>
      </c>
      <c r="F193" s="237" t="str">
        <f>VLOOKUP(A:A,Table1[[Project No]:[Additional Remark]],6,FALSE)</f>
        <v>NEM</v>
      </c>
      <c r="G193" s="237">
        <f>VLOOKUP(A:A,Table1[[Project No]:[Additional Remark]],8,FALSE)</f>
        <v>17.7</v>
      </c>
      <c r="H193" s="237" t="str">
        <f>VLOOKUP(A:A,Table1[[Project No]:[Additional Remark]],15,FALSE)</f>
        <v>Astronergy 590Wp</v>
      </c>
      <c r="I193" s="237">
        <f>VLOOKUP(A:A,Table1[[Project No]:[Additional Remark]],16,FALSE)</f>
        <v>30</v>
      </c>
      <c r="J193" s="239" t="str">
        <f>VLOOKUP(A:A,Table1[[Project No]:[Additional Remark]],17,FALSE)</f>
        <v>Huawei SUN2000-12KTL</v>
      </c>
      <c r="K193" s="240"/>
      <c r="L193" s="239" t="str">
        <f t="shared" si="4"/>
        <v>Pending NEM Welcome Letter</v>
      </c>
      <c r="M193" s="239" t="str">
        <f>VLOOKUP(A:A,'Finance Tracker'!A190:K430,8,FALSE)</f>
        <v>Invoice Completed</v>
      </c>
      <c r="N193" s="240"/>
      <c r="O193" s="239" t="s">
        <v>109</v>
      </c>
      <c r="P193" s="239" t="s">
        <v>109</v>
      </c>
      <c r="Q193" s="240"/>
      <c r="R193" s="241">
        <v>45656</v>
      </c>
      <c r="S193" s="241">
        <v>45660</v>
      </c>
      <c r="T193" s="239" t="s">
        <v>1819</v>
      </c>
      <c r="U193" s="241"/>
      <c r="V193" s="242" t="s">
        <v>1853</v>
      </c>
      <c r="W193" s="239" t="s">
        <v>1853</v>
      </c>
      <c r="X193" s="237" t="s">
        <v>109</v>
      </c>
      <c r="Y193" s="237" t="s">
        <v>1853</v>
      </c>
      <c r="Z193" s="237" t="s">
        <v>1855</v>
      </c>
      <c r="AA193" s="242">
        <v>45693</v>
      </c>
      <c r="AB193" s="242">
        <v>45697</v>
      </c>
      <c r="AC193" s="242" t="s">
        <v>1853</v>
      </c>
      <c r="AD193" s="242">
        <v>45701</v>
      </c>
      <c r="AE193" s="241">
        <v>45700</v>
      </c>
      <c r="AF193" s="241">
        <v>45701</v>
      </c>
      <c r="AG193" s="241"/>
      <c r="AH193" s="241"/>
      <c r="AI193" s="243"/>
      <c r="AJ193" s="237" t="s">
        <v>109</v>
      </c>
      <c r="AK193" s="237" t="s">
        <v>109</v>
      </c>
      <c r="AL193" s="237" t="s">
        <v>109</v>
      </c>
      <c r="AM193" s="237" t="s">
        <v>109</v>
      </c>
      <c r="AP193" s="239">
        <f t="shared" si="5"/>
        <v>4</v>
      </c>
      <c r="AQ193" s="245">
        <f>AA194-Table1[[#This Row],[Closed Date]]</f>
        <v>93</v>
      </c>
    </row>
    <row r="194" spans="1:43" s="244" customFormat="1" ht="18.75" customHeight="1" x14ac:dyDescent="0.3">
      <c r="A194" s="237">
        <f>Table1[[#This Row],[Project No]]</f>
        <v>2411491</v>
      </c>
      <c r="B194" s="238" t="str">
        <f>VLOOKUP(A:A,Table1[[Project No]:[Additional Remark]],2,FALSE)</f>
        <v>Low Kim Keong</v>
      </c>
      <c r="C194" s="237" t="e" vm="11">
        <f>VLOOKUP(A:A,Table1[[#All],[Project No]:[Additional Remark]],7,FALSE)</f>
        <v>#VALUE!</v>
      </c>
      <c r="D194" s="237" t="str">
        <f>VLOOKUP(A:A,Table1[[#All],[Project No]:[Additional Remark]],4,FALSE)</f>
        <v>Chean Bang</v>
      </c>
      <c r="E194" s="237" t="str">
        <f>VLOOKUP(A:A,Table1[[#All],[Project No]:[Additional Remark]],5,FALSE)</f>
        <v>R-PV</v>
      </c>
      <c r="F194" s="237" t="str">
        <f>VLOOKUP(A:A,Table1[[Project No]:[Additional Remark]],6,FALSE)</f>
        <v>NEM</v>
      </c>
      <c r="G194" s="237">
        <f>VLOOKUP(A:A,Table1[[Project No]:[Additional Remark]],8,FALSE)</f>
        <v>11.7</v>
      </c>
      <c r="H194" s="237" t="str">
        <f>VLOOKUP(A:A,Table1[[Project No]:[Additional Remark]],15,FALSE)</f>
        <v>Astronergy 585Wp</v>
      </c>
      <c r="I194" s="237">
        <f>VLOOKUP(A:A,Table1[[Project No]:[Additional Remark]],16,FALSE)</f>
        <v>20</v>
      </c>
      <c r="J194" s="239" t="str">
        <f>VLOOKUP(A:A,Table1[[Project No]:[Additional Remark]],17,FALSE)</f>
        <v>Huawei SUN2000-10KTL</v>
      </c>
      <c r="K194" s="240"/>
      <c r="L194" s="239" t="str">
        <f t="shared" si="4"/>
        <v>Pending NEM Welcome Letter</v>
      </c>
      <c r="M194" s="239" t="str">
        <f>VLOOKUP(A:A,'Finance Tracker'!A191:K431,8,FALSE)</f>
        <v>Invoice Completed</v>
      </c>
      <c r="N194" s="240"/>
      <c r="O194" s="239" t="s">
        <v>109</v>
      </c>
      <c r="P194" s="239" t="s">
        <v>109</v>
      </c>
      <c r="Q194" s="240"/>
      <c r="R194" s="241">
        <v>45656</v>
      </c>
      <c r="S194" s="241">
        <v>45679</v>
      </c>
      <c r="T194" s="239" t="s">
        <v>1819</v>
      </c>
      <c r="U194" s="241"/>
      <c r="V194" s="242" t="s">
        <v>1853</v>
      </c>
      <c r="W194" s="239" t="s">
        <v>1853</v>
      </c>
      <c r="X194" s="237" t="s">
        <v>109</v>
      </c>
      <c r="Y194" s="237" t="s">
        <v>1853</v>
      </c>
      <c r="Z194" s="237" t="s">
        <v>1854</v>
      </c>
      <c r="AA194" s="242">
        <v>45717</v>
      </c>
      <c r="AB194" s="242">
        <v>45743</v>
      </c>
      <c r="AC194" s="242" t="s">
        <v>1853</v>
      </c>
      <c r="AD194" s="242">
        <v>45760</v>
      </c>
      <c r="AE194" s="241">
        <v>45750</v>
      </c>
      <c r="AF194" s="239" t="s">
        <v>1853</v>
      </c>
      <c r="AG194" s="241"/>
      <c r="AH194" s="241"/>
      <c r="AI194" s="243"/>
      <c r="AJ194" s="237" t="s">
        <v>109</v>
      </c>
      <c r="AK194" s="237" t="s">
        <v>109</v>
      </c>
      <c r="AL194" s="237" t="s">
        <v>109</v>
      </c>
      <c r="AM194" s="237" t="s">
        <v>109</v>
      </c>
      <c r="AP194" s="239">
        <f t="shared" si="5"/>
        <v>23</v>
      </c>
      <c r="AQ194" s="245">
        <f>AA195-Table1[[#This Row],[Closed Date]]</f>
        <v>28</v>
      </c>
    </row>
    <row r="195" spans="1:43" ht="18.75" customHeight="1" x14ac:dyDescent="0.3">
      <c r="A195" s="4">
        <f>Table1[[#This Row],[Project No]]</f>
        <v>2411490</v>
      </c>
      <c r="B195" s="110" t="str">
        <f>VLOOKUP(A:A,Table1[[Project No]:[Additional Remark]],2,FALSE)</f>
        <v>Chear Eng Soon</v>
      </c>
      <c r="C195" s="4" t="e" vm="8">
        <f>VLOOKUP(A:A,Table1[[#All],[Project No]:[Additional Remark]],7,FALSE)</f>
        <v>#VALUE!</v>
      </c>
      <c r="D195" s="4" t="str">
        <f>VLOOKUP(A:A,Table1[[#All],[Project No]:[Additional Remark]],4,FALSE)</f>
        <v>Chean Bang</v>
      </c>
      <c r="E195" s="4" t="str">
        <f>VLOOKUP(A:A,Table1[[#All],[Project No]:[Additional Remark]],5,FALSE)</f>
        <v>R-PV</v>
      </c>
      <c r="F195" s="4" t="str">
        <f>VLOOKUP(A:A,Table1[[Project No]:[Additional Remark]],6,FALSE)</f>
        <v>NEM</v>
      </c>
      <c r="G195" s="4">
        <f>VLOOKUP(A:A,Table1[[Project No]:[Additional Remark]],8,FALSE)</f>
        <v>7.02</v>
      </c>
      <c r="H195" s="4" t="str">
        <f>VLOOKUP(A:A,Table1[[Project No]:[Additional Remark]],15,FALSE)</f>
        <v>Astronergy 585Wp</v>
      </c>
      <c r="I195" s="4">
        <f>VLOOKUP(A:A,Table1[[Project No]:[Additional Remark]],16,FALSE)</f>
        <v>12</v>
      </c>
      <c r="J195" s="1" t="str">
        <f>VLOOKUP(A:A,Table1[[Project No]:[Additional Remark]],17,FALSE)</f>
        <v>Huawei SUN2000-5KTL-L1</v>
      </c>
      <c r="K195" s="127"/>
      <c r="L195" s="1" t="str">
        <f t="shared" si="4"/>
        <v>Completed</v>
      </c>
      <c r="M195" s="1" t="str">
        <f>VLOOKUP(A:A,'Finance Tracker'!A192:K432,8,FALSE)</f>
        <v>2nd invoice</v>
      </c>
      <c r="N195" s="127"/>
      <c r="O195" s="1" t="s">
        <v>109</v>
      </c>
      <c r="P195" s="1" t="s">
        <v>109</v>
      </c>
      <c r="Q195" s="127"/>
      <c r="R195" s="56">
        <v>45640</v>
      </c>
      <c r="S195" s="56">
        <v>45643</v>
      </c>
      <c r="T195" s="1" t="s">
        <v>1822</v>
      </c>
      <c r="U195" s="56">
        <v>45776</v>
      </c>
      <c r="V195" s="39" t="s">
        <v>1853</v>
      </c>
      <c r="W195" s="1" t="s">
        <v>1853</v>
      </c>
      <c r="X195" s="4" t="s">
        <v>109</v>
      </c>
      <c r="Y195" s="4" t="s">
        <v>1853</v>
      </c>
      <c r="Z195" s="4" t="s">
        <v>1855</v>
      </c>
      <c r="AA195" s="39">
        <v>45659</v>
      </c>
      <c r="AB195" s="39">
        <v>45673</v>
      </c>
      <c r="AC195" s="39" t="s">
        <v>1853</v>
      </c>
      <c r="AD195" s="39">
        <v>45691</v>
      </c>
      <c r="AE195" s="56">
        <v>45674</v>
      </c>
      <c r="AF195" s="56">
        <v>45691</v>
      </c>
      <c r="AG195" s="56">
        <v>45691</v>
      </c>
      <c r="AH195" s="56">
        <v>49368</v>
      </c>
      <c r="AJ195" s="4" t="s">
        <v>109</v>
      </c>
      <c r="AK195" s="4" t="s">
        <v>109</v>
      </c>
      <c r="AL195" s="4" t="s">
        <v>109</v>
      </c>
      <c r="AM195" s="4" t="s">
        <v>109</v>
      </c>
      <c r="AP195" s="1">
        <f t="shared" si="5"/>
        <v>3</v>
      </c>
      <c r="AQ195" s="38">
        <f>AA196-Table1[[#This Row],[Closed Date]]</f>
        <v>37</v>
      </c>
    </row>
    <row r="196" spans="1:43" ht="18.75" customHeight="1" x14ac:dyDescent="0.3">
      <c r="A196" s="4">
        <f>Table1[[#This Row],[Project No]]</f>
        <v>2412504</v>
      </c>
      <c r="B196" s="110" t="str">
        <f>VLOOKUP(A:A,Table1[[Project No]:[Additional Remark]],2,FALSE)</f>
        <v>Thiong Jeng Ell</v>
      </c>
      <c r="C196" s="4" t="e" vm="11">
        <f>VLOOKUP(A:A,Table1[[#All],[Project No]:[Additional Remark]],7,FALSE)</f>
        <v>#VALUE!</v>
      </c>
      <c r="D196" s="4" t="str">
        <f>VLOOKUP(A:A,Table1[[#All],[Project No]:[Additional Remark]],4,FALSE)</f>
        <v>Patricia</v>
      </c>
      <c r="E196" s="4" t="str">
        <f>VLOOKUP(A:A,Table1[[#All],[Project No]:[Additional Remark]],5,FALSE)</f>
        <v>R-PV</v>
      </c>
      <c r="F196" s="4" t="str">
        <f>VLOOKUP(A:A,Table1[[Project No]:[Additional Remark]],6,FALSE)</f>
        <v>NEM</v>
      </c>
      <c r="G196" s="4">
        <f>VLOOKUP(A:A,Table1[[Project No]:[Additional Remark]],8,FALSE)</f>
        <v>9.36</v>
      </c>
      <c r="H196" s="4" t="str">
        <f>VLOOKUP(A:A,Table1[[Project No]:[Additional Remark]],15,FALSE)</f>
        <v>Astronergy 585Wp</v>
      </c>
      <c r="I196" s="4">
        <f>VLOOKUP(A:A,Table1[[Project No]:[Additional Remark]],16,FALSE)</f>
        <v>16</v>
      </c>
      <c r="J196" s="1" t="str">
        <f>VLOOKUP(A:A,Table1[[Project No]:[Additional Remark]],17,FALSE)</f>
        <v>Huawei SUN2000-8KTL</v>
      </c>
      <c r="K196" s="127"/>
      <c r="L196" s="1" t="str">
        <f t="shared" si="4"/>
        <v>Completed</v>
      </c>
      <c r="M196" s="1" t="str">
        <f>VLOOKUP(A:A,'Finance Tracker'!A193:K433,8,FALSE)</f>
        <v>Invoice Completed</v>
      </c>
      <c r="N196" s="127"/>
      <c r="O196" s="1" t="s">
        <v>109</v>
      </c>
      <c r="P196" s="1" t="s">
        <v>109</v>
      </c>
      <c r="Q196" s="127"/>
      <c r="R196" s="56">
        <v>45654</v>
      </c>
      <c r="S196" s="56">
        <v>45657</v>
      </c>
      <c r="T196" s="1" t="s">
        <v>1822</v>
      </c>
      <c r="U196" s="56">
        <v>45891</v>
      </c>
      <c r="V196" s="39" t="s">
        <v>1853</v>
      </c>
      <c r="W196" s="1" t="s">
        <v>1853</v>
      </c>
      <c r="X196" s="4" t="s">
        <v>109</v>
      </c>
      <c r="Y196" s="4" t="s">
        <v>1853</v>
      </c>
      <c r="Z196" s="4" t="s">
        <v>1854</v>
      </c>
      <c r="AA196" s="39">
        <v>45668</v>
      </c>
      <c r="AB196" s="39">
        <v>45693</v>
      </c>
      <c r="AC196" s="39" t="s">
        <v>1853</v>
      </c>
      <c r="AD196" s="39">
        <v>45705</v>
      </c>
      <c r="AE196" s="56">
        <v>45692</v>
      </c>
      <c r="AF196" s="56">
        <v>45705</v>
      </c>
      <c r="AG196" s="56">
        <v>45705</v>
      </c>
      <c r="AH196" s="56">
        <v>49368</v>
      </c>
      <c r="AJ196" s="4" t="s">
        <v>109</v>
      </c>
      <c r="AK196" s="4" t="s">
        <v>109</v>
      </c>
      <c r="AL196" s="4" t="s">
        <v>109</v>
      </c>
      <c r="AM196" s="4" t="s">
        <v>109</v>
      </c>
      <c r="AP196" s="1">
        <f t="shared" si="5"/>
        <v>3</v>
      </c>
      <c r="AQ196" s="38">
        <f>AA197-Table1[[#This Row],[Closed Date]]</f>
        <v>33</v>
      </c>
    </row>
    <row r="197" spans="1:43" s="244" customFormat="1" ht="18.75" customHeight="1" x14ac:dyDescent="0.3">
      <c r="A197" s="237">
        <f>Table1[[#This Row],[Project No]]</f>
        <v>2412503</v>
      </c>
      <c r="B197" s="238" t="str">
        <f>VLOOKUP(A:A,Table1[[Project No]:[Additional Remark]],2,FALSE)</f>
        <v>Lian Hock Seng</v>
      </c>
      <c r="C197" s="237" t="e" vm="11">
        <f>VLOOKUP(A:A,Table1[[#All],[Project No]:[Additional Remark]],7,FALSE)</f>
        <v>#VALUE!</v>
      </c>
      <c r="D197" s="237" t="str">
        <f>VLOOKUP(A:A,Table1[[#All],[Project No]:[Additional Remark]],4,FALSE)</f>
        <v>Chean Bang</v>
      </c>
      <c r="E197" s="237" t="str">
        <f>VLOOKUP(A:A,Table1[[#All],[Project No]:[Additional Remark]],5,FALSE)</f>
        <v>R-PV</v>
      </c>
      <c r="F197" s="237" t="str">
        <f>VLOOKUP(A:A,Table1[[Project No]:[Additional Remark]],6,FALSE)</f>
        <v>NEM</v>
      </c>
      <c r="G197" s="237">
        <f>VLOOKUP(A:A,Table1[[Project No]:[Additional Remark]],8,FALSE)</f>
        <v>14.04</v>
      </c>
      <c r="H197" s="237" t="str">
        <f>VLOOKUP(A:A,Table1[[Project No]:[Additional Remark]],15,FALSE)</f>
        <v>Astronergy 585Wp</v>
      </c>
      <c r="I197" s="237">
        <f>VLOOKUP(A:A,Table1[[Project No]:[Additional Remark]],16,FALSE)</f>
        <v>24</v>
      </c>
      <c r="J197" s="239" t="str">
        <f>VLOOKUP(A:A,Table1[[Project No]:[Additional Remark]],17,FALSE)</f>
        <v>Huawei SUN2000-12KTL</v>
      </c>
      <c r="K197" s="240"/>
      <c r="L197" s="239" t="str">
        <f t="shared" ref="L197:L260" si="6">IF(ISBLANK(R197),"Pending NEM Qouta Submission",IF(ISBLANK(S197),"Pending NEM Qouta Approval",IF(ISBLANK(AA197),"Pending Site Installation",IF(ISBLANK(AJ197),"Pending ST License Application",IF(ISBLANK(AK197),"Pending ST License Approval", IF(ISBLANK(AB197),"Pending Meter Change Application",IF(AND(ISBLANK(AG197),ISBLANK(AF197)),"Pending Meter Change",IF(ISBLANK(AG197),"Pending NEM Welcome Letter",IF(ISBLANK(AL197),"Pending GITA Application",IF(ISBLANK(AM197),"Pending GITA Approval","Completed"))))))))))</f>
        <v>Pending NEM Welcome Letter</v>
      </c>
      <c r="M197" s="239" t="str">
        <f>VLOOKUP(A:A,'Finance Tracker'!A194:K434,8,FALSE)</f>
        <v>Invoice Completed</v>
      </c>
      <c r="N197" s="240"/>
      <c r="O197" s="239" t="s">
        <v>109</v>
      </c>
      <c r="P197" s="239" t="s">
        <v>109</v>
      </c>
      <c r="Q197" s="240"/>
      <c r="R197" s="241">
        <v>45654</v>
      </c>
      <c r="S197" s="241">
        <v>45657</v>
      </c>
      <c r="T197" s="239" t="s">
        <v>1819</v>
      </c>
      <c r="U197" s="241"/>
      <c r="V197" s="242" t="s">
        <v>1853</v>
      </c>
      <c r="W197" s="239" t="s">
        <v>1853</v>
      </c>
      <c r="X197" s="237" t="s">
        <v>109</v>
      </c>
      <c r="Y197" s="237" t="s">
        <v>1853</v>
      </c>
      <c r="Z197" s="237" t="s">
        <v>1854</v>
      </c>
      <c r="AA197" s="242">
        <v>45666</v>
      </c>
      <c r="AB197" s="242">
        <v>45707</v>
      </c>
      <c r="AC197" s="242" t="s">
        <v>1853</v>
      </c>
      <c r="AD197" s="242">
        <v>45712</v>
      </c>
      <c r="AE197" s="241">
        <v>45707</v>
      </c>
      <c r="AF197" s="241" t="s">
        <v>1853</v>
      </c>
      <c r="AG197" s="241"/>
      <c r="AH197" s="241"/>
      <c r="AI197" s="243"/>
      <c r="AJ197" s="237" t="s">
        <v>109</v>
      </c>
      <c r="AK197" s="237" t="s">
        <v>109</v>
      </c>
      <c r="AL197" s="237" t="s">
        <v>109</v>
      </c>
      <c r="AM197" s="237" t="s">
        <v>109</v>
      </c>
      <c r="AP197" s="239">
        <f t="shared" ref="AP197:AP260" si="7">S197-R197</f>
        <v>3</v>
      </c>
      <c r="AQ197" s="245">
        <f>AA198-Table1[[#This Row],[Closed Date]]</f>
        <v>58</v>
      </c>
    </row>
    <row r="198" spans="1:43" ht="18.75" customHeight="1" x14ac:dyDescent="0.3">
      <c r="A198" s="4">
        <f>Table1[[#This Row],[Project No]]</f>
        <v>2410033</v>
      </c>
      <c r="B198" s="110" t="str">
        <f>VLOOKUP(A:A,Table1[[Project No]:[Additional Remark]],2,FALSE)</f>
        <v>Handal Green Mobility Sdn Bhd (Kuantan City Mall)</v>
      </c>
      <c r="C198" s="4" t="e" vm="11">
        <f>VLOOKUP(A:A,Table1[[#All],[Project No]:[Additional Remark]],7,FALSE)</f>
        <v>#VALUE!</v>
      </c>
      <c r="D198" s="4" t="str">
        <f>VLOOKUP(A:A,Table1[[#All],[Project No]:[Additional Remark]],4,FALSE)</f>
        <v>Chean Bang</v>
      </c>
      <c r="E198" s="4" t="str">
        <f>VLOOKUP(A:A,Table1[[#All],[Project No]:[Additional Remark]],5,FALSE)</f>
        <v>EV Charger</v>
      </c>
      <c r="F198" s="4" t="str">
        <f>VLOOKUP(A:A,Table1[[Project No]:[Additional Remark]],6,FALSE)</f>
        <v>-</v>
      </c>
      <c r="G198" s="4">
        <f>VLOOKUP(A:A,Table1[[Project No]:[Additional Remark]],8,FALSE)</f>
        <v>0</v>
      </c>
      <c r="H198" s="4" t="str">
        <f>VLOOKUP(A:A,Table1[[Project No]:[Additional Remark]],15,FALSE)</f>
        <v>-</v>
      </c>
      <c r="I198" s="4" t="str">
        <f>VLOOKUP(A:A,Table1[[Project No]:[Additional Remark]],16,FALSE)</f>
        <v>-</v>
      </c>
      <c r="J198" s="1" t="str">
        <f>VLOOKUP(A:A,Table1[[Project No]:[Additional Remark]],17,FALSE)</f>
        <v>-</v>
      </c>
      <c r="K198" s="127"/>
      <c r="L198" s="1" t="str">
        <f t="shared" si="6"/>
        <v>Completed</v>
      </c>
      <c r="M198" s="1" t="str">
        <f>VLOOKUP(A:A,'Finance Tracker'!A195:K435,8,FALSE)</f>
        <v>Invoice Completed</v>
      </c>
      <c r="N198" s="127"/>
      <c r="O198" s="1" t="s">
        <v>109</v>
      </c>
      <c r="P198" s="1" t="s">
        <v>109</v>
      </c>
      <c r="Q198" s="127"/>
      <c r="R198" s="56" t="s">
        <v>109</v>
      </c>
      <c r="S198" s="56" t="s">
        <v>109</v>
      </c>
      <c r="T198" s="56" t="s">
        <v>109</v>
      </c>
      <c r="U198" s="56" t="s">
        <v>109</v>
      </c>
      <c r="V198" s="39" t="s">
        <v>1853</v>
      </c>
      <c r="W198" s="1" t="s">
        <v>1853</v>
      </c>
      <c r="X198" s="4" t="s">
        <v>109</v>
      </c>
      <c r="Y198" s="4" t="s">
        <v>1853</v>
      </c>
      <c r="Z198" s="4" t="s">
        <v>1853</v>
      </c>
      <c r="AA198" s="39">
        <v>45691</v>
      </c>
      <c r="AB198" s="39" t="s">
        <v>109</v>
      </c>
      <c r="AC198" s="39" t="s">
        <v>109</v>
      </c>
      <c r="AD198" s="39" t="s">
        <v>109</v>
      </c>
      <c r="AE198" s="39" t="s">
        <v>109</v>
      </c>
      <c r="AF198" s="39" t="s">
        <v>109</v>
      </c>
      <c r="AG198" s="39" t="s">
        <v>109</v>
      </c>
      <c r="AH198" s="39" t="s">
        <v>109</v>
      </c>
      <c r="AJ198" s="4" t="s">
        <v>109</v>
      </c>
      <c r="AK198" s="4" t="s">
        <v>109</v>
      </c>
      <c r="AL198" s="4" t="s">
        <v>109</v>
      </c>
      <c r="AM198" s="4" t="s">
        <v>109</v>
      </c>
      <c r="AP198" s="1" t="e">
        <f t="shared" si="7"/>
        <v>#VALUE!</v>
      </c>
      <c r="AQ198" s="38">
        <f>AA199-Table1[[#This Row],[Closed Date]]</f>
        <v>52</v>
      </c>
    </row>
    <row r="199" spans="1:43" s="244" customFormat="1" ht="18.75" customHeight="1" x14ac:dyDescent="0.3">
      <c r="A199" s="237">
        <f>Table1[[#This Row],[Project No]]</f>
        <v>2412505</v>
      </c>
      <c r="B199" s="238" t="str">
        <f>VLOOKUP(A:A,Table1[[Project No]:[Additional Remark]],2,FALSE)</f>
        <v>Dong Mee Hong</v>
      </c>
      <c r="C199" s="237" t="e" vm="11">
        <f>VLOOKUP(A:A,Table1[[#All],[Project No]:[Additional Remark]],7,FALSE)</f>
        <v>#VALUE!</v>
      </c>
      <c r="D199" s="237" t="str">
        <f>VLOOKUP(A:A,Table1[[#All],[Project No]:[Additional Remark]],4,FALSE)</f>
        <v>Patricia</v>
      </c>
      <c r="E199" s="237" t="str">
        <f>VLOOKUP(A:A,Table1[[#All],[Project No]:[Additional Remark]],5,FALSE)</f>
        <v>R-PV</v>
      </c>
      <c r="F199" s="237" t="str">
        <f>VLOOKUP(A:A,Table1[[Project No]:[Additional Remark]],6,FALSE)</f>
        <v>NEM</v>
      </c>
      <c r="G199" s="237">
        <f>VLOOKUP(A:A,Table1[[Project No]:[Additional Remark]],8,FALSE)</f>
        <v>14.04</v>
      </c>
      <c r="H199" s="237" t="str">
        <f>VLOOKUP(A:A,Table1[[Project No]:[Additional Remark]],15,FALSE)</f>
        <v>Astronergy 585Wp</v>
      </c>
      <c r="I199" s="237">
        <f>VLOOKUP(A:A,Table1[[Project No]:[Additional Remark]],16,FALSE)</f>
        <v>24</v>
      </c>
      <c r="J199" s="239" t="str">
        <f>VLOOKUP(A:A,Table1[[Project No]:[Additional Remark]],17,FALSE)</f>
        <v>Huawei SUN2000-12KTL</v>
      </c>
      <c r="K199" s="240"/>
      <c r="L199" s="239" t="str">
        <f t="shared" si="6"/>
        <v>Pending NEM Welcome Letter</v>
      </c>
      <c r="M199" s="239" t="str">
        <f>VLOOKUP(A:A,'Finance Tracker'!A196:K436,8,FALSE)</f>
        <v>Invoice Completed</v>
      </c>
      <c r="N199" s="240"/>
      <c r="O199" s="239" t="s">
        <v>109</v>
      </c>
      <c r="P199" s="239" t="s">
        <v>109</v>
      </c>
      <c r="Q199" s="240"/>
      <c r="R199" s="241">
        <v>45656</v>
      </c>
      <c r="S199" s="241">
        <v>45677</v>
      </c>
      <c r="T199" s="239" t="s">
        <v>1819</v>
      </c>
      <c r="U199" s="241">
        <v>46039</v>
      </c>
      <c r="V199" s="242" t="s">
        <v>1853</v>
      </c>
      <c r="W199" s="239" t="s">
        <v>1853</v>
      </c>
      <c r="X199" s="237" t="s">
        <v>109</v>
      </c>
      <c r="Y199" s="237" t="s">
        <v>1853</v>
      </c>
      <c r="Z199" s="237" t="s">
        <v>1854</v>
      </c>
      <c r="AA199" s="242">
        <v>45688</v>
      </c>
      <c r="AB199" s="242">
        <v>45695</v>
      </c>
      <c r="AC199" s="242" t="s">
        <v>1853</v>
      </c>
      <c r="AD199" s="242">
        <v>45707</v>
      </c>
      <c r="AE199" s="241">
        <v>45706</v>
      </c>
      <c r="AF199" s="241" t="s">
        <v>1853</v>
      </c>
      <c r="AG199" s="241"/>
      <c r="AH199" s="241"/>
      <c r="AI199" s="243"/>
      <c r="AJ199" s="237" t="s">
        <v>109</v>
      </c>
      <c r="AK199" s="237" t="s">
        <v>109</v>
      </c>
      <c r="AL199" s="237" t="s">
        <v>109</v>
      </c>
      <c r="AM199" s="237" t="s">
        <v>109</v>
      </c>
      <c r="AP199" s="239">
        <f t="shared" si="7"/>
        <v>21</v>
      </c>
      <c r="AQ199" s="245">
        <f>AA200-Table1[[#This Row],[Closed Date]]</f>
        <v>38</v>
      </c>
    </row>
    <row r="200" spans="1:43" ht="18.75" customHeight="1" x14ac:dyDescent="0.3">
      <c r="A200" s="4">
        <f>Table1[[#This Row],[Project No]]</f>
        <v>2412509</v>
      </c>
      <c r="B200" s="110" t="str">
        <f>VLOOKUP(A:A,Table1[[Project No]:[Additional Remark]],2,FALSE)</f>
        <v>Muck Bei lee (Le Lodge Mansion)</v>
      </c>
      <c r="C200" s="4" t="e" vm="11">
        <f>VLOOKUP(A:A,Table1[[#All],[Project No]:[Additional Remark]],7,FALSE)</f>
        <v>#VALUE!</v>
      </c>
      <c r="D200" s="4" t="str">
        <f>VLOOKUP(A:A,Table1[[#All],[Project No]:[Additional Remark]],4,FALSE)</f>
        <v>Chean Bang</v>
      </c>
      <c r="E200" s="4" t="str">
        <f>VLOOKUP(A:A,Table1[[#All],[Project No]:[Additional Remark]],5,FALSE)</f>
        <v>R-PV</v>
      </c>
      <c r="F200" s="4" t="str">
        <f>VLOOKUP(A:A,Table1[[Project No]:[Additional Remark]],6,FALSE)</f>
        <v>NEM</v>
      </c>
      <c r="G200" s="4">
        <f>VLOOKUP(A:A,Table1[[Project No]:[Additional Remark]],8,FALSE)</f>
        <v>17.7</v>
      </c>
      <c r="H200" s="4" t="str">
        <f>VLOOKUP(A:A,Table1[[Project No]:[Additional Remark]],15,FALSE)</f>
        <v>Astronergy 590Wp</v>
      </c>
      <c r="I200" s="4">
        <f>VLOOKUP(A:A,Table1[[Project No]:[Additional Remark]],16,FALSE)</f>
        <v>30</v>
      </c>
      <c r="J200" s="1" t="str">
        <f>VLOOKUP(A:A,Table1[[Project No]:[Additional Remark]],17,FALSE)</f>
        <v>Huawei SUN2000-12KTL</v>
      </c>
      <c r="K200" s="127"/>
      <c r="L200" s="1" t="str">
        <f t="shared" si="6"/>
        <v>Completed</v>
      </c>
      <c r="M200" s="1" t="str">
        <f>VLOOKUP(A:A,'Finance Tracker'!A197:K437,8,FALSE)</f>
        <v>Invoice Completed</v>
      </c>
      <c r="N200" s="127"/>
      <c r="O200" s="1" t="s">
        <v>109</v>
      </c>
      <c r="P200" s="1" t="s">
        <v>109</v>
      </c>
      <c r="Q200" s="127"/>
      <c r="R200" s="56">
        <v>45660</v>
      </c>
      <c r="S200" s="56">
        <v>45671</v>
      </c>
      <c r="T200" s="1" t="s">
        <v>1819</v>
      </c>
      <c r="U200" s="56">
        <v>46030</v>
      </c>
      <c r="V200" s="39" t="s">
        <v>1853</v>
      </c>
      <c r="W200" s="1" t="s">
        <v>1853</v>
      </c>
      <c r="X200" s="4" t="s">
        <v>109</v>
      </c>
      <c r="Y200" s="4" t="s">
        <v>1853</v>
      </c>
      <c r="Z200" s="4" t="s">
        <v>1854</v>
      </c>
      <c r="AA200" s="56">
        <v>45677</v>
      </c>
      <c r="AB200" s="39">
        <v>45701</v>
      </c>
      <c r="AC200" s="39" t="s">
        <v>1853</v>
      </c>
      <c r="AD200" s="39">
        <v>45716</v>
      </c>
      <c r="AE200" s="56">
        <v>45706</v>
      </c>
      <c r="AF200" s="56">
        <v>45716</v>
      </c>
      <c r="AG200" s="56">
        <v>45716</v>
      </c>
      <c r="AH200" s="56">
        <v>49368</v>
      </c>
      <c r="AJ200" s="4" t="s">
        <v>109</v>
      </c>
      <c r="AK200" s="4" t="s">
        <v>109</v>
      </c>
      <c r="AL200" s="4" t="s">
        <v>109</v>
      </c>
      <c r="AM200" s="4" t="s">
        <v>109</v>
      </c>
      <c r="AP200" s="1">
        <f t="shared" si="7"/>
        <v>11</v>
      </c>
      <c r="AQ200" s="38">
        <f>AA201-Table1[[#This Row],[Closed Date]]</f>
        <v>44</v>
      </c>
    </row>
    <row r="201" spans="1:43" s="244" customFormat="1" ht="18.75" customHeight="1" x14ac:dyDescent="0.3">
      <c r="A201" s="237">
        <f>Table1[[#This Row],[Project No]]</f>
        <v>2412515</v>
      </c>
      <c r="B201" s="238" t="str">
        <f>VLOOKUP(A:A,Table1[[Project No]:[Additional Remark]],2,FALSE)</f>
        <v>Liew Mun Meng</v>
      </c>
      <c r="C201" s="237" t="e" vm="5">
        <f>VLOOKUP(A:A,Table1[[#All],[Project No]:[Additional Remark]],7,FALSE)</f>
        <v>#VALUE!</v>
      </c>
      <c r="D201" s="237" t="str">
        <f>VLOOKUP(A:A,Table1[[#All],[Project No]:[Additional Remark]],4,FALSE)</f>
        <v>Tham</v>
      </c>
      <c r="E201" s="237" t="str">
        <f>VLOOKUP(A:A,Table1[[#All],[Project No]:[Additional Remark]],5,FALSE)</f>
        <v>R-PV</v>
      </c>
      <c r="F201" s="237" t="str">
        <f>VLOOKUP(A:A,Table1[[Project No]:[Additional Remark]],6,FALSE)</f>
        <v>NEM</v>
      </c>
      <c r="G201" s="237">
        <f>VLOOKUP(A:A,Table1[[Project No]:[Additional Remark]],8,FALSE)</f>
        <v>17.55</v>
      </c>
      <c r="H201" s="237" t="str">
        <f>VLOOKUP(A:A,Table1[[Project No]:[Additional Remark]],15,FALSE)</f>
        <v>Astronergy 585Wp</v>
      </c>
      <c r="I201" s="237">
        <f>VLOOKUP(A:A,Table1[[Project No]:[Additional Remark]],16,FALSE)</f>
        <v>30</v>
      </c>
      <c r="J201" s="239" t="str">
        <f>VLOOKUP(A:A,Table1[[Project No]:[Additional Remark]],17,FALSE)</f>
        <v>Huawei SUN2000-12KTL</v>
      </c>
      <c r="K201" s="240"/>
      <c r="L201" s="239" t="str">
        <f t="shared" si="6"/>
        <v>Pending NEM Welcome Letter</v>
      </c>
      <c r="M201" s="239" t="str">
        <f>VLOOKUP(A:A,'Finance Tracker'!A198:K438,8,FALSE)</f>
        <v>Invoice Completed</v>
      </c>
      <c r="N201" s="240"/>
      <c r="O201" s="239" t="s">
        <v>109</v>
      </c>
      <c r="P201" s="239" t="s">
        <v>109</v>
      </c>
      <c r="Q201" s="240"/>
      <c r="R201" s="241">
        <v>45656</v>
      </c>
      <c r="S201" s="241">
        <v>45677</v>
      </c>
      <c r="T201" s="239" t="s">
        <v>1819</v>
      </c>
      <c r="U201" s="241">
        <v>46039</v>
      </c>
      <c r="V201" s="242" t="s">
        <v>1853</v>
      </c>
      <c r="W201" s="239" t="s">
        <v>1853</v>
      </c>
      <c r="X201" s="237" t="s">
        <v>109</v>
      </c>
      <c r="Y201" s="237" t="s">
        <v>1853</v>
      </c>
      <c r="Z201" s="237" t="s">
        <v>1855</v>
      </c>
      <c r="AA201" s="242">
        <v>45701</v>
      </c>
      <c r="AB201" s="242">
        <v>45706</v>
      </c>
      <c r="AC201" s="242" t="s">
        <v>1853</v>
      </c>
      <c r="AD201" s="242">
        <v>45721</v>
      </c>
      <c r="AE201" s="241">
        <v>45707</v>
      </c>
      <c r="AF201" s="241">
        <v>45721</v>
      </c>
      <c r="AG201" s="237"/>
      <c r="AH201" s="237"/>
      <c r="AI201" s="243"/>
      <c r="AJ201" s="237" t="s">
        <v>109</v>
      </c>
      <c r="AK201" s="237" t="s">
        <v>109</v>
      </c>
      <c r="AL201" s="237" t="s">
        <v>109</v>
      </c>
      <c r="AM201" s="237" t="s">
        <v>109</v>
      </c>
      <c r="AP201" s="239">
        <f t="shared" si="7"/>
        <v>21</v>
      </c>
      <c r="AQ201" s="245">
        <f>AA202-Table1[[#This Row],[Closed Date]]</f>
        <v>67</v>
      </c>
    </row>
    <row r="202" spans="1:43" s="244" customFormat="1" ht="18.75" customHeight="1" x14ac:dyDescent="0.3">
      <c r="A202" s="237">
        <f>Table1[[#This Row],[Project No]]</f>
        <v>2410462</v>
      </c>
      <c r="B202" s="238" t="str">
        <f>VLOOKUP(A:A,Table1[[Project No]:[Additional Remark]],2,FALSE)</f>
        <v>Yee Mei Ling</v>
      </c>
      <c r="C202" s="237" t="e" vm="5">
        <f>VLOOKUP(A:A,Table1[[#All],[Project No]:[Additional Remark]],7,FALSE)</f>
        <v>#VALUE!</v>
      </c>
      <c r="D202" s="237" t="str">
        <f>VLOOKUP(A:A,Table1[[#All],[Project No]:[Additional Remark]],4,FALSE)</f>
        <v>Tham</v>
      </c>
      <c r="E202" s="237" t="str">
        <f>VLOOKUP(A:A,Table1[[#All],[Project No]:[Additional Remark]],5,FALSE)</f>
        <v>R-PV</v>
      </c>
      <c r="F202" s="237" t="str">
        <f>VLOOKUP(A:A,Table1[[Project No]:[Additional Remark]],6,FALSE)</f>
        <v>NEM</v>
      </c>
      <c r="G202" s="237">
        <f>VLOOKUP(A:A,Table1[[Project No]:[Additional Remark]],8,FALSE)</f>
        <v>7.02</v>
      </c>
      <c r="H202" s="237" t="str">
        <f>VLOOKUP(A:A,Table1[[Project No]:[Additional Remark]],15,FALSE)</f>
        <v>Astronergy 585Wp</v>
      </c>
      <c r="I202" s="237">
        <f>VLOOKUP(A:A,Table1[[Project No]:[Additional Remark]],16,FALSE)</f>
        <v>12</v>
      </c>
      <c r="J202" s="239" t="str">
        <f>VLOOKUP(A:A,Table1[[Project No]:[Additional Remark]],17,FALSE)</f>
        <v>Huawei SUN2000-5KTL-L1</v>
      </c>
      <c r="K202" s="240"/>
      <c r="L202" s="239" t="str">
        <f t="shared" si="6"/>
        <v>Pending NEM Welcome Letter</v>
      </c>
      <c r="M202" s="239" t="str">
        <f>VLOOKUP(A:A,'Finance Tracker'!A199:K439,8,FALSE)</f>
        <v>Invoice Completed</v>
      </c>
      <c r="N202" s="240"/>
      <c r="O202" s="239" t="s">
        <v>109</v>
      </c>
      <c r="P202" s="239" t="s">
        <v>109</v>
      </c>
      <c r="Q202" s="240"/>
      <c r="R202" s="241">
        <v>45657</v>
      </c>
      <c r="S202" s="241">
        <v>45660</v>
      </c>
      <c r="T202" s="239" t="s">
        <v>1819</v>
      </c>
      <c r="U202" s="241">
        <v>46021</v>
      </c>
      <c r="V202" s="242" t="s">
        <v>1853</v>
      </c>
      <c r="W202" s="239" t="s">
        <v>1853</v>
      </c>
      <c r="X202" s="237" t="s">
        <v>109</v>
      </c>
      <c r="Y202" s="237" t="s">
        <v>1853</v>
      </c>
      <c r="Z202" s="237" t="s">
        <v>1855</v>
      </c>
      <c r="AA202" s="242">
        <v>45714</v>
      </c>
      <c r="AB202" s="242">
        <v>45733</v>
      </c>
      <c r="AC202" s="242" t="s">
        <v>1853</v>
      </c>
      <c r="AD202" s="242">
        <v>45735</v>
      </c>
      <c r="AE202" s="241">
        <v>45733</v>
      </c>
      <c r="AF202" s="241">
        <v>45735</v>
      </c>
      <c r="AG202" s="237"/>
      <c r="AH202" s="237"/>
      <c r="AI202" s="243"/>
      <c r="AJ202" s="237" t="s">
        <v>109</v>
      </c>
      <c r="AK202" s="237" t="s">
        <v>109</v>
      </c>
      <c r="AL202" s="237" t="s">
        <v>109</v>
      </c>
      <c r="AM202" s="237" t="s">
        <v>109</v>
      </c>
      <c r="AP202" s="239">
        <f t="shared" si="7"/>
        <v>3</v>
      </c>
      <c r="AQ202" s="245">
        <f>AA203-Table1[[#This Row],[Closed Date]]</f>
        <v>56</v>
      </c>
    </row>
    <row r="203" spans="1:43" ht="18.75" customHeight="1" x14ac:dyDescent="0.3">
      <c r="A203" s="4">
        <f>Table1[[#This Row],[Project No]]</f>
        <v>2412516</v>
      </c>
      <c r="B203" s="110" t="str">
        <f>VLOOKUP(A:A,Table1[[Project No]:[Additional Remark]],2,FALSE)</f>
        <v>Chareon Phromsuwan</v>
      </c>
      <c r="C203" s="4" t="e" vm="5">
        <f>VLOOKUP(A:A,Table1[[#All],[Project No]:[Additional Remark]],7,FALSE)</f>
        <v>#VALUE!</v>
      </c>
      <c r="D203" s="4" t="str">
        <f>VLOOKUP(A:A,Table1[[#All],[Project No]:[Additional Remark]],4,FALSE)</f>
        <v>Tham</v>
      </c>
      <c r="E203" s="4" t="str">
        <f>VLOOKUP(A:A,Table1[[#All],[Project No]:[Additional Remark]],5,FALSE)</f>
        <v>R-PV</v>
      </c>
      <c r="F203" s="4" t="str">
        <f>VLOOKUP(A:A,Table1[[Project No]:[Additional Remark]],6,FALSE)</f>
        <v>NEM</v>
      </c>
      <c r="G203" s="4">
        <f>VLOOKUP(A:A,Table1[[Project No]:[Additional Remark]],8,FALSE)</f>
        <v>12.98</v>
      </c>
      <c r="H203" s="4" t="str">
        <f>VLOOKUP(A:A,Table1[[Project No]:[Additional Remark]],15,FALSE)</f>
        <v>Astronergy 590Wp</v>
      </c>
      <c r="I203" s="4">
        <f>VLOOKUP(A:A,Table1[[Project No]:[Additional Remark]],16,FALSE)</f>
        <v>22</v>
      </c>
      <c r="J203" s="1" t="str">
        <f>VLOOKUP(A:A,Table1[[Project No]:[Additional Remark]],17,FALSE)</f>
        <v>Huawei SUN2000-10KTL</v>
      </c>
      <c r="K203" s="127"/>
      <c r="L203" s="1" t="str">
        <f t="shared" si="6"/>
        <v>Completed</v>
      </c>
      <c r="M203" s="1" t="str">
        <f>VLOOKUP(A:A,'Finance Tracker'!A200:K440,8,FALSE)</f>
        <v>Invoice Completed</v>
      </c>
      <c r="N203" s="127"/>
      <c r="O203" s="1" t="s">
        <v>109</v>
      </c>
      <c r="P203" s="1" t="s">
        <v>109</v>
      </c>
      <c r="Q203" s="127"/>
      <c r="R203" s="56">
        <v>45657</v>
      </c>
      <c r="S203" s="56">
        <v>45660</v>
      </c>
      <c r="T203" s="1" t="s">
        <v>1819</v>
      </c>
      <c r="U203" s="56">
        <v>46021</v>
      </c>
      <c r="V203" s="39" t="s">
        <v>1853</v>
      </c>
      <c r="W203" s="1" t="s">
        <v>1853</v>
      </c>
      <c r="X203" s="4" t="s">
        <v>109</v>
      </c>
      <c r="Y203" s="4" t="s">
        <v>1853</v>
      </c>
      <c r="Z203" s="4" t="s">
        <v>1855</v>
      </c>
      <c r="AA203" s="39">
        <v>45705</v>
      </c>
      <c r="AB203" s="39">
        <v>45716</v>
      </c>
      <c r="AC203" s="39" t="s">
        <v>1853</v>
      </c>
      <c r="AD203" s="39">
        <v>45720</v>
      </c>
      <c r="AE203" s="56">
        <v>45719</v>
      </c>
      <c r="AF203" s="56">
        <v>45720</v>
      </c>
      <c r="AG203" s="56">
        <v>45720</v>
      </c>
      <c r="AH203" s="56">
        <v>49399</v>
      </c>
      <c r="AJ203" s="4" t="s">
        <v>109</v>
      </c>
      <c r="AK203" s="4" t="s">
        <v>109</v>
      </c>
      <c r="AL203" s="4" t="s">
        <v>109</v>
      </c>
      <c r="AM203" s="4" t="s">
        <v>109</v>
      </c>
      <c r="AP203" s="1">
        <f t="shared" si="7"/>
        <v>3</v>
      </c>
      <c r="AQ203" s="38">
        <f>AA204-Table1[[#This Row],[Closed Date]]</f>
        <v>56</v>
      </c>
    </row>
    <row r="204" spans="1:43" ht="18.75" customHeight="1" x14ac:dyDescent="0.3">
      <c r="A204" s="4">
        <f>Table1[[#This Row],[Project No]]</f>
        <v>2412521</v>
      </c>
      <c r="B204" s="110" t="str">
        <f>VLOOKUP(A:A,Table1[[Project No]:[Additional Remark]],2,FALSE)</f>
        <v>Christopher A De Souza</v>
      </c>
      <c r="C204" s="4" t="e" vm="5">
        <f>VLOOKUP(A:A,Table1[[#All],[Project No]:[Additional Remark]],7,FALSE)</f>
        <v>#VALUE!</v>
      </c>
      <c r="D204" s="4" t="str">
        <f>VLOOKUP(A:A,Table1[[#All],[Project No]:[Additional Remark]],4,FALSE)</f>
        <v>Tham</v>
      </c>
      <c r="E204" s="4" t="str">
        <f>VLOOKUP(A:A,Table1[[#All],[Project No]:[Additional Remark]],5,FALSE)</f>
        <v>R-PV</v>
      </c>
      <c r="F204" s="4" t="str">
        <f>VLOOKUP(A:A,Table1[[Project No]:[Additional Remark]],6,FALSE)</f>
        <v>NEM</v>
      </c>
      <c r="G204" s="4">
        <f>VLOOKUP(A:A,Table1[[Project No]:[Additional Remark]],8,FALSE)</f>
        <v>15.34</v>
      </c>
      <c r="H204" s="4" t="str">
        <f>VLOOKUP(A:A,Table1[[Project No]:[Additional Remark]],15,FALSE)</f>
        <v>Astronergy 590Wp</v>
      </c>
      <c r="I204" s="4">
        <f>VLOOKUP(A:A,Table1[[Project No]:[Additional Remark]],16,FALSE)</f>
        <v>26</v>
      </c>
      <c r="J204" s="1" t="str">
        <f>VLOOKUP(A:A,Table1[[Project No]:[Additional Remark]],17,FALSE)</f>
        <v>Huawei SUN2000-12KTL</v>
      </c>
      <c r="K204" s="127"/>
      <c r="L204" s="1" t="str">
        <f t="shared" si="6"/>
        <v>Completed</v>
      </c>
      <c r="M204" s="1" t="str">
        <f>VLOOKUP(A:A,'Finance Tracker'!A201:K441,8,FALSE)</f>
        <v>Invoice Completed</v>
      </c>
      <c r="N204" s="127"/>
      <c r="O204" s="1" t="s">
        <v>109</v>
      </c>
      <c r="P204" s="1" t="s">
        <v>109</v>
      </c>
      <c r="Q204" s="127"/>
      <c r="R204" s="56">
        <v>45660</v>
      </c>
      <c r="S204" s="56">
        <v>45671</v>
      </c>
      <c r="T204" s="1" t="s">
        <v>1819</v>
      </c>
      <c r="U204" s="56">
        <v>46030</v>
      </c>
      <c r="V204" s="39" t="s">
        <v>1853</v>
      </c>
      <c r="W204" s="1" t="s">
        <v>1853</v>
      </c>
      <c r="X204" s="4" t="s">
        <v>109</v>
      </c>
      <c r="Y204" s="4" t="s">
        <v>1853</v>
      </c>
      <c r="Z204" s="4" t="s">
        <v>1855</v>
      </c>
      <c r="AA204" s="39">
        <v>45706</v>
      </c>
      <c r="AB204" s="39">
        <v>45716</v>
      </c>
      <c r="AC204" s="39" t="s">
        <v>1853</v>
      </c>
      <c r="AD204" s="39">
        <v>45720</v>
      </c>
      <c r="AE204" s="56">
        <v>45719</v>
      </c>
      <c r="AF204" s="56">
        <v>45720</v>
      </c>
      <c r="AG204" s="56">
        <v>45720</v>
      </c>
      <c r="AH204" s="56">
        <v>49399</v>
      </c>
      <c r="AJ204" s="4" t="s">
        <v>109</v>
      </c>
      <c r="AK204" s="4" t="s">
        <v>109</v>
      </c>
      <c r="AL204" s="4" t="s">
        <v>109</v>
      </c>
      <c r="AM204" s="4" t="s">
        <v>109</v>
      </c>
      <c r="AP204" s="1">
        <f t="shared" si="7"/>
        <v>11</v>
      </c>
      <c r="AQ204" s="38">
        <f>AA205-Table1[[#This Row],[Closed Date]]</f>
        <v>86</v>
      </c>
    </row>
    <row r="205" spans="1:43" s="244" customFormat="1" ht="18.75" customHeight="1" x14ac:dyDescent="0.3">
      <c r="A205" s="237">
        <f>Table1[[#This Row],[Project No]]</f>
        <v>2412524</v>
      </c>
      <c r="B205" s="238" t="str">
        <f>VLOOKUP(A:A,Table1[[Project No]:[Additional Remark]],2,FALSE)</f>
        <v>Teng Lee Xung</v>
      </c>
      <c r="C205" s="237" t="e" vm="11">
        <f>VLOOKUP(A:A,Table1[[#All],[Project No]:[Additional Remark]],7,FALSE)</f>
        <v>#VALUE!</v>
      </c>
      <c r="D205" s="237" t="str">
        <f>VLOOKUP(A:A,Table1[[#All],[Project No]:[Additional Remark]],4,FALSE)</f>
        <v>Chean Bang</v>
      </c>
      <c r="E205" s="237" t="str">
        <f>VLOOKUP(A:A,Table1[[#All],[Project No]:[Additional Remark]],5,FALSE)</f>
        <v>R-PV</v>
      </c>
      <c r="F205" s="237" t="str">
        <f>VLOOKUP(A:A,Table1[[Project No]:[Additional Remark]],6,FALSE)</f>
        <v>NEM</v>
      </c>
      <c r="G205" s="237">
        <f>VLOOKUP(A:A,Table1[[Project No]:[Additional Remark]],8,FALSE)</f>
        <v>14.16</v>
      </c>
      <c r="H205" s="237" t="str">
        <f>VLOOKUP(A:A,Table1[[Project No]:[Additional Remark]],15,FALSE)</f>
        <v>Astronergy 590Wp</v>
      </c>
      <c r="I205" s="237">
        <f>VLOOKUP(A:A,Table1[[Project No]:[Additional Remark]],16,FALSE)</f>
        <v>24</v>
      </c>
      <c r="J205" s="239" t="str">
        <f>VLOOKUP(A:A,Table1[[Project No]:[Additional Remark]],17,FALSE)</f>
        <v>Huawei SUN2000-12KTL</v>
      </c>
      <c r="K205" s="240"/>
      <c r="L205" s="239" t="str">
        <f t="shared" si="6"/>
        <v>Pending NEM Welcome Letter</v>
      </c>
      <c r="M205" s="239" t="str">
        <f>VLOOKUP(A:A,'Finance Tracker'!A202:K442,8,FALSE)</f>
        <v>Invoice Completed</v>
      </c>
      <c r="N205" s="240"/>
      <c r="O205" s="239" t="s">
        <v>109</v>
      </c>
      <c r="P205" s="239" t="s">
        <v>109</v>
      </c>
      <c r="Q205" s="240"/>
      <c r="R205" s="241">
        <v>45666</v>
      </c>
      <c r="S205" s="241">
        <v>45674</v>
      </c>
      <c r="T205" s="239" t="s">
        <v>1819</v>
      </c>
      <c r="U205" s="241">
        <v>46038</v>
      </c>
      <c r="V205" s="242" t="s">
        <v>1853</v>
      </c>
      <c r="W205" s="239" t="s">
        <v>1853</v>
      </c>
      <c r="X205" s="237" t="s">
        <v>109</v>
      </c>
      <c r="Y205" s="237" t="s">
        <v>1853</v>
      </c>
      <c r="Z205" s="237" t="s">
        <v>1854</v>
      </c>
      <c r="AA205" s="242">
        <v>45745</v>
      </c>
      <c r="AB205" s="242">
        <v>45693</v>
      </c>
      <c r="AC205" s="242" t="s">
        <v>1857</v>
      </c>
      <c r="AD205" s="242">
        <v>45695</v>
      </c>
      <c r="AE205" s="241" t="s">
        <v>1853</v>
      </c>
      <c r="AF205" s="241" t="s">
        <v>1853</v>
      </c>
      <c r="AG205" s="237"/>
      <c r="AH205" s="237"/>
      <c r="AI205" s="243"/>
      <c r="AJ205" s="237" t="s">
        <v>109</v>
      </c>
      <c r="AK205" s="237" t="s">
        <v>109</v>
      </c>
      <c r="AL205" s="237" t="s">
        <v>109</v>
      </c>
      <c r="AM205" s="237" t="s">
        <v>109</v>
      </c>
      <c r="AP205" s="239">
        <f t="shared" si="7"/>
        <v>8</v>
      </c>
      <c r="AQ205" s="245">
        <f>AA207-Table1[[#This Row],[Closed Date]]</f>
        <v>22</v>
      </c>
    </row>
    <row r="206" spans="1:43" s="244" customFormat="1" ht="18.75" customHeight="1" x14ac:dyDescent="0.3">
      <c r="A206" s="237">
        <f>Table1[[#This Row],[Project No]]</f>
        <v>2412513</v>
      </c>
      <c r="B206" s="238" t="str">
        <f>VLOOKUP(A:A,Table1[[Project No]:[Additional Remark]],2,FALSE)</f>
        <v>Ganapathy Srihari a/l Rama Iyer</v>
      </c>
      <c r="C206" s="237" t="e" vm="12">
        <f>VLOOKUP(A:A,Table1[[#All],[Project No]:[Additional Remark]],7,FALSE)</f>
        <v>#VALUE!</v>
      </c>
      <c r="D206" s="237" t="str">
        <f>VLOOKUP(A:A,Table1[[#All],[Project No]:[Additional Remark]],4,FALSE)</f>
        <v>Tham</v>
      </c>
      <c r="E206" s="237" t="str">
        <f>VLOOKUP(A:A,Table1[[#All],[Project No]:[Additional Remark]],5,FALSE)</f>
        <v>R-PV</v>
      </c>
      <c r="F206" s="237" t="str">
        <f>VLOOKUP(A:A,Table1[[Project No]:[Additional Remark]],6,FALSE)</f>
        <v>NEM</v>
      </c>
      <c r="G206" s="237">
        <f>VLOOKUP(A:A,Table1[[Project No]:[Additional Remark]],8,FALSE)</f>
        <v>10.029999999999999</v>
      </c>
      <c r="H206" s="237" t="str">
        <f>VLOOKUP(A:A,Table1[[Project No]:[Additional Remark]],15,FALSE)</f>
        <v>Astronergy 590Wp</v>
      </c>
      <c r="I206" s="237">
        <f>VLOOKUP(A:A,Table1[[Project No]:[Additional Remark]],16,FALSE)</f>
        <v>17</v>
      </c>
      <c r="J206" s="239" t="str">
        <f>VLOOKUP(A:A,Table1[[Project No]:[Additional Remark]],17,FALSE)</f>
        <v>Huawei SUN2000-8KTL</v>
      </c>
      <c r="K206" s="240"/>
      <c r="L206" s="239" t="str">
        <f t="shared" si="6"/>
        <v>Pending NEM Welcome Letter</v>
      </c>
      <c r="M206" s="239" t="str">
        <f>VLOOKUP(A:A,'Finance Tracker'!A203:K443,8,FALSE)</f>
        <v>2nd invoice</v>
      </c>
      <c r="N206" s="240"/>
      <c r="O206" s="239" t="s">
        <v>109</v>
      </c>
      <c r="P206" s="239" t="s">
        <v>109</v>
      </c>
      <c r="Q206" s="240"/>
      <c r="R206" s="241">
        <v>45745</v>
      </c>
      <c r="S206" s="241">
        <v>45796</v>
      </c>
      <c r="T206" s="239" t="s">
        <v>1819</v>
      </c>
      <c r="U206" s="241"/>
      <c r="V206" s="242" t="s">
        <v>1853</v>
      </c>
      <c r="W206" s="239" t="s">
        <v>1853</v>
      </c>
      <c r="X206" s="237" t="s">
        <v>109</v>
      </c>
      <c r="Y206" s="237" t="s">
        <v>1853</v>
      </c>
      <c r="Z206" s="237" t="s">
        <v>1853</v>
      </c>
      <c r="AA206" s="242">
        <v>45912</v>
      </c>
      <c r="AB206" s="242" t="s">
        <v>1853</v>
      </c>
      <c r="AC206" s="242" t="s">
        <v>1853</v>
      </c>
      <c r="AD206" s="242" t="s">
        <v>1853</v>
      </c>
      <c r="AE206" s="242" t="s">
        <v>1853</v>
      </c>
      <c r="AF206" s="242" t="s">
        <v>1853</v>
      </c>
      <c r="AG206" s="237"/>
      <c r="AH206" s="237"/>
      <c r="AI206" s="243"/>
      <c r="AJ206" s="237" t="s">
        <v>109</v>
      </c>
      <c r="AK206" s="237" t="s">
        <v>109</v>
      </c>
      <c r="AL206" s="237" t="s">
        <v>109</v>
      </c>
      <c r="AM206" s="237" t="s">
        <v>109</v>
      </c>
      <c r="AP206" s="239">
        <f t="shared" si="7"/>
        <v>51</v>
      </c>
      <c r="AQ206" s="245">
        <f>AA208-Table1[[#This Row],[Closed Date]]</f>
        <v>55</v>
      </c>
    </row>
    <row r="207" spans="1:43" ht="18.75" customHeight="1" x14ac:dyDescent="0.3">
      <c r="A207" s="4">
        <f>Table1[[#This Row],[Project No]]</f>
        <v>2501038</v>
      </c>
      <c r="B207" s="110" t="str">
        <f>VLOOKUP(A:A,Table1[[Project No]:[Additional Remark]],2,FALSE)</f>
        <v>Florence Poon</v>
      </c>
      <c r="C207" s="4" t="e" vm="5">
        <f>VLOOKUP(A:A,Table1[[#All],[Project No]:[Additional Remark]],7,FALSE)</f>
        <v>#VALUE!</v>
      </c>
      <c r="D207" s="4" t="str">
        <f>VLOOKUP(A:A,Table1[[#All],[Project No]:[Additional Remark]],4,FALSE)</f>
        <v>Simon</v>
      </c>
      <c r="E207" s="4" t="str">
        <f>VLOOKUP(A:A,Table1[[#All],[Project No]:[Additional Remark]],5,FALSE)</f>
        <v>EV Charger</v>
      </c>
      <c r="F207" s="4" t="str">
        <f>VLOOKUP(A:A,Table1[[Project No]:[Additional Remark]],6,FALSE)</f>
        <v>-</v>
      </c>
      <c r="G207" s="4">
        <f>VLOOKUP(A:A,Table1[[Project No]:[Additional Remark]],8,FALSE)</f>
        <v>0</v>
      </c>
      <c r="H207" s="4">
        <f>VLOOKUP(A:A,Table1[[Project No]:[Additional Remark]],15,FALSE)</f>
        <v>0</v>
      </c>
      <c r="I207" s="4" t="str">
        <f>VLOOKUP(A:A,Table1[[Project No]:[Additional Remark]],16,FALSE)</f>
        <v>-</v>
      </c>
      <c r="J207" s="1" t="str">
        <f>VLOOKUP(A:A,Table1[[Project No]:[Additional Remark]],17,FALSE)</f>
        <v>-</v>
      </c>
      <c r="K207" s="127"/>
      <c r="L207" s="1" t="str">
        <f t="shared" si="6"/>
        <v>Completed</v>
      </c>
      <c r="M207" s="1" t="str">
        <f>VLOOKUP(A:A,'Finance Tracker'!A204:K444,8,FALSE)</f>
        <v>Invoice Completed</v>
      </c>
      <c r="N207" s="127"/>
      <c r="O207" s="1" t="s">
        <v>109</v>
      </c>
      <c r="P207" s="1" t="s">
        <v>109</v>
      </c>
      <c r="Q207" s="127"/>
      <c r="R207" s="56" t="s">
        <v>109</v>
      </c>
      <c r="S207" s="56" t="s">
        <v>109</v>
      </c>
      <c r="T207" s="56" t="s">
        <v>109</v>
      </c>
      <c r="U207" s="56" t="s">
        <v>109</v>
      </c>
      <c r="V207" s="39" t="s">
        <v>1853</v>
      </c>
      <c r="W207" s="1" t="s">
        <v>1853</v>
      </c>
      <c r="X207" s="4" t="s">
        <v>109</v>
      </c>
      <c r="Y207" s="4" t="s">
        <v>1853</v>
      </c>
      <c r="Z207" s="4" t="s">
        <v>1853</v>
      </c>
      <c r="AA207" s="39">
        <v>45681</v>
      </c>
      <c r="AB207" s="39" t="s">
        <v>109</v>
      </c>
      <c r="AC207" s="39" t="s">
        <v>109</v>
      </c>
      <c r="AD207" s="39" t="s">
        <v>109</v>
      </c>
      <c r="AE207" s="39" t="s">
        <v>109</v>
      </c>
      <c r="AF207" s="39" t="s">
        <v>109</v>
      </c>
      <c r="AG207" s="39" t="s">
        <v>109</v>
      </c>
      <c r="AH207" s="39" t="s">
        <v>109</v>
      </c>
      <c r="AJ207" s="4" t="s">
        <v>109</v>
      </c>
      <c r="AK207" s="4" t="s">
        <v>109</v>
      </c>
      <c r="AL207" s="4" t="s">
        <v>109</v>
      </c>
      <c r="AM207" s="4" t="s">
        <v>109</v>
      </c>
      <c r="AP207" s="1" t="e">
        <f t="shared" si="7"/>
        <v>#VALUE!</v>
      </c>
      <c r="AQ207" s="38">
        <f>AA209-Table1[[#This Row],[Closed Date]]</f>
        <v>51</v>
      </c>
    </row>
    <row r="208" spans="1:43" s="244" customFormat="1" ht="18.75" customHeight="1" x14ac:dyDescent="0.3">
      <c r="A208" s="237">
        <f>Table1[[#This Row],[Project No]]</f>
        <v>2501532</v>
      </c>
      <c r="B208" s="238" t="str">
        <f>VLOOKUP(A:A,Table1[[Project No]:[Additional Remark]],2,FALSE)</f>
        <v>Prasert Phromsuwan</v>
      </c>
      <c r="C208" s="237" t="e" vm="5">
        <f>VLOOKUP(A:A,Table1[[#All],[Project No]:[Additional Remark]],7,FALSE)</f>
        <v>#VALUE!</v>
      </c>
      <c r="D208" s="237" t="str">
        <f>VLOOKUP(A:A,Table1[[#All],[Project No]:[Additional Remark]],4,FALSE)</f>
        <v>Tham</v>
      </c>
      <c r="E208" s="237" t="str">
        <f>VLOOKUP(A:A,Table1[[#All],[Project No]:[Additional Remark]],5,FALSE)</f>
        <v>R-PV</v>
      </c>
      <c r="F208" s="237" t="str">
        <f>VLOOKUP(A:A,Table1[[Project No]:[Additional Remark]],6,FALSE)</f>
        <v>NEM</v>
      </c>
      <c r="G208" s="237">
        <f>VLOOKUP(A:A,Table1[[Project No]:[Additional Remark]],8,FALSE)</f>
        <v>9.44</v>
      </c>
      <c r="H208" s="237" t="str">
        <f>VLOOKUP(A:A,Table1[[Project No]:[Additional Remark]],15,FALSE)</f>
        <v>Astronergy 590Wp</v>
      </c>
      <c r="I208" s="237">
        <f>VLOOKUP(A:A,Table1[[Project No]:[Additional Remark]],16,FALSE)</f>
        <v>16</v>
      </c>
      <c r="J208" s="239" t="str">
        <f>VLOOKUP(A:A,Table1[[Project No]:[Additional Remark]],17,FALSE)</f>
        <v>Huawei SUN2000-8KTL</v>
      </c>
      <c r="K208" s="240"/>
      <c r="L208" s="239" t="str">
        <f t="shared" si="6"/>
        <v>Pending NEM Welcome Letter</v>
      </c>
      <c r="M208" s="239" t="str">
        <f>VLOOKUP(A:A,'Finance Tracker'!A205:K445,8,FALSE)</f>
        <v>Invoice Completed</v>
      </c>
      <c r="N208" s="240"/>
      <c r="O208" s="239" t="s">
        <v>109</v>
      </c>
      <c r="P208" s="239" t="s">
        <v>109</v>
      </c>
      <c r="Q208" s="240"/>
      <c r="R208" s="241">
        <v>45695</v>
      </c>
      <c r="S208" s="241">
        <v>45701</v>
      </c>
      <c r="T208" s="239" t="s">
        <v>1819</v>
      </c>
      <c r="U208" s="241">
        <v>45989</v>
      </c>
      <c r="V208" s="242" t="s">
        <v>1853</v>
      </c>
      <c r="W208" s="239" t="s">
        <v>1853</v>
      </c>
      <c r="X208" s="237" t="s">
        <v>109</v>
      </c>
      <c r="Y208" s="237" t="s">
        <v>1853</v>
      </c>
      <c r="Z208" s="237" t="s">
        <v>1855</v>
      </c>
      <c r="AA208" s="242">
        <v>45721</v>
      </c>
      <c r="AB208" s="242">
        <v>45705</v>
      </c>
      <c r="AC208" s="239" t="s">
        <v>1853</v>
      </c>
      <c r="AD208" s="242">
        <v>45710</v>
      </c>
      <c r="AE208" s="241">
        <v>45708</v>
      </c>
      <c r="AF208" s="242">
        <v>45710</v>
      </c>
      <c r="AG208" s="237"/>
      <c r="AH208" s="237"/>
      <c r="AI208" s="243"/>
      <c r="AJ208" s="237" t="s">
        <v>109</v>
      </c>
      <c r="AK208" s="237" t="s">
        <v>109</v>
      </c>
      <c r="AL208" s="237" t="s">
        <v>109</v>
      </c>
      <c r="AM208" s="237" t="s">
        <v>109</v>
      </c>
      <c r="AP208" s="239">
        <f t="shared" si="7"/>
        <v>6</v>
      </c>
      <c r="AQ208" s="245">
        <f>AA210-Table1[[#This Row],[Closed Date]]</f>
        <v>42</v>
      </c>
    </row>
    <row r="209" spans="1:43" s="244" customFormat="1" ht="18.75" customHeight="1" x14ac:dyDescent="0.3">
      <c r="A209" s="237">
        <f>Table1[[#This Row],[Project No]]</f>
        <v>2501544</v>
      </c>
      <c r="B209" s="238" t="str">
        <f>VLOOKUP(A:A,Table1[[Project No]:[Additional Remark]],2,FALSE)</f>
        <v>Gan Tek Chuan</v>
      </c>
      <c r="C209" s="237" t="e" vm="11">
        <f>VLOOKUP(A:A,Table1[[#All],[Project No]:[Additional Remark]],7,FALSE)</f>
        <v>#VALUE!</v>
      </c>
      <c r="D209" s="237" t="str">
        <f>VLOOKUP(A:A,Table1[[#All],[Project No]:[Additional Remark]],4,FALSE)</f>
        <v>Patricia</v>
      </c>
      <c r="E209" s="237" t="str">
        <f>VLOOKUP(A:A,Table1[[#All],[Project No]:[Additional Remark]],5,FALSE)</f>
        <v>R-PV</v>
      </c>
      <c r="F209" s="237" t="str">
        <f>VLOOKUP(A:A,Table1[[Project No]:[Additional Remark]],6,FALSE)</f>
        <v>NEM</v>
      </c>
      <c r="G209" s="237">
        <f>VLOOKUP(A:A,Table1[[Project No]:[Additional Remark]],8,FALSE)</f>
        <v>17.7</v>
      </c>
      <c r="H209" s="237" t="str">
        <f>VLOOKUP(A:A,Table1[[Project No]:[Additional Remark]],15,FALSE)</f>
        <v>Astronergy 590Wp</v>
      </c>
      <c r="I209" s="237">
        <f>VLOOKUP(A:A,Table1[[Project No]:[Additional Remark]],16,FALSE)</f>
        <v>30</v>
      </c>
      <c r="J209" s="239" t="str">
        <f>VLOOKUP(A:A,Table1[[Project No]:[Additional Remark]],17,FALSE)</f>
        <v>Huawei SUN2000-12KTL</v>
      </c>
      <c r="K209" s="240"/>
      <c r="L209" s="239" t="str">
        <f t="shared" si="6"/>
        <v>Pending NEM Welcome Letter</v>
      </c>
      <c r="M209" s="239" t="str">
        <f>VLOOKUP(A:A,'Finance Tracker'!A206:K446,8,FALSE)</f>
        <v>Invoice Completed</v>
      </c>
      <c r="N209" s="240"/>
      <c r="O209" s="239" t="s">
        <v>109</v>
      </c>
      <c r="P209" s="239" t="s">
        <v>109</v>
      </c>
      <c r="Q209" s="240"/>
      <c r="R209" s="241">
        <v>45701</v>
      </c>
      <c r="S209" s="241">
        <v>45706</v>
      </c>
      <c r="T209" s="239" t="s">
        <v>1819</v>
      </c>
      <c r="U209" s="241"/>
      <c r="V209" s="242" t="s">
        <v>1853</v>
      </c>
      <c r="W209" s="239" t="s">
        <v>1853</v>
      </c>
      <c r="X209" s="237" t="s">
        <v>109</v>
      </c>
      <c r="Y209" s="237" t="s">
        <v>1853</v>
      </c>
      <c r="Z209" s="237" t="s">
        <v>1854</v>
      </c>
      <c r="AA209" s="242">
        <v>45729</v>
      </c>
      <c r="AB209" s="242">
        <v>45740</v>
      </c>
      <c r="AC209" s="239" t="s">
        <v>1853</v>
      </c>
      <c r="AD209" s="242">
        <v>45755</v>
      </c>
      <c r="AE209" s="242">
        <v>45743</v>
      </c>
      <c r="AF209" s="242">
        <v>45755</v>
      </c>
      <c r="AG209" s="237"/>
      <c r="AH209" s="237"/>
      <c r="AI209" s="243"/>
      <c r="AJ209" s="237" t="s">
        <v>109</v>
      </c>
      <c r="AK209" s="237" t="s">
        <v>109</v>
      </c>
      <c r="AL209" s="237" t="s">
        <v>109</v>
      </c>
      <c r="AM209" s="237" t="s">
        <v>109</v>
      </c>
      <c r="AP209" s="239">
        <f t="shared" si="7"/>
        <v>5</v>
      </c>
      <c r="AQ209" s="245">
        <f>AA211-Table1[[#This Row],[Closed Date]]</f>
        <v>44</v>
      </c>
    </row>
    <row r="210" spans="1:43" s="244" customFormat="1" ht="18.75" customHeight="1" x14ac:dyDescent="0.3">
      <c r="A210" s="237">
        <f>Table1[[#This Row],[Project No]]</f>
        <v>2502548</v>
      </c>
      <c r="B210" s="238" t="str">
        <f>VLOOKUP(A:A,Table1[[Project No]:[Additional Remark]],2,FALSE)</f>
        <v>Wong Kok Wai</v>
      </c>
      <c r="C210" s="237" t="e" vm="11">
        <f>VLOOKUP(A:A,Table1[[#All],[Project No]:[Additional Remark]],7,FALSE)</f>
        <v>#VALUE!</v>
      </c>
      <c r="D210" s="237" t="str">
        <f>VLOOKUP(A:A,Table1[[#All],[Project No]:[Additional Remark]],4,FALSE)</f>
        <v>Chean Bang</v>
      </c>
      <c r="E210" s="237" t="str">
        <f>VLOOKUP(A:A,Table1[[#All],[Project No]:[Additional Remark]],5,FALSE)</f>
        <v>R-PV</v>
      </c>
      <c r="F210" s="237" t="str">
        <f>VLOOKUP(A:A,Table1[[Project No]:[Additional Remark]],6,FALSE)</f>
        <v>NEM</v>
      </c>
      <c r="G210" s="237">
        <f>VLOOKUP(A:A,Table1[[Project No]:[Additional Remark]],8,FALSE)</f>
        <v>17.7</v>
      </c>
      <c r="H210" s="237" t="str">
        <f>VLOOKUP(A:A,Table1[[Project No]:[Additional Remark]],15,FALSE)</f>
        <v>Astronergy 590Wp</v>
      </c>
      <c r="I210" s="237">
        <f>VLOOKUP(A:A,Table1[[Project No]:[Additional Remark]],16,FALSE)</f>
        <v>30</v>
      </c>
      <c r="J210" s="239" t="str">
        <f>VLOOKUP(A:A,Table1[[Project No]:[Additional Remark]],17,FALSE)</f>
        <v>Huawei SUN2000-12KTL</v>
      </c>
      <c r="K210" s="240"/>
      <c r="L210" s="239" t="str">
        <f t="shared" si="6"/>
        <v>Pending NEM Welcome Letter</v>
      </c>
      <c r="M210" s="239" t="str">
        <f>VLOOKUP(A:A,'Finance Tracker'!A207:K447,8,FALSE)</f>
        <v>Invoice Completed</v>
      </c>
      <c r="N210" s="240"/>
      <c r="O210" s="239" t="s">
        <v>109</v>
      </c>
      <c r="P210" s="239" t="s">
        <v>109</v>
      </c>
      <c r="Q210" s="240"/>
      <c r="R210" s="241">
        <v>45705</v>
      </c>
      <c r="S210" s="241">
        <v>45713</v>
      </c>
      <c r="T210" s="239" t="s">
        <v>1819</v>
      </c>
      <c r="U210" s="241"/>
      <c r="V210" s="242" t="s">
        <v>1853</v>
      </c>
      <c r="W210" s="239" t="s">
        <v>1853</v>
      </c>
      <c r="X210" s="237" t="s">
        <v>109</v>
      </c>
      <c r="Y210" s="237" t="s">
        <v>1853</v>
      </c>
      <c r="Z210" s="237" t="s">
        <v>1853</v>
      </c>
      <c r="AA210" s="242">
        <v>45724</v>
      </c>
      <c r="AB210" s="242">
        <v>45737</v>
      </c>
      <c r="AC210" s="239" t="s">
        <v>1853</v>
      </c>
      <c r="AD210" s="242">
        <v>45760</v>
      </c>
      <c r="AE210" s="242">
        <v>45744</v>
      </c>
      <c r="AF210" s="242">
        <v>45760</v>
      </c>
      <c r="AG210" s="237"/>
      <c r="AH210" s="237"/>
      <c r="AI210" s="243"/>
      <c r="AJ210" s="237" t="s">
        <v>109</v>
      </c>
      <c r="AK210" s="237" t="s">
        <v>109</v>
      </c>
      <c r="AL210" s="237" t="s">
        <v>109</v>
      </c>
      <c r="AM210" s="237" t="s">
        <v>109</v>
      </c>
      <c r="AP210" s="239">
        <f t="shared" si="7"/>
        <v>8</v>
      </c>
      <c r="AQ210" s="245">
        <f>AA212-Table1[[#This Row],[Closed Date]]</f>
        <v>237</v>
      </c>
    </row>
    <row r="211" spans="1:43" s="244" customFormat="1" ht="18.75" customHeight="1" x14ac:dyDescent="0.3">
      <c r="A211" s="237">
        <f>Table1[[#This Row],[Project No]]</f>
        <v>2501545</v>
      </c>
      <c r="B211" s="238" t="str">
        <f>VLOOKUP(A:A,Table1[[Project No]:[Additional Remark]],2,FALSE)</f>
        <v>Lee Tian Look</v>
      </c>
      <c r="C211" s="237" t="e" vm="11">
        <f>VLOOKUP(A:A,Table1[[#All],[Project No]:[Additional Remark]],7,FALSE)</f>
        <v>#VALUE!</v>
      </c>
      <c r="D211" s="237" t="str">
        <f>VLOOKUP(A:A,Table1[[#All],[Project No]:[Additional Remark]],4,FALSE)</f>
        <v>Chean Bang</v>
      </c>
      <c r="E211" s="237" t="str">
        <f>VLOOKUP(A:A,Table1[[#All],[Project No]:[Additional Remark]],5,FALSE)</f>
        <v>R-PV</v>
      </c>
      <c r="F211" s="237" t="str">
        <f>VLOOKUP(A:A,Table1[[Project No]:[Additional Remark]],6,FALSE)</f>
        <v>NEM</v>
      </c>
      <c r="G211" s="237">
        <f>VLOOKUP(A:A,Table1[[Project No]:[Additional Remark]],8,FALSE)</f>
        <v>7.08</v>
      </c>
      <c r="H211" s="237" t="str">
        <f>VLOOKUP(A:A,Table1[[Project No]:[Additional Remark]],15,FALSE)</f>
        <v>Astronergy 590Wp</v>
      </c>
      <c r="I211" s="237">
        <f>VLOOKUP(A:A,Table1[[Project No]:[Additional Remark]],16,FALSE)</f>
        <v>12</v>
      </c>
      <c r="J211" s="239" t="str">
        <f>VLOOKUP(A:A,Table1[[Project No]:[Additional Remark]],17,FALSE)</f>
        <v>Huawei SUN2000-5KTL-L1</v>
      </c>
      <c r="K211" s="240"/>
      <c r="L211" s="239" t="str">
        <f t="shared" si="6"/>
        <v>Pending NEM Welcome Letter</v>
      </c>
      <c r="M211" s="239" t="str">
        <f>VLOOKUP(A:A,'Finance Tracker'!A208:K448,8,FALSE)</f>
        <v>Invoice Completed</v>
      </c>
      <c r="N211" s="240"/>
      <c r="O211" s="239" t="s">
        <v>109</v>
      </c>
      <c r="P211" s="239" t="s">
        <v>109</v>
      </c>
      <c r="Q211" s="240"/>
      <c r="R211" s="241">
        <v>45709</v>
      </c>
      <c r="S211" s="241">
        <v>45725</v>
      </c>
      <c r="T211" s="239" t="s">
        <v>1819</v>
      </c>
      <c r="U211" s="241">
        <v>46073</v>
      </c>
      <c r="V211" s="242" t="s">
        <v>1853</v>
      </c>
      <c r="W211" s="239" t="s">
        <v>1853</v>
      </c>
      <c r="X211" s="237" t="s">
        <v>109</v>
      </c>
      <c r="Y211" s="237" t="s">
        <v>1853</v>
      </c>
      <c r="Z211" s="237" t="s">
        <v>1853</v>
      </c>
      <c r="AA211" s="242">
        <v>45738</v>
      </c>
      <c r="AB211" s="242">
        <v>45740</v>
      </c>
      <c r="AC211" s="239" t="s">
        <v>1853</v>
      </c>
      <c r="AD211" s="242">
        <v>45763</v>
      </c>
      <c r="AE211" s="242" t="s">
        <v>1853</v>
      </c>
      <c r="AF211" s="242">
        <v>45763</v>
      </c>
      <c r="AG211" s="237"/>
      <c r="AH211" s="237"/>
      <c r="AI211" s="243"/>
      <c r="AJ211" s="237" t="s">
        <v>109</v>
      </c>
      <c r="AK211" s="237" t="s">
        <v>109</v>
      </c>
      <c r="AL211" s="237" t="s">
        <v>109</v>
      </c>
      <c r="AM211" s="237" t="s">
        <v>109</v>
      </c>
      <c r="AP211" s="239">
        <f t="shared" si="7"/>
        <v>16</v>
      </c>
      <c r="AQ211" s="245">
        <f>AA213-Table1[[#This Row],[Closed Date]]</f>
        <v>131</v>
      </c>
    </row>
    <row r="212" spans="1:43" s="244" customFormat="1" ht="18.75" customHeight="1" x14ac:dyDescent="0.3">
      <c r="A212" s="237">
        <f>Table1[[#This Row],[Project No]]</f>
        <v>2311088</v>
      </c>
      <c r="B212" s="238" t="str">
        <f>VLOOKUP(A:A,Table1[[Project No]:[Additional Remark]],2,FALSE)</f>
        <v>Lee Chean Chung</v>
      </c>
      <c r="C212" s="237" t="e" vm="11">
        <f>VLOOKUP(A:A,Table1[[#All],[Project No]:[Additional Remark]],7,FALSE)</f>
        <v>#VALUE!</v>
      </c>
      <c r="D212" s="237" t="str">
        <f>VLOOKUP(A:A,Table1[[#All],[Project No]:[Additional Remark]],4,FALSE)</f>
        <v>Chean Bang</v>
      </c>
      <c r="E212" s="237" t="str">
        <f>VLOOKUP(A:A,Table1[[#All],[Project No]:[Additional Remark]],5,FALSE)</f>
        <v>R-PV</v>
      </c>
      <c r="F212" s="237" t="str">
        <f>VLOOKUP(A:A,Table1[[Project No]:[Additional Remark]],6,FALSE)</f>
        <v>NEM</v>
      </c>
      <c r="G212" s="237">
        <f>VLOOKUP(A:A,Table1[[Project No]:[Additional Remark]],8,FALSE)</f>
        <v>10.62</v>
      </c>
      <c r="H212" s="237" t="str">
        <f>VLOOKUP(A:A,Table1[[Project No]:[Additional Remark]],15,FALSE)</f>
        <v>Astronergy 590Wp</v>
      </c>
      <c r="I212" s="237">
        <f>VLOOKUP(A:A,Table1[[Project No]:[Additional Remark]],16,FALSE)</f>
        <v>18</v>
      </c>
      <c r="J212" s="239" t="str">
        <f>VLOOKUP(A:A,Table1[[Project No]:[Additional Remark]],17,FALSE)</f>
        <v>Huawei SUN2000-10KTL</v>
      </c>
      <c r="K212" s="240"/>
      <c r="L212" s="239" t="str">
        <f t="shared" si="6"/>
        <v>Pending NEM Welcome Letter</v>
      </c>
      <c r="M212" s="239" t="str">
        <f>VLOOKUP(A:A,'Finance Tracker'!A209:K449,8,FALSE)</f>
        <v>1st invoice</v>
      </c>
      <c r="N212" s="240"/>
      <c r="O212" s="239" t="s">
        <v>109</v>
      </c>
      <c r="P212" s="239" t="s">
        <v>109</v>
      </c>
      <c r="Q212" s="240"/>
      <c r="R212" s="241">
        <v>45709</v>
      </c>
      <c r="S212" s="241">
        <v>45725</v>
      </c>
      <c r="T212" s="239" t="s">
        <v>1819</v>
      </c>
      <c r="U212" s="241">
        <v>46072</v>
      </c>
      <c r="V212" s="242" t="s">
        <v>1853</v>
      </c>
      <c r="W212" s="239" t="s">
        <v>1853</v>
      </c>
      <c r="X212" s="237" t="s">
        <v>109</v>
      </c>
      <c r="Y212" s="237" t="s">
        <v>1853</v>
      </c>
      <c r="Z212" s="237" t="s">
        <v>1855</v>
      </c>
      <c r="AA212" s="242">
        <v>45937</v>
      </c>
      <c r="AB212" s="242">
        <v>45761</v>
      </c>
      <c r="AC212" s="239"/>
      <c r="AD212" s="242"/>
      <c r="AE212" s="242">
        <v>45783</v>
      </c>
      <c r="AF212" s="242" t="s">
        <v>1853</v>
      </c>
      <c r="AG212" s="237"/>
      <c r="AH212" s="237"/>
      <c r="AI212" s="243"/>
      <c r="AJ212" s="237" t="s">
        <v>109</v>
      </c>
      <c r="AK212" s="237" t="s">
        <v>109</v>
      </c>
      <c r="AL212" s="237" t="s">
        <v>109</v>
      </c>
      <c r="AM212" s="237" t="s">
        <v>109</v>
      </c>
      <c r="AP212" s="239">
        <f t="shared" si="7"/>
        <v>16</v>
      </c>
      <c r="AQ212" s="245">
        <f>AA214-Table1[[#This Row],[Closed Date]]</f>
        <v>19</v>
      </c>
    </row>
    <row r="213" spans="1:43" s="244" customFormat="1" ht="18.600000000000001" customHeight="1" x14ac:dyDescent="0.3">
      <c r="A213" s="237">
        <f>Table1[[#This Row],[Project No]]</f>
        <v>2502216</v>
      </c>
      <c r="B213" s="238" t="str">
        <f>VLOOKUP(A:A,Table1[[Project No]:[Additional Remark]],2,FALSE)</f>
        <v>Low Yi Chin</v>
      </c>
      <c r="C213" s="237" t="e" vm="11">
        <f>VLOOKUP(A:A,Table1[[#All],[Project No]:[Additional Remark]],7,FALSE)</f>
        <v>#VALUE!</v>
      </c>
      <c r="D213" s="237" t="str">
        <f>VLOOKUP(A:A,Table1[[#All],[Project No]:[Additional Remark]],4,FALSE)</f>
        <v>Chean Bang</v>
      </c>
      <c r="E213" s="237" t="str">
        <f>VLOOKUP(A:A,Table1[[#All],[Project No]:[Additional Remark]],5,FALSE)</f>
        <v>C&amp;I-PV</v>
      </c>
      <c r="F213" s="237" t="str">
        <f>VLOOKUP(A:A,Table1[[Project No]:[Additional Remark]],6,FALSE)</f>
        <v>NEM</v>
      </c>
      <c r="G213" s="237">
        <f>VLOOKUP(A:A,Table1[[Project No]:[Additional Remark]],8,FALSE)</f>
        <v>14.16</v>
      </c>
      <c r="H213" s="237" t="str">
        <f>VLOOKUP(A:A,Table1[[Project No]:[Additional Remark]],15,FALSE)</f>
        <v>Astronergy 590Wp</v>
      </c>
      <c r="I213" s="237">
        <f>VLOOKUP(A:A,Table1[[Project No]:[Additional Remark]],16,FALSE)</f>
        <v>24</v>
      </c>
      <c r="J213" s="239" t="str">
        <f>VLOOKUP(A:A,Table1[[Project No]:[Additional Remark]],17,FALSE)</f>
        <v>Huawei SUN2000-12KTL</v>
      </c>
      <c r="K213" s="240"/>
      <c r="L213" s="239" t="str">
        <f t="shared" si="6"/>
        <v>Pending NEM Welcome Letter</v>
      </c>
      <c r="M213" s="239" t="str">
        <f>VLOOKUP(A:A,'Finance Tracker'!A210:K450,8,FALSE)</f>
        <v>Invoice Completed</v>
      </c>
      <c r="N213" s="240"/>
      <c r="O213" s="239" t="s">
        <v>109</v>
      </c>
      <c r="P213" s="239" t="s">
        <v>109</v>
      </c>
      <c r="Q213" s="240"/>
      <c r="R213" s="241">
        <v>45709</v>
      </c>
      <c r="S213" s="241">
        <v>45719</v>
      </c>
      <c r="T213" s="239" t="s">
        <v>1819</v>
      </c>
      <c r="U213" s="241">
        <v>46073</v>
      </c>
      <c r="V213" s="242" t="s">
        <v>1853</v>
      </c>
      <c r="W213" s="239" t="s">
        <v>1853</v>
      </c>
      <c r="X213" s="237" t="s">
        <v>109</v>
      </c>
      <c r="Y213" s="237" t="s">
        <v>1853</v>
      </c>
      <c r="Z213" s="237" t="s">
        <v>1854</v>
      </c>
      <c r="AA213" s="242">
        <v>45832</v>
      </c>
      <c r="AB213" s="242">
        <v>45842</v>
      </c>
      <c r="AC213" s="239" t="s">
        <v>1853</v>
      </c>
      <c r="AD213" s="242">
        <v>45854</v>
      </c>
      <c r="AE213" s="242">
        <v>45845</v>
      </c>
      <c r="AF213" s="242">
        <v>45854</v>
      </c>
      <c r="AG213" s="237"/>
      <c r="AH213" s="237"/>
      <c r="AI213" s="243"/>
      <c r="AJ213" s="237" t="s">
        <v>109</v>
      </c>
      <c r="AK213" s="237" t="s">
        <v>109</v>
      </c>
      <c r="AL213" s="237" t="s">
        <v>109</v>
      </c>
      <c r="AM213" s="237" t="s">
        <v>109</v>
      </c>
      <c r="AP213" s="239">
        <f t="shared" si="7"/>
        <v>10</v>
      </c>
      <c r="AQ213" s="245">
        <f>AA215-Table1[[#This Row],[Closed Date]]</f>
        <v>28</v>
      </c>
    </row>
    <row r="214" spans="1:43" s="244" customFormat="1" ht="18.75" customHeight="1" x14ac:dyDescent="0.3">
      <c r="A214" s="237">
        <f>Table1[[#This Row],[Project No]]</f>
        <v>2502553</v>
      </c>
      <c r="B214" s="238" t="str">
        <f>VLOOKUP(A:A,Table1[[Project No]:[Additional Remark]],2,FALSE)</f>
        <v>Salim Majid Zain Bin  Abdul Majid</v>
      </c>
      <c r="C214" s="237" t="e" vm="5">
        <f>VLOOKUP(A:A,Table1[[#All],[Project No]:[Additional Remark]],7,FALSE)</f>
        <v>#VALUE!</v>
      </c>
      <c r="D214" s="237" t="str">
        <f>VLOOKUP(A:A,Table1[[#All],[Project No]:[Additional Remark]],4,FALSE)</f>
        <v>Tham</v>
      </c>
      <c r="E214" s="237" t="str">
        <f>VLOOKUP(A:A,Table1[[#All],[Project No]:[Additional Remark]],5,FALSE)</f>
        <v>R-PV</v>
      </c>
      <c r="F214" s="237" t="str">
        <f>VLOOKUP(A:A,Table1[[Project No]:[Additional Remark]],6,FALSE)</f>
        <v>NEM</v>
      </c>
      <c r="G214" s="237">
        <f>VLOOKUP(A:A,Table1[[Project No]:[Additional Remark]],8,FALSE)</f>
        <v>17.7</v>
      </c>
      <c r="H214" s="237" t="str">
        <f>VLOOKUP(A:A,Table1[[Project No]:[Additional Remark]],15,FALSE)</f>
        <v>Astronergy 590Wp</v>
      </c>
      <c r="I214" s="237">
        <f>VLOOKUP(A:A,Table1[[Project No]:[Additional Remark]],16,FALSE)</f>
        <v>30</v>
      </c>
      <c r="J214" s="239" t="str">
        <f>VLOOKUP(A:A,Table1[[Project No]:[Additional Remark]],17,FALSE)</f>
        <v>Huawei SUN2000-12KTL</v>
      </c>
      <c r="K214" s="240"/>
      <c r="L214" s="239" t="str">
        <f t="shared" si="6"/>
        <v>Pending NEM Welcome Letter</v>
      </c>
      <c r="M214" s="239" t="str">
        <f>VLOOKUP(A:A,'Finance Tracker'!A211:K451,8,FALSE)</f>
        <v>Invoice Completed</v>
      </c>
      <c r="N214" s="240"/>
      <c r="O214" s="239" t="s">
        <v>109</v>
      </c>
      <c r="P214" s="239" t="s">
        <v>109</v>
      </c>
      <c r="Q214" s="240"/>
      <c r="R214" s="241">
        <v>45706</v>
      </c>
      <c r="S214" s="241">
        <v>45713</v>
      </c>
      <c r="T214" s="239" t="s">
        <v>1819</v>
      </c>
      <c r="U214" s="241">
        <v>46070</v>
      </c>
      <c r="V214" s="242" t="s">
        <v>1853</v>
      </c>
      <c r="W214" s="239" t="s">
        <v>1853</v>
      </c>
      <c r="X214" s="237" t="s">
        <v>109</v>
      </c>
      <c r="Y214" s="237" t="s">
        <v>1853</v>
      </c>
      <c r="Z214" s="237" t="s">
        <v>1855</v>
      </c>
      <c r="AA214" s="242">
        <v>45719</v>
      </c>
      <c r="AB214" s="242">
        <v>45726</v>
      </c>
      <c r="AC214" s="239" t="s">
        <v>1853</v>
      </c>
      <c r="AD214" s="242">
        <v>45733</v>
      </c>
      <c r="AE214" s="242">
        <v>45728</v>
      </c>
      <c r="AF214" s="242">
        <v>45733</v>
      </c>
      <c r="AG214" s="237"/>
      <c r="AH214" s="237"/>
      <c r="AI214" s="243"/>
      <c r="AJ214" s="237" t="s">
        <v>109</v>
      </c>
      <c r="AK214" s="237" t="s">
        <v>109</v>
      </c>
      <c r="AL214" s="237" t="s">
        <v>109</v>
      </c>
      <c r="AM214" s="237" t="s">
        <v>109</v>
      </c>
      <c r="AP214" s="239">
        <f t="shared" si="7"/>
        <v>7</v>
      </c>
      <c r="AQ214" s="245">
        <f>AA216-Table1[[#This Row],[Closed Date]]</f>
        <v>62</v>
      </c>
    </row>
    <row r="215" spans="1:43" ht="18.75" customHeight="1" x14ac:dyDescent="0.3">
      <c r="A215" s="4">
        <f>Table1[[#This Row],[Project No]]</f>
        <v>2502552</v>
      </c>
      <c r="B215" s="110" t="str">
        <f>VLOOKUP(A:A,Table1[[Project No]:[Additional Remark]],2,FALSE)</f>
        <v>Anandan a/l Balakrishnan</v>
      </c>
      <c r="C215" s="4" t="e" vm="5">
        <f>VLOOKUP(A:A,Table1[[#All],[Project No]:[Additional Remark]],7,FALSE)</f>
        <v>#VALUE!</v>
      </c>
      <c r="D215" s="4" t="str">
        <f>VLOOKUP(A:A,Table1[[#All],[Project No]:[Additional Remark]],4,FALSE)</f>
        <v>Tham</v>
      </c>
      <c r="E215" s="4" t="str">
        <f>VLOOKUP(A:A,Table1[[#All],[Project No]:[Additional Remark]],5,FALSE)</f>
        <v>R-PV</v>
      </c>
      <c r="F215" s="4" t="str">
        <f>VLOOKUP(A:A,Table1[[Project No]:[Additional Remark]],6,FALSE)</f>
        <v>NEM</v>
      </c>
      <c r="G215" s="4">
        <f>VLOOKUP(A:A,Table1[[Project No]:[Additional Remark]],8,FALSE)</f>
        <v>11.8</v>
      </c>
      <c r="H215" s="4" t="str">
        <f>VLOOKUP(A:A,Table1[[Project No]:[Additional Remark]],15,FALSE)</f>
        <v>Astronergy 590Wp</v>
      </c>
      <c r="I215" s="4">
        <f>VLOOKUP(A:A,Table1[[Project No]:[Additional Remark]],16,FALSE)</f>
        <v>20</v>
      </c>
      <c r="J215" s="1" t="str">
        <f>VLOOKUP(A:A,Table1[[Project No]:[Additional Remark]],17,FALSE)</f>
        <v>Huawei SUN2000-10KTL</v>
      </c>
      <c r="K215" s="127"/>
      <c r="L215" s="1" t="str">
        <f t="shared" si="6"/>
        <v>Completed</v>
      </c>
      <c r="M215" s="1" t="str">
        <f>VLOOKUP(A:A,'Finance Tracker'!A212:K452,8,FALSE)</f>
        <v>Invoice Completed</v>
      </c>
      <c r="N215" s="127"/>
      <c r="O215" s="1" t="s">
        <v>109</v>
      </c>
      <c r="P215" s="1" t="s">
        <v>109</v>
      </c>
      <c r="Q215" s="127"/>
      <c r="R215" s="56">
        <v>45709</v>
      </c>
      <c r="S215" s="56">
        <v>45725</v>
      </c>
      <c r="T215" s="1" t="s">
        <v>1819</v>
      </c>
      <c r="U215" s="56">
        <v>46073</v>
      </c>
      <c r="V215" s="39" t="s">
        <v>1853</v>
      </c>
      <c r="W215" s="1" t="s">
        <v>1853</v>
      </c>
      <c r="X215" s="4" t="s">
        <v>109</v>
      </c>
      <c r="Y215" s="4" t="s">
        <v>1853</v>
      </c>
      <c r="Z215" s="4" t="s">
        <v>1855</v>
      </c>
      <c r="AA215" s="39">
        <v>45729</v>
      </c>
      <c r="AB215" s="39">
        <v>45736</v>
      </c>
      <c r="AC215" s="1" t="s">
        <v>1853</v>
      </c>
      <c r="AD215" s="39">
        <v>45751</v>
      </c>
      <c r="AE215" s="39">
        <v>45742</v>
      </c>
      <c r="AF215" s="39">
        <v>45751</v>
      </c>
      <c r="AG215" s="39">
        <v>45751</v>
      </c>
      <c r="AH215" s="39">
        <v>49429</v>
      </c>
      <c r="AJ215" s="4" t="s">
        <v>109</v>
      </c>
      <c r="AK215" s="4" t="s">
        <v>109</v>
      </c>
      <c r="AL215" s="4" t="s">
        <v>109</v>
      </c>
      <c r="AM215" s="4" t="s">
        <v>109</v>
      </c>
      <c r="AP215" s="1">
        <f t="shared" si="7"/>
        <v>16</v>
      </c>
      <c r="AQ215" s="38">
        <f>AA217-Table1[[#This Row],[Closed Date]]</f>
        <v>32</v>
      </c>
    </row>
    <row r="216" spans="1:43" ht="18.75" customHeight="1" x14ac:dyDescent="0.3">
      <c r="A216" s="4">
        <f>Table1[[#This Row],[Project No]]</f>
        <v>2412519</v>
      </c>
      <c r="B216" s="110" t="str">
        <f>VLOOKUP(A:A,Table1[[Project No]:[Additional Remark]],2,FALSE)</f>
        <v>Liew Swee Fah</v>
      </c>
      <c r="C216" s="4" t="e" vm="11">
        <f>VLOOKUP(A:A,Table1[[#All],[Project No]:[Additional Remark]],7,FALSE)</f>
        <v>#VALUE!</v>
      </c>
      <c r="D216" s="4" t="str">
        <f>VLOOKUP(A:A,Table1[[#All],[Project No]:[Additional Remark]],4,FALSE)</f>
        <v>Tham</v>
      </c>
      <c r="E216" s="4" t="str">
        <f>VLOOKUP(A:A,Table1[[#All],[Project No]:[Additional Remark]],5,FALSE)</f>
        <v>R-PV</v>
      </c>
      <c r="F216" s="4" t="str">
        <f>VLOOKUP(A:A,Table1[[Project No]:[Additional Remark]],6,FALSE)</f>
        <v>NEM</v>
      </c>
      <c r="G216" s="4">
        <f>VLOOKUP(A:A,Table1[[Project No]:[Additional Remark]],8,FALSE)</f>
        <v>7.08</v>
      </c>
      <c r="H216" s="4" t="str">
        <f>VLOOKUP(A:A,Table1[[Project No]:[Additional Remark]],15,FALSE)</f>
        <v>Astronergy 590Wp</v>
      </c>
      <c r="I216" s="4">
        <f>VLOOKUP(A:A,Table1[[Project No]:[Additional Remark]],16,FALSE)</f>
        <v>12</v>
      </c>
      <c r="J216" s="1" t="str">
        <f>VLOOKUP(A:A,Table1[[Project No]:[Additional Remark]],17,FALSE)</f>
        <v>Huawei SUN2000-5KTL-L1</v>
      </c>
      <c r="K216" s="127"/>
      <c r="L216" s="1" t="str">
        <f t="shared" si="6"/>
        <v>Completed</v>
      </c>
      <c r="M216" s="1" t="str">
        <f>VLOOKUP(A:A,'Finance Tracker'!A213:K453,8,FALSE)</f>
        <v>Invoice Completed</v>
      </c>
      <c r="N216" s="127"/>
      <c r="O216" s="1" t="s">
        <v>109</v>
      </c>
      <c r="P216" s="1" t="s">
        <v>109</v>
      </c>
      <c r="Q216" s="127"/>
      <c r="R216" s="56">
        <v>45709</v>
      </c>
      <c r="S216" s="56">
        <v>45725</v>
      </c>
      <c r="T216" s="1" t="s">
        <v>1819</v>
      </c>
      <c r="U216" s="56">
        <v>46073</v>
      </c>
      <c r="V216" s="39" t="s">
        <v>1853</v>
      </c>
      <c r="W216" s="1" t="s">
        <v>1853</v>
      </c>
      <c r="X216" s="4" t="s">
        <v>109</v>
      </c>
      <c r="Y216" s="4" t="s">
        <v>1853</v>
      </c>
      <c r="Z216" s="4" t="s">
        <v>1854</v>
      </c>
      <c r="AA216" s="39">
        <v>45764</v>
      </c>
      <c r="AB216" s="39">
        <v>45755</v>
      </c>
      <c r="AC216" s="1" t="s">
        <v>1853</v>
      </c>
      <c r="AD216" s="39">
        <v>45797</v>
      </c>
      <c r="AE216" s="39">
        <v>45757</v>
      </c>
      <c r="AF216" s="39">
        <v>45797</v>
      </c>
      <c r="AG216" s="39">
        <v>45797</v>
      </c>
      <c r="AH216" s="39">
        <v>49460</v>
      </c>
      <c r="AJ216" s="4" t="s">
        <v>109</v>
      </c>
      <c r="AK216" s="4" t="s">
        <v>109</v>
      </c>
      <c r="AL216" s="4" t="s">
        <v>109</v>
      </c>
      <c r="AM216" s="4" t="s">
        <v>109</v>
      </c>
      <c r="AP216" s="1">
        <f t="shared" si="7"/>
        <v>16</v>
      </c>
      <c r="AQ216" s="38">
        <f>AA218-Table1[[#This Row],[Closed Date]]</f>
        <v>33</v>
      </c>
    </row>
    <row r="217" spans="1:43" s="244" customFormat="1" ht="18.75" customHeight="1" x14ac:dyDescent="0.3">
      <c r="A217" s="237">
        <f>Table1[[#This Row],[Project No]]</f>
        <v>2502547</v>
      </c>
      <c r="B217" s="238" t="str">
        <f>VLOOKUP(A:A,Table1[[Project No]:[Additional Remark]],2,FALSE)</f>
        <v>Chong Chee Hoo</v>
      </c>
      <c r="C217" s="237" t="e" vm="8">
        <f>VLOOKUP(A:A,Table1[[#All],[Project No]:[Additional Remark]],7,FALSE)</f>
        <v>#VALUE!</v>
      </c>
      <c r="D217" s="237" t="str">
        <f>VLOOKUP(A:A,Table1[[#All],[Project No]:[Additional Remark]],4,FALSE)</f>
        <v>Tham</v>
      </c>
      <c r="E217" s="237" t="str">
        <f>VLOOKUP(A:A,Table1[[#All],[Project No]:[Additional Remark]],5,FALSE)</f>
        <v>R-PV</v>
      </c>
      <c r="F217" s="237" t="str">
        <f>VLOOKUP(A:A,Table1[[Project No]:[Additional Remark]],6,FALSE)</f>
        <v>NEM</v>
      </c>
      <c r="G217" s="237">
        <f>VLOOKUP(A:A,Table1[[Project No]:[Additional Remark]],8,FALSE)</f>
        <v>11.8</v>
      </c>
      <c r="H217" s="237" t="str">
        <f>VLOOKUP(A:A,Table1[[Project No]:[Additional Remark]],15,FALSE)</f>
        <v>Astronergy 590Wp</v>
      </c>
      <c r="I217" s="237">
        <f>VLOOKUP(A:A,Table1[[Project No]:[Additional Remark]],16,FALSE)</f>
        <v>20</v>
      </c>
      <c r="J217" s="239" t="str">
        <f>VLOOKUP(A:A,Table1[[Project No]:[Additional Remark]],17,FALSE)</f>
        <v>Huawei SUN2000-10KTL</v>
      </c>
      <c r="K217" s="240"/>
      <c r="L217" s="239" t="str">
        <f t="shared" si="6"/>
        <v>Pending NEM Welcome Letter</v>
      </c>
      <c r="M217" s="239" t="str">
        <f>VLOOKUP(A:A,'Finance Tracker'!A214:K454,8,FALSE)</f>
        <v>Invoice Completed</v>
      </c>
      <c r="N217" s="240"/>
      <c r="O217" s="239" t="s">
        <v>109</v>
      </c>
      <c r="P217" s="239" t="s">
        <v>109</v>
      </c>
      <c r="Q217" s="240"/>
      <c r="R217" s="241">
        <v>45722</v>
      </c>
      <c r="S217" s="241">
        <v>45730</v>
      </c>
      <c r="T217" s="239" t="s">
        <v>1819</v>
      </c>
      <c r="U217" s="241">
        <v>46086</v>
      </c>
      <c r="V217" s="242" t="s">
        <v>1853</v>
      </c>
      <c r="W217" s="239" t="s">
        <v>1853</v>
      </c>
      <c r="X217" s="237" t="s">
        <v>109</v>
      </c>
      <c r="Y217" s="237" t="s">
        <v>1853</v>
      </c>
      <c r="Z217" s="237" t="s">
        <v>1855</v>
      </c>
      <c r="AA217" s="242">
        <v>45734</v>
      </c>
      <c r="AB217" s="242">
        <v>45742</v>
      </c>
      <c r="AC217" s="239" t="s">
        <v>1853</v>
      </c>
      <c r="AD217" s="242">
        <v>45745</v>
      </c>
      <c r="AE217" s="242">
        <v>45743</v>
      </c>
      <c r="AF217" s="242">
        <v>45745</v>
      </c>
      <c r="AG217" s="242"/>
      <c r="AH217" s="242"/>
      <c r="AI217" s="243"/>
      <c r="AJ217" s="237" t="s">
        <v>109</v>
      </c>
      <c r="AK217" s="237" t="s">
        <v>109</v>
      </c>
      <c r="AL217" s="237" t="s">
        <v>109</v>
      </c>
      <c r="AM217" s="237" t="s">
        <v>109</v>
      </c>
      <c r="AP217" s="239">
        <f t="shared" si="7"/>
        <v>8</v>
      </c>
      <c r="AQ217" s="245">
        <f>AA219-Table1[[#This Row],[Closed Date]]</f>
        <v>25</v>
      </c>
    </row>
    <row r="218" spans="1:43" s="244" customFormat="1" ht="18.75" customHeight="1" x14ac:dyDescent="0.3">
      <c r="A218" s="237">
        <f>Table1[[#This Row],[Project No]]</f>
        <v>2502541</v>
      </c>
      <c r="B218" s="238" t="str">
        <f>VLOOKUP(A:A,Table1[[Project No]:[Additional Remark]],2,FALSE)</f>
        <v>Boo Kee Meng</v>
      </c>
      <c r="C218" s="237" t="e" vm="8">
        <f>VLOOKUP(A:A,Table1[[#All],[Project No]:[Additional Remark]],7,FALSE)</f>
        <v>#VALUE!</v>
      </c>
      <c r="D218" s="237" t="str">
        <f>VLOOKUP(A:A,Table1[[#All],[Project No]:[Additional Remark]],4,FALSE)</f>
        <v>Tham</v>
      </c>
      <c r="E218" s="237" t="str">
        <f>VLOOKUP(A:A,Table1[[#All],[Project No]:[Additional Remark]],5,FALSE)</f>
        <v>R-PV</v>
      </c>
      <c r="F218" s="237" t="str">
        <f>VLOOKUP(A:A,Table1[[Project No]:[Additional Remark]],6,FALSE)</f>
        <v>NEM</v>
      </c>
      <c r="G218" s="237">
        <f>VLOOKUP(A:A,Table1[[Project No]:[Additional Remark]],8,FALSE)</f>
        <v>7.08</v>
      </c>
      <c r="H218" s="237" t="str">
        <f>VLOOKUP(A:A,Table1[[Project No]:[Additional Remark]],15,FALSE)</f>
        <v>Astronergy 590Wp</v>
      </c>
      <c r="I218" s="237">
        <f>VLOOKUP(A:A,Table1[[Project No]:[Additional Remark]],16,FALSE)</f>
        <v>12</v>
      </c>
      <c r="J218" s="239" t="str">
        <f>VLOOKUP(A:A,Table1[[Project No]:[Additional Remark]],17,FALSE)</f>
        <v>Huawei SUN2000-5KTL-L1</v>
      </c>
      <c r="K218" s="240"/>
      <c r="L218" s="239" t="str">
        <f t="shared" si="6"/>
        <v>Pending NEM Welcome Letter</v>
      </c>
      <c r="M218" s="239" t="str">
        <f>VLOOKUP(A:A,'Finance Tracker'!A215:K455,8,FALSE)</f>
        <v>Invoice Completed</v>
      </c>
      <c r="N218" s="240"/>
      <c r="O218" s="239" t="s">
        <v>109</v>
      </c>
      <c r="P218" s="239" t="s">
        <v>109</v>
      </c>
      <c r="Q218" s="240"/>
      <c r="R218" s="241">
        <v>45709</v>
      </c>
      <c r="S218" s="241">
        <v>45713</v>
      </c>
      <c r="T218" s="239" t="s">
        <v>1819</v>
      </c>
      <c r="U218" s="241">
        <v>46073</v>
      </c>
      <c r="V218" s="242" t="s">
        <v>1853</v>
      </c>
      <c r="W218" s="239" t="s">
        <v>1853</v>
      </c>
      <c r="X218" s="237" t="s">
        <v>109</v>
      </c>
      <c r="Y218" s="237" t="s">
        <v>1853</v>
      </c>
      <c r="Z218" s="237" t="s">
        <v>1855</v>
      </c>
      <c r="AA218" s="242">
        <v>45733</v>
      </c>
      <c r="AB218" s="242">
        <v>45762</v>
      </c>
      <c r="AC218" s="239"/>
      <c r="AD218" s="242"/>
      <c r="AE218" s="242">
        <v>45768</v>
      </c>
      <c r="AF218" s="242" t="s">
        <v>1853</v>
      </c>
      <c r="AG218" s="242"/>
      <c r="AH218" s="242"/>
      <c r="AI218" s="243"/>
      <c r="AJ218" s="237" t="s">
        <v>109</v>
      </c>
      <c r="AK218" s="237" t="s">
        <v>109</v>
      </c>
      <c r="AL218" s="237" t="s">
        <v>109</v>
      </c>
      <c r="AM218" s="237" t="s">
        <v>109</v>
      </c>
      <c r="AP218" s="239">
        <f t="shared" si="7"/>
        <v>4</v>
      </c>
      <c r="AQ218" s="245">
        <f>AA220-Table1[[#This Row],[Closed Date]]</f>
        <v>21</v>
      </c>
    </row>
    <row r="219" spans="1:43" s="244" customFormat="1" ht="18.75" customHeight="1" x14ac:dyDescent="0.3">
      <c r="A219" s="237">
        <f>Table1[[#This Row],[Project No]]</f>
        <v>2502556</v>
      </c>
      <c r="B219" s="238" t="str">
        <f>VLOOKUP(A:A,Table1[[Project No]:[Additional Remark]],2,FALSE)</f>
        <v>Gan Chong Sing</v>
      </c>
      <c r="C219" s="237" t="e" vm="11">
        <f>VLOOKUP(A:A,Table1[[#All],[Project No]:[Additional Remark]],7,FALSE)</f>
        <v>#VALUE!</v>
      </c>
      <c r="D219" s="237" t="str">
        <f>VLOOKUP(A:A,Table1[[#All],[Project No]:[Additional Remark]],4,FALSE)</f>
        <v>Patricia</v>
      </c>
      <c r="E219" s="237" t="str">
        <f>VLOOKUP(A:A,Table1[[#All],[Project No]:[Additional Remark]],5,FALSE)</f>
        <v>R-PV</v>
      </c>
      <c r="F219" s="237" t="str">
        <f>VLOOKUP(A:A,Table1[[Project No]:[Additional Remark]],6,FALSE)</f>
        <v>NEM</v>
      </c>
      <c r="G219" s="237">
        <f>VLOOKUP(A:A,Table1[[Project No]:[Additional Remark]],8,FALSE)</f>
        <v>7.08</v>
      </c>
      <c r="H219" s="237" t="str">
        <f>VLOOKUP(A:A,Table1[[Project No]:[Additional Remark]],15,FALSE)</f>
        <v>Astronergy 590Wp</v>
      </c>
      <c r="I219" s="237">
        <f>VLOOKUP(A:A,Table1[[Project No]:[Additional Remark]],16,FALSE)</f>
        <v>12</v>
      </c>
      <c r="J219" s="239" t="str">
        <f>VLOOKUP(A:A,Table1[[Project No]:[Additional Remark]],17,FALSE)</f>
        <v>Huawei SUN2000-5KTL-L1</v>
      </c>
      <c r="K219" s="240"/>
      <c r="L219" s="239" t="str">
        <f t="shared" si="6"/>
        <v>Pending NEM Welcome Letter</v>
      </c>
      <c r="M219" s="239" t="str">
        <f>VLOOKUP(A:A,'Finance Tracker'!A216:K456,8,FALSE)</f>
        <v>Invoice Completed</v>
      </c>
      <c r="N219" s="240"/>
      <c r="O219" s="239" t="s">
        <v>109</v>
      </c>
      <c r="P219" s="239" t="s">
        <v>109</v>
      </c>
      <c r="Q219" s="240"/>
      <c r="R219" s="241">
        <v>45709</v>
      </c>
      <c r="S219" s="241">
        <v>45725</v>
      </c>
      <c r="T219" s="239" t="s">
        <v>1819</v>
      </c>
      <c r="U219" s="241">
        <v>46073</v>
      </c>
      <c r="V219" s="242" t="s">
        <v>1853</v>
      </c>
      <c r="W219" s="239" t="s">
        <v>1853</v>
      </c>
      <c r="X219" s="237" t="s">
        <v>109</v>
      </c>
      <c r="Y219" s="237" t="s">
        <v>1853</v>
      </c>
      <c r="Z219" s="237" t="s">
        <v>1854</v>
      </c>
      <c r="AA219" s="242">
        <v>45730</v>
      </c>
      <c r="AB219" s="242">
        <v>45735</v>
      </c>
      <c r="AC219" s="239" t="s">
        <v>1853</v>
      </c>
      <c r="AD219" s="242">
        <v>45755</v>
      </c>
      <c r="AE219" s="242">
        <v>45743</v>
      </c>
      <c r="AF219" s="242">
        <v>45755</v>
      </c>
      <c r="AG219" s="242"/>
      <c r="AH219" s="242"/>
      <c r="AI219" s="243"/>
      <c r="AJ219" s="237" t="s">
        <v>109</v>
      </c>
      <c r="AK219" s="237" t="s">
        <v>109</v>
      </c>
      <c r="AL219" s="237" t="s">
        <v>109</v>
      </c>
      <c r="AM219" s="237" t="s">
        <v>109</v>
      </c>
      <c r="AP219" s="239">
        <f t="shared" si="7"/>
        <v>16</v>
      </c>
      <c r="AQ219" s="245">
        <f>AA221-Table1[[#This Row],[Closed Date]]</f>
        <v>17</v>
      </c>
    </row>
    <row r="220" spans="1:43" s="244" customFormat="1" ht="18.75" customHeight="1" x14ac:dyDescent="0.3">
      <c r="A220" s="237">
        <f>Table1[[#This Row],[Project No]]</f>
        <v>2502551</v>
      </c>
      <c r="B220" s="238" t="str">
        <f>VLOOKUP(A:A,Table1[[Project No]:[Additional Remark]],2,FALSE)</f>
        <v>Tan Seng Shen</v>
      </c>
      <c r="C220" s="237" t="e" vm="5">
        <f>VLOOKUP(A:A,Table1[[#All],[Project No]:[Additional Remark]],7,FALSE)</f>
        <v>#VALUE!</v>
      </c>
      <c r="D220" s="237" t="str">
        <f>VLOOKUP(A:A,Table1[[#All],[Project No]:[Additional Remark]],4,FALSE)</f>
        <v>Tham</v>
      </c>
      <c r="E220" s="237" t="str">
        <f>VLOOKUP(A:A,Table1[[#All],[Project No]:[Additional Remark]],5,FALSE)</f>
        <v>R-PV</v>
      </c>
      <c r="F220" s="237" t="str">
        <f>VLOOKUP(A:A,Table1[[Project No]:[Additional Remark]],6,FALSE)</f>
        <v>NEM</v>
      </c>
      <c r="G220" s="237">
        <f>VLOOKUP(A:A,Table1[[Project No]:[Additional Remark]],8,FALSE)</f>
        <v>14.16</v>
      </c>
      <c r="H220" s="237" t="str">
        <f>VLOOKUP(A:A,Table1[[Project No]:[Additional Remark]],15,FALSE)</f>
        <v>Astronergy 590Wp</v>
      </c>
      <c r="I220" s="237">
        <f>VLOOKUP(A:A,Table1[[Project No]:[Additional Remark]],16,FALSE)</f>
        <v>24</v>
      </c>
      <c r="J220" s="239" t="str">
        <f>VLOOKUP(A:A,Table1[[Project No]:[Additional Remark]],17,FALSE)</f>
        <v>Huawei SUN2000-12KTL</v>
      </c>
      <c r="K220" s="240"/>
      <c r="L220" s="239" t="str">
        <f t="shared" si="6"/>
        <v>Pending NEM Welcome Letter</v>
      </c>
      <c r="M220" s="239" t="str">
        <f>VLOOKUP(A:A,'Finance Tracker'!A217:K457,8,FALSE)</f>
        <v>Invoice Completed</v>
      </c>
      <c r="N220" s="240"/>
      <c r="O220" s="239" t="s">
        <v>109</v>
      </c>
      <c r="P220" s="239" t="s">
        <v>109</v>
      </c>
      <c r="Q220" s="240"/>
      <c r="R220" s="241">
        <v>45709</v>
      </c>
      <c r="S220" s="241">
        <v>45713</v>
      </c>
      <c r="T220" s="239" t="s">
        <v>1819</v>
      </c>
      <c r="U220" s="241">
        <v>46073</v>
      </c>
      <c r="V220" s="242" t="s">
        <v>1853</v>
      </c>
      <c r="W220" s="239" t="s">
        <v>1853</v>
      </c>
      <c r="X220" s="237" t="s">
        <v>109</v>
      </c>
      <c r="Y220" s="237" t="s">
        <v>1853</v>
      </c>
      <c r="Z220" s="237" t="s">
        <v>1855</v>
      </c>
      <c r="AA220" s="242">
        <v>45726</v>
      </c>
      <c r="AB220" s="242">
        <v>45736</v>
      </c>
      <c r="AC220" s="239" t="s">
        <v>1853</v>
      </c>
      <c r="AD220" s="242">
        <v>45744</v>
      </c>
      <c r="AE220" s="242" t="s">
        <v>1853</v>
      </c>
      <c r="AF220" s="242" t="s">
        <v>1853</v>
      </c>
      <c r="AG220" s="242"/>
      <c r="AH220" s="242"/>
      <c r="AI220" s="243"/>
      <c r="AJ220" s="237" t="s">
        <v>109</v>
      </c>
      <c r="AK220" s="237" t="s">
        <v>109</v>
      </c>
      <c r="AL220" s="237" t="s">
        <v>109</v>
      </c>
      <c r="AM220" s="237" t="s">
        <v>109</v>
      </c>
      <c r="AP220" s="239">
        <f t="shared" si="7"/>
        <v>4</v>
      </c>
      <c r="AQ220" s="245">
        <f>AA222-Table1[[#This Row],[Closed Date]]</f>
        <v>31</v>
      </c>
    </row>
    <row r="221" spans="1:43" s="244" customFormat="1" ht="18.75" customHeight="1" x14ac:dyDescent="0.3">
      <c r="A221" s="237">
        <f>Table1[[#This Row],[Project No]]</f>
        <v>2502546</v>
      </c>
      <c r="B221" s="238" t="str">
        <f>VLOOKUP(A:A,Table1[[Project No]:[Additional Remark]],2,FALSE)</f>
        <v>Jordan Tan Heng Xiang</v>
      </c>
      <c r="C221" s="237" t="e" vm="5">
        <f>VLOOKUP(A:A,Table1[[#All],[Project No]:[Additional Remark]],7,FALSE)</f>
        <v>#VALUE!</v>
      </c>
      <c r="D221" s="237" t="str">
        <f>VLOOKUP(A:A,Table1[[#All],[Project No]:[Additional Remark]],4,FALSE)</f>
        <v>Tham</v>
      </c>
      <c r="E221" s="237" t="str">
        <f>VLOOKUP(A:A,Table1[[#All],[Project No]:[Additional Remark]],5,FALSE)</f>
        <v>R-PV</v>
      </c>
      <c r="F221" s="237" t="str">
        <f>VLOOKUP(A:A,Table1[[Project No]:[Additional Remark]],6,FALSE)</f>
        <v>NEM</v>
      </c>
      <c r="G221" s="237">
        <f>VLOOKUP(A:A,Table1[[Project No]:[Additional Remark]],8,FALSE)</f>
        <v>7.08</v>
      </c>
      <c r="H221" s="237" t="str">
        <f>VLOOKUP(A:A,Table1[[Project No]:[Additional Remark]],15,FALSE)</f>
        <v>Astronergy 590Wp</v>
      </c>
      <c r="I221" s="237">
        <f>VLOOKUP(A:A,Table1[[Project No]:[Additional Remark]],16,FALSE)</f>
        <v>12</v>
      </c>
      <c r="J221" s="239" t="str">
        <f>VLOOKUP(A:A,Table1[[Project No]:[Additional Remark]],17,FALSE)</f>
        <v>Huawei SUN2000-6KTL</v>
      </c>
      <c r="K221" s="240"/>
      <c r="L221" s="239" t="str">
        <f t="shared" si="6"/>
        <v>Pending NEM Welcome Letter</v>
      </c>
      <c r="M221" s="239" t="str">
        <f>VLOOKUP(A:A,'Finance Tracker'!A218:K458,8,FALSE)</f>
        <v>Invoice Completed</v>
      </c>
      <c r="N221" s="240"/>
      <c r="O221" s="239" t="s">
        <v>109</v>
      </c>
      <c r="P221" s="239" t="s">
        <v>109</v>
      </c>
      <c r="Q221" s="240"/>
      <c r="R221" s="241">
        <v>45709</v>
      </c>
      <c r="S221" s="241">
        <v>45713</v>
      </c>
      <c r="T221" s="239" t="s">
        <v>1819</v>
      </c>
      <c r="U221" s="241">
        <v>46073</v>
      </c>
      <c r="V221" s="242" t="s">
        <v>1853</v>
      </c>
      <c r="W221" s="239" t="s">
        <v>1853</v>
      </c>
      <c r="X221" s="237" t="s">
        <v>109</v>
      </c>
      <c r="Y221" s="237" t="s">
        <v>1853</v>
      </c>
      <c r="Z221" s="237" t="s">
        <v>1855</v>
      </c>
      <c r="AA221" s="242">
        <v>45722</v>
      </c>
      <c r="AB221" s="242">
        <v>45744</v>
      </c>
      <c r="AC221" s="239" t="s">
        <v>1853</v>
      </c>
      <c r="AD221" s="242">
        <v>45761</v>
      </c>
      <c r="AE221" s="242">
        <v>45755</v>
      </c>
      <c r="AF221" s="242">
        <v>45761</v>
      </c>
      <c r="AG221" s="242"/>
      <c r="AH221" s="242"/>
      <c r="AI221" s="243"/>
      <c r="AJ221" s="237" t="s">
        <v>109</v>
      </c>
      <c r="AK221" s="237" t="s">
        <v>109</v>
      </c>
      <c r="AL221" s="237" t="s">
        <v>109</v>
      </c>
      <c r="AM221" s="237" t="s">
        <v>109</v>
      </c>
      <c r="AP221" s="239">
        <f t="shared" si="7"/>
        <v>4</v>
      </c>
      <c r="AQ221" s="245">
        <f>AA223-Table1[[#This Row],[Closed Date]]</f>
        <v>18</v>
      </c>
    </row>
    <row r="222" spans="1:43" s="244" customFormat="1" ht="18.75" customHeight="1" x14ac:dyDescent="0.3">
      <c r="A222" s="237">
        <f>Table1[[#This Row],[Project No]]</f>
        <v>2502559</v>
      </c>
      <c r="B222" s="238" t="str">
        <f>VLOOKUP(A:A,Table1[[Project No]:[Additional Remark]],2,FALSE)</f>
        <v>Wong Peng Soon</v>
      </c>
      <c r="C222" s="237" t="e" vm="11">
        <f>VLOOKUP(A:A,Table1[[#All],[Project No]:[Additional Remark]],7,FALSE)</f>
        <v>#VALUE!</v>
      </c>
      <c r="D222" s="237" t="str">
        <f>VLOOKUP(A:A,Table1[[#All],[Project No]:[Additional Remark]],4,FALSE)</f>
        <v>Chean Bang</v>
      </c>
      <c r="E222" s="237" t="str">
        <f>VLOOKUP(A:A,Table1[[#All],[Project No]:[Additional Remark]],5,FALSE)</f>
        <v>R-PV</v>
      </c>
      <c r="F222" s="237" t="str">
        <f>VLOOKUP(A:A,Table1[[Project No]:[Additional Remark]],6,FALSE)</f>
        <v>NEM</v>
      </c>
      <c r="G222" s="237">
        <f>VLOOKUP(A:A,Table1[[Project No]:[Additional Remark]],8,FALSE)</f>
        <v>9.44</v>
      </c>
      <c r="H222" s="237" t="str">
        <f>VLOOKUP(A:A,Table1[[Project No]:[Additional Remark]],15,FALSE)</f>
        <v>Astronergy 590Wp</v>
      </c>
      <c r="I222" s="237">
        <f>VLOOKUP(A:A,Table1[[Project No]:[Additional Remark]],16,FALSE)</f>
        <v>16</v>
      </c>
      <c r="J222" s="239" t="str">
        <f>VLOOKUP(A:A,Table1[[Project No]:[Additional Remark]],17,FALSE)</f>
        <v>Huawei SUN2000-8KTL</v>
      </c>
      <c r="K222" s="240"/>
      <c r="L222" s="239" t="str">
        <f t="shared" si="6"/>
        <v>Pending NEM Welcome Letter</v>
      </c>
      <c r="M222" s="239" t="str">
        <f>VLOOKUP(A:A,'Finance Tracker'!A219:K459,8,FALSE)</f>
        <v>Invoice Completed</v>
      </c>
      <c r="N222" s="240"/>
      <c r="O222" s="239" t="s">
        <v>109</v>
      </c>
      <c r="P222" s="239" t="s">
        <v>109</v>
      </c>
      <c r="Q222" s="240"/>
      <c r="R222" s="241">
        <v>45709</v>
      </c>
      <c r="S222" s="241">
        <v>45725</v>
      </c>
      <c r="T222" s="239" t="s">
        <v>1819</v>
      </c>
      <c r="U222" s="241">
        <v>46072</v>
      </c>
      <c r="V222" s="242" t="s">
        <v>1853</v>
      </c>
      <c r="W222" s="239" t="s">
        <v>1853</v>
      </c>
      <c r="X222" s="237" t="s">
        <v>109</v>
      </c>
      <c r="Y222" s="237" t="s">
        <v>1853</v>
      </c>
      <c r="Z222" s="237" t="s">
        <v>1854</v>
      </c>
      <c r="AA222" s="242">
        <v>45736</v>
      </c>
      <c r="AB222" s="242">
        <v>45737</v>
      </c>
      <c r="AC222" s="239" t="s">
        <v>1853</v>
      </c>
      <c r="AD222" s="242">
        <v>45745</v>
      </c>
      <c r="AE222" s="242">
        <v>45742</v>
      </c>
      <c r="AF222" s="242">
        <v>45745</v>
      </c>
      <c r="AG222" s="242"/>
      <c r="AH222" s="242"/>
      <c r="AI222" s="243"/>
      <c r="AJ222" s="237" t="s">
        <v>109</v>
      </c>
      <c r="AK222" s="237" t="s">
        <v>109</v>
      </c>
      <c r="AL222" s="237" t="s">
        <v>109</v>
      </c>
      <c r="AM222" s="237" t="s">
        <v>109</v>
      </c>
      <c r="AP222" s="239">
        <f t="shared" si="7"/>
        <v>16</v>
      </c>
      <c r="AQ222" s="245">
        <f>AA224-Table1[[#This Row],[Closed Date]]</f>
        <v>217</v>
      </c>
    </row>
    <row r="223" spans="1:43" ht="18.75" customHeight="1" x14ac:dyDescent="0.3">
      <c r="A223" s="4">
        <f>Table1[[#This Row],[Project No]]</f>
        <v>2501537</v>
      </c>
      <c r="B223" s="110" t="str">
        <f>VLOOKUP(A:A,Table1[[Project No]:[Additional Remark]],2,FALSE)</f>
        <v>Chan My Ling</v>
      </c>
      <c r="C223" s="4" t="e" vm="12">
        <f>VLOOKUP(A:A,Table1[[#All],[Project No]:[Additional Remark]],7,FALSE)</f>
        <v>#VALUE!</v>
      </c>
      <c r="D223" s="4" t="str">
        <f>VLOOKUP(A:A,Table1[[#All],[Project No]:[Additional Remark]],4,FALSE)</f>
        <v>Tham</v>
      </c>
      <c r="E223" s="4" t="str">
        <f>VLOOKUP(A:A,Table1[[#All],[Project No]:[Additional Remark]],5,FALSE)</f>
        <v>R-PV</v>
      </c>
      <c r="F223" s="4" t="str">
        <f>VLOOKUP(A:A,Table1[[Project No]:[Additional Remark]],6,FALSE)</f>
        <v>NEM</v>
      </c>
      <c r="G223" s="4">
        <f>VLOOKUP(A:A,Table1[[Project No]:[Additional Remark]],8,FALSE)</f>
        <v>12.39</v>
      </c>
      <c r="H223" s="4" t="str">
        <f>VLOOKUP(A:A,Table1[[Project No]:[Additional Remark]],15,FALSE)</f>
        <v>Astronergy 590Wp</v>
      </c>
      <c r="I223" s="4">
        <f>VLOOKUP(A:A,Table1[[Project No]:[Additional Remark]],16,FALSE)</f>
        <v>21</v>
      </c>
      <c r="J223" s="1" t="str">
        <f>VLOOKUP(A:A,Table1[[Project No]:[Additional Remark]],17,FALSE)</f>
        <v>Huawei SUN2000-10KTL</v>
      </c>
      <c r="K223" s="127"/>
      <c r="L223" s="1" t="str">
        <f t="shared" si="6"/>
        <v>Completed</v>
      </c>
      <c r="M223" s="1" t="str">
        <f>VLOOKUP(A:A,'Finance Tracker'!A220:K460,8,FALSE)</f>
        <v>Invoice Completed</v>
      </c>
      <c r="N223" s="127"/>
      <c r="O223" s="1" t="s">
        <v>109</v>
      </c>
      <c r="P223" s="1" t="s">
        <v>109</v>
      </c>
      <c r="Q223" s="127"/>
      <c r="R223" s="56">
        <v>45706</v>
      </c>
      <c r="S223" s="56">
        <v>45713</v>
      </c>
      <c r="T223" s="1" t="s">
        <v>1819</v>
      </c>
      <c r="U223" s="56">
        <v>46070</v>
      </c>
      <c r="V223" s="39" t="s">
        <v>1853</v>
      </c>
      <c r="W223" s="1" t="s">
        <v>1853</v>
      </c>
      <c r="X223" s="4" t="s">
        <v>109</v>
      </c>
      <c r="Y223" s="4" t="s">
        <v>1853</v>
      </c>
      <c r="Z223" s="4" t="s">
        <v>1855</v>
      </c>
      <c r="AA223" s="39">
        <v>45723</v>
      </c>
      <c r="AB223" s="39">
        <v>45727</v>
      </c>
      <c r="AC223" s="1" t="s">
        <v>1853</v>
      </c>
      <c r="AD223" s="39">
        <v>45729</v>
      </c>
      <c r="AE223" s="39" t="s">
        <v>1853</v>
      </c>
      <c r="AF223" s="39">
        <v>45729</v>
      </c>
      <c r="AG223" s="39">
        <v>45729</v>
      </c>
      <c r="AH223" s="39">
        <v>49399</v>
      </c>
      <c r="AJ223" s="4" t="s">
        <v>109</v>
      </c>
      <c r="AK223" s="4" t="s">
        <v>109</v>
      </c>
      <c r="AL223" s="4" t="s">
        <v>109</v>
      </c>
      <c r="AM223" s="4" t="s">
        <v>109</v>
      </c>
      <c r="AP223" s="1">
        <f t="shared" si="7"/>
        <v>7</v>
      </c>
      <c r="AQ223" s="38">
        <f>AA225-Table1[[#This Row],[Closed Date]]</f>
        <v>35</v>
      </c>
    </row>
    <row r="224" spans="1:43" s="244" customFormat="1" ht="18.75" customHeight="1" x14ac:dyDescent="0.3">
      <c r="A224" s="237">
        <f>Table1[[#This Row],[Project No]]</f>
        <v>2502550</v>
      </c>
      <c r="B224" s="238" t="str">
        <f>VLOOKUP(A:A,Table1[[Project No]:[Additional Remark]],2,FALSE)</f>
        <v>Ricky Goh Hoon Kan</v>
      </c>
      <c r="C224" s="237" t="e" vm="4">
        <f>VLOOKUP(A:A,Table1[[#All],[Project No]:[Additional Remark]],7,FALSE)</f>
        <v>#VALUE!</v>
      </c>
      <c r="D224" s="237" t="str">
        <f>VLOOKUP(A:A,Table1[[#All],[Project No]:[Additional Remark]],4,FALSE)</f>
        <v>Chean Bang</v>
      </c>
      <c r="E224" s="237" t="str">
        <f>VLOOKUP(A:A,Table1[[#All],[Project No]:[Additional Remark]],5,FALSE)</f>
        <v>R-PV</v>
      </c>
      <c r="F224" s="237" t="str">
        <f>VLOOKUP(A:A,Table1[[Project No]:[Additional Remark]],6,FALSE)</f>
        <v>NEM</v>
      </c>
      <c r="G224" s="237">
        <f>VLOOKUP(A:A,Table1[[Project No]:[Additional Remark]],8,FALSE)</f>
        <v>14.75</v>
      </c>
      <c r="H224" s="237" t="str">
        <f>VLOOKUP(A:A,Table1[[Project No]:[Additional Remark]],15,FALSE)</f>
        <v>Astronergy 590Wp</v>
      </c>
      <c r="I224" s="237">
        <f>VLOOKUP(A:A,Table1[[Project No]:[Additional Remark]],16,FALSE)</f>
        <v>25</v>
      </c>
      <c r="J224" s="239" t="str">
        <f>VLOOKUP(A:A,Table1[[Project No]:[Additional Remark]],17,FALSE)</f>
        <v>Huawei SUN2000-12KTL</v>
      </c>
      <c r="K224" s="240"/>
      <c r="L224" s="239" t="str">
        <f t="shared" si="6"/>
        <v>Pending NEM Welcome Letter</v>
      </c>
      <c r="M224" s="239" t="str">
        <f>VLOOKUP(A:A,'Finance Tracker'!A221:K461,8,FALSE)</f>
        <v>1st invoice</v>
      </c>
      <c r="N224" s="240"/>
      <c r="O224" s="239" t="s">
        <v>109</v>
      </c>
      <c r="P224" s="239" t="s">
        <v>109</v>
      </c>
      <c r="Q224" s="240"/>
      <c r="R224" s="241">
        <v>45709</v>
      </c>
      <c r="S224" s="241">
        <v>45725</v>
      </c>
      <c r="T224" s="239" t="s">
        <v>1819</v>
      </c>
      <c r="U224" s="241">
        <v>46073</v>
      </c>
      <c r="V224" s="242" t="s">
        <v>1853</v>
      </c>
      <c r="W224" s="239" t="s">
        <v>1853</v>
      </c>
      <c r="X224" s="237" t="s">
        <v>109</v>
      </c>
      <c r="Y224" s="237" t="s">
        <v>1853</v>
      </c>
      <c r="Z224" s="237" t="s">
        <v>1853</v>
      </c>
      <c r="AA224" s="242">
        <v>45923</v>
      </c>
      <c r="AB224" s="242" t="s">
        <v>1853</v>
      </c>
      <c r="AC224" s="239" t="s">
        <v>1853</v>
      </c>
      <c r="AD224" s="242" t="s">
        <v>1853</v>
      </c>
      <c r="AE224" s="242">
        <v>45930</v>
      </c>
      <c r="AF224" s="242" t="s">
        <v>1853</v>
      </c>
      <c r="AG224" s="242"/>
      <c r="AH224" s="242"/>
      <c r="AI224" s="243"/>
      <c r="AJ224" s="237" t="s">
        <v>109</v>
      </c>
      <c r="AK224" s="237" t="s">
        <v>109</v>
      </c>
      <c r="AL224" s="237" t="s">
        <v>109</v>
      </c>
      <c r="AM224" s="237" t="s">
        <v>109</v>
      </c>
      <c r="AP224" s="239">
        <f t="shared" si="7"/>
        <v>16</v>
      </c>
      <c r="AQ224" s="245">
        <f>AA226-Table1[[#This Row],[Closed Date]]</f>
        <v>49</v>
      </c>
    </row>
    <row r="225" spans="1:43" ht="18.75" customHeight="1" x14ac:dyDescent="0.3">
      <c r="A225" s="4">
        <f>Table1[[#This Row],[Project No]]</f>
        <v>2502543</v>
      </c>
      <c r="B225" s="110" t="str">
        <f>VLOOKUP(A:A,Table1[[Project No]:[Additional Remark]],2,FALSE)</f>
        <v>Chow Leong Choon</v>
      </c>
      <c r="C225" s="4" t="e" vm="5">
        <f>VLOOKUP(A:A,Table1[[#All],[Project No]:[Additional Remark]],7,FALSE)</f>
        <v>#VALUE!</v>
      </c>
      <c r="D225" s="4" t="str">
        <f>VLOOKUP(A:A,Table1[[#All],[Project No]:[Additional Remark]],4,FALSE)</f>
        <v>Ong</v>
      </c>
      <c r="E225" s="4" t="str">
        <f>VLOOKUP(A:A,Table1[[#All],[Project No]:[Additional Remark]],5,FALSE)</f>
        <v>R-PV</v>
      </c>
      <c r="F225" s="4" t="str">
        <f>VLOOKUP(A:A,Table1[[Project No]:[Additional Remark]],6,FALSE)</f>
        <v>NEM</v>
      </c>
      <c r="G225" s="4">
        <f>VLOOKUP(A:A,Table1[[Project No]:[Additional Remark]],8,FALSE)</f>
        <v>7.08</v>
      </c>
      <c r="H225" s="4" t="str">
        <f>VLOOKUP(A:A,Table1[[Project No]:[Additional Remark]],15,FALSE)</f>
        <v>Astronergy 590Wp</v>
      </c>
      <c r="I225" s="4">
        <f>VLOOKUP(A:A,Table1[[Project No]:[Additional Remark]],16,FALSE)</f>
        <v>12</v>
      </c>
      <c r="J225" s="1" t="str">
        <f>VLOOKUP(A:A,Table1[[Project No]:[Additional Remark]],17,FALSE)</f>
        <v>Huawei SUN2000-5KTL-L1</v>
      </c>
      <c r="K225" s="127"/>
      <c r="L225" s="1" t="str">
        <f t="shared" si="6"/>
        <v>Completed</v>
      </c>
      <c r="M225" s="1" t="str">
        <f>VLOOKUP(A:A,'Finance Tracker'!A222:K462,8,FALSE)</f>
        <v>Invoice Completed</v>
      </c>
      <c r="N225" s="127"/>
      <c r="O225" s="1" t="s">
        <v>109</v>
      </c>
      <c r="P225" s="1" t="s">
        <v>109</v>
      </c>
      <c r="Q225" s="127"/>
      <c r="R225" s="56">
        <v>45715</v>
      </c>
      <c r="S225" s="56">
        <v>45725</v>
      </c>
      <c r="T225" s="1" t="s">
        <v>1819</v>
      </c>
      <c r="U225" s="56">
        <v>46079</v>
      </c>
      <c r="V225" s="39" t="s">
        <v>1853</v>
      </c>
      <c r="W225" s="1" t="s">
        <v>1853</v>
      </c>
      <c r="X225" s="4" t="s">
        <v>109</v>
      </c>
      <c r="Y225" s="4" t="s">
        <v>1853</v>
      </c>
      <c r="Z225" s="4" t="s">
        <v>1855</v>
      </c>
      <c r="AA225" s="39">
        <v>45740</v>
      </c>
      <c r="AB225" s="39">
        <v>45742</v>
      </c>
      <c r="AC225" s="1" t="s">
        <v>1853</v>
      </c>
      <c r="AD225" s="39">
        <v>45743</v>
      </c>
      <c r="AE225" s="39">
        <v>45742</v>
      </c>
      <c r="AF225" s="39">
        <v>45743</v>
      </c>
      <c r="AG225" s="39">
        <v>45743</v>
      </c>
      <c r="AH225" s="39">
        <v>49399</v>
      </c>
      <c r="AJ225" s="4" t="s">
        <v>109</v>
      </c>
      <c r="AK225" s="4" t="s">
        <v>109</v>
      </c>
      <c r="AL225" s="4" t="s">
        <v>109</v>
      </c>
      <c r="AM225" s="4" t="s">
        <v>109</v>
      </c>
      <c r="AP225" s="1">
        <f t="shared" si="7"/>
        <v>10</v>
      </c>
      <c r="AQ225" s="38">
        <f>AA227-Table1[[#This Row],[Closed Date]]</f>
        <v>35</v>
      </c>
    </row>
    <row r="226" spans="1:43" s="244" customFormat="1" ht="18.75" customHeight="1" x14ac:dyDescent="0.3">
      <c r="A226" s="237">
        <f>Table1[[#This Row],[Project No]]</f>
        <v>2502560</v>
      </c>
      <c r="B226" s="238" t="str">
        <f>VLOOKUP(A:A,Table1[[Project No]:[Additional Remark]],2,FALSE)</f>
        <v>Lim Sooi Poh</v>
      </c>
      <c r="C226" s="237" t="e" vm="8">
        <f>VLOOKUP(A:A,Table1[[#All],[Project No]:[Additional Remark]],7,FALSE)</f>
        <v>#VALUE!</v>
      </c>
      <c r="D226" s="237" t="str">
        <f>VLOOKUP(A:A,Table1[[#All],[Project No]:[Additional Remark]],4,FALSE)</f>
        <v>Tham</v>
      </c>
      <c r="E226" s="237" t="str">
        <f>VLOOKUP(A:A,Table1[[#All],[Project No]:[Additional Remark]],5,FALSE)</f>
        <v>R-PV</v>
      </c>
      <c r="F226" s="237" t="str">
        <f>VLOOKUP(A:A,Table1[[Project No]:[Additional Remark]],6,FALSE)</f>
        <v>NEM</v>
      </c>
      <c r="G226" s="237">
        <f>VLOOKUP(A:A,Table1[[Project No]:[Additional Remark]],8,FALSE)</f>
        <v>14.16</v>
      </c>
      <c r="H226" s="237" t="str">
        <f>VLOOKUP(A:A,Table1[[Project No]:[Additional Remark]],15,FALSE)</f>
        <v>Astronergy 590Wp</v>
      </c>
      <c r="I226" s="237">
        <f>VLOOKUP(A:A,Table1[[Project No]:[Additional Remark]],16,FALSE)</f>
        <v>24</v>
      </c>
      <c r="J226" s="239" t="str">
        <f>VLOOKUP(A:A,Table1[[Project No]:[Additional Remark]],17,FALSE)</f>
        <v>Huawei SUN2000-12KTL</v>
      </c>
      <c r="K226" s="240"/>
      <c r="L226" s="239" t="str">
        <f t="shared" si="6"/>
        <v>Pending NEM Welcome Letter</v>
      </c>
      <c r="M226" s="239" t="str">
        <f>VLOOKUP(A:A,'Finance Tracker'!A223:K463,8,FALSE)</f>
        <v>Invoice Completed</v>
      </c>
      <c r="N226" s="240"/>
      <c r="O226" s="239" t="s">
        <v>109</v>
      </c>
      <c r="P226" s="239" t="s">
        <v>109</v>
      </c>
      <c r="Q226" s="240"/>
      <c r="R226" s="241">
        <v>45715</v>
      </c>
      <c r="S226" s="241">
        <v>45725</v>
      </c>
      <c r="T226" s="239" t="s">
        <v>1819</v>
      </c>
      <c r="U226" s="241">
        <v>46079</v>
      </c>
      <c r="V226" s="242" t="s">
        <v>1853</v>
      </c>
      <c r="W226" s="239" t="s">
        <v>1853</v>
      </c>
      <c r="X226" s="237" t="s">
        <v>109</v>
      </c>
      <c r="Y226" s="237" t="s">
        <v>1853</v>
      </c>
      <c r="Z226" s="237" t="s">
        <v>1855</v>
      </c>
      <c r="AA226" s="242">
        <v>45755</v>
      </c>
      <c r="AB226" s="242">
        <v>45744</v>
      </c>
      <c r="AC226" s="239" t="s">
        <v>1853</v>
      </c>
      <c r="AD226" s="242">
        <v>45761</v>
      </c>
      <c r="AE226" s="242">
        <v>45757</v>
      </c>
      <c r="AF226" s="242">
        <v>45761</v>
      </c>
      <c r="AG226" s="242"/>
      <c r="AH226" s="242"/>
      <c r="AI226" s="243"/>
      <c r="AJ226" s="237" t="s">
        <v>109</v>
      </c>
      <c r="AK226" s="237" t="s">
        <v>109</v>
      </c>
      <c r="AL226" s="237" t="s">
        <v>109</v>
      </c>
      <c r="AM226" s="237" t="s">
        <v>109</v>
      </c>
      <c r="AP226" s="239">
        <f t="shared" si="7"/>
        <v>10</v>
      </c>
      <c r="AQ226" s="245">
        <f>AA228-Table1[[#This Row],[Closed Date]]</f>
        <v>43</v>
      </c>
    </row>
    <row r="227" spans="1:43" s="244" customFormat="1" ht="18.75" customHeight="1" x14ac:dyDescent="0.3">
      <c r="A227" s="237" t="str">
        <f>Table1[[#This Row],[Project No]]</f>
        <v>2408411-1</v>
      </c>
      <c r="B227" s="238" t="str">
        <f>VLOOKUP(A:A,Table1[[Project No]:[Additional Remark]],2,FALSE)</f>
        <v>Eng Khai Shu</v>
      </c>
      <c r="C227" s="237" t="e" vm="12">
        <f>VLOOKUP(A:A,Table1[[#All],[Project No]:[Additional Remark]],7,FALSE)</f>
        <v>#VALUE!</v>
      </c>
      <c r="D227" s="237" t="str">
        <f>VLOOKUP(A:A,Table1[[#All],[Project No]:[Additional Remark]],4,FALSE)</f>
        <v>Tham</v>
      </c>
      <c r="E227" s="237" t="str">
        <f>VLOOKUP(A:A,Table1[[#All],[Project No]:[Additional Remark]],5,FALSE)</f>
        <v>R-PV</v>
      </c>
      <c r="F227" s="237" t="str">
        <f>VLOOKUP(A:A,Table1[[Project No]:[Additional Remark]],6,FALSE)</f>
        <v>NEM</v>
      </c>
      <c r="G227" s="237">
        <f>VLOOKUP(A:A,Table1[[Project No]:[Additional Remark]],8,FALSE)</f>
        <v>17.7</v>
      </c>
      <c r="H227" s="237" t="str">
        <f>VLOOKUP(A:A,Table1[[Project No]:[Additional Remark]],15,FALSE)</f>
        <v>Astronergy 590Wp</v>
      </c>
      <c r="I227" s="237">
        <f>VLOOKUP(A:A,Table1[[Project No]:[Additional Remark]],16,FALSE)</f>
        <v>30</v>
      </c>
      <c r="J227" s="239" t="str">
        <f>VLOOKUP(A:A,Table1[[Project No]:[Additional Remark]],17,FALSE)</f>
        <v>Huawei SUN2000-12KTL</v>
      </c>
      <c r="K227" s="240"/>
      <c r="L227" s="239" t="str">
        <f t="shared" si="6"/>
        <v>Pending NEM Welcome Letter</v>
      </c>
      <c r="M227" s="239" t="str">
        <f>VLOOKUP(A:A,'Finance Tracker'!A224:K464,8,FALSE)</f>
        <v>Invoice Completed</v>
      </c>
      <c r="N227" s="240"/>
      <c r="O227" s="239" t="s">
        <v>109</v>
      </c>
      <c r="P227" s="239" t="s">
        <v>109</v>
      </c>
      <c r="Q227" s="240"/>
      <c r="R227" s="241">
        <v>45722</v>
      </c>
      <c r="S227" s="241">
        <v>45730</v>
      </c>
      <c r="T227" s="239" t="s">
        <v>1819</v>
      </c>
      <c r="U227" s="241">
        <v>46086</v>
      </c>
      <c r="V227" s="242" t="s">
        <v>1853</v>
      </c>
      <c r="W227" s="239" t="s">
        <v>1853</v>
      </c>
      <c r="X227" s="237" t="s">
        <v>109</v>
      </c>
      <c r="Y227" s="237" t="s">
        <v>1853</v>
      </c>
      <c r="Z227" s="237" t="s">
        <v>1855</v>
      </c>
      <c r="AA227" s="242">
        <v>45736</v>
      </c>
      <c r="AB227" s="242">
        <v>45756</v>
      </c>
      <c r="AC227" s="239" t="s">
        <v>1853</v>
      </c>
      <c r="AD227" s="242">
        <v>45758</v>
      </c>
      <c r="AE227" s="242">
        <v>45757</v>
      </c>
      <c r="AF227" s="242">
        <v>45758</v>
      </c>
      <c r="AG227" s="242"/>
      <c r="AH227" s="242"/>
      <c r="AI227" s="243"/>
      <c r="AJ227" s="237" t="s">
        <v>109</v>
      </c>
      <c r="AK227" s="237" t="s">
        <v>109</v>
      </c>
      <c r="AL227" s="237" t="s">
        <v>109</v>
      </c>
      <c r="AM227" s="237" t="s">
        <v>109</v>
      </c>
      <c r="AP227" s="239">
        <f t="shared" si="7"/>
        <v>8</v>
      </c>
      <c r="AQ227" s="245">
        <f>AA229-Table1[[#This Row],[Closed Date]]</f>
        <v>-45713</v>
      </c>
    </row>
    <row r="228" spans="1:43" ht="18.75" customHeight="1" x14ac:dyDescent="0.3">
      <c r="A228" s="4">
        <f>Table1[[#This Row],[Project No]]</f>
        <v>2502569</v>
      </c>
      <c r="B228" s="110" t="str">
        <f>VLOOKUP(A:A,Table1[[Project No]:[Additional Remark]],2,FALSE)</f>
        <v>Chew Beng Hock</v>
      </c>
      <c r="C228" s="4" t="e" vm="5">
        <f>VLOOKUP(A:A,Table1[[#All],[Project No]:[Additional Remark]],7,FALSE)</f>
        <v>#VALUE!</v>
      </c>
      <c r="D228" s="4" t="str">
        <f>VLOOKUP(A:A,Table1[[#All],[Project No]:[Additional Remark]],4,FALSE)</f>
        <v>Ong</v>
      </c>
      <c r="E228" s="4" t="str">
        <f>VLOOKUP(A:A,Table1[[#All],[Project No]:[Additional Remark]],5,FALSE)</f>
        <v>R-PV</v>
      </c>
      <c r="F228" s="4" t="str">
        <f>VLOOKUP(A:A,Table1[[Project No]:[Additional Remark]],6,FALSE)</f>
        <v>NEM</v>
      </c>
      <c r="G228" s="4">
        <f>VLOOKUP(A:A,Table1[[Project No]:[Additional Remark]],8,FALSE)</f>
        <v>8.85</v>
      </c>
      <c r="H228" s="4" t="str">
        <f>VLOOKUP(A:A,Table1[[Project No]:[Additional Remark]],15,FALSE)</f>
        <v>Astronergy 590Wp</v>
      </c>
      <c r="I228" s="4">
        <f>VLOOKUP(A:A,Table1[[Project No]:[Additional Remark]],16,FALSE)</f>
        <v>15</v>
      </c>
      <c r="J228" s="1" t="str">
        <f>VLOOKUP(A:A,Table1[[Project No]:[Additional Remark]],17,FALSE)</f>
        <v>Huawei SUN2000-8KTL</v>
      </c>
      <c r="K228" s="127"/>
      <c r="L228" s="1" t="str">
        <f t="shared" si="6"/>
        <v>Completed</v>
      </c>
      <c r="M228" s="1" t="str">
        <f>VLOOKUP(A:A,'Finance Tracker'!A225:K465,8,FALSE)</f>
        <v>Invoice Completed</v>
      </c>
      <c r="N228" s="127"/>
      <c r="O228" s="1" t="s">
        <v>109</v>
      </c>
      <c r="P228" s="1" t="s">
        <v>109</v>
      </c>
      <c r="Q228" s="127"/>
      <c r="R228" s="56">
        <v>45715</v>
      </c>
      <c r="S228" s="56">
        <v>45734</v>
      </c>
      <c r="T228" s="1" t="s">
        <v>1819</v>
      </c>
      <c r="U228" s="56">
        <v>46079</v>
      </c>
      <c r="V228" s="39" t="s">
        <v>1853</v>
      </c>
      <c r="W228" s="1" t="s">
        <v>1853</v>
      </c>
      <c r="X228" s="4" t="s">
        <v>109</v>
      </c>
      <c r="Y228" s="4" t="s">
        <v>1853</v>
      </c>
      <c r="Z228" s="4" t="s">
        <v>1855</v>
      </c>
      <c r="AA228" s="39">
        <v>45751</v>
      </c>
      <c r="AB228" s="39" t="s">
        <v>1853</v>
      </c>
      <c r="AC228" s="1" t="s">
        <v>1853</v>
      </c>
      <c r="AD228" s="39">
        <v>45770</v>
      </c>
      <c r="AE228" s="39">
        <v>45769</v>
      </c>
      <c r="AF228" s="39">
        <v>45770</v>
      </c>
      <c r="AG228" s="39">
        <v>45770</v>
      </c>
      <c r="AH228" s="39">
        <v>49429</v>
      </c>
      <c r="AJ228" s="4" t="s">
        <v>109</v>
      </c>
      <c r="AK228" s="4" t="s">
        <v>109</v>
      </c>
      <c r="AL228" s="4" t="s">
        <v>109</v>
      </c>
      <c r="AM228" s="4" t="s">
        <v>109</v>
      </c>
      <c r="AP228" s="1">
        <f t="shared" si="7"/>
        <v>19</v>
      </c>
      <c r="AQ228" s="38">
        <f>AA230-Table1[[#This Row],[Closed Date]]</f>
        <v>113</v>
      </c>
    </row>
    <row r="229" spans="1:43" s="199" customFormat="1" ht="18.75" customHeight="1" x14ac:dyDescent="0.3">
      <c r="A229" s="192">
        <f>Table1[[#This Row],[Project No]]</f>
        <v>2502565</v>
      </c>
      <c r="B229" s="193" t="str">
        <f>VLOOKUP(A:A,Table1[[Project No]:[Additional Remark]],2,FALSE)</f>
        <v>Yeo Shu Jin</v>
      </c>
      <c r="C229" s="192" t="e" vm="5">
        <f>VLOOKUP(A:A,Table1[[#All],[Project No]:[Additional Remark]],7,FALSE)</f>
        <v>#VALUE!</v>
      </c>
      <c r="D229" s="192" t="str">
        <f>VLOOKUP(A:A,Table1[[#All],[Project No]:[Additional Remark]],4,FALSE)</f>
        <v>Simon</v>
      </c>
      <c r="E229" s="192" t="str">
        <f>VLOOKUP(A:A,Table1[[#All],[Project No]:[Additional Remark]],5,FALSE)</f>
        <v>R-PV</v>
      </c>
      <c r="F229" s="192" t="str">
        <f>VLOOKUP(A:A,Table1[[Project No]:[Additional Remark]],6,FALSE)</f>
        <v>NEM</v>
      </c>
      <c r="G229" s="192">
        <f>VLOOKUP(A:A,Table1[[Project No]:[Additional Remark]],8,FALSE)</f>
        <v>7.67</v>
      </c>
      <c r="H229" s="192" t="str">
        <f>VLOOKUP(A:A,Table1[[Project No]:[Additional Remark]],15,FALSE)</f>
        <v>Astronergy 590Wp</v>
      </c>
      <c r="I229" s="192">
        <f>VLOOKUP(A:A,Table1[[Project No]:[Additional Remark]],16,FALSE)</f>
        <v>13</v>
      </c>
      <c r="J229" s="194" t="str">
        <f>VLOOKUP(A:A,Table1[[Project No]:[Additional Remark]],17,FALSE)</f>
        <v>Huawei SUN2000-6KTL</v>
      </c>
      <c r="K229" s="195"/>
      <c r="L229" s="194" t="str">
        <f t="shared" si="6"/>
        <v>Pending Site Installation</v>
      </c>
      <c r="M229" s="194" t="str">
        <f>VLOOKUP(A:A,'Finance Tracker'!A226:K466,8,FALSE)</f>
        <v>1st invoice</v>
      </c>
      <c r="N229" s="195"/>
      <c r="O229" s="194" t="s">
        <v>109</v>
      </c>
      <c r="P229" s="194" t="s">
        <v>109</v>
      </c>
      <c r="Q229" s="195"/>
      <c r="R229" s="196">
        <v>45722</v>
      </c>
      <c r="S229" s="196">
        <v>45730</v>
      </c>
      <c r="T229" s="194" t="s">
        <v>1819</v>
      </c>
      <c r="U229" s="196">
        <v>46086</v>
      </c>
      <c r="V229" s="197" t="s">
        <v>1853</v>
      </c>
      <c r="W229" s="194" t="s">
        <v>1853</v>
      </c>
      <c r="X229" s="192" t="s">
        <v>109</v>
      </c>
      <c r="Y229" s="192" t="s">
        <v>1853</v>
      </c>
      <c r="Z229" s="192"/>
      <c r="AA229" s="197"/>
      <c r="AB229" s="197" t="s">
        <v>1853</v>
      </c>
      <c r="AC229" s="197" t="s">
        <v>1853</v>
      </c>
      <c r="AD229" s="197" t="s">
        <v>1853</v>
      </c>
      <c r="AE229" s="197">
        <v>45765</v>
      </c>
      <c r="AF229" s="197" t="s">
        <v>1853</v>
      </c>
      <c r="AG229" s="197"/>
      <c r="AH229" s="197"/>
      <c r="AI229" s="198"/>
      <c r="AJ229" s="192" t="s">
        <v>109</v>
      </c>
      <c r="AK229" s="192" t="s">
        <v>109</v>
      </c>
      <c r="AL229" s="192" t="s">
        <v>109</v>
      </c>
      <c r="AM229" s="192" t="s">
        <v>109</v>
      </c>
      <c r="AP229" s="194">
        <f t="shared" si="7"/>
        <v>8</v>
      </c>
      <c r="AQ229" s="200">
        <f>AA231-Table1[[#This Row],[Closed Date]]</f>
        <v>30</v>
      </c>
    </row>
    <row r="230" spans="1:43" s="244" customFormat="1" ht="18.75" customHeight="1" x14ac:dyDescent="0.3">
      <c r="A230" s="237">
        <f>Table1[[#This Row],[Project No]]</f>
        <v>2502549</v>
      </c>
      <c r="B230" s="238" t="str">
        <f>VLOOKUP(A:A,Table1[[Project No]:[Additional Remark]],2,FALSE)</f>
        <v>Har Hock Lee</v>
      </c>
      <c r="C230" s="237" t="e" vm="11">
        <f>VLOOKUP(A:A,Table1[[#All],[Project No]:[Additional Remark]],7,FALSE)</f>
        <v>#VALUE!</v>
      </c>
      <c r="D230" s="237" t="str">
        <f>VLOOKUP(A:A,Table1[[#All],[Project No]:[Additional Remark]],4,FALSE)</f>
        <v>Patricia</v>
      </c>
      <c r="E230" s="237" t="str">
        <f>VLOOKUP(A:A,Table1[[#All],[Project No]:[Additional Remark]],5,FALSE)</f>
        <v>R-PV</v>
      </c>
      <c r="F230" s="237" t="str">
        <f>VLOOKUP(A:A,Table1[[Project No]:[Additional Remark]],6,FALSE)</f>
        <v>NEM</v>
      </c>
      <c r="G230" s="237">
        <f>VLOOKUP(A:A,Table1[[Project No]:[Additional Remark]],8,FALSE)</f>
        <v>14.16</v>
      </c>
      <c r="H230" s="237" t="str">
        <f>VLOOKUP(A:A,Table1[[Project No]:[Additional Remark]],15,FALSE)</f>
        <v>Astronergy 590Wp</v>
      </c>
      <c r="I230" s="237">
        <f>VLOOKUP(A:A,Table1[[Project No]:[Additional Remark]],16,FALSE)</f>
        <v>24</v>
      </c>
      <c r="J230" s="239" t="str">
        <f>VLOOKUP(A:A,Table1[[Project No]:[Additional Remark]],17,FALSE)</f>
        <v>Huawei SUN2000-12KTL</v>
      </c>
      <c r="K230" s="240"/>
      <c r="L230" s="239" t="str">
        <f t="shared" si="6"/>
        <v>Pending NEM Welcome Letter</v>
      </c>
      <c r="M230" s="239" t="str">
        <f>VLOOKUP(A:A,'Finance Tracker'!A227:K467,8,FALSE)</f>
        <v>2nd invoice</v>
      </c>
      <c r="N230" s="240"/>
      <c r="O230" s="239" t="s">
        <v>109</v>
      </c>
      <c r="P230" s="239" t="s">
        <v>109</v>
      </c>
      <c r="Q230" s="240"/>
      <c r="R230" s="241">
        <v>45728</v>
      </c>
      <c r="S230" s="241">
        <v>45740</v>
      </c>
      <c r="T230" s="239" t="s">
        <v>1819</v>
      </c>
      <c r="U230" s="241">
        <v>46095</v>
      </c>
      <c r="V230" s="242" t="s">
        <v>1853</v>
      </c>
      <c r="W230" s="239" t="s">
        <v>1853</v>
      </c>
      <c r="X230" s="237" t="s">
        <v>109</v>
      </c>
      <c r="Y230" s="237" t="s">
        <v>1853</v>
      </c>
      <c r="Z230" s="237" t="s">
        <v>1854</v>
      </c>
      <c r="AA230" s="242">
        <v>45825</v>
      </c>
      <c r="AB230" s="242">
        <v>45756</v>
      </c>
      <c r="AC230" s="239" t="s">
        <v>1857</v>
      </c>
      <c r="AD230" s="242">
        <v>45761</v>
      </c>
      <c r="AE230" s="242">
        <v>45761</v>
      </c>
      <c r="AF230" s="242" t="s">
        <v>1853</v>
      </c>
      <c r="AG230" s="242"/>
      <c r="AH230" s="242"/>
      <c r="AI230" s="243"/>
      <c r="AJ230" s="237" t="s">
        <v>109</v>
      </c>
      <c r="AK230" s="237" t="s">
        <v>109</v>
      </c>
      <c r="AL230" s="237" t="s">
        <v>109</v>
      </c>
      <c r="AM230" s="237" t="s">
        <v>109</v>
      </c>
      <c r="AP230" s="239">
        <f t="shared" si="7"/>
        <v>12</v>
      </c>
      <c r="AQ230" s="245">
        <f>AA232-Table1[[#This Row],[Closed Date]]</f>
        <v>46</v>
      </c>
    </row>
    <row r="231" spans="1:43" s="244" customFormat="1" ht="18.75" customHeight="1" x14ac:dyDescent="0.3">
      <c r="A231" s="237">
        <f>Table1[[#This Row],[Project No]]</f>
        <v>2405286</v>
      </c>
      <c r="B231" s="238" t="str">
        <f>VLOOKUP(A:A,Table1[[Project No]:[Additional Remark]],2,FALSE)</f>
        <v>Wong Wai Hung</v>
      </c>
      <c r="C231" s="237" t="e" vm="5">
        <f>VLOOKUP(A:A,Table1[[#All],[Project No]:[Additional Remark]],7,FALSE)</f>
        <v>#VALUE!</v>
      </c>
      <c r="D231" s="237" t="str">
        <f>VLOOKUP(A:A,Table1[[#All],[Project No]:[Additional Remark]],4,FALSE)</f>
        <v>Tham</v>
      </c>
      <c r="E231" s="237" t="str">
        <f>VLOOKUP(A:A,Table1[[#All],[Project No]:[Additional Remark]],5,FALSE)</f>
        <v>R-PV</v>
      </c>
      <c r="F231" s="237" t="str">
        <f>VLOOKUP(A:A,Table1[[Project No]:[Additional Remark]],6,FALSE)</f>
        <v>NEM</v>
      </c>
      <c r="G231" s="237">
        <f>VLOOKUP(A:A,Table1[[Project No]:[Additional Remark]],8,FALSE)</f>
        <v>17.7</v>
      </c>
      <c r="H231" s="237" t="str">
        <f>VLOOKUP(A:A,Table1[[Project No]:[Additional Remark]],15,FALSE)</f>
        <v>Astronergy 590Wp</v>
      </c>
      <c r="I231" s="237">
        <f>VLOOKUP(A:A,Table1[[Project No]:[Additional Remark]],16,FALSE)</f>
        <v>30</v>
      </c>
      <c r="J231" s="239" t="str">
        <f>VLOOKUP(A:A,Table1[[Project No]:[Additional Remark]],17,FALSE)</f>
        <v>Huawei SUN2000-12KTL</v>
      </c>
      <c r="K231" s="240"/>
      <c r="L231" s="239" t="str">
        <f t="shared" si="6"/>
        <v>Pending NEM Welcome Letter</v>
      </c>
      <c r="M231" s="239" t="str">
        <f>VLOOKUP(A:A,'Finance Tracker'!A228:K468,8,FALSE)</f>
        <v>Invoice Completed</v>
      </c>
      <c r="N231" s="240"/>
      <c r="O231" s="239" t="s">
        <v>109</v>
      </c>
      <c r="P231" s="239" t="s">
        <v>109</v>
      </c>
      <c r="Q231" s="240"/>
      <c r="R231" s="241">
        <v>45722</v>
      </c>
      <c r="S231" s="241">
        <v>45741</v>
      </c>
      <c r="T231" s="239" t="s">
        <v>1819</v>
      </c>
      <c r="U231" s="241">
        <v>46086</v>
      </c>
      <c r="V231" s="242" t="s">
        <v>1853</v>
      </c>
      <c r="W231" s="239" t="s">
        <v>1853</v>
      </c>
      <c r="X231" s="237" t="s">
        <v>109</v>
      </c>
      <c r="Y231" s="237" t="s">
        <v>1853</v>
      </c>
      <c r="Z231" s="237" t="s">
        <v>1855</v>
      </c>
      <c r="AA231" s="242">
        <v>45743</v>
      </c>
      <c r="AB231" s="242">
        <v>45754</v>
      </c>
      <c r="AC231" s="239" t="s">
        <v>1853</v>
      </c>
      <c r="AD231" s="242">
        <v>45757</v>
      </c>
      <c r="AE231" s="242">
        <v>45755</v>
      </c>
      <c r="AF231" s="242">
        <v>45757</v>
      </c>
      <c r="AG231" s="242"/>
      <c r="AH231" s="242"/>
      <c r="AI231" s="243"/>
      <c r="AJ231" s="237" t="s">
        <v>109</v>
      </c>
      <c r="AK231" s="237" t="s">
        <v>109</v>
      </c>
      <c r="AL231" s="237" t="s">
        <v>109</v>
      </c>
      <c r="AM231" s="237" t="s">
        <v>109</v>
      </c>
      <c r="AP231" s="239">
        <f t="shared" si="7"/>
        <v>19</v>
      </c>
      <c r="AQ231" s="245">
        <f>AA233-Table1[[#This Row],[Closed Date]]</f>
        <v>46</v>
      </c>
    </row>
    <row r="232" spans="1:43" s="244" customFormat="1" ht="18.75" customHeight="1" x14ac:dyDescent="0.3">
      <c r="A232" s="237">
        <f>Table1[[#This Row],[Project No]]</f>
        <v>2501527</v>
      </c>
      <c r="B232" s="238" t="str">
        <f>VLOOKUP(A:A,Table1[[Project No]:[Additional Remark]],2,FALSE)</f>
        <v>Kuan Guan Chong</v>
      </c>
      <c r="C232" s="237" t="e" vm="11">
        <f>VLOOKUP(A:A,Table1[[#All],[Project No]:[Additional Remark]],7,FALSE)</f>
        <v>#VALUE!</v>
      </c>
      <c r="D232" s="237" t="str">
        <f>VLOOKUP(A:A,Table1[[#All],[Project No]:[Additional Remark]],4,FALSE)</f>
        <v>Tham</v>
      </c>
      <c r="E232" s="237" t="str">
        <f>VLOOKUP(A:A,Table1[[#All],[Project No]:[Additional Remark]],5,FALSE)</f>
        <v>R-PV</v>
      </c>
      <c r="F232" s="237" t="str">
        <f>VLOOKUP(A:A,Table1[[Project No]:[Additional Remark]],6,FALSE)</f>
        <v>NEM</v>
      </c>
      <c r="G232" s="237">
        <f>VLOOKUP(A:A,Table1[[Project No]:[Additional Remark]],8,FALSE)</f>
        <v>11.8</v>
      </c>
      <c r="H232" s="237" t="str">
        <f>VLOOKUP(A:A,Table1[[Project No]:[Additional Remark]],15,FALSE)</f>
        <v>Astronergy 590Wp</v>
      </c>
      <c r="I232" s="237">
        <f>VLOOKUP(A:A,Table1[[Project No]:[Additional Remark]],16,FALSE)</f>
        <v>20</v>
      </c>
      <c r="J232" s="239" t="str">
        <f>VLOOKUP(A:A,Table1[[Project No]:[Additional Remark]],17,FALSE)</f>
        <v>Huawei SUN2000-10KTL</v>
      </c>
      <c r="K232" s="240"/>
      <c r="L232" s="239" t="str">
        <f t="shared" si="6"/>
        <v>Pending NEM Welcome Letter</v>
      </c>
      <c r="M232" s="239" t="str">
        <f>VLOOKUP(A:A,'Finance Tracker'!A229:K469,8,FALSE)</f>
        <v>Invoice Completed</v>
      </c>
      <c r="N232" s="240"/>
      <c r="O232" s="239" t="s">
        <v>109</v>
      </c>
      <c r="P232" s="239" t="s">
        <v>109</v>
      </c>
      <c r="Q232" s="240"/>
      <c r="R232" s="241">
        <v>45727</v>
      </c>
      <c r="S232" s="241">
        <v>45734</v>
      </c>
      <c r="T232" s="239" t="s">
        <v>1819</v>
      </c>
      <c r="U232" s="241">
        <v>46091</v>
      </c>
      <c r="V232" s="242" t="s">
        <v>1853</v>
      </c>
      <c r="W232" s="239" t="s">
        <v>1853</v>
      </c>
      <c r="X232" s="237" t="s">
        <v>109</v>
      </c>
      <c r="Y232" s="237" t="s">
        <v>1853</v>
      </c>
      <c r="Z232" s="237" t="s">
        <v>1854</v>
      </c>
      <c r="AA232" s="242">
        <v>45761</v>
      </c>
      <c r="AB232" s="242">
        <v>45756</v>
      </c>
      <c r="AC232" s="239" t="s">
        <v>1853</v>
      </c>
      <c r="AD232" s="242" t="s">
        <v>1853</v>
      </c>
      <c r="AE232" s="242">
        <v>45757</v>
      </c>
      <c r="AF232" s="242" t="s">
        <v>1853</v>
      </c>
      <c r="AG232" s="242"/>
      <c r="AH232" s="242"/>
      <c r="AI232" s="243"/>
      <c r="AJ232" s="237" t="s">
        <v>109</v>
      </c>
      <c r="AK232" s="237" t="s">
        <v>109</v>
      </c>
      <c r="AL232" s="237" t="s">
        <v>109</v>
      </c>
      <c r="AM232" s="237" t="s">
        <v>109</v>
      </c>
      <c r="AP232" s="239">
        <f t="shared" si="7"/>
        <v>7</v>
      </c>
      <c r="AQ232" s="245">
        <f>AA234-Table1[[#This Row],[Closed Date]]</f>
        <v>22</v>
      </c>
    </row>
    <row r="233" spans="1:43" s="244" customFormat="1" ht="18.75" customHeight="1" x14ac:dyDescent="0.3">
      <c r="A233" s="237">
        <f>Table1[[#This Row],[Project No]]</f>
        <v>2501529</v>
      </c>
      <c r="B233" s="238" t="str">
        <f>VLOOKUP(A:A,Table1[[Project No]:[Additional Remark]],2,FALSE)</f>
        <v>Kuan Kian Yang</v>
      </c>
      <c r="C233" s="237" t="e" vm="11">
        <f>VLOOKUP(A:A,Table1[[#All],[Project No]:[Additional Remark]],7,FALSE)</f>
        <v>#VALUE!</v>
      </c>
      <c r="D233" s="237" t="str">
        <f>VLOOKUP(A:A,Table1[[#All],[Project No]:[Additional Remark]],4,FALSE)</f>
        <v>Tham</v>
      </c>
      <c r="E233" s="237" t="str">
        <f>VLOOKUP(A:A,Table1[[#All],[Project No]:[Additional Remark]],5,FALSE)</f>
        <v>R-PV</v>
      </c>
      <c r="F233" s="237" t="str">
        <f>VLOOKUP(A:A,Table1[[Project No]:[Additional Remark]],6,FALSE)</f>
        <v>NEM</v>
      </c>
      <c r="G233" s="237">
        <f>VLOOKUP(A:A,Table1[[Project No]:[Additional Remark]],8,FALSE)</f>
        <v>10.62</v>
      </c>
      <c r="H233" s="237" t="str">
        <f>VLOOKUP(A:A,Table1[[Project No]:[Additional Remark]],15,FALSE)</f>
        <v>Astronergy 590Wp</v>
      </c>
      <c r="I233" s="237">
        <f>VLOOKUP(A:A,Table1[[Project No]:[Additional Remark]],16,FALSE)</f>
        <v>18</v>
      </c>
      <c r="J233" s="239" t="str">
        <f>VLOOKUP(A:A,Table1[[Project No]:[Additional Remark]],17,FALSE)</f>
        <v>Huawei SUN2000-8KTL</v>
      </c>
      <c r="K233" s="240"/>
      <c r="L233" s="239" t="str">
        <f t="shared" si="6"/>
        <v>Pending NEM Welcome Letter</v>
      </c>
      <c r="M233" s="239" t="str">
        <f>VLOOKUP(A:A,'Finance Tracker'!A230:K470,8,FALSE)</f>
        <v>Invoice Completed</v>
      </c>
      <c r="N233" s="240"/>
      <c r="O233" s="239" t="s">
        <v>109</v>
      </c>
      <c r="P233" s="239" t="s">
        <v>109</v>
      </c>
      <c r="Q233" s="240"/>
      <c r="R233" s="241">
        <v>45727</v>
      </c>
      <c r="S233" s="241">
        <v>45734</v>
      </c>
      <c r="T233" s="239" t="s">
        <v>1819</v>
      </c>
      <c r="U233" s="241">
        <v>46091</v>
      </c>
      <c r="V233" s="242" t="s">
        <v>1853</v>
      </c>
      <c r="W233" s="239" t="s">
        <v>1853</v>
      </c>
      <c r="X233" s="237" t="s">
        <v>109</v>
      </c>
      <c r="Y233" s="237" t="s">
        <v>1853</v>
      </c>
      <c r="Z233" s="237" t="s">
        <v>1854</v>
      </c>
      <c r="AA233" s="242">
        <v>45762</v>
      </c>
      <c r="AB233" s="242">
        <v>45754</v>
      </c>
      <c r="AC233" s="239" t="s">
        <v>1853</v>
      </c>
      <c r="AD233" s="242" t="s">
        <v>1853</v>
      </c>
      <c r="AE233" s="242">
        <v>45757</v>
      </c>
      <c r="AF233" s="242" t="s">
        <v>1853</v>
      </c>
      <c r="AG233" s="242"/>
      <c r="AH233" s="242"/>
      <c r="AI233" s="243"/>
      <c r="AJ233" s="237" t="s">
        <v>109</v>
      </c>
      <c r="AK233" s="237" t="s">
        <v>109</v>
      </c>
      <c r="AL233" s="237" t="s">
        <v>109</v>
      </c>
      <c r="AM233" s="237" t="s">
        <v>109</v>
      </c>
      <c r="AP233" s="239">
        <f t="shared" si="7"/>
        <v>7</v>
      </c>
      <c r="AQ233" s="245">
        <f>AA235-Table1[[#This Row],[Closed Date]]</f>
        <v>41</v>
      </c>
    </row>
    <row r="234" spans="1:43" s="244" customFormat="1" ht="18.75" customHeight="1" x14ac:dyDescent="0.3">
      <c r="A234" s="237">
        <f>Table1[[#This Row],[Project No]]</f>
        <v>2502581</v>
      </c>
      <c r="B234" s="238" t="str">
        <f>VLOOKUP(A:A,Table1[[Project No]:[Additional Remark]],2,FALSE)</f>
        <v>Loh Chee Kuan</v>
      </c>
      <c r="C234" s="237" t="e" vm="5">
        <f>VLOOKUP(A:A,Table1[[#All],[Project No]:[Additional Remark]],7,FALSE)</f>
        <v>#VALUE!</v>
      </c>
      <c r="D234" s="237" t="str">
        <f>VLOOKUP(A:A,Table1[[#All],[Project No]:[Additional Remark]],4,FALSE)</f>
        <v>Tham</v>
      </c>
      <c r="E234" s="237" t="str">
        <f>VLOOKUP(A:A,Table1[[#All],[Project No]:[Additional Remark]],5,FALSE)</f>
        <v>R-PV</v>
      </c>
      <c r="F234" s="237" t="str">
        <f>VLOOKUP(A:A,Table1[[Project No]:[Additional Remark]],6,FALSE)</f>
        <v>NEM</v>
      </c>
      <c r="G234" s="237">
        <f>VLOOKUP(A:A,Table1[[Project No]:[Additional Remark]],8,FALSE)</f>
        <v>7.08</v>
      </c>
      <c r="H234" s="237" t="str">
        <f>VLOOKUP(A:A,Table1[[Project No]:[Additional Remark]],15,FALSE)</f>
        <v>Astronergy 590Wp</v>
      </c>
      <c r="I234" s="237">
        <f>VLOOKUP(A:A,Table1[[Project No]:[Additional Remark]],16,FALSE)</f>
        <v>12</v>
      </c>
      <c r="J234" s="239" t="str">
        <f>VLOOKUP(A:A,Table1[[Project No]:[Additional Remark]],17,FALSE)</f>
        <v>Huawei SUN2000-5KTL-L1</v>
      </c>
      <c r="K234" s="240"/>
      <c r="L234" s="239" t="str">
        <f t="shared" si="6"/>
        <v>Pending NEM Welcome Letter</v>
      </c>
      <c r="M234" s="239" t="str">
        <f>VLOOKUP(A:A,'Finance Tracker'!A231:K471,8,FALSE)</f>
        <v>Invoice Completed</v>
      </c>
      <c r="N234" s="240"/>
      <c r="O234" s="239" t="s">
        <v>109</v>
      </c>
      <c r="P234" s="239" t="s">
        <v>109</v>
      </c>
      <c r="Q234" s="240"/>
      <c r="R234" s="241">
        <v>45728</v>
      </c>
      <c r="S234" s="241">
        <v>45734</v>
      </c>
      <c r="T234" s="239" t="s">
        <v>1819</v>
      </c>
      <c r="U234" s="241">
        <v>46092</v>
      </c>
      <c r="V234" s="242" t="s">
        <v>1853</v>
      </c>
      <c r="W234" s="239" t="s">
        <v>1853</v>
      </c>
      <c r="X234" s="237" t="s">
        <v>109</v>
      </c>
      <c r="Y234" s="237" t="s">
        <v>1853</v>
      </c>
      <c r="Z234" s="237" t="s">
        <v>1855</v>
      </c>
      <c r="AA234" s="242">
        <v>45740</v>
      </c>
      <c r="AB234" s="242">
        <v>45752</v>
      </c>
      <c r="AC234" s="239" t="s">
        <v>1853</v>
      </c>
      <c r="AD234" s="242">
        <v>45754</v>
      </c>
      <c r="AE234" s="242" t="s">
        <v>1853</v>
      </c>
      <c r="AF234" s="242">
        <v>45754</v>
      </c>
      <c r="AG234" s="242"/>
      <c r="AH234" s="242"/>
      <c r="AI234" s="243"/>
      <c r="AJ234" s="237" t="s">
        <v>109</v>
      </c>
      <c r="AK234" s="237" t="s">
        <v>109</v>
      </c>
      <c r="AL234" s="237" t="s">
        <v>109</v>
      </c>
      <c r="AM234" s="237" t="s">
        <v>109</v>
      </c>
      <c r="AP234" s="239">
        <f t="shared" si="7"/>
        <v>6</v>
      </c>
      <c r="AQ234" s="245">
        <f>AA236-Table1[[#This Row],[Closed Date]]</f>
        <v>24</v>
      </c>
    </row>
    <row r="235" spans="1:43" s="244" customFormat="1" ht="18.75" customHeight="1" x14ac:dyDescent="0.3">
      <c r="A235" s="237">
        <f>Table1[[#This Row],[Project No]]</f>
        <v>2501540</v>
      </c>
      <c r="B235" s="238" t="str">
        <f>VLOOKUP(A:A,Table1[[Project No]:[Additional Remark]],2,FALSE)</f>
        <v>Mohd Rushdi Bin Haji Abu Bakar</v>
      </c>
      <c r="C235" s="237" t="e" vm="11">
        <f>VLOOKUP(A:A,Table1[[#All],[Project No]:[Additional Remark]],7,FALSE)</f>
        <v>#VALUE!</v>
      </c>
      <c r="D235" s="237" t="str">
        <f>VLOOKUP(A:A,Table1[[#All],[Project No]:[Additional Remark]],4,FALSE)</f>
        <v>Patricia</v>
      </c>
      <c r="E235" s="237" t="str">
        <f>VLOOKUP(A:A,Table1[[#All],[Project No]:[Additional Remark]],5,FALSE)</f>
        <v>R-PV</v>
      </c>
      <c r="F235" s="237" t="str">
        <f>VLOOKUP(A:A,Table1[[Project No]:[Additional Remark]],6,FALSE)</f>
        <v>NEM</v>
      </c>
      <c r="G235" s="237">
        <f>VLOOKUP(A:A,Table1[[Project No]:[Additional Remark]],8,FALSE)</f>
        <v>7.08</v>
      </c>
      <c r="H235" s="237" t="str">
        <f>VLOOKUP(A:A,Table1[[Project No]:[Additional Remark]],15,FALSE)</f>
        <v>Astronergy 590Wp</v>
      </c>
      <c r="I235" s="237">
        <f>VLOOKUP(A:A,Table1[[Project No]:[Additional Remark]],16,FALSE)</f>
        <v>12</v>
      </c>
      <c r="J235" s="239" t="str">
        <f>VLOOKUP(A:A,Table1[[Project No]:[Additional Remark]],17,FALSE)</f>
        <v>Huawei SUN2000-5KTL-L1</v>
      </c>
      <c r="K235" s="240"/>
      <c r="L235" s="239" t="str">
        <f t="shared" si="6"/>
        <v>Pending NEM Welcome Letter</v>
      </c>
      <c r="M235" s="239" t="str">
        <f>VLOOKUP(A:A,'Finance Tracker'!A232:K472,8,FALSE)</f>
        <v>Invoice Completed</v>
      </c>
      <c r="N235" s="240"/>
      <c r="O235" s="239" t="s">
        <v>109</v>
      </c>
      <c r="P235" s="239" t="s">
        <v>109</v>
      </c>
      <c r="Q235" s="240"/>
      <c r="R235" s="241">
        <v>45727</v>
      </c>
      <c r="S235" s="241">
        <v>45734</v>
      </c>
      <c r="T235" s="239" t="s">
        <v>1819</v>
      </c>
      <c r="U235" s="241">
        <v>46091</v>
      </c>
      <c r="V235" s="242" t="s">
        <v>1853</v>
      </c>
      <c r="W235" s="239" t="s">
        <v>1853</v>
      </c>
      <c r="X235" s="237" t="s">
        <v>109</v>
      </c>
      <c r="Y235" s="237" t="s">
        <v>1853</v>
      </c>
      <c r="Z235" s="237" t="s">
        <v>1854</v>
      </c>
      <c r="AA235" s="242">
        <v>45759</v>
      </c>
      <c r="AB235" s="242">
        <v>45751</v>
      </c>
      <c r="AC235" s="239" t="s">
        <v>1853</v>
      </c>
      <c r="AD235" s="242">
        <v>45760</v>
      </c>
      <c r="AE235" s="242" t="s">
        <v>1853</v>
      </c>
      <c r="AF235" s="242">
        <v>45760</v>
      </c>
      <c r="AG235" s="242"/>
      <c r="AH235" s="242"/>
      <c r="AI235" s="243"/>
      <c r="AJ235" s="237" t="s">
        <v>109</v>
      </c>
      <c r="AK235" s="237" t="s">
        <v>109</v>
      </c>
      <c r="AL235" s="237" t="s">
        <v>109</v>
      </c>
      <c r="AM235" s="237" t="s">
        <v>109</v>
      </c>
      <c r="AP235" s="239">
        <f t="shared" si="7"/>
        <v>7</v>
      </c>
      <c r="AQ235" s="245">
        <f>AA237-Table1[[#This Row],[Closed Date]]</f>
        <v>102</v>
      </c>
    </row>
    <row r="236" spans="1:43" s="244" customFormat="1" ht="18.75" customHeight="1" x14ac:dyDescent="0.3">
      <c r="A236" s="237">
        <f>Table1[[#This Row],[Project No]]</f>
        <v>2502571</v>
      </c>
      <c r="B236" s="238" t="str">
        <f>VLOOKUP(A:A,Table1[[Project No]:[Additional Remark]],2,FALSE)</f>
        <v>Ting Kam Peng</v>
      </c>
      <c r="C236" s="237" t="e" vm="12">
        <f>VLOOKUP(A:A,Table1[[#All],[Project No]:[Additional Remark]],7,FALSE)</f>
        <v>#VALUE!</v>
      </c>
      <c r="D236" s="237" t="str">
        <f>VLOOKUP(A:A,Table1[[#All],[Project No]:[Additional Remark]],4,FALSE)</f>
        <v>Tham</v>
      </c>
      <c r="E236" s="237" t="str">
        <f>VLOOKUP(A:A,Table1[[#All],[Project No]:[Additional Remark]],5,FALSE)</f>
        <v>R-PV</v>
      </c>
      <c r="F236" s="237" t="str">
        <f>VLOOKUP(A:A,Table1[[Project No]:[Additional Remark]],6,FALSE)</f>
        <v>NEM</v>
      </c>
      <c r="G236" s="237">
        <f>VLOOKUP(A:A,Table1[[Project No]:[Additional Remark]],8,FALSE)</f>
        <v>11.8</v>
      </c>
      <c r="H236" s="237" t="str">
        <f>VLOOKUP(A:A,Table1[[Project No]:[Additional Remark]],15,FALSE)</f>
        <v>Astronergy 590Wp</v>
      </c>
      <c r="I236" s="237">
        <f>VLOOKUP(A:A,Table1[[Project No]:[Additional Remark]],16,FALSE)</f>
        <v>20</v>
      </c>
      <c r="J236" s="239" t="str">
        <f>VLOOKUP(A:A,Table1[[Project No]:[Additional Remark]],17,FALSE)</f>
        <v>Huawei SUN2000-10KTL</v>
      </c>
      <c r="K236" s="240"/>
      <c r="L236" s="239" t="str">
        <f t="shared" si="6"/>
        <v>Pending NEM Welcome Letter</v>
      </c>
      <c r="M236" s="239" t="str">
        <f>VLOOKUP(A:A,'Finance Tracker'!A233:K473,8,FALSE)</f>
        <v>Invoice Completed</v>
      </c>
      <c r="N236" s="240"/>
      <c r="O236" s="239" t="s">
        <v>109</v>
      </c>
      <c r="P236" s="239" t="s">
        <v>109</v>
      </c>
      <c r="Q236" s="240"/>
      <c r="R236" s="241">
        <v>45723</v>
      </c>
      <c r="S236" s="241">
        <v>45734</v>
      </c>
      <c r="T236" s="239" t="s">
        <v>1819</v>
      </c>
      <c r="U236" s="241">
        <v>46087</v>
      </c>
      <c r="V236" s="242" t="s">
        <v>1853</v>
      </c>
      <c r="W236" s="239" t="s">
        <v>1853</v>
      </c>
      <c r="X236" s="237" t="s">
        <v>109</v>
      </c>
      <c r="Y236" s="237" t="s">
        <v>1853</v>
      </c>
      <c r="Z236" s="237" t="s">
        <v>1855</v>
      </c>
      <c r="AA236" s="242">
        <v>45741</v>
      </c>
      <c r="AB236" s="242">
        <v>45741</v>
      </c>
      <c r="AC236" s="239" t="s">
        <v>1853</v>
      </c>
      <c r="AD236" s="242">
        <v>45750</v>
      </c>
      <c r="AE236" s="242">
        <v>45743</v>
      </c>
      <c r="AF236" s="242" t="s">
        <v>1853</v>
      </c>
      <c r="AG236" s="242"/>
      <c r="AH236" s="242"/>
      <c r="AI236" s="243"/>
      <c r="AJ236" s="237" t="s">
        <v>109</v>
      </c>
      <c r="AK236" s="237" t="s">
        <v>109</v>
      </c>
      <c r="AL236" s="237" t="s">
        <v>109</v>
      </c>
      <c r="AM236" s="237" t="s">
        <v>109</v>
      </c>
      <c r="AP236" s="239">
        <f t="shared" si="7"/>
        <v>11</v>
      </c>
      <c r="AQ236" s="245">
        <f>AA238-Table1[[#This Row],[Closed Date]]</f>
        <v>23</v>
      </c>
    </row>
    <row r="237" spans="1:43" s="244" customFormat="1" ht="18.75" customHeight="1" x14ac:dyDescent="0.3">
      <c r="A237" s="237">
        <f>Table1[[#This Row],[Project No]]</f>
        <v>2502568</v>
      </c>
      <c r="B237" s="238" t="str">
        <f>VLOOKUP(A:A,Table1[[Project No]:[Additional Remark]],2,FALSE)</f>
        <v>Lim See Peng</v>
      </c>
      <c r="C237" s="237" t="e" vm="5">
        <f>VLOOKUP(A:A,Table1[[#All],[Project No]:[Additional Remark]],7,FALSE)</f>
        <v>#VALUE!</v>
      </c>
      <c r="D237" s="237" t="str">
        <f>VLOOKUP(A:A,Table1[[#All],[Project No]:[Additional Remark]],4,FALSE)</f>
        <v>Tham</v>
      </c>
      <c r="E237" s="237" t="str">
        <f>VLOOKUP(A:A,Table1[[#All],[Project No]:[Additional Remark]],5,FALSE)</f>
        <v>R-PV</v>
      </c>
      <c r="F237" s="237" t="str">
        <f>VLOOKUP(A:A,Table1[[Project No]:[Additional Remark]],6,FALSE)</f>
        <v>NEM</v>
      </c>
      <c r="G237" s="237">
        <f>VLOOKUP(A:A,Table1[[Project No]:[Additional Remark]],8,FALSE)</f>
        <v>7.08</v>
      </c>
      <c r="H237" s="237" t="str">
        <f>VLOOKUP(A:A,Table1[[Project No]:[Additional Remark]],15,FALSE)</f>
        <v>Astronergy 590Wp</v>
      </c>
      <c r="I237" s="237">
        <f>VLOOKUP(A:A,Table1[[Project No]:[Additional Remark]],16,FALSE)</f>
        <v>12</v>
      </c>
      <c r="J237" s="239" t="str">
        <f>VLOOKUP(A:A,Table1[[Project No]:[Additional Remark]],17,FALSE)</f>
        <v>Huawei SUN2000-6KTL-M1</v>
      </c>
      <c r="K237" s="240"/>
      <c r="L237" s="239" t="str">
        <f t="shared" si="6"/>
        <v>Pending NEM Welcome Letter</v>
      </c>
      <c r="M237" s="239" t="str">
        <f>VLOOKUP(A:A,'Finance Tracker'!A234:K474,8,FALSE)</f>
        <v>Invoice Completed</v>
      </c>
      <c r="N237" s="240"/>
      <c r="O237" s="239" t="s">
        <v>109</v>
      </c>
      <c r="P237" s="239" t="s">
        <v>109</v>
      </c>
      <c r="Q237" s="240"/>
      <c r="R237" s="241">
        <v>45729</v>
      </c>
      <c r="S237" s="241">
        <v>45735</v>
      </c>
      <c r="T237" s="239" t="s">
        <v>1819</v>
      </c>
      <c r="U237" s="241">
        <v>46093</v>
      </c>
      <c r="V237" s="242" t="s">
        <v>1853</v>
      </c>
      <c r="W237" s="239" t="s">
        <v>1853</v>
      </c>
      <c r="X237" s="237" t="s">
        <v>109</v>
      </c>
      <c r="Y237" s="237" t="s">
        <v>1853</v>
      </c>
      <c r="Z237" s="237" t="s">
        <v>1855</v>
      </c>
      <c r="AA237" s="242">
        <v>45818</v>
      </c>
      <c r="AB237" s="242">
        <v>45758</v>
      </c>
      <c r="AC237" s="239" t="s">
        <v>1858</v>
      </c>
      <c r="AD237" s="242">
        <v>45761</v>
      </c>
      <c r="AE237" s="242">
        <v>45762</v>
      </c>
      <c r="AF237" s="242" t="s">
        <v>1853</v>
      </c>
      <c r="AG237" s="242"/>
      <c r="AH237" s="242"/>
      <c r="AI237" s="243"/>
      <c r="AJ237" s="237" t="s">
        <v>109</v>
      </c>
      <c r="AK237" s="237" t="s">
        <v>109</v>
      </c>
      <c r="AL237" s="237" t="s">
        <v>109</v>
      </c>
      <c r="AM237" s="237" t="s">
        <v>109</v>
      </c>
      <c r="AP237" s="239">
        <f t="shared" si="7"/>
        <v>6</v>
      </c>
      <c r="AQ237" s="245">
        <f>AA239-Table1[[#This Row],[Closed Date]]</f>
        <v>52</v>
      </c>
    </row>
    <row r="238" spans="1:43" ht="18.75" customHeight="1" x14ac:dyDescent="0.3">
      <c r="A238" s="4">
        <f>Table1[[#This Row],[Project No]]</f>
        <v>2404258</v>
      </c>
      <c r="B238" s="110" t="str">
        <f>VLOOKUP(A:A,Table1[[Project No]:[Additional Remark]],2,FALSE)</f>
        <v>Chan Yee  Wan</v>
      </c>
      <c r="C238" s="4" t="e" vm="5">
        <f>VLOOKUP(A:A,Table1[[#All],[Project No]:[Additional Remark]],7,FALSE)</f>
        <v>#VALUE!</v>
      </c>
      <c r="D238" s="4" t="str">
        <f>VLOOKUP(A:A,Table1[[#All],[Project No]:[Additional Remark]],4,FALSE)</f>
        <v>Tham</v>
      </c>
      <c r="E238" s="4" t="str">
        <f>VLOOKUP(A:A,Table1[[#All],[Project No]:[Additional Remark]],5,FALSE)</f>
        <v>R-PV</v>
      </c>
      <c r="F238" s="4" t="str">
        <f>VLOOKUP(A:A,Table1[[Project No]:[Additional Remark]],6,FALSE)</f>
        <v>NEM</v>
      </c>
      <c r="G238" s="4">
        <f>VLOOKUP(A:A,Table1[[Project No]:[Additional Remark]],8,FALSE)</f>
        <v>9.44</v>
      </c>
      <c r="H238" s="4" t="str">
        <f>VLOOKUP(A:A,Table1[[Project No]:[Additional Remark]],15,FALSE)</f>
        <v>Astronergy 590Wp</v>
      </c>
      <c r="I238" s="4">
        <f>VLOOKUP(A:A,Table1[[Project No]:[Additional Remark]],16,FALSE)</f>
        <v>16</v>
      </c>
      <c r="J238" s="1" t="str">
        <f>VLOOKUP(A:A,Table1[[Project No]:[Additional Remark]],17,FALSE)</f>
        <v>Huawei SUN2000-8KTL</v>
      </c>
      <c r="K238" s="127"/>
      <c r="L238" s="1" t="str">
        <f t="shared" si="6"/>
        <v>Completed</v>
      </c>
      <c r="M238" s="1" t="str">
        <f>VLOOKUP(A:A,'Finance Tracker'!A235:K475,8,FALSE)</f>
        <v>Invoice Completed</v>
      </c>
      <c r="N238" s="127"/>
      <c r="O238" s="1" t="s">
        <v>109</v>
      </c>
      <c r="P238" s="1" t="s">
        <v>109</v>
      </c>
      <c r="Q238" s="127"/>
      <c r="R238" s="56">
        <v>45728</v>
      </c>
      <c r="S238" s="56">
        <v>45734</v>
      </c>
      <c r="T238" s="1" t="s">
        <v>1819</v>
      </c>
      <c r="U238" s="56">
        <v>46092</v>
      </c>
      <c r="V238" s="39" t="s">
        <v>1853</v>
      </c>
      <c r="W238" s="1" t="s">
        <v>1853</v>
      </c>
      <c r="X238" s="4" t="s">
        <v>109</v>
      </c>
      <c r="Y238" s="4" t="s">
        <v>1853</v>
      </c>
      <c r="Z238" s="4" t="s">
        <v>1855</v>
      </c>
      <c r="AA238" s="39">
        <v>45741</v>
      </c>
      <c r="AB238" s="39" t="s">
        <v>1853</v>
      </c>
      <c r="AC238" s="1" t="s">
        <v>1853</v>
      </c>
      <c r="AD238" s="39">
        <v>45761</v>
      </c>
      <c r="AE238" s="39">
        <v>45750</v>
      </c>
      <c r="AF238" s="39">
        <v>45761</v>
      </c>
      <c r="AG238" s="39">
        <v>45761</v>
      </c>
      <c r="AH238" s="39">
        <v>49429</v>
      </c>
      <c r="AJ238" s="4" t="s">
        <v>109</v>
      </c>
      <c r="AK238" s="4" t="s">
        <v>109</v>
      </c>
      <c r="AL238" s="4" t="s">
        <v>109</v>
      </c>
      <c r="AM238" s="4" t="s">
        <v>109</v>
      </c>
      <c r="AP238" s="1">
        <f t="shared" si="7"/>
        <v>6</v>
      </c>
      <c r="AQ238" s="38">
        <f>AA240-Table1[[#This Row],[Closed Date]]</f>
        <v>35</v>
      </c>
    </row>
    <row r="239" spans="1:43" s="244" customFormat="1" ht="18.75" customHeight="1" x14ac:dyDescent="0.3">
      <c r="A239" s="237">
        <f>Table1[[#This Row],[Project No]]</f>
        <v>2503588</v>
      </c>
      <c r="B239" s="238" t="str">
        <f>VLOOKUP(A:A,Table1[[Project No]:[Additional Remark]],2,FALSE)</f>
        <v>Lee Xue Cheng</v>
      </c>
      <c r="C239" s="237" t="e" vm="8">
        <f>VLOOKUP(A:A,Table1[[#All],[Project No]:[Additional Remark]],7,FALSE)</f>
        <v>#VALUE!</v>
      </c>
      <c r="D239" s="237" t="str">
        <f>VLOOKUP(A:A,Table1[[#All],[Project No]:[Additional Remark]],4,FALSE)</f>
        <v>Tham</v>
      </c>
      <c r="E239" s="237" t="str">
        <f>VLOOKUP(A:A,Table1[[#All],[Project No]:[Additional Remark]],5,FALSE)</f>
        <v>R-PV</v>
      </c>
      <c r="F239" s="237" t="str">
        <f>VLOOKUP(A:A,Table1[[Project No]:[Additional Remark]],6,FALSE)</f>
        <v>NEM</v>
      </c>
      <c r="G239" s="237">
        <f>VLOOKUP(A:A,Table1[[Project No]:[Additional Remark]],8,FALSE)</f>
        <v>7.08</v>
      </c>
      <c r="H239" s="237" t="str">
        <f>VLOOKUP(A:A,Table1[[Project No]:[Additional Remark]],15,FALSE)</f>
        <v>Astronergy 590Wp</v>
      </c>
      <c r="I239" s="237">
        <f>VLOOKUP(A:A,Table1[[Project No]:[Additional Remark]],16,FALSE)</f>
        <v>12</v>
      </c>
      <c r="J239" s="239" t="str">
        <f>VLOOKUP(A:A,Table1[[Project No]:[Additional Remark]],17,FALSE)</f>
        <v>Huawei SUN2000-5KTL-L1</v>
      </c>
      <c r="K239" s="240"/>
      <c r="L239" s="239" t="str">
        <f t="shared" si="6"/>
        <v>Pending NEM Welcome Letter</v>
      </c>
      <c r="M239" s="239" t="str">
        <f>VLOOKUP(A:A,'Finance Tracker'!A236:K476,8,FALSE)</f>
        <v>Invoice Completed</v>
      </c>
      <c r="N239" s="240"/>
      <c r="O239" s="239" t="s">
        <v>109</v>
      </c>
      <c r="P239" s="239" t="s">
        <v>109</v>
      </c>
      <c r="Q239" s="240"/>
      <c r="R239" s="241">
        <v>45728</v>
      </c>
      <c r="S239" s="241">
        <v>45734</v>
      </c>
      <c r="T239" s="239" t="s">
        <v>1819</v>
      </c>
      <c r="U239" s="241">
        <v>46092</v>
      </c>
      <c r="V239" s="242" t="s">
        <v>1853</v>
      </c>
      <c r="W239" s="239" t="s">
        <v>1853</v>
      </c>
      <c r="X239" s="237" t="s">
        <v>109</v>
      </c>
      <c r="Y239" s="237" t="s">
        <v>1853</v>
      </c>
      <c r="Z239" s="237" t="s">
        <v>1855</v>
      </c>
      <c r="AA239" s="242">
        <v>45768</v>
      </c>
      <c r="AB239" s="242">
        <v>45758</v>
      </c>
      <c r="AC239" s="239" t="s">
        <v>1853</v>
      </c>
      <c r="AD239" s="242">
        <v>45768</v>
      </c>
      <c r="AE239" s="242">
        <v>45765</v>
      </c>
      <c r="AF239" s="242">
        <v>45768</v>
      </c>
      <c r="AG239" s="242"/>
      <c r="AH239" s="242"/>
      <c r="AI239" s="243"/>
      <c r="AJ239" s="237" t="s">
        <v>109</v>
      </c>
      <c r="AK239" s="237" t="s">
        <v>109</v>
      </c>
      <c r="AL239" s="237" t="s">
        <v>109</v>
      </c>
      <c r="AM239" s="237" t="s">
        <v>109</v>
      </c>
      <c r="AP239" s="239">
        <f t="shared" si="7"/>
        <v>6</v>
      </c>
      <c r="AQ239" s="245">
        <f>AA241-Table1[[#This Row],[Closed Date]]</f>
        <v>33</v>
      </c>
    </row>
    <row r="240" spans="1:43" ht="18.75" customHeight="1" x14ac:dyDescent="0.3">
      <c r="A240" s="4">
        <f>Table1[[#This Row],[Project No]]</f>
        <v>2502561</v>
      </c>
      <c r="B240" s="110" t="str">
        <f>VLOOKUP(A:A,Table1[[Project No]:[Additional Remark]],2,FALSE)</f>
        <v>Dennis Lee Jia Seng</v>
      </c>
      <c r="C240" s="4" t="e" vm="8">
        <f>VLOOKUP(A:A,Table1[[#All],[Project No]:[Additional Remark]],7,FALSE)</f>
        <v>#VALUE!</v>
      </c>
      <c r="D240" s="4" t="str">
        <f>VLOOKUP(A:A,Table1[[#All],[Project No]:[Additional Remark]],4,FALSE)</f>
        <v>Tham</v>
      </c>
      <c r="E240" s="4" t="str">
        <f>VLOOKUP(A:A,Table1[[#All],[Project No]:[Additional Remark]],5,FALSE)</f>
        <v>R-PV</v>
      </c>
      <c r="F240" s="4" t="str">
        <f>VLOOKUP(A:A,Table1[[Project No]:[Additional Remark]],6,FALSE)</f>
        <v>NEM</v>
      </c>
      <c r="G240" s="4">
        <f>VLOOKUP(A:A,Table1[[Project No]:[Additional Remark]],8,FALSE)</f>
        <v>15.93</v>
      </c>
      <c r="H240" s="4" t="str">
        <f>VLOOKUP(A:A,Table1[[Project No]:[Additional Remark]],15,FALSE)</f>
        <v>Astronergy 590Wp</v>
      </c>
      <c r="I240" s="4">
        <f>VLOOKUP(A:A,Table1[[Project No]:[Additional Remark]],16,FALSE)</f>
        <v>27</v>
      </c>
      <c r="J240" s="1" t="str">
        <f>VLOOKUP(A:A,Table1[[Project No]:[Additional Remark]],17,FALSE)</f>
        <v>Huawei SUN2000-12KTL</v>
      </c>
      <c r="K240" s="127"/>
      <c r="L240" s="1" t="str">
        <f t="shared" si="6"/>
        <v>Completed</v>
      </c>
      <c r="M240" s="1" t="str">
        <f>VLOOKUP(A:A,'Finance Tracker'!A237:K477,8,FALSE)</f>
        <v>Invoice Completed</v>
      </c>
      <c r="N240" s="127"/>
      <c r="O240" s="1" t="s">
        <v>109</v>
      </c>
      <c r="P240" s="1" t="s">
        <v>109</v>
      </c>
      <c r="Q240" s="127"/>
      <c r="R240" s="56">
        <v>45728</v>
      </c>
      <c r="S240" s="56">
        <v>45734</v>
      </c>
      <c r="T240" s="1" t="s">
        <v>1819</v>
      </c>
      <c r="U240" s="56">
        <v>46092</v>
      </c>
      <c r="V240" s="39" t="s">
        <v>1853</v>
      </c>
      <c r="W240" s="1" t="s">
        <v>1853</v>
      </c>
      <c r="X240" s="4" t="s">
        <v>109</v>
      </c>
      <c r="Y240" s="4" t="s">
        <v>1853</v>
      </c>
      <c r="Z240" s="4" t="s">
        <v>1855</v>
      </c>
      <c r="AA240" s="39">
        <v>45757</v>
      </c>
      <c r="AB240" s="39" t="s">
        <v>1853</v>
      </c>
      <c r="AC240" s="1" t="s">
        <v>1853</v>
      </c>
      <c r="AD240" s="39">
        <v>45777</v>
      </c>
      <c r="AE240" s="39">
        <v>45771</v>
      </c>
      <c r="AF240" s="39">
        <v>45777</v>
      </c>
      <c r="AG240" s="39">
        <v>45777</v>
      </c>
      <c r="AH240" s="39">
        <v>49429</v>
      </c>
      <c r="AJ240" s="4" t="s">
        <v>109</v>
      </c>
      <c r="AK240" s="4" t="s">
        <v>109</v>
      </c>
      <c r="AL240" s="4" t="s">
        <v>109</v>
      </c>
      <c r="AM240" s="4" t="s">
        <v>109</v>
      </c>
      <c r="AP240" s="1">
        <f t="shared" si="7"/>
        <v>6</v>
      </c>
      <c r="AQ240" s="38">
        <f>AA242-Table1[[#This Row],[Closed Date]]</f>
        <v>101</v>
      </c>
    </row>
    <row r="241" spans="1:43" s="244" customFormat="1" ht="18.75" customHeight="1" x14ac:dyDescent="0.3">
      <c r="A241" s="237">
        <f>Table1[[#This Row],[Project No]]</f>
        <v>2503590</v>
      </c>
      <c r="B241" s="238" t="str">
        <f>VLOOKUP(A:A,Table1[[Project No]:[Additional Remark]],2,FALSE)</f>
        <v>Teh Wee Loon</v>
      </c>
      <c r="C241" s="237" t="e" vm="5">
        <f>VLOOKUP(A:A,Table1[[#All],[Project No]:[Additional Remark]],7,FALSE)</f>
        <v>#VALUE!</v>
      </c>
      <c r="D241" s="237" t="str">
        <f>VLOOKUP(A:A,Table1[[#All],[Project No]:[Additional Remark]],4,FALSE)</f>
        <v>Tham</v>
      </c>
      <c r="E241" s="237" t="str">
        <f>VLOOKUP(A:A,Table1[[#All],[Project No]:[Additional Remark]],5,FALSE)</f>
        <v>R-PV</v>
      </c>
      <c r="F241" s="237" t="str">
        <f>VLOOKUP(A:A,Table1[[Project No]:[Additional Remark]],6,FALSE)</f>
        <v>NEM</v>
      </c>
      <c r="G241" s="237">
        <f>VLOOKUP(A:A,Table1[[Project No]:[Additional Remark]],8,FALSE)</f>
        <v>14.16</v>
      </c>
      <c r="H241" s="237" t="str">
        <f>VLOOKUP(A:A,Table1[[Project No]:[Additional Remark]],15,FALSE)</f>
        <v>Astronergy 590Wp</v>
      </c>
      <c r="I241" s="237">
        <f>VLOOKUP(A:A,Table1[[Project No]:[Additional Remark]],16,FALSE)</f>
        <v>24</v>
      </c>
      <c r="J241" s="239" t="str">
        <f>VLOOKUP(A:A,Table1[[Project No]:[Additional Remark]],17,FALSE)</f>
        <v>Huawei SUN2000-12KTL</v>
      </c>
      <c r="K241" s="240"/>
      <c r="L241" s="239" t="str">
        <f t="shared" si="6"/>
        <v>Pending NEM Welcome Letter</v>
      </c>
      <c r="M241" s="239" t="str">
        <f>VLOOKUP(A:A,'Finance Tracker'!A238:K478,8,FALSE)</f>
        <v>Invoice Completed</v>
      </c>
      <c r="N241" s="240"/>
      <c r="O241" s="239" t="s">
        <v>109</v>
      </c>
      <c r="P241" s="239" t="s">
        <v>109</v>
      </c>
      <c r="Q241" s="240"/>
      <c r="R241" s="241">
        <v>45729</v>
      </c>
      <c r="S241" s="241">
        <v>45735</v>
      </c>
      <c r="T241" s="239" t="s">
        <v>1819</v>
      </c>
      <c r="U241" s="241">
        <v>46093</v>
      </c>
      <c r="V241" s="242" t="s">
        <v>1853</v>
      </c>
      <c r="W241" s="239" t="s">
        <v>1853</v>
      </c>
      <c r="X241" s="237" t="s">
        <v>109</v>
      </c>
      <c r="Y241" s="237" t="s">
        <v>1853</v>
      </c>
      <c r="Z241" s="237" t="s">
        <v>1855</v>
      </c>
      <c r="AA241" s="242">
        <v>45755</v>
      </c>
      <c r="AB241" s="242">
        <v>45756</v>
      </c>
      <c r="AC241" s="239" t="s">
        <v>1853</v>
      </c>
      <c r="AD241" s="242">
        <v>45763</v>
      </c>
      <c r="AE241" s="242">
        <v>45762</v>
      </c>
      <c r="AF241" s="242">
        <v>45763</v>
      </c>
      <c r="AG241" s="242"/>
      <c r="AH241" s="242"/>
      <c r="AI241" s="243"/>
      <c r="AJ241" s="237" t="s">
        <v>109</v>
      </c>
      <c r="AK241" s="237" t="s">
        <v>109</v>
      </c>
      <c r="AL241" s="237" t="s">
        <v>109</v>
      </c>
      <c r="AM241" s="237" t="s">
        <v>109</v>
      </c>
      <c r="AP241" s="239">
        <f t="shared" si="7"/>
        <v>6</v>
      </c>
      <c r="AQ241" s="245">
        <f>AA243-Table1[[#This Row],[Closed Date]]</f>
        <v>56</v>
      </c>
    </row>
    <row r="242" spans="1:43" s="244" customFormat="1" ht="18.75" customHeight="1" x14ac:dyDescent="0.3">
      <c r="A242" s="237">
        <f>Table1[[#This Row],[Project No]]</f>
        <v>2502570</v>
      </c>
      <c r="B242" s="238" t="str">
        <f>VLOOKUP(A:A,Table1[[Project No]:[Additional Remark]],2,FALSE)</f>
        <v>Tang Wei Keong</v>
      </c>
      <c r="C242" s="237" t="e" vm="5">
        <f>VLOOKUP(A:A,Table1[[#All],[Project No]:[Additional Remark]],7,FALSE)</f>
        <v>#VALUE!</v>
      </c>
      <c r="D242" s="237" t="str">
        <f>VLOOKUP(A:A,Table1[[#All],[Project No]:[Additional Remark]],4,FALSE)</f>
        <v>Tham</v>
      </c>
      <c r="E242" s="237" t="str">
        <f>VLOOKUP(A:A,Table1[[#All],[Project No]:[Additional Remark]],5,FALSE)</f>
        <v>R-PV</v>
      </c>
      <c r="F242" s="237" t="str">
        <f>VLOOKUP(A:A,Table1[[Project No]:[Additional Remark]],6,FALSE)</f>
        <v>NEM</v>
      </c>
      <c r="G242" s="237">
        <f>VLOOKUP(A:A,Table1[[Project No]:[Additional Remark]],8,FALSE)</f>
        <v>9.44</v>
      </c>
      <c r="H242" s="237" t="str">
        <f>VLOOKUP(A:A,Table1[[Project No]:[Additional Remark]],15,FALSE)</f>
        <v>Astronergy 590Wp</v>
      </c>
      <c r="I242" s="237">
        <f>VLOOKUP(A:A,Table1[[Project No]:[Additional Remark]],16,FALSE)</f>
        <v>16</v>
      </c>
      <c r="J242" s="239" t="str">
        <f>VLOOKUP(A:A,Table1[[Project No]:[Additional Remark]],17,FALSE)</f>
        <v>Huawei SUN2000-8KTL</v>
      </c>
      <c r="K242" s="240"/>
      <c r="L242" s="239" t="str">
        <f t="shared" si="6"/>
        <v>Pending NEM Welcome Letter</v>
      </c>
      <c r="M242" s="239" t="str">
        <f>VLOOKUP(A:A,'Finance Tracker'!A239:K479,8,FALSE)</f>
        <v>Invoice Completed</v>
      </c>
      <c r="N242" s="240"/>
      <c r="O242" s="239" t="s">
        <v>109</v>
      </c>
      <c r="P242" s="239" t="s">
        <v>109</v>
      </c>
      <c r="Q242" s="240"/>
      <c r="R242" s="241">
        <v>45729</v>
      </c>
      <c r="S242" s="241">
        <v>45735</v>
      </c>
      <c r="T242" s="239" t="s">
        <v>1819</v>
      </c>
      <c r="U242" s="241">
        <v>46093</v>
      </c>
      <c r="V242" s="242" t="s">
        <v>1853</v>
      </c>
      <c r="W242" s="239" t="s">
        <v>1853</v>
      </c>
      <c r="X242" s="237" t="s">
        <v>109</v>
      </c>
      <c r="Y242" s="237" t="s">
        <v>1853</v>
      </c>
      <c r="Z242" s="237" t="s">
        <v>1855</v>
      </c>
      <c r="AA242" s="242">
        <v>45824</v>
      </c>
      <c r="AB242" s="242" t="s">
        <v>1853</v>
      </c>
      <c r="AC242" s="239" t="s">
        <v>1853</v>
      </c>
      <c r="AD242" s="242" t="s">
        <v>1853</v>
      </c>
      <c r="AE242" s="242">
        <v>45763</v>
      </c>
      <c r="AF242" s="242" t="s">
        <v>1853</v>
      </c>
      <c r="AG242" s="242"/>
      <c r="AH242" s="242"/>
      <c r="AI242" s="243"/>
      <c r="AJ242" s="237" t="s">
        <v>109</v>
      </c>
      <c r="AK242" s="237" t="s">
        <v>109</v>
      </c>
      <c r="AL242" s="237" t="s">
        <v>109</v>
      </c>
      <c r="AM242" s="237" t="s">
        <v>109</v>
      </c>
      <c r="AP242" s="239">
        <f t="shared" si="7"/>
        <v>6</v>
      </c>
      <c r="AQ242" s="245">
        <f>AA244-Table1[[#This Row],[Closed Date]]</f>
        <v>56</v>
      </c>
    </row>
    <row r="243" spans="1:43" s="244" customFormat="1" ht="18.75" customHeight="1" x14ac:dyDescent="0.3">
      <c r="A243" s="237">
        <f>Table1[[#This Row],[Project No]]</f>
        <v>2502573</v>
      </c>
      <c r="B243" s="238" t="str">
        <f>VLOOKUP(A:A,Table1[[Project No]:[Additional Remark]],2,FALSE)</f>
        <v>Wong Jun Kit</v>
      </c>
      <c r="C243" s="237" t="e" vm="5">
        <f>VLOOKUP(A:A,Table1[[#All],[Project No]:[Additional Remark]],7,FALSE)</f>
        <v>#VALUE!</v>
      </c>
      <c r="D243" s="237" t="str">
        <f>VLOOKUP(A:A,Table1[[#All],[Project No]:[Additional Remark]],4,FALSE)</f>
        <v>Simon</v>
      </c>
      <c r="E243" s="237" t="str">
        <f>VLOOKUP(A:A,Table1[[#All],[Project No]:[Additional Remark]],5,FALSE)</f>
        <v>R-PV</v>
      </c>
      <c r="F243" s="237" t="str">
        <f>VLOOKUP(A:A,Table1[[Project No]:[Additional Remark]],6,FALSE)</f>
        <v>NEM</v>
      </c>
      <c r="G243" s="237">
        <f>VLOOKUP(A:A,Table1[[Project No]:[Additional Remark]],8,FALSE)</f>
        <v>6.49</v>
      </c>
      <c r="H243" s="237" t="str">
        <f>VLOOKUP(A:A,Table1[[Project No]:[Additional Remark]],15,FALSE)</f>
        <v>Astronergy 590Wp</v>
      </c>
      <c r="I243" s="237">
        <f>VLOOKUP(A:A,Table1[[Project No]:[Additional Remark]],16,FALSE)</f>
        <v>11</v>
      </c>
      <c r="J243" s="239" t="str">
        <f>VLOOKUP(A:A,Table1[[Project No]:[Additional Remark]],17,FALSE)</f>
        <v>Huawei SUN2000-5KTL-M1</v>
      </c>
      <c r="K243" s="240"/>
      <c r="L243" s="239" t="str">
        <f t="shared" si="6"/>
        <v>Pending NEM Welcome Letter</v>
      </c>
      <c r="M243" s="239" t="str">
        <f>VLOOKUP(A:A,'Finance Tracker'!A240:K480,8,FALSE)</f>
        <v>Invoice Completed</v>
      </c>
      <c r="N243" s="240"/>
      <c r="O243" s="239" t="s">
        <v>109</v>
      </c>
      <c r="P243" s="239" t="s">
        <v>109</v>
      </c>
      <c r="Q243" s="240"/>
      <c r="R243" s="241">
        <v>45728</v>
      </c>
      <c r="S243" s="241">
        <v>45734</v>
      </c>
      <c r="T243" s="239" t="s">
        <v>1819</v>
      </c>
      <c r="U243" s="241">
        <v>46092</v>
      </c>
      <c r="V243" s="242" t="s">
        <v>1853</v>
      </c>
      <c r="W243" s="239" t="s">
        <v>1853</v>
      </c>
      <c r="X243" s="237" t="s">
        <v>109</v>
      </c>
      <c r="Y243" s="237" t="s">
        <v>1853</v>
      </c>
      <c r="Z243" s="237" t="s">
        <v>1855</v>
      </c>
      <c r="AA243" s="242">
        <v>45779</v>
      </c>
      <c r="AB243" s="242">
        <v>45756</v>
      </c>
      <c r="AC243" s="239" t="s">
        <v>1853</v>
      </c>
      <c r="AD243" s="242">
        <v>45763</v>
      </c>
      <c r="AE243" s="242">
        <v>45761</v>
      </c>
      <c r="AF243" s="242">
        <v>45763</v>
      </c>
      <c r="AG243" s="242"/>
      <c r="AH243" s="242"/>
      <c r="AI243" s="243"/>
      <c r="AJ243" s="237" t="s">
        <v>109</v>
      </c>
      <c r="AK243" s="237" t="s">
        <v>109</v>
      </c>
      <c r="AL243" s="237" t="s">
        <v>109</v>
      </c>
      <c r="AM243" s="237" t="s">
        <v>109</v>
      </c>
      <c r="AP243" s="239">
        <f t="shared" si="7"/>
        <v>6</v>
      </c>
      <c r="AQ243" s="245">
        <f>AA245-Table1[[#This Row],[Closed Date]]</f>
        <v>-45722</v>
      </c>
    </row>
    <row r="244" spans="1:43" s="244" customFormat="1" ht="18.75" customHeight="1" x14ac:dyDescent="0.3">
      <c r="A244" s="237">
        <f>Table1[[#This Row],[Project No]]</f>
        <v>2503593</v>
      </c>
      <c r="B244" s="238" t="str">
        <f>VLOOKUP(A:A,Table1[[Project No]:[Additional Remark]],2,FALSE)</f>
        <v>Rashid Bin Darlan</v>
      </c>
      <c r="C244" s="237" t="e" vm="11">
        <f>VLOOKUP(A:A,Table1[[#All],[Project No]:[Additional Remark]],7,FALSE)</f>
        <v>#VALUE!</v>
      </c>
      <c r="D244" s="237" t="str">
        <f>VLOOKUP(A:A,Table1[[#All],[Project No]:[Additional Remark]],4,FALSE)</f>
        <v>Patricia</v>
      </c>
      <c r="E244" s="237" t="str">
        <f>VLOOKUP(A:A,Table1[[#All],[Project No]:[Additional Remark]],5,FALSE)</f>
        <v>R-PV</v>
      </c>
      <c r="F244" s="237" t="str">
        <f>VLOOKUP(A:A,Table1[[Project No]:[Additional Remark]],6,FALSE)</f>
        <v>NEM</v>
      </c>
      <c r="G244" s="237">
        <f>VLOOKUP(A:A,Table1[[Project No]:[Additional Remark]],8,FALSE)</f>
        <v>7.08</v>
      </c>
      <c r="H244" s="237" t="str">
        <f>VLOOKUP(A:A,Table1[[Project No]:[Additional Remark]],15,FALSE)</f>
        <v>Astronergy 590Wp</v>
      </c>
      <c r="I244" s="237">
        <f>VLOOKUP(A:A,Table1[[Project No]:[Additional Remark]],16,FALSE)</f>
        <v>12</v>
      </c>
      <c r="J244" s="239" t="str">
        <f>VLOOKUP(A:A,Table1[[Project No]:[Additional Remark]],17,FALSE)</f>
        <v>Huawei SUN2000-5KTL-L1</v>
      </c>
      <c r="K244" s="240"/>
      <c r="L244" s="239" t="str">
        <f t="shared" si="6"/>
        <v>Pending NEM Welcome Letter</v>
      </c>
      <c r="M244" s="239" t="str">
        <f>VLOOKUP(A:A,'Finance Tracker'!A241:K481,8,FALSE)</f>
        <v>Invoice Completed</v>
      </c>
      <c r="N244" s="240"/>
      <c r="O244" s="239" t="s">
        <v>109</v>
      </c>
      <c r="P244" s="239" t="s">
        <v>109</v>
      </c>
      <c r="Q244" s="240"/>
      <c r="R244" s="241">
        <v>45728</v>
      </c>
      <c r="S244" s="241">
        <v>45734</v>
      </c>
      <c r="T244" s="239" t="s">
        <v>1819</v>
      </c>
      <c r="U244" s="241">
        <v>46092</v>
      </c>
      <c r="V244" s="242" t="s">
        <v>1853</v>
      </c>
      <c r="W244" s="239" t="s">
        <v>1853</v>
      </c>
      <c r="X244" s="237" t="s">
        <v>109</v>
      </c>
      <c r="Y244" s="237" t="s">
        <v>1853</v>
      </c>
      <c r="Z244" s="237" t="s">
        <v>1854</v>
      </c>
      <c r="AA244" s="242">
        <v>45779</v>
      </c>
      <c r="AB244" s="242">
        <v>45741</v>
      </c>
      <c r="AC244" s="239" t="s">
        <v>1853</v>
      </c>
      <c r="AD244" s="242">
        <v>45761</v>
      </c>
      <c r="AE244" s="242">
        <v>45742</v>
      </c>
      <c r="AF244" s="242">
        <v>45761</v>
      </c>
      <c r="AG244" s="242"/>
      <c r="AH244" s="242"/>
      <c r="AI244" s="243"/>
      <c r="AJ244" s="237" t="s">
        <v>109</v>
      </c>
      <c r="AK244" s="237" t="s">
        <v>109</v>
      </c>
      <c r="AL244" s="237" t="s">
        <v>109</v>
      </c>
      <c r="AM244" s="237" t="s">
        <v>109</v>
      </c>
      <c r="AP244" s="239">
        <f t="shared" si="7"/>
        <v>6</v>
      </c>
      <c r="AQ244" s="245">
        <f>AA246-Table1[[#This Row],[Closed Date]]</f>
        <v>16</v>
      </c>
    </row>
    <row r="245" spans="1:43" s="199" customFormat="1" ht="18.75" customHeight="1" x14ac:dyDescent="0.3">
      <c r="A245" s="192">
        <f>Table1[[#This Row],[Project No]]</f>
        <v>2501211</v>
      </c>
      <c r="B245" s="193" t="str">
        <f>VLOOKUP(A:A,Table1[[Project No]:[Additional Remark]],2,FALSE)</f>
        <v>Great Beauty Furniture Sdn Bhd</v>
      </c>
      <c r="C245" s="192" t="e" vm="11">
        <f>VLOOKUP(A:A,Table1[[#All],[Project No]:[Additional Remark]],7,FALSE)</f>
        <v>#VALUE!</v>
      </c>
      <c r="D245" s="192" t="str">
        <f>VLOOKUP(A:A,Table1[[#All],[Project No]:[Additional Remark]],4,FALSE)</f>
        <v>Chean Bang</v>
      </c>
      <c r="E245" s="192" t="str">
        <f>VLOOKUP(A:A,Table1[[#All],[Project No]:[Additional Remark]],5,FALSE)</f>
        <v>C&amp;I-PV</v>
      </c>
      <c r="F245" s="192" t="str">
        <f>VLOOKUP(A:A,Table1[[Project No]:[Additional Remark]],6,FALSE)</f>
        <v>NEM</v>
      </c>
      <c r="G245" s="192">
        <f>VLOOKUP(A:A,Table1[[Project No]:[Additional Remark]],8,FALSE)</f>
        <v>26.55</v>
      </c>
      <c r="H245" s="192" t="str">
        <f>VLOOKUP(A:A,Table1[[Project No]:[Additional Remark]],15,FALSE)</f>
        <v>Astronergy 590Wp</v>
      </c>
      <c r="I245" s="192">
        <f>VLOOKUP(A:A,Table1[[Project No]:[Additional Remark]],16,FALSE)</f>
        <v>45</v>
      </c>
      <c r="J245" s="194" t="str">
        <f>VLOOKUP(A:A,Table1[[Project No]:[Additional Remark]],17,FALSE)</f>
        <v>Huawei SUN2000-20KTL</v>
      </c>
      <c r="K245" s="195"/>
      <c r="L245" s="194" t="str">
        <f t="shared" si="6"/>
        <v>Pending Site Installation</v>
      </c>
      <c r="M245" s="194" t="str">
        <f>VLOOKUP(A:A,'Finance Tracker'!A242:K482,8,FALSE)</f>
        <v>1st invoice</v>
      </c>
      <c r="N245" s="195"/>
      <c r="O245" s="194" t="s">
        <v>109</v>
      </c>
      <c r="P245" s="194" t="s">
        <v>109</v>
      </c>
      <c r="Q245" s="195"/>
      <c r="R245" s="196">
        <v>45782</v>
      </c>
      <c r="S245" s="196">
        <v>45797</v>
      </c>
      <c r="T245" s="194" t="s">
        <v>1819</v>
      </c>
      <c r="U245" s="196">
        <v>46146</v>
      </c>
      <c r="V245" s="197" t="s">
        <v>1853</v>
      </c>
      <c r="W245" s="194" t="s">
        <v>1853</v>
      </c>
      <c r="X245" s="192" t="s">
        <v>1853</v>
      </c>
      <c r="Y245" s="192" t="s">
        <v>1853</v>
      </c>
      <c r="Z245" s="192"/>
      <c r="AA245" s="197"/>
      <c r="AB245" s="197"/>
      <c r="AC245" s="194"/>
      <c r="AD245" s="197"/>
      <c r="AE245" s="197"/>
      <c r="AF245" s="197"/>
      <c r="AG245" s="197"/>
      <c r="AH245" s="197"/>
      <c r="AI245" s="198"/>
      <c r="AJ245" s="192" t="s">
        <v>109</v>
      </c>
      <c r="AK245" s="192" t="s">
        <v>109</v>
      </c>
      <c r="AL245" s="192" t="s">
        <v>109</v>
      </c>
      <c r="AM245" s="192" t="s">
        <v>109</v>
      </c>
      <c r="AP245" s="194">
        <f t="shared" si="7"/>
        <v>15</v>
      </c>
      <c r="AQ245" s="200">
        <f>AA247-Table1[[#This Row],[Closed Date]]</f>
        <v>150</v>
      </c>
    </row>
    <row r="246" spans="1:43" s="244" customFormat="1" ht="18.75" customHeight="1" x14ac:dyDescent="0.3">
      <c r="A246" s="237">
        <f>Table1[[#This Row],[Project No]]</f>
        <v>2502589</v>
      </c>
      <c r="B246" s="238" t="str">
        <f>VLOOKUP(A:A,Table1[[Project No]:[Additional Remark]],2,FALSE)</f>
        <v>Chin Kok Leng</v>
      </c>
      <c r="C246" s="237" t="e" vm="11">
        <f>VLOOKUP(A:A,Table1[[#All],[Project No]:[Additional Remark]],7,FALSE)</f>
        <v>#VALUE!</v>
      </c>
      <c r="D246" s="237" t="str">
        <f>VLOOKUP(A:A,Table1[[#All],[Project No]:[Additional Remark]],4,FALSE)</f>
        <v>Patricia</v>
      </c>
      <c r="E246" s="237" t="str">
        <f>VLOOKUP(A:A,Table1[[#All],[Project No]:[Additional Remark]],5,FALSE)</f>
        <v>R-PV</v>
      </c>
      <c r="F246" s="237" t="str">
        <f>VLOOKUP(A:A,Table1[[Project No]:[Additional Remark]],6,FALSE)</f>
        <v>NEM</v>
      </c>
      <c r="G246" s="237">
        <f>VLOOKUP(A:A,Table1[[Project No]:[Additional Remark]],8,FALSE)</f>
        <v>8.85</v>
      </c>
      <c r="H246" s="237" t="str">
        <f>VLOOKUP(A:A,Table1[[Project No]:[Additional Remark]],15,FALSE)</f>
        <v>Astronergy 590Wp</v>
      </c>
      <c r="I246" s="237">
        <f>VLOOKUP(A:A,Table1[[Project No]:[Additional Remark]],16,FALSE)</f>
        <v>15</v>
      </c>
      <c r="J246" s="239" t="str">
        <f>VLOOKUP(A:A,Table1[[Project No]:[Additional Remark]],17,FALSE)</f>
        <v>Huawei SUN2000-8KTL</v>
      </c>
      <c r="K246" s="240"/>
      <c r="L246" s="239" t="str">
        <f t="shared" si="6"/>
        <v>Pending NEM Welcome Letter</v>
      </c>
      <c r="M246" s="239" t="str">
        <f>VLOOKUP(A:A,'Finance Tracker'!A243:K483,8,FALSE)</f>
        <v>Invoice Completed</v>
      </c>
      <c r="N246" s="240"/>
      <c r="O246" s="239" t="s">
        <v>109</v>
      </c>
      <c r="P246" s="239" t="s">
        <v>109</v>
      </c>
      <c r="Q246" s="240"/>
      <c r="R246" s="241">
        <v>45726</v>
      </c>
      <c r="S246" s="241">
        <v>45734</v>
      </c>
      <c r="T246" s="239" t="s">
        <v>1819</v>
      </c>
      <c r="U246" s="241">
        <v>46090</v>
      </c>
      <c r="V246" s="242" t="s">
        <v>1853</v>
      </c>
      <c r="W246" s="239" t="s">
        <v>1853</v>
      </c>
      <c r="X246" s="237" t="s">
        <v>109</v>
      </c>
      <c r="Y246" s="237" t="s">
        <v>1853</v>
      </c>
      <c r="Z246" s="237" t="s">
        <v>1854</v>
      </c>
      <c r="AA246" s="242">
        <v>45742</v>
      </c>
      <c r="AB246" s="242" t="s">
        <v>1853</v>
      </c>
      <c r="AC246" s="242" t="s">
        <v>1853</v>
      </c>
      <c r="AD246" s="242" t="s">
        <v>1853</v>
      </c>
      <c r="AE246" s="242">
        <v>45742</v>
      </c>
      <c r="AF246" s="242" t="s">
        <v>1853</v>
      </c>
      <c r="AG246" s="242"/>
      <c r="AH246" s="242"/>
      <c r="AI246" s="243"/>
      <c r="AJ246" s="237" t="s">
        <v>109</v>
      </c>
      <c r="AK246" s="237" t="s">
        <v>109</v>
      </c>
      <c r="AL246" s="237" t="s">
        <v>109</v>
      </c>
      <c r="AM246" s="237" t="s">
        <v>109</v>
      </c>
      <c r="AP246" s="239">
        <f t="shared" si="7"/>
        <v>8</v>
      </c>
      <c r="AQ246" s="245">
        <f>AA248-Table1[[#This Row],[Closed Date]]</f>
        <v>60</v>
      </c>
    </row>
    <row r="247" spans="1:43" s="256" customFormat="1" ht="18.75" customHeight="1" x14ac:dyDescent="0.3">
      <c r="A247" s="248">
        <f>Table1[[#This Row],[Project No]]</f>
        <v>2403090</v>
      </c>
      <c r="B247" s="249" t="str">
        <f>VLOOKUP(A:A,Table1[[Project No]:[Additional Remark]],2,FALSE)</f>
        <v>Mei Shun Fang Manufacturing Sdn Bhd</v>
      </c>
      <c r="C247" s="248" t="e" vm="8">
        <f>VLOOKUP(A:A,Table1[[#All],[Project No]:[Additional Remark]],7,FALSE)</f>
        <v>#VALUE!</v>
      </c>
      <c r="D247" s="248" t="str">
        <f>VLOOKUP(A:A,Table1[[#All],[Project No]:[Additional Remark]],4,FALSE)</f>
        <v>Tham</v>
      </c>
      <c r="E247" s="248" t="str">
        <f>VLOOKUP(A:A,Table1[[#All],[Project No]:[Additional Remark]],5,FALSE)</f>
        <v>C&amp;I-PV</v>
      </c>
      <c r="F247" s="248" t="str">
        <f>VLOOKUP(A:A,Table1[[Project No]:[Additional Remark]],6,FALSE)</f>
        <v>NEM</v>
      </c>
      <c r="G247" s="248">
        <f>VLOOKUP(A:A,Table1[[Project No]:[Additional Remark]],8,FALSE)</f>
        <v>476.13</v>
      </c>
      <c r="H247" s="248" t="str">
        <f>VLOOKUP(A:A,Table1[[Project No]:[Additional Remark]],15,FALSE)</f>
        <v>Astronergy 590Wp</v>
      </c>
      <c r="I247" s="248">
        <f>VLOOKUP(A:A,Table1[[Project No]:[Additional Remark]],16,FALSE)</f>
        <v>807</v>
      </c>
      <c r="J247" s="250">
        <f>VLOOKUP(A:A,Table1[[Project No]:[Additional Remark]],17,FALSE)</f>
        <v>0</v>
      </c>
      <c r="K247" s="251"/>
      <c r="L247" s="250" t="str">
        <f t="shared" si="6"/>
        <v>Pending ST License Approval</v>
      </c>
      <c r="M247" s="250" t="str">
        <f>VLOOKUP(A:A,'Finance Tracker'!A244:K484,8,FALSE)</f>
        <v>5th invoice</v>
      </c>
      <c r="N247" s="251"/>
      <c r="O247" s="252">
        <v>45782</v>
      </c>
      <c r="P247" s="252">
        <v>45797</v>
      </c>
      <c r="Q247" s="251"/>
      <c r="R247" s="253">
        <v>45807</v>
      </c>
      <c r="S247" s="253">
        <v>45859</v>
      </c>
      <c r="T247" s="250" t="s">
        <v>1819</v>
      </c>
      <c r="U247" s="253"/>
      <c r="V247" s="252" t="s">
        <v>1853</v>
      </c>
      <c r="W247" s="250" t="s">
        <v>1853</v>
      </c>
      <c r="X247" s="248" t="s">
        <v>1853</v>
      </c>
      <c r="Y247" s="248"/>
      <c r="Z247" s="248" t="s">
        <v>1855</v>
      </c>
      <c r="AA247" s="252">
        <v>45873</v>
      </c>
      <c r="AB247" s="252"/>
      <c r="AC247" s="250"/>
      <c r="AD247" s="252"/>
      <c r="AE247" s="252"/>
      <c r="AF247" s="252"/>
      <c r="AG247" s="248"/>
      <c r="AH247" s="248"/>
      <c r="AI247" s="254"/>
      <c r="AJ247" s="255">
        <v>45953</v>
      </c>
      <c r="AK247" s="248"/>
      <c r="AL247" s="248"/>
      <c r="AM247" s="248"/>
      <c r="AP247" s="250">
        <f t="shared" si="7"/>
        <v>52</v>
      </c>
      <c r="AQ247" s="257">
        <f>AA249-Table1[[#This Row],[Closed Date]]</f>
        <v>61</v>
      </c>
    </row>
    <row r="248" spans="1:43" ht="18.75" customHeight="1" x14ac:dyDescent="0.3">
      <c r="A248" s="4">
        <f>Table1[[#This Row],[Project No]]</f>
        <v>2502557</v>
      </c>
      <c r="B248" s="110" t="str">
        <f>VLOOKUP(A:A,Table1[[Project No]:[Additional Remark]],2,FALSE)</f>
        <v>Chin Yee Fa</v>
      </c>
      <c r="C248" s="4" t="e" vm="11">
        <f>VLOOKUP(A:A,Table1[[#All],[Project No]:[Additional Remark]],7,FALSE)</f>
        <v>#VALUE!</v>
      </c>
      <c r="D248" s="4" t="str">
        <f>VLOOKUP(A:A,Table1[[#All],[Project No]:[Additional Remark]],4,FALSE)</f>
        <v>Patricia</v>
      </c>
      <c r="E248" s="4" t="str">
        <f>VLOOKUP(A:A,Table1[[#All],[Project No]:[Additional Remark]],5,FALSE)</f>
        <v>R-PV</v>
      </c>
      <c r="F248" s="4" t="str">
        <f>VLOOKUP(A:A,Table1[[Project No]:[Additional Remark]],6,FALSE)</f>
        <v>NEM</v>
      </c>
      <c r="G248" s="4">
        <f>VLOOKUP(A:A,Table1[[Project No]:[Additional Remark]],8,FALSE)</f>
        <v>9.44</v>
      </c>
      <c r="H248" s="4" t="str">
        <f>VLOOKUP(A:A,Table1[[Project No]:[Additional Remark]],15,FALSE)</f>
        <v>Astronergy 590Wp</v>
      </c>
      <c r="I248" s="4">
        <f>VLOOKUP(A:A,Table1[[Project No]:[Additional Remark]],16,FALSE)</f>
        <v>16</v>
      </c>
      <c r="J248" s="1" t="str">
        <f>VLOOKUP(A:A,Table1[[Project No]:[Additional Remark]],17,FALSE)</f>
        <v>Huawei SUN2000-8KTL</v>
      </c>
      <c r="K248" s="127"/>
      <c r="L248" s="1" t="str">
        <f t="shared" si="6"/>
        <v>Completed</v>
      </c>
      <c r="M248" s="1" t="str">
        <f>VLOOKUP(A:A,'Finance Tracker'!A245:K485,8,FALSE)</f>
        <v>Invoice Completed</v>
      </c>
      <c r="N248" s="127"/>
      <c r="O248" s="39" t="s">
        <v>109</v>
      </c>
      <c r="P248" s="39" t="s">
        <v>109</v>
      </c>
      <c r="Q248" s="127"/>
      <c r="R248" s="56">
        <v>45729</v>
      </c>
      <c r="S248" s="56">
        <v>45735</v>
      </c>
      <c r="T248" s="1" t="s">
        <v>1819</v>
      </c>
      <c r="U248" s="56">
        <v>45728</v>
      </c>
      <c r="V248" s="39" t="s">
        <v>1853</v>
      </c>
      <c r="W248" s="1" t="s">
        <v>1853</v>
      </c>
      <c r="X248" s="4" t="s">
        <v>109</v>
      </c>
      <c r="Y248" s="4" t="s">
        <v>1853</v>
      </c>
      <c r="Z248" s="4" t="s">
        <v>1854</v>
      </c>
      <c r="AA248" s="39">
        <v>45783</v>
      </c>
      <c r="AB248" s="39" t="s">
        <v>1853</v>
      </c>
      <c r="AC248" s="1" t="s">
        <v>1853</v>
      </c>
      <c r="AD248" s="39">
        <v>45770</v>
      </c>
      <c r="AE248" s="39" t="s">
        <v>1853</v>
      </c>
      <c r="AF248" s="39">
        <v>45770</v>
      </c>
      <c r="AG248" s="39">
        <v>45770</v>
      </c>
      <c r="AH248" s="39">
        <v>49429</v>
      </c>
      <c r="AJ248" s="4" t="s">
        <v>109</v>
      </c>
      <c r="AK248" s="4" t="s">
        <v>109</v>
      </c>
      <c r="AL248" s="4" t="s">
        <v>109</v>
      </c>
      <c r="AM248" s="4" t="s">
        <v>109</v>
      </c>
      <c r="AP248" s="1">
        <f t="shared" si="7"/>
        <v>6</v>
      </c>
      <c r="AQ248" s="38">
        <f>AA250-Table1[[#This Row],[Closed Date]]</f>
        <v>50</v>
      </c>
    </row>
    <row r="249" spans="1:43" s="244" customFormat="1" ht="18.75" customHeight="1" x14ac:dyDescent="0.3">
      <c r="A249" s="237">
        <f>Table1[[#This Row],[Project No]]</f>
        <v>2503594</v>
      </c>
      <c r="B249" s="238" t="str">
        <f>VLOOKUP(A:A,Table1[[Project No]:[Additional Remark]],2,FALSE)</f>
        <v>Wong Teck Keng</v>
      </c>
      <c r="C249" s="237" t="e" vm="5">
        <f>VLOOKUP(A:A,Table1[[#All],[Project No]:[Additional Remark]],7,FALSE)</f>
        <v>#VALUE!</v>
      </c>
      <c r="D249" s="237" t="str">
        <f>VLOOKUP(A:A,Table1[[#All],[Project No]:[Additional Remark]],4,FALSE)</f>
        <v>Patricia</v>
      </c>
      <c r="E249" s="237" t="str">
        <f>VLOOKUP(A:A,Table1[[#All],[Project No]:[Additional Remark]],5,FALSE)</f>
        <v>R-PV</v>
      </c>
      <c r="F249" s="237" t="str">
        <f>VLOOKUP(A:A,Table1[[Project No]:[Additional Remark]],6,FALSE)</f>
        <v>NEM</v>
      </c>
      <c r="G249" s="237">
        <f>VLOOKUP(A:A,Table1[[Project No]:[Additional Remark]],8,FALSE)</f>
        <v>7.08</v>
      </c>
      <c r="H249" s="237" t="str">
        <f>VLOOKUP(A:A,Table1[[Project No]:[Additional Remark]],15,FALSE)</f>
        <v>Astronergy 590Wp</v>
      </c>
      <c r="I249" s="237">
        <f>VLOOKUP(A:A,Table1[[Project No]:[Additional Remark]],16,FALSE)</f>
        <v>12</v>
      </c>
      <c r="J249" s="239" t="str">
        <f>VLOOKUP(A:A,Table1[[Project No]:[Additional Remark]],17,FALSE)</f>
        <v>Huawei SUN2000-5KTL-L1</v>
      </c>
      <c r="K249" s="240"/>
      <c r="L249" s="239" t="str">
        <f t="shared" si="6"/>
        <v>Pending NEM Welcome Letter</v>
      </c>
      <c r="M249" s="239" t="str">
        <f>VLOOKUP(A:A,'Finance Tracker'!A246:K486,8,FALSE)</f>
        <v>2nd invoice</v>
      </c>
      <c r="N249" s="240"/>
      <c r="O249" s="242" t="s">
        <v>109</v>
      </c>
      <c r="P249" s="242" t="s">
        <v>109</v>
      </c>
      <c r="Q249" s="240"/>
      <c r="R249" s="241">
        <v>45729</v>
      </c>
      <c r="S249" s="241">
        <v>45733</v>
      </c>
      <c r="T249" s="239" t="s">
        <v>1819</v>
      </c>
      <c r="U249" s="241"/>
      <c r="V249" s="242" t="s">
        <v>1853</v>
      </c>
      <c r="W249" s="239" t="s">
        <v>1853</v>
      </c>
      <c r="X249" s="237" t="s">
        <v>109</v>
      </c>
      <c r="Y249" s="237" t="s">
        <v>1853</v>
      </c>
      <c r="Z249" s="237" t="s">
        <v>1855</v>
      </c>
      <c r="AA249" s="242">
        <v>45776</v>
      </c>
      <c r="AB249" s="242" t="s">
        <v>1853</v>
      </c>
      <c r="AC249" s="239" t="s">
        <v>1853</v>
      </c>
      <c r="AD249" s="242">
        <v>45754</v>
      </c>
      <c r="AE249" s="242" t="s">
        <v>1853</v>
      </c>
      <c r="AF249" s="242">
        <v>45754</v>
      </c>
      <c r="AG249" s="237"/>
      <c r="AH249" s="237"/>
      <c r="AI249" s="243"/>
      <c r="AJ249" s="237" t="s">
        <v>109</v>
      </c>
      <c r="AK249" s="237" t="s">
        <v>109</v>
      </c>
      <c r="AL249" s="237" t="s">
        <v>109</v>
      </c>
      <c r="AM249" s="237" t="s">
        <v>109</v>
      </c>
      <c r="AP249" s="239">
        <f t="shared" si="7"/>
        <v>4</v>
      </c>
      <c r="AQ249" s="245" t="e">
        <f>#REF!-Table1[[#This Row],[Closed Date]]</f>
        <v>#REF!</v>
      </c>
    </row>
    <row r="250" spans="1:43" ht="18.75" customHeight="1" x14ac:dyDescent="0.3">
      <c r="A250" s="4">
        <f>Table1[[#This Row],[Project No]]</f>
        <v>2503597</v>
      </c>
      <c r="B250" s="110" t="str">
        <f>VLOOKUP(A:A,Table1[[Project No]:[Additional Remark]],2,FALSE)</f>
        <v>Bhajan Singh a/l S Bachan Singh</v>
      </c>
      <c r="C250" s="4" t="e" vm="11">
        <f>VLOOKUP(A:A,Table1[[#All],[Project No]:[Additional Remark]],7,FALSE)</f>
        <v>#VALUE!</v>
      </c>
      <c r="D250" s="4" t="str">
        <f>VLOOKUP(A:A,Table1[[#All],[Project No]:[Additional Remark]],4,FALSE)</f>
        <v>Chean Bang</v>
      </c>
      <c r="E250" s="4" t="str">
        <f>VLOOKUP(A:A,Table1[[#All],[Project No]:[Additional Remark]],5,FALSE)</f>
        <v>R-PV</v>
      </c>
      <c r="F250" s="4" t="str">
        <f>VLOOKUP(A:A,Table1[[Project No]:[Additional Remark]],6,FALSE)</f>
        <v>NEM</v>
      </c>
      <c r="G250" s="4">
        <f>VLOOKUP(A:A,Table1[[Project No]:[Additional Remark]],8,FALSE)</f>
        <v>10.62</v>
      </c>
      <c r="H250" s="4" t="str">
        <f>VLOOKUP(A:A,Table1[[Project No]:[Additional Remark]],15,FALSE)</f>
        <v>Astronergy 590Wp</v>
      </c>
      <c r="I250" s="4">
        <f>VLOOKUP(A:A,Table1[[Project No]:[Additional Remark]],16,FALSE)</f>
        <v>18</v>
      </c>
      <c r="J250" s="1" t="str">
        <f>VLOOKUP(A:A,Table1[[Project No]:[Additional Remark]],17,FALSE)</f>
        <v>Huawei SUN2000-8KTL</v>
      </c>
      <c r="K250" s="127"/>
      <c r="L250" s="1" t="str">
        <f t="shared" si="6"/>
        <v>Completed</v>
      </c>
      <c r="M250" s="1" t="str">
        <f>VLOOKUP(A:A,'Finance Tracker'!A247:K487,8,FALSE)</f>
        <v>Invoice Completed</v>
      </c>
      <c r="N250" s="127"/>
      <c r="O250" s="39" t="s">
        <v>109</v>
      </c>
      <c r="P250" s="39" t="s">
        <v>109</v>
      </c>
      <c r="Q250" s="127"/>
      <c r="R250" s="56">
        <v>45729</v>
      </c>
      <c r="S250" s="56">
        <v>45770</v>
      </c>
      <c r="T250" s="1" t="s">
        <v>1819</v>
      </c>
      <c r="U250" s="56"/>
      <c r="V250" s="39" t="s">
        <v>1853</v>
      </c>
      <c r="W250" s="1" t="s">
        <v>1853</v>
      </c>
      <c r="X250" s="4" t="s">
        <v>109</v>
      </c>
      <c r="Y250" s="4" t="s">
        <v>1853</v>
      </c>
      <c r="Z250" s="4" t="s">
        <v>1854</v>
      </c>
      <c r="AA250" s="39">
        <v>45777</v>
      </c>
      <c r="AB250" s="39">
        <v>45772</v>
      </c>
      <c r="AC250" s="1" t="s">
        <v>1853</v>
      </c>
      <c r="AD250" s="39">
        <v>45787</v>
      </c>
      <c r="AE250" s="39">
        <v>45777</v>
      </c>
      <c r="AF250" s="39">
        <v>45787</v>
      </c>
      <c r="AG250" s="39">
        <v>45787</v>
      </c>
      <c r="AH250" s="39">
        <v>49460</v>
      </c>
      <c r="AJ250" s="4" t="s">
        <v>109</v>
      </c>
      <c r="AK250" s="4" t="s">
        <v>109</v>
      </c>
      <c r="AL250" s="4" t="s">
        <v>109</v>
      </c>
      <c r="AM250" s="4" t="s">
        <v>109</v>
      </c>
      <c r="AP250" s="1">
        <f t="shared" si="7"/>
        <v>41</v>
      </c>
      <c r="AQ250" s="38" t="e">
        <f>#REF!-Table1[[#This Row],[Closed Date]]</f>
        <v>#REF!</v>
      </c>
    </row>
    <row r="251" spans="1:43" s="244" customFormat="1" ht="18.75" customHeight="1" x14ac:dyDescent="0.3">
      <c r="A251" s="237">
        <f>Table1[[#This Row],[Project No]]</f>
        <v>2502588</v>
      </c>
      <c r="B251" s="238" t="str">
        <f>VLOOKUP(A:A,Table1[[Project No]:[Additional Remark]],2,FALSE)</f>
        <v>Khadillah binti Hassan</v>
      </c>
      <c r="C251" s="237" t="e" vm="11">
        <f>VLOOKUP(A:A,Table1[[#All],[Project No]:[Additional Remark]],7,FALSE)</f>
        <v>#VALUE!</v>
      </c>
      <c r="D251" s="237" t="str">
        <f>VLOOKUP(A:A,Table1[[#All],[Project No]:[Additional Remark]],4,FALSE)</f>
        <v>Patricia</v>
      </c>
      <c r="E251" s="237" t="str">
        <f>VLOOKUP(A:A,Table1[[#All],[Project No]:[Additional Remark]],5,FALSE)</f>
        <v>R-PV</v>
      </c>
      <c r="F251" s="237" t="str">
        <f>VLOOKUP(A:A,Table1[[Project No]:[Additional Remark]],6,FALSE)</f>
        <v>NEM</v>
      </c>
      <c r="G251" s="237">
        <f>VLOOKUP(A:A,Table1[[Project No]:[Additional Remark]],8,FALSE)</f>
        <v>8.85</v>
      </c>
      <c r="H251" s="237" t="str">
        <f>VLOOKUP(A:A,Table1[[Project No]:[Additional Remark]],15,FALSE)</f>
        <v>Astronergy 590Wp</v>
      </c>
      <c r="I251" s="237">
        <f>VLOOKUP(A:A,Table1[[Project No]:[Additional Remark]],16,FALSE)</f>
        <v>15</v>
      </c>
      <c r="J251" s="239" t="str">
        <f>VLOOKUP(A:A,Table1[[Project No]:[Additional Remark]],17,FALSE)</f>
        <v>Huawei SUN2000-8KTL</v>
      </c>
      <c r="K251" s="240"/>
      <c r="L251" s="239" t="str">
        <f t="shared" si="6"/>
        <v>Pending NEM Welcome Letter</v>
      </c>
      <c r="M251" s="239" t="str">
        <f>VLOOKUP(A:A,'Finance Tracker'!A248:K488,8,FALSE)</f>
        <v>Invoice Completed</v>
      </c>
      <c r="N251" s="240"/>
      <c r="O251" s="242" t="s">
        <v>109</v>
      </c>
      <c r="P251" s="242" t="s">
        <v>109</v>
      </c>
      <c r="Q251" s="240"/>
      <c r="R251" s="241">
        <v>45729</v>
      </c>
      <c r="S251" s="241">
        <v>45733</v>
      </c>
      <c r="T251" s="239" t="s">
        <v>1819</v>
      </c>
      <c r="U251" s="241"/>
      <c r="V251" s="242" t="s">
        <v>1853</v>
      </c>
      <c r="W251" s="239" t="s">
        <v>1853</v>
      </c>
      <c r="X251" s="237" t="s">
        <v>109</v>
      </c>
      <c r="Y251" s="237" t="s">
        <v>1853</v>
      </c>
      <c r="Z251" s="237" t="s">
        <v>1854</v>
      </c>
      <c r="AA251" s="242">
        <v>45775</v>
      </c>
      <c r="AB251" s="242" t="s">
        <v>1853</v>
      </c>
      <c r="AC251" s="239" t="s">
        <v>1853</v>
      </c>
      <c r="AD251" s="242">
        <v>45769</v>
      </c>
      <c r="AE251" s="242" t="s">
        <v>1853</v>
      </c>
      <c r="AF251" s="242">
        <v>45769</v>
      </c>
      <c r="AG251" s="237"/>
      <c r="AH251" s="237"/>
      <c r="AI251" s="243"/>
      <c r="AJ251" s="237" t="s">
        <v>109</v>
      </c>
      <c r="AK251" s="237" t="s">
        <v>109</v>
      </c>
      <c r="AL251" s="237" t="s">
        <v>109</v>
      </c>
      <c r="AM251" s="237" t="s">
        <v>109</v>
      </c>
      <c r="AP251" s="239">
        <f t="shared" si="7"/>
        <v>4</v>
      </c>
      <c r="AQ251" s="245"/>
    </row>
    <row r="252" spans="1:43" ht="18.75" customHeight="1" x14ac:dyDescent="0.3">
      <c r="A252" s="4">
        <f>Table1[[#This Row],[Project No]]</f>
        <v>2502040</v>
      </c>
      <c r="B252" s="110" t="str">
        <f>VLOOKUP(A:A,Table1[[Project No]:[Additional Remark]],2,FALSE)</f>
        <v>ST Rosyam Mall (Plus Xnergy Services Sdn Bhd)</v>
      </c>
      <c r="C252" s="4" t="e" vm="5">
        <f>VLOOKUP(A:A,Table1[[#All],[Project No]:[Additional Remark]],7,FALSE)</f>
        <v>#VALUE!</v>
      </c>
      <c r="D252" s="4" t="str">
        <f>VLOOKUP(A:A,Table1[[#All],[Project No]:[Additional Remark]],4,FALSE)</f>
        <v>Simon</v>
      </c>
      <c r="E252" s="4" t="str">
        <f>VLOOKUP(A:A,Table1[[#All],[Project No]:[Additional Remark]],5,FALSE)</f>
        <v>EV Charger</v>
      </c>
      <c r="F252" s="4">
        <f>VLOOKUP(A:A,Table1[[Project No]:[Additional Remark]],6,FALSE)</f>
        <v>0</v>
      </c>
      <c r="G252" s="4">
        <f>VLOOKUP(A:A,Table1[[Project No]:[Additional Remark]],8,FALSE)</f>
        <v>0</v>
      </c>
      <c r="H252" s="4" t="str">
        <f>VLOOKUP(A:A,Table1[[Project No]:[Additional Remark]],15,FALSE)</f>
        <v>-</v>
      </c>
      <c r="I252" s="4" t="str">
        <f>VLOOKUP(A:A,Table1[[Project No]:[Additional Remark]],16,FALSE)</f>
        <v>-</v>
      </c>
      <c r="J252" s="1" t="str">
        <f>VLOOKUP(A:A,Table1[[Project No]:[Additional Remark]],17,FALSE)</f>
        <v>-</v>
      </c>
      <c r="K252" s="127"/>
      <c r="L252" s="1" t="str">
        <f t="shared" si="6"/>
        <v>Completed</v>
      </c>
      <c r="M252" s="1" t="str">
        <f>VLOOKUP(A:A,'Finance Tracker'!A249:K489,8,FALSE)</f>
        <v>Invoice Completed</v>
      </c>
      <c r="N252" s="127"/>
      <c r="O252" s="39" t="s">
        <v>109</v>
      </c>
      <c r="P252" s="39" t="s">
        <v>109</v>
      </c>
      <c r="Q252" s="127"/>
      <c r="R252" s="56" t="s">
        <v>109</v>
      </c>
      <c r="S252" s="56" t="s">
        <v>109</v>
      </c>
      <c r="T252" s="56" t="s">
        <v>109</v>
      </c>
      <c r="U252" s="56" t="s">
        <v>109</v>
      </c>
      <c r="V252" s="39" t="s">
        <v>1853</v>
      </c>
      <c r="W252" s="1" t="s">
        <v>1853</v>
      </c>
      <c r="X252" s="4" t="s">
        <v>109</v>
      </c>
      <c r="Y252" s="4" t="s">
        <v>1853</v>
      </c>
      <c r="Z252" s="4" t="s">
        <v>1853</v>
      </c>
      <c r="AA252" s="39" t="s">
        <v>1853</v>
      </c>
      <c r="AB252" s="39" t="s">
        <v>109</v>
      </c>
      <c r="AC252" s="39" t="s">
        <v>109</v>
      </c>
      <c r="AD252" s="39" t="s">
        <v>109</v>
      </c>
      <c r="AE252" s="39" t="s">
        <v>109</v>
      </c>
      <c r="AF252" s="39" t="s">
        <v>109</v>
      </c>
      <c r="AG252" s="39" t="s">
        <v>109</v>
      </c>
      <c r="AH252" s="39" t="s">
        <v>109</v>
      </c>
      <c r="AJ252" s="4" t="s">
        <v>109</v>
      </c>
      <c r="AK252" s="4" t="s">
        <v>109</v>
      </c>
      <c r="AL252" s="4" t="s">
        <v>109</v>
      </c>
      <c r="AM252" s="4" t="s">
        <v>109</v>
      </c>
      <c r="AP252" s="1" t="e">
        <f t="shared" si="7"/>
        <v>#VALUE!</v>
      </c>
    </row>
    <row r="253" spans="1:43" s="244" customFormat="1" ht="18.75" customHeight="1" x14ac:dyDescent="0.3">
      <c r="A253" s="237">
        <f>Table1[[#This Row],[Project No]]</f>
        <v>2503595</v>
      </c>
      <c r="B253" s="238" t="str">
        <f>VLOOKUP(A:A,Table1[[Project No]:[Additional Remark]],2,FALSE)</f>
        <v>Lim Zhi Jie</v>
      </c>
      <c r="C253" s="237" t="e" vm="8">
        <f>VLOOKUP(A:A,Table1[[#All],[Project No]:[Additional Remark]],7,FALSE)</f>
        <v>#VALUE!</v>
      </c>
      <c r="D253" s="237" t="str">
        <f>VLOOKUP(A:A,Table1[[#All],[Project No]:[Additional Remark]],4,FALSE)</f>
        <v>Tham</v>
      </c>
      <c r="E253" s="237" t="str">
        <f>VLOOKUP(A:A,Table1[[#All],[Project No]:[Additional Remark]],5,FALSE)</f>
        <v>R-PV</v>
      </c>
      <c r="F253" s="237" t="str">
        <f>VLOOKUP(A:A,Table1[[Project No]:[Additional Remark]],6,FALSE)</f>
        <v>NEM</v>
      </c>
      <c r="G253" s="237">
        <f>VLOOKUP(A:A,Table1[[Project No]:[Additional Remark]],8,FALSE)</f>
        <v>14.16</v>
      </c>
      <c r="H253" s="237" t="str">
        <f>VLOOKUP(A:A,Table1[[Project No]:[Additional Remark]],15,FALSE)</f>
        <v>Astronergy 590Wp</v>
      </c>
      <c r="I253" s="237">
        <f>VLOOKUP(A:A,Table1[[Project No]:[Additional Remark]],16,FALSE)</f>
        <v>24</v>
      </c>
      <c r="J253" s="239" t="str">
        <f>VLOOKUP(A:A,Table1[[Project No]:[Additional Remark]],17,FALSE)</f>
        <v>Huawei SUN2000-12KTL</v>
      </c>
      <c r="K253" s="240"/>
      <c r="L253" s="239" t="str">
        <f t="shared" si="6"/>
        <v>Pending NEM Welcome Letter</v>
      </c>
      <c r="M253" s="239" t="str">
        <f>VLOOKUP(A:A,'Finance Tracker'!A250:K490,8,FALSE)</f>
        <v>Invoice Completed</v>
      </c>
      <c r="N253" s="240"/>
      <c r="O253" s="242" t="s">
        <v>109</v>
      </c>
      <c r="P253" s="242" t="s">
        <v>109</v>
      </c>
      <c r="Q253" s="240"/>
      <c r="R253" s="241">
        <v>45730</v>
      </c>
      <c r="S253" s="241">
        <v>45736</v>
      </c>
      <c r="T253" s="239" t="s">
        <v>1819</v>
      </c>
      <c r="U253" s="241"/>
      <c r="V253" s="242" t="s">
        <v>1853</v>
      </c>
      <c r="W253" s="239" t="s">
        <v>1853</v>
      </c>
      <c r="X253" s="237" t="s">
        <v>109</v>
      </c>
      <c r="Y253" s="237" t="s">
        <v>1853</v>
      </c>
      <c r="Z253" s="237" t="s">
        <v>1855</v>
      </c>
      <c r="AA253" s="242">
        <v>45756</v>
      </c>
      <c r="AB253" s="242">
        <v>45756</v>
      </c>
      <c r="AC253" s="239" t="s">
        <v>1853</v>
      </c>
      <c r="AD253" s="242">
        <v>45765</v>
      </c>
      <c r="AE253" s="242">
        <v>45762</v>
      </c>
      <c r="AF253" s="242">
        <v>45765</v>
      </c>
      <c r="AG253" s="237"/>
      <c r="AH253" s="237"/>
      <c r="AI253" s="243"/>
      <c r="AJ253" s="237" t="s">
        <v>109</v>
      </c>
      <c r="AK253" s="237" t="s">
        <v>109</v>
      </c>
      <c r="AL253" s="237" t="s">
        <v>109</v>
      </c>
      <c r="AM253" s="237" t="s">
        <v>109</v>
      </c>
      <c r="AP253" s="239">
        <f t="shared" si="7"/>
        <v>6</v>
      </c>
      <c r="AQ253" s="245"/>
    </row>
    <row r="254" spans="1:43" s="244" customFormat="1" ht="18.75" customHeight="1" x14ac:dyDescent="0.3">
      <c r="A254" s="237">
        <f>Table1[[#This Row],[Project No]]</f>
        <v>2503586</v>
      </c>
      <c r="B254" s="238" t="str">
        <f>VLOOKUP(A:A,Table1[[Project No]:[Additional Remark]],2,FALSE)</f>
        <v>Safinaz Binti Mohd Sharif</v>
      </c>
      <c r="C254" s="237" t="e" vm="11">
        <f>VLOOKUP(A:A,Table1[[#All],[Project No]:[Additional Remark]],7,FALSE)</f>
        <v>#VALUE!</v>
      </c>
      <c r="D254" s="237" t="str">
        <f>VLOOKUP(A:A,Table1[[#All],[Project No]:[Additional Remark]],4,FALSE)</f>
        <v>Patricia</v>
      </c>
      <c r="E254" s="237" t="str">
        <f>VLOOKUP(A:A,Table1[[#All],[Project No]:[Additional Remark]],5,FALSE)</f>
        <v>R-PV</v>
      </c>
      <c r="F254" s="237" t="str">
        <f>VLOOKUP(A:A,Table1[[Project No]:[Additional Remark]],6,FALSE)</f>
        <v>NEM</v>
      </c>
      <c r="G254" s="237">
        <f>VLOOKUP(A:A,Table1[[Project No]:[Additional Remark]],8,FALSE)</f>
        <v>6.49</v>
      </c>
      <c r="H254" s="237" t="str">
        <f>VLOOKUP(A:A,Table1[[Project No]:[Additional Remark]],15,FALSE)</f>
        <v>Astronergy 590Wp</v>
      </c>
      <c r="I254" s="237">
        <f>VLOOKUP(A:A,Table1[[Project No]:[Additional Remark]],16,FALSE)</f>
        <v>11</v>
      </c>
      <c r="J254" s="239" t="str">
        <f>VLOOKUP(A:A,Table1[[Project No]:[Additional Remark]],17,FALSE)</f>
        <v>Huawei SUN2000-5KTL-L1</v>
      </c>
      <c r="K254" s="240"/>
      <c r="L254" s="239" t="str">
        <f t="shared" si="6"/>
        <v>Pending NEM Welcome Letter</v>
      </c>
      <c r="M254" s="239" t="str">
        <f>VLOOKUP(A:A,'Finance Tracker'!A251:K491,8,FALSE)</f>
        <v>Invoice Completed</v>
      </c>
      <c r="N254" s="240"/>
      <c r="O254" s="242" t="s">
        <v>109</v>
      </c>
      <c r="P254" s="242" t="s">
        <v>109</v>
      </c>
      <c r="Q254" s="240"/>
      <c r="R254" s="241">
        <v>45741</v>
      </c>
      <c r="S254" s="241">
        <v>45742</v>
      </c>
      <c r="T254" s="239" t="s">
        <v>1819</v>
      </c>
      <c r="U254" s="241"/>
      <c r="V254" s="242" t="s">
        <v>1853</v>
      </c>
      <c r="W254" s="239" t="s">
        <v>1853</v>
      </c>
      <c r="X254" s="237" t="s">
        <v>109</v>
      </c>
      <c r="Y254" s="237" t="s">
        <v>1853</v>
      </c>
      <c r="Z254" s="237" t="s">
        <v>1854</v>
      </c>
      <c r="AA254" s="242">
        <v>45791</v>
      </c>
      <c r="AB254" s="242" t="s">
        <v>1853</v>
      </c>
      <c r="AC254" s="239" t="s">
        <v>1853</v>
      </c>
      <c r="AD254" s="242" t="s">
        <v>1853</v>
      </c>
      <c r="AE254" s="242" t="s">
        <v>1853</v>
      </c>
      <c r="AF254" s="242" t="s">
        <v>1853</v>
      </c>
      <c r="AG254" s="237"/>
      <c r="AH254" s="237"/>
      <c r="AI254" s="243"/>
      <c r="AJ254" s="237" t="s">
        <v>109</v>
      </c>
      <c r="AK254" s="237" t="s">
        <v>109</v>
      </c>
      <c r="AL254" s="237" t="s">
        <v>109</v>
      </c>
      <c r="AM254" s="237" t="s">
        <v>109</v>
      </c>
      <c r="AP254" s="239">
        <f t="shared" si="7"/>
        <v>1</v>
      </c>
      <c r="AQ254" s="245"/>
    </row>
    <row r="255" spans="1:43" s="244" customFormat="1" ht="18.75" customHeight="1" x14ac:dyDescent="0.3">
      <c r="A255" s="237">
        <f>Table1[[#This Row],[Project No]]</f>
        <v>2503604</v>
      </c>
      <c r="B255" s="238" t="str">
        <f>VLOOKUP(A:A,Table1[[Project No]:[Additional Remark]],2,FALSE)</f>
        <v>Kong Chun Seng</v>
      </c>
      <c r="C255" s="237" t="e" vm="11">
        <f>VLOOKUP(A:A,Table1[[#All],[Project No]:[Additional Remark]],7,FALSE)</f>
        <v>#VALUE!</v>
      </c>
      <c r="D255" s="237" t="str">
        <f>VLOOKUP(A:A,Table1[[#All],[Project No]:[Additional Remark]],4,FALSE)</f>
        <v>Tham</v>
      </c>
      <c r="E255" s="237" t="str">
        <f>VLOOKUP(A:A,Table1[[#All],[Project No]:[Additional Remark]],5,FALSE)</f>
        <v>R-PV</v>
      </c>
      <c r="F255" s="237" t="str">
        <f>VLOOKUP(A:A,Table1[[Project No]:[Additional Remark]],6,FALSE)</f>
        <v>NEM</v>
      </c>
      <c r="G255" s="237">
        <f>VLOOKUP(A:A,Table1[[Project No]:[Additional Remark]],8,FALSE)</f>
        <v>9.44</v>
      </c>
      <c r="H255" s="237" t="str">
        <f>VLOOKUP(A:A,Table1[[Project No]:[Additional Remark]],15,FALSE)</f>
        <v>Astronergy 590Wp</v>
      </c>
      <c r="I255" s="237">
        <f>VLOOKUP(A:A,Table1[[Project No]:[Additional Remark]],16,FALSE)</f>
        <v>16</v>
      </c>
      <c r="J255" s="239" t="str">
        <f>VLOOKUP(A:A,Table1[[Project No]:[Additional Remark]],17,FALSE)</f>
        <v>Huawei SUN2000-8KTL</v>
      </c>
      <c r="K255" s="240"/>
      <c r="L255" s="239" t="str">
        <f t="shared" si="6"/>
        <v>Pending NEM Welcome Letter</v>
      </c>
      <c r="M255" s="239" t="str">
        <f>VLOOKUP(A:A,'Finance Tracker'!A252:K492,8,FALSE)</f>
        <v>Invoice Completed</v>
      </c>
      <c r="N255" s="240"/>
      <c r="O255" s="242" t="s">
        <v>109</v>
      </c>
      <c r="P255" s="242" t="s">
        <v>109</v>
      </c>
      <c r="Q255" s="240"/>
      <c r="R255" s="241">
        <v>45741</v>
      </c>
      <c r="S255" s="241">
        <v>45742</v>
      </c>
      <c r="T255" s="239" t="s">
        <v>1819</v>
      </c>
      <c r="U255" s="241"/>
      <c r="V255" s="242" t="s">
        <v>1853</v>
      </c>
      <c r="W255" s="239" t="s">
        <v>1853</v>
      </c>
      <c r="X255" s="237" t="s">
        <v>109</v>
      </c>
      <c r="Y255" s="237" t="s">
        <v>1853</v>
      </c>
      <c r="Z255" s="237" t="s">
        <v>1854</v>
      </c>
      <c r="AA255" s="242">
        <v>45765</v>
      </c>
      <c r="AB255" s="242">
        <v>45763</v>
      </c>
      <c r="AC255" s="239" t="s">
        <v>1853</v>
      </c>
      <c r="AD255" s="242">
        <v>45770</v>
      </c>
      <c r="AE255" s="242">
        <v>45765</v>
      </c>
      <c r="AF255" s="242">
        <v>45770</v>
      </c>
      <c r="AG255" s="237"/>
      <c r="AH255" s="237"/>
      <c r="AI255" s="243"/>
      <c r="AJ255" s="237" t="s">
        <v>109</v>
      </c>
      <c r="AK255" s="237" t="s">
        <v>109</v>
      </c>
      <c r="AL255" s="237" t="s">
        <v>109</v>
      </c>
      <c r="AM255" s="237" t="s">
        <v>109</v>
      </c>
      <c r="AP255" s="239">
        <f t="shared" si="7"/>
        <v>1</v>
      </c>
      <c r="AQ255" s="245"/>
    </row>
    <row r="256" spans="1:43" s="244" customFormat="1" ht="18.75" customHeight="1" x14ac:dyDescent="0.3">
      <c r="A256" s="237">
        <f>Table1[[#This Row],[Project No]]</f>
        <v>2503598</v>
      </c>
      <c r="B256" s="238" t="str">
        <f>VLOOKUP(A:A,Table1[[Project No]:[Additional Remark]],2,FALSE)</f>
        <v>Lew Yuen Tang</v>
      </c>
      <c r="C256" s="237" t="e" vm="5">
        <f>VLOOKUP(A:A,Table1[[#All],[Project No]:[Additional Remark]],7,FALSE)</f>
        <v>#VALUE!</v>
      </c>
      <c r="D256" s="237" t="str">
        <f>VLOOKUP(A:A,Table1[[#All],[Project No]:[Additional Remark]],4,FALSE)</f>
        <v>Tham</v>
      </c>
      <c r="E256" s="237" t="str">
        <f>VLOOKUP(A:A,Table1[[#All],[Project No]:[Additional Remark]],5,FALSE)</f>
        <v>R-PV</v>
      </c>
      <c r="F256" s="237" t="str">
        <f>VLOOKUP(A:A,Table1[[Project No]:[Additional Remark]],6,FALSE)</f>
        <v>NEM</v>
      </c>
      <c r="G256" s="237">
        <f>VLOOKUP(A:A,Table1[[Project No]:[Additional Remark]],8,FALSE)</f>
        <v>9.44</v>
      </c>
      <c r="H256" s="237" t="str">
        <f>VLOOKUP(A:A,Table1[[Project No]:[Additional Remark]],15,FALSE)</f>
        <v>Astronergy 590Wp</v>
      </c>
      <c r="I256" s="237">
        <f>VLOOKUP(A:A,Table1[[Project No]:[Additional Remark]],16,FALSE)</f>
        <v>16</v>
      </c>
      <c r="J256" s="239" t="str">
        <f>VLOOKUP(A:A,Table1[[Project No]:[Additional Remark]],17,FALSE)</f>
        <v>Huawei SUN2000-8KTL</v>
      </c>
      <c r="K256" s="240"/>
      <c r="L256" s="239" t="str">
        <f t="shared" si="6"/>
        <v>Pending NEM Welcome Letter</v>
      </c>
      <c r="M256" s="239" t="str">
        <f>VLOOKUP(A:A,'Finance Tracker'!A253:K493,8,FALSE)</f>
        <v>Invoice Completed</v>
      </c>
      <c r="N256" s="240"/>
      <c r="O256" s="242" t="s">
        <v>109</v>
      </c>
      <c r="P256" s="242" t="s">
        <v>109</v>
      </c>
      <c r="Q256" s="240"/>
      <c r="R256" s="241">
        <v>45750</v>
      </c>
      <c r="S256" s="241">
        <v>45751</v>
      </c>
      <c r="T256" s="239" t="s">
        <v>1819</v>
      </c>
      <c r="U256" s="241"/>
      <c r="V256" s="242" t="s">
        <v>1853</v>
      </c>
      <c r="W256" s="239" t="s">
        <v>1853</v>
      </c>
      <c r="X256" s="237" t="s">
        <v>109</v>
      </c>
      <c r="Y256" s="237" t="s">
        <v>1853</v>
      </c>
      <c r="Z256" s="237" t="s">
        <v>1855</v>
      </c>
      <c r="AA256" s="242">
        <v>45772</v>
      </c>
      <c r="AB256" s="242">
        <v>45763</v>
      </c>
      <c r="AC256" s="239" t="s">
        <v>1853</v>
      </c>
      <c r="AD256" s="242">
        <v>45769</v>
      </c>
      <c r="AE256" s="242">
        <v>45768</v>
      </c>
      <c r="AF256" s="242">
        <v>45769</v>
      </c>
      <c r="AG256" s="237"/>
      <c r="AH256" s="237"/>
      <c r="AI256" s="243"/>
      <c r="AJ256" s="237" t="s">
        <v>109</v>
      </c>
      <c r="AK256" s="237" t="s">
        <v>109</v>
      </c>
      <c r="AL256" s="237" t="s">
        <v>109</v>
      </c>
      <c r="AM256" s="237" t="s">
        <v>109</v>
      </c>
      <c r="AP256" s="239">
        <f t="shared" si="7"/>
        <v>1</v>
      </c>
      <c r="AQ256" s="245"/>
    </row>
    <row r="257" spans="1:43" s="244" customFormat="1" ht="18.75" customHeight="1" x14ac:dyDescent="0.3">
      <c r="A257" s="237">
        <f>Table1[[#This Row],[Project No]]</f>
        <v>2503609</v>
      </c>
      <c r="B257" s="238" t="str">
        <f>VLOOKUP(A:A,Table1[[Project No]:[Additional Remark]],2,FALSE)</f>
        <v>Yau Hwee Tien</v>
      </c>
      <c r="C257" s="237" t="e" vm="8">
        <f>VLOOKUP(A:A,Table1[[#All],[Project No]:[Additional Remark]],7,FALSE)</f>
        <v>#VALUE!</v>
      </c>
      <c r="D257" s="237" t="str">
        <f>VLOOKUP(A:A,Table1[[#All],[Project No]:[Additional Remark]],4,FALSE)</f>
        <v>Tham</v>
      </c>
      <c r="E257" s="237" t="str">
        <f>VLOOKUP(A:A,Table1[[#All],[Project No]:[Additional Remark]],5,FALSE)</f>
        <v>R-PV</v>
      </c>
      <c r="F257" s="237" t="str">
        <f>VLOOKUP(A:A,Table1[[Project No]:[Additional Remark]],6,FALSE)</f>
        <v>NEM</v>
      </c>
      <c r="G257" s="237">
        <f>VLOOKUP(A:A,Table1[[Project No]:[Additional Remark]],8,FALSE)</f>
        <v>14.16</v>
      </c>
      <c r="H257" s="237" t="str">
        <f>VLOOKUP(A:A,Table1[[Project No]:[Additional Remark]],15,FALSE)</f>
        <v>Astronergy 590Wp</v>
      </c>
      <c r="I257" s="237">
        <f>VLOOKUP(A:A,Table1[[Project No]:[Additional Remark]],16,FALSE)</f>
        <v>24</v>
      </c>
      <c r="J257" s="239" t="str">
        <f>VLOOKUP(A:A,Table1[[Project No]:[Additional Remark]],17,FALSE)</f>
        <v>Huawei SUN2000-12KTL</v>
      </c>
      <c r="K257" s="240"/>
      <c r="L257" s="239" t="str">
        <f t="shared" si="6"/>
        <v>Pending NEM Welcome Letter</v>
      </c>
      <c r="M257" s="239" t="str">
        <f>VLOOKUP(A:A,'Finance Tracker'!A254:K494,8,FALSE)</f>
        <v>Invoice Completed</v>
      </c>
      <c r="N257" s="240"/>
      <c r="O257" s="242" t="s">
        <v>109</v>
      </c>
      <c r="P257" s="242" t="s">
        <v>109</v>
      </c>
      <c r="Q257" s="240"/>
      <c r="R257" s="241">
        <v>45741</v>
      </c>
      <c r="S257" s="241">
        <v>45796</v>
      </c>
      <c r="T257" s="239" t="s">
        <v>1819</v>
      </c>
      <c r="U257" s="241"/>
      <c r="V257" s="242" t="s">
        <v>1853</v>
      </c>
      <c r="W257" s="239" t="s">
        <v>1853</v>
      </c>
      <c r="X257" s="237" t="s">
        <v>109</v>
      </c>
      <c r="Y257" s="237" t="s">
        <v>1853</v>
      </c>
      <c r="Z257" s="237" t="s">
        <v>1855</v>
      </c>
      <c r="AA257" s="242">
        <v>45799</v>
      </c>
      <c r="AB257" s="242">
        <v>45804</v>
      </c>
      <c r="AC257" s="239" t="s">
        <v>1853</v>
      </c>
      <c r="AD257" s="242">
        <v>45828</v>
      </c>
      <c r="AE257" s="242" t="s">
        <v>1853</v>
      </c>
      <c r="AF257" s="242">
        <v>45828</v>
      </c>
      <c r="AG257" s="237"/>
      <c r="AH257" s="237"/>
      <c r="AI257" s="243"/>
      <c r="AJ257" s="237" t="s">
        <v>109</v>
      </c>
      <c r="AK257" s="237" t="s">
        <v>109</v>
      </c>
      <c r="AL257" s="237" t="s">
        <v>109</v>
      </c>
      <c r="AM257" s="237" t="s">
        <v>109</v>
      </c>
      <c r="AP257" s="239">
        <f t="shared" si="7"/>
        <v>55</v>
      </c>
      <c r="AQ257" s="245"/>
    </row>
    <row r="258" spans="1:43" ht="18.75" customHeight="1" x14ac:dyDescent="0.3">
      <c r="A258" s="4">
        <f>Table1[[#This Row],[Project No]]</f>
        <v>2503610</v>
      </c>
      <c r="B258" s="110" t="str">
        <f>VLOOKUP(A:A,Table1[[Project No]:[Additional Remark]],2,FALSE)</f>
        <v>Datuk Abdul Rani</v>
      </c>
      <c r="C258" s="4" t="e" vm="5">
        <f>VLOOKUP(A:A,Table1[[#All],[Project No]:[Additional Remark]],7,FALSE)</f>
        <v>#VALUE!</v>
      </c>
      <c r="D258" s="4" t="str">
        <f>VLOOKUP(A:A,Table1[[#All],[Project No]:[Additional Remark]],4,FALSE)</f>
        <v>Tham</v>
      </c>
      <c r="E258" s="4" t="str">
        <f>VLOOKUP(A:A,Table1[[#All],[Project No]:[Additional Remark]],5,FALSE)</f>
        <v>R-PV</v>
      </c>
      <c r="F258" s="4" t="str">
        <f>VLOOKUP(A:A,Table1[[Project No]:[Additional Remark]],6,FALSE)</f>
        <v>NEM</v>
      </c>
      <c r="G258" s="4">
        <f>VLOOKUP(A:A,Table1[[Project No]:[Additional Remark]],8,FALSE)</f>
        <v>17.7</v>
      </c>
      <c r="H258" s="4" t="str">
        <f>VLOOKUP(A:A,Table1[[Project No]:[Additional Remark]],15,FALSE)</f>
        <v>Astronergy 590Wp</v>
      </c>
      <c r="I258" s="4">
        <f>VLOOKUP(A:A,Table1[[Project No]:[Additional Remark]],16,FALSE)</f>
        <v>30</v>
      </c>
      <c r="J258" s="1" t="str">
        <f>VLOOKUP(A:A,Table1[[Project No]:[Additional Remark]],17,FALSE)</f>
        <v>Huawei SUN2000-12KTL</v>
      </c>
      <c r="K258" s="127"/>
      <c r="L258" s="1" t="str">
        <f t="shared" si="6"/>
        <v>Completed</v>
      </c>
      <c r="M258" s="1" t="str">
        <f>VLOOKUP(A:A,'Finance Tracker'!A254:K494,8,FALSE)</f>
        <v>Invoice Completed</v>
      </c>
      <c r="N258" s="127"/>
      <c r="O258" s="39" t="s">
        <v>109</v>
      </c>
      <c r="P258" s="39" t="s">
        <v>109</v>
      </c>
      <c r="Q258" s="127"/>
      <c r="R258" s="56">
        <v>45744</v>
      </c>
      <c r="S258" s="56">
        <v>45751</v>
      </c>
      <c r="T258" s="1" t="s">
        <v>1819</v>
      </c>
      <c r="U258" s="56"/>
      <c r="V258" s="39" t="s">
        <v>1853</v>
      </c>
      <c r="W258" s="1" t="s">
        <v>1853</v>
      </c>
      <c r="X258" s="4" t="s">
        <v>109</v>
      </c>
      <c r="Y258" s="4" t="s">
        <v>1853</v>
      </c>
      <c r="Z258" s="4" t="s">
        <v>1855</v>
      </c>
      <c r="AA258" s="39">
        <v>45763</v>
      </c>
      <c r="AB258" s="39">
        <v>45756</v>
      </c>
      <c r="AC258" s="1" t="s">
        <v>1853</v>
      </c>
      <c r="AD258" s="39">
        <v>45764</v>
      </c>
      <c r="AE258" s="39">
        <v>45761</v>
      </c>
      <c r="AF258" s="39">
        <v>45764</v>
      </c>
      <c r="AG258" s="39">
        <v>45764</v>
      </c>
      <c r="AH258" s="39">
        <v>49429</v>
      </c>
      <c r="AJ258" s="4" t="s">
        <v>109</v>
      </c>
      <c r="AK258" s="4" t="s">
        <v>109</v>
      </c>
      <c r="AL258" s="4" t="s">
        <v>109</v>
      </c>
      <c r="AM258" s="4" t="s">
        <v>109</v>
      </c>
      <c r="AP258" s="1">
        <f t="shared" si="7"/>
        <v>7</v>
      </c>
    </row>
    <row r="259" spans="1:43" ht="18.75" customHeight="1" x14ac:dyDescent="0.3">
      <c r="A259" s="4">
        <f>Table1[[#This Row],[Project No]]</f>
        <v>2503611</v>
      </c>
      <c r="B259" s="110" t="str">
        <f>VLOOKUP(A:A,Table1[[Project No]:[Additional Remark]],2,FALSE)</f>
        <v>Augustine Kok Hwai Nam</v>
      </c>
      <c r="C259" s="4" t="e" vm="5">
        <f>VLOOKUP(A:A,Table1[[#All],[Project No]:[Additional Remark]],7,FALSE)</f>
        <v>#VALUE!</v>
      </c>
      <c r="D259" s="4" t="str">
        <f>VLOOKUP(A:A,Table1[[#All],[Project No]:[Additional Remark]],4,FALSE)</f>
        <v>Tham</v>
      </c>
      <c r="E259" s="4" t="str">
        <f>VLOOKUP(A:A,Table1[[#All],[Project No]:[Additional Remark]],5,FALSE)</f>
        <v>R-PV</v>
      </c>
      <c r="F259" s="4" t="str">
        <f>VLOOKUP(A:A,Table1[[Project No]:[Additional Remark]],6,FALSE)</f>
        <v>NEM</v>
      </c>
      <c r="G259" s="4">
        <f>VLOOKUP(A:A,Table1[[Project No]:[Additional Remark]],8,FALSE)</f>
        <v>7.67</v>
      </c>
      <c r="H259" s="4" t="str">
        <f>VLOOKUP(A:A,Table1[[Project No]:[Additional Remark]],15,FALSE)</f>
        <v>Astronergy 590Wp</v>
      </c>
      <c r="I259" s="4">
        <f>VLOOKUP(A:A,Table1[[Project No]:[Additional Remark]],16,FALSE)</f>
        <v>13</v>
      </c>
      <c r="J259" s="1" t="str">
        <f>VLOOKUP(A:A,Table1[[Project No]:[Additional Remark]],17,FALSE)</f>
        <v>Huawei SUN2000-6KTL</v>
      </c>
      <c r="K259" s="127"/>
      <c r="L259" s="1" t="str">
        <f t="shared" si="6"/>
        <v>Completed</v>
      </c>
      <c r="M259" s="1" t="str">
        <f>VLOOKUP(A:A,'Finance Tracker'!A255:K495,8,FALSE)</f>
        <v>Invoice Completed</v>
      </c>
      <c r="N259" s="127"/>
      <c r="O259" s="39" t="s">
        <v>109</v>
      </c>
      <c r="P259" s="39" t="s">
        <v>109</v>
      </c>
      <c r="Q259" s="127"/>
      <c r="R259" s="56">
        <v>45744</v>
      </c>
      <c r="S259" s="56">
        <v>45751</v>
      </c>
      <c r="T259" s="1" t="s">
        <v>1819</v>
      </c>
      <c r="U259" s="56"/>
      <c r="V259" s="39" t="s">
        <v>1853</v>
      </c>
      <c r="W259" s="1" t="s">
        <v>1853</v>
      </c>
      <c r="X259" s="4" t="s">
        <v>109</v>
      </c>
      <c r="Y259" s="4" t="s">
        <v>1853</v>
      </c>
      <c r="Z259" s="4" t="s">
        <v>1855</v>
      </c>
      <c r="AA259" s="39">
        <v>45756</v>
      </c>
      <c r="AB259" s="39">
        <v>45763</v>
      </c>
      <c r="AC259" s="1" t="s">
        <v>1853</v>
      </c>
      <c r="AD259" s="39">
        <v>45769</v>
      </c>
      <c r="AE259" s="39">
        <v>45768</v>
      </c>
      <c r="AF259" s="39">
        <v>45769</v>
      </c>
      <c r="AG259" s="39">
        <v>45769</v>
      </c>
      <c r="AH259" s="39">
        <v>49429</v>
      </c>
      <c r="AJ259" s="4" t="s">
        <v>109</v>
      </c>
      <c r="AK259" s="4" t="s">
        <v>109</v>
      </c>
      <c r="AL259" s="4" t="s">
        <v>109</v>
      </c>
      <c r="AM259" s="4" t="s">
        <v>109</v>
      </c>
      <c r="AP259" s="1">
        <f t="shared" si="7"/>
        <v>7</v>
      </c>
    </row>
    <row r="260" spans="1:43" s="244" customFormat="1" ht="18.75" customHeight="1" x14ac:dyDescent="0.3">
      <c r="A260" s="237">
        <f>Table1[[#This Row],[Project No]]</f>
        <v>2501524</v>
      </c>
      <c r="B260" s="238" t="str">
        <f>VLOOKUP(A:A,Table1[[Project No]:[Additional Remark]],2,FALSE)</f>
        <v>Jeremy Koo Wui Ken</v>
      </c>
      <c r="C260" s="237" t="e" vm="5">
        <f>VLOOKUP(A:A,Table1[[#All],[Project No]:[Additional Remark]],7,FALSE)</f>
        <v>#VALUE!</v>
      </c>
      <c r="D260" s="237" t="str">
        <f>VLOOKUP(A:A,Table1[[#All],[Project No]:[Additional Remark]],4,FALSE)</f>
        <v>Tham</v>
      </c>
      <c r="E260" s="237" t="str">
        <f>VLOOKUP(A:A,Table1[[#All],[Project No]:[Additional Remark]],5,FALSE)</f>
        <v>R-PV</v>
      </c>
      <c r="F260" s="237" t="str">
        <f>VLOOKUP(A:A,Table1[[Project No]:[Additional Remark]],6,FALSE)</f>
        <v>NEM</v>
      </c>
      <c r="G260" s="237">
        <f>VLOOKUP(A:A,Table1[[Project No]:[Additional Remark]],8,FALSE)</f>
        <v>9.44</v>
      </c>
      <c r="H260" s="237" t="str">
        <f>VLOOKUP(A:A,Table1[[Project No]:[Additional Remark]],15,FALSE)</f>
        <v>Astronergy 590Wp</v>
      </c>
      <c r="I260" s="237">
        <f>VLOOKUP(A:A,Table1[[Project No]:[Additional Remark]],16,FALSE)</f>
        <v>16</v>
      </c>
      <c r="J260" s="239" t="str">
        <f>VLOOKUP(A:A,Table1[[Project No]:[Additional Remark]],17,FALSE)</f>
        <v>Huawei SUN2000-8KTL</v>
      </c>
      <c r="K260" s="240"/>
      <c r="L260" s="239" t="str">
        <f t="shared" si="6"/>
        <v>Pending NEM Welcome Letter</v>
      </c>
      <c r="M260" s="239" t="str">
        <f>VLOOKUP(A:A,'Finance Tracker'!A256:K496,8,FALSE)</f>
        <v>Invoice Completed</v>
      </c>
      <c r="N260" s="240"/>
      <c r="O260" s="242" t="s">
        <v>109</v>
      </c>
      <c r="P260" s="242" t="s">
        <v>109</v>
      </c>
      <c r="Q260" s="240"/>
      <c r="R260" s="241">
        <v>45744</v>
      </c>
      <c r="S260" s="241">
        <v>45751</v>
      </c>
      <c r="T260" s="239" t="s">
        <v>1819</v>
      </c>
      <c r="U260" s="241"/>
      <c r="V260" s="242" t="s">
        <v>1853</v>
      </c>
      <c r="W260" s="239" t="s">
        <v>1853</v>
      </c>
      <c r="X260" s="237" t="s">
        <v>109</v>
      </c>
      <c r="Y260" s="237" t="s">
        <v>1853</v>
      </c>
      <c r="Z260" s="237" t="s">
        <v>1855</v>
      </c>
      <c r="AA260" s="242">
        <v>45761</v>
      </c>
      <c r="AB260" s="242" t="s">
        <v>1853</v>
      </c>
      <c r="AC260" s="239" t="s">
        <v>1853</v>
      </c>
      <c r="AD260" s="239" t="s">
        <v>1853</v>
      </c>
      <c r="AE260" s="242">
        <v>45763</v>
      </c>
      <c r="AF260" s="242" t="s">
        <v>1853</v>
      </c>
      <c r="AG260" s="237"/>
      <c r="AH260" s="237"/>
      <c r="AI260" s="243"/>
      <c r="AJ260" s="237" t="s">
        <v>109</v>
      </c>
      <c r="AK260" s="237" t="s">
        <v>109</v>
      </c>
      <c r="AL260" s="237" t="s">
        <v>109</v>
      </c>
      <c r="AM260" s="237" t="s">
        <v>109</v>
      </c>
      <c r="AP260" s="239">
        <f t="shared" si="7"/>
        <v>7</v>
      </c>
      <c r="AQ260" s="245"/>
    </row>
    <row r="261" spans="1:43" s="244" customFormat="1" ht="18.75" customHeight="1" x14ac:dyDescent="0.3">
      <c r="A261" s="237">
        <f>Table1[[#This Row],[Project No]]</f>
        <v>2503617</v>
      </c>
      <c r="B261" s="238" t="str">
        <f>VLOOKUP(A:A,Table1[[Project No]:[Additional Remark]],2,FALSE)</f>
        <v>Vinny Len Siew Meng</v>
      </c>
      <c r="C261" s="237" t="e" vm="11">
        <f>VLOOKUP(A:A,Table1[[#All],[Project No]:[Additional Remark]],7,FALSE)</f>
        <v>#VALUE!</v>
      </c>
      <c r="D261" s="237" t="str">
        <f>VLOOKUP(A:A,Table1[[#All],[Project No]:[Additional Remark]],4,FALSE)</f>
        <v>Patricia</v>
      </c>
      <c r="E261" s="237" t="str">
        <f>VLOOKUP(A:A,Table1[[#All],[Project No]:[Additional Remark]],5,FALSE)</f>
        <v>R-PV</v>
      </c>
      <c r="F261" s="237" t="str">
        <f>VLOOKUP(A:A,Table1[[Project No]:[Additional Remark]],6,FALSE)</f>
        <v>NEM</v>
      </c>
      <c r="G261" s="237">
        <f>VLOOKUP(A:A,Table1[[Project No]:[Additional Remark]],8,FALSE)</f>
        <v>17.7</v>
      </c>
      <c r="H261" s="237" t="str">
        <f>VLOOKUP(A:A,Table1[[Project No]:[Additional Remark]],15,FALSE)</f>
        <v>Astronergy 590Wp</v>
      </c>
      <c r="I261" s="237">
        <f>VLOOKUP(A:A,Table1[[Project No]:[Additional Remark]],16,FALSE)</f>
        <v>30</v>
      </c>
      <c r="J261" s="239" t="str">
        <f>VLOOKUP(A:A,Table1[[Project No]:[Additional Remark]],17,FALSE)</f>
        <v>Huawei SUN2000-12KTL</v>
      </c>
      <c r="K261" s="240"/>
      <c r="L261" s="239" t="str">
        <f t="shared" ref="L261:L324" si="8">IF(ISBLANK(R261),"Pending NEM Qouta Submission",IF(ISBLANK(S261),"Pending NEM Qouta Approval",IF(ISBLANK(AA261),"Pending Site Installation",IF(ISBLANK(AJ261),"Pending ST License Application",IF(ISBLANK(AK261),"Pending ST License Approval", IF(ISBLANK(AB261),"Pending Meter Change Application",IF(AND(ISBLANK(AG261),ISBLANK(AF261)),"Pending Meter Change",IF(ISBLANK(AG261),"Pending NEM Welcome Letter",IF(ISBLANK(AL261),"Pending GITA Application",IF(ISBLANK(AM261),"Pending GITA Approval","Completed"))))))))))</f>
        <v>Pending NEM Welcome Letter</v>
      </c>
      <c r="M261" s="239" t="str">
        <f>VLOOKUP(A:A,'Finance Tracker'!A257:K497,8,FALSE)</f>
        <v>Invoice Completed</v>
      </c>
      <c r="N261" s="240"/>
      <c r="O261" s="242" t="s">
        <v>109</v>
      </c>
      <c r="P261" s="242" t="s">
        <v>109</v>
      </c>
      <c r="Q261" s="240"/>
      <c r="R261" s="241">
        <v>45744</v>
      </c>
      <c r="S261" s="241">
        <v>45751</v>
      </c>
      <c r="T261" s="239" t="s">
        <v>1819</v>
      </c>
      <c r="U261" s="241"/>
      <c r="V261" s="242" t="s">
        <v>1853</v>
      </c>
      <c r="W261" s="239" t="s">
        <v>1853</v>
      </c>
      <c r="X261" s="237" t="s">
        <v>109</v>
      </c>
      <c r="Y261" s="237" t="s">
        <v>1853</v>
      </c>
      <c r="Z261" s="237" t="s">
        <v>1854</v>
      </c>
      <c r="AA261" s="242">
        <v>45772</v>
      </c>
      <c r="AB261" s="242">
        <v>45763</v>
      </c>
      <c r="AC261" s="239" t="s">
        <v>1853</v>
      </c>
      <c r="AD261" s="242">
        <v>45774</v>
      </c>
      <c r="AE261" s="242">
        <v>45771</v>
      </c>
      <c r="AF261" s="242">
        <v>45774</v>
      </c>
      <c r="AG261" s="237"/>
      <c r="AH261" s="237"/>
      <c r="AI261" s="243"/>
      <c r="AJ261" s="237" t="s">
        <v>109</v>
      </c>
      <c r="AK261" s="237" t="s">
        <v>109</v>
      </c>
      <c r="AL261" s="237" t="s">
        <v>109</v>
      </c>
      <c r="AM261" s="237" t="s">
        <v>109</v>
      </c>
      <c r="AP261" s="239">
        <f t="shared" ref="AP261:AP268" si="9">S261-R261</f>
        <v>7</v>
      </c>
      <c r="AQ261" s="245"/>
    </row>
    <row r="262" spans="1:43" s="199" customFormat="1" ht="18.75" customHeight="1" x14ac:dyDescent="0.3">
      <c r="A262" s="192">
        <f>Table1[[#This Row],[Project No]]</f>
        <v>2503601</v>
      </c>
      <c r="B262" s="193" t="str">
        <f>VLOOKUP(A:A,Table1[[Project No]:[Additional Remark]],2,FALSE)</f>
        <v>William Song Jian Tat</v>
      </c>
      <c r="C262" s="192" t="e" vm="5">
        <f>VLOOKUP(A:A,Table1[[#All],[Project No]:[Additional Remark]],7,FALSE)</f>
        <v>#VALUE!</v>
      </c>
      <c r="D262" s="192" t="str">
        <f>VLOOKUP(A:A,Table1[[#All],[Project No]:[Additional Remark]],4,FALSE)</f>
        <v>Tham</v>
      </c>
      <c r="E262" s="192" t="str">
        <f>VLOOKUP(A:A,Table1[[#All],[Project No]:[Additional Remark]],5,FALSE)</f>
        <v>R-PV</v>
      </c>
      <c r="F262" s="192" t="str">
        <f>VLOOKUP(A:A,Table1[[Project No]:[Additional Remark]],6,FALSE)</f>
        <v>NEM</v>
      </c>
      <c r="G262" s="192">
        <f>VLOOKUP(A:A,Table1[[Project No]:[Additional Remark]],8,FALSE)</f>
        <v>9.44</v>
      </c>
      <c r="H262" s="192" t="str">
        <f>VLOOKUP(A:A,Table1[[Project No]:[Additional Remark]],15,FALSE)</f>
        <v>Astronergy 590Wp</v>
      </c>
      <c r="I262" s="192">
        <f>VLOOKUP(A:A,Table1[[Project No]:[Additional Remark]],16,FALSE)</f>
        <v>16</v>
      </c>
      <c r="J262" s="194" t="str">
        <f>VLOOKUP(A:A,Table1[[Project No]:[Additional Remark]],17,FALSE)</f>
        <v>Huawei SUN2000-8KTL</v>
      </c>
      <c r="K262" s="195"/>
      <c r="L262" s="194" t="str">
        <f t="shared" si="8"/>
        <v>Pending Site Installation</v>
      </c>
      <c r="M262" s="194" t="str">
        <f>VLOOKUP(A:A,'Finance Tracker'!A258:K498,8,FALSE)</f>
        <v>1st invoice</v>
      </c>
      <c r="N262" s="195"/>
      <c r="O262" s="197" t="s">
        <v>109</v>
      </c>
      <c r="P262" s="197" t="s">
        <v>109</v>
      </c>
      <c r="Q262" s="195"/>
      <c r="R262" s="196">
        <v>45771</v>
      </c>
      <c r="S262" s="196">
        <v>45796</v>
      </c>
      <c r="T262" s="194" t="s">
        <v>1819</v>
      </c>
      <c r="U262" s="196">
        <v>46135</v>
      </c>
      <c r="V262" s="197" t="s">
        <v>1853</v>
      </c>
      <c r="W262" s="194" t="s">
        <v>1853</v>
      </c>
      <c r="X262" s="192" t="s">
        <v>109</v>
      </c>
      <c r="Y262" s="192" t="s">
        <v>1853</v>
      </c>
      <c r="Z262" s="192"/>
      <c r="AA262" s="197"/>
      <c r="AB262" s="197" t="s">
        <v>1859</v>
      </c>
      <c r="AC262" s="194"/>
      <c r="AD262" s="194"/>
      <c r="AE262" s="197"/>
      <c r="AF262" s="197"/>
      <c r="AG262" s="192"/>
      <c r="AH262" s="192"/>
      <c r="AI262" s="198"/>
      <c r="AJ262" s="192" t="s">
        <v>109</v>
      </c>
      <c r="AK262" s="192" t="s">
        <v>109</v>
      </c>
      <c r="AL262" s="192" t="s">
        <v>109</v>
      </c>
      <c r="AM262" s="192" t="s">
        <v>109</v>
      </c>
      <c r="AP262" s="194">
        <f t="shared" si="9"/>
        <v>25</v>
      </c>
      <c r="AQ262" s="200"/>
    </row>
    <row r="263" spans="1:43" s="208" customFormat="1" ht="18.75" customHeight="1" x14ac:dyDescent="0.3">
      <c r="A263" s="201">
        <f>Table1[[#This Row],[Project No]]</f>
        <v>2503619</v>
      </c>
      <c r="B263" s="202" t="str">
        <f>VLOOKUP(A:A,Table1[[Project No]:[Additional Remark]],2,FALSE)</f>
        <v>Haslina binti Othman</v>
      </c>
      <c r="C263" s="201">
        <f>VLOOKUP(A:A,Table1[[#All],[Project No]:[Additional Remark]],7,FALSE)</f>
        <v>0</v>
      </c>
      <c r="D263" s="192" t="str">
        <f>VLOOKUP(A:A,Table1[[#All],[Project No]:[Additional Remark]],4,FALSE)</f>
        <v>Patricia</v>
      </c>
      <c r="E263" s="201">
        <f>VLOOKUP(A:A,Table1[[#All],[Project No]:[Additional Remark]],5,FALSE)</f>
        <v>0</v>
      </c>
      <c r="F263" s="201">
        <f>VLOOKUP(A:A,Table1[[Project No]:[Additional Remark]],6,FALSE)</f>
        <v>0</v>
      </c>
      <c r="G263" s="201">
        <f>VLOOKUP(A:A,Table1[[Project No]:[Additional Remark]],8,FALSE)</f>
        <v>7.08</v>
      </c>
      <c r="H263" s="201" t="str">
        <f>VLOOKUP(A:A,Table1[[Project No]:[Additional Remark]],15,FALSE)</f>
        <v>Astronergy 590Wp</v>
      </c>
      <c r="I263" s="201">
        <f>VLOOKUP(A:A,Table1[[Project No]:[Additional Remark]],16,FALSE)</f>
        <v>12</v>
      </c>
      <c r="J263" s="203" t="str">
        <f>VLOOKUP(A:A,Table1[[Project No]:[Additional Remark]],17,FALSE)</f>
        <v>Huawei SUN2000-5KTL-L1</v>
      </c>
      <c r="K263" s="204"/>
      <c r="L263" s="203" t="str">
        <f t="shared" si="8"/>
        <v>Pending Site Installation</v>
      </c>
      <c r="M263" s="203" t="str">
        <f>VLOOKUP(A:A,'Finance Tracker'!A259:K499,8,FALSE)</f>
        <v>1st invoice</v>
      </c>
      <c r="N263" s="204"/>
      <c r="O263" s="197" t="s">
        <v>109</v>
      </c>
      <c r="P263" s="197" t="s">
        <v>109</v>
      </c>
      <c r="Q263" s="204"/>
      <c r="R263" s="205">
        <v>45751</v>
      </c>
      <c r="S263" s="205">
        <v>45761</v>
      </c>
      <c r="T263" s="203" t="s">
        <v>1819</v>
      </c>
      <c r="U263" s="205">
        <v>46115</v>
      </c>
      <c r="V263" s="206" t="s">
        <v>1853</v>
      </c>
      <c r="W263" s="203" t="s">
        <v>1853</v>
      </c>
      <c r="X263" s="201" t="s">
        <v>109</v>
      </c>
      <c r="Y263" s="201" t="s">
        <v>1853</v>
      </c>
      <c r="Z263" s="201"/>
      <c r="AA263" s="206"/>
      <c r="AB263" s="206">
        <v>45765</v>
      </c>
      <c r="AC263" s="203"/>
      <c r="AD263" s="203"/>
      <c r="AE263" s="206"/>
      <c r="AF263" s="206"/>
      <c r="AG263" s="201"/>
      <c r="AH263" s="201"/>
      <c r="AI263" s="207"/>
      <c r="AJ263" s="201" t="s">
        <v>109</v>
      </c>
      <c r="AK263" s="201" t="s">
        <v>109</v>
      </c>
      <c r="AL263" s="201" t="s">
        <v>109</v>
      </c>
      <c r="AM263" s="201" t="s">
        <v>109</v>
      </c>
      <c r="AP263" s="203">
        <f t="shared" si="9"/>
        <v>10</v>
      </c>
      <c r="AQ263" s="209"/>
    </row>
    <row r="264" spans="1:43" ht="18.75" customHeight="1" x14ac:dyDescent="0.3">
      <c r="A264" s="4">
        <f>Table1[[#This Row],[Project No]]</f>
        <v>2504623</v>
      </c>
      <c r="B264" s="110" t="str">
        <f>VLOOKUP(A:A,Table1[[Project No]:[Additional Remark]],2,FALSE)</f>
        <v>Choy Poh Chu</v>
      </c>
      <c r="C264" s="4" t="e" vm="11">
        <f>VLOOKUP(A:A,Table1[[#All],[Project No]:[Additional Remark]],7,FALSE)</f>
        <v>#VALUE!</v>
      </c>
      <c r="D264" s="4" t="str">
        <f>VLOOKUP(A:A,Table1[[#All],[Project No]:[Additional Remark]],4,FALSE)</f>
        <v>Patricia</v>
      </c>
      <c r="E264" s="4" t="str">
        <f>VLOOKUP(A:A,Table1[[#All],[Project No]:[Additional Remark]],5,FALSE)</f>
        <v>R-PV</v>
      </c>
      <c r="F264" s="4" t="str">
        <f>VLOOKUP(A:A,Table1[[Project No]:[Additional Remark]],6,FALSE)</f>
        <v>NEM</v>
      </c>
      <c r="G264" s="4">
        <f>VLOOKUP(A:A,Table1[[Project No]:[Additional Remark]],8,FALSE)</f>
        <v>7.08</v>
      </c>
      <c r="H264" s="4" t="str">
        <f>VLOOKUP(A:A,Table1[[Project No]:[Additional Remark]],15,FALSE)</f>
        <v>Astronergy 590Wp</v>
      </c>
      <c r="I264" s="4">
        <f>VLOOKUP(A:A,Table1[[Project No]:[Additional Remark]],16,FALSE)</f>
        <v>12</v>
      </c>
      <c r="J264" s="1" t="str">
        <f>VLOOKUP(A:A,Table1[[Project No]:[Additional Remark]],17,FALSE)</f>
        <v>Huawei SUN2000-5KTL-L1</v>
      </c>
      <c r="K264" s="127"/>
      <c r="L264" s="1" t="str">
        <f t="shared" si="8"/>
        <v>Completed</v>
      </c>
      <c r="M264" s="1" t="str">
        <f>VLOOKUP(A:A,'Finance Tracker'!A260:K500,8,FALSE)</f>
        <v>Invoice Completed</v>
      </c>
      <c r="N264" s="127"/>
      <c r="O264" s="39" t="s">
        <v>109</v>
      </c>
      <c r="P264" s="39" t="s">
        <v>109</v>
      </c>
      <c r="Q264" s="127"/>
      <c r="R264" s="56">
        <v>45756</v>
      </c>
      <c r="S264" s="56">
        <v>45757</v>
      </c>
      <c r="T264" s="1" t="s">
        <v>1819</v>
      </c>
      <c r="U264" s="56"/>
      <c r="V264" s="39" t="s">
        <v>1853</v>
      </c>
      <c r="W264" s="1" t="s">
        <v>1853</v>
      </c>
      <c r="X264" s="4" t="s">
        <v>109</v>
      </c>
      <c r="Y264" s="4" t="s">
        <v>1853</v>
      </c>
      <c r="Z264" s="4" t="s">
        <v>1854</v>
      </c>
      <c r="AA264" s="39">
        <v>45769</v>
      </c>
      <c r="AB264" s="39">
        <v>45765</v>
      </c>
      <c r="AC264" s="1" t="s">
        <v>1853</v>
      </c>
      <c r="AD264" s="39">
        <v>45853</v>
      </c>
      <c r="AE264" s="39">
        <v>45768</v>
      </c>
      <c r="AF264" s="39">
        <v>45796</v>
      </c>
      <c r="AG264" s="39">
        <v>45796</v>
      </c>
      <c r="AH264" s="39">
        <v>49460</v>
      </c>
      <c r="AJ264" s="4" t="s">
        <v>109</v>
      </c>
      <c r="AK264" s="4" t="s">
        <v>109</v>
      </c>
      <c r="AL264" s="4" t="s">
        <v>109</v>
      </c>
      <c r="AM264" s="4" t="s">
        <v>109</v>
      </c>
      <c r="AP264" s="1">
        <f t="shared" si="9"/>
        <v>1</v>
      </c>
    </row>
    <row r="265" spans="1:43" s="244" customFormat="1" ht="18.75" customHeight="1" x14ac:dyDescent="0.3">
      <c r="A265" s="237">
        <f>Table1[[#This Row],[Project No]]</f>
        <v>2503589</v>
      </c>
      <c r="B265" s="238" t="str">
        <f>VLOOKUP(A:A,Table1[[Project No]:[Additional Remark]],2,FALSE)</f>
        <v>Chong Shiuh Dyi</v>
      </c>
      <c r="C265" s="237" t="e" vm="5">
        <f>VLOOKUP(A:A,Table1[[#All],[Project No]:[Additional Remark]],7,FALSE)</f>
        <v>#VALUE!</v>
      </c>
      <c r="D265" s="237" t="str">
        <f>VLOOKUP(A:A,Table1[[#All],[Project No]:[Additional Remark]],4,FALSE)</f>
        <v>Tham</v>
      </c>
      <c r="E265" s="237" t="str">
        <f>VLOOKUP(A:A,Table1[[#All],[Project No]:[Additional Remark]],5,FALSE)</f>
        <v>R-PV</v>
      </c>
      <c r="F265" s="237" t="str">
        <f>VLOOKUP(A:A,Table1[[Project No]:[Additional Remark]],6,FALSE)</f>
        <v>NEM</v>
      </c>
      <c r="G265" s="237">
        <f>VLOOKUP(A:A,Table1[[Project No]:[Additional Remark]],8,FALSE)</f>
        <v>7.08</v>
      </c>
      <c r="H265" s="237" t="str">
        <f>VLOOKUP(A:A,Table1[[Project No]:[Additional Remark]],15,FALSE)</f>
        <v>Astronergy 590Wp</v>
      </c>
      <c r="I265" s="237">
        <f>VLOOKUP(A:A,Table1[[Project No]:[Additional Remark]],16,FALSE)</f>
        <v>12</v>
      </c>
      <c r="J265" s="239" t="str">
        <f>VLOOKUP(A:A,Table1[[Project No]:[Additional Remark]],17,FALSE)</f>
        <v>Huawei SUN2000-5KTL-L1</v>
      </c>
      <c r="K265" s="240"/>
      <c r="L265" s="239" t="str">
        <f t="shared" si="8"/>
        <v>Pending NEM Welcome Letter</v>
      </c>
      <c r="M265" s="239" t="str">
        <f>VLOOKUP(A:A,'Finance Tracker'!A261:K501,8,FALSE)</f>
        <v>Invoice Completed</v>
      </c>
      <c r="N265" s="240"/>
      <c r="O265" s="242" t="s">
        <v>109</v>
      </c>
      <c r="P265" s="242" t="s">
        <v>109</v>
      </c>
      <c r="Q265" s="240"/>
      <c r="R265" s="241">
        <v>45756</v>
      </c>
      <c r="S265" s="241">
        <v>45762</v>
      </c>
      <c r="T265" s="239" t="s">
        <v>1819</v>
      </c>
      <c r="U265" s="241"/>
      <c r="V265" s="242" t="s">
        <v>1853</v>
      </c>
      <c r="W265" s="239" t="s">
        <v>1853</v>
      </c>
      <c r="X265" s="237" t="s">
        <v>109</v>
      </c>
      <c r="Y265" s="237" t="s">
        <v>1853</v>
      </c>
      <c r="Z265" s="237" t="s">
        <v>1855</v>
      </c>
      <c r="AA265" s="242">
        <v>45771</v>
      </c>
      <c r="AB265" s="242">
        <v>45765</v>
      </c>
      <c r="AC265" s="239" t="s">
        <v>1853</v>
      </c>
      <c r="AD265" s="242">
        <v>45784</v>
      </c>
      <c r="AE265" s="242" t="s">
        <v>1853</v>
      </c>
      <c r="AF265" s="242">
        <v>45784</v>
      </c>
      <c r="AG265" s="237"/>
      <c r="AH265" s="237"/>
      <c r="AI265" s="243"/>
      <c r="AJ265" s="237" t="s">
        <v>109</v>
      </c>
      <c r="AK265" s="237" t="s">
        <v>109</v>
      </c>
      <c r="AL265" s="237" t="s">
        <v>109</v>
      </c>
      <c r="AM265" s="237" t="s">
        <v>109</v>
      </c>
      <c r="AP265" s="239">
        <f t="shared" si="9"/>
        <v>6</v>
      </c>
      <c r="AQ265" s="245"/>
    </row>
    <row r="266" spans="1:43" s="244" customFormat="1" ht="18.75" customHeight="1" x14ac:dyDescent="0.3">
      <c r="A266" s="237">
        <f>Table1[[#This Row],[Project No]]</f>
        <v>2504633</v>
      </c>
      <c r="B266" s="238" t="str">
        <f>VLOOKUP(A:A,Table1[[Project No]:[Additional Remark]],2,FALSE)</f>
        <v>Yong Chee Seng</v>
      </c>
      <c r="C266" s="237" t="e" vm="5">
        <f>VLOOKUP(A:A,Table1[[#All],[Project No]:[Additional Remark]],7,FALSE)</f>
        <v>#VALUE!</v>
      </c>
      <c r="D266" s="237" t="str">
        <f>VLOOKUP(A:A,Table1[[#All],[Project No]:[Additional Remark]],4,FALSE)</f>
        <v>Tham</v>
      </c>
      <c r="E266" s="237" t="str">
        <f>VLOOKUP(A:A,Table1[[#All],[Project No]:[Additional Remark]],5,FALSE)</f>
        <v>R-PV</v>
      </c>
      <c r="F266" s="237" t="str">
        <f>VLOOKUP(A:A,Table1[[Project No]:[Additional Remark]],6,FALSE)</f>
        <v>NEM</v>
      </c>
      <c r="G266" s="237">
        <f>VLOOKUP(A:A,Table1[[Project No]:[Additional Remark]],8,FALSE)</f>
        <v>7.08</v>
      </c>
      <c r="H266" s="237" t="str">
        <f>VLOOKUP(A:A,Table1[[Project No]:[Additional Remark]],15,FALSE)</f>
        <v>Astronergy 590Wp</v>
      </c>
      <c r="I266" s="237">
        <f>VLOOKUP(A:A,Table1[[Project No]:[Additional Remark]],16,FALSE)</f>
        <v>12</v>
      </c>
      <c r="J266" s="239" t="str">
        <f>VLOOKUP(A:A,Table1[[Project No]:[Additional Remark]],17,FALSE)</f>
        <v>Huawei SUN2000-5KTL-L1</v>
      </c>
      <c r="K266" s="240"/>
      <c r="L266" s="239" t="str">
        <f t="shared" si="8"/>
        <v>Pending NEM Welcome Letter</v>
      </c>
      <c r="M266" s="239" t="str">
        <f>VLOOKUP(A:A,'Finance Tracker'!A262:K502,8,FALSE)</f>
        <v>Invoice Completed</v>
      </c>
      <c r="N266" s="240"/>
      <c r="O266" s="242" t="s">
        <v>109</v>
      </c>
      <c r="P266" s="242" t="s">
        <v>109</v>
      </c>
      <c r="Q266" s="240"/>
      <c r="R266" s="241">
        <v>45758</v>
      </c>
      <c r="S266" s="241">
        <v>45762</v>
      </c>
      <c r="T266" s="239" t="s">
        <v>1819</v>
      </c>
      <c r="U266" s="241"/>
      <c r="V266" s="242" t="s">
        <v>1853</v>
      </c>
      <c r="W266" s="239" t="s">
        <v>1853</v>
      </c>
      <c r="X266" s="237" t="s">
        <v>109</v>
      </c>
      <c r="Y266" s="237" t="s">
        <v>1853</v>
      </c>
      <c r="Z266" s="237" t="s">
        <v>1855</v>
      </c>
      <c r="AA266" s="242">
        <v>45819</v>
      </c>
      <c r="AB266" s="242">
        <v>45764</v>
      </c>
      <c r="AC266" s="239" t="s">
        <v>1853</v>
      </c>
      <c r="AD266" s="239" t="s">
        <v>1853</v>
      </c>
      <c r="AE266" s="242" t="s">
        <v>1853</v>
      </c>
      <c r="AF266" s="242" t="s">
        <v>1853</v>
      </c>
      <c r="AG266" s="237"/>
      <c r="AH266" s="237"/>
      <c r="AI266" s="243"/>
      <c r="AJ266" s="237" t="s">
        <v>109</v>
      </c>
      <c r="AK266" s="237" t="s">
        <v>109</v>
      </c>
      <c r="AL266" s="237" t="s">
        <v>109</v>
      </c>
      <c r="AM266" s="237" t="s">
        <v>109</v>
      </c>
      <c r="AP266" s="239">
        <f t="shared" si="9"/>
        <v>4</v>
      </c>
      <c r="AQ266" s="245"/>
    </row>
    <row r="267" spans="1:43" s="244" customFormat="1" ht="18.75" customHeight="1" x14ac:dyDescent="0.3">
      <c r="A267" s="237">
        <f>Table1[[#This Row],[Project No]]</f>
        <v>2504636</v>
      </c>
      <c r="B267" s="238" t="str">
        <f>VLOOKUP(A:A,Table1[[Project No]:[Additional Remark]],2,FALSE)</f>
        <v>Nur Salinahany binti Hanafiah</v>
      </c>
      <c r="C267" s="237" t="e" vm="11">
        <f>VLOOKUP(A:A,Table1[[#All],[Project No]:[Additional Remark]],7,FALSE)</f>
        <v>#VALUE!</v>
      </c>
      <c r="D267" s="237" t="str">
        <f>VLOOKUP(A:A,Table1[[#All],[Project No]:[Additional Remark]],4,FALSE)</f>
        <v>Patricia</v>
      </c>
      <c r="E267" s="237" t="str">
        <f>VLOOKUP(A:A,Table1[[#All],[Project No]:[Additional Remark]],5,FALSE)</f>
        <v>R-PV</v>
      </c>
      <c r="F267" s="237" t="str">
        <f>VLOOKUP(A:A,Table1[[Project No]:[Additional Remark]],6,FALSE)</f>
        <v>NEM</v>
      </c>
      <c r="G267" s="237">
        <f>VLOOKUP(A:A,Table1[[Project No]:[Additional Remark]],8,FALSE)</f>
        <v>17.7</v>
      </c>
      <c r="H267" s="237" t="str">
        <f>VLOOKUP(A:A,Table1[[Project No]:[Additional Remark]],15,FALSE)</f>
        <v>Astronergy 590Wp</v>
      </c>
      <c r="I267" s="237">
        <f>VLOOKUP(A:A,Table1[[Project No]:[Additional Remark]],16,FALSE)</f>
        <v>30</v>
      </c>
      <c r="J267" s="239" t="str">
        <f>VLOOKUP(A:A,Table1[[Project No]:[Additional Remark]],17,FALSE)</f>
        <v>Huawei SUN2000-12KTL</v>
      </c>
      <c r="K267" s="240"/>
      <c r="L267" s="239" t="str">
        <f t="shared" si="8"/>
        <v>Pending NEM Welcome Letter</v>
      </c>
      <c r="M267" s="239" t="str">
        <f>VLOOKUP(A:A,'Finance Tracker'!A263:K503,8,FALSE)</f>
        <v>Invoice Completed</v>
      </c>
      <c r="N267" s="240"/>
      <c r="O267" s="242" t="s">
        <v>109</v>
      </c>
      <c r="P267" s="242" t="s">
        <v>109</v>
      </c>
      <c r="Q267" s="240"/>
      <c r="R267" s="241">
        <v>45758</v>
      </c>
      <c r="S267" s="241">
        <v>45762</v>
      </c>
      <c r="T267" s="239" t="s">
        <v>1819</v>
      </c>
      <c r="U267" s="241"/>
      <c r="V267" s="242" t="s">
        <v>1853</v>
      </c>
      <c r="W267" s="239" t="s">
        <v>1853</v>
      </c>
      <c r="X267" s="237" t="s">
        <v>109</v>
      </c>
      <c r="Y267" s="237" t="s">
        <v>1853</v>
      </c>
      <c r="Z267" s="237" t="s">
        <v>1854</v>
      </c>
      <c r="AA267" s="242">
        <v>45787</v>
      </c>
      <c r="AB267" s="242">
        <v>45765</v>
      </c>
      <c r="AC267" s="239" t="s">
        <v>1853</v>
      </c>
      <c r="AD267" s="242">
        <v>45775</v>
      </c>
      <c r="AE267" s="242">
        <v>45769</v>
      </c>
      <c r="AF267" s="242">
        <v>45775</v>
      </c>
      <c r="AG267" s="237"/>
      <c r="AH267" s="237"/>
      <c r="AI267" s="243"/>
      <c r="AJ267" s="237" t="s">
        <v>109</v>
      </c>
      <c r="AK267" s="237" t="s">
        <v>109</v>
      </c>
      <c r="AL267" s="237" t="s">
        <v>109</v>
      </c>
      <c r="AM267" s="237" t="s">
        <v>109</v>
      </c>
      <c r="AP267" s="239">
        <f t="shared" si="9"/>
        <v>4</v>
      </c>
      <c r="AQ267" s="245"/>
    </row>
    <row r="268" spans="1:43" s="244" customFormat="1" ht="18.75" customHeight="1" x14ac:dyDescent="0.3">
      <c r="A268" s="237">
        <f>Table1[[#This Row],[Project No]]</f>
        <v>2406152</v>
      </c>
      <c r="B268" s="238" t="str">
        <f>VLOOKUP(A:A,Table1[[Project No]:[Additional Remark]],2,FALSE)</f>
        <v>Chara Sdn Bhd</v>
      </c>
      <c r="C268" s="237" t="e" vm="5">
        <f>VLOOKUP(A:A,Table1[[#All],[Project No]:[Additional Remark]],7,FALSE)</f>
        <v>#VALUE!</v>
      </c>
      <c r="D268" s="237" t="str">
        <f>VLOOKUP(A:A,Table1[[#All],[Project No]:[Additional Remark]],4,FALSE)</f>
        <v>Simon</v>
      </c>
      <c r="E268" s="237" t="str">
        <f>VLOOKUP(A:A,Table1[[#All],[Project No]:[Additional Remark]],5,FALSE)</f>
        <v>C&amp;I-PV</v>
      </c>
      <c r="F268" s="237" t="str">
        <f>VLOOKUP(A:A,Table1[[Project No]:[Additional Remark]],6,FALSE)</f>
        <v>NEM</v>
      </c>
      <c r="G268" s="237">
        <f>VLOOKUP(A:A,Table1[[Project No]:[Additional Remark]],8,FALSE)</f>
        <v>93.17</v>
      </c>
      <c r="H268" s="237" t="str">
        <f>VLOOKUP(A:A,Table1[[Project No]:[Additional Remark]],15,FALSE)</f>
        <v>Astronergy 605Wp</v>
      </c>
      <c r="I268" s="237">
        <f>VLOOKUP(A:A,Table1[[Project No]:[Additional Remark]],16,FALSE)</f>
        <v>154</v>
      </c>
      <c r="J268" s="239" t="str">
        <f>VLOOKUP(A:A,Table1[[Project No]:[Additional Remark]],17,FALSE)</f>
        <v>Huawei SN2000-40KTL + Huawei SUN2000-30KTL</v>
      </c>
      <c r="K268" s="240"/>
      <c r="L268" s="239" t="str">
        <f t="shared" si="8"/>
        <v>Pending NEM Welcome Letter</v>
      </c>
      <c r="M268" s="239" t="str">
        <f>VLOOKUP(A:A,'Finance Tracker'!A264:K504,8,FALSE)</f>
        <v>Invoice Completed</v>
      </c>
      <c r="N268" s="240"/>
      <c r="O268" s="242" t="s">
        <v>109</v>
      </c>
      <c r="P268" s="242" t="s">
        <v>109</v>
      </c>
      <c r="Q268" s="240"/>
      <c r="R268" s="241">
        <v>45783</v>
      </c>
      <c r="S268" s="241">
        <v>45794</v>
      </c>
      <c r="T268" s="239" t="s">
        <v>1819</v>
      </c>
      <c r="U268" s="241"/>
      <c r="V268" s="242" t="s">
        <v>1853</v>
      </c>
      <c r="W268" s="239" t="s">
        <v>1853</v>
      </c>
      <c r="X268" s="237" t="s">
        <v>1853</v>
      </c>
      <c r="Y268" s="237" t="s">
        <v>1853</v>
      </c>
      <c r="Z268" s="237" t="s">
        <v>1860</v>
      </c>
      <c r="AA268" s="242">
        <v>45824</v>
      </c>
      <c r="AB268" s="242">
        <v>45838</v>
      </c>
      <c r="AC268" s="239" t="s">
        <v>1853</v>
      </c>
      <c r="AD268" s="242">
        <v>45859</v>
      </c>
      <c r="AE268" s="242">
        <v>45859</v>
      </c>
      <c r="AF268" s="242" t="s">
        <v>1853</v>
      </c>
      <c r="AG268" s="237"/>
      <c r="AH268" s="237"/>
      <c r="AI268" s="243"/>
      <c r="AJ268" s="237" t="s">
        <v>109</v>
      </c>
      <c r="AK268" s="237" t="s">
        <v>109</v>
      </c>
      <c r="AL268" s="237" t="s">
        <v>109</v>
      </c>
      <c r="AM268" s="237" t="s">
        <v>109</v>
      </c>
      <c r="AP268" s="239">
        <f t="shared" si="9"/>
        <v>11</v>
      </c>
      <c r="AQ268" s="245"/>
    </row>
    <row r="269" spans="1:43" s="244" customFormat="1" ht="18.75" customHeight="1" x14ac:dyDescent="0.3">
      <c r="A269" s="237">
        <f>Table1[[#This Row],[Project No]]</f>
        <v>2504640</v>
      </c>
      <c r="B269" s="238" t="str">
        <f>VLOOKUP(A:A,Table1[[Project No]:[Additional Remark]],2,FALSE)</f>
        <v>Ng Mong Ping</v>
      </c>
      <c r="C269" s="237" t="e" vm="8">
        <f>VLOOKUP(A:A,Table1[[#All],[Project No]:[Additional Remark]],7,FALSE)</f>
        <v>#VALUE!</v>
      </c>
      <c r="D269" s="237" t="str">
        <f>VLOOKUP(A:A,Table1[[#All],[Project No]:[Additional Remark]],4,FALSE)</f>
        <v>Tham</v>
      </c>
      <c r="E269" s="237" t="str">
        <f>VLOOKUP(A:A,Table1[[#All],[Project No]:[Additional Remark]],5,FALSE)</f>
        <v>R-PV</v>
      </c>
      <c r="F269" s="237" t="str">
        <f>VLOOKUP(A:A,Table1[[Project No]:[Additional Remark]],6,FALSE)</f>
        <v>NEM</v>
      </c>
      <c r="G269" s="237">
        <f>VLOOKUP(A:A,Table1[[Project No]:[Additional Remark]],8,FALSE)</f>
        <v>9.44</v>
      </c>
      <c r="H269" s="237" t="str">
        <f>VLOOKUP(A:A,Table1[[Project No]:[Additional Remark]],15,FALSE)</f>
        <v>Astronergy 590Wp</v>
      </c>
      <c r="I269" s="237">
        <f>VLOOKUP(A:A,Table1[[Project No]:[Additional Remark]],16,FALSE)</f>
        <v>16</v>
      </c>
      <c r="J269" s="239" t="str">
        <f>VLOOKUP(A:A,Table1[[Project No]:[Additional Remark]],17,FALSE)</f>
        <v>Huawei SUN2000-8KTL</v>
      </c>
      <c r="K269" s="240"/>
      <c r="L269" s="239" t="str">
        <f t="shared" si="8"/>
        <v>Pending NEM Welcome Letter</v>
      </c>
      <c r="M269" s="239" t="str">
        <f>VLOOKUP(A:A,'Finance Tracker'!A265:K505,8,FALSE)</f>
        <v>Invoice Completed</v>
      </c>
      <c r="N269" s="240"/>
      <c r="O269" s="242" t="s">
        <v>109</v>
      </c>
      <c r="P269" s="242" t="s">
        <v>109</v>
      </c>
      <c r="Q269" s="240"/>
      <c r="R269" s="241">
        <v>45765</v>
      </c>
      <c r="S269" s="241">
        <v>45768</v>
      </c>
      <c r="T269" s="239" t="s">
        <v>1819</v>
      </c>
      <c r="U269" s="241"/>
      <c r="V269" s="242" t="s">
        <v>1853</v>
      </c>
      <c r="W269" s="239" t="s">
        <v>1853</v>
      </c>
      <c r="X269" s="237" t="s">
        <v>109</v>
      </c>
      <c r="Y269" s="237" t="s">
        <v>1853</v>
      </c>
      <c r="Z269" s="237" t="s">
        <v>1855</v>
      </c>
      <c r="AA269" s="242">
        <v>45786</v>
      </c>
      <c r="AB269" s="242">
        <v>45771</v>
      </c>
      <c r="AC269" s="239" t="s">
        <v>1853</v>
      </c>
      <c r="AD269" s="239" t="s">
        <v>1853</v>
      </c>
      <c r="AE269" s="242" t="s">
        <v>1853</v>
      </c>
      <c r="AF269" s="242" t="s">
        <v>1853</v>
      </c>
      <c r="AG269" s="237"/>
      <c r="AH269" s="237"/>
      <c r="AI269" s="243"/>
      <c r="AJ269" s="237" t="s">
        <v>109</v>
      </c>
      <c r="AK269" s="237" t="s">
        <v>109</v>
      </c>
      <c r="AL269" s="237" t="s">
        <v>109</v>
      </c>
      <c r="AM269" s="237" t="s">
        <v>109</v>
      </c>
      <c r="AP269" s="239"/>
      <c r="AQ269" s="245"/>
    </row>
    <row r="270" spans="1:43" s="244" customFormat="1" ht="18.75" customHeight="1" x14ac:dyDescent="0.3">
      <c r="A270" s="237">
        <f>Table1[[#This Row],[Project No]]</f>
        <v>2504638</v>
      </c>
      <c r="B270" s="238" t="str">
        <f>VLOOKUP(A:A,Table1[[Project No]:[Additional Remark]],2,FALSE)</f>
        <v>Lai Boon Liong</v>
      </c>
      <c r="C270" s="237" t="e" vm="8">
        <f>VLOOKUP(A:A,Table1[[#All],[Project No]:[Additional Remark]],7,FALSE)</f>
        <v>#VALUE!</v>
      </c>
      <c r="D270" s="237" t="str">
        <f>VLOOKUP(A:A,Table1[[#All],[Project No]:[Additional Remark]],4,FALSE)</f>
        <v>Tham</v>
      </c>
      <c r="E270" s="237" t="str">
        <f>VLOOKUP(A:A,Table1[[#All],[Project No]:[Additional Remark]],5,FALSE)</f>
        <v>R-PV</v>
      </c>
      <c r="F270" s="237" t="str">
        <f>VLOOKUP(A:A,Table1[[Project No]:[Additional Remark]],6,FALSE)</f>
        <v>NEM</v>
      </c>
      <c r="G270" s="237">
        <f>VLOOKUP(A:A,Table1[[Project No]:[Additional Remark]],8,FALSE)</f>
        <v>9.44</v>
      </c>
      <c r="H270" s="237" t="str">
        <f>VLOOKUP(A:A,Table1[[Project No]:[Additional Remark]],15,FALSE)</f>
        <v>Astronergy 590Wp</v>
      </c>
      <c r="I270" s="237">
        <f>VLOOKUP(A:A,Table1[[Project No]:[Additional Remark]],16,FALSE)</f>
        <v>16</v>
      </c>
      <c r="J270" s="239" t="str">
        <f>VLOOKUP(A:A,Table1[[Project No]:[Additional Remark]],17,FALSE)</f>
        <v>Huawei SUN2000-8KTL</v>
      </c>
      <c r="K270" s="240"/>
      <c r="L270" s="239" t="str">
        <f t="shared" si="8"/>
        <v>Pending NEM Welcome Letter</v>
      </c>
      <c r="M270" s="239" t="str">
        <f>VLOOKUP(A:A,'Finance Tracker'!A265:K505,8,FALSE)</f>
        <v>Invoice Completed</v>
      </c>
      <c r="N270" s="240"/>
      <c r="O270" s="242" t="s">
        <v>109</v>
      </c>
      <c r="P270" s="242" t="s">
        <v>109</v>
      </c>
      <c r="Q270" s="240"/>
      <c r="R270" s="241">
        <v>45764</v>
      </c>
      <c r="S270" s="241">
        <v>45768</v>
      </c>
      <c r="T270" s="239" t="s">
        <v>1819</v>
      </c>
      <c r="U270" s="241"/>
      <c r="V270" s="242" t="s">
        <v>1853</v>
      </c>
      <c r="W270" s="239" t="s">
        <v>1853</v>
      </c>
      <c r="X270" s="237" t="s">
        <v>109</v>
      </c>
      <c r="Y270" s="237" t="s">
        <v>1853</v>
      </c>
      <c r="Z270" s="237" t="s">
        <v>1855</v>
      </c>
      <c r="AA270" s="242">
        <v>45785</v>
      </c>
      <c r="AB270" s="242">
        <v>45771</v>
      </c>
      <c r="AC270" s="239" t="s">
        <v>1853</v>
      </c>
      <c r="AD270" s="242">
        <v>45793</v>
      </c>
      <c r="AE270" s="242">
        <v>45783</v>
      </c>
      <c r="AF270" s="242">
        <v>45793</v>
      </c>
      <c r="AG270" s="237"/>
      <c r="AH270" s="237"/>
      <c r="AI270" s="243"/>
      <c r="AJ270" s="237" t="s">
        <v>109</v>
      </c>
      <c r="AK270" s="237" t="s">
        <v>109</v>
      </c>
      <c r="AL270" s="237" t="s">
        <v>109</v>
      </c>
      <c r="AM270" s="237" t="s">
        <v>109</v>
      </c>
      <c r="AP270" s="239">
        <f t="shared" ref="AP270:AP301" si="10">S270-R270</f>
        <v>4</v>
      </c>
      <c r="AQ270" s="245"/>
    </row>
    <row r="271" spans="1:43" ht="18.75" customHeight="1" x14ac:dyDescent="0.3">
      <c r="A271" s="4">
        <f>Table1[[#This Row],[Project No]]</f>
        <v>2504652</v>
      </c>
      <c r="B271" s="110" t="str">
        <f>VLOOKUP(A:A,Table1[[Project No]:[Additional Remark]],2,FALSE)</f>
        <v>Khairul Hisham Bin Mohamed</v>
      </c>
      <c r="C271" s="4" t="e" vm="11">
        <f>VLOOKUP(A:A,Table1[[#All],[Project No]:[Additional Remark]],7,FALSE)</f>
        <v>#VALUE!</v>
      </c>
      <c r="D271" s="4" t="str">
        <f>VLOOKUP(A:A,Table1[[#All],[Project No]:[Additional Remark]],4,FALSE)</f>
        <v>Patricia</v>
      </c>
      <c r="E271" s="4" t="str">
        <f>VLOOKUP(A:A,Table1[[#All],[Project No]:[Additional Remark]],5,FALSE)</f>
        <v>R-PV</v>
      </c>
      <c r="F271" s="4" t="str">
        <f>VLOOKUP(A:A,Table1[[Project No]:[Additional Remark]],6,FALSE)</f>
        <v>NEM</v>
      </c>
      <c r="G271" s="4">
        <f>VLOOKUP(A:A,Table1[[Project No]:[Additional Remark]],8,FALSE)</f>
        <v>9.44</v>
      </c>
      <c r="H271" s="4" t="str">
        <f>VLOOKUP(A:A,Table1[[Project No]:[Additional Remark]],15,FALSE)</f>
        <v>Astronergy 590Wp</v>
      </c>
      <c r="I271" s="4">
        <f>VLOOKUP(A:A,Table1[[Project No]:[Additional Remark]],16,FALSE)</f>
        <v>16</v>
      </c>
      <c r="J271" s="1" t="str">
        <f>VLOOKUP(A:A,Table1[[Project No]:[Additional Remark]],17,FALSE)</f>
        <v>Huawei SUN2000-8KTL</v>
      </c>
      <c r="K271" s="127"/>
      <c r="L271" s="1" t="str">
        <f t="shared" si="8"/>
        <v>Completed</v>
      </c>
      <c r="M271" s="1" t="str">
        <f>VLOOKUP(A:A,'Finance Tracker'!A266:K506,8,FALSE)</f>
        <v>Invoice Completed</v>
      </c>
      <c r="N271" s="127"/>
      <c r="O271" s="39" t="s">
        <v>109</v>
      </c>
      <c r="P271" s="39" t="s">
        <v>109</v>
      </c>
      <c r="Q271" s="127"/>
      <c r="R271" s="56">
        <v>45770</v>
      </c>
      <c r="S271" s="56">
        <v>45775</v>
      </c>
      <c r="T271" s="1" t="s">
        <v>1819</v>
      </c>
      <c r="U271" s="56"/>
      <c r="V271" s="39" t="s">
        <v>1853</v>
      </c>
      <c r="W271" s="1" t="s">
        <v>1853</v>
      </c>
      <c r="X271" s="4" t="s">
        <v>109</v>
      </c>
      <c r="Y271" s="4" t="s">
        <v>1853</v>
      </c>
      <c r="Z271" s="4" t="s">
        <v>1854</v>
      </c>
      <c r="AA271" s="39">
        <v>45792</v>
      </c>
      <c r="AB271" s="39">
        <v>45777</v>
      </c>
      <c r="AC271" s="1" t="s">
        <v>1853</v>
      </c>
      <c r="AD271" s="39">
        <v>45810</v>
      </c>
      <c r="AE271" s="39">
        <v>45806</v>
      </c>
      <c r="AF271" s="39">
        <v>45810</v>
      </c>
      <c r="AG271" s="39">
        <v>45810</v>
      </c>
      <c r="AH271" s="4"/>
      <c r="AJ271" s="4" t="s">
        <v>109</v>
      </c>
      <c r="AK271" s="4" t="s">
        <v>109</v>
      </c>
      <c r="AL271" s="4" t="s">
        <v>109</v>
      </c>
      <c r="AM271" s="4" t="s">
        <v>109</v>
      </c>
      <c r="AP271" s="1">
        <f t="shared" si="10"/>
        <v>5</v>
      </c>
    </row>
    <row r="272" spans="1:43" s="244" customFormat="1" ht="18.75" customHeight="1" x14ac:dyDescent="0.3">
      <c r="A272" s="237">
        <f>Table1[[#This Row],[Project No]]</f>
        <v>2504647</v>
      </c>
      <c r="B272" s="238" t="str">
        <f>VLOOKUP(A:A,Table1[[Project No]:[Additional Remark]],2,FALSE)</f>
        <v>Tan Hock Cheng</v>
      </c>
      <c r="C272" s="237" t="e" vm="11">
        <f>VLOOKUP(A:A,Table1[[#All],[Project No]:[Additional Remark]],7,FALSE)</f>
        <v>#VALUE!</v>
      </c>
      <c r="D272" s="237" t="str">
        <f>VLOOKUP(A:A,Table1[[#All],[Project No]:[Additional Remark]],4,FALSE)</f>
        <v>Patricia</v>
      </c>
      <c r="E272" s="237" t="str">
        <f>VLOOKUP(A:A,Table1[[#All],[Project No]:[Additional Remark]],5,FALSE)</f>
        <v>R-PV</v>
      </c>
      <c r="F272" s="237" t="str">
        <f>VLOOKUP(A:A,Table1[[Project No]:[Additional Remark]],6,FALSE)</f>
        <v>NEM</v>
      </c>
      <c r="G272" s="237">
        <f>VLOOKUP(A:A,Table1[[Project No]:[Additional Remark]],8,FALSE)</f>
        <v>7.08</v>
      </c>
      <c r="H272" s="237" t="str">
        <f>VLOOKUP(A:A,Table1[[Project No]:[Additional Remark]],15,FALSE)</f>
        <v>Astronergy 590Wp</v>
      </c>
      <c r="I272" s="237">
        <f>VLOOKUP(A:A,Table1[[Project No]:[Additional Remark]],16,FALSE)</f>
        <v>12</v>
      </c>
      <c r="J272" s="239" t="str">
        <f>VLOOKUP(A:A,Table1[[Project No]:[Additional Remark]],17,FALSE)</f>
        <v>Huawei SUN2000-5KTL-L1</v>
      </c>
      <c r="K272" s="240"/>
      <c r="L272" s="239" t="str">
        <f t="shared" si="8"/>
        <v>Pending NEM Welcome Letter</v>
      </c>
      <c r="M272" s="239" t="str">
        <f>VLOOKUP(A:A,'Finance Tracker'!A267:K507,8,FALSE)</f>
        <v>Invoice Completed</v>
      </c>
      <c r="N272" s="240"/>
      <c r="O272" s="242" t="s">
        <v>109</v>
      </c>
      <c r="P272" s="242" t="s">
        <v>109</v>
      </c>
      <c r="Q272" s="240"/>
      <c r="R272" s="241">
        <v>45770</v>
      </c>
      <c r="S272" s="241">
        <v>45775</v>
      </c>
      <c r="T272" s="239" t="s">
        <v>1819</v>
      </c>
      <c r="U272" s="241"/>
      <c r="V272" s="242" t="s">
        <v>1853</v>
      </c>
      <c r="W272" s="239" t="s">
        <v>1853</v>
      </c>
      <c r="X272" s="237" t="s">
        <v>109</v>
      </c>
      <c r="Y272" s="237" t="s">
        <v>1853</v>
      </c>
      <c r="Z272" s="237" t="s">
        <v>1854</v>
      </c>
      <c r="AA272" s="242">
        <v>45806</v>
      </c>
      <c r="AB272" s="242">
        <v>45777</v>
      </c>
      <c r="AC272" s="239" t="s">
        <v>1853</v>
      </c>
      <c r="AD272" s="239" t="s">
        <v>1853</v>
      </c>
      <c r="AE272" s="242">
        <v>45785</v>
      </c>
      <c r="AF272" s="242" t="s">
        <v>1853</v>
      </c>
      <c r="AG272" s="237"/>
      <c r="AH272" s="237"/>
      <c r="AI272" s="243"/>
      <c r="AJ272" s="237" t="s">
        <v>109</v>
      </c>
      <c r="AK272" s="237" t="s">
        <v>109</v>
      </c>
      <c r="AL272" s="237" t="s">
        <v>109</v>
      </c>
      <c r="AM272" s="237" t="s">
        <v>109</v>
      </c>
      <c r="AP272" s="239">
        <f t="shared" si="10"/>
        <v>5</v>
      </c>
      <c r="AQ272" s="245"/>
    </row>
    <row r="273" spans="1:43" s="244" customFormat="1" ht="18.75" customHeight="1" x14ac:dyDescent="0.3">
      <c r="A273" s="237">
        <f>Table1[[#This Row],[Project No]]</f>
        <v>2504658</v>
      </c>
      <c r="B273" s="238" t="str">
        <f>VLOOKUP(A:A,Table1[[Project No]:[Additional Remark]],2,FALSE)</f>
        <v>Phang Yeong Chin</v>
      </c>
      <c r="C273" s="237" t="e" vm="5">
        <f>VLOOKUP(A:A,Table1[[#All],[Project No]:[Additional Remark]],7,FALSE)</f>
        <v>#VALUE!</v>
      </c>
      <c r="D273" s="237" t="str">
        <f>VLOOKUP(A:A,Table1[[#All],[Project No]:[Additional Remark]],4,FALSE)</f>
        <v>Ong</v>
      </c>
      <c r="E273" s="237" t="str">
        <f>VLOOKUP(A:A,Table1[[#All],[Project No]:[Additional Remark]],5,FALSE)</f>
        <v>R-PV</v>
      </c>
      <c r="F273" s="237" t="str">
        <f>VLOOKUP(A:A,Table1[[Project No]:[Additional Remark]],6,FALSE)</f>
        <v>NEM</v>
      </c>
      <c r="G273" s="237">
        <f>VLOOKUP(A:A,Table1[[Project No]:[Additional Remark]],8,FALSE)</f>
        <v>7.08</v>
      </c>
      <c r="H273" s="237" t="str">
        <f>VLOOKUP(A:A,Table1[[Project No]:[Additional Remark]],15,FALSE)</f>
        <v>Astronergy 590Wp</v>
      </c>
      <c r="I273" s="237">
        <f>VLOOKUP(A:A,Table1[[Project No]:[Additional Remark]],16,FALSE)</f>
        <v>12</v>
      </c>
      <c r="J273" s="239" t="str">
        <f>VLOOKUP(A:A,Table1[[Project No]:[Additional Remark]],17,FALSE)</f>
        <v>Huawei SUN2000-5KTL-L1</v>
      </c>
      <c r="K273" s="240"/>
      <c r="L273" s="239" t="str">
        <f t="shared" si="8"/>
        <v>Pending NEM Welcome Letter</v>
      </c>
      <c r="M273" s="239" t="str">
        <f>VLOOKUP(A:A,'Finance Tracker'!A268:K508,8,FALSE)</f>
        <v>2nd invoice</v>
      </c>
      <c r="N273" s="240"/>
      <c r="O273" s="242" t="s">
        <v>109</v>
      </c>
      <c r="P273" s="242" t="s">
        <v>109</v>
      </c>
      <c r="Q273" s="240"/>
      <c r="R273" s="241">
        <v>45771</v>
      </c>
      <c r="S273" s="241">
        <v>45775</v>
      </c>
      <c r="T273" s="239" t="s">
        <v>1819</v>
      </c>
      <c r="U273" s="241"/>
      <c r="V273" s="242" t="s">
        <v>1853</v>
      </c>
      <c r="W273" s="239" t="s">
        <v>1853</v>
      </c>
      <c r="X273" s="237" t="s">
        <v>109</v>
      </c>
      <c r="Y273" s="237" t="s">
        <v>1853</v>
      </c>
      <c r="Z273" s="237" t="s">
        <v>1855</v>
      </c>
      <c r="AA273" s="242">
        <v>45812</v>
      </c>
      <c r="AB273" s="242">
        <v>45777</v>
      </c>
      <c r="AC273" s="239" t="s">
        <v>1853</v>
      </c>
      <c r="AD273" s="239" t="s">
        <v>1853</v>
      </c>
      <c r="AE273" s="242">
        <v>45790</v>
      </c>
      <c r="AF273" s="242" t="s">
        <v>1853</v>
      </c>
      <c r="AG273" s="237"/>
      <c r="AH273" s="237"/>
      <c r="AI273" s="243"/>
      <c r="AJ273" s="237" t="s">
        <v>109</v>
      </c>
      <c r="AK273" s="237" t="s">
        <v>109</v>
      </c>
      <c r="AL273" s="237" t="s">
        <v>109</v>
      </c>
      <c r="AM273" s="237" t="s">
        <v>109</v>
      </c>
      <c r="AP273" s="239">
        <f t="shared" si="10"/>
        <v>4</v>
      </c>
      <c r="AQ273" s="245"/>
    </row>
    <row r="274" spans="1:43" s="208" customFormat="1" ht="18.75" customHeight="1" x14ac:dyDescent="0.3">
      <c r="A274" s="201">
        <f>Table1[[#This Row],[Project No]]</f>
        <v>2503614</v>
      </c>
      <c r="B274" s="202" t="str">
        <f>VLOOKUP(A:A,Table1[[Project No]:[Additional Remark]],2,FALSE)</f>
        <v>Yap Weoi Kee</v>
      </c>
      <c r="C274" s="201">
        <f>VLOOKUP(A:A,Table1[[#All],[Project No]:[Additional Remark]],7,FALSE)</f>
        <v>0</v>
      </c>
      <c r="D274" s="192" t="str">
        <f>VLOOKUP(A:A,Table1[[#All],[Project No]:[Additional Remark]],4,FALSE)</f>
        <v>Simon</v>
      </c>
      <c r="E274" s="201">
        <f>VLOOKUP(A:A,Table1[[#All],[Project No]:[Additional Remark]],5,FALSE)</f>
        <v>0</v>
      </c>
      <c r="F274" s="201">
        <f>VLOOKUP(A:A,Table1[[Project No]:[Additional Remark]],6,FALSE)</f>
        <v>0</v>
      </c>
      <c r="G274" s="201">
        <f>VLOOKUP(A:A,Table1[[Project No]:[Additional Remark]],8,FALSE)</f>
        <v>0</v>
      </c>
      <c r="H274" s="201" t="str">
        <f>VLOOKUP(A:A,Table1[[Project No]:[Additional Remark]],15,FALSE)</f>
        <v>Astronergy 590Wp</v>
      </c>
      <c r="I274" s="201">
        <f>VLOOKUP(A:A,Table1[[Project No]:[Additional Remark]],16,FALSE)</f>
        <v>15</v>
      </c>
      <c r="J274" s="203" t="str">
        <f>VLOOKUP(A:A,Table1[[Project No]:[Additional Remark]],17,FALSE)</f>
        <v>Solax 8kW</v>
      </c>
      <c r="K274" s="204"/>
      <c r="L274" s="203" t="str">
        <f t="shared" si="8"/>
        <v>Pending Site Installation</v>
      </c>
      <c r="M274" s="203" t="str">
        <f>VLOOKUP(A:A,'Finance Tracker'!A269:K509,8,FALSE)</f>
        <v>1st invoice</v>
      </c>
      <c r="N274" s="204"/>
      <c r="O274" s="206" t="s">
        <v>109</v>
      </c>
      <c r="P274" s="206" t="s">
        <v>109</v>
      </c>
      <c r="Q274" s="204"/>
      <c r="R274" s="205">
        <v>45773</v>
      </c>
      <c r="S274" s="205">
        <v>45776</v>
      </c>
      <c r="T274" s="203" t="s">
        <v>1819</v>
      </c>
      <c r="U274" s="205">
        <v>46137</v>
      </c>
      <c r="V274" s="206" t="s">
        <v>1853</v>
      </c>
      <c r="W274" s="203" t="s">
        <v>1853</v>
      </c>
      <c r="X274" s="201" t="s">
        <v>109</v>
      </c>
      <c r="Y274" s="201" t="s">
        <v>1853</v>
      </c>
      <c r="Z274" s="201"/>
      <c r="AA274" s="206"/>
      <c r="AB274" s="206">
        <v>45777</v>
      </c>
      <c r="AC274" s="203"/>
      <c r="AD274" s="203"/>
      <c r="AE274" s="206"/>
      <c r="AF274" s="206"/>
      <c r="AG274" s="201"/>
      <c r="AH274" s="201"/>
      <c r="AI274" s="207"/>
      <c r="AJ274" s="201" t="s">
        <v>109</v>
      </c>
      <c r="AK274" s="201" t="s">
        <v>109</v>
      </c>
      <c r="AL274" s="201" t="s">
        <v>109</v>
      </c>
      <c r="AM274" s="201" t="s">
        <v>109</v>
      </c>
      <c r="AP274" s="203">
        <f t="shared" si="10"/>
        <v>3</v>
      </c>
      <c r="AQ274" s="209"/>
    </row>
    <row r="275" spans="1:43" s="244" customFormat="1" ht="18.75" customHeight="1" x14ac:dyDescent="0.3">
      <c r="A275" s="237">
        <f>Table1[[#This Row],[Project No]]</f>
        <v>2504643</v>
      </c>
      <c r="B275" s="238" t="str">
        <f>VLOOKUP(A:A,Table1[[Project No]:[Additional Remark]],2,FALSE)</f>
        <v>Lee Sui Lian</v>
      </c>
      <c r="C275" s="237" t="e" vm="11">
        <f>VLOOKUP(A:A,Table1[[#All],[Project No]:[Additional Remark]],7,FALSE)</f>
        <v>#VALUE!</v>
      </c>
      <c r="D275" s="237" t="str">
        <f>VLOOKUP(A:A,Table1[[#All],[Project No]:[Additional Remark]],4,FALSE)</f>
        <v>Patricia</v>
      </c>
      <c r="E275" s="237" t="str">
        <f>VLOOKUP(A:A,Table1[[#All],[Project No]:[Additional Remark]],5,FALSE)</f>
        <v>R-PV</v>
      </c>
      <c r="F275" s="237" t="str">
        <f>VLOOKUP(A:A,Table1[[Project No]:[Additional Remark]],6,FALSE)</f>
        <v>NEM</v>
      </c>
      <c r="G275" s="237">
        <f>VLOOKUP(A:A,Table1[[Project No]:[Additional Remark]],8,FALSE)</f>
        <v>17.7</v>
      </c>
      <c r="H275" s="237" t="str">
        <f>VLOOKUP(A:A,Table1[[Project No]:[Additional Remark]],15,FALSE)</f>
        <v>Astronergy 590Wp</v>
      </c>
      <c r="I275" s="237">
        <f>VLOOKUP(A:A,Table1[[Project No]:[Additional Remark]],16,FALSE)</f>
        <v>30</v>
      </c>
      <c r="J275" s="239" t="str">
        <f>VLOOKUP(A:A,Table1[[Project No]:[Additional Remark]],17,FALSE)</f>
        <v>Huawei SUN2000-12KTL</v>
      </c>
      <c r="K275" s="240"/>
      <c r="L275" s="239" t="str">
        <f t="shared" si="8"/>
        <v>Pending NEM Welcome Letter</v>
      </c>
      <c r="M275" s="239" t="str">
        <f>VLOOKUP(A:A,'Finance Tracker'!A270:K510,8,FALSE)</f>
        <v>Invoice Completed</v>
      </c>
      <c r="N275" s="240"/>
      <c r="O275" s="242" t="s">
        <v>109</v>
      </c>
      <c r="P275" s="242" t="s">
        <v>109</v>
      </c>
      <c r="Q275" s="240"/>
      <c r="R275" s="241">
        <v>45773</v>
      </c>
      <c r="S275" s="241">
        <v>45784</v>
      </c>
      <c r="T275" s="239" t="s">
        <v>1819</v>
      </c>
      <c r="U275" s="241"/>
      <c r="V275" s="242" t="s">
        <v>1853</v>
      </c>
      <c r="W275" s="239" t="s">
        <v>1853</v>
      </c>
      <c r="X275" s="237" t="s">
        <v>109</v>
      </c>
      <c r="Y275" s="237" t="s">
        <v>1853</v>
      </c>
      <c r="Z275" s="237" t="s">
        <v>1854</v>
      </c>
      <c r="AA275" s="242">
        <v>45798</v>
      </c>
      <c r="AB275" s="242">
        <v>45804</v>
      </c>
      <c r="AC275" s="239" t="s">
        <v>1853</v>
      </c>
      <c r="AD275" s="239" t="s">
        <v>1853</v>
      </c>
      <c r="AE275" s="242">
        <v>45832</v>
      </c>
      <c r="AF275" s="242" t="s">
        <v>1853</v>
      </c>
      <c r="AG275" s="237"/>
      <c r="AH275" s="237"/>
      <c r="AI275" s="243"/>
      <c r="AJ275" s="237" t="s">
        <v>109</v>
      </c>
      <c r="AK275" s="237" t="s">
        <v>109</v>
      </c>
      <c r="AL275" s="237" t="s">
        <v>109</v>
      </c>
      <c r="AM275" s="237" t="s">
        <v>109</v>
      </c>
      <c r="AP275" s="239">
        <f t="shared" si="10"/>
        <v>11</v>
      </c>
      <c r="AQ275" s="245"/>
    </row>
    <row r="276" spans="1:43" s="244" customFormat="1" ht="18.75" customHeight="1" x14ac:dyDescent="0.3">
      <c r="A276" s="237">
        <f>Table1[[#This Row],[Project No]]</f>
        <v>2504663</v>
      </c>
      <c r="B276" s="238" t="str">
        <f>VLOOKUP(A:A,Table1[[Project No]:[Additional Remark]],2,FALSE)</f>
        <v>Too Seng Eng</v>
      </c>
      <c r="C276" s="237" t="e" vm="11">
        <f>VLOOKUP(A:A,Table1[[#All],[Project No]:[Additional Remark]],7,FALSE)</f>
        <v>#VALUE!</v>
      </c>
      <c r="D276" s="237" t="str">
        <f>VLOOKUP(A:A,Table1[[#All],[Project No]:[Additional Remark]],4,FALSE)</f>
        <v>Patricia</v>
      </c>
      <c r="E276" s="237" t="str">
        <f>VLOOKUP(A:A,Table1[[#All],[Project No]:[Additional Remark]],5,FALSE)</f>
        <v>R-PV</v>
      </c>
      <c r="F276" s="237" t="str">
        <f>VLOOKUP(A:A,Table1[[Project No]:[Additional Remark]],6,FALSE)</f>
        <v>NEM</v>
      </c>
      <c r="G276" s="237">
        <f>VLOOKUP(A:A,Table1[[Project No]:[Additional Remark]],8,FALSE)</f>
        <v>7.08</v>
      </c>
      <c r="H276" s="237" t="str">
        <f>VLOOKUP(A:A,Table1[[Project No]:[Additional Remark]],15,FALSE)</f>
        <v>Astronergy 590Wp</v>
      </c>
      <c r="I276" s="237">
        <f>VLOOKUP(A:A,Table1[[Project No]:[Additional Remark]],16,FALSE)</f>
        <v>12</v>
      </c>
      <c r="J276" s="239" t="str">
        <f>VLOOKUP(A:A,Table1[[Project No]:[Additional Remark]],17,FALSE)</f>
        <v>Huawei SUN2000-6KTL-M1</v>
      </c>
      <c r="K276" s="240"/>
      <c r="L276" s="239" t="str">
        <f t="shared" si="8"/>
        <v>Pending NEM Welcome Letter</v>
      </c>
      <c r="M276" s="239" t="str">
        <f>VLOOKUP(A:A,'Finance Tracker'!A271:K511,8,FALSE)</f>
        <v>Invoice Completed</v>
      </c>
      <c r="N276" s="240"/>
      <c r="O276" s="242" t="s">
        <v>109</v>
      </c>
      <c r="P276" s="242" t="s">
        <v>109</v>
      </c>
      <c r="Q276" s="240"/>
      <c r="R276" s="241">
        <v>45773</v>
      </c>
      <c r="S276" s="241">
        <v>45775</v>
      </c>
      <c r="T276" s="239" t="s">
        <v>1819</v>
      </c>
      <c r="U276" s="241"/>
      <c r="V276" s="242" t="s">
        <v>1853</v>
      </c>
      <c r="W276" s="239" t="s">
        <v>1853</v>
      </c>
      <c r="X276" s="237" t="s">
        <v>109</v>
      </c>
      <c r="Y276" s="237" t="s">
        <v>1853</v>
      </c>
      <c r="Z276" s="237" t="s">
        <v>1854</v>
      </c>
      <c r="AA276" s="242">
        <v>45805</v>
      </c>
      <c r="AB276" s="242">
        <v>45777</v>
      </c>
      <c r="AC276" s="239" t="s">
        <v>1853</v>
      </c>
      <c r="AD276" s="239" t="s">
        <v>1853</v>
      </c>
      <c r="AE276" s="242">
        <v>45806</v>
      </c>
      <c r="AF276" s="242" t="s">
        <v>1853</v>
      </c>
      <c r="AG276" s="237"/>
      <c r="AH276" s="237"/>
      <c r="AI276" s="243"/>
      <c r="AJ276" s="237" t="s">
        <v>109</v>
      </c>
      <c r="AK276" s="237" t="s">
        <v>109</v>
      </c>
      <c r="AL276" s="237" t="s">
        <v>109</v>
      </c>
      <c r="AM276" s="237" t="s">
        <v>109</v>
      </c>
      <c r="AP276" s="239">
        <f t="shared" si="10"/>
        <v>2</v>
      </c>
      <c r="AQ276" s="245"/>
    </row>
    <row r="277" spans="1:43" s="199" customFormat="1" ht="18.75" customHeight="1" x14ac:dyDescent="0.3">
      <c r="A277" s="192">
        <f>Table1[[#This Row],[Project No]]</f>
        <v>2504671</v>
      </c>
      <c r="B277" s="193" t="str">
        <f>VLOOKUP(A:A,Table1[[Project No]:[Additional Remark]],2,FALSE)</f>
        <v>Anthony Phua Kin Loong</v>
      </c>
      <c r="C277" s="192" t="e" vm="11">
        <f>VLOOKUP(A:A,Table1[[#All],[Project No]:[Additional Remark]],7,FALSE)</f>
        <v>#VALUE!</v>
      </c>
      <c r="D277" s="192" t="str">
        <f>VLOOKUP(A:A,Table1[[#All],[Project No]:[Additional Remark]],4,FALSE)</f>
        <v>Patricia</v>
      </c>
      <c r="E277" s="192" t="str">
        <f>VLOOKUP(A:A,Table1[[#All],[Project No]:[Additional Remark]],5,FALSE)</f>
        <v>R-PV</v>
      </c>
      <c r="F277" s="192" t="str">
        <f>VLOOKUP(A:A,Table1[[Project No]:[Additional Remark]],6,FALSE)</f>
        <v>NEM</v>
      </c>
      <c r="G277" s="192">
        <f>VLOOKUP(A:A,Table1[[Project No]:[Additional Remark]],8,FALSE)</f>
        <v>17.7</v>
      </c>
      <c r="H277" s="192" t="str">
        <f>VLOOKUP(A:A,Table1[[Project No]:[Additional Remark]],15,FALSE)</f>
        <v>Astronergy 590Wp</v>
      </c>
      <c r="I277" s="192">
        <f>VLOOKUP(A:A,Table1[[Project No]:[Additional Remark]],16,FALSE)</f>
        <v>30</v>
      </c>
      <c r="J277" s="194" t="str">
        <f>VLOOKUP(A:A,Table1[[Project No]:[Additional Remark]],17,FALSE)</f>
        <v>Huawei SUN2000-12KTL</v>
      </c>
      <c r="K277" s="195"/>
      <c r="L277" s="194" t="str">
        <f t="shared" si="8"/>
        <v>Pending Site Installation</v>
      </c>
      <c r="M277" s="194" t="str">
        <f>VLOOKUP(A:A,'Finance Tracker'!A272:K512,8,FALSE)</f>
        <v>1st invoice</v>
      </c>
      <c r="N277" s="195"/>
      <c r="O277" s="197" t="s">
        <v>109</v>
      </c>
      <c r="P277" s="197" t="s">
        <v>109</v>
      </c>
      <c r="Q277" s="195"/>
      <c r="R277" s="196">
        <v>45783</v>
      </c>
      <c r="S277" s="196">
        <v>45845</v>
      </c>
      <c r="T277" s="194" t="s">
        <v>1819</v>
      </c>
      <c r="U277" s="196">
        <v>46147</v>
      </c>
      <c r="V277" s="197" t="s">
        <v>1853</v>
      </c>
      <c r="W277" s="194" t="s">
        <v>1853</v>
      </c>
      <c r="X277" s="192" t="s">
        <v>109</v>
      </c>
      <c r="Y277" s="192" t="s">
        <v>1853</v>
      </c>
      <c r="Z277" s="192"/>
      <c r="AA277" s="197"/>
      <c r="AB277" s="197">
        <v>45795</v>
      </c>
      <c r="AC277" s="194" t="s">
        <v>1853</v>
      </c>
      <c r="AD277" s="197">
        <v>45810</v>
      </c>
      <c r="AE277" s="197" t="s">
        <v>1853</v>
      </c>
      <c r="AF277" s="197">
        <v>45810</v>
      </c>
      <c r="AG277" s="192"/>
      <c r="AH277" s="192"/>
      <c r="AI277" s="198"/>
      <c r="AJ277" s="192" t="s">
        <v>109</v>
      </c>
      <c r="AK277" s="192" t="s">
        <v>109</v>
      </c>
      <c r="AL277" s="192" t="s">
        <v>109</v>
      </c>
      <c r="AM277" s="192" t="s">
        <v>109</v>
      </c>
      <c r="AP277" s="194">
        <f t="shared" si="10"/>
        <v>62</v>
      </c>
      <c r="AQ277" s="200"/>
    </row>
    <row r="278" spans="1:43" ht="18.75" customHeight="1" x14ac:dyDescent="0.3">
      <c r="A278" s="4">
        <f>Table1[[#This Row],[Project No]]</f>
        <v>2506644</v>
      </c>
      <c r="B278" s="110" t="str">
        <f>VLOOKUP(A:A,Table1[[Project No]:[Additional Remark]],2,FALSE)</f>
        <v>Chang Kok Sang (Chang Vun Yu)</v>
      </c>
      <c r="C278" s="4" t="e" vm="5">
        <f>VLOOKUP(A:A,Table1[[#All],[Project No]:[Additional Remark]],7,FALSE)</f>
        <v>#VALUE!</v>
      </c>
      <c r="D278" s="4" t="str">
        <f>VLOOKUP(A:A,Table1[[#All],[Project No]:[Additional Remark]],4,FALSE)</f>
        <v>Tham</v>
      </c>
      <c r="E278" s="4" t="str">
        <f>VLOOKUP(A:A,Table1[[#All],[Project No]:[Additional Remark]],5,FALSE)</f>
        <v>R-PV</v>
      </c>
      <c r="F278" s="4" t="str">
        <f>VLOOKUP(A:A,Table1[[Project No]:[Additional Remark]],6,FALSE)</f>
        <v>NEM</v>
      </c>
      <c r="G278" s="4">
        <f>VLOOKUP(A:A,Table1[[Project No]:[Additional Remark]],8,FALSE)</f>
        <v>7.08</v>
      </c>
      <c r="H278" s="4" t="str">
        <f>VLOOKUP(A:A,Table1[[Project No]:[Additional Remark]],15,FALSE)</f>
        <v>Astronergy 590Wp</v>
      </c>
      <c r="I278" s="4">
        <f>VLOOKUP(A:A,Table1[[Project No]:[Additional Remark]],16,FALSE)</f>
        <v>12</v>
      </c>
      <c r="J278" s="1" t="str">
        <f>VLOOKUP(A:A,Table1[[Project No]:[Additional Remark]],17,FALSE)</f>
        <v>Huawei SUN2000-5KTL-L1</v>
      </c>
      <c r="K278" s="127"/>
      <c r="L278" s="1" t="str">
        <f t="shared" si="8"/>
        <v>Completed</v>
      </c>
      <c r="M278" s="1" t="str">
        <f>VLOOKUP(A:A,'Finance Tracker'!A273:K513,8,FALSE)</f>
        <v>Invoice Completed</v>
      </c>
      <c r="N278" s="127"/>
      <c r="O278" s="39" t="s">
        <v>109</v>
      </c>
      <c r="P278" s="39" t="s">
        <v>109</v>
      </c>
      <c r="Q278" s="127"/>
      <c r="R278" s="56">
        <v>45783</v>
      </c>
      <c r="S278" s="56">
        <v>45811</v>
      </c>
      <c r="T278" s="1" t="s">
        <v>1819</v>
      </c>
      <c r="U278" s="56"/>
      <c r="V278" s="39" t="s">
        <v>1853</v>
      </c>
      <c r="W278" s="1" t="s">
        <v>1853</v>
      </c>
      <c r="X278" s="4" t="s">
        <v>109</v>
      </c>
      <c r="Y278" s="4" t="s">
        <v>1853</v>
      </c>
      <c r="Z278" s="4" t="s">
        <v>1855</v>
      </c>
      <c r="AA278" s="39">
        <v>45811</v>
      </c>
      <c r="AB278" s="39">
        <v>45825</v>
      </c>
      <c r="AC278" s="1" t="s">
        <v>1853</v>
      </c>
      <c r="AD278" s="39">
        <v>45827</v>
      </c>
      <c r="AE278" s="39" t="s">
        <v>1853</v>
      </c>
      <c r="AF278" s="39">
        <v>45827</v>
      </c>
      <c r="AG278" s="39">
        <v>45827</v>
      </c>
      <c r="AH278" s="39">
        <v>49490</v>
      </c>
      <c r="AJ278" s="4" t="s">
        <v>109</v>
      </c>
      <c r="AK278" s="4" t="s">
        <v>109</v>
      </c>
      <c r="AL278" s="4" t="s">
        <v>109</v>
      </c>
      <c r="AM278" s="4" t="s">
        <v>109</v>
      </c>
      <c r="AP278" s="1">
        <f t="shared" si="10"/>
        <v>28</v>
      </c>
    </row>
    <row r="279" spans="1:43" s="199" customFormat="1" ht="18.75" customHeight="1" x14ac:dyDescent="0.3">
      <c r="A279" s="192">
        <f>Table1[[#This Row],[Project No]]</f>
        <v>2505675</v>
      </c>
      <c r="B279" s="193" t="str">
        <f>VLOOKUP(A:A,Table1[[Project No]:[Additional Remark]],2,FALSE)</f>
        <v>Tee Hup Soon</v>
      </c>
      <c r="C279" s="192" t="e" vm="11">
        <f>VLOOKUP(A:A,Table1[[#All],[Project No]:[Additional Remark]],7,FALSE)</f>
        <v>#VALUE!</v>
      </c>
      <c r="D279" s="192" t="str">
        <f>VLOOKUP(A:A,Table1[[#All],[Project No]:[Additional Remark]],4,FALSE)</f>
        <v>Patricia</v>
      </c>
      <c r="E279" s="192" t="str">
        <f>VLOOKUP(A:A,Table1[[#All],[Project No]:[Additional Remark]],5,FALSE)</f>
        <v>R-PV</v>
      </c>
      <c r="F279" s="192" t="str">
        <f>VLOOKUP(A:A,Table1[[Project No]:[Additional Remark]],6,FALSE)</f>
        <v>NEM</v>
      </c>
      <c r="G279" s="192">
        <f>VLOOKUP(A:A,Table1[[Project No]:[Additional Remark]],8,FALSE)</f>
        <v>15.34</v>
      </c>
      <c r="H279" s="192" t="str">
        <f>VLOOKUP(A:A,Table1[[Project No]:[Additional Remark]],15,FALSE)</f>
        <v>Astronergy 590Wp</v>
      </c>
      <c r="I279" s="192">
        <f>VLOOKUP(A:A,Table1[[Project No]:[Additional Remark]],16,FALSE)</f>
        <v>26</v>
      </c>
      <c r="J279" s="194" t="str">
        <f>VLOOKUP(A:A,Table1[[Project No]:[Additional Remark]],17,FALSE)</f>
        <v>Huawei SUN2000-12KTL</v>
      </c>
      <c r="K279" s="195"/>
      <c r="L279" s="194" t="str">
        <f t="shared" si="8"/>
        <v>Pending Site Installation</v>
      </c>
      <c r="M279" s="194" t="str">
        <f>VLOOKUP(A:A,'Finance Tracker'!A274:K514,8,FALSE)</f>
        <v>1st invoice</v>
      </c>
      <c r="N279" s="195"/>
      <c r="O279" s="197" t="s">
        <v>109</v>
      </c>
      <c r="P279" s="197" t="s">
        <v>109</v>
      </c>
      <c r="Q279" s="195"/>
      <c r="R279" s="196">
        <v>45783</v>
      </c>
      <c r="S279" s="196">
        <v>45869</v>
      </c>
      <c r="T279" s="194" t="s">
        <v>1819</v>
      </c>
      <c r="U279" s="196">
        <v>46147</v>
      </c>
      <c r="V279" s="197" t="s">
        <v>1853</v>
      </c>
      <c r="W279" s="194" t="s">
        <v>1853</v>
      </c>
      <c r="X279" s="192" t="s">
        <v>109</v>
      </c>
      <c r="Y279" s="192" t="s">
        <v>1853</v>
      </c>
      <c r="Z279" s="192"/>
      <c r="AA279" s="197"/>
      <c r="AB279" s="197"/>
      <c r="AC279" s="194"/>
      <c r="AD279" s="194"/>
      <c r="AE279" s="197"/>
      <c r="AF279" s="197"/>
      <c r="AG279" s="192"/>
      <c r="AH279" s="192"/>
      <c r="AI279" s="198"/>
      <c r="AJ279" s="192" t="s">
        <v>109</v>
      </c>
      <c r="AK279" s="192" t="s">
        <v>109</v>
      </c>
      <c r="AL279" s="192" t="s">
        <v>109</v>
      </c>
      <c r="AM279" s="192" t="s">
        <v>109</v>
      </c>
      <c r="AP279" s="194">
        <f t="shared" si="10"/>
        <v>86</v>
      </c>
      <c r="AQ279" s="200"/>
    </row>
    <row r="280" spans="1:43" s="244" customFormat="1" ht="18.75" customHeight="1" x14ac:dyDescent="0.3">
      <c r="A280" s="237">
        <f>Table1[[#This Row],[Project No]]</f>
        <v>2502564</v>
      </c>
      <c r="B280" s="238" t="str">
        <f>VLOOKUP(A:A,Table1[[Project No]:[Additional Remark]],2,FALSE)</f>
        <v>Muhammad Arif Stephen bin Abddullah</v>
      </c>
      <c r="C280" s="237" t="e" vm="5">
        <f>VLOOKUP(A:A,Table1[[#All],[Project No]:[Additional Remark]],7,FALSE)</f>
        <v>#VALUE!</v>
      </c>
      <c r="D280" s="237" t="str">
        <f>VLOOKUP(A:A,Table1[[#All],[Project No]:[Additional Remark]],4,FALSE)</f>
        <v>Simon</v>
      </c>
      <c r="E280" s="237" t="str">
        <f>VLOOKUP(A:A,Table1[[#All],[Project No]:[Additional Remark]],5,FALSE)</f>
        <v>R-PV</v>
      </c>
      <c r="F280" s="237" t="str">
        <f>VLOOKUP(A:A,Table1[[Project No]:[Additional Remark]],6,FALSE)</f>
        <v>NEM</v>
      </c>
      <c r="G280" s="237">
        <f>VLOOKUP(A:A,Table1[[Project No]:[Additional Remark]],8,FALSE)</f>
        <v>17.7</v>
      </c>
      <c r="H280" s="237" t="str">
        <f>VLOOKUP(A:A,Table1[[Project No]:[Additional Remark]],15,FALSE)</f>
        <v>Astronergy 590Wp</v>
      </c>
      <c r="I280" s="237">
        <f>VLOOKUP(A:A,Table1[[Project No]:[Additional Remark]],16,FALSE)</f>
        <v>30</v>
      </c>
      <c r="J280" s="239" t="str">
        <f>VLOOKUP(A:A,Table1[[Project No]:[Additional Remark]],17,FALSE)</f>
        <v>Solinteg MHT-12K-25 hybrid</v>
      </c>
      <c r="K280" s="240"/>
      <c r="L280" s="239" t="str">
        <f t="shared" si="8"/>
        <v>Pending NEM Welcome Letter</v>
      </c>
      <c r="M280" s="239" t="str">
        <f>VLOOKUP(A:A,'Finance Tracker'!A275:K515,8,FALSE)</f>
        <v>1st invoice</v>
      </c>
      <c r="N280" s="240"/>
      <c r="O280" s="242" t="s">
        <v>109</v>
      </c>
      <c r="P280" s="242" t="s">
        <v>109</v>
      </c>
      <c r="Q280" s="240"/>
      <c r="R280" s="241">
        <v>45790</v>
      </c>
      <c r="S280" s="241">
        <v>45797</v>
      </c>
      <c r="T280" s="239" t="s">
        <v>1819</v>
      </c>
      <c r="U280" s="241">
        <v>46154</v>
      </c>
      <c r="V280" s="242" t="s">
        <v>1853</v>
      </c>
      <c r="W280" s="239" t="s">
        <v>1853</v>
      </c>
      <c r="X280" s="237" t="s">
        <v>109</v>
      </c>
      <c r="Y280" s="237" t="s">
        <v>1853</v>
      </c>
      <c r="Z280" s="237" t="s">
        <v>1855</v>
      </c>
      <c r="AA280" s="242">
        <v>45800</v>
      </c>
      <c r="AB280" s="242">
        <v>45807</v>
      </c>
      <c r="AC280" s="239" t="s">
        <v>1853</v>
      </c>
      <c r="AD280" s="246">
        <v>45817</v>
      </c>
      <c r="AE280" s="242">
        <v>45826</v>
      </c>
      <c r="AF280" s="242" t="s">
        <v>1853</v>
      </c>
      <c r="AG280" s="237"/>
      <c r="AH280" s="237"/>
      <c r="AI280" s="243"/>
      <c r="AJ280" s="237" t="s">
        <v>109</v>
      </c>
      <c r="AK280" s="237" t="s">
        <v>109</v>
      </c>
      <c r="AL280" s="237" t="s">
        <v>109</v>
      </c>
      <c r="AM280" s="237" t="s">
        <v>109</v>
      </c>
      <c r="AP280" s="239">
        <f t="shared" si="10"/>
        <v>7</v>
      </c>
      <c r="AQ280" s="245"/>
    </row>
    <row r="281" spans="1:43" s="181" customFormat="1" ht="18.75" customHeight="1" x14ac:dyDescent="0.3">
      <c r="A281" s="174">
        <f>Table1[[#This Row],[Project No]]</f>
        <v>2504664</v>
      </c>
      <c r="B281" s="175" t="str">
        <f>VLOOKUP(A:A,Table1[[Project No]:[Additional Remark]],2,FALSE)</f>
        <v>Law Meng Siong</v>
      </c>
      <c r="C281" s="174" t="e" vm="11">
        <f>VLOOKUP(A:A,Table1[[#All],[Project No]:[Additional Remark]],7,FALSE)</f>
        <v>#VALUE!</v>
      </c>
      <c r="D281" s="174" t="str">
        <f>VLOOKUP(A:A,Table1[[#All],[Project No]:[Additional Remark]],4,FALSE)</f>
        <v>Patricia</v>
      </c>
      <c r="E281" s="174" t="str">
        <f>VLOOKUP(A:A,Table1[[#All],[Project No]:[Additional Remark]],5,FALSE)</f>
        <v>R-PV</v>
      </c>
      <c r="F281" s="174" t="str">
        <f>VLOOKUP(A:A,Table1[[Project No]:[Additional Remark]],6,FALSE)</f>
        <v>NEM</v>
      </c>
      <c r="G281" s="174">
        <f>VLOOKUP(A:A,Table1[[Project No]:[Additional Remark]],8,FALSE)</f>
        <v>17.7</v>
      </c>
      <c r="H281" s="174" t="str">
        <f>VLOOKUP(A:A,Table1[[Project No]:[Additional Remark]],15,FALSE)</f>
        <v>Astronergy 590Wp</v>
      </c>
      <c r="I281" s="174">
        <f>VLOOKUP(A:A,Table1[[Project No]:[Additional Remark]],16,FALSE)</f>
        <v>30</v>
      </c>
      <c r="J281" s="176" t="str">
        <f>VLOOKUP(A:A,Table1[[Project No]:[Additional Remark]],17,FALSE)</f>
        <v>Huawei SUN2000-12KTL</v>
      </c>
      <c r="K281" s="177"/>
      <c r="L281" s="176" t="str">
        <f t="shared" si="8"/>
        <v>Pending NEM Qouta Approval</v>
      </c>
      <c r="M281" s="176" t="str">
        <f>VLOOKUP(A:A,'Finance Tracker'!A276:K516,8,FALSE)</f>
        <v>1st invoice</v>
      </c>
      <c r="N281" s="177"/>
      <c r="O281" s="179" t="s">
        <v>109</v>
      </c>
      <c r="P281" s="179" t="s">
        <v>109</v>
      </c>
      <c r="Q281" s="177"/>
      <c r="R281" s="178">
        <v>45790</v>
      </c>
      <c r="S281" s="178"/>
      <c r="T281" s="176" t="s">
        <v>1815</v>
      </c>
      <c r="U281" s="178"/>
      <c r="V281" s="179" t="s">
        <v>1853</v>
      </c>
      <c r="W281" s="176" t="s">
        <v>1853</v>
      </c>
      <c r="X281" s="174" t="s">
        <v>109</v>
      </c>
      <c r="Y281" s="174" t="s">
        <v>1853</v>
      </c>
      <c r="Z281" s="174"/>
      <c r="AA281" s="179"/>
      <c r="AB281" s="179"/>
      <c r="AC281" s="176"/>
      <c r="AD281" s="176"/>
      <c r="AE281" s="179"/>
      <c r="AF281" s="179"/>
      <c r="AG281" s="174"/>
      <c r="AH281" s="174"/>
      <c r="AI281" s="180"/>
      <c r="AJ281" s="174" t="s">
        <v>109</v>
      </c>
      <c r="AK281" s="174" t="s">
        <v>109</v>
      </c>
      <c r="AL281" s="174" t="s">
        <v>109</v>
      </c>
      <c r="AM281" s="174" t="s">
        <v>109</v>
      </c>
      <c r="AP281" s="176">
        <f t="shared" si="10"/>
        <v>-45790</v>
      </c>
      <c r="AQ281" s="182"/>
    </row>
    <row r="282" spans="1:43" ht="18.75" customHeight="1" x14ac:dyDescent="0.3">
      <c r="A282" s="4">
        <f>Table1[[#This Row],[Project No]]</f>
        <v>2504651</v>
      </c>
      <c r="B282" s="110" t="str">
        <f>VLOOKUP(A:A,Table1[[Project No]:[Additional Remark]],2,FALSE)</f>
        <v>Teh Bat Kuan (Teh Eng Lim)</v>
      </c>
      <c r="C282" s="4" t="e" vm="4">
        <f>VLOOKUP(A:A,Table1[[#All],[Project No]:[Additional Remark]],7,FALSE)</f>
        <v>#VALUE!</v>
      </c>
      <c r="D282" s="4" t="str">
        <f>VLOOKUP(A:A,Table1[[#All],[Project No]:[Additional Remark]],4,FALSE)</f>
        <v>Tham</v>
      </c>
      <c r="E282" s="4" t="str">
        <f>VLOOKUP(A:A,Table1[[#All],[Project No]:[Additional Remark]],5,FALSE)</f>
        <v>R-PV</v>
      </c>
      <c r="F282" s="4" t="str">
        <f>VLOOKUP(A:A,Table1[[Project No]:[Additional Remark]],6,FALSE)</f>
        <v>NEM</v>
      </c>
      <c r="G282" s="4">
        <f>VLOOKUP(A:A,Table1[[Project No]:[Additional Remark]],8,FALSE)</f>
        <v>14.16</v>
      </c>
      <c r="H282" s="4" t="str">
        <f>VLOOKUP(A:A,Table1[[Project No]:[Additional Remark]],15,FALSE)</f>
        <v>Astronergy 590Wp</v>
      </c>
      <c r="I282" s="4">
        <f>VLOOKUP(A:A,Table1[[Project No]:[Additional Remark]],16,FALSE)</f>
        <v>24</v>
      </c>
      <c r="J282" s="1" t="str">
        <f>VLOOKUP(A:A,Table1[[Project No]:[Additional Remark]],17,FALSE)</f>
        <v>Huawei SUN2000-12KTL</v>
      </c>
      <c r="K282" s="127"/>
      <c r="L282" s="1" t="str">
        <f t="shared" si="8"/>
        <v>Completed</v>
      </c>
      <c r="M282" s="1" t="str">
        <f>VLOOKUP(A:A,'Finance Tracker'!A277:K517,8,FALSE)</f>
        <v>Invoice Completed</v>
      </c>
      <c r="N282" s="127"/>
      <c r="O282" s="39" t="s">
        <v>109</v>
      </c>
      <c r="P282" s="39" t="s">
        <v>109</v>
      </c>
      <c r="Q282" s="127"/>
      <c r="R282" s="56">
        <v>45791</v>
      </c>
      <c r="S282" s="56">
        <v>45797</v>
      </c>
      <c r="T282" s="1" t="s">
        <v>1819</v>
      </c>
      <c r="U282" s="56"/>
      <c r="V282" s="39" t="s">
        <v>1853</v>
      </c>
      <c r="W282" s="1" t="s">
        <v>1853</v>
      </c>
      <c r="X282" s="4" t="s">
        <v>109</v>
      </c>
      <c r="Y282" s="4" t="s">
        <v>1853</v>
      </c>
      <c r="Z282" s="4" t="s">
        <v>1853</v>
      </c>
      <c r="AA282" s="39">
        <v>45821</v>
      </c>
      <c r="AB282" s="39" t="s">
        <v>1853</v>
      </c>
      <c r="AC282" s="1" t="s">
        <v>1853</v>
      </c>
      <c r="AD282" s="1" t="s">
        <v>1853</v>
      </c>
      <c r="AE282" s="39">
        <v>45842</v>
      </c>
      <c r="AF282" s="39">
        <v>45848</v>
      </c>
      <c r="AG282" s="39">
        <v>45848</v>
      </c>
      <c r="AH282" s="39">
        <v>49521</v>
      </c>
      <c r="AJ282" s="4" t="s">
        <v>109</v>
      </c>
      <c r="AK282" s="4" t="s">
        <v>109</v>
      </c>
      <c r="AL282" s="4" t="s">
        <v>109</v>
      </c>
      <c r="AM282" s="4" t="s">
        <v>109</v>
      </c>
      <c r="AP282" s="1">
        <f t="shared" si="10"/>
        <v>6</v>
      </c>
    </row>
    <row r="283" spans="1:43" ht="18.75" customHeight="1" x14ac:dyDescent="0.3">
      <c r="A283" s="4">
        <f>Table1[[#This Row],[Project No]]</f>
        <v>2504049</v>
      </c>
      <c r="B283" s="110" t="str">
        <f>VLOOKUP(A:A,Table1[[Project No]:[Additional Remark]],2,FALSE)</f>
        <v>Ayer Keroh R&amp;R (Southbound) - Green EV Charge Sdn Bhd</v>
      </c>
      <c r="C283" s="4" t="e" vm="7">
        <f>VLOOKUP(A:A,Table1[[#All],[Project No]:[Additional Remark]],7,FALSE)</f>
        <v>#VALUE!</v>
      </c>
      <c r="D283" s="4" t="str">
        <f>VLOOKUP(A:A,Table1[[#All],[Project No]:[Additional Remark]],4,FALSE)</f>
        <v>Simon</v>
      </c>
      <c r="E283" s="4" t="str">
        <f>VLOOKUP(A:A,Table1[[#All],[Project No]:[Additional Remark]],5,FALSE)</f>
        <v>EV Charger</v>
      </c>
      <c r="F283" s="4">
        <f>VLOOKUP(A:A,Table1[[Project No]:[Additional Remark]],6,FALSE)</f>
        <v>0</v>
      </c>
      <c r="G283" s="4">
        <f>VLOOKUP(A:A,Table1[[Project No]:[Additional Remark]],8,FALSE)</f>
        <v>0</v>
      </c>
      <c r="H283" s="4" t="str">
        <f>VLOOKUP(A:A,Table1[[Project No]:[Additional Remark]],15,FALSE)</f>
        <v>-</v>
      </c>
      <c r="I283" s="4" t="str">
        <f>VLOOKUP(A:A,Table1[[Project No]:[Additional Remark]],16,FALSE)</f>
        <v>-</v>
      </c>
      <c r="J283" s="1" t="str">
        <f>VLOOKUP(A:A,Table1[[Project No]:[Additional Remark]],17,FALSE)</f>
        <v>-</v>
      </c>
      <c r="K283" s="127"/>
      <c r="L283" s="1" t="str">
        <f t="shared" si="8"/>
        <v>Completed</v>
      </c>
      <c r="M283" s="1" t="str">
        <f>VLOOKUP(A:A,'Finance Tracker'!A278:K518,8,FALSE)</f>
        <v>1st invoice</v>
      </c>
      <c r="N283" s="127"/>
      <c r="O283" s="39" t="s">
        <v>109</v>
      </c>
      <c r="P283" s="39" t="s">
        <v>109</v>
      </c>
      <c r="Q283" s="127"/>
      <c r="R283" s="56" t="s">
        <v>109</v>
      </c>
      <c r="S283" s="56" t="s">
        <v>109</v>
      </c>
      <c r="T283" s="56" t="s">
        <v>109</v>
      </c>
      <c r="U283" s="56" t="s">
        <v>109</v>
      </c>
      <c r="V283" s="39" t="s">
        <v>1853</v>
      </c>
      <c r="W283" s="1" t="s">
        <v>1853</v>
      </c>
      <c r="X283" s="4" t="s">
        <v>109</v>
      </c>
      <c r="Y283" s="4" t="s">
        <v>1853</v>
      </c>
      <c r="Z283" s="4" t="s">
        <v>1855</v>
      </c>
      <c r="AA283" s="39" t="s">
        <v>1853</v>
      </c>
      <c r="AB283" s="39" t="s">
        <v>109</v>
      </c>
      <c r="AC283" s="39" t="s">
        <v>109</v>
      </c>
      <c r="AD283" s="39" t="s">
        <v>109</v>
      </c>
      <c r="AE283" s="39" t="s">
        <v>109</v>
      </c>
      <c r="AF283" s="39" t="s">
        <v>109</v>
      </c>
      <c r="AG283" s="39" t="s">
        <v>109</v>
      </c>
      <c r="AH283" s="39" t="s">
        <v>109</v>
      </c>
      <c r="AJ283" s="4" t="s">
        <v>109</v>
      </c>
      <c r="AK283" s="4" t="s">
        <v>109</v>
      </c>
      <c r="AL283" s="4" t="s">
        <v>109</v>
      </c>
      <c r="AM283" s="4" t="s">
        <v>109</v>
      </c>
      <c r="AP283" s="1" t="e">
        <f t="shared" si="10"/>
        <v>#VALUE!</v>
      </c>
    </row>
    <row r="284" spans="1:43" s="244" customFormat="1" ht="18.75" customHeight="1" x14ac:dyDescent="0.3">
      <c r="A284" s="237">
        <f>Table1[[#This Row],[Project No]]</f>
        <v>2505686</v>
      </c>
      <c r="B284" s="238" t="str">
        <f>VLOOKUP(A:A,Table1[[Project No]:[Additional Remark]],2,FALSE)</f>
        <v>Lai Kwee Far</v>
      </c>
      <c r="C284" s="237" t="e" vm="11">
        <f>VLOOKUP(A:A,Table1[[#All],[Project No]:[Additional Remark]],7,FALSE)</f>
        <v>#VALUE!</v>
      </c>
      <c r="D284" s="237" t="str">
        <f>VLOOKUP(A:A,Table1[[#All],[Project No]:[Additional Remark]],4,FALSE)</f>
        <v>Patricia</v>
      </c>
      <c r="E284" s="237" t="str">
        <f>VLOOKUP(A:A,Table1[[#All],[Project No]:[Additional Remark]],5,FALSE)</f>
        <v>R-PV</v>
      </c>
      <c r="F284" s="237" t="str">
        <f>VLOOKUP(A:A,Table1[[Project No]:[Additional Remark]],6,FALSE)</f>
        <v>NEM</v>
      </c>
      <c r="G284" s="237">
        <f>VLOOKUP(A:A,Table1[[Project No]:[Additional Remark]],8,FALSE)</f>
        <v>7.08</v>
      </c>
      <c r="H284" s="237" t="str">
        <f>VLOOKUP(A:A,Table1[[Project No]:[Additional Remark]],15,FALSE)</f>
        <v>Astronergy 590Wp</v>
      </c>
      <c r="I284" s="237">
        <f>VLOOKUP(A:A,Table1[[Project No]:[Additional Remark]],16,FALSE)</f>
        <v>12</v>
      </c>
      <c r="J284" s="239" t="str">
        <f>VLOOKUP(A:A,Table1[[Project No]:[Additional Remark]],17,FALSE)</f>
        <v>Huawei SUN2000-5KTL-L1</v>
      </c>
      <c r="K284" s="240"/>
      <c r="L284" s="239" t="str">
        <f t="shared" si="8"/>
        <v>Pending NEM Welcome Letter</v>
      </c>
      <c r="M284" s="239" t="str">
        <f>VLOOKUP(A:A,'Finance Tracker'!A279:K519,8,FALSE)</f>
        <v>Invoice Completed</v>
      </c>
      <c r="N284" s="240"/>
      <c r="O284" s="242" t="s">
        <v>109</v>
      </c>
      <c r="P284" s="242" t="s">
        <v>109</v>
      </c>
      <c r="Q284" s="240"/>
      <c r="R284" s="241">
        <v>45791</v>
      </c>
      <c r="S284" s="241">
        <v>45811</v>
      </c>
      <c r="T284" s="239" t="s">
        <v>1819</v>
      </c>
      <c r="U284" s="241"/>
      <c r="V284" s="242" t="s">
        <v>1853</v>
      </c>
      <c r="W284" s="239" t="s">
        <v>1853</v>
      </c>
      <c r="X284" s="237" t="s">
        <v>109</v>
      </c>
      <c r="Y284" s="237" t="s">
        <v>1853</v>
      </c>
      <c r="Z284" s="237" t="s">
        <v>1854</v>
      </c>
      <c r="AA284" s="242">
        <v>45814</v>
      </c>
      <c r="AB284" s="242">
        <v>45818</v>
      </c>
      <c r="AC284" s="239" t="s">
        <v>1853</v>
      </c>
      <c r="AD284" s="242">
        <v>45827</v>
      </c>
      <c r="AE284" s="242" t="s">
        <v>1853</v>
      </c>
      <c r="AF284" s="242">
        <v>45827</v>
      </c>
      <c r="AG284" s="237"/>
      <c r="AH284" s="237"/>
      <c r="AI284" s="243"/>
      <c r="AJ284" s="237" t="s">
        <v>109</v>
      </c>
      <c r="AK284" s="237" t="s">
        <v>109</v>
      </c>
      <c r="AL284" s="237" t="s">
        <v>109</v>
      </c>
      <c r="AM284" s="237" t="s">
        <v>109</v>
      </c>
      <c r="AP284" s="239">
        <f t="shared" si="10"/>
        <v>20</v>
      </c>
      <c r="AQ284" s="245"/>
    </row>
    <row r="285" spans="1:43" s="244" customFormat="1" ht="18.75" customHeight="1" x14ac:dyDescent="0.3">
      <c r="A285" s="237">
        <f>Table1[[#This Row],[Project No]]</f>
        <v>2503603</v>
      </c>
      <c r="B285" s="238" t="str">
        <f>VLOOKUP(A:A,Table1[[Project No]:[Additional Remark]],2,FALSE)</f>
        <v>Dr Balbinder Singh a/l Gurbaksh Singh</v>
      </c>
      <c r="C285" s="237" t="e" vm="12">
        <f>VLOOKUP(A:A,Table1[[#All],[Project No]:[Additional Remark]],7,FALSE)</f>
        <v>#VALUE!</v>
      </c>
      <c r="D285" s="237" t="str">
        <f>VLOOKUP(A:A,Table1[[#All],[Project No]:[Additional Remark]],4,FALSE)</f>
        <v>Tham</v>
      </c>
      <c r="E285" s="237" t="str">
        <f>VLOOKUP(A:A,Table1[[#All],[Project No]:[Additional Remark]],5,FALSE)</f>
        <v>R-PV</v>
      </c>
      <c r="F285" s="237" t="str">
        <f>VLOOKUP(A:A,Table1[[Project No]:[Additional Remark]],6,FALSE)</f>
        <v>NEM</v>
      </c>
      <c r="G285" s="237">
        <f>VLOOKUP(A:A,Table1[[Project No]:[Additional Remark]],8,FALSE)</f>
        <v>17.7</v>
      </c>
      <c r="H285" s="237" t="str">
        <f>VLOOKUP(A:A,Table1[[Project No]:[Additional Remark]],15,FALSE)</f>
        <v>Astronergy 590Wp</v>
      </c>
      <c r="I285" s="237">
        <f>VLOOKUP(A:A,Table1[[Project No]:[Additional Remark]],16,FALSE)</f>
        <v>30</v>
      </c>
      <c r="J285" s="239" t="str">
        <f>VLOOKUP(A:A,Table1[[Project No]:[Additional Remark]],17,FALSE)</f>
        <v>Huawei SUN2000-12KTL</v>
      </c>
      <c r="K285" s="240"/>
      <c r="L285" s="239" t="str">
        <f t="shared" si="8"/>
        <v>Pending NEM Welcome Letter</v>
      </c>
      <c r="M285" s="239" t="str">
        <f>VLOOKUP(A:A,'Finance Tracker'!A280:K520,8,FALSE)</f>
        <v>Invoice Completed</v>
      </c>
      <c r="N285" s="240"/>
      <c r="O285" s="242" t="s">
        <v>109</v>
      </c>
      <c r="P285" s="242" t="s">
        <v>109</v>
      </c>
      <c r="Q285" s="240"/>
      <c r="R285" s="241">
        <v>45793</v>
      </c>
      <c r="S285" s="241">
        <v>45797</v>
      </c>
      <c r="T285" s="239" t="s">
        <v>1819</v>
      </c>
      <c r="U285" s="241"/>
      <c r="V285" s="242" t="s">
        <v>1853</v>
      </c>
      <c r="W285" s="239" t="s">
        <v>1853</v>
      </c>
      <c r="X285" s="237" t="s">
        <v>109</v>
      </c>
      <c r="Y285" s="237" t="s">
        <v>1853</v>
      </c>
      <c r="Z285" s="237" t="s">
        <v>1855</v>
      </c>
      <c r="AA285" s="242">
        <v>45813</v>
      </c>
      <c r="AB285" s="242">
        <v>45819</v>
      </c>
      <c r="AC285" s="239" t="s">
        <v>1853</v>
      </c>
      <c r="AD285" s="242">
        <v>45842</v>
      </c>
      <c r="AE285" s="242">
        <v>45840</v>
      </c>
      <c r="AF285" s="242">
        <v>45842</v>
      </c>
      <c r="AG285" s="237"/>
      <c r="AH285" s="237"/>
      <c r="AI285" s="243"/>
      <c r="AJ285" s="237" t="s">
        <v>109</v>
      </c>
      <c r="AK285" s="237" t="s">
        <v>109</v>
      </c>
      <c r="AL285" s="237" t="s">
        <v>109</v>
      </c>
      <c r="AM285" s="237" t="s">
        <v>109</v>
      </c>
      <c r="AP285" s="239">
        <f t="shared" si="10"/>
        <v>4</v>
      </c>
      <c r="AQ285" s="245"/>
    </row>
    <row r="286" spans="1:43" s="244" customFormat="1" ht="18.75" customHeight="1" x14ac:dyDescent="0.3">
      <c r="A286" s="237">
        <f>Table1[[#This Row],[Project No]]</f>
        <v>2302004</v>
      </c>
      <c r="B286" s="238" t="str">
        <f>VLOOKUP(A:A,Table1[[Project No]:[Additional Remark]],2,FALSE)</f>
        <v>Ong Ah Chai</v>
      </c>
      <c r="C286" s="237" t="e" vm="11">
        <f>VLOOKUP(A:A,Table1[[#All],[Project No]:[Additional Remark]],7,FALSE)</f>
        <v>#VALUE!</v>
      </c>
      <c r="D286" s="237" t="str">
        <f>VLOOKUP(A:A,Table1[[#All],[Project No]:[Additional Remark]],4,FALSE)</f>
        <v>Chean Bang</v>
      </c>
      <c r="E286" s="237" t="str">
        <f>VLOOKUP(A:A,Table1[[#All],[Project No]:[Additional Remark]],5,FALSE)</f>
        <v>R-PV</v>
      </c>
      <c r="F286" s="237" t="str">
        <f>VLOOKUP(A:A,Table1[[Project No]:[Additional Remark]],6,FALSE)</f>
        <v>NEM</v>
      </c>
      <c r="G286" s="237">
        <f>VLOOKUP(A:A,Table1[[Project No]:[Additional Remark]],8,FALSE)</f>
        <v>8.85</v>
      </c>
      <c r="H286" s="237" t="str">
        <f>VLOOKUP(A:A,Table1[[Project No]:[Additional Remark]],15,FALSE)</f>
        <v>Astronergy 590Wp</v>
      </c>
      <c r="I286" s="237">
        <f>VLOOKUP(A:A,Table1[[Project No]:[Additional Remark]],16,FALSE)</f>
        <v>15</v>
      </c>
      <c r="J286" s="239" t="str">
        <f>VLOOKUP(A:A,Table1[[Project No]:[Additional Remark]],17,FALSE)</f>
        <v>Huawei SUN2000-8KTL</v>
      </c>
      <c r="K286" s="240"/>
      <c r="L286" s="239" t="str">
        <f t="shared" si="8"/>
        <v>Pending NEM Welcome Letter</v>
      </c>
      <c r="M286" s="239" t="str">
        <f>VLOOKUP(A:A,'Finance Tracker'!A281:K521,8,FALSE)</f>
        <v>Invoice Completed</v>
      </c>
      <c r="N286" s="240"/>
      <c r="O286" s="242" t="s">
        <v>109</v>
      </c>
      <c r="P286" s="242" t="s">
        <v>109</v>
      </c>
      <c r="Q286" s="240"/>
      <c r="R286" s="241">
        <v>45792</v>
      </c>
      <c r="S286" s="241">
        <v>45797</v>
      </c>
      <c r="T286" s="239" t="s">
        <v>1819</v>
      </c>
      <c r="U286" s="241"/>
      <c r="V286" s="242" t="s">
        <v>1853</v>
      </c>
      <c r="W286" s="239" t="s">
        <v>1853</v>
      </c>
      <c r="X286" s="237" t="s">
        <v>109</v>
      </c>
      <c r="Y286" s="237" t="s">
        <v>1853</v>
      </c>
      <c r="Z286" s="237" t="s">
        <v>1854</v>
      </c>
      <c r="AA286" s="242">
        <v>45818</v>
      </c>
      <c r="AB286" s="242">
        <v>45840</v>
      </c>
      <c r="AC286" s="239" t="s">
        <v>1853</v>
      </c>
      <c r="AD286" s="242">
        <v>45844</v>
      </c>
      <c r="AE286" s="242">
        <v>45841</v>
      </c>
      <c r="AF286" s="242">
        <v>45844</v>
      </c>
      <c r="AG286" s="237"/>
      <c r="AH286" s="237"/>
      <c r="AI286" s="243"/>
      <c r="AJ286" s="237" t="s">
        <v>109</v>
      </c>
      <c r="AK286" s="237" t="s">
        <v>109</v>
      </c>
      <c r="AL286" s="237" t="s">
        <v>109</v>
      </c>
      <c r="AM286" s="237" t="s">
        <v>109</v>
      </c>
      <c r="AP286" s="239">
        <f t="shared" si="10"/>
        <v>5</v>
      </c>
      <c r="AQ286" s="245"/>
    </row>
    <row r="287" spans="1:43" s="244" customFormat="1" ht="18.75" customHeight="1" x14ac:dyDescent="0.3">
      <c r="A287" s="237">
        <f>Table1[[#This Row],[Project No]]</f>
        <v>2503225</v>
      </c>
      <c r="B287" s="238" t="str">
        <f>VLOOKUP(A:A,Table1[[Project No]:[Additional Remark]],2,FALSE)</f>
        <v>Weller Air-Cond Parts Enterprise Sdn Bhd</v>
      </c>
      <c r="C287" s="237" t="e" vm="5">
        <f>VLOOKUP(A:A,Table1[[#All],[Project No]:[Additional Remark]],7,FALSE)</f>
        <v>#VALUE!</v>
      </c>
      <c r="D287" s="237" t="str">
        <f>VLOOKUP(A:A,Table1[[#All],[Project No]:[Additional Remark]],4,FALSE)</f>
        <v>Tham</v>
      </c>
      <c r="E287" s="237" t="str">
        <f>VLOOKUP(A:A,Table1[[#All],[Project No]:[Additional Remark]],5,FALSE)</f>
        <v>C&amp;I-PV</v>
      </c>
      <c r="F287" s="237" t="str">
        <f>VLOOKUP(A:A,Table1[[Project No]:[Additional Remark]],6,FALSE)</f>
        <v>NEM</v>
      </c>
      <c r="G287" s="237">
        <f>VLOOKUP(A:A,Table1[[Project No]:[Additional Remark]],8,FALSE)</f>
        <v>97.6</v>
      </c>
      <c r="H287" s="237" t="str">
        <f>VLOOKUP(A:A,Table1[[Project No]:[Additional Remark]],15,FALSE)</f>
        <v>Astronergy 610Wp</v>
      </c>
      <c r="I287" s="237">
        <f>VLOOKUP(A:A,Table1[[Project No]:[Additional Remark]],16,FALSE)</f>
        <v>160</v>
      </c>
      <c r="J287" s="239" t="str">
        <f>VLOOKUP(A:A,Table1[[Project No]:[Additional Remark]],17,FALSE)</f>
        <v>Huawei SUN2000-50KTL + SUN2000-20KTL</v>
      </c>
      <c r="K287" s="240"/>
      <c r="L287" s="239" t="str">
        <f t="shared" si="8"/>
        <v>Pending NEM Welcome Letter</v>
      </c>
      <c r="M287" s="239" t="str">
        <f>VLOOKUP(A:A,'Finance Tracker'!A282:K522,8,FALSE)</f>
        <v>Invoice Completed</v>
      </c>
      <c r="N287" s="240"/>
      <c r="O287" s="242" t="s">
        <v>109</v>
      </c>
      <c r="P287" s="242" t="s">
        <v>109</v>
      </c>
      <c r="Q287" s="240"/>
      <c r="R287" s="241">
        <v>45798</v>
      </c>
      <c r="S287" s="241">
        <v>45818</v>
      </c>
      <c r="T287" s="239" t="s">
        <v>1819</v>
      </c>
      <c r="U287" s="241"/>
      <c r="V287" s="242" t="s">
        <v>1853</v>
      </c>
      <c r="W287" s="242" t="s">
        <v>1853</v>
      </c>
      <c r="X287" s="242" t="s">
        <v>1853</v>
      </c>
      <c r="Y287" s="242" t="s">
        <v>1853</v>
      </c>
      <c r="Z287" s="237" t="s">
        <v>1856</v>
      </c>
      <c r="AA287" s="242">
        <v>45870</v>
      </c>
      <c r="AB287" s="242">
        <v>45876</v>
      </c>
      <c r="AC287" s="239" t="s">
        <v>1853</v>
      </c>
      <c r="AD287" s="242">
        <v>45902</v>
      </c>
      <c r="AE287" s="242">
        <v>45891</v>
      </c>
      <c r="AF287" s="242">
        <v>45902</v>
      </c>
      <c r="AG287" s="237"/>
      <c r="AH287" s="237"/>
      <c r="AI287" s="243"/>
      <c r="AJ287" s="237" t="s">
        <v>109</v>
      </c>
      <c r="AK287" s="237" t="s">
        <v>109</v>
      </c>
      <c r="AL287" s="237"/>
      <c r="AM287" s="237"/>
      <c r="AP287" s="239">
        <f t="shared" si="10"/>
        <v>20</v>
      </c>
      <c r="AQ287" s="245"/>
    </row>
    <row r="288" spans="1:43" s="244" customFormat="1" ht="28.8" x14ac:dyDescent="0.3">
      <c r="A288" s="237">
        <f>Table1[[#This Row],[Project No]]</f>
        <v>2403185</v>
      </c>
      <c r="B288" s="238" t="str">
        <f>VLOOKUP(A:A,Table1[[Project No]:[Additional Remark]],2,FALSE)</f>
        <v>Wan Kong Wing</v>
      </c>
      <c r="C288" s="237" t="e" vm="5">
        <f>VLOOKUP(A:A,Table1[[#All],[Project No]:[Additional Remark]],7,FALSE)</f>
        <v>#VALUE!</v>
      </c>
      <c r="D288" s="237" t="str">
        <f>VLOOKUP(A:A,Table1[[#All],[Project No]:[Additional Remark]],4,FALSE)</f>
        <v>Tham</v>
      </c>
      <c r="E288" s="237" t="str">
        <f>VLOOKUP(A:A,Table1[[#All],[Project No]:[Additional Remark]],5,FALSE)</f>
        <v>R-PV</v>
      </c>
      <c r="F288" s="237" t="str">
        <f>VLOOKUP(A:A,Table1[[Project No]:[Additional Remark]],6,FALSE)</f>
        <v>NEM</v>
      </c>
      <c r="G288" s="237">
        <f>VLOOKUP(A:A,Table1[[Project No]:[Additional Remark]],8,FALSE)</f>
        <v>7.08</v>
      </c>
      <c r="H288" s="237" t="str">
        <f>VLOOKUP(A:A,Table1[[Project No]:[Additional Remark]],15,FALSE)</f>
        <v>Astronergy 590Wp</v>
      </c>
      <c r="I288" s="237">
        <f>VLOOKUP(A:A,Table1[[Project No]:[Additional Remark]],16,FALSE)</f>
        <v>12</v>
      </c>
      <c r="J288" s="239" t="str">
        <f>VLOOKUP(A:A,Table1[[Project No]:[Additional Remark]],17,FALSE)</f>
        <v>Huawei SUN2000-5KTL-L1</v>
      </c>
      <c r="K288" s="240"/>
      <c r="L288" s="239" t="str">
        <f t="shared" si="8"/>
        <v>Pending NEM Welcome Letter</v>
      </c>
      <c r="M288" s="239" t="str">
        <f>VLOOKUP(A:A,'Finance Tracker'!A283:K523,8,FALSE)</f>
        <v>Invoice Completed</v>
      </c>
      <c r="N288" s="240"/>
      <c r="O288" s="242" t="s">
        <v>109</v>
      </c>
      <c r="P288" s="242" t="s">
        <v>109</v>
      </c>
      <c r="Q288" s="240"/>
      <c r="R288" s="241">
        <v>45793</v>
      </c>
      <c r="S288" s="241">
        <v>45797</v>
      </c>
      <c r="T288" s="239" t="s">
        <v>1819</v>
      </c>
      <c r="U288" s="241"/>
      <c r="V288" s="242" t="s">
        <v>1853</v>
      </c>
      <c r="W288" s="239" t="s">
        <v>1853</v>
      </c>
      <c r="X288" s="237" t="s">
        <v>109</v>
      </c>
      <c r="Y288" s="237" t="s">
        <v>1853</v>
      </c>
      <c r="Z288" s="237" t="s">
        <v>1855</v>
      </c>
      <c r="AA288" s="242">
        <v>45814</v>
      </c>
      <c r="AB288" s="242">
        <v>45829</v>
      </c>
      <c r="AC288" s="239" t="s">
        <v>1853</v>
      </c>
      <c r="AD288" s="242">
        <v>45833</v>
      </c>
      <c r="AE288" s="242">
        <v>45832</v>
      </c>
      <c r="AF288" s="242">
        <v>45833</v>
      </c>
      <c r="AG288" s="237"/>
      <c r="AH288" s="237"/>
      <c r="AI288" s="243"/>
      <c r="AJ288" s="237" t="s">
        <v>109</v>
      </c>
      <c r="AK288" s="237" t="s">
        <v>109</v>
      </c>
      <c r="AL288" s="237" t="s">
        <v>109</v>
      </c>
      <c r="AM288" s="237" t="s">
        <v>109</v>
      </c>
      <c r="AP288" s="239">
        <f t="shared" si="10"/>
        <v>4</v>
      </c>
      <c r="AQ288" s="245"/>
    </row>
    <row r="289" spans="1:43" s="199" customFormat="1" ht="18.75" customHeight="1" x14ac:dyDescent="0.3">
      <c r="A289" s="192">
        <f>Table1[[#This Row],[Project No]]</f>
        <v>2410194</v>
      </c>
      <c r="B289" s="193" t="str">
        <f>VLOOKUP(A:A,Table1[[Project No]:[Additional Remark]],2,FALSE)</f>
        <v>Berjayapak Sdn Bhd</v>
      </c>
      <c r="C289" s="192" t="e" vm="3">
        <f>VLOOKUP(A:A,Table1[[#All],[Project No]:[Additional Remark]],7,FALSE)</f>
        <v>#VALUE!</v>
      </c>
      <c r="D289" s="192" t="str">
        <f>VLOOKUP(A:A,Table1[[#All],[Project No]:[Additional Remark]],4,FALSE)</f>
        <v>Tham</v>
      </c>
      <c r="E289" s="192" t="str">
        <f>VLOOKUP(A:A,Table1[[#All],[Project No]:[Additional Remark]],5,FALSE)</f>
        <v>C&amp;I-PV</v>
      </c>
      <c r="F289" s="192" t="str">
        <f>VLOOKUP(A:A,Table1[[Project No]:[Additional Remark]],6,FALSE)</f>
        <v>NEM</v>
      </c>
      <c r="G289" s="192">
        <f>VLOOKUP(A:A,Table1[[Project No]:[Additional Remark]],8,FALSE)</f>
        <v>207.08</v>
      </c>
      <c r="H289" s="192" t="str">
        <f>VLOOKUP(A:A,Table1[[Project No]:[Additional Remark]],15,FALSE)</f>
        <v>Yingli Solar 620Wp</v>
      </c>
      <c r="I289" s="192">
        <f>VLOOKUP(A:A,Table1[[Project No]:[Additional Remark]],16,FALSE)</f>
        <v>334</v>
      </c>
      <c r="J289" s="194" t="str">
        <f>VLOOKUP(A:A,Table1[[Project No]:[Additional Remark]],17,FALSE)</f>
        <v>Huawei SUN2000-50KTL + SUN2000-20KTL</v>
      </c>
      <c r="K289" s="195"/>
      <c r="L289" s="194" t="str">
        <f t="shared" si="8"/>
        <v>Pending Site Installation</v>
      </c>
      <c r="M289" s="194" t="str">
        <f>VLOOKUP(A:A,'Finance Tracker'!A284:K524,8,FALSE)</f>
        <v>3rd invoice</v>
      </c>
      <c r="N289" s="195"/>
      <c r="O289" s="197" t="s">
        <v>109</v>
      </c>
      <c r="P289" s="197" t="s">
        <v>109</v>
      </c>
      <c r="Q289" s="195"/>
      <c r="R289" s="196">
        <v>45800</v>
      </c>
      <c r="S289" s="196">
        <v>45818</v>
      </c>
      <c r="T289" s="194" t="s">
        <v>1819</v>
      </c>
      <c r="U289" s="196"/>
      <c r="V289" s="197" t="s">
        <v>1853</v>
      </c>
      <c r="W289" s="197" t="s">
        <v>1853</v>
      </c>
      <c r="X289" s="197" t="s">
        <v>1853</v>
      </c>
      <c r="Y289" s="197" t="s">
        <v>1853</v>
      </c>
      <c r="Z289" s="192"/>
      <c r="AA289" s="197"/>
      <c r="AB289" s="197"/>
      <c r="AC289" s="194"/>
      <c r="AD289" s="197"/>
      <c r="AE289" s="197"/>
      <c r="AF289" s="197"/>
      <c r="AG289" s="192"/>
      <c r="AH289" s="192"/>
      <c r="AI289" s="198"/>
      <c r="AJ289" s="192" t="s">
        <v>109</v>
      </c>
      <c r="AK289" s="192" t="s">
        <v>109</v>
      </c>
      <c r="AL289" s="192"/>
      <c r="AM289" s="192"/>
      <c r="AP289" s="194">
        <f t="shared" si="10"/>
        <v>18</v>
      </c>
      <c r="AQ289" s="200"/>
    </row>
    <row r="290" spans="1:43" s="244" customFormat="1" ht="18.75" customHeight="1" x14ac:dyDescent="0.3">
      <c r="A290" s="237">
        <f>Table1[[#This Row],[Project No]]</f>
        <v>2504669</v>
      </c>
      <c r="B290" s="238" t="str">
        <f>VLOOKUP(A:A,Table1[[Project No]:[Additional Remark]],2,FALSE)</f>
        <v>Zohairen Bin Mhamad Sori</v>
      </c>
      <c r="C290" s="237" t="e" vm="5">
        <f>VLOOKUP(A:A,Table1[[#All],[Project No]:[Additional Remark]],7,FALSE)</f>
        <v>#VALUE!</v>
      </c>
      <c r="D290" s="237" t="str">
        <f>VLOOKUP(A:A,Table1[[#All],[Project No]:[Additional Remark]],4,FALSE)</f>
        <v>Tham</v>
      </c>
      <c r="E290" s="237" t="str">
        <f>VLOOKUP(A:A,Table1[[#All],[Project No]:[Additional Remark]],5,FALSE)</f>
        <v>R-PV</v>
      </c>
      <c r="F290" s="237" t="str">
        <f>VLOOKUP(A:A,Table1[[Project No]:[Additional Remark]],6,FALSE)</f>
        <v>NEM</v>
      </c>
      <c r="G290" s="237">
        <f>VLOOKUP(A:A,Table1[[Project No]:[Additional Remark]],8,FALSE)</f>
        <v>10.62</v>
      </c>
      <c r="H290" s="237" t="str">
        <f>VLOOKUP(A:A,Table1[[Project No]:[Additional Remark]],15,FALSE)</f>
        <v>Astronergy 590Wp</v>
      </c>
      <c r="I290" s="237">
        <f>VLOOKUP(A:A,Table1[[Project No]:[Additional Remark]],16,FALSE)</f>
        <v>18</v>
      </c>
      <c r="J290" s="239" t="str">
        <f>VLOOKUP(A:A,Table1[[Project No]:[Additional Remark]],17,FALSE)</f>
        <v>Huawei SUN2000-8KTL</v>
      </c>
      <c r="K290" s="240"/>
      <c r="L290" s="239" t="str">
        <f t="shared" si="8"/>
        <v>Pending NEM Welcome Letter</v>
      </c>
      <c r="M290" s="239" t="str">
        <f>VLOOKUP(A:A,'Finance Tracker'!A285:K525,8,FALSE)</f>
        <v>Invoice Completed</v>
      </c>
      <c r="N290" s="240"/>
      <c r="O290" s="242" t="s">
        <v>109</v>
      </c>
      <c r="P290" s="242" t="s">
        <v>109</v>
      </c>
      <c r="Q290" s="240"/>
      <c r="R290" s="241">
        <v>45797</v>
      </c>
      <c r="S290" s="241">
        <v>45804</v>
      </c>
      <c r="T290" s="239" t="s">
        <v>1819</v>
      </c>
      <c r="U290" s="241"/>
      <c r="V290" s="242" t="s">
        <v>1853</v>
      </c>
      <c r="W290" s="239" t="s">
        <v>1853</v>
      </c>
      <c r="X290" s="237" t="s">
        <v>109</v>
      </c>
      <c r="Y290" s="237" t="s">
        <v>1853</v>
      </c>
      <c r="Z290" s="237" t="s">
        <v>1855</v>
      </c>
      <c r="AA290" s="242">
        <v>45911</v>
      </c>
      <c r="AB290" s="242">
        <v>45912</v>
      </c>
      <c r="AC290" s="239" t="s">
        <v>1853</v>
      </c>
      <c r="AD290" s="242">
        <v>45921</v>
      </c>
      <c r="AE290" s="242">
        <v>45922</v>
      </c>
      <c r="AF290" s="242">
        <v>45921</v>
      </c>
      <c r="AG290" s="242"/>
      <c r="AH290" s="242"/>
      <c r="AI290" s="243"/>
      <c r="AJ290" s="237" t="s">
        <v>109</v>
      </c>
      <c r="AK290" s="237" t="s">
        <v>109</v>
      </c>
      <c r="AL290" s="237" t="s">
        <v>109</v>
      </c>
      <c r="AM290" s="237" t="s">
        <v>109</v>
      </c>
      <c r="AP290" s="239">
        <f t="shared" si="10"/>
        <v>7</v>
      </c>
      <c r="AQ290" s="245"/>
    </row>
    <row r="291" spans="1:43" s="244" customFormat="1" ht="18.75" customHeight="1" x14ac:dyDescent="0.3">
      <c r="A291" s="237">
        <f>Table1[[#This Row],[Project No]]</f>
        <v>2504660</v>
      </c>
      <c r="B291" s="238" t="str">
        <f>VLOOKUP(A:A,Table1[[Project No]:[Additional Remark]],2,FALSE)</f>
        <v>Roshahni Binti Mhammad</v>
      </c>
      <c r="C291" s="237" t="e" vm="11">
        <f>VLOOKUP(A:A,Table1[[#All],[Project No]:[Additional Remark]],7,FALSE)</f>
        <v>#VALUE!</v>
      </c>
      <c r="D291" s="237" t="str">
        <f>VLOOKUP(A:A,Table1[[#All],[Project No]:[Additional Remark]],4,FALSE)</f>
        <v>Chean Bang</v>
      </c>
      <c r="E291" s="237" t="str">
        <f>VLOOKUP(A:A,Table1[[#All],[Project No]:[Additional Remark]],5,FALSE)</f>
        <v>R-PV</v>
      </c>
      <c r="F291" s="237" t="str">
        <f>VLOOKUP(A:A,Table1[[Project No]:[Additional Remark]],6,FALSE)</f>
        <v>NEM</v>
      </c>
      <c r="G291" s="237">
        <f>VLOOKUP(A:A,Table1[[Project No]:[Additional Remark]],8,FALSE)</f>
        <v>14.75</v>
      </c>
      <c r="H291" s="237" t="str">
        <f>VLOOKUP(A:A,Table1[[Project No]:[Additional Remark]],15,FALSE)</f>
        <v>Astronergy 590Wp</v>
      </c>
      <c r="I291" s="237">
        <f>VLOOKUP(A:A,Table1[[Project No]:[Additional Remark]],16,FALSE)</f>
        <v>25</v>
      </c>
      <c r="J291" s="239" t="str">
        <f>VLOOKUP(A:A,Table1[[Project No]:[Additional Remark]],17,FALSE)</f>
        <v>Huawei SUN2000-12KTL</v>
      </c>
      <c r="K291" s="240"/>
      <c r="L291" s="239" t="str">
        <f t="shared" si="8"/>
        <v>Pending NEM Welcome Letter</v>
      </c>
      <c r="M291" s="239" t="str">
        <f>VLOOKUP(A:A,'Finance Tracker'!A286:K526,8,FALSE)</f>
        <v>Invoice Completed</v>
      </c>
      <c r="N291" s="240"/>
      <c r="O291" s="242" t="s">
        <v>109</v>
      </c>
      <c r="P291" s="242" t="s">
        <v>109</v>
      </c>
      <c r="Q291" s="240"/>
      <c r="R291" s="241">
        <v>45797</v>
      </c>
      <c r="S291" s="241">
        <v>45923</v>
      </c>
      <c r="T291" s="239" t="s">
        <v>1819</v>
      </c>
      <c r="U291" s="241"/>
      <c r="V291" s="242" t="s">
        <v>1853</v>
      </c>
      <c r="W291" s="239" t="s">
        <v>1853</v>
      </c>
      <c r="X291" s="237" t="s">
        <v>109</v>
      </c>
      <c r="Y291" s="237" t="s">
        <v>1853</v>
      </c>
      <c r="Z291" s="237" t="s">
        <v>1854</v>
      </c>
      <c r="AA291" s="242">
        <v>45931</v>
      </c>
      <c r="AB291" s="242">
        <v>45925</v>
      </c>
      <c r="AC291" s="239" t="s">
        <v>1853</v>
      </c>
      <c r="AD291" s="242">
        <v>45933</v>
      </c>
      <c r="AE291" s="242" t="s">
        <v>1853</v>
      </c>
      <c r="AF291" s="242">
        <v>45933</v>
      </c>
      <c r="AG291" s="237"/>
      <c r="AH291" s="237"/>
      <c r="AI291" s="243"/>
      <c r="AJ291" s="237" t="s">
        <v>109</v>
      </c>
      <c r="AK291" s="237" t="s">
        <v>109</v>
      </c>
      <c r="AL291" s="237" t="s">
        <v>109</v>
      </c>
      <c r="AM291" s="237" t="s">
        <v>109</v>
      </c>
      <c r="AP291" s="239">
        <f t="shared" si="10"/>
        <v>126</v>
      </c>
      <c r="AQ291" s="245"/>
    </row>
    <row r="292" spans="1:43" s="244" customFormat="1" ht="18.75" customHeight="1" x14ac:dyDescent="0.3">
      <c r="A292" s="237">
        <f>Table1[[#This Row],[Project No]]</f>
        <v>2410191</v>
      </c>
      <c r="B292" s="238" t="str">
        <f>VLOOKUP(A:A,Table1[[Project No]:[Additional Remark]],2,FALSE)</f>
        <v>Jowee Trading Sdn Bhd</v>
      </c>
      <c r="C292" s="237" t="e" vm="8">
        <f>VLOOKUP(A:A,Table1[[#All],[Project No]:[Additional Remark]],7,FALSE)</f>
        <v>#VALUE!</v>
      </c>
      <c r="D292" s="237" t="str">
        <f>VLOOKUP(A:A,Table1[[#All],[Project No]:[Additional Remark]],4,FALSE)</f>
        <v>Tham</v>
      </c>
      <c r="E292" s="237" t="str">
        <f>VLOOKUP(A:A,Table1[[#All],[Project No]:[Additional Remark]],5,FALSE)</f>
        <v>C&amp;I-PV</v>
      </c>
      <c r="F292" s="237" t="str">
        <f>VLOOKUP(A:A,Table1[[Project No]:[Additional Remark]],6,FALSE)</f>
        <v>NEM</v>
      </c>
      <c r="G292" s="237">
        <f>VLOOKUP(A:A,Table1[[Project No]:[Additional Remark]],8,FALSE)</f>
        <v>53.68</v>
      </c>
      <c r="H292" s="237" t="str">
        <f>VLOOKUP(A:A,Table1[[Project No]:[Additional Remark]],15,FALSE)</f>
        <v>Astronergy 620Wp</v>
      </c>
      <c r="I292" s="237">
        <f>VLOOKUP(A:A,Table1[[Project No]:[Additional Remark]],16,FALSE)</f>
        <v>88</v>
      </c>
      <c r="J292" s="239" t="str">
        <f>VLOOKUP(A:A,Table1[[Project No]:[Additional Remark]],17,FALSE)</f>
        <v>Huawei SUN2000-20KTL x 2</v>
      </c>
      <c r="K292" s="240"/>
      <c r="L292" s="239" t="str">
        <f t="shared" si="8"/>
        <v>Pending NEM Welcome Letter</v>
      </c>
      <c r="M292" s="239" t="str">
        <f>VLOOKUP(A:A,'Finance Tracker'!A287:K527,8,FALSE)</f>
        <v>Invoice Completed</v>
      </c>
      <c r="N292" s="240"/>
      <c r="O292" s="242" t="s">
        <v>109</v>
      </c>
      <c r="P292" s="242" t="s">
        <v>109</v>
      </c>
      <c r="Q292" s="240"/>
      <c r="R292" s="241">
        <v>45834</v>
      </c>
      <c r="S292" s="241">
        <v>45856</v>
      </c>
      <c r="T292" s="239" t="s">
        <v>1819</v>
      </c>
      <c r="U292" s="241"/>
      <c r="V292" s="242" t="s">
        <v>1853</v>
      </c>
      <c r="W292" s="239" t="s">
        <v>1853</v>
      </c>
      <c r="X292" s="237" t="s">
        <v>1853</v>
      </c>
      <c r="Y292" s="237" t="s">
        <v>1853</v>
      </c>
      <c r="Z292" s="237" t="s">
        <v>1854</v>
      </c>
      <c r="AA292" s="242">
        <v>45876</v>
      </c>
      <c r="AB292" s="242">
        <v>45884</v>
      </c>
      <c r="AC292" s="239" t="s">
        <v>1853</v>
      </c>
      <c r="AD292" s="242">
        <v>45921</v>
      </c>
      <c r="AE292" s="242">
        <v>45897</v>
      </c>
      <c r="AF292" s="242">
        <v>45921</v>
      </c>
      <c r="AG292" s="237"/>
      <c r="AH292" s="237"/>
      <c r="AI292" s="243"/>
      <c r="AJ292" s="237" t="s">
        <v>109</v>
      </c>
      <c r="AK292" s="237" t="s">
        <v>109</v>
      </c>
      <c r="AL292" s="237"/>
      <c r="AM292" s="237"/>
      <c r="AP292" s="239">
        <f t="shared" si="10"/>
        <v>22</v>
      </c>
      <c r="AQ292" s="245"/>
    </row>
    <row r="293" spans="1:43" s="199" customFormat="1" ht="18.75" customHeight="1" x14ac:dyDescent="0.3">
      <c r="A293" s="192">
        <f>Table1[[#This Row],[Project No]]</f>
        <v>2505695</v>
      </c>
      <c r="B293" s="193" t="str">
        <f>VLOOKUP(A:A,Table1[[Project No]:[Additional Remark]],2,FALSE)</f>
        <v>Nur Salwahani Bt Muhammad</v>
      </c>
      <c r="C293" s="192" t="e" vm="11">
        <f>VLOOKUP(A:A,Table1[[#All],[Project No]:[Additional Remark]],7,FALSE)</f>
        <v>#VALUE!</v>
      </c>
      <c r="D293" s="192" t="str">
        <f>VLOOKUP(A:A,Table1[[#All],[Project No]:[Additional Remark]],4,FALSE)</f>
        <v>Patricia</v>
      </c>
      <c r="E293" s="192" t="str">
        <f>VLOOKUP(A:A,Table1[[#All],[Project No]:[Additional Remark]],5,FALSE)</f>
        <v>R-PV</v>
      </c>
      <c r="F293" s="192" t="str">
        <f>VLOOKUP(A:A,Table1[[Project No]:[Additional Remark]],6,FALSE)</f>
        <v>NEM</v>
      </c>
      <c r="G293" s="192">
        <f>VLOOKUP(A:A,Table1[[Project No]:[Additional Remark]],8,FALSE)</f>
        <v>9.44</v>
      </c>
      <c r="H293" s="192" t="str">
        <f>VLOOKUP(A:A,Table1[[Project No]:[Additional Remark]],15,FALSE)</f>
        <v>Astronergy 590Wp</v>
      </c>
      <c r="I293" s="192">
        <f>VLOOKUP(A:A,Table1[[Project No]:[Additional Remark]],16,FALSE)</f>
        <v>16</v>
      </c>
      <c r="J293" s="194" t="str">
        <f>VLOOKUP(A:A,Table1[[Project No]:[Additional Remark]],17,FALSE)</f>
        <v>Huawei SUN2000-8KTL</v>
      </c>
      <c r="K293" s="195"/>
      <c r="L293" s="194" t="str">
        <f t="shared" si="8"/>
        <v>Pending Site Installation</v>
      </c>
      <c r="M293" s="194" t="str">
        <f>VLOOKUP(A:A,'Finance Tracker'!A288:K528,8,FALSE)</f>
        <v>1st invoice</v>
      </c>
      <c r="N293" s="195"/>
      <c r="O293" s="197" t="s">
        <v>109</v>
      </c>
      <c r="P293" s="197" t="s">
        <v>109</v>
      </c>
      <c r="Q293" s="195"/>
      <c r="R293" s="196">
        <v>45797</v>
      </c>
      <c r="S293" s="196">
        <v>45801</v>
      </c>
      <c r="T293" s="194" t="s">
        <v>1819</v>
      </c>
      <c r="U293" s="196">
        <v>46122</v>
      </c>
      <c r="V293" s="197" t="s">
        <v>1853</v>
      </c>
      <c r="W293" s="194" t="s">
        <v>1853</v>
      </c>
      <c r="X293" s="192" t="s">
        <v>109</v>
      </c>
      <c r="Y293" s="192" t="s">
        <v>1853</v>
      </c>
      <c r="Z293" s="192"/>
      <c r="AA293" s="197"/>
      <c r="AB293" s="197"/>
      <c r="AC293" s="194"/>
      <c r="AD293" s="197"/>
      <c r="AE293" s="197"/>
      <c r="AF293" s="197"/>
      <c r="AG293" s="192"/>
      <c r="AH293" s="192"/>
      <c r="AI293" s="198"/>
      <c r="AJ293" s="192" t="s">
        <v>109</v>
      </c>
      <c r="AK293" s="192" t="s">
        <v>109</v>
      </c>
      <c r="AL293" s="192" t="s">
        <v>109</v>
      </c>
      <c r="AM293" s="192" t="s">
        <v>109</v>
      </c>
      <c r="AP293" s="194">
        <f t="shared" si="10"/>
        <v>4</v>
      </c>
      <c r="AQ293" s="200"/>
    </row>
    <row r="294" spans="1:43" s="244" customFormat="1" ht="18.75" customHeight="1" x14ac:dyDescent="0.3">
      <c r="A294" s="237">
        <f>Table1[[#This Row],[Project No]]</f>
        <v>2505672</v>
      </c>
      <c r="B294" s="238" t="str">
        <f>VLOOKUP(A:A,Table1[[Project No]:[Additional Remark]],2,FALSE)</f>
        <v xml:space="preserve">Tham Wai Hong </v>
      </c>
      <c r="C294" s="237" t="e" vm="11">
        <f>VLOOKUP(A:A,Table1[[#All],[Project No]:[Additional Remark]],7,FALSE)</f>
        <v>#VALUE!</v>
      </c>
      <c r="D294" s="237" t="str">
        <f>VLOOKUP(A:A,Table1[[#All],[Project No]:[Additional Remark]],4,FALSE)</f>
        <v>Patricia</v>
      </c>
      <c r="E294" s="237" t="str">
        <f>VLOOKUP(A:A,Table1[[#All],[Project No]:[Additional Remark]],5,FALSE)</f>
        <v>R-PV</v>
      </c>
      <c r="F294" s="237" t="str">
        <f>VLOOKUP(A:A,Table1[[Project No]:[Additional Remark]],6,FALSE)</f>
        <v>NEM</v>
      </c>
      <c r="G294" s="237">
        <f>VLOOKUP(A:A,Table1[[Project No]:[Additional Remark]],8,FALSE)</f>
        <v>8.85</v>
      </c>
      <c r="H294" s="237" t="str">
        <f>VLOOKUP(A:A,Table1[[Project No]:[Additional Remark]],15,FALSE)</f>
        <v>Astronergy 590Wp</v>
      </c>
      <c r="I294" s="237">
        <f>VLOOKUP(A:A,Table1[[Project No]:[Additional Remark]],16,FALSE)</f>
        <v>15</v>
      </c>
      <c r="J294" s="239" t="str">
        <f>VLOOKUP(A:A,Table1[[Project No]:[Additional Remark]],17,FALSE)</f>
        <v>Huawei SUN2000-8KTL</v>
      </c>
      <c r="K294" s="240"/>
      <c r="L294" s="239" t="str">
        <f t="shared" si="8"/>
        <v>Pending NEM Welcome Letter</v>
      </c>
      <c r="M294" s="239" t="str">
        <f>VLOOKUP(A:A,'Finance Tracker'!A289:K529,8,FALSE)</f>
        <v>Invoice Completed</v>
      </c>
      <c r="N294" s="240"/>
      <c r="O294" s="242" t="s">
        <v>109</v>
      </c>
      <c r="P294" s="242" t="s">
        <v>109</v>
      </c>
      <c r="Q294" s="240"/>
      <c r="R294" s="241">
        <v>45798</v>
      </c>
      <c r="S294" s="241">
        <v>45801</v>
      </c>
      <c r="T294" s="239" t="s">
        <v>1819</v>
      </c>
      <c r="U294" s="241"/>
      <c r="V294" s="242" t="s">
        <v>1853</v>
      </c>
      <c r="W294" s="239" t="s">
        <v>1853</v>
      </c>
      <c r="X294" s="237" t="s">
        <v>109</v>
      </c>
      <c r="Y294" s="237" t="s">
        <v>1853</v>
      </c>
      <c r="Z294" s="237" t="s">
        <v>1854</v>
      </c>
      <c r="AA294" s="242">
        <v>45812</v>
      </c>
      <c r="AB294" s="242">
        <v>45806</v>
      </c>
      <c r="AC294" s="239" t="s">
        <v>1853</v>
      </c>
      <c r="AD294" s="242">
        <v>45827</v>
      </c>
      <c r="AE294" s="242">
        <v>45811</v>
      </c>
      <c r="AF294" s="242">
        <v>45827</v>
      </c>
      <c r="AG294" s="237"/>
      <c r="AH294" s="237"/>
      <c r="AI294" s="243"/>
      <c r="AJ294" s="237" t="s">
        <v>109</v>
      </c>
      <c r="AK294" s="237" t="s">
        <v>109</v>
      </c>
      <c r="AL294" s="237" t="s">
        <v>109</v>
      </c>
      <c r="AM294" s="237" t="s">
        <v>109</v>
      </c>
      <c r="AP294" s="239">
        <f t="shared" si="10"/>
        <v>3</v>
      </c>
      <c r="AQ294" s="245"/>
    </row>
    <row r="295" spans="1:43" s="244" customFormat="1" ht="18.75" customHeight="1" x14ac:dyDescent="0.3">
      <c r="A295" s="237">
        <f>Table1[[#This Row],[Project No]]</f>
        <v>2505684</v>
      </c>
      <c r="B295" s="238" t="str">
        <f>VLOOKUP(A:A,Table1[[Project No]:[Additional Remark]],2,FALSE)</f>
        <v>Ng Heng Hock</v>
      </c>
      <c r="C295" s="237" t="e" vm="11">
        <f>VLOOKUP(A:A,Table1[[#All],[Project No]:[Additional Remark]],7,FALSE)</f>
        <v>#VALUE!</v>
      </c>
      <c r="D295" s="237" t="str">
        <f>VLOOKUP(A:A,Table1[[#All],[Project No]:[Additional Remark]],4,FALSE)</f>
        <v>Patricia</v>
      </c>
      <c r="E295" s="237" t="str">
        <f>VLOOKUP(A:A,Table1[[#All],[Project No]:[Additional Remark]],5,FALSE)</f>
        <v>R-PV</v>
      </c>
      <c r="F295" s="237" t="str">
        <f>VLOOKUP(A:A,Table1[[Project No]:[Additional Remark]],6,FALSE)</f>
        <v>NEM</v>
      </c>
      <c r="G295" s="237">
        <f>VLOOKUP(A:A,Table1[[Project No]:[Additional Remark]],8,FALSE)</f>
        <v>11.21</v>
      </c>
      <c r="H295" s="237" t="str">
        <f>VLOOKUP(A:A,Table1[[Project No]:[Additional Remark]],15,FALSE)</f>
        <v>Astronergy 590Wp</v>
      </c>
      <c r="I295" s="237">
        <f>VLOOKUP(A:A,Table1[[Project No]:[Additional Remark]],16,FALSE)</f>
        <v>19</v>
      </c>
      <c r="J295" s="239" t="str">
        <f>VLOOKUP(A:A,Table1[[Project No]:[Additional Remark]],17,FALSE)</f>
        <v>Huawei SUN2000-10KTL</v>
      </c>
      <c r="K295" s="240"/>
      <c r="L295" s="239" t="str">
        <f t="shared" si="8"/>
        <v>Pending NEM Welcome Letter</v>
      </c>
      <c r="M295" s="239" t="str">
        <f>VLOOKUP(A:A,'Finance Tracker'!A290:K530,8,FALSE)</f>
        <v>Invoice Completed</v>
      </c>
      <c r="N295" s="240"/>
      <c r="O295" s="242" t="s">
        <v>109</v>
      </c>
      <c r="P295" s="242" t="s">
        <v>109</v>
      </c>
      <c r="Q295" s="240"/>
      <c r="R295" s="241">
        <v>45798</v>
      </c>
      <c r="S295" s="241">
        <v>45801</v>
      </c>
      <c r="T295" s="239" t="s">
        <v>1819</v>
      </c>
      <c r="U295" s="241"/>
      <c r="V295" s="242" t="s">
        <v>1853</v>
      </c>
      <c r="W295" s="239" t="s">
        <v>1853</v>
      </c>
      <c r="X295" s="237" t="s">
        <v>109</v>
      </c>
      <c r="Y295" s="237" t="s">
        <v>1853</v>
      </c>
      <c r="Z295" s="237" t="s">
        <v>1854</v>
      </c>
      <c r="AA295" s="242">
        <v>45820</v>
      </c>
      <c r="AB295" s="242" t="s">
        <v>1853</v>
      </c>
      <c r="AC295" s="239" t="s">
        <v>1853</v>
      </c>
      <c r="AD295" s="242">
        <v>45849</v>
      </c>
      <c r="AE295" s="242">
        <v>45846</v>
      </c>
      <c r="AF295" s="242">
        <v>45849</v>
      </c>
      <c r="AG295" s="237"/>
      <c r="AH295" s="237"/>
      <c r="AI295" s="243"/>
      <c r="AJ295" s="237" t="s">
        <v>109</v>
      </c>
      <c r="AK295" s="237" t="s">
        <v>109</v>
      </c>
      <c r="AL295" s="237" t="s">
        <v>109</v>
      </c>
      <c r="AM295" s="237" t="s">
        <v>109</v>
      </c>
      <c r="AP295" s="239">
        <f t="shared" si="10"/>
        <v>3</v>
      </c>
      <c r="AQ295" s="245"/>
    </row>
    <row r="296" spans="1:43" s="199" customFormat="1" ht="18.75" customHeight="1" x14ac:dyDescent="0.3">
      <c r="A296" s="192">
        <f>Table1[[#This Row],[Project No]]</f>
        <v>2505697</v>
      </c>
      <c r="B296" s="193" t="str">
        <f>VLOOKUP(A:A,Table1[[Project No]:[Additional Remark]],2,FALSE)</f>
        <v xml:space="preserve">Chong Yee Sam </v>
      </c>
      <c r="C296" s="192" t="e" vm="11">
        <f>VLOOKUP(A:A,Table1[[#All],[Project No]:[Additional Remark]],7,FALSE)</f>
        <v>#VALUE!</v>
      </c>
      <c r="D296" s="192" t="str">
        <f>VLOOKUP(A:A,Table1[[#All],[Project No]:[Additional Remark]],4,FALSE)</f>
        <v>Patricia</v>
      </c>
      <c r="E296" s="192" t="str">
        <f>VLOOKUP(A:A,Table1[[#All],[Project No]:[Additional Remark]],5,FALSE)</f>
        <v>R-PV</v>
      </c>
      <c r="F296" s="192" t="str">
        <f>VLOOKUP(A:A,Table1[[Project No]:[Additional Remark]],6,FALSE)</f>
        <v>NEM</v>
      </c>
      <c r="G296" s="192">
        <f>VLOOKUP(A:A,Table1[[Project No]:[Additional Remark]],8,FALSE)</f>
        <v>7.08</v>
      </c>
      <c r="H296" s="192" t="str">
        <f>VLOOKUP(A:A,Table1[[Project No]:[Additional Remark]],15,FALSE)</f>
        <v>Astronergy 590Wp</v>
      </c>
      <c r="I296" s="192">
        <f>VLOOKUP(A:A,Table1[[Project No]:[Additional Remark]],16,FALSE)</f>
        <v>12</v>
      </c>
      <c r="J296" s="194" t="str">
        <f>VLOOKUP(A:A,Table1[[Project No]:[Additional Remark]],17,FALSE)</f>
        <v>Huawei SUN2000-5KTL-L1</v>
      </c>
      <c r="K296" s="195"/>
      <c r="L296" s="194" t="str">
        <f t="shared" si="8"/>
        <v>Pending Site Installation</v>
      </c>
      <c r="M296" s="194" t="str">
        <f>VLOOKUP(A:A,'Finance Tracker'!A291:K531,8,FALSE)</f>
        <v>1st invoice</v>
      </c>
      <c r="N296" s="195"/>
      <c r="O296" s="197" t="s">
        <v>109</v>
      </c>
      <c r="P296" s="197" t="s">
        <v>109</v>
      </c>
      <c r="Q296" s="195"/>
      <c r="R296" s="196">
        <v>45798</v>
      </c>
      <c r="S296" s="196">
        <v>45801</v>
      </c>
      <c r="T296" s="194" t="s">
        <v>1819</v>
      </c>
      <c r="U296" s="196">
        <v>46162</v>
      </c>
      <c r="V296" s="197" t="s">
        <v>1853</v>
      </c>
      <c r="W296" s="194" t="s">
        <v>1853</v>
      </c>
      <c r="X296" s="192" t="s">
        <v>109</v>
      </c>
      <c r="Y296" s="192" t="s">
        <v>1853</v>
      </c>
      <c r="Z296" s="192"/>
      <c r="AA296" s="197"/>
      <c r="AB296" s="197"/>
      <c r="AC296" s="194"/>
      <c r="AD296" s="197"/>
      <c r="AE296" s="197"/>
      <c r="AF296" s="197"/>
      <c r="AG296" s="192"/>
      <c r="AH296" s="192"/>
      <c r="AI296" s="198"/>
      <c r="AJ296" s="192" t="s">
        <v>109</v>
      </c>
      <c r="AK296" s="192" t="s">
        <v>109</v>
      </c>
      <c r="AL296" s="192" t="s">
        <v>109</v>
      </c>
      <c r="AM296" s="192" t="s">
        <v>109</v>
      </c>
      <c r="AP296" s="194">
        <f t="shared" si="10"/>
        <v>3</v>
      </c>
      <c r="AQ296" s="200"/>
    </row>
    <row r="297" spans="1:43" ht="18.75" customHeight="1" x14ac:dyDescent="0.3">
      <c r="A297" s="4">
        <f>Table1[[#This Row],[Project No]]</f>
        <v>2505688</v>
      </c>
      <c r="B297" s="110" t="str">
        <f>VLOOKUP(A:A,Table1[[Project No]:[Additional Remark]],2,FALSE)</f>
        <v>Heng Mooi Sing</v>
      </c>
      <c r="C297" s="4" t="e" vm="5">
        <f>VLOOKUP(A:A,Table1[[#All],[Project No]:[Additional Remark]],7,FALSE)</f>
        <v>#VALUE!</v>
      </c>
      <c r="D297" s="4" t="str">
        <f>VLOOKUP(A:A,Table1[[#All],[Project No]:[Additional Remark]],4,FALSE)</f>
        <v>Tham</v>
      </c>
      <c r="E297" s="4" t="str">
        <f>VLOOKUP(A:A,Table1[[#All],[Project No]:[Additional Remark]],5,FALSE)</f>
        <v>R-PV</v>
      </c>
      <c r="F297" s="4" t="str">
        <f>VLOOKUP(A:A,Table1[[Project No]:[Additional Remark]],6,FALSE)</f>
        <v>NEM</v>
      </c>
      <c r="G297" s="4">
        <f>VLOOKUP(A:A,Table1[[Project No]:[Additional Remark]],8,FALSE)</f>
        <v>16.52</v>
      </c>
      <c r="H297" s="4" t="str">
        <f>VLOOKUP(A:A,Table1[[Project No]:[Additional Remark]],15,FALSE)</f>
        <v>Astronergy 590Wp</v>
      </c>
      <c r="I297" s="4">
        <f>VLOOKUP(A:A,Table1[[Project No]:[Additional Remark]],16,FALSE)</f>
        <v>28</v>
      </c>
      <c r="J297" s="1" t="str">
        <f>VLOOKUP(A:A,Table1[[Project No]:[Additional Remark]],17,FALSE)</f>
        <v>Huawei SUN2000-12KTL</v>
      </c>
      <c r="K297" s="127"/>
      <c r="L297" s="1" t="str">
        <f t="shared" si="8"/>
        <v>Completed</v>
      </c>
      <c r="M297" s="1" t="str">
        <f>VLOOKUP(A:A,'Finance Tracker'!A292:K532,8,FALSE)</f>
        <v>Invoice Completed</v>
      </c>
      <c r="N297" s="127"/>
      <c r="O297" s="39" t="s">
        <v>109</v>
      </c>
      <c r="P297" s="39" t="s">
        <v>109</v>
      </c>
      <c r="Q297" s="127"/>
      <c r="R297" s="56">
        <v>45798</v>
      </c>
      <c r="S297" s="56">
        <v>45801</v>
      </c>
      <c r="T297" s="1" t="s">
        <v>1819</v>
      </c>
      <c r="U297" s="56"/>
      <c r="V297" s="39" t="s">
        <v>1853</v>
      </c>
      <c r="W297" s="1" t="s">
        <v>1853</v>
      </c>
      <c r="X297" s="4" t="s">
        <v>109</v>
      </c>
      <c r="Y297" s="4" t="s">
        <v>1853</v>
      </c>
      <c r="Z297" s="4" t="s">
        <v>1855</v>
      </c>
      <c r="AA297" s="39">
        <v>45833</v>
      </c>
      <c r="AB297" s="39">
        <v>45846</v>
      </c>
      <c r="AC297" s="1" t="s">
        <v>1853</v>
      </c>
      <c r="AD297" s="39">
        <v>45855</v>
      </c>
      <c r="AE297" s="39" t="s">
        <v>1853</v>
      </c>
      <c r="AF297" s="39">
        <v>45855</v>
      </c>
      <c r="AG297" s="39">
        <v>45855</v>
      </c>
      <c r="AH297" s="39">
        <v>49521</v>
      </c>
      <c r="AJ297" s="4" t="s">
        <v>109</v>
      </c>
      <c r="AK297" s="4" t="s">
        <v>109</v>
      </c>
      <c r="AL297" s="4" t="s">
        <v>109</v>
      </c>
      <c r="AM297" s="4" t="s">
        <v>109</v>
      </c>
      <c r="AP297" s="1">
        <f t="shared" si="10"/>
        <v>3</v>
      </c>
    </row>
    <row r="298" spans="1:43" s="244" customFormat="1" ht="18.75" customHeight="1" x14ac:dyDescent="0.3">
      <c r="A298" s="237">
        <f>Table1[[#This Row],[Project No]]</f>
        <v>2505682</v>
      </c>
      <c r="B298" s="238" t="str">
        <f>VLOOKUP(A:A,Table1[[Project No]:[Additional Remark]],2,FALSE)</f>
        <v>Lee Soo Kean</v>
      </c>
      <c r="C298" s="237" t="e" vm="11">
        <f>VLOOKUP(A:A,Table1[[#All],[Project No]:[Additional Remark]],7,FALSE)</f>
        <v>#VALUE!</v>
      </c>
      <c r="D298" s="237" t="str">
        <f>VLOOKUP(A:A,Table1[[#All],[Project No]:[Additional Remark]],4,FALSE)</f>
        <v>Patricia</v>
      </c>
      <c r="E298" s="237" t="str">
        <f>VLOOKUP(A:A,Table1[[#All],[Project No]:[Additional Remark]],5,FALSE)</f>
        <v>R-PV</v>
      </c>
      <c r="F298" s="237" t="str">
        <f>VLOOKUP(A:A,Table1[[Project No]:[Additional Remark]],6,FALSE)</f>
        <v>NEM</v>
      </c>
      <c r="G298" s="237">
        <f>VLOOKUP(A:A,Table1[[Project No]:[Additional Remark]],8,FALSE)</f>
        <v>13.42</v>
      </c>
      <c r="H298" s="237" t="str">
        <f>VLOOKUP(A:A,Table1[[Project No]:[Additional Remark]],15,FALSE)</f>
        <v>Astronergy 610Wp</v>
      </c>
      <c r="I298" s="237">
        <f>VLOOKUP(A:A,Table1[[Project No]:[Additional Remark]],16,FALSE)</f>
        <v>22</v>
      </c>
      <c r="J298" s="239" t="str">
        <f>VLOOKUP(A:A,Table1[[Project No]:[Additional Remark]],17,FALSE)</f>
        <v>Huawei SUN2000-10KTL</v>
      </c>
      <c r="K298" s="240"/>
      <c r="L298" s="239" t="str">
        <f t="shared" si="8"/>
        <v>Pending NEM Welcome Letter</v>
      </c>
      <c r="M298" s="239" t="str">
        <f>VLOOKUP(A:A,'Finance Tracker'!A293:K533,8,FALSE)</f>
        <v>Invoice Completed</v>
      </c>
      <c r="N298" s="240"/>
      <c r="O298" s="242" t="s">
        <v>109</v>
      </c>
      <c r="P298" s="242" t="s">
        <v>109</v>
      </c>
      <c r="Q298" s="240"/>
      <c r="R298" s="241">
        <v>45798</v>
      </c>
      <c r="S298" s="241">
        <v>45845</v>
      </c>
      <c r="T298" s="239" t="s">
        <v>1819</v>
      </c>
      <c r="U298" s="241"/>
      <c r="V298" s="242" t="s">
        <v>1853</v>
      </c>
      <c r="W298" s="239" t="s">
        <v>1853</v>
      </c>
      <c r="X298" s="237" t="s">
        <v>109</v>
      </c>
      <c r="Y298" s="237" t="s">
        <v>1853</v>
      </c>
      <c r="Z298" s="237" t="s">
        <v>1854</v>
      </c>
      <c r="AA298" s="242">
        <v>45850</v>
      </c>
      <c r="AB298" s="242">
        <v>45847</v>
      </c>
      <c r="AC298" s="239" t="s">
        <v>1853</v>
      </c>
      <c r="AD298" s="242">
        <v>45868</v>
      </c>
      <c r="AE298" s="242">
        <v>45865</v>
      </c>
      <c r="AF298" s="242">
        <v>45868</v>
      </c>
      <c r="AG298" s="247"/>
      <c r="AH298" s="237"/>
      <c r="AI298" s="243"/>
      <c r="AJ298" s="237" t="s">
        <v>109</v>
      </c>
      <c r="AK298" s="237" t="s">
        <v>109</v>
      </c>
      <c r="AL298" s="237" t="s">
        <v>109</v>
      </c>
      <c r="AM298" s="237" t="s">
        <v>109</v>
      </c>
      <c r="AP298" s="239">
        <f t="shared" si="10"/>
        <v>47</v>
      </c>
      <c r="AQ298" s="245"/>
    </row>
    <row r="299" spans="1:43" s="199" customFormat="1" ht="18.75" customHeight="1" x14ac:dyDescent="0.3">
      <c r="A299" s="192">
        <f>Table1[[#This Row],[Project No]]</f>
        <v>2505699</v>
      </c>
      <c r="B299" s="193" t="str">
        <f>VLOOKUP(A:A,Table1[[Project No]:[Additional Remark]],2,FALSE)</f>
        <v>Kiren Kaur A/P Bhajan Singh</v>
      </c>
      <c r="C299" s="192" t="e" vm="11">
        <f>VLOOKUP(A:A,Table1[[#All],[Project No]:[Additional Remark]],7,FALSE)</f>
        <v>#VALUE!</v>
      </c>
      <c r="D299" s="192" t="str">
        <f>VLOOKUP(A:A,Table1[[#All],[Project No]:[Additional Remark]],4,FALSE)</f>
        <v>Chean Bang</v>
      </c>
      <c r="E299" s="192" t="str">
        <f>VLOOKUP(A:A,Table1[[#All],[Project No]:[Additional Remark]],5,FALSE)</f>
        <v>R-PV</v>
      </c>
      <c r="F299" s="192" t="str">
        <f>VLOOKUP(A:A,Table1[[Project No]:[Additional Remark]],6,FALSE)</f>
        <v>NEM</v>
      </c>
      <c r="G299" s="192">
        <f>VLOOKUP(A:A,Table1[[Project No]:[Additional Remark]],8,FALSE)</f>
        <v>11.8</v>
      </c>
      <c r="H299" s="192" t="str">
        <f>VLOOKUP(A:A,Table1[[Project No]:[Additional Remark]],15,FALSE)</f>
        <v>Astronergy 590Wp</v>
      </c>
      <c r="I299" s="192">
        <f>VLOOKUP(A:A,Table1[[Project No]:[Additional Remark]],16,FALSE)</f>
        <v>20</v>
      </c>
      <c r="J299" s="194" t="str">
        <f>VLOOKUP(A:A,Table1[[Project No]:[Additional Remark]],17,FALSE)</f>
        <v>Huawei SUN2000-10KTL</v>
      </c>
      <c r="K299" s="195"/>
      <c r="L299" s="194" t="str">
        <f t="shared" si="8"/>
        <v>Pending Site Installation</v>
      </c>
      <c r="M299" s="194" t="str">
        <f>VLOOKUP(A:A,'Finance Tracker'!A294:K534,8,FALSE)</f>
        <v>1st invoice</v>
      </c>
      <c r="N299" s="195"/>
      <c r="O299" s="197" t="s">
        <v>109</v>
      </c>
      <c r="P299" s="197" t="s">
        <v>109</v>
      </c>
      <c r="Q299" s="195"/>
      <c r="R299" s="196">
        <v>45798</v>
      </c>
      <c r="S299" s="196">
        <v>45814</v>
      </c>
      <c r="T299" s="194" t="s">
        <v>1819</v>
      </c>
      <c r="U299" s="196">
        <v>46162</v>
      </c>
      <c r="V299" s="197" t="s">
        <v>1853</v>
      </c>
      <c r="W299" s="194" t="s">
        <v>1853</v>
      </c>
      <c r="X299" s="192" t="s">
        <v>109</v>
      </c>
      <c r="Y299" s="192" t="s">
        <v>1853</v>
      </c>
      <c r="Z299" s="192"/>
      <c r="AA299" s="197"/>
      <c r="AB299" s="197"/>
      <c r="AC299" s="194"/>
      <c r="AD299" s="197"/>
      <c r="AE299" s="197"/>
      <c r="AF299" s="197"/>
      <c r="AG299" s="192"/>
      <c r="AH299" s="192"/>
      <c r="AI299" s="198"/>
      <c r="AJ299" s="192" t="s">
        <v>109</v>
      </c>
      <c r="AK299" s="192" t="s">
        <v>109</v>
      </c>
      <c r="AL299" s="192" t="s">
        <v>109</v>
      </c>
      <c r="AM299" s="192" t="s">
        <v>109</v>
      </c>
      <c r="AP299" s="194">
        <f t="shared" si="10"/>
        <v>16</v>
      </c>
      <c r="AQ299" s="200"/>
    </row>
    <row r="300" spans="1:43" s="199" customFormat="1" ht="18.75" customHeight="1" x14ac:dyDescent="0.3">
      <c r="A300" s="192">
        <f>Table1[[#This Row],[Project No]]</f>
        <v>2503612</v>
      </c>
      <c r="B300" s="193" t="str">
        <f>VLOOKUP(A:A,Table1[[Project No]:[Additional Remark]],2,FALSE)</f>
        <v>Low Bok Tek</v>
      </c>
      <c r="C300" s="192" t="e" vm="5">
        <f>VLOOKUP(A:A,Table1[[#All],[Project No]:[Additional Remark]],7,FALSE)</f>
        <v>#VALUE!</v>
      </c>
      <c r="D300" s="192" t="str">
        <f>VLOOKUP(A:A,Table1[[#All],[Project No]:[Additional Remark]],4,FALSE)</f>
        <v>Tham</v>
      </c>
      <c r="E300" s="192" t="str">
        <f>VLOOKUP(A:A,Table1[[#All],[Project No]:[Additional Remark]],5,FALSE)</f>
        <v>R-PV</v>
      </c>
      <c r="F300" s="192" t="str">
        <f>VLOOKUP(A:A,Table1[[Project No]:[Additional Remark]],6,FALSE)</f>
        <v>NEM</v>
      </c>
      <c r="G300" s="192">
        <f>VLOOKUP(A:A,Table1[[Project No]:[Additional Remark]],8,FALSE)</f>
        <v>17.7</v>
      </c>
      <c r="H300" s="192" t="str">
        <f>VLOOKUP(A:A,Table1[[Project No]:[Additional Remark]],15,FALSE)</f>
        <v>Astronergy 590Wp</v>
      </c>
      <c r="I300" s="192">
        <f>VLOOKUP(A:A,Table1[[Project No]:[Additional Remark]],16,FALSE)</f>
        <v>30</v>
      </c>
      <c r="J300" s="194" t="str">
        <f>VLOOKUP(A:A,Table1[[Project No]:[Additional Remark]],17,FALSE)</f>
        <v>Huawei SUN2000-12KTL</v>
      </c>
      <c r="K300" s="195"/>
      <c r="L300" s="194" t="str">
        <f t="shared" si="8"/>
        <v>Pending Site Installation</v>
      </c>
      <c r="M300" s="194" t="str">
        <f>VLOOKUP(A:A,'Finance Tracker'!A295:K535,8,FALSE)</f>
        <v>Invoice Completed</v>
      </c>
      <c r="N300" s="195"/>
      <c r="O300" s="197" t="s">
        <v>109</v>
      </c>
      <c r="P300" s="197" t="s">
        <v>109</v>
      </c>
      <c r="Q300" s="195"/>
      <c r="R300" s="196">
        <v>46528</v>
      </c>
      <c r="S300" s="196">
        <v>45801</v>
      </c>
      <c r="T300" s="194" t="s">
        <v>1819</v>
      </c>
      <c r="U300" s="196">
        <v>46162</v>
      </c>
      <c r="V300" s="197" t="s">
        <v>1853</v>
      </c>
      <c r="W300" s="194" t="s">
        <v>1853</v>
      </c>
      <c r="X300" s="192" t="s">
        <v>109</v>
      </c>
      <c r="Y300" s="192" t="s">
        <v>1853</v>
      </c>
      <c r="Z300" s="192"/>
      <c r="AA300" s="197"/>
      <c r="AB300" s="197"/>
      <c r="AC300" s="194"/>
      <c r="AD300" s="197"/>
      <c r="AE300" s="197"/>
      <c r="AF300" s="197"/>
      <c r="AG300" s="192"/>
      <c r="AH300" s="192"/>
      <c r="AI300" s="198"/>
      <c r="AJ300" s="192" t="s">
        <v>109</v>
      </c>
      <c r="AK300" s="192" t="s">
        <v>109</v>
      </c>
      <c r="AL300" s="192" t="s">
        <v>109</v>
      </c>
      <c r="AM300" s="192" t="s">
        <v>109</v>
      </c>
      <c r="AP300" s="194">
        <f t="shared" si="10"/>
        <v>-727</v>
      </c>
      <c r="AQ300" s="200"/>
    </row>
    <row r="301" spans="1:43" s="199" customFormat="1" ht="18.75" customHeight="1" x14ac:dyDescent="0.3">
      <c r="A301" s="192">
        <f>Table1[[#This Row],[Project No]]</f>
        <v>2505680</v>
      </c>
      <c r="B301" s="193" t="str">
        <f>VLOOKUP(A:A,Table1[[Project No]:[Additional Remark]],2,FALSE)</f>
        <v>Chiang Hock Chiong</v>
      </c>
      <c r="C301" s="192" t="e" vm="11">
        <f>VLOOKUP(A:A,Table1[[#All],[Project No]:[Additional Remark]],7,FALSE)</f>
        <v>#VALUE!</v>
      </c>
      <c r="D301" s="192" t="str">
        <f>VLOOKUP(A:A,Table1[[#All],[Project No]:[Additional Remark]],4,FALSE)</f>
        <v>Patricia</v>
      </c>
      <c r="E301" s="192" t="str">
        <f>VLOOKUP(A:A,Table1[[#All],[Project No]:[Additional Remark]],5,FALSE)</f>
        <v>R-PV</v>
      </c>
      <c r="F301" s="192" t="str">
        <f>VLOOKUP(A:A,Table1[[Project No]:[Additional Remark]],6,FALSE)</f>
        <v>NEM</v>
      </c>
      <c r="G301" s="192">
        <f>VLOOKUP(A:A,Table1[[Project No]:[Additional Remark]],8,FALSE)</f>
        <v>17.7</v>
      </c>
      <c r="H301" s="192" t="str">
        <f>VLOOKUP(A:A,Table1[[Project No]:[Additional Remark]],15,FALSE)</f>
        <v>Astronergy 590Wp</v>
      </c>
      <c r="I301" s="192">
        <f>VLOOKUP(A:A,Table1[[Project No]:[Additional Remark]],16,FALSE)</f>
        <v>30</v>
      </c>
      <c r="J301" s="194" t="str">
        <f>VLOOKUP(A:A,Table1[[Project No]:[Additional Remark]],17,FALSE)</f>
        <v>Huawei SUN2000-12KTL</v>
      </c>
      <c r="K301" s="195"/>
      <c r="L301" s="194" t="str">
        <f t="shared" si="8"/>
        <v>Pending Site Installation</v>
      </c>
      <c r="M301" s="194" t="str">
        <f>VLOOKUP(A:A,'Finance Tracker'!A296:K536,8,FALSE)</f>
        <v>1st invoice</v>
      </c>
      <c r="N301" s="195"/>
      <c r="O301" s="197" t="s">
        <v>109</v>
      </c>
      <c r="P301" s="197" t="s">
        <v>109</v>
      </c>
      <c r="Q301" s="195"/>
      <c r="R301" s="196">
        <v>46528</v>
      </c>
      <c r="S301" s="196">
        <v>45806</v>
      </c>
      <c r="T301" s="194" t="s">
        <v>1819</v>
      </c>
      <c r="U301" s="196">
        <v>46162</v>
      </c>
      <c r="V301" s="197" t="s">
        <v>1853</v>
      </c>
      <c r="W301" s="194" t="s">
        <v>1853</v>
      </c>
      <c r="X301" s="192" t="s">
        <v>109</v>
      </c>
      <c r="Y301" s="192" t="s">
        <v>1853</v>
      </c>
      <c r="Z301" s="192"/>
      <c r="AA301" s="197"/>
      <c r="AB301" s="197"/>
      <c r="AC301" s="194"/>
      <c r="AD301" s="197"/>
      <c r="AE301" s="197"/>
      <c r="AF301" s="197"/>
      <c r="AG301" s="192"/>
      <c r="AH301" s="192"/>
      <c r="AI301" s="198"/>
      <c r="AJ301" s="192" t="s">
        <v>109</v>
      </c>
      <c r="AK301" s="192" t="s">
        <v>109</v>
      </c>
      <c r="AL301" s="192" t="s">
        <v>109</v>
      </c>
      <c r="AM301" s="192" t="s">
        <v>109</v>
      </c>
      <c r="AP301" s="194">
        <f t="shared" si="10"/>
        <v>-722</v>
      </c>
      <c r="AQ301" s="200"/>
    </row>
    <row r="302" spans="1:43" s="244" customFormat="1" ht="18.75" customHeight="1" x14ac:dyDescent="0.3">
      <c r="A302" s="237">
        <f>Table1[[#This Row],[Project No]]</f>
        <v>2503607</v>
      </c>
      <c r="B302" s="238" t="str">
        <f>VLOOKUP(A:A,Table1[[Project No]:[Additional Remark]],2,FALSE)</f>
        <v>Goh Boon Leng</v>
      </c>
      <c r="C302" s="237" t="e" vm="5">
        <f>VLOOKUP(A:A,Table1[[#All],[Project No]:[Additional Remark]],7,FALSE)</f>
        <v>#VALUE!</v>
      </c>
      <c r="D302" s="237" t="str">
        <f>VLOOKUP(A:A,Table1[[#All],[Project No]:[Additional Remark]],4,FALSE)</f>
        <v>Tham</v>
      </c>
      <c r="E302" s="237" t="str">
        <f>VLOOKUP(A:A,Table1[[#All],[Project No]:[Additional Remark]],5,FALSE)</f>
        <v>R-PV</v>
      </c>
      <c r="F302" s="237" t="str">
        <f>VLOOKUP(A:A,Table1[[Project No]:[Additional Remark]],6,FALSE)</f>
        <v>NEM</v>
      </c>
      <c r="G302" s="237">
        <f>VLOOKUP(A:A,Table1[[Project No]:[Additional Remark]],8,FALSE)</f>
        <v>10.62</v>
      </c>
      <c r="H302" s="237" t="str">
        <f>VLOOKUP(A:A,Table1[[Project No]:[Additional Remark]],15,FALSE)</f>
        <v>Astronergy 590Wp</v>
      </c>
      <c r="I302" s="237">
        <f>VLOOKUP(A:A,Table1[[Project No]:[Additional Remark]],16,FALSE)</f>
        <v>18</v>
      </c>
      <c r="J302" s="239" t="str">
        <f>VLOOKUP(A:A,Table1[[Project No]:[Additional Remark]],17,FALSE)</f>
        <v>Huawei SUN2000-8KTL</v>
      </c>
      <c r="K302" s="240"/>
      <c r="L302" s="239" t="str">
        <f t="shared" si="8"/>
        <v>Pending NEM Welcome Letter</v>
      </c>
      <c r="M302" s="239" t="str">
        <f>VLOOKUP(A:A,'Finance Tracker'!A297:K537,8,FALSE)</f>
        <v>Invoice Completed</v>
      </c>
      <c r="N302" s="240"/>
      <c r="O302" s="242" t="s">
        <v>109</v>
      </c>
      <c r="P302" s="242" t="s">
        <v>109</v>
      </c>
      <c r="Q302" s="240"/>
      <c r="R302" s="241">
        <v>45828</v>
      </c>
      <c r="S302" s="241">
        <v>45832</v>
      </c>
      <c r="T302" s="239" t="s">
        <v>1819</v>
      </c>
      <c r="U302" s="241"/>
      <c r="V302" s="242" t="s">
        <v>1853</v>
      </c>
      <c r="W302" s="239" t="s">
        <v>1853</v>
      </c>
      <c r="X302" s="237" t="s">
        <v>109</v>
      </c>
      <c r="Y302" s="237" t="s">
        <v>1853</v>
      </c>
      <c r="Z302" s="237" t="s">
        <v>1855</v>
      </c>
      <c r="AA302" s="242">
        <v>45867</v>
      </c>
      <c r="AB302" s="242">
        <v>45867</v>
      </c>
      <c r="AC302" s="239" t="s">
        <v>1853</v>
      </c>
      <c r="AD302" s="242">
        <v>45878</v>
      </c>
      <c r="AE302" s="242">
        <v>45877</v>
      </c>
      <c r="AF302" s="242">
        <v>45878</v>
      </c>
      <c r="AG302" s="237"/>
      <c r="AH302" s="237"/>
      <c r="AI302" s="243"/>
      <c r="AJ302" s="237" t="s">
        <v>109</v>
      </c>
      <c r="AK302" s="237" t="s">
        <v>109</v>
      </c>
      <c r="AL302" s="237" t="s">
        <v>109</v>
      </c>
      <c r="AM302" s="237" t="s">
        <v>109</v>
      </c>
      <c r="AP302" s="239">
        <f t="shared" ref="AP302:AP333" si="11">S302-R302</f>
        <v>4</v>
      </c>
      <c r="AQ302" s="245"/>
    </row>
    <row r="303" spans="1:43" s="181" customFormat="1" ht="18.75" customHeight="1" x14ac:dyDescent="0.3">
      <c r="A303" s="174">
        <f>Table1[[#This Row],[Project No]]</f>
        <v>2505711</v>
      </c>
      <c r="B303" s="175" t="str">
        <f>VLOOKUP(A:A,Table1[[Project No]:[Additional Remark]],2,FALSE)</f>
        <v>Lee Len Foong</v>
      </c>
      <c r="C303" s="174" t="e" vm="11">
        <f>VLOOKUP(A:A,Table1[[#All],[Project No]:[Additional Remark]],7,FALSE)</f>
        <v>#VALUE!</v>
      </c>
      <c r="D303" s="174" t="str">
        <f>VLOOKUP(A:A,Table1[[#All],[Project No]:[Additional Remark]],4,FALSE)</f>
        <v>Chean Bang</v>
      </c>
      <c r="E303" s="174" t="str">
        <f>VLOOKUP(A:A,Table1[[#All],[Project No]:[Additional Remark]],5,FALSE)</f>
        <v>R-PV</v>
      </c>
      <c r="F303" s="174" t="str">
        <f>VLOOKUP(A:A,Table1[[Project No]:[Additional Remark]],6,FALSE)</f>
        <v>NEM</v>
      </c>
      <c r="G303" s="174">
        <f>VLOOKUP(A:A,Table1[[Project No]:[Additional Remark]],8,FALSE)</f>
        <v>8.26</v>
      </c>
      <c r="H303" s="174" t="str">
        <f>VLOOKUP(A:A,Table1[[Project No]:[Additional Remark]],15,FALSE)</f>
        <v>Astronergy 590Wp</v>
      </c>
      <c r="I303" s="174">
        <f>VLOOKUP(A:A,Table1[[Project No]:[Additional Remark]],16,FALSE)</f>
        <v>14</v>
      </c>
      <c r="J303" s="176" t="str">
        <f>VLOOKUP(A:A,Table1[[Project No]:[Additional Remark]],17,FALSE)</f>
        <v>Huawei SUN2000-6KTL</v>
      </c>
      <c r="K303" s="177"/>
      <c r="L303" s="176" t="str">
        <f t="shared" si="8"/>
        <v>Pending NEM Qouta Approval</v>
      </c>
      <c r="M303" s="176" t="str">
        <f>VLOOKUP(A:A,'Finance Tracker'!A298:K538,8,FALSE)</f>
        <v>1st invoice</v>
      </c>
      <c r="N303" s="177"/>
      <c r="O303" s="179" t="s">
        <v>109</v>
      </c>
      <c r="P303" s="179" t="s">
        <v>109</v>
      </c>
      <c r="Q303" s="177"/>
      <c r="R303" s="178">
        <v>45806</v>
      </c>
      <c r="S303" s="178"/>
      <c r="T303" s="176" t="s">
        <v>1815</v>
      </c>
      <c r="U303" s="178"/>
      <c r="V303" s="179" t="s">
        <v>1853</v>
      </c>
      <c r="W303" s="176" t="s">
        <v>1853</v>
      </c>
      <c r="X303" s="174" t="s">
        <v>109</v>
      </c>
      <c r="Y303" s="174" t="s">
        <v>1853</v>
      </c>
      <c r="Z303" s="174"/>
      <c r="AA303" s="179"/>
      <c r="AB303" s="179"/>
      <c r="AC303" s="176"/>
      <c r="AD303" s="179"/>
      <c r="AE303" s="179"/>
      <c r="AF303" s="179"/>
      <c r="AG303" s="174"/>
      <c r="AH303" s="174"/>
      <c r="AI303" s="180"/>
      <c r="AJ303" s="174" t="s">
        <v>109</v>
      </c>
      <c r="AK303" s="174" t="s">
        <v>109</v>
      </c>
      <c r="AL303" s="174" t="s">
        <v>109</v>
      </c>
      <c r="AM303" s="174" t="s">
        <v>109</v>
      </c>
      <c r="AP303" s="176">
        <f t="shared" si="11"/>
        <v>-45806</v>
      </c>
      <c r="AQ303" s="182"/>
    </row>
    <row r="304" spans="1:43" s="244" customFormat="1" ht="18.75" customHeight="1" x14ac:dyDescent="0.3">
      <c r="A304" s="237">
        <f>Table1[[#This Row],[Project No]]</f>
        <v>2505713</v>
      </c>
      <c r="B304" s="238" t="str">
        <f>VLOOKUP(A:A,Table1[[Project No]:[Additional Remark]],2,FALSE)</f>
        <v>Yap Swee Piau</v>
      </c>
      <c r="C304" s="237" t="e" vm="11">
        <f>VLOOKUP(A:A,Table1[[#All],[Project No]:[Additional Remark]],7,FALSE)</f>
        <v>#VALUE!</v>
      </c>
      <c r="D304" s="237" t="str">
        <f>VLOOKUP(A:A,Table1[[#All],[Project No]:[Additional Remark]],4,FALSE)</f>
        <v>Patricia</v>
      </c>
      <c r="E304" s="237" t="str">
        <f>VLOOKUP(A:A,Table1[[#All],[Project No]:[Additional Remark]],5,FALSE)</f>
        <v>R-PV</v>
      </c>
      <c r="F304" s="237" t="str">
        <f>VLOOKUP(A:A,Table1[[Project No]:[Additional Remark]],6,FALSE)</f>
        <v>NEM</v>
      </c>
      <c r="G304" s="237">
        <f>VLOOKUP(A:A,Table1[[Project No]:[Additional Remark]],8,FALSE)</f>
        <v>17.7</v>
      </c>
      <c r="H304" s="237" t="str">
        <f>VLOOKUP(A:A,Table1[[Project No]:[Additional Remark]],15,FALSE)</f>
        <v>Astronergy 590Wp</v>
      </c>
      <c r="I304" s="237">
        <f>VLOOKUP(A:A,Table1[[Project No]:[Additional Remark]],16,FALSE)</f>
        <v>30</v>
      </c>
      <c r="J304" s="239" t="str">
        <f>VLOOKUP(A:A,Table1[[Project No]:[Additional Remark]],17,FALSE)</f>
        <v>Huawei SUN2000-12KTL</v>
      </c>
      <c r="K304" s="240"/>
      <c r="L304" s="239" t="str">
        <f t="shared" si="8"/>
        <v>Pending NEM Welcome Letter</v>
      </c>
      <c r="M304" s="239" t="str">
        <f>VLOOKUP(A:A,'Finance Tracker'!A299:K539,8,FALSE)</f>
        <v>Invoice Completed</v>
      </c>
      <c r="N304" s="240"/>
      <c r="O304" s="242" t="s">
        <v>109</v>
      </c>
      <c r="P304" s="242" t="s">
        <v>109</v>
      </c>
      <c r="Q304" s="240"/>
      <c r="R304" s="241">
        <v>45821</v>
      </c>
      <c r="S304" s="241">
        <v>45833</v>
      </c>
      <c r="T304" s="239" t="s">
        <v>1819</v>
      </c>
      <c r="U304" s="241"/>
      <c r="V304" s="242" t="s">
        <v>1853</v>
      </c>
      <c r="W304" s="239" t="s">
        <v>1853</v>
      </c>
      <c r="X304" s="237" t="s">
        <v>109</v>
      </c>
      <c r="Y304" s="237" t="s">
        <v>1853</v>
      </c>
      <c r="Z304" s="237" t="s">
        <v>1854</v>
      </c>
      <c r="AA304" s="242">
        <v>45840</v>
      </c>
      <c r="AB304" s="242" t="s">
        <v>1853</v>
      </c>
      <c r="AC304" s="239" t="s">
        <v>1853</v>
      </c>
      <c r="AD304" s="242">
        <v>45869</v>
      </c>
      <c r="AE304" s="242">
        <v>45861</v>
      </c>
      <c r="AF304" s="242">
        <v>45869</v>
      </c>
      <c r="AG304" s="237"/>
      <c r="AH304" s="237"/>
      <c r="AI304" s="243"/>
      <c r="AJ304" s="237" t="s">
        <v>109</v>
      </c>
      <c r="AK304" s="237" t="s">
        <v>109</v>
      </c>
      <c r="AL304" s="237" t="s">
        <v>109</v>
      </c>
      <c r="AM304" s="237" t="s">
        <v>109</v>
      </c>
      <c r="AP304" s="239">
        <f t="shared" si="11"/>
        <v>12</v>
      </c>
      <c r="AQ304" s="245"/>
    </row>
    <row r="305" spans="1:43" s="199" customFormat="1" ht="18.75" customHeight="1" x14ac:dyDescent="0.3">
      <c r="A305" s="192">
        <f>Table1[[#This Row],[Project No]]</f>
        <v>2505714</v>
      </c>
      <c r="B305" s="193" t="str">
        <f>VLOOKUP(A:A,Table1[[Project No]:[Additional Remark]],2,FALSE)</f>
        <v>Kong King Wai</v>
      </c>
      <c r="C305" s="192" t="e" vm="5">
        <f>VLOOKUP(A:A,Table1[[#All],[Project No]:[Additional Remark]],7,FALSE)</f>
        <v>#VALUE!</v>
      </c>
      <c r="D305" s="192" t="str">
        <f>VLOOKUP(A:A,Table1[[#All],[Project No]:[Additional Remark]],4,FALSE)</f>
        <v>Tham</v>
      </c>
      <c r="E305" s="192" t="str">
        <f>VLOOKUP(A:A,Table1[[#All],[Project No]:[Additional Remark]],5,FALSE)</f>
        <v>R-PV</v>
      </c>
      <c r="F305" s="192" t="str">
        <f>VLOOKUP(A:A,Table1[[Project No]:[Additional Remark]],6,FALSE)</f>
        <v>NEM</v>
      </c>
      <c r="G305" s="192">
        <f>VLOOKUP(A:A,Table1[[Project No]:[Additional Remark]],8,FALSE)</f>
        <v>7.08</v>
      </c>
      <c r="H305" s="192" t="str">
        <f>VLOOKUP(A:A,Table1[[Project No]:[Additional Remark]],15,FALSE)</f>
        <v>Astronergy 590Wp</v>
      </c>
      <c r="I305" s="192">
        <f>VLOOKUP(A:A,Table1[[Project No]:[Additional Remark]],16,FALSE)</f>
        <v>12</v>
      </c>
      <c r="J305" s="194" t="str">
        <f>VLOOKUP(A:A,Table1[[Project No]:[Additional Remark]],17,FALSE)</f>
        <v>Huawei SUN2000-5KTL-L1</v>
      </c>
      <c r="K305" s="195"/>
      <c r="L305" s="194" t="str">
        <f t="shared" si="8"/>
        <v>Pending Site Installation</v>
      </c>
      <c r="M305" s="194" t="str">
        <f>VLOOKUP(A:A,'Finance Tracker'!A300:K540,8,FALSE)</f>
        <v>1st invoice</v>
      </c>
      <c r="N305" s="195"/>
      <c r="O305" s="197" t="s">
        <v>109</v>
      </c>
      <c r="P305" s="197" t="s">
        <v>109</v>
      </c>
      <c r="Q305" s="195"/>
      <c r="R305" s="196">
        <v>45812</v>
      </c>
      <c r="S305" s="196">
        <v>45824</v>
      </c>
      <c r="T305" s="194" t="s">
        <v>1819</v>
      </c>
      <c r="U305" s="196">
        <v>45824</v>
      </c>
      <c r="V305" s="197" t="s">
        <v>1853</v>
      </c>
      <c r="W305" s="194" t="s">
        <v>1853</v>
      </c>
      <c r="X305" s="192" t="s">
        <v>109</v>
      </c>
      <c r="Y305" s="192" t="s">
        <v>1853</v>
      </c>
      <c r="Z305" s="192"/>
      <c r="AA305" s="197"/>
      <c r="AB305" s="197"/>
      <c r="AC305" s="194"/>
      <c r="AD305" s="197"/>
      <c r="AE305" s="197"/>
      <c r="AF305" s="197"/>
      <c r="AG305" s="192"/>
      <c r="AH305" s="192"/>
      <c r="AI305" s="198"/>
      <c r="AJ305" s="192" t="s">
        <v>109</v>
      </c>
      <c r="AK305" s="192" t="s">
        <v>109</v>
      </c>
      <c r="AL305" s="192" t="s">
        <v>109</v>
      </c>
      <c r="AM305" s="192" t="s">
        <v>109</v>
      </c>
      <c r="AP305" s="194">
        <f t="shared" si="11"/>
        <v>12</v>
      </c>
      <c r="AQ305" s="200"/>
    </row>
    <row r="306" spans="1:43" ht="18.75" customHeight="1" x14ac:dyDescent="0.3">
      <c r="A306" s="4">
        <f>Table1[[#This Row],[Project No]]</f>
        <v>2405306</v>
      </c>
      <c r="B306" s="110" t="str">
        <f>VLOOKUP(A:A,Table1[[Project No]:[Additional Remark]],2,FALSE)</f>
        <v>Leong Ah Seng</v>
      </c>
      <c r="C306" s="4" t="e" vm="5">
        <f>VLOOKUP(A:A,Table1[[#All],[Project No]:[Additional Remark]],7,FALSE)</f>
        <v>#VALUE!</v>
      </c>
      <c r="D306" s="4" t="str">
        <f>VLOOKUP(A:A,Table1[[#All],[Project No]:[Additional Remark]],4,FALSE)</f>
        <v>Tham</v>
      </c>
      <c r="E306" s="4" t="str">
        <f>VLOOKUP(A:A,Table1[[#All],[Project No]:[Additional Remark]],5,FALSE)</f>
        <v>R-PV</v>
      </c>
      <c r="F306" s="4" t="str">
        <f>VLOOKUP(A:A,Table1[[Project No]:[Additional Remark]],6,FALSE)</f>
        <v>NEM</v>
      </c>
      <c r="G306" s="4">
        <f>VLOOKUP(A:A,Table1[[Project No]:[Additional Remark]],8,FALSE)</f>
        <v>17.7</v>
      </c>
      <c r="H306" s="4" t="str">
        <f>VLOOKUP(A:A,Table1[[Project No]:[Additional Remark]],15,FALSE)</f>
        <v>Astronergy 590Wp</v>
      </c>
      <c r="I306" s="4">
        <f>VLOOKUP(A:A,Table1[[Project No]:[Additional Remark]],16,FALSE)</f>
        <v>30</v>
      </c>
      <c r="J306" s="1" t="str">
        <f>VLOOKUP(A:A,Table1[[Project No]:[Additional Remark]],17,FALSE)</f>
        <v>Huawei SUN2000-12KTL</v>
      </c>
      <c r="K306" s="127"/>
      <c r="L306" s="1" t="str">
        <f t="shared" si="8"/>
        <v>Completed</v>
      </c>
      <c r="M306" s="1" t="str">
        <f>VLOOKUP(A:A,'Finance Tracker'!A301:K541,8,FALSE)</f>
        <v>Invoice Completed</v>
      </c>
      <c r="N306" s="127"/>
      <c r="O306" s="39" t="s">
        <v>109</v>
      </c>
      <c r="P306" s="39" t="s">
        <v>109</v>
      </c>
      <c r="Q306" s="127"/>
      <c r="R306" s="56">
        <v>45798</v>
      </c>
      <c r="S306" s="56">
        <v>45817</v>
      </c>
      <c r="T306" s="1" t="s">
        <v>1819</v>
      </c>
      <c r="U306" s="56"/>
      <c r="V306" s="39" t="s">
        <v>1853</v>
      </c>
      <c r="W306" s="1" t="s">
        <v>1853</v>
      </c>
      <c r="X306" s="4" t="s">
        <v>109</v>
      </c>
      <c r="Y306" s="4" t="s">
        <v>1853</v>
      </c>
      <c r="Z306" s="4" t="s">
        <v>1855</v>
      </c>
      <c r="AA306" s="39">
        <v>45834</v>
      </c>
      <c r="AB306" s="39">
        <v>45845</v>
      </c>
      <c r="AC306" s="1" t="s">
        <v>1853</v>
      </c>
      <c r="AD306" s="39">
        <v>45854</v>
      </c>
      <c r="AE306" s="39">
        <v>45853</v>
      </c>
      <c r="AF306" s="39">
        <v>45854</v>
      </c>
      <c r="AG306" s="39">
        <v>45854</v>
      </c>
      <c r="AH306" s="39">
        <v>45869</v>
      </c>
      <c r="AJ306" s="4" t="s">
        <v>109</v>
      </c>
      <c r="AK306" s="4" t="s">
        <v>109</v>
      </c>
      <c r="AL306" s="4" t="s">
        <v>109</v>
      </c>
      <c r="AM306" s="4" t="s">
        <v>109</v>
      </c>
      <c r="AP306" s="1">
        <f t="shared" si="11"/>
        <v>19</v>
      </c>
    </row>
    <row r="307" spans="1:43" ht="18.75" customHeight="1" x14ac:dyDescent="0.3">
      <c r="A307" s="4">
        <f>Table1[[#This Row],[Project No]]</f>
        <v>2505705</v>
      </c>
      <c r="B307" s="110" t="str">
        <f>VLOOKUP(A:A,Table1[[Project No]:[Additional Remark]],2,FALSE)</f>
        <v>Lee Kee Chew</v>
      </c>
      <c r="C307" s="4" t="e" vm="5">
        <f>VLOOKUP(A:A,Table1[[#All],[Project No]:[Additional Remark]],7,FALSE)</f>
        <v>#VALUE!</v>
      </c>
      <c r="D307" s="4" t="str">
        <f>VLOOKUP(A:A,Table1[[#All],[Project No]:[Additional Remark]],4,FALSE)</f>
        <v>Tham</v>
      </c>
      <c r="E307" s="4" t="str">
        <f>VLOOKUP(A:A,Table1[[#All],[Project No]:[Additional Remark]],5,FALSE)</f>
        <v>R-PV</v>
      </c>
      <c r="F307" s="4" t="str">
        <f>VLOOKUP(A:A,Table1[[Project No]:[Additional Remark]],6,FALSE)</f>
        <v>NEM</v>
      </c>
      <c r="G307" s="4">
        <f>VLOOKUP(A:A,Table1[[Project No]:[Additional Remark]],8,FALSE)</f>
        <v>7.08</v>
      </c>
      <c r="H307" s="4" t="str">
        <f>VLOOKUP(A:A,Table1[[Project No]:[Additional Remark]],15,FALSE)</f>
        <v>Astronergy 590Wp</v>
      </c>
      <c r="I307" s="4">
        <f>VLOOKUP(A:A,Table1[[Project No]:[Additional Remark]],16,FALSE)</f>
        <v>12</v>
      </c>
      <c r="J307" s="1" t="str">
        <f>VLOOKUP(A:A,Table1[[Project No]:[Additional Remark]],17,FALSE)</f>
        <v>Huawei SUN2000-5KTL-L1</v>
      </c>
      <c r="K307" s="127"/>
      <c r="L307" s="1" t="str">
        <f t="shared" si="8"/>
        <v>Completed</v>
      </c>
      <c r="M307" s="1" t="str">
        <f>VLOOKUP(A:A,'Finance Tracker'!A302:K542,8,FALSE)</f>
        <v>Invoice Completed</v>
      </c>
      <c r="N307" s="127"/>
      <c r="O307" s="39" t="s">
        <v>109</v>
      </c>
      <c r="P307" s="39" t="s">
        <v>109</v>
      </c>
      <c r="Q307" s="127"/>
      <c r="R307" s="56">
        <v>45811</v>
      </c>
      <c r="S307" s="56">
        <v>45824</v>
      </c>
      <c r="T307" s="1" t="s">
        <v>1819</v>
      </c>
      <c r="U307" s="56"/>
      <c r="V307" s="39" t="s">
        <v>1853</v>
      </c>
      <c r="W307" s="1" t="s">
        <v>1853</v>
      </c>
      <c r="X307" s="4" t="s">
        <v>109</v>
      </c>
      <c r="Y307" s="4" t="s">
        <v>1853</v>
      </c>
      <c r="Z307" s="4" t="s">
        <v>1855</v>
      </c>
      <c r="AA307" s="39">
        <v>45832</v>
      </c>
      <c r="AB307" s="39" t="s">
        <v>1853</v>
      </c>
      <c r="AC307" s="1" t="s">
        <v>1853</v>
      </c>
      <c r="AD307" s="39">
        <v>45864</v>
      </c>
      <c r="AE307" s="39">
        <v>45853</v>
      </c>
      <c r="AF307" s="39">
        <v>45864</v>
      </c>
      <c r="AG307" s="39">
        <v>45853</v>
      </c>
      <c r="AH307" s="39">
        <v>49521</v>
      </c>
      <c r="AJ307" s="4" t="s">
        <v>109</v>
      </c>
      <c r="AK307" s="4" t="s">
        <v>109</v>
      </c>
      <c r="AL307" s="4" t="s">
        <v>109</v>
      </c>
      <c r="AM307" s="4" t="s">
        <v>109</v>
      </c>
      <c r="AP307" s="1">
        <f t="shared" si="11"/>
        <v>13</v>
      </c>
    </row>
    <row r="308" spans="1:43" s="244" customFormat="1" ht="18.75" customHeight="1" x14ac:dyDescent="0.3">
      <c r="A308" s="237">
        <f>Table1[[#This Row],[Project No]]</f>
        <v>2505717</v>
      </c>
      <c r="B308" s="238" t="str">
        <f>VLOOKUP(A:A,Table1[[Project No]:[Additional Remark]],2,FALSE)</f>
        <v>Sia Wee Leng</v>
      </c>
      <c r="C308" s="237" t="e" vm="12">
        <f>VLOOKUP(A:A,Table1[[#All],[Project No]:[Additional Remark]],7,FALSE)</f>
        <v>#VALUE!</v>
      </c>
      <c r="D308" s="237" t="str">
        <f>VLOOKUP(A:A,Table1[[#All],[Project No]:[Additional Remark]],4,FALSE)</f>
        <v>Tham</v>
      </c>
      <c r="E308" s="237" t="str">
        <f>VLOOKUP(A:A,Table1[[#All],[Project No]:[Additional Remark]],5,FALSE)</f>
        <v>R-PV</v>
      </c>
      <c r="F308" s="237" t="str">
        <f>VLOOKUP(A:A,Table1[[Project No]:[Additional Remark]],6,FALSE)</f>
        <v>NEM</v>
      </c>
      <c r="G308" s="237">
        <f>VLOOKUP(A:A,Table1[[Project No]:[Additional Remark]],8,FALSE)</f>
        <v>16.52</v>
      </c>
      <c r="H308" s="237" t="str">
        <f>VLOOKUP(A:A,Table1[[Project No]:[Additional Remark]],15,FALSE)</f>
        <v>Astronergy 590Wp</v>
      </c>
      <c r="I308" s="237">
        <f>VLOOKUP(A:A,Table1[[Project No]:[Additional Remark]],16,FALSE)</f>
        <v>28</v>
      </c>
      <c r="J308" s="239" t="str">
        <f>VLOOKUP(A:A,Table1[[Project No]:[Additional Remark]],17,FALSE)</f>
        <v>Huawei SUN2000-12KTL</v>
      </c>
      <c r="K308" s="240"/>
      <c r="L308" s="239" t="str">
        <f t="shared" si="8"/>
        <v>Pending NEM Welcome Letter</v>
      </c>
      <c r="M308" s="239" t="str">
        <f>VLOOKUP(A:A,'Finance Tracker'!A303:K543,8,FALSE)</f>
        <v>Invoice Completed</v>
      </c>
      <c r="N308" s="240"/>
      <c r="O308" s="242" t="s">
        <v>109</v>
      </c>
      <c r="P308" s="242" t="s">
        <v>109</v>
      </c>
      <c r="Q308" s="240"/>
      <c r="R308" s="241">
        <v>45814</v>
      </c>
      <c r="S308" s="241">
        <v>45830</v>
      </c>
      <c r="T308" s="239" t="s">
        <v>1819</v>
      </c>
      <c r="U308" s="241"/>
      <c r="V308" s="242" t="s">
        <v>1853</v>
      </c>
      <c r="W308" s="239" t="s">
        <v>1853</v>
      </c>
      <c r="X308" s="237" t="s">
        <v>109</v>
      </c>
      <c r="Y308" s="237" t="s">
        <v>1853</v>
      </c>
      <c r="Z308" s="237" t="s">
        <v>1855</v>
      </c>
      <c r="AA308" s="242">
        <v>45841</v>
      </c>
      <c r="AB308" s="242">
        <v>45846</v>
      </c>
      <c r="AC308" s="239" t="s">
        <v>1853</v>
      </c>
      <c r="AD308" s="242">
        <v>45854</v>
      </c>
      <c r="AE308" s="242">
        <v>45849</v>
      </c>
      <c r="AF308" s="242">
        <v>45854</v>
      </c>
      <c r="AG308" s="242"/>
      <c r="AH308" s="242"/>
      <c r="AI308" s="243"/>
      <c r="AJ308" s="237" t="s">
        <v>109</v>
      </c>
      <c r="AK308" s="237" t="s">
        <v>109</v>
      </c>
      <c r="AL308" s="237" t="s">
        <v>109</v>
      </c>
      <c r="AM308" s="237" t="s">
        <v>109</v>
      </c>
      <c r="AP308" s="239">
        <f t="shared" si="11"/>
        <v>16</v>
      </c>
      <c r="AQ308" s="245"/>
    </row>
    <row r="309" spans="1:43" s="235" customFormat="1" ht="18.75" customHeight="1" x14ac:dyDescent="0.3">
      <c r="A309" s="228" t="str">
        <f>Table1[[#This Row],[Project No]]</f>
        <v>2505699-1</v>
      </c>
      <c r="B309" s="229" t="str">
        <f>VLOOKUP(A:A,Table1[[Project No]:[Additional Remark]],2,FALSE)</f>
        <v>Leong Wai Wung</v>
      </c>
      <c r="C309" s="228" t="e" vm="5">
        <f>VLOOKUP(A:A,Table1[[#All],[Project No]:[Additional Remark]],7,FALSE)</f>
        <v>#VALUE!</v>
      </c>
      <c r="D309" s="228" t="str">
        <f>VLOOKUP(A:A,Table1[[#All],[Project No]:[Additional Remark]],4,FALSE)</f>
        <v>Tham</v>
      </c>
      <c r="E309" s="228" t="str">
        <f>VLOOKUP(A:A,Table1[[#All],[Project No]:[Additional Remark]],5,FALSE)</f>
        <v>R-PV</v>
      </c>
      <c r="F309" s="228" t="str">
        <f>VLOOKUP(A:A,Table1[[Project No]:[Additional Remark]],6,FALSE)</f>
        <v>NEM</v>
      </c>
      <c r="G309" s="228">
        <f>VLOOKUP(A:A,Table1[[Project No]:[Additional Remark]],8,FALSE)</f>
        <v>11.8</v>
      </c>
      <c r="H309" s="228" t="str">
        <f>VLOOKUP(A:A,Table1[[Project No]:[Additional Remark]],15,FALSE)</f>
        <v>Astronergy 590Wp</v>
      </c>
      <c r="I309" s="228">
        <f>VLOOKUP(A:A,Table1[[Project No]:[Additional Remark]],16,FALSE)</f>
        <v>20</v>
      </c>
      <c r="J309" s="230" t="str">
        <f>VLOOKUP(A:A,Table1[[Project No]:[Additional Remark]],17,FALSE)</f>
        <v>Huawei SUN2000-10KTL</v>
      </c>
      <c r="K309" s="231"/>
      <c r="L309" s="230" t="str">
        <f t="shared" si="8"/>
        <v>Pending NEM Qouta Submission</v>
      </c>
      <c r="M309" s="230" t="str">
        <f>VLOOKUP(A:A,'Finance Tracker'!A304:K544,8,FALSE)</f>
        <v>1st invoice</v>
      </c>
      <c r="N309" s="231"/>
      <c r="O309" s="232" t="s">
        <v>109</v>
      </c>
      <c r="P309" s="232" t="s">
        <v>109</v>
      </c>
      <c r="Q309" s="231"/>
      <c r="R309" s="233"/>
      <c r="S309" s="233"/>
      <c r="T309" s="230"/>
      <c r="U309" s="233"/>
      <c r="V309" s="232" t="s">
        <v>1853</v>
      </c>
      <c r="W309" s="230" t="s">
        <v>1853</v>
      </c>
      <c r="X309" s="228" t="s">
        <v>109</v>
      </c>
      <c r="Y309" s="228" t="s">
        <v>1853</v>
      </c>
      <c r="Z309" s="228"/>
      <c r="AA309" s="232"/>
      <c r="AB309" s="232"/>
      <c r="AC309" s="230"/>
      <c r="AD309" s="232"/>
      <c r="AE309" s="232"/>
      <c r="AF309" s="232"/>
      <c r="AG309" s="232"/>
      <c r="AH309" s="232"/>
      <c r="AI309" s="234"/>
      <c r="AJ309" s="228" t="s">
        <v>109</v>
      </c>
      <c r="AK309" s="228" t="s">
        <v>109</v>
      </c>
      <c r="AL309" s="228" t="s">
        <v>109</v>
      </c>
      <c r="AM309" s="228" t="s">
        <v>109</v>
      </c>
      <c r="AP309" s="230">
        <f t="shared" si="11"/>
        <v>0</v>
      </c>
      <c r="AQ309" s="236"/>
    </row>
    <row r="310" spans="1:43" s="244" customFormat="1" ht="18.75" customHeight="1" x14ac:dyDescent="0.3">
      <c r="A310" s="237">
        <f>Table1[[#This Row],[Project No]]</f>
        <v>2505719</v>
      </c>
      <c r="B310" s="238" t="str">
        <f>VLOOKUP(A:A,Table1[[Project No]:[Additional Remark]],2,FALSE)</f>
        <v>Lim Jun Hong</v>
      </c>
      <c r="C310" s="237" t="e" vm="5">
        <f>VLOOKUP(A:A,Table1[[#All],[Project No]:[Additional Remark]],7,FALSE)</f>
        <v>#VALUE!</v>
      </c>
      <c r="D310" s="237" t="str">
        <f>VLOOKUP(A:A,Table1[[#All],[Project No]:[Additional Remark]],4,FALSE)</f>
        <v>Tham</v>
      </c>
      <c r="E310" s="237" t="str">
        <f>VLOOKUP(A:A,Table1[[#All],[Project No]:[Additional Remark]],5,FALSE)</f>
        <v>R-PV</v>
      </c>
      <c r="F310" s="237" t="str">
        <f>VLOOKUP(A:A,Table1[[Project No]:[Additional Remark]],6,FALSE)</f>
        <v>NEM</v>
      </c>
      <c r="G310" s="237">
        <f>VLOOKUP(A:A,Table1[[Project No]:[Additional Remark]],8,FALSE)</f>
        <v>11.78</v>
      </c>
      <c r="H310" s="237" t="str">
        <f>VLOOKUP(A:A,Table1[[Project No]:[Additional Remark]],15,FALSE)</f>
        <v>Astronergy 620Wp</v>
      </c>
      <c r="I310" s="237">
        <f>VLOOKUP(A:A,Table1[[Project No]:[Additional Remark]],16,FALSE)</f>
        <v>19</v>
      </c>
      <c r="J310" s="239" t="str">
        <f>VLOOKUP(A:A,Table1[[Project No]:[Additional Remark]],17,FALSE)</f>
        <v>Huawei SUN2000-10KTL</v>
      </c>
      <c r="K310" s="240"/>
      <c r="L310" s="239" t="str">
        <f t="shared" si="8"/>
        <v>Pending NEM Welcome Letter</v>
      </c>
      <c r="M310" s="239" t="str">
        <f>VLOOKUP(A:A,'Finance Tracker'!A305:K545,8,FALSE)</f>
        <v>2nd invoice</v>
      </c>
      <c r="N310" s="240"/>
      <c r="O310" s="242" t="s">
        <v>109</v>
      </c>
      <c r="P310" s="242" t="s">
        <v>109</v>
      </c>
      <c r="Q310" s="240"/>
      <c r="R310" s="241">
        <v>45814</v>
      </c>
      <c r="S310" s="241">
        <v>45872</v>
      </c>
      <c r="T310" s="239" t="s">
        <v>1819</v>
      </c>
      <c r="U310" s="241"/>
      <c r="V310" s="242" t="s">
        <v>1853</v>
      </c>
      <c r="W310" s="239" t="s">
        <v>1853</v>
      </c>
      <c r="X310" s="237" t="s">
        <v>109</v>
      </c>
      <c r="Y310" s="237" t="s">
        <v>1853</v>
      </c>
      <c r="Z310" s="237" t="s">
        <v>1855</v>
      </c>
      <c r="AA310" s="242">
        <v>45870</v>
      </c>
      <c r="AB310" s="242" t="s">
        <v>1853</v>
      </c>
      <c r="AC310" s="239" t="s">
        <v>1853</v>
      </c>
      <c r="AD310" s="242">
        <v>45878</v>
      </c>
      <c r="AE310" s="242" t="s">
        <v>1853</v>
      </c>
      <c r="AF310" s="242">
        <v>45878</v>
      </c>
      <c r="AG310" s="242"/>
      <c r="AH310" s="242"/>
      <c r="AI310" s="243"/>
      <c r="AJ310" s="237" t="s">
        <v>109</v>
      </c>
      <c r="AK310" s="237" t="s">
        <v>109</v>
      </c>
      <c r="AL310" s="237" t="s">
        <v>109</v>
      </c>
      <c r="AM310" s="237" t="s">
        <v>109</v>
      </c>
      <c r="AP310" s="239">
        <f t="shared" si="11"/>
        <v>58</v>
      </c>
      <c r="AQ310" s="245"/>
    </row>
    <row r="311" spans="1:43" s="181" customFormat="1" ht="18.75" customHeight="1" x14ac:dyDescent="0.3">
      <c r="A311" s="174">
        <f>Table1[[#This Row],[Project No]]</f>
        <v>2505687</v>
      </c>
      <c r="B311" s="175" t="str">
        <f>VLOOKUP(A:A,Table1[[Project No]:[Additional Remark]],2,FALSE)</f>
        <v>Thayananthan A/L Lokanatan</v>
      </c>
      <c r="C311" s="174" t="e" vm="11">
        <f>VLOOKUP(A:A,Table1[[#All],[Project No]:[Additional Remark]],7,FALSE)</f>
        <v>#VALUE!</v>
      </c>
      <c r="D311" s="174" t="str">
        <f>VLOOKUP(A:A,Table1[[#All],[Project No]:[Additional Remark]],4,FALSE)</f>
        <v>Patricia</v>
      </c>
      <c r="E311" s="174" t="str">
        <f>VLOOKUP(A:A,Table1[[#All],[Project No]:[Additional Remark]],5,FALSE)</f>
        <v>R-PV</v>
      </c>
      <c r="F311" s="174" t="str">
        <f>VLOOKUP(A:A,Table1[[Project No]:[Additional Remark]],6,FALSE)</f>
        <v>NEM</v>
      </c>
      <c r="G311" s="174">
        <f>VLOOKUP(A:A,Table1[[Project No]:[Additional Remark]],8,FALSE)</f>
        <v>10.029999999999999</v>
      </c>
      <c r="H311" s="174" t="str">
        <f>VLOOKUP(A:A,Table1[[Project No]:[Additional Remark]],15,FALSE)</f>
        <v>Astronergy 590Wp</v>
      </c>
      <c r="I311" s="174">
        <f>VLOOKUP(A:A,Table1[[Project No]:[Additional Remark]],16,FALSE)</f>
        <v>17</v>
      </c>
      <c r="J311" s="176" t="str">
        <f>VLOOKUP(A:A,Table1[[Project No]:[Additional Remark]],17,FALSE)</f>
        <v>Huawei SUN2000-8KTL</v>
      </c>
      <c r="K311" s="177"/>
      <c r="L311" s="176" t="str">
        <f t="shared" si="8"/>
        <v>Pending NEM Qouta Approval</v>
      </c>
      <c r="M311" s="176" t="str">
        <f>VLOOKUP(A:A,'Finance Tracker'!A306:K546,8,FALSE)</f>
        <v>2nd invoice</v>
      </c>
      <c r="N311" s="177"/>
      <c r="O311" s="179" t="s">
        <v>109</v>
      </c>
      <c r="P311" s="179" t="s">
        <v>109</v>
      </c>
      <c r="Q311" s="177"/>
      <c r="R311" s="178">
        <v>45833</v>
      </c>
      <c r="S311" s="178"/>
      <c r="T311" s="176" t="s">
        <v>1815</v>
      </c>
      <c r="U311" s="178"/>
      <c r="V311" s="179" t="s">
        <v>1853</v>
      </c>
      <c r="W311" s="176" t="s">
        <v>1853</v>
      </c>
      <c r="X311" s="174" t="s">
        <v>109</v>
      </c>
      <c r="Y311" s="174" t="s">
        <v>1853</v>
      </c>
      <c r="Z311" s="174"/>
      <c r="AA311" s="179"/>
      <c r="AB311" s="179"/>
      <c r="AC311" s="176"/>
      <c r="AD311" s="179"/>
      <c r="AE311" s="179"/>
      <c r="AF311" s="179"/>
      <c r="AG311" s="174"/>
      <c r="AH311" s="174"/>
      <c r="AI311" s="180"/>
      <c r="AJ311" s="174" t="s">
        <v>109</v>
      </c>
      <c r="AK311" s="174" t="s">
        <v>109</v>
      </c>
      <c r="AL311" s="174" t="s">
        <v>109</v>
      </c>
      <c r="AM311" s="174" t="s">
        <v>109</v>
      </c>
      <c r="AP311" s="176">
        <f t="shared" si="11"/>
        <v>-45833</v>
      </c>
      <c r="AQ311" s="182"/>
    </row>
    <row r="312" spans="1:43" s="244" customFormat="1" ht="18.75" customHeight="1" x14ac:dyDescent="0.3">
      <c r="A312" s="237">
        <f>Table1[[#This Row],[Project No]]</f>
        <v>2505718</v>
      </c>
      <c r="B312" s="238" t="str">
        <f>VLOOKUP(A:A,Table1[[Project No]:[Additional Remark]],2,FALSE)</f>
        <v>Koh Kheat Kian</v>
      </c>
      <c r="C312" s="237" t="e" vm="11">
        <f>VLOOKUP(A:A,Table1[[#All],[Project No]:[Additional Remark]],7,FALSE)</f>
        <v>#VALUE!</v>
      </c>
      <c r="D312" s="237" t="str">
        <f>VLOOKUP(A:A,Table1[[#All],[Project No]:[Additional Remark]],4,FALSE)</f>
        <v>Chean Bang</v>
      </c>
      <c r="E312" s="237" t="str">
        <f>VLOOKUP(A:A,Table1[[#All],[Project No]:[Additional Remark]],5,FALSE)</f>
        <v>R-PV</v>
      </c>
      <c r="F312" s="237" t="str">
        <f>VLOOKUP(A:A,Table1[[Project No]:[Additional Remark]],6,FALSE)</f>
        <v>NEM</v>
      </c>
      <c r="G312" s="237">
        <f>VLOOKUP(A:A,Table1[[Project No]:[Additional Remark]],8,FALSE)</f>
        <v>7.44</v>
      </c>
      <c r="H312" s="237" t="str">
        <f>VLOOKUP(A:A,Table1[[Project No]:[Additional Remark]],15,FALSE)</f>
        <v>Astronergy 620Wp</v>
      </c>
      <c r="I312" s="237">
        <f>VLOOKUP(A:A,Table1[[Project No]:[Additional Remark]],16,FALSE)</f>
        <v>12</v>
      </c>
      <c r="J312" s="239" t="str">
        <f>VLOOKUP(A:A,Table1[[Project No]:[Additional Remark]],17,FALSE)</f>
        <v>Huawei SUN2000-5KTL-M1</v>
      </c>
      <c r="K312" s="240"/>
      <c r="L312" s="239" t="str">
        <f t="shared" si="8"/>
        <v>Pending NEM Welcome Letter</v>
      </c>
      <c r="M312" s="239" t="str">
        <f>VLOOKUP(A:A,'Finance Tracker'!A307:K547,8,FALSE)</f>
        <v>Invoice Completed</v>
      </c>
      <c r="N312" s="240"/>
      <c r="O312" s="242" t="s">
        <v>109</v>
      </c>
      <c r="P312" s="242" t="s">
        <v>109</v>
      </c>
      <c r="Q312" s="240"/>
      <c r="R312" s="241">
        <v>45820</v>
      </c>
      <c r="S312" s="241">
        <v>45836</v>
      </c>
      <c r="T312" s="239" t="s">
        <v>1819</v>
      </c>
      <c r="U312" s="241"/>
      <c r="V312" s="242" t="s">
        <v>1853</v>
      </c>
      <c r="W312" s="239" t="s">
        <v>1853</v>
      </c>
      <c r="X312" s="237" t="s">
        <v>109</v>
      </c>
      <c r="Y312" s="237" t="s">
        <v>1853</v>
      </c>
      <c r="Z312" s="237" t="s">
        <v>1854</v>
      </c>
      <c r="AA312" s="242">
        <v>45870</v>
      </c>
      <c r="AB312" s="242" t="s">
        <v>1853</v>
      </c>
      <c r="AC312" s="239" t="s">
        <v>1853</v>
      </c>
      <c r="AD312" s="242">
        <v>45888</v>
      </c>
      <c r="AE312" s="242" t="s">
        <v>1853</v>
      </c>
      <c r="AF312" s="242">
        <v>45888</v>
      </c>
      <c r="AG312" s="237"/>
      <c r="AH312" s="237"/>
      <c r="AI312" s="243"/>
      <c r="AJ312" s="237" t="s">
        <v>109</v>
      </c>
      <c r="AK312" s="237" t="s">
        <v>109</v>
      </c>
      <c r="AL312" s="237" t="s">
        <v>109</v>
      </c>
      <c r="AM312" s="237" t="s">
        <v>109</v>
      </c>
      <c r="AP312" s="239">
        <f t="shared" si="11"/>
        <v>16</v>
      </c>
      <c r="AQ312" s="245"/>
    </row>
    <row r="313" spans="1:43" s="244" customFormat="1" ht="18.75" customHeight="1" x14ac:dyDescent="0.3">
      <c r="A313" s="237">
        <f>Table1[[#This Row],[Project No]]</f>
        <v>2506726</v>
      </c>
      <c r="B313" s="238" t="str">
        <f>VLOOKUP(A:A,Table1[[Project No]:[Additional Remark]],2,FALSE)</f>
        <v>Poh Pun Hong</v>
      </c>
      <c r="C313" s="237" t="e" vm="5">
        <f>VLOOKUP(A:A,Table1[[#All],[Project No]:[Additional Remark]],7,FALSE)</f>
        <v>#VALUE!</v>
      </c>
      <c r="D313" s="237" t="str">
        <f>VLOOKUP(A:A,Table1[[#All],[Project No]:[Additional Remark]],4,FALSE)</f>
        <v>Ong</v>
      </c>
      <c r="E313" s="237" t="str">
        <f>VLOOKUP(A:A,Table1[[#All],[Project No]:[Additional Remark]],5,FALSE)</f>
        <v>R-PV</v>
      </c>
      <c r="F313" s="237" t="str">
        <f>VLOOKUP(A:A,Table1[[Project No]:[Additional Remark]],6,FALSE)</f>
        <v>NEM</v>
      </c>
      <c r="G313" s="237">
        <f>VLOOKUP(A:A,Table1[[Project No]:[Additional Remark]],8,FALSE)</f>
        <v>7.44</v>
      </c>
      <c r="H313" s="237" t="str">
        <f>VLOOKUP(A:A,Table1[[Project No]:[Additional Remark]],15,FALSE)</f>
        <v>Astronergy 620Wp</v>
      </c>
      <c r="I313" s="237">
        <f>VLOOKUP(A:A,Table1[[Project No]:[Additional Remark]],16,FALSE)</f>
        <v>12</v>
      </c>
      <c r="J313" s="239" t="str">
        <f>VLOOKUP(A:A,Table1[[Project No]:[Additional Remark]],17,FALSE)</f>
        <v>Huawei SUN2000-5KTL-L1</v>
      </c>
      <c r="K313" s="240"/>
      <c r="L313" s="239" t="str">
        <f t="shared" si="8"/>
        <v>Pending NEM Welcome Letter</v>
      </c>
      <c r="M313" s="239" t="str">
        <f>VLOOKUP(A:A,'Finance Tracker'!A308:K548,8,FALSE)</f>
        <v>Invoice Completed</v>
      </c>
      <c r="N313" s="240"/>
      <c r="O313" s="242" t="s">
        <v>109</v>
      </c>
      <c r="P313" s="242" t="s">
        <v>109</v>
      </c>
      <c r="Q313" s="240"/>
      <c r="R313" s="241">
        <v>45820</v>
      </c>
      <c r="S313" s="241">
        <v>45836</v>
      </c>
      <c r="T313" s="239" t="s">
        <v>1819</v>
      </c>
      <c r="U313" s="241"/>
      <c r="V313" s="242" t="s">
        <v>1853</v>
      </c>
      <c r="W313" s="239" t="s">
        <v>1853</v>
      </c>
      <c r="X313" s="237" t="s">
        <v>109</v>
      </c>
      <c r="Y313" s="237" t="s">
        <v>1853</v>
      </c>
      <c r="Z313" s="237" t="s">
        <v>1855</v>
      </c>
      <c r="AA313" s="242">
        <v>45868</v>
      </c>
      <c r="AB313" s="242">
        <v>45866</v>
      </c>
      <c r="AC313" s="239" t="s">
        <v>1853</v>
      </c>
      <c r="AD313" s="242">
        <v>45876</v>
      </c>
      <c r="AE313" s="242" t="s">
        <v>1853</v>
      </c>
      <c r="AF313" s="242">
        <v>45876</v>
      </c>
      <c r="AG313" s="237"/>
      <c r="AH313" s="237"/>
      <c r="AI313" s="243"/>
      <c r="AJ313" s="237" t="s">
        <v>109</v>
      </c>
      <c r="AK313" s="237" t="s">
        <v>109</v>
      </c>
      <c r="AL313" s="237" t="s">
        <v>109</v>
      </c>
      <c r="AM313" s="237" t="s">
        <v>109</v>
      </c>
      <c r="AP313" s="239">
        <f t="shared" si="11"/>
        <v>16</v>
      </c>
      <c r="AQ313" s="245"/>
    </row>
    <row r="314" spans="1:43" s="244" customFormat="1" ht="18.75" customHeight="1" x14ac:dyDescent="0.3">
      <c r="A314" s="237">
        <f>Table1[[#This Row],[Project No]]</f>
        <v>2506735</v>
      </c>
      <c r="B314" s="238" t="str">
        <f>VLOOKUP(A:A,Table1[[Project No]:[Additional Remark]],2,FALSE)</f>
        <v>Lee Meng Fui</v>
      </c>
      <c r="C314" s="237" t="e" vm="11">
        <f>VLOOKUP(A:A,Table1[[#All],[Project No]:[Additional Remark]],7,FALSE)</f>
        <v>#VALUE!</v>
      </c>
      <c r="D314" s="237" t="str">
        <f>VLOOKUP(A:A,Table1[[#All],[Project No]:[Additional Remark]],4,FALSE)</f>
        <v>Patricia</v>
      </c>
      <c r="E314" s="237" t="str">
        <f>VLOOKUP(A:A,Table1[[#All],[Project No]:[Additional Remark]],5,FALSE)</f>
        <v>R-PV</v>
      </c>
      <c r="F314" s="237" t="str">
        <f>VLOOKUP(A:A,Table1[[Project No]:[Additional Remark]],6,FALSE)</f>
        <v>NEM</v>
      </c>
      <c r="G314" s="237">
        <f>VLOOKUP(A:A,Table1[[Project No]:[Additional Remark]],8,FALSE)</f>
        <v>7.44</v>
      </c>
      <c r="H314" s="237" t="str">
        <f>VLOOKUP(A:A,Table1[[Project No]:[Additional Remark]],15,FALSE)</f>
        <v>Astronergy 610Wp</v>
      </c>
      <c r="I314" s="237">
        <f>VLOOKUP(A:A,Table1[[Project No]:[Additional Remark]],16,FALSE)</f>
        <v>12</v>
      </c>
      <c r="J314" s="239" t="str">
        <f>VLOOKUP(A:A,Table1[[Project No]:[Additional Remark]],17,FALSE)</f>
        <v>Huawei SUN2000-5KTL-L1</v>
      </c>
      <c r="K314" s="240"/>
      <c r="L314" s="239" t="str">
        <f t="shared" si="8"/>
        <v>Pending NEM Welcome Letter</v>
      </c>
      <c r="M314" s="239" t="str">
        <f>VLOOKUP(A:A,'Finance Tracker'!A309:K549,8,FALSE)</f>
        <v>Invoice Completed</v>
      </c>
      <c r="N314" s="240"/>
      <c r="O314" s="242" t="s">
        <v>109</v>
      </c>
      <c r="P314" s="242" t="s">
        <v>109</v>
      </c>
      <c r="Q314" s="240"/>
      <c r="R314" s="241">
        <v>45821</v>
      </c>
      <c r="S314" s="241">
        <v>45836</v>
      </c>
      <c r="T314" s="239" t="s">
        <v>1819</v>
      </c>
      <c r="U314" s="241"/>
      <c r="V314" s="242" t="s">
        <v>1853</v>
      </c>
      <c r="W314" s="239" t="s">
        <v>1853</v>
      </c>
      <c r="X314" s="237" t="s">
        <v>109</v>
      </c>
      <c r="Y314" s="237" t="s">
        <v>1853</v>
      </c>
      <c r="Z314" s="237" t="s">
        <v>1854</v>
      </c>
      <c r="AA314" s="242">
        <v>45848</v>
      </c>
      <c r="AB314" s="242">
        <v>45842</v>
      </c>
      <c r="AC314" s="239" t="s">
        <v>1853</v>
      </c>
      <c r="AD314" s="242">
        <v>45846</v>
      </c>
      <c r="AE314" s="242">
        <v>45845</v>
      </c>
      <c r="AF314" s="242">
        <v>45846</v>
      </c>
      <c r="AG314" s="237"/>
      <c r="AH314" s="237"/>
      <c r="AI314" s="243"/>
      <c r="AJ314" s="237" t="s">
        <v>109</v>
      </c>
      <c r="AK314" s="237" t="s">
        <v>109</v>
      </c>
      <c r="AL314" s="237" t="s">
        <v>109</v>
      </c>
      <c r="AM314" s="237" t="s">
        <v>109</v>
      </c>
      <c r="AP314" s="239">
        <f t="shared" si="11"/>
        <v>15</v>
      </c>
      <c r="AQ314" s="245"/>
    </row>
    <row r="315" spans="1:43" s="244" customFormat="1" ht="18.75" customHeight="1" x14ac:dyDescent="0.3">
      <c r="A315" s="237">
        <f>Table1[[#This Row],[Project No]]</f>
        <v>2506734</v>
      </c>
      <c r="B315" s="238" t="str">
        <f>VLOOKUP(A:A,Table1[[Project No]:[Additional Remark]],2,FALSE)</f>
        <v>Leow Siew Lian (Tee Hong Yee)</v>
      </c>
      <c r="C315" s="237" t="e" vm="11">
        <f>VLOOKUP(A:A,Table1[[#All],[Project No]:[Additional Remark]],7,FALSE)</f>
        <v>#VALUE!</v>
      </c>
      <c r="D315" s="237" t="str">
        <f>VLOOKUP(A:A,Table1[[#All],[Project No]:[Additional Remark]],4,FALSE)</f>
        <v>Patricia</v>
      </c>
      <c r="E315" s="237" t="str">
        <f>VLOOKUP(A:A,Table1[[#All],[Project No]:[Additional Remark]],5,FALSE)</f>
        <v>R-PV</v>
      </c>
      <c r="F315" s="237" t="str">
        <f>VLOOKUP(A:A,Table1[[Project No]:[Additional Remark]],6,FALSE)</f>
        <v>NEM</v>
      </c>
      <c r="G315" s="237">
        <f>VLOOKUP(A:A,Table1[[Project No]:[Additional Remark]],8,FALSE)</f>
        <v>11.16</v>
      </c>
      <c r="H315" s="237" t="str">
        <f>VLOOKUP(A:A,Table1[[Project No]:[Additional Remark]],15,FALSE)</f>
        <v>Astronergy 610Wp</v>
      </c>
      <c r="I315" s="237">
        <f>VLOOKUP(A:A,Table1[[Project No]:[Additional Remark]],16,FALSE)</f>
        <v>18</v>
      </c>
      <c r="J315" s="239" t="str">
        <f>VLOOKUP(A:A,Table1[[Project No]:[Additional Remark]],17,FALSE)</f>
        <v>Huawei SUN2000-8KTL</v>
      </c>
      <c r="K315" s="240"/>
      <c r="L315" s="239" t="str">
        <f t="shared" si="8"/>
        <v>Pending NEM Welcome Letter</v>
      </c>
      <c r="M315" s="239" t="str">
        <f>VLOOKUP(A:A,'Finance Tracker'!A310:K550,8,FALSE)</f>
        <v>Invoice Completed</v>
      </c>
      <c r="N315" s="240"/>
      <c r="O315" s="242" t="s">
        <v>109</v>
      </c>
      <c r="P315" s="242" t="s">
        <v>109</v>
      </c>
      <c r="Q315" s="240"/>
      <c r="R315" s="241">
        <v>45821</v>
      </c>
      <c r="S315" s="241">
        <v>45836</v>
      </c>
      <c r="T315" s="239" t="s">
        <v>1819</v>
      </c>
      <c r="U315" s="241"/>
      <c r="V315" s="242" t="s">
        <v>1853</v>
      </c>
      <c r="W315" s="239" t="s">
        <v>1853</v>
      </c>
      <c r="X315" s="237" t="s">
        <v>109</v>
      </c>
      <c r="Y315" s="237" t="s">
        <v>1853</v>
      </c>
      <c r="Z315" s="237" t="s">
        <v>1854</v>
      </c>
      <c r="AA315" s="242">
        <v>45849</v>
      </c>
      <c r="AB315" s="242">
        <v>45840</v>
      </c>
      <c r="AC315" s="239" t="s">
        <v>1853</v>
      </c>
      <c r="AD315" s="242">
        <v>45849</v>
      </c>
      <c r="AE315" s="242">
        <v>45842</v>
      </c>
      <c r="AF315" s="242">
        <v>45849</v>
      </c>
      <c r="AG315" s="237"/>
      <c r="AH315" s="237"/>
      <c r="AI315" s="243"/>
      <c r="AJ315" s="237" t="s">
        <v>109</v>
      </c>
      <c r="AK315" s="237" t="s">
        <v>109</v>
      </c>
      <c r="AL315" s="237" t="s">
        <v>109</v>
      </c>
      <c r="AM315" s="237" t="s">
        <v>109</v>
      </c>
      <c r="AP315" s="239">
        <f t="shared" si="11"/>
        <v>15</v>
      </c>
      <c r="AQ315" s="245"/>
    </row>
    <row r="316" spans="1:43" s="235" customFormat="1" ht="18.75" customHeight="1" x14ac:dyDescent="0.3">
      <c r="A316" s="228">
        <f>Table1[[#This Row],[Project No]]</f>
        <v>2505708</v>
      </c>
      <c r="B316" s="229" t="str">
        <f>VLOOKUP(A:A,Table1[[Project No]:[Additional Remark]],2,FALSE)</f>
        <v xml:space="preserve">Mohd Shariff </v>
      </c>
      <c r="C316" s="228" t="e" vm="5">
        <f>VLOOKUP(A:A,Table1[[#All],[Project No]:[Additional Remark]],7,FALSE)</f>
        <v>#VALUE!</v>
      </c>
      <c r="D316" s="228" t="str">
        <f>VLOOKUP(A:A,Table1[[#All],[Project No]:[Additional Remark]],4,FALSE)</f>
        <v>Tham</v>
      </c>
      <c r="E316" s="228" t="str">
        <f>VLOOKUP(A:A,Table1[[#All],[Project No]:[Additional Remark]],5,FALSE)</f>
        <v>R-PV</v>
      </c>
      <c r="F316" s="228" t="str">
        <f>VLOOKUP(A:A,Table1[[Project No]:[Additional Remark]],6,FALSE)</f>
        <v>NEM</v>
      </c>
      <c r="G316" s="228">
        <f>VLOOKUP(A:A,Table1[[Project No]:[Additional Remark]],8,FALSE)</f>
        <v>7.44</v>
      </c>
      <c r="H316" s="228" t="str">
        <f>VLOOKUP(A:A,Table1[[Project No]:[Additional Remark]],15,FALSE)</f>
        <v>Astronergy 620Wp</v>
      </c>
      <c r="I316" s="228">
        <f>VLOOKUP(A:A,Table1[[Project No]:[Additional Remark]],16,FALSE)</f>
        <v>12</v>
      </c>
      <c r="J316" s="230" t="str">
        <f>VLOOKUP(A:A,Table1[[Project No]:[Additional Remark]],17,FALSE)</f>
        <v>Huawei SUN2000-5KTL-L1</v>
      </c>
      <c r="K316" s="231"/>
      <c r="L316" s="230" t="str">
        <f t="shared" si="8"/>
        <v>Pending NEM Qouta Submission</v>
      </c>
      <c r="M316" s="230" t="str">
        <f>VLOOKUP(A:A,'Finance Tracker'!A311:K551,8,FALSE)</f>
        <v>1st invoice</v>
      </c>
      <c r="N316" s="231"/>
      <c r="O316" s="232" t="s">
        <v>109</v>
      </c>
      <c r="P316" s="232" t="s">
        <v>109</v>
      </c>
      <c r="Q316" s="231"/>
      <c r="R316" s="233"/>
      <c r="S316" s="233"/>
      <c r="T316" s="230"/>
      <c r="U316" s="233"/>
      <c r="V316" s="232" t="s">
        <v>1853</v>
      </c>
      <c r="W316" s="230" t="s">
        <v>1853</v>
      </c>
      <c r="X316" s="228" t="s">
        <v>109</v>
      </c>
      <c r="Y316" s="228" t="s">
        <v>1853</v>
      </c>
      <c r="Z316" s="228"/>
      <c r="AA316" s="232"/>
      <c r="AB316" s="232"/>
      <c r="AC316" s="230"/>
      <c r="AD316" s="232"/>
      <c r="AE316" s="232"/>
      <c r="AF316" s="232"/>
      <c r="AG316" s="228"/>
      <c r="AH316" s="228"/>
      <c r="AI316" s="234"/>
      <c r="AJ316" s="228" t="s">
        <v>109</v>
      </c>
      <c r="AK316" s="228" t="s">
        <v>109</v>
      </c>
      <c r="AL316" s="228" t="s">
        <v>109</v>
      </c>
      <c r="AM316" s="228" t="s">
        <v>109</v>
      </c>
      <c r="AP316" s="230">
        <f t="shared" si="11"/>
        <v>0</v>
      </c>
      <c r="AQ316" s="236"/>
    </row>
    <row r="317" spans="1:43" s="244" customFormat="1" ht="18.75" customHeight="1" x14ac:dyDescent="0.3">
      <c r="A317" s="237">
        <f>Table1[[#This Row],[Project No]]</f>
        <v>2506744</v>
      </c>
      <c r="B317" s="238" t="str">
        <f>VLOOKUP(A:A,Table1[[Project No]:[Additional Remark]],2,FALSE)</f>
        <v>Gan Chin Sam</v>
      </c>
      <c r="C317" s="237" t="e" vm="5">
        <f>VLOOKUP(A:A,Table1[[#All],[Project No]:[Additional Remark]],7,FALSE)</f>
        <v>#VALUE!</v>
      </c>
      <c r="D317" s="237" t="str">
        <f>VLOOKUP(A:A,Table1[[#All],[Project No]:[Additional Remark]],4,FALSE)</f>
        <v>Tham</v>
      </c>
      <c r="E317" s="237" t="str">
        <f>VLOOKUP(A:A,Table1[[#All],[Project No]:[Additional Remark]],5,FALSE)</f>
        <v>R-PV</v>
      </c>
      <c r="F317" s="237" t="str">
        <f>VLOOKUP(A:A,Table1[[Project No]:[Additional Remark]],6,FALSE)</f>
        <v>NEM</v>
      </c>
      <c r="G317" s="237">
        <f>VLOOKUP(A:A,Table1[[Project No]:[Additional Remark]],8,FALSE)</f>
        <v>14.88</v>
      </c>
      <c r="H317" s="237" t="str">
        <f>VLOOKUP(A:A,Table1[[Project No]:[Additional Remark]],15,FALSE)</f>
        <v>Astronergy 620Wp</v>
      </c>
      <c r="I317" s="237">
        <f>VLOOKUP(A:A,Table1[[Project No]:[Additional Remark]],16,FALSE)</f>
        <v>24</v>
      </c>
      <c r="J317" s="239" t="str">
        <f>VLOOKUP(A:A,Table1[[Project No]:[Additional Remark]],17,FALSE)</f>
        <v>Huawei SUN2000-12KTL</v>
      </c>
      <c r="K317" s="240"/>
      <c r="L317" s="239" t="str">
        <f t="shared" si="8"/>
        <v>Pending NEM Welcome Letter</v>
      </c>
      <c r="M317" s="239" t="str">
        <f>VLOOKUP(A:A,'Finance Tracker'!A312:K552,8,FALSE)</f>
        <v>2nd invoice</v>
      </c>
      <c r="N317" s="240"/>
      <c r="O317" s="242" t="s">
        <v>109</v>
      </c>
      <c r="P317" s="242" t="s">
        <v>109</v>
      </c>
      <c r="Q317" s="240"/>
      <c r="R317" s="241">
        <v>45821</v>
      </c>
      <c r="S317" s="241">
        <v>45854</v>
      </c>
      <c r="T317" s="239" t="s">
        <v>1819</v>
      </c>
      <c r="U317" s="241"/>
      <c r="V317" s="242" t="s">
        <v>1853</v>
      </c>
      <c r="W317" s="239" t="s">
        <v>1853</v>
      </c>
      <c r="X317" s="237" t="s">
        <v>109</v>
      </c>
      <c r="Y317" s="237" t="s">
        <v>1853</v>
      </c>
      <c r="Z317" s="237" t="s">
        <v>1855</v>
      </c>
      <c r="AA317" s="242">
        <v>45876</v>
      </c>
      <c r="AB317" s="242">
        <v>45883</v>
      </c>
      <c r="AC317" s="239" t="s">
        <v>1853</v>
      </c>
      <c r="AD317" s="242">
        <v>45894</v>
      </c>
      <c r="AE317" s="242">
        <v>45888</v>
      </c>
      <c r="AF317" s="242">
        <v>45894</v>
      </c>
      <c r="AG317" s="237"/>
      <c r="AH317" s="237"/>
      <c r="AI317" s="243"/>
      <c r="AJ317" s="237" t="s">
        <v>109</v>
      </c>
      <c r="AK317" s="237" t="s">
        <v>109</v>
      </c>
      <c r="AL317" s="237" t="s">
        <v>109</v>
      </c>
      <c r="AM317" s="237" t="s">
        <v>109</v>
      </c>
      <c r="AP317" s="239">
        <f t="shared" si="11"/>
        <v>33</v>
      </c>
      <c r="AQ317" s="245"/>
    </row>
    <row r="318" spans="1:43" s="244" customFormat="1" ht="18.75" customHeight="1" x14ac:dyDescent="0.3">
      <c r="A318" s="237">
        <f>Table1[[#This Row],[Project No]]</f>
        <v>2506727</v>
      </c>
      <c r="B318" s="238" t="str">
        <f>VLOOKUP(A:A,Table1[[Project No]:[Additional Remark]],2,FALSE)</f>
        <v>Tan Lee Khing</v>
      </c>
      <c r="C318" s="237" t="e" vm="11">
        <f>VLOOKUP(A:A,Table1[[#All],[Project No]:[Additional Remark]],7,FALSE)</f>
        <v>#VALUE!</v>
      </c>
      <c r="D318" s="237" t="str">
        <f>VLOOKUP(A:A,Table1[[#All],[Project No]:[Additional Remark]],4,FALSE)</f>
        <v>Patricia</v>
      </c>
      <c r="E318" s="237" t="str">
        <f>VLOOKUP(A:A,Table1[[#All],[Project No]:[Additional Remark]],5,FALSE)</f>
        <v>R-PV</v>
      </c>
      <c r="F318" s="237" t="str">
        <f>VLOOKUP(A:A,Table1[[Project No]:[Additional Remark]],6,FALSE)</f>
        <v>NEM</v>
      </c>
      <c r="G318" s="237">
        <f>VLOOKUP(A:A,Table1[[Project No]:[Additional Remark]],8,FALSE)</f>
        <v>12.4</v>
      </c>
      <c r="H318" s="237" t="str">
        <f>VLOOKUP(A:A,Table1[[Project No]:[Additional Remark]],15,FALSE)</f>
        <v>Astronergy 620Wp</v>
      </c>
      <c r="I318" s="237">
        <f>VLOOKUP(A:A,Table1[[Project No]:[Additional Remark]],16,FALSE)</f>
        <v>20</v>
      </c>
      <c r="J318" s="239" t="str">
        <f>VLOOKUP(A:A,Table1[[Project No]:[Additional Remark]],17,FALSE)</f>
        <v>Huawei SUN2000-10KTL</v>
      </c>
      <c r="K318" s="240"/>
      <c r="L318" s="239" t="str">
        <f t="shared" si="8"/>
        <v>Pending NEM Welcome Letter</v>
      </c>
      <c r="M318" s="239" t="str">
        <f>VLOOKUP(A:A,'Finance Tracker'!A313:K553,8,FALSE)</f>
        <v>Invoice Completed</v>
      </c>
      <c r="N318" s="240"/>
      <c r="O318" s="242" t="s">
        <v>109</v>
      </c>
      <c r="P318" s="242" t="s">
        <v>109</v>
      </c>
      <c r="Q318" s="240"/>
      <c r="R318" s="241">
        <v>45824</v>
      </c>
      <c r="S318" s="241">
        <v>45836</v>
      </c>
      <c r="T318" s="239" t="s">
        <v>1819</v>
      </c>
      <c r="U318" s="241"/>
      <c r="V318" s="242" t="s">
        <v>1853</v>
      </c>
      <c r="W318" s="239" t="s">
        <v>1853</v>
      </c>
      <c r="X318" s="237" t="s">
        <v>109</v>
      </c>
      <c r="Y318" s="237" t="s">
        <v>1853</v>
      </c>
      <c r="Z318" s="237" t="s">
        <v>1854</v>
      </c>
      <c r="AA318" s="242">
        <v>45869</v>
      </c>
      <c r="AB318" s="242">
        <v>45870</v>
      </c>
      <c r="AC318" s="239" t="s">
        <v>1853</v>
      </c>
      <c r="AD318" s="242">
        <v>45888</v>
      </c>
      <c r="AE318" s="242">
        <v>45877</v>
      </c>
      <c r="AF318" s="242">
        <v>45888</v>
      </c>
      <c r="AG318" s="237"/>
      <c r="AH318" s="237"/>
      <c r="AI318" s="243"/>
      <c r="AJ318" s="237" t="s">
        <v>109</v>
      </c>
      <c r="AK318" s="237" t="s">
        <v>109</v>
      </c>
      <c r="AL318" s="237" t="s">
        <v>109</v>
      </c>
      <c r="AM318" s="237" t="s">
        <v>109</v>
      </c>
      <c r="AP318" s="239">
        <f t="shared" si="11"/>
        <v>12</v>
      </c>
      <c r="AQ318" s="245"/>
    </row>
    <row r="319" spans="1:43" ht="18.75" customHeight="1" x14ac:dyDescent="0.3">
      <c r="A319" s="4">
        <f>Table1[[#This Row],[Project No]]</f>
        <v>2505054</v>
      </c>
      <c r="B319" s="110" t="str">
        <f>VLOOKUP(A:A,Table1[[Project No]:[Additional Remark]],2,FALSE)</f>
        <v>DK Senza Residence</v>
      </c>
      <c r="C319" s="4" t="e" vm="5">
        <f>VLOOKUP(A:A,Table1[[#All],[Project No]:[Additional Remark]],7,FALSE)</f>
        <v>#VALUE!</v>
      </c>
      <c r="D319" s="4" t="str">
        <f>VLOOKUP(A:A,Table1[[#All],[Project No]:[Additional Remark]],4,FALSE)</f>
        <v>Simon</v>
      </c>
      <c r="E319" s="4" t="str">
        <f>VLOOKUP(A:A,Table1[[#All],[Project No]:[Additional Remark]],5,FALSE)</f>
        <v>EV Charger</v>
      </c>
      <c r="F319" s="4">
        <f>VLOOKUP(A:A,Table1[[Project No]:[Additional Remark]],6,FALSE)</f>
        <v>0</v>
      </c>
      <c r="G319" s="4">
        <f>VLOOKUP(A:A,Table1[[Project No]:[Additional Remark]],8,FALSE)</f>
        <v>0</v>
      </c>
      <c r="H319" s="4" t="str">
        <f>VLOOKUP(A:A,Table1[[Project No]:[Additional Remark]],15,FALSE)</f>
        <v>-</v>
      </c>
      <c r="I319" s="4" t="str">
        <f>VLOOKUP(A:A,Table1[[Project No]:[Additional Remark]],16,FALSE)</f>
        <v>-</v>
      </c>
      <c r="J319" s="1" t="str">
        <f>VLOOKUP(A:A,Table1[[Project No]:[Additional Remark]],17,FALSE)</f>
        <v>-</v>
      </c>
      <c r="K319" s="127"/>
      <c r="L319" s="1" t="str">
        <f t="shared" si="8"/>
        <v>Completed</v>
      </c>
      <c r="M319" s="1" t="str">
        <f>VLOOKUP(A:A,'Finance Tracker'!A314:K554,8,FALSE)</f>
        <v>1st invoice</v>
      </c>
      <c r="N319" s="127"/>
      <c r="O319" s="39" t="s">
        <v>109</v>
      </c>
      <c r="P319" s="39" t="s">
        <v>109</v>
      </c>
      <c r="Q319" s="127"/>
      <c r="R319" s="56" t="s">
        <v>109</v>
      </c>
      <c r="S319" s="56" t="s">
        <v>109</v>
      </c>
      <c r="T319" s="56" t="s">
        <v>109</v>
      </c>
      <c r="U319" s="56" t="s">
        <v>109</v>
      </c>
      <c r="V319" s="39" t="s">
        <v>1853</v>
      </c>
      <c r="W319" s="1" t="s">
        <v>1853</v>
      </c>
      <c r="X319" s="4" t="s">
        <v>109</v>
      </c>
      <c r="Y319" s="4" t="s">
        <v>1853</v>
      </c>
      <c r="Z319" s="4" t="s">
        <v>1855</v>
      </c>
      <c r="AA319" s="39" t="s">
        <v>1853</v>
      </c>
      <c r="AB319" s="39" t="s">
        <v>109</v>
      </c>
      <c r="AC319" s="39" t="s">
        <v>109</v>
      </c>
      <c r="AD319" s="39" t="s">
        <v>109</v>
      </c>
      <c r="AE319" s="39" t="s">
        <v>109</v>
      </c>
      <c r="AF319" s="39" t="s">
        <v>109</v>
      </c>
      <c r="AG319" s="39" t="s">
        <v>109</v>
      </c>
      <c r="AH319" s="39" t="s">
        <v>109</v>
      </c>
      <c r="AJ319" s="4" t="s">
        <v>109</v>
      </c>
      <c r="AK319" s="4" t="s">
        <v>109</v>
      </c>
      <c r="AL319" s="4" t="s">
        <v>109</v>
      </c>
      <c r="AM319" s="4" t="s">
        <v>109</v>
      </c>
      <c r="AP319" s="1" t="e">
        <f t="shared" si="11"/>
        <v>#VALUE!</v>
      </c>
    </row>
    <row r="320" spans="1:43" s="244" customFormat="1" ht="18.75" customHeight="1" x14ac:dyDescent="0.3">
      <c r="A320" s="237">
        <f>Table1[[#This Row],[Project No]]</f>
        <v>2506752</v>
      </c>
      <c r="B320" s="238" t="str">
        <f>VLOOKUP(A:A,Table1[[Project No]:[Additional Remark]],2,FALSE)</f>
        <v>Ng Cheng Hoe</v>
      </c>
      <c r="C320" s="237" t="e" vm="5">
        <f>VLOOKUP(A:A,Table1[[#All],[Project No]:[Additional Remark]],7,FALSE)</f>
        <v>#VALUE!</v>
      </c>
      <c r="D320" s="237" t="str">
        <f>VLOOKUP(A:A,Table1[[#All],[Project No]:[Additional Remark]],4,FALSE)</f>
        <v>Tham</v>
      </c>
      <c r="E320" s="237" t="str">
        <f>VLOOKUP(A:A,Table1[[#All],[Project No]:[Additional Remark]],5,FALSE)</f>
        <v>R-PV</v>
      </c>
      <c r="F320" s="237" t="str">
        <f>VLOOKUP(A:A,Table1[[Project No]:[Additional Remark]],6,FALSE)</f>
        <v>NEM</v>
      </c>
      <c r="G320" s="237">
        <f>VLOOKUP(A:A,Table1[[Project No]:[Additional Remark]],8,FALSE)</f>
        <v>7.44</v>
      </c>
      <c r="H320" s="237" t="str">
        <f>VLOOKUP(A:A,Table1[[Project No]:[Additional Remark]],15,FALSE)</f>
        <v>Astronergy 620Wp</v>
      </c>
      <c r="I320" s="237">
        <f>VLOOKUP(A:A,Table1[[Project No]:[Additional Remark]],16,FALSE)</f>
        <v>12</v>
      </c>
      <c r="J320" s="239" t="str">
        <f>VLOOKUP(A:A,Table1[[Project No]:[Additional Remark]],17,FALSE)</f>
        <v>Huawei SUN2000-5KTL-L1</v>
      </c>
      <c r="K320" s="240"/>
      <c r="L320" s="239" t="str">
        <f t="shared" si="8"/>
        <v>Pending NEM Welcome Letter</v>
      </c>
      <c r="M320" s="239" t="str">
        <f>VLOOKUP(A:A,'Finance Tracker'!A315:K555,8,FALSE)</f>
        <v>Invoice Completed</v>
      </c>
      <c r="N320" s="240"/>
      <c r="O320" s="242" t="s">
        <v>109</v>
      </c>
      <c r="P320" s="242" t="s">
        <v>109</v>
      </c>
      <c r="Q320" s="240"/>
      <c r="R320" s="241">
        <v>45828</v>
      </c>
      <c r="S320" s="241">
        <v>45836</v>
      </c>
      <c r="T320" s="239" t="s">
        <v>1819</v>
      </c>
      <c r="U320" s="241"/>
      <c r="V320" s="242" t="s">
        <v>1853</v>
      </c>
      <c r="W320" s="239" t="s">
        <v>1853</v>
      </c>
      <c r="X320" s="237" t="s">
        <v>109</v>
      </c>
      <c r="Y320" s="237" t="s">
        <v>1853</v>
      </c>
      <c r="Z320" s="237" t="s">
        <v>1861</v>
      </c>
      <c r="AA320" s="242">
        <v>45869</v>
      </c>
      <c r="AB320" s="242">
        <v>45867</v>
      </c>
      <c r="AC320" s="239" t="s">
        <v>1853</v>
      </c>
      <c r="AD320" s="242">
        <v>45875</v>
      </c>
      <c r="AE320" s="242">
        <v>45875</v>
      </c>
      <c r="AF320" s="242">
        <v>45875</v>
      </c>
      <c r="AG320" s="237"/>
      <c r="AH320" s="237"/>
      <c r="AI320" s="243"/>
      <c r="AJ320" s="237" t="s">
        <v>109</v>
      </c>
      <c r="AK320" s="237" t="s">
        <v>109</v>
      </c>
      <c r="AL320" s="237" t="s">
        <v>109</v>
      </c>
      <c r="AM320" s="237" t="s">
        <v>109</v>
      </c>
      <c r="AP320" s="239">
        <f t="shared" si="11"/>
        <v>8</v>
      </c>
      <c r="AQ320" s="245"/>
    </row>
    <row r="321" spans="1:43" s="226" customFormat="1" ht="18.75" customHeight="1" x14ac:dyDescent="0.3">
      <c r="A321" s="219">
        <f>Table1[[#This Row],[Project No]]</f>
        <v>2501523</v>
      </c>
      <c r="B321" s="220" t="str">
        <f>VLOOKUP(A:A,Table1[[Project No]:[Additional Remark]],2,FALSE)</f>
        <v>Chen Kim Hock</v>
      </c>
      <c r="C321" s="219" t="e" vm="8">
        <f>VLOOKUP(A:A,Table1[[#All],[Project No]:[Additional Remark]],7,FALSE)</f>
        <v>#VALUE!</v>
      </c>
      <c r="D321" s="219" t="str">
        <f>VLOOKUP(A:A,Table1[[#All],[Project No]:[Additional Remark]],4,FALSE)</f>
        <v>Tham</v>
      </c>
      <c r="E321" s="219" t="str">
        <f>VLOOKUP(A:A,Table1[[#All],[Project No]:[Additional Remark]],5,FALSE)</f>
        <v>R-PV</v>
      </c>
      <c r="F321" s="219" t="str">
        <f>VLOOKUP(A:A,Table1[[Project No]:[Additional Remark]],6,FALSE)</f>
        <v>NEM</v>
      </c>
      <c r="G321" s="219">
        <f>VLOOKUP(A:A,Table1[[Project No]:[Additional Remark]],8,FALSE)</f>
        <v>17.7</v>
      </c>
      <c r="H321" s="219" t="str">
        <f>VLOOKUP(A:A,Table1[[Project No]:[Additional Remark]],15,FALSE)</f>
        <v>Astronergy 590Wp</v>
      </c>
      <c r="I321" s="219">
        <f>VLOOKUP(A:A,Table1[[Project No]:[Additional Remark]],16,FALSE)</f>
        <v>30</v>
      </c>
      <c r="J321" s="221" t="str">
        <f>VLOOKUP(A:A,Table1[[Project No]:[Additional Remark]],17,FALSE)</f>
        <v>Huawei SUN2000-12KTL</v>
      </c>
      <c r="K321" s="222"/>
      <c r="L321" s="221" t="str">
        <f t="shared" si="8"/>
        <v>Pending Meter Change</v>
      </c>
      <c r="M321" s="221" t="str">
        <f>VLOOKUP(A:A,'Finance Tracker'!A316:K556,8,FALSE)</f>
        <v>1st invoice</v>
      </c>
      <c r="N321" s="222"/>
      <c r="O321" s="224" t="s">
        <v>109</v>
      </c>
      <c r="P321" s="224" t="s">
        <v>109</v>
      </c>
      <c r="Q321" s="222"/>
      <c r="R321" s="223">
        <v>45831</v>
      </c>
      <c r="S321" s="223">
        <v>45871</v>
      </c>
      <c r="T321" s="221" t="s">
        <v>1819</v>
      </c>
      <c r="U321" s="223"/>
      <c r="V321" s="224" t="s">
        <v>1853</v>
      </c>
      <c r="W321" s="221" t="s">
        <v>1853</v>
      </c>
      <c r="X321" s="219" t="s">
        <v>109</v>
      </c>
      <c r="Y321" s="219" t="s">
        <v>1853</v>
      </c>
      <c r="Z321" s="219" t="s">
        <v>1855</v>
      </c>
      <c r="AA321" s="224">
        <v>45923</v>
      </c>
      <c r="AB321" s="224">
        <v>45937</v>
      </c>
      <c r="AC321" s="221" t="s">
        <v>1857</v>
      </c>
      <c r="AD321" s="224">
        <v>45954</v>
      </c>
      <c r="AE321" s="224"/>
      <c r="AF321" s="224"/>
      <c r="AG321" s="219"/>
      <c r="AH321" s="219"/>
      <c r="AI321" s="225"/>
      <c r="AJ321" s="219" t="s">
        <v>109</v>
      </c>
      <c r="AK321" s="219" t="s">
        <v>109</v>
      </c>
      <c r="AL321" s="219" t="s">
        <v>109</v>
      </c>
      <c r="AM321" s="219" t="s">
        <v>109</v>
      </c>
      <c r="AP321" s="221">
        <f t="shared" si="11"/>
        <v>40</v>
      </c>
      <c r="AQ321" s="227"/>
    </row>
    <row r="322" spans="1:43" s="244" customFormat="1" ht="18.75" customHeight="1" x14ac:dyDescent="0.3">
      <c r="A322" s="237">
        <f>Table1[[#This Row],[Project No]]</f>
        <v>2506748</v>
      </c>
      <c r="B322" s="238" t="str">
        <f>VLOOKUP(A:A,Table1[[Project No]:[Additional Remark]],2,FALSE)</f>
        <v>Teh Foo Hock</v>
      </c>
      <c r="C322" s="237" t="e" vm="11">
        <f>VLOOKUP(A:A,Table1[[#All],[Project No]:[Additional Remark]],7,FALSE)</f>
        <v>#VALUE!</v>
      </c>
      <c r="D322" s="237" t="str">
        <f>VLOOKUP(A:A,Table1[[#All],[Project No]:[Additional Remark]],4,FALSE)</f>
        <v>Patricia</v>
      </c>
      <c r="E322" s="237" t="str">
        <f>VLOOKUP(A:A,Table1[[#All],[Project No]:[Additional Remark]],5,FALSE)</f>
        <v>R-PV</v>
      </c>
      <c r="F322" s="237" t="str">
        <f>VLOOKUP(A:A,Table1[[Project No]:[Additional Remark]],6,FALSE)</f>
        <v>NEM</v>
      </c>
      <c r="G322" s="237">
        <f>VLOOKUP(A:A,Table1[[Project No]:[Additional Remark]],8,FALSE)</f>
        <v>8.68</v>
      </c>
      <c r="H322" s="237" t="str">
        <f>VLOOKUP(A:A,Table1[[Project No]:[Additional Remark]],15,FALSE)</f>
        <v>Astronergy 620Wp</v>
      </c>
      <c r="I322" s="237">
        <f>VLOOKUP(A:A,Table1[[Project No]:[Additional Remark]],16,FALSE)</f>
        <v>14</v>
      </c>
      <c r="J322" s="239" t="str">
        <f>VLOOKUP(A:A,Table1[[Project No]:[Additional Remark]],17,FALSE)</f>
        <v>Huawei SUN2000-8KTL</v>
      </c>
      <c r="K322" s="240"/>
      <c r="L322" s="239" t="str">
        <f t="shared" si="8"/>
        <v>Pending NEM Welcome Letter</v>
      </c>
      <c r="M322" s="239" t="str">
        <f>VLOOKUP(A:A,'Finance Tracker'!A317:K557,8,FALSE)</f>
        <v>1st invoice</v>
      </c>
      <c r="N322" s="240"/>
      <c r="O322" s="242" t="s">
        <v>109</v>
      </c>
      <c r="P322" s="242" t="s">
        <v>109</v>
      </c>
      <c r="Q322" s="240"/>
      <c r="R322" s="241">
        <v>45828</v>
      </c>
      <c r="S322" s="241">
        <v>45836</v>
      </c>
      <c r="T322" s="239" t="s">
        <v>1819</v>
      </c>
      <c r="U322" s="241"/>
      <c r="V322" s="242" t="s">
        <v>1853</v>
      </c>
      <c r="W322" s="239" t="s">
        <v>1853</v>
      </c>
      <c r="X322" s="237" t="s">
        <v>109</v>
      </c>
      <c r="Y322" s="237" t="s">
        <v>1853</v>
      </c>
      <c r="Z322" s="237" t="s">
        <v>1854</v>
      </c>
      <c r="AA322" s="242">
        <v>45888</v>
      </c>
      <c r="AB322" s="242">
        <v>45896</v>
      </c>
      <c r="AC322" s="239" t="s">
        <v>1853</v>
      </c>
      <c r="AD322" s="242">
        <v>45905</v>
      </c>
      <c r="AE322" s="242" t="s">
        <v>1853</v>
      </c>
      <c r="AF322" s="242">
        <v>45905</v>
      </c>
      <c r="AG322" s="237"/>
      <c r="AH322" s="237"/>
      <c r="AI322" s="243"/>
      <c r="AJ322" s="237" t="s">
        <v>109</v>
      </c>
      <c r="AK322" s="237" t="s">
        <v>109</v>
      </c>
      <c r="AL322" s="237" t="s">
        <v>109</v>
      </c>
      <c r="AM322" s="237" t="s">
        <v>109</v>
      </c>
      <c r="AP322" s="239">
        <f t="shared" si="11"/>
        <v>8</v>
      </c>
      <c r="AQ322" s="245"/>
    </row>
    <row r="323" spans="1:43" s="244" customFormat="1" ht="18.75" customHeight="1" x14ac:dyDescent="0.3">
      <c r="A323" s="237">
        <f>Table1[[#This Row],[Project No]]</f>
        <v>2505709</v>
      </c>
      <c r="B323" s="238" t="str">
        <f>VLOOKUP(A:A,Table1[[Project No]:[Additional Remark]],2,FALSE)</f>
        <v>Tan Heng Lian</v>
      </c>
      <c r="C323" s="237" t="e" vm="11">
        <f>VLOOKUP(A:A,Table1[[#All],[Project No]:[Additional Remark]],7,FALSE)</f>
        <v>#VALUE!</v>
      </c>
      <c r="D323" s="237" t="str">
        <f>VLOOKUP(A:A,Table1[[#All],[Project No]:[Additional Remark]],4,FALSE)</f>
        <v>Patricia</v>
      </c>
      <c r="E323" s="237" t="str">
        <f>VLOOKUP(A:A,Table1[[#All],[Project No]:[Additional Remark]],5,FALSE)</f>
        <v>R-PV</v>
      </c>
      <c r="F323" s="237" t="str">
        <f>VLOOKUP(A:A,Table1[[Project No]:[Additional Remark]],6,FALSE)</f>
        <v>NEM</v>
      </c>
      <c r="G323" s="237">
        <f>VLOOKUP(A:A,Table1[[Project No]:[Additional Remark]],8,FALSE)</f>
        <v>17.98</v>
      </c>
      <c r="H323" s="237" t="str">
        <f>VLOOKUP(A:A,Table1[[Project No]:[Additional Remark]],15,FALSE)</f>
        <v>Astronergy 620Wp</v>
      </c>
      <c r="I323" s="237">
        <f>VLOOKUP(A:A,Table1[[Project No]:[Additional Remark]],16,FALSE)</f>
        <v>29</v>
      </c>
      <c r="J323" s="239" t="str">
        <f>VLOOKUP(A:A,Table1[[Project No]:[Additional Remark]],17,FALSE)</f>
        <v>Huawei SUN2000-12KTL</v>
      </c>
      <c r="K323" s="240"/>
      <c r="L323" s="239" t="str">
        <f t="shared" si="8"/>
        <v>Pending NEM Welcome Letter</v>
      </c>
      <c r="M323" s="239" t="str">
        <f>VLOOKUP(A:A,'Finance Tracker'!A318:K558,8,FALSE)</f>
        <v>Invoice Completed</v>
      </c>
      <c r="N323" s="240"/>
      <c r="O323" s="242" t="s">
        <v>109</v>
      </c>
      <c r="P323" s="242" t="s">
        <v>109</v>
      </c>
      <c r="Q323" s="240"/>
      <c r="R323" s="241">
        <v>45826</v>
      </c>
      <c r="S323" s="241">
        <v>45836</v>
      </c>
      <c r="T323" s="239" t="s">
        <v>1819</v>
      </c>
      <c r="U323" s="241"/>
      <c r="V323" s="242" t="s">
        <v>1853</v>
      </c>
      <c r="W323" s="239" t="s">
        <v>1853</v>
      </c>
      <c r="X323" s="237" t="s">
        <v>109</v>
      </c>
      <c r="Y323" s="237" t="s">
        <v>1853</v>
      </c>
      <c r="Z323" s="237" t="s">
        <v>1854</v>
      </c>
      <c r="AA323" s="242">
        <v>45871</v>
      </c>
      <c r="AB323" s="242">
        <v>45873</v>
      </c>
      <c r="AC323" s="239" t="s">
        <v>1853</v>
      </c>
      <c r="AD323" s="242">
        <v>45876</v>
      </c>
      <c r="AE323" s="242">
        <v>45875</v>
      </c>
      <c r="AF323" s="242">
        <v>45876</v>
      </c>
      <c r="AG323" s="237"/>
      <c r="AH323" s="237"/>
      <c r="AI323" s="243"/>
      <c r="AJ323" s="237" t="s">
        <v>109</v>
      </c>
      <c r="AK323" s="237" t="s">
        <v>109</v>
      </c>
      <c r="AL323" s="237" t="s">
        <v>109</v>
      </c>
      <c r="AM323" s="237" t="s">
        <v>109</v>
      </c>
      <c r="AP323" s="239">
        <f t="shared" si="11"/>
        <v>10</v>
      </c>
      <c r="AQ323" s="245"/>
    </row>
    <row r="324" spans="1:43" s="199" customFormat="1" ht="18.75" customHeight="1" x14ac:dyDescent="0.3">
      <c r="A324" s="192">
        <f>Table1[[#This Row],[Project No]]</f>
        <v>2501531</v>
      </c>
      <c r="B324" s="193" t="str">
        <f>VLOOKUP(A:A,Table1[[Project No]:[Additional Remark]],2,FALSE)</f>
        <v>Mohamad Hafizi Bin Abdul Rahman</v>
      </c>
      <c r="C324" s="192" t="e" vm="11">
        <f>VLOOKUP(A:A,Table1[[#All],[Project No]:[Additional Remark]],7,FALSE)</f>
        <v>#VALUE!</v>
      </c>
      <c r="D324" s="192" t="str">
        <f>VLOOKUP(A:A,Table1[[#All],[Project No]:[Additional Remark]],4,FALSE)</f>
        <v>Patricia</v>
      </c>
      <c r="E324" s="192" t="str">
        <f>VLOOKUP(A:A,Table1[[#All],[Project No]:[Additional Remark]],5,FALSE)</f>
        <v>R-PV</v>
      </c>
      <c r="F324" s="192" t="str">
        <f>VLOOKUP(A:A,Table1[[Project No]:[Additional Remark]],6,FALSE)</f>
        <v>NEM</v>
      </c>
      <c r="G324" s="192">
        <f>VLOOKUP(A:A,Table1[[Project No]:[Additional Remark]],8,FALSE)</f>
        <v>13.64</v>
      </c>
      <c r="H324" s="192" t="str">
        <f>VLOOKUP(A:A,Table1[[Project No]:[Additional Remark]],15,FALSE)</f>
        <v>Astronergy 620Wp</v>
      </c>
      <c r="I324" s="192">
        <f>VLOOKUP(A:A,Table1[[Project No]:[Additional Remark]],16,FALSE)</f>
        <v>22</v>
      </c>
      <c r="J324" s="194" t="str">
        <f>VLOOKUP(A:A,Table1[[Project No]:[Additional Remark]],17,FALSE)</f>
        <v>Huawei SUN2000-10KTL</v>
      </c>
      <c r="K324" s="195"/>
      <c r="L324" s="194" t="str">
        <f t="shared" si="8"/>
        <v>Pending Site Installation</v>
      </c>
      <c r="M324" s="194" t="str">
        <f>VLOOKUP(A:A,'Finance Tracker'!A319:K559,8,FALSE)</f>
        <v>1st invoice</v>
      </c>
      <c r="N324" s="195"/>
      <c r="O324" s="197" t="s">
        <v>109</v>
      </c>
      <c r="P324" s="197" t="s">
        <v>109</v>
      </c>
      <c r="Q324" s="195"/>
      <c r="R324" s="196">
        <v>45826</v>
      </c>
      <c r="S324" s="196">
        <v>45836</v>
      </c>
      <c r="T324" s="194" t="s">
        <v>1819</v>
      </c>
      <c r="U324" s="196">
        <v>46190</v>
      </c>
      <c r="V324" s="197" t="s">
        <v>1853</v>
      </c>
      <c r="W324" s="194" t="s">
        <v>1853</v>
      </c>
      <c r="X324" s="192" t="s">
        <v>109</v>
      </c>
      <c r="Y324" s="192" t="s">
        <v>1853</v>
      </c>
      <c r="Z324" s="192"/>
      <c r="AA324" s="197"/>
      <c r="AB324" s="197"/>
      <c r="AC324" s="194"/>
      <c r="AD324" s="194"/>
      <c r="AE324" s="197"/>
      <c r="AF324" s="197"/>
      <c r="AG324" s="192"/>
      <c r="AH324" s="192"/>
      <c r="AI324" s="198"/>
      <c r="AJ324" s="192" t="s">
        <v>109</v>
      </c>
      <c r="AK324" s="192" t="s">
        <v>109</v>
      </c>
      <c r="AL324" s="192" t="s">
        <v>109</v>
      </c>
      <c r="AM324" s="192" t="s">
        <v>109</v>
      </c>
      <c r="AP324" s="194">
        <f t="shared" si="11"/>
        <v>10</v>
      </c>
      <c r="AQ324" s="200"/>
    </row>
    <row r="325" spans="1:43" ht="18.75" customHeight="1" x14ac:dyDescent="0.3">
      <c r="A325" s="4">
        <f>Table1[[#This Row],[Project No]]</f>
        <v>2506757</v>
      </c>
      <c r="B325" s="110" t="str">
        <f>VLOOKUP(A:A,Table1[[Project No]:[Additional Remark]],2,FALSE)</f>
        <v>Chai Cheong Sing</v>
      </c>
      <c r="C325" s="4" t="e" vm="11">
        <f>VLOOKUP(A:A,Table1[[#All],[Project No]:[Additional Remark]],7,FALSE)</f>
        <v>#VALUE!</v>
      </c>
      <c r="D325" s="4" t="str">
        <f>VLOOKUP(A:A,Table1[[#All],[Project No]:[Additional Remark]],4,FALSE)</f>
        <v>Patricia</v>
      </c>
      <c r="E325" s="4" t="str">
        <f>VLOOKUP(A:A,Table1[[#All],[Project No]:[Additional Remark]],5,FALSE)</f>
        <v>R-PV</v>
      </c>
      <c r="F325" s="4" t="str">
        <f>VLOOKUP(A:A,Table1[[Project No]:[Additional Remark]],6,FALSE)</f>
        <v>NEM</v>
      </c>
      <c r="G325" s="4">
        <f>VLOOKUP(A:A,Table1[[Project No]:[Additional Remark]],8,FALSE)</f>
        <v>7.44</v>
      </c>
      <c r="H325" s="4" t="str">
        <f>VLOOKUP(A:A,Table1[[Project No]:[Additional Remark]],15,FALSE)</f>
        <v>Astronergy 620Wp</v>
      </c>
      <c r="I325" s="4">
        <f>VLOOKUP(A:A,Table1[[Project No]:[Additional Remark]],16,FALSE)</f>
        <v>12</v>
      </c>
      <c r="J325" s="1" t="str">
        <f>VLOOKUP(A:A,Table1[[Project No]:[Additional Remark]],17,FALSE)</f>
        <v>Huawei SUN2000-6KTL-M1</v>
      </c>
      <c r="K325" s="127"/>
      <c r="L325" s="1" t="str">
        <f t="shared" ref="L325:L372" si="12">IF(ISBLANK(R325),"Pending NEM Qouta Submission",IF(ISBLANK(S325),"Pending NEM Qouta Approval",IF(ISBLANK(AA325),"Pending Site Installation",IF(ISBLANK(AJ325),"Pending ST License Application",IF(ISBLANK(AK325),"Pending ST License Approval", IF(ISBLANK(AB325),"Pending Meter Change Application",IF(AND(ISBLANK(AG325),ISBLANK(AF325)),"Pending Meter Change",IF(ISBLANK(AG325),"Pending NEM Welcome Letter",IF(ISBLANK(AL325),"Pending GITA Application",IF(ISBLANK(AM325),"Pending GITA Approval","Completed"))))))))))</f>
        <v>Completed</v>
      </c>
      <c r="M325" s="1" t="str">
        <f>VLOOKUP(A:A,'Finance Tracker'!A320:K560,8,FALSE)</f>
        <v>Invoice Completed</v>
      </c>
      <c r="N325" s="127"/>
      <c r="O325" s="39" t="s">
        <v>109</v>
      </c>
      <c r="P325" s="39" t="s">
        <v>109</v>
      </c>
      <c r="Q325" s="127"/>
      <c r="R325" s="56">
        <v>45832</v>
      </c>
      <c r="S325" s="56">
        <v>45855</v>
      </c>
      <c r="T325" s="1" t="s">
        <v>1819</v>
      </c>
      <c r="U325" s="56"/>
      <c r="V325" s="39" t="s">
        <v>1853</v>
      </c>
      <c r="W325" s="1" t="s">
        <v>1853</v>
      </c>
      <c r="X325" s="4" t="s">
        <v>109</v>
      </c>
      <c r="Y325" s="4" t="s">
        <v>1853</v>
      </c>
      <c r="Z325" s="4" t="s">
        <v>1854</v>
      </c>
      <c r="AA325" s="39">
        <v>45881</v>
      </c>
      <c r="AB325" s="39">
        <v>45895</v>
      </c>
      <c r="AC325" s="1" t="s">
        <v>1853</v>
      </c>
      <c r="AD325" s="39">
        <v>45910</v>
      </c>
      <c r="AE325" s="39" t="s">
        <v>1853</v>
      </c>
      <c r="AF325" s="39">
        <v>45910</v>
      </c>
      <c r="AG325" s="39">
        <v>45910</v>
      </c>
      <c r="AH325" s="39">
        <v>49582</v>
      </c>
      <c r="AJ325" s="4" t="s">
        <v>109</v>
      </c>
      <c r="AK325" s="4" t="s">
        <v>109</v>
      </c>
      <c r="AL325" s="4" t="s">
        <v>109</v>
      </c>
      <c r="AM325" s="4" t="s">
        <v>109</v>
      </c>
      <c r="AP325" s="1">
        <f t="shared" si="11"/>
        <v>23</v>
      </c>
    </row>
    <row r="326" spans="1:43" s="244" customFormat="1" ht="18.75" customHeight="1" x14ac:dyDescent="0.3">
      <c r="A326" s="237">
        <f>Table1[[#This Row],[Project No]]</f>
        <v>2505259</v>
      </c>
      <c r="B326" s="238" t="str">
        <f>VLOOKUP(A:A,Table1[[Project No]:[Additional Remark]],2,FALSE)</f>
        <v>Liew Wen Qi</v>
      </c>
      <c r="C326" s="237" t="e" vm="11">
        <f>VLOOKUP(A:A,Table1[[#All],[Project No]:[Additional Remark]],7,FALSE)</f>
        <v>#VALUE!</v>
      </c>
      <c r="D326" s="237" t="str">
        <f>VLOOKUP(A:A,Table1[[#All],[Project No]:[Additional Remark]],4,FALSE)</f>
        <v>Patricia</v>
      </c>
      <c r="E326" s="237" t="str">
        <f>VLOOKUP(A:A,Table1[[#All],[Project No]:[Additional Remark]],5,FALSE)</f>
        <v>C&amp;I-PV</v>
      </c>
      <c r="F326" s="237" t="str">
        <f>VLOOKUP(A:A,Table1[[Project No]:[Additional Remark]],6,FALSE)</f>
        <v>NEM</v>
      </c>
      <c r="G326" s="237">
        <f>VLOOKUP(A:A,Table1[[Project No]:[Additional Remark]],8,FALSE)</f>
        <v>19.52</v>
      </c>
      <c r="H326" s="237" t="str">
        <f>VLOOKUP(A:A,Table1[[Project No]:[Additional Remark]],15,FALSE)</f>
        <v>Astronergy 610Wp</v>
      </c>
      <c r="I326" s="237">
        <f>VLOOKUP(A:A,Table1[[Project No]:[Additional Remark]],16,FALSE)</f>
        <v>32</v>
      </c>
      <c r="J326" s="239" t="str">
        <f>VLOOKUP(A:A,Table1[[Project No]:[Additional Remark]],17,FALSE)</f>
        <v>Huawei SUN2000-17KTL</v>
      </c>
      <c r="K326" s="240"/>
      <c r="L326" s="239" t="str">
        <f t="shared" si="12"/>
        <v>Pending NEM Welcome Letter</v>
      </c>
      <c r="M326" s="239" t="str">
        <f>VLOOKUP(A:A,'Finance Tracker'!A321:K561,8,FALSE)</f>
        <v>Invoice Completed</v>
      </c>
      <c r="N326" s="240"/>
      <c r="O326" s="242" t="s">
        <v>109</v>
      </c>
      <c r="P326" s="242" t="s">
        <v>109</v>
      </c>
      <c r="Q326" s="240"/>
      <c r="R326" s="241">
        <v>45834</v>
      </c>
      <c r="S326" s="241">
        <v>45860</v>
      </c>
      <c r="T326" s="239" t="s">
        <v>1819</v>
      </c>
      <c r="U326" s="241"/>
      <c r="V326" s="242" t="s">
        <v>1853</v>
      </c>
      <c r="W326" s="239" t="s">
        <v>1853</v>
      </c>
      <c r="X326" s="237" t="s">
        <v>109</v>
      </c>
      <c r="Y326" s="237" t="s">
        <v>1853</v>
      </c>
      <c r="Z326" s="237" t="s">
        <v>1854</v>
      </c>
      <c r="AA326" s="242">
        <v>45864</v>
      </c>
      <c r="AB326" s="242">
        <v>45866</v>
      </c>
      <c r="AC326" s="239" t="s">
        <v>1853</v>
      </c>
      <c r="AD326" s="239" t="s">
        <v>1853</v>
      </c>
      <c r="AE326" s="242">
        <v>45870</v>
      </c>
      <c r="AF326" s="242" t="s">
        <v>1853</v>
      </c>
      <c r="AG326" s="237"/>
      <c r="AH326" s="237"/>
      <c r="AI326" s="243"/>
      <c r="AJ326" s="237" t="s">
        <v>109</v>
      </c>
      <c r="AK326" s="237" t="s">
        <v>109</v>
      </c>
      <c r="AL326" s="237" t="s">
        <v>109</v>
      </c>
      <c r="AM326" s="237" t="s">
        <v>109</v>
      </c>
      <c r="AP326" s="239">
        <f t="shared" si="11"/>
        <v>26</v>
      </c>
      <c r="AQ326" s="245"/>
    </row>
    <row r="327" spans="1:43" s="244" customFormat="1" ht="18.75" customHeight="1" x14ac:dyDescent="0.3">
      <c r="A327" s="237">
        <f>Table1[[#This Row],[Project No]]</f>
        <v>2506758</v>
      </c>
      <c r="B327" s="238" t="str">
        <f>VLOOKUP(A:A,Table1[[Project No]:[Additional Remark]],2,FALSE)</f>
        <v>Goh Boon Meng</v>
      </c>
      <c r="C327" s="237" t="e" vm="11">
        <f>VLOOKUP(A:A,Table1[[#All],[Project No]:[Additional Remark]],7,FALSE)</f>
        <v>#VALUE!</v>
      </c>
      <c r="D327" s="237" t="str">
        <f>VLOOKUP(A:A,Table1[[#All],[Project No]:[Additional Remark]],4,FALSE)</f>
        <v>Patricia</v>
      </c>
      <c r="E327" s="237" t="str">
        <f>VLOOKUP(A:A,Table1[[#All],[Project No]:[Additional Remark]],5,FALSE)</f>
        <v>R-PV</v>
      </c>
      <c r="F327" s="237" t="str">
        <f>VLOOKUP(A:A,Table1[[Project No]:[Additional Remark]],6,FALSE)</f>
        <v>NEM</v>
      </c>
      <c r="G327" s="237">
        <f>VLOOKUP(A:A,Table1[[Project No]:[Additional Remark]],8,FALSE)</f>
        <v>17.98</v>
      </c>
      <c r="H327" s="237" t="str">
        <f>VLOOKUP(A:A,Table1[[Project No]:[Additional Remark]],15,FALSE)</f>
        <v>Astronergy 620Wp</v>
      </c>
      <c r="I327" s="237">
        <f>VLOOKUP(A:A,Table1[[Project No]:[Additional Remark]],16,FALSE)</f>
        <v>29</v>
      </c>
      <c r="J327" s="239" t="str">
        <f>VLOOKUP(A:A,Table1[[Project No]:[Additional Remark]],17,FALSE)</f>
        <v>Huawei SUN2000-12KTL</v>
      </c>
      <c r="K327" s="240"/>
      <c r="L327" s="239" t="str">
        <f t="shared" si="12"/>
        <v>Pending NEM Welcome Letter</v>
      </c>
      <c r="M327" s="239" t="str">
        <f>VLOOKUP(A:A,'Finance Tracker'!A322:K562,8,FALSE)</f>
        <v>Invoice Completed</v>
      </c>
      <c r="N327" s="240"/>
      <c r="O327" s="242" t="s">
        <v>109</v>
      </c>
      <c r="P327" s="242" t="s">
        <v>109</v>
      </c>
      <c r="Q327" s="240"/>
      <c r="R327" s="241">
        <v>45828</v>
      </c>
      <c r="S327" s="241">
        <v>45910</v>
      </c>
      <c r="T327" s="239" t="s">
        <v>1819</v>
      </c>
      <c r="U327" s="241"/>
      <c r="V327" s="242" t="s">
        <v>1853</v>
      </c>
      <c r="W327" s="239" t="s">
        <v>1853</v>
      </c>
      <c r="X327" s="237" t="s">
        <v>109</v>
      </c>
      <c r="Y327" s="237" t="s">
        <v>1853</v>
      </c>
      <c r="Z327" s="237" t="s">
        <v>1854</v>
      </c>
      <c r="AA327" s="242">
        <v>45933</v>
      </c>
      <c r="AB327" s="242">
        <v>45937</v>
      </c>
      <c r="AC327" s="239" t="s">
        <v>1853</v>
      </c>
      <c r="AD327" s="239" t="s">
        <v>1853</v>
      </c>
      <c r="AE327" s="242" t="s">
        <v>1853</v>
      </c>
      <c r="AF327" s="242" t="s">
        <v>1853</v>
      </c>
      <c r="AG327" s="237"/>
      <c r="AH327" s="237"/>
      <c r="AI327" s="243"/>
      <c r="AJ327" s="237" t="s">
        <v>109</v>
      </c>
      <c r="AK327" s="237" t="s">
        <v>109</v>
      </c>
      <c r="AL327" s="237" t="s">
        <v>109</v>
      </c>
      <c r="AM327" s="237" t="s">
        <v>109</v>
      </c>
      <c r="AP327" s="239">
        <f t="shared" si="11"/>
        <v>82</v>
      </c>
      <c r="AQ327" s="245"/>
    </row>
    <row r="328" spans="1:43" s="235" customFormat="1" ht="18.75" customHeight="1" x14ac:dyDescent="0.3">
      <c r="A328" s="228">
        <f>Table1[[#This Row],[Project No]]</f>
        <v>2506762</v>
      </c>
      <c r="B328" s="229" t="str">
        <f>VLOOKUP(A:A,Table1[[Project No]:[Additional Remark]],2,FALSE)</f>
        <v>Megat Mohd Nashrul Bin Ahmad Zulkepli</v>
      </c>
      <c r="C328" s="228" t="e" vm="11">
        <f>VLOOKUP(A:A,Table1[[#All],[Project No]:[Additional Remark]],7,FALSE)</f>
        <v>#VALUE!</v>
      </c>
      <c r="D328" s="228" t="str">
        <f>VLOOKUP(A:A,Table1[[#All],[Project No]:[Additional Remark]],4,FALSE)</f>
        <v>Patricia</v>
      </c>
      <c r="E328" s="228" t="str">
        <f>VLOOKUP(A:A,Table1[[#All],[Project No]:[Additional Remark]],5,FALSE)</f>
        <v>R-PV</v>
      </c>
      <c r="F328" s="228" t="str">
        <f>VLOOKUP(A:A,Table1[[Project No]:[Additional Remark]],6,FALSE)</f>
        <v>NEM</v>
      </c>
      <c r="G328" s="228">
        <f>VLOOKUP(A:A,Table1[[Project No]:[Additional Remark]],8,FALSE)</f>
        <v>12.4</v>
      </c>
      <c r="H328" s="228" t="str">
        <f>VLOOKUP(A:A,Table1[[Project No]:[Additional Remark]],15,FALSE)</f>
        <v>Astronergy 620Wp</v>
      </c>
      <c r="I328" s="228">
        <f>VLOOKUP(A:A,Table1[[Project No]:[Additional Remark]],16,FALSE)</f>
        <v>20</v>
      </c>
      <c r="J328" s="230" t="str">
        <f>VLOOKUP(A:A,Table1[[Project No]:[Additional Remark]],17,FALSE)</f>
        <v>Huawei SUN2000-10KTL</v>
      </c>
      <c r="K328" s="231"/>
      <c r="L328" s="230" t="str">
        <f t="shared" si="12"/>
        <v>Pending NEM Qouta Submission</v>
      </c>
      <c r="M328" s="230" t="str">
        <f>VLOOKUP(A:A,'Finance Tracker'!A323:K563,8,FALSE)</f>
        <v>1st invoice</v>
      </c>
      <c r="N328" s="231"/>
      <c r="O328" s="232" t="s">
        <v>109</v>
      </c>
      <c r="P328" s="232" t="s">
        <v>109</v>
      </c>
      <c r="Q328" s="231"/>
      <c r="R328" s="233"/>
      <c r="S328" s="233"/>
      <c r="T328" s="230"/>
      <c r="U328" s="233"/>
      <c r="V328" s="232" t="s">
        <v>1853</v>
      </c>
      <c r="W328" s="230" t="s">
        <v>1853</v>
      </c>
      <c r="X328" s="228" t="s">
        <v>109</v>
      </c>
      <c r="Y328" s="228" t="s">
        <v>1853</v>
      </c>
      <c r="Z328" s="228"/>
      <c r="AA328" s="232"/>
      <c r="AB328" s="232"/>
      <c r="AC328" s="230"/>
      <c r="AD328" s="230"/>
      <c r="AE328" s="232"/>
      <c r="AF328" s="232"/>
      <c r="AG328" s="228"/>
      <c r="AH328" s="228"/>
      <c r="AI328" s="234"/>
      <c r="AJ328" s="228" t="s">
        <v>109</v>
      </c>
      <c r="AK328" s="228" t="s">
        <v>109</v>
      </c>
      <c r="AL328" s="228" t="s">
        <v>109</v>
      </c>
      <c r="AM328" s="228" t="s">
        <v>109</v>
      </c>
      <c r="AP328" s="230">
        <f t="shared" si="11"/>
        <v>0</v>
      </c>
      <c r="AQ328" s="236"/>
    </row>
    <row r="329" spans="1:43" s="244" customFormat="1" ht="18.75" customHeight="1" x14ac:dyDescent="0.3">
      <c r="A329" s="237">
        <f>Table1[[#This Row],[Project No]]</f>
        <v>2506753</v>
      </c>
      <c r="B329" s="238" t="str">
        <f>VLOOKUP(A:A,Table1[[Project No]:[Additional Remark]],2,FALSE)</f>
        <v>Lim Geok Suan</v>
      </c>
      <c r="C329" s="237" t="e" vm="11">
        <f>VLOOKUP(A:A,Table1[[#All],[Project No]:[Additional Remark]],7,FALSE)</f>
        <v>#VALUE!</v>
      </c>
      <c r="D329" s="237" t="str">
        <f>VLOOKUP(A:A,Table1[[#All],[Project No]:[Additional Remark]],4,FALSE)</f>
        <v>Patricia</v>
      </c>
      <c r="E329" s="237" t="str">
        <f>VLOOKUP(A:A,Table1[[#All],[Project No]:[Additional Remark]],5,FALSE)</f>
        <v>R-PV</v>
      </c>
      <c r="F329" s="237" t="str">
        <f>VLOOKUP(A:A,Table1[[Project No]:[Additional Remark]],6,FALSE)</f>
        <v>NEM</v>
      </c>
      <c r="G329" s="237">
        <f>VLOOKUP(A:A,Table1[[Project No]:[Additional Remark]],8,FALSE)</f>
        <v>11.78</v>
      </c>
      <c r="H329" s="237" t="str">
        <f>VLOOKUP(A:A,Table1[[Project No]:[Additional Remark]],15,FALSE)</f>
        <v>Astronergy 620Wp</v>
      </c>
      <c r="I329" s="237">
        <f>VLOOKUP(A:A,Table1[[Project No]:[Additional Remark]],16,FALSE)</f>
        <v>19</v>
      </c>
      <c r="J329" s="239" t="str">
        <f>VLOOKUP(A:A,Table1[[Project No]:[Additional Remark]],17,FALSE)</f>
        <v>Huawei SUN2000-10KTL</v>
      </c>
      <c r="K329" s="240"/>
      <c r="L329" s="239" t="str">
        <f t="shared" si="12"/>
        <v>Pending NEM Welcome Letter</v>
      </c>
      <c r="M329" s="239" t="str">
        <f>VLOOKUP(A:A,'Finance Tracker'!A324:K564,8,FALSE)</f>
        <v>Invoice Completed</v>
      </c>
      <c r="N329" s="240"/>
      <c r="O329" s="242" t="s">
        <v>109</v>
      </c>
      <c r="P329" s="242" t="s">
        <v>109</v>
      </c>
      <c r="Q329" s="240"/>
      <c r="R329" s="241">
        <v>45833</v>
      </c>
      <c r="S329" s="241">
        <v>111596</v>
      </c>
      <c r="T329" s="239" t="s">
        <v>1819</v>
      </c>
      <c r="U329" s="241"/>
      <c r="V329" s="242" t="s">
        <v>1853</v>
      </c>
      <c r="W329" s="239" t="s">
        <v>1853</v>
      </c>
      <c r="X329" s="237" t="s">
        <v>109</v>
      </c>
      <c r="Y329" s="237" t="s">
        <v>1853</v>
      </c>
      <c r="Z329" s="237" t="s">
        <v>1854</v>
      </c>
      <c r="AA329" s="242">
        <v>45868</v>
      </c>
      <c r="AB329" s="242">
        <v>45869</v>
      </c>
      <c r="AC329" s="239" t="s">
        <v>1853</v>
      </c>
      <c r="AD329" s="242">
        <v>45874</v>
      </c>
      <c r="AE329" s="242">
        <v>45870</v>
      </c>
      <c r="AF329" s="242">
        <v>45874</v>
      </c>
      <c r="AG329" s="237"/>
      <c r="AH329" s="237"/>
      <c r="AI329" s="243"/>
      <c r="AJ329" s="237" t="s">
        <v>109</v>
      </c>
      <c r="AK329" s="237" t="s">
        <v>109</v>
      </c>
      <c r="AL329" s="237" t="s">
        <v>109</v>
      </c>
      <c r="AM329" s="237" t="s">
        <v>109</v>
      </c>
      <c r="AP329" s="239">
        <f t="shared" si="11"/>
        <v>65763</v>
      </c>
      <c r="AQ329" s="245"/>
    </row>
    <row r="330" spans="1:43" s="244" customFormat="1" ht="18.75" customHeight="1" x14ac:dyDescent="0.3">
      <c r="A330" s="237">
        <f>Table1[[#This Row],[Project No]]</f>
        <v>2506768</v>
      </c>
      <c r="B330" s="238" t="str">
        <f>VLOOKUP(A:A,Table1[[Project No]:[Additional Remark]],2,FALSE)</f>
        <v>Yap Lee Yan</v>
      </c>
      <c r="C330" s="237" t="e" vm="11">
        <f>VLOOKUP(A:A,Table1[[#All],[Project No]:[Additional Remark]],7,FALSE)</f>
        <v>#VALUE!</v>
      </c>
      <c r="D330" s="237" t="str">
        <f>VLOOKUP(A:A,Table1[[#All],[Project No]:[Additional Remark]],4,FALSE)</f>
        <v>Patricia</v>
      </c>
      <c r="E330" s="237" t="str">
        <f>VLOOKUP(A:A,Table1[[#All],[Project No]:[Additional Remark]],5,FALSE)</f>
        <v>R-PV</v>
      </c>
      <c r="F330" s="237" t="str">
        <f>VLOOKUP(A:A,Table1[[Project No]:[Additional Remark]],6,FALSE)</f>
        <v>NEM</v>
      </c>
      <c r="G330" s="237">
        <f>VLOOKUP(A:A,Table1[[Project No]:[Additional Remark]],8,FALSE)</f>
        <v>11.16</v>
      </c>
      <c r="H330" s="237" t="str">
        <f>VLOOKUP(A:A,Table1[[Project No]:[Additional Remark]],15,FALSE)</f>
        <v>Astronergy 620Wp</v>
      </c>
      <c r="I330" s="237">
        <f>VLOOKUP(A:A,Table1[[Project No]:[Additional Remark]],16,FALSE)</f>
        <v>18</v>
      </c>
      <c r="J330" s="239" t="str">
        <f>VLOOKUP(A:A,Table1[[Project No]:[Additional Remark]],17,FALSE)</f>
        <v>Huawei SUN2000-10KTL</v>
      </c>
      <c r="K330" s="240"/>
      <c r="L330" s="239" t="str">
        <f t="shared" si="12"/>
        <v>Pending NEM Welcome Letter</v>
      </c>
      <c r="M330" s="239" t="str">
        <f>VLOOKUP(A:A,'Finance Tracker'!A325:K565,8,FALSE)</f>
        <v>2nd invoice</v>
      </c>
      <c r="N330" s="240"/>
      <c r="O330" s="242" t="s">
        <v>109</v>
      </c>
      <c r="P330" s="242" t="s">
        <v>109</v>
      </c>
      <c r="Q330" s="240"/>
      <c r="R330" s="241">
        <v>45833</v>
      </c>
      <c r="S330" s="241">
        <v>45854</v>
      </c>
      <c r="T330" s="239" t="s">
        <v>1819</v>
      </c>
      <c r="U330" s="241"/>
      <c r="V330" s="242" t="s">
        <v>1853</v>
      </c>
      <c r="W330" s="239" t="s">
        <v>1853</v>
      </c>
      <c r="X330" s="237" t="s">
        <v>109</v>
      </c>
      <c r="Y330" s="237" t="s">
        <v>1853</v>
      </c>
      <c r="Z330" s="237" t="s">
        <v>1854</v>
      </c>
      <c r="AA330" s="242">
        <v>45885</v>
      </c>
      <c r="AB330" s="242">
        <v>45891</v>
      </c>
      <c r="AC330" s="239" t="s">
        <v>1853</v>
      </c>
      <c r="AD330" s="242">
        <v>45932</v>
      </c>
      <c r="AE330" s="242">
        <v>45897</v>
      </c>
      <c r="AF330" s="242">
        <v>45932</v>
      </c>
      <c r="AG330" s="237"/>
      <c r="AH330" s="237"/>
      <c r="AI330" s="243"/>
      <c r="AJ330" s="237" t="s">
        <v>109</v>
      </c>
      <c r="AK330" s="237" t="s">
        <v>109</v>
      </c>
      <c r="AL330" s="237" t="s">
        <v>109</v>
      </c>
      <c r="AM330" s="237" t="s">
        <v>109</v>
      </c>
      <c r="AP330" s="239">
        <f t="shared" si="11"/>
        <v>21</v>
      </c>
      <c r="AQ330" s="245"/>
    </row>
    <row r="331" spans="1:43" s="244" customFormat="1" ht="18.75" customHeight="1" x14ac:dyDescent="0.3">
      <c r="A331" s="237">
        <f>Table1[[#This Row],[Project No]]</f>
        <v>2506761</v>
      </c>
      <c r="B331" s="238" t="str">
        <f>VLOOKUP(A:A,Table1[[Project No]:[Additional Remark]],2,FALSE)</f>
        <v>Lee Swee Li</v>
      </c>
      <c r="C331" s="237" t="e" vm="11">
        <f>VLOOKUP(A:A,Table1[[#All],[Project No]:[Additional Remark]],7,FALSE)</f>
        <v>#VALUE!</v>
      </c>
      <c r="D331" s="237" t="str">
        <f>VLOOKUP(A:A,Table1[[#All],[Project No]:[Additional Remark]],4,FALSE)</f>
        <v>Patricia</v>
      </c>
      <c r="E331" s="237" t="str">
        <f>VLOOKUP(A:A,Table1[[#All],[Project No]:[Additional Remark]],5,FALSE)</f>
        <v>R-PV</v>
      </c>
      <c r="F331" s="237" t="str">
        <f>VLOOKUP(A:A,Table1[[Project No]:[Additional Remark]],6,FALSE)</f>
        <v>NEM</v>
      </c>
      <c r="G331" s="237">
        <f>VLOOKUP(A:A,Table1[[Project No]:[Additional Remark]],8,FALSE)</f>
        <v>13.64</v>
      </c>
      <c r="H331" s="237" t="str">
        <f>VLOOKUP(A:A,Table1[[Project No]:[Additional Remark]],15,FALSE)</f>
        <v>Astronergy 620Wp</v>
      </c>
      <c r="I331" s="237">
        <f>VLOOKUP(A:A,Table1[[Project No]:[Additional Remark]],16,FALSE)</f>
        <v>22</v>
      </c>
      <c r="J331" s="239" t="str">
        <f>VLOOKUP(A:A,Table1[[Project No]:[Additional Remark]],17,FALSE)</f>
        <v>Huawei SUN2000-12KTL</v>
      </c>
      <c r="K331" s="240"/>
      <c r="L331" s="239" t="str">
        <f t="shared" si="12"/>
        <v>Pending NEM Welcome Letter</v>
      </c>
      <c r="M331" s="239" t="str">
        <f>VLOOKUP(A:A,'Finance Tracker'!A326:K566,8,FALSE)</f>
        <v>Invoice Completed</v>
      </c>
      <c r="N331" s="240"/>
      <c r="O331" s="242" t="s">
        <v>109</v>
      </c>
      <c r="P331" s="242" t="s">
        <v>109</v>
      </c>
      <c r="Q331" s="240"/>
      <c r="R331" s="241">
        <v>45833</v>
      </c>
      <c r="S331" s="241">
        <v>45908</v>
      </c>
      <c r="T331" s="239" t="s">
        <v>1819</v>
      </c>
      <c r="U331" s="241"/>
      <c r="V331" s="237" t="s">
        <v>1853</v>
      </c>
      <c r="W331" s="237" t="s">
        <v>1853</v>
      </c>
      <c r="X331" s="237" t="s">
        <v>109</v>
      </c>
      <c r="Y331" s="237" t="s">
        <v>1853</v>
      </c>
      <c r="Z331" s="237" t="s">
        <v>1854</v>
      </c>
      <c r="AA331" s="242">
        <v>45917</v>
      </c>
      <c r="AB331" s="242" t="s">
        <v>1853</v>
      </c>
      <c r="AC331" s="239" t="s">
        <v>1853</v>
      </c>
      <c r="AD331" s="239" t="s">
        <v>1853</v>
      </c>
      <c r="AE331" s="242">
        <v>45922</v>
      </c>
      <c r="AF331" s="242" t="s">
        <v>1853</v>
      </c>
      <c r="AG331" s="237"/>
      <c r="AH331" s="237"/>
      <c r="AI331" s="243"/>
      <c r="AJ331" s="237" t="s">
        <v>109</v>
      </c>
      <c r="AK331" s="237" t="s">
        <v>109</v>
      </c>
      <c r="AL331" s="237" t="s">
        <v>109</v>
      </c>
      <c r="AM331" s="237" t="s">
        <v>109</v>
      </c>
      <c r="AP331" s="239">
        <f t="shared" si="11"/>
        <v>75</v>
      </c>
      <c r="AQ331" s="245"/>
    </row>
    <row r="332" spans="1:43" s="244" customFormat="1" ht="18.75" customHeight="1" x14ac:dyDescent="0.3">
      <c r="A332" s="237">
        <f>Table1[[#This Row],[Project No]]</f>
        <v>2506779</v>
      </c>
      <c r="B332" s="238" t="str">
        <f>VLOOKUP(A:A,Table1[[Project No]:[Additional Remark]],2,FALSE)</f>
        <v>Koo Hing Yew</v>
      </c>
      <c r="C332" s="237" t="e" vm="11">
        <f>VLOOKUP(A:A,Table1[[#All],[Project No]:[Additional Remark]],7,FALSE)</f>
        <v>#VALUE!</v>
      </c>
      <c r="D332" s="237" t="str">
        <f>VLOOKUP(A:A,Table1[[#All],[Project No]:[Additional Remark]],4,FALSE)</f>
        <v>Patricia</v>
      </c>
      <c r="E332" s="237" t="str">
        <f>VLOOKUP(A:A,Table1[[#All],[Project No]:[Additional Remark]],5,FALSE)</f>
        <v>R-PV</v>
      </c>
      <c r="F332" s="237" t="str">
        <f>VLOOKUP(A:A,Table1[[Project No]:[Additional Remark]],6,FALSE)</f>
        <v>NEM</v>
      </c>
      <c r="G332" s="237">
        <f>VLOOKUP(A:A,Table1[[Project No]:[Additional Remark]],8,FALSE)</f>
        <v>7.44</v>
      </c>
      <c r="H332" s="237" t="str">
        <f>VLOOKUP(A:A,Table1[[Project No]:[Additional Remark]],15,FALSE)</f>
        <v>Astronergy 620Wp</v>
      </c>
      <c r="I332" s="237">
        <f>VLOOKUP(A:A,Table1[[Project No]:[Additional Remark]],16,FALSE)</f>
        <v>12</v>
      </c>
      <c r="J332" s="239" t="str">
        <f>VLOOKUP(A:A,Table1[[Project No]:[Additional Remark]],17,FALSE)</f>
        <v>Huawei SUN2000-5KTL-L1</v>
      </c>
      <c r="K332" s="240"/>
      <c r="L332" s="239" t="str">
        <f t="shared" si="12"/>
        <v>Pending NEM Welcome Letter</v>
      </c>
      <c r="M332" s="239" t="str">
        <f>VLOOKUP(A:A,'Finance Tracker'!A327:K567,8,FALSE)</f>
        <v>Invoice Completed</v>
      </c>
      <c r="N332" s="240"/>
      <c r="O332" s="242" t="s">
        <v>109</v>
      </c>
      <c r="P332" s="242" t="s">
        <v>109</v>
      </c>
      <c r="Q332" s="240"/>
      <c r="R332" s="241">
        <v>45833</v>
      </c>
      <c r="S332" s="241">
        <v>45854</v>
      </c>
      <c r="T332" s="239" t="s">
        <v>1819</v>
      </c>
      <c r="U332" s="241"/>
      <c r="V332" s="237" t="s">
        <v>1853</v>
      </c>
      <c r="W332" s="237" t="s">
        <v>1853</v>
      </c>
      <c r="X332" s="237" t="s">
        <v>109</v>
      </c>
      <c r="Y332" s="237" t="s">
        <v>1853</v>
      </c>
      <c r="Z332" s="237" t="s">
        <v>1854</v>
      </c>
      <c r="AA332" s="242">
        <v>45882</v>
      </c>
      <c r="AB332" s="242">
        <v>45888</v>
      </c>
      <c r="AC332" s="239" t="s">
        <v>1853</v>
      </c>
      <c r="AD332" s="239" t="s">
        <v>1853</v>
      </c>
      <c r="AE332" s="242">
        <v>45891</v>
      </c>
      <c r="AF332" s="242" t="s">
        <v>1853</v>
      </c>
      <c r="AG332" s="237"/>
      <c r="AH332" s="237"/>
      <c r="AI332" s="243"/>
      <c r="AJ332" s="237" t="s">
        <v>109</v>
      </c>
      <c r="AK332" s="237" t="s">
        <v>109</v>
      </c>
      <c r="AL332" s="237" t="s">
        <v>109</v>
      </c>
      <c r="AM332" s="237" t="s">
        <v>109</v>
      </c>
      <c r="AP332" s="239">
        <f t="shared" si="11"/>
        <v>21</v>
      </c>
      <c r="AQ332" s="245"/>
    </row>
    <row r="333" spans="1:43" s="244" customFormat="1" ht="18.75" customHeight="1" x14ac:dyDescent="0.3">
      <c r="A333" s="237">
        <f>Table1[[#This Row],[Project No]]</f>
        <v>2506781</v>
      </c>
      <c r="B333" s="238" t="str">
        <f>VLOOKUP(A:A,Table1[[Project No]:[Additional Remark]],2,FALSE)</f>
        <v>Teng Lily</v>
      </c>
      <c r="C333" s="237" t="e" vm="11">
        <f>VLOOKUP(A:A,Table1[[#All],[Project No]:[Additional Remark]],7,FALSE)</f>
        <v>#VALUE!</v>
      </c>
      <c r="D333" s="237" t="str">
        <f>VLOOKUP(A:A,Table1[[#All],[Project No]:[Additional Remark]],4,FALSE)</f>
        <v>Patricia</v>
      </c>
      <c r="E333" s="237" t="str">
        <f>VLOOKUP(A:A,Table1[[#All],[Project No]:[Additional Remark]],5,FALSE)</f>
        <v>R-PV</v>
      </c>
      <c r="F333" s="237" t="str">
        <f>VLOOKUP(A:A,Table1[[Project No]:[Additional Remark]],6,FALSE)</f>
        <v>NEM</v>
      </c>
      <c r="G333" s="237">
        <f>VLOOKUP(A:A,Table1[[Project No]:[Additional Remark]],8,FALSE)</f>
        <v>7.44</v>
      </c>
      <c r="H333" s="237" t="str">
        <f>VLOOKUP(A:A,Table1[[Project No]:[Additional Remark]],15,FALSE)</f>
        <v>Astronergy 620Wp</v>
      </c>
      <c r="I333" s="237">
        <f>VLOOKUP(A:A,Table1[[Project No]:[Additional Remark]],16,FALSE)</f>
        <v>12</v>
      </c>
      <c r="J333" s="239" t="str">
        <f>VLOOKUP(A:A,Table1[[Project No]:[Additional Remark]],17,FALSE)</f>
        <v>Huawei SUN2000-5KTL-L1</v>
      </c>
      <c r="K333" s="240"/>
      <c r="L333" s="239" t="str">
        <f t="shared" si="12"/>
        <v>Pending NEM Welcome Letter</v>
      </c>
      <c r="M333" s="239" t="str">
        <f>VLOOKUP(A:A,'Finance Tracker'!A328:K568,8,FALSE)</f>
        <v>2nd invoice</v>
      </c>
      <c r="N333" s="240"/>
      <c r="O333" s="242" t="s">
        <v>109</v>
      </c>
      <c r="P333" s="242" t="s">
        <v>109</v>
      </c>
      <c r="Q333" s="240"/>
      <c r="R333" s="241">
        <v>45833</v>
      </c>
      <c r="S333" s="241">
        <v>45854</v>
      </c>
      <c r="T333" s="239" t="s">
        <v>1819</v>
      </c>
      <c r="U333" s="241"/>
      <c r="V333" s="237" t="s">
        <v>1853</v>
      </c>
      <c r="W333" s="237" t="s">
        <v>1853</v>
      </c>
      <c r="X333" s="237" t="s">
        <v>109</v>
      </c>
      <c r="Y333" s="237" t="s">
        <v>1853</v>
      </c>
      <c r="Z333" s="237" t="s">
        <v>1854</v>
      </c>
      <c r="AA333" s="242">
        <v>45894</v>
      </c>
      <c r="AB333" s="242">
        <v>45910</v>
      </c>
      <c r="AC333" s="239" t="s">
        <v>1853</v>
      </c>
      <c r="AD333" s="242">
        <v>45939</v>
      </c>
      <c r="AE333" s="242">
        <v>45938</v>
      </c>
      <c r="AF333" s="242">
        <v>45939</v>
      </c>
      <c r="AG333" s="237"/>
      <c r="AH333" s="237"/>
      <c r="AI333" s="243"/>
      <c r="AJ333" s="237" t="s">
        <v>109</v>
      </c>
      <c r="AK333" s="237" t="s">
        <v>109</v>
      </c>
      <c r="AL333" s="237" t="s">
        <v>109</v>
      </c>
      <c r="AM333" s="237" t="s">
        <v>109</v>
      </c>
      <c r="AP333" s="239">
        <f t="shared" si="11"/>
        <v>21</v>
      </c>
      <c r="AQ333" s="245"/>
    </row>
    <row r="334" spans="1:43" s="244" customFormat="1" ht="18.75" customHeight="1" x14ac:dyDescent="0.3">
      <c r="A334" s="237">
        <f>Table1[[#This Row],[Project No]]</f>
        <v>2506782</v>
      </c>
      <c r="B334" s="238" t="str">
        <f>VLOOKUP(A:A,Table1[[Project No]:[Additional Remark]],2,FALSE)</f>
        <v>Tan Shu Huat</v>
      </c>
      <c r="C334" s="237" t="e" vm="11">
        <f>VLOOKUP(A:A,Table1[[#All],[Project No]:[Additional Remark]],7,FALSE)</f>
        <v>#VALUE!</v>
      </c>
      <c r="D334" s="237" t="str">
        <f>VLOOKUP(A:A,Table1[[#All],[Project No]:[Additional Remark]],4,FALSE)</f>
        <v>Patricia</v>
      </c>
      <c r="E334" s="237" t="str">
        <f>VLOOKUP(A:A,Table1[[#All],[Project No]:[Additional Remark]],5,FALSE)</f>
        <v>R-PV</v>
      </c>
      <c r="F334" s="237" t="str">
        <f>VLOOKUP(A:A,Table1[[Project No]:[Additional Remark]],6,FALSE)</f>
        <v>NEM</v>
      </c>
      <c r="G334" s="237">
        <f>VLOOKUP(A:A,Table1[[Project No]:[Additional Remark]],8,FALSE)</f>
        <v>14.88</v>
      </c>
      <c r="H334" s="237" t="str">
        <f>VLOOKUP(A:A,Table1[[Project No]:[Additional Remark]],15,FALSE)</f>
        <v>Astronergy 620Wp</v>
      </c>
      <c r="I334" s="237">
        <f>VLOOKUP(A:A,Table1[[Project No]:[Additional Remark]],16,FALSE)</f>
        <v>24</v>
      </c>
      <c r="J334" s="239" t="str">
        <f>VLOOKUP(A:A,Table1[[Project No]:[Additional Remark]],17,FALSE)</f>
        <v>Huawei SUN2000-12KTL</v>
      </c>
      <c r="K334" s="240"/>
      <c r="L334" s="239" t="str">
        <f t="shared" si="12"/>
        <v>Pending NEM Welcome Letter</v>
      </c>
      <c r="M334" s="239" t="str">
        <f>VLOOKUP(A:A,'Finance Tracker'!A329:K569,8,FALSE)</f>
        <v>Invoice Completed</v>
      </c>
      <c r="N334" s="240"/>
      <c r="O334" s="242" t="s">
        <v>109</v>
      </c>
      <c r="P334" s="242" t="s">
        <v>109</v>
      </c>
      <c r="Q334" s="240"/>
      <c r="R334" s="241">
        <v>45833</v>
      </c>
      <c r="S334" s="241">
        <v>45854</v>
      </c>
      <c r="T334" s="239" t="s">
        <v>1819</v>
      </c>
      <c r="U334" s="241"/>
      <c r="V334" s="237" t="s">
        <v>1853</v>
      </c>
      <c r="W334" s="237" t="s">
        <v>1853</v>
      </c>
      <c r="X334" s="237" t="s">
        <v>109</v>
      </c>
      <c r="Y334" s="237" t="s">
        <v>1853</v>
      </c>
      <c r="Z334" s="237" t="s">
        <v>1854</v>
      </c>
      <c r="AA334" s="242">
        <v>45896</v>
      </c>
      <c r="AB334" s="242">
        <v>45896</v>
      </c>
      <c r="AC334" s="239" t="s">
        <v>1853</v>
      </c>
      <c r="AD334" s="242">
        <v>45913</v>
      </c>
      <c r="AE334" s="242" t="s">
        <v>1853</v>
      </c>
      <c r="AF334" s="242">
        <v>45913</v>
      </c>
      <c r="AG334" s="237"/>
      <c r="AH334" s="237"/>
      <c r="AI334" s="243"/>
      <c r="AJ334" s="237" t="s">
        <v>109</v>
      </c>
      <c r="AK334" s="237" t="s">
        <v>109</v>
      </c>
      <c r="AL334" s="237" t="s">
        <v>109</v>
      </c>
      <c r="AM334" s="237" t="s">
        <v>109</v>
      </c>
      <c r="AP334" s="239">
        <f t="shared" ref="AP334:AP365" si="13">S334-R334</f>
        <v>21</v>
      </c>
      <c r="AQ334" s="245"/>
    </row>
    <row r="335" spans="1:43" s="199" customFormat="1" ht="18.75" customHeight="1" x14ac:dyDescent="0.3">
      <c r="A335" s="192">
        <f>Table1[[#This Row],[Project No]]</f>
        <v>2506746</v>
      </c>
      <c r="B335" s="193" t="str">
        <f>VLOOKUP(A:A,Table1[[Project No]:[Additional Remark]],2,FALSE)</f>
        <v>Tan Wan Ngee</v>
      </c>
      <c r="C335" s="192" t="e" vm="11">
        <f>VLOOKUP(A:A,Table1[[#All],[Project No]:[Additional Remark]],7,FALSE)</f>
        <v>#VALUE!</v>
      </c>
      <c r="D335" s="192" t="str">
        <f>VLOOKUP(A:A,Table1[[#All],[Project No]:[Additional Remark]],4,FALSE)</f>
        <v>Patricia</v>
      </c>
      <c r="E335" s="192" t="str">
        <f>VLOOKUP(A:A,Table1[[#All],[Project No]:[Additional Remark]],5,FALSE)</f>
        <v>R-PV</v>
      </c>
      <c r="F335" s="192" t="str">
        <f>VLOOKUP(A:A,Table1[[Project No]:[Additional Remark]],6,FALSE)</f>
        <v>NEM</v>
      </c>
      <c r="G335" s="192">
        <f>VLOOKUP(A:A,Table1[[Project No]:[Additional Remark]],8,FALSE)</f>
        <v>9.92</v>
      </c>
      <c r="H335" s="192" t="str">
        <f>VLOOKUP(A:A,Table1[[Project No]:[Additional Remark]],15,FALSE)</f>
        <v>Astronergy 620Wp</v>
      </c>
      <c r="I335" s="192">
        <f>VLOOKUP(A:A,Table1[[Project No]:[Additional Remark]],16,FALSE)</f>
        <v>16</v>
      </c>
      <c r="J335" s="194" t="str">
        <f>VLOOKUP(A:A,Table1[[Project No]:[Additional Remark]],17,FALSE)</f>
        <v>Huawei SUN2000-8KTL</v>
      </c>
      <c r="K335" s="195"/>
      <c r="L335" s="194" t="str">
        <f t="shared" si="12"/>
        <v>Pending Site Installation</v>
      </c>
      <c r="M335" s="194" t="str">
        <f>VLOOKUP(A:A,'Finance Tracker'!A330:K570,8,FALSE)</f>
        <v>1st invoice</v>
      </c>
      <c r="N335" s="195"/>
      <c r="O335" s="197" t="s">
        <v>109</v>
      </c>
      <c r="P335" s="197" t="s">
        <v>109</v>
      </c>
      <c r="Q335" s="195"/>
      <c r="R335" s="196">
        <v>45833</v>
      </c>
      <c r="S335" s="196">
        <v>45855</v>
      </c>
      <c r="T335" s="194" t="s">
        <v>1819</v>
      </c>
      <c r="U335" s="196">
        <v>46197</v>
      </c>
      <c r="V335" s="192" t="s">
        <v>1853</v>
      </c>
      <c r="W335" s="192" t="s">
        <v>1853</v>
      </c>
      <c r="X335" s="192" t="s">
        <v>109</v>
      </c>
      <c r="Y335" s="192" t="s">
        <v>1853</v>
      </c>
      <c r="Z335" s="192"/>
      <c r="AA335" s="197"/>
      <c r="AB335" s="197"/>
      <c r="AC335" s="194"/>
      <c r="AD335" s="194"/>
      <c r="AE335" s="197"/>
      <c r="AF335" s="197"/>
      <c r="AG335" s="192"/>
      <c r="AH335" s="192"/>
      <c r="AI335" s="198"/>
      <c r="AJ335" s="192" t="s">
        <v>109</v>
      </c>
      <c r="AK335" s="192" t="s">
        <v>109</v>
      </c>
      <c r="AL335" s="192" t="s">
        <v>109</v>
      </c>
      <c r="AM335" s="192" t="s">
        <v>109</v>
      </c>
      <c r="AP335" s="194">
        <f t="shared" si="13"/>
        <v>22</v>
      </c>
      <c r="AQ335" s="200"/>
    </row>
    <row r="336" spans="1:43" s="199" customFormat="1" ht="18.75" customHeight="1" x14ac:dyDescent="0.3">
      <c r="A336" s="192">
        <f>Table1[[#This Row],[Project No]]</f>
        <v>2506780</v>
      </c>
      <c r="B336" s="193" t="str">
        <f>VLOOKUP(A:A,Table1[[Project No]:[Additional Remark]],2,FALSE)</f>
        <v>Yeo Khai Boon</v>
      </c>
      <c r="C336" s="192" t="e" vm="11">
        <f>VLOOKUP(A:A,Table1[[#All],[Project No]:[Additional Remark]],7,FALSE)</f>
        <v>#VALUE!</v>
      </c>
      <c r="D336" s="192" t="str">
        <f>VLOOKUP(A:A,Table1[[#All],[Project No]:[Additional Remark]],4,FALSE)</f>
        <v>Patricia</v>
      </c>
      <c r="E336" s="192" t="str">
        <f>VLOOKUP(A:A,Table1[[#All],[Project No]:[Additional Remark]],5,FALSE)</f>
        <v>R-PV</v>
      </c>
      <c r="F336" s="192" t="str">
        <f>VLOOKUP(A:A,Table1[[Project No]:[Additional Remark]],6,FALSE)</f>
        <v>NEM</v>
      </c>
      <c r="G336" s="192">
        <f>VLOOKUP(A:A,Table1[[Project No]:[Additional Remark]],8,FALSE)</f>
        <v>9.92</v>
      </c>
      <c r="H336" s="192" t="str">
        <f>VLOOKUP(A:A,Table1[[Project No]:[Additional Remark]],15,FALSE)</f>
        <v>Astronergy 620Wp</v>
      </c>
      <c r="I336" s="192">
        <f>VLOOKUP(A:A,Table1[[Project No]:[Additional Remark]],16,FALSE)</f>
        <v>16</v>
      </c>
      <c r="J336" s="194" t="str">
        <f>VLOOKUP(A:A,Table1[[Project No]:[Additional Remark]],17,FALSE)</f>
        <v>Huawei SUN2000-8KTL</v>
      </c>
      <c r="K336" s="195"/>
      <c r="L336" s="194" t="str">
        <f t="shared" si="12"/>
        <v>Pending Site Installation</v>
      </c>
      <c r="M336" s="194" t="str">
        <f>VLOOKUP(A:A,'Finance Tracker'!A331:K571,8,FALSE)</f>
        <v>2nd invoice</v>
      </c>
      <c r="N336" s="195"/>
      <c r="O336" s="197" t="s">
        <v>109</v>
      </c>
      <c r="P336" s="197" t="s">
        <v>109</v>
      </c>
      <c r="Q336" s="195"/>
      <c r="R336" s="196">
        <v>45833</v>
      </c>
      <c r="S336" s="196">
        <v>45908</v>
      </c>
      <c r="T336" s="194" t="s">
        <v>1819</v>
      </c>
      <c r="U336" s="196">
        <v>46197</v>
      </c>
      <c r="V336" s="192" t="s">
        <v>1853</v>
      </c>
      <c r="W336" s="192" t="s">
        <v>1853</v>
      </c>
      <c r="X336" s="192" t="s">
        <v>109</v>
      </c>
      <c r="Y336" s="192" t="s">
        <v>1853</v>
      </c>
      <c r="Z336" s="192"/>
      <c r="AA336" s="197"/>
      <c r="AB336" s="197"/>
      <c r="AC336" s="194"/>
      <c r="AD336" s="194"/>
      <c r="AE336" s="197"/>
      <c r="AF336" s="197"/>
      <c r="AG336" s="192"/>
      <c r="AH336" s="192"/>
      <c r="AI336" s="198"/>
      <c r="AJ336" s="192" t="s">
        <v>109</v>
      </c>
      <c r="AK336" s="192" t="s">
        <v>109</v>
      </c>
      <c r="AL336" s="192" t="s">
        <v>109</v>
      </c>
      <c r="AM336" s="192" t="s">
        <v>109</v>
      </c>
      <c r="AP336" s="194">
        <f t="shared" si="13"/>
        <v>75</v>
      </c>
      <c r="AQ336" s="200"/>
    </row>
    <row r="337" spans="1:43" s="199" customFormat="1" ht="18.75" customHeight="1" x14ac:dyDescent="0.3">
      <c r="A337" s="192">
        <f>Table1[[#This Row],[Project No]]</f>
        <v>2506778</v>
      </c>
      <c r="B337" s="193" t="str">
        <f>VLOOKUP(A:A,Table1[[Project No]:[Additional Remark]],2,FALSE)</f>
        <v>Teo Lun Wei</v>
      </c>
      <c r="C337" s="192" t="e" vm="11">
        <f>VLOOKUP(A:A,Table1[[#All],[Project No]:[Additional Remark]],7,FALSE)</f>
        <v>#VALUE!</v>
      </c>
      <c r="D337" s="192" t="str">
        <f>VLOOKUP(A:A,Table1[[#All],[Project No]:[Additional Remark]],4,FALSE)</f>
        <v>Patricia</v>
      </c>
      <c r="E337" s="192" t="str">
        <f>VLOOKUP(A:A,Table1[[#All],[Project No]:[Additional Remark]],5,FALSE)</f>
        <v>R-PV</v>
      </c>
      <c r="F337" s="192" t="str">
        <f>VLOOKUP(A:A,Table1[[Project No]:[Additional Remark]],6,FALSE)</f>
        <v>NEM</v>
      </c>
      <c r="G337" s="192">
        <f>VLOOKUP(A:A,Table1[[Project No]:[Additional Remark]],8,FALSE)</f>
        <v>7.44</v>
      </c>
      <c r="H337" s="192" t="str">
        <f>VLOOKUP(A:A,Table1[[Project No]:[Additional Remark]],15,FALSE)</f>
        <v>Astronergy 620Wp</v>
      </c>
      <c r="I337" s="192">
        <f>VLOOKUP(A:A,Table1[[Project No]:[Additional Remark]],16,FALSE)</f>
        <v>12</v>
      </c>
      <c r="J337" s="194" t="str">
        <f>VLOOKUP(A:A,Table1[[Project No]:[Additional Remark]],17,FALSE)</f>
        <v>Huawei SUN2000-5KTL-L1</v>
      </c>
      <c r="K337" s="195"/>
      <c r="L337" s="194" t="str">
        <f t="shared" si="12"/>
        <v>Pending Site Installation</v>
      </c>
      <c r="M337" s="194" t="str">
        <f>VLOOKUP(A:A,'Finance Tracker'!A332:K572,8,FALSE)</f>
        <v>1st invoice</v>
      </c>
      <c r="N337" s="195"/>
      <c r="O337" s="197" t="s">
        <v>109</v>
      </c>
      <c r="P337" s="197" t="s">
        <v>109</v>
      </c>
      <c r="Q337" s="195"/>
      <c r="R337" s="196">
        <v>45833</v>
      </c>
      <c r="S337" s="196">
        <v>45854</v>
      </c>
      <c r="T337" s="194" t="s">
        <v>1819</v>
      </c>
      <c r="U337" s="196">
        <v>46197</v>
      </c>
      <c r="V337" s="192" t="s">
        <v>1853</v>
      </c>
      <c r="W337" s="192" t="s">
        <v>1853</v>
      </c>
      <c r="X337" s="192" t="s">
        <v>109</v>
      </c>
      <c r="Y337" s="192" t="s">
        <v>1853</v>
      </c>
      <c r="Z337" s="192"/>
      <c r="AA337" s="197"/>
      <c r="AB337" s="197"/>
      <c r="AC337" s="194"/>
      <c r="AD337" s="194"/>
      <c r="AE337" s="197"/>
      <c r="AF337" s="197"/>
      <c r="AG337" s="192"/>
      <c r="AH337" s="192"/>
      <c r="AI337" s="198"/>
      <c r="AJ337" s="192" t="s">
        <v>109</v>
      </c>
      <c r="AK337" s="192" t="s">
        <v>109</v>
      </c>
      <c r="AL337" s="192" t="s">
        <v>109</v>
      </c>
      <c r="AM337" s="192" t="s">
        <v>109</v>
      </c>
      <c r="AP337" s="194">
        <f t="shared" si="13"/>
        <v>21</v>
      </c>
      <c r="AQ337" s="200"/>
    </row>
    <row r="338" spans="1:43" s="244" customFormat="1" ht="18.75" customHeight="1" x14ac:dyDescent="0.3">
      <c r="A338" s="237">
        <f>Table1[[#This Row],[Project No]]</f>
        <v>2506745</v>
      </c>
      <c r="B338" s="238" t="str">
        <f>VLOOKUP(A:A,Table1[[Project No]:[Additional Remark]],2,FALSE)</f>
        <v>Lee Ban Hong</v>
      </c>
      <c r="C338" s="237" t="e" vm="5">
        <f>VLOOKUP(A:A,Table1[[#All],[Project No]:[Additional Remark]],7,FALSE)</f>
        <v>#VALUE!</v>
      </c>
      <c r="D338" s="237" t="str">
        <f>VLOOKUP(A:A,Table1[[#All],[Project No]:[Additional Remark]],4,FALSE)</f>
        <v>Tham</v>
      </c>
      <c r="E338" s="237" t="str">
        <f>VLOOKUP(A:A,Table1[[#All],[Project No]:[Additional Remark]],5,FALSE)</f>
        <v>R-PV</v>
      </c>
      <c r="F338" s="237" t="str">
        <f>VLOOKUP(A:A,Table1[[Project No]:[Additional Remark]],6,FALSE)</f>
        <v>NEM</v>
      </c>
      <c r="G338" s="237">
        <f>VLOOKUP(A:A,Table1[[Project No]:[Additional Remark]],8,FALSE)</f>
        <v>14.88</v>
      </c>
      <c r="H338" s="237" t="str">
        <f>VLOOKUP(A:A,Table1[[Project No]:[Additional Remark]],15,FALSE)</f>
        <v>Astronergy 620Wp</v>
      </c>
      <c r="I338" s="237">
        <f>VLOOKUP(A:A,Table1[[Project No]:[Additional Remark]],16,FALSE)</f>
        <v>24</v>
      </c>
      <c r="J338" s="239" t="str">
        <f>VLOOKUP(A:A,Table1[[Project No]:[Additional Remark]],17,FALSE)</f>
        <v>Huawei SUN2000-12KTL</v>
      </c>
      <c r="K338" s="240"/>
      <c r="L338" s="239" t="str">
        <f t="shared" si="12"/>
        <v>Pending NEM Welcome Letter</v>
      </c>
      <c r="M338" s="239" t="str">
        <f>VLOOKUP(A:A,'Finance Tracker'!A333:K573,8,FALSE)</f>
        <v>Invoice Completed</v>
      </c>
      <c r="N338" s="240"/>
      <c r="O338" s="242" t="s">
        <v>109</v>
      </c>
      <c r="P338" s="242" t="s">
        <v>109</v>
      </c>
      <c r="Q338" s="240"/>
      <c r="R338" s="241">
        <v>45828</v>
      </c>
      <c r="S338" s="241">
        <v>45871</v>
      </c>
      <c r="T338" s="239" t="s">
        <v>1819</v>
      </c>
      <c r="U338" s="241"/>
      <c r="V338" s="237" t="s">
        <v>1853</v>
      </c>
      <c r="W338" s="237" t="s">
        <v>1853</v>
      </c>
      <c r="X338" s="237" t="s">
        <v>109</v>
      </c>
      <c r="Y338" s="237" t="s">
        <v>1853</v>
      </c>
      <c r="Z338" s="237" t="s">
        <v>1855</v>
      </c>
      <c r="AA338" s="242">
        <v>45873</v>
      </c>
      <c r="AB338" s="242">
        <v>45873</v>
      </c>
      <c r="AC338" s="239" t="s">
        <v>1853</v>
      </c>
      <c r="AD338" s="242">
        <v>45883</v>
      </c>
      <c r="AE338" s="242">
        <v>45883</v>
      </c>
      <c r="AF338" s="242">
        <v>45883</v>
      </c>
      <c r="AG338" s="237"/>
      <c r="AH338" s="237"/>
      <c r="AI338" s="243"/>
      <c r="AJ338" s="237" t="s">
        <v>109</v>
      </c>
      <c r="AK338" s="237" t="s">
        <v>109</v>
      </c>
      <c r="AL338" s="237" t="s">
        <v>109</v>
      </c>
      <c r="AM338" s="237" t="s">
        <v>109</v>
      </c>
      <c r="AP338" s="239">
        <f t="shared" si="13"/>
        <v>43</v>
      </c>
      <c r="AQ338" s="245"/>
    </row>
    <row r="339" spans="1:43" s="244" customFormat="1" ht="18.75" customHeight="1" x14ac:dyDescent="0.3">
      <c r="A339" s="237">
        <f>Table1[[#This Row],[Project No]]</f>
        <v>2506789</v>
      </c>
      <c r="B339" s="238" t="str">
        <f>VLOOKUP(A:A,Table1[[Project No]:[Additional Remark]],2,FALSE)</f>
        <v>Wu Sio Yunn</v>
      </c>
      <c r="C339" s="237" t="e" vm="11">
        <f>VLOOKUP(A:A,Table1[[#All],[Project No]:[Additional Remark]],7,FALSE)</f>
        <v>#VALUE!</v>
      </c>
      <c r="D339" s="237" t="str">
        <f>VLOOKUP(A:A,Table1[[#All],[Project No]:[Additional Remark]],4,FALSE)</f>
        <v>Patricia</v>
      </c>
      <c r="E339" s="237" t="str">
        <f>VLOOKUP(A:A,Table1[[#All],[Project No]:[Additional Remark]],5,FALSE)</f>
        <v>R-PV</v>
      </c>
      <c r="F339" s="237" t="str">
        <f>VLOOKUP(A:A,Table1[[Project No]:[Additional Remark]],6,FALSE)</f>
        <v>NEM</v>
      </c>
      <c r="G339" s="237">
        <f>VLOOKUP(A:A,Table1[[Project No]:[Additional Remark]],8,FALSE)</f>
        <v>9.92</v>
      </c>
      <c r="H339" s="237" t="str">
        <f>VLOOKUP(A:A,Table1[[Project No]:[Additional Remark]],15,FALSE)</f>
        <v>Astronergy 620Wp</v>
      </c>
      <c r="I339" s="237">
        <f>VLOOKUP(A:A,Table1[[Project No]:[Additional Remark]],16,FALSE)</f>
        <v>16</v>
      </c>
      <c r="J339" s="239" t="str">
        <f>VLOOKUP(A:A,Table1[[Project No]:[Additional Remark]],17,FALSE)</f>
        <v>Huawei SUN2000-8KTL</v>
      </c>
      <c r="K339" s="240"/>
      <c r="L339" s="239" t="str">
        <f t="shared" si="12"/>
        <v>Pending NEM Welcome Letter</v>
      </c>
      <c r="M339" s="239" t="str">
        <f>VLOOKUP(A:A,'Finance Tracker'!A334:K574,8,FALSE)</f>
        <v>Invoice Completed</v>
      </c>
      <c r="N339" s="240"/>
      <c r="O339" s="242" t="s">
        <v>109</v>
      </c>
      <c r="P339" s="242" t="s">
        <v>109</v>
      </c>
      <c r="Q339" s="240"/>
      <c r="R339" s="241">
        <v>45834</v>
      </c>
      <c r="S339" s="241">
        <v>45855</v>
      </c>
      <c r="T339" s="239" t="s">
        <v>1819</v>
      </c>
      <c r="U339" s="241"/>
      <c r="V339" s="237" t="s">
        <v>1853</v>
      </c>
      <c r="W339" s="237" t="s">
        <v>1853</v>
      </c>
      <c r="X339" s="237" t="s">
        <v>109</v>
      </c>
      <c r="Y339" s="237" t="s">
        <v>1853</v>
      </c>
      <c r="Z339" s="237" t="s">
        <v>1854</v>
      </c>
      <c r="AA339" s="242">
        <v>45889</v>
      </c>
      <c r="AB339" s="242">
        <v>45891</v>
      </c>
      <c r="AC339" s="239" t="s">
        <v>1853</v>
      </c>
      <c r="AD339" s="242">
        <v>45925</v>
      </c>
      <c r="AE339" s="242">
        <v>45897</v>
      </c>
      <c r="AF339" s="242">
        <v>45925</v>
      </c>
      <c r="AG339" s="237"/>
      <c r="AH339" s="237"/>
      <c r="AI339" s="243"/>
      <c r="AJ339" s="237" t="s">
        <v>109</v>
      </c>
      <c r="AK339" s="237" t="s">
        <v>109</v>
      </c>
      <c r="AL339" s="237" t="s">
        <v>109</v>
      </c>
      <c r="AM339" s="237" t="s">
        <v>109</v>
      </c>
      <c r="AP339" s="239">
        <f t="shared" si="13"/>
        <v>21</v>
      </c>
      <c r="AQ339" s="245"/>
    </row>
    <row r="340" spans="1:43" ht="18.75" customHeight="1" x14ac:dyDescent="0.3">
      <c r="A340" s="4">
        <f>Table1[[#This Row],[Project No]]</f>
        <v>2404254</v>
      </c>
      <c r="B340" s="110" t="str">
        <f>VLOOKUP(A:A,Table1[[Project No]:[Additional Remark]],2,FALSE)</f>
        <v>Meor Farizal Bin Ramli</v>
      </c>
      <c r="C340" s="4" t="e" vm="11">
        <f>VLOOKUP(A:A,Table1[[#All],[Project No]:[Additional Remark]],7,FALSE)</f>
        <v>#VALUE!</v>
      </c>
      <c r="D340" s="4" t="str">
        <f>VLOOKUP(A:A,Table1[[#All],[Project No]:[Additional Remark]],4,FALSE)</f>
        <v>Chean Bang</v>
      </c>
      <c r="E340" s="4" t="str">
        <f>VLOOKUP(A:A,Table1[[#All],[Project No]:[Additional Remark]],5,FALSE)</f>
        <v>R-PV</v>
      </c>
      <c r="F340" s="4" t="str">
        <f>VLOOKUP(A:A,Table1[[Project No]:[Additional Remark]],6,FALSE)</f>
        <v>SELCO</v>
      </c>
      <c r="G340" s="4">
        <f>VLOOKUP(A:A,Table1[[Project No]:[Additional Remark]],8,FALSE)</f>
        <v>5.58</v>
      </c>
      <c r="H340" s="4" t="str">
        <f>VLOOKUP(A:A,Table1[[Project No]:[Additional Remark]],15,FALSE)</f>
        <v>Astronergy 620Wp</v>
      </c>
      <c r="I340" s="4">
        <f>VLOOKUP(A:A,Table1[[Project No]:[Additional Remark]],16,FALSE)</f>
        <v>9</v>
      </c>
      <c r="J340" s="1" t="str">
        <f>VLOOKUP(A:A,Table1[[Project No]:[Additional Remark]],17,FALSE)</f>
        <v>Huawei SUN2000-5KTL-L1</v>
      </c>
      <c r="K340" s="127"/>
      <c r="L340" s="1" t="str">
        <f t="shared" si="12"/>
        <v>Completed</v>
      </c>
      <c r="M340" s="1" t="str">
        <f>VLOOKUP(A:A,'Finance Tracker'!A335:K575,8,FALSE)</f>
        <v>Invoice Completed</v>
      </c>
      <c r="N340" s="127"/>
      <c r="O340" s="39" t="s">
        <v>109</v>
      </c>
      <c r="P340" s="39" t="s">
        <v>109</v>
      </c>
      <c r="Q340" s="127"/>
      <c r="R340" s="56" t="s">
        <v>109</v>
      </c>
      <c r="S340" s="56" t="s">
        <v>109</v>
      </c>
      <c r="T340" s="56" t="s">
        <v>109</v>
      </c>
      <c r="U340" s="56" t="s">
        <v>109</v>
      </c>
      <c r="V340" s="4" t="s">
        <v>1853</v>
      </c>
      <c r="W340" s="4" t="s">
        <v>1853</v>
      </c>
      <c r="X340" s="4" t="s">
        <v>109</v>
      </c>
      <c r="Y340" s="4" t="s">
        <v>1853</v>
      </c>
      <c r="Z340" s="4" t="s">
        <v>1854</v>
      </c>
      <c r="AA340" s="39">
        <v>45887</v>
      </c>
      <c r="AB340" s="39" t="s">
        <v>109</v>
      </c>
      <c r="AC340" s="39" t="s">
        <v>109</v>
      </c>
      <c r="AD340" s="39" t="s">
        <v>109</v>
      </c>
      <c r="AE340" s="39" t="s">
        <v>109</v>
      </c>
      <c r="AF340" s="39" t="s">
        <v>109</v>
      </c>
      <c r="AG340" s="39" t="s">
        <v>109</v>
      </c>
      <c r="AH340" s="39" t="s">
        <v>109</v>
      </c>
      <c r="AJ340" s="4" t="s">
        <v>109</v>
      </c>
      <c r="AK340" s="4" t="s">
        <v>109</v>
      </c>
      <c r="AL340" s="4" t="s">
        <v>109</v>
      </c>
      <c r="AM340" s="4" t="s">
        <v>109</v>
      </c>
      <c r="AP340" s="1" t="e">
        <f t="shared" si="13"/>
        <v>#VALUE!</v>
      </c>
    </row>
    <row r="341" spans="1:43" s="244" customFormat="1" ht="18.75" customHeight="1" x14ac:dyDescent="0.3">
      <c r="A341" s="237">
        <f>Table1[[#This Row],[Project No]]</f>
        <v>2506732</v>
      </c>
      <c r="B341" s="238" t="str">
        <f>VLOOKUP(A:A,Table1[[Project No]:[Additional Remark]],2,FALSE)</f>
        <v>Chai Shwu Yi (Tan Lewin)</v>
      </c>
      <c r="C341" s="237" t="e" vm="11">
        <f>VLOOKUP(A:A,Table1[[#All],[Project No]:[Additional Remark]],7,FALSE)</f>
        <v>#VALUE!</v>
      </c>
      <c r="D341" s="237" t="str">
        <f>VLOOKUP(A:A,Table1[[#All],[Project No]:[Additional Remark]],4,FALSE)</f>
        <v>Simon</v>
      </c>
      <c r="E341" s="237" t="str">
        <f>VLOOKUP(A:A,Table1[[#All],[Project No]:[Additional Remark]],5,FALSE)</f>
        <v>R-PV</v>
      </c>
      <c r="F341" s="237" t="str">
        <f>VLOOKUP(A:A,Table1[[Project No]:[Additional Remark]],6,FALSE)</f>
        <v>NEM</v>
      </c>
      <c r="G341" s="237">
        <f>VLOOKUP(A:A,Table1[[Project No]:[Additional Remark]],8,FALSE)</f>
        <v>7.44</v>
      </c>
      <c r="H341" s="237" t="str">
        <f>VLOOKUP(A:A,Table1[[Project No]:[Additional Remark]],15,FALSE)</f>
        <v>Astronergy 620Wp</v>
      </c>
      <c r="I341" s="237">
        <f>VLOOKUP(A:A,Table1[[Project No]:[Additional Remark]],16,FALSE)</f>
        <v>12</v>
      </c>
      <c r="J341" s="239" t="str">
        <f>VLOOKUP(A:A,Table1[[Project No]:[Additional Remark]],17,FALSE)</f>
        <v>Huawei SUN2000-5KTL-L1</v>
      </c>
      <c r="K341" s="240"/>
      <c r="L341" s="239" t="str">
        <f t="shared" si="12"/>
        <v>Pending NEM Welcome Letter</v>
      </c>
      <c r="M341" s="239" t="str">
        <f>VLOOKUP(A:A,'Finance Tracker'!A336:K576,8,FALSE)</f>
        <v>2nd invoice</v>
      </c>
      <c r="N341" s="240"/>
      <c r="O341" s="242" t="s">
        <v>109</v>
      </c>
      <c r="P341" s="242" t="s">
        <v>109</v>
      </c>
      <c r="Q341" s="240"/>
      <c r="R341" s="241">
        <v>45834</v>
      </c>
      <c r="S341" s="241">
        <v>45855</v>
      </c>
      <c r="T341" s="239" t="s">
        <v>1819</v>
      </c>
      <c r="U341" s="241"/>
      <c r="V341" s="237" t="s">
        <v>1853</v>
      </c>
      <c r="W341" s="237" t="s">
        <v>1853</v>
      </c>
      <c r="X341" s="237" t="s">
        <v>109</v>
      </c>
      <c r="Y341" s="237" t="s">
        <v>1853</v>
      </c>
      <c r="Z341" s="237" t="s">
        <v>1855</v>
      </c>
      <c r="AA341" s="242">
        <v>45889</v>
      </c>
      <c r="AB341" s="242">
        <v>45889</v>
      </c>
      <c r="AC341" s="239" t="s">
        <v>1853</v>
      </c>
      <c r="AD341" s="242">
        <v>45905</v>
      </c>
      <c r="AE341" s="242" t="s">
        <v>1853</v>
      </c>
      <c r="AF341" s="242">
        <v>45905</v>
      </c>
      <c r="AG341" s="237"/>
      <c r="AH341" s="237"/>
      <c r="AI341" s="243"/>
      <c r="AJ341" s="237" t="s">
        <v>109</v>
      </c>
      <c r="AK341" s="237" t="s">
        <v>109</v>
      </c>
      <c r="AL341" s="237" t="s">
        <v>109</v>
      </c>
      <c r="AM341" s="237" t="s">
        <v>109</v>
      </c>
      <c r="AP341" s="239">
        <f t="shared" si="13"/>
        <v>21</v>
      </c>
      <c r="AQ341" s="245"/>
    </row>
    <row r="342" spans="1:43" ht="18.75" customHeight="1" x14ac:dyDescent="0.3">
      <c r="A342" s="4">
        <f>Table1[[#This Row],[Project No]]</f>
        <v>2506767</v>
      </c>
      <c r="B342" s="110" t="str">
        <f>VLOOKUP(A:A,Table1[[Project No]:[Additional Remark]],2,FALSE)</f>
        <v>Lee Lee Tan @ Tan Lee Lee</v>
      </c>
      <c r="C342" s="4" t="e" vm="5">
        <f>VLOOKUP(A:A,Table1[[#All],[Project No]:[Additional Remark]],7,FALSE)</f>
        <v>#VALUE!</v>
      </c>
      <c r="D342" s="4" t="str">
        <f>VLOOKUP(A:A,Table1[[#All],[Project No]:[Additional Remark]],4,FALSE)</f>
        <v>Tham</v>
      </c>
      <c r="E342" s="4" t="str">
        <f>VLOOKUP(A:A,Table1[[#All],[Project No]:[Additional Remark]],5,FALSE)</f>
        <v>R-PV</v>
      </c>
      <c r="F342" s="4" t="str">
        <f>VLOOKUP(A:A,Table1[[Project No]:[Additional Remark]],6,FALSE)</f>
        <v>NEM</v>
      </c>
      <c r="G342" s="4">
        <f>VLOOKUP(A:A,Table1[[Project No]:[Additional Remark]],8,FALSE)</f>
        <v>7.44</v>
      </c>
      <c r="H342" s="4" t="str">
        <f>VLOOKUP(A:A,Table1[[Project No]:[Additional Remark]],15,FALSE)</f>
        <v>Astronergy 620Wp</v>
      </c>
      <c r="I342" s="4">
        <f>VLOOKUP(A:A,Table1[[Project No]:[Additional Remark]],16,FALSE)</f>
        <v>12</v>
      </c>
      <c r="J342" s="1" t="str">
        <f>VLOOKUP(A:A,Table1[[Project No]:[Additional Remark]],17,FALSE)</f>
        <v>Huawei SUN2000-5KTL-L1</v>
      </c>
      <c r="K342" s="127"/>
      <c r="L342" s="1" t="str">
        <f t="shared" si="12"/>
        <v>Completed</v>
      </c>
      <c r="M342" s="1" t="str">
        <f>VLOOKUP(A:A,'Finance Tracker'!A337:K577,8,FALSE)</f>
        <v>Invoice Completed</v>
      </c>
      <c r="N342" s="127"/>
      <c r="O342" s="39" t="s">
        <v>109</v>
      </c>
      <c r="P342" s="39" t="s">
        <v>109</v>
      </c>
      <c r="Q342" s="127"/>
      <c r="R342" s="56">
        <v>45834</v>
      </c>
      <c r="S342" s="56">
        <v>45854</v>
      </c>
      <c r="T342" s="1" t="s">
        <v>1819</v>
      </c>
      <c r="U342" s="56"/>
      <c r="V342" s="4" t="s">
        <v>1853</v>
      </c>
      <c r="W342" s="4" t="s">
        <v>1853</v>
      </c>
      <c r="X342" s="4" t="s">
        <v>109</v>
      </c>
      <c r="Y342" s="4" t="s">
        <v>1853</v>
      </c>
      <c r="Z342" s="4" t="s">
        <v>1855</v>
      </c>
      <c r="AA342" s="39">
        <v>45895</v>
      </c>
      <c r="AB342" s="39">
        <v>45896</v>
      </c>
      <c r="AC342" s="1" t="s">
        <v>1853</v>
      </c>
      <c r="AD342" s="39">
        <v>45910</v>
      </c>
      <c r="AE342" s="39">
        <v>45922</v>
      </c>
      <c r="AF342" s="39">
        <v>45910</v>
      </c>
      <c r="AG342" s="39">
        <v>45910</v>
      </c>
      <c r="AH342" s="39">
        <v>49582</v>
      </c>
      <c r="AJ342" s="4" t="s">
        <v>109</v>
      </c>
      <c r="AK342" s="4" t="s">
        <v>109</v>
      </c>
      <c r="AL342" s="4" t="s">
        <v>109</v>
      </c>
      <c r="AM342" s="4" t="s">
        <v>109</v>
      </c>
      <c r="AP342" s="1">
        <f t="shared" si="13"/>
        <v>20</v>
      </c>
    </row>
    <row r="343" spans="1:43" s="244" customFormat="1" ht="18.75" customHeight="1" x14ac:dyDescent="0.3">
      <c r="A343" s="237">
        <f>Table1[[#This Row],[Project No]]</f>
        <v>2506759</v>
      </c>
      <c r="B343" s="238" t="str">
        <f>VLOOKUP(A:A,Table1[[Project No]:[Additional Remark]],2,FALSE)</f>
        <v>Yim Kai Mun</v>
      </c>
      <c r="C343" s="237" t="e" vm="11">
        <f>VLOOKUP(A:A,Table1[[#All],[Project No]:[Additional Remark]],7,FALSE)</f>
        <v>#VALUE!</v>
      </c>
      <c r="D343" s="237" t="str">
        <f>VLOOKUP(A:A,Table1[[#All],[Project No]:[Additional Remark]],4,FALSE)</f>
        <v>Patricia</v>
      </c>
      <c r="E343" s="237" t="str">
        <f>VLOOKUP(A:A,Table1[[#All],[Project No]:[Additional Remark]],5,FALSE)</f>
        <v>R-PV</v>
      </c>
      <c r="F343" s="237" t="str">
        <f>VLOOKUP(A:A,Table1[[Project No]:[Additional Remark]],6,FALSE)</f>
        <v>NEM</v>
      </c>
      <c r="G343" s="237">
        <f>VLOOKUP(A:A,Table1[[Project No]:[Additional Remark]],8,FALSE)</f>
        <v>10.54</v>
      </c>
      <c r="H343" s="237" t="str">
        <f>VLOOKUP(A:A,Table1[[Project No]:[Additional Remark]],15,FALSE)</f>
        <v>Astronergy 620Wp</v>
      </c>
      <c r="I343" s="237">
        <f>VLOOKUP(A:A,Table1[[Project No]:[Additional Remark]],16,FALSE)</f>
        <v>17</v>
      </c>
      <c r="J343" s="239" t="str">
        <f>VLOOKUP(A:A,Table1[[Project No]:[Additional Remark]],17,FALSE)</f>
        <v>Huawei SUN2000-8KTL</v>
      </c>
      <c r="K343" s="240"/>
      <c r="L343" s="239" t="str">
        <f t="shared" si="12"/>
        <v>Pending NEM Welcome Letter</v>
      </c>
      <c r="M343" s="239" t="str">
        <f>VLOOKUP(A:A,'Finance Tracker'!A338:K578,8,FALSE)</f>
        <v>2nd invoice</v>
      </c>
      <c r="N343" s="240"/>
      <c r="O343" s="242" t="s">
        <v>109</v>
      </c>
      <c r="P343" s="242" t="s">
        <v>109</v>
      </c>
      <c r="Q343" s="240"/>
      <c r="R343" s="241">
        <v>45834</v>
      </c>
      <c r="S343" s="241">
        <v>45855</v>
      </c>
      <c r="T343" s="239" t="s">
        <v>1819</v>
      </c>
      <c r="U343" s="241"/>
      <c r="V343" s="237" t="s">
        <v>1853</v>
      </c>
      <c r="W343" s="237" t="s">
        <v>1853</v>
      </c>
      <c r="X343" s="237" t="s">
        <v>109</v>
      </c>
      <c r="Y343" s="237" t="s">
        <v>1853</v>
      </c>
      <c r="Z343" s="237" t="s">
        <v>1854</v>
      </c>
      <c r="AA343" s="242">
        <v>45874</v>
      </c>
      <c r="AB343" s="242">
        <v>45870</v>
      </c>
      <c r="AC343" s="242" t="s">
        <v>1853</v>
      </c>
      <c r="AD343" s="242">
        <v>45876</v>
      </c>
      <c r="AE343" s="242">
        <v>45873</v>
      </c>
      <c r="AF343" s="242">
        <v>45876</v>
      </c>
      <c r="AG343" s="242"/>
      <c r="AH343" s="242"/>
      <c r="AI343" s="243"/>
      <c r="AJ343" s="237" t="s">
        <v>109</v>
      </c>
      <c r="AK343" s="237" t="s">
        <v>109</v>
      </c>
      <c r="AL343" s="237" t="s">
        <v>109</v>
      </c>
      <c r="AM343" s="237" t="s">
        <v>109</v>
      </c>
      <c r="AP343" s="239">
        <f t="shared" si="13"/>
        <v>21</v>
      </c>
      <c r="AQ343" s="245"/>
    </row>
    <row r="344" spans="1:43" s="244" customFormat="1" ht="18.75" customHeight="1" x14ac:dyDescent="0.3">
      <c r="A344" s="237">
        <f>Table1[[#This Row],[Project No]]</f>
        <v>2506794</v>
      </c>
      <c r="B344" s="238" t="str">
        <f>VLOOKUP(A:A,Table1[[Project No]:[Additional Remark]],2,FALSE)</f>
        <v>Ahmad Fadhil Bin Alias</v>
      </c>
      <c r="C344" s="237" t="e" vm="11">
        <f>VLOOKUP(A:A,Table1[[#All],[Project No]:[Additional Remark]],7,FALSE)</f>
        <v>#VALUE!</v>
      </c>
      <c r="D344" s="237" t="str">
        <f>VLOOKUP(A:A,Table1[[#All],[Project No]:[Additional Remark]],4,FALSE)</f>
        <v>Patricia</v>
      </c>
      <c r="E344" s="237" t="str">
        <f>VLOOKUP(A:A,Table1[[#All],[Project No]:[Additional Remark]],5,FALSE)</f>
        <v>R-PV</v>
      </c>
      <c r="F344" s="237" t="str">
        <f>VLOOKUP(A:A,Table1[[Project No]:[Additional Remark]],6,FALSE)</f>
        <v>NEM</v>
      </c>
      <c r="G344" s="237">
        <f>VLOOKUP(A:A,Table1[[Project No]:[Additional Remark]],8,FALSE)</f>
        <v>9.92</v>
      </c>
      <c r="H344" s="237" t="str">
        <f>VLOOKUP(A:A,Table1[[Project No]:[Additional Remark]],15,FALSE)</f>
        <v>Astronergy 620Wp</v>
      </c>
      <c r="I344" s="237">
        <f>VLOOKUP(A:A,Table1[[Project No]:[Additional Remark]],16,FALSE)</f>
        <v>16</v>
      </c>
      <c r="J344" s="239" t="str">
        <f>VLOOKUP(A:A,Table1[[Project No]:[Additional Remark]],17,FALSE)</f>
        <v>Huawei SUN2000-8KTL</v>
      </c>
      <c r="K344" s="240"/>
      <c r="L344" s="239" t="str">
        <f t="shared" si="12"/>
        <v>Pending NEM Welcome Letter</v>
      </c>
      <c r="M344" s="239" t="str">
        <f>VLOOKUP(A:A,'Finance Tracker'!A339:K579,8,FALSE)</f>
        <v>2nd invoice</v>
      </c>
      <c r="N344" s="240"/>
      <c r="O344" s="242" t="s">
        <v>109</v>
      </c>
      <c r="P344" s="242" t="s">
        <v>109</v>
      </c>
      <c r="Q344" s="240"/>
      <c r="R344" s="241">
        <v>45835</v>
      </c>
      <c r="S344" s="241">
        <v>45925</v>
      </c>
      <c r="T344" s="239" t="s">
        <v>1819</v>
      </c>
      <c r="U344" s="241"/>
      <c r="V344" s="237" t="s">
        <v>1853</v>
      </c>
      <c r="W344" s="237" t="s">
        <v>1853</v>
      </c>
      <c r="X344" s="237" t="s">
        <v>109</v>
      </c>
      <c r="Y344" s="237" t="s">
        <v>1853</v>
      </c>
      <c r="Z344" s="237" t="s">
        <v>1854</v>
      </c>
      <c r="AA344" s="242">
        <v>45937</v>
      </c>
      <c r="AB344" s="242">
        <v>45938</v>
      </c>
      <c r="AC344" s="242" t="s">
        <v>1853</v>
      </c>
      <c r="AD344" s="242">
        <v>45956</v>
      </c>
      <c r="AE344" s="242" t="s">
        <v>1853</v>
      </c>
      <c r="AF344" s="242">
        <v>45956</v>
      </c>
      <c r="AG344" s="242"/>
      <c r="AH344" s="242"/>
      <c r="AI344" s="243"/>
      <c r="AJ344" s="237" t="s">
        <v>109</v>
      </c>
      <c r="AK344" s="237" t="s">
        <v>109</v>
      </c>
      <c r="AL344" s="237" t="s">
        <v>109</v>
      </c>
      <c r="AM344" s="237" t="s">
        <v>109</v>
      </c>
      <c r="AP344" s="239">
        <f t="shared" si="13"/>
        <v>90</v>
      </c>
      <c r="AQ344" s="245"/>
    </row>
    <row r="345" spans="1:43" s="199" customFormat="1" ht="18.75" customHeight="1" x14ac:dyDescent="0.3">
      <c r="A345" s="192">
        <f>Table1[[#This Row],[Project No]]</f>
        <v>2506798</v>
      </c>
      <c r="B345" s="193" t="str">
        <f>VLOOKUP(A:A,Table1[[Project No]:[Additional Remark]],2,FALSE)</f>
        <v>Lew Sieow Shih</v>
      </c>
      <c r="C345" s="192" t="e" vm="11">
        <f>VLOOKUP(A:A,Table1[[#All],[Project No]:[Additional Remark]],7,FALSE)</f>
        <v>#VALUE!</v>
      </c>
      <c r="D345" s="192" t="str">
        <f>VLOOKUP(A:A,Table1[[#All],[Project No]:[Additional Remark]],4,FALSE)</f>
        <v>Patricia</v>
      </c>
      <c r="E345" s="192" t="str">
        <f>VLOOKUP(A:A,Table1[[#All],[Project No]:[Additional Remark]],5,FALSE)</f>
        <v>R-PV</v>
      </c>
      <c r="F345" s="192" t="str">
        <f>VLOOKUP(A:A,Table1[[Project No]:[Additional Remark]],6,FALSE)</f>
        <v>NEM</v>
      </c>
      <c r="G345" s="192">
        <f>VLOOKUP(A:A,Table1[[Project No]:[Additional Remark]],8,FALSE)</f>
        <v>7.44</v>
      </c>
      <c r="H345" s="192" t="str">
        <f>VLOOKUP(A:A,Table1[[Project No]:[Additional Remark]],15,FALSE)</f>
        <v>Astronergy 620Wp</v>
      </c>
      <c r="I345" s="192">
        <f>VLOOKUP(A:A,Table1[[Project No]:[Additional Remark]],16,FALSE)</f>
        <v>12</v>
      </c>
      <c r="J345" s="194" t="str">
        <f>VLOOKUP(A:A,Table1[[Project No]:[Additional Remark]],17,FALSE)</f>
        <v>Huawei SUN2000-5KTL-L1</v>
      </c>
      <c r="K345" s="195"/>
      <c r="L345" s="194" t="str">
        <f t="shared" si="12"/>
        <v>Pending Site Installation</v>
      </c>
      <c r="M345" s="194" t="str">
        <f>VLOOKUP(A:A,'Finance Tracker'!A340:K580,8,FALSE)</f>
        <v>1st invoice</v>
      </c>
      <c r="N345" s="195"/>
      <c r="O345" s="197" t="s">
        <v>109</v>
      </c>
      <c r="P345" s="197" t="s">
        <v>109</v>
      </c>
      <c r="Q345" s="195"/>
      <c r="R345" s="196">
        <v>45835</v>
      </c>
      <c r="S345" s="196">
        <v>45855</v>
      </c>
      <c r="T345" s="194" t="s">
        <v>1819</v>
      </c>
      <c r="U345" s="196">
        <v>46199</v>
      </c>
      <c r="V345" s="192" t="s">
        <v>1853</v>
      </c>
      <c r="W345" s="192" t="s">
        <v>1853</v>
      </c>
      <c r="X345" s="192" t="s">
        <v>109</v>
      </c>
      <c r="Y345" s="192" t="s">
        <v>1853</v>
      </c>
      <c r="Z345" s="192"/>
      <c r="AA345" s="197"/>
      <c r="AB345" s="197"/>
      <c r="AC345" s="197"/>
      <c r="AD345" s="197"/>
      <c r="AE345" s="197"/>
      <c r="AF345" s="197"/>
      <c r="AG345" s="197"/>
      <c r="AH345" s="197"/>
      <c r="AI345" s="198"/>
      <c r="AJ345" s="192" t="s">
        <v>109</v>
      </c>
      <c r="AK345" s="192" t="s">
        <v>109</v>
      </c>
      <c r="AL345" s="192" t="s">
        <v>109</v>
      </c>
      <c r="AM345" s="192" t="s">
        <v>109</v>
      </c>
      <c r="AP345" s="194">
        <f t="shared" si="13"/>
        <v>20</v>
      </c>
      <c r="AQ345" s="200"/>
    </row>
    <row r="346" spans="1:43" s="199" customFormat="1" ht="18.75" customHeight="1" x14ac:dyDescent="0.3">
      <c r="A346" s="192">
        <f>Table1[[#This Row],[Project No]]</f>
        <v>2506773</v>
      </c>
      <c r="B346" s="193" t="str">
        <f>VLOOKUP(A:A,Table1[[Project No]:[Additional Remark]],2,FALSE)</f>
        <v>Leiw Chew Choi</v>
      </c>
      <c r="C346" s="192" t="e" vm="11">
        <f>VLOOKUP(A:A,Table1[[#All],[Project No]:[Additional Remark]],7,FALSE)</f>
        <v>#VALUE!</v>
      </c>
      <c r="D346" s="192" t="str">
        <f>VLOOKUP(A:A,Table1[[#All],[Project No]:[Additional Remark]],4,FALSE)</f>
        <v>Patricia</v>
      </c>
      <c r="E346" s="192" t="str">
        <f>VLOOKUP(A:A,Table1[[#All],[Project No]:[Additional Remark]],5,FALSE)</f>
        <v>R-PV</v>
      </c>
      <c r="F346" s="192" t="str">
        <f>VLOOKUP(A:A,Table1[[Project No]:[Additional Remark]],6,FALSE)</f>
        <v>NEM</v>
      </c>
      <c r="G346" s="192">
        <f>VLOOKUP(A:A,Table1[[Project No]:[Additional Remark]],8,FALSE)</f>
        <v>14.88</v>
      </c>
      <c r="H346" s="192" t="str">
        <f>VLOOKUP(A:A,Table1[[Project No]:[Additional Remark]],15,FALSE)</f>
        <v>Astronergy 620Wp</v>
      </c>
      <c r="I346" s="192">
        <f>VLOOKUP(A:A,Table1[[Project No]:[Additional Remark]],16,FALSE)</f>
        <v>24</v>
      </c>
      <c r="J346" s="194" t="str">
        <f>VLOOKUP(A:A,Table1[[Project No]:[Additional Remark]],17,FALSE)</f>
        <v>Huawei SUN2000-12KTL</v>
      </c>
      <c r="K346" s="195"/>
      <c r="L346" s="194" t="str">
        <f t="shared" si="12"/>
        <v>Pending Site Installation</v>
      </c>
      <c r="M346" s="194" t="str">
        <f>VLOOKUP(A:A,'Finance Tracker'!A341:K581,8,FALSE)</f>
        <v>1st invoice</v>
      </c>
      <c r="N346" s="195"/>
      <c r="O346" s="197" t="s">
        <v>109</v>
      </c>
      <c r="P346" s="197" t="s">
        <v>109</v>
      </c>
      <c r="Q346" s="195"/>
      <c r="R346" s="196">
        <v>45835</v>
      </c>
      <c r="S346" s="196">
        <v>45854</v>
      </c>
      <c r="T346" s="194" t="s">
        <v>1819</v>
      </c>
      <c r="U346" s="196">
        <v>46199</v>
      </c>
      <c r="V346" s="192" t="s">
        <v>1853</v>
      </c>
      <c r="W346" s="192" t="s">
        <v>1853</v>
      </c>
      <c r="X346" s="192" t="s">
        <v>109</v>
      </c>
      <c r="Y346" s="192" t="s">
        <v>1853</v>
      </c>
      <c r="Z346" s="192"/>
      <c r="AA346" s="197"/>
      <c r="AB346" s="197"/>
      <c r="AC346" s="197"/>
      <c r="AD346" s="197"/>
      <c r="AE346" s="197"/>
      <c r="AF346" s="197"/>
      <c r="AG346" s="197"/>
      <c r="AH346" s="197"/>
      <c r="AI346" s="198"/>
      <c r="AJ346" s="192" t="s">
        <v>109</v>
      </c>
      <c r="AK346" s="192" t="s">
        <v>109</v>
      </c>
      <c r="AL346" s="192" t="s">
        <v>109</v>
      </c>
      <c r="AM346" s="192" t="s">
        <v>109</v>
      </c>
      <c r="AP346" s="194">
        <f t="shared" si="13"/>
        <v>19</v>
      </c>
      <c r="AQ346" s="200"/>
    </row>
    <row r="347" spans="1:43" s="244" customFormat="1" ht="18.75" customHeight="1" x14ac:dyDescent="0.3">
      <c r="A347" s="237" t="str">
        <f>Table1[[#This Row],[Project No]]</f>
        <v>2506789-1</v>
      </c>
      <c r="B347" s="238" t="str">
        <f>VLOOKUP(A:A,Table1[[Project No]:[Additional Remark]],2,FALSE)</f>
        <v>Lim Kim Kiew</v>
      </c>
      <c r="C347" s="237" t="e" vm="11">
        <f>VLOOKUP(A:A,Table1[[#All],[Project No]:[Additional Remark]],7,FALSE)</f>
        <v>#VALUE!</v>
      </c>
      <c r="D347" s="237" t="str">
        <f>VLOOKUP(A:A,Table1[[#All],[Project No]:[Additional Remark]],4,FALSE)</f>
        <v>Chean Bang</v>
      </c>
      <c r="E347" s="237" t="str">
        <f>VLOOKUP(A:A,Table1[[#All],[Project No]:[Additional Remark]],5,FALSE)</f>
        <v>R-PV</v>
      </c>
      <c r="F347" s="237" t="str">
        <f>VLOOKUP(A:A,Table1[[Project No]:[Additional Remark]],6,FALSE)</f>
        <v>NEM</v>
      </c>
      <c r="G347" s="237">
        <f>VLOOKUP(A:A,Table1[[Project No]:[Additional Remark]],8,FALSE)</f>
        <v>7.44</v>
      </c>
      <c r="H347" s="237" t="str">
        <f>VLOOKUP(A:A,Table1[[Project No]:[Additional Remark]],15,FALSE)</f>
        <v>Astronergy 620Wp</v>
      </c>
      <c r="I347" s="237">
        <f>VLOOKUP(A:A,Table1[[Project No]:[Additional Remark]],16,FALSE)</f>
        <v>12</v>
      </c>
      <c r="J347" s="239" t="str">
        <f>VLOOKUP(A:A,Table1[[Project No]:[Additional Remark]],17,FALSE)</f>
        <v>Huawei SUN2000-5KTL-L1</v>
      </c>
      <c r="K347" s="240"/>
      <c r="L347" s="239" t="str">
        <f t="shared" si="12"/>
        <v>Pending NEM Welcome Letter</v>
      </c>
      <c r="M347" s="239" t="str">
        <f>VLOOKUP(A:A,'Finance Tracker'!A342:K582,8,FALSE)</f>
        <v>Invoice Completed</v>
      </c>
      <c r="N347" s="240"/>
      <c r="O347" s="242" t="s">
        <v>109</v>
      </c>
      <c r="P347" s="242" t="s">
        <v>109</v>
      </c>
      <c r="Q347" s="240"/>
      <c r="R347" s="241">
        <v>45834</v>
      </c>
      <c r="S347" s="241">
        <v>45855</v>
      </c>
      <c r="T347" s="239" t="s">
        <v>1819</v>
      </c>
      <c r="U347" s="241"/>
      <c r="V347" s="237" t="s">
        <v>1853</v>
      </c>
      <c r="W347" s="237" t="s">
        <v>1853</v>
      </c>
      <c r="X347" s="237" t="s">
        <v>109</v>
      </c>
      <c r="Y347" s="237" t="s">
        <v>1853</v>
      </c>
      <c r="Z347" s="237" t="s">
        <v>1854</v>
      </c>
      <c r="AA347" s="242">
        <v>45814</v>
      </c>
      <c r="AB347" s="242">
        <v>45880</v>
      </c>
      <c r="AC347" s="242" t="s">
        <v>1853</v>
      </c>
      <c r="AD347" s="242" t="s">
        <v>1853</v>
      </c>
      <c r="AE347" s="242">
        <v>45883</v>
      </c>
      <c r="AF347" s="242" t="s">
        <v>1853</v>
      </c>
      <c r="AG347" s="242"/>
      <c r="AH347" s="242"/>
      <c r="AI347" s="243"/>
      <c r="AJ347" s="237" t="s">
        <v>109</v>
      </c>
      <c r="AK347" s="237" t="s">
        <v>109</v>
      </c>
      <c r="AL347" s="237" t="s">
        <v>109</v>
      </c>
      <c r="AM347" s="237" t="s">
        <v>109</v>
      </c>
      <c r="AP347" s="239">
        <f t="shared" si="13"/>
        <v>21</v>
      </c>
      <c r="AQ347" s="245"/>
    </row>
    <row r="348" spans="1:43" s="244" customFormat="1" ht="18.75" customHeight="1" x14ac:dyDescent="0.3">
      <c r="A348" s="237">
        <f>Table1[[#This Row],[Project No]]</f>
        <v>2506786</v>
      </c>
      <c r="B348" s="238" t="str">
        <f>VLOOKUP(A:A,Table1[[Project No]:[Additional Remark]],2,FALSE)</f>
        <v>Lim Chee Seng</v>
      </c>
      <c r="C348" s="237" t="e" vm="12">
        <f>VLOOKUP(A:A,Table1[[#All],[Project No]:[Additional Remark]],7,FALSE)</f>
        <v>#VALUE!</v>
      </c>
      <c r="D348" s="237" t="str">
        <f>VLOOKUP(A:A,Table1[[#All],[Project No]:[Additional Remark]],4,FALSE)</f>
        <v>Tham</v>
      </c>
      <c r="E348" s="237" t="str">
        <f>VLOOKUP(A:A,Table1[[#All],[Project No]:[Additional Remark]],5,FALSE)</f>
        <v>R-PV</v>
      </c>
      <c r="F348" s="237" t="str">
        <f>VLOOKUP(A:A,Table1[[Project No]:[Additional Remark]],6,FALSE)</f>
        <v>NEM</v>
      </c>
      <c r="G348" s="237">
        <f>VLOOKUP(A:A,Table1[[Project No]:[Additional Remark]],8,FALSE)</f>
        <v>13.64</v>
      </c>
      <c r="H348" s="237" t="str">
        <f>VLOOKUP(A:A,Table1[[Project No]:[Additional Remark]],15,FALSE)</f>
        <v>Astronergy 620Wp</v>
      </c>
      <c r="I348" s="237">
        <f>VLOOKUP(A:A,Table1[[Project No]:[Additional Remark]],16,FALSE)</f>
        <v>22</v>
      </c>
      <c r="J348" s="239" t="str">
        <f>VLOOKUP(A:A,Table1[[Project No]:[Additional Remark]],17,FALSE)</f>
        <v>Huawei SUN2000-12KTL</v>
      </c>
      <c r="K348" s="240"/>
      <c r="L348" s="239" t="str">
        <f t="shared" si="12"/>
        <v>Pending NEM Welcome Letter</v>
      </c>
      <c r="M348" s="239" t="str">
        <f>VLOOKUP(A:A,'Finance Tracker'!A343:K583,8,FALSE)</f>
        <v>Invoice Completed</v>
      </c>
      <c r="N348" s="240"/>
      <c r="O348" s="242" t="s">
        <v>109</v>
      </c>
      <c r="P348" s="242" t="s">
        <v>109</v>
      </c>
      <c r="Q348" s="240"/>
      <c r="R348" s="241">
        <v>45838</v>
      </c>
      <c r="S348" s="241">
        <v>45870</v>
      </c>
      <c r="T348" s="239" t="s">
        <v>1819</v>
      </c>
      <c r="U348" s="241"/>
      <c r="V348" s="237" t="s">
        <v>1853</v>
      </c>
      <c r="W348" s="237" t="s">
        <v>1853</v>
      </c>
      <c r="X348" s="237" t="s">
        <v>109</v>
      </c>
      <c r="Y348" s="237" t="s">
        <v>1853</v>
      </c>
      <c r="Z348" s="237" t="s">
        <v>1855</v>
      </c>
      <c r="AA348" s="242">
        <v>45882</v>
      </c>
      <c r="AB348" s="242">
        <v>45882</v>
      </c>
      <c r="AC348" s="242" t="s">
        <v>1853</v>
      </c>
      <c r="AD348" s="242">
        <v>45887</v>
      </c>
      <c r="AE348" s="242">
        <v>45888</v>
      </c>
      <c r="AF348" s="242">
        <v>45887</v>
      </c>
      <c r="AG348" s="242"/>
      <c r="AH348" s="242"/>
      <c r="AI348" s="243"/>
      <c r="AJ348" s="237" t="s">
        <v>109</v>
      </c>
      <c r="AK348" s="237" t="s">
        <v>109</v>
      </c>
      <c r="AL348" s="237" t="s">
        <v>109</v>
      </c>
      <c r="AM348" s="237" t="s">
        <v>109</v>
      </c>
      <c r="AP348" s="239">
        <f t="shared" si="13"/>
        <v>32</v>
      </c>
      <c r="AQ348" s="245"/>
    </row>
    <row r="349" spans="1:43" s="226" customFormat="1" ht="18.600000000000001" customHeight="1" x14ac:dyDescent="0.3">
      <c r="A349" s="219">
        <f>Table1[[#This Row],[Project No]]</f>
        <v>2505260</v>
      </c>
      <c r="B349" s="220" t="str">
        <f>VLOOKUP(A:A,Table1[[Project No]:[Additional Remark]],2,FALSE)</f>
        <v>Canning Garden Baptist Church</v>
      </c>
      <c r="C349" s="219" t="e" vm="4">
        <f>VLOOKUP(A:A,Table1[[#All],[Project No]:[Additional Remark]],7,FALSE)</f>
        <v>#VALUE!</v>
      </c>
      <c r="D349" s="219" t="str">
        <f>VLOOKUP(A:A,Table1[[#All],[Project No]:[Additional Remark]],4,FALSE)</f>
        <v>Patricia</v>
      </c>
      <c r="E349" s="219" t="str">
        <f>VLOOKUP(A:A,Table1[[#All],[Project No]:[Additional Remark]],5,FALSE)</f>
        <v>C&amp;I-PV</v>
      </c>
      <c r="F349" s="219" t="str">
        <f>VLOOKUP(A:A,Table1[[Project No]:[Additional Remark]],6,FALSE)</f>
        <v>NEM</v>
      </c>
      <c r="G349" s="219">
        <f>VLOOKUP(A:A,Table1[[Project No]:[Additional Remark]],8,FALSE)</f>
        <v>48.36</v>
      </c>
      <c r="H349" s="219" t="str">
        <f>VLOOKUP(A:A,Table1[[Project No]:[Additional Remark]],15,FALSE)</f>
        <v>Astronergy 620Wp</v>
      </c>
      <c r="I349" s="219">
        <f>VLOOKUP(A:A,Table1[[Project No]:[Additional Remark]],16,FALSE)</f>
        <v>78</v>
      </c>
      <c r="J349" s="221" t="str">
        <f>VLOOKUP(A:A,Table1[[Project No]:[Additional Remark]],17,FALSE)</f>
        <v>Huawei SUN2000-36KTL</v>
      </c>
      <c r="K349" s="222"/>
      <c r="L349" s="221" t="str">
        <f t="shared" si="12"/>
        <v>Pending Meter Change</v>
      </c>
      <c r="M349" s="221" t="str">
        <f>VLOOKUP(A:A,'Finance Tracker'!A344:K584,8,FALSE)</f>
        <v>2nd invoice</v>
      </c>
      <c r="N349" s="222"/>
      <c r="O349" s="224" t="s">
        <v>109</v>
      </c>
      <c r="P349" s="224" t="s">
        <v>109</v>
      </c>
      <c r="Q349" s="222"/>
      <c r="R349" s="223">
        <v>45834</v>
      </c>
      <c r="S349" s="223">
        <v>45876</v>
      </c>
      <c r="T349" s="221" t="s">
        <v>1819</v>
      </c>
      <c r="U349" s="223"/>
      <c r="V349" s="219" t="s">
        <v>1853</v>
      </c>
      <c r="W349" s="219" t="s">
        <v>1853</v>
      </c>
      <c r="X349" s="219" t="s">
        <v>109</v>
      </c>
      <c r="Y349" s="219" t="s">
        <v>1853</v>
      </c>
      <c r="Z349" s="219" t="s">
        <v>1855</v>
      </c>
      <c r="AA349" s="224">
        <v>45943</v>
      </c>
      <c r="AB349" s="224">
        <v>45951</v>
      </c>
      <c r="AC349" s="224" t="s">
        <v>1858</v>
      </c>
      <c r="AD349" s="224">
        <v>45954</v>
      </c>
      <c r="AE349" s="224"/>
      <c r="AF349" s="224"/>
      <c r="AG349" s="224"/>
      <c r="AH349" s="224"/>
      <c r="AI349" s="225"/>
      <c r="AJ349" s="219" t="s">
        <v>109</v>
      </c>
      <c r="AK349" s="219" t="s">
        <v>109</v>
      </c>
      <c r="AL349" s="219" t="s">
        <v>109</v>
      </c>
      <c r="AM349" s="219" t="s">
        <v>109</v>
      </c>
      <c r="AP349" s="221">
        <f t="shared" si="13"/>
        <v>42</v>
      </c>
      <c r="AQ349" s="227"/>
    </row>
    <row r="350" spans="1:43" s="244" customFormat="1" ht="18.75" customHeight="1" x14ac:dyDescent="0.3">
      <c r="A350" s="237">
        <f>Table1[[#This Row],[Project No]]</f>
        <v>2506799</v>
      </c>
      <c r="B350" s="238" t="str">
        <f>VLOOKUP(A:A,Table1[[Project No]:[Additional Remark]],2,FALSE)</f>
        <v>Lee Cheow Ban</v>
      </c>
      <c r="C350" s="237" t="e" vm="11">
        <f>VLOOKUP(A:A,Table1[[#All],[Project No]:[Additional Remark]],7,FALSE)</f>
        <v>#VALUE!</v>
      </c>
      <c r="D350" s="237" t="str">
        <f>VLOOKUP(A:A,Table1[[#All],[Project No]:[Additional Remark]],4,FALSE)</f>
        <v>Patricia</v>
      </c>
      <c r="E350" s="237" t="str">
        <f>VLOOKUP(A:A,Table1[[#All],[Project No]:[Additional Remark]],5,FALSE)</f>
        <v>R-PV</v>
      </c>
      <c r="F350" s="237" t="str">
        <f>VLOOKUP(A:A,Table1[[Project No]:[Additional Remark]],6,FALSE)</f>
        <v>NEM</v>
      </c>
      <c r="G350" s="237">
        <f>VLOOKUP(A:A,Table1[[Project No]:[Additional Remark]],8,FALSE)</f>
        <v>13.64</v>
      </c>
      <c r="H350" s="237" t="str">
        <f>VLOOKUP(A:A,Table1[[Project No]:[Additional Remark]],15,FALSE)</f>
        <v>Astronergy 620Wp</v>
      </c>
      <c r="I350" s="237">
        <f>VLOOKUP(A:A,Table1[[Project No]:[Additional Remark]],16,FALSE)</f>
        <v>22</v>
      </c>
      <c r="J350" s="239" t="str">
        <f>VLOOKUP(A:A,Table1[[Project No]:[Additional Remark]],17,FALSE)</f>
        <v>Huawei SUN2000-12KTL</v>
      </c>
      <c r="K350" s="240"/>
      <c r="L350" s="239" t="str">
        <f t="shared" si="12"/>
        <v>Pending NEM Welcome Letter</v>
      </c>
      <c r="M350" s="239" t="str">
        <f>VLOOKUP(A:A,'Finance Tracker'!A345:K585,8,FALSE)</f>
        <v>Invoice Completed</v>
      </c>
      <c r="N350" s="240"/>
      <c r="O350" s="242" t="s">
        <v>109</v>
      </c>
      <c r="P350" s="242" t="s">
        <v>109</v>
      </c>
      <c r="Q350" s="240"/>
      <c r="R350" s="241">
        <v>45835</v>
      </c>
      <c r="S350" s="241">
        <v>45854</v>
      </c>
      <c r="T350" s="239" t="s">
        <v>1819</v>
      </c>
      <c r="U350" s="241"/>
      <c r="V350" s="237" t="s">
        <v>1853</v>
      </c>
      <c r="W350" s="237" t="s">
        <v>1853</v>
      </c>
      <c r="X350" s="237" t="s">
        <v>109</v>
      </c>
      <c r="Y350" s="237" t="s">
        <v>1853</v>
      </c>
      <c r="Z350" s="237" t="s">
        <v>1854</v>
      </c>
      <c r="AA350" s="242">
        <v>45876</v>
      </c>
      <c r="AB350" s="242">
        <v>45880</v>
      </c>
      <c r="AC350" s="242" t="s">
        <v>1853</v>
      </c>
      <c r="AD350" s="242">
        <v>45896</v>
      </c>
      <c r="AE350" s="242">
        <v>45883</v>
      </c>
      <c r="AF350" s="242">
        <v>45896</v>
      </c>
      <c r="AG350" s="242"/>
      <c r="AH350" s="242"/>
      <c r="AI350" s="243"/>
      <c r="AJ350" s="237" t="s">
        <v>109</v>
      </c>
      <c r="AK350" s="237" t="s">
        <v>109</v>
      </c>
      <c r="AL350" s="237" t="s">
        <v>109</v>
      </c>
      <c r="AM350" s="237" t="s">
        <v>109</v>
      </c>
      <c r="AP350" s="239">
        <f t="shared" si="13"/>
        <v>19</v>
      </c>
      <c r="AQ350" s="245"/>
    </row>
    <row r="351" spans="1:43" s="244" customFormat="1" ht="18.75" customHeight="1" x14ac:dyDescent="0.3">
      <c r="A351" s="237">
        <f>Table1[[#This Row],[Project No]]</f>
        <v>2506276</v>
      </c>
      <c r="B351" s="238" t="str">
        <f>VLOOKUP(A:A,Table1[[Project No]:[Additional Remark]],2,FALSE)</f>
        <v>Tew Ah Sing @ Teo Ah Sing</v>
      </c>
      <c r="C351" s="237" t="e" vm="11">
        <f>VLOOKUP(A:A,Table1[[#All],[Project No]:[Additional Remark]],7,FALSE)</f>
        <v>#VALUE!</v>
      </c>
      <c r="D351" s="237" t="str">
        <f>VLOOKUP(A:A,Table1[[#All],[Project No]:[Additional Remark]],4,FALSE)</f>
        <v>Chean Bang</v>
      </c>
      <c r="E351" s="237" t="str">
        <f>VLOOKUP(A:A,Table1[[#All],[Project No]:[Additional Remark]],5,FALSE)</f>
        <v>R-PV</v>
      </c>
      <c r="F351" s="237" t="str">
        <f>VLOOKUP(A:A,Table1[[Project No]:[Additional Remark]],6,FALSE)</f>
        <v>NEM</v>
      </c>
      <c r="G351" s="237">
        <f>VLOOKUP(A:A,Table1[[Project No]:[Additional Remark]],8,FALSE)</f>
        <v>19.84</v>
      </c>
      <c r="H351" s="237" t="str">
        <f>VLOOKUP(A:A,Table1[[Project No]:[Additional Remark]],15,FALSE)</f>
        <v>Astronergy 620Wp</v>
      </c>
      <c r="I351" s="237">
        <f>VLOOKUP(A:A,Table1[[Project No]:[Additional Remark]],16,FALSE)</f>
        <v>32</v>
      </c>
      <c r="J351" s="239" t="str">
        <f>VLOOKUP(A:A,Table1[[Project No]:[Additional Remark]],17,FALSE)</f>
        <v>Huawei SUN2000-17KTL</v>
      </c>
      <c r="K351" s="240"/>
      <c r="L351" s="239" t="str">
        <f t="shared" si="12"/>
        <v>Pending NEM Welcome Letter</v>
      </c>
      <c r="M351" s="239" t="str">
        <f>VLOOKUP(A:A,'Finance Tracker'!A346:K586,8,FALSE)</f>
        <v>Invoice Completed</v>
      </c>
      <c r="N351" s="240"/>
      <c r="O351" s="242" t="s">
        <v>109</v>
      </c>
      <c r="P351" s="242" t="s">
        <v>109</v>
      </c>
      <c r="Q351" s="240"/>
      <c r="R351" s="241">
        <v>45838</v>
      </c>
      <c r="S351" s="241">
        <v>45872</v>
      </c>
      <c r="T351" s="239" t="s">
        <v>1819</v>
      </c>
      <c r="U351" s="241"/>
      <c r="V351" s="237" t="s">
        <v>1853</v>
      </c>
      <c r="W351" s="237" t="s">
        <v>1853</v>
      </c>
      <c r="X351" s="237" t="s">
        <v>109</v>
      </c>
      <c r="Y351" s="237" t="s">
        <v>1853</v>
      </c>
      <c r="Z351" s="237" t="s">
        <v>1854</v>
      </c>
      <c r="AA351" s="242">
        <v>45902</v>
      </c>
      <c r="AB351" s="242" t="s">
        <v>1853</v>
      </c>
      <c r="AC351" s="242" t="s">
        <v>1853</v>
      </c>
      <c r="AD351" s="242">
        <v>45924</v>
      </c>
      <c r="AE351" s="242">
        <v>45922</v>
      </c>
      <c r="AF351" s="242">
        <v>45924</v>
      </c>
      <c r="AG351" s="242"/>
      <c r="AH351" s="242"/>
      <c r="AI351" s="243"/>
      <c r="AJ351" s="237" t="s">
        <v>109</v>
      </c>
      <c r="AK351" s="237" t="s">
        <v>109</v>
      </c>
      <c r="AL351" s="237" t="s">
        <v>109</v>
      </c>
      <c r="AM351" s="237" t="s">
        <v>109</v>
      </c>
      <c r="AP351" s="239">
        <f t="shared" si="13"/>
        <v>34</v>
      </c>
      <c r="AQ351" s="245"/>
    </row>
    <row r="352" spans="1:43" s="181" customFormat="1" ht="18.75" customHeight="1" x14ac:dyDescent="0.3">
      <c r="A352" s="174">
        <f>Table1[[#This Row],[Project No]]</f>
        <v>2506785</v>
      </c>
      <c r="B352" s="175" t="str">
        <f>VLOOKUP(A:A,Table1[[Project No]:[Additional Remark]],2,FALSE)</f>
        <v>Mohd Nurazuwan Bin Radzi</v>
      </c>
      <c r="C352" s="174" t="e" vm="11">
        <f>VLOOKUP(A:A,Table1[[#All],[Project No]:[Additional Remark]],7,FALSE)</f>
        <v>#VALUE!</v>
      </c>
      <c r="D352" s="174" t="str">
        <f>VLOOKUP(A:A,Table1[[#All],[Project No]:[Additional Remark]],4,FALSE)</f>
        <v>Patricia</v>
      </c>
      <c r="E352" s="174" t="str">
        <f>VLOOKUP(A:A,Table1[[#All],[Project No]:[Additional Remark]],5,FALSE)</f>
        <v>R-PV</v>
      </c>
      <c r="F352" s="174" t="str">
        <f>VLOOKUP(A:A,Table1[[Project No]:[Additional Remark]],6,FALSE)</f>
        <v>NEM</v>
      </c>
      <c r="G352" s="174">
        <f>VLOOKUP(A:A,Table1[[Project No]:[Additional Remark]],8,FALSE)</f>
        <v>13.64</v>
      </c>
      <c r="H352" s="174" t="str">
        <f>VLOOKUP(A:A,Table1[[Project No]:[Additional Remark]],15,FALSE)</f>
        <v>Astronergy 620Wp</v>
      </c>
      <c r="I352" s="174">
        <f>VLOOKUP(A:A,Table1[[Project No]:[Additional Remark]],16,FALSE)</f>
        <v>22</v>
      </c>
      <c r="J352" s="176" t="str">
        <f>VLOOKUP(A:A,Table1[[Project No]:[Additional Remark]],17,FALSE)</f>
        <v>Huawei SUN2000-12KTL</v>
      </c>
      <c r="K352" s="177"/>
      <c r="L352" s="176" t="str">
        <f t="shared" si="12"/>
        <v>Pending NEM Qouta Approval</v>
      </c>
      <c r="M352" s="176" t="str">
        <f>VLOOKUP(A:A,'Finance Tracker'!A347:K587,8,FALSE)</f>
        <v>1st invoice</v>
      </c>
      <c r="N352" s="177"/>
      <c r="O352" s="179" t="s">
        <v>109</v>
      </c>
      <c r="P352" s="179" t="s">
        <v>109</v>
      </c>
      <c r="Q352" s="177"/>
      <c r="R352" s="178">
        <v>45838</v>
      </c>
      <c r="S352" s="178"/>
      <c r="T352" s="176" t="s">
        <v>1815</v>
      </c>
      <c r="U352" s="178"/>
      <c r="V352" s="174" t="s">
        <v>1853</v>
      </c>
      <c r="W352" s="174" t="s">
        <v>1853</v>
      </c>
      <c r="X352" s="174" t="s">
        <v>109</v>
      </c>
      <c r="Y352" s="174" t="s">
        <v>1853</v>
      </c>
      <c r="Z352" s="174"/>
      <c r="AA352" s="179"/>
      <c r="AB352" s="179"/>
      <c r="AC352" s="179"/>
      <c r="AD352" s="179"/>
      <c r="AE352" s="179"/>
      <c r="AF352" s="179"/>
      <c r="AG352" s="179"/>
      <c r="AH352" s="179"/>
      <c r="AI352" s="180"/>
      <c r="AJ352" s="174" t="s">
        <v>109</v>
      </c>
      <c r="AK352" s="174" t="s">
        <v>109</v>
      </c>
      <c r="AL352" s="174" t="s">
        <v>109</v>
      </c>
      <c r="AM352" s="174" t="s">
        <v>109</v>
      </c>
      <c r="AP352" s="176">
        <f t="shared" si="13"/>
        <v>-45838</v>
      </c>
      <c r="AQ352" s="182"/>
    </row>
    <row r="353" spans="1:43" s="199" customFormat="1" ht="18.75" customHeight="1" x14ac:dyDescent="0.3">
      <c r="A353" s="192">
        <f>Table1[[#This Row],[Project No]]</f>
        <v>2506801</v>
      </c>
      <c r="B353" s="193" t="str">
        <f>VLOOKUP(A:A,Table1[[Project No]:[Additional Remark]],2,FALSE)</f>
        <v>Lim Joo Eng</v>
      </c>
      <c r="C353" s="192" t="e" vm="11">
        <f>VLOOKUP(A:A,Table1[[#All],[Project No]:[Additional Remark]],7,FALSE)</f>
        <v>#VALUE!</v>
      </c>
      <c r="D353" s="192" t="str">
        <f>VLOOKUP(A:A,Table1[[#All],[Project No]:[Additional Remark]],4,FALSE)</f>
        <v>Patricia</v>
      </c>
      <c r="E353" s="192" t="str">
        <f>VLOOKUP(A:A,Table1[[#All],[Project No]:[Additional Remark]],5,FALSE)</f>
        <v>R-PV</v>
      </c>
      <c r="F353" s="192" t="str">
        <f>VLOOKUP(A:A,Table1[[Project No]:[Additional Remark]],6,FALSE)</f>
        <v>NEM</v>
      </c>
      <c r="G353" s="192">
        <f>VLOOKUP(A:A,Table1[[Project No]:[Additional Remark]],8,FALSE)</f>
        <v>17.98</v>
      </c>
      <c r="H353" s="192" t="str">
        <f>VLOOKUP(A:A,Table1[[Project No]:[Additional Remark]],15,FALSE)</f>
        <v>Astronergy 620Wp</v>
      </c>
      <c r="I353" s="192">
        <f>VLOOKUP(A:A,Table1[[Project No]:[Additional Remark]],16,FALSE)</f>
        <v>29</v>
      </c>
      <c r="J353" s="194" t="str">
        <f>VLOOKUP(A:A,Table1[[Project No]:[Additional Remark]],17,FALSE)</f>
        <v>Huawei SUN2000-12KTL</v>
      </c>
      <c r="K353" s="195"/>
      <c r="L353" s="194" t="str">
        <f t="shared" si="12"/>
        <v>Pending Site Installation</v>
      </c>
      <c r="M353" s="194" t="str">
        <f>VLOOKUP(A:A,'Finance Tracker'!A348:K588,8,FALSE)</f>
        <v>1st invoice</v>
      </c>
      <c r="N353" s="195"/>
      <c r="O353" s="197" t="s">
        <v>109</v>
      </c>
      <c r="P353" s="197" t="s">
        <v>109</v>
      </c>
      <c r="Q353" s="195"/>
      <c r="R353" s="196">
        <v>45838</v>
      </c>
      <c r="S353" s="196">
        <v>45870</v>
      </c>
      <c r="T353" s="194" t="s">
        <v>1819</v>
      </c>
      <c r="U353" s="196">
        <v>46202</v>
      </c>
      <c r="V353" s="192" t="s">
        <v>1853</v>
      </c>
      <c r="W353" s="192" t="s">
        <v>1853</v>
      </c>
      <c r="X353" s="192" t="s">
        <v>109</v>
      </c>
      <c r="Y353" s="192" t="s">
        <v>1853</v>
      </c>
      <c r="Z353" s="192"/>
      <c r="AA353" s="197"/>
      <c r="AB353" s="197"/>
      <c r="AC353" s="197"/>
      <c r="AD353" s="197"/>
      <c r="AE353" s="197"/>
      <c r="AF353" s="197"/>
      <c r="AG353" s="197"/>
      <c r="AH353" s="197"/>
      <c r="AI353" s="198"/>
      <c r="AJ353" s="192" t="s">
        <v>109</v>
      </c>
      <c r="AK353" s="192" t="s">
        <v>109</v>
      </c>
      <c r="AL353" s="192" t="s">
        <v>109</v>
      </c>
      <c r="AM353" s="192" t="s">
        <v>109</v>
      </c>
      <c r="AP353" s="194">
        <f t="shared" si="13"/>
        <v>32</v>
      </c>
      <c r="AQ353" s="200"/>
    </row>
    <row r="354" spans="1:43" s="199" customFormat="1" ht="18.75" customHeight="1" x14ac:dyDescent="0.3">
      <c r="A354" s="192">
        <f>Table1[[#This Row],[Project No]]</f>
        <v>2503223</v>
      </c>
      <c r="B354" s="193" t="str">
        <f>VLOOKUP(A:A,Table1[[Project No]:[Additional Remark]],2,FALSE)</f>
        <v>Insultec Duragate Sdn Bhd</v>
      </c>
      <c r="C354" s="192" t="e" vm="8">
        <f>VLOOKUP(A:A,Table1[[#All],[Project No]:[Additional Remark]],7,FALSE)</f>
        <v>#VALUE!</v>
      </c>
      <c r="D354" s="192" t="str">
        <f>VLOOKUP(A:A,Table1[[#All],[Project No]:[Additional Remark]],4,FALSE)</f>
        <v>Tham</v>
      </c>
      <c r="E354" s="192" t="str">
        <f>VLOOKUP(A:A,Table1[[#All],[Project No]:[Additional Remark]],5,FALSE)</f>
        <v>C&amp;I-PV</v>
      </c>
      <c r="F354" s="192" t="str">
        <f>VLOOKUP(A:A,Table1[[Project No]:[Additional Remark]],6,FALSE)</f>
        <v>NEM</v>
      </c>
      <c r="G354" s="192">
        <f>VLOOKUP(A:A,Table1[[Project No]:[Additional Remark]],8,FALSE)</f>
        <v>58.9</v>
      </c>
      <c r="H354" s="192" t="str">
        <f>VLOOKUP(A:A,Table1[[Project No]:[Additional Remark]],15,FALSE)</f>
        <v>Yingli Solar 620Wp</v>
      </c>
      <c r="I354" s="192">
        <f>VLOOKUP(A:A,Table1[[Project No]:[Additional Remark]],16,FALSE)</f>
        <v>95</v>
      </c>
      <c r="J354" s="194" t="str">
        <f>VLOOKUP(A:A,Table1[[Project No]:[Additional Remark]],17,FALSE)</f>
        <v>Huawei SUN2000-50KTL</v>
      </c>
      <c r="K354" s="195"/>
      <c r="L354" s="194" t="str">
        <f t="shared" si="12"/>
        <v>Pending Site Installation</v>
      </c>
      <c r="M354" s="194" t="str">
        <f>VLOOKUP(A:A,'Finance Tracker'!A349:K589,8,FALSE)</f>
        <v>2nd invoice</v>
      </c>
      <c r="N354" s="195"/>
      <c r="O354" s="197" t="s">
        <v>109</v>
      </c>
      <c r="P354" s="197" t="s">
        <v>109</v>
      </c>
      <c r="Q354" s="195"/>
      <c r="R354" s="196">
        <v>45834</v>
      </c>
      <c r="S354" s="196">
        <v>45875</v>
      </c>
      <c r="T354" s="194" t="s">
        <v>1819</v>
      </c>
      <c r="U354" s="196"/>
      <c r="V354" s="192" t="s">
        <v>1853</v>
      </c>
      <c r="W354" s="192" t="s">
        <v>1853</v>
      </c>
      <c r="X354" s="192" t="s">
        <v>109</v>
      </c>
      <c r="Y354" s="192" t="s">
        <v>1853</v>
      </c>
      <c r="Z354" s="192"/>
      <c r="AA354" s="197"/>
      <c r="AB354" s="197"/>
      <c r="AC354" s="197"/>
      <c r="AD354" s="197"/>
      <c r="AE354" s="197"/>
      <c r="AF354" s="197"/>
      <c r="AG354" s="197"/>
      <c r="AH354" s="197"/>
      <c r="AI354" s="198"/>
      <c r="AJ354" s="192" t="s">
        <v>109</v>
      </c>
      <c r="AK354" s="192" t="s">
        <v>109</v>
      </c>
      <c r="AL354" s="192"/>
      <c r="AM354" s="192"/>
      <c r="AP354" s="194">
        <f t="shared" si="13"/>
        <v>41</v>
      </c>
      <c r="AQ354" s="200"/>
    </row>
    <row r="355" spans="1:43" s="181" customFormat="1" ht="18.75" customHeight="1" x14ac:dyDescent="0.3">
      <c r="A355" s="174">
        <f>Table1[[#This Row],[Project No]]</f>
        <v>2506802</v>
      </c>
      <c r="B355" s="175" t="str">
        <f>VLOOKUP(A:A,Table1[[Project No]:[Additional Remark]],2,FALSE)</f>
        <v>Hung Wen Hao</v>
      </c>
      <c r="C355" s="174" t="e" vm="11">
        <f>VLOOKUP(A:A,Table1[[#All],[Project No]:[Additional Remark]],7,FALSE)</f>
        <v>#VALUE!</v>
      </c>
      <c r="D355" s="174" t="str">
        <f>VLOOKUP(A:A,Table1[[#All],[Project No]:[Additional Remark]],4,FALSE)</f>
        <v>Patricia</v>
      </c>
      <c r="E355" s="174" t="str">
        <f>VLOOKUP(A:A,Table1[[#All],[Project No]:[Additional Remark]],5,FALSE)</f>
        <v>R-PV</v>
      </c>
      <c r="F355" s="174" t="str">
        <f>VLOOKUP(A:A,Table1[[Project No]:[Additional Remark]],6,FALSE)</f>
        <v>NEM</v>
      </c>
      <c r="G355" s="174">
        <f>VLOOKUP(A:A,Table1[[Project No]:[Additional Remark]],8,FALSE)</f>
        <v>13.64</v>
      </c>
      <c r="H355" s="174" t="str">
        <f>VLOOKUP(A:A,Table1[[Project No]:[Additional Remark]],15,FALSE)</f>
        <v>Astronergy 620Wp</v>
      </c>
      <c r="I355" s="174">
        <f>VLOOKUP(A:A,Table1[[Project No]:[Additional Remark]],16,FALSE)</f>
        <v>22</v>
      </c>
      <c r="J355" s="176" t="str">
        <f>VLOOKUP(A:A,Table1[[Project No]:[Additional Remark]],17,FALSE)</f>
        <v>Huawei SUN2000-12KTL</v>
      </c>
      <c r="K355" s="177"/>
      <c r="L355" s="176" t="str">
        <f t="shared" si="12"/>
        <v>Pending NEM Qouta Approval</v>
      </c>
      <c r="M355" s="176" t="str">
        <f>VLOOKUP(A:A,'Finance Tracker'!A350:K590,8,FALSE)</f>
        <v>Pending 1st Invoice</v>
      </c>
      <c r="N355" s="177"/>
      <c r="O355" s="179" t="s">
        <v>109</v>
      </c>
      <c r="P355" s="179" t="s">
        <v>109</v>
      </c>
      <c r="Q355" s="177"/>
      <c r="R355" s="178">
        <v>45838</v>
      </c>
      <c r="S355" s="178"/>
      <c r="T355" s="176" t="s">
        <v>1815</v>
      </c>
      <c r="U355" s="178"/>
      <c r="V355" s="174" t="s">
        <v>1853</v>
      </c>
      <c r="W355" s="174" t="s">
        <v>1853</v>
      </c>
      <c r="X355" s="174" t="s">
        <v>109</v>
      </c>
      <c r="Y355" s="174" t="s">
        <v>1853</v>
      </c>
      <c r="Z355" s="174"/>
      <c r="AA355" s="179"/>
      <c r="AB355" s="179"/>
      <c r="AC355" s="179"/>
      <c r="AD355" s="179"/>
      <c r="AE355" s="179"/>
      <c r="AF355" s="179"/>
      <c r="AG355" s="179"/>
      <c r="AH355" s="179"/>
      <c r="AI355" s="180"/>
      <c r="AJ355" s="174" t="s">
        <v>109</v>
      </c>
      <c r="AK355" s="174" t="s">
        <v>109</v>
      </c>
      <c r="AL355" s="174" t="s">
        <v>109</v>
      </c>
      <c r="AM355" s="174" t="s">
        <v>109</v>
      </c>
      <c r="AP355" s="176">
        <f t="shared" si="13"/>
        <v>-45838</v>
      </c>
      <c r="AQ355" s="182"/>
    </row>
    <row r="356" spans="1:43" s="244" customFormat="1" ht="18.75" customHeight="1" x14ac:dyDescent="0.3">
      <c r="A356" s="237">
        <f>Table1[[#This Row],[Project No]]</f>
        <v>2412510</v>
      </c>
      <c r="B356" s="238" t="str">
        <f>VLOOKUP(A:A,Table1[[Project No]:[Additional Remark]],2,FALSE)</f>
        <v>How Toon Huah</v>
      </c>
      <c r="C356" s="237" t="e" vm="11">
        <f>VLOOKUP(A:A,Table1[[#All],[Project No]:[Additional Remark]],7,FALSE)</f>
        <v>#VALUE!</v>
      </c>
      <c r="D356" s="237" t="str">
        <f>VLOOKUP(A:A,Table1[[#All],[Project No]:[Additional Remark]],4,FALSE)</f>
        <v>Chean Bang</v>
      </c>
      <c r="E356" s="237" t="str">
        <f>VLOOKUP(A:A,Table1[[#All],[Project No]:[Additional Remark]],5,FALSE)</f>
        <v>R-PV</v>
      </c>
      <c r="F356" s="237" t="str">
        <f>VLOOKUP(A:A,Table1[[Project No]:[Additional Remark]],6,FALSE)</f>
        <v>NEM</v>
      </c>
      <c r="G356" s="237">
        <f>VLOOKUP(A:A,Table1[[Project No]:[Additional Remark]],8,FALSE)</f>
        <v>14.88</v>
      </c>
      <c r="H356" s="237" t="str">
        <f>VLOOKUP(A:A,Table1[[Project No]:[Additional Remark]],15,FALSE)</f>
        <v>Astronergy 620Wp</v>
      </c>
      <c r="I356" s="237">
        <f>VLOOKUP(A:A,Table1[[Project No]:[Additional Remark]],16,FALSE)</f>
        <v>24</v>
      </c>
      <c r="J356" s="239" t="str">
        <f>VLOOKUP(A:A,Table1[[Project No]:[Additional Remark]],17,FALSE)</f>
        <v>Huawei SUN2000-12KTL</v>
      </c>
      <c r="K356" s="240"/>
      <c r="L356" s="239" t="str">
        <f t="shared" si="12"/>
        <v>Pending NEM Welcome Letter</v>
      </c>
      <c r="M356" s="239" t="str">
        <f>VLOOKUP(A:A,'Finance Tracker'!A351:K591,8,FALSE)</f>
        <v>Invoice Completed</v>
      </c>
      <c r="N356" s="240"/>
      <c r="O356" s="242" t="s">
        <v>109</v>
      </c>
      <c r="P356" s="242" t="s">
        <v>109</v>
      </c>
      <c r="Q356" s="240"/>
      <c r="R356" s="241">
        <v>45833</v>
      </c>
      <c r="S356" s="241">
        <v>45872</v>
      </c>
      <c r="T356" s="239" t="s">
        <v>1819</v>
      </c>
      <c r="U356" s="241"/>
      <c r="V356" s="237" t="s">
        <v>1853</v>
      </c>
      <c r="W356" s="237" t="s">
        <v>1853</v>
      </c>
      <c r="X356" s="237" t="s">
        <v>109</v>
      </c>
      <c r="Y356" s="237" t="s">
        <v>1853</v>
      </c>
      <c r="Z356" s="237" t="s">
        <v>1854</v>
      </c>
      <c r="AA356" s="242">
        <v>45890</v>
      </c>
      <c r="AB356" s="242" t="s">
        <v>1853</v>
      </c>
      <c r="AC356" s="242" t="s">
        <v>1853</v>
      </c>
      <c r="AD356" s="242">
        <v>45908</v>
      </c>
      <c r="AE356" s="242">
        <v>45903</v>
      </c>
      <c r="AF356" s="242">
        <v>45908</v>
      </c>
      <c r="AG356" s="242"/>
      <c r="AH356" s="242"/>
      <c r="AI356" s="243"/>
      <c r="AJ356" s="237" t="s">
        <v>109</v>
      </c>
      <c r="AK356" s="237" t="s">
        <v>109</v>
      </c>
      <c r="AL356" s="237" t="s">
        <v>109</v>
      </c>
      <c r="AM356" s="237" t="s">
        <v>109</v>
      </c>
      <c r="AP356" s="239">
        <f t="shared" si="13"/>
        <v>39</v>
      </c>
      <c r="AQ356" s="245"/>
    </row>
    <row r="357" spans="1:43" s="190" customFormat="1" ht="18.75" customHeight="1" x14ac:dyDescent="0.3">
      <c r="A357" s="183">
        <f>Table1[[#This Row],[Project No]]</f>
        <v>2504051</v>
      </c>
      <c r="B357" s="184" t="str">
        <f>VLOOKUP(A:A,Table1[[Project No]:[Additional Remark]],2,FALSE)</f>
        <v>G. Semanggol R&amp;R (Northbound) - Green EV Charge Sdn Bhd</v>
      </c>
      <c r="C357" s="183" t="e" vm="4">
        <f>VLOOKUP(A:A,Table1[[#All],[Project No]:[Additional Remark]],7,FALSE)</f>
        <v>#VALUE!</v>
      </c>
      <c r="D357" s="183" t="str">
        <f>VLOOKUP(A:A,Table1[[#All],[Project No]:[Additional Remark]],4,FALSE)</f>
        <v>Simon</v>
      </c>
      <c r="E357" s="183" t="str">
        <f>VLOOKUP(A:A,Table1[[#All],[Project No]:[Additional Remark]],5,FALSE)</f>
        <v>EV Charger</v>
      </c>
      <c r="F357" s="183">
        <f>VLOOKUP(A:A,Table1[[Project No]:[Additional Remark]],6,FALSE)</f>
        <v>0</v>
      </c>
      <c r="G357" s="183">
        <f>VLOOKUP(A:A,Table1[[Project No]:[Additional Remark]],8,FALSE)</f>
        <v>0</v>
      </c>
      <c r="H357" s="183">
        <f>VLOOKUP(A:A,Table1[[Project No]:[Additional Remark]],15,FALSE)</f>
        <v>0</v>
      </c>
      <c r="I357" s="183">
        <f>VLOOKUP(A:A,Table1[[Project No]:[Additional Remark]],16,FALSE)</f>
        <v>0</v>
      </c>
      <c r="J357" s="185">
        <f>VLOOKUP(A:A,Table1[[Project No]:[Additional Remark]],17,FALSE)</f>
        <v>0</v>
      </c>
      <c r="K357" s="186"/>
      <c r="L357" s="185" t="str">
        <f t="shared" si="12"/>
        <v>Pending ST License Application</v>
      </c>
      <c r="M357" s="185" t="str">
        <f>VLOOKUP(A:A,'Finance Tracker'!A352:K592,8,FALSE)</f>
        <v>Pending 1st Invoice</v>
      </c>
      <c r="N357" s="186"/>
      <c r="O357" s="188" t="s">
        <v>109</v>
      </c>
      <c r="P357" s="188" t="s">
        <v>109</v>
      </c>
      <c r="Q357" s="186"/>
      <c r="R357" s="187" t="s">
        <v>109</v>
      </c>
      <c r="S357" s="187" t="s">
        <v>109</v>
      </c>
      <c r="T357" s="187" t="s">
        <v>109</v>
      </c>
      <c r="U357" s="187" t="s">
        <v>109</v>
      </c>
      <c r="V357" s="187" t="s">
        <v>109</v>
      </c>
      <c r="W357" s="187" t="s">
        <v>109</v>
      </c>
      <c r="X357" s="187" t="s">
        <v>109</v>
      </c>
      <c r="Y357" s="187" t="s">
        <v>109</v>
      </c>
      <c r="Z357" s="183" t="s">
        <v>1853</v>
      </c>
      <c r="AA357" s="183" t="s">
        <v>1853</v>
      </c>
      <c r="AB357" s="188" t="s">
        <v>109</v>
      </c>
      <c r="AC357" s="188" t="s">
        <v>109</v>
      </c>
      <c r="AD357" s="188" t="s">
        <v>109</v>
      </c>
      <c r="AE357" s="188" t="s">
        <v>109</v>
      </c>
      <c r="AF357" s="188" t="s">
        <v>109</v>
      </c>
      <c r="AG357" s="188" t="s">
        <v>109</v>
      </c>
      <c r="AH357" s="188" t="s">
        <v>109</v>
      </c>
      <c r="AI357" s="189"/>
      <c r="AJ357" s="183"/>
      <c r="AK357" s="183"/>
      <c r="AL357" s="183" t="s">
        <v>109</v>
      </c>
      <c r="AM357" s="183" t="s">
        <v>109</v>
      </c>
      <c r="AP357" s="185" t="e">
        <f t="shared" si="13"/>
        <v>#VALUE!</v>
      </c>
      <c r="AQ357" s="191"/>
    </row>
    <row r="358" spans="1:43" s="190" customFormat="1" ht="18.75" customHeight="1" x14ac:dyDescent="0.3">
      <c r="A358" s="183">
        <f>Table1[[#This Row],[Project No]]</f>
        <v>2505056</v>
      </c>
      <c r="B358" s="184" t="str">
        <f>VLOOKUP(A:A,Table1[[Project No]:[Additional Remark]],2,FALSE)</f>
        <v>TMG Mall Tanjung Lumpur (Handal Green Mobility)</v>
      </c>
      <c r="C358" s="183" t="e" vm="11">
        <f>VLOOKUP(A:A,Table1[[#All],[Project No]:[Additional Remark]],7,FALSE)</f>
        <v>#VALUE!</v>
      </c>
      <c r="D358" s="183" t="str">
        <f>VLOOKUP(A:A,Table1[[#All],[Project No]:[Additional Remark]],4,FALSE)</f>
        <v>Chean Bang</v>
      </c>
      <c r="E358" s="183" t="str">
        <f>VLOOKUP(A:A,Table1[[#All],[Project No]:[Additional Remark]],5,FALSE)</f>
        <v>EV Charger</v>
      </c>
      <c r="F358" s="183">
        <f>VLOOKUP(A:A,Table1[[Project No]:[Additional Remark]],6,FALSE)</f>
        <v>0</v>
      </c>
      <c r="G358" s="183">
        <f>VLOOKUP(A:A,Table1[[Project No]:[Additional Remark]],8,FALSE)</f>
        <v>0</v>
      </c>
      <c r="H358" s="183">
        <f>VLOOKUP(A:A,Table1[[Project No]:[Additional Remark]],15,FALSE)</f>
        <v>0</v>
      </c>
      <c r="I358" s="183">
        <f>VLOOKUP(A:A,Table1[[Project No]:[Additional Remark]],16,FALSE)</f>
        <v>0</v>
      </c>
      <c r="J358" s="185">
        <f>VLOOKUP(A:A,Table1[[Project No]:[Additional Remark]],17,FALSE)</f>
        <v>0</v>
      </c>
      <c r="K358" s="186"/>
      <c r="L358" s="185" t="str">
        <f t="shared" si="12"/>
        <v>Pending ST License Application</v>
      </c>
      <c r="M358" s="185" t="str">
        <f>VLOOKUP(A:A,'Finance Tracker'!A353:K593,8,FALSE)</f>
        <v>Invoice Completed</v>
      </c>
      <c r="N358" s="186"/>
      <c r="O358" s="188" t="s">
        <v>109</v>
      </c>
      <c r="P358" s="188" t="s">
        <v>109</v>
      </c>
      <c r="Q358" s="186"/>
      <c r="R358" s="187" t="s">
        <v>109</v>
      </c>
      <c r="S358" s="187" t="s">
        <v>109</v>
      </c>
      <c r="T358" s="187" t="s">
        <v>109</v>
      </c>
      <c r="U358" s="187" t="s">
        <v>109</v>
      </c>
      <c r="V358" s="187" t="s">
        <v>109</v>
      </c>
      <c r="W358" s="187" t="s">
        <v>109</v>
      </c>
      <c r="X358" s="187" t="s">
        <v>109</v>
      </c>
      <c r="Y358" s="187" t="s">
        <v>109</v>
      </c>
      <c r="Z358" s="183" t="s">
        <v>1853</v>
      </c>
      <c r="AA358" s="183" t="s">
        <v>1853</v>
      </c>
      <c r="AB358" s="188" t="s">
        <v>109</v>
      </c>
      <c r="AC358" s="188" t="s">
        <v>109</v>
      </c>
      <c r="AD358" s="188" t="s">
        <v>109</v>
      </c>
      <c r="AE358" s="188" t="s">
        <v>109</v>
      </c>
      <c r="AF358" s="188" t="s">
        <v>109</v>
      </c>
      <c r="AG358" s="188" t="s">
        <v>109</v>
      </c>
      <c r="AH358" s="188" t="s">
        <v>109</v>
      </c>
      <c r="AI358" s="189"/>
      <c r="AJ358" s="183"/>
      <c r="AK358" s="183"/>
      <c r="AL358" s="183" t="s">
        <v>109</v>
      </c>
      <c r="AM358" s="183" t="s">
        <v>109</v>
      </c>
      <c r="AP358" s="185" t="e">
        <f t="shared" si="13"/>
        <v>#VALUE!</v>
      </c>
      <c r="AQ358" s="191"/>
    </row>
    <row r="359" spans="1:43" s="199" customFormat="1" ht="18.75" customHeight="1" x14ac:dyDescent="0.3">
      <c r="A359" s="192">
        <f>Table1[[#This Row],[Project No]]</f>
        <v>2507833</v>
      </c>
      <c r="B359" s="193" t="str">
        <f>VLOOKUP(A:A,Table1[[Project No]:[Additional Remark]],2,FALSE)</f>
        <v>Yee Main Way</v>
      </c>
      <c r="C359" s="192" t="e" vm="11">
        <f>VLOOKUP(A:A,Table1[[#All],[Project No]:[Additional Remark]],7,FALSE)</f>
        <v>#VALUE!</v>
      </c>
      <c r="D359" s="192" t="str">
        <f>VLOOKUP(A:A,Table1[[#All],[Project No]:[Additional Remark]],4,FALSE)</f>
        <v>Patricia</v>
      </c>
      <c r="E359" s="192" t="str">
        <f>VLOOKUP(A:A,Table1[[#All],[Project No]:[Additional Remark]],5,FALSE)</f>
        <v>R-PV</v>
      </c>
      <c r="F359" s="192" t="str">
        <f>VLOOKUP(A:A,Table1[[Project No]:[Additional Remark]],6,FALSE)</f>
        <v>SELCO</v>
      </c>
      <c r="G359" s="192">
        <f>VLOOKUP(A:A,Table1[[Project No]:[Additional Remark]],8,FALSE)</f>
        <v>12.4</v>
      </c>
      <c r="H359" s="192" t="str">
        <f>VLOOKUP(A:A,Table1[[Project No]:[Additional Remark]],15,FALSE)</f>
        <v>Astronergy 620Wp</v>
      </c>
      <c r="I359" s="192">
        <f>VLOOKUP(A:A,Table1[[Project No]:[Additional Remark]],16,FALSE)</f>
        <v>20</v>
      </c>
      <c r="J359" s="194" t="str">
        <f>VLOOKUP(A:A,Table1[[Project No]:[Additional Remark]],17,FALSE)</f>
        <v>Solax 10kW</v>
      </c>
      <c r="K359" s="195"/>
      <c r="L359" s="194" t="str">
        <f t="shared" si="12"/>
        <v>Pending Site Installation</v>
      </c>
      <c r="M359" s="194" t="str">
        <f>VLOOKUP(A:A,'Finance Tracker'!A354:K594,8,FALSE)</f>
        <v>Invoice Completed</v>
      </c>
      <c r="N359" s="195"/>
      <c r="O359" s="197" t="s">
        <v>109</v>
      </c>
      <c r="P359" s="197" t="s">
        <v>109</v>
      </c>
      <c r="Q359" s="195"/>
      <c r="R359" s="196" t="s">
        <v>109</v>
      </c>
      <c r="S359" s="196" t="s">
        <v>109</v>
      </c>
      <c r="T359" s="196" t="s">
        <v>109</v>
      </c>
      <c r="U359" s="196" t="s">
        <v>109</v>
      </c>
      <c r="V359" s="196" t="s">
        <v>109</v>
      </c>
      <c r="W359" s="196" t="s">
        <v>109</v>
      </c>
      <c r="X359" s="196" t="s">
        <v>109</v>
      </c>
      <c r="Y359" s="196" t="s">
        <v>109</v>
      </c>
      <c r="Z359" s="192"/>
      <c r="AA359" s="197"/>
      <c r="AB359" s="197"/>
      <c r="AC359" s="197"/>
      <c r="AD359" s="197"/>
      <c r="AE359" s="197"/>
      <c r="AF359" s="197"/>
      <c r="AG359" s="197"/>
      <c r="AH359" s="197"/>
      <c r="AI359" s="198"/>
      <c r="AJ359" s="192" t="s">
        <v>109</v>
      </c>
      <c r="AK359" s="192" t="s">
        <v>109</v>
      </c>
      <c r="AL359" s="192" t="s">
        <v>109</v>
      </c>
      <c r="AM359" s="192" t="s">
        <v>109</v>
      </c>
      <c r="AP359" s="194" t="e">
        <f t="shared" si="13"/>
        <v>#VALUE!</v>
      </c>
      <c r="AQ359" s="200"/>
    </row>
    <row r="360" spans="1:43" s="199" customFormat="1" ht="18.75" customHeight="1" x14ac:dyDescent="0.3">
      <c r="A360" s="192">
        <f>Table1[[#This Row],[Project No]]</f>
        <v>2409030</v>
      </c>
      <c r="B360" s="193" t="str">
        <f>VLOOKUP(A:A,Table1[[Project No]:[Additional Remark]],2,FALSE)</f>
        <v>TMG Mall Bandar Indera Mahkota (Handal Green Mobility)</v>
      </c>
      <c r="C360" s="192" t="e" vm="11">
        <f>VLOOKUP(A:A,Table1[[#All],[Project No]:[Additional Remark]],7,FALSE)</f>
        <v>#VALUE!</v>
      </c>
      <c r="D360" s="192" t="str">
        <f>VLOOKUP(A:A,Table1[[#All],[Project No]:[Additional Remark]],4,FALSE)</f>
        <v>Chean Bang</v>
      </c>
      <c r="E360" s="192" t="str">
        <f>VLOOKUP(A:A,Table1[[#All],[Project No]:[Additional Remark]],5,FALSE)</f>
        <v>EV Charger</v>
      </c>
      <c r="F360" s="192">
        <f>VLOOKUP(A:A,Table1[[Project No]:[Additional Remark]],6,FALSE)</f>
        <v>0</v>
      </c>
      <c r="G360" s="192">
        <f>VLOOKUP(A:A,Table1[[Project No]:[Additional Remark]],8,FALSE)</f>
        <v>0</v>
      </c>
      <c r="H360" s="192">
        <f>VLOOKUP(A:A,Table1[[Project No]:[Additional Remark]],15,FALSE)</f>
        <v>0</v>
      </c>
      <c r="I360" s="192">
        <f>VLOOKUP(A:A,Table1[[Project No]:[Additional Remark]],16,FALSE)</f>
        <v>0</v>
      </c>
      <c r="J360" s="194">
        <f>VLOOKUP(A:A,Table1[[Project No]:[Additional Remark]],17,FALSE)</f>
        <v>0</v>
      </c>
      <c r="K360" s="195"/>
      <c r="L360" s="194" t="str">
        <f t="shared" si="12"/>
        <v>Pending Site Installation</v>
      </c>
      <c r="M360" s="194" t="str">
        <f>VLOOKUP(A:A,'Finance Tracker'!A355:K595,8,FALSE)</f>
        <v>Invoice Completed</v>
      </c>
      <c r="N360" s="195"/>
      <c r="O360" s="197" t="s">
        <v>109</v>
      </c>
      <c r="P360" s="197" t="s">
        <v>109</v>
      </c>
      <c r="Q360" s="195"/>
      <c r="R360" s="196" t="s">
        <v>109</v>
      </c>
      <c r="S360" s="196" t="s">
        <v>109</v>
      </c>
      <c r="T360" s="196" t="s">
        <v>109</v>
      </c>
      <c r="U360" s="196" t="s">
        <v>109</v>
      </c>
      <c r="V360" s="196" t="s">
        <v>109</v>
      </c>
      <c r="W360" s="196" t="s">
        <v>109</v>
      </c>
      <c r="X360" s="196" t="s">
        <v>109</v>
      </c>
      <c r="Y360" s="196" t="s">
        <v>109</v>
      </c>
      <c r="Z360" s="192"/>
      <c r="AA360" s="197"/>
      <c r="AB360" s="197"/>
      <c r="AC360" s="197"/>
      <c r="AD360" s="197"/>
      <c r="AE360" s="197"/>
      <c r="AF360" s="197"/>
      <c r="AG360" s="197"/>
      <c r="AH360" s="197"/>
      <c r="AI360" s="198"/>
      <c r="AJ360" s="192" t="s">
        <v>109</v>
      </c>
      <c r="AK360" s="192" t="s">
        <v>109</v>
      </c>
      <c r="AL360" s="192" t="s">
        <v>109</v>
      </c>
      <c r="AM360" s="192" t="s">
        <v>109</v>
      </c>
      <c r="AP360" s="194" t="e">
        <f t="shared" si="13"/>
        <v>#VALUE!</v>
      </c>
      <c r="AQ360" s="200"/>
    </row>
    <row r="361" spans="1:43" s="199" customFormat="1" ht="18.75" customHeight="1" x14ac:dyDescent="0.3">
      <c r="A361" s="192">
        <f>Table1[[#This Row],[Project No]]</f>
        <v>2507059</v>
      </c>
      <c r="B361" s="193" t="str">
        <f>VLOOKUP(A:A,Table1[[Project No]:[Additional Remark]],2,FALSE)</f>
        <v>TMG Mall IM16 (Handal Green Mobility)</v>
      </c>
      <c r="C361" s="192" t="e" vm="11">
        <f>VLOOKUP(A:A,Table1[[#All],[Project No]:[Additional Remark]],7,FALSE)</f>
        <v>#VALUE!</v>
      </c>
      <c r="D361" s="192" t="str">
        <f>VLOOKUP(A:A,Table1[[#All],[Project No]:[Additional Remark]],4,FALSE)</f>
        <v>Chean Bang</v>
      </c>
      <c r="E361" s="192" t="str">
        <f>VLOOKUP(A:A,Table1[[#All],[Project No]:[Additional Remark]],5,FALSE)</f>
        <v>EV Charger</v>
      </c>
      <c r="F361" s="192">
        <f>VLOOKUP(A:A,Table1[[Project No]:[Additional Remark]],6,FALSE)</f>
        <v>0</v>
      </c>
      <c r="G361" s="192">
        <f>VLOOKUP(A:A,Table1[[Project No]:[Additional Remark]],8,FALSE)</f>
        <v>0</v>
      </c>
      <c r="H361" s="192">
        <f>VLOOKUP(A:A,Table1[[Project No]:[Additional Remark]],15,FALSE)</f>
        <v>0</v>
      </c>
      <c r="I361" s="192">
        <f>VLOOKUP(A:A,Table1[[Project No]:[Additional Remark]],16,FALSE)</f>
        <v>0</v>
      </c>
      <c r="J361" s="194">
        <f>VLOOKUP(A:A,Table1[[Project No]:[Additional Remark]],17,FALSE)</f>
        <v>0</v>
      </c>
      <c r="K361" s="195"/>
      <c r="L361" s="194" t="str">
        <f t="shared" si="12"/>
        <v>Pending Site Installation</v>
      </c>
      <c r="M361" s="194" t="str">
        <f>VLOOKUP(A:A,'Finance Tracker'!A356:K596,8,FALSE)</f>
        <v>Invoice Completed</v>
      </c>
      <c r="N361" s="195"/>
      <c r="O361" s="197" t="s">
        <v>109</v>
      </c>
      <c r="P361" s="197" t="s">
        <v>109</v>
      </c>
      <c r="Q361" s="195"/>
      <c r="R361" s="196" t="s">
        <v>109</v>
      </c>
      <c r="S361" s="196" t="s">
        <v>109</v>
      </c>
      <c r="T361" s="196" t="s">
        <v>109</v>
      </c>
      <c r="U361" s="196" t="s">
        <v>109</v>
      </c>
      <c r="V361" s="196" t="s">
        <v>109</v>
      </c>
      <c r="W361" s="196" t="s">
        <v>109</v>
      </c>
      <c r="X361" s="196" t="s">
        <v>109</v>
      </c>
      <c r="Y361" s="196" t="s">
        <v>109</v>
      </c>
      <c r="Z361" s="192"/>
      <c r="AA361" s="197"/>
      <c r="AB361" s="197"/>
      <c r="AC361" s="197"/>
      <c r="AD361" s="197"/>
      <c r="AE361" s="197"/>
      <c r="AF361" s="197"/>
      <c r="AG361" s="197"/>
      <c r="AH361" s="197"/>
      <c r="AI361" s="198"/>
      <c r="AJ361" s="192" t="s">
        <v>109</v>
      </c>
      <c r="AK361" s="192" t="s">
        <v>109</v>
      </c>
      <c r="AL361" s="192" t="s">
        <v>109</v>
      </c>
      <c r="AM361" s="192" t="s">
        <v>109</v>
      </c>
      <c r="AP361" s="194" t="e">
        <f t="shared" si="13"/>
        <v>#VALUE!</v>
      </c>
      <c r="AQ361" s="200"/>
    </row>
    <row r="362" spans="1:43" s="199" customFormat="1" ht="18.75" customHeight="1" x14ac:dyDescent="0.3">
      <c r="A362" s="192">
        <f>Table1[[#This Row],[Project No]]</f>
        <v>2507060</v>
      </c>
      <c r="B362" s="193" t="str">
        <f>VLOOKUP(A:A,Table1[[Project No]:[Additional Remark]],2,FALSE)</f>
        <v>TMG Mall Temerloh (Handal Green Mobility)</v>
      </c>
      <c r="C362" s="192" t="e" vm="11">
        <f>VLOOKUP(A:A,Table1[[#All],[Project No]:[Additional Remark]],7,FALSE)</f>
        <v>#VALUE!</v>
      </c>
      <c r="D362" s="192" t="str">
        <f>VLOOKUP(A:A,Table1[[#All],[Project No]:[Additional Remark]],4,FALSE)</f>
        <v>Chean Bang</v>
      </c>
      <c r="E362" s="192" t="str">
        <f>VLOOKUP(A:A,Table1[[#All],[Project No]:[Additional Remark]],5,FALSE)</f>
        <v>EV Charger</v>
      </c>
      <c r="F362" s="192">
        <f>VLOOKUP(A:A,Table1[[Project No]:[Additional Remark]],6,FALSE)</f>
        <v>0</v>
      </c>
      <c r="G362" s="192">
        <f>VLOOKUP(A:A,Table1[[Project No]:[Additional Remark]],8,FALSE)</f>
        <v>0</v>
      </c>
      <c r="H362" s="192">
        <f>VLOOKUP(A:A,Table1[[Project No]:[Additional Remark]],15,FALSE)</f>
        <v>0</v>
      </c>
      <c r="I362" s="192">
        <f>VLOOKUP(A:A,Table1[[Project No]:[Additional Remark]],16,FALSE)</f>
        <v>0</v>
      </c>
      <c r="J362" s="194">
        <f>VLOOKUP(A:A,Table1[[Project No]:[Additional Remark]],17,FALSE)</f>
        <v>0</v>
      </c>
      <c r="K362" s="195"/>
      <c r="L362" s="194" t="str">
        <f t="shared" si="12"/>
        <v>Pending Site Installation</v>
      </c>
      <c r="M362" s="194" t="str">
        <f>VLOOKUP(A:A,'Finance Tracker'!A357:K597,8,FALSE)</f>
        <v>Invoice Completed</v>
      </c>
      <c r="N362" s="195"/>
      <c r="O362" s="197" t="s">
        <v>109</v>
      </c>
      <c r="P362" s="197" t="s">
        <v>109</v>
      </c>
      <c r="Q362" s="195"/>
      <c r="R362" s="196" t="s">
        <v>109</v>
      </c>
      <c r="S362" s="196" t="s">
        <v>109</v>
      </c>
      <c r="T362" s="196" t="s">
        <v>109</v>
      </c>
      <c r="U362" s="196" t="s">
        <v>109</v>
      </c>
      <c r="V362" s="196" t="s">
        <v>109</v>
      </c>
      <c r="W362" s="196" t="s">
        <v>109</v>
      </c>
      <c r="X362" s="196" t="s">
        <v>109</v>
      </c>
      <c r="Y362" s="196" t="s">
        <v>109</v>
      </c>
      <c r="Z362" s="192"/>
      <c r="AA362" s="197"/>
      <c r="AB362" s="197"/>
      <c r="AC362" s="197"/>
      <c r="AD362" s="197"/>
      <c r="AE362" s="197"/>
      <c r="AF362" s="197"/>
      <c r="AG362" s="197"/>
      <c r="AH362" s="197"/>
      <c r="AI362" s="198"/>
      <c r="AJ362" s="192" t="s">
        <v>109</v>
      </c>
      <c r="AK362" s="192" t="s">
        <v>109</v>
      </c>
      <c r="AL362" s="192" t="s">
        <v>109</v>
      </c>
      <c r="AM362" s="192" t="s">
        <v>109</v>
      </c>
      <c r="AP362" s="194" t="e">
        <f t="shared" si="13"/>
        <v>#VALUE!</v>
      </c>
      <c r="AQ362" s="200"/>
    </row>
    <row r="363" spans="1:43" ht="18.75" customHeight="1" x14ac:dyDescent="0.3">
      <c r="A363" s="4">
        <f>Table1[[#This Row],[Project No]]</f>
        <v>2508858</v>
      </c>
      <c r="B363" s="110" t="str">
        <f>VLOOKUP(A:A,Table1[[Project No]:[Additional Remark]],2,FALSE)</f>
        <v>Chan Weng Leong</v>
      </c>
      <c r="C363" s="4" t="e" vm="5">
        <f>VLOOKUP(A:A,Table1[[#All],[Project No]:[Additional Remark]],7,FALSE)</f>
        <v>#VALUE!</v>
      </c>
      <c r="D363" s="4" t="str">
        <f>VLOOKUP(A:A,Table1[[#All],[Project No]:[Additional Remark]],4,FALSE)</f>
        <v>Patricia</v>
      </c>
      <c r="E363" s="4" t="str">
        <f>VLOOKUP(A:A,Table1[[#All],[Project No]:[Additional Remark]],5,FALSE)</f>
        <v>R-PV</v>
      </c>
      <c r="F363" s="4" t="str">
        <f>VLOOKUP(A:A,Table1[[Project No]:[Additional Remark]],6,FALSE)</f>
        <v>SELCO</v>
      </c>
      <c r="G363" s="4">
        <f>VLOOKUP(A:A,Table1[[Project No]:[Additional Remark]],8,FALSE)</f>
        <v>16.12</v>
      </c>
      <c r="H363" s="4" t="str">
        <f>VLOOKUP(A:A,Table1[[Project No]:[Additional Remark]],15,FALSE)</f>
        <v>Astronergy 620Wp</v>
      </c>
      <c r="I363" s="4">
        <f>VLOOKUP(A:A,Table1[[Project No]:[Additional Remark]],16,FALSE)</f>
        <v>26</v>
      </c>
      <c r="J363" s="1" t="str">
        <f>VLOOKUP(A:A,Table1[[Project No]:[Additional Remark]],17,FALSE)</f>
        <v>Solax 12kW</v>
      </c>
      <c r="K363" s="127"/>
      <c r="L363" s="1" t="str">
        <f t="shared" si="12"/>
        <v>Completed</v>
      </c>
      <c r="M363" s="1" t="str">
        <f>VLOOKUP(A:A,'Finance Tracker'!A358:K598,8,FALSE)</f>
        <v>Invoice Completed</v>
      </c>
      <c r="N363" s="127"/>
      <c r="O363" s="39" t="s">
        <v>109</v>
      </c>
      <c r="P363" s="39" t="s">
        <v>109</v>
      </c>
      <c r="Q363" s="127"/>
      <c r="R363" s="56" t="s">
        <v>109</v>
      </c>
      <c r="S363" s="56" t="s">
        <v>109</v>
      </c>
      <c r="T363" s="56" t="s">
        <v>109</v>
      </c>
      <c r="U363" s="56" t="s">
        <v>109</v>
      </c>
      <c r="V363" s="56" t="s">
        <v>109</v>
      </c>
      <c r="W363" s="56" t="s">
        <v>109</v>
      </c>
      <c r="X363" s="56" t="s">
        <v>109</v>
      </c>
      <c r="Y363" s="56" t="s">
        <v>109</v>
      </c>
      <c r="Z363" s="4" t="s">
        <v>1853</v>
      </c>
      <c r="AA363" s="39" t="s">
        <v>1853</v>
      </c>
      <c r="AB363" s="39" t="s">
        <v>109</v>
      </c>
      <c r="AC363" s="39" t="s">
        <v>109</v>
      </c>
      <c r="AD363" s="39" t="s">
        <v>109</v>
      </c>
      <c r="AE363" s="39" t="s">
        <v>109</v>
      </c>
      <c r="AF363" s="39" t="s">
        <v>109</v>
      </c>
      <c r="AG363" s="39" t="s">
        <v>109</v>
      </c>
      <c r="AH363" s="39" t="s">
        <v>109</v>
      </c>
      <c r="AJ363" s="4" t="s">
        <v>109</v>
      </c>
      <c r="AK363" s="4" t="s">
        <v>109</v>
      </c>
      <c r="AL363" s="4" t="s">
        <v>109</v>
      </c>
      <c r="AM363" s="4" t="s">
        <v>109</v>
      </c>
      <c r="AP363" s="1" t="e">
        <f t="shared" si="13"/>
        <v>#VALUE!</v>
      </c>
    </row>
    <row r="364" spans="1:43" s="199" customFormat="1" ht="18.75" customHeight="1" x14ac:dyDescent="0.3">
      <c r="A364" s="192">
        <f>Table1[[#This Row],[Project No]]</f>
        <v>2507062</v>
      </c>
      <c r="B364" s="193" t="str">
        <f>VLOOKUP(A:A,Table1[[Project No]:[Additional Remark]],2,FALSE)</f>
        <v>Tapah R&amp;R (Southbound) - Green EV Charge Sdn Bhd</v>
      </c>
      <c r="C364" s="192" t="e" vm="4">
        <f>VLOOKUP(A:A,Table1[[#All],[Project No]:[Additional Remark]],7,FALSE)</f>
        <v>#VALUE!</v>
      </c>
      <c r="D364" s="192" t="str">
        <f>VLOOKUP(A:A,Table1[[#All],[Project No]:[Additional Remark]],4,FALSE)</f>
        <v>Simon</v>
      </c>
      <c r="E364" s="192" t="str">
        <f>VLOOKUP(A:A,Table1[[#All],[Project No]:[Additional Remark]],5,FALSE)</f>
        <v>EV Charger</v>
      </c>
      <c r="F364" s="192">
        <f>VLOOKUP(A:A,Table1[[Project No]:[Additional Remark]],6,FALSE)</f>
        <v>0</v>
      </c>
      <c r="G364" s="192">
        <f>VLOOKUP(A:A,Table1[[Project No]:[Additional Remark]],8,FALSE)</f>
        <v>0</v>
      </c>
      <c r="H364" s="192">
        <f>VLOOKUP(A:A,Table1[[Project No]:[Additional Remark]],15,FALSE)</f>
        <v>0</v>
      </c>
      <c r="I364" s="192">
        <f>VLOOKUP(A:A,Table1[[Project No]:[Additional Remark]],16,FALSE)</f>
        <v>0</v>
      </c>
      <c r="J364" s="194">
        <f>VLOOKUP(A:A,Table1[[Project No]:[Additional Remark]],17,FALSE)</f>
        <v>0</v>
      </c>
      <c r="K364" s="195"/>
      <c r="L364" s="194" t="str">
        <f t="shared" si="12"/>
        <v>Pending Site Installation</v>
      </c>
      <c r="M364" s="194" t="str">
        <f>VLOOKUP(A:A,'Finance Tracker'!A359:K599,8,FALSE)</f>
        <v>1st invoice</v>
      </c>
      <c r="N364" s="195"/>
      <c r="O364" s="197" t="s">
        <v>109</v>
      </c>
      <c r="P364" s="197" t="s">
        <v>109</v>
      </c>
      <c r="Q364" s="195"/>
      <c r="R364" s="196" t="s">
        <v>109</v>
      </c>
      <c r="S364" s="196" t="s">
        <v>109</v>
      </c>
      <c r="T364" s="196" t="s">
        <v>109</v>
      </c>
      <c r="U364" s="196" t="s">
        <v>109</v>
      </c>
      <c r="V364" s="196" t="s">
        <v>109</v>
      </c>
      <c r="W364" s="196" t="s">
        <v>109</v>
      </c>
      <c r="X364" s="196" t="s">
        <v>109</v>
      </c>
      <c r="Y364" s="196" t="s">
        <v>109</v>
      </c>
      <c r="Z364" s="192"/>
      <c r="AA364" s="197"/>
      <c r="AB364" s="197"/>
      <c r="AC364" s="197"/>
      <c r="AD364" s="197"/>
      <c r="AE364" s="197"/>
      <c r="AF364" s="197"/>
      <c r="AG364" s="197"/>
      <c r="AH364" s="197"/>
      <c r="AI364" s="198"/>
      <c r="AJ364" s="192" t="s">
        <v>109</v>
      </c>
      <c r="AK364" s="192" t="s">
        <v>109</v>
      </c>
      <c r="AL364" s="192" t="s">
        <v>109</v>
      </c>
      <c r="AM364" s="192" t="s">
        <v>109</v>
      </c>
      <c r="AP364" s="194" t="e">
        <f t="shared" si="13"/>
        <v>#VALUE!</v>
      </c>
      <c r="AQ364" s="200"/>
    </row>
    <row r="365" spans="1:43" s="199" customFormat="1" ht="18.75" customHeight="1" x14ac:dyDescent="0.3">
      <c r="A365" s="192">
        <f>Table1[[#This Row],[Project No]]</f>
        <v>2509863</v>
      </c>
      <c r="B365" s="193" t="str">
        <f>VLOOKUP(A:A,Table1[[Project No]:[Additional Remark]],2,FALSE)</f>
        <v>Goh Soon Teck</v>
      </c>
      <c r="C365" s="192" t="e" vm="11">
        <f>VLOOKUP(A:A,Table1[[#All],[Project No]:[Additional Remark]],7,FALSE)</f>
        <v>#VALUE!</v>
      </c>
      <c r="D365" s="192" t="str">
        <f>VLOOKUP(A:A,Table1[[#All],[Project No]:[Additional Remark]],4,FALSE)</f>
        <v>Patricia</v>
      </c>
      <c r="E365" s="192" t="str">
        <f>VLOOKUP(A:A,Table1[[#All],[Project No]:[Additional Remark]],5,FALSE)</f>
        <v>R-PV</v>
      </c>
      <c r="F365" s="192" t="str">
        <f>VLOOKUP(A:A,Table1[[Project No]:[Additional Remark]],6,FALSE)</f>
        <v>SELCO</v>
      </c>
      <c r="G365" s="192">
        <f>VLOOKUP(A:A,Table1[[Project No]:[Additional Remark]],8,FALSE)</f>
        <v>9.92</v>
      </c>
      <c r="H365" s="192" t="str">
        <f>VLOOKUP(A:A,Table1[[Project No]:[Additional Remark]],15,FALSE)</f>
        <v>Astronergy 620Wp</v>
      </c>
      <c r="I365" s="192">
        <f>VLOOKUP(A:A,Table1[[Project No]:[Additional Remark]],16,FALSE)</f>
        <v>16</v>
      </c>
      <c r="J365" s="194" t="str">
        <f>VLOOKUP(A:A,Table1[[Project No]:[Additional Remark]],17,FALSE)</f>
        <v>Solax 7.5kW</v>
      </c>
      <c r="K365" s="195"/>
      <c r="L365" s="194" t="str">
        <f t="shared" si="12"/>
        <v>Pending Site Installation</v>
      </c>
      <c r="M365" s="194" t="str">
        <f>VLOOKUP(A:A,'Finance Tracker'!A360:K600,8,FALSE)</f>
        <v>1st invoice</v>
      </c>
      <c r="N365" s="195"/>
      <c r="O365" s="197" t="s">
        <v>109</v>
      </c>
      <c r="P365" s="197" t="s">
        <v>109</v>
      </c>
      <c r="Q365" s="195"/>
      <c r="R365" s="196" t="s">
        <v>109</v>
      </c>
      <c r="S365" s="196" t="s">
        <v>109</v>
      </c>
      <c r="T365" s="196" t="s">
        <v>109</v>
      </c>
      <c r="U365" s="196" t="s">
        <v>109</v>
      </c>
      <c r="V365" s="196" t="s">
        <v>109</v>
      </c>
      <c r="W365" s="196" t="s">
        <v>109</v>
      </c>
      <c r="X365" s="196" t="s">
        <v>109</v>
      </c>
      <c r="Y365" s="196" t="s">
        <v>109</v>
      </c>
      <c r="Z365" s="192"/>
      <c r="AA365" s="197"/>
      <c r="AB365" s="194"/>
      <c r="AC365" s="194"/>
      <c r="AD365" s="194"/>
      <c r="AE365" s="197"/>
      <c r="AF365" s="197"/>
      <c r="AG365" s="192"/>
      <c r="AH365" s="192"/>
      <c r="AI365" s="198"/>
      <c r="AJ365" s="192"/>
      <c r="AK365" s="192"/>
      <c r="AL365" s="192"/>
      <c r="AM365" s="192"/>
      <c r="AP365" s="194" t="e">
        <f t="shared" si="13"/>
        <v>#VALUE!</v>
      </c>
      <c r="AQ365" s="200"/>
    </row>
    <row r="366" spans="1:43" s="199" customFormat="1" ht="18.75" customHeight="1" x14ac:dyDescent="0.3">
      <c r="A366" s="192">
        <f>Table1[[#This Row],[Project No]]</f>
        <v>2507840</v>
      </c>
      <c r="B366" s="193" t="str">
        <f>VLOOKUP(A:A,Table1[[Project No]:[Additional Remark]],2,FALSE)</f>
        <v>Chew Kok leong</v>
      </c>
      <c r="C366" s="192" t="e" vm="11">
        <f>VLOOKUP(A:A,Table1[[#All],[Project No]:[Additional Remark]],7,FALSE)</f>
        <v>#VALUE!</v>
      </c>
      <c r="D366" s="192" t="str">
        <f>VLOOKUP(A:A,Table1[[#All],[Project No]:[Additional Remark]],4,FALSE)</f>
        <v>Patricia</v>
      </c>
      <c r="E366" s="192" t="str">
        <f>VLOOKUP(A:A,Table1[[#All],[Project No]:[Additional Remark]],5,FALSE)</f>
        <v>R-PV</v>
      </c>
      <c r="F366" s="192" t="str">
        <f>VLOOKUP(A:A,Table1[[Project No]:[Additional Remark]],6,FALSE)</f>
        <v>SELCO</v>
      </c>
      <c r="G366" s="192">
        <f>VLOOKUP(A:A,Table1[[Project No]:[Additional Remark]],8,FALSE)</f>
        <v>15.5</v>
      </c>
      <c r="H366" s="192" t="str">
        <f>VLOOKUP(A:A,Table1[[Project No]:[Additional Remark]],15,FALSE)</f>
        <v>Astronergy 620Wp</v>
      </c>
      <c r="I366" s="192">
        <f>VLOOKUP(A:A,Table1[[Project No]:[Additional Remark]],16,FALSE)</f>
        <v>25</v>
      </c>
      <c r="J366" s="194" t="str">
        <f>VLOOKUP(A:A,Table1[[Project No]:[Additional Remark]],17,FALSE)</f>
        <v>Solax 12kW</v>
      </c>
      <c r="K366" s="195"/>
      <c r="L366" s="194" t="str">
        <f t="shared" si="12"/>
        <v>Pending Site Installation</v>
      </c>
      <c r="M366" s="194" t="str">
        <f>VLOOKUP(A:A,'Finance Tracker'!A361:K601,8,FALSE)</f>
        <v>1st invoice</v>
      </c>
      <c r="N366" s="195"/>
      <c r="O366" s="197" t="s">
        <v>109</v>
      </c>
      <c r="P366" s="197" t="s">
        <v>109</v>
      </c>
      <c r="Q366" s="195"/>
      <c r="R366" s="196" t="s">
        <v>109</v>
      </c>
      <c r="S366" s="196" t="s">
        <v>109</v>
      </c>
      <c r="T366" s="196" t="s">
        <v>109</v>
      </c>
      <c r="U366" s="196" t="s">
        <v>109</v>
      </c>
      <c r="V366" s="196" t="s">
        <v>109</v>
      </c>
      <c r="W366" s="196" t="s">
        <v>109</v>
      </c>
      <c r="X366" s="196" t="s">
        <v>109</v>
      </c>
      <c r="Y366" s="196" t="s">
        <v>109</v>
      </c>
      <c r="Z366" s="192"/>
      <c r="AA366" s="197"/>
      <c r="AB366" s="194"/>
      <c r="AC366" s="194"/>
      <c r="AD366" s="194"/>
      <c r="AE366" s="197"/>
      <c r="AF366" s="197"/>
      <c r="AG366" s="192"/>
      <c r="AH366" s="192"/>
      <c r="AI366" s="198"/>
      <c r="AJ366" s="192"/>
      <c r="AK366" s="192"/>
      <c r="AL366" s="192"/>
      <c r="AM366" s="192"/>
      <c r="AP366" s="194" t="e">
        <f t="shared" ref="AP366:AP372" si="14">S366-R366</f>
        <v>#VALUE!</v>
      </c>
      <c r="AQ366" s="200"/>
    </row>
    <row r="367" spans="1:43" s="199" customFormat="1" ht="18.75" customHeight="1" x14ac:dyDescent="0.3">
      <c r="A367" s="192">
        <f>Table1[[#This Row],[Project No]]</f>
        <v>2508857</v>
      </c>
      <c r="B367" s="193" t="str">
        <f>VLOOKUP(A:A,Table1[[Project No]:[Additional Remark]],2,FALSE)</f>
        <v>Chong Horng Tat</v>
      </c>
      <c r="C367" s="192" t="e" vm="5">
        <f>VLOOKUP(A:A,Table1[[#All],[Project No]:[Additional Remark]],7,FALSE)</f>
        <v>#VALUE!</v>
      </c>
      <c r="D367" s="192" t="str">
        <f>VLOOKUP(A:A,Table1[[#All],[Project No]:[Additional Remark]],4,FALSE)</f>
        <v>Ong</v>
      </c>
      <c r="E367" s="192" t="str">
        <f>VLOOKUP(A:A,Table1[[#All],[Project No]:[Additional Remark]],5,FALSE)</f>
        <v>R-PV</v>
      </c>
      <c r="F367" s="192" t="str">
        <f>VLOOKUP(A:A,Table1[[Project No]:[Additional Remark]],6,FALSE)</f>
        <v>SELCO</v>
      </c>
      <c r="G367" s="192">
        <f>VLOOKUP(A:A,Table1[[Project No]:[Additional Remark]],8,FALSE)</f>
        <v>8.68</v>
      </c>
      <c r="H367" s="192" t="str">
        <f>VLOOKUP(A:A,Table1[[Project No]:[Additional Remark]],15,FALSE)</f>
        <v>Astronergy 620Wp</v>
      </c>
      <c r="I367" s="192">
        <f>VLOOKUP(A:A,Table1[[Project No]:[Additional Remark]],16,FALSE)</f>
        <v>14</v>
      </c>
      <c r="J367" s="194" t="str">
        <f>VLOOKUP(A:A,Table1[[Project No]:[Additional Remark]],17,FALSE)</f>
        <v>Solax 8kW</v>
      </c>
      <c r="K367" s="195"/>
      <c r="L367" s="194" t="str">
        <f t="shared" si="12"/>
        <v>Pending Site Installation</v>
      </c>
      <c r="M367" s="194" t="str">
        <f>VLOOKUP(A:A,'Finance Tracker'!A362:K602,8,FALSE)</f>
        <v>2nd invoice</v>
      </c>
      <c r="N367" s="195"/>
      <c r="O367" s="197" t="s">
        <v>109</v>
      </c>
      <c r="P367" s="197" t="s">
        <v>109</v>
      </c>
      <c r="Q367" s="195"/>
      <c r="R367" s="196" t="s">
        <v>109</v>
      </c>
      <c r="S367" s="196" t="s">
        <v>109</v>
      </c>
      <c r="T367" s="196" t="s">
        <v>109</v>
      </c>
      <c r="U367" s="196" t="s">
        <v>109</v>
      </c>
      <c r="V367" s="196" t="s">
        <v>109</v>
      </c>
      <c r="W367" s="196" t="s">
        <v>109</v>
      </c>
      <c r="X367" s="196" t="s">
        <v>109</v>
      </c>
      <c r="Y367" s="196" t="s">
        <v>109</v>
      </c>
      <c r="Z367" s="192"/>
      <c r="AA367" s="197"/>
      <c r="AB367" s="194"/>
      <c r="AC367" s="194"/>
      <c r="AD367" s="194"/>
      <c r="AE367" s="197"/>
      <c r="AF367" s="197"/>
      <c r="AG367" s="192"/>
      <c r="AH367" s="192"/>
      <c r="AI367" s="198"/>
      <c r="AJ367" s="192"/>
      <c r="AK367" s="192"/>
      <c r="AL367" s="192"/>
      <c r="AM367" s="192"/>
      <c r="AP367" s="194" t="e">
        <f t="shared" si="14"/>
        <v>#VALUE!</v>
      </c>
      <c r="AQ367" s="200"/>
    </row>
    <row r="368" spans="1:43" s="199" customFormat="1" ht="18.75" customHeight="1" x14ac:dyDescent="0.3">
      <c r="A368" s="192">
        <f>Table1[[#This Row],[Project No]]</f>
        <v>2305008</v>
      </c>
      <c r="B368" s="193" t="str">
        <f>VLOOKUP(A:A,Table1[[Project No]:[Additional Remark]],2,FALSE)</f>
        <v>Yeap Chooi Hock</v>
      </c>
      <c r="C368" s="192" t="e" vm="11">
        <f>VLOOKUP(A:A,Table1[[#All],[Project No]:[Additional Remark]],7,FALSE)</f>
        <v>#VALUE!</v>
      </c>
      <c r="D368" s="192" t="str">
        <f>VLOOKUP(A:A,Table1[[#All],[Project No]:[Additional Remark]],4,FALSE)</f>
        <v>Patricia</v>
      </c>
      <c r="E368" s="192" t="str">
        <f>VLOOKUP(A:A,Table1[[#All],[Project No]:[Additional Remark]],5,FALSE)</f>
        <v>C&amp;I-PV</v>
      </c>
      <c r="F368" s="192" t="str">
        <f>VLOOKUP(A:A,Table1[[Project No]:[Additional Remark]],6,FALSE)</f>
        <v>SELCO</v>
      </c>
      <c r="G368" s="192">
        <f>VLOOKUP(A:A,Table1[[Project No]:[Additional Remark]],8,FALSE)</f>
        <v>17.98</v>
      </c>
      <c r="H368" s="192" t="str">
        <f>VLOOKUP(A:A,Table1[[Project No]:[Additional Remark]],15,FALSE)</f>
        <v>Astronergy 620Wp</v>
      </c>
      <c r="I368" s="192">
        <f>VLOOKUP(A:A,Table1[[Project No]:[Additional Remark]],16,FALSE)</f>
        <v>29</v>
      </c>
      <c r="J368" s="194" t="str">
        <f>VLOOKUP(A:A,Table1[[Project No]:[Additional Remark]],17,FALSE)</f>
        <v>Solax 15kW</v>
      </c>
      <c r="K368" s="195"/>
      <c r="L368" s="194" t="str">
        <f t="shared" si="12"/>
        <v>Pending Site Installation</v>
      </c>
      <c r="M368" s="194" t="str">
        <f>VLOOKUP(A:A,'Finance Tracker'!A363:K603,8,FALSE)</f>
        <v>1st invoice</v>
      </c>
      <c r="N368" s="195"/>
      <c r="O368" s="197" t="s">
        <v>109</v>
      </c>
      <c r="P368" s="197" t="s">
        <v>109</v>
      </c>
      <c r="Q368" s="195"/>
      <c r="R368" s="196" t="s">
        <v>109</v>
      </c>
      <c r="S368" s="196" t="s">
        <v>109</v>
      </c>
      <c r="T368" s="196" t="s">
        <v>109</v>
      </c>
      <c r="U368" s="196" t="s">
        <v>109</v>
      </c>
      <c r="V368" s="196" t="s">
        <v>109</v>
      </c>
      <c r="W368" s="196" t="s">
        <v>109</v>
      </c>
      <c r="X368" s="196" t="s">
        <v>109</v>
      </c>
      <c r="Y368" s="196" t="s">
        <v>109</v>
      </c>
      <c r="Z368" s="192"/>
      <c r="AA368" s="197"/>
      <c r="AB368" s="194"/>
      <c r="AC368" s="194"/>
      <c r="AD368" s="194"/>
      <c r="AE368" s="197"/>
      <c r="AF368" s="197"/>
      <c r="AG368" s="192"/>
      <c r="AH368" s="192"/>
      <c r="AI368" s="198"/>
      <c r="AJ368" s="192"/>
      <c r="AK368" s="192"/>
      <c r="AL368" s="192"/>
      <c r="AM368" s="192"/>
      <c r="AP368" s="194" t="e">
        <f t="shared" si="14"/>
        <v>#VALUE!</v>
      </c>
      <c r="AQ368" s="200"/>
    </row>
    <row r="369" spans="1:43" s="199" customFormat="1" ht="18.75" customHeight="1" x14ac:dyDescent="0.3">
      <c r="A369" s="192">
        <f>Table1[[#This Row],[Project No]]</f>
        <v>2508856</v>
      </c>
      <c r="B369" s="193" t="str">
        <f>VLOOKUP(A:A,Table1[[Project No]:[Additional Remark]],2,FALSE)</f>
        <v>Eddie Leong Kai Sheng</v>
      </c>
      <c r="C369" s="192" t="e" vm="11">
        <f>VLOOKUP(A:A,Table1[[#All],[Project No]:[Additional Remark]],7,FALSE)</f>
        <v>#VALUE!</v>
      </c>
      <c r="D369" s="192" t="str">
        <f>VLOOKUP(A:A,Table1[[#All],[Project No]:[Additional Remark]],4,FALSE)</f>
        <v>Ong</v>
      </c>
      <c r="E369" s="192" t="str">
        <f>VLOOKUP(A:A,Table1[[#All],[Project No]:[Additional Remark]],5,FALSE)</f>
        <v>R-PV</v>
      </c>
      <c r="F369" s="192" t="str">
        <f>VLOOKUP(A:A,Table1[[Project No]:[Additional Remark]],6,FALSE)</f>
        <v>SELCO</v>
      </c>
      <c r="G369" s="192">
        <f>VLOOKUP(A:A,Table1[[Project No]:[Additional Remark]],8,FALSE)</f>
        <v>18.600000000000001</v>
      </c>
      <c r="H369" s="192" t="str">
        <f>VLOOKUP(A:A,Table1[[Project No]:[Additional Remark]],15,FALSE)</f>
        <v>Astronergy 620Wp</v>
      </c>
      <c r="I369" s="192">
        <f>VLOOKUP(A:A,Table1[[Project No]:[Additional Remark]],16,FALSE)</f>
        <v>30</v>
      </c>
      <c r="J369" s="194" t="str">
        <f>VLOOKUP(A:A,Table1[[Project No]:[Additional Remark]],17,FALSE)</f>
        <v>Fox ESS 12kW</v>
      </c>
      <c r="K369" s="195"/>
      <c r="L369" s="194" t="str">
        <f t="shared" si="12"/>
        <v>Pending Site Installation</v>
      </c>
      <c r="M369" s="194" t="str">
        <f>VLOOKUP(A:A,'Finance Tracker'!A364:K604,8,FALSE)</f>
        <v>1st invoice</v>
      </c>
      <c r="N369" s="195"/>
      <c r="O369" s="197" t="s">
        <v>109</v>
      </c>
      <c r="P369" s="197" t="s">
        <v>109</v>
      </c>
      <c r="Q369" s="195"/>
      <c r="R369" s="196" t="s">
        <v>109</v>
      </c>
      <c r="S369" s="196" t="s">
        <v>109</v>
      </c>
      <c r="T369" s="196" t="s">
        <v>109</v>
      </c>
      <c r="U369" s="196" t="s">
        <v>109</v>
      </c>
      <c r="V369" s="196" t="s">
        <v>109</v>
      </c>
      <c r="W369" s="196" t="s">
        <v>109</v>
      </c>
      <c r="X369" s="196" t="s">
        <v>109</v>
      </c>
      <c r="Y369" s="196" t="s">
        <v>109</v>
      </c>
      <c r="Z369" s="192"/>
      <c r="AA369" s="197"/>
      <c r="AB369" s="194"/>
      <c r="AC369" s="194"/>
      <c r="AD369" s="194"/>
      <c r="AE369" s="197"/>
      <c r="AF369" s="197"/>
      <c r="AG369" s="192"/>
      <c r="AH369" s="192"/>
      <c r="AI369" s="198"/>
      <c r="AJ369" s="192"/>
      <c r="AK369" s="192"/>
      <c r="AL369" s="192"/>
      <c r="AM369" s="192"/>
      <c r="AP369" s="194" t="e">
        <f t="shared" si="14"/>
        <v>#VALUE!</v>
      </c>
      <c r="AQ369" s="200"/>
    </row>
    <row r="370" spans="1:43" s="199" customFormat="1" ht="18.75" customHeight="1" x14ac:dyDescent="0.3">
      <c r="A370" s="192">
        <f>Table1[[#This Row],[Project No]]</f>
        <v>2510877</v>
      </c>
      <c r="B370" s="193" t="str">
        <f>VLOOKUP(A:A,Table1[[Project No]:[Additional Remark]],2,FALSE)</f>
        <v>Wang Pay Chen</v>
      </c>
      <c r="C370" s="192" t="e" vm="10">
        <f>VLOOKUP(A:A,Table1[[#All],[Project No]:[Additional Remark]],7,FALSE)</f>
        <v>#VALUE!</v>
      </c>
      <c r="D370" s="192" t="str">
        <f>VLOOKUP(A:A,Table1[[#All],[Project No]:[Additional Remark]],4,FALSE)</f>
        <v>Patricia</v>
      </c>
      <c r="E370" s="192" t="str">
        <f>VLOOKUP(A:A,Table1[[#All],[Project No]:[Additional Remark]],5,FALSE)</f>
        <v>R-PV</v>
      </c>
      <c r="F370" s="192" t="str">
        <f>VLOOKUP(A:A,Table1[[Project No]:[Additional Remark]],6,FALSE)</f>
        <v>SELCO</v>
      </c>
      <c r="G370" s="192">
        <f>VLOOKUP(A:A,Table1[[Project No]:[Additional Remark]],8,FALSE)</f>
        <v>9.92</v>
      </c>
      <c r="H370" s="192" t="str">
        <f>VLOOKUP(A:A,Table1[[Project No]:[Additional Remark]],15,FALSE)</f>
        <v>Astronergy 620Wp</v>
      </c>
      <c r="I370" s="192">
        <f>VLOOKUP(A:A,Table1[[Project No]:[Additional Remark]],16,FALSE)</f>
        <v>16</v>
      </c>
      <c r="J370" s="194" t="str">
        <f>VLOOKUP(A:A,Table1[[Project No]:[Additional Remark]],17,FALSE)</f>
        <v>Solax 8kW</v>
      </c>
      <c r="K370" s="195"/>
      <c r="L370" s="194" t="str">
        <f t="shared" si="12"/>
        <v>Pending Site Installation</v>
      </c>
      <c r="M370" s="194" t="str">
        <f>VLOOKUP(A:A,'Finance Tracker'!A365:K605,8,FALSE)</f>
        <v>1st invoice</v>
      </c>
      <c r="N370" s="195"/>
      <c r="O370" s="197" t="s">
        <v>109</v>
      </c>
      <c r="P370" s="197" t="s">
        <v>109</v>
      </c>
      <c r="Q370" s="195"/>
      <c r="R370" s="196" t="s">
        <v>109</v>
      </c>
      <c r="S370" s="196" t="s">
        <v>109</v>
      </c>
      <c r="T370" s="196" t="s">
        <v>109</v>
      </c>
      <c r="U370" s="196" t="s">
        <v>109</v>
      </c>
      <c r="V370" s="196" t="s">
        <v>109</v>
      </c>
      <c r="W370" s="196" t="s">
        <v>109</v>
      </c>
      <c r="X370" s="196" t="s">
        <v>109</v>
      </c>
      <c r="Y370" s="196" t="s">
        <v>109</v>
      </c>
      <c r="Z370" s="192"/>
      <c r="AA370" s="197"/>
      <c r="AB370" s="194"/>
      <c r="AC370" s="194"/>
      <c r="AD370" s="194"/>
      <c r="AE370" s="197"/>
      <c r="AF370" s="197"/>
      <c r="AG370" s="192"/>
      <c r="AH370" s="192"/>
      <c r="AI370" s="198"/>
      <c r="AJ370" s="192"/>
      <c r="AK370" s="192"/>
      <c r="AL370" s="192"/>
      <c r="AM370" s="192"/>
      <c r="AP370" s="194" t="e">
        <f t="shared" si="14"/>
        <v>#VALUE!</v>
      </c>
      <c r="AQ370" s="200"/>
    </row>
    <row r="371" spans="1:43" s="199" customFormat="1" ht="18.75" customHeight="1" x14ac:dyDescent="0.3">
      <c r="A371" s="192">
        <f>Table1[[#This Row],[Project No]]</f>
        <v>2511887</v>
      </c>
      <c r="B371" s="193" t="str">
        <f>VLOOKUP(A:A,Table1[[Project No]:[Additional Remark]],2,FALSE)</f>
        <v>Lee Hang Meng</v>
      </c>
      <c r="C371" s="192" t="e" vm="11">
        <f>VLOOKUP(A:A,Table1[[#All],[Project No]:[Additional Remark]],7,FALSE)</f>
        <v>#VALUE!</v>
      </c>
      <c r="D371" s="192" t="str">
        <f>VLOOKUP(A:A,Table1[[#All],[Project No]:[Additional Remark]],4,FALSE)</f>
        <v>Patricia</v>
      </c>
      <c r="E371" s="192" t="str">
        <f>VLOOKUP(A:A,Table1[[#All],[Project No]:[Additional Remark]],5,FALSE)</f>
        <v>R-PV</v>
      </c>
      <c r="F371" s="192" t="str">
        <f>VLOOKUP(A:A,Table1[[Project No]:[Additional Remark]],6,FALSE)</f>
        <v>SELCO</v>
      </c>
      <c r="G371" s="192">
        <f>VLOOKUP(A:A,Table1[[Project No]:[Additional Remark]],8,FALSE)</f>
        <v>12.4</v>
      </c>
      <c r="H371" s="192" t="str">
        <f>VLOOKUP(A:A,Table1[[Project No]:[Additional Remark]],15,FALSE)</f>
        <v>Astronergy 620Wp</v>
      </c>
      <c r="I371" s="192">
        <f>VLOOKUP(A:A,Table1[[Project No]:[Additional Remark]],16,FALSE)</f>
        <v>19</v>
      </c>
      <c r="J371" s="194" t="str">
        <f>VLOOKUP(A:A,Table1[[Project No]:[Additional Remark]],17,FALSE)</f>
        <v>Fox ESS 10kW</v>
      </c>
      <c r="K371" s="195"/>
      <c r="L371" s="194" t="str">
        <f t="shared" si="12"/>
        <v>Pending Site Installation</v>
      </c>
      <c r="M371" s="194" t="str">
        <f>VLOOKUP(A:A,'Finance Tracker'!A366:K606,8,FALSE)</f>
        <v>1st invoice</v>
      </c>
      <c r="N371" s="195"/>
      <c r="O371" s="197" t="s">
        <v>109</v>
      </c>
      <c r="P371" s="197" t="s">
        <v>109</v>
      </c>
      <c r="Q371" s="195"/>
      <c r="R371" s="196" t="s">
        <v>109</v>
      </c>
      <c r="S371" s="196" t="s">
        <v>109</v>
      </c>
      <c r="T371" s="196" t="s">
        <v>109</v>
      </c>
      <c r="U371" s="196" t="s">
        <v>109</v>
      </c>
      <c r="V371" s="196" t="s">
        <v>109</v>
      </c>
      <c r="W371" s="196" t="s">
        <v>109</v>
      </c>
      <c r="X371" s="196" t="s">
        <v>109</v>
      </c>
      <c r="Y371" s="196" t="s">
        <v>109</v>
      </c>
      <c r="Z371" s="192"/>
      <c r="AA371" s="197"/>
      <c r="AB371" s="194"/>
      <c r="AC371" s="194"/>
      <c r="AD371" s="194"/>
      <c r="AE371" s="197"/>
      <c r="AF371" s="197"/>
      <c r="AG371" s="192"/>
      <c r="AH371" s="192"/>
      <c r="AI371" s="198"/>
      <c r="AJ371" s="192"/>
      <c r="AK371" s="192"/>
      <c r="AL371" s="192"/>
      <c r="AM371" s="192"/>
      <c r="AP371" s="194" t="e">
        <f t="shared" si="14"/>
        <v>#VALUE!</v>
      </c>
      <c r="AQ371" s="200"/>
    </row>
    <row r="372" spans="1:43" s="199" customFormat="1" ht="18.75" customHeight="1" x14ac:dyDescent="0.3">
      <c r="A372" s="192">
        <f>Table1[[#This Row],[Project No]]</f>
        <v>2305019</v>
      </c>
      <c r="B372" s="193" t="str">
        <f>VLOOKUP(A:A,Table1[[Project No]:[Additional Remark]],2,FALSE)</f>
        <v>Soe Yew Seng</v>
      </c>
      <c r="C372" s="192" t="e" vm="5">
        <f>VLOOKUP(A:A,Table1[[#All],[Project No]:[Additional Remark]],7,FALSE)</f>
        <v>#VALUE!</v>
      </c>
      <c r="D372" s="192" t="str">
        <f>VLOOKUP(A:A,Table1[[#All],[Project No]:[Additional Remark]],4,FALSE)</f>
        <v>Simon</v>
      </c>
      <c r="E372" s="192" t="str">
        <f>VLOOKUP(A:A,Table1[[#All],[Project No]:[Additional Remark]],5,FALSE)</f>
        <v>R-PV</v>
      </c>
      <c r="F372" s="192" t="str">
        <f>VLOOKUP(A:A,Table1[[Project No]:[Additional Remark]],6,FALSE)</f>
        <v>SELCO</v>
      </c>
      <c r="G372" s="192">
        <f>VLOOKUP(A:A,Table1[[Project No]:[Additional Remark]],8,FALSE)</f>
        <v>15.5</v>
      </c>
      <c r="H372" s="192" t="str">
        <f>VLOOKUP(A:A,Table1[[Project No]:[Additional Remark]],15,FALSE)</f>
        <v>Astronergy 620Wp</v>
      </c>
      <c r="I372" s="192">
        <f>VLOOKUP(A:A,Table1[[Project No]:[Additional Remark]],16,FALSE)</f>
        <v>25</v>
      </c>
      <c r="J372" s="194" t="str">
        <f>VLOOKUP(A:A,Table1[[Project No]:[Additional Remark]],17,FALSE)</f>
        <v>Fox ESS 12kW</v>
      </c>
      <c r="K372" s="195"/>
      <c r="L372" s="194" t="str">
        <f t="shared" si="12"/>
        <v>Pending Site Installation</v>
      </c>
      <c r="M372" s="194" t="str">
        <f>VLOOKUP(A:A,'Finance Tracker'!A367:K607,8,FALSE)</f>
        <v>1st invoice</v>
      </c>
      <c r="N372" s="195"/>
      <c r="O372" s="197" t="s">
        <v>109</v>
      </c>
      <c r="P372" s="197" t="s">
        <v>109</v>
      </c>
      <c r="Q372" s="195"/>
      <c r="R372" s="196" t="s">
        <v>109</v>
      </c>
      <c r="S372" s="196" t="s">
        <v>109</v>
      </c>
      <c r="T372" s="196" t="s">
        <v>109</v>
      </c>
      <c r="U372" s="196" t="s">
        <v>109</v>
      </c>
      <c r="V372" s="196" t="s">
        <v>109</v>
      </c>
      <c r="W372" s="196" t="s">
        <v>109</v>
      </c>
      <c r="X372" s="196" t="s">
        <v>109</v>
      </c>
      <c r="Y372" s="196" t="s">
        <v>109</v>
      </c>
      <c r="Z372" s="192"/>
      <c r="AA372" s="197"/>
      <c r="AB372" s="194"/>
      <c r="AC372" s="194"/>
      <c r="AD372" s="194"/>
      <c r="AE372" s="197"/>
      <c r="AF372" s="197"/>
      <c r="AG372" s="192"/>
      <c r="AH372" s="192"/>
      <c r="AI372" s="198"/>
      <c r="AJ372" s="192"/>
      <c r="AK372" s="192"/>
      <c r="AL372" s="192"/>
      <c r="AM372" s="192"/>
      <c r="AP372" s="194" t="e">
        <f t="shared" si="14"/>
        <v>#VALUE!</v>
      </c>
      <c r="AQ372" s="200"/>
    </row>
  </sheetData>
  <autoFilter ref="A4:AK372" xr:uid="{A7C42E5D-A908-452D-94CE-8187A50EF3AE}"/>
  <mergeCells count="3">
    <mergeCell ref="R3:U3"/>
    <mergeCell ref="AB3:AH3"/>
    <mergeCell ref="O3:P3"/>
  </mergeCells>
  <conditionalFormatting sqref="R247:Y261 AP5:AP372 O5:P372 R262:AH372 AJ5:AM372 R5:AH246">
    <cfRule type="containsText" dxfId="4" priority="2" operator="containsText" text="N/A">
      <formula>NOT(ISERROR(SEARCH("N/A",O5)))</formula>
    </cfRule>
  </conditionalFormatting>
  <conditionalFormatting sqref="Z247:AH261">
    <cfRule type="containsText" dxfId="3" priority="1" operator="containsText" text="N/A">
      <formula>NOT(ISERROR(SEARCH("N/A",Z247)))</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11A1309-CF2A-4DC8-A411-8B573983E124}">
          <x14:formula1>
            <xm:f>Data!$A$27:$A$38</xm:f>
          </x14:formula1>
          <xm:sqref>T5:T6 T14:T25 T8:T12 T27 T30:T31 T34:T58 T60:T90 T92:T134 T136:T168 T171:T189 T191:T197 T199:T206 T253:T282 T284:T318 T320:T339 T341:T356 T208:T251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F05B-ECD8-4840-8969-0E9FC6373438}">
  <dimension ref="B2:O188"/>
  <sheetViews>
    <sheetView workbookViewId="0">
      <selection activeCell="G3" sqref="G3"/>
    </sheetView>
  </sheetViews>
  <sheetFormatPr defaultRowHeight="14.4" x14ac:dyDescent="0.3"/>
  <cols>
    <col min="2" max="2" width="14.88671875" customWidth="1"/>
    <col min="3" max="3" width="21.109375" customWidth="1"/>
    <col min="4" max="4" width="18.109375" customWidth="1"/>
    <col min="5" max="5" width="18.88671875" customWidth="1"/>
    <col min="8" max="8" width="19.44140625" customWidth="1"/>
    <col min="9" max="9" width="16.6640625" customWidth="1"/>
    <col min="10" max="10" width="16.88671875" customWidth="1"/>
    <col min="11" max="11" width="29.33203125" customWidth="1"/>
    <col min="13" max="13" width="33.109375" customWidth="1"/>
  </cols>
  <sheetData>
    <row r="2" spans="2:15" ht="15" thickBot="1" x14ac:dyDescent="0.35"/>
    <row r="3" spans="2:15" ht="42" thickBot="1" x14ac:dyDescent="0.35">
      <c r="B3" s="258" t="s">
        <v>2228</v>
      </c>
      <c r="C3" s="258" t="s">
        <v>2229</v>
      </c>
      <c r="D3" s="258" t="s">
        <v>2230</v>
      </c>
      <c r="E3" s="258" t="s">
        <v>2231</v>
      </c>
    </row>
    <row r="4" spans="2:15" ht="42" thickBot="1" x14ac:dyDescent="0.35">
      <c r="B4" s="258" t="s">
        <v>2232</v>
      </c>
      <c r="C4" s="259">
        <f>(COUNTA('ECN Master Project Tracker new'!A:A)-1) - (C2 + D2)</f>
        <v>368</v>
      </c>
      <c r="D4" s="259" cm="1">
        <f t="array" ref="D4">SUMPRODUCT(--('ECN Master Project Tracker new'!U:U=""), --(('ECN Master Project Tracker new'!R:R&lt;&gt;"") + ISNUMBER(SEARCH("NEM", 'ECN Master Project Tracker new'!L:L)) + ISNUMBER(SEARCH("Quota", 'ECN Master Project Tracker new'!L:L)) &gt; 0))</f>
        <v>105</v>
      </c>
      <c r="E4" s="259">
        <f>COUNTIFS('ECN Master Project Tracker new'!U:U, "&lt;&gt;", 'ECN Master Project Tracker new'!U:U, "&lt;&gt;N/A") - 1</f>
        <v>229</v>
      </c>
    </row>
    <row r="5" spans="2:15" ht="15" thickBot="1" x14ac:dyDescent="0.35">
      <c r="B5" s="258" t="s">
        <v>2233</v>
      </c>
      <c r="C5" s="259">
        <f>COUNTIF('ECN Master Project Tracker new'!L:L, "*Pending ST License Application*")</f>
        <v>3</v>
      </c>
      <c r="D5" s="259" t="e">
        <f>COUNTIFS('ECN Master Project Tracker new'!AJ:AJ, "&lt;&gt;", 'ECN Master Project Tracker new'!AJ:AJ, "&lt;&gt;N/A") - D3 - 1</f>
        <v>#VALUE!</v>
      </c>
      <c r="E5" s="259">
        <f>COUNTIFS('ECN Master Project Tracker new'!AK:AK, "&lt;&gt;", 'ECN Master Project Tracker new'!AK:AK, "&lt;&gt;N/A") - 1</f>
        <v>2</v>
      </c>
    </row>
    <row r="6" spans="2:15" ht="42" thickBot="1" x14ac:dyDescent="0.35">
      <c r="B6" s="258" t="s">
        <v>2234</v>
      </c>
      <c r="C6" s="259">
        <f>(COUNTA('ECN Master Project Tracker new'!A:A)-1) - (C4 + D4)</f>
        <v>-105</v>
      </c>
      <c r="D6" s="259" cm="1">
        <f t="array" ref="D6">SUMPRODUCT(--('ECN Master Project Tracker new'!AB:AB=""), --(('ECN Master Project Tracker new'!AA:AA&lt;&gt;"") + ISNUMBER(SEARCH("Pending Meter Change", 'ECN Master Project Tracker new'!L:L)) &gt; 0))</f>
        <v>2</v>
      </c>
      <c r="E6" s="259">
        <f>COUNTIFS('ECN Master Project Tracker new'!AB:AB, "&lt;&gt;", 'ECN Master Project Tracker new'!AB:AB, "&lt;&gt;N/A") - 1</f>
        <v>303</v>
      </c>
    </row>
    <row r="7" spans="2:15" ht="28.2" thickBot="1" x14ac:dyDescent="0.35">
      <c r="B7" s="258" t="s">
        <v>2235</v>
      </c>
      <c r="C7" s="259">
        <f>COUNTIF('ECN Master Project Tracker new'!L:L, "*Pending GITA Application*")</f>
        <v>13</v>
      </c>
      <c r="D7" s="259" t="e">
        <f>COUNTIFS('ECN Master Project Tracker new'!AL:AL, "&lt;&gt;", 'ECN Master Project Tracker new'!AL:AL, "&lt;&gt;N/A") - D5 - 1</f>
        <v>#VALUE!</v>
      </c>
      <c r="E7" s="259">
        <f>COUNTIFS('ECN Master Project Tracker new'!AM:AM, "&lt;&gt;", 'ECN Master Project Tracker new'!AM:AM, "&lt;&gt;N/A") - 1</f>
        <v>2</v>
      </c>
    </row>
    <row r="11" spans="2:15" x14ac:dyDescent="0.3">
      <c r="B11" s="260" t="str" cm="1">
        <f t="array" ref="B11:M188">_xlfn._xlws.FILTER('ECN Master Project Tracker new'!A:L, ('ECN Master Project Tracker new'!L:L &lt;&gt; "Completed") * ('ECN Master Project Tracker new'!L:L &lt;&gt; ""), "Tiada Data")</f>
        <v>Project No</v>
      </c>
      <c r="C11" s="260" t="str">
        <v>Client Name</v>
      </c>
      <c r="D11" s="260" t="str">
        <v>Location</v>
      </c>
      <c r="E11" s="260" t="str">
        <v>Sales PIC</v>
      </c>
      <c r="F11" s="260" t="str">
        <v>Category</v>
      </c>
      <c r="G11" s="260" t="str">
        <v>Scheme</v>
      </c>
      <c r="H11" s="260" t="str">
        <v>System Capacity</v>
      </c>
      <c r="I11" s="260" t="str">
        <v>Module</v>
      </c>
      <c r="J11" s="260" t="str">
        <v>Module Quantity</v>
      </c>
      <c r="K11" s="260" t="str">
        <v>Inverter</v>
      </c>
      <c r="L11" s="260">
        <v>0</v>
      </c>
      <c r="M11" s="260" t="str">
        <v>Project Status</v>
      </c>
      <c r="N11" s="260"/>
      <c r="O11" s="260"/>
    </row>
    <row r="12" spans="2:15" s="269" customFormat="1" x14ac:dyDescent="0.3">
      <c r="B12" s="268">
        <v>2310076</v>
      </c>
      <c r="C12" s="268" t="str">
        <v>Loo Thiam Seng</v>
      </c>
      <c r="D12" s="268" t="e" vm="18">
        <v>#VALUE!</v>
      </c>
      <c r="E12" s="268" t="str">
        <v>Tham</v>
      </c>
      <c r="F12" s="268" t="str">
        <v>R-PV</v>
      </c>
      <c r="G12" s="268" t="str">
        <v>NEM</v>
      </c>
      <c r="H12" s="268">
        <v>8.26</v>
      </c>
      <c r="I12" s="268" t="str">
        <v>Astronergy 590Wp</v>
      </c>
      <c r="J12" s="268">
        <v>14</v>
      </c>
      <c r="K12" s="268" t="str">
        <v>Huawei SUN2000-6KTL</v>
      </c>
      <c r="L12" s="268">
        <v>0</v>
      </c>
      <c r="M12" s="268" t="str">
        <v>Pending NEM Welcome Letter</v>
      </c>
      <c r="N12" s="268"/>
      <c r="O12" s="268"/>
    </row>
    <row r="13" spans="2:15" s="269" customFormat="1" x14ac:dyDescent="0.3">
      <c r="B13" s="268">
        <v>2312113</v>
      </c>
      <c r="C13" s="268" t="str">
        <v>Razman Bin Samsudin</v>
      </c>
      <c r="D13" s="268" t="e" vm="15">
        <v>#VALUE!</v>
      </c>
      <c r="E13" s="268" t="str">
        <v>Simon</v>
      </c>
      <c r="F13" s="268" t="str">
        <v>R-PV</v>
      </c>
      <c r="G13" s="268" t="str">
        <v>NEM</v>
      </c>
      <c r="H13" s="268">
        <v>13.8</v>
      </c>
      <c r="I13" s="268" t="str">
        <v>Astronergy 575Wp</v>
      </c>
      <c r="J13" s="268">
        <v>24.000000000000004</v>
      </c>
      <c r="K13" s="268" t="str">
        <v>Huawei SUN2000-12KTL</v>
      </c>
      <c r="L13" s="268">
        <v>0</v>
      </c>
      <c r="M13" s="268" t="str">
        <v>Pending NEM Welcome Letter</v>
      </c>
      <c r="N13" s="268"/>
      <c r="O13" s="268"/>
    </row>
    <row r="14" spans="2:15" s="262" customFormat="1" x14ac:dyDescent="0.3">
      <c r="B14" s="261">
        <v>2401063</v>
      </c>
      <c r="C14" s="261" t="str">
        <v>Weller Air-Cond Parts Enterprise Sdn Bhd</v>
      </c>
      <c r="D14" s="261" t="e" vm="15">
        <v>#VALUE!</v>
      </c>
      <c r="E14" s="261" t="str">
        <v>Tham</v>
      </c>
      <c r="F14" s="261" t="str">
        <v>C&amp;I-PV</v>
      </c>
      <c r="G14" s="261" t="str">
        <v>NEM</v>
      </c>
      <c r="H14" s="261">
        <v>26.91</v>
      </c>
      <c r="I14" s="261" t="str">
        <v>Astronergy 585Wp</v>
      </c>
      <c r="J14" s="261">
        <v>46</v>
      </c>
      <c r="K14" s="261" t="str">
        <v>Huawei SUN2000-20KTL</v>
      </c>
      <c r="L14" s="261">
        <v>0</v>
      </c>
      <c r="M14" s="261" t="str">
        <v>Pending GITA Application</v>
      </c>
      <c r="N14" s="261"/>
      <c r="O14" s="261"/>
    </row>
    <row r="15" spans="2:15" s="262" customFormat="1" x14ac:dyDescent="0.3">
      <c r="B15" s="261">
        <v>2402079</v>
      </c>
      <c r="C15" s="261" t="str">
        <v>Intergreen Holdings Sdn Bhd</v>
      </c>
      <c r="D15" s="261" t="e" vm="15">
        <v>#VALUE!</v>
      </c>
      <c r="E15" s="261" t="str">
        <v>Tham</v>
      </c>
      <c r="F15" s="261" t="str">
        <v>C&amp;I-PV</v>
      </c>
      <c r="G15" s="261" t="str">
        <v>NEM</v>
      </c>
      <c r="H15" s="261">
        <v>46.8</v>
      </c>
      <c r="I15" s="261" t="str">
        <v>Astronergy 585Wp</v>
      </c>
      <c r="J15" s="261">
        <v>80</v>
      </c>
      <c r="K15" s="261" t="str">
        <v>Huawei SUN2000-12KTL-M5 x 2
Huawei SUN2000-12KTL-MB0 x 1</v>
      </c>
      <c r="L15" s="261">
        <v>0</v>
      </c>
      <c r="M15" s="261" t="str">
        <v>Pending GITA Application</v>
      </c>
      <c r="N15" s="261"/>
      <c r="O15" s="261"/>
    </row>
    <row r="16" spans="2:15" s="262" customFormat="1" x14ac:dyDescent="0.3">
      <c r="B16" s="261">
        <v>2402080</v>
      </c>
      <c r="C16" s="261" t="str">
        <v>CK Fresh Sdn Bhd</v>
      </c>
      <c r="D16" s="261" t="e" vm="17">
        <v>#VALUE!</v>
      </c>
      <c r="E16" s="261" t="str">
        <v>Tham</v>
      </c>
      <c r="F16" s="261" t="str">
        <v>C&amp;I-PV</v>
      </c>
      <c r="G16" s="261" t="str">
        <v>SELCO</v>
      </c>
      <c r="H16" s="261">
        <v>43.29</v>
      </c>
      <c r="I16" s="261" t="str">
        <v>Astronergy 585Wp</v>
      </c>
      <c r="J16" s="261">
        <v>74</v>
      </c>
      <c r="K16" s="261" t="str">
        <v>Huawei SUN2000-30KTL</v>
      </c>
      <c r="L16" s="261">
        <v>0</v>
      </c>
      <c r="M16" s="261" t="str">
        <v>Pending GITA Application</v>
      </c>
      <c r="N16" s="261"/>
      <c r="O16" s="261"/>
    </row>
    <row r="17" spans="2:15" s="269" customFormat="1" x14ac:dyDescent="0.3">
      <c r="B17" s="268">
        <v>2404211</v>
      </c>
      <c r="C17" s="268" t="str">
        <v>Nor Fadillah</v>
      </c>
      <c r="D17" s="268" t="e" vm="23">
        <v>#VALUE!</v>
      </c>
      <c r="E17" s="268" t="str">
        <v>Tham</v>
      </c>
      <c r="F17" s="268" t="str">
        <v>R-PV</v>
      </c>
      <c r="G17" s="268" t="str">
        <v>NEM</v>
      </c>
      <c r="H17" s="268">
        <v>17.55</v>
      </c>
      <c r="I17" s="268" t="str">
        <v>Astronergy 585Wp</v>
      </c>
      <c r="J17" s="268">
        <v>30.000000000000004</v>
      </c>
      <c r="K17" s="268" t="str">
        <v>Huawei SUN2000-12KTL</v>
      </c>
      <c r="L17" s="268">
        <v>0</v>
      </c>
      <c r="M17" s="268" t="str">
        <v>Pending NEM Welcome Letter</v>
      </c>
      <c r="N17" s="268"/>
      <c r="O17" s="268"/>
    </row>
    <row r="18" spans="2:15" s="262" customFormat="1" x14ac:dyDescent="0.3">
      <c r="B18" s="261">
        <v>2404111</v>
      </c>
      <c r="C18" s="261" t="str">
        <v>Budi Jelas Sdn Bhd</v>
      </c>
      <c r="D18" s="261" t="e" vm="16">
        <v>#VALUE!</v>
      </c>
      <c r="E18" s="261" t="str">
        <v>Tham</v>
      </c>
      <c r="F18" s="261" t="str">
        <v>C&amp;I-PV</v>
      </c>
      <c r="G18" s="261" t="str">
        <v>NEM</v>
      </c>
      <c r="H18" s="261">
        <v>26.91</v>
      </c>
      <c r="I18" s="261" t="str">
        <v>Astronergy 585Wp</v>
      </c>
      <c r="J18" s="261">
        <v>46</v>
      </c>
      <c r="K18" s="261" t="str">
        <v>Huawei SUN2000-20KTL</v>
      </c>
      <c r="L18" s="261">
        <v>0</v>
      </c>
      <c r="M18" s="261" t="str">
        <v>Pending GITA Application</v>
      </c>
      <c r="N18" s="261"/>
      <c r="O18" s="261"/>
    </row>
    <row r="19" spans="2:15" s="271" customFormat="1" x14ac:dyDescent="0.3">
      <c r="B19" s="270">
        <v>2403102</v>
      </c>
      <c r="C19" s="270" t="str">
        <v>Sleep Matics (Asia) Sdn Bhd</v>
      </c>
      <c r="D19" s="270" t="e" vm="15">
        <v>#VALUE!</v>
      </c>
      <c r="E19" s="270" t="str">
        <v>Tham</v>
      </c>
      <c r="F19" s="270" t="str">
        <v>C&amp;I-PV</v>
      </c>
      <c r="G19" s="270" t="str">
        <v>NEM</v>
      </c>
      <c r="H19" s="270">
        <v>374.4</v>
      </c>
      <c r="I19" s="270" t="str">
        <v>Astronergy 585Wp</v>
      </c>
      <c r="J19" s="270">
        <v>640</v>
      </c>
      <c r="K19" s="270" t="str">
        <v>Huawei SUN2000-115KTL x 2
Huawei SUN2000-50KTL x 1</v>
      </c>
      <c r="L19" s="270">
        <v>0</v>
      </c>
      <c r="M19" s="270" t="str">
        <v>Pending ST License Application</v>
      </c>
      <c r="N19" s="270"/>
      <c r="O19" s="270"/>
    </row>
    <row r="20" spans="2:15" s="262" customFormat="1" x14ac:dyDescent="0.3">
      <c r="B20" s="261">
        <v>2312059</v>
      </c>
      <c r="C20" s="261" t="str">
        <v>CHL Foam Industries Sdn Bhd</v>
      </c>
      <c r="D20" s="261" t="e" vm="15">
        <v>#VALUE!</v>
      </c>
      <c r="E20" s="261" t="str">
        <v>Tham</v>
      </c>
      <c r="F20" s="261" t="str">
        <v>C&amp;I-PV</v>
      </c>
      <c r="G20" s="261" t="str">
        <v>NEM</v>
      </c>
      <c r="H20" s="261">
        <v>345.15</v>
      </c>
      <c r="I20" s="261" t="str">
        <v>Astronergy 585Wp</v>
      </c>
      <c r="J20" s="261">
        <v>590</v>
      </c>
      <c r="K20" s="261" t="str">
        <v>Huawei SUN2000-115KTL x 2
Huawei SUN2000-30KTL x 1</v>
      </c>
      <c r="L20" s="261">
        <v>0</v>
      </c>
      <c r="M20" s="261" t="str">
        <v>Pending GITA Application</v>
      </c>
      <c r="N20" s="261"/>
      <c r="O20" s="261"/>
    </row>
    <row r="21" spans="2:15" s="262" customFormat="1" x14ac:dyDescent="0.3">
      <c r="B21" s="261">
        <v>2310035</v>
      </c>
      <c r="C21" s="261" t="str">
        <v>Advantic Nutraceuticals</v>
      </c>
      <c r="D21" s="261" t="e" vm="5">
        <v>#VALUE!</v>
      </c>
      <c r="E21" s="261" t="str">
        <v>Tham</v>
      </c>
      <c r="F21" s="261" t="str">
        <v>C&amp;I-PV</v>
      </c>
      <c r="G21" s="261" t="str">
        <v>NEM</v>
      </c>
      <c r="H21" s="261">
        <v>87.84</v>
      </c>
      <c r="I21" s="261" t="str">
        <v>Astronergy 610Wp</v>
      </c>
      <c r="J21" s="261">
        <v>144</v>
      </c>
      <c r="K21" s="261" t="str">
        <v xml:space="preserve">Huawei SUN2000-30KTL + Huawei SUN2000-36KTL </v>
      </c>
      <c r="L21" s="261">
        <v>0</v>
      </c>
      <c r="M21" s="261" t="str">
        <v>Pending GITA Application</v>
      </c>
      <c r="N21" s="261"/>
      <c r="O21" s="261"/>
    </row>
    <row r="22" spans="2:15" s="262" customFormat="1" x14ac:dyDescent="0.3">
      <c r="B22" s="261">
        <v>2403088</v>
      </c>
      <c r="C22" s="261" t="str">
        <v>Chua Tong Hin Hardware Sdn Bhd</v>
      </c>
      <c r="D22" s="261" t="e" vm="5">
        <v>#VALUE!</v>
      </c>
      <c r="E22" s="261" t="str">
        <v>Tham</v>
      </c>
      <c r="F22" s="261" t="str">
        <v>C&amp;I-PV</v>
      </c>
      <c r="G22" s="261" t="str">
        <v>NEM</v>
      </c>
      <c r="H22" s="261">
        <v>37.44</v>
      </c>
      <c r="I22" s="261" t="str">
        <v>Astronergy 585Wp</v>
      </c>
      <c r="J22" s="261">
        <v>64</v>
      </c>
      <c r="K22" s="261" t="str">
        <v>Huawei SUN2000-30KTL</v>
      </c>
      <c r="L22" s="261">
        <v>0</v>
      </c>
      <c r="M22" s="261" t="str">
        <v>Pending GITA Application</v>
      </c>
      <c r="N22" s="261"/>
      <c r="O22" s="261"/>
    </row>
    <row r="23" spans="2:15" s="269" customFormat="1" x14ac:dyDescent="0.3">
      <c r="B23" s="268">
        <v>2409445</v>
      </c>
      <c r="C23" s="268" t="str">
        <v>Phang Kar Teck</v>
      </c>
      <c r="D23" s="268" t="e" vm="11">
        <v>#VALUE!</v>
      </c>
      <c r="E23" s="268" t="str">
        <v>Patricia</v>
      </c>
      <c r="F23" s="268" t="str">
        <v>R-PV</v>
      </c>
      <c r="G23" s="268" t="str">
        <v>NEM</v>
      </c>
      <c r="H23" s="268">
        <v>7.02</v>
      </c>
      <c r="I23" s="268" t="str">
        <v>Astronergy 585Wp</v>
      </c>
      <c r="J23" s="268">
        <v>12</v>
      </c>
      <c r="K23" s="268" t="str">
        <v>Huawei SUN2000-5KTL-L1</v>
      </c>
      <c r="L23" s="268">
        <v>0</v>
      </c>
      <c r="M23" s="268" t="str">
        <v>Pending NEM Welcome Letter</v>
      </c>
      <c r="N23" s="268"/>
      <c r="O23" s="268"/>
    </row>
    <row r="24" spans="2:15" s="269" customFormat="1" x14ac:dyDescent="0.3">
      <c r="B24" s="268">
        <v>2409442</v>
      </c>
      <c r="C24" s="268" t="str">
        <v>Lee Chiou Horng</v>
      </c>
      <c r="D24" s="268" t="e" vm="12">
        <v>#VALUE!</v>
      </c>
      <c r="E24" s="268" t="str">
        <v>Tham</v>
      </c>
      <c r="F24" s="268" t="str">
        <v>R-PV</v>
      </c>
      <c r="G24" s="268" t="str">
        <v>NEM</v>
      </c>
      <c r="H24" s="268">
        <v>9.44</v>
      </c>
      <c r="I24" s="268" t="str">
        <v>Astronergy 590Wp</v>
      </c>
      <c r="J24" s="268">
        <v>16</v>
      </c>
      <c r="K24" s="268" t="str">
        <v>Huawei SUN2000-8KTL</v>
      </c>
      <c r="L24" s="268">
        <v>0</v>
      </c>
      <c r="M24" s="268" t="str">
        <v>Pending NEM Welcome Letter</v>
      </c>
      <c r="N24" s="268"/>
      <c r="O24" s="268"/>
    </row>
    <row r="25" spans="2:15" s="225" customFormat="1" x14ac:dyDescent="0.3">
      <c r="B25" s="263">
        <v>2408417</v>
      </c>
      <c r="C25" s="263" t="str">
        <v>Mohmad Nazeri bin Abdul Wahab</v>
      </c>
      <c r="D25" s="263" t="e" vm="5">
        <v>#VALUE!</v>
      </c>
      <c r="E25" s="263" t="str">
        <v>Tham</v>
      </c>
      <c r="F25" s="263" t="str">
        <v>R-PV</v>
      </c>
      <c r="G25" s="263" t="str">
        <v>NEM</v>
      </c>
      <c r="H25" s="263">
        <v>17.55</v>
      </c>
      <c r="I25" s="263" t="str">
        <v>Astronergy 590Wp</v>
      </c>
      <c r="J25" s="263">
        <v>30</v>
      </c>
      <c r="K25" s="263" t="str">
        <v>Huawei SUN2000-12KTL</v>
      </c>
      <c r="L25" s="263">
        <v>0</v>
      </c>
      <c r="M25" s="263" t="str">
        <v>Pending Meter Change</v>
      </c>
      <c r="N25" s="263"/>
      <c r="O25" s="263"/>
    </row>
    <row r="26" spans="2:15" s="269" customFormat="1" x14ac:dyDescent="0.3">
      <c r="B26" s="268">
        <v>2308064</v>
      </c>
      <c r="C26" s="268" t="str">
        <v>Low Yin Jun</v>
      </c>
      <c r="D26" s="268" t="e" vm="15">
        <v>#VALUE!</v>
      </c>
      <c r="E26" s="268" t="str">
        <v>Simon</v>
      </c>
      <c r="F26" s="268" t="str">
        <v>R-PV</v>
      </c>
      <c r="G26" s="268" t="str">
        <v>NEM</v>
      </c>
      <c r="H26" s="268">
        <v>11.7</v>
      </c>
      <c r="I26" s="268" t="str">
        <v>Astronergy 585Wp</v>
      </c>
      <c r="J26" s="268">
        <v>20</v>
      </c>
      <c r="K26" s="268" t="str">
        <v>Solinteg MHT-10K-25 hybrid</v>
      </c>
      <c r="L26" s="268">
        <v>0</v>
      </c>
      <c r="M26" s="268" t="str">
        <v>Pending NEM Welcome Letter</v>
      </c>
      <c r="N26" s="268"/>
      <c r="O26" s="268"/>
    </row>
    <row r="27" spans="2:15" s="275" customFormat="1" x14ac:dyDescent="0.3">
      <c r="B27" s="274">
        <v>2404249</v>
      </c>
      <c r="C27" s="274" t="str">
        <v>Tan Kheng Guan</v>
      </c>
      <c r="D27" s="274" t="e" vm="10">
        <v>#VALUE!</v>
      </c>
      <c r="E27" s="274" t="str">
        <v>Tham</v>
      </c>
      <c r="F27" s="274" t="str">
        <v>R-PV</v>
      </c>
      <c r="G27" s="274" t="str">
        <v>NEM</v>
      </c>
      <c r="H27" s="274">
        <v>17.55</v>
      </c>
      <c r="I27" s="274" t="str">
        <v>Astronergy 585Wp</v>
      </c>
      <c r="J27" s="274">
        <v>30</v>
      </c>
      <c r="K27" s="274" t="str">
        <v>Huawei SUN2000-12KTL</v>
      </c>
      <c r="L27" s="274">
        <v>0</v>
      </c>
      <c r="M27" s="274" t="str">
        <v>Pending Site Installation</v>
      </c>
      <c r="N27" s="274"/>
      <c r="O27" s="274"/>
    </row>
    <row r="28" spans="2:15" s="269" customFormat="1" x14ac:dyDescent="0.3">
      <c r="B28" s="268">
        <v>2405284</v>
      </c>
      <c r="C28" s="268" t="str">
        <v>Amirul Hakim bin Omar</v>
      </c>
      <c r="D28" s="268" t="e" vm="5">
        <v>#VALUE!</v>
      </c>
      <c r="E28" s="268" t="str">
        <v>Tham</v>
      </c>
      <c r="F28" s="268" t="str">
        <v>R-PV</v>
      </c>
      <c r="G28" s="268" t="str">
        <v>NEM</v>
      </c>
      <c r="H28" s="268">
        <v>7.02</v>
      </c>
      <c r="I28" s="268" t="str">
        <v>Astronergy 585Wp</v>
      </c>
      <c r="J28" s="268">
        <v>12</v>
      </c>
      <c r="K28" s="268" t="str">
        <v>Huawei SUN2000-5KTL-L1</v>
      </c>
      <c r="L28" s="268">
        <v>0</v>
      </c>
      <c r="M28" s="268" t="str">
        <v>Pending NEM Welcome Letter</v>
      </c>
      <c r="N28" s="268"/>
      <c r="O28" s="268"/>
    </row>
    <row r="29" spans="2:15" s="269" customFormat="1" x14ac:dyDescent="0.3">
      <c r="B29" s="268">
        <v>2409448</v>
      </c>
      <c r="C29" s="268" t="str">
        <v>Pang Chong Han</v>
      </c>
      <c r="D29" s="268" t="e" vm="5">
        <v>#VALUE!</v>
      </c>
      <c r="E29" s="268" t="str">
        <v>Simon</v>
      </c>
      <c r="F29" s="268" t="str">
        <v>R-PV</v>
      </c>
      <c r="G29" s="268" t="str">
        <v>NEM</v>
      </c>
      <c r="H29" s="268">
        <v>8.26</v>
      </c>
      <c r="I29" s="268" t="str">
        <v>Astronergy 590Wp</v>
      </c>
      <c r="J29" s="268">
        <v>14</v>
      </c>
      <c r="K29" s="268" t="str">
        <v>Solinteg MHS-8K-25</v>
      </c>
      <c r="L29" s="268">
        <v>0</v>
      </c>
      <c r="M29" s="268" t="str">
        <v>Pending NEM Welcome Letter</v>
      </c>
      <c r="N29" s="268"/>
      <c r="O29" s="268"/>
    </row>
    <row r="30" spans="2:15" s="269" customFormat="1" x14ac:dyDescent="0.3">
      <c r="B30" s="268">
        <v>2405305</v>
      </c>
      <c r="C30" s="268" t="str">
        <v>Chan Woei Jye</v>
      </c>
      <c r="D30" s="268" t="e" vm="5">
        <v>#VALUE!</v>
      </c>
      <c r="E30" s="268" t="str">
        <v>Tham</v>
      </c>
      <c r="F30" s="268" t="str">
        <v>R-PV</v>
      </c>
      <c r="G30" s="268" t="str">
        <v>NEM</v>
      </c>
      <c r="H30" s="268">
        <v>10.53</v>
      </c>
      <c r="I30" s="268" t="str">
        <v>Astronergy 585Wp</v>
      </c>
      <c r="J30" s="268">
        <v>18</v>
      </c>
      <c r="K30" s="268" t="str">
        <v>Huawei SUN2000-8KTL</v>
      </c>
      <c r="L30" s="268">
        <v>0</v>
      </c>
      <c r="M30" s="268" t="str">
        <v>Pending NEM Welcome Letter</v>
      </c>
      <c r="N30" s="268"/>
      <c r="O30" s="268"/>
    </row>
    <row r="31" spans="2:15" s="262" customFormat="1" x14ac:dyDescent="0.3">
      <c r="B31" s="261" t="str">
        <v>2407167-1</v>
      </c>
      <c r="C31" s="261" t="str">
        <v>Econframe Marketing Sdn Bhd (Kilang 1 &amp; 3)</v>
      </c>
      <c r="D31" s="261" t="e" vm="5">
        <v>#VALUE!</v>
      </c>
      <c r="E31" s="261" t="str">
        <v>Tham</v>
      </c>
      <c r="F31" s="261" t="str">
        <v>C&amp;I-PV</v>
      </c>
      <c r="G31" s="261" t="str">
        <v>NEM</v>
      </c>
      <c r="H31" s="261">
        <v>109.395</v>
      </c>
      <c r="I31" s="261" t="str">
        <v>Yingli Solar 585Wp</v>
      </c>
      <c r="J31" s="261">
        <v>187</v>
      </c>
      <c r="K31" s="261" t="str">
        <v>Huawei SUN2000-50KTL + SUN2000-36KTL</v>
      </c>
      <c r="L31" s="261">
        <v>0</v>
      </c>
      <c r="M31" s="261" t="str">
        <v>Pending GITA Application</v>
      </c>
      <c r="N31" s="261"/>
      <c r="O31" s="261"/>
    </row>
    <row r="32" spans="2:15" s="262" customFormat="1" x14ac:dyDescent="0.3">
      <c r="B32" s="261" t="str">
        <v>2407167-2</v>
      </c>
      <c r="C32" s="261" t="str">
        <v>Econframe Marketing Sdn Bhd (Kilang 4)</v>
      </c>
      <c r="D32" s="261" t="e" vm="5">
        <v>#VALUE!</v>
      </c>
      <c r="E32" s="261" t="str">
        <v>Tham</v>
      </c>
      <c r="F32" s="261" t="str">
        <v>C&amp;I-PV</v>
      </c>
      <c r="G32" s="261" t="str">
        <v>NEM</v>
      </c>
      <c r="H32" s="261">
        <v>26.91</v>
      </c>
      <c r="I32" s="261" t="str">
        <v>Yingli Solar 585Wp</v>
      </c>
      <c r="J32" s="261">
        <v>46</v>
      </c>
      <c r="K32" s="261" t="str">
        <v>Huawei SUN2000-20KTL</v>
      </c>
      <c r="L32" s="261">
        <v>0</v>
      </c>
      <c r="M32" s="261" t="str">
        <v>Pending GITA Application</v>
      </c>
      <c r="N32" s="261"/>
      <c r="O32" s="261"/>
    </row>
    <row r="33" spans="2:15" s="262" customFormat="1" x14ac:dyDescent="0.3">
      <c r="B33" s="261" t="str">
        <v>2407167-3</v>
      </c>
      <c r="C33" s="261" t="str">
        <v>Econframe Marketing Sdn Bhd (Kilang 20)</v>
      </c>
      <c r="D33" s="261" t="e" vm="5">
        <v>#VALUE!</v>
      </c>
      <c r="E33" s="261" t="str">
        <v>Tham</v>
      </c>
      <c r="F33" s="261" t="str">
        <v>C&amp;I-PV</v>
      </c>
      <c r="G33" s="261" t="str">
        <v>NEM</v>
      </c>
      <c r="H33" s="261">
        <v>67.275000000000006</v>
      </c>
      <c r="I33" s="261" t="str">
        <v>Yingli Solar 585Wp</v>
      </c>
      <c r="J33" s="261">
        <v>115</v>
      </c>
      <c r="K33" s="261" t="str">
        <v>Huawei SUN2000-50KTL</v>
      </c>
      <c r="L33" s="261">
        <v>0</v>
      </c>
      <c r="M33" s="261" t="str">
        <v>Pending GITA Application</v>
      </c>
      <c r="N33" s="261"/>
      <c r="O33" s="261"/>
    </row>
    <row r="34" spans="2:15" s="269" customFormat="1" x14ac:dyDescent="0.3">
      <c r="B34" s="268">
        <v>2408174</v>
      </c>
      <c r="C34" s="268" t="str">
        <v>Zimandy Construction Sdn Bhd (Bandar Tenggara)</v>
      </c>
      <c r="D34" s="268" t="e" vm="8">
        <v>#VALUE!</v>
      </c>
      <c r="E34" s="268" t="str">
        <v>Tham</v>
      </c>
      <c r="F34" s="268" t="str">
        <v>C&amp;I-PV</v>
      </c>
      <c r="G34" s="268" t="str">
        <v>NEM</v>
      </c>
      <c r="H34" s="268">
        <v>120.95</v>
      </c>
      <c r="I34" s="268" t="str">
        <v>Astronergy 590Wp</v>
      </c>
      <c r="J34" s="268">
        <v>205</v>
      </c>
      <c r="K34" s="268" t="str">
        <v>Huawei SUN2000-40KTL +SUN2000-30KTL + SUN2000-20KTL</v>
      </c>
      <c r="L34" s="268">
        <v>0</v>
      </c>
      <c r="M34" s="268" t="str">
        <v>Pending NEM Welcome Letter</v>
      </c>
      <c r="N34" s="268"/>
      <c r="O34" s="268"/>
    </row>
    <row r="35" spans="2:15" s="262" customFormat="1" x14ac:dyDescent="0.3">
      <c r="B35" s="261">
        <v>2408179</v>
      </c>
      <c r="C35" s="261" t="str">
        <v>Pelita Hijrah Sdn Bhd</v>
      </c>
      <c r="D35" s="261" t="e" vm="5">
        <v>#VALUE!</v>
      </c>
      <c r="E35" s="261" t="str">
        <v>Tham</v>
      </c>
      <c r="F35" s="261" t="str">
        <v>C&amp;I-PV</v>
      </c>
      <c r="G35" s="261" t="str">
        <v>NEM</v>
      </c>
      <c r="H35" s="261">
        <v>107.64</v>
      </c>
      <c r="I35" s="261" t="str">
        <v>Astronergy 585Wp</v>
      </c>
      <c r="J35" s="261">
        <v>184</v>
      </c>
      <c r="K35" s="261" t="str">
        <v>Huawei SUN2000-20KTL x  4</v>
      </c>
      <c r="L35" s="261">
        <v>0</v>
      </c>
      <c r="M35" s="261" t="str">
        <v>Pending GITA Application</v>
      </c>
      <c r="N35" s="261"/>
      <c r="O35" s="261"/>
    </row>
    <row r="36" spans="2:15" s="262" customFormat="1" x14ac:dyDescent="0.3">
      <c r="B36" s="261">
        <v>2409185</v>
      </c>
      <c r="C36" s="261" t="str">
        <v>Kim Chong Mechanical Services Sdn Bhd</v>
      </c>
      <c r="D36" s="261" t="e" vm="5">
        <v>#VALUE!</v>
      </c>
      <c r="E36" s="261" t="str">
        <v>Tham</v>
      </c>
      <c r="F36" s="261" t="str">
        <v>C&amp;I-PV</v>
      </c>
      <c r="G36" s="261" t="str">
        <v>NEM</v>
      </c>
      <c r="H36" s="261">
        <v>26.55</v>
      </c>
      <c r="I36" s="261" t="str">
        <v>Astronergy 590Wp</v>
      </c>
      <c r="J36" s="261">
        <v>45</v>
      </c>
      <c r="K36" s="261" t="str">
        <v>Huawei SUN2000-20KTL</v>
      </c>
      <c r="L36" s="261">
        <v>0</v>
      </c>
      <c r="M36" s="261" t="str">
        <v>Pending GITA Application</v>
      </c>
      <c r="N36" s="261"/>
      <c r="O36" s="261"/>
    </row>
    <row r="37" spans="2:15" s="262" customFormat="1" x14ac:dyDescent="0.3">
      <c r="B37" s="261">
        <v>2410196</v>
      </c>
      <c r="C37" s="261" t="str">
        <v>Unilink Machinery Sdn Bhd</v>
      </c>
      <c r="D37" s="261" t="e" vm="5">
        <v>#VALUE!</v>
      </c>
      <c r="E37" s="261" t="str">
        <v>Tham</v>
      </c>
      <c r="F37" s="261" t="str">
        <v>C&amp;I-PV</v>
      </c>
      <c r="G37" s="261" t="str">
        <v>NEM</v>
      </c>
      <c r="H37" s="261">
        <v>26.55</v>
      </c>
      <c r="I37" s="261" t="str">
        <v>Astronergy 590Wp</v>
      </c>
      <c r="J37" s="261">
        <v>45</v>
      </c>
      <c r="K37" s="261" t="str">
        <v>Huawei SUN2000-20KTL</v>
      </c>
      <c r="L37" s="261">
        <v>0</v>
      </c>
      <c r="M37" s="261" t="str">
        <v>Pending GITA Application</v>
      </c>
      <c r="N37" s="261"/>
      <c r="O37" s="261"/>
    </row>
    <row r="38" spans="2:15" s="269" customFormat="1" x14ac:dyDescent="0.3">
      <c r="B38" s="268">
        <v>2410468</v>
      </c>
      <c r="C38" s="268" t="str">
        <v>Teo Boon Ling</v>
      </c>
      <c r="D38" s="268" t="e" vm="12">
        <v>#VALUE!</v>
      </c>
      <c r="E38" s="268" t="str">
        <v>Tham</v>
      </c>
      <c r="F38" s="268" t="str">
        <v>R-PV</v>
      </c>
      <c r="G38" s="268" t="str">
        <v>NEM</v>
      </c>
      <c r="H38" s="268">
        <v>11.7</v>
      </c>
      <c r="I38" s="268" t="str">
        <v>Astronergy 585Wp</v>
      </c>
      <c r="J38" s="268">
        <v>20</v>
      </c>
      <c r="K38" s="268" t="str">
        <v>Huawei SUN2000-10KTL</v>
      </c>
      <c r="L38" s="268">
        <v>0</v>
      </c>
      <c r="M38" s="268" t="str">
        <v>Pending NEM Welcome Letter</v>
      </c>
      <c r="N38" s="268"/>
      <c r="O38" s="268"/>
    </row>
    <row r="39" spans="2:15" s="275" customFormat="1" x14ac:dyDescent="0.3">
      <c r="B39" s="274">
        <v>2410471</v>
      </c>
      <c r="C39" s="274" t="str">
        <v>Chua Lu Chuan</v>
      </c>
      <c r="D39" s="274" t="e" vm="11">
        <v>#VALUE!</v>
      </c>
      <c r="E39" s="274" t="str">
        <v>Chean Bang</v>
      </c>
      <c r="F39" s="274" t="str">
        <v>R-PV</v>
      </c>
      <c r="G39" s="274" t="str">
        <v>NEM</v>
      </c>
      <c r="H39" s="274">
        <v>17.55</v>
      </c>
      <c r="I39" s="274" t="str">
        <v>Astronergy 585Wp</v>
      </c>
      <c r="J39" s="274">
        <v>30</v>
      </c>
      <c r="K39" s="274" t="str">
        <v>Huawei SUN2000-12KTL</v>
      </c>
      <c r="L39" s="274">
        <v>0</v>
      </c>
      <c r="M39" s="274" t="str">
        <v>Pending Site Installation</v>
      </c>
      <c r="N39" s="274"/>
      <c r="O39" s="274"/>
    </row>
    <row r="40" spans="2:15" s="269" customFormat="1" x14ac:dyDescent="0.3">
      <c r="B40" s="268">
        <v>2411494</v>
      </c>
      <c r="C40" s="268" t="str">
        <v>Pang Kim Soon</v>
      </c>
      <c r="D40" s="268" t="e" vm="11">
        <v>#VALUE!</v>
      </c>
      <c r="E40" s="268" t="str">
        <v>Chean Bang</v>
      </c>
      <c r="F40" s="268" t="str">
        <v>R-PV</v>
      </c>
      <c r="G40" s="268" t="str">
        <v>NEM</v>
      </c>
      <c r="H40" s="268">
        <v>17.55</v>
      </c>
      <c r="I40" s="268" t="str">
        <v>Astronergy 585Wp</v>
      </c>
      <c r="J40" s="268">
        <v>30</v>
      </c>
      <c r="K40" s="268" t="str">
        <v>Huawei SUN2000-12KTL</v>
      </c>
      <c r="L40" s="268">
        <v>0</v>
      </c>
      <c r="M40" s="268" t="str">
        <v>Pending NEM Welcome Letter</v>
      </c>
      <c r="N40" s="268"/>
      <c r="O40" s="268"/>
    </row>
    <row r="41" spans="2:15" s="269" customFormat="1" x14ac:dyDescent="0.3">
      <c r="B41" s="268">
        <v>2404224</v>
      </c>
      <c r="C41" s="268" t="str">
        <v>Vijayalakshmi a/p Krishnaswamy (Tan Sri Rama Iyer)</v>
      </c>
      <c r="D41" s="268" t="e" vm="5">
        <v>#VALUE!</v>
      </c>
      <c r="E41" s="268" t="str">
        <v>Tham</v>
      </c>
      <c r="F41" s="268" t="str">
        <v>R-PV</v>
      </c>
      <c r="G41" s="268" t="str">
        <v>NEM</v>
      </c>
      <c r="H41" s="268">
        <v>17.7</v>
      </c>
      <c r="I41" s="268" t="str">
        <v>Astronergy 590Wp</v>
      </c>
      <c r="J41" s="268">
        <v>30</v>
      </c>
      <c r="K41" s="268" t="str">
        <v>Huawei SUN2000-12KTL</v>
      </c>
      <c r="L41" s="268">
        <v>0</v>
      </c>
      <c r="M41" s="268" t="str">
        <v>Pending NEM Welcome Letter</v>
      </c>
      <c r="N41" s="268"/>
      <c r="O41" s="268"/>
    </row>
    <row r="42" spans="2:15" s="269" customFormat="1" x14ac:dyDescent="0.3">
      <c r="B42" s="268">
        <v>2411491</v>
      </c>
      <c r="C42" s="268" t="str">
        <v>Low Kim Keong</v>
      </c>
      <c r="D42" s="268" t="e" vm="11">
        <v>#VALUE!</v>
      </c>
      <c r="E42" s="268" t="str">
        <v>Chean Bang</v>
      </c>
      <c r="F42" s="268" t="str">
        <v>R-PV</v>
      </c>
      <c r="G42" s="268" t="str">
        <v>NEM</v>
      </c>
      <c r="H42" s="268">
        <v>11.7</v>
      </c>
      <c r="I42" s="268" t="str">
        <v>Astronergy 585Wp</v>
      </c>
      <c r="J42" s="268">
        <v>20</v>
      </c>
      <c r="K42" s="268" t="str">
        <v>Huawei SUN2000-10KTL</v>
      </c>
      <c r="L42" s="268">
        <v>0</v>
      </c>
      <c r="M42" s="268" t="str">
        <v>Pending NEM Welcome Letter</v>
      </c>
      <c r="N42" s="268"/>
      <c r="O42" s="268"/>
    </row>
    <row r="43" spans="2:15" s="269" customFormat="1" x14ac:dyDescent="0.3">
      <c r="B43" s="268">
        <v>2412503</v>
      </c>
      <c r="C43" s="268" t="str">
        <v>Lian Hock Seng</v>
      </c>
      <c r="D43" s="268" t="e" vm="11">
        <v>#VALUE!</v>
      </c>
      <c r="E43" s="268" t="str">
        <v>Chean Bang</v>
      </c>
      <c r="F43" s="268" t="str">
        <v>R-PV</v>
      </c>
      <c r="G43" s="268" t="str">
        <v>NEM</v>
      </c>
      <c r="H43" s="268">
        <v>14.04</v>
      </c>
      <c r="I43" s="268" t="str">
        <v>Astronergy 585Wp</v>
      </c>
      <c r="J43" s="268">
        <v>24</v>
      </c>
      <c r="K43" s="268" t="str">
        <v>Huawei SUN2000-12KTL</v>
      </c>
      <c r="L43" s="268">
        <v>0</v>
      </c>
      <c r="M43" s="268" t="str">
        <v>Pending NEM Welcome Letter</v>
      </c>
      <c r="N43" s="268"/>
      <c r="O43" s="268"/>
    </row>
    <row r="44" spans="2:15" s="269" customFormat="1" x14ac:dyDescent="0.3">
      <c r="B44" s="268">
        <v>2412505</v>
      </c>
      <c r="C44" s="268" t="str">
        <v>Dong Mee Hong</v>
      </c>
      <c r="D44" s="268" t="e" vm="11">
        <v>#VALUE!</v>
      </c>
      <c r="E44" s="268" t="str">
        <v>Patricia</v>
      </c>
      <c r="F44" s="268" t="str">
        <v>R-PV</v>
      </c>
      <c r="G44" s="268" t="str">
        <v>NEM</v>
      </c>
      <c r="H44" s="268">
        <v>14.04</v>
      </c>
      <c r="I44" s="268" t="str">
        <v>Astronergy 585Wp</v>
      </c>
      <c r="J44" s="268">
        <v>24</v>
      </c>
      <c r="K44" s="268" t="str">
        <v>Huawei SUN2000-12KTL</v>
      </c>
      <c r="L44" s="268">
        <v>0</v>
      </c>
      <c r="M44" s="268" t="str">
        <v>Pending NEM Welcome Letter</v>
      </c>
      <c r="N44" s="268"/>
      <c r="O44" s="268"/>
    </row>
    <row r="45" spans="2:15" s="269" customFormat="1" x14ac:dyDescent="0.3">
      <c r="B45" s="268">
        <v>2412515</v>
      </c>
      <c r="C45" s="268" t="str">
        <v>Liew Mun Meng</v>
      </c>
      <c r="D45" s="268" t="e" vm="5">
        <v>#VALUE!</v>
      </c>
      <c r="E45" s="268" t="str">
        <v>Tham</v>
      </c>
      <c r="F45" s="268" t="str">
        <v>R-PV</v>
      </c>
      <c r="G45" s="268" t="str">
        <v>NEM</v>
      </c>
      <c r="H45" s="268">
        <v>17.55</v>
      </c>
      <c r="I45" s="268" t="str">
        <v>Astronergy 585Wp</v>
      </c>
      <c r="J45" s="268">
        <v>30</v>
      </c>
      <c r="K45" s="268" t="str">
        <v>Huawei SUN2000-12KTL</v>
      </c>
      <c r="L45" s="268">
        <v>0</v>
      </c>
      <c r="M45" s="268" t="str">
        <v>Pending NEM Welcome Letter</v>
      </c>
      <c r="N45" s="268"/>
      <c r="O45" s="268"/>
    </row>
    <row r="46" spans="2:15" s="269" customFormat="1" x14ac:dyDescent="0.3">
      <c r="B46" s="268">
        <v>2410462</v>
      </c>
      <c r="C46" s="268" t="str">
        <v>Yee Mei Ling</v>
      </c>
      <c r="D46" s="268" t="e" vm="5">
        <v>#VALUE!</v>
      </c>
      <c r="E46" s="268" t="str">
        <v>Tham</v>
      </c>
      <c r="F46" s="268" t="str">
        <v>R-PV</v>
      </c>
      <c r="G46" s="268" t="str">
        <v>NEM</v>
      </c>
      <c r="H46" s="268">
        <v>7.02</v>
      </c>
      <c r="I46" s="268" t="str">
        <v>Astronergy 585Wp</v>
      </c>
      <c r="J46" s="268">
        <v>12</v>
      </c>
      <c r="K46" s="268" t="str">
        <v>Huawei SUN2000-5KTL-L1</v>
      </c>
      <c r="L46" s="268">
        <v>0</v>
      </c>
      <c r="M46" s="268" t="str">
        <v>Pending NEM Welcome Letter</v>
      </c>
      <c r="N46" s="268"/>
      <c r="O46" s="268"/>
    </row>
    <row r="47" spans="2:15" s="269" customFormat="1" x14ac:dyDescent="0.3">
      <c r="B47" s="268">
        <v>2412524</v>
      </c>
      <c r="C47" s="268" t="str">
        <v>Teng Lee Xung</v>
      </c>
      <c r="D47" s="268" t="e" vm="11">
        <v>#VALUE!</v>
      </c>
      <c r="E47" s="268" t="str">
        <v>Chean Bang</v>
      </c>
      <c r="F47" s="268" t="str">
        <v>R-PV</v>
      </c>
      <c r="G47" s="268" t="str">
        <v>NEM</v>
      </c>
      <c r="H47" s="268">
        <v>14.16</v>
      </c>
      <c r="I47" s="268" t="str">
        <v>Astronergy 590Wp</v>
      </c>
      <c r="J47" s="268">
        <v>24</v>
      </c>
      <c r="K47" s="268" t="str">
        <v>Huawei SUN2000-12KTL</v>
      </c>
      <c r="L47" s="268">
        <v>0</v>
      </c>
      <c r="M47" s="268" t="str">
        <v>Pending NEM Welcome Letter</v>
      </c>
      <c r="N47" s="268"/>
      <c r="O47" s="268"/>
    </row>
    <row r="48" spans="2:15" s="269" customFormat="1" x14ac:dyDescent="0.3">
      <c r="B48" s="268">
        <v>2412513</v>
      </c>
      <c r="C48" s="268" t="str">
        <v>Ganapathy Srihari a/l Rama Iyer</v>
      </c>
      <c r="D48" s="268" t="e" vm="12">
        <v>#VALUE!</v>
      </c>
      <c r="E48" s="268" t="str">
        <v>Tham</v>
      </c>
      <c r="F48" s="268" t="str">
        <v>R-PV</v>
      </c>
      <c r="G48" s="268" t="str">
        <v>NEM</v>
      </c>
      <c r="H48" s="268">
        <v>10.029999999999999</v>
      </c>
      <c r="I48" s="268" t="str">
        <v>Astronergy 590Wp</v>
      </c>
      <c r="J48" s="268">
        <v>17</v>
      </c>
      <c r="K48" s="268" t="str">
        <v>Huawei SUN2000-8KTL</v>
      </c>
      <c r="L48" s="268">
        <v>0</v>
      </c>
      <c r="M48" s="268" t="str">
        <v>Pending NEM Welcome Letter</v>
      </c>
      <c r="N48" s="268"/>
      <c r="O48" s="268"/>
    </row>
    <row r="49" spans="2:15" s="269" customFormat="1" x14ac:dyDescent="0.3">
      <c r="B49" s="268">
        <v>2501532</v>
      </c>
      <c r="C49" s="268" t="str">
        <v>Prasert Phromsuwan</v>
      </c>
      <c r="D49" s="268" t="e" vm="5">
        <v>#VALUE!</v>
      </c>
      <c r="E49" s="268" t="str">
        <v>Tham</v>
      </c>
      <c r="F49" s="268" t="str">
        <v>R-PV</v>
      </c>
      <c r="G49" s="268" t="str">
        <v>NEM</v>
      </c>
      <c r="H49" s="268">
        <v>9.44</v>
      </c>
      <c r="I49" s="268" t="str">
        <v>Astronergy 590Wp</v>
      </c>
      <c r="J49" s="268">
        <v>16</v>
      </c>
      <c r="K49" s="268" t="str">
        <v>Huawei SUN2000-8KTL</v>
      </c>
      <c r="L49" s="268">
        <v>0</v>
      </c>
      <c r="M49" s="268" t="str">
        <v>Pending NEM Welcome Letter</v>
      </c>
      <c r="N49" s="268"/>
      <c r="O49" s="268"/>
    </row>
    <row r="50" spans="2:15" s="269" customFormat="1" x14ac:dyDescent="0.3">
      <c r="B50" s="268">
        <v>2501544</v>
      </c>
      <c r="C50" s="268" t="str">
        <v>Gan Tek Chuan</v>
      </c>
      <c r="D50" s="268" t="e" vm="11">
        <v>#VALUE!</v>
      </c>
      <c r="E50" s="268" t="str">
        <v>Patricia</v>
      </c>
      <c r="F50" s="268" t="str">
        <v>R-PV</v>
      </c>
      <c r="G50" s="268" t="str">
        <v>NEM</v>
      </c>
      <c r="H50" s="268">
        <v>17.7</v>
      </c>
      <c r="I50" s="268" t="str">
        <v>Astronergy 590Wp</v>
      </c>
      <c r="J50" s="268">
        <v>30</v>
      </c>
      <c r="K50" s="268" t="str">
        <v>Huawei SUN2000-12KTL</v>
      </c>
      <c r="L50" s="268">
        <v>0</v>
      </c>
      <c r="M50" s="268" t="str">
        <v>Pending NEM Welcome Letter</v>
      </c>
      <c r="N50" s="268"/>
      <c r="O50" s="268"/>
    </row>
    <row r="51" spans="2:15" s="269" customFormat="1" x14ac:dyDescent="0.3">
      <c r="B51" s="268">
        <v>2502548</v>
      </c>
      <c r="C51" s="268" t="str">
        <v>Wong Kok Wai</v>
      </c>
      <c r="D51" s="268" t="e" vm="11">
        <v>#VALUE!</v>
      </c>
      <c r="E51" s="268" t="str">
        <v>Chean Bang</v>
      </c>
      <c r="F51" s="268" t="str">
        <v>R-PV</v>
      </c>
      <c r="G51" s="268" t="str">
        <v>NEM</v>
      </c>
      <c r="H51" s="268">
        <v>17.7</v>
      </c>
      <c r="I51" s="268" t="str">
        <v>Astronergy 590Wp</v>
      </c>
      <c r="J51" s="268">
        <v>30</v>
      </c>
      <c r="K51" s="268" t="str">
        <v>Huawei SUN2000-12KTL</v>
      </c>
      <c r="L51" s="268">
        <v>0</v>
      </c>
      <c r="M51" s="268" t="str">
        <v>Pending NEM Welcome Letter</v>
      </c>
      <c r="N51" s="268"/>
      <c r="O51" s="268"/>
    </row>
    <row r="52" spans="2:15" s="269" customFormat="1" x14ac:dyDescent="0.3">
      <c r="B52" s="268">
        <v>2501545</v>
      </c>
      <c r="C52" s="268" t="str">
        <v>Lee Tian Look</v>
      </c>
      <c r="D52" s="268" t="e" vm="11">
        <v>#VALUE!</v>
      </c>
      <c r="E52" s="268" t="str">
        <v>Chean Bang</v>
      </c>
      <c r="F52" s="268" t="str">
        <v>R-PV</v>
      </c>
      <c r="G52" s="268" t="str">
        <v>NEM</v>
      </c>
      <c r="H52" s="268">
        <v>7.08</v>
      </c>
      <c r="I52" s="268" t="str">
        <v>Astronergy 590Wp</v>
      </c>
      <c r="J52" s="268">
        <v>12</v>
      </c>
      <c r="K52" s="268" t="str">
        <v>Huawei SUN2000-5KTL-L1</v>
      </c>
      <c r="L52" s="268">
        <v>0</v>
      </c>
      <c r="M52" s="268" t="str">
        <v>Pending NEM Welcome Letter</v>
      </c>
      <c r="N52" s="268"/>
      <c r="O52" s="268"/>
    </row>
    <row r="53" spans="2:15" s="269" customFormat="1" x14ac:dyDescent="0.3">
      <c r="B53" s="268">
        <v>2311088</v>
      </c>
      <c r="C53" s="268" t="str">
        <v>Lee Chean Chung</v>
      </c>
      <c r="D53" s="268" t="e" vm="11">
        <v>#VALUE!</v>
      </c>
      <c r="E53" s="268" t="str">
        <v>Chean Bang</v>
      </c>
      <c r="F53" s="268" t="str">
        <v>R-PV</v>
      </c>
      <c r="G53" s="268" t="str">
        <v>NEM</v>
      </c>
      <c r="H53" s="268">
        <v>10.62</v>
      </c>
      <c r="I53" s="268" t="str">
        <v>Astronergy 590Wp</v>
      </c>
      <c r="J53" s="268">
        <v>18</v>
      </c>
      <c r="K53" s="268" t="str">
        <v>Huawei SUN2000-10KTL</v>
      </c>
      <c r="L53" s="268">
        <v>0</v>
      </c>
      <c r="M53" s="268" t="str">
        <v>Pending NEM Welcome Letter</v>
      </c>
      <c r="N53" s="268"/>
      <c r="O53" s="268"/>
    </row>
    <row r="54" spans="2:15" s="269" customFormat="1" x14ac:dyDescent="0.3">
      <c r="B54" s="268">
        <v>2502216</v>
      </c>
      <c r="C54" s="268" t="str">
        <v>Low Yi Chin</v>
      </c>
      <c r="D54" s="268" t="e" vm="11">
        <v>#VALUE!</v>
      </c>
      <c r="E54" s="268" t="str">
        <v>Chean Bang</v>
      </c>
      <c r="F54" s="268" t="str">
        <v>C&amp;I-PV</v>
      </c>
      <c r="G54" s="268" t="str">
        <v>NEM</v>
      </c>
      <c r="H54" s="268">
        <v>14.16</v>
      </c>
      <c r="I54" s="268" t="str">
        <v>Astronergy 590Wp</v>
      </c>
      <c r="J54" s="268">
        <v>24</v>
      </c>
      <c r="K54" s="268" t="str">
        <v>Huawei SUN2000-12KTL</v>
      </c>
      <c r="L54" s="268">
        <v>0</v>
      </c>
      <c r="M54" s="268" t="str">
        <v>Pending NEM Welcome Letter</v>
      </c>
      <c r="N54" s="268"/>
      <c r="O54" s="268"/>
    </row>
    <row r="55" spans="2:15" s="269" customFormat="1" x14ac:dyDescent="0.3">
      <c r="B55" s="268">
        <v>2502553</v>
      </c>
      <c r="C55" s="268" t="str">
        <v>Salim Majid Zain Bin  Abdul Majid</v>
      </c>
      <c r="D55" s="268" t="e" vm="5">
        <v>#VALUE!</v>
      </c>
      <c r="E55" s="268" t="str">
        <v>Tham</v>
      </c>
      <c r="F55" s="268" t="str">
        <v>R-PV</v>
      </c>
      <c r="G55" s="268" t="str">
        <v>NEM</v>
      </c>
      <c r="H55" s="268">
        <v>17.7</v>
      </c>
      <c r="I55" s="268" t="str">
        <v>Astronergy 590Wp</v>
      </c>
      <c r="J55" s="268">
        <v>30</v>
      </c>
      <c r="K55" s="268" t="str">
        <v>Huawei SUN2000-12KTL</v>
      </c>
      <c r="L55" s="268">
        <v>0</v>
      </c>
      <c r="M55" s="268" t="str">
        <v>Pending NEM Welcome Letter</v>
      </c>
      <c r="N55" s="268"/>
      <c r="O55" s="268"/>
    </row>
    <row r="56" spans="2:15" s="269" customFormat="1" x14ac:dyDescent="0.3">
      <c r="B56" s="268">
        <v>2502547</v>
      </c>
      <c r="C56" s="268" t="str">
        <v>Chong Chee Hoo</v>
      </c>
      <c r="D56" s="268" t="e" vm="8">
        <v>#VALUE!</v>
      </c>
      <c r="E56" s="268" t="str">
        <v>Tham</v>
      </c>
      <c r="F56" s="268" t="str">
        <v>R-PV</v>
      </c>
      <c r="G56" s="268" t="str">
        <v>NEM</v>
      </c>
      <c r="H56" s="268">
        <v>11.8</v>
      </c>
      <c r="I56" s="268" t="str">
        <v>Astronergy 590Wp</v>
      </c>
      <c r="J56" s="268">
        <v>20</v>
      </c>
      <c r="K56" s="268" t="str">
        <v>Huawei SUN2000-10KTL</v>
      </c>
      <c r="L56" s="268">
        <v>0</v>
      </c>
      <c r="M56" s="268" t="str">
        <v>Pending NEM Welcome Letter</v>
      </c>
      <c r="N56" s="268"/>
      <c r="O56" s="268"/>
    </row>
    <row r="57" spans="2:15" s="269" customFormat="1" x14ac:dyDescent="0.3">
      <c r="B57" s="268">
        <v>2502541</v>
      </c>
      <c r="C57" s="268" t="str">
        <v>Boo Kee Meng</v>
      </c>
      <c r="D57" s="268" t="e" vm="8">
        <v>#VALUE!</v>
      </c>
      <c r="E57" s="268" t="str">
        <v>Tham</v>
      </c>
      <c r="F57" s="268" t="str">
        <v>R-PV</v>
      </c>
      <c r="G57" s="268" t="str">
        <v>NEM</v>
      </c>
      <c r="H57" s="268">
        <v>7.08</v>
      </c>
      <c r="I57" s="268" t="str">
        <v>Astronergy 590Wp</v>
      </c>
      <c r="J57" s="268">
        <v>12</v>
      </c>
      <c r="K57" s="268" t="str">
        <v>Huawei SUN2000-5KTL-L1</v>
      </c>
      <c r="L57" s="268">
        <v>0</v>
      </c>
      <c r="M57" s="268" t="str">
        <v>Pending NEM Welcome Letter</v>
      </c>
      <c r="N57" s="268"/>
      <c r="O57" s="268"/>
    </row>
    <row r="58" spans="2:15" s="269" customFormat="1" x14ac:dyDescent="0.3">
      <c r="B58" s="268">
        <v>2502556</v>
      </c>
      <c r="C58" s="268" t="str">
        <v>Gan Chong Sing</v>
      </c>
      <c r="D58" s="268" t="e" vm="11">
        <v>#VALUE!</v>
      </c>
      <c r="E58" s="268" t="str">
        <v>Patricia</v>
      </c>
      <c r="F58" s="268" t="str">
        <v>R-PV</v>
      </c>
      <c r="G58" s="268" t="str">
        <v>NEM</v>
      </c>
      <c r="H58" s="268">
        <v>7.08</v>
      </c>
      <c r="I58" s="268" t="str">
        <v>Astronergy 590Wp</v>
      </c>
      <c r="J58" s="268">
        <v>12</v>
      </c>
      <c r="K58" s="268" t="str">
        <v>Huawei SUN2000-5KTL-L1</v>
      </c>
      <c r="L58" s="268">
        <v>0</v>
      </c>
      <c r="M58" s="268" t="str">
        <v>Pending NEM Welcome Letter</v>
      </c>
      <c r="N58" s="268"/>
      <c r="O58" s="268"/>
    </row>
    <row r="59" spans="2:15" s="269" customFormat="1" x14ac:dyDescent="0.3">
      <c r="B59" s="268">
        <v>2502551</v>
      </c>
      <c r="C59" s="268" t="str">
        <v>Tan Seng Shen</v>
      </c>
      <c r="D59" s="268" t="e" vm="5">
        <v>#VALUE!</v>
      </c>
      <c r="E59" s="268" t="str">
        <v>Tham</v>
      </c>
      <c r="F59" s="268" t="str">
        <v>R-PV</v>
      </c>
      <c r="G59" s="268" t="str">
        <v>NEM</v>
      </c>
      <c r="H59" s="268">
        <v>14.16</v>
      </c>
      <c r="I59" s="268" t="str">
        <v>Astronergy 590Wp</v>
      </c>
      <c r="J59" s="268">
        <v>24</v>
      </c>
      <c r="K59" s="268" t="str">
        <v>Huawei SUN2000-12KTL</v>
      </c>
      <c r="L59" s="268">
        <v>0</v>
      </c>
      <c r="M59" s="268" t="str">
        <v>Pending NEM Welcome Letter</v>
      </c>
      <c r="N59" s="268"/>
      <c r="O59" s="268"/>
    </row>
    <row r="60" spans="2:15" s="269" customFormat="1" x14ac:dyDescent="0.3">
      <c r="B60" s="268">
        <v>2502546</v>
      </c>
      <c r="C60" s="268" t="str">
        <v>Jordan Tan Heng Xiang</v>
      </c>
      <c r="D60" s="268" t="e" vm="5">
        <v>#VALUE!</v>
      </c>
      <c r="E60" s="268" t="str">
        <v>Tham</v>
      </c>
      <c r="F60" s="268" t="str">
        <v>R-PV</v>
      </c>
      <c r="G60" s="268" t="str">
        <v>NEM</v>
      </c>
      <c r="H60" s="268">
        <v>7.08</v>
      </c>
      <c r="I60" s="268" t="str">
        <v>Astronergy 590Wp</v>
      </c>
      <c r="J60" s="268">
        <v>12</v>
      </c>
      <c r="K60" s="268" t="str">
        <v>Huawei SUN2000-6KTL</v>
      </c>
      <c r="L60" s="268">
        <v>0</v>
      </c>
      <c r="M60" s="268" t="str">
        <v>Pending NEM Welcome Letter</v>
      </c>
      <c r="N60" s="268"/>
      <c r="O60" s="268"/>
    </row>
    <row r="61" spans="2:15" s="269" customFormat="1" x14ac:dyDescent="0.3">
      <c r="B61" s="268">
        <v>2502559</v>
      </c>
      <c r="C61" s="268" t="str">
        <v>Wong Peng Soon</v>
      </c>
      <c r="D61" s="268" t="e" vm="11">
        <v>#VALUE!</v>
      </c>
      <c r="E61" s="268" t="str">
        <v>Chean Bang</v>
      </c>
      <c r="F61" s="268" t="str">
        <v>R-PV</v>
      </c>
      <c r="G61" s="268" t="str">
        <v>NEM</v>
      </c>
      <c r="H61" s="268">
        <v>9.44</v>
      </c>
      <c r="I61" s="268" t="str">
        <v>Astronergy 590Wp</v>
      </c>
      <c r="J61" s="268">
        <v>16</v>
      </c>
      <c r="K61" s="268" t="str">
        <v>Huawei SUN2000-8KTL</v>
      </c>
      <c r="L61" s="268">
        <v>0</v>
      </c>
      <c r="M61" s="268" t="str">
        <v>Pending NEM Welcome Letter</v>
      </c>
      <c r="N61" s="268"/>
      <c r="O61" s="268"/>
    </row>
    <row r="62" spans="2:15" s="269" customFormat="1" x14ac:dyDescent="0.3">
      <c r="B62" s="268">
        <v>2502550</v>
      </c>
      <c r="C62" s="268" t="str">
        <v>Ricky Goh Hoon Kan</v>
      </c>
      <c r="D62" s="268" t="e" vm="4">
        <v>#VALUE!</v>
      </c>
      <c r="E62" s="268" t="str">
        <v>Chean Bang</v>
      </c>
      <c r="F62" s="268" t="str">
        <v>R-PV</v>
      </c>
      <c r="G62" s="268" t="str">
        <v>NEM</v>
      </c>
      <c r="H62" s="268">
        <v>14.75</v>
      </c>
      <c r="I62" s="268" t="str">
        <v>Astronergy 590Wp</v>
      </c>
      <c r="J62" s="268">
        <v>25</v>
      </c>
      <c r="K62" s="268" t="str">
        <v>Huawei SUN2000-12KTL</v>
      </c>
      <c r="L62" s="268">
        <v>0</v>
      </c>
      <c r="M62" s="268" t="str">
        <v>Pending NEM Welcome Letter</v>
      </c>
      <c r="N62" s="268"/>
      <c r="O62" s="268"/>
    </row>
    <row r="63" spans="2:15" s="269" customFormat="1" x14ac:dyDescent="0.3">
      <c r="B63" s="268">
        <v>2502560</v>
      </c>
      <c r="C63" s="268" t="str">
        <v>Lim Sooi Poh</v>
      </c>
      <c r="D63" s="268" t="e" vm="8">
        <v>#VALUE!</v>
      </c>
      <c r="E63" s="268" t="str">
        <v>Tham</v>
      </c>
      <c r="F63" s="268" t="str">
        <v>R-PV</v>
      </c>
      <c r="G63" s="268" t="str">
        <v>NEM</v>
      </c>
      <c r="H63" s="268">
        <v>14.16</v>
      </c>
      <c r="I63" s="268" t="str">
        <v>Astronergy 590Wp</v>
      </c>
      <c r="J63" s="268">
        <v>24</v>
      </c>
      <c r="K63" s="268" t="str">
        <v>Huawei SUN2000-12KTL</v>
      </c>
      <c r="L63" s="268">
        <v>0</v>
      </c>
      <c r="M63" s="268" t="str">
        <v>Pending NEM Welcome Letter</v>
      </c>
      <c r="N63" s="268"/>
      <c r="O63" s="268"/>
    </row>
    <row r="64" spans="2:15" s="269" customFormat="1" x14ac:dyDescent="0.3">
      <c r="B64" s="268" t="str">
        <v>2408411-1</v>
      </c>
      <c r="C64" s="268" t="str">
        <v>Eng Khai Shu</v>
      </c>
      <c r="D64" s="268" t="e" vm="12">
        <v>#VALUE!</v>
      </c>
      <c r="E64" s="268" t="str">
        <v>Tham</v>
      </c>
      <c r="F64" s="268" t="str">
        <v>R-PV</v>
      </c>
      <c r="G64" s="268" t="str">
        <v>NEM</v>
      </c>
      <c r="H64" s="268">
        <v>17.7</v>
      </c>
      <c r="I64" s="268" t="str">
        <v>Astronergy 590Wp</v>
      </c>
      <c r="J64" s="268">
        <v>30</v>
      </c>
      <c r="K64" s="268" t="str">
        <v>Huawei SUN2000-12KTL</v>
      </c>
      <c r="L64" s="268">
        <v>0</v>
      </c>
      <c r="M64" s="268" t="str">
        <v>Pending NEM Welcome Letter</v>
      </c>
      <c r="N64" s="268"/>
      <c r="O64" s="268"/>
    </row>
    <row r="65" spans="2:15" s="275" customFormat="1" x14ac:dyDescent="0.3">
      <c r="B65" s="274">
        <v>2502565</v>
      </c>
      <c r="C65" s="274" t="str">
        <v>Yeo Shu Jin</v>
      </c>
      <c r="D65" s="274" t="e" vm="5">
        <v>#VALUE!</v>
      </c>
      <c r="E65" s="274" t="str">
        <v>Simon</v>
      </c>
      <c r="F65" s="274" t="str">
        <v>R-PV</v>
      </c>
      <c r="G65" s="274" t="str">
        <v>NEM</v>
      </c>
      <c r="H65" s="274">
        <v>7.67</v>
      </c>
      <c r="I65" s="274" t="str">
        <v>Astronergy 590Wp</v>
      </c>
      <c r="J65" s="274">
        <v>13</v>
      </c>
      <c r="K65" s="274" t="str">
        <v>Huawei SUN2000-6KTL</v>
      </c>
      <c r="L65" s="274">
        <v>0</v>
      </c>
      <c r="M65" s="274" t="str">
        <v>Pending Site Installation</v>
      </c>
      <c r="N65" s="274"/>
      <c r="O65" s="274"/>
    </row>
    <row r="66" spans="2:15" s="269" customFormat="1" x14ac:dyDescent="0.3">
      <c r="B66" s="268">
        <v>2502549</v>
      </c>
      <c r="C66" s="268" t="str">
        <v>Har Hock Lee</v>
      </c>
      <c r="D66" s="268" t="e" vm="11">
        <v>#VALUE!</v>
      </c>
      <c r="E66" s="268" t="str">
        <v>Patricia</v>
      </c>
      <c r="F66" s="268" t="str">
        <v>R-PV</v>
      </c>
      <c r="G66" s="268" t="str">
        <v>NEM</v>
      </c>
      <c r="H66" s="268">
        <v>14.16</v>
      </c>
      <c r="I66" s="268" t="str">
        <v>Astronergy 590Wp</v>
      </c>
      <c r="J66" s="268">
        <v>24</v>
      </c>
      <c r="K66" s="268" t="str">
        <v>Huawei SUN2000-12KTL</v>
      </c>
      <c r="L66" s="268">
        <v>0</v>
      </c>
      <c r="M66" s="268" t="str">
        <v>Pending NEM Welcome Letter</v>
      </c>
      <c r="N66" s="268"/>
      <c r="O66" s="268"/>
    </row>
    <row r="67" spans="2:15" s="269" customFormat="1" x14ac:dyDescent="0.3">
      <c r="B67" s="268">
        <v>2405286</v>
      </c>
      <c r="C67" s="268" t="str">
        <v>Wong Wai Hung</v>
      </c>
      <c r="D67" s="268" t="e" vm="5">
        <v>#VALUE!</v>
      </c>
      <c r="E67" s="268" t="str">
        <v>Tham</v>
      </c>
      <c r="F67" s="268" t="str">
        <v>R-PV</v>
      </c>
      <c r="G67" s="268" t="str">
        <v>NEM</v>
      </c>
      <c r="H67" s="268">
        <v>17.7</v>
      </c>
      <c r="I67" s="268" t="str">
        <v>Astronergy 590Wp</v>
      </c>
      <c r="J67" s="268">
        <v>30</v>
      </c>
      <c r="K67" s="268" t="str">
        <v>Huawei SUN2000-12KTL</v>
      </c>
      <c r="L67" s="268">
        <v>0</v>
      </c>
      <c r="M67" s="268" t="str">
        <v>Pending NEM Welcome Letter</v>
      </c>
      <c r="N67" s="268"/>
      <c r="O67" s="268"/>
    </row>
    <row r="68" spans="2:15" s="269" customFormat="1" x14ac:dyDescent="0.3">
      <c r="B68" s="268">
        <v>2501527</v>
      </c>
      <c r="C68" s="268" t="str">
        <v>Kuan Guan Chong</v>
      </c>
      <c r="D68" s="268" t="e" vm="11">
        <v>#VALUE!</v>
      </c>
      <c r="E68" s="268" t="str">
        <v>Tham</v>
      </c>
      <c r="F68" s="268" t="str">
        <v>R-PV</v>
      </c>
      <c r="G68" s="268" t="str">
        <v>NEM</v>
      </c>
      <c r="H68" s="268">
        <v>11.8</v>
      </c>
      <c r="I68" s="268" t="str">
        <v>Astronergy 590Wp</v>
      </c>
      <c r="J68" s="268">
        <v>20</v>
      </c>
      <c r="K68" s="268" t="str">
        <v>Huawei SUN2000-10KTL</v>
      </c>
      <c r="L68" s="268">
        <v>0</v>
      </c>
      <c r="M68" s="268" t="str">
        <v>Pending NEM Welcome Letter</v>
      </c>
      <c r="N68" s="268"/>
      <c r="O68" s="268"/>
    </row>
    <row r="69" spans="2:15" s="269" customFormat="1" x14ac:dyDescent="0.3">
      <c r="B69" s="268">
        <v>2501529</v>
      </c>
      <c r="C69" s="268" t="str">
        <v>Kuan Kian Yang</v>
      </c>
      <c r="D69" s="268" t="e" vm="11">
        <v>#VALUE!</v>
      </c>
      <c r="E69" s="268" t="str">
        <v>Tham</v>
      </c>
      <c r="F69" s="268" t="str">
        <v>R-PV</v>
      </c>
      <c r="G69" s="268" t="str">
        <v>NEM</v>
      </c>
      <c r="H69" s="268">
        <v>10.62</v>
      </c>
      <c r="I69" s="268" t="str">
        <v>Astronergy 590Wp</v>
      </c>
      <c r="J69" s="268">
        <v>18</v>
      </c>
      <c r="K69" s="268" t="str">
        <v>Huawei SUN2000-8KTL</v>
      </c>
      <c r="L69" s="268">
        <v>0</v>
      </c>
      <c r="M69" s="268" t="str">
        <v>Pending NEM Welcome Letter</v>
      </c>
      <c r="N69" s="268"/>
      <c r="O69" s="268"/>
    </row>
    <row r="70" spans="2:15" s="269" customFormat="1" x14ac:dyDescent="0.3">
      <c r="B70" s="268">
        <v>2502581</v>
      </c>
      <c r="C70" s="268" t="str">
        <v>Loh Chee Kuan</v>
      </c>
      <c r="D70" s="268" t="e" vm="5">
        <v>#VALUE!</v>
      </c>
      <c r="E70" s="268" t="str">
        <v>Tham</v>
      </c>
      <c r="F70" s="268" t="str">
        <v>R-PV</v>
      </c>
      <c r="G70" s="268" t="str">
        <v>NEM</v>
      </c>
      <c r="H70" s="268">
        <v>7.08</v>
      </c>
      <c r="I70" s="268" t="str">
        <v>Astronergy 590Wp</v>
      </c>
      <c r="J70" s="268">
        <v>12</v>
      </c>
      <c r="K70" s="268" t="str">
        <v>Huawei SUN2000-5KTL-L1</v>
      </c>
      <c r="L70" s="268">
        <v>0</v>
      </c>
      <c r="M70" s="268" t="str">
        <v>Pending NEM Welcome Letter</v>
      </c>
      <c r="N70" s="268"/>
      <c r="O70" s="268"/>
    </row>
    <row r="71" spans="2:15" s="269" customFormat="1" x14ac:dyDescent="0.3">
      <c r="B71" s="268">
        <v>2501540</v>
      </c>
      <c r="C71" s="268" t="str">
        <v>Mohd Rushdi Bin Haji Abu Bakar</v>
      </c>
      <c r="D71" s="268" t="e" vm="11">
        <v>#VALUE!</v>
      </c>
      <c r="E71" s="268" t="str">
        <v>Patricia</v>
      </c>
      <c r="F71" s="268" t="str">
        <v>R-PV</v>
      </c>
      <c r="G71" s="268" t="str">
        <v>NEM</v>
      </c>
      <c r="H71" s="268">
        <v>7.08</v>
      </c>
      <c r="I71" s="268" t="str">
        <v>Astronergy 590Wp</v>
      </c>
      <c r="J71" s="268">
        <v>12</v>
      </c>
      <c r="K71" s="268" t="str">
        <v>Huawei SUN2000-5KTL-L1</v>
      </c>
      <c r="L71" s="268">
        <v>0</v>
      </c>
      <c r="M71" s="268" t="str">
        <v>Pending NEM Welcome Letter</v>
      </c>
      <c r="N71" s="268"/>
      <c r="O71" s="268"/>
    </row>
    <row r="72" spans="2:15" s="269" customFormat="1" x14ac:dyDescent="0.3">
      <c r="B72" s="268">
        <v>2502571</v>
      </c>
      <c r="C72" s="268" t="str">
        <v>Ting Kam Peng</v>
      </c>
      <c r="D72" s="268" t="e" vm="12">
        <v>#VALUE!</v>
      </c>
      <c r="E72" s="268" t="str">
        <v>Tham</v>
      </c>
      <c r="F72" s="268" t="str">
        <v>R-PV</v>
      </c>
      <c r="G72" s="268" t="str">
        <v>NEM</v>
      </c>
      <c r="H72" s="268">
        <v>11.8</v>
      </c>
      <c r="I72" s="268" t="str">
        <v>Astronergy 590Wp</v>
      </c>
      <c r="J72" s="268">
        <v>20</v>
      </c>
      <c r="K72" s="268" t="str">
        <v>Huawei SUN2000-10KTL</v>
      </c>
      <c r="L72" s="268">
        <v>0</v>
      </c>
      <c r="M72" s="268" t="str">
        <v>Pending NEM Welcome Letter</v>
      </c>
      <c r="N72" s="268"/>
      <c r="O72" s="268"/>
    </row>
    <row r="73" spans="2:15" s="269" customFormat="1" x14ac:dyDescent="0.3">
      <c r="B73" s="268">
        <v>2502568</v>
      </c>
      <c r="C73" s="268" t="str">
        <v>Lim See Peng</v>
      </c>
      <c r="D73" s="268" t="e" vm="5">
        <v>#VALUE!</v>
      </c>
      <c r="E73" s="268" t="str">
        <v>Tham</v>
      </c>
      <c r="F73" s="268" t="str">
        <v>R-PV</v>
      </c>
      <c r="G73" s="268" t="str">
        <v>NEM</v>
      </c>
      <c r="H73" s="268">
        <v>7.08</v>
      </c>
      <c r="I73" s="268" t="str">
        <v>Astronergy 590Wp</v>
      </c>
      <c r="J73" s="268">
        <v>12</v>
      </c>
      <c r="K73" s="268" t="str">
        <v>Huawei SUN2000-6KTL-M1</v>
      </c>
      <c r="L73" s="268">
        <v>0</v>
      </c>
      <c r="M73" s="268" t="str">
        <v>Pending NEM Welcome Letter</v>
      </c>
      <c r="N73" s="268"/>
      <c r="O73" s="268"/>
    </row>
    <row r="74" spans="2:15" s="269" customFormat="1" x14ac:dyDescent="0.3">
      <c r="B74" s="268">
        <v>2503588</v>
      </c>
      <c r="C74" s="268" t="str">
        <v>Lee Xue Cheng</v>
      </c>
      <c r="D74" s="268" t="e" vm="8">
        <v>#VALUE!</v>
      </c>
      <c r="E74" s="268" t="str">
        <v>Tham</v>
      </c>
      <c r="F74" s="268" t="str">
        <v>R-PV</v>
      </c>
      <c r="G74" s="268" t="str">
        <v>NEM</v>
      </c>
      <c r="H74" s="268">
        <v>7.08</v>
      </c>
      <c r="I74" s="268" t="str">
        <v>Astronergy 590Wp</v>
      </c>
      <c r="J74" s="268">
        <v>12</v>
      </c>
      <c r="K74" s="268" t="str">
        <v>Huawei SUN2000-5KTL-L1</v>
      </c>
      <c r="L74" s="268">
        <v>0</v>
      </c>
      <c r="M74" s="268" t="str">
        <v>Pending NEM Welcome Letter</v>
      </c>
      <c r="N74" s="268"/>
      <c r="O74" s="268"/>
    </row>
    <row r="75" spans="2:15" s="269" customFormat="1" x14ac:dyDescent="0.3">
      <c r="B75" s="268">
        <v>2503590</v>
      </c>
      <c r="C75" s="268" t="str">
        <v>Teh Wee Loon</v>
      </c>
      <c r="D75" s="268" t="e" vm="5">
        <v>#VALUE!</v>
      </c>
      <c r="E75" s="268" t="str">
        <v>Tham</v>
      </c>
      <c r="F75" s="268" t="str">
        <v>R-PV</v>
      </c>
      <c r="G75" s="268" t="str">
        <v>NEM</v>
      </c>
      <c r="H75" s="268">
        <v>14.16</v>
      </c>
      <c r="I75" s="268" t="str">
        <v>Astronergy 590Wp</v>
      </c>
      <c r="J75" s="268">
        <v>24</v>
      </c>
      <c r="K75" s="268" t="str">
        <v>Huawei SUN2000-12KTL</v>
      </c>
      <c r="L75" s="268">
        <v>0</v>
      </c>
      <c r="M75" s="268" t="str">
        <v>Pending NEM Welcome Letter</v>
      </c>
      <c r="N75" s="268"/>
      <c r="O75" s="268"/>
    </row>
    <row r="76" spans="2:15" s="269" customFormat="1" x14ac:dyDescent="0.3">
      <c r="B76" s="268">
        <v>2502570</v>
      </c>
      <c r="C76" s="268" t="str">
        <v>Tang Wei Keong</v>
      </c>
      <c r="D76" s="268" t="e" vm="5">
        <v>#VALUE!</v>
      </c>
      <c r="E76" s="268" t="str">
        <v>Tham</v>
      </c>
      <c r="F76" s="268" t="str">
        <v>R-PV</v>
      </c>
      <c r="G76" s="268" t="str">
        <v>NEM</v>
      </c>
      <c r="H76" s="268">
        <v>9.44</v>
      </c>
      <c r="I76" s="268" t="str">
        <v>Astronergy 590Wp</v>
      </c>
      <c r="J76" s="268">
        <v>16</v>
      </c>
      <c r="K76" s="268" t="str">
        <v>Huawei SUN2000-8KTL</v>
      </c>
      <c r="L76" s="268">
        <v>0</v>
      </c>
      <c r="M76" s="268" t="str">
        <v>Pending NEM Welcome Letter</v>
      </c>
      <c r="N76" s="268"/>
      <c r="O76" s="268"/>
    </row>
    <row r="77" spans="2:15" s="269" customFormat="1" x14ac:dyDescent="0.3">
      <c r="B77" s="268">
        <v>2502573</v>
      </c>
      <c r="C77" s="268" t="str">
        <v>Wong Jun Kit</v>
      </c>
      <c r="D77" s="268" t="e" vm="5">
        <v>#VALUE!</v>
      </c>
      <c r="E77" s="268" t="str">
        <v>Simon</v>
      </c>
      <c r="F77" s="268" t="str">
        <v>R-PV</v>
      </c>
      <c r="G77" s="268" t="str">
        <v>NEM</v>
      </c>
      <c r="H77" s="268">
        <v>6.49</v>
      </c>
      <c r="I77" s="268" t="str">
        <v>Astronergy 590Wp</v>
      </c>
      <c r="J77" s="268">
        <v>11</v>
      </c>
      <c r="K77" s="268" t="str">
        <v>Huawei SUN2000-5KTL-M1</v>
      </c>
      <c r="L77" s="268">
        <v>0</v>
      </c>
      <c r="M77" s="268" t="str">
        <v>Pending NEM Welcome Letter</v>
      </c>
      <c r="N77" s="268"/>
      <c r="O77" s="268"/>
    </row>
    <row r="78" spans="2:15" s="269" customFormat="1" x14ac:dyDescent="0.3">
      <c r="B78" s="268">
        <v>2503593</v>
      </c>
      <c r="C78" s="268" t="str">
        <v>Rashid Bin Darlan</v>
      </c>
      <c r="D78" s="268" t="e" vm="11">
        <v>#VALUE!</v>
      </c>
      <c r="E78" s="268" t="str">
        <v>Patricia</v>
      </c>
      <c r="F78" s="268" t="str">
        <v>R-PV</v>
      </c>
      <c r="G78" s="268" t="str">
        <v>NEM</v>
      </c>
      <c r="H78" s="268">
        <v>7.08</v>
      </c>
      <c r="I78" s="268" t="str">
        <v>Astronergy 590Wp</v>
      </c>
      <c r="J78" s="268">
        <v>12</v>
      </c>
      <c r="K78" s="268" t="str">
        <v>Huawei SUN2000-5KTL-L1</v>
      </c>
      <c r="L78" s="268">
        <v>0</v>
      </c>
      <c r="M78" s="268" t="str">
        <v>Pending NEM Welcome Letter</v>
      </c>
      <c r="N78" s="268"/>
      <c r="O78" s="268"/>
    </row>
    <row r="79" spans="2:15" s="275" customFormat="1" x14ac:dyDescent="0.3">
      <c r="B79" s="274">
        <v>2501211</v>
      </c>
      <c r="C79" s="274" t="str">
        <v>Great Beauty Furniture Sdn Bhd</v>
      </c>
      <c r="D79" s="274" t="e" vm="11">
        <v>#VALUE!</v>
      </c>
      <c r="E79" s="274" t="str">
        <v>Chean Bang</v>
      </c>
      <c r="F79" s="274" t="str">
        <v>C&amp;I-PV</v>
      </c>
      <c r="G79" s="274" t="str">
        <v>NEM</v>
      </c>
      <c r="H79" s="274">
        <v>26.55</v>
      </c>
      <c r="I79" s="274" t="str">
        <v>Astronergy 590Wp</v>
      </c>
      <c r="J79" s="274">
        <v>45</v>
      </c>
      <c r="K79" s="274" t="str">
        <v>Huawei SUN2000-20KTL</v>
      </c>
      <c r="L79" s="274">
        <v>0</v>
      </c>
      <c r="M79" s="274" t="str">
        <v>Pending Site Installation</v>
      </c>
      <c r="N79" s="274"/>
      <c r="O79" s="274"/>
    </row>
    <row r="80" spans="2:15" s="269" customFormat="1" x14ac:dyDescent="0.3">
      <c r="B80" s="268">
        <v>2502589</v>
      </c>
      <c r="C80" s="268" t="str">
        <v>Chin Kok Leng</v>
      </c>
      <c r="D80" s="268" t="e" vm="11">
        <v>#VALUE!</v>
      </c>
      <c r="E80" s="268" t="str">
        <v>Patricia</v>
      </c>
      <c r="F80" s="268" t="str">
        <v>R-PV</v>
      </c>
      <c r="G80" s="268" t="str">
        <v>NEM</v>
      </c>
      <c r="H80" s="268">
        <v>8.85</v>
      </c>
      <c r="I80" s="268" t="str">
        <v>Astronergy 590Wp</v>
      </c>
      <c r="J80" s="268">
        <v>15</v>
      </c>
      <c r="K80" s="268" t="str">
        <v>Huawei SUN2000-8KTL</v>
      </c>
      <c r="L80" s="268">
        <v>0</v>
      </c>
      <c r="M80" s="268" t="str">
        <v>Pending NEM Welcome Letter</v>
      </c>
      <c r="N80" s="268"/>
      <c r="O80" s="268"/>
    </row>
    <row r="81" spans="2:15" s="273" customFormat="1" x14ac:dyDescent="0.3">
      <c r="B81" s="272">
        <v>2403090</v>
      </c>
      <c r="C81" s="272" t="str">
        <v>Mei Shun Fang Manufacturing Sdn Bhd</v>
      </c>
      <c r="D81" s="272" t="e" vm="8">
        <v>#VALUE!</v>
      </c>
      <c r="E81" s="272" t="str">
        <v>Tham</v>
      </c>
      <c r="F81" s="272" t="str">
        <v>C&amp;I-PV</v>
      </c>
      <c r="G81" s="272" t="str">
        <v>NEM</v>
      </c>
      <c r="H81" s="272">
        <v>476.13</v>
      </c>
      <c r="I81" s="272" t="str">
        <v>Astronergy 590Wp</v>
      </c>
      <c r="J81" s="272">
        <v>807</v>
      </c>
      <c r="K81" s="272">
        <v>0</v>
      </c>
      <c r="L81" s="272">
        <v>0</v>
      </c>
      <c r="M81" s="272" t="str">
        <v>Pending ST License Approval</v>
      </c>
      <c r="N81" s="272"/>
      <c r="O81" s="272"/>
    </row>
    <row r="82" spans="2:15" s="269" customFormat="1" x14ac:dyDescent="0.3">
      <c r="B82" s="268">
        <v>2503594</v>
      </c>
      <c r="C82" s="268" t="str">
        <v>Wong Teck Keng</v>
      </c>
      <c r="D82" s="268" t="e" vm="5">
        <v>#VALUE!</v>
      </c>
      <c r="E82" s="268" t="str">
        <v>Patricia</v>
      </c>
      <c r="F82" s="268" t="str">
        <v>R-PV</v>
      </c>
      <c r="G82" s="268" t="str">
        <v>NEM</v>
      </c>
      <c r="H82" s="268">
        <v>7.08</v>
      </c>
      <c r="I82" s="268" t="str">
        <v>Astronergy 590Wp</v>
      </c>
      <c r="J82" s="268">
        <v>12</v>
      </c>
      <c r="K82" s="268" t="str">
        <v>Huawei SUN2000-5KTL-L1</v>
      </c>
      <c r="L82" s="268">
        <v>0</v>
      </c>
      <c r="M82" s="268" t="str">
        <v>Pending NEM Welcome Letter</v>
      </c>
      <c r="N82" s="268"/>
      <c r="O82" s="268"/>
    </row>
    <row r="83" spans="2:15" s="269" customFormat="1" x14ac:dyDescent="0.3">
      <c r="B83" s="268">
        <v>2502588</v>
      </c>
      <c r="C83" s="268" t="str">
        <v>Khadillah binti Hassan</v>
      </c>
      <c r="D83" s="268" t="e" vm="11">
        <v>#VALUE!</v>
      </c>
      <c r="E83" s="268" t="str">
        <v>Patricia</v>
      </c>
      <c r="F83" s="268" t="str">
        <v>R-PV</v>
      </c>
      <c r="G83" s="268" t="str">
        <v>NEM</v>
      </c>
      <c r="H83" s="268">
        <v>8.85</v>
      </c>
      <c r="I83" s="268" t="str">
        <v>Astronergy 590Wp</v>
      </c>
      <c r="J83" s="268">
        <v>15</v>
      </c>
      <c r="K83" s="268" t="str">
        <v>Huawei SUN2000-8KTL</v>
      </c>
      <c r="L83" s="268">
        <v>0</v>
      </c>
      <c r="M83" s="268" t="str">
        <v>Pending NEM Welcome Letter</v>
      </c>
      <c r="N83" s="268"/>
      <c r="O83" s="268"/>
    </row>
    <row r="84" spans="2:15" s="269" customFormat="1" x14ac:dyDescent="0.3">
      <c r="B84" s="268">
        <v>2503595</v>
      </c>
      <c r="C84" s="268" t="str">
        <v>Lim Zhi Jie</v>
      </c>
      <c r="D84" s="268" t="e" vm="8">
        <v>#VALUE!</v>
      </c>
      <c r="E84" s="268" t="str">
        <v>Tham</v>
      </c>
      <c r="F84" s="268" t="str">
        <v>R-PV</v>
      </c>
      <c r="G84" s="268" t="str">
        <v>NEM</v>
      </c>
      <c r="H84" s="268">
        <v>14.16</v>
      </c>
      <c r="I84" s="268" t="str">
        <v>Astronergy 590Wp</v>
      </c>
      <c r="J84" s="268">
        <v>24</v>
      </c>
      <c r="K84" s="268" t="str">
        <v>Huawei SUN2000-12KTL</v>
      </c>
      <c r="L84" s="268">
        <v>0</v>
      </c>
      <c r="M84" s="268" t="str">
        <v>Pending NEM Welcome Letter</v>
      </c>
      <c r="N84" s="268"/>
      <c r="O84" s="268"/>
    </row>
    <row r="85" spans="2:15" s="269" customFormat="1" x14ac:dyDescent="0.3">
      <c r="B85" s="268">
        <v>2503586</v>
      </c>
      <c r="C85" s="268" t="str">
        <v>Safinaz Binti Mohd Sharif</v>
      </c>
      <c r="D85" s="268" t="e" vm="11">
        <v>#VALUE!</v>
      </c>
      <c r="E85" s="268" t="str">
        <v>Patricia</v>
      </c>
      <c r="F85" s="268" t="str">
        <v>R-PV</v>
      </c>
      <c r="G85" s="268" t="str">
        <v>NEM</v>
      </c>
      <c r="H85" s="268">
        <v>6.49</v>
      </c>
      <c r="I85" s="268" t="str">
        <v>Astronergy 590Wp</v>
      </c>
      <c r="J85" s="268">
        <v>11</v>
      </c>
      <c r="K85" s="268" t="str">
        <v>Huawei SUN2000-5KTL-L1</v>
      </c>
      <c r="L85" s="268">
        <v>0</v>
      </c>
      <c r="M85" s="268" t="str">
        <v>Pending NEM Welcome Letter</v>
      </c>
      <c r="N85" s="268"/>
      <c r="O85" s="268"/>
    </row>
    <row r="86" spans="2:15" s="269" customFormat="1" x14ac:dyDescent="0.3">
      <c r="B86" s="268">
        <v>2503604</v>
      </c>
      <c r="C86" s="268" t="str">
        <v>Kong Chun Seng</v>
      </c>
      <c r="D86" s="268" t="e" vm="11">
        <v>#VALUE!</v>
      </c>
      <c r="E86" s="268" t="str">
        <v>Tham</v>
      </c>
      <c r="F86" s="268" t="str">
        <v>R-PV</v>
      </c>
      <c r="G86" s="268" t="str">
        <v>NEM</v>
      </c>
      <c r="H86" s="268">
        <v>9.44</v>
      </c>
      <c r="I86" s="268" t="str">
        <v>Astronergy 590Wp</v>
      </c>
      <c r="J86" s="268">
        <v>16</v>
      </c>
      <c r="K86" s="268" t="str">
        <v>Huawei SUN2000-8KTL</v>
      </c>
      <c r="L86" s="268">
        <v>0</v>
      </c>
      <c r="M86" s="268" t="str">
        <v>Pending NEM Welcome Letter</v>
      </c>
      <c r="N86" s="268"/>
      <c r="O86" s="268"/>
    </row>
    <row r="87" spans="2:15" s="269" customFormat="1" x14ac:dyDescent="0.3">
      <c r="B87" s="268">
        <v>2503598</v>
      </c>
      <c r="C87" s="268" t="str">
        <v>Lew Yuen Tang</v>
      </c>
      <c r="D87" s="268" t="e" vm="5">
        <v>#VALUE!</v>
      </c>
      <c r="E87" s="268" t="str">
        <v>Tham</v>
      </c>
      <c r="F87" s="268" t="str">
        <v>R-PV</v>
      </c>
      <c r="G87" s="268" t="str">
        <v>NEM</v>
      </c>
      <c r="H87" s="268">
        <v>9.44</v>
      </c>
      <c r="I87" s="268" t="str">
        <v>Astronergy 590Wp</v>
      </c>
      <c r="J87" s="268">
        <v>16</v>
      </c>
      <c r="K87" s="268" t="str">
        <v>Huawei SUN2000-8KTL</v>
      </c>
      <c r="L87" s="268">
        <v>0</v>
      </c>
      <c r="M87" s="268" t="str">
        <v>Pending NEM Welcome Letter</v>
      </c>
      <c r="N87" s="268"/>
      <c r="O87" s="268"/>
    </row>
    <row r="88" spans="2:15" s="269" customFormat="1" x14ac:dyDescent="0.3">
      <c r="B88" s="268">
        <v>2503609</v>
      </c>
      <c r="C88" s="268" t="str">
        <v>Yau Hwee Tien</v>
      </c>
      <c r="D88" s="268" t="e" vm="8">
        <v>#VALUE!</v>
      </c>
      <c r="E88" s="268" t="str">
        <v>Tham</v>
      </c>
      <c r="F88" s="268" t="str">
        <v>R-PV</v>
      </c>
      <c r="G88" s="268" t="str">
        <v>NEM</v>
      </c>
      <c r="H88" s="268">
        <v>14.16</v>
      </c>
      <c r="I88" s="268" t="str">
        <v>Astronergy 590Wp</v>
      </c>
      <c r="J88" s="268">
        <v>24</v>
      </c>
      <c r="K88" s="268" t="str">
        <v>Huawei SUN2000-12KTL</v>
      </c>
      <c r="L88" s="268">
        <v>0</v>
      </c>
      <c r="M88" s="268" t="str">
        <v>Pending NEM Welcome Letter</v>
      </c>
      <c r="N88" s="268"/>
      <c r="O88" s="268"/>
    </row>
    <row r="89" spans="2:15" s="269" customFormat="1" x14ac:dyDescent="0.3">
      <c r="B89" s="268">
        <v>2501524</v>
      </c>
      <c r="C89" s="268" t="str">
        <v>Jeremy Koo Wui Ken</v>
      </c>
      <c r="D89" s="268" t="e" vm="5">
        <v>#VALUE!</v>
      </c>
      <c r="E89" s="268" t="str">
        <v>Tham</v>
      </c>
      <c r="F89" s="268" t="str">
        <v>R-PV</v>
      </c>
      <c r="G89" s="268" t="str">
        <v>NEM</v>
      </c>
      <c r="H89" s="268">
        <v>9.44</v>
      </c>
      <c r="I89" s="268" t="str">
        <v>Astronergy 590Wp</v>
      </c>
      <c r="J89" s="268">
        <v>16</v>
      </c>
      <c r="K89" s="268" t="str">
        <v>Huawei SUN2000-8KTL</v>
      </c>
      <c r="L89" s="268">
        <v>0</v>
      </c>
      <c r="M89" s="268" t="str">
        <v>Pending NEM Welcome Letter</v>
      </c>
      <c r="N89" s="268"/>
      <c r="O89" s="268"/>
    </row>
    <row r="90" spans="2:15" s="269" customFormat="1" x14ac:dyDescent="0.3">
      <c r="B90" s="268">
        <v>2503617</v>
      </c>
      <c r="C90" s="268" t="str">
        <v>Vinny Len Siew Meng</v>
      </c>
      <c r="D90" s="268" t="e" vm="11">
        <v>#VALUE!</v>
      </c>
      <c r="E90" s="268" t="str">
        <v>Patricia</v>
      </c>
      <c r="F90" s="268" t="str">
        <v>R-PV</v>
      </c>
      <c r="G90" s="268" t="str">
        <v>NEM</v>
      </c>
      <c r="H90" s="268">
        <v>17.7</v>
      </c>
      <c r="I90" s="268" t="str">
        <v>Astronergy 590Wp</v>
      </c>
      <c r="J90" s="268">
        <v>30</v>
      </c>
      <c r="K90" s="268" t="str">
        <v>Huawei SUN2000-12KTL</v>
      </c>
      <c r="L90" s="268">
        <v>0</v>
      </c>
      <c r="M90" s="268" t="str">
        <v>Pending NEM Welcome Letter</v>
      </c>
      <c r="N90" s="268"/>
      <c r="O90" s="268"/>
    </row>
    <row r="91" spans="2:15" s="275" customFormat="1" x14ac:dyDescent="0.3">
      <c r="B91" s="274">
        <v>2503601</v>
      </c>
      <c r="C91" s="274" t="str">
        <v>William Song Jian Tat</v>
      </c>
      <c r="D91" s="274" t="e" vm="5">
        <v>#VALUE!</v>
      </c>
      <c r="E91" s="274" t="str">
        <v>Tham</v>
      </c>
      <c r="F91" s="274" t="str">
        <v>R-PV</v>
      </c>
      <c r="G91" s="274" t="str">
        <v>NEM</v>
      </c>
      <c r="H91" s="274">
        <v>9.44</v>
      </c>
      <c r="I91" s="274" t="str">
        <v>Astronergy 590Wp</v>
      </c>
      <c r="J91" s="274">
        <v>16</v>
      </c>
      <c r="K91" s="274" t="str">
        <v>Huawei SUN2000-8KTL</v>
      </c>
      <c r="L91" s="274">
        <v>0</v>
      </c>
      <c r="M91" s="274" t="str">
        <v>Pending Site Installation</v>
      </c>
      <c r="N91" s="274"/>
      <c r="O91" s="274"/>
    </row>
    <row r="92" spans="2:15" s="275" customFormat="1" x14ac:dyDescent="0.3">
      <c r="B92" s="274">
        <v>2503619</v>
      </c>
      <c r="C92" s="274" t="str">
        <v>Haslina binti Othman</v>
      </c>
      <c r="D92" s="274">
        <v>0</v>
      </c>
      <c r="E92" s="274" t="str">
        <v>Patricia</v>
      </c>
      <c r="F92" s="274">
        <v>0</v>
      </c>
      <c r="G92" s="274">
        <v>0</v>
      </c>
      <c r="H92" s="274">
        <v>7.08</v>
      </c>
      <c r="I92" s="274" t="str">
        <v>Astronergy 590Wp</v>
      </c>
      <c r="J92" s="274">
        <v>12</v>
      </c>
      <c r="K92" s="274" t="str">
        <v>Huawei SUN2000-5KTL-L1</v>
      </c>
      <c r="L92" s="274">
        <v>0</v>
      </c>
      <c r="M92" s="274" t="str">
        <v>Pending Site Installation</v>
      </c>
      <c r="N92" s="274"/>
      <c r="O92" s="274"/>
    </row>
    <row r="93" spans="2:15" s="269" customFormat="1" x14ac:dyDescent="0.3">
      <c r="B93" s="268">
        <v>2503589</v>
      </c>
      <c r="C93" s="268" t="str">
        <v>Chong Shiuh Dyi</v>
      </c>
      <c r="D93" s="268" t="e" vm="5">
        <v>#VALUE!</v>
      </c>
      <c r="E93" s="268" t="str">
        <v>Tham</v>
      </c>
      <c r="F93" s="268" t="str">
        <v>R-PV</v>
      </c>
      <c r="G93" s="268" t="str">
        <v>NEM</v>
      </c>
      <c r="H93" s="268">
        <v>7.08</v>
      </c>
      <c r="I93" s="268" t="str">
        <v>Astronergy 590Wp</v>
      </c>
      <c r="J93" s="268">
        <v>12</v>
      </c>
      <c r="K93" s="268" t="str">
        <v>Huawei SUN2000-5KTL-L1</v>
      </c>
      <c r="L93" s="268">
        <v>0</v>
      </c>
      <c r="M93" s="268" t="str">
        <v>Pending NEM Welcome Letter</v>
      </c>
      <c r="N93" s="268"/>
      <c r="O93" s="268"/>
    </row>
    <row r="94" spans="2:15" s="269" customFormat="1" x14ac:dyDescent="0.3">
      <c r="B94" s="268">
        <v>2504633</v>
      </c>
      <c r="C94" s="268" t="str">
        <v>Yong Chee Seng</v>
      </c>
      <c r="D94" s="268" t="e" vm="5">
        <v>#VALUE!</v>
      </c>
      <c r="E94" s="268" t="str">
        <v>Tham</v>
      </c>
      <c r="F94" s="268" t="str">
        <v>R-PV</v>
      </c>
      <c r="G94" s="268" t="str">
        <v>NEM</v>
      </c>
      <c r="H94" s="268">
        <v>7.08</v>
      </c>
      <c r="I94" s="268" t="str">
        <v>Astronergy 590Wp</v>
      </c>
      <c r="J94" s="268">
        <v>12</v>
      </c>
      <c r="K94" s="268" t="str">
        <v>Huawei SUN2000-5KTL-L1</v>
      </c>
      <c r="L94" s="268">
        <v>0</v>
      </c>
      <c r="M94" s="268" t="str">
        <v>Pending NEM Welcome Letter</v>
      </c>
      <c r="N94" s="268"/>
      <c r="O94" s="268"/>
    </row>
    <row r="95" spans="2:15" s="269" customFormat="1" x14ac:dyDescent="0.3">
      <c r="B95" s="268">
        <v>2504636</v>
      </c>
      <c r="C95" s="268" t="str">
        <v>Nur Salinahany binti Hanafiah</v>
      </c>
      <c r="D95" s="268" t="e" vm="11">
        <v>#VALUE!</v>
      </c>
      <c r="E95" s="268" t="str">
        <v>Patricia</v>
      </c>
      <c r="F95" s="268" t="str">
        <v>R-PV</v>
      </c>
      <c r="G95" s="268" t="str">
        <v>NEM</v>
      </c>
      <c r="H95" s="268">
        <v>17.7</v>
      </c>
      <c r="I95" s="268" t="str">
        <v>Astronergy 590Wp</v>
      </c>
      <c r="J95" s="268">
        <v>30</v>
      </c>
      <c r="K95" s="268" t="str">
        <v>Huawei SUN2000-12KTL</v>
      </c>
      <c r="L95" s="268">
        <v>0</v>
      </c>
      <c r="M95" s="268" t="str">
        <v>Pending NEM Welcome Letter</v>
      </c>
      <c r="N95" s="268"/>
      <c r="O95" s="268"/>
    </row>
    <row r="96" spans="2:15" s="269" customFormat="1" x14ac:dyDescent="0.3">
      <c r="B96" s="268">
        <v>2406152</v>
      </c>
      <c r="C96" s="268" t="str">
        <v>Chara Sdn Bhd</v>
      </c>
      <c r="D96" s="268" t="e" vm="5">
        <v>#VALUE!</v>
      </c>
      <c r="E96" s="268" t="str">
        <v>Simon</v>
      </c>
      <c r="F96" s="268" t="str">
        <v>C&amp;I-PV</v>
      </c>
      <c r="G96" s="268" t="str">
        <v>NEM</v>
      </c>
      <c r="H96" s="268">
        <v>93.17</v>
      </c>
      <c r="I96" s="268" t="str">
        <v>Astronergy 605Wp</v>
      </c>
      <c r="J96" s="268">
        <v>154</v>
      </c>
      <c r="K96" s="268" t="str">
        <v>Huawei SN2000-40KTL + Huawei SUN2000-30KTL</v>
      </c>
      <c r="L96" s="268">
        <v>0</v>
      </c>
      <c r="M96" s="268" t="str">
        <v>Pending NEM Welcome Letter</v>
      </c>
      <c r="N96" s="268"/>
      <c r="O96" s="268"/>
    </row>
    <row r="97" spans="2:15" s="269" customFormat="1" x14ac:dyDescent="0.3">
      <c r="B97" s="268">
        <v>2504640</v>
      </c>
      <c r="C97" s="268" t="str">
        <v>Ng Mong Ping</v>
      </c>
      <c r="D97" s="268" t="e" vm="8">
        <v>#VALUE!</v>
      </c>
      <c r="E97" s="268" t="str">
        <v>Tham</v>
      </c>
      <c r="F97" s="268" t="str">
        <v>R-PV</v>
      </c>
      <c r="G97" s="268" t="str">
        <v>NEM</v>
      </c>
      <c r="H97" s="268">
        <v>9.44</v>
      </c>
      <c r="I97" s="268" t="str">
        <v>Astronergy 590Wp</v>
      </c>
      <c r="J97" s="268">
        <v>16</v>
      </c>
      <c r="K97" s="268" t="str">
        <v>Huawei SUN2000-8KTL</v>
      </c>
      <c r="L97" s="268">
        <v>0</v>
      </c>
      <c r="M97" s="268" t="str">
        <v>Pending NEM Welcome Letter</v>
      </c>
      <c r="N97" s="268"/>
      <c r="O97" s="268"/>
    </row>
    <row r="98" spans="2:15" s="269" customFormat="1" x14ac:dyDescent="0.3">
      <c r="B98" s="268">
        <v>2504638</v>
      </c>
      <c r="C98" s="268" t="str">
        <v>Lai Boon Liong</v>
      </c>
      <c r="D98" s="268" t="e" vm="8">
        <v>#VALUE!</v>
      </c>
      <c r="E98" s="268" t="str">
        <v>Tham</v>
      </c>
      <c r="F98" s="268" t="str">
        <v>R-PV</v>
      </c>
      <c r="G98" s="268" t="str">
        <v>NEM</v>
      </c>
      <c r="H98" s="268">
        <v>9.44</v>
      </c>
      <c r="I98" s="268" t="str">
        <v>Astronergy 590Wp</v>
      </c>
      <c r="J98" s="268">
        <v>16</v>
      </c>
      <c r="K98" s="268" t="str">
        <v>Huawei SUN2000-8KTL</v>
      </c>
      <c r="L98" s="268">
        <v>0</v>
      </c>
      <c r="M98" s="268" t="str">
        <v>Pending NEM Welcome Letter</v>
      </c>
      <c r="N98" s="268"/>
      <c r="O98" s="268"/>
    </row>
    <row r="99" spans="2:15" s="269" customFormat="1" x14ac:dyDescent="0.3">
      <c r="B99" s="268">
        <v>2504647</v>
      </c>
      <c r="C99" s="268" t="str">
        <v>Tan Hock Cheng</v>
      </c>
      <c r="D99" s="268" t="e" vm="11">
        <v>#VALUE!</v>
      </c>
      <c r="E99" s="268" t="str">
        <v>Patricia</v>
      </c>
      <c r="F99" s="268" t="str">
        <v>R-PV</v>
      </c>
      <c r="G99" s="268" t="str">
        <v>NEM</v>
      </c>
      <c r="H99" s="268">
        <v>7.08</v>
      </c>
      <c r="I99" s="268" t="str">
        <v>Astronergy 590Wp</v>
      </c>
      <c r="J99" s="268">
        <v>12</v>
      </c>
      <c r="K99" s="268" t="str">
        <v>Huawei SUN2000-5KTL-L1</v>
      </c>
      <c r="L99" s="268">
        <v>0</v>
      </c>
      <c r="M99" s="268" t="str">
        <v>Pending NEM Welcome Letter</v>
      </c>
      <c r="N99" s="268"/>
      <c r="O99" s="268"/>
    </row>
    <row r="100" spans="2:15" s="269" customFormat="1" x14ac:dyDescent="0.3">
      <c r="B100" s="268">
        <v>2504658</v>
      </c>
      <c r="C100" s="268" t="str">
        <v>Phang Yeong Chin</v>
      </c>
      <c r="D100" s="268" t="e" vm="5">
        <v>#VALUE!</v>
      </c>
      <c r="E100" s="268" t="str">
        <v>Ong</v>
      </c>
      <c r="F100" s="268" t="str">
        <v>R-PV</v>
      </c>
      <c r="G100" s="268" t="str">
        <v>NEM</v>
      </c>
      <c r="H100" s="268">
        <v>7.08</v>
      </c>
      <c r="I100" s="268" t="str">
        <v>Astronergy 590Wp</v>
      </c>
      <c r="J100" s="268">
        <v>12</v>
      </c>
      <c r="K100" s="268" t="str">
        <v>Huawei SUN2000-5KTL-L1</v>
      </c>
      <c r="L100" s="268">
        <v>0</v>
      </c>
      <c r="M100" s="268" t="str">
        <v>Pending NEM Welcome Letter</v>
      </c>
      <c r="N100" s="268"/>
      <c r="O100" s="268"/>
    </row>
    <row r="101" spans="2:15" s="275" customFormat="1" x14ac:dyDescent="0.3">
      <c r="B101" s="274">
        <v>2503614</v>
      </c>
      <c r="C101" s="274" t="str">
        <v>Yap Weoi Kee</v>
      </c>
      <c r="D101" s="274">
        <v>0</v>
      </c>
      <c r="E101" s="274" t="str">
        <v>Simon</v>
      </c>
      <c r="F101" s="274">
        <v>0</v>
      </c>
      <c r="G101" s="274">
        <v>0</v>
      </c>
      <c r="H101" s="274">
        <v>0</v>
      </c>
      <c r="I101" s="274" t="str">
        <v>Astronergy 590Wp</v>
      </c>
      <c r="J101" s="274">
        <v>15</v>
      </c>
      <c r="K101" s="274" t="str">
        <v>Solax 8kW</v>
      </c>
      <c r="L101" s="274">
        <v>0</v>
      </c>
      <c r="M101" s="274" t="str">
        <v>Pending Site Installation</v>
      </c>
      <c r="N101" s="274"/>
      <c r="O101" s="274"/>
    </row>
    <row r="102" spans="2:15" s="269" customFormat="1" x14ac:dyDescent="0.3">
      <c r="B102" s="268">
        <v>2504643</v>
      </c>
      <c r="C102" s="268" t="str">
        <v>Lee Sui Lian</v>
      </c>
      <c r="D102" s="268" t="e" vm="11">
        <v>#VALUE!</v>
      </c>
      <c r="E102" s="268" t="str">
        <v>Patricia</v>
      </c>
      <c r="F102" s="268" t="str">
        <v>R-PV</v>
      </c>
      <c r="G102" s="268" t="str">
        <v>NEM</v>
      </c>
      <c r="H102" s="268">
        <v>17.7</v>
      </c>
      <c r="I102" s="268" t="str">
        <v>Astronergy 590Wp</v>
      </c>
      <c r="J102" s="268">
        <v>30</v>
      </c>
      <c r="K102" s="268" t="str">
        <v>Huawei SUN2000-12KTL</v>
      </c>
      <c r="L102" s="268">
        <v>0</v>
      </c>
      <c r="M102" s="268" t="str">
        <v>Pending NEM Welcome Letter</v>
      </c>
      <c r="N102" s="268"/>
      <c r="O102" s="268"/>
    </row>
    <row r="103" spans="2:15" s="269" customFormat="1" x14ac:dyDescent="0.3">
      <c r="B103" s="268">
        <v>2504663</v>
      </c>
      <c r="C103" s="268" t="str">
        <v>Too Seng Eng</v>
      </c>
      <c r="D103" s="268" t="e" vm="11">
        <v>#VALUE!</v>
      </c>
      <c r="E103" s="268" t="str">
        <v>Patricia</v>
      </c>
      <c r="F103" s="268" t="str">
        <v>R-PV</v>
      </c>
      <c r="G103" s="268" t="str">
        <v>NEM</v>
      </c>
      <c r="H103" s="268">
        <v>7.08</v>
      </c>
      <c r="I103" s="268" t="str">
        <v>Astronergy 590Wp</v>
      </c>
      <c r="J103" s="268">
        <v>12</v>
      </c>
      <c r="K103" s="268" t="str">
        <v>Huawei SUN2000-6KTL-M1</v>
      </c>
      <c r="L103" s="268">
        <v>0</v>
      </c>
      <c r="M103" s="268" t="str">
        <v>Pending NEM Welcome Letter</v>
      </c>
      <c r="N103" s="268"/>
      <c r="O103" s="268"/>
    </row>
    <row r="104" spans="2:15" s="275" customFormat="1" x14ac:dyDescent="0.3">
      <c r="B104" s="274">
        <v>2504671</v>
      </c>
      <c r="C104" s="274" t="str">
        <v>Anthony Phua Kin Loong</v>
      </c>
      <c r="D104" s="274" t="e" vm="11">
        <v>#VALUE!</v>
      </c>
      <c r="E104" s="274" t="str">
        <v>Patricia</v>
      </c>
      <c r="F104" s="274" t="str">
        <v>R-PV</v>
      </c>
      <c r="G104" s="274" t="str">
        <v>NEM</v>
      </c>
      <c r="H104" s="274">
        <v>17.7</v>
      </c>
      <c r="I104" s="274" t="str">
        <v>Astronergy 590Wp</v>
      </c>
      <c r="J104" s="274">
        <v>30</v>
      </c>
      <c r="K104" s="274" t="str">
        <v>Huawei SUN2000-12KTL</v>
      </c>
      <c r="L104" s="274">
        <v>0</v>
      </c>
      <c r="M104" s="274" t="str">
        <v>Pending Site Installation</v>
      </c>
      <c r="N104" s="274"/>
      <c r="O104" s="274"/>
    </row>
    <row r="105" spans="2:15" s="275" customFormat="1" x14ac:dyDescent="0.3">
      <c r="B105" s="274">
        <v>2505675</v>
      </c>
      <c r="C105" s="274" t="str">
        <v>Tee Hup Soon</v>
      </c>
      <c r="D105" s="274" t="e" vm="11">
        <v>#VALUE!</v>
      </c>
      <c r="E105" s="274" t="str">
        <v>Patricia</v>
      </c>
      <c r="F105" s="274" t="str">
        <v>R-PV</v>
      </c>
      <c r="G105" s="274" t="str">
        <v>NEM</v>
      </c>
      <c r="H105" s="274">
        <v>15.34</v>
      </c>
      <c r="I105" s="274" t="str">
        <v>Astronergy 590Wp</v>
      </c>
      <c r="J105" s="274">
        <v>26</v>
      </c>
      <c r="K105" s="274" t="str">
        <v>Huawei SUN2000-12KTL</v>
      </c>
      <c r="L105" s="274">
        <v>0</v>
      </c>
      <c r="M105" s="274" t="str">
        <v>Pending Site Installation</v>
      </c>
      <c r="N105" s="274"/>
      <c r="O105" s="274"/>
    </row>
    <row r="106" spans="2:15" s="269" customFormat="1" x14ac:dyDescent="0.3">
      <c r="B106" s="268">
        <v>2502564</v>
      </c>
      <c r="C106" s="268" t="str">
        <v>Muhammad Arif Stephen bin Abddullah</v>
      </c>
      <c r="D106" s="268" t="e" vm="5">
        <v>#VALUE!</v>
      </c>
      <c r="E106" s="268" t="str">
        <v>Simon</v>
      </c>
      <c r="F106" s="268" t="str">
        <v>R-PV</v>
      </c>
      <c r="G106" s="268" t="str">
        <v>NEM</v>
      </c>
      <c r="H106" s="268">
        <v>17.7</v>
      </c>
      <c r="I106" s="268" t="str">
        <v>Astronergy 590Wp</v>
      </c>
      <c r="J106" s="268">
        <v>30</v>
      </c>
      <c r="K106" s="268" t="str">
        <v>Solinteg MHT-12K-25 hybrid</v>
      </c>
      <c r="L106" s="268">
        <v>0</v>
      </c>
      <c r="M106" s="268" t="str">
        <v>Pending NEM Welcome Letter</v>
      </c>
      <c r="N106" s="268"/>
      <c r="O106" s="268"/>
    </row>
    <row r="107" spans="2:15" s="265" customFormat="1" x14ac:dyDescent="0.3">
      <c r="B107" s="264">
        <v>2504664</v>
      </c>
      <c r="C107" s="264" t="str">
        <v>Law Meng Siong</v>
      </c>
      <c r="D107" s="264" t="e" vm="11">
        <v>#VALUE!</v>
      </c>
      <c r="E107" s="264" t="str">
        <v>Patricia</v>
      </c>
      <c r="F107" s="264" t="str">
        <v>R-PV</v>
      </c>
      <c r="G107" s="264" t="str">
        <v>NEM</v>
      </c>
      <c r="H107" s="264">
        <v>17.7</v>
      </c>
      <c r="I107" s="264" t="str">
        <v>Astronergy 590Wp</v>
      </c>
      <c r="J107" s="264">
        <v>30</v>
      </c>
      <c r="K107" s="264" t="str">
        <v>Huawei SUN2000-12KTL</v>
      </c>
      <c r="L107" s="264">
        <v>0</v>
      </c>
      <c r="M107" s="264" t="str">
        <v>Pending NEM Qouta Approval</v>
      </c>
      <c r="N107" s="264"/>
      <c r="O107" s="264"/>
    </row>
    <row r="108" spans="2:15" s="269" customFormat="1" x14ac:dyDescent="0.3">
      <c r="B108" s="268">
        <v>2505686</v>
      </c>
      <c r="C108" s="268" t="str">
        <v>Lai Kwee Far</v>
      </c>
      <c r="D108" s="268" t="e" vm="11">
        <v>#VALUE!</v>
      </c>
      <c r="E108" s="268" t="str">
        <v>Patricia</v>
      </c>
      <c r="F108" s="268" t="str">
        <v>R-PV</v>
      </c>
      <c r="G108" s="268" t="str">
        <v>NEM</v>
      </c>
      <c r="H108" s="268">
        <v>7.08</v>
      </c>
      <c r="I108" s="268" t="str">
        <v>Astronergy 590Wp</v>
      </c>
      <c r="J108" s="268">
        <v>12</v>
      </c>
      <c r="K108" s="268" t="str">
        <v>Huawei SUN2000-5KTL-L1</v>
      </c>
      <c r="L108" s="268">
        <v>0</v>
      </c>
      <c r="M108" s="268" t="str">
        <v>Pending NEM Welcome Letter</v>
      </c>
      <c r="N108" s="268"/>
      <c r="O108" s="268"/>
    </row>
    <row r="109" spans="2:15" s="269" customFormat="1" x14ac:dyDescent="0.3">
      <c r="B109" s="268">
        <v>2503603</v>
      </c>
      <c r="C109" s="268" t="str">
        <v>Dr Balbinder Singh a/l Gurbaksh Singh</v>
      </c>
      <c r="D109" s="268" t="e" vm="12">
        <v>#VALUE!</v>
      </c>
      <c r="E109" s="268" t="str">
        <v>Tham</v>
      </c>
      <c r="F109" s="268" t="str">
        <v>R-PV</v>
      </c>
      <c r="G109" s="268" t="str">
        <v>NEM</v>
      </c>
      <c r="H109" s="268">
        <v>17.7</v>
      </c>
      <c r="I109" s="268" t="str">
        <v>Astronergy 590Wp</v>
      </c>
      <c r="J109" s="268">
        <v>30</v>
      </c>
      <c r="K109" s="268" t="str">
        <v>Huawei SUN2000-12KTL</v>
      </c>
      <c r="L109" s="268">
        <v>0</v>
      </c>
      <c r="M109" s="268" t="str">
        <v>Pending NEM Welcome Letter</v>
      </c>
      <c r="N109" s="268"/>
      <c r="O109" s="268"/>
    </row>
    <row r="110" spans="2:15" s="269" customFormat="1" x14ac:dyDescent="0.3">
      <c r="B110" s="268">
        <v>2302004</v>
      </c>
      <c r="C110" s="268" t="str">
        <v>Ong Ah Chai</v>
      </c>
      <c r="D110" s="268" t="e" vm="11">
        <v>#VALUE!</v>
      </c>
      <c r="E110" s="268" t="str">
        <v>Chean Bang</v>
      </c>
      <c r="F110" s="268" t="str">
        <v>R-PV</v>
      </c>
      <c r="G110" s="268" t="str">
        <v>NEM</v>
      </c>
      <c r="H110" s="268">
        <v>8.85</v>
      </c>
      <c r="I110" s="268" t="str">
        <v>Astronergy 590Wp</v>
      </c>
      <c r="J110" s="268">
        <v>15</v>
      </c>
      <c r="K110" s="268" t="str">
        <v>Huawei SUN2000-8KTL</v>
      </c>
      <c r="L110" s="268">
        <v>0</v>
      </c>
      <c r="M110" s="268" t="str">
        <v>Pending NEM Welcome Letter</v>
      </c>
      <c r="N110" s="268"/>
      <c r="O110" s="268"/>
    </row>
    <row r="111" spans="2:15" s="269" customFormat="1" x14ac:dyDescent="0.3">
      <c r="B111" s="268">
        <v>2503225</v>
      </c>
      <c r="C111" s="268" t="str">
        <v>Weller Air-Cond Parts Enterprise Sdn Bhd</v>
      </c>
      <c r="D111" s="268" t="e" vm="5">
        <v>#VALUE!</v>
      </c>
      <c r="E111" s="268" t="str">
        <v>Tham</v>
      </c>
      <c r="F111" s="268" t="str">
        <v>C&amp;I-PV</v>
      </c>
      <c r="G111" s="268" t="str">
        <v>NEM</v>
      </c>
      <c r="H111" s="268">
        <v>97.6</v>
      </c>
      <c r="I111" s="268" t="str">
        <v>Astronergy 610Wp</v>
      </c>
      <c r="J111" s="268">
        <v>160</v>
      </c>
      <c r="K111" s="268" t="str">
        <v>Huawei SUN2000-50KTL + SUN2000-20KTL</v>
      </c>
      <c r="L111" s="268">
        <v>0</v>
      </c>
      <c r="M111" s="268" t="str">
        <v>Pending NEM Welcome Letter</v>
      </c>
      <c r="N111" s="268"/>
      <c r="O111" s="268"/>
    </row>
    <row r="112" spans="2:15" s="269" customFormat="1" x14ac:dyDescent="0.3">
      <c r="B112" s="268">
        <v>2403185</v>
      </c>
      <c r="C112" s="268" t="str">
        <v>Wan Kong Wing</v>
      </c>
      <c r="D112" s="268" t="e" vm="5">
        <v>#VALUE!</v>
      </c>
      <c r="E112" s="268" t="str">
        <v>Tham</v>
      </c>
      <c r="F112" s="268" t="str">
        <v>R-PV</v>
      </c>
      <c r="G112" s="268" t="str">
        <v>NEM</v>
      </c>
      <c r="H112" s="268">
        <v>7.08</v>
      </c>
      <c r="I112" s="268" t="str">
        <v>Astronergy 590Wp</v>
      </c>
      <c r="J112" s="268">
        <v>12</v>
      </c>
      <c r="K112" s="268" t="str">
        <v>Huawei SUN2000-5KTL-L1</v>
      </c>
      <c r="L112" s="268">
        <v>0</v>
      </c>
      <c r="M112" s="268" t="str">
        <v>Pending NEM Welcome Letter</v>
      </c>
      <c r="N112" s="268"/>
      <c r="O112" s="268"/>
    </row>
    <row r="113" spans="2:15" s="275" customFormat="1" x14ac:dyDescent="0.3">
      <c r="B113" s="274">
        <v>2410194</v>
      </c>
      <c r="C113" s="274" t="str">
        <v>Berjayapak Sdn Bhd</v>
      </c>
      <c r="D113" s="274" t="e" vm="3">
        <v>#VALUE!</v>
      </c>
      <c r="E113" s="274" t="str">
        <v>Tham</v>
      </c>
      <c r="F113" s="274" t="str">
        <v>C&amp;I-PV</v>
      </c>
      <c r="G113" s="274" t="str">
        <v>NEM</v>
      </c>
      <c r="H113" s="274">
        <v>207.08</v>
      </c>
      <c r="I113" s="274" t="str">
        <v>Yingli Solar 620Wp</v>
      </c>
      <c r="J113" s="274">
        <v>334</v>
      </c>
      <c r="K113" s="274" t="str">
        <v>Huawei SUN2000-50KTL + SUN2000-20KTL</v>
      </c>
      <c r="L113" s="274">
        <v>0</v>
      </c>
      <c r="M113" s="274" t="str">
        <v>Pending Site Installation</v>
      </c>
      <c r="N113" s="274"/>
      <c r="O113" s="274"/>
    </row>
    <row r="114" spans="2:15" s="269" customFormat="1" x14ac:dyDescent="0.3">
      <c r="B114" s="268">
        <v>2504669</v>
      </c>
      <c r="C114" s="268" t="str">
        <v>Zohairen Bin Mhamad Sori</v>
      </c>
      <c r="D114" s="268" t="e" vm="5">
        <v>#VALUE!</v>
      </c>
      <c r="E114" s="268" t="str">
        <v>Tham</v>
      </c>
      <c r="F114" s="268" t="str">
        <v>R-PV</v>
      </c>
      <c r="G114" s="268" t="str">
        <v>NEM</v>
      </c>
      <c r="H114" s="268">
        <v>10.62</v>
      </c>
      <c r="I114" s="268" t="str">
        <v>Astronergy 590Wp</v>
      </c>
      <c r="J114" s="268">
        <v>18</v>
      </c>
      <c r="K114" s="268" t="str">
        <v>Huawei SUN2000-8KTL</v>
      </c>
      <c r="L114" s="268">
        <v>0</v>
      </c>
      <c r="M114" s="268" t="str">
        <v>Pending NEM Welcome Letter</v>
      </c>
      <c r="N114" s="268"/>
      <c r="O114" s="268"/>
    </row>
    <row r="115" spans="2:15" s="269" customFormat="1" x14ac:dyDescent="0.3">
      <c r="B115" s="268">
        <v>2504660</v>
      </c>
      <c r="C115" s="268" t="str">
        <v>Roshahni Binti Mhammad</v>
      </c>
      <c r="D115" s="268" t="e" vm="11">
        <v>#VALUE!</v>
      </c>
      <c r="E115" s="268" t="str">
        <v>Chean Bang</v>
      </c>
      <c r="F115" s="268" t="str">
        <v>R-PV</v>
      </c>
      <c r="G115" s="268" t="str">
        <v>NEM</v>
      </c>
      <c r="H115" s="268">
        <v>14.75</v>
      </c>
      <c r="I115" s="268" t="str">
        <v>Astronergy 590Wp</v>
      </c>
      <c r="J115" s="268">
        <v>25</v>
      </c>
      <c r="K115" s="268" t="str">
        <v>Huawei SUN2000-12KTL</v>
      </c>
      <c r="L115" s="268">
        <v>0</v>
      </c>
      <c r="M115" s="268" t="str">
        <v>Pending NEM Welcome Letter</v>
      </c>
      <c r="N115" s="268"/>
      <c r="O115" s="268"/>
    </row>
    <row r="116" spans="2:15" s="269" customFormat="1" x14ac:dyDescent="0.3">
      <c r="B116" s="268">
        <v>2410191</v>
      </c>
      <c r="C116" s="268" t="str">
        <v>Jowee Trading Sdn Bhd</v>
      </c>
      <c r="D116" s="268" t="e" vm="8">
        <v>#VALUE!</v>
      </c>
      <c r="E116" s="268" t="str">
        <v>Tham</v>
      </c>
      <c r="F116" s="268" t="str">
        <v>C&amp;I-PV</v>
      </c>
      <c r="G116" s="268" t="str">
        <v>NEM</v>
      </c>
      <c r="H116" s="268">
        <v>53.68</v>
      </c>
      <c r="I116" s="268" t="str">
        <v>Astronergy 620Wp</v>
      </c>
      <c r="J116" s="268">
        <v>88</v>
      </c>
      <c r="K116" s="268" t="str">
        <v>Huawei SUN2000-20KTL x 2</v>
      </c>
      <c r="L116" s="268">
        <v>0</v>
      </c>
      <c r="M116" s="268" t="str">
        <v>Pending NEM Welcome Letter</v>
      </c>
      <c r="N116" s="268"/>
      <c r="O116" s="268"/>
    </row>
    <row r="117" spans="2:15" s="275" customFormat="1" x14ac:dyDescent="0.3">
      <c r="B117" s="274">
        <v>2505695</v>
      </c>
      <c r="C117" s="274" t="str">
        <v>Nur Salwahani Bt Muhammad</v>
      </c>
      <c r="D117" s="274" t="e" vm="11">
        <v>#VALUE!</v>
      </c>
      <c r="E117" s="274" t="str">
        <v>Patricia</v>
      </c>
      <c r="F117" s="274" t="str">
        <v>R-PV</v>
      </c>
      <c r="G117" s="274" t="str">
        <v>NEM</v>
      </c>
      <c r="H117" s="274">
        <v>9.44</v>
      </c>
      <c r="I117" s="274" t="str">
        <v>Astronergy 590Wp</v>
      </c>
      <c r="J117" s="274">
        <v>16</v>
      </c>
      <c r="K117" s="274" t="str">
        <v>Huawei SUN2000-8KTL</v>
      </c>
      <c r="L117" s="274">
        <v>0</v>
      </c>
      <c r="M117" s="274" t="str">
        <v>Pending Site Installation</v>
      </c>
      <c r="N117" s="274"/>
      <c r="O117" s="274"/>
    </row>
    <row r="118" spans="2:15" s="269" customFormat="1" x14ac:dyDescent="0.3">
      <c r="B118" s="268">
        <v>2505672</v>
      </c>
      <c r="C118" s="268" t="str">
        <v xml:space="preserve">Tham Wai Hong </v>
      </c>
      <c r="D118" s="268" t="e" vm="11">
        <v>#VALUE!</v>
      </c>
      <c r="E118" s="268" t="str">
        <v>Patricia</v>
      </c>
      <c r="F118" s="268" t="str">
        <v>R-PV</v>
      </c>
      <c r="G118" s="268" t="str">
        <v>NEM</v>
      </c>
      <c r="H118" s="268">
        <v>8.85</v>
      </c>
      <c r="I118" s="268" t="str">
        <v>Astronergy 590Wp</v>
      </c>
      <c r="J118" s="268">
        <v>15</v>
      </c>
      <c r="K118" s="268" t="str">
        <v>Huawei SUN2000-8KTL</v>
      </c>
      <c r="L118" s="268">
        <v>0</v>
      </c>
      <c r="M118" s="268" t="str">
        <v>Pending NEM Welcome Letter</v>
      </c>
      <c r="N118" s="268"/>
      <c r="O118" s="268"/>
    </row>
    <row r="119" spans="2:15" s="269" customFormat="1" x14ac:dyDescent="0.3">
      <c r="B119" s="268">
        <v>2505684</v>
      </c>
      <c r="C119" s="268" t="str">
        <v>Ng Heng Hock</v>
      </c>
      <c r="D119" s="268" t="e" vm="11">
        <v>#VALUE!</v>
      </c>
      <c r="E119" s="268" t="str">
        <v>Patricia</v>
      </c>
      <c r="F119" s="268" t="str">
        <v>R-PV</v>
      </c>
      <c r="G119" s="268" t="str">
        <v>NEM</v>
      </c>
      <c r="H119" s="268">
        <v>11.21</v>
      </c>
      <c r="I119" s="268" t="str">
        <v>Astronergy 590Wp</v>
      </c>
      <c r="J119" s="268">
        <v>19</v>
      </c>
      <c r="K119" s="268" t="str">
        <v>Huawei SUN2000-10KTL</v>
      </c>
      <c r="L119" s="268">
        <v>0</v>
      </c>
      <c r="M119" s="268" t="str">
        <v>Pending NEM Welcome Letter</v>
      </c>
      <c r="N119" s="268"/>
      <c r="O119" s="268"/>
    </row>
    <row r="120" spans="2:15" s="275" customFormat="1" x14ac:dyDescent="0.3">
      <c r="B120" s="274">
        <v>2505697</v>
      </c>
      <c r="C120" s="274" t="str">
        <v xml:space="preserve">Chong Yee Sam </v>
      </c>
      <c r="D120" s="274" t="e" vm="11">
        <v>#VALUE!</v>
      </c>
      <c r="E120" s="274" t="str">
        <v>Patricia</v>
      </c>
      <c r="F120" s="274" t="str">
        <v>R-PV</v>
      </c>
      <c r="G120" s="274" t="str">
        <v>NEM</v>
      </c>
      <c r="H120" s="274">
        <v>7.08</v>
      </c>
      <c r="I120" s="274" t="str">
        <v>Astronergy 590Wp</v>
      </c>
      <c r="J120" s="274">
        <v>12</v>
      </c>
      <c r="K120" s="274" t="str">
        <v>Huawei SUN2000-5KTL-L1</v>
      </c>
      <c r="L120" s="274">
        <v>0</v>
      </c>
      <c r="M120" s="274" t="str">
        <v>Pending Site Installation</v>
      </c>
      <c r="N120" s="274"/>
      <c r="O120" s="274"/>
    </row>
    <row r="121" spans="2:15" s="269" customFormat="1" x14ac:dyDescent="0.3">
      <c r="B121" s="268">
        <v>2505682</v>
      </c>
      <c r="C121" s="268" t="str">
        <v>Lee Soo Kean</v>
      </c>
      <c r="D121" s="268" t="e" vm="11">
        <v>#VALUE!</v>
      </c>
      <c r="E121" s="268" t="str">
        <v>Patricia</v>
      </c>
      <c r="F121" s="268" t="str">
        <v>R-PV</v>
      </c>
      <c r="G121" s="268" t="str">
        <v>NEM</v>
      </c>
      <c r="H121" s="268">
        <v>13.42</v>
      </c>
      <c r="I121" s="268" t="str">
        <v>Astronergy 610Wp</v>
      </c>
      <c r="J121" s="268">
        <v>22</v>
      </c>
      <c r="K121" s="268" t="str">
        <v>Huawei SUN2000-10KTL</v>
      </c>
      <c r="L121" s="268">
        <v>0</v>
      </c>
      <c r="M121" s="268" t="str">
        <v>Pending NEM Welcome Letter</v>
      </c>
      <c r="N121" s="268"/>
      <c r="O121" s="268"/>
    </row>
    <row r="122" spans="2:15" s="275" customFormat="1" x14ac:dyDescent="0.3">
      <c r="B122" s="274">
        <v>2505699</v>
      </c>
      <c r="C122" s="274" t="str">
        <v>Kiren Kaur A/P Bhajan Singh</v>
      </c>
      <c r="D122" s="274" t="e" vm="11">
        <v>#VALUE!</v>
      </c>
      <c r="E122" s="274" t="str">
        <v>Chean Bang</v>
      </c>
      <c r="F122" s="274" t="str">
        <v>R-PV</v>
      </c>
      <c r="G122" s="274" t="str">
        <v>NEM</v>
      </c>
      <c r="H122" s="274">
        <v>11.8</v>
      </c>
      <c r="I122" s="274" t="str">
        <v>Astronergy 590Wp</v>
      </c>
      <c r="J122" s="274">
        <v>20</v>
      </c>
      <c r="K122" s="274" t="str">
        <v>Huawei SUN2000-10KTL</v>
      </c>
      <c r="L122" s="274">
        <v>0</v>
      </c>
      <c r="M122" s="274" t="str">
        <v>Pending Site Installation</v>
      </c>
      <c r="N122" s="274"/>
      <c r="O122" s="274"/>
    </row>
    <row r="123" spans="2:15" s="275" customFormat="1" x14ac:dyDescent="0.3">
      <c r="B123" s="274">
        <v>2503612</v>
      </c>
      <c r="C123" s="274" t="str">
        <v>Low Bok Tek</v>
      </c>
      <c r="D123" s="274" t="e" vm="5">
        <v>#VALUE!</v>
      </c>
      <c r="E123" s="274" t="str">
        <v>Tham</v>
      </c>
      <c r="F123" s="274" t="str">
        <v>R-PV</v>
      </c>
      <c r="G123" s="274" t="str">
        <v>NEM</v>
      </c>
      <c r="H123" s="274">
        <v>17.7</v>
      </c>
      <c r="I123" s="274" t="str">
        <v>Astronergy 590Wp</v>
      </c>
      <c r="J123" s="274">
        <v>30</v>
      </c>
      <c r="K123" s="274" t="str">
        <v>Huawei SUN2000-12KTL</v>
      </c>
      <c r="L123" s="274">
        <v>0</v>
      </c>
      <c r="M123" s="274" t="str">
        <v>Pending Site Installation</v>
      </c>
      <c r="N123" s="274"/>
      <c r="O123" s="274"/>
    </row>
    <row r="124" spans="2:15" s="275" customFormat="1" x14ac:dyDescent="0.3">
      <c r="B124" s="274">
        <v>2505680</v>
      </c>
      <c r="C124" s="274" t="str">
        <v>Chiang Hock Chiong</v>
      </c>
      <c r="D124" s="274" t="e" vm="11">
        <v>#VALUE!</v>
      </c>
      <c r="E124" s="274" t="str">
        <v>Patricia</v>
      </c>
      <c r="F124" s="274" t="str">
        <v>R-PV</v>
      </c>
      <c r="G124" s="274" t="str">
        <v>NEM</v>
      </c>
      <c r="H124" s="274">
        <v>17.7</v>
      </c>
      <c r="I124" s="274" t="str">
        <v>Astronergy 590Wp</v>
      </c>
      <c r="J124" s="274">
        <v>30</v>
      </c>
      <c r="K124" s="274" t="str">
        <v>Huawei SUN2000-12KTL</v>
      </c>
      <c r="L124" s="274">
        <v>0</v>
      </c>
      <c r="M124" s="274" t="str">
        <v>Pending Site Installation</v>
      </c>
      <c r="N124" s="274"/>
      <c r="O124" s="274"/>
    </row>
    <row r="125" spans="2:15" s="269" customFormat="1" x14ac:dyDescent="0.3">
      <c r="B125" s="268">
        <v>2503607</v>
      </c>
      <c r="C125" s="268" t="str">
        <v>Goh Boon Leng</v>
      </c>
      <c r="D125" s="268" t="e" vm="5">
        <v>#VALUE!</v>
      </c>
      <c r="E125" s="268" t="str">
        <v>Tham</v>
      </c>
      <c r="F125" s="268" t="str">
        <v>R-PV</v>
      </c>
      <c r="G125" s="268" t="str">
        <v>NEM</v>
      </c>
      <c r="H125" s="268">
        <v>10.62</v>
      </c>
      <c r="I125" s="268" t="str">
        <v>Astronergy 590Wp</v>
      </c>
      <c r="J125" s="268">
        <v>18</v>
      </c>
      <c r="K125" s="268" t="str">
        <v>Huawei SUN2000-8KTL</v>
      </c>
      <c r="L125" s="268">
        <v>0</v>
      </c>
      <c r="M125" s="268" t="str">
        <v>Pending NEM Welcome Letter</v>
      </c>
      <c r="N125" s="268"/>
      <c r="O125" s="268"/>
    </row>
    <row r="126" spans="2:15" s="265" customFormat="1" x14ac:dyDescent="0.3">
      <c r="B126" s="264">
        <v>2505711</v>
      </c>
      <c r="C126" s="264" t="str">
        <v>Lee Len Foong</v>
      </c>
      <c r="D126" s="264" t="e" vm="11">
        <v>#VALUE!</v>
      </c>
      <c r="E126" s="264" t="str">
        <v>Chean Bang</v>
      </c>
      <c r="F126" s="264" t="str">
        <v>R-PV</v>
      </c>
      <c r="G126" s="264" t="str">
        <v>NEM</v>
      </c>
      <c r="H126" s="264">
        <v>8.26</v>
      </c>
      <c r="I126" s="264" t="str">
        <v>Astronergy 590Wp</v>
      </c>
      <c r="J126" s="264">
        <v>14</v>
      </c>
      <c r="K126" s="264" t="str">
        <v>Huawei SUN2000-6KTL</v>
      </c>
      <c r="L126" s="264">
        <v>0</v>
      </c>
      <c r="M126" s="264" t="str">
        <v>Pending NEM Qouta Approval</v>
      </c>
      <c r="N126" s="264"/>
      <c r="O126" s="264"/>
    </row>
    <row r="127" spans="2:15" s="269" customFormat="1" x14ac:dyDescent="0.3">
      <c r="B127" s="268">
        <v>2505713</v>
      </c>
      <c r="C127" s="268" t="str">
        <v>Yap Swee Piau</v>
      </c>
      <c r="D127" s="268" t="e" vm="11">
        <v>#VALUE!</v>
      </c>
      <c r="E127" s="268" t="str">
        <v>Patricia</v>
      </c>
      <c r="F127" s="268" t="str">
        <v>R-PV</v>
      </c>
      <c r="G127" s="268" t="str">
        <v>NEM</v>
      </c>
      <c r="H127" s="268">
        <v>17.7</v>
      </c>
      <c r="I127" s="268" t="str">
        <v>Astronergy 590Wp</v>
      </c>
      <c r="J127" s="268">
        <v>30</v>
      </c>
      <c r="K127" s="268" t="str">
        <v>Huawei SUN2000-12KTL</v>
      </c>
      <c r="L127" s="268">
        <v>0</v>
      </c>
      <c r="M127" s="268" t="str">
        <v>Pending NEM Welcome Letter</v>
      </c>
      <c r="N127" s="268"/>
      <c r="O127" s="268"/>
    </row>
    <row r="128" spans="2:15" s="275" customFormat="1" x14ac:dyDescent="0.3">
      <c r="B128" s="274">
        <v>2505714</v>
      </c>
      <c r="C128" s="274" t="str">
        <v>Kong King Wai</v>
      </c>
      <c r="D128" s="274" t="e" vm="5">
        <v>#VALUE!</v>
      </c>
      <c r="E128" s="274" t="str">
        <v>Tham</v>
      </c>
      <c r="F128" s="274" t="str">
        <v>R-PV</v>
      </c>
      <c r="G128" s="274" t="str">
        <v>NEM</v>
      </c>
      <c r="H128" s="274">
        <v>7.08</v>
      </c>
      <c r="I128" s="274" t="str">
        <v>Astronergy 590Wp</v>
      </c>
      <c r="J128" s="274">
        <v>12</v>
      </c>
      <c r="K128" s="274" t="str">
        <v>Huawei SUN2000-5KTL-L1</v>
      </c>
      <c r="L128" s="274">
        <v>0</v>
      </c>
      <c r="M128" s="274" t="str">
        <v>Pending Site Installation</v>
      </c>
      <c r="N128" s="274"/>
      <c r="O128" s="274"/>
    </row>
    <row r="129" spans="2:15" s="269" customFormat="1" x14ac:dyDescent="0.3">
      <c r="B129" s="268">
        <v>2505717</v>
      </c>
      <c r="C129" s="268" t="str">
        <v>Sia Wee Leng</v>
      </c>
      <c r="D129" s="268" t="e" vm="12">
        <v>#VALUE!</v>
      </c>
      <c r="E129" s="268" t="str">
        <v>Tham</v>
      </c>
      <c r="F129" s="268" t="str">
        <v>R-PV</v>
      </c>
      <c r="G129" s="268" t="str">
        <v>NEM</v>
      </c>
      <c r="H129" s="268">
        <v>16.52</v>
      </c>
      <c r="I129" s="268" t="str">
        <v>Astronergy 590Wp</v>
      </c>
      <c r="J129" s="268">
        <v>28</v>
      </c>
      <c r="K129" s="268" t="str">
        <v>Huawei SUN2000-12KTL</v>
      </c>
      <c r="L129" s="268">
        <v>0</v>
      </c>
      <c r="M129" s="268" t="str">
        <v>Pending NEM Welcome Letter</v>
      </c>
      <c r="N129" s="268"/>
      <c r="O129" s="268"/>
    </row>
    <row r="130" spans="2:15" s="267" customFormat="1" x14ac:dyDescent="0.3">
      <c r="B130" s="266" t="str">
        <v>2505699-1</v>
      </c>
      <c r="C130" s="266" t="str">
        <v>Leong Wai Wung</v>
      </c>
      <c r="D130" s="266" t="e" vm="5">
        <v>#VALUE!</v>
      </c>
      <c r="E130" s="266" t="str">
        <v>Tham</v>
      </c>
      <c r="F130" s="266" t="str">
        <v>R-PV</v>
      </c>
      <c r="G130" s="266" t="str">
        <v>NEM</v>
      </c>
      <c r="H130" s="266">
        <v>11.8</v>
      </c>
      <c r="I130" s="266" t="str">
        <v>Astronergy 590Wp</v>
      </c>
      <c r="J130" s="266">
        <v>20</v>
      </c>
      <c r="K130" s="266" t="str">
        <v>Huawei SUN2000-10KTL</v>
      </c>
      <c r="L130" s="266">
        <v>0</v>
      </c>
      <c r="M130" s="266" t="str">
        <v>Pending NEM Qouta Submission</v>
      </c>
      <c r="N130" s="266"/>
      <c r="O130" s="266"/>
    </row>
    <row r="131" spans="2:15" s="269" customFormat="1" x14ac:dyDescent="0.3">
      <c r="B131" s="268">
        <v>2505719</v>
      </c>
      <c r="C131" s="268" t="str">
        <v>Lim Jun Hong</v>
      </c>
      <c r="D131" s="268" t="e" vm="5">
        <v>#VALUE!</v>
      </c>
      <c r="E131" s="268" t="str">
        <v>Tham</v>
      </c>
      <c r="F131" s="268" t="str">
        <v>R-PV</v>
      </c>
      <c r="G131" s="268" t="str">
        <v>NEM</v>
      </c>
      <c r="H131" s="268">
        <v>11.78</v>
      </c>
      <c r="I131" s="268" t="str">
        <v>Astronergy 620Wp</v>
      </c>
      <c r="J131" s="268">
        <v>19</v>
      </c>
      <c r="K131" s="268" t="str">
        <v>Huawei SUN2000-10KTL</v>
      </c>
      <c r="L131" s="268">
        <v>0</v>
      </c>
      <c r="M131" s="268" t="str">
        <v>Pending NEM Welcome Letter</v>
      </c>
      <c r="N131" s="268"/>
      <c r="O131" s="268"/>
    </row>
    <row r="132" spans="2:15" s="265" customFormat="1" x14ac:dyDescent="0.3">
      <c r="B132" s="264">
        <v>2505687</v>
      </c>
      <c r="C132" s="264" t="str">
        <v>Thayananthan A/L Lokanatan</v>
      </c>
      <c r="D132" s="264" t="e" vm="11">
        <v>#VALUE!</v>
      </c>
      <c r="E132" s="264" t="str">
        <v>Patricia</v>
      </c>
      <c r="F132" s="264" t="str">
        <v>R-PV</v>
      </c>
      <c r="G132" s="264" t="str">
        <v>NEM</v>
      </c>
      <c r="H132" s="264">
        <v>10.029999999999999</v>
      </c>
      <c r="I132" s="264" t="str">
        <v>Astronergy 590Wp</v>
      </c>
      <c r="J132" s="264">
        <v>17</v>
      </c>
      <c r="K132" s="264" t="str">
        <v>Huawei SUN2000-8KTL</v>
      </c>
      <c r="L132" s="264">
        <v>0</v>
      </c>
      <c r="M132" s="264" t="str">
        <v>Pending NEM Qouta Approval</v>
      </c>
      <c r="N132" s="264"/>
      <c r="O132" s="264"/>
    </row>
    <row r="133" spans="2:15" s="269" customFormat="1" x14ac:dyDescent="0.3">
      <c r="B133" s="268">
        <v>2505718</v>
      </c>
      <c r="C133" s="268" t="str">
        <v>Koh Kheat Kian</v>
      </c>
      <c r="D133" s="268" t="e" vm="11">
        <v>#VALUE!</v>
      </c>
      <c r="E133" s="268" t="str">
        <v>Chean Bang</v>
      </c>
      <c r="F133" s="268" t="str">
        <v>R-PV</v>
      </c>
      <c r="G133" s="268" t="str">
        <v>NEM</v>
      </c>
      <c r="H133" s="268">
        <v>7.44</v>
      </c>
      <c r="I133" s="268" t="str">
        <v>Astronergy 620Wp</v>
      </c>
      <c r="J133" s="268">
        <v>12</v>
      </c>
      <c r="K133" s="268" t="str">
        <v>Huawei SUN2000-5KTL-M1</v>
      </c>
      <c r="L133" s="268">
        <v>0</v>
      </c>
      <c r="M133" s="268" t="str">
        <v>Pending NEM Welcome Letter</v>
      </c>
      <c r="N133" s="268"/>
      <c r="O133" s="268"/>
    </row>
    <row r="134" spans="2:15" s="269" customFormat="1" x14ac:dyDescent="0.3">
      <c r="B134" s="268">
        <v>2506726</v>
      </c>
      <c r="C134" s="268" t="str">
        <v>Poh Pun Hong</v>
      </c>
      <c r="D134" s="268" t="e" vm="5">
        <v>#VALUE!</v>
      </c>
      <c r="E134" s="268" t="str">
        <v>Ong</v>
      </c>
      <c r="F134" s="268" t="str">
        <v>R-PV</v>
      </c>
      <c r="G134" s="268" t="str">
        <v>NEM</v>
      </c>
      <c r="H134" s="268">
        <v>7.44</v>
      </c>
      <c r="I134" s="268" t="str">
        <v>Astronergy 620Wp</v>
      </c>
      <c r="J134" s="268">
        <v>12</v>
      </c>
      <c r="K134" s="268" t="str">
        <v>Huawei SUN2000-5KTL-L1</v>
      </c>
      <c r="L134" s="268">
        <v>0</v>
      </c>
      <c r="M134" s="268" t="str">
        <v>Pending NEM Welcome Letter</v>
      </c>
      <c r="N134" s="268"/>
      <c r="O134" s="268"/>
    </row>
    <row r="135" spans="2:15" s="269" customFormat="1" x14ac:dyDescent="0.3">
      <c r="B135" s="268">
        <v>2506735</v>
      </c>
      <c r="C135" s="268" t="str">
        <v>Lee Meng Fui</v>
      </c>
      <c r="D135" s="268" t="e" vm="11">
        <v>#VALUE!</v>
      </c>
      <c r="E135" s="268" t="str">
        <v>Patricia</v>
      </c>
      <c r="F135" s="268" t="str">
        <v>R-PV</v>
      </c>
      <c r="G135" s="268" t="str">
        <v>NEM</v>
      </c>
      <c r="H135" s="268">
        <v>7.44</v>
      </c>
      <c r="I135" s="268" t="str">
        <v>Astronergy 610Wp</v>
      </c>
      <c r="J135" s="268">
        <v>12</v>
      </c>
      <c r="K135" s="268" t="str">
        <v>Huawei SUN2000-5KTL-L1</v>
      </c>
      <c r="L135" s="268">
        <v>0</v>
      </c>
      <c r="M135" s="268" t="str">
        <v>Pending NEM Welcome Letter</v>
      </c>
      <c r="N135" s="268"/>
      <c r="O135" s="268"/>
    </row>
    <row r="136" spans="2:15" s="269" customFormat="1" x14ac:dyDescent="0.3">
      <c r="B136" s="268">
        <v>2506734</v>
      </c>
      <c r="C136" s="268" t="str">
        <v>Leow Siew Lian (Tee Hong Yee)</v>
      </c>
      <c r="D136" s="268" t="e" vm="11">
        <v>#VALUE!</v>
      </c>
      <c r="E136" s="268" t="str">
        <v>Patricia</v>
      </c>
      <c r="F136" s="268" t="str">
        <v>R-PV</v>
      </c>
      <c r="G136" s="268" t="str">
        <v>NEM</v>
      </c>
      <c r="H136" s="268">
        <v>11.16</v>
      </c>
      <c r="I136" s="268" t="str">
        <v>Astronergy 610Wp</v>
      </c>
      <c r="J136" s="268">
        <v>18</v>
      </c>
      <c r="K136" s="268" t="str">
        <v>Huawei SUN2000-8KTL</v>
      </c>
      <c r="L136" s="268">
        <v>0</v>
      </c>
      <c r="M136" s="268" t="str">
        <v>Pending NEM Welcome Letter</v>
      </c>
      <c r="N136" s="268"/>
      <c r="O136" s="268"/>
    </row>
    <row r="137" spans="2:15" s="267" customFormat="1" x14ac:dyDescent="0.3">
      <c r="B137" s="266">
        <v>2505708</v>
      </c>
      <c r="C137" s="266" t="str">
        <v xml:space="preserve">Mohd Shariff </v>
      </c>
      <c r="D137" s="266" t="e" vm="5">
        <v>#VALUE!</v>
      </c>
      <c r="E137" s="266" t="str">
        <v>Tham</v>
      </c>
      <c r="F137" s="266" t="str">
        <v>R-PV</v>
      </c>
      <c r="G137" s="266" t="str">
        <v>NEM</v>
      </c>
      <c r="H137" s="266">
        <v>7.44</v>
      </c>
      <c r="I137" s="266" t="str">
        <v>Astronergy 620Wp</v>
      </c>
      <c r="J137" s="266">
        <v>12</v>
      </c>
      <c r="K137" s="266" t="str">
        <v>Huawei SUN2000-5KTL-L1</v>
      </c>
      <c r="L137" s="266">
        <v>0</v>
      </c>
      <c r="M137" s="266" t="str">
        <v>Pending NEM Qouta Submission</v>
      </c>
      <c r="N137" s="266"/>
      <c r="O137" s="266"/>
    </row>
    <row r="138" spans="2:15" s="269" customFormat="1" x14ac:dyDescent="0.3">
      <c r="B138" s="268">
        <v>2506744</v>
      </c>
      <c r="C138" s="268" t="str">
        <v>Gan Chin Sam</v>
      </c>
      <c r="D138" s="268" t="e" vm="5">
        <v>#VALUE!</v>
      </c>
      <c r="E138" s="268" t="str">
        <v>Tham</v>
      </c>
      <c r="F138" s="268" t="str">
        <v>R-PV</v>
      </c>
      <c r="G138" s="268" t="str">
        <v>NEM</v>
      </c>
      <c r="H138" s="268">
        <v>14.88</v>
      </c>
      <c r="I138" s="268" t="str">
        <v>Astronergy 620Wp</v>
      </c>
      <c r="J138" s="268">
        <v>24</v>
      </c>
      <c r="K138" s="268" t="str">
        <v>Huawei SUN2000-12KTL</v>
      </c>
      <c r="L138" s="268">
        <v>0</v>
      </c>
      <c r="M138" s="268" t="str">
        <v>Pending NEM Welcome Letter</v>
      </c>
      <c r="N138" s="268"/>
      <c r="O138" s="268"/>
    </row>
    <row r="139" spans="2:15" s="269" customFormat="1" x14ac:dyDescent="0.3">
      <c r="B139" s="268">
        <v>2506727</v>
      </c>
      <c r="C139" s="268" t="str">
        <v>Tan Lee Khing</v>
      </c>
      <c r="D139" s="268" t="e" vm="11">
        <v>#VALUE!</v>
      </c>
      <c r="E139" s="268" t="str">
        <v>Patricia</v>
      </c>
      <c r="F139" s="268" t="str">
        <v>R-PV</v>
      </c>
      <c r="G139" s="268" t="str">
        <v>NEM</v>
      </c>
      <c r="H139" s="268">
        <v>12.4</v>
      </c>
      <c r="I139" s="268" t="str">
        <v>Astronergy 620Wp</v>
      </c>
      <c r="J139" s="268">
        <v>20</v>
      </c>
      <c r="K139" s="268" t="str">
        <v>Huawei SUN2000-10KTL</v>
      </c>
      <c r="L139" s="268">
        <v>0</v>
      </c>
      <c r="M139" s="268" t="str">
        <v>Pending NEM Welcome Letter</v>
      </c>
      <c r="N139" s="268"/>
      <c r="O139" s="268"/>
    </row>
    <row r="140" spans="2:15" s="269" customFormat="1" x14ac:dyDescent="0.3">
      <c r="B140" s="268">
        <v>2506752</v>
      </c>
      <c r="C140" s="268" t="str">
        <v>Ng Cheng Hoe</v>
      </c>
      <c r="D140" s="268" t="e" vm="5">
        <v>#VALUE!</v>
      </c>
      <c r="E140" s="268" t="str">
        <v>Tham</v>
      </c>
      <c r="F140" s="268" t="str">
        <v>R-PV</v>
      </c>
      <c r="G140" s="268" t="str">
        <v>NEM</v>
      </c>
      <c r="H140" s="268">
        <v>7.44</v>
      </c>
      <c r="I140" s="268" t="str">
        <v>Astronergy 620Wp</v>
      </c>
      <c r="J140" s="268">
        <v>12</v>
      </c>
      <c r="K140" s="268" t="str">
        <v>Huawei SUN2000-5KTL-L1</v>
      </c>
      <c r="L140" s="268">
        <v>0</v>
      </c>
      <c r="M140" s="268" t="str">
        <v>Pending NEM Welcome Letter</v>
      </c>
      <c r="N140" s="268"/>
      <c r="O140" s="268"/>
    </row>
    <row r="141" spans="2:15" s="225" customFormat="1" x14ac:dyDescent="0.3">
      <c r="B141" s="263">
        <v>2501523</v>
      </c>
      <c r="C141" s="263" t="str">
        <v>Chen Kim Hock</v>
      </c>
      <c r="D141" s="263" t="e" vm="8">
        <v>#VALUE!</v>
      </c>
      <c r="E141" s="263" t="str">
        <v>Tham</v>
      </c>
      <c r="F141" s="263" t="str">
        <v>R-PV</v>
      </c>
      <c r="G141" s="263" t="str">
        <v>NEM</v>
      </c>
      <c r="H141" s="263">
        <v>17.7</v>
      </c>
      <c r="I141" s="263" t="str">
        <v>Astronergy 590Wp</v>
      </c>
      <c r="J141" s="263">
        <v>30</v>
      </c>
      <c r="K141" s="263" t="str">
        <v>Huawei SUN2000-12KTL</v>
      </c>
      <c r="L141" s="263">
        <v>0</v>
      </c>
      <c r="M141" s="263" t="str">
        <v>Pending Meter Change</v>
      </c>
      <c r="N141" s="263"/>
      <c r="O141" s="263"/>
    </row>
    <row r="142" spans="2:15" s="269" customFormat="1" x14ac:dyDescent="0.3">
      <c r="B142" s="268">
        <v>2506748</v>
      </c>
      <c r="C142" s="268" t="str">
        <v>Teh Foo Hock</v>
      </c>
      <c r="D142" s="268" t="e" vm="11">
        <v>#VALUE!</v>
      </c>
      <c r="E142" s="268" t="str">
        <v>Patricia</v>
      </c>
      <c r="F142" s="268" t="str">
        <v>R-PV</v>
      </c>
      <c r="G142" s="268" t="str">
        <v>NEM</v>
      </c>
      <c r="H142" s="268">
        <v>8.68</v>
      </c>
      <c r="I142" s="268" t="str">
        <v>Astronergy 620Wp</v>
      </c>
      <c r="J142" s="268">
        <v>14</v>
      </c>
      <c r="K142" s="268" t="str">
        <v>Huawei SUN2000-8KTL</v>
      </c>
      <c r="L142" s="268">
        <v>0</v>
      </c>
      <c r="M142" s="268" t="str">
        <v>Pending NEM Welcome Letter</v>
      </c>
      <c r="N142" s="268"/>
      <c r="O142" s="268"/>
    </row>
    <row r="143" spans="2:15" s="269" customFormat="1" x14ac:dyDescent="0.3">
      <c r="B143" s="268">
        <v>2505709</v>
      </c>
      <c r="C143" s="268" t="str">
        <v>Tan Heng Lian</v>
      </c>
      <c r="D143" s="268" t="e" vm="11">
        <v>#VALUE!</v>
      </c>
      <c r="E143" s="268" t="str">
        <v>Patricia</v>
      </c>
      <c r="F143" s="268" t="str">
        <v>R-PV</v>
      </c>
      <c r="G143" s="268" t="str">
        <v>NEM</v>
      </c>
      <c r="H143" s="268">
        <v>17.98</v>
      </c>
      <c r="I143" s="268" t="str">
        <v>Astronergy 620Wp</v>
      </c>
      <c r="J143" s="268">
        <v>29</v>
      </c>
      <c r="K143" s="268" t="str">
        <v>Huawei SUN2000-12KTL</v>
      </c>
      <c r="L143" s="268">
        <v>0</v>
      </c>
      <c r="M143" s="268" t="str">
        <v>Pending NEM Welcome Letter</v>
      </c>
      <c r="N143" s="268"/>
      <c r="O143" s="268"/>
    </row>
    <row r="144" spans="2:15" s="275" customFormat="1" x14ac:dyDescent="0.3">
      <c r="B144" s="274">
        <v>2501531</v>
      </c>
      <c r="C144" s="274" t="str">
        <v>Mohamad Hafizi Bin Abdul Rahman</v>
      </c>
      <c r="D144" s="274" t="e" vm="11">
        <v>#VALUE!</v>
      </c>
      <c r="E144" s="274" t="str">
        <v>Patricia</v>
      </c>
      <c r="F144" s="274" t="str">
        <v>R-PV</v>
      </c>
      <c r="G144" s="274" t="str">
        <v>NEM</v>
      </c>
      <c r="H144" s="274">
        <v>13.64</v>
      </c>
      <c r="I144" s="274" t="str">
        <v>Astronergy 620Wp</v>
      </c>
      <c r="J144" s="274">
        <v>22</v>
      </c>
      <c r="K144" s="274" t="str">
        <v>Huawei SUN2000-10KTL</v>
      </c>
      <c r="L144" s="274">
        <v>0</v>
      </c>
      <c r="M144" s="274" t="str">
        <v>Pending Site Installation</v>
      </c>
      <c r="N144" s="274"/>
      <c r="O144" s="274"/>
    </row>
    <row r="145" spans="2:15" s="269" customFormat="1" x14ac:dyDescent="0.3">
      <c r="B145" s="268">
        <v>2505259</v>
      </c>
      <c r="C145" s="268" t="str">
        <v>Liew Wen Qi</v>
      </c>
      <c r="D145" s="268" t="e" vm="11">
        <v>#VALUE!</v>
      </c>
      <c r="E145" s="268" t="str">
        <v>Patricia</v>
      </c>
      <c r="F145" s="268" t="str">
        <v>C&amp;I-PV</v>
      </c>
      <c r="G145" s="268" t="str">
        <v>NEM</v>
      </c>
      <c r="H145" s="268">
        <v>19.52</v>
      </c>
      <c r="I145" s="268" t="str">
        <v>Astronergy 610Wp</v>
      </c>
      <c r="J145" s="268">
        <v>32</v>
      </c>
      <c r="K145" s="268" t="str">
        <v>Huawei SUN2000-17KTL</v>
      </c>
      <c r="L145" s="268">
        <v>0</v>
      </c>
      <c r="M145" s="268" t="str">
        <v>Pending NEM Welcome Letter</v>
      </c>
      <c r="N145" s="268"/>
      <c r="O145" s="268"/>
    </row>
    <row r="146" spans="2:15" s="269" customFormat="1" x14ac:dyDescent="0.3">
      <c r="B146" s="268">
        <v>2506758</v>
      </c>
      <c r="C146" s="268" t="str">
        <v>Goh Boon Meng</v>
      </c>
      <c r="D146" s="268" t="e" vm="11">
        <v>#VALUE!</v>
      </c>
      <c r="E146" s="268" t="str">
        <v>Patricia</v>
      </c>
      <c r="F146" s="268" t="str">
        <v>R-PV</v>
      </c>
      <c r="G146" s="268" t="str">
        <v>NEM</v>
      </c>
      <c r="H146" s="268">
        <v>17.98</v>
      </c>
      <c r="I146" s="268" t="str">
        <v>Astronergy 620Wp</v>
      </c>
      <c r="J146" s="268">
        <v>29</v>
      </c>
      <c r="K146" s="268" t="str">
        <v>Huawei SUN2000-12KTL</v>
      </c>
      <c r="L146" s="268">
        <v>0</v>
      </c>
      <c r="M146" s="268" t="str">
        <v>Pending NEM Welcome Letter</v>
      </c>
      <c r="N146" s="268"/>
      <c r="O146" s="268"/>
    </row>
    <row r="147" spans="2:15" s="267" customFormat="1" x14ac:dyDescent="0.3">
      <c r="B147" s="266">
        <v>2506762</v>
      </c>
      <c r="C147" s="266" t="str">
        <v>Megat Mohd Nashrul Bin Ahmad Zulkepli</v>
      </c>
      <c r="D147" s="266" t="e" vm="11">
        <v>#VALUE!</v>
      </c>
      <c r="E147" s="266" t="str">
        <v>Patricia</v>
      </c>
      <c r="F147" s="266" t="str">
        <v>R-PV</v>
      </c>
      <c r="G147" s="266" t="str">
        <v>NEM</v>
      </c>
      <c r="H147" s="266">
        <v>12.4</v>
      </c>
      <c r="I147" s="266" t="str">
        <v>Astronergy 620Wp</v>
      </c>
      <c r="J147" s="266">
        <v>20</v>
      </c>
      <c r="K147" s="266" t="str">
        <v>Huawei SUN2000-10KTL</v>
      </c>
      <c r="L147" s="266">
        <v>0</v>
      </c>
      <c r="M147" s="266" t="str">
        <v>Pending NEM Qouta Submission</v>
      </c>
      <c r="N147" s="266"/>
      <c r="O147" s="266"/>
    </row>
    <row r="148" spans="2:15" s="269" customFormat="1" x14ac:dyDescent="0.3">
      <c r="B148" s="268">
        <v>2506753</v>
      </c>
      <c r="C148" s="268" t="str">
        <v>Lim Geok Suan</v>
      </c>
      <c r="D148" s="268" t="e" vm="11">
        <v>#VALUE!</v>
      </c>
      <c r="E148" s="268" t="str">
        <v>Patricia</v>
      </c>
      <c r="F148" s="268" t="str">
        <v>R-PV</v>
      </c>
      <c r="G148" s="268" t="str">
        <v>NEM</v>
      </c>
      <c r="H148" s="268">
        <v>11.78</v>
      </c>
      <c r="I148" s="268" t="str">
        <v>Astronergy 620Wp</v>
      </c>
      <c r="J148" s="268">
        <v>19</v>
      </c>
      <c r="K148" s="268" t="str">
        <v>Huawei SUN2000-10KTL</v>
      </c>
      <c r="L148" s="268">
        <v>0</v>
      </c>
      <c r="M148" s="268" t="str">
        <v>Pending NEM Welcome Letter</v>
      </c>
      <c r="N148" s="268"/>
      <c r="O148" s="268"/>
    </row>
    <row r="149" spans="2:15" s="269" customFormat="1" x14ac:dyDescent="0.3">
      <c r="B149" s="268">
        <v>2506768</v>
      </c>
      <c r="C149" s="268" t="str">
        <v>Yap Lee Yan</v>
      </c>
      <c r="D149" s="268" t="e" vm="11">
        <v>#VALUE!</v>
      </c>
      <c r="E149" s="268" t="str">
        <v>Patricia</v>
      </c>
      <c r="F149" s="268" t="str">
        <v>R-PV</v>
      </c>
      <c r="G149" s="268" t="str">
        <v>NEM</v>
      </c>
      <c r="H149" s="268">
        <v>11.16</v>
      </c>
      <c r="I149" s="268" t="str">
        <v>Astronergy 620Wp</v>
      </c>
      <c r="J149" s="268">
        <v>18</v>
      </c>
      <c r="K149" s="268" t="str">
        <v>Huawei SUN2000-10KTL</v>
      </c>
      <c r="L149" s="268">
        <v>0</v>
      </c>
      <c r="M149" s="268" t="str">
        <v>Pending NEM Welcome Letter</v>
      </c>
      <c r="N149" s="268"/>
      <c r="O149" s="268"/>
    </row>
    <row r="150" spans="2:15" s="269" customFormat="1" x14ac:dyDescent="0.3">
      <c r="B150" s="268">
        <v>2506761</v>
      </c>
      <c r="C150" s="268" t="str">
        <v>Lee Swee Li</v>
      </c>
      <c r="D150" s="268" t="e" vm="11">
        <v>#VALUE!</v>
      </c>
      <c r="E150" s="268" t="str">
        <v>Patricia</v>
      </c>
      <c r="F150" s="268" t="str">
        <v>R-PV</v>
      </c>
      <c r="G150" s="268" t="str">
        <v>NEM</v>
      </c>
      <c r="H150" s="268">
        <v>13.64</v>
      </c>
      <c r="I150" s="268" t="str">
        <v>Astronergy 620Wp</v>
      </c>
      <c r="J150" s="268">
        <v>22</v>
      </c>
      <c r="K150" s="268" t="str">
        <v>Huawei SUN2000-12KTL</v>
      </c>
      <c r="L150" s="268">
        <v>0</v>
      </c>
      <c r="M150" s="268" t="str">
        <v>Pending NEM Welcome Letter</v>
      </c>
      <c r="N150" s="268"/>
      <c r="O150" s="268"/>
    </row>
    <row r="151" spans="2:15" s="269" customFormat="1" x14ac:dyDescent="0.3">
      <c r="B151" s="268">
        <v>2506779</v>
      </c>
      <c r="C151" s="268" t="str">
        <v>Koo Hing Yew</v>
      </c>
      <c r="D151" s="268" t="e" vm="11">
        <v>#VALUE!</v>
      </c>
      <c r="E151" s="268" t="str">
        <v>Patricia</v>
      </c>
      <c r="F151" s="268" t="str">
        <v>R-PV</v>
      </c>
      <c r="G151" s="268" t="str">
        <v>NEM</v>
      </c>
      <c r="H151" s="268">
        <v>7.44</v>
      </c>
      <c r="I151" s="268" t="str">
        <v>Astronergy 620Wp</v>
      </c>
      <c r="J151" s="268">
        <v>12</v>
      </c>
      <c r="K151" s="268" t="str">
        <v>Huawei SUN2000-5KTL-L1</v>
      </c>
      <c r="L151" s="268">
        <v>0</v>
      </c>
      <c r="M151" s="268" t="str">
        <v>Pending NEM Welcome Letter</v>
      </c>
      <c r="N151" s="268"/>
      <c r="O151" s="268"/>
    </row>
    <row r="152" spans="2:15" s="269" customFormat="1" x14ac:dyDescent="0.3">
      <c r="B152" s="268">
        <v>2506781</v>
      </c>
      <c r="C152" s="268" t="str">
        <v>Teng Lily</v>
      </c>
      <c r="D152" s="268" t="e" vm="11">
        <v>#VALUE!</v>
      </c>
      <c r="E152" s="268" t="str">
        <v>Patricia</v>
      </c>
      <c r="F152" s="268" t="str">
        <v>R-PV</v>
      </c>
      <c r="G152" s="268" t="str">
        <v>NEM</v>
      </c>
      <c r="H152" s="268">
        <v>7.44</v>
      </c>
      <c r="I152" s="268" t="str">
        <v>Astronergy 620Wp</v>
      </c>
      <c r="J152" s="268">
        <v>12</v>
      </c>
      <c r="K152" s="268" t="str">
        <v>Huawei SUN2000-5KTL-L1</v>
      </c>
      <c r="L152" s="268">
        <v>0</v>
      </c>
      <c r="M152" s="268" t="str">
        <v>Pending NEM Welcome Letter</v>
      </c>
      <c r="N152" s="268"/>
      <c r="O152" s="268"/>
    </row>
    <row r="153" spans="2:15" s="269" customFormat="1" x14ac:dyDescent="0.3">
      <c r="B153" s="268">
        <v>2506782</v>
      </c>
      <c r="C153" s="268" t="str">
        <v>Tan Shu Huat</v>
      </c>
      <c r="D153" s="268" t="e" vm="11">
        <v>#VALUE!</v>
      </c>
      <c r="E153" s="268" t="str">
        <v>Patricia</v>
      </c>
      <c r="F153" s="268" t="str">
        <v>R-PV</v>
      </c>
      <c r="G153" s="268" t="str">
        <v>NEM</v>
      </c>
      <c r="H153" s="268">
        <v>14.88</v>
      </c>
      <c r="I153" s="268" t="str">
        <v>Astronergy 620Wp</v>
      </c>
      <c r="J153" s="268">
        <v>24</v>
      </c>
      <c r="K153" s="268" t="str">
        <v>Huawei SUN2000-12KTL</v>
      </c>
      <c r="L153" s="268">
        <v>0</v>
      </c>
      <c r="M153" s="268" t="str">
        <v>Pending NEM Welcome Letter</v>
      </c>
      <c r="N153" s="268"/>
      <c r="O153" s="268"/>
    </row>
    <row r="154" spans="2:15" s="275" customFormat="1" x14ac:dyDescent="0.3">
      <c r="B154" s="274">
        <v>2506746</v>
      </c>
      <c r="C154" s="274" t="str">
        <v>Tan Wan Ngee</v>
      </c>
      <c r="D154" s="274" t="e" vm="11">
        <v>#VALUE!</v>
      </c>
      <c r="E154" s="274" t="str">
        <v>Patricia</v>
      </c>
      <c r="F154" s="274" t="str">
        <v>R-PV</v>
      </c>
      <c r="G154" s="274" t="str">
        <v>NEM</v>
      </c>
      <c r="H154" s="274">
        <v>9.92</v>
      </c>
      <c r="I154" s="274" t="str">
        <v>Astronergy 620Wp</v>
      </c>
      <c r="J154" s="274">
        <v>16</v>
      </c>
      <c r="K154" s="274" t="str">
        <v>Huawei SUN2000-8KTL</v>
      </c>
      <c r="L154" s="274">
        <v>0</v>
      </c>
      <c r="M154" s="274" t="str">
        <v>Pending Site Installation</v>
      </c>
      <c r="N154" s="274"/>
      <c r="O154" s="274"/>
    </row>
    <row r="155" spans="2:15" s="275" customFormat="1" x14ac:dyDescent="0.3">
      <c r="B155" s="274">
        <v>2506780</v>
      </c>
      <c r="C155" s="274" t="str">
        <v>Yeo Khai Boon</v>
      </c>
      <c r="D155" s="274" t="e" vm="11">
        <v>#VALUE!</v>
      </c>
      <c r="E155" s="274" t="str">
        <v>Patricia</v>
      </c>
      <c r="F155" s="274" t="str">
        <v>R-PV</v>
      </c>
      <c r="G155" s="274" t="str">
        <v>NEM</v>
      </c>
      <c r="H155" s="274">
        <v>9.92</v>
      </c>
      <c r="I155" s="274" t="str">
        <v>Astronergy 620Wp</v>
      </c>
      <c r="J155" s="274">
        <v>16</v>
      </c>
      <c r="K155" s="274" t="str">
        <v>Huawei SUN2000-8KTL</v>
      </c>
      <c r="L155" s="274">
        <v>0</v>
      </c>
      <c r="M155" s="274" t="str">
        <v>Pending Site Installation</v>
      </c>
      <c r="N155" s="274"/>
      <c r="O155" s="274"/>
    </row>
    <row r="156" spans="2:15" s="275" customFormat="1" x14ac:dyDescent="0.3">
      <c r="B156" s="274">
        <v>2506778</v>
      </c>
      <c r="C156" s="274" t="str">
        <v>Teo Lun Wei</v>
      </c>
      <c r="D156" s="274" t="e" vm="11">
        <v>#VALUE!</v>
      </c>
      <c r="E156" s="274" t="str">
        <v>Patricia</v>
      </c>
      <c r="F156" s="274" t="str">
        <v>R-PV</v>
      </c>
      <c r="G156" s="274" t="str">
        <v>NEM</v>
      </c>
      <c r="H156" s="274">
        <v>7.44</v>
      </c>
      <c r="I156" s="274" t="str">
        <v>Astronergy 620Wp</v>
      </c>
      <c r="J156" s="274">
        <v>12</v>
      </c>
      <c r="K156" s="274" t="str">
        <v>Huawei SUN2000-5KTL-L1</v>
      </c>
      <c r="L156" s="274">
        <v>0</v>
      </c>
      <c r="M156" s="274" t="str">
        <v>Pending Site Installation</v>
      </c>
      <c r="N156" s="274"/>
      <c r="O156" s="274"/>
    </row>
    <row r="157" spans="2:15" s="269" customFormat="1" x14ac:dyDescent="0.3">
      <c r="B157" s="268">
        <v>2506745</v>
      </c>
      <c r="C157" s="268" t="str">
        <v>Lee Ban Hong</v>
      </c>
      <c r="D157" s="268" t="e" vm="5">
        <v>#VALUE!</v>
      </c>
      <c r="E157" s="268" t="str">
        <v>Tham</v>
      </c>
      <c r="F157" s="268" t="str">
        <v>R-PV</v>
      </c>
      <c r="G157" s="268" t="str">
        <v>NEM</v>
      </c>
      <c r="H157" s="268">
        <v>14.88</v>
      </c>
      <c r="I157" s="268" t="str">
        <v>Astronergy 620Wp</v>
      </c>
      <c r="J157" s="268">
        <v>24</v>
      </c>
      <c r="K157" s="268" t="str">
        <v>Huawei SUN2000-12KTL</v>
      </c>
      <c r="L157" s="268">
        <v>0</v>
      </c>
      <c r="M157" s="268" t="str">
        <v>Pending NEM Welcome Letter</v>
      </c>
      <c r="N157" s="268"/>
      <c r="O157" s="268"/>
    </row>
    <row r="158" spans="2:15" s="269" customFormat="1" x14ac:dyDescent="0.3">
      <c r="B158" s="268">
        <v>2506789</v>
      </c>
      <c r="C158" s="268" t="str">
        <v>Wu Sio Yunn</v>
      </c>
      <c r="D158" s="268" t="e" vm="11">
        <v>#VALUE!</v>
      </c>
      <c r="E158" s="268" t="str">
        <v>Patricia</v>
      </c>
      <c r="F158" s="268" t="str">
        <v>R-PV</v>
      </c>
      <c r="G158" s="268" t="str">
        <v>NEM</v>
      </c>
      <c r="H158" s="268">
        <v>9.92</v>
      </c>
      <c r="I158" s="268" t="str">
        <v>Astronergy 620Wp</v>
      </c>
      <c r="J158" s="268">
        <v>16</v>
      </c>
      <c r="K158" s="268" t="str">
        <v>Huawei SUN2000-8KTL</v>
      </c>
      <c r="L158" s="268">
        <v>0</v>
      </c>
      <c r="M158" s="268" t="str">
        <v>Pending NEM Welcome Letter</v>
      </c>
      <c r="N158" s="268"/>
      <c r="O158" s="268"/>
    </row>
    <row r="159" spans="2:15" s="269" customFormat="1" x14ac:dyDescent="0.3">
      <c r="B159" s="268">
        <v>2506732</v>
      </c>
      <c r="C159" s="268" t="str">
        <v>Chai Shwu Yi (Tan Lewin)</v>
      </c>
      <c r="D159" s="268" t="e" vm="11">
        <v>#VALUE!</v>
      </c>
      <c r="E159" s="268" t="str">
        <v>Simon</v>
      </c>
      <c r="F159" s="268" t="str">
        <v>R-PV</v>
      </c>
      <c r="G159" s="268" t="str">
        <v>NEM</v>
      </c>
      <c r="H159" s="268">
        <v>7.44</v>
      </c>
      <c r="I159" s="268" t="str">
        <v>Astronergy 620Wp</v>
      </c>
      <c r="J159" s="268">
        <v>12</v>
      </c>
      <c r="K159" s="268" t="str">
        <v>Huawei SUN2000-5KTL-L1</v>
      </c>
      <c r="L159" s="268">
        <v>0</v>
      </c>
      <c r="M159" s="268" t="str">
        <v>Pending NEM Welcome Letter</v>
      </c>
      <c r="N159" s="268"/>
      <c r="O159" s="268"/>
    </row>
    <row r="160" spans="2:15" s="269" customFormat="1" x14ac:dyDescent="0.3">
      <c r="B160" s="268">
        <v>2506759</v>
      </c>
      <c r="C160" s="268" t="str">
        <v>Yim Kai Mun</v>
      </c>
      <c r="D160" s="268" t="e" vm="11">
        <v>#VALUE!</v>
      </c>
      <c r="E160" s="268" t="str">
        <v>Patricia</v>
      </c>
      <c r="F160" s="268" t="str">
        <v>R-PV</v>
      </c>
      <c r="G160" s="268" t="str">
        <v>NEM</v>
      </c>
      <c r="H160" s="268">
        <v>10.54</v>
      </c>
      <c r="I160" s="268" t="str">
        <v>Astronergy 620Wp</v>
      </c>
      <c r="J160" s="268">
        <v>17</v>
      </c>
      <c r="K160" s="268" t="str">
        <v>Huawei SUN2000-8KTL</v>
      </c>
      <c r="L160" s="268">
        <v>0</v>
      </c>
      <c r="M160" s="268" t="str">
        <v>Pending NEM Welcome Letter</v>
      </c>
      <c r="N160" s="268"/>
      <c r="O160" s="268"/>
    </row>
    <row r="161" spans="2:15" s="269" customFormat="1" x14ac:dyDescent="0.3">
      <c r="B161" s="268">
        <v>2506794</v>
      </c>
      <c r="C161" s="268" t="str">
        <v>Ahmad Fadhil Bin Alias</v>
      </c>
      <c r="D161" s="268" t="e" vm="11">
        <v>#VALUE!</v>
      </c>
      <c r="E161" s="268" t="str">
        <v>Patricia</v>
      </c>
      <c r="F161" s="268" t="str">
        <v>R-PV</v>
      </c>
      <c r="G161" s="268" t="str">
        <v>NEM</v>
      </c>
      <c r="H161" s="268">
        <v>9.92</v>
      </c>
      <c r="I161" s="268" t="str">
        <v>Astronergy 620Wp</v>
      </c>
      <c r="J161" s="268">
        <v>16</v>
      </c>
      <c r="K161" s="268" t="str">
        <v>Huawei SUN2000-8KTL</v>
      </c>
      <c r="L161" s="268">
        <v>0</v>
      </c>
      <c r="M161" s="268" t="str">
        <v>Pending NEM Welcome Letter</v>
      </c>
      <c r="N161" s="268"/>
      <c r="O161" s="268"/>
    </row>
    <row r="162" spans="2:15" s="275" customFormat="1" x14ac:dyDescent="0.3">
      <c r="B162" s="274">
        <v>2506798</v>
      </c>
      <c r="C162" s="274" t="str">
        <v>Lew Sieow Shih</v>
      </c>
      <c r="D162" s="274" t="e" vm="11">
        <v>#VALUE!</v>
      </c>
      <c r="E162" s="274" t="str">
        <v>Patricia</v>
      </c>
      <c r="F162" s="274" t="str">
        <v>R-PV</v>
      </c>
      <c r="G162" s="274" t="str">
        <v>NEM</v>
      </c>
      <c r="H162" s="274">
        <v>7.44</v>
      </c>
      <c r="I162" s="274" t="str">
        <v>Astronergy 620Wp</v>
      </c>
      <c r="J162" s="274">
        <v>12</v>
      </c>
      <c r="K162" s="274" t="str">
        <v>Huawei SUN2000-5KTL-L1</v>
      </c>
      <c r="L162" s="274">
        <v>0</v>
      </c>
      <c r="M162" s="274" t="str">
        <v>Pending Site Installation</v>
      </c>
      <c r="N162" s="274"/>
      <c r="O162" s="274"/>
    </row>
    <row r="163" spans="2:15" s="275" customFormat="1" x14ac:dyDescent="0.3">
      <c r="B163" s="274">
        <v>2506773</v>
      </c>
      <c r="C163" s="274" t="str">
        <v>Leiw Chew Choi</v>
      </c>
      <c r="D163" s="274" t="e" vm="11">
        <v>#VALUE!</v>
      </c>
      <c r="E163" s="274" t="str">
        <v>Patricia</v>
      </c>
      <c r="F163" s="274" t="str">
        <v>R-PV</v>
      </c>
      <c r="G163" s="274" t="str">
        <v>NEM</v>
      </c>
      <c r="H163" s="274">
        <v>14.88</v>
      </c>
      <c r="I163" s="274" t="str">
        <v>Astronergy 620Wp</v>
      </c>
      <c r="J163" s="274">
        <v>24</v>
      </c>
      <c r="K163" s="274" t="str">
        <v>Huawei SUN2000-12KTL</v>
      </c>
      <c r="L163" s="274">
        <v>0</v>
      </c>
      <c r="M163" s="274" t="str">
        <v>Pending Site Installation</v>
      </c>
      <c r="N163" s="274"/>
      <c r="O163" s="274"/>
    </row>
    <row r="164" spans="2:15" s="269" customFormat="1" x14ac:dyDescent="0.3">
      <c r="B164" s="268" t="str">
        <v>2506789-1</v>
      </c>
      <c r="C164" s="268" t="str">
        <v>Lim Kim Kiew</v>
      </c>
      <c r="D164" s="268" t="e" vm="11">
        <v>#VALUE!</v>
      </c>
      <c r="E164" s="268" t="str">
        <v>Chean Bang</v>
      </c>
      <c r="F164" s="268" t="str">
        <v>R-PV</v>
      </c>
      <c r="G164" s="268" t="str">
        <v>NEM</v>
      </c>
      <c r="H164" s="268">
        <v>7.44</v>
      </c>
      <c r="I164" s="268" t="str">
        <v>Astronergy 620Wp</v>
      </c>
      <c r="J164" s="268">
        <v>12</v>
      </c>
      <c r="K164" s="268" t="str">
        <v>Huawei SUN2000-5KTL-L1</v>
      </c>
      <c r="L164" s="268">
        <v>0</v>
      </c>
      <c r="M164" s="268" t="str">
        <v>Pending NEM Welcome Letter</v>
      </c>
      <c r="N164" s="268"/>
      <c r="O164" s="268"/>
    </row>
    <row r="165" spans="2:15" s="269" customFormat="1" x14ac:dyDescent="0.3">
      <c r="B165" s="268">
        <v>2506786</v>
      </c>
      <c r="C165" s="268" t="str">
        <v>Lim Chee Seng</v>
      </c>
      <c r="D165" s="268" t="e" vm="12">
        <v>#VALUE!</v>
      </c>
      <c r="E165" s="268" t="str">
        <v>Tham</v>
      </c>
      <c r="F165" s="268" t="str">
        <v>R-PV</v>
      </c>
      <c r="G165" s="268" t="str">
        <v>NEM</v>
      </c>
      <c r="H165" s="268">
        <v>13.64</v>
      </c>
      <c r="I165" s="268" t="str">
        <v>Astronergy 620Wp</v>
      </c>
      <c r="J165" s="268">
        <v>22</v>
      </c>
      <c r="K165" s="268" t="str">
        <v>Huawei SUN2000-12KTL</v>
      </c>
      <c r="L165" s="268">
        <v>0</v>
      </c>
      <c r="M165" s="268" t="str">
        <v>Pending NEM Welcome Letter</v>
      </c>
      <c r="N165" s="268"/>
      <c r="O165" s="268"/>
    </row>
    <row r="166" spans="2:15" s="225" customFormat="1" x14ac:dyDescent="0.3">
      <c r="B166" s="263">
        <v>2505260</v>
      </c>
      <c r="C166" s="263" t="str">
        <v>Canning Garden Baptist Church</v>
      </c>
      <c r="D166" s="263" t="e" vm="4">
        <v>#VALUE!</v>
      </c>
      <c r="E166" s="263" t="str">
        <v>Patricia</v>
      </c>
      <c r="F166" s="263" t="str">
        <v>C&amp;I-PV</v>
      </c>
      <c r="G166" s="263" t="str">
        <v>NEM</v>
      </c>
      <c r="H166" s="263">
        <v>48.36</v>
      </c>
      <c r="I166" s="263" t="str">
        <v>Astronergy 620Wp</v>
      </c>
      <c r="J166" s="263">
        <v>78</v>
      </c>
      <c r="K166" s="263" t="str">
        <v>Huawei SUN2000-36KTL</v>
      </c>
      <c r="L166" s="263">
        <v>0</v>
      </c>
      <c r="M166" s="263" t="str">
        <v>Pending Meter Change</v>
      </c>
      <c r="N166" s="263"/>
      <c r="O166" s="263"/>
    </row>
    <row r="167" spans="2:15" s="269" customFormat="1" x14ac:dyDescent="0.3">
      <c r="B167" s="268">
        <v>2506799</v>
      </c>
      <c r="C167" s="268" t="str">
        <v>Lee Cheow Ban</v>
      </c>
      <c r="D167" s="268" t="e" vm="11">
        <v>#VALUE!</v>
      </c>
      <c r="E167" s="268" t="str">
        <v>Patricia</v>
      </c>
      <c r="F167" s="268" t="str">
        <v>R-PV</v>
      </c>
      <c r="G167" s="268" t="str">
        <v>NEM</v>
      </c>
      <c r="H167" s="268">
        <v>13.64</v>
      </c>
      <c r="I167" s="268" t="str">
        <v>Astronergy 620Wp</v>
      </c>
      <c r="J167" s="268">
        <v>22</v>
      </c>
      <c r="K167" s="268" t="str">
        <v>Huawei SUN2000-12KTL</v>
      </c>
      <c r="L167" s="268">
        <v>0</v>
      </c>
      <c r="M167" s="268" t="str">
        <v>Pending NEM Welcome Letter</v>
      </c>
      <c r="N167" s="268"/>
      <c r="O167" s="268"/>
    </row>
    <row r="168" spans="2:15" s="269" customFormat="1" x14ac:dyDescent="0.3">
      <c r="B168" s="268">
        <v>2506276</v>
      </c>
      <c r="C168" s="268" t="str">
        <v>Tew Ah Sing @ Teo Ah Sing</v>
      </c>
      <c r="D168" s="268" t="e" vm="11">
        <v>#VALUE!</v>
      </c>
      <c r="E168" s="268" t="str">
        <v>Chean Bang</v>
      </c>
      <c r="F168" s="268" t="str">
        <v>R-PV</v>
      </c>
      <c r="G168" s="268" t="str">
        <v>NEM</v>
      </c>
      <c r="H168" s="268">
        <v>19.84</v>
      </c>
      <c r="I168" s="268" t="str">
        <v>Astronergy 620Wp</v>
      </c>
      <c r="J168" s="268">
        <v>32</v>
      </c>
      <c r="K168" s="268" t="str">
        <v>Huawei SUN2000-17KTL</v>
      </c>
      <c r="L168" s="268">
        <v>0</v>
      </c>
      <c r="M168" s="268" t="str">
        <v>Pending NEM Welcome Letter</v>
      </c>
      <c r="N168" s="268"/>
      <c r="O168" s="268"/>
    </row>
    <row r="169" spans="2:15" s="265" customFormat="1" x14ac:dyDescent="0.3">
      <c r="B169" s="264">
        <v>2506785</v>
      </c>
      <c r="C169" s="264" t="str">
        <v>Mohd Nurazuwan Bin Radzi</v>
      </c>
      <c r="D169" s="264" t="e" vm="11">
        <v>#VALUE!</v>
      </c>
      <c r="E169" s="264" t="str">
        <v>Patricia</v>
      </c>
      <c r="F169" s="264" t="str">
        <v>R-PV</v>
      </c>
      <c r="G169" s="264" t="str">
        <v>NEM</v>
      </c>
      <c r="H169" s="264">
        <v>13.64</v>
      </c>
      <c r="I169" s="264" t="str">
        <v>Astronergy 620Wp</v>
      </c>
      <c r="J169" s="264">
        <v>22</v>
      </c>
      <c r="K169" s="264" t="str">
        <v>Huawei SUN2000-12KTL</v>
      </c>
      <c r="L169" s="264">
        <v>0</v>
      </c>
      <c r="M169" s="264" t="str">
        <v>Pending NEM Qouta Approval</v>
      </c>
      <c r="N169" s="264"/>
      <c r="O169" s="264"/>
    </row>
    <row r="170" spans="2:15" s="275" customFormat="1" x14ac:dyDescent="0.3">
      <c r="B170" s="274">
        <v>2506801</v>
      </c>
      <c r="C170" s="274" t="str">
        <v>Lim Joo Eng</v>
      </c>
      <c r="D170" s="274" t="e" vm="11">
        <v>#VALUE!</v>
      </c>
      <c r="E170" s="274" t="str">
        <v>Patricia</v>
      </c>
      <c r="F170" s="274" t="str">
        <v>R-PV</v>
      </c>
      <c r="G170" s="274" t="str">
        <v>NEM</v>
      </c>
      <c r="H170" s="274">
        <v>17.98</v>
      </c>
      <c r="I170" s="274" t="str">
        <v>Astronergy 620Wp</v>
      </c>
      <c r="J170" s="274">
        <v>29</v>
      </c>
      <c r="K170" s="274" t="str">
        <v>Huawei SUN2000-12KTL</v>
      </c>
      <c r="L170" s="274">
        <v>0</v>
      </c>
      <c r="M170" s="274" t="str">
        <v>Pending Site Installation</v>
      </c>
      <c r="N170" s="274"/>
      <c r="O170" s="274"/>
    </row>
    <row r="171" spans="2:15" s="275" customFormat="1" x14ac:dyDescent="0.3">
      <c r="B171" s="274">
        <v>2503223</v>
      </c>
      <c r="C171" s="274" t="str">
        <v>Insultec Duragate Sdn Bhd</v>
      </c>
      <c r="D171" s="274" t="e" vm="8">
        <v>#VALUE!</v>
      </c>
      <c r="E171" s="274" t="str">
        <v>Tham</v>
      </c>
      <c r="F171" s="274" t="str">
        <v>C&amp;I-PV</v>
      </c>
      <c r="G171" s="274" t="str">
        <v>NEM</v>
      </c>
      <c r="H171" s="274">
        <v>58.9</v>
      </c>
      <c r="I171" s="274" t="str">
        <v>Yingli Solar 620Wp</v>
      </c>
      <c r="J171" s="274">
        <v>95</v>
      </c>
      <c r="K171" s="274" t="str">
        <v>Huawei SUN2000-50KTL</v>
      </c>
      <c r="L171" s="274">
        <v>0</v>
      </c>
      <c r="M171" s="274" t="str">
        <v>Pending Site Installation</v>
      </c>
      <c r="N171" s="274"/>
      <c r="O171" s="274"/>
    </row>
    <row r="172" spans="2:15" s="265" customFormat="1" x14ac:dyDescent="0.3">
      <c r="B172" s="264">
        <v>2506802</v>
      </c>
      <c r="C172" s="264" t="str">
        <v>Hung Wen Hao</v>
      </c>
      <c r="D172" s="264" t="e" vm="11">
        <v>#VALUE!</v>
      </c>
      <c r="E172" s="264" t="str">
        <v>Patricia</v>
      </c>
      <c r="F172" s="264" t="str">
        <v>R-PV</v>
      </c>
      <c r="G172" s="264" t="str">
        <v>NEM</v>
      </c>
      <c r="H172" s="264">
        <v>13.64</v>
      </c>
      <c r="I172" s="264" t="str">
        <v>Astronergy 620Wp</v>
      </c>
      <c r="J172" s="264">
        <v>22</v>
      </c>
      <c r="K172" s="264" t="str">
        <v>Huawei SUN2000-12KTL</v>
      </c>
      <c r="L172" s="264">
        <v>0</v>
      </c>
      <c r="M172" s="264" t="str">
        <v>Pending NEM Qouta Approval</v>
      </c>
      <c r="N172" s="264"/>
      <c r="O172" s="264"/>
    </row>
    <row r="173" spans="2:15" s="269" customFormat="1" x14ac:dyDescent="0.3">
      <c r="B173" s="268">
        <v>2412510</v>
      </c>
      <c r="C173" s="268" t="str">
        <v>How Toon Huah</v>
      </c>
      <c r="D173" s="268" t="e" vm="11">
        <v>#VALUE!</v>
      </c>
      <c r="E173" s="268" t="str">
        <v>Chean Bang</v>
      </c>
      <c r="F173" s="268" t="str">
        <v>R-PV</v>
      </c>
      <c r="G173" s="268" t="str">
        <v>NEM</v>
      </c>
      <c r="H173" s="268">
        <v>14.88</v>
      </c>
      <c r="I173" s="268" t="str">
        <v>Astronergy 620Wp</v>
      </c>
      <c r="J173" s="268">
        <v>24</v>
      </c>
      <c r="K173" s="268" t="str">
        <v>Huawei SUN2000-12KTL</v>
      </c>
      <c r="L173" s="268">
        <v>0</v>
      </c>
      <c r="M173" s="268" t="str">
        <v>Pending NEM Welcome Letter</v>
      </c>
      <c r="N173" s="268"/>
      <c r="O173" s="268"/>
    </row>
    <row r="174" spans="2:15" s="271" customFormat="1" x14ac:dyDescent="0.3">
      <c r="B174" s="270">
        <v>2504051</v>
      </c>
      <c r="C174" s="270" t="str">
        <v>G. Semanggol R&amp;R (Northbound) - Green EV Charge Sdn Bhd</v>
      </c>
      <c r="D174" s="270" t="e" vm="4">
        <v>#VALUE!</v>
      </c>
      <c r="E174" s="270" t="str">
        <v>Simon</v>
      </c>
      <c r="F174" s="270" t="str">
        <v>EV Charger</v>
      </c>
      <c r="G174" s="270">
        <v>0</v>
      </c>
      <c r="H174" s="270">
        <v>0</v>
      </c>
      <c r="I174" s="270">
        <v>0</v>
      </c>
      <c r="J174" s="270">
        <v>0</v>
      </c>
      <c r="K174" s="270">
        <v>0</v>
      </c>
      <c r="L174" s="270">
        <v>0</v>
      </c>
      <c r="M174" s="270" t="str">
        <v>Pending ST License Application</v>
      </c>
      <c r="N174" s="270"/>
      <c r="O174" s="270"/>
    </row>
    <row r="175" spans="2:15" s="271" customFormat="1" x14ac:dyDescent="0.3">
      <c r="B175" s="270">
        <v>2505056</v>
      </c>
      <c r="C175" s="270" t="str">
        <v>TMG Mall Tanjung Lumpur (Handal Green Mobility)</v>
      </c>
      <c r="D175" s="270" t="e" vm="11">
        <v>#VALUE!</v>
      </c>
      <c r="E175" s="270" t="str">
        <v>Chean Bang</v>
      </c>
      <c r="F175" s="270" t="str">
        <v>EV Charger</v>
      </c>
      <c r="G175" s="270">
        <v>0</v>
      </c>
      <c r="H175" s="270">
        <v>0</v>
      </c>
      <c r="I175" s="270">
        <v>0</v>
      </c>
      <c r="J175" s="270">
        <v>0</v>
      </c>
      <c r="K175" s="270">
        <v>0</v>
      </c>
      <c r="L175" s="270">
        <v>0</v>
      </c>
      <c r="M175" s="270" t="str">
        <v>Pending ST License Application</v>
      </c>
      <c r="N175" s="270"/>
      <c r="O175" s="270"/>
    </row>
    <row r="176" spans="2:15" s="275" customFormat="1" x14ac:dyDescent="0.3">
      <c r="B176" s="274">
        <v>2507833</v>
      </c>
      <c r="C176" s="274" t="str">
        <v>Yee Main Way</v>
      </c>
      <c r="D176" s="274" t="e" vm="11">
        <v>#VALUE!</v>
      </c>
      <c r="E176" s="274" t="str">
        <v>Patricia</v>
      </c>
      <c r="F176" s="274" t="str">
        <v>R-PV</v>
      </c>
      <c r="G176" s="274" t="str">
        <v>SELCO</v>
      </c>
      <c r="H176" s="274">
        <v>12.4</v>
      </c>
      <c r="I176" s="274" t="str">
        <v>Astronergy 620Wp</v>
      </c>
      <c r="J176" s="274">
        <v>20</v>
      </c>
      <c r="K176" s="274" t="str">
        <v>Solax 10kW</v>
      </c>
      <c r="L176" s="274">
        <v>0</v>
      </c>
      <c r="M176" s="274" t="str">
        <v>Pending Site Installation</v>
      </c>
      <c r="N176" s="274"/>
      <c r="O176" s="274"/>
    </row>
    <row r="177" spans="2:15" s="275" customFormat="1" x14ac:dyDescent="0.3">
      <c r="B177" s="274">
        <v>2409030</v>
      </c>
      <c r="C177" s="274" t="str">
        <v>TMG Mall Bandar Indera Mahkota (Handal Green Mobility)</v>
      </c>
      <c r="D177" s="274" t="e" vm="11">
        <v>#VALUE!</v>
      </c>
      <c r="E177" s="274" t="str">
        <v>Chean Bang</v>
      </c>
      <c r="F177" s="274" t="str">
        <v>EV Charger</v>
      </c>
      <c r="G177" s="274">
        <v>0</v>
      </c>
      <c r="H177" s="274">
        <v>0</v>
      </c>
      <c r="I177" s="274">
        <v>0</v>
      </c>
      <c r="J177" s="274">
        <v>0</v>
      </c>
      <c r="K177" s="274">
        <v>0</v>
      </c>
      <c r="L177" s="274">
        <v>0</v>
      </c>
      <c r="M177" s="274" t="str">
        <v>Pending Site Installation</v>
      </c>
      <c r="N177" s="274"/>
      <c r="O177" s="274"/>
    </row>
    <row r="178" spans="2:15" s="275" customFormat="1" x14ac:dyDescent="0.3">
      <c r="B178" s="274">
        <v>2507059</v>
      </c>
      <c r="C178" s="274" t="str">
        <v>TMG Mall IM16 (Handal Green Mobility)</v>
      </c>
      <c r="D178" s="274" t="e" vm="11">
        <v>#VALUE!</v>
      </c>
      <c r="E178" s="274" t="str">
        <v>Chean Bang</v>
      </c>
      <c r="F178" s="274" t="str">
        <v>EV Charger</v>
      </c>
      <c r="G178" s="274">
        <v>0</v>
      </c>
      <c r="H178" s="274">
        <v>0</v>
      </c>
      <c r="I178" s="274">
        <v>0</v>
      </c>
      <c r="J178" s="274">
        <v>0</v>
      </c>
      <c r="K178" s="274">
        <v>0</v>
      </c>
      <c r="L178" s="274">
        <v>0</v>
      </c>
      <c r="M178" s="274" t="str">
        <v>Pending Site Installation</v>
      </c>
      <c r="N178" s="274"/>
      <c r="O178" s="274"/>
    </row>
    <row r="179" spans="2:15" s="275" customFormat="1" x14ac:dyDescent="0.3">
      <c r="B179" s="274">
        <v>2507060</v>
      </c>
      <c r="C179" s="274" t="str">
        <v>TMG Mall Temerloh (Handal Green Mobility)</v>
      </c>
      <c r="D179" s="274" t="e" vm="11">
        <v>#VALUE!</v>
      </c>
      <c r="E179" s="274" t="str">
        <v>Chean Bang</v>
      </c>
      <c r="F179" s="274" t="str">
        <v>EV Charger</v>
      </c>
      <c r="G179" s="274">
        <v>0</v>
      </c>
      <c r="H179" s="274">
        <v>0</v>
      </c>
      <c r="I179" s="274">
        <v>0</v>
      </c>
      <c r="J179" s="274">
        <v>0</v>
      </c>
      <c r="K179" s="274">
        <v>0</v>
      </c>
      <c r="L179" s="274">
        <v>0</v>
      </c>
      <c r="M179" s="274" t="str">
        <v>Pending Site Installation</v>
      </c>
      <c r="N179" s="274"/>
      <c r="O179" s="274"/>
    </row>
    <row r="180" spans="2:15" s="275" customFormat="1" x14ac:dyDescent="0.3">
      <c r="B180" s="274">
        <v>2507062</v>
      </c>
      <c r="C180" s="274" t="str">
        <v>Tapah R&amp;R (Southbound) - Green EV Charge Sdn Bhd</v>
      </c>
      <c r="D180" s="274" t="e" vm="4">
        <v>#VALUE!</v>
      </c>
      <c r="E180" s="274" t="str">
        <v>Simon</v>
      </c>
      <c r="F180" s="274" t="str">
        <v>EV Charger</v>
      </c>
      <c r="G180" s="274">
        <v>0</v>
      </c>
      <c r="H180" s="274">
        <v>0</v>
      </c>
      <c r="I180" s="274">
        <v>0</v>
      </c>
      <c r="J180" s="274">
        <v>0</v>
      </c>
      <c r="K180" s="274">
        <v>0</v>
      </c>
      <c r="L180" s="274">
        <v>0</v>
      </c>
      <c r="M180" s="274" t="str">
        <v>Pending Site Installation</v>
      </c>
      <c r="N180" s="274"/>
      <c r="O180" s="274"/>
    </row>
    <row r="181" spans="2:15" s="275" customFormat="1" x14ac:dyDescent="0.3">
      <c r="B181" s="274">
        <v>2509863</v>
      </c>
      <c r="C181" s="274" t="str">
        <v>Goh Soon Teck</v>
      </c>
      <c r="D181" s="274" t="e" vm="11">
        <v>#VALUE!</v>
      </c>
      <c r="E181" s="274" t="str">
        <v>Patricia</v>
      </c>
      <c r="F181" s="274" t="str">
        <v>R-PV</v>
      </c>
      <c r="G181" s="274" t="str">
        <v>SELCO</v>
      </c>
      <c r="H181" s="274">
        <v>9.92</v>
      </c>
      <c r="I181" s="274" t="str">
        <v>Astronergy 620Wp</v>
      </c>
      <c r="J181" s="274">
        <v>16</v>
      </c>
      <c r="K181" s="274" t="str">
        <v>Solax 7.5kW</v>
      </c>
      <c r="L181" s="274">
        <v>0</v>
      </c>
      <c r="M181" s="274" t="str">
        <v>Pending Site Installation</v>
      </c>
      <c r="N181" s="274"/>
      <c r="O181" s="274"/>
    </row>
    <row r="182" spans="2:15" s="275" customFormat="1" x14ac:dyDescent="0.3">
      <c r="B182" s="274">
        <v>2507840</v>
      </c>
      <c r="C182" s="274" t="str">
        <v>Chew Kok leong</v>
      </c>
      <c r="D182" s="274" t="e" vm="11">
        <v>#VALUE!</v>
      </c>
      <c r="E182" s="274" t="str">
        <v>Patricia</v>
      </c>
      <c r="F182" s="274" t="str">
        <v>R-PV</v>
      </c>
      <c r="G182" s="274" t="str">
        <v>SELCO</v>
      </c>
      <c r="H182" s="274">
        <v>15.5</v>
      </c>
      <c r="I182" s="274" t="str">
        <v>Astronergy 620Wp</v>
      </c>
      <c r="J182" s="274">
        <v>25</v>
      </c>
      <c r="K182" s="274" t="str">
        <v>Solax 12kW</v>
      </c>
      <c r="L182" s="274">
        <v>0</v>
      </c>
      <c r="M182" s="274" t="str">
        <v>Pending Site Installation</v>
      </c>
      <c r="N182" s="274"/>
      <c r="O182" s="274"/>
    </row>
    <row r="183" spans="2:15" s="275" customFormat="1" x14ac:dyDescent="0.3">
      <c r="B183" s="274">
        <v>2508857</v>
      </c>
      <c r="C183" s="274" t="str">
        <v>Chong Horng Tat</v>
      </c>
      <c r="D183" s="274" t="e" vm="5">
        <v>#VALUE!</v>
      </c>
      <c r="E183" s="274" t="str">
        <v>Ong</v>
      </c>
      <c r="F183" s="274" t="str">
        <v>R-PV</v>
      </c>
      <c r="G183" s="274" t="str">
        <v>SELCO</v>
      </c>
      <c r="H183" s="274">
        <v>8.68</v>
      </c>
      <c r="I183" s="274" t="str">
        <v>Astronergy 620Wp</v>
      </c>
      <c r="J183" s="274">
        <v>14</v>
      </c>
      <c r="K183" s="274" t="str">
        <v>Solax 8kW</v>
      </c>
      <c r="L183" s="274">
        <v>0</v>
      </c>
      <c r="M183" s="274" t="str">
        <v>Pending Site Installation</v>
      </c>
      <c r="N183" s="274"/>
      <c r="O183" s="274"/>
    </row>
    <row r="184" spans="2:15" s="275" customFormat="1" x14ac:dyDescent="0.3">
      <c r="B184" s="274">
        <v>2305008</v>
      </c>
      <c r="C184" s="274" t="str">
        <v>Yeap Chooi Hock</v>
      </c>
      <c r="D184" s="274" t="e" vm="11">
        <v>#VALUE!</v>
      </c>
      <c r="E184" s="274" t="str">
        <v>Patricia</v>
      </c>
      <c r="F184" s="274" t="str">
        <v>C&amp;I-PV</v>
      </c>
      <c r="G184" s="274" t="str">
        <v>SELCO</v>
      </c>
      <c r="H184" s="274">
        <v>17.98</v>
      </c>
      <c r="I184" s="274" t="str">
        <v>Astronergy 620Wp</v>
      </c>
      <c r="J184" s="274">
        <v>29</v>
      </c>
      <c r="K184" s="274" t="str">
        <v>Solax 15kW</v>
      </c>
      <c r="L184" s="274">
        <v>0</v>
      </c>
      <c r="M184" s="274" t="str">
        <v>Pending Site Installation</v>
      </c>
      <c r="N184" s="274"/>
      <c r="O184" s="274"/>
    </row>
    <row r="185" spans="2:15" s="275" customFormat="1" x14ac:dyDescent="0.3">
      <c r="B185" s="274">
        <v>2508856</v>
      </c>
      <c r="C185" s="274" t="str">
        <v>Eddie Leong Kai Sheng</v>
      </c>
      <c r="D185" s="274" t="e" vm="11">
        <v>#VALUE!</v>
      </c>
      <c r="E185" s="274" t="str">
        <v>Ong</v>
      </c>
      <c r="F185" s="274" t="str">
        <v>R-PV</v>
      </c>
      <c r="G185" s="274" t="str">
        <v>SELCO</v>
      </c>
      <c r="H185" s="274">
        <v>18.600000000000001</v>
      </c>
      <c r="I185" s="274" t="str">
        <v>Astronergy 620Wp</v>
      </c>
      <c r="J185" s="274">
        <v>30</v>
      </c>
      <c r="K185" s="274" t="str">
        <v>Fox ESS 12kW</v>
      </c>
      <c r="L185" s="274">
        <v>0</v>
      </c>
      <c r="M185" s="274" t="str">
        <v>Pending Site Installation</v>
      </c>
      <c r="N185" s="274"/>
      <c r="O185" s="274"/>
    </row>
    <row r="186" spans="2:15" s="275" customFormat="1" x14ac:dyDescent="0.3">
      <c r="B186" s="274">
        <v>2510877</v>
      </c>
      <c r="C186" s="274" t="str">
        <v>Wang Pay Chen</v>
      </c>
      <c r="D186" s="274" t="e" vm="10">
        <v>#VALUE!</v>
      </c>
      <c r="E186" s="274" t="str">
        <v>Patricia</v>
      </c>
      <c r="F186" s="274" t="str">
        <v>R-PV</v>
      </c>
      <c r="G186" s="274" t="str">
        <v>SELCO</v>
      </c>
      <c r="H186" s="274">
        <v>9.92</v>
      </c>
      <c r="I186" s="274" t="str">
        <v>Astronergy 620Wp</v>
      </c>
      <c r="J186" s="274">
        <v>16</v>
      </c>
      <c r="K186" s="274" t="str">
        <v>Solax 8kW</v>
      </c>
      <c r="L186" s="274">
        <v>0</v>
      </c>
      <c r="M186" s="274" t="str">
        <v>Pending Site Installation</v>
      </c>
      <c r="N186" s="274"/>
      <c r="O186" s="274"/>
    </row>
    <row r="187" spans="2:15" s="275" customFormat="1" x14ac:dyDescent="0.3">
      <c r="B187" s="274">
        <v>2511887</v>
      </c>
      <c r="C187" s="274" t="str">
        <v>Lee Hang Meng</v>
      </c>
      <c r="D187" s="274" t="e" vm="11">
        <v>#VALUE!</v>
      </c>
      <c r="E187" s="274" t="str">
        <v>Patricia</v>
      </c>
      <c r="F187" s="274" t="str">
        <v>R-PV</v>
      </c>
      <c r="G187" s="274" t="str">
        <v>SELCO</v>
      </c>
      <c r="H187" s="274">
        <v>12.4</v>
      </c>
      <c r="I187" s="274" t="str">
        <v>Astronergy 620Wp</v>
      </c>
      <c r="J187" s="274">
        <v>19</v>
      </c>
      <c r="K187" s="274" t="str">
        <v>Fox ESS 10kW</v>
      </c>
      <c r="L187" s="274">
        <v>0</v>
      </c>
      <c r="M187" s="274" t="str">
        <v>Pending Site Installation</v>
      </c>
      <c r="N187" s="274"/>
      <c r="O187" s="274"/>
    </row>
    <row r="188" spans="2:15" s="275" customFormat="1" x14ac:dyDescent="0.3">
      <c r="B188" s="274">
        <v>2305019</v>
      </c>
      <c r="C188" s="274" t="str">
        <v>Soe Yew Seng</v>
      </c>
      <c r="D188" s="274" t="e" vm="5">
        <v>#VALUE!</v>
      </c>
      <c r="E188" s="274" t="str">
        <v>Simon</v>
      </c>
      <c r="F188" s="274" t="str">
        <v>R-PV</v>
      </c>
      <c r="G188" s="274" t="str">
        <v>SELCO</v>
      </c>
      <c r="H188" s="274">
        <v>15.5</v>
      </c>
      <c r="I188" s="274" t="str">
        <v>Astronergy 620Wp</v>
      </c>
      <c r="J188" s="274">
        <v>25</v>
      </c>
      <c r="K188" s="274" t="str">
        <v>Fox ESS 12kW</v>
      </c>
      <c r="L188" s="274">
        <v>0</v>
      </c>
      <c r="M188" s="274" t="str">
        <v>Pending Site Installation</v>
      </c>
      <c r="N188" s="274"/>
      <c r="O188" s="274"/>
    </row>
  </sheetData>
  <autoFilter ref="B11:M188" xr:uid="{ECBEF05B-ECD8-4840-8969-0E9FC637343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55F5-6B84-4FFA-AEC1-73DBDD62950C}">
  <sheetPr codeName="Sheet3"/>
  <dimension ref="A2:AI405"/>
  <sheetViews>
    <sheetView zoomScale="90" zoomScaleNormal="90" workbookViewId="0">
      <pane xSplit="4" ySplit="3" topLeftCell="H62" activePane="bottomRight" state="frozen"/>
      <selection pane="topRight" activeCell="F1" sqref="F1"/>
      <selection pane="bottomLeft" activeCell="A4" sqref="A4"/>
      <selection pane="bottomRight" activeCell="O375" sqref="O375"/>
    </sheetView>
  </sheetViews>
  <sheetFormatPr defaultRowHeight="19.5" customHeight="1" outlineLevelCol="2" x14ac:dyDescent="0.3"/>
  <cols>
    <col min="1" max="1" width="16.44140625" style="5" customWidth="1"/>
    <col min="2" max="2" width="51.88671875" style="15" customWidth="1"/>
    <col min="3" max="5" width="16" style="11" customWidth="1"/>
    <col min="6" max="6" width="12.5546875" style="5" customWidth="1" outlineLevel="2"/>
    <col min="7" max="7" width="26.44140625" style="5" customWidth="1" outlineLevel="2"/>
    <col min="8" max="9" width="22.44140625" style="5" customWidth="1" outlineLevel="1"/>
    <col min="10" max="11" width="15.5546875" style="5" customWidth="1" outlineLevel="1"/>
    <col min="12" max="15" width="15.5546875" style="5" customWidth="1"/>
    <col min="16" max="17" width="15.5546875" style="26" customWidth="1"/>
    <col min="18" max="19" width="15.5546875" style="5" customWidth="1"/>
    <col min="20" max="22" width="15.5546875" style="26" customWidth="1"/>
    <col min="23" max="31" width="15.5546875" style="5" customWidth="1"/>
    <col min="32" max="34" width="15.5546875" customWidth="1"/>
    <col min="35" max="35" width="15.5546875" style="5" customWidth="1"/>
  </cols>
  <sheetData>
    <row r="2" spans="1:35" ht="19.5" customHeight="1" x14ac:dyDescent="0.3">
      <c r="A2" s="42"/>
      <c r="B2" s="124"/>
      <c r="C2" s="54"/>
      <c r="D2" s="54"/>
      <c r="E2" s="54"/>
      <c r="F2" s="42"/>
      <c r="G2" s="42"/>
      <c r="H2" s="42"/>
      <c r="I2" s="42"/>
      <c r="J2" s="42"/>
      <c r="K2" s="42"/>
      <c r="L2" s="162" t="s">
        <v>1862</v>
      </c>
      <c r="M2" s="162"/>
      <c r="N2" s="162"/>
      <c r="O2" s="162"/>
      <c r="P2" s="162" t="s">
        <v>1863</v>
      </c>
      <c r="Q2" s="162"/>
      <c r="R2" s="162"/>
      <c r="S2" s="162"/>
      <c r="T2" s="162" t="s">
        <v>1864</v>
      </c>
      <c r="U2" s="162"/>
      <c r="V2" s="162"/>
      <c r="W2" s="162"/>
      <c r="X2" s="162" t="s">
        <v>1865</v>
      </c>
      <c r="Y2" s="162"/>
      <c r="Z2" s="162"/>
      <c r="AA2" s="162"/>
      <c r="AB2" s="162" t="s">
        <v>1866</v>
      </c>
      <c r="AC2" s="162"/>
      <c r="AD2" s="162"/>
      <c r="AE2" s="162"/>
      <c r="AF2" s="162" t="s">
        <v>1867</v>
      </c>
      <c r="AG2" s="162"/>
      <c r="AH2" s="162"/>
      <c r="AI2" s="162"/>
    </row>
    <row r="3" spans="1:35" s="14" customFormat="1" ht="41.85" customHeight="1" x14ac:dyDescent="0.3">
      <c r="A3" s="61" t="s">
        <v>43</v>
      </c>
      <c r="B3" s="61" t="s">
        <v>44</v>
      </c>
      <c r="C3" s="62" t="s">
        <v>39</v>
      </c>
      <c r="D3" s="62" t="s">
        <v>1868</v>
      </c>
      <c r="E3" s="62" t="s">
        <v>46</v>
      </c>
      <c r="F3" s="61" t="s">
        <v>47</v>
      </c>
      <c r="G3" s="61" t="s">
        <v>1869</v>
      </c>
      <c r="H3" s="61" t="s">
        <v>1870</v>
      </c>
      <c r="I3" s="61" t="s">
        <v>1828</v>
      </c>
      <c r="J3" s="61" t="s">
        <v>1871</v>
      </c>
      <c r="K3" s="61" t="s">
        <v>1872</v>
      </c>
      <c r="L3" s="61" t="s">
        <v>1873</v>
      </c>
      <c r="M3" s="61" t="s">
        <v>1874</v>
      </c>
      <c r="N3" s="61" t="s">
        <v>1875</v>
      </c>
      <c r="O3" s="61" t="s">
        <v>1862</v>
      </c>
      <c r="P3" s="63" t="s">
        <v>1876</v>
      </c>
      <c r="Q3" s="63" t="s">
        <v>1877</v>
      </c>
      <c r="R3" s="61" t="s">
        <v>1878</v>
      </c>
      <c r="S3" s="61" t="s">
        <v>1879</v>
      </c>
      <c r="T3" s="63" t="s">
        <v>1880</v>
      </c>
      <c r="U3" s="63" t="s">
        <v>1877</v>
      </c>
      <c r="V3" s="63" t="s">
        <v>1881</v>
      </c>
      <c r="W3" s="61" t="s">
        <v>1879</v>
      </c>
      <c r="X3" s="61" t="s">
        <v>1882</v>
      </c>
      <c r="Y3" s="61" t="s">
        <v>1877</v>
      </c>
      <c r="Z3" s="61" t="s">
        <v>1883</v>
      </c>
      <c r="AA3" s="61" t="s">
        <v>1879</v>
      </c>
      <c r="AB3" s="61" t="s">
        <v>1884</v>
      </c>
      <c r="AC3" s="61" t="s">
        <v>1877</v>
      </c>
      <c r="AD3" s="61" t="s">
        <v>1885</v>
      </c>
      <c r="AE3" s="61" t="s">
        <v>1879</v>
      </c>
      <c r="AF3" s="61" t="s">
        <v>1886</v>
      </c>
      <c r="AG3" s="61" t="s">
        <v>1887</v>
      </c>
      <c r="AH3" s="61" t="s">
        <v>1888</v>
      </c>
      <c r="AI3" s="61" t="s">
        <v>1867</v>
      </c>
    </row>
    <row r="4" spans="1:35" ht="19.5" customHeight="1" x14ac:dyDescent="0.3">
      <c r="A4" s="4">
        <f>'ECN Master Project Tracker new'!A5</f>
        <v>2303005</v>
      </c>
      <c r="B4" s="110" t="str">
        <f>VLOOKUP(A:A,Table1[[Project No]:[Additional Remark]],2,FALSE)</f>
        <v>Wong Kim Mei</v>
      </c>
      <c r="C4" s="55">
        <f>VLOOKUP(A:A,Table1[[Project No]:[Additional Remark]],11,FALSE)</f>
        <v>32000</v>
      </c>
      <c r="D4" s="55">
        <f>VLOOKUP(A:A,Table1[[Project No]:[Additional Remark]],12,FALSE)</f>
        <v>0</v>
      </c>
      <c r="E4" s="55" t="str">
        <f>VLOOKUP(A:A,Table1[[Project No]:[Additional Remark]],4,FALSE)</f>
        <v>Simon</v>
      </c>
      <c r="F4" s="4" t="str">
        <f>VLOOKUP(A:A,Table1[[Project No]:[Additional Remark]],5,FALSE)</f>
        <v>R-PV</v>
      </c>
      <c r="G4" s="4" t="str">
        <f>VLOOKUP(A:A,Table1[[Project No]:[Additional Remark]],13,FALSE)</f>
        <v>Self finance</v>
      </c>
      <c r="H4" s="4" t="str" cm="1">
        <f t="array" ref="H4">_xlfn.IFS((D4+C4)-J4=0,"Invoice Completed",AC4&lt;&gt;"","5th invoice",Y4&lt;&gt;"","4th invoice",U4&lt;&gt;"","3rd invoice",Q4&lt;&gt;"","2nd invoice",M4&lt;&gt;"","1st invoice",M4="","Pending 1st Invoice")</f>
        <v>Invoice Completed</v>
      </c>
      <c r="I4" s="4" t="str" cm="1">
        <f t="array" ref="I4">_xlfn.IFS((C4+D4)-K4=0,"Payment Completed",AE4&lt;&gt;"","5th payment",AA4&lt;&gt;"","4th payment",W4&lt;&gt;"","3rd payment",S4&lt;&gt;"","2nd payment",O4&lt;&gt;"","1st payment",O4="","Pending 1st Payment")</f>
        <v>Payment Completed</v>
      </c>
      <c r="J4" s="55">
        <f t="shared" ref="J4:J67" si="0">SUM(M4,Q4,U4,Y4,AC4,AG4)</f>
        <v>32000</v>
      </c>
      <c r="K4" s="55">
        <f t="shared" ref="K4:K67" si="1">SUM(O4,S4,W4,AA4,AE4,AI4)</f>
        <v>32000</v>
      </c>
      <c r="L4" s="65">
        <v>45117</v>
      </c>
      <c r="M4" s="66">
        <v>500</v>
      </c>
      <c r="N4" s="65">
        <v>45117</v>
      </c>
      <c r="O4" s="66">
        <v>500</v>
      </c>
      <c r="P4" s="39">
        <v>45113</v>
      </c>
      <c r="Q4" s="57">
        <v>25600</v>
      </c>
      <c r="R4" s="39">
        <v>45118</v>
      </c>
      <c r="S4" s="57">
        <v>25600</v>
      </c>
      <c r="T4" s="65">
        <v>45195</v>
      </c>
      <c r="U4" s="66">
        <v>5900</v>
      </c>
      <c r="V4" s="65">
        <v>45197</v>
      </c>
      <c r="W4" s="66">
        <v>5900</v>
      </c>
      <c r="X4" s="39"/>
      <c r="Y4" s="57"/>
      <c r="Z4" s="39"/>
      <c r="AA4" s="57"/>
      <c r="AB4" s="65"/>
      <c r="AC4" s="66"/>
      <c r="AD4" s="65"/>
      <c r="AE4" s="66"/>
      <c r="AF4" s="39"/>
      <c r="AG4" s="57"/>
      <c r="AH4" s="39"/>
      <c r="AI4" s="57"/>
    </row>
    <row r="5" spans="1:35" ht="19.5" customHeight="1" x14ac:dyDescent="0.3">
      <c r="A5" s="4">
        <f>'ECN Master Project Tracker new'!A6</f>
        <v>2303006</v>
      </c>
      <c r="B5" s="110" t="str">
        <f>VLOOKUP(A:A,Table1[[Project No]:[Additional Remark]],2,FALSE)</f>
        <v>Ang Ching Ming</v>
      </c>
      <c r="C5" s="55">
        <f>VLOOKUP(A:A,Table1[[Project No]:[Additional Remark]],11,FALSE)</f>
        <v>40000</v>
      </c>
      <c r="D5" s="55">
        <f>VLOOKUP(A:A,Table1[[Project No]:[Additional Remark]],12,FALSE)</f>
        <v>0</v>
      </c>
      <c r="E5" s="55" t="str">
        <f>VLOOKUP(A:A,Table1[[Project No]:[Additional Remark]],4,FALSE)</f>
        <v>Simon</v>
      </c>
      <c r="F5" s="4" t="str">
        <f>VLOOKUP(A:A,Table1[[Project No]:[Additional Remark]],5,FALSE)</f>
        <v>R-PV</v>
      </c>
      <c r="G5" s="4" t="str">
        <f>VLOOKUP(A:A,Table1[[Project No]:[Additional Remark]],13,FALSE)</f>
        <v>Self finance</v>
      </c>
      <c r="H5" s="4" t="str" cm="1">
        <f t="array" ref="H5">_xlfn.IFS((D5+C5)-J5=0,"Invoice Completed",AC5&lt;&gt;"","5th invoice",Y5&lt;&gt;"","4th invoice",U5&lt;&gt;"","3rd invoice",Q5&lt;&gt;"","2nd invoice",M5&lt;&gt;"","1st invoice",M5="","Pending 1st Invoice")</f>
        <v>Pending 1st Invoice</v>
      </c>
      <c r="I5" s="4" t="str" cm="1">
        <f t="array" ref="I5">_xlfn.IFS((C5+D5)-K5=0,"Payment Completed",AE5&lt;&gt;"","5th payment",AA5&lt;&gt;"","4th payment",W5&lt;&gt;"","3rd payment",S5&lt;&gt;"","2nd payment",O5&lt;&gt;"","1st payment",O5="","Pending 1st Payment")</f>
        <v>Pending 1st Payment</v>
      </c>
      <c r="J5" s="55">
        <f t="shared" si="0"/>
        <v>0</v>
      </c>
      <c r="K5" s="55">
        <f t="shared" si="1"/>
        <v>0</v>
      </c>
      <c r="L5" s="65"/>
      <c r="M5" s="66"/>
      <c r="N5" s="65"/>
      <c r="O5" s="66"/>
      <c r="P5" s="39"/>
      <c r="Q5" s="57"/>
      <c r="R5" s="39"/>
      <c r="S5" s="57"/>
      <c r="T5" s="65"/>
      <c r="U5" s="66"/>
      <c r="V5" s="65"/>
      <c r="W5" s="66"/>
      <c r="X5" s="39"/>
      <c r="Y5" s="57"/>
      <c r="Z5" s="39"/>
      <c r="AA5" s="57"/>
      <c r="AB5" s="65"/>
      <c r="AC5" s="66"/>
      <c r="AD5" s="65"/>
      <c r="AE5" s="66"/>
      <c r="AF5" s="39"/>
      <c r="AG5" s="57"/>
      <c r="AH5" s="39"/>
      <c r="AI5" s="57"/>
    </row>
    <row r="6" spans="1:35" ht="19.5" customHeight="1" x14ac:dyDescent="0.3">
      <c r="A6" s="4">
        <f>'ECN Master Project Tracker new'!A7</f>
        <v>2304016</v>
      </c>
      <c r="B6" s="110" t="str">
        <f>VLOOKUP(A:A,Table1[[Project No]:[Additional Remark]],2,FALSE)</f>
        <v>Tan Sei Choon</v>
      </c>
      <c r="C6" s="55">
        <f>VLOOKUP(A:A,Table1[[Project No]:[Additional Remark]],11,FALSE)</f>
        <v>31000</v>
      </c>
      <c r="D6" s="55">
        <f>VLOOKUP(A:A,Table1[[Project No]:[Additional Remark]],12,FALSE)</f>
        <v>0</v>
      </c>
      <c r="E6" s="55" t="str">
        <f>VLOOKUP(A:A,Table1[[Project No]:[Additional Remark]],4,FALSE)</f>
        <v>Chean Bang</v>
      </c>
      <c r="F6" s="4" t="str">
        <f>VLOOKUP(A:A,Table1[[Project No]:[Additional Remark]],5,FALSE)</f>
        <v>R-PV</v>
      </c>
      <c r="G6" s="4" t="str">
        <f>VLOOKUP(A:A,Table1[[Project No]:[Additional Remark]],13,FALSE)</f>
        <v>Self finance</v>
      </c>
      <c r="H6" s="4" t="str" cm="1">
        <f t="array" ref="H6">_xlfn.IFS((D6+C6)-J6=0,"Invoice Completed",AC6&lt;&gt;"","5th invoice",Y6&lt;&gt;"","4th invoice",U6&lt;&gt;"","3rd invoice",Q6&lt;&gt;"","2nd invoice",M6&lt;&gt;"","1st invoice",M6="","Pending 1st Invoice")</f>
        <v>Invoice Completed</v>
      </c>
      <c r="I6" s="4" t="str" cm="1">
        <f t="array" ref="I6">_xlfn.IFS((C6+D6)-K6=0,"Payment Completed",AE6&lt;&gt;"","5th payment",AA6&lt;&gt;"","4th payment",W6&lt;&gt;"","3rd payment",S6&lt;&gt;"","2nd payment",O6&lt;&gt;"","1st payment",O6="","Pending 1st Payment")</f>
        <v>Payment Completed</v>
      </c>
      <c r="J6" s="55">
        <f t="shared" si="0"/>
        <v>31000</v>
      </c>
      <c r="K6" s="55">
        <f t="shared" si="1"/>
        <v>31000</v>
      </c>
      <c r="L6" s="65">
        <v>45075</v>
      </c>
      <c r="M6" s="66">
        <v>500</v>
      </c>
      <c r="N6" s="65">
        <v>45075</v>
      </c>
      <c r="O6" s="66">
        <v>500</v>
      </c>
      <c r="P6" s="39">
        <v>45149</v>
      </c>
      <c r="Q6" s="57">
        <v>27000</v>
      </c>
      <c r="R6" s="39">
        <v>45152</v>
      </c>
      <c r="S6" s="57">
        <v>27000</v>
      </c>
      <c r="T6" s="65">
        <v>45175</v>
      </c>
      <c r="U6" s="66">
        <v>3500</v>
      </c>
      <c r="V6" s="65">
        <v>45176</v>
      </c>
      <c r="W6" s="66">
        <v>3500</v>
      </c>
      <c r="X6" s="39"/>
      <c r="Y6" s="57"/>
      <c r="Z6" s="39"/>
      <c r="AA6" s="57"/>
      <c r="AB6" s="65"/>
      <c r="AC6" s="66"/>
      <c r="AD6" s="65"/>
      <c r="AE6" s="66"/>
      <c r="AF6" s="39"/>
      <c r="AG6" s="57"/>
      <c r="AH6" s="39"/>
      <c r="AI6" s="57"/>
    </row>
    <row r="7" spans="1:35" ht="19.5" customHeight="1" x14ac:dyDescent="0.3">
      <c r="A7" s="4">
        <f>'ECN Master Project Tracker new'!A8</f>
        <v>2305021</v>
      </c>
      <c r="B7" s="110" t="str">
        <f>VLOOKUP(A:A,Table1[[Project No]:[Additional Remark]],2,FALSE)</f>
        <v>Ho Hon Kit</v>
      </c>
      <c r="C7" s="55">
        <f>VLOOKUP(A:A,Table1[[Project No]:[Additional Remark]],11,FALSE)</f>
        <v>20000</v>
      </c>
      <c r="D7" s="55">
        <f>VLOOKUP(A:A,Table1[[Project No]:[Additional Remark]],12,FALSE)</f>
        <v>0</v>
      </c>
      <c r="E7" s="55" t="str">
        <f>VLOOKUP(A:A,Table1[[Project No]:[Additional Remark]],4,FALSE)</f>
        <v>Simon</v>
      </c>
      <c r="F7" s="4" t="str">
        <f>VLOOKUP(A:A,Table1[[Project No]:[Additional Remark]],5,FALSE)</f>
        <v>R-PV</v>
      </c>
      <c r="G7" s="4" t="str">
        <f>VLOOKUP(A:A,Table1[[Project No]:[Additional Remark]],13,FALSE)</f>
        <v>Self finance</v>
      </c>
      <c r="H7" s="4" t="str" cm="1">
        <f t="array" ref="H7">_xlfn.IFS((D7+C7)-J7=0,"Invoice Completed",AC7&lt;&gt;"","5th invoice",Y7&lt;&gt;"","4th invoice",U7&lt;&gt;"","3rd invoice",Q7&lt;&gt;"","2nd invoice",M7&lt;&gt;"","1st invoice",M7="","Pending 1st Invoice")</f>
        <v>Pending 1st Invoice</v>
      </c>
      <c r="I7" s="4" t="str" cm="1">
        <f t="array" ref="I7">_xlfn.IFS((C7+D7)-K7=0,"Payment Completed",AE7&lt;&gt;"","5th payment",AA7&lt;&gt;"","4th payment",W7&lt;&gt;"","3rd payment",S7&lt;&gt;"","2nd payment",O7&lt;&gt;"","1st payment",O7="","Pending 1st Payment")</f>
        <v>Pending 1st Payment</v>
      </c>
      <c r="J7" s="55">
        <f t="shared" si="0"/>
        <v>0</v>
      </c>
      <c r="K7" s="55">
        <f t="shared" si="1"/>
        <v>0</v>
      </c>
      <c r="L7" s="65"/>
      <c r="M7" s="66"/>
      <c r="N7" s="65"/>
      <c r="O7" s="66"/>
      <c r="P7" s="39"/>
      <c r="Q7" s="57"/>
      <c r="R7" s="39"/>
      <c r="S7" s="57"/>
      <c r="T7" s="65"/>
      <c r="U7" s="66"/>
      <c r="V7" s="65"/>
      <c r="W7" s="66"/>
      <c r="X7" s="39"/>
      <c r="Y7" s="57"/>
      <c r="Z7" s="39"/>
      <c r="AA7" s="57"/>
      <c r="AB7" s="65"/>
      <c r="AC7" s="66"/>
      <c r="AD7" s="65"/>
      <c r="AE7" s="66"/>
      <c r="AF7" s="39"/>
      <c r="AG7" s="57"/>
      <c r="AH7" s="39"/>
      <c r="AI7" s="57"/>
    </row>
    <row r="8" spans="1:35" ht="19.5" customHeight="1" x14ac:dyDescent="0.3">
      <c r="A8" s="4">
        <f>'ECN Master Project Tracker new'!A9</f>
        <v>2305026</v>
      </c>
      <c r="B8" s="110" t="str">
        <f>VLOOKUP(A:A,Table1[[Project No]:[Additional Remark]],2,FALSE)</f>
        <v>Stanley Ang Leng Chuan</v>
      </c>
      <c r="C8" s="55">
        <f>VLOOKUP(A:A,Table1[[Project No]:[Additional Remark]],11,FALSE)</f>
        <v>40000</v>
      </c>
      <c r="D8" s="55">
        <f>VLOOKUP(A:A,Table1[[Project No]:[Additional Remark]],12,FALSE)</f>
        <v>0</v>
      </c>
      <c r="E8" s="55" t="str">
        <f>VLOOKUP(A:A,Table1[[Project No]:[Additional Remark]],4,FALSE)</f>
        <v>Simon</v>
      </c>
      <c r="F8" s="4" t="str">
        <f>VLOOKUP(A:A,Table1[[Project No]:[Additional Remark]],5,FALSE)</f>
        <v>R-PV</v>
      </c>
      <c r="G8" s="4" t="str">
        <f>VLOOKUP(A:A,Table1[[Project No]:[Additional Remark]],13,FALSE)</f>
        <v>Self finance</v>
      </c>
      <c r="H8" s="4" t="str" cm="1">
        <f t="array" ref="H8">_xlfn.IFS((D8+C8)-J8=0,"Invoice Completed",AC8&lt;&gt;"","5th invoice",Y8&lt;&gt;"","4th invoice",U8&lt;&gt;"","3rd invoice",Q8&lt;&gt;"","2nd invoice",M8&lt;&gt;"","1st invoice",M8="","Pending 1st Invoice")</f>
        <v>Invoice Completed</v>
      </c>
      <c r="I8" s="4" t="str" cm="1">
        <f t="array" ref="I8">_xlfn.IFS((C8+D8)-K8=0,"Payment Completed",AE8&lt;&gt;"","5th payment",AA8&lt;&gt;"","4th payment",W8&lt;&gt;"","3rd payment",S8&lt;&gt;"","2nd payment",O8&lt;&gt;"","1st payment",O8="","Pending 1st Payment")</f>
        <v>Payment Completed</v>
      </c>
      <c r="J8" s="55">
        <f t="shared" si="0"/>
        <v>40000</v>
      </c>
      <c r="K8" s="55">
        <f t="shared" si="1"/>
        <v>40000</v>
      </c>
      <c r="L8" s="65">
        <v>45103</v>
      </c>
      <c r="M8" s="66">
        <v>500</v>
      </c>
      <c r="N8" s="65">
        <v>45103</v>
      </c>
      <c r="O8" s="66">
        <v>500</v>
      </c>
      <c r="P8" s="39">
        <v>45152</v>
      </c>
      <c r="Q8" s="57">
        <v>34500</v>
      </c>
      <c r="R8" s="39">
        <v>45154</v>
      </c>
      <c r="S8" s="57">
        <v>34500</v>
      </c>
      <c r="T8" s="65">
        <v>45244</v>
      </c>
      <c r="U8" s="66">
        <v>5000</v>
      </c>
      <c r="V8" s="65">
        <v>45253</v>
      </c>
      <c r="W8" s="66">
        <v>5000</v>
      </c>
      <c r="X8" s="39"/>
      <c r="Y8" s="57"/>
      <c r="Z8" s="39"/>
      <c r="AA8" s="57"/>
      <c r="AB8" s="65"/>
      <c r="AC8" s="66"/>
      <c r="AD8" s="65"/>
      <c r="AE8" s="66"/>
      <c r="AF8" s="39"/>
      <c r="AG8" s="57"/>
      <c r="AH8" s="39"/>
      <c r="AI8" s="57"/>
    </row>
    <row r="9" spans="1:35" ht="19.5" customHeight="1" x14ac:dyDescent="0.3">
      <c r="A9" s="4">
        <f>'ECN Master Project Tracker new'!A10</f>
        <v>2306033</v>
      </c>
      <c r="B9" s="110" t="str">
        <f>VLOOKUP(A:A,Table1[[Project No]:[Additional Remark]],2,FALSE)</f>
        <v>Foo Tuang Lee</v>
      </c>
      <c r="C9" s="55">
        <f>VLOOKUP(A:A,Table1[[Project No]:[Additional Remark]],11,FALSE)</f>
        <v>16000</v>
      </c>
      <c r="D9" s="55">
        <f>VLOOKUP(A:A,Table1[[Project No]:[Additional Remark]],12,FALSE)</f>
        <v>0</v>
      </c>
      <c r="E9" s="55" t="str">
        <f>VLOOKUP(A:A,Table1[[Project No]:[Additional Remark]],4,FALSE)</f>
        <v>Chean Bang</v>
      </c>
      <c r="F9" s="4" t="str">
        <f>VLOOKUP(A:A,Table1[[Project No]:[Additional Remark]],5,FALSE)</f>
        <v>R-PV</v>
      </c>
      <c r="G9" s="4" t="str">
        <f>VLOOKUP(A:A,Table1[[Project No]:[Additional Remark]],13,FALSE)</f>
        <v>Self finance</v>
      </c>
      <c r="H9" s="4" t="str" cm="1">
        <f t="array" ref="H9">_xlfn.IFS((D9+C9)-J9=0,"Invoice Completed",AC9&lt;&gt;"","5th invoice",Y9&lt;&gt;"","4th invoice",U9&lt;&gt;"","3rd invoice",Q9&lt;&gt;"","2nd invoice",M9&lt;&gt;"","1st invoice",M9="","Pending 1st Invoice")</f>
        <v>Invoice Completed</v>
      </c>
      <c r="I9" s="4" t="str" cm="1">
        <f t="array" ref="I9">_xlfn.IFS((C9+D9)-K9=0,"Payment Completed",AE9&lt;&gt;"","5th payment",AA9&lt;&gt;"","4th payment",W9&lt;&gt;"","3rd payment",S9&lt;&gt;"","2nd payment",O9&lt;&gt;"","1st payment",O9="","Pending 1st Payment")</f>
        <v>Payment Completed</v>
      </c>
      <c r="J9" s="55">
        <f t="shared" si="0"/>
        <v>16000</v>
      </c>
      <c r="K9" s="55">
        <f t="shared" si="1"/>
        <v>16000</v>
      </c>
      <c r="L9" s="65">
        <v>45083</v>
      </c>
      <c r="M9" s="66">
        <v>500</v>
      </c>
      <c r="N9" s="65">
        <v>45083</v>
      </c>
      <c r="O9" s="66">
        <v>500</v>
      </c>
      <c r="P9" s="39">
        <v>45113</v>
      </c>
      <c r="Q9" s="57">
        <v>13000</v>
      </c>
      <c r="R9" s="39">
        <v>45118</v>
      </c>
      <c r="S9" s="57">
        <v>13000</v>
      </c>
      <c r="T9" s="65">
        <v>45113</v>
      </c>
      <c r="U9" s="66">
        <v>2500</v>
      </c>
      <c r="V9" s="65">
        <v>45190</v>
      </c>
      <c r="W9" s="66">
        <v>2500</v>
      </c>
      <c r="X9" s="39"/>
      <c r="Y9" s="57"/>
      <c r="Z9" s="39"/>
      <c r="AA9" s="57"/>
      <c r="AB9" s="65"/>
      <c r="AC9" s="66"/>
      <c r="AD9" s="65"/>
      <c r="AE9" s="66"/>
      <c r="AF9" s="39"/>
      <c r="AG9" s="57"/>
      <c r="AH9" s="39"/>
      <c r="AI9" s="57"/>
    </row>
    <row r="10" spans="1:35" ht="19.5" customHeight="1" x14ac:dyDescent="0.3">
      <c r="A10" s="4">
        <f>'ECN Master Project Tracker new'!A11</f>
        <v>2306037</v>
      </c>
      <c r="B10" s="110" t="str">
        <f>VLOOKUP(A:A,Table1[[Project No]:[Additional Remark]],2,FALSE)</f>
        <v>Tan Hong Guan</v>
      </c>
      <c r="C10" s="55">
        <f>VLOOKUP(A:A,Table1[[Project No]:[Additional Remark]],11,FALSE)</f>
        <v>36575</v>
      </c>
      <c r="D10" s="55">
        <f>VLOOKUP(A:A,Table1[[Project No]:[Additional Remark]],12,FALSE)</f>
        <v>0</v>
      </c>
      <c r="E10" s="55" t="str">
        <f>VLOOKUP(A:A,Table1[[Project No]:[Additional Remark]],4,FALSE)</f>
        <v>Simon</v>
      </c>
      <c r="F10" s="4" t="str">
        <f>VLOOKUP(A:A,Table1[[Project No]:[Additional Remark]],5,FALSE)</f>
        <v>R-PV</v>
      </c>
      <c r="G10" s="4" t="str">
        <f>VLOOKUP(A:A,Table1[[Project No]:[Additional Remark]],13,FALSE)</f>
        <v>Self finance</v>
      </c>
      <c r="H10" s="4" t="str" cm="1">
        <f t="array" ref="H10">_xlfn.IFS((D10+C10)-J10=0,"Invoice Completed",AC10&lt;&gt;"","5th invoice",Y10&lt;&gt;"","4th invoice",U10&lt;&gt;"","3rd invoice",Q10&lt;&gt;"","2nd invoice",M10&lt;&gt;"","1st invoice",M10="","Pending 1st Invoice")</f>
        <v>Invoice Completed</v>
      </c>
      <c r="I10" s="4" t="str" cm="1">
        <f t="array" ref="I10">_xlfn.IFS((C10+D10)-K10=0,"Payment Completed",AE10&lt;&gt;"","5th payment",AA10&lt;&gt;"","4th payment",W10&lt;&gt;"","3rd payment",S10&lt;&gt;"","2nd payment",O10&lt;&gt;"","1st payment",O10="","Pending 1st Payment")</f>
        <v>Payment Completed</v>
      </c>
      <c r="J10" s="55">
        <f t="shared" si="0"/>
        <v>36575</v>
      </c>
      <c r="K10" s="55">
        <f t="shared" si="1"/>
        <v>36575</v>
      </c>
      <c r="L10" s="65">
        <v>45195</v>
      </c>
      <c r="M10" s="66">
        <v>18287.5</v>
      </c>
      <c r="N10" s="65">
        <v>45195</v>
      </c>
      <c r="O10" s="66">
        <v>18287.5</v>
      </c>
      <c r="P10" s="39">
        <v>45244</v>
      </c>
      <c r="Q10" s="57">
        <v>18287.5</v>
      </c>
      <c r="R10" s="39">
        <v>45275</v>
      </c>
      <c r="S10" s="57">
        <v>18287.5</v>
      </c>
      <c r="T10" s="65"/>
      <c r="U10" s="66"/>
      <c r="V10" s="65"/>
      <c r="W10" s="66"/>
      <c r="X10" s="39"/>
      <c r="Y10" s="57"/>
      <c r="Z10" s="39"/>
      <c r="AA10" s="57"/>
      <c r="AB10" s="65"/>
      <c r="AC10" s="66"/>
      <c r="AD10" s="65"/>
      <c r="AE10" s="66"/>
      <c r="AF10" s="39"/>
      <c r="AG10" s="57"/>
      <c r="AH10" s="39"/>
      <c r="AI10" s="57"/>
    </row>
    <row r="11" spans="1:35" ht="19.5" customHeight="1" x14ac:dyDescent="0.3">
      <c r="A11" s="4">
        <f>'ECN Master Project Tracker new'!A12</f>
        <v>2307040</v>
      </c>
      <c r="B11" s="110" t="str">
        <f>VLOOKUP(A:A,Table1[[Project No]:[Additional Remark]],2,FALSE)</f>
        <v>Law Soo Chin</v>
      </c>
      <c r="C11" s="55">
        <f>VLOOKUP(A:A,Table1[[Project No]:[Additional Remark]],11,FALSE)</f>
        <v>40000</v>
      </c>
      <c r="D11" s="55">
        <f>VLOOKUP(A:A,Table1[[Project No]:[Additional Remark]],12,FALSE)</f>
        <v>0</v>
      </c>
      <c r="E11" s="55" t="str">
        <f>VLOOKUP(A:A,Table1[[Project No]:[Additional Remark]],4,FALSE)</f>
        <v>Chean Bang</v>
      </c>
      <c r="F11" s="4" t="str">
        <f>VLOOKUP(A:A,Table1[[Project No]:[Additional Remark]],5,FALSE)</f>
        <v>R-PV</v>
      </c>
      <c r="G11" s="4" t="str">
        <f>VLOOKUP(A:A,Table1[[Project No]:[Additional Remark]],13,FALSE)</f>
        <v>Self finance</v>
      </c>
      <c r="H11" s="4" t="str" cm="1">
        <f t="array" ref="H11">_xlfn.IFS((D11+C11)-J11=0,"Invoice Completed",AC11&lt;&gt;"","5th invoice",Y11&lt;&gt;"","4th invoice",U11&lt;&gt;"","3rd invoice",Q11&lt;&gt;"","2nd invoice",M11&lt;&gt;"","1st invoice",M11="","Pending 1st Invoice")</f>
        <v>Invoice Completed</v>
      </c>
      <c r="I11" s="4" t="str" cm="1">
        <f t="array" ref="I11">_xlfn.IFS((C11+D11)-K11=0,"Payment Completed",AE11&lt;&gt;"","5th payment",AA11&lt;&gt;"","4th payment",W11&lt;&gt;"","3rd payment",S11&lt;&gt;"","2nd payment",O11&lt;&gt;"","1st payment",O11="","Pending 1st Payment")</f>
        <v>Payment Completed</v>
      </c>
      <c r="J11" s="55">
        <f t="shared" si="0"/>
        <v>40000</v>
      </c>
      <c r="K11" s="55">
        <f t="shared" si="1"/>
        <v>40000</v>
      </c>
      <c r="L11" s="65">
        <v>45118</v>
      </c>
      <c r="M11" s="66">
        <v>500</v>
      </c>
      <c r="N11" s="65">
        <v>45118</v>
      </c>
      <c r="O11" s="66">
        <v>500</v>
      </c>
      <c r="P11" s="39">
        <v>45175</v>
      </c>
      <c r="Q11" s="57">
        <v>34500</v>
      </c>
      <c r="R11" s="39">
        <v>45178</v>
      </c>
      <c r="S11" s="57">
        <v>34500</v>
      </c>
      <c r="T11" s="65">
        <v>45244</v>
      </c>
      <c r="U11" s="66">
        <v>5000</v>
      </c>
      <c r="V11" s="65">
        <v>45246</v>
      </c>
      <c r="W11" s="66">
        <v>5000</v>
      </c>
      <c r="X11" s="39"/>
      <c r="Y11" s="57"/>
      <c r="Z11" s="39"/>
      <c r="AA11" s="57"/>
      <c r="AB11" s="65"/>
      <c r="AC11" s="66"/>
      <c r="AD11" s="65"/>
      <c r="AE11" s="66"/>
      <c r="AF11" s="39"/>
      <c r="AG11" s="57"/>
      <c r="AH11" s="39"/>
      <c r="AI11" s="57"/>
    </row>
    <row r="12" spans="1:35" ht="19.5" customHeight="1" x14ac:dyDescent="0.3">
      <c r="A12" s="4">
        <f>'ECN Master Project Tracker new'!A13</f>
        <v>2305011</v>
      </c>
      <c r="B12" s="110" t="str">
        <f>VLOOKUP(A:A,Table1[[Project No]:[Additional Remark]],2,FALSE)</f>
        <v>Kossan FRP Marketing (M) Sdn Bhd</v>
      </c>
      <c r="C12" s="55">
        <f>VLOOKUP(A:A,Table1[[Project No]:[Additional Remark]],11,FALSE)</f>
        <v>242000</v>
      </c>
      <c r="D12" s="55">
        <f>VLOOKUP(A:A,Table1[[Project No]:[Additional Remark]],12,FALSE)</f>
        <v>0</v>
      </c>
      <c r="E12" s="55" t="str">
        <f>VLOOKUP(A:A,Table1[[Project No]:[Additional Remark]],4,FALSE)</f>
        <v>Simon</v>
      </c>
      <c r="F12" s="4" t="str">
        <f>VLOOKUP(A:A,Table1[[Project No]:[Additional Remark]],5,FALSE)</f>
        <v>C&amp;I-PV</v>
      </c>
      <c r="G12" s="4" t="str">
        <f>VLOOKUP(A:A,Table1[[Project No]:[Additional Remark]],13,FALSE)</f>
        <v>Cash</v>
      </c>
      <c r="H12" s="4" t="str" cm="1">
        <f t="array" ref="H12">_xlfn.IFS((D12+C12)-J12=0,"Invoice Completed",AC12&lt;&gt;"","5th invoice",Y12&lt;&gt;"","4th invoice",U12&lt;&gt;"","3rd invoice",Q12&lt;&gt;"","2nd invoice",M12&lt;&gt;"","1st invoice",M12="","Pending 1st Invoice")</f>
        <v>2nd invoice</v>
      </c>
      <c r="I12" s="4" t="str" cm="1">
        <f t="array" ref="I12">_xlfn.IFS((C12+D12)-K12=0,"Payment Completed",AE12&lt;&gt;"","5th payment",AA12&lt;&gt;"","4th payment",W12&lt;&gt;"","3rd payment",S12&lt;&gt;"","2nd payment",O12&lt;&gt;"","1st payment",O12="","Pending 1st Payment")</f>
        <v>2nd payment</v>
      </c>
      <c r="J12" s="55">
        <f t="shared" si="0"/>
        <v>217800</v>
      </c>
      <c r="K12" s="55">
        <f t="shared" si="1"/>
        <v>217800</v>
      </c>
      <c r="L12" s="65">
        <v>45244</v>
      </c>
      <c r="M12" s="66">
        <v>108900</v>
      </c>
      <c r="N12" s="65">
        <v>45275</v>
      </c>
      <c r="O12" s="66">
        <v>108900</v>
      </c>
      <c r="P12" s="39">
        <v>45408</v>
      </c>
      <c r="Q12" s="57">
        <v>108900</v>
      </c>
      <c r="R12" s="39">
        <v>45408</v>
      </c>
      <c r="S12" s="57">
        <v>108900</v>
      </c>
      <c r="T12" s="65"/>
      <c r="U12" s="66"/>
      <c r="V12" s="65"/>
      <c r="W12" s="66"/>
      <c r="X12" s="39"/>
      <c r="Y12" s="57"/>
      <c r="Z12" s="39"/>
      <c r="AA12" s="57"/>
      <c r="AB12" s="65"/>
      <c r="AC12" s="66"/>
      <c r="AD12" s="65"/>
      <c r="AE12" s="66"/>
      <c r="AF12" s="39"/>
      <c r="AG12" s="57"/>
      <c r="AH12" s="39"/>
      <c r="AI12" s="57"/>
    </row>
    <row r="13" spans="1:35" ht="19.5" customHeight="1" x14ac:dyDescent="0.3">
      <c r="A13" s="4">
        <f>'ECN Master Project Tracker new'!A14</f>
        <v>2304007</v>
      </c>
      <c r="B13" s="110" t="str">
        <f>VLOOKUP(A:A,Table1[[Project No]:[Additional Remark]],2,FALSE)</f>
        <v>MTJ Development Sdn Bhd (Intercontinental KL)</v>
      </c>
      <c r="C13" s="55">
        <f>VLOOKUP(A:A,Table1[[Project No]:[Additional Remark]],11,FALSE)</f>
        <v>188800</v>
      </c>
      <c r="D13" s="55">
        <f>VLOOKUP(A:A,Table1[[Project No]:[Additional Remark]],12,FALSE)</f>
        <v>0</v>
      </c>
      <c r="E13" s="55" t="str">
        <f>VLOOKUP(A:A,Table1[[Project No]:[Additional Remark]],4,FALSE)</f>
        <v>Simon</v>
      </c>
      <c r="F13" s="4" t="str">
        <f>VLOOKUP(A:A,Table1[[Project No]:[Additional Remark]],5,FALSE)</f>
        <v>C&amp;I-PV</v>
      </c>
      <c r="G13" s="4" t="str">
        <f>VLOOKUP(A:A,Table1[[Project No]:[Additional Remark]],13,FALSE)</f>
        <v>Cash</v>
      </c>
      <c r="H13" s="4" t="str" cm="1">
        <f t="array" ref="H13">_xlfn.IFS((D13+C13)-J13=0,"Invoice Completed",AC13&lt;&gt;"","5th invoice",Y13&lt;&gt;"","4th invoice",U13&lt;&gt;"","3rd invoice",Q13&lt;&gt;"","2nd invoice",M13&lt;&gt;"","1st invoice",M13="","Pending 1st Invoice")</f>
        <v>4th invoice</v>
      </c>
      <c r="I13" s="4" t="str" cm="1">
        <f t="array" ref="I13">_xlfn.IFS((C13+D13)-K13=0,"Payment Completed",AE13&lt;&gt;"","5th payment",AA13&lt;&gt;"","4th payment",W13&lt;&gt;"","3rd payment",S13&lt;&gt;"","2nd payment",O13&lt;&gt;"","1st payment",O13="","Pending 1st Payment")</f>
        <v>3rd payment</v>
      </c>
      <c r="J13" s="55">
        <f t="shared" si="0"/>
        <v>182540</v>
      </c>
      <c r="K13" s="55">
        <f t="shared" si="1"/>
        <v>169920</v>
      </c>
      <c r="L13" s="65">
        <v>45120</v>
      </c>
      <c r="M13" s="66">
        <v>18880</v>
      </c>
      <c r="N13" s="65">
        <v>45124</v>
      </c>
      <c r="O13" s="66">
        <v>18880</v>
      </c>
      <c r="P13" s="39">
        <v>45120</v>
      </c>
      <c r="Q13" s="57">
        <v>66080</v>
      </c>
      <c r="R13" s="39">
        <v>45124</v>
      </c>
      <c r="S13" s="57">
        <v>66080</v>
      </c>
      <c r="T13" s="65">
        <v>45244</v>
      </c>
      <c r="U13" s="66">
        <v>84960</v>
      </c>
      <c r="V13" s="65">
        <v>45280</v>
      </c>
      <c r="W13" s="66">
        <v>84960</v>
      </c>
      <c r="X13" s="39">
        <v>45498</v>
      </c>
      <c r="Y13" s="57">
        <v>12620</v>
      </c>
      <c r="Z13" s="39"/>
      <c r="AA13" s="57"/>
      <c r="AB13" s="65"/>
      <c r="AC13" s="66"/>
      <c r="AD13" s="65"/>
      <c r="AE13" s="66"/>
      <c r="AF13" s="39"/>
      <c r="AG13" s="57"/>
      <c r="AH13" s="39"/>
      <c r="AI13" s="57"/>
    </row>
    <row r="14" spans="1:35" ht="19.5" customHeight="1" x14ac:dyDescent="0.3">
      <c r="A14" s="4">
        <f>'ECN Master Project Tracker new'!A15</f>
        <v>2307042</v>
      </c>
      <c r="B14" s="110" t="str">
        <f>VLOOKUP(A:A,Table1[[Project No]:[Additional Remark]],2,FALSE)</f>
        <v>Dato' Sri Ng Chong Keong</v>
      </c>
      <c r="C14" s="55">
        <f>VLOOKUP(A:A,Table1[[Project No]:[Additional Remark]],11,FALSE)</f>
        <v>50000</v>
      </c>
      <c r="D14" s="55">
        <f>VLOOKUP(A:A,Table1[[Project No]:[Additional Remark]],12,FALSE)</f>
        <v>0</v>
      </c>
      <c r="E14" s="55" t="str">
        <f>VLOOKUP(A:A,Table1[[Project No]:[Additional Remark]],4,FALSE)</f>
        <v>Chean Bang</v>
      </c>
      <c r="F14" s="4" t="str">
        <f>VLOOKUP(A:A,Table1[[Project No]:[Additional Remark]],5,FALSE)</f>
        <v>R-PV</v>
      </c>
      <c r="G14" s="4" t="str">
        <f>VLOOKUP(A:A,Table1[[Project No]:[Additional Remark]],13,FALSE)</f>
        <v>Self finance</v>
      </c>
      <c r="H14" s="4" t="str" cm="1">
        <f t="array" ref="H14">_xlfn.IFS((D14+C14)-J14=0,"Invoice Completed",AC14&lt;&gt;"","5th invoice",Y14&lt;&gt;"","4th invoice",U14&lt;&gt;"","3rd invoice",Q14&lt;&gt;"","2nd invoice",M14&lt;&gt;"","1st invoice",M14="","Pending 1st Invoice")</f>
        <v>Invoice Completed</v>
      </c>
      <c r="I14" s="4" t="str" cm="1">
        <f t="array" ref="I14">_xlfn.IFS((C14+D14)-K14=0,"Payment Completed",AE14&lt;&gt;"","5th payment",AA14&lt;&gt;"","4th payment",W14&lt;&gt;"","3rd payment",S14&lt;&gt;"","2nd payment",O14&lt;&gt;"","1st payment",O14="","Pending 1st Payment")</f>
        <v>Payment Completed</v>
      </c>
      <c r="J14" s="55">
        <f t="shared" si="0"/>
        <v>50000</v>
      </c>
      <c r="K14" s="55">
        <f t="shared" si="1"/>
        <v>50000</v>
      </c>
      <c r="L14" s="65">
        <v>45176</v>
      </c>
      <c r="M14" s="66">
        <v>2500</v>
      </c>
      <c r="N14" s="65">
        <v>45176</v>
      </c>
      <c r="O14" s="66">
        <v>2500</v>
      </c>
      <c r="P14" s="39">
        <v>45225</v>
      </c>
      <c r="Q14" s="57">
        <v>15000</v>
      </c>
      <c r="R14" s="39">
        <v>45226</v>
      </c>
      <c r="S14" s="57">
        <v>15000</v>
      </c>
      <c r="T14" s="65">
        <v>45232</v>
      </c>
      <c r="U14" s="66">
        <v>27500</v>
      </c>
      <c r="V14" s="65">
        <v>45233</v>
      </c>
      <c r="W14" s="66">
        <v>27500</v>
      </c>
      <c r="X14" s="39">
        <v>45362</v>
      </c>
      <c r="Y14" s="57">
        <v>5000</v>
      </c>
      <c r="Z14" s="39">
        <v>45363</v>
      </c>
      <c r="AA14" s="57">
        <v>5000</v>
      </c>
      <c r="AB14" s="65"/>
      <c r="AC14" s="66"/>
      <c r="AD14" s="65"/>
      <c r="AE14" s="66"/>
      <c r="AF14" s="39"/>
      <c r="AG14" s="57"/>
      <c r="AH14" s="39"/>
      <c r="AI14" s="57"/>
    </row>
    <row r="15" spans="1:35" ht="19.5" customHeight="1" x14ac:dyDescent="0.3">
      <c r="A15" s="4">
        <f>'ECN Master Project Tracker new'!A16</f>
        <v>2308058</v>
      </c>
      <c r="B15" s="110" t="str">
        <f>VLOOKUP(A:A,Table1[[Project No]:[Additional Remark]],2,FALSE)</f>
        <v>Cheong Yik Yin</v>
      </c>
      <c r="C15" s="55">
        <f>VLOOKUP(A:A,Table1[[Project No]:[Additional Remark]],11,FALSE)</f>
        <v>30000</v>
      </c>
      <c r="D15" s="55">
        <f>VLOOKUP(A:A,Table1[[Project No]:[Additional Remark]],12,FALSE)</f>
        <v>0</v>
      </c>
      <c r="E15" s="55" t="str">
        <f>VLOOKUP(A:A,Table1[[Project No]:[Additional Remark]],4,FALSE)</f>
        <v>Simon</v>
      </c>
      <c r="F15" s="4" t="str">
        <f>VLOOKUP(A:A,Table1[[Project No]:[Additional Remark]],5,FALSE)</f>
        <v>R-PV</v>
      </c>
      <c r="G15" s="4" t="str">
        <f>VLOOKUP(A:A,Table1[[Project No]:[Additional Remark]],13,FALSE)</f>
        <v>Self finance</v>
      </c>
      <c r="H15" s="4" t="str" cm="1">
        <f t="array" ref="H15">_xlfn.IFS((D15+C15)-J15=0,"Invoice Completed",AC15&lt;&gt;"","5th invoice",Y15&lt;&gt;"","4th invoice",U15&lt;&gt;"","3rd invoice",Q15&lt;&gt;"","2nd invoice",M15&lt;&gt;"","1st invoice",M15="","Pending 1st Invoice")</f>
        <v>Pending 1st Invoice</v>
      </c>
      <c r="I15" s="4" t="str" cm="1">
        <f t="array" ref="I15">_xlfn.IFS((C15+D15)-K15=0,"Payment Completed",AE15&lt;&gt;"","5th payment",AA15&lt;&gt;"","4th payment",W15&lt;&gt;"","3rd payment",S15&lt;&gt;"","2nd payment",O15&lt;&gt;"","1st payment",O15="","Pending 1st Payment")</f>
        <v>Pending 1st Payment</v>
      </c>
      <c r="J15" s="55">
        <f t="shared" si="0"/>
        <v>0</v>
      </c>
      <c r="K15" s="55">
        <f t="shared" si="1"/>
        <v>0</v>
      </c>
      <c r="L15" s="65"/>
      <c r="M15" s="66"/>
      <c r="N15" s="65"/>
      <c r="O15" s="66"/>
      <c r="P15" s="39"/>
      <c r="Q15" s="57"/>
      <c r="R15" s="39"/>
      <c r="S15" s="57"/>
      <c r="T15" s="65"/>
      <c r="U15" s="66"/>
      <c r="V15" s="65"/>
      <c r="W15" s="66"/>
      <c r="X15" s="39"/>
      <c r="Y15" s="57"/>
      <c r="Z15" s="39"/>
      <c r="AA15" s="57"/>
      <c r="AB15" s="65"/>
      <c r="AC15" s="66"/>
      <c r="AD15" s="65"/>
      <c r="AE15" s="66"/>
      <c r="AF15" s="39"/>
      <c r="AG15" s="57"/>
      <c r="AH15" s="39"/>
      <c r="AI15" s="57"/>
    </row>
    <row r="16" spans="1:35" ht="19.5" customHeight="1" x14ac:dyDescent="0.3">
      <c r="A16" s="4">
        <f>'ECN Master Project Tracker new'!A17</f>
        <v>2308062</v>
      </c>
      <c r="B16" s="110" t="str">
        <f>VLOOKUP(A:A,Table1[[Project No]:[Additional Remark]],2,FALSE)</f>
        <v>Lim Chin Joo</v>
      </c>
      <c r="C16" s="55">
        <f>VLOOKUP(A:A,Table1[[Project No]:[Additional Remark]],11,FALSE)</f>
        <v>42300</v>
      </c>
      <c r="D16" s="55">
        <f>VLOOKUP(A:A,Table1[[Project No]:[Additional Remark]],12,FALSE)</f>
        <v>0</v>
      </c>
      <c r="E16" s="55" t="str">
        <f>VLOOKUP(A:A,Table1[[Project No]:[Additional Remark]],4,FALSE)</f>
        <v>Simon</v>
      </c>
      <c r="F16" s="4" t="str">
        <f>VLOOKUP(A:A,Table1[[Project No]:[Additional Remark]],5,FALSE)</f>
        <v>R-PV</v>
      </c>
      <c r="G16" s="4" t="str">
        <f>VLOOKUP(A:A,Table1[[Project No]:[Additional Remark]],13,FALSE)</f>
        <v>Self finance</v>
      </c>
      <c r="H16" s="4" t="str" cm="1">
        <f t="array" ref="H16">_xlfn.IFS((D16+C16)-J16=0,"Invoice Completed",AC16&lt;&gt;"","5th invoice",Y16&lt;&gt;"","4th invoice",U16&lt;&gt;"","3rd invoice",Q16&lt;&gt;"","2nd invoice",M16&lt;&gt;"","1st invoice",M16="","Pending 1st Invoice")</f>
        <v>Pending 1st Invoice</v>
      </c>
      <c r="I16" s="4" t="str" cm="1">
        <f t="array" ref="I16">_xlfn.IFS((C16+D16)-K16=0,"Payment Completed",AE16&lt;&gt;"","5th payment",AA16&lt;&gt;"","4th payment",W16&lt;&gt;"","3rd payment",S16&lt;&gt;"","2nd payment",O16&lt;&gt;"","1st payment",O16="","Pending 1st Payment")</f>
        <v>Pending 1st Payment</v>
      </c>
      <c r="J16" s="55">
        <f t="shared" si="0"/>
        <v>0</v>
      </c>
      <c r="K16" s="55">
        <f t="shared" si="1"/>
        <v>0</v>
      </c>
      <c r="L16" s="65"/>
      <c r="M16" s="66"/>
      <c r="N16" s="65"/>
      <c r="O16" s="66"/>
      <c r="P16" s="39"/>
      <c r="Q16" s="57"/>
      <c r="R16" s="39"/>
      <c r="S16" s="57"/>
      <c r="T16" s="65"/>
      <c r="U16" s="66"/>
      <c r="V16" s="65"/>
      <c r="W16" s="66"/>
      <c r="X16" s="39"/>
      <c r="Y16" s="57"/>
      <c r="Z16" s="39"/>
      <c r="AA16" s="57"/>
      <c r="AB16" s="65"/>
      <c r="AC16" s="66"/>
      <c r="AD16" s="65"/>
      <c r="AE16" s="66"/>
      <c r="AF16" s="39"/>
      <c r="AG16" s="57"/>
      <c r="AH16" s="39"/>
      <c r="AI16" s="57"/>
    </row>
    <row r="17" spans="1:35" ht="19.5" customHeight="1" x14ac:dyDescent="0.3">
      <c r="A17" s="4">
        <f>'ECN Master Project Tracker new'!A18</f>
        <v>2309068</v>
      </c>
      <c r="B17" s="110" t="str">
        <f>VLOOKUP(A:A,Table1[[Project No]:[Additional Remark]],2,FALSE)</f>
        <v>Kee Siew Chuan (Ngo Woon Wah)</v>
      </c>
      <c r="C17" s="55">
        <f>VLOOKUP(A:A,Table1[[Project No]:[Additional Remark]],11,FALSE)</f>
        <v>28500</v>
      </c>
      <c r="D17" s="55">
        <f>VLOOKUP(A:A,Table1[[Project No]:[Additional Remark]],12,FALSE)</f>
        <v>0</v>
      </c>
      <c r="E17" s="55" t="str">
        <f>VLOOKUP(A:A,Table1[[Project No]:[Additional Remark]],4,FALSE)</f>
        <v>Chean Bang</v>
      </c>
      <c r="F17" s="4" t="str">
        <f>VLOOKUP(A:A,Table1[[Project No]:[Additional Remark]],5,FALSE)</f>
        <v>R-PV</v>
      </c>
      <c r="G17" s="4" t="str">
        <f>VLOOKUP(A:A,Table1[[Project No]:[Additional Remark]],13,FALSE)</f>
        <v>Self finance</v>
      </c>
      <c r="H17" s="4" t="str" cm="1">
        <f t="array" ref="H17">_xlfn.IFS((D17+C17)-J17=0,"Invoice Completed",AC17&lt;&gt;"","5th invoice",Y17&lt;&gt;"","4th invoice",U17&lt;&gt;"","3rd invoice",Q17&lt;&gt;"","2nd invoice",M17&lt;&gt;"","1st invoice",M17="","Pending 1st Invoice")</f>
        <v>1st invoice</v>
      </c>
      <c r="I17" s="4" t="str" cm="1">
        <f t="array" ref="I17">_xlfn.IFS((C17+D17)-K17=0,"Payment Completed",AE17&lt;&gt;"","5th payment",AA17&lt;&gt;"","4th payment",W17&lt;&gt;"","3rd payment",S17&lt;&gt;"","2nd payment",O17&lt;&gt;"","1st payment",O17="","Pending 1st Payment")</f>
        <v>1st payment</v>
      </c>
      <c r="J17" s="55">
        <f t="shared" si="0"/>
        <v>500</v>
      </c>
      <c r="K17" s="55">
        <f t="shared" si="1"/>
        <v>500</v>
      </c>
      <c r="L17" s="65">
        <v>45219</v>
      </c>
      <c r="M17" s="66">
        <v>500</v>
      </c>
      <c r="N17" s="65">
        <v>45219</v>
      </c>
      <c r="O17" s="66">
        <v>500</v>
      </c>
      <c r="P17" s="39"/>
      <c r="Q17" s="57"/>
      <c r="R17" s="39"/>
      <c r="S17" s="57"/>
      <c r="T17" s="65"/>
      <c r="U17" s="66"/>
      <c r="V17" s="65"/>
      <c r="W17" s="66"/>
      <c r="X17" s="39"/>
      <c r="Y17" s="57"/>
      <c r="Z17" s="39"/>
      <c r="AA17" s="57"/>
      <c r="AB17" s="65"/>
      <c r="AC17" s="66"/>
      <c r="AD17" s="65"/>
      <c r="AE17" s="66"/>
      <c r="AF17" s="39"/>
      <c r="AG17" s="57"/>
      <c r="AH17" s="39"/>
      <c r="AI17" s="57"/>
    </row>
    <row r="18" spans="1:35" ht="19.5" customHeight="1" x14ac:dyDescent="0.3">
      <c r="A18" s="4">
        <f>'ECN Master Project Tracker new'!A19</f>
        <v>2310078</v>
      </c>
      <c r="B18" s="110" t="str">
        <f>VLOOKUP(A:A,Table1[[Project No]:[Additional Remark]],2,FALSE)</f>
        <v>Lee Nyok Cheng</v>
      </c>
      <c r="C18" s="55">
        <f>VLOOKUP(A:A,Table1[[Project No]:[Additional Remark]],11,FALSE)</f>
        <v>52000</v>
      </c>
      <c r="D18" s="55">
        <f>VLOOKUP(A:A,Table1[[Project No]:[Additional Remark]],12,FALSE)</f>
        <v>0</v>
      </c>
      <c r="E18" s="55" t="str">
        <f>VLOOKUP(A:A,Table1[[Project No]:[Additional Remark]],4,FALSE)</f>
        <v>Chean Bang</v>
      </c>
      <c r="F18" s="4" t="str">
        <f>VLOOKUP(A:A,Table1[[Project No]:[Additional Remark]],5,FALSE)</f>
        <v>R-PV</v>
      </c>
      <c r="G18" s="4" t="str">
        <f>VLOOKUP(A:A,Table1[[Project No]:[Additional Remark]],13,FALSE)</f>
        <v>Self finance</v>
      </c>
      <c r="H18" s="4" t="str" cm="1">
        <f t="array" ref="H18">_xlfn.IFS((D18+C18)-J18=0,"Invoice Completed",AC18&lt;&gt;"","5th invoice",Y18&lt;&gt;"","4th invoice",U18&lt;&gt;"","3rd invoice",Q18&lt;&gt;"","2nd invoice",M18&lt;&gt;"","1st invoice",M18="","Pending 1st Invoice")</f>
        <v>Invoice Completed</v>
      </c>
      <c r="I18" s="4" t="str" cm="1">
        <f t="array" ref="I18">_xlfn.IFS((C18+D18)-K18=0,"Payment Completed",AE18&lt;&gt;"","5th payment",AA18&lt;&gt;"","4th payment",W18&lt;&gt;"","3rd payment",S18&lt;&gt;"","2nd payment",O18&lt;&gt;"","1st payment",O18="","Pending 1st Payment")</f>
        <v>Payment Completed</v>
      </c>
      <c r="J18" s="55">
        <f t="shared" si="0"/>
        <v>52000</v>
      </c>
      <c r="K18" s="55">
        <f t="shared" si="1"/>
        <v>52000</v>
      </c>
      <c r="L18" s="65">
        <v>45208</v>
      </c>
      <c r="M18" s="66">
        <v>1000</v>
      </c>
      <c r="N18" s="65">
        <v>45208</v>
      </c>
      <c r="O18" s="66">
        <v>1000</v>
      </c>
      <c r="P18" s="39">
        <v>45222</v>
      </c>
      <c r="Q18" s="57">
        <v>45000</v>
      </c>
      <c r="R18" s="39">
        <v>45222</v>
      </c>
      <c r="S18" s="57">
        <v>45000</v>
      </c>
      <c r="T18" s="65">
        <v>45247</v>
      </c>
      <c r="U18" s="66">
        <v>6000</v>
      </c>
      <c r="V18" s="65">
        <v>45247</v>
      </c>
      <c r="W18" s="66">
        <v>6000</v>
      </c>
      <c r="X18" s="39"/>
      <c r="Y18" s="57"/>
      <c r="Z18" s="39"/>
      <c r="AA18" s="57"/>
      <c r="AB18" s="65"/>
      <c r="AC18" s="66"/>
      <c r="AD18" s="65"/>
      <c r="AE18" s="66"/>
      <c r="AF18" s="39"/>
      <c r="AG18" s="57"/>
      <c r="AH18" s="39"/>
      <c r="AI18" s="57"/>
    </row>
    <row r="19" spans="1:35" ht="19.5" customHeight="1" x14ac:dyDescent="0.3">
      <c r="A19" s="4">
        <f>'ECN Master Project Tracker new'!A20</f>
        <v>2310083</v>
      </c>
      <c r="B19" s="110" t="str">
        <f>VLOOKUP(A:A,Table1[[Project No]:[Additional Remark]],2,FALSE)</f>
        <v>Ong Eng Guan</v>
      </c>
      <c r="C19" s="55">
        <f>VLOOKUP(A:A,Table1[[Project No]:[Additional Remark]],11,FALSE)</f>
        <v>31000</v>
      </c>
      <c r="D19" s="55">
        <f>VLOOKUP(A:A,Table1[[Project No]:[Additional Remark]],12,FALSE)</f>
        <v>0</v>
      </c>
      <c r="E19" s="55" t="str">
        <f>VLOOKUP(A:A,Table1[[Project No]:[Additional Remark]],4,FALSE)</f>
        <v>Chean Bang</v>
      </c>
      <c r="F19" s="4" t="str">
        <f>VLOOKUP(A:A,Table1[[Project No]:[Additional Remark]],5,FALSE)</f>
        <v>R-PV</v>
      </c>
      <c r="G19" s="4" t="str">
        <f>VLOOKUP(A:A,Table1[[Project No]:[Additional Remark]],13,FALSE)</f>
        <v>Self finance</v>
      </c>
      <c r="H19" s="4" t="str" cm="1">
        <f t="array" ref="H19">_xlfn.IFS((D19+C19)-J19=0,"Invoice Completed",AC19&lt;&gt;"","5th invoice",Y19&lt;&gt;"","4th invoice",U19&lt;&gt;"","3rd invoice",Q19&lt;&gt;"","2nd invoice",M19&lt;&gt;"","1st invoice",M19="","Pending 1st Invoice")</f>
        <v>2nd invoice</v>
      </c>
      <c r="I19" s="4" t="str" cm="1">
        <f t="array" ref="I19">_xlfn.IFS((C19+D19)-K19=0,"Payment Completed",AE19&lt;&gt;"","5th payment",AA19&lt;&gt;"","4th payment",W19&lt;&gt;"","3rd payment",S19&lt;&gt;"","2nd payment",O19&lt;&gt;"","1st payment",O19="","Pending 1st Payment")</f>
        <v>2nd payment</v>
      </c>
      <c r="J19" s="55">
        <f t="shared" si="0"/>
        <v>26000</v>
      </c>
      <c r="K19" s="55">
        <f t="shared" si="1"/>
        <v>26000</v>
      </c>
      <c r="L19" s="65">
        <v>45222</v>
      </c>
      <c r="M19" s="66">
        <v>500</v>
      </c>
      <c r="N19" s="65">
        <v>45222</v>
      </c>
      <c r="O19" s="66">
        <v>500</v>
      </c>
      <c r="P19" s="39">
        <v>45306</v>
      </c>
      <c r="Q19" s="57">
        <v>25500</v>
      </c>
      <c r="R19" s="39">
        <v>45307</v>
      </c>
      <c r="S19" s="57">
        <v>25500</v>
      </c>
      <c r="T19" s="65"/>
      <c r="U19" s="66"/>
      <c r="V19" s="65"/>
      <c r="W19" s="66"/>
      <c r="X19" s="39"/>
      <c r="Y19" s="57"/>
      <c r="Z19" s="39"/>
      <c r="AA19" s="57"/>
      <c r="AB19" s="65"/>
      <c r="AC19" s="66"/>
      <c r="AD19" s="65"/>
      <c r="AE19" s="66"/>
      <c r="AF19" s="39"/>
      <c r="AG19" s="57"/>
      <c r="AH19" s="39"/>
      <c r="AI19" s="57"/>
    </row>
    <row r="20" spans="1:35" ht="19.5" customHeight="1" x14ac:dyDescent="0.3">
      <c r="A20" s="4">
        <f>'ECN Master Project Tracker new'!A21</f>
        <v>2310084</v>
      </c>
      <c r="B20" s="110" t="str">
        <f>VLOOKUP(A:A,Table1[[Project No]:[Additional Remark]],2,FALSE)</f>
        <v>Chia Le Chin</v>
      </c>
      <c r="C20" s="55">
        <f>VLOOKUP(A:A,Table1[[Project No]:[Additional Remark]],11,FALSE)</f>
        <v>34000</v>
      </c>
      <c r="D20" s="55">
        <f>VLOOKUP(A:A,Table1[[Project No]:[Additional Remark]],12,FALSE)</f>
        <v>0</v>
      </c>
      <c r="E20" s="55" t="str">
        <f>VLOOKUP(A:A,Table1[[Project No]:[Additional Remark]],4,FALSE)</f>
        <v>Chean Bang</v>
      </c>
      <c r="F20" s="4" t="str">
        <f>VLOOKUP(A:A,Table1[[Project No]:[Additional Remark]],5,FALSE)</f>
        <v>R-PV</v>
      </c>
      <c r="G20" s="4" t="str">
        <f>VLOOKUP(A:A,Table1[[Project No]:[Additional Remark]],13,FALSE)</f>
        <v>Cash + instalment</v>
      </c>
      <c r="H20" s="4" t="str" cm="1">
        <f t="array" ref="H20">_xlfn.IFS((D20+C20)-J20=0,"Invoice Completed",AC20&lt;&gt;"","5th invoice",Y20&lt;&gt;"","4th invoice",U20&lt;&gt;"","3rd invoice",Q20&lt;&gt;"","2nd invoice",M20&lt;&gt;"","1st invoice",M20="","Pending 1st Invoice")</f>
        <v>Invoice Completed</v>
      </c>
      <c r="I20" s="4" t="str" cm="1">
        <f t="array" ref="I20">_xlfn.IFS((C20+D20)-K20=0,"Payment Completed",AE20&lt;&gt;"","5th payment",AA20&lt;&gt;"","4th payment",W20&lt;&gt;"","3rd payment",S20&lt;&gt;"","2nd payment",O20&lt;&gt;"","1st payment",O20="","Pending 1st Payment")</f>
        <v>Payment Completed</v>
      </c>
      <c r="J20" s="55">
        <f t="shared" si="0"/>
        <v>34000</v>
      </c>
      <c r="K20" s="55">
        <f t="shared" si="1"/>
        <v>34000</v>
      </c>
      <c r="L20" s="65">
        <v>45221</v>
      </c>
      <c r="M20" s="66">
        <v>500</v>
      </c>
      <c r="N20" s="65">
        <v>45221</v>
      </c>
      <c r="O20" s="66">
        <v>500</v>
      </c>
      <c r="P20" s="39">
        <v>45310</v>
      </c>
      <c r="Q20" s="57">
        <v>33500</v>
      </c>
      <c r="R20" s="39">
        <v>45315</v>
      </c>
      <c r="S20" s="57">
        <v>33500</v>
      </c>
      <c r="T20" s="65"/>
      <c r="U20" s="66"/>
      <c r="V20" s="65"/>
      <c r="W20" s="66"/>
      <c r="X20" s="39"/>
      <c r="Y20" s="57"/>
      <c r="Z20" s="39"/>
      <c r="AA20" s="57"/>
      <c r="AB20" s="65"/>
      <c r="AC20" s="66"/>
      <c r="AD20" s="65"/>
      <c r="AE20" s="66"/>
      <c r="AF20" s="39"/>
      <c r="AG20" s="57"/>
      <c r="AH20" s="39"/>
      <c r="AI20" s="57"/>
    </row>
    <row r="21" spans="1:35" ht="19.5" customHeight="1" x14ac:dyDescent="0.3">
      <c r="A21" s="4">
        <f>'ECN Master Project Tracker new'!A22</f>
        <v>2305024</v>
      </c>
      <c r="B21" s="110" t="str">
        <f>VLOOKUP(A:A,Table1[[Project No]:[Additional Remark]],2,FALSE)</f>
        <v>Beh Poh Loh</v>
      </c>
      <c r="C21" s="55">
        <f>VLOOKUP(A:A,Table1[[Project No]:[Additional Remark]],11,FALSE)</f>
        <v>42500</v>
      </c>
      <c r="D21" s="55">
        <f>VLOOKUP(A:A,Table1[[Project No]:[Additional Remark]],12,FALSE)</f>
        <v>6000</v>
      </c>
      <c r="E21" s="55" t="str">
        <f>VLOOKUP(A:A,Table1[[Project No]:[Additional Remark]],4,FALSE)</f>
        <v>Chean Bang</v>
      </c>
      <c r="F21" s="4" t="str">
        <f>VLOOKUP(A:A,Table1[[Project No]:[Additional Remark]],5,FALSE)</f>
        <v>R-PV</v>
      </c>
      <c r="G21" s="4" t="str">
        <f>VLOOKUP(A:A,Table1[[Project No]:[Additional Remark]],13,FALSE)</f>
        <v>Self finance</v>
      </c>
      <c r="H21" s="4" t="str" cm="1">
        <f t="array" ref="H21">_xlfn.IFS((D21+C21)-J21=0,"Invoice Completed",AC21&lt;&gt;"","5th invoice",Y21&lt;&gt;"","4th invoice",U21&lt;&gt;"","3rd invoice",Q21&lt;&gt;"","2nd invoice",M21&lt;&gt;"","1st invoice",M21="","Pending 1st Invoice")</f>
        <v>Pending 1st Invoice</v>
      </c>
      <c r="I21" s="4" t="str" cm="1">
        <f t="array" ref="I21">_xlfn.IFS((C21+D21)-K21=0,"Payment Completed",AE21&lt;&gt;"","5th payment",AA21&lt;&gt;"","4th payment",W21&lt;&gt;"","3rd payment",S21&lt;&gt;"","2nd payment",O21&lt;&gt;"","1st payment",O21="","Pending 1st Payment")</f>
        <v>Pending 1st Payment</v>
      </c>
      <c r="J21" s="55">
        <f t="shared" si="0"/>
        <v>0</v>
      </c>
      <c r="K21" s="55">
        <f t="shared" si="1"/>
        <v>0</v>
      </c>
      <c r="L21" s="65"/>
      <c r="M21" s="66"/>
      <c r="N21" s="65"/>
      <c r="O21" s="66"/>
      <c r="P21" s="39"/>
      <c r="Q21" s="57"/>
      <c r="R21" s="39"/>
      <c r="S21" s="57"/>
      <c r="T21" s="65"/>
      <c r="U21" s="66"/>
      <c r="V21" s="65"/>
      <c r="W21" s="66"/>
      <c r="X21" s="39"/>
      <c r="Y21" s="57"/>
      <c r="Z21" s="39"/>
      <c r="AA21" s="57"/>
      <c r="AB21" s="65"/>
      <c r="AC21" s="66"/>
      <c r="AD21" s="65"/>
      <c r="AE21" s="66"/>
      <c r="AF21" s="39"/>
      <c r="AG21" s="57"/>
      <c r="AH21" s="39"/>
      <c r="AI21" s="57"/>
    </row>
    <row r="22" spans="1:35" s="123" customFormat="1" ht="19.5" customHeight="1" x14ac:dyDescent="0.3">
      <c r="A22" s="116">
        <f>'ECN Master Project Tracker new'!A23</f>
        <v>2307052</v>
      </c>
      <c r="B22" s="125" t="str">
        <f>VLOOKUP(A:A,Table1[[Project No]:[Additional Remark]],2,FALSE)</f>
        <v>Ngoh Win Nee</v>
      </c>
      <c r="C22" s="117">
        <f>VLOOKUP(A:A,Table1[[Project No]:[Additional Remark]],11,FALSE)</f>
        <v>22100</v>
      </c>
      <c r="D22" s="117">
        <f>VLOOKUP(A:A,Table1[[Project No]:[Additional Remark]],12,FALSE)</f>
        <v>0</v>
      </c>
      <c r="E22" s="117" t="str">
        <f>VLOOKUP(A:A,Table1[[Project No]:[Additional Remark]],4,FALSE)</f>
        <v>Chean Bang</v>
      </c>
      <c r="F22" s="116" t="str">
        <f>VLOOKUP(A:A,Table1[[Project No]:[Additional Remark]],5,FALSE)</f>
        <v>R-PV</v>
      </c>
      <c r="G22" s="116" t="str">
        <f>VLOOKUP(A:A,Table1[[Project No]:[Additional Remark]],13,FALSE)</f>
        <v>Credit Card Instalment</v>
      </c>
      <c r="H22" s="116" t="str" cm="1">
        <f t="array" ref="H22">_xlfn.IFS((D22+C22)-J22=0,"Invoice Completed",AC22&lt;&gt;"","5th invoice",Y22&lt;&gt;"","4th invoice",U22&lt;&gt;"","3rd invoice",Q22&lt;&gt;"","2nd invoice",M22&lt;&gt;"","1st invoice",M22="","Pending 1st Invoice")</f>
        <v>1st invoice</v>
      </c>
      <c r="I22" s="116" t="str" cm="1">
        <f t="array" ref="I22">_xlfn.IFS((C22+D22)-K22=0,"Payment Completed",AE22&lt;&gt;"","5th payment",AA22&lt;&gt;"","4th payment",W22&lt;&gt;"","3rd payment",S22&lt;&gt;"","2nd payment",O22&lt;&gt;"","1st payment",O22="","Pending 1st Payment")</f>
        <v>1st payment</v>
      </c>
      <c r="J22" s="117">
        <f t="shared" si="0"/>
        <v>500</v>
      </c>
      <c r="K22" s="117">
        <f t="shared" si="1"/>
        <v>500</v>
      </c>
      <c r="L22" s="118">
        <v>45156</v>
      </c>
      <c r="M22" s="119">
        <v>500</v>
      </c>
      <c r="N22" s="118">
        <v>45156</v>
      </c>
      <c r="O22" s="119">
        <v>500</v>
      </c>
      <c r="P22" s="120"/>
      <c r="Q22" s="121"/>
      <c r="R22" s="120"/>
      <c r="S22" s="121"/>
      <c r="T22" s="118"/>
      <c r="U22" s="119"/>
      <c r="V22" s="118"/>
      <c r="W22" s="119"/>
      <c r="X22" s="39"/>
      <c r="Y22" s="121"/>
      <c r="Z22" s="39"/>
      <c r="AA22" s="121"/>
      <c r="AB22" s="118"/>
      <c r="AC22" s="119"/>
      <c r="AD22" s="118"/>
      <c r="AE22" s="119"/>
      <c r="AF22" s="120"/>
      <c r="AG22" s="121"/>
      <c r="AH22" s="120"/>
      <c r="AI22" s="121"/>
    </row>
    <row r="23" spans="1:35" s="123" customFormat="1" ht="19.5" customHeight="1" x14ac:dyDescent="0.3">
      <c r="A23" s="116">
        <f>'ECN Master Project Tracker new'!A24</f>
        <v>2304010</v>
      </c>
      <c r="B23" s="125" t="str">
        <f>VLOOKUP(A:A,Table1[[Project No]:[Additional Remark]],2,FALSE)</f>
        <v>Tung Seng Chang</v>
      </c>
      <c r="C23" s="117">
        <f>VLOOKUP(A:A,Table1[[Project No]:[Additional Remark]],11,FALSE)</f>
        <v>20650</v>
      </c>
      <c r="D23" s="117">
        <f>VLOOKUP(A:A,Table1[[Project No]:[Additional Remark]],12,FALSE)</f>
        <v>0</v>
      </c>
      <c r="E23" s="117" t="str">
        <f>VLOOKUP(A:A,Table1[[Project No]:[Additional Remark]],4,FALSE)</f>
        <v>Simon</v>
      </c>
      <c r="F23" s="116" t="str">
        <f>VLOOKUP(A:A,Table1[[Project No]:[Additional Remark]],5,FALSE)</f>
        <v>R-PV</v>
      </c>
      <c r="G23" s="116" t="str">
        <f>VLOOKUP(A:A,Table1[[Project No]:[Additional Remark]],13,FALSE)</f>
        <v>Cash</v>
      </c>
      <c r="H23" s="116" t="str" cm="1">
        <f t="array" ref="H23">_xlfn.IFS((D23+C23)-J23=0,"Invoice Completed",AC23&lt;&gt;"","5th invoice",Y23&lt;&gt;"","4th invoice",U23&lt;&gt;"","3rd invoice",Q23&lt;&gt;"","2nd invoice",M23&lt;&gt;"","1st invoice",M23="","Pending 1st Invoice")</f>
        <v>1st invoice</v>
      </c>
      <c r="I23" s="116" t="str" cm="1">
        <f t="array" ref="I23">_xlfn.IFS((C23+D23)-K23=0,"Payment Completed",AE23&lt;&gt;"","5th payment",AA23&lt;&gt;"","4th payment",W23&lt;&gt;"","3rd payment",S23&lt;&gt;"","2nd payment",O23&lt;&gt;"","1st payment",O23="","Pending 1st Payment")</f>
        <v>1st payment</v>
      </c>
      <c r="J23" s="117">
        <f t="shared" si="0"/>
        <v>2065</v>
      </c>
      <c r="K23" s="117">
        <f t="shared" si="1"/>
        <v>2065</v>
      </c>
      <c r="L23" s="118">
        <v>45113</v>
      </c>
      <c r="M23" s="119">
        <v>2065</v>
      </c>
      <c r="N23" s="118">
        <v>45120</v>
      </c>
      <c r="O23" s="119">
        <v>2065</v>
      </c>
      <c r="P23" s="120"/>
      <c r="Q23" s="121"/>
      <c r="R23" s="120"/>
      <c r="S23" s="121"/>
      <c r="T23" s="118"/>
      <c r="U23" s="119"/>
      <c r="V23" s="118"/>
      <c r="W23" s="119"/>
      <c r="X23" s="39"/>
      <c r="Y23" s="121"/>
      <c r="Z23" s="39"/>
      <c r="AA23" s="121"/>
      <c r="AB23" s="118"/>
      <c r="AC23" s="119"/>
      <c r="AD23" s="118"/>
      <c r="AE23" s="119"/>
      <c r="AF23" s="120"/>
      <c r="AG23" s="121"/>
      <c r="AH23" s="120"/>
      <c r="AI23" s="121"/>
    </row>
    <row r="24" spans="1:35" ht="19.5" customHeight="1" x14ac:dyDescent="0.3">
      <c r="A24" s="4">
        <f>'ECN Master Project Tracker new'!A25</f>
        <v>2308065</v>
      </c>
      <c r="B24" s="110" t="str">
        <f>VLOOKUP(A:A,Table1[[Project No]:[Additional Remark]],2,FALSE)</f>
        <v xml:space="preserve">Pua Hock Meng </v>
      </c>
      <c r="C24" s="55">
        <f>VLOOKUP(A:A,Table1[[Project No]:[Additional Remark]],11,FALSE)</f>
        <v>33000</v>
      </c>
      <c r="D24" s="55">
        <f>VLOOKUP(A:A,Table1[[Project No]:[Additional Remark]],12,FALSE)</f>
        <v>2500</v>
      </c>
      <c r="E24" s="55" t="str">
        <f>VLOOKUP(A:A,Table1[[Project No]:[Additional Remark]],4,FALSE)</f>
        <v>Chean Bang</v>
      </c>
      <c r="F24" s="4" t="str">
        <f>VLOOKUP(A:A,Table1[[Project No]:[Additional Remark]],5,FALSE)</f>
        <v>R-PV</v>
      </c>
      <c r="G24" s="4" t="str">
        <f>VLOOKUP(A:A,Table1[[Project No]:[Additional Remark]],13,FALSE)</f>
        <v>Self finance</v>
      </c>
      <c r="H24" s="4" t="str" cm="1">
        <f t="array" ref="H24">_xlfn.IFS((D24+C24)-J24=0,"Invoice Completed",AC24&lt;&gt;"","5th invoice",Y24&lt;&gt;"","4th invoice",U24&lt;&gt;"","3rd invoice",Q24&lt;&gt;"","2nd invoice",M24&lt;&gt;"","1st invoice",M24="","Pending 1st Invoice")</f>
        <v>4th invoice</v>
      </c>
      <c r="I24" s="4" t="str" cm="1">
        <f t="array" ref="I24">_xlfn.IFS((C24+D24)-K24=0,"Payment Completed",AE24&lt;&gt;"","5th payment",AA24&lt;&gt;"","4th payment",W24&lt;&gt;"","3rd payment",S24&lt;&gt;"","2nd payment",O24&lt;&gt;"","1st payment",O24="","Pending 1st Payment")</f>
        <v>4th payment</v>
      </c>
      <c r="J24" s="55">
        <f t="shared" si="0"/>
        <v>38000</v>
      </c>
      <c r="K24" s="55">
        <f t="shared" si="1"/>
        <v>38000</v>
      </c>
      <c r="L24" s="65">
        <v>45116</v>
      </c>
      <c r="M24" s="66">
        <v>500</v>
      </c>
      <c r="N24" s="65">
        <v>45116</v>
      </c>
      <c r="O24" s="66">
        <v>500</v>
      </c>
      <c r="P24" s="39">
        <v>45232</v>
      </c>
      <c r="Q24" s="57">
        <v>33000</v>
      </c>
      <c r="R24" s="39">
        <v>45539</v>
      </c>
      <c r="S24" s="57">
        <v>33000</v>
      </c>
      <c r="T24" s="65">
        <v>45232</v>
      </c>
      <c r="U24" s="66">
        <v>2000</v>
      </c>
      <c r="V24" s="65">
        <v>45232</v>
      </c>
      <c r="W24" s="66">
        <v>2000</v>
      </c>
      <c r="X24" s="39">
        <v>45232</v>
      </c>
      <c r="Y24" s="57">
        <v>2500</v>
      </c>
      <c r="Z24" s="39">
        <v>45391</v>
      </c>
      <c r="AA24" s="57">
        <v>2500</v>
      </c>
      <c r="AB24" s="65"/>
      <c r="AC24" s="66"/>
      <c r="AD24" s="65"/>
      <c r="AE24" s="66"/>
      <c r="AF24" s="39"/>
      <c r="AG24" s="57"/>
      <c r="AH24" s="39"/>
      <c r="AI24" s="57"/>
    </row>
    <row r="25" spans="1:35" ht="19.5" customHeight="1" x14ac:dyDescent="0.3">
      <c r="A25" s="4">
        <f>'ECN Master Project Tracker new'!A26</f>
        <v>2306009</v>
      </c>
      <c r="B25" s="110" t="str">
        <f>VLOOKUP(A:A,Table1[[Project No]:[Additional Remark]],2,FALSE)</f>
        <v>Dato Arif Stephen bin Abdullah</v>
      </c>
      <c r="C25" s="55">
        <f>VLOOKUP(A:A,Table1[[Project No]:[Additional Remark]],11,FALSE)</f>
        <v>720000</v>
      </c>
      <c r="D25" s="55">
        <f>VLOOKUP(A:A,Table1[[Project No]:[Additional Remark]],12,FALSE)</f>
        <v>0</v>
      </c>
      <c r="E25" s="55" t="str">
        <f>VLOOKUP(A:A,Table1[[Project No]:[Additional Remark]],4,FALSE)</f>
        <v>Simon</v>
      </c>
      <c r="F25" s="4" t="str">
        <f>VLOOKUP(A:A,Table1[[Project No]:[Additional Remark]],5,FALSE)</f>
        <v>R-BESS</v>
      </c>
      <c r="G25" s="4" t="str">
        <f>VLOOKUP(A:A,Table1[[Project No]:[Additional Remark]],13,FALSE)</f>
        <v>Cash</v>
      </c>
      <c r="H25" s="4" t="str" cm="1">
        <f t="array" ref="H25">_xlfn.IFS((D25+C25)-J25=0,"Invoice Completed",AC25&lt;&gt;"","5th invoice",Y25&lt;&gt;"","4th invoice",U25&lt;&gt;"","3rd invoice",Q25&lt;&gt;"","2nd invoice",M25&lt;&gt;"","1st invoice",M25="","Pending 1st Invoice")</f>
        <v>Invoice Completed</v>
      </c>
      <c r="I25" s="4" t="str" cm="1">
        <f t="array" ref="I25">_xlfn.IFS((C25+D25)-K25=0,"Payment Completed",AE25&lt;&gt;"","5th payment",AA25&lt;&gt;"","4th payment",W25&lt;&gt;"","3rd payment",S25&lt;&gt;"","2nd payment",O25&lt;&gt;"","1st payment",O25="","Pending 1st Payment")</f>
        <v>Payment Completed</v>
      </c>
      <c r="J25" s="55">
        <f t="shared" si="0"/>
        <v>720000</v>
      </c>
      <c r="K25" s="55">
        <f t="shared" si="1"/>
        <v>720000</v>
      </c>
      <c r="L25" s="65">
        <v>45194</v>
      </c>
      <c r="M25" s="66">
        <v>432000</v>
      </c>
      <c r="N25" s="65">
        <v>45195</v>
      </c>
      <c r="O25" s="66">
        <v>432000</v>
      </c>
      <c r="P25" s="39">
        <v>45294</v>
      </c>
      <c r="Q25" s="57">
        <v>108000</v>
      </c>
      <c r="R25" s="39">
        <v>45295</v>
      </c>
      <c r="S25" s="57">
        <v>108000</v>
      </c>
      <c r="T25" s="65">
        <v>45362</v>
      </c>
      <c r="U25" s="66">
        <v>180000</v>
      </c>
      <c r="V25" s="65">
        <v>45370</v>
      </c>
      <c r="W25" s="66">
        <v>180000</v>
      </c>
      <c r="X25" s="39"/>
      <c r="Y25" s="57"/>
      <c r="Z25" s="39"/>
      <c r="AA25" s="57"/>
      <c r="AB25" s="65"/>
      <c r="AC25" s="66"/>
      <c r="AD25" s="65"/>
      <c r="AE25" s="66"/>
      <c r="AF25" s="39"/>
      <c r="AG25" s="57"/>
      <c r="AH25" s="39"/>
      <c r="AI25" s="57"/>
    </row>
    <row r="26" spans="1:35" ht="19.5" customHeight="1" x14ac:dyDescent="0.3">
      <c r="A26" s="4">
        <f>'ECN Master Project Tracker new'!A27</f>
        <v>2303003</v>
      </c>
      <c r="B26" s="110" t="str">
        <f>VLOOKUP(A:A,Table1[[Project No]:[Additional Remark]],2,FALSE)</f>
        <v>Greenlast Housing Development Sdn Bhd</v>
      </c>
      <c r="C26" s="55">
        <f>VLOOKUP(A:A,Table1[[Project No]:[Additional Remark]],11,FALSE)</f>
        <v>80000</v>
      </c>
      <c r="D26" s="55">
        <f>VLOOKUP(A:A,Table1[[Project No]:[Additional Remark]],12,FALSE)</f>
        <v>0</v>
      </c>
      <c r="E26" s="55" t="str">
        <f>VLOOKUP(A:A,Table1[[Project No]:[Additional Remark]],4,FALSE)</f>
        <v>Chean Bang</v>
      </c>
      <c r="F26" s="4" t="str">
        <f>VLOOKUP(A:A,Table1[[Project No]:[Additional Remark]],5,FALSE)</f>
        <v>C&amp;I-PV</v>
      </c>
      <c r="G26" s="4" t="str">
        <f>VLOOKUP(A:A,Table1[[Project No]:[Additional Remark]],13,FALSE)</f>
        <v>Self finance</v>
      </c>
      <c r="H26" s="4" t="str" cm="1">
        <f t="array" ref="H26">_xlfn.IFS((D26+C26)-J26=0,"Invoice Completed",AC26&lt;&gt;"","5th invoice",Y26&lt;&gt;"","4th invoice",U26&lt;&gt;"","3rd invoice",Q26&lt;&gt;"","2nd invoice",M26&lt;&gt;"","1st invoice",M26="","Pending 1st Invoice")</f>
        <v>Invoice Completed</v>
      </c>
      <c r="I26" s="4" t="str" cm="1">
        <f t="array" ref="I26">_xlfn.IFS((C26+D26)-K26=0,"Payment Completed",AE26&lt;&gt;"","5th payment",AA26&lt;&gt;"","4th payment",W26&lt;&gt;"","3rd payment",S26&lt;&gt;"","2nd payment",O26&lt;&gt;"","1st payment",O26="","Pending 1st Payment")</f>
        <v>Payment Completed</v>
      </c>
      <c r="J26" s="55">
        <f t="shared" si="0"/>
        <v>80000</v>
      </c>
      <c r="K26" s="55">
        <f t="shared" si="1"/>
        <v>80000</v>
      </c>
      <c r="L26" s="65">
        <v>45309</v>
      </c>
      <c r="M26" s="66">
        <v>8000</v>
      </c>
      <c r="N26" s="65">
        <v>45343</v>
      </c>
      <c r="O26" s="66">
        <v>8000</v>
      </c>
      <c r="P26" s="39">
        <v>45410</v>
      </c>
      <c r="Q26" s="57">
        <v>28000</v>
      </c>
      <c r="R26" s="39">
        <v>45411</v>
      </c>
      <c r="S26" s="57">
        <v>28000</v>
      </c>
      <c r="T26" s="65">
        <v>45485</v>
      </c>
      <c r="U26" s="66">
        <v>44000</v>
      </c>
      <c r="V26" s="65">
        <v>45493</v>
      </c>
      <c r="W26" s="66">
        <v>44000</v>
      </c>
      <c r="X26" s="39"/>
      <c r="Y26" s="57"/>
      <c r="Z26" s="39"/>
      <c r="AA26" s="57"/>
      <c r="AB26" s="65"/>
      <c r="AC26" s="66"/>
      <c r="AD26" s="65"/>
      <c r="AE26" s="66"/>
      <c r="AF26" s="39"/>
      <c r="AG26" s="57"/>
      <c r="AH26" s="39"/>
      <c r="AI26" s="57"/>
    </row>
    <row r="27" spans="1:35" ht="19.5" customHeight="1" x14ac:dyDescent="0.3">
      <c r="A27" s="4">
        <f>'ECN Master Project Tracker new'!A28</f>
        <v>2311040</v>
      </c>
      <c r="B27" s="110" t="str">
        <f>VLOOKUP(A:A,Table1[[Project No]:[Additional Remark]],2,FALSE)</f>
        <v>DBTS Industries Sdn Bhd</v>
      </c>
      <c r="C27" s="55">
        <f>VLOOKUP(A:A,Table1[[Project No]:[Additional Remark]],11,FALSE)</f>
        <v>91000</v>
      </c>
      <c r="D27" s="55">
        <f>VLOOKUP(A:A,Table1[[Project No]:[Additional Remark]],12,FALSE)</f>
        <v>0</v>
      </c>
      <c r="E27" s="55" t="str">
        <f>VLOOKUP(A:A,Table1[[Project No]:[Additional Remark]],4,FALSE)</f>
        <v>SImon</v>
      </c>
      <c r="F27" s="4" t="str">
        <f>VLOOKUP(A:A,Table1[[Project No]:[Additional Remark]],5,FALSE)</f>
        <v>C&amp;I-PV</v>
      </c>
      <c r="G27" s="4" t="str">
        <f>VLOOKUP(A:A,Table1[[Project No]:[Additional Remark]],13,FALSE)</f>
        <v>Cash</v>
      </c>
      <c r="H27" s="4" t="str" cm="1">
        <f t="array" ref="H27">_xlfn.IFS((D27+C27)-J27=0,"Invoice Completed",AC27&lt;&gt;"","5th invoice",Y27&lt;&gt;"","4th invoice",U27&lt;&gt;"","3rd invoice",Q27&lt;&gt;"","2nd invoice",M27&lt;&gt;"","1st invoice",M27="","Pending 1st Invoice")</f>
        <v>1st invoice</v>
      </c>
      <c r="I27" s="4" t="str" cm="1">
        <f t="array" ref="I27">_xlfn.IFS((C27+D27)-K27=0,"Payment Completed",AE27&lt;&gt;"","5th payment",AA27&lt;&gt;"","4th payment",W27&lt;&gt;"","3rd payment",S27&lt;&gt;"","2nd payment",O27&lt;&gt;"","1st payment",O27="","Pending 1st Payment")</f>
        <v>1st payment</v>
      </c>
      <c r="J27" s="55">
        <f t="shared" si="0"/>
        <v>81900</v>
      </c>
      <c r="K27" s="55">
        <f t="shared" si="1"/>
        <v>81900</v>
      </c>
      <c r="L27" s="65">
        <v>45384</v>
      </c>
      <c r="M27" s="66">
        <v>81900</v>
      </c>
      <c r="N27" s="65">
        <v>45408</v>
      </c>
      <c r="O27" s="66">
        <v>81900</v>
      </c>
      <c r="P27" s="39"/>
      <c r="Q27" s="57"/>
      <c r="R27" s="39"/>
      <c r="S27" s="57"/>
      <c r="T27" s="65"/>
      <c r="U27" s="66"/>
      <c r="V27" s="65"/>
      <c r="W27" s="66"/>
      <c r="X27" s="39"/>
      <c r="Y27" s="57"/>
      <c r="Z27" s="39"/>
      <c r="AA27" s="57"/>
      <c r="AB27" s="65"/>
      <c r="AC27" s="66"/>
      <c r="AD27" s="65"/>
      <c r="AE27" s="66"/>
      <c r="AF27" s="39"/>
      <c r="AG27" s="57"/>
      <c r="AH27" s="39"/>
      <c r="AI27" s="57"/>
    </row>
    <row r="28" spans="1:35" ht="19.5" customHeight="1" x14ac:dyDescent="0.3">
      <c r="A28" s="4">
        <f>'ECN Master Project Tracker new'!A29</f>
        <v>2308007</v>
      </c>
      <c r="B28" s="110" t="str">
        <f>VLOOKUP(A:A,Table1[[Project No]:[Additional Remark]],2,FALSE)</f>
        <v>EV Connection Sdn Bhd (The Pines Melaka)</v>
      </c>
      <c r="C28" s="55">
        <f>VLOOKUP(A:A,Table1[[Project No]:[Additional Remark]],11,FALSE)</f>
        <v>93380</v>
      </c>
      <c r="D28" s="55">
        <f>VLOOKUP(A:A,Table1[[Project No]:[Additional Remark]],12,FALSE)</f>
        <v>0</v>
      </c>
      <c r="E28" s="55" t="str">
        <f>VLOOKUP(A:A,Table1[[Project No]:[Additional Remark]],4,FALSE)</f>
        <v>Simon</v>
      </c>
      <c r="F28" s="4" t="str">
        <f>VLOOKUP(A:A,Table1[[Project No]:[Additional Remark]],5,FALSE)</f>
        <v>EV Charger</v>
      </c>
      <c r="G28" s="4" t="str">
        <f>VLOOKUP(A:A,Table1[[Project No]:[Additional Remark]],13,FALSE)</f>
        <v>Cash</v>
      </c>
      <c r="H28" s="4" t="str" cm="1">
        <f t="array" ref="H28">_xlfn.IFS((D28+C28)-J28=0,"Invoice Completed",AC28&lt;&gt;"","5th invoice",Y28&lt;&gt;"","4th invoice",U28&lt;&gt;"","3rd invoice",Q28&lt;&gt;"","2nd invoice",M28&lt;&gt;"","1st invoice",M28="","Pending 1st Invoice")</f>
        <v>Invoice Completed</v>
      </c>
      <c r="I28" s="4" t="str" cm="1">
        <f t="array" ref="I28">_xlfn.IFS((C28+D28)-K28=0,"Payment Completed",AE28&lt;&gt;"","5th payment",AA28&lt;&gt;"","4th payment",W28&lt;&gt;"","3rd payment",S28&lt;&gt;"","2nd payment",O28&lt;&gt;"","1st payment",O28="","Pending 1st Payment")</f>
        <v>Payment Completed</v>
      </c>
      <c r="J28" s="55">
        <f t="shared" si="0"/>
        <v>93380</v>
      </c>
      <c r="K28" s="55">
        <f t="shared" si="1"/>
        <v>93380</v>
      </c>
      <c r="L28" s="65">
        <v>45245</v>
      </c>
      <c r="M28" s="66">
        <v>46690</v>
      </c>
      <c r="N28" s="65">
        <v>45250</v>
      </c>
      <c r="O28" s="66">
        <v>46690</v>
      </c>
      <c r="P28" s="39">
        <v>45594</v>
      </c>
      <c r="Q28" s="57">
        <v>46690</v>
      </c>
      <c r="R28" s="39">
        <v>45650</v>
      </c>
      <c r="S28" s="57">
        <v>46690</v>
      </c>
      <c r="T28" s="65"/>
      <c r="U28" s="66"/>
      <c r="V28" s="65"/>
      <c r="W28" s="66"/>
      <c r="X28" s="39"/>
      <c r="Y28" s="57"/>
      <c r="Z28" s="39"/>
      <c r="AA28" s="57"/>
      <c r="AB28" s="65"/>
      <c r="AC28" s="66"/>
      <c r="AD28" s="65"/>
      <c r="AE28" s="66"/>
      <c r="AF28" s="39"/>
      <c r="AG28" s="57"/>
      <c r="AH28" s="39"/>
      <c r="AI28" s="57"/>
    </row>
    <row r="29" spans="1:35" ht="19.5" customHeight="1" x14ac:dyDescent="0.3">
      <c r="A29" s="4">
        <f>'ECN Master Project Tracker new'!A30</f>
        <v>2311094</v>
      </c>
      <c r="B29" s="110" t="str">
        <f>VLOOKUP(A:A,Table1[[Project No]:[Additional Remark]],2,FALSE)</f>
        <v>Ching Kok Keong</v>
      </c>
      <c r="C29" s="55">
        <f>VLOOKUP(A:A,Table1[[Project No]:[Additional Remark]],11,FALSE)</f>
        <v>37000</v>
      </c>
      <c r="D29" s="55">
        <f>VLOOKUP(A:A,Table1[[Project No]:[Additional Remark]],12,FALSE)</f>
        <v>0</v>
      </c>
      <c r="E29" s="55" t="str">
        <f>VLOOKUP(A:A,Table1[[Project No]:[Additional Remark]],4,FALSE)</f>
        <v>Chean Bang</v>
      </c>
      <c r="F29" s="4" t="str">
        <f>VLOOKUP(A:A,Table1[[Project No]:[Additional Remark]],5,FALSE)</f>
        <v>R-PV</v>
      </c>
      <c r="G29" s="4" t="str">
        <f>VLOOKUP(A:A,Table1[[Project No]:[Additional Remark]],13,FALSE)</f>
        <v>Self finance</v>
      </c>
      <c r="H29" s="4" t="str" cm="1">
        <f t="array" ref="H29">_xlfn.IFS((D29+C29)-J29=0,"Invoice Completed",AC29&lt;&gt;"","5th invoice",Y29&lt;&gt;"","4th invoice",U29&lt;&gt;"","3rd invoice",Q29&lt;&gt;"","2nd invoice",M29&lt;&gt;"","1st invoice",M29="","Pending 1st Invoice")</f>
        <v>Invoice Completed</v>
      </c>
      <c r="I29" s="4" t="str" cm="1">
        <f t="array" ref="I29">_xlfn.IFS((C29+D29)-K29=0,"Payment Completed",AE29&lt;&gt;"","5th payment",AA29&lt;&gt;"","4th payment",W29&lt;&gt;"","3rd payment",S29&lt;&gt;"","2nd payment",O29&lt;&gt;"","1st payment",O29="","Pending 1st Payment")</f>
        <v>Payment Completed</v>
      </c>
      <c r="J29" s="55">
        <f t="shared" si="0"/>
        <v>37000</v>
      </c>
      <c r="K29" s="55">
        <f t="shared" si="1"/>
        <v>37000</v>
      </c>
      <c r="L29" s="65">
        <v>45260</v>
      </c>
      <c r="M29" s="66">
        <v>500</v>
      </c>
      <c r="N29" s="65">
        <v>45260</v>
      </c>
      <c r="O29" s="66">
        <v>500</v>
      </c>
      <c r="P29" s="39">
        <v>45472</v>
      </c>
      <c r="Q29" s="57">
        <v>36500</v>
      </c>
      <c r="R29" s="39">
        <v>45473</v>
      </c>
      <c r="S29" s="57">
        <v>36500</v>
      </c>
      <c r="T29" s="65"/>
      <c r="U29" s="66"/>
      <c r="V29" s="65"/>
      <c r="W29" s="66"/>
      <c r="X29" s="39"/>
      <c r="Y29" s="57"/>
      <c r="Z29" s="39"/>
      <c r="AA29" s="57"/>
      <c r="AB29" s="65"/>
      <c r="AC29" s="66"/>
      <c r="AD29" s="65"/>
      <c r="AE29" s="66"/>
      <c r="AF29" s="39"/>
      <c r="AG29" s="57"/>
      <c r="AH29" s="39"/>
      <c r="AI29" s="57"/>
    </row>
    <row r="30" spans="1:35" ht="19.5" customHeight="1" x14ac:dyDescent="0.3">
      <c r="A30" s="4">
        <f>'ECN Master Project Tracker new'!A31</f>
        <v>2311095</v>
      </c>
      <c r="B30" s="110" t="str">
        <f>VLOOKUP(A:A,Table1[[Project No]:[Additional Remark]],2,FALSE)</f>
        <v>Chu Yin Siong</v>
      </c>
      <c r="C30" s="55">
        <f>VLOOKUP(A:A,Table1[[Project No]:[Additional Remark]],11,FALSE)</f>
        <v>44600</v>
      </c>
      <c r="D30" s="55">
        <f>VLOOKUP(A:A,Table1[[Project No]:[Additional Remark]],12,FALSE)</f>
        <v>0</v>
      </c>
      <c r="E30" s="55" t="str">
        <f>VLOOKUP(A:A,Table1[[Project No]:[Additional Remark]],4,FALSE)</f>
        <v>Chean Bang</v>
      </c>
      <c r="F30" s="4" t="str">
        <f>VLOOKUP(A:A,Table1[[Project No]:[Additional Remark]],5,FALSE)</f>
        <v>R-PV</v>
      </c>
      <c r="G30" s="4" t="str">
        <f>VLOOKUP(A:A,Table1[[Project No]:[Additional Remark]],13,FALSE)</f>
        <v>Self finance</v>
      </c>
      <c r="H30" s="4" t="str" cm="1">
        <f t="array" ref="H30">_xlfn.IFS((D30+C30)-J30=0,"Invoice Completed",AC30&lt;&gt;"","5th invoice",Y30&lt;&gt;"","4th invoice",U30&lt;&gt;"","3rd invoice",Q30&lt;&gt;"","2nd invoice",M30&lt;&gt;"","1st invoice",M30="","Pending 1st Invoice")</f>
        <v>Invoice Completed</v>
      </c>
      <c r="I30" s="4" t="str" cm="1">
        <f t="array" ref="I30">_xlfn.IFS((C30+D30)-K30=0,"Payment Completed",AE30&lt;&gt;"","5th payment",AA30&lt;&gt;"","4th payment",W30&lt;&gt;"","3rd payment",S30&lt;&gt;"","2nd payment",O30&lt;&gt;"","1st payment",O30="","Pending 1st Payment")</f>
        <v>Payment Completed</v>
      </c>
      <c r="J30" s="55">
        <f t="shared" si="0"/>
        <v>44600</v>
      </c>
      <c r="K30" s="55">
        <f t="shared" si="1"/>
        <v>44600</v>
      </c>
      <c r="L30" s="65">
        <v>45285</v>
      </c>
      <c r="M30" s="66">
        <v>500</v>
      </c>
      <c r="N30" s="65">
        <v>45285</v>
      </c>
      <c r="O30" s="66">
        <v>500</v>
      </c>
      <c r="P30" s="39">
        <v>45062</v>
      </c>
      <c r="Q30" s="57">
        <v>42100</v>
      </c>
      <c r="R30" s="39">
        <v>45432</v>
      </c>
      <c r="S30" s="57">
        <v>42100</v>
      </c>
      <c r="T30" s="65">
        <v>45450</v>
      </c>
      <c r="U30" s="66">
        <v>2000</v>
      </c>
      <c r="V30" s="65">
        <v>45806</v>
      </c>
      <c r="W30" s="66">
        <v>2000</v>
      </c>
      <c r="X30" s="39"/>
      <c r="Y30" s="57"/>
      <c r="Z30" s="39"/>
      <c r="AA30" s="57"/>
      <c r="AB30" s="65"/>
      <c r="AC30" s="66"/>
      <c r="AD30" s="65"/>
      <c r="AE30" s="66"/>
      <c r="AF30" s="39"/>
      <c r="AG30" s="57"/>
      <c r="AH30" s="39"/>
      <c r="AI30" s="57"/>
    </row>
    <row r="31" spans="1:35" ht="19.5" customHeight="1" x14ac:dyDescent="0.3">
      <c r="A31" s="4">
        <f>'ECN Master Project Tracker new'!A32</f>
        <v>2311039</v>
      </c>
      <c r="B31" s="110" t="str">
        <f>VLOOKUP(A:A,Table1[[Project No]:[Additional Remark]],2,FALSE)</f>
        <v>DC Handal EV Charging Hub</v>
      </c>
      <c r="C31" s="55">
        <f>VLOOKUP(A:A,Table1[[Project No]:[Additional Remark]],11,FALSE)</f>
        <v>280080</v>
      </c>
      <c r="D31" s="55">
        <f>VLOOKUP(A:A,Table1[[Project No]:[Additional Remark]],12,FALSE)</f>
        <v>46945</v>
      </c>
      <c r="E31" s="55" t="str">
        <f>VLOOKUP(A:A,Table1[[Project No]:[Additional Remark]],4,FALSE)</f>
        <v>Simon</v>
      </c>
      <c r="F31" s="4" t="str">
        <f>VLOOKUP(A:A,Table1[[Project No]:[Additional Remark]],5,FALSE)</f>
        <v>C&amp;I-PV</v>
      </c>
      <c r="G31" s="4" t="str">
        <f>VLOOKUP(A:A,Table1[[Project No]:[Additional Remark]],13,FALSE)</f>
        <v>Self finance</v>
      </c>
      <c r="H31" s="4" t="str" cm="1">
        <f t="array" ref="H31">_xlfn.IFS((D31+C31)-J31=0,"Invoice Completed",AC31&lt;&gt;"","5th invoice",Y31&lt;&gt;"","4th invoice",U31&lt;&gt;"","3rd invoice",Q31&lt;&gt;"","2nd invoice",M31&lt;&gt;"","1st invoice",M31="","Pending 1st Invoice")</f>
        <v>Invoice Completed</v>
      </c>
      <c r="I31" s="4" t="str" cm="1">
        <f t="array" ref="I31">_xlfn.IFS((C31+D31)-K31=0,"Payment Completed",AE31&lt;&gt;"","5th payment",AA31&lt;&gt;"","4th payment",W31&lt;&gt;"","3rd payment",S31&lt;&gt;"","2nd payment",O31&lt;&gt;"","1st payment",O31="","Pending 1st Payment")</f>
        <v>Payment Completed</v>
      </c>
      <c r="J31" s="55">
        <f t="shared" si="0"/>
        <v>327025</v>
      </c>
      <c r="K31" s="55">
        <f t="shared" si="1"/>
        <v>327025</v>
      </c>
      <c r="L31" s="65">
        <v>45294</v>
      </c>
      <c r="M31" s="66">
        <v>126036</v>
      </c>
      <c r="N31" s="65">
        <v>45310</v>
      </c>
      <c r="O31" s="66">
        <v>126036</v>
      </c>
      <c r="P31" s="39">
        <v>45594</v>
      </c>
      <c r="Q31" s="57">
        <v>126036</v>
      </c>
      <c r="R31" s="39">
        <v>45650</v>
      </c>
      <c r="S31" s="57">
        <v>126036</v>
      </c>
      <c r="T31" s="65">
        <v>45628</v>
      </c>
      <c r="U31" s="66">
        <v>28008</v>
      </c>
      <c r="V31" s="65">
        <v>45650</v>
      </c>
      <c r="W31" s="66">
        <v>28008</v>
      </c>
      <c r="X31" s="39"/>
      <c r="Y31" s="57"/>
      <c r="Z31" s="39"/>
      <c r="AA31" s="57"/>
      <c r="AB31" s="65"/>
      <c r="AC31" s="66"/>
      <c r="AD31" s="65"/>
      <c r="AE31" s="66"/>
      <c r="AF31" s="39">
        <v>45594</v>
      </c>
      <c r="AG31" s="57">
        <v>46945</v>
      </c>
      <c r="AH31" s="39">
        <v>45650</v>
      </c>
      <c r="AI31" s="57">
        <v>46945</v>
      </c>
    </row>
    <row r="32" spans="1:35" ht="19.5" customHeight="1" x14ac:dyDescent="0.3">
      <c r="A32" s="4">
        <f>'ECN Master Project Tracker new'!A33</f>
        <v>2311012</v>
      </c>
      <c r="B32" s="110" t="str">
        <f>VLOOKUP(A:A,Table1[[Project No]:[Additional Remark]],2,FALSE)</f>
        <v>EV Connection Sdn Bhd (IOI Citymall, Putrajaya)</v>
      </c>
      <c r="C32" s="55">
        <f>VLOOKUP(A:A,Table1[[Project No]:[Additional Remark]],11,FALSE)</f>
        <v>109000</v>
      </c>
      <c r="D32" s="55">
        <f>VLOOKUP(A:A,Table1[[Project No]:[Additional Remark]],12,FALSE)</f>
        <v>0</v>
      </c>
      <c r="E32" s="55" t="str">
        <f>VLOOKUP(A:A,Table1[[Project No]:[Additional Remark]],4,FALSE)</f>
        <v>Simon</v>
      </c>
      <c r="F32" s="4" t="str">
        <f>VLOOKUP(A:A,Table1[[Project No]:[Additional Remark]],5,FALSE)</f>
        <v>EV Charger</v>
      </c>
      <c r="G32" s="4" t="str">
        <f>VLOOKUP(A:A,Table1[[Project No]:[Additional Remark]],13,FALSE)</f>
        <v>Cash</v>
      </c>
      <c r="H32" s="4" t="str" cm="1">
        <f t="array" ref="H32">_xlfn.IFS((D32+C32)-J32=0,"Invoice Completed",AC32&lt;&gt;"","5th invoice",Y32&lt;&gt;"","4th invoice",U32&lt;&gt;"","3rd invoice",Q32&lt;&gt;"","2nd invoice",M32&lt;&gt;"","1st invoice",M32="","Pending 1st Invoice")</f>
        <v>Invoice Completed</v>
      </c>
      <c r="I32" s="4" t="str" cm="1">
        <f t="array" ref="I32">_xlfn.IFS((C32+D32)-K32=0,"Payment Completed",AE32&lt;&gt;"","5th payment",AA32&lt;&gt;"","4th payment",W32&lt;&gt;"","3rd payment",S32&lt;&gt;"","2nd payment",O32&lt;&gt;"","1st payment",O32="","Pending 1st Payment")</f>
        <v>Payment Completed</v>
      </c>
      <c r="J32" s="55">
        <f t="shared" si="0"/>
        <v>109000</v>
      </c>
      <c r="K32" s="55">
        <f t="shared" si="1"/>
        <v>109000</v>
      </c>
      <c r="L32" s="65">
        <v>45302</v>
      </c>
      <c r="M32" s="66">
        <v>54500</v>
      </c>
      <c r="N32" s="65">
        <v>45302</v>
      </c>
      <c r="O32" s="66">
        <v>54500</v>
      </c>
      <c r="P32" s="39">
        <v>45594</v>
      </c>
      <c r="Q32" s="57">
        <v>54500</v>
      </c>
      <c r="R32" s="39">
        <v>45650</v>
      </c>
      <c r="S32" s="57">
        <v>54500</v>
      </c>
      <c r="T32" s="65"/>
      <c r="U32" s="66"/>
      <c r="V32" s="65"/>
      <c r="W32" s="66"/>
      <c r="X32" s="39"/>
      <c r="Y32" s="57"/>
      <c r="Z32" s="39"/>
      <c r="AA32" s="57"/>
      <c r="AB32" s="65"/>
      <c r="AC32" s="66"/>
      <c r="AD32" s="65"/>
      <c r="AE32" s="66"/>
      <c r="AF32" s="39"/>
      <c r="AG32" s="57"/>
      <c r="AH32" s="39"/>
      <c r="AI32" s="57"/>
    </row>
    <row r="33" spans="1:35" ht="19.5" customHeight="1" x14ac:dyDescent="0.3">
      <c r="A33" s="4">
        <f>'ECN Master Project Tracker new'!A34</f>
        <v>2311089</v>
      </c>
      <c r="B33" s="110" t="str">
        <f>VLOOKUP(A:A,Table1[[Project No]:[Additional Remark]],2,FALSE)</f>
        <v>Susan Lau Shiew Hung</v>
      </c>
      <c r="C33" s="55">
        <f>VLOOKUP(A:A,Table1[[Project No]:[Additional Remark]],11,FALSE)</f>
        <v>37500</v>
      </c>
      <c r="D33" s="55">
        <f>VLOOKUP(A:A,Table1[[Project No]:[Additional Remark]],12,FALSE)</f>
        <v>0</v>
      </c>
      <c r="E33" s="55" t="str">
        <f>VLOOKUP(A:A,Table1[[Project No]:[Additional Remark]],4,FALSE)</f>
        <v>Simon</v>
      </c>
      <c r="F33" s="4" t="str">
        <f>VLOOKUP(A:A,Table1[[Project No]:[Additional Remark]],5,FALSE)</f>
        <v>R-PV</v>
      </c>
      <c r="G33" s="4" t="str">
        <f>VLOOKUP(A:A,Table1[[Project No]:[Additional Remark]],13,FALSE)</f>
        <v>Self finance</v>
      </c>
      <c r="H33" s="4" t="str" cm="1">
        <f t="array" ref="H33">_xlfn.IFS((D33+C33)-J33=0,"Invoice Completed",AC33&lt;&gt;"","5th invoice",Y33&lt;&gt;"","4th invoice",U33&lt;&gt;"","3rd invoice",Q33&lt;&gt;"","2nd invoice",M33&lt;&gt;"","1st invoice",M33="","Pending 1st Invoice")</f>
        <v>Invoice Completed</v>
      </c>
      <c r="I33" s="4" t="str" cm="1">
        <f t="array" ref="I33">_xlfn.IFS((C33+D33)-K33=0,"Payment Completed",AE33&lt;&gt;"","5th payment",AA33&lt;&gt;"","4th payment",W33&lt;&gt;"","3rd payment",S33&lt;&gt;"","2nd payment",O33&lt;&gt;"","1st payment",O33="","Pending 1st Payment")</f>
        <v>2nd payment</v>
      </c>
      <c r="J33" s="55">
        <f t="shared" si="0"/>
        <v>37500</v>
      </c>
      <c r="K33" s="55">
        <f t="shared" si="1"/>
        <v>35500</v>
      </c>
      <c r="L33" s="65">
        <v>45260</v>
      </c>
      <c r="M33" s="66">
        <v>500</v>
      </c>
      <c r="N33" s="65">
        <v>45260</v>
      </c>
      <c r="O33" s="66">
        <v>500</v>
      </c>
      <c r="P33" s="39">
        <v>45448</v>
      </c>
      <c r="Q33" s="57">
        <v>35000</v>
      </c>
      <c r="R33" s="39">
        <v>45448</v>
      </c>
      <c r="S33" s="57">
        <v>35000</v>
      </c>
      <c r="T33" s="65">
        <v>45749</v>
      </c>
      <c r="U33" s="66">
        <v>2000</v>
      </c>
      <c r="V33" s="65"/>
      <c r="W33" s="66"/>
      <c r="X33" s="39"/>
      <c r="Y33" s="57"/>
      <c r="Z33" s="39"/>
      <c r="AA33" s="57"/>
      <c r="AB33" s="65"/>
      <c r="AC33" s="66"/>
      <c r="AD33" s="65"/>
      <c r="AE33" s="66"/>
      <c r="AF33" s="39"/>
      <c r="AG33" s="57"/>
      <c r="AH33" s="39"/>
      <c r="AI33" s="57"/>
    </row>
    <row r="34" spans="1:35" ht="19.5" customHeight="1" x14ac:dyDescent="0.3">
      <c r="A34" s="4">
        <f>'ECN Master Project Tracker new'!A35</f>
        <v>2312118</v>
      </c>
      <c r="B34" s="110" t="str">
        <f>VLOOKUP(A:A,Table1[[Project No]:[Additional Remark]],2,FALSE)</f>
        <v>Dr Suntheresan A/L Ganapathy</v>
      </c>
      <c r="C34" s="55">
        <f>VLOOKUP(A:A,Table1[[Project No]:[Additional Remark]],11,FALSE)</f>
        <v>54930</v>
      </c>
      <c r="D34" s="55">
        <f>VLOOKUP(A:A,Table1[[Project No]:[Additional Remark]],12,FALSE)</f>
        <v>0</v>
      </c>
      <c r="E34" s="55" t="str">
        <f>VLOOKUP(A:A,Table1[[Project No]:[Additional Remark]],4,FALSE)</f>
        <v>Ong</v>
      </c>
      <c r="F34" s="4" t="str">
        <f>VLOOKUP(A:A,Table1[[Project No]:[Additional Remark]],5,FALSE)</f>
        <v>R-PV</v>
      </c>
      <c r="G34" s="4" t="str">
        <f>VLOOKUP(A:A,Table1[[Project No]:[Additional Remark]],13,FALSE)</f>
        <v>Self finance</v>
      </c>
      <c r="H34" s="4" t="str" cm="1">
        <f t="array" ref="H34">_xlfn.IFS((D34+C34)-J34=0,"Invoice Completed",AC34&lt;&gt;"","5th invoice",Y34&lt;&gt;"","4th invoice",U34&lt;&gt;"","3rd invoice",Q34&lt;&gt;"","2nd invoice",M34&lt;&gt;"","1st invoice",M34="","Pending 1st Invoice")</f>
        <v>Invoice Completed</v>
      </c>
      <c r="I34" s="4" t="str" cm="1">
        <f t="array" ref="I34">_xlfn.IFS((C34+D34)-K34=0,"Payment Completed",AE34&lt;&gt;"","5th payment",AA34&lt;&gt;"","4th payment",W34&lt;&gt;"","3rd payment",S34&lt;&gt;"","2nd payment",O34&lt;&gt;"","1st payment",O34="","Pending 1st Payment")</f>
        <v>Payment Completed</v>
      </c>
      <c r="J34" s="55">
        <f t="shared" si="0"/>
        <v>54930</v>
      </c>
      <c r="K34" s="55">
        <f t="shared" si="1"/>
        <v>54930</v>
      </c>
      <c r="L34" s="65">
        <v>45296</v>
      </c>
      <c r="M34" s="66">
        <v>1000</v>
      </c>
      <c r="N34" s="65">
        <v>45296</v>
      </c>
      <c r="O34" s="66">
        <v>1000</v>
      </c>
      <c r="P34" s="39">
        <v>45383</v>
      </c>
      <c r="Q34" s="57">
        <v>51930</v>
      </c>
      <c r="R34" s="39">
        <v>45326</v>
      </c>
      <c r="S34" s="57">
        <v>51930</v>
      </c>
      <c r="T34" s="65">
        <v>45436</v>
      </c>
      <c r="U34" s="66">
        <v>2000</v>
      </c>
      <c r="V34" s="65">
        <v>45436</v>
      </c>
      <c r="W34" s="66">
        <v>2000</v>
      </c>
      <c r="X34" s="39"/>
      <c r="Y34" s="57"/>
      <c r="Z34" s="39"/>
      <c r="AA34" s="57"/>
      <c r="AB34" s="65"/>
      <c r="AC34" s="66"/>
      <c r="AD34" s="65"/>
      <c r="AE34" s="66"/>
      <c r="AF34" s="39"/>
      <c r="AG34" s="57"/>
      <c r="AH34" s="39"/>
      <c r="AI34" s="57"/>
    </row>
    <row r="35" spans="1:35" ht="19.5" customHeight="1" x14ac:dyDescent="0.3">
      <c r="A35" s="4">
        <f>'ECN Master Project Tracker new'!A36</f>
        <v>2309070</v>
      </c>
      <c r="B35" s="110" t="str">
        <f>VLOOKUP(A:A,Table1[[Project No]:[Additional Remark]],2,FALSE)</f>
        <v>Saiful Lizan Bin Ibrahim</v>
      </c>
      <c r="C35" s="55">
        <f>VLOOKUP(A:A,Table1[[Project No]:[Additional Remark]],11,FALSE)</f>
        <v>48902</v>
      </c>
      <c r="D35" s="55">
        <f>VLOOKUP(A:A,Table1[[Project No]:[Additional Remark]],12,FALSE)</f>
        <v>0</v>
      </c>
      <c r="E35" s="55" t="str">
        <f>VLOOKUP(A:A,Table1[[Project No]:[Additional Remark]],4,FALSE)</f>
        <v>Simon</v>
      </c>
      <c r="F35" s="4" t="str">
        <f>VLOOKUP(A:A,Table1[[Project No]:[Additional Remark]],5,FALSE)</f>
        <v>R-PV</v>
      </c>
      <c r="G35" s="4" t="str">
        <f>VLOOKUP(A:A,Table1[[Project No]:[Additional Remark]],13,FALSE)</f>
        <v>Credit Card Instalment</v>
      </c>
      <c r="H35" s="4" t="str" cm="1">
        <f t="array" ref="H35">_xlfn.IFS((D35+C35)-J35=0,"Invoice Completed",AC35&lt;&gt;"","5th invoice",Y35&lt;&gt;"","4th invoice",U35&lt;&gt;"","3rd invoice",Q35&lt;&gt;"","2nd invoice",M35&lt;&gt;"","1st invoice",M35="","Pending 1st Invoice")</f>
        <v>Invoice Completed</v>
      </c>
      <c r="I35" s="4" t="str" cm="1">
        <f t="array" ref="I35">_xlfn.IFS((C35+D35)-K35=0,"Payment Completed",AE35&lt;&gt;"","5th payment",AA35&lt;&gt;"","4th payment",W35&lt;&gt;"","3rd payment",S35&lt;&gt;"","2nd payment",O35&lt;&gt;"","1st payment",O35="","Pending 1st Payment")</f>
        <v>Payment Completed</v>
      </c>
      <c r="J35" s="55">
        <f t="shared" si="0"/>
        <v>48902</v>
      </c>
      <c r="K35" s="55">
        <f t="shared" si="1"/>
        <v>48902</v>
      </c>
      <c r="L35" s="65">
        <v>45303</v>
      </c>
      <c r="M35" s="66">
        <v>500</v>
      </c>
      <c r="N35" s="65">
        <v>45303</v>
      </c>
      <c r="O35" s="66">
        <v>500</v>
      </c>
      <c r="P35" s="39">
        <v>45452</v>
      </c>
      <c r="Q35" s="57">
        <v>48402</v>
      </c>
      <c r="R35" s="64">
        <v>45452</v>
      </c>
      <c r="S35" s="59">
        <v>48402</v>
      </c>
      <c r="T35" s="65"/>
      <c r="U35" s="66"/>
      <c r="V35" s="65"/>
      <c r="W35" s="66"/>
      <c r="X35" s="39"/>
      <c r="Y35" s="57"/>
      <c r="Z35" s="39"/>
      <c r="AA35" s="57"/>
      <c r="AB35" s="65"/>
      <c r="AC35" s="66"/>
      <c r="AD35" s="65"/>
      <c r="AE35" s="66"/>
      <c r="AF35" s="39"/>
      <c r="AG35" s="57"/>
      <c r="AH35" s="39"/>
      <c r="AI35" s="57"/>
    </row>
    <row r="36" spans="1:35" s="123" customFormat="1" ht="19.5" customHeight="1" x14ac:dyDescent="0.3">
      <c r="A36" s="116">
        <f>'ECN Master Project Tracker new'!A37</f>
        <v>2310075</v>
      </c>
      <c r="B36" s="125" t="str">
        <f>VLOOKUP(A:A,Table1[[Project No]:[Additional Remark]],2,FALSE)</f>
        <v>Chong Fong Chin(Jessie)</v>
      </c>
      <c r="C36" s="117">
        <f>VLOOKUP(A:A,Table1[[Project No]:[Additional Remark]],11,FALSE)</f>
        <v>45600</v>
      </c>
      <c r="D36" s="117">
        <f>VLOOKUP(A:A,Table1[[Project No]:[Additional Remark]],12,FALSE)</f>
        <v>0</v>
      </c>
      <c r="E36" s="117" t="str">
        <f>VLOOKUP(A:A,Table1[[Project No]:[Additional Remark]],4,FALSE)</f>
        <v>Chean Bang</v>
      </c>
      <c r="F36" s="116" t="str">
        <f>VLOOKUP(A:A,Table1[[Project No]:[Additional Remark]],5,FALSE)</f>
        <v>R-PV</v>
      </c>
      <c r="G36" s="116" t="str">
        <f>VLOOKUP(A:A,Table1[[Project No]:[Additional Remark]],13,FALSE)</f>
        <v>Self finance</v>
      </c>
      <c r="H36" s="116" t="str" cm="1">
        <f t="array" ref="H36">_xlfn.IFS((D36+C36)-J36=0,"Invoice Completed",AC36&lt;&gt;"","5th invoice",Y36&lt;&gt;"","4th invoice",U36&lt;&gt;"","3rd invoice",Q36&lt;&gt;"","2nd invoice",M36&lt;&gt;"","1st invoice",M36="","Pending 1st Invoice")</f>
        <v>Pending 1st Invoice</v>
      </c>
      <c r="I36" s="116" t="str" cm="1">
        <f t="array" ref="I36">_xlfn.IFS((C36+D36)-K36=0,"Payment Completed",AE36&lt;&gt;"","5th payment",AA36&lt;&gt;"","4th payment",W36&lt;&gt;"","3rd payment",S36&lt;&gt;"","2nd payment",O36&lt;&gt;"","1st payment",O36="","Pending 1st Payment")</f>
        <v>Pending 1st Payment</v>
      </c>
      <c r="J36" s="117">
        <f t="shared" si="0"/>
        <v>0</v>
      </c>
      <c r="K36" s="117">
        <f t="shared" si="1"/>
        <v>0</v>
      </c>
      <c r="L36" s="118"/>
      <c r="M36" s="119"/>
      <c r="N36" s="118"/>
      <c r="O36" s="119"/>
      <c r="P36" s="120"/>
      <c r="Q36" s="121"/>
      <c r="R36" s="120"/>
      <c r="S36" s="121"/>
      <c r="T36" s="118"/>
      <c r="U36" s="119"/>
      <c r="V36" s="118"/>
      <c r="W36" s="119"/>
      <c r="X36" s="39"/>
      <c r="Y36" s="121"/>
      <c r="Z36" s="39"/>
      <c r="AA36" s="121"/>
      <c r="AB36" s="118"/>
      <c r="AC36" s="119"/>
      <c r="AD36" s="118"/>
      <c r="AE36" s="119"/>
      <c r="AF36" s="120"/>
      <c r="AG36" s="121"/>
      <c r="AH36" s="120"/>
      <c r="AI36" s="121"/>
    </row>
    <row r="37" spans="1:35" ht="19.5" customHeight="1" x14ac:dyDescent="0.3">
      <c r="A37" s="4">
        <f>'ECN Master Project Tracker new'!A38</f>
        <v>2310076</v>
      </c>
      <c r="B37" s="110" t="str">
        <f>VLOOKUP(A:A,Table1[[Project No]:[Additional Remark]],2,FALSE)</f>
        <v>Loo Thiam Seng</v>
      </c>
      <c r="C37" s="55">
        <f>VLOOKUP(A:A,Table1[[Project No]:[Additional Remark]],11,FALSE)</f>
        <v>24000</v>
      </c>
      <c r="D37" s="55">
        <f>VLOOKUP(A:A,Table1[[Project No]:[Additional Remark]],12,FALSE)</f>
        <v>0</v>
      </c>
      <c r="E37" s="55" t="str">
        <f>VLOOKUP(A:A,Table1[[Project No]:[Additional Remark]],4,FALSE)</f>
        <v>Tham</v>
      </c>
      <c r="F37" s="4" t="str">
        <f>VLOOKUP(A:A,Table1[[Project No]:[Additional Remark]],5,FALSE)</f>
        <v>R-PV</v>
      </c>
      <c r="G37" s="4" t="str">
        <f>VLOOKUP(A:A,Table1[[Project No]:[Additional Remark]],13,FALSE)</f>
        <v>Cash</v>
      </c>
      <c r="H37" s="4" t="str" cm="1">
        <f t="array" ref="H37">_xlfn.IFS((D37+C37)-J37=0,"Invoice Completed",AC37&lt;&gt;"","5th invoice",Y37&lt;&gt;"","4th invoice",U37&lt;&gt;"","3rd invoice",Q37&lt;&gt;"","2nd invoice",M37&lt;&gt;"","1st invoice",M37="","Pending 1st Invoice")</f>
        <v>Invoice Completed</v>
      </c>
      <c r="I37" s="4" t="str" cm="1">
        <f t="array" ref="I37">_xlfn.IFS((C37+D37)-K37=0,"Payment Completed",AE37&lt;&gt;"","5th payment",AA37&lt;&gt;"","4th payment",W37&lt;&gt;"","3rd payment",S37&lt;&gt;"","2nd payment",O37&lt;&gt;"","1st payment",O37="","Pending 1st Payment")</f>
        <v>Payment Completed</v>
      </c>
      <c r="J37" s="55">
        <f t="shared" si="0"/>
        <v>24000</v>
      </c>
      <c r="K37" s="55">
        <f t="shared" si="1"/>
        <v>24000</v>
      </c>
      <c r="L37" s="65">
        <v>45386</v>
      </c>
      <c r="M37" s="66">
        <v>500</v>
      </c>
      <c r="N37" s="65">
        <v>45386</v>
      </c>
      <c r="O37" s="66">
        <v>500</v>
      </c>
      <c r="P37" s="39">
        <v>45805</v>
      </c>
      <c r="Q37" s="57">
        <v>23500</v>
      </c>
      <c r="R37" s="39">
        <v>45805</v>
      </c>
      <c r="S37" s="57">
        <v>23500</v>
      </c>
      <c r="T37" s="65"/>
      <c r="U37" s="66"/>
      <c r="V37" s="65"/>
      <c r="W37" s="66"/>
      <c r="X37" s="39"/>
      <c r="Y37" s="57"/>
      <c r="Z37" s="39"/>
      <c r="AA37" s="57"/>
      <c r="AB37" s="65"/>
      <c r="AC37" s="66"/>
      <c r="AD37" s="65"/>
      <c r="AE37" s="66"/>
      <c r="AF37" s="39"/>
      <c r="AG37" s="57"/>
      <c r="AH37" s="39"/>
      <c r="AI37" s="57"/>
    </row>
    <row r="38" spans="1:35" ht="19.5" customHeight="1" x14ac:dyDescent="0.3">
      <c r="A38" s="4">
        <f>'ECN Master Project Tracker new'!A39</f>
        <v>2310085</v>
      </c>
      <c r="B38" s="110" t="str">
        <f>VLOOKUP(A:A,Table1[[Project No]:[Additional Remark]],2,FALSE)</f>
        <v>Chew Mei May</v>
      </c>
      <c r="C38" s="55">
        <f>VLOOKUP(A:A,Table1[[Project No]:[Additional Remark]],11,FALSE)</f>
        <v>47786</v>
      </c>
      <c r="D38" s="55">
        <f>VLOOKUP(A:A,Table1[[Project No]:[Additional Remark]],12,FALSE)</f>
        <v>0</v>
      </c>
      <c r="E38" s="55" t="str">
        <f>VLOOKUP(A:A,Table1[[Project No]:[Additional Remark]],4,FALSE)</f>
        <v>Simon</v>
      </c>
      <c r="F38" s="4" t="str">
        <f>VLOOKUP(A:A,Table1[[Project No]:[Additional Remark]],5,FALSE)</f>
        <v>R-PV</v>
      </c>
      <c r="G38" s="4" t="str">
        <f>VLOOKUP(A:A,Table1[[Project No]:[Additional Remark]],13,FALSE)</f>
        <v>Credit Card Instalment</v>
      </c>
      <c r="H38" s="4" t="str" cm="1">
        <f t="array" ref="H38">_xlfn.IFS((D38+C38)-J38=0,"Invoice Completed",AC38&lt;&gt;"","5th invoice",Y38&lt;&gt;"","4th invoice",U38&lt;&gt;"","3rd invoice",Q38&lt;&gt;"","2nd invoice",M38&lt;&gt;"","1st invoice",M38="","Pending 1st Invoice")</f>
        <v>Invoice Completed</v>
      </c>
      <c r="I38" s="4" t="str" cm="1">
        <f t="array" ref="I38">_xlfn.IFS((C38+D38)-K38=0,"Payment Completed",AE38&lt;&gt;"","5th payment",AA38&lt;&gt;"","4th payment",W38&lt;&gt;"","3rd payment",S38&lt;&gt;"","2nd payment",O38&lt;&gt;"","1st payment",O38="","Pending 1st Payment")</f>
        <v>Payment Completed</v>
      </c>
      <c r="J38" s="55">
        <f t="shared" si="0"/>
        <v>47786</v>
      </c>
      <c r="K38" s="55">
        <f t="shared" si="1"/>
        <v>47786</v>
      </c>
      <c r="L38" s="65">
        <v>45259</v>
      </c>
      <c r="M38" s="66">
        <v>500</v>
      </c>
      <c r="N38" s="65">
        <v>45259</v>
      </c>
      <c r="O38" s="66">
        <v>500</v>
      </c>
      <c r="P38" s="39">
        <v>45403</v>
      </c>
      <c r="Q38" s="57">
        <v>47286</v>
      </c>
      <c r="R38" s="39">
        <v>45406</v>
      </c>
      <c r="S38" s="57">
        <v>47286</v>
      </c>
      <c r="T38" s="65"/>
      <c r="U38" s="66"/>
      <c r="V38" s="65"/>
      <c r="W38" s="66"/>
      <c r="X38" s="39"/>
      <c r="Y38" s="57"/>
      <c r="Z38" s="39"/>
      <c r="AA38" s="57"/>
      <c r="AB38" s="65"/>
      <c r="AC38" s="66"/>
      <c r="AD38" s="65"/>
      <c r="AE38" s="66"/>
      <c r="AF38" s="39"/>
      <c r="AG38" s="57"/>
      <c r="AH38" s="39"/>
      <c r="AI38" s="57"/>
    </row>
    <row r="39" spans="1:35" ht="19.5" customHeight="1" x14ac:dyDescent="0.3">
      <c r="A39" s="4">
        <f>'ECN Master Project Tracker new'!A40</f>
        <v>2312113</v>
      </c>
      <c r="B39" s="110" t="str">
        <f>VLOOKUP(A:A,Table1[[Project No]:[Additional Remark]],2,FALSE)</f>
        <v>Razman Bin Samsudin</v>
      </c>
      <c r="C39" s="55">
        <f>VLOOKUP(A:A,Table1[[Project No]:[Additional Remark]],11,FALSE)</f>
        <v>44000</v>
      </c>
      <c r="D39" s="55">
        <f>VLOOKUP(A:A,Table1[[Project No]:[Additional Remark]],12,FALSE)</f>
        <v>0</v>
      </c>
      <c r="E39" s="55" t="str">
        <f>VLOOKUP(A:A,Table1[[Project No]:[Additional Remark]],4,FALSE)</f>
        <v>Simon</v>
      </c>
      <c r="F39" s="4" t="str">
        <f>VLOOKUP(A:A,Table1[[Project No]:[Additional Remark]],5,FALSE)</f>
        <v>R-PV</v>
      </c>
      <c r="G39" s="4" t="str">
        <f>VLOOKUP(A:A,Table1[[Project No]:[Additional Remark]],13,FALSE)</f>
        <v>Self finance</v>
      </c>
      <c r="H39" s="4" t="str" cm="1">
        <f t="array" ref="H39">_xlfn.IFS((D39+C39)-J39=0,"Invoice Completed",AC39&lt;&gt;"","5th invoice",Y39&lt;&gt;"","4th invoice",U39&lt;&gt;"","3rd invoice",Q39&lt;&gt;"","2nd invoice",M39&lt;&gt;"","1st invoice",M39="","Pending 1st Invoice")</f>
        <v>2nd invoice</v>
      </c>
      <c r="I39" s="4" t="str" cm="1">
        <f t="array" ref="I39">_xlfn.IFS((C39+D39)-K39=0,"Payment Completed",AE39&lt;&gt;"","5th payment",AA39&lt;&gt;"","4th payment",W39&lt;&gt;"","3rd payment",S39&lt;&gt;"","2nd payment",O39&lt;&gt;"","1st payment",O39="","Pending 1st Payment")</f>
        <v>2nd payment</v>
      </c>
      <c r="J39" s="55">
        <f t="shared" si="0"/>
        <v>42000</v>
      </c>
      <c r="K39" s="55">
        <f t="shared" si="1"/>
        <v>17000</v>
      </c>
      <c r="L39" s="65">
        <v>45314</v>
      </c>
      <c r="M39" s="66">
        <v>500</v>
      </c>
      <c r="N39" s="65">
        <v>45314</v>
      </c>
      <c r="O39" s="66">
        <v>500</v>
      </c>
      <c r="P39" s="39">
        <v>45706</v>
      </c>
      <c r="Q39" s="57">
        <v>41500</v>
      </c>
      <c r="R39" s="39">
        <v>45726</v>
      </c>
      <c r="S39" s="115">
        <v>16500</v>
      </c>
      <c r="T39" s="65"/>
      <c r="U39" s="66"/>
      <c r="V39" s="65"/>
      <c r="W39" s="66"/>
      <c r="X39" s="39"/>
      <c r="Y39" s="57"/>
      <c r="Z39" s="39"/>
      <c r="AA39" s="57"/>
      <c r="AB39" s="65"/>
      <c r="AC39" s="66"/>
      <c r="AD39" s="65"/>
      <c r="AE39" s="66"/>
      <c r="AF39" s="39"/>
      <c r="AG39" s="57"/>
      <c r="AH39" s="39"/>
      <c r="AI39" s="57"/>
    </row>
    <row r="40" spans="1:35" ht="19.5" customHeight="1" x14ac:dyDescent="0.3">
      <c r="A40" s="4">
        <f>'ECN Master Project Tracker new'!A41</f>
        <v>2401121</v>
      </c>
      <c r="B40" s="110" t="str">
        <f>VLOOKUP(A:A,Table1[[Project No]:[Additional Remark]],2,FALSE)</f>
        <v>Chen Ah Hin</v>
      </c>
      <c r="C40" s="55">
        <f>VLOOKUP(A:A,Table1[[Project No]:[Additional Remark]],11,FALSE)</f>
        <v>40000</v>
      </c>
      <c r="D40" s="55">
        <f>VLOOKUP(A:A,Table1[[Project No]:[Additional Remark]],12,FALSE)</f>
        <v>0</v>
      </c>
      <c r="E40" s="55" t="str">
        <f>VLOOKUP(A:A,Table1[[Project No]:[Additional Remark]],4,FALSE)</f>
        <v>Tham</v>
      </c>
      <c r="F40" s="4" t="str">
        <f>VLOOKUP(A:A,Table1[[Project No]:[Additional Remark]],5,FALSE)</f>
        <v>R-PV</v>
      </c>
      <c r="G40" s="4" t="str">
        <f>VLOOKUP(A:A,Table1[[Project No]:[Additional Remark]],13,FALSE)</f>
        <v>Self finance</v>
      </c>
      <c r="H40" s="4" t="str" cm="1">
        <f t="array" ref="H40">_xlfn.IFS((D40+C40)-J40=0,"Invoice Completed",AC40&lt;&gt;"","5th invoice",Y40&lt;&gt;"","4th invoice",U40&lt;&gt;"","3rd invoice",Q40&lt;&gt;"","2nd invoice",M40&lt;&gt;"","1st invoice",M40="","Pending 1st Invoice")</f>
        <v>Invoice Completed</v>
      </c>
      <c r="I40" s="4" t="str" cm="1">
        <f t="array" ref="I40">_xlfn.IFS((C40+D40)-K40=0,"Payment Completed",AE40&lt;&gt;"","5th payment",AA40&lt;&gt;"","4th payment",W40&lt;&gt;"","3rd payment",S40&lt;&gt;"","2nd payment",O40&lt;&gt;"","1st payment",O40="","Pending 1st Payment")</f>
        <v>3rd payment</v>
      </c>
      <c r="J40" s="55">
        <f t="shared" si="0"/>
        <v>40000</v>
      </c>
      <c r="K40" s="55">
        <f t="shared" si="1"/>
        <v>39800</v>
      </c>
      <c r="L40" s="65">
        <v>45383</v>
      </c>
      <c r="M40" s="66">
        <v>500</v>
      </c>
      <c r="N40" s="65">
        <v>45383</v>
      </c>
      <c r="O40" s="66">
        <v>500</v>
      </c>
      <c r="P40" s="39">
        <v>45427</v>
      </c>
      <c r="Q40" s="57">
        <v>37500</v>
      </c>
      <c r="R40" s="39">
        <v>45427</v>
      </c>
      <c r="S40" s="57">
        <v>37500</v>
      </c>
      <c r="T40" s="65">
        <v>45427</v>
      </c>
      <c r="U40" s="66">
        <v>2000</v>
      </c>
      <c r="V40" s="65" t="s">
        <v>1889</v>
      </c>
      <c r="W40" s="67">
        <v>1800</v>
      </c>
      <c r="X40" s="39"/>
      <c r="Y40" s="57"/>
      <c r="Z40" s="39"/>
      <c r="AA40" s="57"/>
      <c r="AB40" s="65"/>
      <c r="AC40" s="66"/>
      <c r="AD40" s="65"/>
      <c r="AE40" s="66"/>
      <c r="AF40" s="39"/>
      <c r="AG40" s="57"/>
      <c r="AH40" s="39"/>
      <c r="AI40" s="57"/>
    </row>
    <row r="41" spans="1:35" ht="19.5" customHeight="1" x14ac:dyDescent="0.3">
      <c r="A41" s="4">
        <f>'ECN Master Project Tracker new'!A42</f>
        <v>2401124</v>
      </c>
      <c r="B41" s="110" t="str">
        <f>VLOOKUP(A:A,Table1[[Project No]:[Additional Remark]],2,FALSE)</f>
        <v>Lim Kok Teong</v>
      </c>
      <c r="C41" s="55">
        <f>VLOOKUP(A:A,Table1[[Project No]:[Additional Remark]],11,FALSE)</f>
        <v>53708</v>
      </c>
      <c r="D41" s="55">
        <f>VLOOKUP(A:A,Table1[[Project No]:[Additional Remark]],12,FALSE)</f>
        <v>0</v>
      </c>
      <c r="E41" s="55" t="str">
        <f>VLOOKUP(A:A,Table1[[Project No]:[Additional Remark]],4,FALSE)</f>
        <v>Tham</v>
      </c>
      <c r="F41" s="4" t="str">
        <f>VLOOKUP(A:A,Table1[[Project No]:[Additional Remark]],5,FALSE)</f>
        <v>R-PV</v>
      </c>
      <c r="G41" s="4" t="str">
        <f>VLOOKUP(A:A,Table1[[Project No]:[Additional Remark]],13,FALSE)</f>
        <v>Credit Card Instalment</v>
      </c>
      <c r="H41" s="4" t="str" cm="1">
        <f t="array" ref="H41">_xlfn.IFS((D41+C41)-J41=0,"Invoice Completed",AC41&lt;&gt;"","5th invoice",Y41&lt;&gt;"","4th invoice",U41&lt;&gt;"","3rd invoice",Q41&lt;&gt;"","2nd invoice",M41&lt;&gt;"","1st invoice",M41="","Pending 1st Invoice")</f>
        <v>Invoice Completed</v>
      </c>
      <c r="I41" s="4" t="str" cm="1">
        <f t="array" ref="I41">_xlfn.IFS((C41+D41)-K41=0,"Payment Completed",AE41&lt;&gt;"","5th payment",AA41&lt;&gt;"","4th payment",W41&lt;&gt;"","3rd payment",S41&lt;&gt;"","2nd payment",O41&lt;&gt;"","1st payment",O41="","Pending 1st Payment")</f>
        <v>Payment Completed</v>
      </c>
      <c r="J41" s="55">
        <f t="shared" si="0"/>
        <v>53708</v>
      </c>
      <c r="K41" s="55">
        <f t="shared" si="1"/>
        <v>53708</v>
      </c>
      <c r="L41" s="65">
        <v>45384</v>
      </c>
      <c r="M41" s="66">
        <v>500</v>
      </c>
      <c r="N41" s="65">
        <v>45384</v>
      </c>
      <c r="O41" s="66">
        <v>500</v>
      </c>
      <c r="P41" s="39">
        <v>45428</v>
      </c>
      <c r="Q41" s="57">
        <v>53208</v>
      </c>
      <c r="R41" s="39">
        <v>45428</v>
      </c>
      <c r="S41" s="57">
        <v>53208</v>
      </c>
      <c r="T41" s="65"/>
      <c r="U41" s="66"/>
      <c r="V41" s="65"/>
      <c r="W41" s="66"/>
      <c r="X41" s="39"/>
      <c r="Y41" s="57"/>
      <c r="Z41" s="39"/>
      <c r="AA41" s="57"/>
      <c r="AB41" s="65"/>
      <c r="AC41" s="66"/>
      <c r="AD41" s="65"/>
      <c r="AE41" s="66"/>
      <c r="AF41" s="39"/>
      <c r="AG41" s="57"/>
      <c r="AH41" s="39"/>
      <c r="AI41" s="57"/>
    </row>
    <row r="42" spans="1:35" ht="19.5" customHeight="1" x14ac:dyDescent="0.3">
      <c r="A42" s="4">
        <f>'ECN Master Project Tracker new'!A43</f>
        <v>2401131</v>
      </c>
      <c r="B42" s="110" t="str">
        <f>VLOOKUP(A:A,Table1[[Project No]:[Additional Remark]],2,FALSE)</f>
        <v>Chan Po Kok (JC Chan KEB)</v>
      </c>
      <c r="C42" s="55">
        <f>VLOOKUP(A:A,Table1[[Project No]:[Additional Remark]],11,FALSE)</f>
        <v>29500</v>
      </c>
      <c r="D42" s="55">
        <f>VLOOKUP(A:A,Table1[[Project No]:[Additional Remark]],12,FALSE)</f>
        <v>0</v>
      </c>
      <c r="E42" s="55" t="str">
        <f>VLOOKUP(A:A,Table1[[Project No]:[Additional Remark]],4,FALSE)</f>
        <v>Tham</v>
      </c>
      <c r="F42" s="4" t="str">
        <f>VLOOKUP(A:A,Table1[[Project No]:[Additional Remark]],5,FALSE)</f>
        <v>R-PV</v>
      </c>
      <c r="G42" s="4" t="str">
        <f>VLOOKUP(A:A,Table1[[Project No]:[Additional Remark]],13,FALSE)</f>
        <v>Self finance</v>
      </c>
      <c r="H42" s="4" t="str" cm="1">
        <f t="array" ref="H42">_xlfn.IFS((D42+C42)-J42=0,"Invoice Completed",AC42&lt;&gt;"","5th invoice",Y42&lt;&gt;"","4th invoice",U42&lt;&gt;"","3rd invoice",Q42&lt;&gt;"","2nd invoice",M42&lt;&gt;"","1st invoice",M42="","Pending 1st Invoice")</f>
        <v>Invoice Completed</v>
      </c>
      <c r="I42" s="4" t="str" cm="1">
        <f t="array" ref="I42">_xlfn.IFS((C42+D42)-K42=0,"Payment Completed",AE42&lt;&gt;"","5th payment",AA42&lt;&gt;"","4th payment",W42&lt;&gt;"","3rd payment",S42&lt;&gt;"","2nd payment",O42&lt;&gt;"","1st payment",O42="","Pending 1st Payment")</f>
        <v>Payment Completed</v>
      </c>
      <c r="J42" s="55">
        <f t="shared" si="0"/>
        <v>29500</v>
      </c>
      <c r="K42" s="55">
        <f t="shared" si="1"/>
        <v>29500</v>
      </c>
      <c r="L42" s="65">
        <v>45394</v>
      </c>
      <c r="M42" s="66">
        <v>500</v>
      </c>
      <c r="N42" s="65">
        <v>45394</v>
      </c>
      <c r="O42" s="66">
        <v>500</v>
      </c>
      <c r="P42" s="39">
        <v>45447</v>
      </c>
      <c r="Q42" s="57">
        <v>29000</v>
      </c>
      <c r="R42" s="39">
        <v>45447</v>
      </c>
      <c r="S42" s="57">
        <v>29000</v>
      </c>
      <c r="T42" s="65"/>
      <c r="U42" s="66"/>
      <c r="V42" s="65"/>
      <c r="W42" s="66"/>
      <c r="X42" s="39"/>
      <c r="Y42" s="57"/>
      <c r="Z42" s="39"/>
      <c r="AA42" s="57"/>
      <c r="AB42" s="65"/>
      <c r="AC42" s="66"/>
      <c r="AD42" s="65"/>
      <c r="AE42" s="66"/>
      <c r="AF42" s="39"/>
      <c r="AG42" s="57"/>
      <c r="AH42" s="39"/>
      <c r="AI42" s="57"/>
    </row>
    <row r="43" spans="1:35" ht="19.5" customHeight="1" x14ac:dyDescent="0.3">
      <c r="A43" s="4">
        <f>'ECN Master Project Tracker new'!A44</f>
        <v>2401137</v>
      </c>
      <c r="B43" s="110" t="str">
        <f>VLOOKUP(A:A,Table1[[Project No]:[Additional Remark]],2,FALSE)</f>
        <v>Lim Kok Liang</v>
      </c>
      <c r="C43" s="55">
        <f>VLOOKUP(A:A,Table1[[Project No]:[Additional Remark]],11,FALSE)</f>
        <v>40900</v>
      </c>
      <c r="D43" s="55">
        <f>VLOOKUP(A:A,Table1[[Project No]:[Additional Remark]],12,FALSE)</f>
        <v>0</v>
      </c>
      <c r="E43" s="55" t="str">
        <f>VLOOKUP(A:A,Table1[[Project No]:[Additional Remark]],4,FALSE)</f>
        <v>Tham</v>
      </c>
      <c r="F43" s="4" t="str">
        <f>VLOOKUP(A:A,Table1[[Project No]:[Additional Remark]],5,FALSE)</f>
        <v>R-PV</v>
      </c>
      <c r="G43" s="4" t="str">
        <f>VLOOKUP(A:A,Table1[[Project No]:[Additional Remark]],13,FALSE)</f>
        <v>Credit Card Instalment</v>
      </c>
      <c r="H43" s="4" t="str" cm="1">
        <f t="array" ref="H43">_xlfn.IFS((D43+C43)-J43=0,"Invoice Completed",AC43&lt;&gt;"","5th invoice",Y43&lt;&gt;"","4th invoice",U43&lt;&gt;"","3rd invoice",Q43&lt;&gt;"","2nd invoice",M43&lt;&gt;"","1st invoice",M43="","Pending 1st Invoice")</f>
        <v>Invoice Completed</v>
      </c>
      <c r="I43" s="4" t="str" cm="1">
        <f t="array" ref="I43">_xlfn.IFS((C43+D43)-K43=0,"Payment Completed",AE43&lt;&gt;"","5th payment",AA43&lt;&gt;"","4th payment",W43&lt;&gt;"","3rd payment",S43&lt;&gt;"","2nd payment",O43&lt;&gt;"","1st payment",O43="","Pending 1st Payment")</f>
        <v>Payment Completed</v>
      </c>
      <c r="J43" s="55">
        <f t="shared" si="0"/>
        <v>40900</v>
      </c>
      <c r="K43" s="55">
        <f t="shared" si="1"/>
        <v>40900</v>
      </c>
      <c r="L43" s="65">
        <v>45378</v>
      </c>
      <c r="M43" s="66">
        <v>500</v>
      </c>
      <c r="N43" s="65">
        <v>45378</v>
      </c>
      <c r="O43" s="66">
        <v>500</v>
      </c>
      <c r="P43" s="39">
        <v>45431</v>
      </c>
      <c r="Q43" s="57">
        <v>40400</v>
      </c>
      <c r="R43" s="39">
        <v>45431</v>
      </c>
      <c r="S43" s="57">
        <v>40400</v>
      </c>
      <c r="T43" s="65"/>
      <c r="U43" s="66"/>
      <c r="V43" s="65"/>
      <c r="W43" s="66"/>
      <c r="X43" s="39"/>
      <c r="Y43" s="57"/>
      <c r="Z43" s="39"/>
      <c r="AA43" s="57"/>
      <c r="AB43" s="65"/>
      <c r="AC43" s="66"/>
      <c r="AD43" s="65"/>
      <c r="AE43" s="66"/>
      <c r="AF43" s="39"/>
      <c r="AG43" s="57"/>
      <c r="AH43" s="39"/>
      <c r="AI43" s="57"/>
    </row>
    <row r="44" spans="1:35" ht="19.5" customHeight="1" x14ac:dyDescent="0.3">
      <c r="A44" s="4">
        <f>'ECN Master Project Tracker new'!A45</f>
        <v>2401147</v>
      </c>
      <c r="B44" s="110" t="str">
        <f>VLOOKUP(A:A,Table1[[Project No]:[Additional Remark]],2,FALSE)</f>
        <v>Susan Sung Fong Thieng</v>
      </c>
      <c r="C44" s="55">
        <f>VLOOKUP(A:A,Table1[[Project No]:[Additional Remark]],11,FALSE)</f>
        <v>40440</v>
      </c>
      <c r="D44" s="55">
        <f>VLOOKUP(A:A,Table1[[Project No]:[Additional Remark]],12,FALSE)</f>
        <v>0</v>
      </c>
      <c r="E44" s="55" t="str">
        <f>VLOOKUP(A:A,Table1[[Project No]:[Additional Remark]],4,FALSE)</f>
        <v>Tham</v>
      </c>
      <c r="F44" s="4" t="str">
        <f>VLOOKUP(A:A,Table1[[Project No]:[Additional Remark]],5,FALSE)</f>
        <v>R-PV</v>
      </c>
      <c r="G44" s="4" t="str">
        <f>VLOOKUP(A:A,Table1[[Project No]:[Additional Remark]],13,FALSE)</f>
        <v>Credit Card Instalment</v>
      </c>
      <c r="H44" s="4" t="str" cm="1">
        <f t="array" ref="H44">_xlfn.IFS((D44+C44)-J44=0,"Invoice Completed",AC44&lt;&gt;"","5th invoice",Y44&lt;&gt;"","4th invoice",U44&lt;&gt;"","3rd invoice",Q44&lt;&gt;"","2nd invoice",M44&lt;&gt;"","1st invoice",M44="","Pending 1st Invoice")</f>
        <v>Invoice Completed</v>
      </c>
      <c r="I44" s="4" t="str" cm="1">
        <f t="array" ref="I44">_xlfn.IFS((C44+D44)-K44=0,"Payment Completed",AE44&lt;&gt;"","5th payment",AA44&lt;&gt;"","4th payment",W44&lt;&gt;"","3rd payment",S44&lt;&gt;"","2nd payment",O44&lt;&gt;"","1st payment",O44="","Pending 1st Payment")</f>
        <v>Payment Completed</v>
      </c>
      <c r="J44" s="55">
        <f t="shared" si="0"/>
        <v>40440</v>
      </c>
      <c r="K44" s="55">
        <f t="shared" si="1"/>
        <v>40440</v>
      </c>
      <c r="L44" s="65">
        <v>45383</v>
      </c>
      <c r="M44" s="66">
        <v>500</v>
      </c>
      <c r="N44" s="65">
        <v>45383</v>
      </c>
      <c r="O44" s="66">
        <v>500</v>
      </c>
      <c r="P44" s="39">
        <v>45440</v>
      </c>
      <c r="Q44" s="57">
        <v>39940</v>
      </c>
      <c r="R44" s="39">
        <v>45440</v>
      </c>
      <c r="S44" s="57">
        <v>39940</v>
      </c>
      <c r="T44" s="65"/>
      <c r="U44" s="66"/>
      <c r="V44" s="65"/>
      <c r="W44" s="66"/>
      <c r="X44" s="39"/>
      <c r="Y44" s="57"/>
      <c r="Z44" s="39"/>
      <c r="AA44" s="57"/>
      <c r="AB44" s="65"/>
      <c r="AC44" s="66"/>
      <c r="AD44" s="65"/>
      <c r="AE44" s="66"/>
      <c r="AF44" s="39"/>
      <c r="AG44" s="57"/>
      <c r="AH44" s="39"/>
      <c r="AI44" s="57"/>
    </row>
    <row r="45" spans="1:35" ht="19.5" customHeight="1" x14ac:dyDescent="0.3">
      <c r="A45" s="4">
        <f>'ECN Master Project Tracker new'!A46</f>
        <v>2403165</v>
      </c>
      <c r="B45" s="110" t="str">
        <f>VLOOKUP(A:A,Table1[[Project No]:[Additional Remark]],2,FALSE)</f>
        <v>Lee Boon Huet</v>
      </c>
      <c r="C45" s="55">
        <f>VLOOKUP(A:A,Table1[[Project No]:[Additional Remark]],11,FALSE)</f>
        <v>24600</v>
      </c>
      <c r="D45" s="55">
        <f>VLOOKUP(A:A,Table1[[Project No]:[Additional Remark]],12,FALSE)</f>
        <v>0</v>
      </c>
      <c r="E45" s="55" t="str">
        <f>VLOOKUP(A:A,Table1[[Project No]:[Additional Remark]],4,FALSE)</f>
        <v>Tham</v>
      </c>
      <c r="F45" s="4" t="str">
        <f>VLOOKUP(A:A,Table1[[Project No]:[Additional Remark]],5,FALSE)</f>
        <v>R-PV</v>
      </c>
      <c r="G45" s="4" t="str">
        <f>VLOOKUP(A:A,Table1[[Project No]:[Additional Remark]],13,FALSE)</f>
        <v>Cash</v>
      </c>
      <c r="H45" s="4" t="str" cm="1">
        <f t="array" ref="H45">_xlfn.IFS((D45+C45)-J45=0,"Invoice Completed",AC45&lt;&gt;"","5th invoice",Y45&lt;&gt;"","4th invoice",U45&lt;&gt;"","3rd invoice",Q45&lt;&gt;"","2nd invoice",M45&lt;&gt;"","1st invoice",M45="","Pending 1st Invoice")</f>
        <v>Invoice Completed</v>
      </c>
      <c r="I45" s="4" t="str" cm="1">
        <f t="array" ref="I45">_xlfn.IFS((C45+D45)-K45=0,"Payment Completed",AE45&lt;&gt;"","5th payment",AA45&lt;&gt;"","4th payment",W45&lt;&gt;"","3rd payment",S45&lt;&gt;"","2nd payment",O45&lt;&gt;"","1st payment",O45="","Pending 1st Payment")</f>
        <v>Payment Completed</v>
      </c>
      <c r="J45" s="55">
        <f t="shared" si="0"/>
        <v>24600</v>
      </c>
      <c r="K45" s="55">
        <f t="shared" si="1"/>
        <v>24600</v>
      </c>
      <c r="L45" s="65">
        <v>45383</v>
      </c>
      <c r="M45" s="66">
        <v>500</v>
      </c>
      <c r="N45" s="65">
        <v>45383</v>
      </c>
      <c r="O45" s="66">
        <v>500</v>
      </c>
      <c r="P45" s="39">
        <v>45440</v>
      </c>
      <c r="Q45" s="57">
        <v>24100</v>
      </c>
      <c r="R45" s="39">
        <v>45440</v>
      </c>
      <c r="S45" s="57">
        <v>24100</v>
      </c>
      <c r="T45" s="65"/>
      <c r="U45" s="66"/>
      <c r="V45" s="65"/>
      <c r="W45" s="66"/>
      <c r="X45" s="39"/>
      <c r="Y45" s="57"/>
      <c r="Z45" s="39"/>
      <c r="AA45" s="57"/>
      <c r="AB45" s="65"/>
      <c r="AC45" s="66"/>
      <c r="AD45" s="65"/>
      <c r="AE45" s="66"/>
      <c r="AF45" s="39"/>
      <c r="AG45" s="57"/>
      <c r="AH45" s="39"/>
      <c r="AI45" s="57"/>
    </row>
    <row r="46" spans="1:35" ht="19.5" customHeight="1" x14ac:dyDescent="0.3">
      <c r="A46" s="4">
        <f>'ECN Master Project Tracker new'!A47</f>
        <v>2403167</v>
      </c>
      <c r="B46" s="110" t="str">
        <f>VLOOKUP(A:A,Table1[[Project No]:[Additional Remark]],2,FALSE)</f>
        <v>Ng Yunn Chong</v>
      </c>
      <c r="C46" s="55">
        <f>VLOOKUP(A:A,Table1[[Project No]:[Additional Remark]],11,FALSE)</f>
        <v>47500</v>
      </c>
      <c r="D46" s="55">
        <f>VLOOKUP(A:A,Table1[[Project No]:[Additional Remark]],12,FALSE)</f>
        <v>0</v>
      </c>
      <c r="E46" s="55" t="str">
        <f>VLOOKUP(A:A,Table1[[Project No]:[Additional Remark]],4,FALSE)</f>
        <v>Tham</v>
      </c>
      <c r="F46" s="4" t="str">
        <f>VLOOKUP(A:A,Table1[[Project No]:[Additional Remark]],5,FALSE)</f>
        <v>R-PV</v>
      </c>
      <c r="G46" s="4" t="str">
        <f>VLOOKUP(A:A,Table1[[Project No]:[Additional Remark]],13,FALSE)</f>
        <v>Self finance</v>
      </c>
      <c r="H46" s="4" t="str" cm="1">
        <f t="array" ref="H46">_xlfn.IFS((D46+C46)-J46=0,"Invoice Completed",AC46&lt;&gt;"","5th invoice",Y46&lt;&gt;"","4th invoice",U46&lt;&gt;"","3rd invoice",Q46&lt;&gt;"","2nd invoice",M46&lt;&gt;"","1st invoice",M46="","Pending 1st Invoice")</f>
        <v>Invoice Completed</v>
      </c>
      <c r="I46" s="4" t="str" cm="1">
        <f t="array" ref="I46">_xlfn.IFS((C46+D46)-K46=0,"Payment Completed",AE46&lt;&gt;"","5th payment",AA46&lt;&gt;"","4th payment",W46&lt;&gt;"","3rd payment",S46&lt;&gt;"","2nd payment",O46&lt;&gt;"","1st payment",O46="","Pending 1st Payment")</f>
        <v>Payment Completed</v>
      </c>
      <c r="J46" s="55">
        <f t="shared" si="0"/>
        <v>47500</v>
      </c>
      <c r="K46" s="55">
        <f t="shared" si="1"/>
        <v>47500</v>
      </c>
      <c r="L46" s="65">
        <v>45375</v>
      </c>
      <c r="M46" s="66">
        <v>500</v>
      </c>
      <c r="N46" s="65">
        <v>45375</v>
      </c>
      <c r="O46" s="66">
        <v>500</v>
      </c>
      <c r="P46" s="39">
        <v>45411</v>
      </c>
      <c r="Q46" s="57">
        <v>45000</v>
      </c>
      <c r="R46" s="39">
        <v>45411</v>
      </c>
      <c r="S46" s="57">
        <v>45000</v>
      </c>
      <c r="T46" s="65">
        <v>45478</v>
      </c>
      <c r="U46" s="66">
        <v>2000</v>
      </c>
      <c r="V46" s="65">
        <v>45478</v>
      </c>
      <c r="W46" s="66">
        <v>2000</v>
      </c>
      <c r="X46" s="39"/>
      <c r="Y46" s="57"/>
      <c r="Z46" s="39"/>
      <c r="AA46" s="57"/>
      <c r="AB46" s="65"/>
      <c r="AC46" s="66"/>
      <c r="AD46" s="65"/>
      <c r="AE46" s="66"/>
      <c r="AF46" s="39"/>
      <c r="AG46" s="57"/>
      <c r="AH46" s="39"/>
      <c r="AI46" s="57"/>
    </row>
    <row r="47" spans="1:35" ht="19.5" customHeight="1" x14ac:dyDescent="0.3">
      <c r="A47" s="4">
        <f>'ECN Master Project Tracker new'!A48</f>
        <v>2403170</v>
      </c>
      <c r="B47" s="110" t="str">
        <f>VLOOKUP(A:A,Table1[[Project No]:[Additional Remark]],2,FALSE)</f>
        <v>Wong Hoon Sang</v>
      </c>
      <c r="C47" s="55">
        <f>VLOOKUP(A:A,Table1[[Project No]:[Additional Remark]],11,FALSE)</f>
        <v>35600</v>
      </c>
      <c r="D47" s="55">
        <f>VLOOKUP(A:A,Table1[[Project No]:[Additional Remark]],12,FALSE)</f>
        <v>0</v>
      </c>
      <c r="E47" s="55" t="str">
        <f>VLOOKUP(A:A,Table1[[Project No]:[Additional Remark]],4,FALSE)</f>
        <v>Tham</v>
      </c>
      <c r="F47" s="4" t="str">
        <f>VLOOKUP(A:A,Table1[[Project No]:[Additional Remark]],5,FALSE)</f>
        <v>R-PV</v>
      </c>
      <c r="G47" s="4" t="str">
        <f>VLOOKUP(A:A,Table1[[Project No]:[Additional Remark]],13,FALSE)</f>
        <v>Self finance</v>
      </c>
      <c r="H47" s="4" t="str" cm="1">
        <f t="array" ref="H47">_xlfn.IFS((D47+C47)-J47=0,"Invoice Completed",AC47&lt;&gt;"","5th invoice",Y47&lt;&gt;"","4th invoice",U47&lt;&gt;"","3rd invoice",Q47&lt;&gt;"","2nd invoice",M47&lt;&gt;"","1st invoice",M47="","Pending 1st Invoice")</f>
        <v>Invoice Completed</v>
      </c>
      <c r="I47" s="4" t="str" cm="1">
        <f t="array" ref="I47">_xlfn.IFS((C47+D47)-K47=0,"Payment Completed",AE47&lt;&gt;"","5th payment",AA47&lt;&gt;"","4th payment",W47&lt;&gt;"","3rd payment",S47&lt;&gt;"","2nd payment",O47&lt;&gt;"","1st payment",O47="","Pending 1st Payment")</f>
        <v>Payment Completed</v>
      </c>
      <c r="J47" s="55">
        <f t="shared" si="0"/>
        <v>35600</v>
      </c>
      <c r="K47" s="55">
        <f t="shared" si="1"/>
        <v>35600</v>
      </c>
      <c r="L47" s="65">
        <v>45366</v>
      </c>
      <c r="M47" s="66">
        <v>500</v>
      </c>
      <c r="N47" s="65">
        <v>45366</v>
      </c>
      <c r="O47" s="66">
        <v>500</v>
      </c>
      <c r="P47" s="39">
        <v>45408</v>
      </c>
      <c r="Q47" s="57">
        <v>33100</v>
      </c>
      <c r="R47" s="39">
        <v>45408</v>
      </c>
      <c r="S47" s="57">
        <v>33100</v>
      </c>
      <c r="T47" s="65">
        <v>45505</v>
      </c>
      <c r="U47" s="66">
        <v>2000</v>
      </c>
      <c r="V47" s="65">
        <v>45505</v>
      </c>
      <c r="W47" s="66">
        <v>2000</v>
      </c>
      <c r="X47" s="39"/>
      <c r="Y47" s="57"/>
      <c r="Z47" s="39"/>
      <c r="AA47" s="57"/>
      <c r="AB47" s="65"/>
      <c r="AC47" s="66"/>
      <c r="AD47" s="65"/>
      <c r="AE47" s="66"/>
      <c r="AF47" s="39"/>
      <c r="AG47" s="57"/>
      <c r="AH47" s="39"/>
      <c r="AI47" s="57"/>
    </row>
    <row r="48" spans="1:35" ht="19.5" customHeight="1" x14ac:dyDescent="0.3">
      <c r="A48" s="4">
        <f>'ECN Master Project Tracker new'!A49</f>
        <v>2403177</v>
      </c>
      <c r="B48" s="110" t="str">
        <f>VLOOKUP(A:A,Table1[[Project No]:[Additional Remark]],2,FALSE)</f>
        <v>Nor Aini binti Mohd Ashari</v>
      </c>
      <c r="C48" s="55">
        <f>VLOOKUP(A:A,Table1[[Project No]:[Additional Remark]],11,FALSE)</f>
        <v>20000</v>
      </c>
      <c r="D48" s="55">
        <f>VLOOKUP(A:A,Table1[[Project No]:[Additional Remark]],12,FALSE)</f>
        <v>0</v>
      </c>
      <c r="E48" s="55" t="str">
        <f>VLOOKUP(A:A,Table1[[Project No]:[Additional Remark]],4,FALSE)</f>
        <v>Tham</v>
      </c>
      <c r="F48" s="4" t="str">
        <f>VLOOKUP(A:A,Table1[[Project No]:[Additional Remark]],5,FALSE)</f>
        <v>R-PV</v>
      </c>
      <c r="G48" s="4" t="str">
        <f>VLOOKUP(A:A,Table1[[Project No]:[Additional Remark]],13,FALSE)</f>
        <v>Self finance</v>
      </c>
      <c r="H48" s="4" t="str" cm="1">
        <f t="array" ref="H48">_xlfn.IFS((D48+C48)-J48=0,"Invoice Completed",AC48&lt;&gt;"","5th invoice",Y48&lt;&gt;"","4th invoice",U48&lt;&gt;"","3rd invoice",Q48&lt;&gt;"","2nd invoice",M48&lt;&gt;"","1st invoice",M48="","Pending 1st Invoice")</f>
        <v>Invoice Completed</v>
      </c>
      <c r="I48" s="4" t="str" cm="1">
        <f t="array" ref="I48">_xlfn.IFS((C48+D48)-K48=0,"Payment Completed",AE48&lt;&gt;"","5th payment",AA48&lt;&gt;"","4th payment",W48&lt;&gt;"","3rd payment",S48&lt;&gt;"","2nd payment",O48&lt;&gt;"","1st payment",O48="","Pending 1st Payment")</f>
        <v>2nd payment</v>
      </c>
      <c r="J48" s="55">
        <f t="shared" si="0"/>
        <v>20000</v>
      </c>
      <c r="K48" s="55">
        <f t="shared" si="1"/>
        <v>16000</v>
      </c>
      <c r="L48" s="65">
        <v>45376</v>
      </c>
      <c r="M48" s="66">
        <v>500</v>
      </c>
      <c r="N48" s="65">
        <v>45376</v>
      </c>
      <c r="O48" s="66">
        <v>500</v>
      </c>
      <c r="P48" s="39">
        <v>45639</v>
      </c>
      <c r="Q48" s="57">
        <v>19500</v>
      </c>
      <c r="R48" s="39">
        <v>45751</v>
      </c>
      <c r="S48" s="115">
        <v>15500</v>
      </c>
      <c r="T48" s="65"/>
      <c r="U48" s="66"/>
      <c r="V48" s="65"/>
      <c r="W48" s="66"/>
      <c r="X48" s="39"/>
      <c r="Y48" s="57"/>
      <c r="Z48" s="39"/>
      <c r="AA48" s="57"/>
      <c r="AB48" s="65"/>
      <c r="AC48" s="66"/>
      <c r="AD48" s="65"/>
      <c r="AE48" s="66"/>
      <c r="AF48" s="39"/>
      <c r="AG48" s="57"/>
      <c r="AH48" s="39"/>
      <c r="AI48" s="57"/>
    </row>
    <row r="49" spans="1:35" ht="19.5" customHeight="1" x14ac:dyDescent="0.3">
      <c r="A49" s="4">
        <f>'ECN Master Project Tracker new'!A50</f>
        <v>2403189</v>
      </c>
      <c r="B49" s="110" t="str">
        <f>VLOOKUP(A:A,Table1[[Project No]:[Additional Remark]],2,FALSE)</f>
        <v>Lai Kim Soon (Stella)</v>
      </c>
      <c r="C49" s="55">
        <f>VLOOKUP(A:A,Table1[[Project No]:[Additional Remark]],11,FALSE)</f>
        <v>27500</v>
      </c>
      <c r="D49" s="55">
        <f>VLOOKUP(A:A,Table1[[Project No]:[Additional Remark]],12,FALSE)</f>
        <v>0</v>
      </c>
      <c r="E49" s="55" t="str">
        <f>VLOOKUP(A:A,Table1[[Project No]:[Additional Remark]],4,FALSE)</f>
        <v>Chean Bang</v>
      </c>
      <c r="F49" s="4" t="str">
        <f>VLOOKUP(A:A,Table1[[Project No]:[Additional Remark]],5,FALSE)</f>
        <v>R-PV</v>
      </c>
      <c r="G49" s="4" t="str">
        <f>VLOOKUP(A:A,Table1[[Project No]:[Additional Remark]],13,FALSE)</f>
        <v>Self finance</v>
      </c>
      <c r="H49" s="4" t="str" cm="1">
        <f t="array" ref="H49">_xlfn.IFS((D49+C49)-J49=0,"Invoice Completed",AC49&lt;&gt;"","5th invoice",Y49&lt;&gt;"","4th invoice",U49&lt;&gt;"","3rd invoice",Q49&lt;&gt;"","2nd invoice",M49&lt;&gt;"","1st invoice",M49="","Pending 1st Invoice")</f>
        <v>Invoice Completed</v>
      </c>
      <c r="I49" s="4" t="str" cm="1">
        <f t="array" ref="I49">_xlfn.IFS((C49+D49)-K49=0,"Payment Completed",AE49&lt;&gt;"","5th payment",AA49&lt;&gt;"","4th payment",W49&lt;&gt;"","3rd payment",S49&lt;&gt;"","2nd payment",O49&lt;&gt;"","1st payment",O49="","Pending 1st Payment")</f>
        <v>Payment Completed</v>
      </c>
      <c r="J49" s="55">
        <f t="shared" si="0"/>
        <v>27500</v>
      </c>
      <c r="K49" s="55">
        <f t="shared" si="1"/>
        <v>27500</v>
      </c>
      <c r="L49" s="65">
        <v>45380</v>
      </c>
      <c r="M49" s="66">
        <v>500</v>
      </c>
      <c r="N49" s="65">
        <v>45380</v>
      </c>
      <c r="O49" s="66">
        <v>500</v>
      </c>
      <c r="P49" s="39">
        <v>45450</v>
      </c>
      <c r="Q49" s="57">
        <v>25000</v>
      </c>
      <c r="R49" s="39">
        <v>45450</v>
      </c>
      <c r="S49" s="57">
        <v>25000</v>
      </c>
      <c r="T49" s="65">
        <v>45475</v>
      </c>
      <c r="U49" s="66">
        <v>2000</v>
      </c>
      <c r="V49" s="65">
        <v>45475</v>
      </c>
      <c r="W49" s="66">
        <v>2000</v>
      </c>
      <c r="X49" s="39"/>
      <c r="Y49" s="57"/>
      <c r="Z49" s="39"/>
      <c r="AA49" s="57"/>
      <c r="AB49" s="65"/>
      <c r="AC49" s="66"/>
      <c r="AD49" s="65"/>
      <c r="AE49" s="66"/>
      <c r="AF49" s="39"/>
      <c r="AG49" s="57"/>
      <c r="AH49" s="39"/>
      <c r="AI49" s="57"/>
    </row>
    <row r="50" spans="1:35" ht="19.5" customHeight="1" x14ac:dyDescent="0.3">
      <c r="A50" s="4">
        <f>'ECN Master Project Tracker new'!A51</f>
        <v>2403190</v>
      </c>
      <c r="B50" s="110" t="str">
        <f>VLOOKUP(A:A,Table1[[Project No]:[Additional Remark]],2,FALSE)</f>
        <v>Tan Poh Poh</v>
      </c>
      <c r="C50" s="55">
        <f>VLOOKUP(A:A,Table1[[Project No]:[Additional Remark]],11,FALSE)</f>
        <v>21000</v>
      </c>
      <c r="D50" s="55">
        <f>VLOOKUP(A:A,Table1[[Project No]:[Additional Remark]],12,FALSE)</f>
        <v>0</v>
      </c>
      <c r="E50" s="55" t="str">
        <f>VLOOKUP(A:A,Table1[[Project No]:[Additional Remark]],4,FALSE)</f>
        <v>Chean Bang</v>
      </c>
      <c r="F50" s="4" t="str">
        <f>VLOOKUP(A:A,Table1[[Project No]:[Additional Remark]],5,FALSE)</f>
        <v>R-PV</v>
      </c>
      <c r="G50" s="4" t="str">
        <f>VLOOKUP(A:A,Table1[[Project No]:[Additional Remark]],13,FALSE)</f>
        <v>Self finance</v>
      </c>
      <c r="H50" s="4" t="str" cm="1">
        <f t="array" ref="H50">_xlfn.IFS((D50+C50)-J50=0,"Invoice Completed",AC50&lt;&gt;"","5th invoice",Y50&lt;&gt;"","4th invoice",U50&lt;&gt;"","3rd invoice",Q50&lt;&gt;"","2nd invoice",M50&lt;&gt;"","1st invoice",M50="","Pending 1st Invoice")</f>
        <v>Invoice Completed</v>
      </c>
      <c r="I50" s="4" t="str" cm="1">
        <f t="array" ref="I50">_xlfn.IFS((C50+D50)-K50=0,"Payment Completed",AE50&lt;&gt;"","5th payment",AA50&lt;&gt;"","4th payment",W50&lt;&gt;"","3rd payment",S50&lt;&gt;"","2nd payment",O50&lt;&gt;"","1st payment",O50="","Pending 1st Payment")</f>
        <v>Payment Completed</v>
      </c>
      <c r="J50" s="55">
        <f t="shared" si="0"/>
        <v>21000</v>
      </c>
      <c r="K50" s="55">
        <f t="shared" si="1"/>
        <v>21000</v>
      </c>
      <c r="L50" s="65">
        <v>45380</v>
      </c>
      <c r="M50" s="66">
        <v>500</v>
      </c>
      <c r="N50" s="65">
        <v>45380</v>
      </c>
      <c r="O50" s="66">
        <v>500</v>
      </c>
      <c r="P50" s="39">
        <v>45463</v>
      </c>
      <c r="Q50" s="57">
        <v>20500</v>
      </c>
      <c r="R50" s="39">
        <v>45463</v>
      </c>
      <c r="S50" s="57">
        <v>20500</v>
      </c>
      <c r="T50" s="65"/>
      <c r="U50" s="66"/>
      <c r="V50" s="65"/>
      <c r="W50" s="66"/>
      <c r="X50" s="39"/>
      <c r="Y50" s="57"/>
      <c r="Z50" s="39"/>
      <c r="AA50" s="57"/>
      <c r="AB50" s="65"/>
      <c r="AC50" s="66"/>
      <c r="AD50" s="65"/>
      <c r="AE50" s="66"/>
      <c r="AF50" s="39"/>
      <c r="AG50" s="57"/>
      <c r="AH50" s="39"/>
      <c r="AI50" s="57"/>
    </row>
    <row r="51" spans="1:35" s="123" customFormat="1" ht="19.5" customHeight="1" x14ac:dyDescent="0.3">
      <c r="A51" s="116">
        <f>'ECN Master Project Tracker new'!A52</f>
        <v>2403197</v>
      </c>
      <c r="B51" s="125" t="str">
        <f>VLOOKUP(A:A,Table1[[Project No]:[Additional Remark]],2,FALSE)</f>
        <v>Leau Koo Sien (Eric)</v>
      </c>
      <c r="C51" s="117">
        <f>VLOOKUP(A:A,Table1[[Project No]:[Additional Remark]],11,FALSE)</f>
        <v>48600</v>
      </c>
      <c r="D51" s="117">
        <f>VLOOKUP(A:A,Table1[[Project No]:[Additional Remark]],12,FALSE)</f>
        <v>0</v>
      </c>
      <c r="E51" s="117" t="str">
        <f>VLOOKUP(A:A,Table1[[Project No]:[Additional Remark]],4,FALSE)</f>
        <v>Chean Bang</v>
      </c>
      <c r="F51" s="116" t="str">
        <f>VLOOKUP(A:A,Table1[[Project No]:[Additional Remark]],5,FALSE)</f>
        <v>R-PV</v>
      </c>
      <c r="G51" s="116" t="str">
        <f>VLOOKUP(A:A,Table1[[Project No]:[Additional Remark]],13,FALSE)</f>
        <v>Self finance</v>
      </c>
      <c r="H51" s="116" t="str" cm="1">
        <f t="array" ref="H51">_xlfn.IFS((D51+C51)-J51=0,"Invoice Completed",AC51&lt;&gt;"","5th invoice",Y51&lt;&gt;"","4th invoice",U51&lt;&gt;"","3rd invoice",Q51&lt;&gt;"","2nd invoice",M51&lt;&gt;"","1st invoice",M51="","Pending 1st Invoice")</f>
        <v>1st invoice</v>
      </c>
      <c r="I51" s="116" t="str" cm="1">
        <f t="array" ref="I51">_xlfn.IFS((C51+D51)-K51=0,"Payment Completed",AE51&lt;&gt;"","5th payment",AA51&lt;&gt;"","4th payment",W51&lt;&gt;"","3rd payment",S51&lt;&gt;"","2nd payment",O51&lt;&gt;"","1st payment",O51="","Pending 1st Payment")</f>
        <v>1st payment</v>
      </c>
      <c r="J51" s="117">
        <f t="shared" si="0"/>
        <v>500</v>
      </c>
      <c r="K51" s="117">
        <f t="shared" si="1"/>
        <v>500</v>
      </c>
      <c r="L51" s="118">
        <v>45380</v>
      </c>
      <c r="M51" s="119">
        <v>500</v>
      </c>
      <c r="N51" s="118">
        <v>45380</v>
      </c>
      <c r="O51" s="119">
        <v>500</v>
      </c>
      <c r="P51" s="120"/>
      <c r="Q51" s="121"/>
      <c r="R51" s="116"/>
      <c r="S51" s="121"/>
      <c r="T51" s="118"/>
      <c r="U51" s="119"/>
      <c r="V51" s="118"/>
      <c r="W51" s="119"/>
      <c r="X51" s="39"/>
      <c r="Y51" s="121"/>
      <c r="Z51" s="39"/>
      <c r="AA51" s="121"/>
      <c r="AB51" s="118"/>
      <c r="AC51" s="119"/>
      <c r="AD51" s="118"/>
      <c r="AE51" s="119"/>
      <c r="AF51" s="120"/>
      <c r="AG51" s="121"/>
      <c r="AH51" s="120"/>
      <c r="AI51" s="121"/>
    </row>
    <row r="52" spans="1:35" ht="19.5" customHeight="1" x14ac:dyDescent="0.3">
      <c r="A52" s="4" t="str">
        <f>'ECN Master Project Tracker new'!A53</f>
        <v>2403197-1</v>
      </c>
      <c r="B52" s="110" t="str">
        <f>VLOOKUP(A:A,Table1[[Project No]:[Additional Remark]],2,FALSE)</f>
        <v>Koon Kok Leong</v>
      </c>
      <c r="C52" s="55">
        <f>VLOOKUP(A:A,Table1[[Project No]:[Additional Remark]],11,FALSE)</f>
        <v>27237.200000000001</v>
      </c>
      <c r="D52" s="55">
        <f>VLOOKUP(A:A,Table1[[Project No]:[Additional Remark]],12,FALSE)</f>
        <v>0</v>
      </c>
      <c r="E52" s="55" t="str">
        <f>VLOOKUP(A:A,Table1[[Project No]:[Additional Remark]],4,FALSE)</f>
        <v>Tham</v>
      </c>
      <c r="F52" s="4" t="str">
        <f>VLOOKUP(A:A,Table1[[Project No]:[Additional Remark]],5,FALSE)</f>
        <v>R-PV</v>
      </c>
      <c r="G52" s="4" t="str">
        <f>VLOOKUP(A:A,Table1[[Project No]:[Additional Remark]],13,FALSE)</f>
        <v>Credit Card Instalment</v>
      </c>
      <c r="H52" s="4" t="str" cm="1">
        <f t="array" ref="H52">_xlfn.IFS((D52+C52)-J52=0,"Invoice Completed",AC52&lt;&gt;"","5th invoice",Y52&lt;&gt;"","4th invoice",U52&lt;&gt;"","3rd invoice",Q52&lt;&gt;"","2nd invoice",M52&lt;&gt;"","1st invoice",M52="","Pending 1st Invoice")</f>
        <v>Invoice Completed</v>
      </c>
      <c r="I52" s="4" t="str" cm="1">
        <f t="array" ref="I52">_xlfn.IFS((C52+D52)-K52=0,"Payment Completed",AE52&lt;&gt;"","5th payment",AA52&lt;&gt;"","4th payment",W52&lt;&gt;"","3rd payment",S52&lt;&gt;"","2nd payment",O52&lt;&gt;"","1st payment",O52="","Pending 1st Payment")</f>
        <v>Payment Completed</v>
      </c>
      <c r="J52" s="55">
        <f t="shared" si="0"/>
        <v>27237.200000000001</v>
      </c>
      <c r="K52" s="55">
        <f t="shared" si="1"/>
        <v>27237.200000000001</v>
      </c>
      <c r="L52" s="65">
        <v>45383</v>
      </c>
      <c r="M52" s="66">
        <v>500</v>
      </c>
      <c r="N52" s="65">
        <v>45383</v>
      </c>
      <c r="O52" s="66">
        <v>500</v>
      </c>
      <c r="P52" s="39">
        <v>45423</v>
      </c>
      <c r="Q52" s="57">
        <v>26737.200000000001</v>
      </c>
      <c r="R52" s="39">
        <v>45427</v>
      </c>
      <c r="S52" s="57">
        <v>26737.200000000001</v>
      </c>
      <c r="T52" s="65"/>
      <c r="U52" s="66"/>
      <c r="V52" s="65"/>
      <c r="W52" s="66"/>
      <c r="X52" s="39"/>
      <c r="Y52" s="57"/>
      <c r="Z52" s="39"/>
      <c r="AA52" s="57"/>
      <c r="AB52" s="65"/>
      <c r="AC52" s="66"/>
      <c r="AD52" s="65"/>
      <c r="AE52" s="66"/>
      <c r="AF52" s="39"/>
      <c r="AG52" s="57"/>
      <c r="AH52" s="39"/>
      <c r="AI52" s="57"/>
    </row>
    <row r="53" spans="1:35" ht="19.5" customHeight="1" x14ac:dyDescent="0.3">
      <c r="A53" s="4">
        <f>'ECN Master Project Tracker new'!A54</f>
        <v>2404206</v>
      </c>
      <c r="B53" s="110" t="str">
        <f>VLOOKUP(A:A,Table1[[Project No]:[Additional Remark]],2,FALSE)</f>
        <v>Wong Wai Kwong</v>
      </c>
      <c r="C53" s="55">
        <f>VLOOKUP(A:A,Table1[[Project No]:[Additional Remark]],11,FALSE)</f>
        <v>31000</v>
      </c>
      <c r="D53" s="55">
        <f>VLOOKUP(A:A,Table1[[Project No]:[Additional Remark]],12,FALSE)</f>
        <v>0</v>
      </c>
      <c r="E53" s="55" t="str">
        <f>VLOOKUP(A:A,Table1[[Project No]:[Additional Remark]],4,FALSE)</f>
        <v>Chean Bang</v>
      </c>
      <c r="F53" s="4" t="str">
        <f>VLOOKUP(A:A,Table1[[Project No]:[Additional Remark]],5,FALSE)</f>
        <v>R-PV</v>
      </c>
      <c r="G53" s="4" t="str">
        <f>VLOOKUP(A:A,Table1[[Project No]:[Additional Remark]],13,FALSE)</f>
        <v>Cash + instalment</v>
      </c>
      <c r="H53" s="4" t="str" cm="1">
        <f t="array" ref="H53">_xlfn.IFS((D53+C53)-J53=0,"Invoice Completed",AC53&lt;&gt;"","5th invoice",Y53&lt;&gt;"","4th invoice",U53&lt;&gt;"","3rd invoice",Q53&lt;&gt;"","2nd invoice",M53&lt;&gt;"","1st invoice",M53="","Pending 1st Invoice")</f>
        <v>Invoice Completed</v>
      </c>
      <c r="I53" s="4" t="str" cm="1">
        <f t="array" ref="I53">_xlfn.IFS((C53+D53)-K53=0,"Payment Completed",AE53&lt;&gt;"","5th payment",AA53&lt;&gt;"","4th payment",W53&lt;&gt;"","3rd payment",S53&lt;&gt;"","2nd payment",O53&lt;&gt;"","1st payment",O53="","Pending 1st Payment")</f>
        <v>Payment Completed</v>
      </c>
      <c r="J53" s="55">
        <f t="shared" si="0"/>
        <v>31000</v>
      </c>
      <c r="K53" s="55">
        <f t="shared" si="1"/>
        <v>31000</v>
      </c>
      <c r="L53" s="65">
        <v>45386</v>
      </c>
      <c r="M53" s="66">
        <v>500</v>
      </c>
      <c r="N53" s="65">
        <v>45386</v>
      </c>
      <c r="O53" s="66">
        <v>500</v>
      </c>
      <c r="P53" s="39">
        <v>45420</v>
      </c>
      <c r="Q53" s="57">
        <v>30500</v>
      </c>
      <c r="R53" s="39">
        <v>45425</v>
      </c>
      <c r="S53" s="57">
        <v>30500</v>
      </c>
      <c r="T53" s="65"/>
      <c r="U53" s="66"/>
      <c r="V53" s="65"/>
      <c r="W53" s="66"/>
      <c r="X53" s="39"/>
      <c r="Y53" s="57"/>
      <c r="Z53" s="39"/>
      <c r="AA53" s="57"/>
      <c r="AB53" s="65"/>
      <c r="AC53" s="66"/>
      <c r="AD53" s="65"/>
      <c r="AE53" s="66"/>
      <c r="AF53" s="39"/>
      <c r="AG53" s="57"/>
      <c r="AH53" s="39"/>
      <c r="AI53" s="57"/>
    </row>
    <row r="54" spans="1:35" ht="19.5" customHeight="1" x14ac:dyDescent="0.3">
      <c r="A54" s="4">
        <f>'ECN Master Project Tracker new'!A55</f>
        <v>2404226</v>
      </c>
      <c r="B54" s="110" t="str">
        <f>VLOOKUP(A:A,Table1[[Project No]:[Additional Remark]],2,FALSE)</f>
        <v>Jimmy Kok Aik Lim</v>
      </c>
      <c r="C54" s="55">
        <f>VLOOKUP(A:A,Table1[[Project No]:[Additional Remark]],11,FALSE)</f>
        <v>25100</v>
      </c>
      <c r="D54" s="55">
        <f>VLOOKUP(A:A,Table1[[Project No]:[Additional Remark]],12,FALSE)</f>
        <v>0</v>
      </c>
      <c r="E54" s="55" t="str">
        <f>VLOOKUP(A:A,Table1[[Project No]:[Additional Remark]],4,FALSE)</f>
        <v>Tham</v>
      </c>
      <c r="F54" s="4" t="str">
        <f>VLOOKUP(A:A,Table1[[Project No]:[Additional Remark]],5,FALSE)</f>
        <v>R-PV</v>
      </c>
      <c r="G54" s="4" t="str">
        <f>VLOOKUP(A:A,Table1[[Project No]:[Additional Remark]],13,FALSE)</f>
        <v>Self finance</v>
      </c>
      <c r="H54" s="4" t="str" cm="1">
        <f t="array" ref="H54">_xlfn.IFS((D54+C54)-J54=0,"Invoice Completed",AC54&lt;&gt;"","5th invoice",Y54&lt;&gt;"","4th invoice",U54&lt;&gt;"","3rd invoice",Q54&lt;&gt;"","2nd invoice",M54&lt;&gt;"","1st invoice",M54="","Pending 1st Invoice")</f>
        <v>Invoice Completed</v>
      </c>
      <c r="I54" s="4" t="str" cm="1">
        <f t="array" ref="I54">_xlfn.IFS((C54+D54)-K54=0,"Payment Completed",AE54&lt;&gt;"","5th payment",AA54&lt;&gt;"","4th payment",W54&lt;&gt;"","3rd payment",S54&lt;&gt;"","2nd payment",O54&lt;&gt;"","1st payment",O54="","Pending 1st Payment")</f>
        <v>Payment Completed</v>
      </c>
      <c r="J54" s="55">
        <f t="shared" si="0"/>
        <v>25100</v>
      </c>
      <c r="K54" s="55">
        <f t="shared" si="1"/>
        <v>25100</v>
      </c>
      <c r="L54" s="65">
        <v>45396</v>
      </c>
      <c r="M54" s="66">
        <v>500</v>
      </c>
      <c r="N54" s="65">
        <v>45396</v>
      </c>
      <c r="O54" s="66">
        <v>500</v>
      </c>
      <c r="P54" s="39">
        <v>45485</v>
      </c>
      <c r="Q54" s="57">
        <v>24600</v>
      </c>
      <c r="R54" s="39">
        <v>45487</v>
      </c>
      <c r="S54" s="57">
        <v>24600</v>
      </c>
      <c r="T54" s="65"/>
      <c r="U54" s="66"/>
      <c r="V54" s="65"/>
      <c r="W54" s="66"/>
      <c r="X54" s="39"/>
      <c r="Y54" s="57"/>
      <c r="Z54" s="39"/>
      <c r="AA54" s="57"/>
      <c r="AB54" s="65"/>
      <c r="AC54" s="66"/>
      <c r="AD54" s="65"/>
      <c r="AE54" s="66"/>
      <c r="AF54" s="39"/>
      <c r="AG54" s="57"/>
      <c r="AH54" s="39"/>
      <c r="AI54" s="57"/>
    </row>
    <row r="55" spans="1:35" ht="19.5" customHeight="1" x14ac:dyDescent="0.3">
      <c r="A55" s="4">
        <f>'ECN Master Project Tracker new'!A56</f>
        <v>2401063</v>
      </c>
      <c r="B55" s="110" t="str">
        <f>VLOOKUP(A:A,Table1[[Project No]:[Additional Remark]],2,FALSE)</f>
        <v>Weller Air-Cond Parts Enterprise Sdn Bhd</v>
      </c>
      <c r="C55" s="55">
        <f>VLOOKUP(A:A,Table1[[Project No]:[Additional Remark]],11,FALSE)</f>
        <v>82000</v>
      </c>
      <c r="D55" s="55">
        <f>VLOOKUP(A:A,Table1[[Project No]:[Additional Remark]],12,FALSE)</f>
        <v>0</v>
      </c>
      <c r="E55" s="55" t="str">
        <f>VLOOKUP(A:A,Table1[[Project No]:[Additional Remark]],4,FALSE)</f>
        <v>Tham</v>
      </c>
      <c r="F55" s="4" t="str">
        <f>VLOOKUP(A:A,Table1[[Project No]:[Additional Remark]],5,FALSE)</f>
        <v>C&amp;I-PV</v>
      </c>
      <c r="G55" s="4" t="str">
        <f>VLOOKUP(A:A,Table1[[Project No]:[Additional Remark]],13,FALSE)</f>
        <v>Self finance</v>
      </c>
      <c r="H55" s="4" t="str" cm="1">
        <f t="array" ref="H55">_xlfn.IFS((D55+C55)-J55=0,"Invoice Completed",AC55&lt;&gt;"","5th invoice",Y55&lt;&gt;"","4th invoice",U55&lt;&gt;"","3rd invoice",Q55&lt;&gt;"","2nd invoice",M55&lt;&gt;"","1st invoice",M55="","Pending 1st Invoice")</f>
        <v>Invoice Completed</v>
      </c>
      <c r="I55" s="4" t="str" cm="1">
        <f t="array" ref="I55">_xlfn.IFS((C55+D55)-K55=0,"Payment Completed",AE55&lt;&gt;"","5th payment",AA55&lt;&gt;"","4th payment",W55&lt;&gt;"","3rd payment",S55&lt;&gt;"","2nd payment",O55&lt;&gt;"","1st payment",O55="","Pending 1st Payment")</f>
        <v>Payment Completed</v>
      </c>
      <c r="J55" s="55">
        <f t="shared" si="0"/>
        <v>82000</v>
      </c>
      <c r="K55" s="55">
        <f t="shared" si="1"/>
        <v>82000</v>
      </c>
      <c r="L55" s="65">
        <v>45397</v>
      </c>
      <c r="M55" s="66">
        <v>8200</v>
      </c>
      <c r="N55" s="65">
        <v>45397</v>
      </c>
      <c r="O55" s="66">
        <v>8200</v>
      </c>
      <c r="P55" s="39">
        <v>45477</v>
      </c>
      <c r="Q55" s="57">
        <v>28700</v>
      </c>
      <c r="R55" s="39">
        <v>45483</v>
      </c>
      <c r="S55" s="57">
        <v>28700</v>
      </c>
      <c r="T55" s="65">
        <v>45537</v>
      </c>
      <c r="U55" s="66">
        <v>36900</v>
      </c>
      <c r="V55" s="65">
        <v>45586</v>
      </c>
      <c r="W55" s="66">
        <v>36900</v>
      </c>
      <c r="X55" s="39">
        <v>45586</v>
      </c>
      <c r="Y55" s="59">
        <v>8200</v>
      </c>
      <c r="Z55" s="39">
        <v>45764</v>
      </c>
      <c r="AA55" s="59">
        <v>8200</v>
      </c>
      <c r="AB55" s="65"/>
      <c r="AC55" s="66"/>
      <c r="AD55" s="65"/>
      <c r="AE55" s="66"/>
      <c r="AF55" s="39"/>
      <c r="AG55" s="57"/>
      <c r="AH55" s="39"/>
      <c r="AI55" s="57"/>
    </row>
    <row r="56" spans="1:35" ht="19.5" customHeight="1" x14ac:dyDescent="0.3">
      <c r="A56" s="4">
        <f>'ECN Master Project Tracker new'!A57</f>
        <v>2401069</v>
      </c>
      <c r="B56" s="110" t="str">
        <f>VLOOKUP(A:A,Table1[[Project No]:[Additional Remark]],2,FALSE)</f>
        <v>Enviri Industries Sdn Bhd</v>
      </c>
      <c r="C56" s="55">
        <f>VLOOKUP(A:A,Table1[[Project No]:[Additional Remark]],11,FALSE)</f>
        <v>668000</v>
      </c>
      <c r="D56" s="55">
        <f>VLOOKUP(A:A,Table1[[Project No]:[Additional Remark]],12,FALSE)</f>
        <v>2610</v>
      </c>
      <c r="E56" s="55" t="str">
        <f>VLOOKUP(A:A,Table1[[Project No]:[Additional Remark]],4,FALSE)</f>
        <v>Tham</v>
      </c>
      <c r="F56" s="4" t="str">
        <f>VLOOKUP(A:A,Table1[[Project No]:[Additional Remark]],5,FALSE)</f>
        <v>C&amp;I-PV</v>
      </c>
      <c r="G56" s="4" t="str">
        <f>VLOOKUP(A:A,Table1[[Project No]:[Additional Remark]],13,FALSE)</f>
        <v>Self finance</v>
      </c>
      <c r="H56" s="4" t="str" cm="1">
        <f t="array" ref="H56">_xlfn.IFS((D56+C56)-J56=0,"Invoice Completed",AC56&lt;&gt;"","5th invoice",Y56&lt;&gt;"","4th invoice",U56&lt;&gt;"","3rd invoice",Q56&lt;&gt;"","2nd invoice",M56&lt;&gt;"","1st invoice",M56="","Pending 1st Invoice")</f>
        <v>Invoice Completed</v>
      </c>
      <c r="I56" s="4" t="str" cm="1">
        <f t="array" ref="I56">_xlfn.IFS((C56+D56)-K56=0,"Payment Completed",AE56&lt;&gt;"","5th payment",AA56&lt;&gt;"","4th payment",W56&lt;&gt;"","3rd payment",S56&lt;&gt;"","2nd payment",O56&lt;&gt;"","1st payment",O56="","Pending 1st Payment")</f>
        <v>Payment Completed</v>
      </c>
      <c r="J56" s="55">
        <f t="shared" si="0"/>
        <v>670610</v>
      </c>
      <c r="K56" s="55">
        <f t="shared" si="1"/>
        <v>670610</v>
      </c>
      <c r="L56" s="65">
        <v>45390</v>
      </c>
      <c r="M56" s="66">
        <v>66800</v>
      </c>
      <c r="N56" s="65">
        <v>45390</v>
      </c>
      <c r="O56" s="66">
        <v>66800</v>
      </c>
      <c r="P56" s="39">
        <v>45490</v>
      </c>
      <c r="Q56" s="57">
        <v>233800</v>
      </c>
      <c r="R56" s="39">
        <v>45497</v>
      </c>
      <c r="S56" s="57">
        <v>233800</v>
      </c>
      <c r="T56" s="65">
        <v>45537</v>
      </c>
      <c r="U56" s="69">
        <v>300600</v>
      </c>
      <c r="V56" s="72">
        <v>45657</v>
      </c>
      <c r="W56" s="69">
        <v>300600</v>
      </c>
      <c r="X56" s="39">
        <v>45681</v>
      </c>
      <c r="Y56" s="59">
        <v>66800</v>
      </c>
      <c r="Z56" s="39">
        <v>45691</v>
      </c>
      <c r="AA56" s="59">
        <v>66800</v>
      </c>
      <c r="AB56" s="72"/>
      <c r="AC56" s="66"/>
      <c r="AD56" s="72"/>
      <c r="AE56" s="66"/>
      <c r="AF56" s="39">
        <v>45568</v>
      </c>
      <c r="AG56" s="57">
        <v>2610</v>
      </c>
      <c r="AH56" s="39">
        <v>45574</v>
      </c>
      <c r="AI56" s="57">
        <v>2610</v>
      </c>
    </row>
    <row r="57" spans="1:35" ht="19.5" customHeight="1" x14ac:dyDescent="0.3">
      <c r="A57" s="4">
        <f>'ECN Master Project Tracker new'!A58</f>
        <v>2402079</v>
      </c>
      <c r="B57" s="110" t="str">
        <f>VLOOKUP(A:A,Table1[[Project No]:[Additional Remark]],2,FALSE)</f>
        <v>Intergreen Holdings Sdn Bhd</v>
      </c>
      <c r="C57" s="55">
        <f>VLOOKUP(A:A,Table1[[Project No]:[Additional Remark]],11,FALSE)</f>
        <v>194600</v>
      </c>
      <c r="D57" s="55">
        <f>VLOOKUP(A:A,Table1[[Project No]:[Additional Remark]],12,FALSE)</f>
        <v>0</v>
      </c>
      <c r="E57" s="55" t="str">
        <f>VLOOKUP(A:A,Table1[[Project No]:[Additional Remark]],4,FALSE)</f>
        <v>Tham</v>
      </c>
      <c r="F57" s="4" t="str">
        <f>VLOOKUP(A:A,Table1[[Project No]:[Additional Remark]],5,FALSE)</f>
        <v>C&amp;I-PV</v>
      </c>
      <c r="G57" s="4" t="str">
        <f>VLOOKUP(A:A,Table1[[Project No]:[Additional Remark]],13,FALSE)</f>
        <v>Self finance</v>
      </c>
      <c r="H57" s="4" t="str" cm="1">
        <f t="array" ref="H57">_xlfn.IFS((D57+C57)-J57=0,"Invoice Completed",AC57&lt;&gt;"","5th invoice",Y57&lt;&gt;"","4th invoice",U57&lt;&gt;"","3rd invoice",Q57&lt;&gt;"","2nd invoice",M57&lt;&gt;"","1st invoice",M57="","Pending 1st Invoice")</f>
        <v>Invoice Completed</v>
      </c>
      <c r="I57" s="4" t="str" cm="1">
        <f t="array" ref="I57">_xlfn.IFS((C57+D57)-K57=0,"Payment Completed",AE57&lt;&gt;"","5th payment",AA57&lt;&gt;"","4th payment",W57&lt;&gt;"","3rd payment",S57&lt;&gt;"","2nd payment",O57&lt;&gt;"","1st payment",O57="","Pending 1st Payment")</f>
        <v>Payment Completed</v>
      </c>
      <c r="J57" s="55">
        <f t="shared" si="0"/>
        <v>194600</v>
      </c>
      <c r="K57" s="55">
        <f t="shared" si="1"/>
        <v>194600</v>
      </c>
      <c r="L57" s="65">
        <v>45404</v>
      </c>
      <c r="M57" s="66">
        <v>19460</v>
      </c>
      <c r="N57" s="65">
        <v>45404</v>
      </c>
      <c r="O57" s="66">
        <v>19460</v>
      </c>
      <c r="P57" s="39">
        <v>45537</v>
      </c>
      <c r="Q57" s="59">
        <v>68110</v>
      </c>
      <c r="R57" s="39">
        <v>45545</v>
      </c>
      <c r="S57" s="59">
        <v>68110</v>
      </c>
      <c r="T57" s="65">
        <v>45537</v>
      </c>
      <c r="U57" s="66">
        <v>48650</v>
      </c>
      <c r="V57" s="68">
        <v>45545</v>
      </c>
      <c r="W57" s="66">
        <v>48650</v>
      </c>
      <c r="X57" s="39">
        <v>45631</v>
      </c>
      <c r="Y57" s="59">
        <v>38920</v>
      </c>
      <c r="Z57" s="39">
        <v>45639</v>
      </c>
      <c r="AA57" s="59">
        <v>38920</v>
      </c>
      <c r="AB57" s="68">
        <v>45652</v>
      </c>
      <c r="AC57" s="69">
        <v>19460</v>
      </c>
      <c r="AD57" s="68">
        <v>45656</v>
      </c>
      <c r="AE57" s="69">
        <v>19460</v>
      </c>
      <c r="AF57" s="39"/>
      <c r="AG57" s="57"/>
      <c r="AH57" s="39"/>
      <c r="AI57" s="57"/>
    </row>
    <row r="58" spans="1:35" ht="19.5" customHeight="1" x14ac:dyDescent="0.3">
      <c r="A58" s="4">
        <f>'ECN Master Project Tracker new'!A59</f>
        <v>2402080</v>
      </c>
      <c r="B58" s="110" t="str">
        <f>VLOOKUP(A:A,Table1[[Project No]:[Additional Remark]],2,FALSE)</f>
        <v>CK Fresh Sdn Bhd</v>
      </c>
      <c r="C58" s="55">
        <f>VLOOKUP(A:A,Table1[[Project No]:[Additional Remark]],11,FALSE)</f>
        <v>120000</v>
      </c>
      <c r="D58" s="55">
        <f>VLOOKUP(A:A,Table1[[Project No]:[Additional Remark]],12,FALSE)</f>
        <v>1500</v>
      </c>
      <c r="E58" s="55" t="str">
        <f>VLOOKUP(A:A,Table1[[Project No]:[Additional Remark]],4,FALSE)</f>
        <v>Tham</v>
      </c>
      <c r="F58" s="4" t="str">
        <f>VLOOKUP(A:A,Table1[[Project No]:[Additional Remark]],5,FALSE)</f>
        <v>C&amp;I-PV</v>
      </c>
      <c r="G58" s="4" t="str">
        <f>VLOOKUP(A:A,Table1[[Project No]:[Additional Remark]],13,FALSE)</f>
        <v>Self finance</v>
      </c>
      <c r="H58" s="4" t="str" cm="1">
        <f t="array" ref="H58">_xlfn.IFS((D58+C58)-J58&lt;0,"Invoice Completed",AC58&lt;&gt;"","5th invoice",Y58&lt;&gt;"","4th invoice",U58&lt;&gt;"","3rd invoice",Q58&lt;&gt;"","2nd invoice",M58&lt;&gt;"","1st invoice",M58="","Pending 1st Invoice")</f>
        <v>Invoice Completed</v>
      </c>
      <c r="I58" s="4" t="str" cm="1">
        <f t="array" ref="I58">_xlfn.IFS((C58+D58)-K58=0,"Payment Completed",AE58&lt;&gt;"","5th payment",AA58&lt;&gt;"","4th payment",W58&lt;&gt;"","3rd payment",S58&lt;&gt;"","2nd payment",O58&lt;&gt;"","1st payment",O58="","Pending 1st Payment")</f>
        <v>Payment Completed</v>
      </c>
      <c r="J58" s="55">
        <f t="shared" si="0"/>
        <v>122500</v>
      </c>
      <c r="K58" s="55">
        <f t="shared" si="1"/>
        <v>121500</v>
      </c>
      <c r="L58" s="65">
        <v>45399</v>
      </c>
      <c r="M58" s="66">
        <v>12000</v>
      </c>
      <c r="N58" s="65">
        <v>45399</v>
      </c>
      <c r="O58" s="66">
        <v>12000</v>
      </c>
      <c r="P58" s="39">
        <v>45477</v>
      </c>
      <c r="Q58" s="57">
        <v>42000</v>
      </c>
      <c r="R58" s="39">
        <v>45496</v>
      </c>
      <c r="S58" s="57">
        <v>42000</v>
      </c>
      <c r="T58" s="65">
        <v>45537</v>
      </c>
      <c r="U58" s="66">
        <v>66000</v>
      </c>
      <c r="V58" s="65">
        <v>45847</v>
      </c>
      <c r="W58" s="66">
        <v>65000</v>
      </c>
      <c r="X58" s="39"/>
      <c r="Y58" s="57"/>
      <c r="Z58" s="39"/>
      <c r="AA58" s="57"/>
      <c r="AB58" s="65"/>
      <c r="AC58" s="66"/>
      <c r="AD58" s="65"/>
      <c r="AE58" s="66"/>
      <c r="AF58" s="39">
        <v>45573</v>
      </c>
      <c r="AG58" s="57">
        <v>2500</v>
      </c>
      <c r="AH58" s="39">
        <v>45573</v>
      </c>
      <c r="AI58" s="57">
        <v>2500</v>
      </c>
    </row>
    <row r="59" spans="1:35" ht="19.5" customHeight="1" x14ac:dyDescent="0.3">
      <c r="A59" s="4">
        <f>'ECN Master Project Tracker new'!A60</f>
        <v>2312120</v>
      </c>
      <c r="B59" s="110" t="str">
        <f>VLOOKUP(A:A,Table1[[Project No]:[Additional Remark]],2,FALSE)</f>
        <v>Ling Duon Kwan</v>
      </c>
      <c r="C59" s="55">
        <f>VLOOKUP(A:A,Table1[[Project No]:[Additional Remark]],11,FALSE)</f>
        <v>27500</v>
      </c>
      <c r="D59" s="55">
        <f>VLOOKUP(A:A,Table1[[Project No]:[Additional Remark]],12,FALSE)</f>
        <v>0</v>
      </c>
      <c r="E59" s="55" t="str">
        <f>VLOOKUP(A:A,Table1[[Project No]:[Additional Remark]],4,FALSE)</f>
        <v>Tham</v>
      </c>
      <c r="F59" s="4" t="str">
        <f>VLOOKUP(A:A,Table1[[Project No]:[Additional Remark]],5,FALSE)</f>
        <v>R-PV</v>
      </c>
      <c r="G59" s="4" t="str">
        <f>VLOOKUP(A:A,Table1[[Project No]:[Additional Remark]],13,FALSE)</f>
        <v>Self finance</v>
      </c>
      <c r="H59" s="4" t="str" cm="1">
        <f t="array" ref="H59">_xlfn.IFS((D59+C59)-J59=0,"Invoice Completed",AC59&lt;&gt;"","5th invoice",Y59&lt;&gt;"","4th invoice",U59&lt;&gt;"","3rd invoice",Q59&lt;&gt;"","2nd invoice",M59&lt;&gt;"","1st invoice",M59="","Pending 1st Invoice")</f>
        <v>Invoice Completed</v>
      </c>
      <c r="I59" s="4" t="str" cm="1">
        <f t="array" ref="I59">_xlfn.IFS((C59+D59)-K59=0,"Payment Completed",AE59&lt;&gt;"","5th payment",AA59&lt;&gt;"","4th payment",W59&lt;&gt;"","3rd payment",S59&lt;&gt;"","2nd payment",O59&lt;&gt;"","1st payment",O59="","Pending 1st Payment")</f>
        <v>Payment Completed</v>
      </c>
      <c r="J59" s="55">
        <f t="shared" si="0"/>
        <v>27500</v>
      </c>
      <c r="K59" s="55">
        <f t="shared" si="1"/>
        <v>27500</v>
      </c>
      <c r="L59" s="65">
        <v>45391</v>
      </c>
      <c r="M59" s="66">
        <v>500</v>
      </c>
      <c r="N59" s="65">
        <v>45391</v>
      </c>
      <c r="O59" s="66">
        <v>500</v>
      </c>
      <c r="P59" s="39">
        <v>45421</v>
      </c>
      <c r="Q59" s="57">
        <v>25000</v>
      </c>
      <c r="R59" s="39">
        <v>45421</v>
      </c>
      <c r="S59" s="57">
        <v>25000</v>
      </c>
      <c r="T59" s="65">
        <v>45807</v>
      </c>
      <c r="U59" s="66">
        <v>2000</v>
      </c>
      <c r="V59" s="65">
        <v>45807</v>
      </c>
      <c r="W59" s="66">
        <v>2000</v>
      </c>
      <c r="X59" s="39"/>
      <c r="Y59" s="57"/>
      <c r="Z59" s="39"/>
      <c r="AA59" s="57"/>
      <c r="AB59" s="65"/>
      <c r="AC59" s="66"/>
      <c r="AD59" s="65"/>
      <c r="AE59" s="66"/>
      <c r="AF59" s="39"/>
      <c r="AG59" s="57"/>
      <c r="AH59" s="39"/>
      <c r="AI59" s="57"/>
    </row>
    <row r="60" spans="1:35" ht="19.5" customHeight="1" x14ac:dyDescent="0.3">
      <c r="A60" s="4">
        <f>'ECN Master Project Tracker new'!A61</f>
        <v>2311092</v>
      </c>
      <c r="B60" s="110" t="str">
        <f>VLOOKUP(A:A,Table1[[Project No]:[Additional Remark]],2,FALSE)</f>
        <v>Tham Chee Man</v>
      </c>
      <c r="C60" s="55">
        <f>VLOOKUP(A:A,Table1[[Project No]:[Additional Remark]],11,FALSE)</f>
        <v>22000</v>
      </c>
      <c r="D60" s="55">
        <f>VLOOKUP(A:A,Table1[[Project No]:[Additional Remark]],12,FALSE)</f>
        <v>0</v>
      </c>
      <c r="E60" s="55" t="str">
        <f>VLOOKUP(A:A,Table1[[Project No]:[Additional Remark]],4,FALSE)</f>
        <v>Tham</v>
      </c>
      <c r="F60" s="4" t="str">
        <f>VLOOKUP(A:A,Table1[[Project No]:[Additional Remark]],5,FALSE)</f>
        <v>R-PV</v>
      </c>
      <c r="G60" s="4" t="str">
        <f>VLOOKUP(A:A,Table1[[Project No]:[Additional Remark]],13,FALSE)</f>
        <v>Self finance</v>
      </c>
      <c r="H60" s="4" t="str" cm="1">
        <f t="array" ref="H60">_xlfn.IFS((D60+C60)-J60=0,"Invoice Completed",AC60&lt;&gt;"","5th invoice",Y60&lt;&gt;"","4th invoice",U60&lt;&gt;"","3rd invoice",Q60&lt;&gt;"","2nd invoice",M60&lt;&gt;"","1st invoice",M60="","Pending 1st Invoice")</f>
        <v>1st invoice</v>
      </c>
      <c r="I60" s="4" t="str" cm="1">
        <f t="array" ref="I60">_xlfn.IFS((C60+D60)-K60=0,"Payment Completed",AE60&lt;&gt;"","5th payment",AA60&lt;&gt;"","4th payment",W60&lt;&gt;"","3rd payment",S60&lt;&gt;"","2nd payment",O60&lt;&gt;"","1st payment",O60="","Pending 1st Payment")</f>
        <v>1st payment</v>
      </c>
      <c r="J60" s="55">
        <f t="shared" si="0"/>
        <v>500</v>
      </c>
      <c r="K60" s="55">
        <f t="shared" si="1"/>
        <v>500</v>
      </c>
      <c r="L60" s="65">
        <v>45257</v>
      </c>
      <c r="M60" s="66">
        <v>500</v>
      </c>
      <c r="N60" s="65">
        <v>45257</v>
      </c>
      <c r="O60" s="66">
        <v>500</v>
      </c>
      <c r="P60" s="39"/>
      <c r="Q60" s="57"/>
      <c r="R60" s="39"/>
      <c r="S60" s="57"/>
      <c r="T60" s="65"/>
      <c r="U60" s="66"/>
      <c r="V60" s="65"/>
      <c r="W60" s="66"/>
      <c r="X60" s="39"/>
      <c r="Y60" s="57"/>
      <c r="Z60" s="39"/>
      <c r="AA60" s="57"/>
      <c r="AB60" s="65"/>
      <c r="AC60" s="66"/>
      <c r="AD60" s="65"/>
      <c r="AE60" s="66"/>
      <c r="AF60" s="39"/>
      <c r="AG60" s="57"/>
      <c r="AH60" s="39"/>
      <c r="AI60" s="57"/>
    </row>
    <row r="61" spans="1:35" ht="19.5" customHeight="1" x14ac:dyDescent="0.3">
      <c r="A61" s="4">
        <f>'ECN Master Project Tracker new'!A62</f>
        <v>2404230</v>
      </c>
      <c r="B61" s="110" t="str">
        <f>VLOOKUP(A:A,Table1[[Project No]:[Additional Remark]],2,FALSE)</f>
        <v>Yap Bee Im Marianne</v>
      </c>
      <c r="C61" s="55">
        <f>VLOOKUP(A:A,Table1[[Project No]:[Additional Remark]],11,FALSE)</f>
        <v>32500</v>
      </c>
      <c r="D61" s="55">
        <f>VLOOKUP(A:A,Table1[[Project No]:[Additional Remark]],12,FALSE)</f>
        <v>-2000</v>
      </c>
      <c r="E61" s="55" t="str">
        <f>VLOOKUP(A:A,Table1[[Project No]:[Additional Remark]],4,FALSE)</f>
        <v>Tham</v>
      </c>
      <c r="F61" s="4" t="str">
        <f>VLOOKUP(A:A,Table1[[Project No]:[Additional Remark]],5,FALSE)</f>
        <v>R-PV</v>
      </c>
      <c r="G61" s="4" t="str">
        <f>VLOOKUP(A:A,Table1[[Project No]:[Additional Remark]],13,FALSE)</f>
        <v>Self finance</v>
      </c>
      <c r="H61" s="4" t="str" cm="1">
        <f t="array" ref="H61">_xlfn.IFS((D61+C61)-J61=0,"Invoice Completed",AC61&lt;&gt;"","5th invoice",Y61&lt;&gt;"","4th invoice",U61&lt;&gt;"","3rd invoice",Q61&lt;&gt;"","2nd invoice",M61&lt;&gt;"","1st invoice",M61="","Pending 1st Invoice")</f>
        <v>Invoice Completed</v>
      </c>
      <c r="I61" s="4" t="str" cm="1">
        <f t="array" ref="I61">_xlfn.IFS((C61+D61)-K61=0,"Payment Completed",AE61&lt;&gt;"","5th payment",AA61&lt;&gt;"","4th payment",W61&lt;&gt;"","3rd payment",S61&lt;&gt;"","2nd payment",O61&lt;&gt;"","1st payment",O61="","Pending 1st Payment")</f>
        <v>Payment Completed</v>
      </c>
      <c r="J61" s="55">
        <f t="shared" si="0"/>
        <v>30500</v>
      </c>
      <c r="K61" s="55">
        <f t="shared" si="1"/>
        <v>30500</v>
      </c>
      <c r="L61" s="65">
        <v>45402</v>
      </c>
      <c r="M61" s="66">
        <v>500</v>
      </c>
      <c r="N61" s="65">
        <v>45402</v>
      </c>
      <c r="O61" s="66">
        <v>500</v>
      </c>
      <c r="P61" s="39">
        <v>45470</v>
      </c>
      <c r="Q61" s="57">
        <v>30000</v>
      </c>
      <c r="R61" s="39">
        <v>45471</v>
      </c>
      <c r="S61" s="57">
        <v>30000</v>
      </c>
      <c r="T61" s="65"/>
      <c r="U61" s="66"/>
      <c r="V61" s="65"/>
      <c r="W61" s="66"/>
      <c r="X61" s="39"/>
      <c r="Y61" s="57"/>
      <c r="Z61" s="39"/>
      <c r="AA61" s="57"/>
      <c r="AB61" s="65"/>
      <c r="AC61" s="66"/>
      <c r="AD61" s="65"/>
      <c r="AE61" s="66"/>
      <c r="AF61" s="39"/>
      <c r="AG61" s="57"/>
      <c r="AH61" s="39"/>
      <c r="AI61" s="57"/>
    </row>
    <row r="62" spans="1:35" ht="19.5" customHeight="1" x14ac:dyDescent="0.3">
      <c r="A62" s="4">
        <f>'ECN Master Project Tracker new'!A63</f>
        <v>2401133</v>
      </c>
      <c r="B62" s="110" t="str">
        <f>VLOOKUP(A:A,Table1[[Project No]:[Additional Remark]],2,FALSE)</f>
        <v>Cheong Sau Ling</v>
      </c>
      <c r="C62" s="55">
        <f>VLOOKUP(A:A,Table1[[Project No]:[Additional Remark]],11,FALSE)</f>
        <v>34460</v>
      </c>
      <c r="D62" s="55">
        <f>VLOOKUP(A:A,Table1[[Project No]:[Additional Remark]],12,FALSE)</f>
        <v>0</v>
      </c>
      <c r="E62" s="55" t="str">
        <f>VLOOKUP(A:A,Table1[[Project No]:[Additional Remark]],4,FALSE)</f>
        <v>Tham</v>
      </c>
      <c r="F62" s="4" t="str">
        <f>VLOOKUP(A:A,Table1[[Project No]:[Additional Remark]],5,FALSE)</f>
        <v>R-PV</v>
      </c>
      <c r="G62" s="4" t="str">
        <f>VLOOKUP(A:A,Table1[[Project No]:[Additional Remark]],13,FALSE)</f>
        <v>Credit Card Instalment</v>
      </c>
      <c r="H62" s="4" t="str" cm="1">
        <f t="array" ref="H62">_xlfn.IFS((D62+C62)-J62=0,"Invoice Completed",AC62&lt;&gt;"","5th invoice",Y62&lt;&gt;"","4th invoice",U62&lt;&gt;"","3rd invoice",Q62&lt;&gt;"","2nd invoice",M62&lt;&gt;"","1st invoice",M62="","Pending 1st Invoice")</f>
        <v>Invoice Completed</v>
      </c>
      <c r="I62" s="4" t="str" cm="1">
        <f t="array" ref="I62">_xlfn.IFS((C62+D62)-K62=0,"Payment Completed",AE62&lt;&gt;"","5th payment",AA62&lt;&gt;"","4th payment",W62&lt;&gt;"","3rd payment",S62&lt;&gt;"","2nd payment",O62&lt;&gt;"","1st payment",O62="","Pending 1st Payment")</f>
        <v>Payment Completed</v>
      </c>
      <c r="J62" s="55">
        <f t="shared" si="0"/>
        <v>34460</v>
      </c>
      <c r="K62" s="55">
        <f t="shared" si="1"/>
        <v>34460</v>
      </c>
      <c r="L62" s="65">
        <v>45404</v>
      </c>
      <c r="M62" s="66">
        <v>500</v>
      </c>
      <c r="N62" s="65">
        <v>45404</v>
      </c>
      <c r="O62" s="66">
        <v>500</v>
      </c>
      <c r="P62" s="39">
        <v>45617</v>
      </c>
      <c r="Q62" s="57">
        <v>33960</v>
      </c>
      <c r="R62" s="39">
        <v>45617</v>
      </c>
      <c r="S62" s="57">
        <v>33960</v>
      </c>
      <c r="T62" s="65"/>
      <c r="U62" s="66"/>
      <c r="V62" s="65"/>
      <c r="W62" s="66"/>
      <c r="X62" s="39"/>
      <c r="Y62" s="57"/>
      <c r="Z62" s="39"/>
      <c r="AA62" s="57"/>
      <c r="AB62" s="65"/>
      <c r="AC62" s="66"/>
      <c r="AD62" s="65"/>
      <c r="AE62" s="66"/>
      <c r="AF62" s="39"/>
      <c r="AG62" s="57"/>
      <c r="AH62" s="39"/>
      <c r="AI62" s="57"/>
    </row>
    <row r="63" spans="1:35" ht="19.5" customHeight="1" x14ac:dyDescent="0.3">
      <c r="A63" s="4">
        <f>'ECN Master Project Tracker new'!A64</f>
        <v>2403171</v>
      </c>
      <c r="B63" s="110" t="str">
        <f>VLOOKUP(A:A,Table1[[Project No]:[Additional Remark]],2,FALSE)</f>
        <v>Sim Keng Chor</v>
      </c>
      <c r="C63" s="55">
        <f>VLOOKUP(A:A,Table1[[Project No]:[Additional Remark]],11,FALSE)</f>
        <v>52400</v>
      </c>
      <c r="D63" s="55">
        <f>VLOOKUP(A:A,Table1[[Project No]:[Additional Remark]],12,FALSE)</f>
        <v>0</v>
      </c>
      <c r="E63" s="55" t="str">
        <f>VLOOKUP(A:A,Table1[[Project No]:[Additional Remark]],4,FALSE)</f>
        <v>Tham</v>
      </c>
      <c r="F63" s="4" t="str">
        <f>VLOOKUP(A:A,Table1[[Project No]:[Additional Remark]],5,FALSE)</f>
        <v>R-PV</v>
      </c>
      <c r="G63" s="4" t="str">
        <f>VLOOKUP(A:A,Table1[[Project No]:[Additional Remark]],13,FALSE)</f>
        <v>Credit Card Instalment</v>
      </c>
      <c r="H63" s="4" t="str" cm="1">
        <f t="array" ref="H63">_xlfn.IFS((D63+C63)-J63=0,"Invoice Completed",AC63&lt;&gt;"","5th invoice",Y63&lt;&gt;"","4th invoice",U63&lt;&gt;"","3rd invoice",Q63&lt;&gt;"","2nd invoice",M63&lt;&gt;"","1st invoice",M63="","Pending 1st Invoice")</f>
        <v>Invoice Completed</v>
      </c>
      <c r="I63" s="4" t="str" cm="1">
        <f t="array" ref="I63">_xlfn.IFS((C63+D63)-K63=0,"Payment Completed",AE63&lt;&gt;"","5th payment",AA63&lt;&gt;"","4th payment",W63&lt;&gt;"","3rd payment",S63&lt;&gt;"","2nd payment",O63&lt;&gt;"","1st payment",O63="","Pending 1st Payment")</f>
        <v>Payment Completed</v>
      </c>
      <c r="J63" s="55">
        <f t="shared" si="0"/>
        <v>52400</v>
      </c>
      <c r="K63" s="55">
        <f t="shared" si="1"/>
        <v>52400</v>
      </c>
      <c r="L63" s="65">
        <v>45404</v>
      </c>
      <c r="M63" s="66">
        <v>500</v>
      </c>
      <c r="N63" s="65">
        <v>45404</v>
      </c>
      <c r="O63" s="66">
        <v>500</v>
      </c>
      <c r="P63" s="39">
        <v>45496</v>
      </c>
      <c r="Q63" s="57">
        <v>51900</v>
      </c>
      <c r="R63" s="39">
        <v>45496</v>
      </c>
      <c r="S63" s="57">
        <v>51900</v>
      </c>
      <c r="T63" s="65"/>
      <c r="U63" s="66"/>
      <c r="V63" s="65"/>
      <c r="W63" s="66"/>
      <c r="X63" s="39"/>
      <c r="Y63" s="57"/>
      <c r="Z63" s="39"/>
      <c r="AA63" s="57"/>
      <c r="AB63" s="65"/>
      <c r="AC63" s="66"/>
      <c r="AD63" s="65"/>
      <c r="AE63" s="66"/>
      <c r="AF63" s="39"/>
      <c r="AG63" s="57"/>
      <c r="AH63" s="39"/>
      <c r="AI63" s="57"/>
    </row>
    <row r="64" spans="1:35" ht="19.5" customHeight="1" x14ac:dyDescent="0.3">
      <c r="A64" s="4">
        <f>'ECN Master Project Tracker new'!A65</f>
        <v>2403176</v>
      </c>
      <c r="B64" s="110" t="str">
        <f>VLOOKUP(A:A,Table1[[Project No]:[Additional Remark]],2,FALSE)</f>
        <v>Nor Hana binti Supiran @ Soviran</v>
      </c>
      <c r="C64" s="55">
        <f>VLOOKUP(A:A,Table1[[Project No]:[Additional Remark]],11,FALSE)</f>
        <v>30500</v>
      </c>
      <c r="D64" s="55">
        <f>VLOOKUP(A:A,Table1[[Project No]:[Additional Remark]],12,FALSE)</f>
        <v>0</v>
      </c>
      <c r="E64" s="55" t="str">
        <f>VLOOKUP(A:A,Table1[[Project No]:[Additional Remark]],4,FALSE)</f>
        <v>Tham</v>
      </c>
      <c r="F64" s="4" t="str">
        <f>VLOOKUP(A:A,Table1[[Project No]:[Additional Remark]],5,FALSE)</f>
        <v>R-PV</v>
      </c>
      <c r="G64" s="4" t="str">
        <f>VLOOKUP(A:A,Table1[[Project No]:[Additional Remark]],13,FALSE)</f>
        <v>Self finance</v>
      </c>
      <c r="H64" s="4" t="str" cm="1">
        <f t="array" ref="H64">_xlfn.IFS((D64+C64)-J64=0,"Invoice Completed",AC64&lt;&gt;"","5th invoice",Y64&lt;&gt;"","4th invoice",U64&lt;&gt;"","3rd invoice",Q64&lt;&gt;"","2nd invoice",M64&lt;&gt;"","1st invoice",M64="","Pending 1st Invoice")</f>
        <v>Invoice Completed</v>
      </c>
      <c r="I64" s="4" t="str" cm="1">
        <f t="array" ref="I64">_xlfn.IFS((C64+D64)-K64=0,"Payment Completed",AE64&lt;&gt;"","5th payment",AA64&lt;&gt;"","4th payment",W64&lt;&gt;"","3rd payment",S64&lt;&gt;"","2nd payment",O64&lt;&gt;"","1st payment",O64="","Pending 1st Payment")</f>
        <v>Payment Completed</v>
      </c>
      <c r="J64" s="55">
        <f t="shared" si="0"/>
        <v>30500</v>
      </c>
      <c r="K64" s="55">
        <f t="shared" si="1"/>
        <v>30500</v>
      </c>
      <c r="L64" s="65">
        <v>45406</v>
      </c>
      <c r="M64" s="66">
        <v>500</v>
      </c>
      <c r="N64" s="65">
        <v>45406</v>
      </c>
      <c r="O64" s="66">
        <v>500</v>
      </c>
      <c r="P64" s="39">
        <v>45524</v>
      </c>
      <c r="Q64" s="57">
        <v>28000</v>
      </c>
      <c r="R64" s="39">
        <v>45561</v>
      </c>
      <c r="S64" s="57">
        <v>28000</v>
      </c>
      <c r="T64" s="65">
        <v>45561</v>
      </c>
      <c r="U64" s="66">
        <v>2000</v>
      </c>
      <c r="V64" s="65">
        <v>45561</v>
      </c>
      <c r="W64" s="66">
        <v>2000</v>
      </c>
      <c r="X64" s="39"/>
      <c r="Y64" s="57"/>
      <c r="Z64" s="39"/>
      <c r="AA64" s="57"/>
      <c r="AB64" s="65"/>
      <c r="AC64" s="66"/>
      <c r="AD64" s="65"/>
      <c r="AE64" s="66"/>
      <c r="AF64" s="39"/>
      <c r="AG64" s="57"/>
      <c r="AH64" s="39"/>
      <c r="AI64" s="57"/>
    </row>
    <row r="65" spans="1:35" ht="19.5" customHeight="1" x14ac:dyDescent="0.3">
      <c r="A65" s="4">
        <f>'ECN Master Project Tracker new'!A66</f>
        <v>2404229</v>
      </c>
      <c r="B65" s="110" t="str">
        <f>VLOOKUP(A:A,Table1[[Project No]:[Additional Remark]],2,FALSE)</f>
        <v>Ng Lay Ping</v>
      </c>
      <c r="C65" s="55">
        <f>VLOOKUP(A:A,Table1[[Project No]:[Additional Remark]],11,FALSE)</f>
        <v>41600</v>
      </c>
      <c r="D65" s="55">
        <f>VLOOKUP(A:A,Table1[[Project No]:[Additional Remark]],12,FALSE)</f>
        <v>-1600</v>
      </c>
      <c r="E65" s="55" t="str">
        <f>VLOOKUP(A:A,Table1[[Project No]:[Additional Remark]],4,FALSE)</f>
        <v>Tham</v>
      </c>
      <c r="F65" s="4" t="str">
        <f>VLOOKUP(A:A,Table1[[Project No]:[Additional Remark]],5,FALSE)</f>
        <v>R-PV</v>
      </c>
      <c r="G65" s="4" t="str">
        <f>VLOOKUP(A:A,Table1[[Project No]:[Additional Remark]],13,FALSE)</f>
        <v>Self finance</v>
      </c>
      <c r="H65" s="4" t="str" cm="1">
        <f t="array" ref="H65">_xlfn.IFS((D65+C65)-J65=0,"Invoice Completed",AC65&lt;&gt;"","5th invoice",Y65&lt;&gt;"","4th invoice",U65&lt;&gt;"","3rd invoice",Q65&lt;&gt;"","2nd invoice",M65&lt;&gt;"","1st invoice",M65="","Pending 1st Invoice")</f>
        <v>Invoice Completed</v>
      </c>
      <c r="I65" s="4" t="str" cm="1">
        <f t="array" ref="I65">_xlfn.IFS((C65+D65)-K65=0,"Payment Completed",AE65&lt;&gt;"","5th payment",AA65&lt;&gt;"","4th payment",W65&lt;&gt;"","3rd payment",S65&lt;&gt;"","2nd payment",O65&lt;&gt;"","1st payment",O65="","Pending 1st Payment")</f>
        <v>Payment Completed</v>
      </c>
      <c r="J65" s="55">
        <f t="shared" si="0"/>
        <v>40000</v>
      </c>
      <c r="K65" s="55">
        <f t="shared" si="1"/>
        <v>40000</v>
      </c>
      <c r="L65" s="65">
        <v>45407</v>
      </c>
      <c r="M65" s="66">
        <v>500</v>
      </c>
      <c r="N65" s="65">
        <v>45407</v>
      </c>
      <c r="O65" s="66">
        <v>500</v>
      </c>
      <c r="P65" s="39">
        <v>45449</v>
      </c>
      <c r="Q65" s="57">
        <v>39500</v>
      </c>
      <c r="R65" s="39">
        <v>45450</v>
      </c>
      <c r="S65" s="57">
        <v>39500</v>
      </c>
      <c r="T65" s="65"/>
      <c r="U65" s="66"/>
      <c r="V65" s="65"/>
      <c r="W65" s="66"/>
      <c r="X65" s="39"/>
      <c r="Y65" s="57"/>
      <c r="Z65" s="39"/>
      <c r="AA65" s="57"/>
      <c r="AB65" s="65"/>
      <c r="AC65" s="66"/>
      <c r="AD65" s="65"/>
      <c r="AE65" s="66"/>
      <c r="AF65" s="39"/>
      <c r="AG65" s="57"/>
      <c r="AH65" s="39"/>
      <c r="AI65" s="57"/>
    </row>
    <row r="66" spans="1:35" ht="19.5" customHeight="1" x14ac:dyDescent="0.3">
      <c r="A66" s="4">
        <f>'ECN Master Project Tracker new'!A67</f>
        <v>2404211</v>
      </c>
      <c r="B66" s="110" t="str">
        <f>VLOOKUP(A:A,Table1[[Project No]:[Additional Remark]],2,FALSE)</f>
        <v>Nor Fadillah</v>
      </c>
      <c r="C66" s="55">
        <f>VLOOKUP(A:A,Table1[[Project No]:[Additional Remark]],11,FALSE)</f>
        <v>49600</v>
      </c>
      <c r="D66" s="55">
        <f>VLOOKUP(A:A,Table1[[Project No]:[Additional Remark]],12,FALSE)</f>
        <v>0</v>
      </c>
      <c r="E66" s="55" t="str">
        <f>VLOOKUP(A:A,Table1[[Project No]:[Additional Remark]],4,FALSE)</f>
        <v>Tham</v>
      </c>
      <c r="F66" s="4" t="str">
        <f>VLOOKUP(A:A,Table1[[Project No]:[Additional Remark]],5,FALSE)</f>
        <v>R-PV</v>
      </c>
      <c r="G66" s="4" t="str">
        <f>VLOOKUP(A:A,Table1[[Project No]:[Additional Remark]],13,FALSE)</f>
        <v>Self finance</v>
      </c>
      <c r="H66" s="4" t="str" cm="1">
        <f t="array" ref="H66">_xlfn.IFS((D66+C66)-J66=0,"Invoice Completed",AC66&lt;&gt;"","5th invoice",Y66&lt;&gt;"","4th invoice",U66&lt;&gt;"","3rd invoice",Q66&lt;&gt;"","2nd invoice",M66&lt;&gt;"","1st invoice",M66="","Pending 1st Invoice")</f>
        <v>Invoice Completed</v>
      </c>
      <c r="I66" s="4" t="str" cm="1">
        <f t="array" ref="I66">_xlfn.IFS((C66+D66)-K66=0,"Payment Completed",AE66&lt;&gt;"","5th payment",AA66&lt;&gt;"","4th payment",W66&lt;&gt;"","3rd payment",S66&lt;&gt;"","2nd payment",O66&lt;&gt;"","1st payment",O66="","Pending 1st Payment")</f>
        <v>Payment Completed</v>
      </c>
      <c r="J66" s="55">
        <f t="shared" si="0"/>
        <v>49600</v>
      </c>
      <c r="K66" s="55">
        <f t="shared" si="1"/>
        <v>49600</v>
      </c>
      <c r="L66" s="65">
        <v>45408</v>
      </c>
      <c r="M66" s="66">
        <v>500</v>
      </c>
      <c r="N66" s="65">
        <v>45408</v>
      </c>
      <c r="O66" s="66">
        <v>500</v>
      </c>
      <c r="P66" s="39">
        <v>45453</v>
      </c>
      <c r="Q66" s="57">
        <v>47100</v>
      </c>
      <c r="R66" s="39">
        <v>45571</v>
      </c>
      <c r="S66" s="57">
        <v>47100</v>
      </c>
      <c r="T66" s="65">
        <v>45553</v>
      </c>
      <c r="U66" s="66">
        <v>2000</v>
      </c>
      <c r="V66" s="65">
        <v>45553</v>
      </c>
      <c r="W66" s="66">
        <v>2000</v>
      </c>
      <c r="X66" s="39"/>
      <c r="Y66" s="57"/>
      <c r="Z66" s="39"/>
      <c r="AA66" s="57"/>
      <c r="AB66" s="65"/>
      <c r="AC66" s="66"/>
      <c r="AD66" s="65"/>
      <c r="AE66" s="66"/>
      <c r="AF66" s="39"/>
      <c r="AG66" s="57"/>
      <c r="AH66" s="39"/>
      <c r="AI66" s="57"/>
    </row>
    <row r="67" spans="1:35" ht="19.5" customHeight="1" x14ac:dyDescent="0.3">
      <c r="A67" s="4">
        <f>'ECN Master Project Tracker new'!A68</f>
        <v>2404111</v>
      </c>
      <c r="B67" s="110" t="str">
        <f>VLOOKUP(A:A,Table1[[Project No]:[Additional Remark]],2,FALSE)</f>
        <v>Budi Jelas Sdn Bhd</v>
      </c>
      <c r="C67" s="55">
        <f>VLOOKUP(A:A,Table1[[Project No]:[Additional Remark]],11,FALSE)</f>
        <v>81000</v>
      </c>
      <c r="D67" s="55">
        <f>VLOOKUP(A:A,Table1[[Project No]:[Additional Remark]],12,FALSE)</f>
        <v>0</v>
      </c>
      <c r="E67" s="55" t="str">
        <f>VLOOKUP(A:A,Table1[[Project No]:[Additional Remark]],4,FALSE)</f>
        <v>Tham</v>
      </c>
      <c r="F67" s="4" t="str">
        <f>VLOOKUP(A:A,Table1[[Project No]:[Additional Remark]],5,FALSE)</f>
        <v>C&amp;I-PV</v>
      </c>
      <c r="G67" s="4" t="str">
        <f>VLOOKUP(A:A,Table1[[Project No]:[Additional Remark]],13,FALSE)</f>
        <v>Self finance</v>
      </c>
      <c r="H67" s="4" t="str" cm="1">
        <f t="array" ref="H67">_xlfn.IFS((D67+C67)-J67=0,"Invoice Completed",AC67&lt;&gt;"","5th invoice",Y67&lt;&gt;"","4th invoice",U67&lt;&gt;"","3rd invoice",Q67&lt;&gt;"","2nd invoice",M67&lt;&gt;"","1st invoice",M67="","Pending 1st Invoice")</f>
        <v>Invoice Completed</v>
      </c>
      <c r="I67" s="4" t="str" cm="1">
        <f t="array" ref="I67">_xlfn.IFS((C67+D67)-K67=0,"Payment Completed",AE67&lt;&gt;"","5th payment",AA67&lt;&gt;"","4th payment",W67&lt;&gt;"","3rd payment",S67&lt;&gt;"","2nd payment",O67&lt;&gt;"","1st payment",O67="","Pending 1st Payment")</f>
        <v>Payment Completed</v>
      </c>
      <c r="J67" s="55">
        <f t="shared" si="0"/>
        <v>81000</v>
      </c>
      <c r="K67" s="55">
        <f t="shared" si="1"/>
        <v>81000</v>
      </c>
      <c r="L67" s="65">
        <v>45428</v>
      </c>
      <c r="M67" s="69">
        <v>8100</v>
      </c>
      <c r="N67" s="65">
        <v>45428</v>
      </c>
      <c r="O67" s="69">
        <v>8100</v>
      </c>
      <c r="P67" s="39">
        <v>45537</v>
      </c>
      <c r="Q67" s="59">
        <v>28350</v>
      </c>
      <c r="R67" s="39">
        <v>45632</v>
      </c>
      <c r="S67" s="59">
        <v>28350</v>
      </c>
      <c r="T67" s="65">
        <v>45783</v>
      </c>
      <c r="U67" s="66">
        <v>44550</v>
      </c>
      <c r="V67" s="65">
        <v>45783</v>
      </c>
      <c r="W67" s="66">
        <v>44550</v>
      </c>
      <c r="X67" s="39"/>
      <c r="Y67" s="57"/>
      <c r="Z67" s="39"/>
      <c r="AA67" s="57"/>
      <c r="AB67" s="65"/>
      <c r="AC67" s="66"/>
      <c r="AD67" s="65"/>
      <c r="AE67" s="66"/>
      <c r="AF67" s="39"/>
      <c r="AG67" s="57"/>
      <c r="AH67" s="39"/>
      <c r="AI67" s="57"/>
    </row>
    <row r="68" spans="1:35" ht="19.5" customHeight="1" x14ac:dyDescent="0.3">
      <c r="A68" s="4">
        <f>'ECN Master Project Tracker new'!A69</f>
        <v>2404219</v>
      </c>
      <c r="B68" s="110" t="str">
        <f>VLOOKUP(A:A,Table1[[Project No]:[Additional Remark]],2,FALSE)</f>
        <v>Billy Teoh Wee Wei</v>
      </c>
      <c r="C68" s="55">
        <f>VLOOKUP(A:A,Table1[[Project No]:[Additional Remark]],11,FALSE)</f>
        <v>52000</v>
      </c>
      <c r="D68" s="55">
        <f>VLOOKUP(A:A,Table1[[Project No]:[Additional Remark]],12,FALSE)</f>
        <v>0</v>
      </c>
      <c r="E68" s="55" t="str">
        <f>VLOOKUP(A:A,Table1[[Project No]:[Additional Remark]],4,FALSE)</f>
        <v>Tham</v>
      </c>
      <c r="F68" s="4" t="str">
        <f>VLOOKUP(A:A,Table1[[Project No]:[Additional Remark]],5,FALSE)</f>
        <v>R-PV</v>
      </c>
      <c r="G68" s="4" t="str">
        <f>VLOOKUP(A:A,Table1[[Project No]:[Additional Remark]],13,FALSE)</f>
        <v>Cash + instalment</v>
      </c>
      <c r="H68" s="4" t="str" cm="1">
        <f t="array" ref="H68">_xlfn.IFS((D68+C68)-J68=0,"Invoice Completed",AC68&lt;&gt;"","5th invoice",Y68&lt;&gt;"","4th invoice",U68&lt;&gt;"","3rd invoice",Q68&lt;&gt;"","2nd invoice",M68&lt;&gt;"","1st invoice",M68="","Pending 1st Invoice")</f>
        <v>Invoice Completed</v>
      </c>
      <c r="I68" s="4" t="str" cm="1">
        <f t="array" ref="I68">_xlfn.IFS((C68+D68)-K68=0,"Payment Completed",AE68&lt;&gt;"","5th payment",AA68&lt;&gt;"","4th payment",W68&lt;&gt;"","3rd payment",S68&lt;&gt;"","2nd payment",O68&lt;&gt;"","1st payment",O68="","Pending 1st Payment")</f>
        <v>Payment Completed</v>
      </c>
      <c r="J68" s="55">
        <f t="shared" ref="J68:J131" si="2">SUM(M68,Q68,U68,Y68,AC68,AG68)</f>
        <v>52000</v>
      </c>
      <c r="K68" s="55">
        <f t="shared" ref="K68:K131" si="3">SUM(O68,S68,W68,AA68,AE68,AI68)</f>
        <v>52000</v>
      </c>
      <c r="L68" s="65">
        <v>45411</v>
      </c>
      <c r="M68" s="66">
        <v>500</v>
      </c>
      <c r="N68" s="65">
        <v>45411</v>
      </c>
      <c r="O68" s="66">
        <v>500</v>
      </c>
      <c r="P68" s="39">
        <v>45523</v>
      </c>
      <c r="Q68" s="57">
        <v>51500</v>
      </c>
      <c r="R68" s="39">
        <v>45535</v>
      </c>
      <c r="S68" s="57">
        <v>51500</v>
      </c>
      <c r="T68" s="65"/>
      <c r="U68" s="66"/>
      <c r="V68" s="65"/>
      <c r="W68" s="66"/>
      <c r="X68" s="39"/>
      <c r="Y68" s="57"/>
      <c r="Z68" s="39"/>
      <c r="AA68" s="57"/>
      <c r="AB68" s="65"/>
      <c r="AC68" s="66"/>
      <c r="AD68" s="65"/>
      <c r="AE68" s="66"/>
      <c r="AF68" s="39"/>
      <c r="AG68" s="57"/>
      <c r="AH68" s="39"/>
      <c r="AI68" s="57"/>
    </row>
    <row r="69" spans="1:35" ht="19.5" customHeight="1" x14ac:dyDescent="0.3">
      <c r="A69" s="4">
        <f>'ECN Master Project Tracker new'!A70</f>
        <v>2404214</v>
      </c>
      <c r="B69" s="110" t="str">
        <f>VLOOKUP(A:A,Table1[[Project No]:[Additional Remark]],2,FALSE)</f>
        <v>Teo En Chie</v>
      </c>
      <c r="C69" s="55">
        <f>VLOOKUP(A:A,Table1[[Project No]:[Additional Remark]],11,FALSE)</f>
        <v>48200</v>
      </c>
      <c r="D69" s="55">
        <f>VLOOKUP(A:A,Table1[[Project No]:[Additional Remark]],12,FALSE)</f>
        <v>0</v>
      </c>
      <c r="E69" s="55" t="str">
        <f>VLOOKUP(A:A,Table1[[Project No]:[Additional Remark]],4,FALSE)</f>
        <v>Tham</v>
      </c>
      <c r="F69" s="4" t="str">
        <f>VLOOKUP(A:A,Table1[[Project No]:[Additional Remark]],5,FALSE)</f>
        <v>R-PV</v>
      </c>
      <c r="G69" s="4" t="str">
        <f>VLOOKUP(A:A,Table1[[Project No]:[Additional Remark]],13,FALSE)</f>
        <v>Credit Card Instalment</v>
      </c>
      <c r="H69" s="4" t="str" cm="1">
        <f t="array" ref="H69">_xlfn.IFS((D69+C69)-J69=0,"Invoice Completed",AC69&lt;&gt;"","5th invoice",Y69&lt;&gt;"","4th invoice",U69&lt;&gt;"","3rd invoice",Q69&lt;&gt;"","2nd invoice",M69&lt;&gt;"","1st invoice",M69="","Pending 1st Invoice")</f>
        <v>Invoice Completed</v>
      </c>
      <c r="I69" s="4" t="str" cm="1">
        <f t="array" ref="I69">_xlfn.IFS((C69+D69)-K69=0,"Payment Completed",AE69&lt;&gt;"","5th payment",AA69&lt;&gt;"","4th payment",W69&lt;&gt;"","3rd payment",S69&lt;&gt;"","2nd payment",O69&lt;&gt;"","1st payment",O69="","Pending 1st Payment")</f>
        <v>Payment Completed</v>
      </c>
      <c r="J69" s="55">
        <f t="shared" si="2"/>
        <v>48200</v>
      </c>
      <c r="K69" s="55">
        <f t="shared" si="3"/>
        <v>48200</v>
      </c>
      <c r="L69" s="65">
        <v>45414</v>
      </c>
      <c r="M69" s="66">
        <v>500</v>
      </c>
      <c r="N69" s="65">
        <v>45414</v>
      </c>
      <c r="O69" s="66">
        <v>500</v>
      </c>
      <c r="P69" s="39">
        <v>45476</v>
      </c>
      <c r="Q69" s="57">
        <v>47700</v>
      </c>
      <c r="R69" s="39">
        <v>45542</v>
      </c>
      <c r="S69" s="57">
        <v>47700</v>
      </c>
      <c r="T69" s="65"/>
      <c r="U69" s="66"/>
      <c r="V69" s="65"/>
      <c r="W69" s="66"/>
      <c r="X69" s="39"/>
      <c r="Y69" s="57"/>
      <c r="Z69" s="39"/>
      <c r="AA69" s="57"/>
      <c r="AB69" s="65"/>
      <c r="AC69" s="66"/>
      <c r="AD69" s="65"/>
      <c r="AE69" s="66"/>
      <c r="AF69" s="39"/>
      <c r="AG69" s="57"/>
      <c r="AH69" s="39"/>
      <c r="AI69" s="57"/>
    </row>
    <row r="70" spans="1:35" ht="19.5" customHeight="1" x14ac:dyDescent="0.3">
      <c r="A70" s="4">
        <f>'ECN Master Project Tracker new'!A71</f>
        <v>2403102</v>
      </c>
      <c r="B70" s="110" t="str">
        <f>VLOOKUP(A:A,Table1[[Project No]:[Additional Remark]],2,FALSE)</f>
        <v>Sleep Matics (Asia) Sdn Bhd</v>
      </c>
      <c r="C70" s="55">
        <f>VLOOKUP(A:A,Table1[[Project No]:[Additional Remark]],11,FALSE)</f>
        <v>744800</v>
      </c>
      <c r="D70" s="55">
        <f>VLOOKUP(A:A,Table1[[Project No]:[Additional Remark]],12,FALSE)</f>
        <v>0</v>
      </c>
      <c r="E70" s="55" t="str">
        <f>VLOOKUP(A:A,Table1[[Project No]:[Additional Remark]],4,FALSE)</f>
        <v>Tham</v>
      </c>
      <c r="F70" s="4" t="str">
        <f>VLOOKUP(A:A,Table1[[Project No]:[Additional Remark]],5,FALSE)</f>
        <v>C&amp;I-PV</v>
      </c>
      <c r="G70" s="4" t="str">
        <f>VLOOKUP(A:A,Table1[[Project No]:[Additional Remark]],13,FALSE)</f>
        <v>Self finance</v>
      </c>
      <c r="H70" s="4" t="str" cm="1">
        <f t="array" ref="H70">_xlfn.IFS((D70+C70)-J70=0,"Invoice Completed",AC70&lt;&gt;"","5th invoice",Y70&lt;&gt;"","4th invoice",U70&lt;&gt;"","3rd invoice",Q70&lt;&gt;"","2nd invoice",M70&lt;&gt;"","1st invoice",M70="","Pending 1st Invoice")</f>
        <v>3rd invoice</v>
      </c>
      <c r="I70" s="4" t="str" cm="1">
        <f t="array" ref="I70">_xlfn.IFS((C70+D70)-K70=0,"Payment Completed",AE70&lt;&gt;"","5th payment",AA70&lt;&gt;"","4th payment",W70&lt;&gt;"","3rd payment",S70&lt;&gt;"","2nd payment",O70&lt;&gt;"","1st payment",O70="","Pending 1st Payment")</f>
        <v>1st payment</v>
      </c>
      <c r="J70" s="55">
        <f t="shared" si="2"/>
        <v>786320</v>
      </c>
      <c r="K70" s="55">
        <f t="shared" si="3"/>
        <v>74480</v>
      </c>
      <c r="L70" s="65">
        <v>45431</v>
      </c>
      <c r="M70" s="66">
        <v>74480</v>
      </c>
      <c r="N70" s="65">
        <v>45462</v>
      </c>
      <c r="O70" s="66">
        <v>74480</v>
      </c>
      <c r="P70" s="39">
        <v>45912</v>
      </c>
      <c r="Q70" s="57">
        <v>260680</v>
      </c>
      <c r="R70" s="39"/>
      <c r="S70" s="57"/>
      <c r="T70" s="65">
        <v>45964</v>
      </c>
      <c r="U70" s="66">
        <v>335160</v>
      </c>
      <c r="V70" s="65"/>
      <c r="W70" s="66"/>
      <c r="X70" s="39"/>
      <c r="Y70" s="57"/>
      <c r="Z70" s="39"/>
      <c r="AA70" s="57"/>
      <c r="AB70" s="65"/>
      <c r="AC70" s="66"/>
      <c r="AD70" s="65"/>
      <c r="AE70" s="66"/>
      <c r="AF70" s="39">
        <v>45912</v>
      </c>
      <c r="AG70" s="57">
        <v>116000</v>
      </c>
      <c r="AH70" s="39"/>
      <c r="AI70" s="57"/>
    </row>
    <row r="71" spans="1:35" ht="19.5" customHeight="1" x14ac:dyDescent="0.3">
      <c r="A71" s="4">
        <f>'ECN Master Project Tracker new'!A72</f>
        <v>2312059</v>
      </c>
      <c r="B71" s="110" t="str">
        <f>VLOOKUP(A:A,Table1[[Project No]:[Additional Remark]],2,FALSE)</f>
        <v>CHL Foam Industries Sdn Bhd</v>
      </c>
      <c r="C71" s="55">
        <f>VLOOKUP(A:A,Table1[[Project No]:[Additional Remark]],11,FALSE)</f>
        <v>690300</v>
      </c>
      <c r="D71" s="55">
        <f>VLOOKUP(A:A,Table1[[Project No]:[Additional Remark]],12,FALSE)</f>
        <v>130000</v>
      </c>
      <c r="E71" s="55" t="str">
        <f>VLOOKUP(A:A,Table1[[Project No]:[Additional Remark]],4,FALSE)</f>
        <v>Tham</v>
      </c>
      <c r="F71" s="4" t="str">
        <f>VLOOKUP(A:A,Table1[[Project No]:[Additional Remark]],5,FALSE)</f>
        <v>C&amp;I-PV</v>
      </c>
      <c r="G71" s="4" t="str">
        <f>VLOOKUP(A:A,Table1[[Project No]:[Additional Remark]],13,FALSE)</f>
        <v>Self finance</v>
      </c>
      <c r="H71" s="4" t="str" cm="1">
        <f t="array" ref="H71">_xlfn.IFS((D71+C71)-J71=0,"Invoice Completed",AC71&lt;&gt;"","5th invoice",Y71&lt;&gt;"","4th invoice",U71&lt;&gt;"","3rd invoice",Q71&lt;&gt;"","2nd invoice",M71&lt;&gt;"","1st invoice",M71="","Pending 1st Invoice")</f>
        <v>Invoice Completed</v>
      </c>
      <c r="I71" s="4" t="str" cm="1">
        <f t="array" ref="I71">_xlfn.IFS((C71+D71)-K71=0,"Payment Completed",AE71&lt;&gt;"","5th payment",AA71&lt;&gt;"","4th payment",W71&lt;&gt;"","3rd payment",S71&lt;&gt;"","2nd payment",O71&lt;&gt;"","1st payment",O71="","Pending 1st Payment")</f>
        <v>Payment Completed</v>
      </c>
      <c r="J71" s="55">
        <f t="shared" si="2"/>
        <v>820300</v>
      </c>
      <c r="K71" s="55">
        <f t="shared" si="3"/>
        <v>820300</v>
      </c>
      <c r="L71" s="65">
        <v>45453</v>
      </c>
      <c r="M71" s="66">
        <v>69030</v>
      </c>
      <c r="N71" s="65">
        <v>45453</v>
      </c>
      <c r="O71" s="66">
        <v>69030</v>
      </c>
      <c r="P71" s="39">
        <v>45610</v>
      </c>
      <c r="Q71" s="59">
        <v>241605</v>
      </c>
      <c r="R71" s="39">
        <v>45616</v>
      </c>
      <c r="S71" s="59">
        <v>241605</v>
      </c>
      <c r="T71" s="65">
        <v>45776</v>
      </c>
      <c r="U71" s="66">
        <v>310635</v>
      </c>
      <c r="V71" s="65">
        <v>45776</v>
      </c>
      <c r="W71" s="66">
        <v>310635</v>
      </c>
      <c r="X71" s="39">
        <v>45924</v>
      </c>
      <c r="Y71" s="57">
        <v>69030</v>
      </c>
      <c r="Z71" s="39">
        <v>45925</v>
      </c>
      <c r="AA71" s="57">
        <v>69030</v>
      </c>
      <c r="AB71" s="65"/>
      <c r="AC71" s="66"/>
      <c r="AD71" s="65"/>
      <c r="AE71" s="66"/>
      <c r="AF71" s="39">
        <v>45611</v>
      </c>
      <c r="AG71" s="57">
        <v>130000</v>
      </c>
      <c r="AH71" s="39">
        <v>45616</v>
      </c>
      <c r="AI71" s="57">
        <v>130000</v>
      </c>
    </row>
    <row r="72" spans="1:35" ht="19.5" customHeight="1" x14ac:dyDescent="0.3">
      <c r="A72" s="4">
        <f>'ECN Master Project Tracker new'!A73</f>
        <v>2404255</v>
      </c>
      <c r="B72" s="110" t="str">
        <f>VLOOKUP(A:A,Table1[[Project No]:[Additional Remark]],2,FALSE)</f>
        <v>Ong Pui Fen</v>
      </c>
      <c r="C72" s="55">
        <f>VLOOKUP(A:A,Table1[[Project No]:[Additional Remark]],11,FALSE)</f>
        <v>30260</v>
      </c>
      <c r="D72" s="55">
        <f>VLOOKUP(A:A,Table1[[Project No]:[Additional Remark]],12,FALSE)</f>
        <v>0</v>
      </c>
      <c r="E72" s="55" t="str">
        <f>VLOOKUP(A:A,Table1[[Project No]:[Additional Remark]],4,FALSE)</f>
        <v>Tham</v>
      </c>
      <c r="F72" s="4" t="str">
        <f>VLOOKUP(A:A,Table1[[Project No]:[Additional Remark]],5,FALSE)</f>
        <v>R-PV</v>
      </c>
      <c r="G72" s="4" t="str">
        <f>VLOOKUP(A:A,Table1[[Project No]:[Additional Remark]],13,FALSE)</f>
        <v>Credit Card Instalment</v>
      </c>
      <c r="H72" s="4" t="str" cm="1">
        <f t="array" ref="H72">_xlfn.IFS((D72+C72)-J72=0,"Invoice Completed",AC72&lt;&gt;"","5th invoice",Y72&lt;&gt;"","4th invoice",U72&lt;&gt;"","3rd invoice",Q72&lt;&gt;"","2nd invoice",M72&lt;&gt;"","1st invoice",M72="","Pending 1st Invoice")</f>
        <v>Invoice Completed</v>
      </c>
      <c r="I72" s="4" t="str" cm="1">
        <f t="array" ref="I72">_xlfn.IFS((C72+D72)-K72=0,"Payment Completed",AE72&lt;&gt;"","5th payment",AA72&lt;&gt;"","4th payment",W72&lt;&gt;"","3rd payment",S72&lt;&gt;"","2nd payment",O72&lt;&gt;"","1st payment",O72="","Pending 1st Payment")</f>
        <v>Payment Completed</v>
      </c>
      <c r="J72" s="55">
        <f t="shared" si="2"/>
        <v>30260</v>
      </c>
      <c r="K72" s="55">
        <f t="shared" si="3"/>
        <v>30260</v>
      </c>
      <c r="L72" s="65">
        <v>45426</v>
      </c>
      <c r="M72" s="66">
        <v>500</v>
      </c>
      <c r="N72" s="65">
        <v>45426</v>
      </c>
      <c r="O72" s="66">
        <v>500</v>
      </c>
      <c r="P72" s="39">
        <v>45531</v>
      </c>
      <c r="Q72" s="57">
        <v>29760</v>
      </c>
      <c r="R72" s="39">
        <v>45531</v>
      </c>
      <c r="S72" s="57">
        <v>29760</v>
      </c>
      <c r="T72" s="65"/>
      <c r="U72" s="66"/>
      <c r="V72" s="65"/>
      <c r="W72" s="66"/>
      <c r="X72" s="39"/>
      <c r="Y72" s="57"/>
      <c r="Z72" s="39"/>
      <c r="AA72" s="57"/>
      <c r="AB72" s="65"/>
      <c r="AC72" s="66"/>
      <c r="AD72" s="65"/>
      <c r="AE72" s="66"/>
      <c r="AF72" s="39"/>
      <c r="AG72" s="57"/>
      <c r="AH72" s="39"/>
      <c r="AI72" s="57"/>
    </row>
    <row r="73" spans="1:35" ht="19.5" customHeight="1" x14ac:dyDescent="0.3">
      <c r="A73" s="4">
        <f>'ECN Master Project Tracker new'!A74</f>
        <v>2404242</v>
      </c>
      <c r="B73" s="110" t="str">
        <f>VLOOKUP(A:A,Table1[[Project No]:[Additional Remark]],2,FALSE)</f>
        <v>Chua Boon Seng</v>
      </c>
      <c r="C73" s="55">
        <f>VLOOKUP(A:A,Table1[[Project No]:[Additional Remark]],11,FALSE)</f>
        <v>35000</v>
      </c>
      <c r="D73" s="55">
        <f>VLOOKUP(A:A,Table1[[Project No]:[Additional Remark]],12,FALSE)</f>
        <v>0</v>
      </c>
      <c r="E73" s="55" t="str">
        <f>VLOOKUP(A:A,Table1[[Project No]:[Additional Remark]],4,FALSE)</f>
        <v>Azra</v>
      </c>
      <c r="F73" s="4" t="str">
        <f>VLOOKUP(A:A,Table1[[Project No]:[Additional Remark]],5,FALSE)</f>
        <v>R-PV</v>
      </c>
      <c r="G73" s="4" t="str">
        <f>VLOOKUP(A:A,Table1[[Project No]:[Additional Remark]],13,FALSE)</f>
        <v>Credit Card Instalment</v>
      </c>
      <c r="H73" s="4" t="str" cm="1">
        <f t="array" ref="H73">_xlfn.IFS((D73+C73)-J73=0,"Invoice Completed",AC73&lt;&gt;"","5th invoice",Y73&lt;&gt;"","4th invoice",U73&lt;&gt;"","3rd invoice",Q73&lt;&gt;"","2nd invoice",M73&lt;&gt;"","1st invoice",M73="","Pending 1st Invoice")</f>
        <v>Invoice Completed</v>
      </c>
      <c r="I73" s="4" t="str" cm="1">
        <f t="array" ref="I73">_xlfn.IFS((C73+D73)-K73=0,"Payment Completed",AE73&lt;&gt;"","5th payment",AA73&lt;&gt;"","4th payment",W73&lt;&gt;"","3rd payment",S73&lt;&gt;"","2nd payment",O73&lt;&gt;"","1st payment",O73="","Pending 1st Payment")</f>
        <v>Payment Completed</v>
      </c>
      <c r="J73" s="55">
        <f t="shared" si="2"/>
        <v>35000</v>
      </c>
      <c r="K73" s="55">
        <f t="shared" si="3"/>
        <v>35000</v>
      </c>
      <c r="L73" s="65">
        <v>45435</v>
      </c>
      <c r="M73" s="66">
        <v>500</v>
      </c>
      <c r="N73" s="65">
        <v>45435</v>
      </c>
      <c r="O73" s="66">
        <v>500</v>
      </c>
      <c r="P73" s="39">
        <v>45538</v>
      </c>
      <c r="Q73" s="57">
        <v>34500</v>
      </c>
      <c r="R73" s="39">
        <v>45523</v>
      </c>
      <c r="S73" s="57">
        <v>34500</v>
      </c>
      <c r="T73" s="65"/>
      <c r="U73" s="66"/>
      <c r="V73" s="65"/>
      <c r="W73" s="66"/>
      <c r="X73" s="39"/>
      <c r="Y73" s="57"/>
      <c r="Z73" s="39"/>
      <c r="AA73" s="57"/>
      <c r="AB73" s="65"/>
      <c r="AC73" s="66"/>
      <c r="AD73" s="65"/>
      <c r="AE73" s="66"/>
      <c r="AF73" s="39"/>
      <c r="AG73" s="57"/>
      <c r="AH73" s="39"/>
      <c r="AI73" s="57"/>
    </row>
    <row r="74" spans="1:35" ht="19.5" customHeight="1" x14ac:dyDescent="0.3">
      <c r="A74" s="4">
        <f>'ECN Master Project Tracker new'!A75</f>
        <v>2405272</v>
      </c>
      <c r="B74" s="110" t="str">
        <f>VLOOKUP(A:A,Table1[[Project No]:[Additional Remark]],2,FALSE)</f>
        <v>Chan Hui Li</v>
      </c>
      <c r="C74" s="55">
        <f>VLOOKUP(A:A,Table1[[Project No]:[Additional Remark]],11,FALSE)</f>
        <v>32180</v>
      </c>
      <c r="D74" s="55">
        <f>VLOOKUP(A:A,Table1[[Project No]:[Additional Remark]],12,FALSE)</f>
        <v>0</v>
      </c>
      <c r="E74" s="55" t="str">
        <f>VLOOKUP(A:A,Table1[[Project No]:[Additional Remark]],4,FALSE)</f>
        <v>Tham</v>
      </c>
      <c r="F74" s="4" t="str">
        <f>VLOOKUP(A:A,Table1[[Project No]:[Additional Remark]],5,FALSE)</f>
        <v>R-PV</v>
      </c>
      <c r="G74" s="4" t="str">
        <f>VLOOKUP(A:A,Table1[[Project No]:[Additional Remark]],13,FALSE)</f>
        <v>Self finance</v>
      </c>
      <c r="H74" s="4" t="str" cm="1">
        <f t="array" ref="H74">_xlfn.IFS((D74+C74)-J74=0,"Invoice Completed",AC74&lt;&gt;"","5th invoice",Y74&lt;&gt;"","4th invoice",U74&lt;&gt;"","3rd invoice",Q74&lt;&gt;"","2nd invoice",M74&lt;&gt;"","1st invoice",M74="","Pending 1st Invoice")</f>
        <v>Invoice Completed</v>
      </c>
      <c r="I74" s="4" t="str" cm="1">
        <f t="array" ref="I74">_xlfn.IFS((C74+D74)-K74=0,"Payment Completed",AE74&lt;&gt;"","5th payment",AA74&lt;&gt;"","4th payment",W74&lt;&gt;"","3rd payment",S74&lt;&gt;"","2nd payment",O74&lt;&gt;"","1st payment",O74="","Pending 1st Payment")</f>
        <v>Payment Completed</v>
      </c>
      <c r="J74" s="55">
        <f t="shared" si="2"/>
        <v>32180</v>
      </c>
      <c r="K74" s="55">
        <f t="shared" si="3"/>
        <v>32180</v>
      </c>
      <c r="L74" s="65">
        <v>45427</v>
      </c>
      <c r="M74" s="66">
        <v>500</v>
      </c>
      <c r="N74" s="65">
        <v>45427</v>
      </c>
      <c r="O74" s="66">
        <v>500</v>
      </c>
      <c r="P74" s="39">
        <v>45531</v>
      </c>
      <c r="Q74" s="57">
        <v>31680</v>
      </c>
      <c r="R74" s="39">
        <v>45531</v>
      </c>
      <c r="S74" s="57">
        <v>31680</v>
      </c>
      <c r="T74" s="65"/>
      <c r="U74" s="66"/>
      <c r="V74" s="65"/>
      <c r="W74" s="66"/>
      <c r="X74" s="39"/>
      <c r="Y74" s="57"/>
      <c r="Z74" s="39"/>
      <c r="AA74" s="57"/>
      <c r="AB74" s="65"/>
      <c r="AC74" s="66"/>
      <c r="AD74" s="65"/>
      <c r="AE74" s="66"/>
      <c r="AF74" s="39"/>
      <c r="AG74" s="57"/>
      <c r="AH74" s="39"/>
      <c r="AI74" s="57"/>
    </row>
    <row r="75" spans="1:35" ht="19.5" customHeight="1" x14ac:dyDescent="0.3">
      <c r="A75" s="4">
        <f>'ECN Master Project Tracker new'!A76</f>
        <v>2405266</v>
      </c>
      <c r="B75" s="110" t="str">
        <f>VLOOKUP(A:A,Table1[[Project No]:[Additional Remark]],2,FALSE)</f>
        <v>Goh Wee Bang (Goh Swee Teng)</v>
      </c>
      <c r="C75" s="55">
        <f>VLOOKUP(A:A,Table1[[Project No]:[Additional Remark]],11,FALSE)</f>
        <v>41000</v>
      </c>
      <c r="D75" s="55">
        <f>VLOOKUP(A:A,Table1[[Project No]:[Additional Remark]],12,FALSE)</f>
        <v>0</v>
      </c>
      <c r="E75" s="55" t="str">
        <f>VLOOKUP(A:A,Table1[[Project No]:[Additional Remark]],4,FALSE)</f>
        <v>Tham</v>
      </c>
      <c r="F75" s="4" t="str">
        <f>VLOOKUP(A:A,Table1[[Project No]:[Additional Remark]],5,FALSE)</f>
        <v>R-PV</v>
      </c>
      <c r="G75" s="4" t="str">
        <f>VLOOKUP(A:A,Table1[[Project No]:[Additional Remark]],13,FALSE)</f>
        <v>Self finance</v>
      </c>
      <c r="H75" s="4" t="str" cm="1">
        <f t="array" ref="H75">_xlfn.IFS((D75+C75)-J75=0,"Invoice Completed",AC75&lt;&gt;"","5th invoice",Y75&lt;&gt;"","4th invoice",U75&lt;&gt;"","3rd invoice",Q75&lt;&gt;"","2nd invoice",M75&lt;&gt;"","1st invoice",M75="","Pending 1st Invoice")</f>
        <v>Invoice Completed</v>
      </c>
      <c r="I75" s="4" t="str" cm="1">
        <f t="array" ref="I75">_xlfn.IFS((C75+D75)-K75=0,"Payment Completed",AE75&lt;&gt;"","5th payment",AA75&lt;&gt;"","4th payment",W75&lt;&gt;"","3rd payment",S75&lt;&gt;"","2nd payment",O75&lt;&gt;"","1st payment",O75="","Pending 1st Payment")</f>
        <v>Payment Completed</v>
      </c>
      <c r="J75" s="55">
        <f t="shared" si="2"/>
        <v>41000</v>
      </c>
      <c r="K75" s="55">
        <f t="shared" si="3"/>
        <v>41000</v>
      </c>
      <c r="L75" s="65">
        <v>45428</v>
      </c>
      <c r="M75" s="66">
        <v>500</v>
      </c>
      <c r="N75" s="65">
        <v>45428</v>
      </c>
      <c r="O75" s="66">
        <v>500</v>
      </c>
      <c r="P75" s="39">
        <v>45485</v>
      </c>
      <c r="Q75" s="57">
        <v>38500</v>
      </c>
      <c r="R75" s="39">
        <v>45485</v>
      </c>
      <c r="S75" s="57">
        <v>38500</v>
      </c>
      <c r="T75" s="65">
        <v>45538</v>
      </c>
      <c r="U75" s="66">
        <v>2000</v>
      </c>
      <c r="V75" s="65">
        <v>45538</v>
      </c>
      <c r="W75" s="66">
        <v>2000</v>
      </c>
      <c r="X75" s="39"/>
      <c r="Y75" s="57"/>
      <c r="Z75" s="39"/>
      <c r="AA75" s="57"/>
      <c r="AB75" s="65"/>
      <c r="AC75" s="66"/>
      <c r="AD75" s="65"/>
      <c r="AE75" s="66"/>
      <c r="AF75" s="39"/>
      <c r="AG75" s="57"/>
      <c r="AH75" s="39"/>
      <c r="AI75" s="57"/>
    </row>
    <row r="76" spans="1:35" ht="19.5" customHeight="1" x14ac:dyDescent="0.3">
      <c r="A76" s="4">
        <f>'ECN Master Project Tracker new'!A77</f>
        <v>2405280</v>
      </c>
      <c r="B76" s="110" t="str">
        <f>VLOOKUP(A:A,Table1[[Project No]:[Additional Remark]],2,FALSE)</f>
        <v>Teoh Kah Ming</v>
      </c>
      <c r="C76" s="55">
        <f>VLOOKUP(A:A,Table1[[Project No]:[Additional Remark]],11,FALSE)</f>
        <v>34600</v>
      </c>
      <c r="D76" s="55">
        <f>VLOOKUP(A:A,Table1[[Project No]:[Additional Remark]],12,FALSE)</f>
        <v>0</v>
      </c>
      <c r="E76" s="55" t="str">
        <f>VLOOKUP(A:A,Table1[[Project No]:[Additional Remark]],4,FALSE)</f>
        <v>Tham</v>
      </c>
      <c r="F76" s="4" t="str">
        <f>VLOOKUP(A:A,Table1[[Project No]:[Additional Remark]],5,FALSE)</f>
        <v>R-PV</v>
      </c>
      <c r="G76" s="4" t="str">
        <f>VLOOKUP(A:A,Table1[[Project No]:[Additional Remark]],13,FALSE)</f>
        <v>Credit Card Instalment</v>
      </c>
      <c r="H76" s="4" t="str" cm="1">
        <f t="array" ref="H76">_xlfn.IFS((D76+C76)-J76=0,"Invoice Completed",AC76&lt;&gt;"","5th invoice",Y76&lt;&gt;"","4th invoice",U76&lt;&gt;"","3rd invoice",Q76&lt;&gt;"","2nd invoice",M76&lt;&gt;"","1st invoice",M76="","Pending 1st Invoice")</f>
        <v>Invoice Completed</v>
      </c>
      <c r="I76" s="4" t="str" cm="1">
        <f t="array" ref="I76">_xlfn.IFS((C76+D76)-K76=0,"Payment Completed",AE76&lt;&gt;"","5th payment",AA76&lt;&gt;"","4th payment",W76&lt;&gt;"","3rd payment",S76&lt;&gt;"","2nd payment",O76&lt;&gt;"","1st payment",O76="","Pending 1st Payment")</f>
        <v>Payment Completed</v>
      </c>
      <c r="J76" s="55">
        <f t="shared" si="2"/>
        <v>34600</v>
      </c>
      <c r="K76" s="55">
        <f t="shared" si="3"/>
        <v>34600</v>
      </c>
      <c r="L76" s="65">
        <v>45422</v>
      </c>
      <c r="M76" s="66">
        <v>500</v>
      </c>
      <c r="N76" s="65">
        <v>45422</v>
      </c>
      <c r="O76" s="66">
        <v>500</v>
      </c>
      <c r="P76" s="39">
        <v>45526</v>
      </c>
      <c r="Q76" s="57">
        <v>34100</v>
      </c>
      <c r="R76" s="39">
        <v>45526</v>
      </c>
      <c r="S76" s="57">
        <v>34100</v>
      </c>
      <c r="T76" s="65"/>
      <c r="U76" s="66"/>
      <c r="V76" s="65"/>
      <c r="W76" s="66"/>
      <c r="X76" s="39"/>
      <c r="Y76" s="57"/>
      <c r="Z76" s="39"/>
      <c r="AA76" s="57"/>
      <c r="AB76" s="65"/>
      <c r="AC76" s="66"/>
      <c r="AD76" s="65"/>
      <c r="AE76" s="66"/>
      <c r="AF76" s="39"/>
      <c r="AG76" s="57"/>
      <c r="AH76" s="39"/>
      <c r="AI76" s="57"/>
    </row>
    <row r="77" spans="1:35" s="123" customFormat="1" ht="19.5" customHeight="1" x14ac:dyDescent="0.3">
      <c r="A77" s="116">
        <f>'ECN Master Project Tracker new'!A78</f>
        <v>2405294</v>
      </c>
      <c r="B77" s="125" t="str">
        <f>VLOOKUP(A:A,Table1[[Project No]:[Additional Remark]],2,FALSE)</f>
        <v>Gan Wei Kuan</v>
      </c>
      <c r="C77" s="117">
        <f>VLOOKUP(A:A,Table1[[Project No]:[Additional Remark]],11,FALSE)</f>
        <v>25100</v>
      </c>
      <c r="D77" s="117">
        <f>VLOOKUP(A:A,Table1[[Project No]:[Additional Remark]],12,FALSE)</f>
        <v>0</v>
      </c>
      <c r="E77" s="117" t="str">
        <f>VLOOKUP(A:A,Table1[[Project No]:[Additional Remark]],4,FALSE)</f>
        <v>Tham</v>
      </c>
      <c r="F77" s="116">
        <f>VLOOKUP(A:A,Table1[[Project No]:[Additional Remark]],5,FALSE)</f>
        <v>0</v>
      </c>
      <c r="G77" s="116" t="str">
        <f>VLOOKUP(A:A,Table1[[Project No]:[Additional Remark]],13,FALSE)</f>
        <v>Self finance</v>
      </c>
      <c r="H77" s="116" t="str" cm="1">
        <f t="array" ref="H77">_xlfn.IFS((D77+C77)-J77=0,"Invoice Completed",AC77&lt;&gt;"","5th invoice",Y77&lt;&gt;"","4th invoice",U77&lt;&gt;"","3rd invoice",Q77&lt;&gt;"","2nd invoice",M77&lt;&gt;"","1st invoice",M77="","Pending 1st Invoice")</f>
        <v>Pending 1st Invoice</v>
      </c>
      <c r="I77" s="116" t="str" cm="1">
        <f t="array" ref="I77">_xlfn.IFS((C77+D77)-K77=0,"Payment Completed",AE77&lt;&gt;"","5th payment",AA77&lt;&gt;"","4th payment",W77&lt;&gt;"","3rd payment",S77&lt;&gt;"","2nd payment",O77&lt;&gt;"","1st payment",O77="","Pending 1st Payment")</f>
        <v>Pending 1st Payment</v>
      </c>
      <c r="J77" s="117">
        <f t="shared" si="2"/>
        <v>0</v>
      </c>
      <c r="K77" s="117">
        <f t="shared" si="3"/>
        <v>0</v>
      </c>
      <c r="L77" s="118"/>
      <c r="M77" s="119"/>
      <c r="N77" s="118"/>
      <c r="O77" s="119"/>
      <c r="P77" s="120"/>
      <c r="Q77" s="121"/>
      <c r="R77" s="120"/>
      <c r="S77" s="121"/>
      <c r="T77" s="118"/>
      <c r="U77" s="119"/>
      <c r="V77" s="118"/>
      <c r="W77" s="119"/>
      <c r="X77" s="39"/>
      <c r="Y77" s="121"/>
      <c r="Z77" s="39"/>
      <c r="AA77" s="121"/>
      <c r="AB77" s="118"/>
      <c r="AC77" s="119"/>
      <c r="AD77" s="118"/>
      <c r="AE77" s="119"/>
      <c r="AF77" s="120"/>
      <c r="AG77" s="121"/>
      <c r="AH77" s="120"/>
      <c r="AI77" s="121"/>
    </row>
    <row r="78" spans="1:35" ht="19.5" customHeight="1" x14ac:dyDescent="0.3">
      <c r="A78" s="4">
        <f>'ECN Master Project Tracker new'!A79</f>
        <v>2405296</v>
      </c>
      <c r="B78" s="110" t="str">
        <f>VLOOKUP(A:A,Table1[[Project No]:[Additional Remark]],2,FALSE)</f>
        <v>Haiu Chan Lai</v>
      </c>
      <c r="C78" s="55">
        <f>VLOOKUP(A:A,Table1[[Project No]:[Additional Remark]],11,FALSE)</f>
        <v>32000</v>
      </c>
      <c r="D78" s="55">
        <f>VLOOKUP(A:A,Table1[[Project No]:[Additional Remark]],12,FALSE)</f>
        <v>0</v>
      </c>
      <c r="E78" s="55" t="str">
        <f>VLOOKUP(A:A,Table1[[Project No]:[Additional Remark]],4,FALSE)</f>
        <v>Tham</v>
      </c>
      <c r="F78" s="4" t="str">
        <f>VLOOKUP(A:A,Table1[[Project No]:[Additional Remark]],5,FALSE)</f>
        <v>R-PV</v>
      </c>
      <c r="G78" s="4" t="str">
        <f>VLOOKUP(A:A,Table1[[Project No]:[Additional Remark]],13,FALSE)</f>
        <v>Self finance</v>
      </c>
      <c r="H78" s="4" t="str" cm="1">
        <f t="array" ref="H78">_xlfn.IFS((D78+C78)-J78=0,"Invoice Completed",AC78&lt;&gt;"","5th invoice",Y78&lt;&gt;"","4th invoice",U78&lt;&gt;"","3rd invoice",Q78&lt;&gt;"","2nd invoice",M78&lt;&gt;"","1st invoice",M78="","Pending 1st Invoice")</f>
        <v>Invoice Completed</v>
      </c>
      <c r="I78" s="4" t="str" cm="1">
        <f t="array" ref="I78">_xlfn.IFS((C78+D78)-K78=0,"Payment Completed",AE78&lt;&gt;"","5th payment",AA78&lt;&gt;"","4th payment",W78&lt;&gt;"","3rd payment",S78&lt;&gt;"","2nd payment",O78&lt;&gt;"","1st payment",O78="","Pending 1st Payment")</f>
        <v>Payment Completed</v>
      </c>
      <c r="J78" s="55">
        <f t="shared" si="2"/>
        <v>32000</v>
      </c>
      <c r="K78" s="55">
        <f t="shared" si="3"/>
        <v>32000</v>
      </c>
      <c r="L78" s="65">
        <v>45440</v>
      </c>
      <c r="M78" s="66">
        <v>500</v>
      </c>
      <c r="N78" s="65">
        <v>45440</v>
      </c>
      <c r="O78" s="66">
        <v>500</v>
      </c>
      <c r="P78" s="39">
        <v>45619</v>
      </c>
      <c r="Q78" s="57">
        <v>31500</v>
      </c>
      <c r="R78" s="39">
        <v>45619</v>
      </c>
      <c r="S78" s="57">
        <v>31500</v>
      </c>
      <c r="T78" s="65"/>
      <c r="U78" s="66"/>
      <c r="V78" s="65"/>
      <c r="W78" s="66"/>
      <c r="X78" s="39"/>
      <c r="Y78" s="57"/>
      <c r="Z78" s="39"/>
      <c r="AA78" s="57"/>
      <c r="AB78" s="65"/>
      <c r="AC78" s="66"/>
      <c r="AD78" s="65"/>
      <c r="AE78" s="66"/>
      <c r="AF78" s="39"/>
      <c r="AG78" s="57"/>
      <c r="AH78" s="39"/>
      <c r="AI78" s="57"/>
    </row>
    <row r="79" spans="1:35" ht="19.5" customHeight="1" x14ac:dyDescent="0.3">
      <c r="A79" s="4">
        <f>'ECN Master Project Tracker new'!A80</f>
        <v>2405307</v>
      </c>
      <c r="B79" s="110" t="str">
        <f>VLOOKUP(A:A,Table1[[Project No]:[Additional Remark]],2,FALSE)</f>
        <v>Shreeram Nadarajah</v>
      </c>
      <c r="C79" s="55">
        <f>VLOOKUP(A:A,Table1[[Project No]:[Additional Remark]],11,FALSE)</f>
        <v>28000</v>
      </c>
      <c r="D79" s="55">
        <f>VLOOKUP(A:A,Table1[[Project No]:[Additional Remark]],12,FALSE)</f>
        <v>4600</v>
      </c>
      <c r="E79" s="55" t="str">
        <f>VLOOKUP(A:A,Table1[[Project No]:[Additional Remark]],4,FALSE)</f>
        <v>Tham</v>
      </c>
      <c r="F79" s="4" t="str">
        <f>VLOOKUP(A:A,Table1[[Project No]:[Additional Remark]],5,FALSE)</f>
        <v>R-PV</v>
      </c>
      <c r="G79" s="4" t="str">
        <f>VLOOKUP(A:A,Table1[[Project No]:[Additional Remark]],13,FALSE)</f>
        <v>Self finance</v>
      </c>
      <c r="H79" s="4" t="str" cm="1">
        <f t="array" ref="H79">_xlfn.IFS((D79+C79)-J79=0,"Invoice Completed",AC79&lt;&gt;"","5th invoice",Y79&lt;&gt;"","4th invoice",U79&lt;&gt;"","3rd invoice",Q79&lt;&gt;"","2nd invoice",M79&lt;&gt;"","1st invoice",M79="","Pending 1st Invoice")</f>
        <v>Invoice Completed</v>
      </c>
      <c r="I79" s="4" t="str" cm="1">
        <f t="array" ref="I79">_xlfn.IFS((C79+D79)-K79=0,"Payment Completed",AE79&lt;&gt;"","5th payment",AA79&lt;&gt;"","4th payment",W79&lt;&gt;"","3rd payment",S79&lt;&gt;"","2nd payment",O79&lt;&gt;"","1st payment",O79="","Pending 1st Payment")</f>
        <v>Payment Completed</v>
      </c>
      <c r="J79" s="55">
        <f t="shared" si="2"/>
        <v>32600</v>
      </c>
      <c r="K79" s="55">
        <f t="shared" si="3"/>
        <v>32600</v>
      </c>
      <c r="L79" s="65">
        <v>45568</v>
      </c>
      <c r="M79" s="66">
        <v>500</v>
      </c>
      <c r="N79" s="65">
        <v>45568</v>
      </c>
      <c r="O79" s="66">
        <v>500</v>
      </c>
      <c r="P79" s="39">
        <v>45568</v>
      </c>
      <c r="Q79" s="57">
        <v>27500</v>
      </c>
      <c r="R79" s="39">
        <v>45568</v>
      </c>
      <c r="S79" s="57">
        <v>27500</v>
      </c>
      <c r="T79" s="65">
        <v>45568</v>
      </c>
      <c r="U79" s="66">
        <v>4600</v>
      </c>
      <c r="V79" s="65">
        <v>45568</v>
      </c>
      <c r="W79" s="66">
        <v>4600</v>
      </c>
      <c r="X79" s="39"/>
      <c r="Y79" s="57"/>
      <c r="Z79" s="39"/>
      <c r="AA79" s="57"/>
      <c r="AB79" s="65"/>
      <c r="AC79" s="66"/>
      <c r="AD79" s="65"/>
      <c r="AE79" s="66"/>
      <c r="AF79" s="39"/>
      <c r="AG79" s="57"/>
      <c r="AH79" s="39"/>
      <c r="AI79" s="57"/>
    </row>
    <row r="80" spans="1:35" ht="19.5" customHeight="1" x14ac:dyDescent="0.3">
      <c r="A80" s="4">
        <f>'ECN Master Project Tracker new'!A81</f>
        <v>2404227</v>
      </c>
      <c r="B80" s="110" t="str">
        <f>VLOOKUP(A:A,Table1[[Project No]:[Additional Remark]],2,FALSE)</f>
        <v>Datin Tai Bee Choon</v>
      </c>
      <c r="C80" s="55">
        <f>VLOOKUP(A:A,Table1[[Project No]:[Additional Remark]],11,FALSE)</f>
        <v>52400</v>
      </c>
      <c r="D80" s="55">
        <f>VLOOKUP(A:A,Table1[[Project No]:[Additional Remark]],12,FALSE)</f>
        <v>0</v>
      </c>
      <c r="E80" s="55" t="str">
        <f>VLOOKUP(A:A,Table1[[Project No]:[Additional Remark]],4,FALSE)</f>
        <v>Tham</v>
      </c>
      <c r="F80" s="4" t="str">
        <f>VLOOKUP(A:A,Table1[[Project No]:[Additional Remark]],5,FALSE)</f>
        <v>R-PV</v>
      </c>
      <c r="G80" s="4" t="str">
        <f>VLOOKUP(A:A,Table1[[Project No]:[Additional Remark]],13,FALSE)</f>
        <v>Self finance</v>
      </c>
      <c r="H80" s="4" t="str" cm="1">
        <f t="array" ref="H80">_xlfn.IFS((D80+C80)-J80=0,"Invoice Completed",AC80&lt;&gt;"","5th invoice",Y80&lt;&gt;"","4th invoice",U80&lt;&gt;"","3rd invoice",Q80&lt;&gt;"","2nd invoice",M80&lt;&gt;"","1st invoice",M80="","Pending 1st Invoice")</f>
        <v>Invoice Completed</v>
      </c>
      <c r="I80" s="4" t="str" cm="1">
        <f t="array" ref="I80">_xlfn.IFS((C80+D80)-K80=0,"Payment Completed",AE80&lt;&gt;"","5th payment",AA80&lt;&gt;"","4th payment",W80&lt;&gt;"","3rd payment",S80&lt;&gt;"","2nd payment",O80&lt;&gt;"","1st payment",O80="","Pending 1st Payment")</f>
        <v>Payment Completed</v>
      </c>
      <c r="J80" s="55">
        <f t="shared" si="2"/>
        <v>52400</v>
      </c>
      <c r="K80" s="55">
        <f t="shared" si="3"/>
        <v>52400</v>
      </c>
      <c r="L80" s="65">
        <v>45442</v>
      </c>
      <c r="M80" s="66">
        <v>500</v>
      </c>
      <c r="N80" s="65">
        <v>45442</v>
      </c>
      <c r="O80" s="66">
        <v>500</v>
      </c>
      <c r="P80" s="39">
        <v>45622</v>
      </c>
      <c r="Q80" s="57">
        <v>51900</v>
      </c>
      <c r="R80" s="39">
        <v>45622</v>
      </c>
      <c r="S80" s="57">
        <v>51900</v>
      </c>
      <c r="T80" s="65"/>
      <c r="U80" s="66"/>
      <c r="V80" s="65"/>
      <c r="W80" s="66"/>
      <c r="X80" s="39"/>
      <c r="Y80" s="57"/>
      <c r="Z80" s="39"/>
      <c r="AA80" s="57"/>
      <c r="AB80" s="65"/>
      <c r="AC80" s="66"/>
      <c r="AD80" s="65"/>
      <c r="AE80" s="66"/>
      <c r="AF80" s="39"/>
      <c r="AG80" s="57"/>
      <c r="AH80" s="39"/>
      <c r="AI80" s="57"/>
    </row>
    <row r="81" spans="1:35" ht="19.5" customHeight="1" x14ac:dyDescent="0.3">
      <c r="A81" s="4">
        <f>'ECN Master Project Tracker new'!A82</f>
        <v>2405315</v>
      </c>
      <c r="B81" s="110" t="str">
        <f>VLOOKUP(A:A,Table1[[Project No]:[Additional Remark]],2,FALSE)</f>
        <v>Yeap Say Woei</v>
      </c>
      <c r="C81" s="55">
        <f>VLOOKUP(A:A,Table1[[Project No]:[Additional Remark]],11,FALSE)</f>
        <v>40000</v>
      </c>
      <c r="D81" s="55">
        <f>VLOOKUP(A:A,Table1[[Project No]:[Additional Remark]],12,FALSE)</f>
        <v>0</v>
      </c>
      <c r="E81" s="55" t="str">
        <f>VLOOKUP(A:A,Table1[[Project No]:[Additional Remark]],4,FALSE)</f>
        <v>Tham</v>
      </c>
      <c r="F81" s="4" t="str">
        <f>VLOOKUP(A:A,Table1[[Project No]:[Additional Remark]],5,FALSE)</f>
        <v>R-PV</v>
      </c>
      <c r="G81" s="4" t="str">
        <f>VLOOKUP(A:A,Table1[[Project No]:[Additional Remark]],13,FALSE)</f>
        <v>Self finance</v>
      </c>
      <c r="H81" s="4" t="str" cm="1">
        <f t="array" ref="H81">_xlfn.IFS((D81+C81)-J81=0,"Invoice Completed",AC81&lt;&gt;"","5th invoice",Y81&lt;&gt;"","4th invoice",U81&lt;&gt;"","3rd invoice",Q81&lt;&gt;"","2nd invoice",M81&lt;&gt;"","1st invoice",M81="","Pending 1st Invoice")</f>
        <v>Invoice Completed</v>
      </c>
      <c r="I81" s="4" t="str" cm="1">
        <f t="array" ref="I81">_xlfn.IFS((C81+D81)-K81=0,"Payment Completed",AE81&lt;&gt;"","5th payment",AA81&lt;&gt;"","4th payment",W81&lt;&gt;"","3rd payment",S81&lt;&gt;"","2nd payment",O81&lt;&gt;"","1st payment",O81="","Pending 1st Payment")</f>
        <v>Payment Completed</v>
      </c>
      <c r="J81" s="55">
        <f t="shared" si="2"/>
        <v>40000</v>
      </c>
      <c r="K81" s="55">
        <f t="shared" si="3"/>
        <v>40000</v>
      </c>
      <c r="L81" s="65">
        <v>45446</v>
      </c>
      <c r="M81" s="66">
        <v>500</v>
      </c>
      <c r="N81" s="65">
        <v>45446</v>
      </c>
      <c r="O81" s="66">
        <v>500</v>
      </c>
      <c r="P81" s="39">
        <v>45515</v>
      </c>
      <c r="Q81" s="57">
        <v>37500</v>
      </c>
      <c r="R81" s="39">
        <v>45516</v>
      </c>
      <c r="S81" s="57">
        <v>37500</v>
      </c>
      <c r="T81" s="65">
        <v>45618</v>
      </c>
      <c r="U81" s="69">
        <v>2000</v>
      </c>
      <c r="V81" s="65">
        <v>45625</v>
      </c>
      <c r="W81" s="69">
        <v>2000</v>
      </c>
      <c r="X81" s="39"/>
      <c r="Y81" s="57"/>
      <c r="Z81" s="39"/>
      <c r="AA81" s="57"/>
      <c r="AB81" s="65"/>
      <c r="AC81" s="66"/>
      <c r="AD81" s="65"/>
      <c r="AE81" s="66"/>
      <c r="AF81" s="39"/>
      <c r="AG81" s="57"/>
      <c r="AH81" s="39"/>
      <c r="AI81" s="57"/>
    </row>
    <row r="82" spans="1:35" ht="19.5" customHeight="1" x14ac:dyDescent="0.3">
      <c r="A82" s="4">
        <f>'ECN Master Project Tracker new'!A83</f>
        <v>2405319</v>
      </c>
      <c r="B82" s="110" t="str">
        <f>VLOOKUP(A:A,Table1[[Project No]:[Additional Remark]],2,FALSE)</f>
        <v>Tan Zhi Cheng</v>
      </c>
      <c r="C82" s="55">
        <f>VLOOKUP(A:A,Table1[[Project No]:[Additional Remark]],11,FALSE)</f>
        <v>26240</v>
      </c>
      <c r="D82" s="55">
        <f>VLOOKUP(A:A,Table1[[Project No]:[Additional Remark]],12,FALSE)</f>
        <v>0</v>
      </c>
      <c r="E82" s="55" t="str">
        <f>VLOOKUP(A:A,Table1[[Project No]:[Additional Remark]],4,FALSE)</f>
        <v>Tham</v>
      </c>
      <c r="F82" s="4" t="str">
        <f>VLOOKUP(A:A,Table1[[Project No]:[Additional Remark]],5,FALSE)</f>
        <v>R-PV</v>
      </c>
      <c r="G82" s="4" t="str">
        <f>VLOOKUP(A:A,Table1[[Project No]:[Additional Remark]],13,FALSE)</f>
        <v>Self finance</v>
      </c>
      <c r="H82" s="4" t="str" cm="1">
        <f t="array" ref="H82">_xlfn.IFS((D82+C82)-J82=0,"Invoice Completed",AC82&lt;&gt;"","5th invoice",Y82&lt;&gt;"","4th invoice",U82&lt;&gt;"","3rd invoice",Q82&lt;&gt;"","2nd invoice",M82&lt;&gt;"","1st invoice",M82="","Pending 1st Invoice")</f>
        <v>Invoice Completed</v>
      </c>
      <c r="I82" s="4" t="str" cm="1">
        <f t="array" ref="I82">_xlfn.IFS((C82+D82)-K82=0,"Payment Completed",AE82&lt;&gt;"","5th payment",AA82&lt;&gt;"","4th payment",W82&lt;&gt;"","3rd payment",S82&lt;&gt;"","2nd payment",O82&lt;&gt;"","1st payment",O82="","Pending 1st Payment")</f>
        <v>Payment Completed</v>
      </c>
      <c r="J82" s="55">
        <f t="shared" si="2"/>
        <v>26240</v>
      </c>
      <c r="K82" s="55">
        <f t="shared" si="3"/>
        <v>26240</v>
      </c>
      <c r="L82" s="65">
        <v>45448</v>
      </c>
      <c r="M82" s="66">
        <v>500</v>
      </c>
      <c r="N82" s="65">
        <v>45448</v>
      </c>
      <c r="O82" s="66">
        <v>500</v>
      </c>
      <c r="P82" s="39">
        <v>45523</v>
      </c>
      <c r="Q82" s="57">
        <v>25740</v>
      </c>
      <c r="R82" s="39">
        <v>45523</v>
      </c>
      <c r="S82" s="57">
        <v>25740</v>
      </c>
      <c r="T82" s="65"/>
      <c r="U82" s="66"/>
      <c r="V82" s="65"/>
      <c r="W82" s="66"/>
      <c r="X82" s="39"/>
      <c r="Y82" s="57"/>
      <c r="Z82" s="39"/>
      <c r="AA82" s="57"/>
      <c r="AB82" s="65"/>
      <c r="AC82" s="66"/>
      <c r="AD82" s="65"/>
      <c r="AE82" s="66"/>
      <c r="AF82" s="39"/>
      <c r="AG82" s="57"/>
      <c r="AH82" s="39"/>
      <c r="AI82" s="57"/>
    </row>
    <row r="83" spans="1:35" ht="19.5" customHeight="1" x14ac:dyDescent="0.3">
      <c r="A83" s="4">
        <f>'ECN Master Project Tracker new'!A84</f>
        <v>2405288</v>
      </c>
      <c r="B83" s="110" t="str">
        <f>VLOOKUP(A:A,Table1[[Project No]:[Additional Remark]],2,FALSE)</f>
        <v>Teh Siew Eng</v>
      </c>
      <c r="C83" s="55">
        <f>VLOOKUP(A:A,Table1[[Project No]:[Additional Remark]],11,FALSE)</f>
        <v>41840</v>
      </c>
      <c r="D83" s="55">
        <f>VLOOKUP(A:A,Table1[[Project No]:[Additional Remark]],12,FALSE)</f>
        <v>0</v>
      </c>
      <c r="E83" s="55" t="str">
        <f>VLOOKUP(A:A,Table1[[Project No]:[Additional Remark]],4,FALSE)</f>
        <v>Tham</v>
      </c>
      <c r="F83" s="4" t="str">
        <f>VLOOKUP(A:A,Table1[[Project No]:[Additional Remark]],5,FALSE)</f>
        <v>R-PV</v>
      </c>
      <c r="G83" s="4" t="str">
        <f>VLOOKUP(A:A,Table1[[Project No]:[Additional Remark]],13,FALSE)</f>
        <v>Self finance</v>
      </c>
      <c r="H83" s="4" t="str" cm="1">
        <f t="array" ref="H83">_xlfn.IFS((D83+C83)-J83=0,"Invoice Completed",AC83&lt;&gt;"","5th invoice",Y83&lt;&gt;"","4th invoice",U83&lt;&gt;"","3rd invoice",Q83&lt;&gt;"","2nd invoice",M83&lt;&gt;"","1st invoice",M83="","Pending 1st Invoice")</f>
        <v>Invoice Completed</v>
      </c>
      <c r="I83" s="4" t="str" cm="1">
        <f t="array" ref="I83">_xlfn.IFS((C83+D83)-K83=0,"Payment Completed",AE83&lt;&gt;"","5th payment",AA83&lt;&gt;"","4th payment",W83&lt;&gt;"","3rd payment",S83&lt;&gt;"","2nd payment",O83&lt;&gt;"","1st payment",O83="","Pending 1st Payment")</f>
        <v>Payment Completed</v>
      </c>
      <c r="J83" s="55">
        <f t="shared" si="2"/>
        <v>41840</v>
      </c>
      <c r="K83" s="55">
        <f t="shared" si="3"/>
        <v>41840</v>
      </c>
      <c r="L83" s="65">
        <v>45440</v>
      </c>
      <c r="M83" s="66">
        <v>500</v>
      </c>
      <c r="N83" s="65">
        <v>45440</v>
      </c>
      <c r="O83" s="66">
        <v>500</v>
      </c>
      <c r="P83" s="39">
        <v>45527</v>
      </c>
      <c r="Q83" s="57">
        <v>39340</v>
      </c>
      <c r="R83" s="39">
        <v>45527</v>
      </c>
      <c r="S83" s="57">
        <v>39340</v>
      </c>
      <c r="T83" s="65">
        <v>45618</v>
      </c>
      <c r="U83" s="69">
        <v>2000</v>
      </c>
      <c r="V83" s="65">
        <v>45618</v>
      </c>
      <c r="W83" s="69">
        <v>2000</v>
      </c>
      <c r="X83" s="39"/>
      <c r="Y83" s="57"/>
      <c r="Z83" s="39"/>
      <c r="AA83" s="57"/>
      <c r="AB83" s="65"/>
      <c r="AC83" s="66"/>
      <c r="AD83" s="65"/>
      <c r="AE83" s="66"/>
      <c r="AF83" s="39"/>
      <c r="AG83" s="57"/>
      <c r="AH83" s="39"/>
      <c r="AI83" s="57"/>
    </row>
    <row r="84" spans="1:35" ht="19.5" customHeight="1" x14ac:dyDescent="0.3">
      <c r="A84" s="4">
        <f>'ECN Master Project Tracker new'!A85</f>
        <v>2404256</v>
      </c>
      <c r="B84" s="110" t="str">
        <f>VLOOKUP(A:A,Table1[[Project No]:[Additional Remark]],2,FALSE)</f>
        <v>Lai Chun Wai</v>
      </c>
      <c r="C84" s="55">
        <f>VLOOKUP(A:A,Table1[[Project No]:[Additional Remark]],11,FALSE)</f>
        <v>33100</v>
      </c>
      <c r="D84" s="55">
        <f>VLOOKUP(A:A,Table1[[Project No]:[Additional Remark]],12,FALSE)</f>
        <v>0</v>
      </c>
      <c r="E84" s="55" t="str">
        <f>VLOOKUP(A:A,Table1[[Project No]:[Additional Remark]],4,FALSE)</f>
        <v>Azra</v>
      </c>
      <c r="F84" s="4" t="str">
        <f>VLOOKUP(A:A,Table1[[Project No]:[Additional Remark]],5,FALSE)</f>
        <v>R-PV</v>
      </c>
      <c r="G84" s="4" t="str">
        <f>VLOOKUP(A:A,Table1[[Project No]:[Additional Remark]],13,FALSE)</f>
        <v>Self finance</v>
      </c>
      <c r="H84" s="4" t="str" cm="1">
        <f t="array" ref="H84">_xlfn.IFS((D84+C84)-J84=0,"Invoice Completed",AC84&lt;&gt;"","5th invoice",Y84&lt;&gt;"","4th invoice",U84&lt;&gt;"","3rd invoice",Q84&lt;&gt;"","2nd invoice",M84&lt;&gt;"","1st invoice",M84="","Pending 1st Invoice")</f>
        <v>Invoice Completed</v>
      </c>
      <c r="I84" s="4" t="str" cm="1">
        <f t="array" ref="I84">_xlfn.IFS((C84+D84)-K84=0,"Payment Completed",AE84&lt;&gt;"","5th payment",AA84&lt;&gt;"","4th payment",W84&lt;&gt;"","3rd payment",S84&lt;&gt;"","2nd payment",O84&lt;&gt;"","1st payment",O84="","Pending 1st Payment")</f>
        <v>Payment Completed</v>
      </c>
      <c r="J84" s="55">
        <f t="shared" si="2"/>
        <v>33100</v>
      </c>
      <c r="K84" s="55">
        <f t="shared" si="3"/>
        <v>33100</v>
      </c>
      <c r="L84" s="65">
        <v>45464</v>
      </c>
      <c r="M84" s="66">
        <v>500</v>
      </c>
      <c r="N84" s="65">
        <v>45464</v>
      </c>
      <c r="O84" s="66">
        <v>500</v>
      </c>
      <c r="P84" s="39">
        <v>45555</v>
      </c>
      <c r="Q84" s="57">
        <v>30600</v>
      </c>
      <c r="R84" s="39">
        <v>45555</v>
      </c>
      <c r="S84" s="57">
        <v>30600</v>
      </c>
      <c r="T84" s="65">
        <v>45583</v>
      </c>
      <c r="U84" s="66">
        <v>2000</v>
      </c>
      <c r="V84" s="65">
        <v>45583</v>
      </c>
      <c r="W84" s="66">
        <v>2000</v>
      </c>
      <c r="X84" s="39"/>
      <c r="Y84" s="57"/>
      <c r="Z84" s="39"/>
      <c r="AA84" s="57"/>
      <c r="AB84" s="65"/>
      <c r="AC84" s="66"/>
      <c r="AD84" s="65"/>
      <c r="AE84" s="66"/>
      <c r="AF84" s="39"/>
      <c r="AG84" s="57"/>
      <c r="AH84" s="39"/>
      <c r="AI84" s="57"/>
    </row>
    <row r="85" spans="1:35" ht="19.5" customHeight="1" x14ac:dyDescent="0.3">
      <c r="A85" s="4">
        <f>'ECN Master Project Tracker new'!A86</f>
        <v>2406323</v>
      </c>
      <c r="B85" s="110" t="str">
        <f>VLOOKUP(A:A,Table1[[Project No]:[Additional Remark]],2,FALSE)</f>
        <v>Tay Poh Chai</v>
      </c>
      <c r="C85" s="55">
        <f>VLOOKUP(A:A,Table1[[Project No]:[Additional Remark]],11,FALSE)</f>
        <v>40000</v>
      </c>
      <c r="D85" s="55">
        <f>VLOOKUP(A:A,Table1[[Project No]:[Additional Remark]],12,FALSE)</f>
        <v>0</v>
      </c>
      <c r="E85" s="55" t="str">
        <f>VLOOKUP(A:A,Table1[[Project No]:[Additional Remark]],4,FALSE)</f>
        <v>Tham</v>
      </c>
      <c r="F85" s="4" t="str">
        <f>VLOOKUP(A:A,Table1[[Project No]:[Additional Remark]],5,FALSE)</f>
        <v>R-PV</v>
      </c>
      <c r="G85" s="4" t="str">
        <f>VLOOKUP(A:A,Table1[[Project No]:[Additional Remark]],13,FALSE)</f>
        <v>Self finance</v>
      </c>
      <c r="H85" s="4" t="str" cm="1">
        <f t="array" ref="H85">_xlfn.IFS((D85+C85)-J85=0,"Invoice Completed",AC85&lt;&gt;"","5th invoice",Y85&lt;&gt;"","4th invoice",U85&lt;&gt;"","3rd invoice",Q85&lt;&gt;"","2nd invoice",M85&lt;&gt;"","1st invoice",M85="","Pending 1st Invoice")</f>
        <v>Invoice Completed</v>
      </c>
      <c r="I85" s="4" t="str" cm="1">
        <f t="array" ref="I85">_xlfn.IFS((C85+D85)-K85=0,"Payment Completed",AE85&lt;&gt;"","5th payment",AA85&lt;&gt;"","4th payment",W85&lt;&gt;"","3rd payment",S85&lt;&gt;"","2nd payment",O85&lt;&gt;"","1st payment",O85="","Pending 1st Payment")</f>
        <v>Payment Completed</v>
      </c>
      <c r="J85" s="55">
        <f t="shared" si="2"/>
        <v>40000</v>
      </c>
      <c r="K85" s="55">
        <f t="shared" si="3"/>
        <v>40000</v>
      </c>
      <c r="L85" s="65">
        <v>45457</v>
      </c>
      <c r="M85" s="66">
        <v>500</v>
      </c>
      <c r="N85" s="65">
        <v>45457</v>
      </c>
      <c r="O85" s="66">
        <v>500</v>
      </c>
      <c r="P85" s="39">
        <v>45518</v>
      </c>
      <c r="Q85" s="57">
        <v>37500</v>
      </c>
      <c r="R85" s="39">
        <v>45518</v>
      </c>
      <c r="S85" s="57">
        <v>37500</v>
      </c>
      <c r="T85" s="65">
        <v>45618</v>
      </c>
      <c r="U85" s="69">
        <v>2000</v>
      </c>
      <c r="V85" s="65">
        <v>45626</v>
      </c>
      <c r="W85" s="69">
        <v>2000</v>
      </c>
      <c r="X85" s="39"/>
      <c r="Y85" s="57"/>
      <c r="Z85" s="39"/>
      <c r="AA85" s="57"/>
      <c r="AB85" s="65"/>
      <c r="AC85" s="66"/>
      <c r="AD85" s="65"/>
      <c r="AE85" s="66"/>
      <c r="AF85" s="39"/>
      <c r="AG85" s="57"/>
      <c r="AH85" s="39"/>
      <c r="AI85" s="57"/>
    </row>
    <row r="86" spans="1:35" ht="19.5" customHeight="1" x14ac:dyDescent="0.3">
      <c r="A86" s="4">
        <f>'ECN Master Project Tracker new'!A87</f>
        <v>2406336</v>
      </c>
      <c r="B86" s="110" t="str">
        <f>VLOOKUP(A:A,Table1[[Project No]:[Additional Remark]],2,FALSE)</f>
        <v>Alex How Chee Keong</v>
      </c>
      <c r="C86" s="55">
        <f>VLOOKUP(A:A,Table1[[Project No]:[Additional Remark]],11,FALSE)</f>
        <v>31000</v>
      </c>
      <c r="D86" s="55">
        <f>VLOOKUP(A:A,Table1[[Project No]:[Additional Remark]],12,FALSE)</f>
        <v>0</v>
      </c>
      <c r="E86" s="55" t="str">
        <f>VLOOKUP(A:A,Table1[[Project No]:[Additional Remark]],4,FALSE)</f>
        <v>Tham</v>
      </c>
      <c r="F86" s="4" t="str">
        <f>VLOOKUP(A:A,Table1[[Project No]:[Additional Remark]],5,FALSE)</f>
        <v>R-PV</v>
      </c>
      <c r="G86" s="4" t="str">
        <f>VLOOKUP(A:A,Table1[[Project No]:[Additional Remark]],13,FALSE)</f>
        <v>Self finance</v>
      </c>
      <c r="H86" s="4" t="str" cm="1">
        <f t="array" ref="H86">_xlfn.IFS((D86+C86)-J86=0,"Invoice Completed",AC86&lt;&gt;"","5th invoice",Y86&lt;&gt;"","4th invoice",U86&lt;&gt;"","3rd invoice",Q86&lt;&gt;"","2nd invoice",M86&lt;&gt;"","1st invoice",M86="","Pending 1st Invoice")</f>
        <v>Invoice Completed</v>
      </c>
      <c r="I86" s="4" t="str" cm="1">
        <f t="array" ref="I86">_xlfn.IFS((C86+D86)-K86=0,"Payment Completed",AE86&lt;&gt;"","5th payment",AA86&lt;&gt;"","4th payment",W86&lt;&gt;"","3rd payment",S86&lt;&gt;"","2nd payment",O86&lt;&gt;"","1st payment",O86="","Pending 1st Payment")</f>
        <v>Payment Completed</v>
      </c>
      <c r="J86" s="55">
        <f t="shared" si="2"/>
        <v>31000</v>
      </c>
      <c r="K86" s="55">
        <f t="shared" si="3"/>
        <v>31000</v>
      </c>
      <c r="L86" s="65">
        <v>45462</v>
      </c>
      <c r="M86" s="66">
        <v>500</v>
      </c>
      <c r="N86" s="65">
        <v>45462</v>
      </c>
      <c r="O86" s="66">
        <v>500</v>
      </c>
      <c r="P86" s="39">
        <v>45524</v>
      </c>
      <c r="Q86" s="57">
        <v>30500</v>
      </c>
      <c r="R86" s="39">
        <v>45524</v>
      </c>
      <c r="S86" s="57">
        <v>30500</v>
      </c>
      <c r="T86" s="65"/>
      <c r="U86" s="66"/>
      <c r="V86" s="65"/>
      <c r="W86" s="66"/>
      <c r="X86" s="39"/>
      <c r="Y86" s="57"/>
      <c r="Z86" s="39"/>
      <c r="AA86" s="57"/>
      <c r="AB86" s="65"/>
      <c r="AC86" s="66"/>
      <c r="AD86" s="65"/>
      <c r="AE86" s="66"/>
      <c r="AF86" s="39"/>
      <c r="AG86" s="57"/>
      <c r="AH86" s="39"/>
      <c r="AI86" s="57"/>
    </row>
    <row r="87" spans="1:35" ht="19.5" customHeight="1" x14ac:dyDescent="0.3">
      <c r="A87" s="4">
        <f>'ECN Master Project Tracker new'!A88</f>
        <v>2406340</v>
      </c>
      <c r="B87" s="110" t="str">
        <f>VLOOKUP(A:A,Table1[[Project No]:[Additional Remark]],2,FALSE)</f>
        <v>How Mei Cheng</v>
      </c>
      <c r="C87" s="55">
        <f>VLOOKUP(A:A,Table1[[Project No]:[Additional Remark]],11,FALSE)</f>
        <v>24100</v>
      </c>
      <c r="D87" s="55">
        <f>VLOOKUP(A:A,Table1[[Project No]:[Additional Remark]],12,FALSE)</f>
        <v>0</v>
      </c>
      <c r="E87" s="55" t="str">
        <f>VLOOKUP(A:A,Table1[[Project No]:[Additional Remark]],4,FALSE)</f>
        <v>Tham</v>
      </c>
      <c r="F87" s="4" t="str">
        <f>VLOOKUP(A:A,Table1[[Project No]:[Additional Remark]],5,FALSE)</f>
        <v>R-PV</v>
      </c>
      <c r="G87" s="4" t="str">
        <f>VLOOKUP(A:A,Table1[[Project No]:[Additional Remark]],13,FALSE)</f>
        <v>Self finance</v>
      </c>
      <c r="H87" s="4" t="str" cm="1">
        <f t="array" ref="H87">_xlfn.IFS((D87+C87)-J87=0,"Invoice Completed",AC87&lt;&gt;"","5th invoice",Y87&lt;&gt;"","4th invoice",U87&lt;&gt;"","3rd invoice",Q87&lt;&gt;"","2nd invoice",M87&lt;&gt;"","1st invoice",M87="","Pending 1st Invoice")</f>
        <v>Invoice Completed</v>
      </c>
      <c r="I87" s="4" t="str" cm="1">
        <f t="array" ref="I87">_xlfn.IFS((C87+D87)-K87=0,"Payment Completed",AE87&lt;&gt;"","5th payment",AA87&lt;&gt;"","4th payment",W87&lt;&gt;"","3rd payment",S87&lt;&gt;"","2nd payment",O87&lt;&gt;"","1st payment",O87="","Pending 1st Payment")</f>
        <v>Payment Completed</v>
      </c>
      <c r="J87" s="55">
        <f t="shared" si="2"/>
        <v>24100</v>
      </c>
      <c r="K87" s="55">
        <f t="shared" si="3"/>
        <v>24100</v>
      </c>
      <c r="L87" s="65">
        <v>45465</v>
      </c>
      <c r="M87" s="66">
        <v>500</v>
      </c>
      <c r="N87" s="65">
        <v>45465</v>
      </c>
      <c r="O87" s="66">
        <v>500</v>
      </c>
      <c r="P87" s="39">
        <v>45528</v>
      </c>
      <c r="Q87" s="57">
        <v>23600</v>
      </c>
      <c r="R87" s="39">
        <v>45528</v>
      </c>
      <c r="S87" s="57">
        <v>23600</v>
      </c>
      <c r="T87" s="65"/>
      <c r="U87" s="66"/>
      <c r="V87" s="65"/>
      <c r="W87" s="66"/>
      <c r="X87" s="39"/>
      <c r="Y87" s="57"/>
      <c r="Z87" s="39"/>
      <c r="AA87" s="57"/>
      <c r="AB87" s="65"/>
      <c r="AC87" s="66"/>
      <c r="AD87" s="65"/>
      <c r="AE87" s="66"/>
      <c r="AF87" s="39"/>
      <c r="AG87" s="57"/>
      <c r="AH87" s="39"/>
      <c r="AI87" s="57"/>
    </row>
    <row r="88" spans="1:35" ht="19.5" customHeight="1" x14ac:dyDescent="0.3">
      <c r="A88" s="4">
        <f>'ECN Master Project Tracker new'!A89</f>
        <v>2406355</v>
      </c>
      <c r="B88" s="110" t="str">
        <f>VLOOKUP(A:A,Table1[[Project No]:[Additional Remark]],2,FALSE)</f>
        <v>Windy Ng</v>
      </c>
      <c r="C88" s="55">
        <f>VLOOKUP(A:A,Table1[[Project No]:[Additional Remark]],11,FALSE)</f>
        <v>27000</v>
      </c>
      <c r="D88" s="55">
        <f>VLOOKUP(A:A,Table1[[Project No]:[Additional Remark]],12,FALSE)</f>
        <v>-1872</v>
      </c>
      <c r="E88" s="55" t="str">
        <f>VLOOKUP(A:A,Table1[[Project No]:[Additional Remark]],4,FALSE)</f>
        <v>Tham</v>
      </c>
      <c r="F88" s="4" t="str">
        <f>VLOOKUP(A:A,Table1[[Project No]:[Additional Remark]],5,FALSE)</f>
        <v>R-PV</v>
      </c>
      <c r="G88" s="4" t="str">
        <f>VLOOKUP(A:A,Table1[[Project No]:[Additional Remark]],13,FALSE)</f>
        <v>Self finance</v>
      </c>
      <c r="H88" s="4" t="str" cm="1">
        <f t="array" ref="H88">_xlfn.IFS((D88+C88)-J88=0,"Invoice Completed",AC88&lt;&gt;"","5th invoice",Y88&lt;&gt;"","4th invoice",U88&lt;&gt;"","3rd invoice",Q88&lt;&gt;"","2nd invoice",M88&lt;&gt;"","1st invoice",M88="","Pending 1st Invoice")</f>
        <v>Invoice Completed</v>
      </c>
      <c r="I88" s="4" t="str" cm="1">
        <f t="array" ref="I88">_xlfn.IFS((C88+D88)-K88=0,"Payment Completed",AE88&lt;&gt;"","5th payment",AA88&lt;&gt;"","4th payment",W88&lt;&gt;"","3rd payment",S88&lt;&gt;"","2nd payment",O88&lt;&gt;"","1st payment",O88="","Pending 1st Payment")</f>
        <v>Payment Completed</v>
      </c>
      <c r="J88" s="55">
        <f t="shared" si="2"/>
        <v>25128</v>
      </c>
      <c r="K88" s="55">
        <f t="shared" si="3"/>
        <v>25128</v>
      </c>
      <c r="L88" s="65">
        <v>45582</v>
      </c>
      <c r="M88" s="66">
        <v>500</v>
      </c>
      <c r="N88" s="65">
        <v>45582</v>
      </c>
      <c r="O88" s="66">
        <v>500</v>
      </c>
      <c r="P88" s="39">
        <v>45581</v>
      </c>
      <c r="Q88" s="57">
        <v>24500</v>
      </c>
      <c r="R88" s="39">
        <v>45587</v>
      </c>
      <c r="S88" s="57">
        <v>24500</v>
      </c>
      <c r="T88" s="65">
        <v>45582</v>
      </c>
      <c r="U88" s="66">
        <v>128</v>
      </c>
      <c r="V88" s="65">
        <v>45599</v>
      </c>
      <c r="W88" s="66">
        <v>128</v>
      </c>
      <c r="X88" s="39"/>
      <c r="Y88" s="57"/>
      <c r="Z88" s="39"/>
      <c r="AA88" s="57"/>
      <c r="AB88" s="65"/>
      <c r="AC88" s="66"/>
      <c r="AD88" s="65"/>
      <c r="AE88" s="66"/>
      <c r="AF88" s="39"/>
      <c r="AG88" s="57"/>
      <c r="AH88" s="39"/>
      <c r="AI88" s="57"/>
    </row>
    <row r="89" spans="1:35" ht="19.5" customHeight="1" x14ac:dyDescent="0.3">
      <c r="A89" s="4">
        <f>'ECN Master Project Tracker new'!A90</f>
        <v>2406357</v>
      </c>
      <c r="B89" s="110" t="str">
        <f>VLOOKUP(A:A,Table1[[Project No]:[Additional Remark]],2,FALSE)</f>
        <v>Zainuddin Zin</v>
      </c>
      <c r="C89" s="55">
        <f>VLOOKUP(A:A,Table1[[Project No]:[Additional Remark]],11,FALSE)</f>
        <v>38000</v>
      </c>
      <c r="D89" s="55">
        <f>VLOOKUP(A:A,Table1[[Project No]:[Additional Remark]],12,FALSE)</f>
        <v>0</v>
      </c>
      <c r="E89" s="55" t="str">
        <f>VLOOKUP(A:A,Table1[[Project No]:[Additional Remark]],4,FALSE)</f>
        <v>Patricia</v>
      </c>
      <c r="F89" s="4" t="str">
        <f>VLOOKUP(A:A,Table1[[Project No]:[Additional Remark]],5,FALSE)</f>
        <v>R-PV</v>
      </c>
      <c r="G89" s="4" t="str">
        <f>VLOOKUP(A:A,Table1[[Project No]:[Additional Remark]],13,FALSE)</f>
        <v>Self finance</v>
      </c>
      <c r="H89" s="4" t="str" cm="1">
        <f t="array" ref="H89">_xlfn.IFS((D89+C89)-J89=0,"Invoice Completed",AC89&lt;&gt;"","5th invoice",Y89&lt;&gt;"","4th invoice",U89&lt;&gt;"","3rd invoice",Q89&lt;&gt;"","2nd invoice",M89&lt;&gt;"","1st invoice",M89="","Pending 1st Invoice")</f>
        <v>Invoice Completed</v>
      </c>
      <c r="I89" s="4" t="str" cm="1">
        <f t="array" ref="I89">_xlfn.IFS((C89+D89)-K89=0,"Payment Completed",AE89&lt;&gt;"","5th payment",AA89&lt;&gt;"","4th payment",W89&lt;&gt;"","3rd payment",S89&lt;&gt;"","2nd payment",O89&lt;&gt;"","1st payment",O89="","Pending 1st Payment")</f>
        <v>Payment Completed</v>
      </c>
      <c r="J89" s="55">
        <f t="shared" si="2"/>
        <v>38000</v>
      </c>
      <c r="K89" s="55">
        <f t="shared" si="3"/>
        <v>38000</v>
      </c>
      <c r="L89" s="65">
        <v>45471</v>
      </c>
      <c r="M89" s="66">
        <v>500</v>
      </c>
      <c r="N89" s="65">
        <v>45471</v>
      </c>
      <c r="O89" s="66">
        <v>500</v>
      </c>
      <c r="P89" s="39">
        <v>45534</v>
      </c>
      <c r="Q89" s="57">
        <v>35500</v>
      </c>
      <c r="R89" s="39">
        <v>45534</v>
      </c>
      <c r="S89" s="57">
        <v>35500</v>
      </c>
      <c r="T89" s="65">
        <v>45640</v>
      </c>
      <c r="U89" s="66">
        <v>2000</v>
      </c>
      <c r="V89" s="65">
        <v>45640</v>
      </c>
      <c r="W89" s="66">
        <v>2000</v>
      </c>
      <c r="X89" s="39"/>
      <c r="Y89" s="57"/>
      <c r="Z89" s="39"/>
      <c r="AA89" s="57"/>
      <c r="AB89" s="65"/>
      <c r="AC89" s="66"/>
      <c r="AD89" s="65"/>
      <c r="AE89" s="66"/>
      <c r="AF89" s="39"/>
      <c r="AG89" s="57"/>
      <c r="AH89" s="39"/>
      <c r="AI89" s="57"/>
    </row>
    <row r="90" spans="1:35" ht="19.5" customHeight="1" x14ac:dyDescent="0.3">
      <c r="A90" s="4">
        <f>'ECN Master Project Tracker new'!A91</f>
        <v>2405019</v>
      </c>
      <c r="B90" s="110" t="str">
        <f>VLOOKUP(A:A,Table1[[Project No]:[Additional Remark]],2,FALSE)</f>
        <v>Handal Green Mobility Sdn Bhd (Encore Melaka)</v>
      </c>
      <c r="C90" s="55">
        <f>VLOOKUP(A:A,Table1[[Project No]:[Additional Remark]],11,FALSE)</f>
        <v>90800</v>
      </c>
      <c r="D90" s="55">
        <f>VLOOKUP(A:A,Table1[[Project No]:[Additional Remark]],12,FALSE)</f>
        <v>0</v>
      </c>
      <c r="E90" s="55" t="str">
        <f>VLOOKUP(A:A,Table1[[Project No]:[Additional Remark]],4,FALSE)</f>
        <v>Simon</v>
      </c>
      <c r="F90" s="4" t="str">
        <f>VLOOKUP(A:A,Table1[[Project No]:[Additional Remark]],5,FALSE)</f>
        <v>EV Charger</v>
      </c>
      <c r="G90" s="4" t="str">
        <f>VLOOKUP(A:A,Table1[[Project No]:[Additional Remark]],13,FALSE)</f>
        <v>Cash</v>
      </c>
      <c r="H90" s="4" t="str" cm="1">
        <f t="array" ref="H90">_xlfn.IFS((D90+C90)-J90=0,"Invoice Completed",AC90&lt;&gt;"","5th invoice",Y90&lt;&gt;"","4th invoice",U90&lt;&gt;"","3rd invoice",Q90&lt;&gt;"","2nd invoice",M90&lt;&gt;"","1st invoice",M90="","Pending 1st Invoice")</f>
        <v>Invoice Completed</v>
      </c>
      <c r="I90" s="4" t="str" cm="1">
        <f t="array" ref="I90">_xlfn.IFS((C90+D90)-K90=0,"Payment Completed",AE90&lt;&gt;"","5th payment",AA90&lt;&gt;"","4th payment",W90&lt;&gt;"","3rd payment",S90&lt;&gt;"","2nd payment",O90&lt;&gt;"","1st payment",O90="","Pending 1st Payment")</f>
        <v>Payment Completed</v>
      </c>
      <c r="J90" s="55">
        <f t="shared" si="2"/>
        <v>90800</v>
      </c>
      <c r="K90" s="55">
        <f t="shared" si="3"/>
        <v>90800</v>
      </c>
      <c r="L90" s="65">
        <v>45478</v>
      </c>
      <c r="M90" s="66">
        <v>45400</v>
      </c>
      <c r="N90" s="65">
        <v>45482</v>
      </c>
      <c r="O90" s="66">
        <v>45400</v>
      </c>
      <c r="P90" s="39">
        <v>45517</v>
      </c>
      <c r="Q90" s="57">
        <v>45400</v>
      </c>
      <c r="R90" s="39">
        <v>45544</v>
      </c>
      <c r="S90" s="57">
        <v>45400</v>
      </c>
      <c r="T90" s="65"/>
      <c r="U90" s="66"/>
      <c r="V90" s="65"/>
      <c r="W90" s="66"/>
      <c r="X90" s="39"/>
      <c r="Y90" s="57"/>
      <c r="Z90" s="39"/>
      <c r="AA90" s="57"/>
      <c r="AB90" s="65"/>
      <c r="AC90" s="66"/>
      <c r="AD90" s="65"/>
      <c r="AE90" s="66"/>
      <c r="AF90" s="39"/>
      <c r="AG90" s="57"/>
      <c r="AH90" s="39"/>
      <c r="AI90" s="57"/>
    </row>
    <row r="91" spans="1:35" ht="19.5" customHeight="1" x14ac:dyDescent="0.3">
      <c r="A91" s="4">
        <f>'ECN Master Project Tracker new'!A92</f>
        <v>2406358</v>
      </c>
      <c r="B91" s="110" t="str">
        <f>VLOOKUP(A:A,Table1[[Project No]:[Additional Remark]],2,FALSE)</f>
        <v>Kwan Li Shan</v>
      </c>
      <c r="C91" s="55">
        <f>VLOOKUP(A:A,Table1[[Project No]:[Additional Remark]],11,FALSE)</f>
        <v>30000</v>
      </c>
      <c r="D91" s="55">
        <f>VLOOKUP(A:A,Table1[[Project No]:[Additional Remark]],12,FALSE)</f>
        <v>0</v>
      </c>
      <c r="E91" s="55" t="str">
        <f>VLOOKUP(A:A,Table1[[Project No]:[Additional Remark]],4,FALSE)</f>
        <v>Tham</v>
      </c>
      <c r="F91" s="4" t="str">
        <f>VLOOKUP(A:A,Table1[[Project No]:[Additional Remark]],5,FALSE)</f>
        <v>R-PV</v>
      </c>
      <c r="G91" s="4" t="str">
        <f>VLOOKUP(A:A,Table1[[Project No]:[Additional Remark]],13,FALSE)</f>
        <v>Self finance</v>
      </c>
      <c r="H91" s="4" t="str" cm="1">
        <f t="array" ref="H91">_xlfn.IFS((D91+C91)-J91=0,"Invoice Completed",AC91&lt;&gt;"","5th invoice",Y91&lt;&gt;"","4th invoice",U91&lt;&gt;"","3rd invoice",Q91&lt;&gt;"","2nd invoice",M91&lt;&gt;"","1st invoice",M91="","Pending 1st Invoice")</f>
        <v>Invoice Completed</v>
      </c>
      <c r="I91" s="4" t="str" cm="1">
        <f t="array" ref="I91">_xlfn.IFS((C91+D91)-K91=0,"Payment Completed",AE91&lt;&gt;"","5th payment",AA91&lt;&gt;"","4th payment",W91&lt;&gt;"","3rd payment",S91&lt;&gt;"","2nd payment",O91&lt;&gt;"","1st payment",O91="","Pending 1st Payment")</f>
        <v>Payment Completed</v>
      </c>
      <c r="J91" s="55">
        <f t="shared" si="2"/>
        <v>30000</v>
      </c>
      <c r="K91" s="55">
        <f t="shared" si="3"/>
        <v>30000</v>
      </c>
      <c r="L91" s="65">
        <v>45471</v>
      </c>
      <c r="M91" s="66">
        <v>500</v>
      </c>
      <c r="N91" s="65">
        <v>45471</v>
      </c>
      <c r="O91" s="66">
        <v>500</v>
      </c>
      <c r="P91" s="39">
        <v>45548</v>
      </c>
      <c r="Q91" s="57">
        <v>27500</v>
      </c>
      <c r="R91" s="39">
        <v>45549</v>
      </c>
      <c r="S91" s="57">
        <v>27500</v>
      </c>
      <c r="T91" s="65">
        <v>45618</v>
      </c>
      <c r="U91" s="69">
        <v>2000</v>
      </c>
      <c r="V91" s="65">
        <v>45624</v>
      </c>
      <c r="W91" s="69">
        <v>2000</v>
      </c>
      <c r="X91" s="39"/>
      <c r="Y91" s="57"/>
      <c r="Z91" s="39"/>
      <c r="AA91" s="57"/>
      <c r="AB91" s="65"/>
      <c r="AC91" s="66"/>
      <c r="AD91" s="65"/>
      <c r="AE91" s="66"/>
      <c r="AF91" s="39"/>
      <c r="AG91" s="57"/>
      <c r="AH91" s="39"/>
      <c r="AI91" s="57"/>
    </row>
    <row r="92" spans="1:35" ht="19.5" customHeight="1" x14ac:dyDescent="0.3">
      <c r="A92" s="4">
        <f>'ECN Master Project Tracker new'!A93</f>
        <v>2407360</v>
      </c>
      <c r="B92" s="110" t="str">
        <f>VLOOKUP(A:A,Table1[[Project No]:[Additional Remark]],2,FALSE)</f>
        <v>Liau Hui Kiem</v>
      </c>
      <c r="C92" s="55">
        <f>VLOOKUP(A:A,Table1[[Project No]:[Additional Remark]],11,FALSE)</f>
        <v>45020</v>
      </c>
      <c r="D92" s="55">
        <f>VLOOKUP(A:A,Table1[[Project No]:[Additional Remark]],12,FALSE)</f>
        <v>0</v>
      </c>
      <c r="E92" s="55" t="str">
        <f>VLOOKUP(A:A,Table1[[Project No]:[Additional Remark]],4,FALSE)</f>
        <v>Tham</v>
      </c>
      <c r="F92" s="4" t="str">
        <f>VLOOKUP(A:A,Table1[[Project No]:[Additional Remark]],5,FALSE)</f>
        <v>R-PV</v>
      </c>
      <c r="G92" s="4" t="str">
        <f>VLOOKUP(A:A,Table1[[Project No]:[Additional Remark]],13,FALSE)</f>
        <v>Credit Card Instalment</v>
      </c>
      <c r="H92" s="4" t="str" cm="1">
        <f t="array" ref="H92">_xlfn.IFS((D92+C92)-J92=0,"Invoice Completed",AC92&lt;&gt;"","5th invoice",Y92&lt;&gt;"","4th invoice",U92&lt;&gt;"","3rd invoice",Q92&lt;&gt;"","2nd invoice",M92&lt;&gt;"","1st invoice",M92="","Pending 1st Invoice")</f>
        <v>Invoice Completed</v>
      </c>
      <c r="I92" s="4" t="str" cm="1">
        <f t="array" ref="I92">_xlfn.IFS((C92+D92)-K92=0,"Payment Completed",AE92&lt;&gt;"","5th payment",AA92&lt;&gt;"","4th payment",W92&lt;&gt;"","3rd payment",S92&lt;&gt;"","2nd payment",O92&lt;&gt;"","1st payment",O92="","Pending 1st Payment")</f>
        <v>Payment Completed</v>
      </c>
      <c r="J92" s="55">
        <f t="shared" si="2"/>
        <v>45020</v>
      </c>
      <c r="K92" s="55">
        <f t="shared" si="3"/>
        <v>45020</v>
      </c>
      <c r="L92" s="65">
        <v>45561</v>
      </c>
      <c r="M92" s="66">
        <v>500</v>
      </c>
      <c r="N92" s="65">
        <v>45561</v>
      </c>
      <c r="O92" s="66">
        <v>500</v>
      </c>
      <c r="P92" s="39">
        <v>45561</v>
      </c>
      <c r="Q92" s="57">
        <v>44520</v>
      </c>
      <c r="R92" s="39">
        <v>45561</v>
      </c>
      <c r="S92" s="57">
        <v>44520</v>
      </c>
      <c r="T92" s="65"/>
      <c r="U92" s="66"/>
      <c r="V92" s="65"/>
      <c r="W92" s="66"/>
      <c r="X92" s="39"/>
      <c r="Y92" s="57"/>
      <c r="Z92" s="39"/>
      <c r="AA92" s="57"/>
      <c r="AB92" s="65"/>
      <c r="AC92" s="66"/>
      <c r="AD92" s="65"/>
      <c r="AE92" s="66"/>
      <c r="AF92" s="39"/>
      <c r="AG92" s="57"/>
      <c r="AH92" s="39"/>
      <c r="AI92" s="57"/>
    </row>
    <row r="93" spans="1:35" ht="19.5" customHeight="1" x14ac:dyDescent="0.3">
      <c r="A93" s="4">
        <f>'ECN Master Project Tracker new'!A94</f>
        <v>2407364</v>
      </c>
      <c r="B93" s="110" t="str">
        <f>VLOOKUP(A:A,Table1[[Project No]:[Additional Remark]],2,FALSE)</f>
        <v>Mohd Nasir Man</v>
      </c>
      <c r="C93" s="55">
        <f>VLOOKUP(A:A,Table1[[Project No]:[Additional Remark]],11,FALSE)</f>
        <v>25000</v>
      </c>
      <c r="D93" s="55">
        <f>VLOOKUP(A:A,Table1[[Project No]:[Additional Remark]],12,FALSE)</f>
        <v>0</v>
      </c>
      <c r="E93" s="55" t="str">
        <f>VLOOKUP(A:A,Table1[[Project No]:[Additional Remark]],4,FALSE)</f>
        <v>Patricia</v>
      </c>
      <c r="F93" s="4" t="str">
        <f>VLOOKUP(A:A,Table1[[Project No]:[Additional Remark]],5,FALSE)</f>
        <v>R-PV</v>
      </c>
      <c r="G93" s="4" t="str">
        <f>VLOOKUP(A:A,Table1[[Project No]:[Additional Remark]],13,FALSE)</f>
        <v>Self finance</v>
      </c>
      <c r="H93" s="4" t="str" cm="1">
        <f t="array" ref="H93">_xlfn.IFS((D93+C93)-J93=0,"Invoice Completed",AC93&lt;&gt;"","5th invoice",Y93&lt;&gt;"","4th invoice",U93&lt;&gt;"","3rd invoice",Q93&lt;&gt;"","2nd invoice",M93&lt;&gt;"","1st invoice",M93="","Pending 1st Invoice")</f>
        <v>Invoice Completed</v>
      </c>
      <c r="I93" s="4" t="str" cm="1">
        <f t="array" ref="I93">_xlfn.IFS((C93+D93)-K93=0,"Payment Completed",AE93&lt;&gt;"","5th payment",AA93&lt;&gt;"","4th payment",W93&lt;&gt;"","3rd payment",S93&lt;&gt;"","2nd payment",O93&lt;&gt;"","1st payment",O93="","Pending 1st Payment")</f>
        <v>Payment Completed</v>
      </c>
      <c r="J93" s="55">
        <f t="shared" si="2"/>
        <v>25000</v>
      </c>
      <c r="K93" s="55">
        <f t="shared" si="3"/>
        <v>25000</v>
      </c>
      <c r="L93" s="65">
        <v>45542</v>
      </c>
      <c r="M93" s="66">
        <v>500</v>
      </c>
      <c r="N93" s="65">
        <v>45542</v>
      </c>
      <c r="O93" s="66">
        <v>500</v>
      </c>
      <c r="P93" s="39">
        <v>45534</v>
      </c>
      <c r="Q93" s="57">
        <v>22500</v>
      </c>
      <c r="R93" s="39">
        <v>45547</v>
      </c>
      <c r="S93" s="57">
        <v>22500</v>
      </c>
      <c r="T93" s="65">
        <v>45639</v>
      </c>
      <c r="U93" s="69">
        <v>2000</v>
      </c>
      <c r="V93" s="65">
        <v>45769</v>
      </c>
      <c r="W93" s="69">
        <v>2000</v>
      </c>
      <c r="X93" s="39"/>
      <c r="Y93" s="57"/>
      <c r="Z93" s="39"/>
      <c r="AA93" s="57"/>
      <c r="AB93" s="65"/>
      <c r="AC93" s="66"/>
      <c r="AD93" s="65"/>
      <c r="AE93" s="66"/>
      <c r="AF93" s="39"/>
      <c r="AG93" s="57"/>
      <c r="AH93" s="39"/>
      <c r="AI93" s="57"/>
    </row>
    <row r="94" spans="1:35" ht="19.5" customHeight="1" x14ac:dyDescent="0.3">
      <c r="A94" s="4">
        <f>'ECN Master Project Tracker new'!A95</f>
        <v>2407375</v>
      </c>
      <c r="B94" s="110" t="str">
        <f>VLOOKUP(A:A,Table1[[Project No]:[Additional Remark]],2,FALSE)</f>
        <v>Tan Ger Ber</v>
      </c>
      <c r="C94" s="55">
        <f>VLOOKUP(A:A,Table1[[Project No]:[Additional Remark]],11,FALSE)</f>
        <v>39980</v>
      </c>
      <c r="D94" s="55">
        <f>VLOOKUP(A:A,Table1[[Project No]:[Additional Remark]],12,FALSE)</f>
        <v>0</v>
      </c>
      <c r="E94" s="55" t="str">
        <f>VLOOKUP(A:A,Table1[[Project No]:[Additional Remark]],4,FALSE)</f>
        <v>Tham</v>
      </c>
      <c r="F94" s="4" t="str">
        <f>VLOOKUP(A:A,Table1[[Project No]:[Additional Remark]],5,FALSE)</f>
        <v>R-PV</v>
      </c>
      <c r="G94" s="4" t="str">
        <f>VLOOKUP(A:A,Table1[[Project No]:[Additional Remark]],13,FALSE)</f>
        <v>Credit Card Instalment</v>
      </c>
      <c r="H94" s="4" t="str" cm="1">
        <f t="array" ref="H94">_xlfn.IFS((D94+C94)-J94=0,"Invoice Completed",AC94&lt;&gt;"","5th invoice",Y94&lt;&gt;"","4th invoice",U94&lt;&gt;"","3rd invoice",Q94&lt;&gt;"","2nd invoice",M94&lt;&gt;"","1st invoice",M94="","Pending 1st Invoice")</f>
        <v>Invoice Completed</v>
      </c>
      <c r="I94" s="4" t="str" cm="1">
        <f t="array" ref="I94">_xlfn.IFS((C94+D94)-K94=0,"Payment Completed",AE94&lt;&gt;"","5th payment",AA94&lt;&gt;"","4th payment",W94&lt;&gt;"","3rd payment",S94&lt;&gt;"","2nd payment",O94&lt;&gt;"","1st payment",O94="","Pending 1st Payment")</f>
        <v>Payment Completed</v>
      </c>
      <c r="J94" s="55">
        <f t="shared" si="2"/>
        <v>39980</v>
      </c>
      <c r="K94" s="55">
        <f t="shared" si="3"/>
        <v>39980</v>
      </c>
      <c r="L94" s="65">
        <v>45485</v>
      </c>
      <c r="M94" s="66">
        <v>500</v>
      </c>
      <c r="N94" s="65">
        <v>45485</v>
      </c>
      <c r="O94" s="66">
        <v>500</v>
      </c>
      <c r="P94" s="39">
        <v>45547</v>
      </c>
      <c r="Q94" s="57">
        <v>39480</v>
      </c>
      <c r="R94" s="39">
        <v>45547</v>
      </c>
      <c r="S94" s="57">
        <v>39480</v>
      </c>
      <c r="T94" s="65"/>
      <c r="U94" s="66"/>
      <c r="V94" s="65"/>
      <c r="W94" s="66"/>
      <c r="X94" s="39"/>
      <c r="Y94" s="57"/>
      <c r="Z94" s="39"/>
      <c r="AA94" s="57"/>
      <c r="AB94" s="65"/>
      <c r="AC94" s="66"/>
      <c r="AD94" s="65"/>
      <c r="AE94" s="66"/>
      <c r="AF94" s="39"/>
      <c r="AG94" s="57"/>
      <c r="AH94" s="39"/>
      <c r="AI94" s="57"/>
    </row>
    <row r="95" spans="1:35" ht="19.5" customHeight="1" x14ac:dyDescent="0.3">
      <c r="A95" s="4">
        <f>'ECN Master Project Tracker new'!A96</f>
        <v>2407379</v>
      </c>
      <c r="B95" s="110" t="str">
        <f>VLOOKUP(A:A,Table1[[Project No]:[Additional Remark]],2,FALSE)</f>
        <v>Ng Boon Kiat (Daniel)</v>
      </c>
      <c r="C95" s="55">
        <f>VLOOKUP(A:A,Table1[[Project No]:[Additional Remark]],11,FALSE)</f>
        <v>22860</v>
      </c>
      <c r="D95" s="55">
        <f>VLOOKUP(A:A,Table1[[Project No]:[Additional Remark]],12,FALSE)</f>
        <v>0</v>
      </c>
      <c r="E95" s="55" t="str">
        <f>VLOOKUP(A:A,Table1[[Project No]:[Additional Remark]],4,FALSE)</f>
        <v>Chean Bang</v>
      </c>
      <c r="F95" s="4" t="str">
        <f>VLOOKUP(A:A,Table1[[Project No]:[Additional Remark]],5,FALSE)</f>
        <v>R-PV</v>
      </c>
      <c r="G95" s="4" t="str">
        <f>VLOOKUP(A:A,Table1[[Project No]:[Additional Remark]],13,FALSE)</f>
        <v>Cash + Credit Card Instalment</v>
      </c>
      <c r="H95" s="4" t="str" cm="1">
        <f t="array" ref="H95">_xlfn.IFS((D95+C95)-J95=0,"Invoice Completed",AC95&lt;&gt;"","5th invoice",Y95&lt;&gt;"","4th invoice",U95&lt;&gt;"","3rd invoice",Q95&lt;&gt;"","2nd invoice",M95&lt;&gt;"","1st invoice",M95="","Pending 1st Invoice")</f>
        <v>Invoice Completed</v>
      </c>
      <c r="I95" s="4" t="str" cm="1">
        <f t="array" ref="I95">_xlfn.IFS((C95+D95)-K95=0,"Payment Completed",AE95&lt;&gt;"","5th payment",AA95&lt;&gt;"","4th payment",W95&lt;&gt;"","3rd payment",S95&lt;&gt;"","2nd payment",O95&lt;&gt;"","1st payment",O95="","Pending 1st Payment")</f>
        <v>Payment Completed</v>
      </c>
      <c r="J95" s="55">
        <f t="shared" si="2"/>
        <v>22860</v>
      </c>
      <c r="K95" s="55">
        <f t="shared" si="3"/>
        <v>22860</v>
      </c>
      <c r="L95" s="65">
        <v>45484</v>
      </c>
      <c r="M95" s="66">
        <v>500</v>
      </c>
      <c r="N95" s="65">
        <v>45484</v>
      </c>
      <c r="O95" s="66">
        <v>500</v>
      </c>
      <c r="P95" s="39">
        <v>45589</v>
      </c>
      <c r="Q95" s="57">
        <v>22360</v>
      </c>
      <c r="R95" s="39">
        <v>45589</v>
      </c>
      <c r="S95" s="57">
        <v>22360</v>
      </c>
      <c r="T95" s="65"/>
      <c r="U95" s="66"/>
      <c r="V95" s="65"/>
      <c r="W95" s="66"/>
      <c r="X95" s="39"/>
      <c r="Y95" s="57"/>
      <c r="Z95" s="39"/>
      <c r="AA95" s="57"/>
      <c r="AB95" s="65"/>
      <c r="AC95" s="66"/>
      <c r="AD95" s="65"/>
      <c r="AE95" s="66"/>
      <c r="AF95" s="39"/>
      <c r="AG95" s="57"/>
      <c r="AH95" s="39"/>
      <c r="AI95" s="57"/>
    </row>
    <row r="96" spans="1:35" ht="19.5" customHeight="1" x14ac:dyDescent="0.3">
      <c r="A96" s="4">
        <f>'ECN Master Project Tracker new'!A97</f>
        <v>2407380</v>
      </c>
      <c r="B96" s="110" t="str">
        <f>VLOOKUP(A:A,Table1[[Project No]:[Additional Remark]],2,FALSE)</f>
        <v>How Yee Seun</v>
      </c>
      <c r="C96" s="55">
        <f>VLOOKUP(A:A,Table1[[Project No]:[Additional Remark]],11,FALSE)</f>
        <v>38000</v>
      </c>
      <c r="D96" s="55">
        <f>VLOOKUP(A:A,Table1[[Project No]:[Additional Remark]],12,FALSE)</f>
        <v>0</v>
      </c>
      <c r="E96" s="55" t="str">
        <f>VLOOKUP(A:A,Table1[[Project No]:[Additional Remark]],4,FALSE)</f>
        <v>Tham</v>
      </c>
      <c r="F96" s="4" t="str">
        <f>VLOOKUP(A:A,Table1[[Project No]:[Additional Remark]],5,FALSE)</f>
        <v>R-PV</v>
      </c>
      <c r="G96" s="4" t="str">
        <f>VLOOKUP(A:A,Table1[[Project No]:[Additional Remark]],13,FALSE)</f>
        <v>Self finance</v>
      </c>
      <c r="H96" s="4" t="str" cm="1">
        <f t="array" ref="H96">_xlfn.IFS((D96+C96)-J96=0,"Invoice Completed",AC96&lt;&gt;"","5th invoice",Y96&lt;&gt;"","4th invoice",U96&lt;&gt;"","3rd invoice",Q96&lt;&gt;"","2nd invoice",M96&lt;&gt;"","1st invoice",M96="","Pending 1st Invoice")</f>
        <v>Invoice Completed</v>
      </c>
      <c r="I96" s="4" t="str" cm="1">
        <f t="array" ref="I96">_xlfn.IFS((C96+D96)-K96=0,"Payment Completed",AE96&lt;&gt;"","5th payment",AA96&lt;&gt;"","4th payment",W96&lt;&gt;"","3rd payment",S96&lt;&gt;"","2nd payment",O96&lt;&gt;"","1st payment",O96="","Pending 1st Payment")</f>
        <v>Payment Completed</v>
      </c>
      <c r="J96" s="55">
        <f t="shared" si="2"/>
        <v>38000</v>
      </c>
      <c r="K96" s="55">
        <f t="shared" si="3"/>
        <v>38000</v>
      </c>
      <c r="L96" s="65">
        <v>45486</v>
      </c>
      <c r="M96" s="66">
        <v>500</v>
      </c>
      <c r="N96" s="65">
        <v>45486</v>
      </c>
      <c r="O96" s="66">
        <v>500</v>
      </c>
      <c r="P96" s="39">
        <v>45530</v>
      </c>
      <c r="Q96" s="57">
        <v>37500</v>
      </c>
      <c r="R96" s="39">
        <v>45530</v>
      </c>
      <c r="S96" s="57">
        <v>37500</v>
      </c>
      <c r="T96" s="65"/>
      <c r="U96" s="66"/>
      <c r="V96" s="65"/>
      <c r="W96" s="66"/>
      <c r="X96" s="39"/>
      <c r="Y96" s="57"/>
      <c r="Z96" s="39"/>
      <c r="AA96" s="57"/>
      <c r="AB96" s="65"/>
      <c r="AC96" s="66"/>
      <c r="AD96" s="65"/>
      <c r="AE96" s="66"/>
      <c r="AF96" s="39"/>
      <c r="AG96" s="57"/>
      <c r="AH96" s="39"/>
      <c r="AI96" s="57"/>
    </row>
    <row r="97" spans="1:35" ht="19.5" customHeight="1" x14ac:dyDescent="0.3">
      <c r="A97" s="4">
        <f>'ECN Master Project Tracker new'!A98</f>
        <v>2407381</v>
      </c>
      <c r="B97" s="110" t="str">
        <f>VLOOKUP(A:A,Table1[[Project No]:[Additional Remark]],2,FALSE)</f>
        <v>Lau Ah Leng</v>
      </c>
      <c r="C97" s="55">
        <f>VLOOKUP(A:A,Table1[[Project No]:[Additional Remark]],11,FALSE)</f>
        <v>36680</v>
      </c>
      <c r="D97" s="55">
        <f>VLOOKUP(A:A,Table1[[Project No]:[Additional Remark]],12,FALSE)</f>
        <v>0</v>
      </c>
      <c r="E97" s="55" t="str">
        <f>VLOOKUP(A:A,Table1[[Project No]:[Additional Remark]],4,FALSE)</f>
        <v>Tham</v>
      </c>
      <c r="F97" s="4" t="str">
        <f>VLOOKUP(A:A,Table1[[Project No]:[Additional Remark]],5,FALSE)</f>
        <v>R-PV</v>
      </c>
      <c r="G97" s="4" t="str">
        <f>VLOOKUP(A:A,Table1[[Project No]:[Additional Remark]],13,FALSE)</f>
        <v>Self finance</v>
      </c>
      <c r="H97" s="4" t="str" cm="1">
        <f t="array" ref="H97">_xlfn.IFS((D97+C97)-J97=0,"Invoice Completed",AC97&lt;&gt;"","5th invoice",Y97&lt;&gt;"","4th invoice",U97&lt;&gt;"","3rd invoice",Q97&lt;&gt;"","2nd invoice",M97&lt;&gt;"","1st invoice",M97="","Pending 1st Invoice")</f>
        <v>Invoice Completed</v>
      </c>
      <c r="I97" s="4" t="str" cm="1">
        <f t="array" ref="I97">_xlfn.IFS((C97+D97)-K97=0,"Payment Completed",AE97&lt;&gt;"","5th payment",AA97&lt;&gt;"","4th payment",W97&lt;&gt;"","3rd payment",S97&lt;&gt;"","2nd payment",O97&lt;&gt;"","1st payment",O97="","Pending 1st Payment")</f>
        <v>Payment Completed</v>
      </c>
      <c r="J97" s="55">
        <f t="shared" si="2"/>
        <v>36680</v>
      </c>
      <c r="K97" s="55">
        <f t="shared" si="3"/>
        <v>36680</v>
      </c>
      <c r="L97" s="65">
        <v>45486</v>
      </c>
      <c r="M97" s="66">
        <v>500</v>
      </c>
      <c r="N97" s="65">
        <v>45486</v>
      </c>
      <c r="O97" s="66">
        <v>500</v>
      </c>
      <c r="P97" s="39">
        <v>45588</v>
      </c>
      <c r="Q97" s="57">
        <v>36180</v>
      </c>
      <c r="R97" s="39">
        <v>45588</v>
      </c>
      <c r="S97" s="57">
        <v>36180</v>
      </c>
      <c r="T97" s="65"/>
      <c r="U97" s="66"/>
      <c r="V97" s="65"/>
      <c r="W97" s="66"/>
      <c r="X97" s="39"/>
      <c r="Y97" s="57"/>
      <c r="Z97" s="39"/>
      <c r="AA97" s="57"/>
      <c r="AB97" s="65"/>
      <c r="AC97" s="66"/>
      <c r="AD97" s="65"/>
      <c r="AE97" s="66"/>
      <c r="AF97" s="39"/>
      <c r="AG97" s="57"/>
      <c r="AH97" s="39"/>
      <c r="AI97" s="57"/>
    </row>
    <row r="98" spans="1:35" ht="19.5" customHeight="1" x14ac:dyDescent="0.3">
      <c r="A98" s="4">
        <f>'ECN Master Project Tracker new'!A99</f>
        <v>2407382</v>
      </c>
      <c r="B98" s="110" t="str">
        <f>VLOOKUP(A:A,Table1[[Project No]:[Additional Remark]],2,FALSE)</f>
        <v>Leong Tack Ming</v>
      </c>
      <c r="C98" s="55">
        <f>VLOOKUP(A:A,Table1[[Project No]:[Additional Remark]],11,FALSE)</f>
        <v>29840</v>
      </c>
      <c r="D98" s="55">
        <f>VLOOKUP(A:A,Table1[[Project No]:[Additional Remark]],12,FALSE)</f>
        <v>0</v>
      </c>
      <c r="E98" s="55" t="str">
        <f>VLOOKUP(A:A,Table1[[Project No]:[Additional Remark]],4,FALSE)</f>
        <v>Tham</v>
      </c>
      <c r="F98" s="4" t="str">
        <f>VLOOKUP(A:A,Table1[[Project No]:[Additional Remark]],5,FALSE)</f>
        <v>R-PV</v>
      </c>
      <c r="G98" s="4" t="str">
        <f>VLOOKUP(A:A,Table1[[Project No]:[Additional Remark]],13,FALSE)</f>
        <v>Credit Card Instalment</v>
      </c>
      <c r="H98" s="4" t="str" cm="1">
        <f t="array" ref="H98">_xlfn.IFS((D98+C98)-J98=0,"Invoice Completed",AC98&lt;&gt;"","5th invoice",Y98&lt;&gt;"","4th invoice",U98&lt;&gt;"","3rd invoice",Q98&lt;&gt;"","2nd invoice",M98&lt;&gt;"","1st invoice",M98="","Pending 1st Invoice")</f>
        <v>Invoice Completed</v>
      </c>
      <c r="I98" s="4" t="str" cm="1">
        <f t="array" ref="I98">_xlfn.IFS((C98+D98)-K98=0,"Payment Completed",AE98&lt;&gt;"","5th payment",AA98&lt;&gt;"","4th payment",W98&lt;&gt;"","3rd payment",S98&lt;&gt;"","2nd payment",O98&lt;&gt;"","1st payment",O98="","Pending 1st Payment")</f>
        <v>Payment Completed</v>
      </c>
      <c r="J98" s="55">
        <f t="shared" si="2"/>
        <v>29840</v>
      </c>
      <c r="K98" s="55">
        <f t="shared" si="3"/>
        <v>29840</v>
      </c>
      <c r="L98" s="65">
        <v>45488</v>
      </c>
      <c r="M98" s="66">
        <v>500</v>
      </c>
      <c r="N98" s="65">
        <v>45488</v>
      </c>
      <c r="O98" s="66">
        <v>500</v>
      </c>
      <c r="P98" s="39">
        <v>45738</v>
      </c>
      <c r="Q98" s="57">
        <v>29340</v>
      </c>
      <c r="R98" s="39">
        <v>45738</v>
      </c>
      <c r="S98" s="57">
        <v>29340</v>
      </c>
      <c r="T98" s="65"/>
      <c r="U98" s="66"/>
      <c r="V98" s="65"/>
      <c r="W98" s="66"/>
      <c r="X98" s="39"/>
      <c r="Y98" s="57"/>
      <c r="Z98" s="39"/>
      <c r="AA98" s="57"/>
      <c r="AB98" s="65"/>
      <c r="AC98" s="66"/>
      <c r="AD98" s="65"/>
      <c r="AE98" s="66"/>
      <c r="AF98" s="39"/>
      <c r="AG98" s="57"/>
      <c r="AH98" s="39"/>
      <c r="AI98" s="57"/>
    </row>
    <row r="99" spans="1:35" ht="19.5" customHeight="1" x14ac:dyDescent="0.3">
      <c r="A99" s="4">
        <f>'ECN Master Project Tracker new'!A100</f>
        <v>2407383</v>
      </c>
      <c r="B99" s="110" t="str">
        <f>VLOOKUP(A:A,Table1[[Project No]:[Additional Remark]],2,FALSE)</f>
        <v>Charles Lew Chow Leng</v>
      </c>
      <c r="C99" s="55">
        <f>VLOOKUP(A:A,Table1[[Project No]:[Additional Remark]],11,FALSE)</f>
        <v>39980</v>
      </c>
      <c r="D99" s="55">
        <f>VLOOKUP(A:A,Table1[[Project No]:[Additional Remark]],12,FALSE)</f>
        <v>0</v>
      </c>
      <c r="E99" s="55" t="str">
        <f>VLOOKUP(A:A,Table1[[Project No]:[Additional Remark]],4,FALSE)</f>
        <v>Tham</v>
      </c>
      <c r="F99" s="4" t="str">
        <f>VLOOKUP(A:A,Table1[[Project No]:[Additional Remark]],5,FALSE)</f>
        <v>R-PV</v>
      </c>
      <c r="G99" s="4" t="str">
        <f>VLOOKUP(A:A,Table1[[Project No]:[Additional Remark]],13,FALSE)</f>
        <v>Self finance</v>
      </c>
      <c r="H99" s="4" t="str" cm="1">
        <f t="array" ref="H99">_xlfn.IFS((D99+C99)-J99=0,"Invoice Completed",AC99&lt;&gt;"","5th invoice",Y99&lt;&gt;"","4th invoice",U99&lt;&gt;"","3rd invoice",Q99&lt;&gt;"","2nd invoice",M99&lt;&gt;"","1st invoice",M99="","Pending 1st Invoice")</f>
        <v>Invoice Completed</v>
      </c>
      <c r="I99" s="4" t="str" cm="1">
        <f t="array" ref="I99">_xlfn.IFS((C99+D99)-K99=0,"Payment Completed",AE99&lt;&gt;"","5th payment",AA99&lt;&gt;"","4th payment",W99&lt;&gt;"","3rd payment",S99&lt;&gt;"","2nd payment",O99&lt;&gt;"","1st payment",O99="","Pending 1st Payment")</f>
        <v>Payment Completed</v>
      </c>
      <c r="J99" s="55">
        <f t="shared" si="2"/>
        <v>39980</v>
      </c>
      <c r="K99" s="55">
        <f t="shared" si="3"/>
        <v>39980</v>
      </c>
      <c r="L99" s="65">
        <v>45488</v>
      </c>
      <c r="M99" s="66">
        <v>500</v>
      </c>
      <c r="N99" s="65">
        <v>45488</v>
      </c>
      <c r="O99" s="66">
        <v>500</v>
      </c>
      <c r="P99" s="39">
        <v>45548</v>
      </c>
      <c r="Q99" s="57">
        <v>39480</v>
      </c>
      <c r="R99" s="39">
        <v>45548</v>
      </c>
      <c r="S99" s="57">
        <v>39480</v>
      </c>
      <c r="T99" s="65"/>
      <c r="U99" s="66"/>
      <c r="V99" s="65"/>
      <c r="W99" s="66"/>
      <c r="X99" s="39"/>
      <c r="Y99" s="57"/>
      <c r="Z99" s="39"/>
      <c r="AA99" s="57"/>
      <c r="AB99" s="65"/>
      <c r="AC99" s="66"/>
      <c r="AD99" s="65"/>
      <c r="AE99" s="66"/>
      <c r="AF99" s="39"/>
      <c r="AG99" s="57"/>
      <c r="AH99" s="39"/>
      <c r="AI99" s="57"/>
    </row>
    <row r="100" spans="1:35" ht="19.5" customHeight="1" x14ac:dyDescent="0.3">
      <c r="A100" s="4">
        <f>'ECN Master Project Tracker new'!A101</f>
        <v>2407384</v>
      </c>
      <c r="B100" s="110" t="str">
        <f>VLOOKUP(A:A,Table1[[Project No]:[Additional Remark]],2,FALSE)</f>
        <v>Loh Fook Khew</v>
      </c>
      <c r="C100" s="55">
        <f>VLOOKUP(A:A,Table1[[Project No]:[Additional Remark]],11,FALSE)</f>
        <v>36800</v>
      </c>
      <c r="D100" s="55">
        <f>VLOOKUP(A:A,Table1[[Project No]:[Additional Remark]],12,FALSE)</f>
        <v>0</v>
      </c>
      <c r="E100" s="55" t="str">
        <f>VLOOKUP(A:A,Table1[[Project No]:[Additional Remark]],4,FALSE)</f>
        <v>Tham</v>
      </c>
      <c r="F100" s="4" t="str">
        <f>VLOOKUP(A:A,Table1[[Project No]:[Additional Remark]],5,FALSE)</f>
        <v>R-PV</v>
      </c>
      <c r="G100" s="4" t="str">
        <f>VLOOKUP(A:A,Table1[[Project No]:[Additional Remark]],13,FALSE)</f>
        <v>Self finance</v>
      </c>
      <c r="H100" s="4" t="str" cm="1">
        <f t="array" ref="H100">_xlfn.IFS((D100+C100)-J100=0,"Invoice Completed",AC100&lt;&gt;"","5th invoice",Y100&lt;&gt;"","4th invoice",U100&lt;&gt;"","3rd invoice",Q100&lt;&gt;"","2nd invoice",M100&lt;&gt;"","1st invoice",M100="","Pending 1st Invoice")</f>
        <v>Invoice Completed</v>
      </c>
      <c r="I100" s="4" t="str" cm="1">
        <f t="array" ref="I100">_xlfn.IFS((C100+D100)-K100=0,"Payment Completed",AE100&lt;&gt;"","5th payment",AA100&lt;&gt;"","4th payment",W100&lt;&gt;"","3rd payment",S100&lt;&gt;"","2nd payment",O100&lt;&gt;"","1st payment",O100="","Pending 1st Payment")</f>
        <v>Payment Completed</v>
      </c>
      <c r="J100" s="55">
        <f t="shared" si="2"/>
        <v>36800</v>
      </c>
      <c r="K100" s="55">
        <f t="shared" si="3"/>
        <v>36800</v>
      </c>
      <c r="L100" s="65">
        <v>45561</v>
      </c>
      <c r="M100" s="66">
        <v>500</v>
      </c>
      <c r="N100" s="65">
        <v>45561</v>
      </c>
      <c r="O100" s="66">
        <v>500</v>
      </c>
      <c r="P100" s="39">
        <v>45561</v>
      </c>
      <c r="Q100" s="57">
        <v>36300</v>
      </c>
      <c r="R100" s="39">
        <v>45561</v>
      </c>
      <c r="S100" s="57">
        <v>36300</v>
      </c>
      <c r="T100" s="65"/>
      <c r="U100" s="66"/>
      <c r="V100" s="65"/>
      <c r="W100" s="66"/>
      <c r="X100" s="39"/>
      <c r="Y100" s="57"/>
      <c r="Z100" s="39"/>
      <c r="AA100" s="57"/>
      <c r="AB100" s="65"/>
      <c r="AC100" s="66"/>
      <c r="AD100" s="65"/>
      <c r="AE100" s="66"/>
      <c r="AF100" s="39"/>
      <c r="AG100" s="57"/>
      <c r="AH100" s="39"/>
      <c r="AI100" s="57"/>
    </row>
    <row r="101" spans="1:35" ht="19.5" customHeight="1" x14ac:dyDescent="0.3">
      <c r="A101" s="4">
        <f>'ECN Master Project Tracker new'!A102</f>
        <v>2407385</v>
      </c>
      <c r="B101" s="110" t="str">
        <f>VLOOKUP(A:A,Table1[[Project No]:[Additional Remark]],2,FALSE)</f>
        <v>Cheong Chin Meng</v>
      </c>
      <c r="C101" s="55">
        <f>VLOOKUP(A:A,Table1[[Project No]:[Additional Remark]],11,FALSE)</f>
        <v>45600</v>
      </c>
      <c r="D101" s="55">
        <f>VLOOKUP(A:A,Table1[[Project No]:[Additional Remark]],12,FALSE)</f>
        <v>0</v>
      </c>
      <c r="E101" s="55" t="str">
        <f>VLOOKUP(A:A,Table1[[Project No]:[Additional Remark]],4,FALSE)</f>
        <v>Chean Bang</v>
      </c>
      <c r="F101" s="4" t="str">
        <f>VLOOKUP(A:A,Table1[[Project No]:[Additional Remark]],5,FALSE)</f>
        <v>R-PV</v>
      </c>
      <c r="G101" s="4" t="str">
        <f>VLOOKUP(A:A,Table1[[Project No]:[Additional Remark]],13,FALSE)</f>
        <v>Self finance</v>
      </c>
      <c r="H101" s="4" t="str" cm="1">
        <f t="array" ref="H101">_xlfn.IFS((D101+C101)-J101=0,"Invoice Completed",AC101&lt;&gt;"","5th invoice",Y101&lt;&gt;"","4th invoice",U101&lt;&gt;"","3rd invoice",Q101&lt;&gt;"","2nd invoice",M101&lt;&gt;"","1st invoice",M101="","Pending 1st Invoice")</f>
        <v>Invoice Completed</v>
      </c>
      <c r="I101" s="4" t="str" cm="1">
        <f t="array" ref="I101">_xlfn.IFS((C101+D101)-K101=0,"Payment Completed",AE101&lt;&gt;"","5th payment",AA101&lt;&gt;"","4th payment",W101&lt;&gt;"","3rd payment",S101&lt;&gt;"","2nd payment",O101&lt;&gt;"","1st payment",O101="","Pending 1st Payment")</f>
        <v>Payment Completed</v>
      </c>
      <c r="J101" s="55">
        <f t="shared" si="2"/>
        <v>45600</v>
      </c>
      <c r="K101" s="55">
        <f t="shared" si="3"/>
        <v>45600</v>
      </c>
      <c r="L101" s="65">
        <v>45488</v>
      </c>
      <c r="M101" s="66">
        <v>500</v>
      </c>
      <c r="N101" s="65">
        <v>45488</v>
      </c>
      <c r="O101" s="66">
        <v>500</v>
      </c>
      <c r="P101" s="39">
        <v>45548</v>
      </c>
      <c r="Q101" s="57">
        <v>43100</v>
      </c>
      <c r="R101" s="39">
        <v>45548</v>
      </c>
      <c r="S101" s="57">
        <v>43100</v>
      </c>
      <c r="T101" s="72">
        <v>45639</v>
      </c>
      <c r="U101" s="69">
        <v>2000</v>
      </c>
      <c r="V101" s="72">
        <v>45684</v>
      </c>
      <c r="W101" s="69">
        <v>2000</v>
      </c>
      <c r="X101" s="39"/>
      <c r="Y101" s="57"/>
      <c r="Z101" s="39"/>
      <c r="AA101" s="57"/>
      <c r="AB101" s="72"/>
      <c r="AC101" s="66"/>
      <c r="AD101" s="72"/>
      <c r="AE101" s="66"/>
      <c r="AF101" s="39"/>
      <c r="AG101" s="57"/>
      <c r="AH101" s="39"/>
      <c r="AI101" s="57"/>
    </row>
    <row r="102" spans="1:35" ht="19.5" customHeight="1" x14ac:dyDescent="0.3">
      <c r="A102" s="4">
        <f>'ECN Master Project Tracker new'!A103</f>
        <v>2310035</v>
      </c>
      <c r="B102" s="110" t="str">
        <f>VLOOKUP(A:A,Table1[[Project No]:[Additional Remark]],2,FALSE)</f>
        <v>Advantic Nutraceuticals</v>
      </c>
      <c r="C102" s="55">
        <f>VLOOKUP(A:A,Table1[[Project No]:[Additional Remark]],11,FALSE)</f>
        <v>188000</v>
      </c>
      <c r="D102" s="55">
        <f>VLOOKUP(A:A,Table1[[Project No]:[Additional Remark]],12,FALSE)</f>
        <v>0</v>
      </c>
      <c r="E102" s="55" t="str">
        <f>VLOOKUP(A:A,Table1[[Project No]:[Additional Remark]],4,FALSE)</f>
        <v>Tham</v>
      </c>
      <c r="F102" s="4" t="str">
        <f>VLOOKUP(A:A,Table1[[Project No]:[Additional Remark]],5,FALSE)</f>
        <v>C&amp;I-PV</v>
      </c>
      <c r="G102" s="4" t="str">
        <f>VLOOKUP(A:A,Table1[[Project No]:[Additional Remark]],13,FALSE)</f>
        <v>Self finance</v>
      </c>
      <c r="H102" s="4" t="str" cm="1">
        <f t="array" ref="H102">_xlfn.IFS((D102+C102)-J102=0,"Invoice Completed",AC102&lt;&gt;"","5th invoice",Y102&lt;&gt;"","4th invoice",U102&lt;&gt;"","3rd invoice",Q102&lt;&gt;"","2nd invoice",M102&lt;&gt;"","1st invoice",M102="","Pending 1st Invoice")</f>
        <v>Invoice Completed</v>
      </c>
      <c r="I102" s="4" t="str" cm="1">
        <f t="array" ref="I102">_xlfn.IFS((C102+D102)-K102=0,"Payment Completed",AE102&lt;&gt;"","5th payment",AA102&lt;&gt;"","4th payment",W102&lt;&gt;"","3rd payment",S102&lt;&gt;"","2nd payment",O102&lt;&gt;"","1st payment",O102="","Pending 1st Payment")</f>
        <v>3rd payment</v>
      </c>
      <c r="J102" s="55">
        <f t="shared" si="2"/>
        <v>188000</v>
      </c>
      <c r="K102" s="55">
        <f t="shared" si="3"/>
        <v>103400</v>
      </c>
      <c r="L102" s="65">
        <v>45793</v>
      </c>
      <c r="M102" s="66">
        <v>84600</v>
      </c>
      <c r="N102" s="65">
        <v>45796</v>
      </c>
      <c r="O102" s="66">
        <v>84600</v>
      </c>
      <c r="P102" s="39">
        <v>45838</v>
      </c>
      <c r="Q102" s="57">
        <v>84600</v>
      </c>
      <c r="R102" s="39"/>
      <c r="S102" s="57"/>
      <c r="T102" s="65">
        <v>45946</v>
      </c>
      <c r="U102" s="66">
        <v>18800</v>
      </c>
      <c r="V102" s="65">
        <v>45954</v>
      </c>
      <c r="W102" s="66">
        <v>18800</v>
      </c>
      <c r="X102" s="39"/>
      <c r="Y102" s="57"/>
      <c r="Z102" s="39"/>
      <c r="AA102" s="57"/>
      <c r="AB102" s="65"/>
      <c r="AC102" s="66"/>
      <c r="AD102" s="65"/>
      <c r="AE102" s="66"/>
      <c r="AF102" s="39"/>
      <c r="AG102" s="57"/>
      <c r="AH102" s="39"/>
      <c r="AI102" s="57"/>
    </row>
    <row r="103" spans="1:35" ht="19.5" customHeight="1" x14ac:dyDescent="0.3">
      <c r="A103" s="4">
        <f>'ECN Master Project Tracker new'!A104</f>
        <v>2403088</v>
      </c>
      <c r="B103" s="110" t="str">
        <f>VLOOKUP(A:A,Table1[[Project No]:[Additional Remark]],2,FALSE)</f>
        <v>Chua Tong Hin Hardware Sdn Bhd</v>
      </c>
      <c r="C103" s="55">
        <f>VLOOKUP(A:A,Table1[[Project No]:[Additional Remark]],11,FALSE)</f>
        <v>98000</v>
      </c>
      <c r="D103" s="55">
        <f>VLOOKUP(A:A,Table1[[Project No]:[Additional Remark]],12,FALSE)</f>
        <v>0</v>
      </c>
      <c r="E103" s="55" t="str">
        <f>VLOOKUP(A:A,Table1[[Project No]:[Additional Remark]],4,FALSE)</f>
        <v>Tham</v>
      </c>
      <c r="F103" s="4" t="str">
        <f>VLOOKUP(A:A,Table1[[Project No]:[Additional Remark]],5,FALSE)</f>
        <v>C&amp;I-PV</v>
      </c>
      <c r="G103" s="4" t="str">
        <f>VLOOKUP(A:A,Table1[[Project No]:[Additional Remark]],13,FALSE)</f>
        <v>Self finance</v>
      </c>
      <c r="H103" s="4" t="str" cm="1">
        <f t="array" ref="H103">_xlfn.IFS((D103+C103)-J103=0,"Invoice Completed",AC103&lt;&gt;"","5th invoice",Y103&lt;&gt;"","4th invoice",U103&lt;&gt;"","3rd invoice",Q103&lt;&gt;"","2nd invoice",M103&lt;&gt;"","1st invoice",M103="","Pending 1st Invoice")</f>
        <v>Invoice Completed</v>
      </c>
      <c r="I103" s="4" t="str" cm="1">
        <f t="array" ref="I103">_xlfn.IFS((C103+D103)-K103=0,"Payment Completed",AE103&lt;&gt;"","5th payment",AA103&lt;&gt;"","4th payment",W103&lt;&gt;"","3rd payment",S103&lt;&gt;"","2nd payment",O103&lt;&gt;"","1st payment",O103="","Pending 1st Payment")</f>
        <v>Payment Completed</v>
      </c>
      <c r="J103" s="55">
        <f t="shared" si="2"/>
        <v>98000</v>
      </c>
      <c r="K103" s="55">
        <f t="shared" si="3"/>
        <v>98000</v>
      </c>
      <c r="L103" s="65">
        <v>45602</v>
      </c>
      <c r="M103" s="66">
        <v>9800</v>
      </c>
      <c r="N103" s="65">
        <v>45602</v>
      </c>
      <c r="O103" s="66">
        <v>9800</v>
      </c>
      <c r="P103" s="39">
        <v>45631</v>
      </c>
      <c r="Q103" s="59">
        <v>34300</v>
      </c>
      <c r="R103" s="39">
        <v>45644</v>
      </c>
      <c r="S103" s="59">
        <v>34300</v>
      </c>
      <c r="T103" s="65">
        <v>45681</v>
      </c>
      <c r="U103" s="66">
        <v>44100</v>
      </c>
      <c r="V103" s="65">
        <v>45804</v>
      </c>
      <c r="W103" s="66">
        <v>44100</v>
      </c>
      <c r="X103" s="39">
        <v>45776</v>
      </c>
      <c r="Y103" s="57">
        <v>9800</v>
      </c>
      <c r="Z103" s="39">
        <v>45804</v>
      </c>
      <c r="AA103" s="57">
        <v>9800</v>
      </c>
      <c r="AB103" s="65"/>
      <c r="AC103" s="66"/>
      <c r="AD103" s="65"/>
      <c r="AE103" s="66"/>
      <c r="AF103" s="39"/>
      <c r="AG103" s="57"/>
      <c r="AH103" s="39"/>
      <c r="AI103" s="57"/>
    </row>
    <row r="104" spans="1:35" ht="19.5" customHeight="1" x14ac:dyDescent="0.3">
      <c r="A104" s="4">
        <f>'ECN Master Project Tracker new'!A105</f>
        <v>2407157</v>
      </c>
      <c r="B104" s="110" t="str">
        <f>VLOOKUP(A:A,Table1[[Project No]:[Additional Remark]],2,FALSE)</f>
        <v>NMSY Capital Sdn Bhd (Mohd Nasir)</v>
      </c>
      <c r="C104" s="55">
        <f>VLOOKUP(A:A,Table1[[Project No]:[Additional Remark]],11,FALSE)</f>
        <v>52000</v>
      </c>
      <c r="D104" s="55">
        <f>VLOOKUP(A:A,Table1[[Project No]:[Additional Remark]],12,FALSE)</f>
        <v>0</v>
      </c>
      <c r="E104" s="55" t="str">
        <f>VLOOKUP(A:A,Table1[[Project No]:[Additional Remark]],4,FALSE)</f>
        <v>Patricia</v>
      </c>
      <c r="F104" s="4" t="str">
        <f>VLOOKUP(A:A,Table1[[Project No]:[Additional Remark]],5,FALSE)</f>
        <v>C&amp;I-PV</v>
      </c>
      <c r="G104" s="4" t="str">
        <f>VLOOKUP(A:A,Table1[[Project No]:[Additional Remark]],13,FALSE)</f>
        <v>Self finance</v>
      </c>
      <c r="H104" s="4" t="str" cm="1">
        <f t="array" ref="H104">_xlfn.IFS((D104+C104)-J104=0,"Invoice Completed",AC104&lt;&gt;"","5th invoice",Y104&lt;&gt;"","4th invoice",U104&lt;&gt;"","3rd invoice",Q104&lt;&gt;"","2nd invoice",M104&lt;&gt;"","1st invoice",M104="","Pending 1st Invoice")</f>
        <v>Invoice Completed</v>
      </c>
      <c r="I104" s="4" t="str" cm="1">
        <f t="array" ref="I104">_xlfn.IFS((C104+D104)-K104=0,"Payment Completed",AE104&lt;&gt;"","5th payment",AA104&lt;&gt;"","4th payment",W104&lt;&gt;"","3rd payment",S104&lt;&gt;"","2nd payment",O104&lt;&gt;"","1st payment",O104="","Pending 1st Payment")</f>
        <v>Payment Completed</v>
      </c>
      <c r="J104" s="55">
        <f t="shared" si="2"/>
        <v>52000</v>
      </c>
      <c r="K104" s="55">
        <f t="shared" si="3"/>
        <v>52000</v>
      </c>
      <c r="L104" s="65">
        <v>45482</v>
      </c>
      <c r="M104" s="66">
        <v>500</v>
      </c>
      <c r="N104" s="65">
        <v>45482</v>
      </c>
      <c r="O104" s="66">
        <v>500</v>
      </c>
      <c r="P104" s="39">
        <v>45538</v>
      </c>
      <c r="Q104" s="59">
        <v>49500</v>
      </c>
      <c r="R104" s="39">
        <v>45622</v>
      </c>
      <c r="S104" s="59">
        <v>49500</v>
      </c>
      <c r="T104" s="65">
        <v>45639</v>
      </c>
      <c r="U104" s="66">
        <v>2000</v>
      </c>
      <c r="V104" s="65">
        <v>45958</v>
      </c>
      <c r="W104" s="66">
        <v>2000</v>
      </c>
      <c r="X104" s="39"/>
      <c r="Y104" s="57"/>
      <c r="Z104" s="39"/>
      <c r="AA104" s="57"/>
      <c r="AB104" s="65"/>
      <c r="AC104" s="66"/>
      <c r="AD104" s="65"/>
      <c r="AE104" s="66"/>
      <c r="AF104" s="39"/>
      <c r="AG104" s="57"/>
      <c r="AH104" s="39"/>
      <c r="AI104" s="57"/>
    </row>
    <row r="105" spans="1:35" ht="19.5" customHeight="1" x14ac:dyDescent="0.3">
      <c r="A105" s="4">
        <f>'ECN Master Project Tracker new'!A106</f>
        <v>2312116</v>
      </c>
      <c r="B105" s="110" t="str">
        <f>VLOOKUP(A:A,Table1[[Project No]:[Additional Remark]],2,FALSE)</f>
        <v>Chua Ling Ling</v>
      </c>
      <c r="C105" s="55">
        <f>VLOOKUP(A:A,Table1[[Project No]:[Additional Remark]],11,FALSE)</f>
        <v>32540</v>
      </c>
      <c r="D105" s="55">
        <f>VLOOKUP(A:A,Table1[[Project No]:[Additional Remark]],12,FALSE)</f>
        <v>0</v>
      </c>
      <c r="E105" s="55" t="str">
        <f>VLOOKUP(A:A,Table1[[Project No]:[Additional Remark]],4,FALSE)</f>
        <v>Tham</v>
      </c>
      <c r="F105" s="4" t="str">
        <f>VLOOKUP(A:A,Table1[[Project No]:[Additional Remark]],5,FALSE)</f>
        <v>R-PV</v>
      </c>
      <c r="G105" s="4" t="str">
        <f>VLOOKUP(A:A,Table1[[Project No]:[Additional Remark]],13,FALSE)</f>
        <v>Credit Card Instalment</v>
      </c>
      <c r="H105" s="4" t="str" cm="1">
        <f t="array" ref="H105">_xlfn.IFS((D105+C105)-J105=0,"Invoice Completed",AC105&lt;&gt;"","5th invoice",Y105&lt;&gt;"","4th invoice",U105&lt;&gt;"","3rd invoice",Q105&lt;&gt;"","2nd invoice",M105&lt;&gt;"","1st invoice",M105="","Pending 1st Invoice")</f>
        <v>Invoice Completed</v>
      </c>
      <c r="I105" s="4" t="str" cm="1">
        <f t="array" ref="I105">_xlfn.IFS((C105+D105)-K105=0,"Payment Completed",AE105&lt;&gt;"","5th payment",AA105&lt;&gt;"","4th payment",W105&lt;&gt;"","3rd payment",S105&lt;&gt;"","2nd payment",O105&lt;&gt;"","1st payment",O105="","Pending 1st Payment")</f>
        <v>Payment Completed</v>
      </c>
      <c r="J105" s="55">
        <f t="shared" si="2"/>
        <v>32540</v>
      </c>
      <c r="K105" s="55">
        <f t="shared" si="3"/>
        <v>32540</v>
      </c>
      <c r="L105" s="65">
        <v>45473</v>
      </c>
      <c r="M105" s="66">
        <v>500</v>
      </c>
      <c r="N105" s="65">
        <v>45473</v>
      </c>
      <c r="O105" s="66">
        <v>500</v>
      </c>
      <c r="P105" s="39">
        <v>45588</v>
      </c>
      <c r="Q105" s="57">
        <v>32040</v>
      </c>
      <c r="R105" s="39">
        <v>45588</v>
      </c>
      <c r="S105" s="57">
        <v>32040</v>
      </c>
      <c r="T105" s="65"/>
      <c r="U105" s="66"/>
      <c r="V105" s="65"/>
      <c r="W105" s="66"/>
      <c r="X105" s="39"/>
      <c r="Y105" s="57"/>
      <c r="Z105" s="39"/>
      <c r="AA105" s="57"/>
      <c r="AB105" s="65"/>
      <c r="AC105" s="66"/>
      <c r="AD105" s="65"/>
      <c r="AE105" s="66"/>
      <c r="AF105" s="39"/>
      <c r="AG105" s="57"/>
      <c r="AH105" s="39"/>
      <c r="AI105" s="57"/>
    </row>
    <row r="106" spans="1:35" ht="19.5" customHeight="1" x14ac:dyDescent="0.3">
      <c r="A106" s="4">
        <f>'ECN Master Project Tracker new'!A107</f>
        <v>2407388</v>
      </c>
      <c r="B106" s="110" t="str">
        <f>VLOOKUP(A:A,Table1[[Project No]:[Additional Remark]],2,FALSE)</f>
        <v>Yeo Chen Kok</v>
      </c>
      <c r="C106" s="55">
        <f>VLOOKUP(A:A,Table1[[Project No]:[Additional Remark]],11,FALSE)</f>
        <v>34600</v>
      </c>
      <c r="D106" s="55">
        <f>VLOOKUP(A:A,Table1[[Project No]:[Additional Remark]],12,FALSE)</f>
        <v>0</v>
      </c>
      <c r="E106" s="55" t="str">
        <f>VLOOKUP(A:A,Table1[[Project No]:[Additional Remark]],4,FALSE)</f>
        <v>Tham</v>
      </c>
      <c r="F106" s="4" t="str">
        <f>VLOOKUP(A:A,Table1[[Project No]:[Additional Remark]],5,FALSE)</f>
        <v>R-PV</v>
      </c>
      <c r="G106" s="4" t="str">
        <f>VLOOKUP(A:A,Table1[[Project No]:[Additional Remark]],13,FALSE)</f>
        <v>Cash</v>
      </c>
      <c r="H106" s="4" t="str" cm="1">
        <f t="array" ref="H106">_xlfn.IFS((D106+C106)-J106=0,"Invoice Completed",AC106&lt;&gt;"","5th invoice",Y106&lt;&gt;"","4th invoice",U106&lt;&gt;"","3rd invoice",Q106&lt;&gt;"","2nd invoice",M106&lt;&gt;"","1st invoice",M106="","Pending 1st Invoice")</f>
        <v>Invoice Completed</v>
      </c>
      <c r="I106" s="4" t="str" cm="1">
        <f t="array" ref="I106">_xlfn.IFS((C106+D106)-K106=0,"Payment Completed",AE106&lt;&gt;"","5th payment",AA106&lt;&gt;"","4th payment",W106&lt;&gt;"","3rd payment",S106&lt;&gt;"","2nd payment",O106&lt;&gt;"","1st payment",O106="","Pending 1st Payment")</f>
        <v>Payment Completed</v>
      </c>
      <c r="J106" s="55">
        <f t="shared" si="2"/>
        <v>34600</v>
      </c>
      <c r="K106" s="55">
        <f t="shared" si="3"/>
        <v>34600</v>
      </c>
      <c r="L106" s="65">
        <v>45555</v>
      </c>
      <c r="M106" s="66">
        <v>500</v>
      </c>
      <c r="N106" s="65">
        <v>45555</v>
      </c>
      <c r="O106" s="66">
        <v>500</v>
      </c>
      <c r="P106" s="39">
        <v>45555</v>
      </c>
      <c r="Q106" s="57">
        <v>32100</v>
      </c>
      <c r="R106" s="39">
        <v>45555</v>
      </c>
      <c r="S106" s="57">
        <v>32100</v>
      </c>
      <c r="T106" s="65">
        <v>45652</v>
      </c>
      <c r="U106" s="69">
        <v>2000</v>
      </c>
      <c r="V106" s="65">
        <v>45652</v>
      </c>
      <c r="W106" s="69">
        <v>2000</v>
      </c>
      <c r="X106" s="39"/>
      <c r="Y106" s="57"/>
      <c r="Z106" s="39"/>
      <c r="AA106" s="57"/>
      <c r="AB106" s="65"/>
      <c r="AC106" s="66"/>
      <c r="AD106" s="65"/>
      <c r="AE106" s="66"/>
      <c r="AF106" s="39"/>
      <c r="AG106" s="57"/>
      <c r="AH106" s="39"/>
      <c r="AI106" s="57"/>
    </row>
    <row r="107" spans="1:35" ht="19.5" customHeight="1" x14ac:dyDescent="0.3">
      <c r="A107" s="4">
        <f>'ECN Master Project Tracker new'!A108</f>
        <v>2407386</v>
      </c>
      <c r="B107" s="110" t="str">
        <f>VLOOKUP(A:A,Table1[[Project No]:[Additional Remark]],2,FALSE)</f>
        <v>Amirluddin bin Awang</v>
      </c>
      <c r="C107" s="55">
        <f>VLOOKUP(A:A,Table1[[Project No]:[Additional Remark]],11,FALSE)</f>
        <v>38000</v>
      </c>
      <c r="D107" s="55">
        <f>VLOOKUP(A:A,Table1[[Project No]:[Additional Remark]],12,FALSE)</f>
        <v>0</v>
      </c>
      <c r="E107" s="55" t="str">
        <f>VLOOKUP(A:A,Table1[[Project No]:[Additional Remark]],4,FALSE)</f>
        <v>Chean Bang</v>
      </c>
      <c r="F107" s="4" t="str">
        <f>VLOOKUP(A:A,Table1[[Project No]:[Additional Remark]],5,FALSE)</f>
        <v>R-PV</v>
      </c>
      <c r="G107" s="4" t="str">
        <f>VLOOKUP(A:A,Table1[[Project No]:[Additional Remark]],13,FALSE)</f>
        <v>Self finance</v>
      </c>
      <c r="H107" s="4" t="str" cm="1">
        <f t="array" ref="H107">_xlfn.IFS((D107+C107)-J107=0,"Invoice Completed",AC107&lt;&gt;"","5th invoice",Y107&lt;&gt;"","4th invoice",U107&lt;&gt;"","3rd invoice",Q107&lt;&gt;"","2nd invoice",M107&lt;&gt;"","1st invoice",M107="","Pending 1st Invoice")</f>
        <v>Invoice Completed</v>
      </c>
      <c r="I107" s="4" t="str" cm="1">
        <f t="array" ref="I107">_xlfn.IFS((C107+D107)-K107=0,"Payment Completed",AE107&lt;&gt;"","5th payment",AA107&lt;&gt;"","4th payment",W107&lt;&gt;"","3rd payment",S107&lt;&gt;"","2nd payment",O107&lt;&gt;"","1st payment",O107="","Pending 1st Payment")</f>
        <v>Payment Completed</v>
      </c>
      <c r="J107" s="55">
        <f t="shared" si="2"/>
        <v>38000</v>
      </c>
      <c r="K107" s="55">
        <f t="shared" si="3"/>
        <v>38000</v>
      </c>
      <c r="L107" s="65">
        <v>45494</v>
      </c>
      <c r="M107" s="66">
        <v>500</v>
      </c>
      <c r="N107" s="65">
        <v>45494</v>
      </c>
      <c r="O107" s="66">
        <v>500</v>
      </c>
      <c r="P107" s="39">
        <v>45559</v>
      </c>
      <c r="Q107" s="57">
        <v>35500</v>
      </c>
      <c r="R107" s="39">
        <v>45560</v>
      </c>
      <c r="S107" s="57">
        <v>35500</v>
      </c>
      <c r="T107" s="65">
        <v>45579</v>
      </c>
      <c r="U107" s="66">
        <v>2000</v>
      </c>
      <c r="V107" s="65">
        <v>45579</v>
      </c>
      <c r="W107" s="66">
        <v>2000</v>
      </c>
      <c r="X107" s="39"/>
      <c r="Y107" s="57"/>
      <c r="Z107" s="39"/>
      <c r="AA107" s="57"/>
      <c r="AB107" s="65"/>
      <c r="AC107" s="66"/>
      <c r="AD107" s="65"/>
      <c r="AE107" s="66"/>
      <c r="AF107" s="39"/>
      <c r="AG107" s="57"/>
      <c r="AH107" s="39"/>
      <c r="AI107" s="57"/>
    </row>
    <row r="108" spans="1:35" ht="19.5" customHeight="1" x14ac:dyDescent="0.3">
      <c r="A108" s="4">
        <f>'ECN Master Project Tracker new'!A109</f>
        <v>2403158</v>
      </c>
      <c r="B108" s="110" t="str">
        <f>VLOOKUP(A:A,Table1[[Project No]:[Additional Remark]],2,FALSE)</f>
        <v>Ong Gin Chin</v>
      </c>
      <c r="C108" s="55">
        <f>VLOOKUP(A:A,Table1[[Project No]:[Additional Remark]],11,FALSE)</f>
        <v>23500</v>
      </c>
      <c r="D108" s="55">
        <f>VLOOKUP(A:A,Table1[[Project No]:[Additional Remark]],12,FALSE)</f>
        <v>-1404</v>
      </c>
      <c r="E108" s="55" t="str">
        <f>VLOOKUP(A:A,Table1[[Project No]:[Additional Remark]],4,FALSE)</f>
        <v>Tham</v>
      </c>
      <c r="F108" s="4" t="str">
        <f>VLOOKUP(A:A,Table1[[Project No]:[Additional Remark]],5,FALSE)</f>
        <v>R-PV</v>
      </c>
      <c r="G108" s="4" t="str">
        <f>VLOOKUP(A:A,Table1[[Project No]:[Additional Remark]],13,FALSE)</f>
        <v>Self finance</v>
      </c>
      <c r="H108" s="4" t="str" cm="1">
        <f t="array" ref="H108">_xlfn.IFS((D108+C108)-J108=0,"Invoice Completed",AC108&lt;&gt;"","5th invoice",Y108&lt;&gt;"","4th invoice",U108&lt;&gt;"","3rd invoice",Q108&lt;&gt;"","2nd invoice",M108&lt;&gt;"","1st invoice",M108="","Pending 1st Invoice")</f>
        <v>Invoice Completed</v>
      </c>
      <c r="I108" s="4" t="str" cm="1">
        <f t="array" ref="I108">_xlfn.IFS((C108+D108)-K108=0,"Payment Completed",AE108&lt;&gt;"","5th payment",AA108&lt;&gt;"","4th payment",W108&lt;&gt;"","3rd payment",S108&lt;&gt;"","2nd payment",O108&lt;&gt;"","1st payment",O108="","Pending 1st Payment")</f>
        <v>Payment Completed</v>
      </c>
      <c r="J108" s="55">
        <f t="shared" si="2"/>
        <v>22096</v>
      </c>
      <c r="K108" s="55">
        <f t="shared" si="3"/>
        <v>22096</v>
      </c>
      <c r="L108" s="65">
        <v>45586</v>
      </c>
      <c r="M108" s="66">
        <v>500</v>
      </c>
      <c r="N108" s="65">
        <v>45586</v>
      </c>
      <c r="O108" s="66">
        <v>500</v>
      </c>
      <c r="P108" s="39">
        <v>45586</v>
      </c>
      <c r="Q108" s="57">
        <v>21000</v>
      </c>
      <c r="R108" s="39">
        <v>45587</v>
      </c>
      <c r="S108" s="57">
        <v>21000</v>
      </c>
      <c r="T108" s="65">
        <v>45602</v>
      </c>
      <c r="U108" s="66">
        <v>596</v>
      </c>
      <c r="V108" s="65">
        <v>45615</v>
      </c>
      <c r="W108" s="66">
        <v>596</v>
      </c>
      <c r="X108" s="39"/>
      <c r="Y108" s="57"/>
      <c r="Z108" s="39"/>
      <c r="AA108" s="57"/>
      <c r="AB108" s="65"/>
      <c r="AC108" s="66"/>
      <c r="AD108" s="65"/>
      <c r="AE108" s="66"/>
      <c r="AF108" s="39"/>
      <c r="AG108" s="57"/>
      <c r="AH108" s="39"/>
      <c r="AI108" s="57"/>
    </row>
    <row r="109" spans="1:35" ht="19.5" customHeight="1" x14ac:dyDescent="0.3">
      <c r="A109" s="4">
        <f>'ECN Master Project Tracker new'!A110</f>
        <v>2404220</v>
      </c>
      <c r="B109" s="110" t="str">
        <f>VLOOKUP(A:A,Table1[[Project No]:[Additional Remark]],2,FALSE)</f>
        <v>Ng Seow Fong</v>
      </c>
      <c r="C109" s="55">
        <f>VLOOKUP(A:A,Table1[[Project No]:[Additional Remark]],11,FALSE)</f>
        <v>23500</v>
      </c>
      <c r="D109" s="55">
        <f>VLOOKUP(A:A,Table1[[Project No]:[Additional Remark]],12,FALSE)</f>
        <v>-1404</v>
      </c>
      <c r="E109" s="55" t="str">
        <f>VLOOKUP(A:A,Table1[[Project No]:[Additional Remark]],4,FALSE)</f>
        <v>Tham</v>
      </c>
      <c r="F109" s="4" t="str">
        <f>VLOOKUP(A:A,Table1[[Project No]:[Additional Remark]],5,FALSE)</f>
        <v>R-PV</v>
      </c>
      <c r="G109" s="4" t="str">
        <f>VLOOKUP(A:A,Table1[[Project No]:[Additional Remark]],13,FALSE)</f>
        <v>Self finance</v>
      </c>
      <c r="H109" s="4" t="str" cm="1">
        <f t="array" ref="H109">_xlfn.IFS((D109+C109)-J109=0,"Invoice Completed",AC109&lt;&gt;"","5th invoice",Y109&lt;&gt;"","4th invoice",U109&lt;&gt;"","3rd invoice",Q109&lt;&gt;"","2nd invoice",M109&lt;&gt;"","1st invoice",M109="","Pending 1st Invoice")</f>
        <v>Invoice Completed</v>
      </c>
      <c r="I109" s="4" t="str" cm="1">
        <f t="array" ref="I109">_xlfn.IFS((C109+D109)-K109=0,"Payment Completed",AE109&lt;&gt;"","5th payment",AA109&lt;&gt;"","4th payment",W109&lt;&gt;"","3rd payment",S109&lt;&gt;"","2nd payment",O109&lt;&gt;"","1st payment",O109="","Pending 1st Payment")</f>
        <v>Payment Completed</v>
      </c>
      <c r="J109" s="55">
        <f t="shared" si="2"/>
        <v>22096</v>
      </c>
      <c r="K109" s="55">
        <f t="shared" si="3"/>
        <v>22096</v>
      </c>
      <c r="L109" s="65">
        <v>45581</v>
      </c>
      <c r="M109" s="66">
        <v>500</v>
      </c>
      <c r="N109" s="65">
        <v>45581</v>
      </c>
      <c r="O109" s="66">
        <v>500</v>
      </c>
      <c r="P109" s="39">
        <v>45581</v>
      </c>
      <c r="Q109" s="57">
        <v>21000</v>
      </c>
      <c r="R109" s="39">
        <v>45581</v>
      </c>
      <c r="S109" s="57">
        <v>21000</v>
      </c>
      <c r="T109" s="65">
        <v>45602</v>
      </c>
      <c r="U109" s="66">
        <v>596</v>
      </c>
      <c r="V109" s="65">
        <v>45609</v>
      </c>
      <c r="W109" s="66">
        <v>596</v>
      </c>
      <c r="X109" s="39"/>
      <c r="Y109" s="57"/>
      <c r="Z109" s="39"/>
      <c r="AA109" s="57"/>
      <c r="AB109" s="65"/>
      <c r="AC109" s="66"/>
      <c r="AD109" s="65"/>
      <c r="AE109" s="66"/>
      <c r="AF109" s="39"/>
      <c r="AG109" s="57"/>
      <c r="AH109" s="39"/>
      <c r="AI109" s="57"/>
    </row>
    <row r="110" spans="1:35" ht="19.5" customHeight="1" x14ac:dyDescent="0.3">
      <c r="A110" s="4">
        <f>'ECN Master Project Tracker new'!A111</f>
        <v>2403202</v>
      </c>
      <c r="B110" s="110" t="str">
        <f>VLOOKUP(A:A,Table1[[Project No]:[Additional Remark]],2,FALSE)</f>
        <v>Chuah Teah Soo</v>
      </c>
      <c r="C110" s="55">
        <f>VLOOKUP(A:A,Table1[[Project No]:[Additional Remark]],11,FALSE)</f>
        <v>31000</v>
      </c>
      <c r="D110" s="55">
        <f>VLOOKUP(A:A,Table1[[Project No]:[Additional Remark]],12,FALSE)</f>
        <v>0</v>
      </c>
      <c r="E110" s="55" t="str">
        <f>VLOOKUP(A:A,Table1[[Project No]:[Additional Remark]],4,FALSE)</f>
        <v>Tham</v>
      </c>
      <c r="F110" s="4" t="str">
        <f>VLOOKUP(A:A,Table1[[Project No]:[Additional Remark]],5,FALSE)</f>
        <v>R-PV</v>
      </c>
      <c r="G110" s="4" t="str">
        <f>VLOOKUP(A:A,Table1[[Project No]:[Additional Remark]],13,FALSE)</f>
        <v>Self finance</v>
      </c>
      <c r="H110" s="4" t="str" cm="1">
        <f t="array" ref="H110">_xlfn.IFS((D110+C110)-J110=0,"Invoice Completed",AC110&lt;&gt;"","5th invoice",Y110&lt;&gt;"","4th invoice",U110&lt;&gt;"","3rd invoice",Q110&lt;&gt;"","2nd invoice",M110&lt;&gt;"","1st invoice",M110="","Pending 1st Invoice")</f>
        <v>Invoice Completed</v>
      </c>
      <c r="I110" s="4" t="str" cm="1">
        <f t="array" ref="I110">_xlfn.IFS((C110+D110)-K110=0,"Payment Completed",AE110&lt;&gt;"","5th payment",AA110&lt;&gt;"","4th payment",W110&lt;&gt;"","3rd payment",S110&lt;&gt;"","2nd payment",O110&lt;&gt;"","1st payment",O110="","Pending 1st Payment")</f>
        <v>Payment Completed</v>
      </c>
      <c r="J110" s="55">
        <f t="shared" si="2"/>
        <v>31000</v>
      </c>
      <c r="K110" s="55">
        <f t="shared" si="3"/>
        <v>31000</v>
      </c>
      <c r="L110" s="65">
        <v>45562</v>
      </c>
      <c r="M110" s="66">
        <v>500</v>
      </c>
      <c r="N110" s="65">
        <v>45562</v>
      </c>
      <c r="O110" s="66">
        <v>500</v>
      </c>
      <c r="P110" s="39">
        <v>45562</v>
      </c>
      <c r="Q110" s="57">
        <v>28500</v>
      </c>
      <c r="R110" s="39">
        <v>45562</v>
      </c>
      <c r="S110" s="57">
        <v>28500</v>
      </c>
      <c r="T110" s="65">
        <v>45562</v>
      </c>
      <c r="U110" s="66">
        <v>2000</v>
      </c>
      <c r="V110" s="65">
        <v>45569</v>
      </c>
      <c r="W110" s="66">
        <v>2000</v>
      </c>
      <c r="X110" s="39"/>
      <c r="Y110" s="57"/>
      <c r="Z110" s="39"/>
      <c r="AA110" s="57"/>
      <c r="AB110" s="65"/>
      <c r="AC110" s="66"/>
      <c r="AD110" s="65"/>
      <c r="AE110" s="66"/>
      <c r="AF110" s="39"/>
      <c r="AG110" s="57"/>
      <c r="AH110" s="39"/>
      <c r="AI110" s="57"/>
    </row>
    <row r="111" spans="1:35" ht="19.5" customHeight="1" x14ac:dyDescent="0.3">
      <c r="A111" s="4">
        <f>'ECN Master Project Tracker new'!A112</f>
        <v>2407392</v>
      </c>
      <c r="B111" s="110" t="str">
        <f>VLOOKUP(A:A,Table1[[Project No]:[Additional Remark]],2,FALSE)</f>
        <v>Ecila Sim Ju-Inn</v>
      </c>
      <c r="C111" s="55">
        <f>VLOOKUP(A:A,Table1[[Project No]:[Additional Remark]],11,FALSE)</f>
        <v>36680</v>
      </c>
      <c r="D111" s="55">
        <f>VLOOKUP(A:A,Table1[[Project No]:[Additional Remark]],12,FALSE)</f>
        <v>-2340</v>
      </c>
      <c r="E111" s="55" t="str">
        <f>VLOOKUP(A:A,Table1[[Project No]:[Additional Remark]],4,FALSE)</f>
        <v>Tham</v>
      </c>
      <c r="F111" s="4" t="str">
        <f>VLOOKUP(A:A,Table1[[Project No]:[Additional Remark]],5,FALSE)</f>
        <v>R-PV</v>
      </c>
      <c r="G111" s="4" t="str">
        <f>VLOOKUP(A:A,Table1[[Project No]:[Additional Remark]],13,FALSE)</f>
        <v>Self finance</v>
      </c>
      <c r="H111" s="4" t="str" cm="1">
        <f t="array" ref="H111">_xlfn.IFS((D111+C111)-J111=0,"Invoice Completed",AC111&lt;&gt;"","5th invoice",Y111&lt;&gt;"","4th invoice",U111&lt;&gt;"","3rd invoice",Q111&lt;&gt;"","2nd invoice",M111&lt;&gt;"","1st invoice",M111="","Pending 1st Invoice")</f>
        <v>Invoice Completed</v>
      </c>
      <c r="I111" s="4" t="str" cm="1">
        <f t="array" ref="I111">_xlfn.IFS((C111+D111)-K111=0,"Payment Completed",AE111&lt;&gt;"","5th payment",AA111&lt;&gt;"","4th payment",W111&lt;&gt;"","3rd payment",S111&lt;&gt;"","2nd payment",O111&lt;&gt;"","1st payment",O111="","Pending 1st Payment")</f>
        <v>Payment Completed</v>
      </c>
      <c r="J111" s="55">
        <f t="shared" si="2"/>
        <v>34340</v>
      </c>
      <c r="K111" s="55">
        <f t="shared" si="3"/>
        <v>34340</v>
      </c>
      <c r="L111" s="65">
        <v>45582</v>
      </c>
      <c r="M111" s="66">
        <v>500</v>
      </c>
      <c r="N111" s="65">
        <v>45582</v>
      </c>
      <c r="O111" s="66">
        <v>500</v>
      </c>
      <c r="P111" s="39">
        <v>45582</v>
      </c>
      <c r="Q111" s="57">
        <v>33840</v>
      </c>
      <c r="R111" s="39">
        <v>45589</v>
      </c>
      <c r="S111" s="57">
        <v>33840</v>
      </c>
      <c r="T111" s="65"/>
      <c r="U111" s="66"/>
      <c r="V111" s="65"/>
      <c r="W111" s="66"/>
      <c r="X111" s="39"/>
      <c r="Y111" s="57"/>
      <c r="Z111" s="39"/>
      <c r="AA111" s="57"/>
      <c r="AB111" s="65"/>
      <c r="AC111" s="66"/>
      <c r="AD111" s="65"/>
      <c r="AE111" s="66"/>
      <c r="AF111" s="39"/>
      <c r="AG111" s="57"/>
      <c r="AH111" s="39"/>
      <c r="AI111" s="57"/>
    </row>
    <row r="112" spans="1:35" ht="19.5" customHeight="1" x14ac:dyDescent="0.3">
      <c r="A112" s="4">
        <f>'ECN Master Project Tracker new'!A113</f>
        <v>2404232</v>
      </c>
      <c r="B112" s="110" t="str">
        <f>VLOOKUP(A:A,Table1[[Project No]:[Additional Remark]],2,FALSE)</f>
        <v>Wong Yoke Chon</v>
      </c>
      <c r="C112" s="55">
        <f>VLOOKUP(A:A,Table1[[Project No]:[Additional Remark]],11,FALSE)</f>
        <v>25000</v>
      </c>
      <c r="D112" s="55">
        <f>VLOOKUP(A:A,Table1[[Project No]:[Additional Remark]],12,FALSE)</f>
        <v>0</v>
      </c>
      <c r="E112" s="55" t="str">
        <f>VLOOKUP(A:A,Table1[[Project No]:[Additional Remark]],4,FALSE)</f>
        <v>Tham</v>
      </c>
      <c r="F112" s="4" t="str">
        <f>VLOOKUP(A:A,Table1[[Project No]:[Additional Remark]],5,FALSE)</f>
        <v>R-PV</v>
      </c>
      <c r="G112" s="4" t="str">
        <f>VLOOKUP(A:A,Table1[[Project No]:[Additional Remark]],13,FALSE)</f>
        <v>Self finance</v>
      </c>
      <c r="H112" s="4" t="str" cm="1">
        <f t="array" ref="H112">_xlfn.IFS((D112+C112)-J112=0,"Invoice Completed",AC112&lt;&gt;"","5th invoice",Y112&lt;&gt;"","4th invoice",U112&lt;&gt;"","3rd invoice",Q112&lt;&gt;"","2nd invoice",M112&lt;&gt;"","1st invoice",M112="","Pending 1st Invoice")</f>
        <v>Invoice Completed</v>
      </c>
      <c r="I112" s="4" t="str" cm="1">
        <f t="array" ref="I112">_xlfn.IFS((C112+D112)-K112=0,"Payment Completed",AE112&lt;&gt;"","5th payment",AA112&lt;&gt;"","4th payment",W112&lt;&gt;"","3rd payment",S112&lt;&gt;"","2nd payment",O112&lt;&gt;"","1st payment",O112="","Pending 1st Payment")</f>
        <v>Payment Completed</v>
      </c>
      <c r="J112" s="55">
        <f t="shared" si="2"/>
        <v>25000</v>
      </c>
      <c r="K112" s="55">
        <f t="shared" si="3"/>
        <v>25000</v>
      </c>
      <c r="L112" s="65">
        <v>45468</v>
      </c>
      <c r="M112" s="66">
        <v>500</v>
      </c>
      <c r="N112" s="65">
        <v>45468</v>
      </c>
      <c r="O112" s="66">
        <v>500</v>
      </c>
      <c r="P112" s="39">
        <v>45588</v>
      </c>
      <c r="Q112" s="57">
        <v>22500</v>
      </c>
      <c r="R112" s="39">
        <v>45588</v>
      </c>
      <c r="S112" s="57">
        <v>22500</v>
      </c>
      <c r="T112" s="65">
        <v>45591</v>
      </c>
      <c r="U112" s="66">
        <v>2000</v>
      </c>
      <c r="V112" s="65">
        <v>45591</v>
      </c>
      <c r="W112" s="66">
        <v>2000</v>
      </c>
      <c r="X112" s="39"/>
      <c r="Y112" s="57"/>
      <c r="Z112" s="39"/>
      <c r="AA112" s="57"/>
      <c r="AB112" s="65"/>
      <c r="AC112" s="66"/>
      <c r="AD112" s="65"/>
      <c r="AE112" s="66"/>
      <c r="AF112" s="39"/>
      <c r="AG112" s="57"/>
      <c r="AH112" s="39"/>
      <c r="AI112" s="57"/>
    </row>
    <row r="113" spans="1:35" ht="19.5" customHeight="1" x14ac:dyDescent="0.3">
      <c r="A113" s="4">
        <f>'ECN Master Project Tracker new'!A114</f>
        <v>2407397</v>
      </c>
      <c r="B113" s="110" t="str">
        <f>VLOOKUP(A:A,Table1[[Project No]:[Additional Remark]],2,FALSE)</f>
        <v>Foo Su Hoong</v>
      </c>
      <c r="C113" s="55">
        <f>VLOOKUP(A:A,Table1[[Project No]:[Additional Remark]],11,FALSE)</f>
        <v>39600</v>
      </c>
      <c r="D113" s="55">
        <f>VLOOKUP(A:A,Table1[[Project No]:[Additional Remark]],12,FALSE)</f>
        <v>0</v>
      </c>
      <c r="E113" s="55" t="str">
        <f>VLOOKUP(A:A,Table1[[Project No]:[Additional Remark]],4,FALSE)</f>
        <v>Tham</v>
      </c>
      <c r="F113" s="4" t="str">
        <f>VLOOKUP(A:A,Table1[[Project No]:[Additional Remark]],5,FALSE)</f>
        <v>R-PV</v>
      </c>
      <c r="G113" s="4" t="str">
        <f>VLOOKUP(A:A,Table1[[Project No]:[Additional Remark]],13,FALSE)</f>
        <v>Self finance</v>
      </c>
      <c r="H113" s="4" t="str" cm="1">
        <f t="array" ref="H113">_xlfn.IFS((D113+C113)-J113=0,"Invoice Completed",AC113&lt;&gt;"","5th invoice",Y113&lt;&gt;"","4th invoice",U113&lt;&gt;"","3rd invoice",Q113&lt;&gt;"","2nd invoice",M113&lt;&gt;"","1st invoice",M113="","Pending 1st Invoice")</f>
        <v>Invoice Completed</v>
      </c>
      <c r="I113" s="4" t="str" cm="1">
        <f t="array" ref="I113">_xlfn.IFS((C113+D113)-K113=0,"Payment Completed",AE113&lt;&gt;"","5th payment",AA113&lt;&gt;"","4th payment",W113&lt;&gt;"","3rd payment",S113&lt;&gt;"","2nd payment",O113&lt;&gt;"","1st payment",O113="","Pending 1st Payment")</f>
        <v>Payment Completed</v>
      </c>
      <c r="J113" s="55">
        <f t="shared" si="2"/>
        <v>39600</v>
      </c>
      <c r="K113" s="55">
        <f t="shared" si="3"/>
        <v>39600</v>
      </c>
      <c r="L113" s="65">
        <v>45498</v>
      </c>
      <c r="M113" s="66">
        <v>500</v>
      </c>
      <c r="N113" s="65">
        <v>45498</v>
      </c>
      <c r="O113" s="66">
        <v>500</v>
      </c>
      <c r="P113" s="39">
        <v>45589</v>
      </c>
      <c r="Q113" s="57">
        <v>39100</v>
      </c>
      <c r="R113" s="39">
        <v>45589</v>
      </c>
      <c r="S113" s="57">
        <v>39100</v>
      </c>
      <c r="T113" s="65"/>
      <c r="U113" s="66"/>
      <c r="V113" s="65"/>
      <c r="W113" s="66"/>
      <c r="X113" s="39"/>
      <c r="Y113" s="57"/>
      <c r="Z113" s="39"/>
      <c r="AA113" s="57"/>
      <c r="AB113" s="65"/>
      <c r="AC113" s="66"/>
      <c r="AD113" s="65"/>
      <c r="AE113" s="66"/>
      <c r="AF113" s="39"/>
      <c r="AG113" s="57"/>
      <c r="AH113" s="39"/>
      <c r="AI113" s="57"/>
    </row>
    <row r="114" spans="1:35" ht="19.5" customHeight="1" x14ac:dyDescent="0.3">
      <c r="A114" s="4">
        <f>'ECN Master Project Tracker new'!A115</f>
        <v>2404250</v>
      </c>
      <c r="B114" s="110" t="str">
        <f>VLOOKUP(A:A,Table1[[Project No]:[Additional Remark]],2,FALSE)</f>
        <v>Wan Johan Bin Rahim</v>
      </c>
      <c r="C114" s="55">
        <f>VLOOKUP(A:A,Table1[[Project No]:[Additional Remark]],11,FALSE)</f>
        <v>50320</v>
      </c>
      <c r="D114" s="55">
        <f>VLOOKUP(A:A,Table1[[Project No]:[Additional Remark]],12,FALSE)</f>
        <v>0</v>
      </c>
      <c r="E114" s="55" t="str">
        <f>VLOOKUP(A:A,Table1[[Project No]:[Additional Remark]],4,FALSE)</f>
        <v>Tham</v>
      </c>
      <c r="F114" s="4" t="str">
        <f>VLOOKUP(A:A,Table1[[Project No]:[Additional Remark]],5,FALSE)</f>
        <v>R-PV</v>
      </c>
      <c r="G114" s="4" t="str">
        <f>VLOOKUP(A:A,Table1[[Project No]:[Additional Remark]],13,FALSE)</f>
        <v>Credit Card Instalment</v>
      </c>
      <c r="H114" s="4" t="str" cm="1">
        <f t="array" ref="H114">_xlfn.IFS((D114+C114)-J114=0,"Invoice Completed",AC114&lt;&gt;"","5th invoice",Y114&lt;&gt;"","4th invoice",U114&lt;&gt;"","3rd invoice",Q114&lt;&gt;"","2nd invoice",M114&lt;&gt;"","1st invoice",M114="","Pending 1st Invoice")</f>
        <v>Invoice Completed</v>
      </c>
      <c r="I114" s="4" t="str" cm="1">
        <f t="array" ref="I114">_xlfn.IFS((C114+D114)-K114=0,"Payment Completed",AE114&lt;&gt;"","5th payment",AA114&lt;&gt;"","4th payment",W114&lt;&gt;"","3rd payment",S114&lt;&gt;"","2nd payment",O114&lt;&gt;"","1st payment",O114="","Pending 1st Payment")</f>
        <v>Payment Completed</v>
      </c>
      <c r="J114" s="55">
        <f t="shared" si="2"/>
        <v>50320</v>
      </c>
      <c r="K114" s="55">
        <f t="shared" si="3"/>
        <v>50320</v>
      </c>
      <c r="L114" s="65">
        <v>45500</v>
      </c>
      <c r="M114" s="66">
        <v>500</v>
      </c>
      <c r="N114" s="65">
        <v>45500</v>
      </c>
      <c r="O114" s="66">
        <v>500</v>
      </c>
      <c r="P114" s="39">
        <v>45608</v>
      </c>
      <c r="Q114" s="57">
        <v>47820</v>
      </c>
      <c r="R114" s="39">
        <v>45646</v>
      </c>
      <c r="S114" s="57">
        <v>47820</v>
      </c>
      <c r="T114" s="65">
        <v>45646</v>
      </c>
      <c r="U114" s="66">
        <v>2000</v>
      </c>
      <c r="V114" s="65">
        <v>45646</v>
      </c>
      <c r="W114" s="66">
        <v>2000</v>
      </c>
      <c r="X114" s="39"/>
      <c r="Y114" s="57"/>
      <c r="Z114" s="39"/>
      <c r="AA114" s="57"/>
      <c r="AB114" s="65"/>
      <c r="AC114" s="66"/>
      <c r="AD114" s="65"/>
      <c r="AE114" s="66"/>
      <c r="AF114" s="39"/>
      <c r="AG114" s="57"/>
      <c r="AH114" s="39"/>
      <c r="AI114" s="57"/>
    </row>
    <row r="115" spans="1:35" ht="19.5" customHeight="1" x14ac:dyDescent="0.3">
      <c r="A115" s="4">
        <f>'ECN Master Project Tracker new'!A116</f>
        <v>2407399</v>
      </c>
      <c r="B115" s="110" t="str">
        <f>VLOOKUP(A:A,Table1[[Project No]:[Additional Remark]],2,FALSE)</f>
        <v>Koo Woon Kee</v>
      </c>
      <c r="C115" s="55">
        <f>VLOOKUP(A:A,Table1[[Project No]:[Additional Remark]],11,FALSE)</f>
        <v>31000</v>
      </c>
      <c r="D115" s="55">
        <f>VLOOKUP(A:A,Table1[[Project No]:[Additional Remark]],12,FALSE)</f>
        <v>0</v>
      </c>
      <c r="E115" s="55" t="str">
        <f>VLOOKUP(A:A,Table1[[Project No]:[Additional Remark]],4,FALSE)</f>
        <v>Tham</v>
      </c>
      <c r="F115" s="4" t="str">
        <f>VLOOKUP(A:A,Table1[[Project No]:[Additional Remark]],5,FALSE)</f>
        <v>R-PV</v>
      </c>
      <c r="G115" s="4" t="str">
        <f>VLOOKUP(A:A,Table1[[Project No]:[Additional Remark]],13,FALSE)</f>
        <v>Cash</v>
      </c>
      <c r="H115" s="4" t="str" cm="1">
        <f t="array" ref="H115">_xlfn.IFS((D115+C115)-J115=0,"Invoice Completed",AC115&lt;&gt;"","5th invoice",Y115&lt;&gt;"","4th invoice",U115&lt;&gt;"","3rd invoice",Q115&lt;&gt;"","2nd invoice",M115&lt;&gt;"","1st invoice",M115="","Pending 1st Invoice")</f>
        <v>Invoice Completed</v>
      </c>
      <c r="I115" s="4" t="str" cm="1">
        <f t="array" ref="I115">_xlfn.IFS((C115+D115)-K115=0,"Payment Completed",AE115&lt;&gt;"","5th payment",AA115&lt;&gt;"","4th payment",W115&lt;&gt;"","3rd payment",S115&lt;&gt;"","2nd payment",O115&lt;&gt;"","1st payment",O115="","Pending 1st Payment")</f>
        <v>Payment Completed</v>
      </c>
      <c r="J115" s="55">
        <f t="shared" si="2"/>
        <v>31000</v>
      </c>
      <c r="K115" s="55">
        <f t="shared" si="3"/>
        <v>31000</v>
      </c>
      <c r="L115" s="65">
        <v>45587</v>
      </c>
      <c r="M115" s="66">
        <v>500</v>
      </c>
      <c r="N115" s="65">
        <v>45587</v>
      </c>
      <c r="O115" s="66">
        <v>500</v>
      </c>
      <c r="P115" s="39">
        <v>45587</v>
      </c>
      <c r="Q115" s="57">
        <v>28500</v>
      </c>
      <c r="R115" s="39">
        <v>45587</v>
      </c>
      <c r="S115" s="57">
        <v>28500</v>
      </c>
      <c r="T115" s="65">
        <v>45652</v>
      </c>
      <c r="U115" s="69">
        <v>2000</v>
      </c>
      <c r="V115" s="65">
        <v>45655</v>
      </c>
      <c r="W115" s="69">
        <v>2000</v>
      </c>
      <c r="X115" s="39"/>
      <c r="Y115" s="57"/>
      <c r="Z115" s="39"/>
      <c r="AA115" s="57"/>
      <c r="AB115" s="65"/>
      <c r="AC115" s="66"/>
      <c r="AD115" s="65"/>
      <c r="AE115" s="66"/>
      <c r="AF115" s="39"/>
      <c r="AG115" s="57"/>
      <c r="AH115" s="39"/>
      <c r="AI115" s="57"/>
    </row>
    <row r="116" spans="1:35" ht="19.5" customHeight="1" x14ac:dyDescent="0.3">
      <c r="A116" s="4">
        <f>'ECN Master Project Tracker new'!A117</f>
        <v>2407394</v>
      </c>
      <c r="B116" s="110" t="str">
        <f>VLOOKUP(A:A,Table1[[Project No]:[Additional Remark]],2,FALSE)</f>
        <v>Nor Aini binti Mat Saman (Nazrul Latif)</v>
      </c>
      <c r="C116" s="55">
        <f>VLOOKUP(A:A,Table1[[Project No]:[Additional Remark]],11,FALSE)</f>
        <v>24100</v>
      </c>
      <c r="D116" s="55">
        <f>VLOOKUP(A:A,Table1[[Project No]:[Additional Remark]],12,FALSE)</f>
        <v>0</v>
      </c>
      <c r="E116" s="55" t="str">
        <f>VLOOKUP(A:A,Table1[[Project No]:[Additional Remark]],4,FALSE)</f>
        <v>Patricia</v>
      </c>
      <c r="F116" s="4" t="str">
        <f>VLOOKUP(A:A,Table1[[Project No]:[Additional Remark]],5,FALSE)</f>
        <v>R-PV</v>
      </c>
      <c r="G116" s="4" t="str">
        <f>VLOOKUP(A:A,Table1[[Project No]:[Additional Remark]],13,FALSE)</f>
        <v>Self finance</v>
      </c>
      <c r="H116" s="4" t="str" cm="1">
        <f t="array" ref="H116">_xlfn.IFS((D116+C116)-J116=0,"Invoice Completed",AC116&lt;&gt;"","5th invoice",Y116&lt;&gt;"","4th invoice",U116&lt;&gt;"","3rd invoice",Q116&lt;&gt;"","2nd invoice",M116&lt;&gt;"","1st invoice",M116="","Pending 1st Invoice")</f>
        <v>Invoice Completed</v>
      </c>
      <c r="I116" s="4" t="str" cm="1">
        <f t="array" ref="I116">_xlfn.IFS((C116+D116)-K116=0,"Payment Completed",AE116&lt;&gt;"","5th payment",AA116&lt;&gt;"","4th payment",W116&lt;&gt;"","3rd payment",S116&lt;&gt;"","2nd payment",O116&lt;&gt;"","1st payment",O116="","Pending 1st Payment")</f>
        <v>Payment Completed</v>
      </c>
      <c r="J116" s="55">
        <f t="shared" si="2"/>
        <v>24100</v>
      </c>
      <c r="K116" s="55">
        <f t="shared" si="3"/>
        <v>24100</v>
      </c>
      <c r="L116" s="65">
        <v>45504</v>
      </c>
      <c r="M116" s="66">
        <v>500</v>
      </c>
      <c r="N116" s="65">
        <v>45504</v>
      </c>
      <c r="O116" s="66">
        <v>500</v>
      </c>
      <c r="P116" s="39">
        <v>45552</v>
      </c>
      <c r="Q116" s="57">
        <v>21600</v>
      </c>
      <c r="R116" s="39">
        <v>45552</v>
      </c>
      <c r="S116" s="57">
        <v>21600</v>
      </c>
      <c r="T116" s="65">
        <v>45614</v>
      </c>
      <c r="U116" s="66">
        <v>2000</v>
      </c>
      <c r="V116" s="65">
        <v>45614</v>
      </c>
      <c r="W116" s="66">
        <v>2000</v>
      </c>
      <c r="X116" s="39"/>
      <c r="Y116" s="57"/>
      <c r="Z116" s="39"/>
      <c r="AA116" s="57"/>
      <c r="AB116" s="65"/>
      <c r="AC116" s="66"/>
      <c r="AD116" s="65"/>
      <c r="AE116" s="66"/>
      <c r="AF116" s="39"/>
      <c r="AG116" s="57"/>
      <c r="AH116" s="39"/>
      <c r="AI116" s="57"/>
    </row>
    <row r="117" spans="1:35" ht="19.5" customHeight="1" x14ac:dyDescent="0.3">
      <c r="A117" s="4" t="str">
        <f>'ECN Master Project Tracker new'!A118</f>
        <v>2407397-1</v>
      </c>
      <c r="B117" s="110" t="str">
        <f>VLOOKUP(A:A,Table1[[Project No]:[Additional Remark]],2,FALSE)</f>
        <v>Teo Kai Yun</v>
      </c>
      <c r="C117" s="55">
        <f>VLOOKUP(A:A,Table1[[Project No]:[Additional Remark]],11,FALSE)</f>
        <v>39600</v>
      </c>
      <c r="D117" s="55">
        <f>VLOOKUP(A:A,Table1[[Project No]:[Additional Remark]],12,FALSE)</f>
        <v>0</v>
      </c>
      <c r="E117" s="55" t="str">
        <f>VLOOKUP(A:A,Table1[[Project No]:[Additional Remark]],4,FALSE)</f>
        <v>Tham</v>
      </c>
      <c r="F117" s="4" t="str">
        <f>VLOOKUP(A:A,Table1[[Project No]:[Additional Remark]],5,FALSE)</f>
        <v>R-PV</v>
      </c>
      <c r="G117" s="4" t="str">
        <f>VLOOKUP(A:A,Table1[[Project No]:[Additional Remark]],13,FALSE)</f>
        <v>Self finance</v>
      </c>
      <c r="H117" s="4" t="str" cm="1">
        <f t="array" ref="H117">_xlfn.IFS((D117+C117)-J117=0,"Invoice Completed",AC117&lt;&gt;"","5th invoice",Y117&lt;&gt;"","4th invoice",U117&lt;&gt;"","3rd invoice",Q117&lt;&gt;"","2nd invoice",M117&lt;&gt;"","1st invoice",M117="","Pending 1st Invoice")</f>
        <v>Invoice Completed</v>
      </c>
      <c r="I117" s="4" t="str" cm="1">
        <f t="array" ref="I117">_xlfn.IFS((C117+D117)-K117=0,"Payment Completed",AE117&lt;&gt;"","5th payment",AA117&lt;&gt;"","4th payment",W117&lt;&gt;"","3rd payment",S117&lt;&gt;"","2nd payment",O117&lt;&gt;"","1st payment",O117="","Pending 1st Payment")</f>
        <v>Payment Completed</v>
      </c>
      <c r="J117" s="55">
        <f t="shared" si="2"/>
        <v>39600</v>
      </c>
      <c r="K117" s="55">
        <f t="shared" si="3"/>
        <v>39600</v>
      </c>
      <c r="L117" s="65">
        <v>45506</v>
      </c>
      <c r="M117" s="66">
        <v>500</v>
      </c>
      <c r="N117" s="65">
        <v>45506</v>
      </c>
      <c r="O117" s="66">
        <v>500</v>
      </c>
      <c r="P117" s="39">
        <v>45635</v>
      </c>
      <c r="Q117" s="57">
        <v>37100</v>
      </c>
      <c r="R117" s="39">
        <v>45635</v>
      </c>
      <c r="S117" s="57">
        <v>37100</v>
      </c>
      <c r="T117" s="65">
        <v>45657</v>
      </c>
      <c r="U117" s="69">
        <v>2000</v>
      </c>
      <c r="V117" s="65">
        <v>45659</v>
      </c>
      <c r="W117" s="69">
        <v>2000</v>
      </c>
      <c r="X117" s="39"/>
      <c r="Y117" s="57"/>
      <c r="Z117" s="39"/>
      <c r="AA117" s="57"/>
      <c r="AB117" s="65"/>
      <c r="AC117" s="66"/>
      <c r="AD117" s="65"/>
      <c r="AE117" s="66"/>
      <c r="AF117" s="39"/>
      <c r="AG117" s="57"/>
      <c r="AH117" s="39"/>
      <c r="AI117" s="57"/>
    </row>
    <row r="118" spans="1:35" ht="19.5" customHeight="1" x14ac:dyDescent="0.3">
      <c r="A118" s="4">
        <f>'ECN Master Project Tracker new'!A119</f>
        <v>2312114</v>
      </c>
      <c r="B118" s="110" t="str">
        <f>VLOOKUP(A:A,Table1[[Project No]:[Additional Remark]],2,FALSE)</f>
        <v>Chua Teng Teng</v>
      </c>
      <c r="C118" s="55">
        <f>VLOOKUP(A:A,Table1[[Project No]:[Additional Remark]],11,FALSE)</f>
        <v>31000</v>
      </c>
      <c r="D118" s="55">
        <f>VLOOKUP(A:A,Table1[[Project No]:[Additional Remark]],12,FALSE)</f>
        <v>0</v>
      </c>
      <c r="E118" s="55" t="str">
        <f>VLOOKUP(A:A,Table1[[Project No]:[Additional Remark]],4,FALSE)</f>
        <v>Tham</v>
      </c>
      <c r="F118" s="4" t="str">
        <f>VLOOKUP(A:A,Table1[[Project No]:[Additional Remark]],5,FALSE)</f>
        <v>R-PV</v>
      </c>
      <c r="G118" s="4" t="str">
        <f>VLOOKUP(A:A,Table1[[Project No]:[Additional Remark]],13,FALSE)</f>
        <v>Self finance</v>
      </c>
      <c r="H118" s="4" t="str" cm="1">
        <f t="array" ref="H118">_xlfn.IFS((D118+C118)-J118=0,"Invoice Completed",AC118&lt;&gt;"","5th invoice",Y118&lt;&gt;"","4th invoice",U118&lt;&gt;"","3rd invoice",Q118&lt;&gt;"","2nd invoice",M118&lt;&gt;"","1st invoice",M118="","Pending 1st Invoice")</f>
        <v>Invoice Completed</v>
      </c>
      <c r="I118" s="4" t="str" cm="1">
        <f t="array" ref="I118">_xlfn.IFS((C118+D118)-K118=0,"Payment Completed",AE118&lt;&gt;"","5th payment",AA118&lt;&gt;"","4th payment",W118&lt;&gt;"","3rd payment",S118&lt;&gt;"","2nd payment",O118&lt;&gt;"","1st payment",O118="","Pending 1st Payment")</f>
        <v>Payment Completed</v>
      </c>
      <c r="J118" s="55">
        <f t="shared" si="2"/>
        <v>31000</v>
      </c>
      <c r="K118" s="55">
        <f t="shared" si="3"/>
        <v>31000</v>
      </c>
      <c r="L118" s="65">
        <v>45458</v>
      </c>
      <c r="M118" s="66">
        <v>500</v>
      </c>
      <c r="N118" s="65">
        <v>45458</v>
      </c>
      <c r="O118" s="66">
        <v>500</v>
      </c>
      <c r="P118" s="39">
        <v>45512</v>
      </c>
      <c r="Q118" s="57">
        <v>28500</v>
      </c>
      <c r="R118" s="39">
        <v>45512</v>
      </c>
      <c r="S118" s="57">
        <v>28500</v>
      </c>
      <c r="T118" s="65">
        <v>45652</v>
      </c>
      <c r="U118" s="69">
        <v>2000</v>
      </c>
      <c r="V118" s="65">
        <v>45656</v>
      </c>
      <c r="W118" s="69">
        <v>2000</v>
      </c>
      <c r="X118" s="39"/>
      <c r="Y118" s="57"/>
      <c r="Z118" s="39"/>
      <c r="AA118" s="57"/>
      <c r="AB118" s="65"/>
      <c r="AC118" s="66"/>
      <c r="AD118" s="65"/>
      <c r="AE118" s="66"/>
      <c r="AF118" s="39"/>
      <c r="AG118" s="57"/>
      <c r="AH118" s="39"/>
      <c r="AI118" s="57"/>
    </row>
    <row r="119" spans="1:35" ht="19.5" customHeight="1" x14ac:dyDescent="0.3">
      <c r="A119" s="4">
        <f>'ECN Master Project Tracker new'!A120</f>
        <v>2401123</v>
      </c>
      <c r="B119" s="110" t="str">
        <f>VLOOKUP(A:A,Table1[[Project No]:[Additional Remark]],2,FALSE)</f>
        <v>Lee Yoon Huat</v>
      </c>
      <c r="C119" s="55">
        <f>VLOOKUP(A:A,Table1[[Project No]:[Additional Remark]],11,FALSE)</f>
        <v>36500</v>
      </c>
      <c r="D119" s="55">
        <f>VLOOKUP(A:A,Table1[[Project No]:[Additional Remark]],12,FALSE)</f>
        <v>0</v>
      </c>
      <c r="E119" s="55" t="str">
        <f>VLOOKUP(A:A,Table1[[Project No]:[Additional Remark]],4,FALSE)</f>
        <v>Tham</v>
      </c>
      <c r="F119" s="4" t="str">
        <f>VLOOKUP(A:A,Table1[[Project No]:[Additional Remark]],5,FALSE)</f>
        <v>R-PV</v>
      </c>
      <c r="G119" s="4" t="str">
        <f>VLOOKUP(A:A,Table1[[Project No]:[Additional Remark]],13,FALSE)</f>
        <v>Cash</v>
      </c>
      <c r="H119" s="4" t="str" cm="1">
        <f t="array" ref="H119">_xlfn.IFS((D119+C119)-J119=0,"Invoice Completed",AC119&lt;&gt;"","5th invoice",Y119&lt;&gt;"","4th invoice",U119&lt;&gt;"","3rd invoice",Q119&lt;&gt;"","2nd invoice",M119&lt;&gt;"","1st invoice",M119="","Pending 1st Invoice")</f>
        <v>Invoice Completed</v>
      </c>
      <c r="I119" s="4" t="str" cm="1">
        <f t="array" ref="I119">_xlfn.IFS((C119+D119)-K119=0,"Payment Completed",AE119&lt;&gt;"","5th payment",AA119&lt;&gt;"","4th payment",W119&lt;&gt;"","3rd payment",S119&lt;&gt;"","2nd payment",O119&lt;&gt;"","1st payment",O119="","Pending 1st Payment")</f>
        <v>Payment Completed</v>
      </c>
      <c r="J119" s="55">
        <f t="shared" si="2"/>
        <v>36500</v>
      </c>
      <c r="K119" s="55">
        <f t="shared" si="3"/>
        <v>36500</v>
      </c>
      <c r="L119" s="65">
        <v>45469</v>
      </c>
      <c r="M119" s="66">
        <v>500</v>
      </c>
      <c r="N119" s="65">
        <v>45469</v>
      </c>
      <c r="O119" s="66">
        <v>500</v>
      </c>
      <c r="P119" s="39">
        <v>45588</v>
      </c>
      <c r="Q119" s="57">
        <v>36000</v>
      </c>
      <c r="R119" s="39">
        <v>45588</v>
      </c>
      <c r="S119" s="57">
        <v>36000</v>
      </c>
      <c r="T119" s="65"/>
      <c r="U119" s="66"/>
      <c r="V119" s="65"/>
      <c r="W119" s="66"/>
      <c r="X119" s="39"/>
      <c r="Y119" s="57"/>
      <c r="Z119" s="39"/>
      <c r="AA119" s="57"/>
      <c r="AB119" s="65"/>
      <c r="AC119" s="66"/>
      <c r="AD119" s="65"/>
      <c r="AE119" s="66"/>
      <c r="AF119" s="39"/>
      <c r="AG119" s="57"/>
      <c r="AH119" s="39"/>
      <c r="AI119" s="57"/>
    </row>
    <row r="120" spans="1:35" ht="19.5" customHeight="1" x14ac:dyDescent="0.3">
      <c r="A120" s="4">
        <f>'ECN Master Project Tracker new'!A121</f>
        <v>2404207</v>
      </c>
      <c r="B120" s="110" t="str">
        <f>VLOOKUP(A:A,Table1[[Project No]:[Additional Remark]],2,FALSE)</f>
        <v>Tan Boon Siang (Han Father)</v>
      </c>
      <c r="C120" s="55">
        <f>VLOOKUP(A:A,Table1[[Project No]:[Additional Remark]],11,FALSE)</f>
        <v>26240</v>
      </c>
      <c r="D120" s="55">
        <f>VLOOKUP(A:A,Table1[[Project No]:[Additional Remark]],12,FALSE)</f>
        <v>-1404</v>
      </c>
      <c r="E120" s="55" t="str">
        <f>VLOOKUP(A:A,Table1[[Project No]:[Additional Remark]],4,FALSE)</f>
        <v>Tham</v>
      </c>
      <c r="F120" s="4" t="str">
        <f>VLOOKUP(A:A,Table1[[Project No]:[Additional Remark]],5,FALSE)</f>
        <v>R-PV</v>
      </c>
      <c r="G120" s="4" t="str">
        <f>VLOOKUP(A:A,Table1[[Project No]:[Additional Remark]],13,FALSE)</f>
        <v>Cash</v>
      </c>
      <c r="H120" s="4" t="str" cm="1">
        <f t="array" ref="H120">_xlfn.IFS((D120+C120)-J120=0,"Invoice Completed",AC120&lt;&gt;"","5th invoice",Y120&lt;&gt;"","4th invoice",U120&lt;&gt;"","3rd invoice",Q120&lt;&gt;"","2nd invoice",M120&lt;&gt;"","1st invoice",M120="","Pending 1st Invoice")</f>
        <v>Invoice Completed</v>
      </c>
      <c r="I120" s="4" t="str" cm="1">
        <f t="array" ref="I120">_xlfn.IFS((C120+D120)-K120=0,"Payment Completed",AE120&lt;&gt;"","5th payment",AA120&lt;&gt;"","4th payment",W120&lt;&gt;"","3rd payment",S120&lt;&gt;"","2nd payment",O120&lt;&gt;"","1st payment",O120="","Pending 1st Payment")</f>
        <v>Payment Completed</v>
      </c>
      <c r="J120" s="55">
        <f t="shared" si="2"/>
        <v>24836</v>
      </c>
      <c r="K120" s="55">
        <f t="shared" si="3"/>
        <v>24836</v>
      </c>
      <c r="L120" s="65">
        <v>45432</v>
      </c>
      <c r="M120" s="66">
        <v>500</v>
      </c>
      <c r="N120" s="65">
        <v>45432</v>
      </c>
      <c r="O120" s="66">
        <v>500</v>
      </c>
      <c r="P120" s="39">
        <v>45657</v>
      </c>
      <c r="Q120" s="57">
        <v>24336</v>
      </c>
      <c r="R120" s="39">
        <v>45673</v>
      </c>
      <c r="S120" s="57">
        <v>24336</v>
      </c>
      <c r="T120" s="65"/>
      <c r="U120" s="66"/>
      <c r="V120" s="65"/>
      <c r="W120" s="66"/>
      <c r="X120" s="39"/>
      <c r="Y120" s="57"/>
      <c r="Z120" s="39"/>
      <c r="AA120" s="57"/>
      <c r="AB120" s="65"/>
      <c r="AC120" s="66"/>
      <c r="AD120" s="65"/>
      <c r="AE120" s="66"/>
      <c r="AF120" s="39"/>
      <c r="AG120" s="57"/>
      <c r="AH120" s="39"/>
      <c r="AI120" s="57"/>
    </row>
    <row r="121" spans="1:35" ht="19.5" customHeight="1" x14ac:dyDescent="0.3">
      <c r="A121" s="4">
        <f>'ECN Master Project Tracker new'!A122</f>
        <v>2408402</v>
      </c>
      <c r="B121" s="110" t="str">
        <f>VLOOKUP(A:A,Table1[[Project No]:[Additional Remark]],2,FALSE)</f>
        <v>Tee Cheong Tuan</v>
      </c>
      <c r="C121" s="55">
        <f>VLOOKUP(A:A,Table1[[Project No]:[Additional Remark]],11,FALSE)</f>
        <v>43000</v>
      </c>
      <c r="D121" s="55">
        <f>VLOOKUP(A:A,Table1[[Project No]:[Additional Remark]],12,FALSE)</f>
        <v>0</v>
      </c>
      <c r="E121" s="55" t="str">
        <f>VLOOKUP(A:A,Table1[[Project No]:[Additional Remark]],4,FALSE)</f>
        <v>Tham</v>
      </c>
      <c r="F121" s="4" t="str">
        <f>VLOOKUP(A:A,Table1[[Project No]:[Additional Remark]],5,FALSE)</f>
        <v>R-PV</v>
      </c>
      <c r="G121" s="4" t="str">
        <f>VLOOKUP(A:A,Table1[[Project No]:[Additional Remark]],13,FALSE)</f>
        <v>Cash</v>
      </c>
      <c r="H121" s="4" t="str" cm="1">
        <f t="array" ref="H121">_xlfn.IFS((D121+C121)-J121=0,"Invoice Completed",AC121&lt;&gt;"","5th invoice",Y121&lt;&gt;"","4th invoice",U121&lt;&gt;"","3rd invoice",Q121&lt;&gt;"","2nd invoice",M121&lt;&gt;"","1st invoice",M121="","Pending 1st Invoice")</f>
        <v>Invoice Completed</v>
      </c>
      <c r="I121" s="4" t="str" cm="1">
        <f t="array" ref="I121">_xlfn.IFS((C121+D121)-K121=0,"Payment Completed",AE121&lt;&gt;"","5th payment",AA121&lt;&gt;"","4th payment",W121&lt;&gt;"","3rd payment",S121&lt;&gt;"","2nd payment",O121&lt;&gt;"","1st payment",O121="","Pending 1st Payment")</f>
        <v>Payment Completed</v>
      </c>
      <c r="J121" s="55">
        <f t="shared" si="2"/>
        <v>43000</v>
      </c>
      <c r="K121" s="55">
        <f t="shared" si="3"/>
        <v>43000</v>
      </c>
      <c r="L121" s="65">
        <v>45611</v>
      </c>
      <c r="M121" s="66">
        <v>500</v>
      </c>
      <c r="N121" s="65">
        <v>45611</v>
      </c>
      <c r="O121" s="66">
        <v>500</v>
      </c>
      <c r="P121" s="39">
        <v>45611</v>
      </c>
      <c r="Q121" s="57">
        <v>42500</v>
      </c>
      <c r="R121" s="39">
        <v>45611</v>
      </c>
      <c r="S121" s="57">
        <v>42500</v>
      </c>
      <c r="T121" s="65"/>
      <c r="U121" s="66"/>
      <c r="V121" s="65"/>
      <c r="W121" s="66"/>
      <c r="X121" s="39"/>
      <c r="Y121" s="57"/>
      <c r="Z121" s="39"/>
      <c r="AA121" s="57"/>
      <c r="AB121" s="65"/>
      <c r="AC121" s="66"/>
      <c r="AD121" s="65"/>
      <c r="AE121" s="66"/>
      <c r="AF121" s="39"/>
      <c r="AG121" s="57"/>
      <c r="AH121" s="39"/>
      <c r="AI121" s="57"/>
    </row>
    <row r="122" spans="1:35" ht="19.5" customHeight="1" x14ac:dyDescent="0.3">
      <c r="A122" s="4">
        <f>'ECN Master Project Tracker new'!A123</f>
        <v>2407372</v>
      </c>
      <c r="B122" s="110" t="str">
        <f>VLOOKUP(A:A,Table1[[Project No]:[Additional Remark]],2,FALSE)</f>
        <v>Dato Tay Tong Ben</v>
      </c>
      <c r="C122" s="55">
        <f>VLOOKUP(A:A,Table1[[Project No]:[Additional Remark]],11,FALSE)</f>
        <v>37600</v>
      </c>
      <c r="D122" s="55">
        <f>VLOOKUP(A:A,Table1[[Project No]:[Additional Remark]],12,FALSE)</f>
        <v>0</v>
      </c>
      <c r="E122" s="55" t="str">
        <f>VLOOKUP(A:A,Table1[[Project No]:[Additional Remark]],4,FALSE)</f>
        <v>Tham</v>
      </c>
      <c r="F122" s="4" t="str">
        <f>VLOOKUP(A:A,Table1[[Project No]:[Additional Remark]],5,FALSE)</f>
        <v>R-PV</v>
      </c>
      <c r="G122" s="4" t="str">
        <f>VLOOKUP(A:A,Table1[[Project No]:[Additional Remark]],13,FALSE)</f>
        <v>Cash</v>
      </c>
      <c r="H122" s="4" t="str" cm="1">
        <f t="array" ref="H122">_xlfn.IFS((D122+C122)-J122=0,"Invoice Completed",AC122&lt;&gt;"","5th invoice",Y122&lt;&gt;"","4th invoice",U122&lt;&gt;"","3rd invoice",Q122&lt;&gt;"","2nd invoice",M122&lt;&gt;"","1st invoice",M122="","Pending 1st Invoice")</f>
        <v>Invoice Completed</v>
      </c>
      <c r="I122" s="4" t="str" cm="1">
        <f t="array" ref="I122">_xlfn.IFS((C122+D122)-K122=0,"Payment Completed",AE122&lt;&gt;"","5th payment",AA122&lt;&gt;"","4th payment",W122&lt;&gt;"","3rd payment",S122&lt;&gt;"","2nd payment",O122&lt;&gt;"","1st payment",O122="","Pending 1st Payment")</f>
        <v>Payment Completed</v>
      </c>
      <c r="J122" s="55">
        <f t="shared" si="2"/>
        <v>37600</v>
      </c>
      <c r="K122" s="55">
        <f t="shared" si="3"/>
        <v>37600</v>
      </c>
      <c r="L122" s="65">
        <v>45509</v>
      </c>
      <c r="M122" s="66">
        <v>500</v>
      </c>
      <c r="N122" s="65">
        <v>45509</v>
      </c>
      <c r="O122" s="66">
        <v>500</v>
      </c>
      <c r="P122" s="39">
        <v>45562</v>
      </c>
      <c r="Q122" s="57">
        <v>37100</v>
      </c>
      <c r="R122" s="39">
        <v>45562</v>
      </c>
      <c r="S122" s="57">
        <v>37100</v>
      </c>
      <c r="T122" s="65"/>
      <c r="U122" s="66"/>
      <c r="V122" s="65"/>
      <c r="W122" s="66"/>
      <c r="X122" s="39"/>
      <c r="Y122" s="57"/>
      <c r="Z122" s="39"/>
      <c r="AA122" s="57"/>
      <c r="AB122" s="65"/>
      <c r="AC122" s="66"/>
      <c r="AD122" s="65"/>
      <c r="AE122" s="66"/>
      <c r="AF122" s="39"/>
      <c r="AG122" s="57"/>
      <c r="AH122" s="39"/>
      <c r="AI122" s="57"/>
    </row>
    <row r="123" spans="1:35" ht="19.5" customHeight="1" x14ac:dyDescent="0.3">
      <c r="A123" s="4">
        <f>'ECN Master Project Tracker new'!A124</f>
        <v>2405298</v>
      </c>
      <c r="B123" s="110" t="str">
        <f>VLOOKUP(A:A,Table1[[Project No]:[Additional Remark]],2,FALSE)</f>
        <v>Lim Choon Huat</v>
      </c>
      <c r="C123" s="55">
        <f>VLOOKUP(A:A,Table1[[Project No]:[Additional Remark]],11,FALSE)</f>
        <v>35960</v>
      </c>
      <c r="D123" s="55">
        <f>VLOOKUP(A:A,Table1[[Project No]:[Additional Remark]],12,FALSE)</f>
        <v>0</v>
      </c>
      <c r="E123" s="55" t="str">
        <f>VLOOKUP(A:A,Table1[[Project No]:[Additional Remark]],4,FALSE)</f>
        <v>Tham</v>
      </c>
      <c r="F123" s="4" t="str">
        <f>VLOOKUP(A:A,Table1[[Project No]:[Additional Remark]],5,FALSE)</f>
        <v>R-PV</v>
      </c>
      <c r="G123" s="4" t="str">
        <f>VLOOKUP(A:A,Table1[[Project No]:[Additional Remark]],13,FALSE)</f>
        <v>Credit Card Instalment</v>
      </c>
      <c r="H123" s="4" t="str" cm="1">
        <f t="array" ref="H123">_xlfn.IFS((D123+C123)-J123=0,"Invoice Completed",AC123&lt;&gt;"","5th invoice",Y123&lt;&gt;"","4th invoice",U123&lt;&gt;"","3rd invoice",Q123&lt;&gt;"","2nd invoice",M123&lt;&gt;"","1st invoice",M123="","Pending 1st Invoice")</f>
        <v>Invoice Completed</v>
      </c>
      <c r="I123" s="4" t="str" cm="1">
        <f t="array" ref="I123">_xlfn.IFS((C123+D123)-K123=0,"Payment Completed",AE123&lt;&gt;"","5th payment",AA123&lt;&gt;"","4th payment",W123&lt;&gt;"","3rd payment",S123&lt;&gt;"","2nd payment",O123&lt;&gt;"","1st payment",O123="","Pending 1st Payment")</f>
        <v>Payment Completed</v>
      </c>
      <c r="J123" s="55">
        <f t="shared" si="2"/>
        <v>35960</v>
      </c>
      <c r="K123" s="55">
        <f t="shared" si="3"/>
        <v>35960</v>
      </c>
      <c r="L123" s="65">
        <v>45566</v>
      </c>
      <c r="M123" s="66">
        <v>500</v>
      </c>
      <c r="N123" s="65">
        <v>45566</v>
      </c>
      <c r="O123" s="66">
        <v>500</v>
      </c>
      <c r="P123" s="39">
        <v>45566</v>
      </c>
      <c r="Q123" s="57">
        <v>35460</v>
      </c>
      <c r="R123" s="39">
        <v>45566</v>
      </c>
      <c r="S123" s="57">
        <v>35460</v>
      </c>
      <c r="T123" s="65"/>
      <c r="U123" s="66"/>
      <c r="V123" s="65"/>
      <c r="W123" s="66"/>
      <c r="X123" s="39"/>
      <c r="Y123" s="57"/>
      <c r="Z123" s="39"/>
      <c r="AA123" s="57"/>
      <c r="AB123" s="65"/>
      <c r="AC123" s="66"/>
      <c r="AD123" s="65"/>
      <c r="AE123" s="66"/>
      <c r="AF123" s="39"/>
      <c r="AG123" s="57"/>
      <c r="AH123" s="39"/>
      <c r="AI123" s="57"/>
    </row>
    <row r="124" spans="1:35" ht="19.5" customHeight="1" x14ac:dyDescent="0.3">
      <c r="A124" s="4">
        <f>'ECN Master Project Tracker new'!A125</f>
        <v>2408404</v>
      </c>
      <c r="B124" s="110" t="str">
        <f>VLOOKUP(A:A,Table1[[Project No]:[Additional Remark]],2,FALSE)</f>
        <v>Ong Ling Gee</v>
      </c>
      <c r="C124" s="55">
        <f>VLOOKUP(A:A,Table1[[Project No]:[Additional Remark]],11,FALSE)</f>
        <v>24680</v>
      </c>
      <c r="D124" s="55">
        <f>VLOOKUP(A:A,Table1[[Project No]:[Additional Remark]],12,FALSE)</f>
        <v>0</v>
      </c>
      <c r="E124" s="55" t="str">
        <f>VLOOKUP(A:A,Table1[[Project No]:[Additional Remark]],4,FALSE)</f>
        <v>Tham</v>
      </c>
      <c r="F124" s="4" t="str">
        <f>VLOOKUP(A:A,Table1[[Project No]:[Additional Remark]],5,FALSE)</f>
        <v>R-PV</v>
      </c>
      <c r="G124" s="4" t="str">
        <f>VLOOKUP(A:A,Table1[[Project No]:[Additional Remark]],13,FALSE)</f>
        <v>Credit Card Instalment</v>
      </c>
      <c r="H124" s="4" t="str" cm="1">
        <f t="array" ref="H124">_xlfn.IFS((D124+C124)-J124=0,"Invoice Completed",AC124&lt;&gt;"","5th invoice",Y124&lt;&gt;"","4th invoice",U124&lt;&gt;"","3rd invoice",Q124&lt;&gt;"","2nd invoice",M124&lt;&gt;"","1st invoice",M124="","Pending 1st Invoice")</f>
        <v>Invoice Completed</v>
      </c>
      <c r="I124" s="4" t="str" cm="1">
        <f t="array" ref="I124">_xlfn.IFS((C124+D124)-K124=0,"Payment Completed",AE124&lt;&gt;"","5th payment",AA124&lt;&gt;"","4th payment",W124&lt;&gt;"","3rd payment",S124&lt;&gt;"","2nd payment",O124&lt;&gt;"","1st payment",O124="","Pending 1st Payment")</f>
        <v>Payment Completed</v>
      </c>
      <c r="J124" s="55">
        <f t="shared" si="2"/>
        <v>24680</v>
      </c>
      <c r="K124" s="55">
        <f t="shared" si="3"/>
        <v>24680</v>
      </c>
      <c r="L124" s="65">
        <v>45512</v>
      </c>
      <c r="M124" s="66">
        <v>500</v>
      </c>
      <c r="N124" s="65">
        <v>45512</v>
      </c>
      <c r="O124" s="66">
        <v>500</v>
      </c>
      <c r="P124" s="39">
        <v>45594</v>
      </c>
      <c r="Q124" s="57">
        <v>24180</v>
      </c>
      <c r="R124" s="39">
        <v>45594</v>
      </c>
      <c r="S124" s="57">
        <v>24180</v>
      </c>
      <c r="T124" s="65"/>
      <c r="U124" s="66"/>
      <c r="V124" s="65"/>
      <c r="W124" s="66"/>
      <c r="X124" s="39"/>
      <c r="Y124" s="57"/>
      <c r="Z124" s="39"/>
      <c r="AA124" s="57"/>
      <c r="AB124" s="65"/>
      <c r="AC124" s="66"/>
      <c r="AD124" s="65"/>
      <c r="AE124" s="66"/>
      <c r="AF124" s="39"/>
      <c r="AG124" s="57"/>
      <c r="AH124" s="39"/>
      <c r="AI124" s="57"/>
    </row>
    <row r="125" spans="1:35" ht="19.5" customHeight="1" x14ac:dyDescent="0.3">
      <c r="A125" s="4">
        <f>'ECN Master Project Tracker new'!A126</f>
        <v>2408401</v>
      </c>
      <c r="B125" s="110" t="str">
        <f>VLOOKUP(A:A,Table1[[Project No]:[Additional Remark]],2,FALSE)</f>
        <v>Kuek Soon Yeam</v>
      </c>
      <c r="C125" s="55">
        <f>VLOOKUP(A:A,Table1[[Project No]:[Additional Remark]],11,FALSE)</f>
        <v>22500</v>
      </c>
      <c r="D125" s="55">
        <f>VLOOKUP(A:A,Table1[[Project No]:[Additional Remark]],12,FALSE)</f>
        <v>0</v>
      </c>
      <c r="E125" s="55" t="str">
        <f>VLOOKUP(A:A,Table1[[Project No]:[Additional Remark]],4,FALSE)</f>
        <v>Tham</v>
      </c>
      <c r="F125" s="4" t="str">
        <f>VLOOKUP(A:A,Table1[[Project No]:[Additional Remark]],5,FALSE)</f>
        <v>R-PV</v>
      </c>
      <c r="G125" s="4" t="str">
        <f>VLOOKUP(A:A,Table1[[Project No]:[Additional Remark]],13,FALSE)</f>
        <v>Cash</v>
      </c>
      <c r="H125" s="4" t="str" cm="1">
        <f t="array" ref="H125">_xlfn.IFS((D125+C125)-J125=0,"Invoice Completed",AC125&lt;&gt;"","5th invoice",Y125&lt;&gt;"","4th invoice",U125&lt;&gt;"","3rd invoice",Q125&lt;&gt;"","2nd invoice",M125&lt;&gt;"","1st invoice",M125="","Pending 1st Invoice")</f>
        <v>Invoice Completed</v>
      </c>
      <c r="I125" s="4" t="str" cm="1">
        <f t="array" ref="I125">_xlfn.IFS((C125+D125)-K125=0,"Payment Completed",AE125&lt;&gt;"","5th payment",AA125&lt;&gt;"","4th payment",W125&lt;&gt;"","3rd payment",S125&lt;&gt;"","2nd payment",O125&lt;&gt;"","1st payment",O125="","Pending 1st Payment")</f>
        <v>Payment Completed</v>
      </c>
      <c r="J125" s="55">
        <f t="shared" si="2"/>
        <v>22500</v>
      </c>
      <c r="K125" s="55">
        <f t="shared" si="3"/>
        <v>22500</v>
      </c>
      <c r="L125" s="65">
        <v>45512</v>
      </c>
      <c r="M125" s="66">
        <v>500</v>
      </c>
      <c r="N125" s="65">
        <v>45512</v>
      </c>
      <c r="O125" s="66">
        <v>500</v>
      </c>
      <c r="P125" s="39">
        <v>45595</v>
      </c>
      <c r="Q125" s="57">
        <v>20000</v>
      </c>
      <c r="R125" s="39">
        <v>45595</v>
      </c>
      <c r="S125" s="57">
        <v>20000</v>
      </c>
      <c r="T125" s="65">
        <v>45652</v>
      </c>
      <c r="U125" s="66">
        <v>2000</v>
      </c>
      <c r="V125" s="65">
        <v>45653</v>
      </c>
      <c r="W125" s="66">
        <v>2000</v>
      </c>
      <c r="X125" s="39"/>
      <c r="Y125" s="57"/>
      <c r="Z125" s="39"/>
      <c r="AA125" s="57"/>
      <c r="AB125" s="65"/>
      <c r="AC125" s="66"/>
      <c r="AD125" s="65"/>
      <c r="AE125" s="66"/>
      <c r="AF125" s="39"/>
      <c r="AG125" s="57"/>
      <c r="AH125" s="39"/>
      <c r="AI125" s="57"/>
    </row>
    <row r="126" spans="1:35" ht="19.5" customHeight="1" x14ac:dyDescent="0.3">
      <c r="A126" s="4">
        <f>'ECN Master Project Tracker new'!A127</f>
        <v>2408398</v>
      </c>
      <c r="B126" s="110" t="str">
        <f>VLOOKUP(A:A,Table1[[Project No]:[Additional Remark]],2,FALSE)</f>
        <v>Yap Siok Ching</v>
      </c>
      <c r="C126" s="55">
        <f>VLOOKUP(A:A,Table1[[Project No]:[Additional Remark]],11,FALSE)</f>
        <v>36680</v>
      </c>
      <c r="D126" s="55">
        <f>VLOOKUP(A:A,Table1[[Project No]:[Additional Remark]],12,FALSE)</f>
        <v>0</v>
      </c>
      <c r="E126" s="55" t="str">
        <f>VLOOKUP(A:A,Table1[[Project No]:[Additional Remark]],4,FALSE)</f>
        <v>Tham</v>
      </c>
      <c r="F126" s="4" t="str">
        <f>VLOOKUP(A:A,Table1[[Project No]:[Additional Remark]],5,FALSE)</f>
        <v>R-PV</v>
      </c>
      <c r="G126" s="4" t="str">
        <f>VLOOKUP(A:A,Table1[[Project No]:[Additional Remark]],13,FALSE)</f>
        <v>Credit Card Instalment</v>
      </c>
      <c r="H126" s="4" t="str" cm="1">
        <f t="array" ref="H126">_xlfn.IFS((D126+C126)-J126=0,"Invoice Completed",AC126&lt;&gt;"","5th invoice",Y126&lt;&gt;"","4th invoice",U126&lt;&gt;"","3rd invoice",Q126&lt;&gt;"","2nd invoice",M126&lt;&gt;"","1st invoice",M126="","Pending 1st Invoice")</f>
        <v>Invoice Completed</v>
      </c>
      <c r="I126" s="4" t="str" cm="1">
        <f t="array" ref="I126">_xlfn.IFS((C126+D126)-K126=0,"Payment Completed",AE126&lt;&gt;"","5th payment",AA126&lt;&gt;"","4th payment",W126&lt;&gt;"","3rd payment",S126&lt;&gt;"","2nd payment",O126&lt;&gt;"","1st payment",O126="","Pending 1st Payment")</f>
        <v>Payment Completed</v>
      </c>
      <c r="J126" s="55">
        <f t="shared" si="2"/>
        <v>36680</v>
      </c>
      <c r="K126" s="55">
        <f t="shared" si="3"/>
        <v>36680</v>
      </c>
      <c r="L126" s="65">
        <v>45587</v>
      </c>
      <c r="M126" s="66">
        <v>500</v>
      </c>
      <c r="N126" s="65">
        <v>45587</v>
      </c>
      <c r="O126" s="66">
        <v>500</v>
      </c>
      <c r="P126" s="39">
        <v>45587</v>
      </c>
      <c r="Q126" s="57">
        <v>36180</v>
      </c>
      <c r="R126" s="39">
        <v>45611</v>
      </c>
      <c r="S126" s="57">
        <v>36180</v>
      </c>
      <c r="T126" s="65"/>
      <c r="U126" s="66"/>
      <c r="V126" s="65"/>
      <c r="W126" s="66"/>
      <c r="X126" s="39"/>
      <c r="Y126" s="57"/>
      <c r="Z126" s="39"/>
      <c r="AA126" s="57"/>
      <c r="AB126" s="65"/>
      <c r="AC126" s="66"/>
      <c r="AD126" s="65"/>
      <c r="AE126" s="66"/>
      <c r="AF126" s="39"/>
      <c r="AG126" s="57"/>
      <c r="AH126" s="39"/>
      <c r="AI126" s="57"/>
    </row>
    <row r="127" spans="1:35" ht="19.5" customHeight="1" x14ac:dyDescent="0.3">
      <c r="A127" s="4">
        <f>'ECN Master Project Tracker new'!A128</f>
        <v>2408415</v>
      </c>
      <c r="B127" s="110" t="str">
        <f>VLOOKUP(A:A,Table1[[Project No]:[Additional Remark]],2,FALSE)</f>
        <v>Shahrin Merican</v>
      </c>
      <c r="C127" s="55">
        <f>VLOOKUP(A:A,Table1[[Project No]:[Additional Remark]],11,FALSE)</f>
        <v>45600</v>
      </c>
      <c r="D127" s="55">
        <f>VLOOKUP(A:A,Table1[[Project No]:[Additional Remark]],12,FALSE)</f>
        <v>0</v>
      </c>
      <c r="E127" s="55" t="str">
        <f>VLOOKUP(A:A,Table1[[Project No]:[Additional Remark]],4,FALSE)</f>
        <v>Tham</v>
      </c>
      <c r="F127" s="4" t="str">
        <f>VLOOKUP(A:A,Table1[[Project No]:[Additional Remark]],5,FALSE)</f>
        <v>R-PV</v>
      </c>
      <c r="G127" s="4" t="str">
        <f>VLOOKUP(A:A,Table1[[Project No]:[Additional Remark]],13,FALSE)</f>
        <v>Cash</v>
      </c>
      <c r="H127" s="4" t="str" cm="1">
        <f t="array" ref="H127">_xlfn.IFS((D127+C127)-J127=0,"Invoice Completed",AC127&lt;&gt;"","5th invoice",Y127&lt;&gt;"","4th invoice",U127&lt;&gt;"","3rd invoice",Q127&lt;&gt;"","2nd invoice",M127&lt;&gt;"","1st invoice",M127="","Pending 1st Invoice")</f>
        <v>Invoice Completed</v>
      </c>
      <c r="I127" s="4" t="str" cm="1">
        <f t="array" ref="I127">_xlfn.IFS((C127+D127)-K127=0,"Payment Completed",AE127&lt;&gt;"","5th payment",AA127&lt;&gt;"","4th payment",W127&lt;&gt;"","3rd payment",S127&lt;&gt;"","2nd payment",O127&lt;&gt;"","1st payment",O127="","Pending 1st Payment")</f>
        <v>Payment Completed</v>
      </c>
      <c r="J127" s="55">
        <f t="shared" si="2"/>
        <v>45600</v>
      </c>
      <c r="K127" s="55">
        <f t="shared" si="3"/>
        <v>45600</v>
      </c>
      <c r="L127" s="65">
        <v>45587</v>
      </c>
      <c r="M127" s="66">
        <v>500</v>
      </c>
      <c r="N127" s="65">
        <v>45587</v>
      </c>
      <c r="O127" s="66">
        <v>500</v>
      </c>
      <c r="P127" s="39">
        <v>45587</v>
      </c>
      <c r="Q127" s="57">
        <v>43100</v>
      </c>
      <c r="R127" s="39">
        <v>45594</v>
      </c>
      <c r="S127" s="57">
        <v>43100</v>
      </c>
      <c r="T127" s="65">
        <v>45615</v>
      </c>
      <c r="U127" s="66">
        <v>2000</v>
      </c>
      <c r="V127" s="65">
        <v>45610</v>
      </c>
      <c r="W127" s="66">
        <v>2000</v>
      </c>
      <c r="X127" s="39"/>
      <c r="Y127" s="57"/>
      <c r="Z127" s="39"/>
      <c r="AA127" s="57"/>
      <c r="AB127" s="65"/>
      <c r="AC127" s="66"/>
      <c r="AD127" s="65"/>
      <c r="AE127" s="66"/>
      <c r="AF127" s="39"/>
      <c r="AG127" s="57"/>
      <c r="AH127" s="39"/>
      <c r="AI127" s="57"/>
    </row>
    <row r="128" spans="1:35" ht="19.5" customHeight="1" x14ac:dyDescent="0.3">
      <c r="A128" s="4">
        <f>'ECN Master Project Tracker new'!A129</f>
        <v>2408425</v>
      </c>
      <c r="B128" s="110" t="str">
        <f>VLOOKUP(A:A,Table1[[Project No]:[Additional Remark]],2,FALSE)</f>
        <v>Chua Shen Huat</v>
      </c>
      <c r="C128" s="55">
        <f>VLOOKUP(A:A,Table1[[Project No]:[Additional Remark]],11,FALSE)</f>
        <v>43100</v>
      </c>
      <c r="D128" s="55">
        <f>VLOOKUP(A:A,Table1[[Project No]:[Additional Remark]],12,FALSE)</f>
        <v>0</v>
      </c>
      <c r="E128" s="55" t="str">
        <f>VLOOKUP(A:A,Table1[[Project No]:[Additional Remark]],4,FALSE)</f>
        <v>Tham</v>
      </c>
      <c r="F128" s="4" t="str">
        <f>VLOOKUP(A:A,Table1[[Project No]:[Additional Remark]],5,FALSE)</f>
        <v>R-PV</v>
      </c>
      <c r="G128" s="4" t="str">
        <f>VLOOKUP(A:A,Table1[[Project No]:[Additional Remark]],13,FALSE)</f>
        <v>Credit Card Instalment</v>
      </c>
      <c r="H128" s="4" t="str" cm="1">
        <f t="array" ref="H128">_xlfn.IFS((D128+C128)-J128=0,"Invoice Completed",AC128&lt;&gt;"","5th invoice",Y128&lt;&gt;"","4th invoice",U128&lt;&gt;"","3rd invoice",Q128&lt;&gt;"","2nd invoice",M128&lt;&gt;"","1st invoice",M128="","Pending 1st Invoice")</f>
        <v>Invoice Completed</v>
      </c>
      <c r="I128" s="4" t="str" cm="1">
        <f t="array" ref="I128">_xlfn.IFS((C128+D128)-K128=0,"Payment Completed",AE128&lt;&gt;"","5th payment",AA128&lt;&gt;"","4th payment",W128&lt;&gt;"","3rd payment",S128&lt;&gt;"","2nd payment",O128&lt;&gt;"","1st payment",O128="","Pending 1st Payment")</f>
        <v>Payment Completed</v>
      </c>
      <c r="J128" s="55">
        <f t="shared" si="2"/>
        <v>43100</v>
      </c>
      <c r="K128" s="55">
        <f t="shared" si="3"/>
        <v>43100</v>
      </c>
      <c r="L128" s="65">
        <v>45587</v>
      </c>
      <c r="M128" s="66">
        <v>500</v>
      </c>
      <c r="N128" s="65">
        <v>45587</v>
      </c>
      <c r="O128" s="66">
        <v>500</v>
      </c>
      <c r="P128" s="39">
        <v>45587</v>
      </c>
      <c r="Q128" s="57">
        <v>42600</v>
      </c>
      <c r="R128" s="39">
        <v>45587</v>
      </c>
      <c r="S128" s="57">
        <v>42600</v>
      </c>
      <c r="T128" s="65"/>
      <c r="U128" s="66"/>
      <c r="V128" s="65"/>
      <c r="W128" s="66"/>
      <c r="X128" s="39"/>
      <c r="Y128" s="57"/>
      <c r="Z128" s="39"/>
      <c r="AA128" s="57"/>
      <c r="AB128" s="65"/>
      <c r="AC128" s="66"/>
      <c r="AD128" s="65"/>
      <c r="AE128" s="66"/>
      <c r="AF128" s="39"/>
      <c r="AG128" s="57"/>
      <c r="AH128" s="39"/>
      <c r="AI128" s="57"/>
    </row>
    <row r="129" spans="1:35" ht="19.5" customHeight="1" x14ac:dyDescent="0.3">
      <c r="A129" s="4">
        <f>'ECN Master Project Tracker new'!A130</f>
        <v>2406334</v>
      </c>
      <c r="B129" s="110" t="str">
        <f>VLOOKUP(A:A,Table1[[Project No]:[Additional Remark]],2,FALSE)</f>
        <v>Yap Kee Leong</v>
      </c>
      <c r="C129" s="55">
        <f>VLOOKUP(A:A,Table1[[Project No]:[Additional Remark]],11,FALSE)</f>
        <v>37600</v>
      </c>
      <c r="D129" s="55">
        <f>VLOOKUP(A:A,Table1[[Project No]:[Additional Remark]],12,FALSE)</f>
        <v>0</v>
      </c>
      <c r="E129" s="55" t="str">
        <f>VLOOKUP(A:A,Table1[[Project No]:[Additional Remark]],4,FALSE)</f>
        <v>Tham</v>
      </c>
      <c r="F129" s="4" t="str">
        <f>VLOOKUP(A:A,Table1[[Project No]:[Additional Remark]],5,FALSE)</f>
        <v>R-PV</v>
      </c>
      <c r="G129" s="4" t="str">
        <f>VLOOKUP(A:A,Table1[[Project No]:[Additional Remark]],13,FALSE)</f>
        <v>Cash</v>
      </c>
      <c r="H129" s="4" t="str" cm="1">
        <f t="array" ref="H129">_xlfn.IFS((D129+C129)-J129=0,"Invoice Completed",AC129&lt;&gt;"","5th invoice",Y129&lt;&gt;"","4th invoice",U129&lt;&gt;"","3rd invoice",Q129&lt;&gt;"","2nd invoice",M129&lt;&gt;"","1st invoice",M129="","Pending 1st Invoice")</f>
        <v>Invoice Completed</v>
      </c>
      <c r="I129" s="4" t="str" cm="1">
        <f t="array" ref="I129">_xlfn.IFS((C129+D129)-K129=0,"Payment Completed",AE129&lt;&gt;"","5th payment",AA129&lt;&gt;"","4th payment",W129&lt;&gt;"","3rd payment",S129&lt;&gt;"","2nd payment",O129&lt;&gt;"","1st payment",O129="","Pending 1st Payment")</f>
        <v>Payment Completed</v>
      </c>
      <c r="J129" s="55">
        <f t="shared" si="2"/>
        <v>37600</v>
      </c>
      <c r="K129" s="55">
        <f t="shared" si="3"/>
        <v>37600</v>
      </c>
      <c r="L129" s="65">
        <v>45531</v>
      </c>
      <c r="M129" s="66">
        <v>500</v>
      </c>
      <c r="N129" s="65">
        <v>45531</v>
      </c>
      <c r="O129" s="66">
        <v>500</v>
      </c>
      <c r="P129" s="39">
        <v>45643</v>
      </c>
      <c r="Q129" s="57">
        <v>37100</v>
      </c>
      <c r="R129" s="39">
        <v>45643</v>
      </c>
      <c r="S129" s="57">
        <v>37100</v>
      </c>
      <c r="T129" s="65"/>
      <c r="U129" s="66"/>
      <c r="V129" s="65"/>
      <c r="W129" s="66"/>
      <c r="X129" s="39"/>
      <c r="Y129" s="57"/>
      <c r="Z129" s="39"/>
      <c r="AA129" s="57"/>
      <c r="AB129" s="65"/>
      <c r="AC129" s="66"/>
      <c r="AD129" s="65"/>
      <c r="AE129" s="66"/>
      <c r="AF129" s="39"/>
      <c r="AG129" s="57"/>
      <c r="AH129" s="39"/>
      <c r="AI129" s="57"/>
    </row>
    <row r="130" spans="1:35" ht="19.5" customHeight="1" x14ac:dyDescent="0.3">
      <c r="A130" s="4">
        <f>'ECN Master Project Tracker new'!A131</f>
        <v>2407371</v>
      </c>
      <c r="B130" s="110" t="str">
        <f>VLOOKUP(A:A,Table1[[Project No]:[Additional Remark]],2,FALSE)</f>
        <v>Tiong Nguong Kiong</v>
      </c>
      <c r="C130" s="55">
        <f>VLOOKUP(A:A,Table1[[Project No]:[Additional Remark]],11,FALSE)</f>
        <v>32800</v>
      </c>
      <c r="D130" s="55">
        <f>VLOOKUP(A:A,Table1[[Project No]:[Additional Remark]],12,FALSE)</f>
        <v>0</v>
      </c>
      <c r="E130" s="55" t="str">
        <f>VLOOKUP(A:A,Table1[[Project No]:[Additional Remark]],4,FALSE)</f>
        <v>Chean Bang</v>
      </c>
      <c r="F130" s="4" t="str">
        <f>VLOOKUP(A:A,Table1[[Project No]:[Additional Remark]],5,FALSE)</f>
        <v>R-PV</v>
      </c>
      <c r="G130" s="4" t="str">
        <f>VLOOKUP(A:A,Table1[[Project No]:[Additional Remark]],13,FALSE)</f>
        <v>Cash</v>
      </c>
      <c r="H130" s="4" t="str" cm="1">
        <f t="array" ref="H130">_xlfn.IFS((D130+C130)-J130=0,"Invoice Completed",AC130&lt;&gt;"","5th invoice",Y130&lt;&gt;"","4th invoice",U130&lt;&gt;"","3rd invoice",Q130&lt;&gt;"","2nd invoice",M130&lt;&gt;"","1st invoice",M130="","Pending 1st Invoice")</f>
        <v>Invoice Completed</v>
      </c>
      <c r="I130" s="4" t="str" cm="1">
        <f t="array" ref="I130">_xlfn.IFS((C130+D130)-K130=0,"Payment Completed",AE130&lt;&gt;"","5th payment",AA130&lt;&gt;"","4th payment",W130&lt;&gt;"","3rd payment",S130&lt;&gt;"","2nd payment",O130&lt;&gt;"","1st payment",O130="","Pending 1st Payment")</f>
        <v>Payment Completed</v>
      </c>
      <c r="J130" s="55">
        <f t="shared" si="2"/>
        <v>32800</v>
      </c>
      <c r="K130" s="55">
        <f t="shared" si="3"/>
        <v>32800</v>
      </c>
      <c r="L130" s="65">
        <v>45589</v>
      </c>
      <c r="M130" s="66">
        <v>500</v>
      </c>
      <c r="N130" s="65">
        <v>45589</v>
      </c>
      <c r="O130" s="66">
        <v>500</v>
      </c>
      <c r="P130" s="39">
        <v>45589</v>
      </c>
      <c r="Q130" s="57">
        <v>30300</v>
      </c>
      <c r="R130" s="39">
        <v>45589</v>
      </c>
      <c r="S130" s="57">
        <v>30300</v>
      </c>
      <c r="T130" s="65">
        <v>45652</v>
      </c>
      <c r="U130" s="69">
        <v>2000</v>
      </c>
      <c r="V130" s="72">
        <v>45649</v>
      </c>
      <c r="W130" s="69">
        <v>2000</v>
      </c>
      <c r="X130" s="39"/>
      <c r="Y130" s="57"/>
      <c r="Z130" s="39"/>
      <c r="AA130" s="57"/>
      <c r="AB130" s="72"/>
      <c r="AC130" s="66"/>
      <c r="AD130" s="72"/>
      <c r="AE130" s="66"/>
      <c r="AF130" s="39"/>
      <c r="AG130" s="57"/>
      <c r="AH130" s="39"/>
      <c r="AI130" s="57"/>
    </row>
    <row r="131" spans="1:35" ht="19.5" customHeight="1" x14ac:dyDescent="0.3">
      <c r="A131" s="4">
        <f>'ECN Master Project Tracker new'!A132</f>
        <v>2408409</v>
      </c>
      <c r="B131" s="110" t="str">
        <f>VLOOKUP(A:A,Table1[[Project No]:[Additional Remark]],2,FALSE)</f>
        <v>Lua Peck Lay</v>
      </c>
      <c r="C131" s="55">
        <f>VLOOKUP(A:A,Table1[[Project No]:[Additional Remark]],11,FALSE)</f>
        <v>27700</v>
      </c>
      <c r="D131" s="55">
        <f>VLOOKUP(A:A,Table1[[Project No]:[Additional Remark]],12,FALSE)</f>
        <v>0</v>
      </c>
      <c r="E131" s="55" t="str">
        <f>VLOOKUP(A:A,Table1[[Project No]:[Additional Remark]],4,FALSE)</f>
        <v>Patricia</v>
      </c>
      <c r="F131" s="4" t="str">
        <f>VLOOKUP(A:A,Table1[[Project No]:[Additional Remark]],5,FALSE)</f>
        <v>R-PV</v>
      </c>
      <c r="G131" s="4" t="str">
        <f>VLOOKUP(A:A,Table1[[Project No]:[Additional Remark]],13,FALSE)</f>
        <v>Cash</v>
      </c>
      <c r="H131" s="4" t="str" cm="1">
        <f t="array" ref="H131">_xlfn.IFS((D131+C131)-J131=0,"Invoice Completed",AC131&lt;&gt;"","5th invoice",Y131&lt;&gt;"","4th invoice",U131&lt;&gt;"","3rd invoice",Q131&lt;&gt;"","2nd invoice",M131&lt;&gt;"","1st invoice",M131="","Pending 1st Invoice")</f>
        <v>Invoice Completed</v>
      </c>
      <c r="I131" s="4" t="str" cm="1">
        <f t="array" ref="I131">_xlfn.IFS((C131+D131)-K131=0,"Payment Completed",AE131&lt;&gt;"","5th payment",AA131&lt;&gt;"","4th payment",W131&lt;&gt;"","3rd payment",S131&lt;&gt;"","2nd payment",O131&lt;&gt;"","1st payment",O131="","Pending 1st Payment")</f>
        <v>3rd payment</v>
      </c>
      <c r="J131" s="55">
        <f t="shared" si="2"/>
        <v>27700</v>
      </c>
      <c r="K131" s="55">
        <f t="shared" si="3"/>
        <v>25700</v>
      </c>
      <c r="L131" s="65">
        <v>45573</v>
      </c>
      <c r="M131" s="66">
        <v>500</v>
      </c>
      <c r="N131" s="65">
        <v>45573</v>
      </c>
      <c r="O131" s="66">
        <v>500</v>
      </c>
      <c r="P131" s="39">
        <v>45573</v>
      </c>
      <c r="Q131" s="57">
        <v>12600</v>
      </c>
      <c r="R131" s="39">
        <v>45573</v>
      </c>
      <c r="S131" s="57">
        <v>12600</v>
      </c>
      <c r="T131" s="65">
        <v>45582</v>
      </c>
      <c r="U131" s="66">
        <v>12600</v>
      </c>
      <c r="V131" s="65">
        <v>45618</v>
      </c>
      <c r="W131" s="66">
        <v>12600</v>
      </c>
      <c r="X131" s="39">
        <v>45652</v>
      </c>
      <c r="Y131" s="58">
        <v>2000</v>
      </c>
      <c r="Z131" s="39"/>
      <c r="AA131" s="58"/>
      <c r="AB131" s="65"/>
      <c r="AC131" s="66"/>
      <c r="AD131" s="65"/>
      <c r="AE131" s="66"/>
      <c r="AF131" s="39"/>
      <c r="AG131" s="57"/>
      <c r="AH131" s="39"/>
      <c r="AI131" s="57"/>
    </row>
    <row r="132" spans="1:35" ht="19.5" customHeight="1" x14ac:dyDescent="0.3">
      <c r="A132" s="4">
        <f>'ECN Master Project Tracker new'!A133</f>
        <v>2408411</v>
      </c>
      <c r="B132" s="110" t="str">
        <f>VLOOKUP(A:A,Table1[[Project No]:[Additional Remark]],2,FALSE)</f>
        <v>Akhman Aidi Putra</v>
      </c>
      <c r="C132" s="55">
        <f>VLOOKUP(A:A,Table1[[Project No]:[Additional Remark]],11,FALSE)</f>
        <v>24100</v>
      </c>
      <c r="D132" s="55">
        <f>VLOOKUP(A:A,Table1[[Project No]:[Additional Remark]],12,FALSE)</f>
        <v>0</v>
      </c>
      <c r="E132" s="55" t="str">
        <f>VLOOKUP(A:A,Table1[[Project No]:[Additional Remark]],4,FALSE)</f>
        <v>Patricia</v>
      </c>
      <c r="F132" s="4" t="str">
        <f>VLOOKUP(A:A,Table1[[Project No]:[Additional Remark]],5,FALSE)</f>
        <v>R-PV</v>
      </c>
      <c r="G132" s="4" t="str">
        <f>VLOOKUP(A:A,Table1[[Project No]:[Additional Remark]],13,FALSE)</f>
        <v>Cash</v>
      </c>
      <c r="H132" s="4" t="str" cm="1">
        <f t="array" ref="H132">_xlfn.IFS((D132+C132)-J132=0,"Invoice Completed",AC132&lt;&gt;"","5th invoice",Y132&lt;&gt;"","4th invoice",U132&lt;&gt;"","3rd invoice",Q132&lt;&gt;"","2nd invoice",M132&lt;&gt;"","1st invoice",M132="","Pending 1st Invoice")</f>
        <v>Invoice Completed</v>
      </c>
      <c r="I132" s="4" t="str" cm="1">
        <f t="array" ref="I132">_xlfn.IFS((C132+D132)-K132=0,"Payment Completed",AE132&lt;&gt;"","5th payment",AA132&lt;&gt;"","4th payment",W132&lt;&gt;"","3rd payment",S132&lt;&gt;"","2nd payment",O132&lt;&gt;"","1st payment",O132="","Pending 1st Payment")</f>
        <v>Payment Completed</v>
      </c>
      <c r="J132" s="55">
        <f t="shared" ref="J132:J195" si="4">SUM(M132,Q132,U132,Y132,AC132,AG132)</f>
        <v>24100</v>
      </c>
      <c r="K132" s="55">
        <f t="shared" ref="K132:K195" si="5">SUM(O132,S132,W132,AA132,AE132,AI132)</f>
        <v>24100</v>
      </c>
      <c r="L132" s="65">
        <v>45519</v>
      </c>
      <c r="M132" s="66">
        <v>500</v>
      </c>
      <c r="N132" s="65">
        <v>45519</v>
      </c>
      <c r="O132" s="66">
        <v>500</v>
      </c>
      <c r="P132" s="39">
        <v>45566</v>
      </c>
      <c r="Q132" s="57">
        <v>21600</v>
      </c>
      <c r="R132" s="39">
        <v>45566</v>
      </c>
      <c r="S132" s="57">
        <v>21600</v>
      </c>
      <c r="T132" s="65">
        <v>45580</v>
      </c>
      <c r="U132" s="66">
        <v>2000</v>
      </c>
      <c r="V132" s="65">
        <v>45580</v>
      </c>
      <c r="W132" s="66">
        <v>2000</v>
      </c>
      <c r="X132" s="39"/>
      <c r="Y132" s="57"/>
      <c r="Z132" s="39"/>
      <c r="AA132" s="57"/>
      <c r="AB132" s="65"/>
      <c r="AC132" s="66"/>
      <c r="AD132" s="65"/>
      <c r="AE132" s="66"/>
      <c r="AF132" s="39"/>
      <c r="AG132" s="57"/>
      <c r="AH132" s="39"/>
      <c r="AI132" s="57"/>
    </row>
    <row r="133" spans="1:35" ht="19.5" customHeight="1" x14ac:dyDescent="0.3">
      <c r="A133" s="4">
        <f>'ECN Master Project Tracker new'!A134</f>
        <v>2408408</v>
      </c>
      <c r="B133" s="110" t="str">
        <f>VLOOKUP(A:A,Table1[[Project No]:[Additional Remark]],2,FALSE)</f>
        <v>Chiang Yoke Har</v>
      </c>
      <c r="C133" s="55">
        <f>VLOOKUP(A:A,Table1[[Project No]:[Additional Remark]],11,FALSE)</f>
        <v>50600</v>
      </c>
      <c r="D133" s="55">
        <f>VLOOKUP(A:A,Table1[[Project No]:[Additional Remark]],12,FALSE)</f>
        <v>0</v>
      </c>
      <c r="E133" s="55" t="str">
        <f>VLOOKUP(A:A,Table1[[Project No]:[Additional Remark]],4,FALSE)</f>
        <v>Patricia</v>
      </c>
      <c r="F133" s="4" t="str">
        <f>VLOOKUP(A:A,Table1[[Project No]:[Additional Remark]],5,FALSE)</f>
        <v>R-PV</v>
      </c>
      <c r="G133" s="4" t="str">
        <f>VLOOKUP(A:A,Table1[[Project No]:[Additional Remark]],13,FALSE)</f>
        <v>Cash + Credit Card Instalment</v>
      </c>
      <c r="H133" s="4" t="str" cm="1">
        <f t="array" ref="H133">_xlfn.IFS((D133+C133)-J133=0,"Invoice Completed",AC133&lt;&gt;"","5th invoice",Y133&lt;&gt;"","4th invoice",U133&lt;&gt;"","3rd invoice",Q133&lt;&gt;"","2nd invoice",M133&lt;&gt;"","1st invoice",M133="","Pending 1st Invoice")</f>
        <v>Invoice Completed</v>
      </c>
      <c r="I133" s="4" t="str" cm="1">
        <f t="array" ref="I133">_xlfn.IFS((C133+D133)-K133=0,"Payment Completed",AE133&lt;&gt;"","5th payment",AA133&lt;&gt;"","4th payment",W133&lt;&gt;"","3rd payment",S133&lt;&gt;"","2nd payment",O133&lt;&gt;"","1st payment",O133="","Pending 1st Payment")</f>
        <v>Payment Completed</v>
      </c>
      <c r="J133" s="55">
        <f t="shared" si="4"/>
        <v>50600</v>
      </c>
      <c r="K133" s="55">
        <f t="shared" si="5"/>
        <v>50600</v>
      </c>
      <c r="L133" s="65">
        <v>45519</v>
      </c>
      <c r="M133" s="66">
        <v>500</v>
      </c>
      <c r="N133" s="65">
        <v>45519</v>
      </c>
      <c r="O133" s="66">
        <v>500</v>
      </c>
      <c r="P133" s="39">
        <v>45579</v>
      </c>
      <c r="Q133" s="57">
        <v>50100</v>
      </c>
      <c r="R133" s="39">
        <v>45579</v>
      </c>
      <c r="S133" s="57">
        <v>50100</v>
      </c>
      <c r="T133" s="65"/>
      <c r="U133" s="66"/>
      <c r="V133" s="65"/>
      <c r="W133" s="66"/>
      <c r="X133" s="39"/>
      <c r="Y133" s="57"/>
      <c r="Z133" s="39"/>
      <c r="AA133" s="57"/>
      <c r="AB133" s="65"/>
      <c r="AC133" s="66"/>
      <c r="AD133" s="65"/>
      <c r="AE133" s="66"/>
      <c r="AF133" s="39"/>
      <c r="AG133" s="57"/>
      <c r="AH133" s="39"/>
      <c r="AI133" s="57"/>
    </row>
    <row r="134" spans="1:35" ht="19.5" customHeight="1" x14ac:dyDescent="0.3">
      <c r="A134" s="4">
        <f>'ECN Master Project Tracker new'!A135</f>
        <v>2408025</v>
      </c>
      <c r="B134" s="110" t="str">
        <f>VLOOKUP(A:A,Table1[[Project No]:[Additional Remark]],2,FALSE)</f>
        <v>Handal Green Mobility Sdn Bhd (ICE Gallery @ Pantai Sentral)</v>
      </c>
      <c r="C134" s="55">
        <f>VLOOKUP(A:A,Table1[[Project No]:[Additional Remark]],11,FALSE)</f>
        <v>55300</v>
      </c>
      <c r="D134" s="55">
        <f>VLOOKUP(A:A,Table1[[Project No]:[Additional Remark]],12,FALSE)</f>
        <v>0</v>
      </c>
      <c r="E134" s="55" t="str">
        <f>VLOOKUP(A:A,Table1[[Project No]:[Additional Remark]],4,FALSE)</f>
        <v>Simon</v>
      </c>
      <c r="F134" s="4" t="str">
        <f>VLOOKUP(A:A,Table1[[Project No]:[Additional Remark]],5,FALSE)</f>
        <v>EV Charger</v>
      </c>
      <c r="G134" s="4" t="str">
        <f>VLOOKUP(A:A,Table1[[Project No]:[Additional Remark]],13,FALSE)</f>
        <v>Cash</v>
      </c>
      <c r="H134" s="4" t="str" cm="1">
        <f t="array" ref="H134">_xlfn.IFS((D134+C134)-J134=0,"Invoice Completed",AC134&lt;&gt;"","5th invoice",Y134&lt;&gt;"","4th invoice",U134&lt;&gt;"","3rd invoice",Q134&lt;&gt;"","2nd invoice",M134&lt;&gt;"","1st invoice",M134="","Pending 1st Invoice")</f>
        <v>Invoice Completed</v>
      </c>
      <c r="I134" s="4" t="str" cm="1">
        <f t="array" ref="I134">_xlfn.IFS((C134+D134)-K134=0,"Payment Completed",AE134&lt;&gt;"","5th payment",AA134&lt;&gt;"","4th payment",W134&lt;&gt;"","3rd payment",S134&lt;&gt;"","2nd payment",O134&lt;&gt;"","1st payment",O134="","Pending 1st Payment")</f>
        <v>Payment Completed</v>
      </c>
      <c r="J134" s="55">
        <f t="shared" si="4"/>
        <v>55300</v>
      </c>
      <c r="K134" s="55">
        <f t="shared" si="5"/>
        <v>55300</v>
      </c>
      <c r="L134" s="65">
        <v>45593</v>
      </c>
      <c r="M134" s="66">
        <v>55300</v>
      </c>
      <c r="N134" s="65">
        <v>45602</v>
      </c>
      <c r="O134" s="66">
        <v>55300</v>
      </c>
      <c r="P134" s="39"/>
      <c r="Q134" s="57"/>
      <c r="R134" s="39"/>
      <c r="S134" s="57"/>
      <c r="T134" s="65"/>
      <c r="U134" s="66"/>
      <c r="V134" s="65"/>
      <c r="W134" s="66"/>
      <c r="X134" s="39"/>
      <c r="Y134" s="57"/>
      <c r="Z134" s="39"/>
      <c r="AA134" s="57"/>
      <c r="AB134" s="65"/>
      <c r="AC134" s="66"/>
      <c r="AD134" s="65"/>
      <c r="AE134" s="66"/>
      <c r="AF134" s="39"/>
      <c r="AG134" s="57"/>
      <c r="AH134" s="39"/>
      <c r="AI134" s="57"/>
    </row>
    <row r="135" spans="1:35" ht="19.5" customHeight="1" x14ac:dyDescent="0.3">
      <c r="A135" s="4">
        <f>'ECN Master Project Tracker new'!A136</f>
        <v>2408431</v>
      </c>
      <c r="B135" s="110" t="str">
        <f>VLOOKUP(A:A,Table1[[Project No]:[Additional Remark]],2,FALSE)</f>
        <v>Lor Yean Yean</v>
      </c>
      <c r="C135" s="55">
        <f>VLOOKUP(A:A,Table1[[Project No]:[Additional Remark]],11,FALSE)</f>
        <v>30000</v>
      </c>
      <c r="D135" s="55">
        <f>VLOOKUP(A:A,Table1[[Project No]:[Additional Remark]],12,FALSE)</f>
        <v>0</v>
      </c>
      <c r="E135" s="55" t="str">
        <f>VLOOKUP(A:A,Table1[[Project No]:[Additional Remark]],4,FALSE)</f>
        <v>Tham</v>
      </c>
      <c r="F135" s="4" t="str">
        <f>VLOOKUP(A:A,Table1[[Project No]:[Additional Remark]],5,FALSE)</f>
        <v>R-PV</v>
      </c>
      <c r="G135" s="4">
        <f>VLOOKUP(A:A,Table1[[Project No]:[Additional Remark]],13,FALSE)</f>
        <v>0</v>
      </c>
      <c r="H135" s="4" t="str" cm="1">
        <f t="array" ref="H135">_xlfn.IFS((D135+C135)-J135=0,"Invoice Completed",AC135&lt;&gt;"","5th invoice",Y135&lt;&gt;"","4th invoice",U135&lt;&gt;"","3rd invoice",Q135&lt;&gt;"","2nd invoice",M135&lt;&gt;"","1st invoice",M135="","Pending 1st Invoice")</f>
        <v>Invoice Completed</v>
      </c>
      <c r="I135" s="4" t="str" cm="1">
        <f t="array" ref="I135">_xlfn.IFS((C135+D135)-K135=0,"Payment Completed",AE135&lt;&gt;"","5th payment",AA135&lt;&gt;"","4th payment",W135&lt;&gt;"","3rd payment",S135&lt;&gt;"","2nd payment",O135&lt;&gt;"","1st payment",O135="","Pending 1st Payment")</f>
        <v>Payment Completed</v>
      </c>
      <c r="J135" s="55">
        <f t="shared" si="4"/>
        <v>30000</v>
      </c>
      <c r="K135" s="55">
        <f t="shared" si="5"/>
        <v>30000</v>
      </c>
      <c r="L135" s="65">
        <v>45515</v>
      </c>
      <c r="M135" s="66">
        <v>500</v>
      </c>
      <c r="N135" s="65">
        <v>45515</v>
      </c>
      <c r="O135" s="66">
        <v>500</v>
      </c>
      <c r="P135" s="39">
        <v>45727</v>
      </c>
      <c r="Q135" s="57">
        <v>29500</v>
      </c>
      <c r="R135" s="39">
        <v>45743</v>
      </c>
      <c r="S135" s="57">
        <v>29500</v>
      </c>
      <c r="T135" s="65"/>
      <c r="U135" s="66"/>
      <c r="V135" s="65"/>
      <c r="W135" s="66"/>
      <c r="X135" s="39"/>
      <c r="Y135" s="57"/>
      <c r="Z135" s="39"/>
      <c r="AA135" s="57"/>
      <c r="AB135" s="65"/>
      <c r="AC135" s="66"/>
      <c r="AD135" s="65"/>
      <c r="AE135" s="66"/>
      <c r="AF135" s="39"/>
      <c r="AG135" s="57"/>
      <c r="AH135" s="39"/>
      <c r="AI135" s="57"/>
    </row>
    <row r="136" spans="1:35" ht="19.5" customHeight="1" x14ac:dyDescent="0.3">
      <c r="A136" s="4">
        <f>'ECN Master Project Tracker new'!A137</f>
        <v>2408432</v>
      </c>
      <c r="B136" s="110" t="str">
        <f>VLOOKUP(A:A,Table1[[Project No]:[Additional Remark]],2,FALSE)</f>
        <v>Lin Mok Kwai Yin</v>
      </c>
      <c r="C136" s="55">
        <f>VLOOKUP(A:A,Table1[[Project No]:[Additional Remark]],11,FALSE)</f>
        <v>23800</v>
      </c>
      <c r="D136" s="55">
        <f>VLOOKUP(A:A,Table1[[Project No]:[Additional Remark]],12,FALSE)</f>
        <v>0</v>
      </c>
      <c r="E136" s="55" t="str">
        <f>VLOOKUP(A:A,Table1[[Project No]:[Additional Remark]],4,FALSE)</f>
        <v>Chean Bang</v>
      </c>
      <c r="F136" s="4" t="str">
        <f>VLOOKUP(A:A,Table1[[Project No]:[Additional Remark]],5,FALSE)</f>
        <v>R-PV</v>
      </c>
      <c r="G136" s="4">
        <f>VLOOKUP(A:A,Table1[[Project No]:[Additional Remark]],13,FALSE)</f>
        <v>0</v>
      </c>
      <c r="H136" s="4" t="str" cm="1">
        <f t="array" ref="H136">_xlfn.IFS((D136+C136)-J136=0,"Invoice Completed",AC136&lt;&gt;"","5th invoice",Y136&lt;&gt;"","4th invoice",U136&lt;&gt;"","3rd invoice",Q136&lt;&gt;"","2nd invoice",M136&lt;&gt;"","1st invoice",M136="","Pending 1st Invoice")</f>
        <v>Invoice Completed</v>
      </c>
      <c r="I136" s="4" t="str" cm="1">
        <f t="array" ref="I136">_xlfn.IFS((C136+D136)-K136=0,"Payment Completed",AE136&lt;&gt;"","5th payment",AA136&lt;&gt;"","4th payment",W136&lt;&gt;"","3rd payment",S136&lt;&gt;"","2nd payment",O136&lt;&gt;"","1st payment",O136="","Pending 1st Payment")</f>
        <v>Payment Completed</v>
      </c>
      <c r="J136" s="55">
        <f t="shared" si="4"/>
        <v>23800</v>
      </c>
      <c r="K136" s="55">
        <f t="shared" si="5"/>
        <v>23800</v>
      </c>
      <c r="L136" s="65">
        <v>45546</v>
      </c>
      <c r="M136" s="66">
        <v>500</v>
      </c>
      <c r="N136" s="65">
        <v>45546</v>
      </c>
      <c r="O136" s="66">
        <v>500</v>
      </c>
      <c r="P136" s="39">
        <v>45635</v>
      </c>
      <c r="Q136" s="57">
        <v>21300</v>
      </c>
      <c r="R136" s="39">
        <v>45757</v>
      </c>
      <c r="S136" s="57">
        <v>21300</v>
      </c>
      <c r="T136" s="65">
        <v>45757</v>
      </c>
      <c r="U136" s="66">
        <v>2000</v>
      </c>
      <c r="V136" s="65">
        <v>45757</v>
      </c>
      <c r="W136" s="66">
        <v>2000</v>
      </c>
      <c r="X136" s="39"/>
      <c r="Y136" s="57"/>
      <c r="Z136" s="39"/>
      <c r="AA136" s="57"/>
      <c r="AB136" s="65"/>
      <c r="AC136" s="66"/>
      <c r="AD136" s="65"/>
      <c r="AE136" s="66"/>
      <c r="AF136" s="39"/>
      <c r="AG136" s="57"/>
      <c r="AH136" s="39"/>
      <c r="AI136" s="57"/>
    </row>
    <row r="137" spans="1:35" ht="19.5" customHeight="1" x14ac:dyDescent="0.3">
      <c r="A137" s="4">
        <f>'ECN Master Project Tracker new'!A138</f>
        <v>2408407</v>
      </c>
      <c r="B137" s="110" t="str">
        <f>VLOOKUP(A:A,Table1[[Project No]:[Additional Remark]],2,FALSE)</f>
        <v>Kwong Wui Ee</v>
      </c>
      <c r="C137" s="55">
        <f>VLOOKUP(A:A,Table1[[Project No]:[Additional Remark]],11,FALSE)</f>
        <v>29700</v>
      </c>
      <c r="D137" s="55">
        <f>VLOOKUP(A:A,Table1[[Project No]:[Additional Remark]],12,FALSE)</f>
        <v>0</v>
      </c>
      <c r="E137" s="55" t="str">
        <f>VLOOKUP(A:A,Table1[[Project No]:[Additional Remark]],4,FALSE)</f>
        <v>Patricia</v>
      </c>
      <c r="F137" s="4" t="str">
        <f>VLOOKUP(A:A,Table1[[Project No]:[Additional Remark]],5,FALSE)</f>
        <v>R-PV</v>
      </c>
      <c r="G137" s="4" t="str">
        <f>VLOOKUP(A:A,Table1[[Project No]:[Additional Remark]],13,FALSE)</f>
        <v>Cash</v>
      </c>
      <c r="H137" s="4" t="str" cm="1">
        <f t="array" ref="H137">_xlfn.IFS((D137+C137)-J137=0,"Invoice Completed",AC137&lt;&gt;"","5th invoice",Y137&lt;&gt;"","4th invoice",U137&lt;&gt;"","3rd invoice",Q137&lt;&gt;"","2nd invoice",M137&lt;&gt;"","1st invoice",M137="","Pending 1st Invoice")</f>
        <v>Invoice Completed</v>
      </c>
      <c r="I137" s="4" t="str" cm="1">
        <f t="array" ref="I137">_xlfn.IFS((C137+D137)-K137=0,"Payment Completed",AE137&lt;&gt;"","5th payment",AA137&lt;&gt;"","4th payment",W137&lt;&gt;"","3rd payment",S137&lt;&gt;"","2nd payment",O137&lt;&gt;"","1st payment",O137="","Pending 1st Payment")</f>
        <v>Payment Completed</v>
      </c>
      <c r="J137" s="55">
        <f t="shared" si="4"/>
        <v>29700</v>
      </c>
      <c r="K137" s="55">
        <f t="shared" si="5"/>
        <v>29700</v>
      </c>
      <c r="L137" s="65">
        <v>45539</v>
      </c>
      <c r="M137" s="66">
        <v>500</v>
      </c>
      <c r="N137" s="65">
        <v>45539</v>
      </c>
      <c r="O137" s="66">
        <v>500</v>
      </c>
      <c r="P137" s="39">
        <v>45600</v>
      </c>
      <c r="Q137" s="57">
        <v>29200</v>
      </c>
      <c r="R137" s="39">
        <v>45624</v>
      </c>
      <c r="S137" s="57">
        <v>29200</v>
      </c>
      <c r="T137" s="65"/>
      <c r="U137" s="66"/>
      <c r="V137" s="65"/>
      <c r="W137" s="66"/>
      <c r="X137" s="39"/>
      <c r="Y137" s="57"/>
      <c r="Z137" s="39"/>
      <c r="AA137" s="57"/>
      <c r="AB137" s="65"/>
      <c r="AC137" s="66"/>
      <c r="AD137" s="65"/>
      <c r="AE137" s="66"/>
      <c r="AF137" s="39"/>
      <c r="AG137" s="57"/>
      <c r="AH137" s="39"/>
      <c r="AI137" s="57"/>
    </row>
    <row r="138" spans="1:35" ht="19.5" customHeight="1" x14ac:dyDescent="0.3">
      <c r="A138" s="4">
        <f>'ECN Master Project Tracker new'!A139</f>
        <v>2409441</v>
      </c>
      <c r="B138" s="110" t="str">
        <f>VLOOKUP(A:A,Table1[[Project No]:[Additional Remark]],2,FALSE)</f>
        <v>Cheu Chow Sew @ Chew Chow Sew</v>
      </c>
      <c r="C138" s="55">
        <f>VLOOKUP(A:A,Table1[[Project No]:[Additional Remark]],11,FALSE)</f>
        <v>38000</v>
      </c>
      <c r="D138" s="55">
        <f>VLOOKUP(A:A,Table1[[Project No]:[Additional Remark]],12,FALSE)</f>
        <v>0</v>
      </c>
      <c r="E138" s="55" t="str">
        <f>VLOOKUP(A:A,Table1[[Project No]:[Additional Remark]],4,FALSE)</f>
        <v>Chean Bang</v>
      </c>
      <c r="F138" s="4" t="str">
        <f>VLOOKUP(A:A,Table1[[Project No]:[Additional Remark]],5,FALSE)</f>
        <v>R-PV</v>
      </c>
      <c r="G138" s="4" t="str">
        <f>VLOOKUP(A:A,Table1[[Project No]:[Additional Remark]],13,FALSE)</f>
        <v>Cash</v>
      </c>
      <c r="H138" s="4" t="str" cm="1">
        <f t="array" ref="H138">_xlfn.IFS((D138+C138)-J138=0,"Invoice Completed",AC138&lt;&gt;"","5th invoice",Y138&lt;&gt;"","4th invoice",U138&lt;&gt;"","3rd invoice",Q138&lt;&gt;"","2nd invoice",M138&lt;&gt;"","1st invoice",M138="","Pending 1st Invoice")</f>
        <v>Invoice Completed</v>
      </c>
      <c r="I138" s="4" t="str" cm="1">
        <f t="array" ref="I138">_xlfn.IFS((C138+D138)-K138=0,"Payment Completed",AE138&lt;&gt;"","5th payment",AA138&lt;&gt;"","4th payment",W138&lt;&gt;"","3rd payment",S138&lt;&gt;"","2nd payment",O138&lt;&gt;"","1st payment",O138="","Pending 1st Payment")</f>
        <v>Payment Completed</v>
      </c>
      <c r="J138" s="55">
        <f t="shared" si="4"/>
        <v>38000</v>
      </c>
      <c r="K138" s="55">
        <f t="shared" si="5"/>
        <v>38000</v>
      </c>
      <c r="L138" s="65">
        <v>45604</v>
      </c>
      <c r="M138" s="66">
        <v>500</v>
      </c>
      <c r="N138" s="65">
        <v>45604</v>
      </c>
      <c r="O138" s="66">
        <v>500</v>
      </c>
      <c r="P138" s="39">
        <v>45605</v>
      </c>
      <c r="Q138" s="57">
        <v>35500</v>
      </c>
      <c r="R138" s="39">
        <v>45605</v>
      </c>
      <c r="S138" s="57">
        <v>35500</v>
      </c>
      <c r="T138" s="65">
        <v>45629</v>
      </c>
      <c r="U138" s="66">
        <v>2000</v>
      </c>
      <c r="V138" s="65">
        <v>45629</v>
      </c>
      <c r="W138" s="66">
        <v>2000</v>
      </c>
      <c r="X138" s="39"/>
      <c r="Y138" s="57"/>
      <c r="Z138" s="39"/>
      <c r="AA138" s="57"/>
      <c r="AB138" s="65"/>
      <c r="AC138" s="66"/>
      <c r="AD138" s="65"/>
      <c r="AE138" s="66"/>
      <c r="AF138" s="39"/>
      <c r="AG138" s="57"/>
      <c r="AH138" s="39"/>
      <c r="AI138" s="57"/>
    </row>
    <row r="139" spans="1:35" ht="19.5" customHeight="1" x14ac:dyDescent="0.3">
      <c r="A139" s="4">
        <f>'ECN Master Project Tracker new'!A140</f>
        <v>2408433</v>
      </c>
      <c r="B139" s="110" t="str">
        <f>VLOOKUP(A:A,Table1[[Project No]:[Additional Remark]],2,FALSE)</f>
        <v>Ng Ek Hoo</v>
      </c>
      <c r="C139" s="55">
        <f>VLOOKUP(A:A,Table1[[Project No]:[Additional Remark]],11,FALSE)</f>
        <v>24000</v>
      </c>
      <c r="D139" s="55">
        <f>VLOOKUP(A:A,Table1[[Project No]:[Additional Remark]],12,FALSE)</f>
        <v>0</v>
      </c>
      <c r="E139" s="55" t="str">
        <f>VLOOKUP(A:A,Table1[[Project No]:[Additional Remark]],4,FALSE)</f>
        <v>Chean Bang</v>
      </c>
      <c r="F139" s="4" t="str">
        <f>VLOOKUP(A:A,Table1[[Project No]:[Additional Remark]],5,FALSE)</f>
        <v>R-PV</v>
      </c>
      <c r="G139" s="4" t="str">
        <f>VLOOKUP(A:A,Table1[[Project No]:[Additional Remark]],13,FALSE)</f>
        <v>Cash</v>
      </c>
      <c r="H139" s="4" t="str" cm="1">
        <f t="array" ref="H139">_xlfn.IFS((D139+C139)-J139=0,"Invoice Completed",AC139&lt;&gt;"","5th invoice",Y139&lt;&gt;"","4th invoice",U139&lt;&gt;"","3rd invoice",Q139&lt;&gt;"","2nd invoice",M139&lt;&gt;"","1st invoice",M139="","Pending 1st Invoice")</f>
        <v>Invoice Completed</v>
      </c>
      <c r="I139" s="4" t="str" cm="1">
        <f t="array" ref="I139">_xlfn.IFS((C139+D139)-K139=0,"Payment Completed",AE139&lt;&gt;"","5th payment",AA139&lt;&gt;"","4th payment",W139&lt;&gt;"","3rd payment",S139&lt;&gt;"","2nd payment",O139&lt;&gt;"","1st payment",O139="","Pending 1st Payment")</f>
        <v>Payment Completed</v>
      </c>
      <c r="J139" s="55">
        <f t="shared" si="4"/>
        <v>24000</v>
      </c>
      <c r="K139" s="55">
        <f t="shared" si="5"/>
        <v>24000</v>
      </c>
      <c r="L139" s="65">
        <v>45537</v>
      </c>
      <c r="M139" s="66">
        <v>500</v>
      </c>
      <c r="N139" s="65">
        <v>45537</v>
      </c>
      <c r="O139" s="66">
        <v>500</v>
      </c>
      <c r="P139" s="39">
        <v>45621</v>
      </c>
      <c r="Q139" s="57">
        <v>21500</v>
      </c>
      <c r="R139" s="39">
        <v>45621</v>
      </c>
      <c r="S139" s="57">
        <v>21500</v>
      </c>
      <c r="T139" s="65">
        <v>45652</v>
      </c>
      <c r="U139" s="69">
        <v>2000</v>
      </c>
      <c r="V139" s="65">
        <v>45649</v>
      </c>
      <c r="W139" s="69">
        <v>2000</v>
      </c>
      <c r="X139" s="39"/>
      <c r="Y139" s="57"/>
      <c r="Z139" s="39"/>
      <c r="AA139" s="57"/>
      <c r="AB139" s="65"/>
      <c r="AC139" s="66"/>
      <c r="AD139" s="65"/>
      <c r="AE139" s="66"/>
      <c r="AF139" s="39"/>
      <c r="AG139" s="57"/>
      <c r="AH139" s="39"/>
      <c r="AI139" s="57"/>
    </row>
    <row r="140" spans="1:35" ht="19.5" customHeight="1" x14ac:dyDescent="0.3">
      <c r="A140" s="4">
        <f>'ECN Master Project Tracker new'!A141</f>
        <v>2409445</v>
      </c>
      <c r="B140" s="110" t="str">
        <f>VLOOKUP(A:A,Table1[[Project No]:[Additional Remark]],2,FALSE)</f>
        <v>Phang Kar Teck</v>
      </c>
      <c r="C140" s="55">
        <f>VLOOKUP(A:A,Table1[[Project No]:[Additional Remark]],11,FALSE)</f>
        <v>22500</v>
      </c>
      <c r="D140" s="55">
        <f>VLOOKUP(A:A,Table1[[Project No]:[Additional Remark]],12,FALSE)</f>
        <v>0</v>
      </c>
      <c r="E140" s="55" t="str">
        <f>VLOOKUP(A:A,Table1[[Project No]:[Additional Remark]],4,FALSE)</f>
        <v>Patricia</v>
      </c>
      <c r="F140" s="4" t="str">
        <f>VLOOKUP(A:A,Table1[[Project No]:[Additional Remark]],5,FALSE)</f>
        <v>R-PV</v>
      </c>
      <c r="G140" s="4" t="str">
        <f>VLOOKUP(A:A,Table1[[Project No]:[Additional Remark]],13,FALSE)</f>
        <v>Cash</v>
      </c>
      <c r="H140" s="4" t="str" cm="1">
        <f t="array" ref="H140">_xlfn.IFS((D140+C140)-J140=0,"Invoice Completed",AC140&lt;&gt;"","5th invoice",Y140&lt;&gt;"","4th invoice",U140&lt;&gt;"","3rd invoice",Q140&lt;&gt;"","2nd invoice",M140&lt;&gt;"","1st invoice",M140="","Pending 1st Invoice")</f>
        <v>Invoice Completed</v>
      </c>
      <c r="I140" s="4" t="str" cm="1">
        <f t="array" ref="I140">_xlfn.IFS((C140+D140)-K140=0,"Payment Completed",AE140&lt;&gt;"","5th payment",AA140&lt;&gt;"","4th payment",W140&lt;&gt;"","3rd payment",S140&lt;&gt;"","2nd payment",O140&lt;&gt;"","1st payment",O140="","Pending 1st Payment")</f>
        <v>Payment Completed</v>
      </c>
      <c r="J140" s="55">
        <f t="shared" si="4"/>
        <v>22500</v>
      </c>
      <c r="K140" s="55">
        <f t="shared" si="5"/>
        <v>22500</v>
      </c>
      <c r="L140" s="65">
        <v>45545</v>
      </c>
      <c r="M140" s="66">
        <v>500</v>
      </c>
      <c r="N140" s="65">
        <v>45545</v>
      </c>
      <c r="O140" s="66">
        <v>500</v>
      </c>
      <c r="P140" s="39">
        <v>45756</v>
      </c>
      <c r="Q140" s="57">
        <v>22000</v>
      </c>
      <c r="R140" s="39">
        <v>45821</v>
      </c>
      <c r="S140" s="57">
        <v>22000</v>
      </c>
      <c r="T140" s="65"/>
      <c r="U140" s="66"/>
      <c r="V140" s="65"/>
      <c r="W140" s="66"/>
      <c r="X140" s="39"/>
      <c r="Y140" s="57"/>
      <c r="Z140" s="39"/>
      <c r="AA140" s="57"/>
      <c r="AB140" s="65"/>
      <c r="AC140" s="66"/>
      <c r="AD140" s="65"/>
      <c r="AE140" s="66"/>
      <c r="AF140" s="39"/>
      <c r="AG140" s="57"/>
      <c r="AH140" s="39"/>
      <c r="AI140" s="57"/>
    </row>
    <row r="141" spans="1:35" ht="19.5" customHeight="1" x14ac:dyDescent="0.3">
      <c r="A141" s="4">
        <f>'ECN Master Project Tracker new'!A142</f>
        <v>2408434</v>
      </c>
      <c r="B141" s="110" t="str">
        <f>VLOOKUP(A:A,Table1[[Project No]:[Additional Remark]],2,FALSE)</f>
        <v>Lim Ye Soon</v>
      </c>
      <c r="C141" s="55">
        <f>VLOOKUP(A:A,Table1[[Project No]:[Additional Remark]],11,FALSE)</f>
        <v>38600</v>
      </c>
      <c r="D141" s="55">
        <f>VLOOKUP(A:A,Table1[[Project No]:[Additional Remark]],12,FALSE)</f>
        <v>0</v>
      </c>
      <c r="E141" s="55" t="str">
        <f>VLOOKUP(A:A,Table1[[Project No]:[Additional Remark]],4,FALSE)</f>
        <v>Chean Bang</v>
      </c>
      <c r="F141" s="4" t="str">
        <f>VLOOKUP(A:A,Table1[[Project No]:[Additional Remark]],5,FALSE)</f>
        <v>R-PV</v>
      </c>
      <c r="G141" s="4" t="str">
        <f>VLOOKUP(A:A,Table1[[Project No]:[Additional Remark]],13,FALSE)</f>
        <v>Cash</v>
      </c>
      <c r="H141" s="4" t="str" cm="1">
        <f t="array" ref="H141">_xlfn.IFS((D141+C141)-J141=0,"Invoice Completed",AC141&lt;&gt;"","5th invoice",Y141&lt;&gt;"","4th invoice",U141&lt;&gt;"","3rd invoice",Q141&lt;&gt;"","2nd invoice",M141&lt;&gt;"","1st invoice",M141="","Pending 1st Invoice")</f>
        <v>Invoice Completed</v>
      </c>
      <c r="I141" s="4" t="str" cm="1">
        <f t="array" ref="I141">_xlfn.IFS((C141+D141)-K141=0,"Payment Completed",AE141&lt;&gt;"","5th payment",AA141&lt;&gt;"","4th payment",W141&lt;&gt;"","3rd payment",S141&lt;&gt;"","2nd payment",O141&lt;&gt;"","1st payment",O141="","Pending 1st Payment")</f>
        <v>Payment Completed</v>
      </c>
      <c r="J141" s="55">
        <f t="shared" si="4"/>
        <v>38600</v>
      </c>
      <c r="K141" s="55">
        <f t="shared" si="5"/>
        <v>38600</v>
      </c>
      <c r="L141" s="65">
        <v>45609</v>
      </c>
      <c r="M141" s="66">
        <v>500</v>
      </c>
      <c r="N141" s="65">
        <v>45609</v>
      </c>
      <c r="O141" s="66">
        <v>500</v>
      </c>
      <c r="P141" s="39">
        <v>45609</v>
      </c>
      <c r="Q141" s="57">
        <v>36100</v>
      </c>
      <c r="R141" s="39">
        <v>45609</v>
      </c>
      <c r="S141" s="57">
        <v>36100</v>
      </c>
      <c r="T141" s="65">
        <v>45683</v>
      </c>
      <c r="U141" s="66">
        <v>2000</v>
      </c>
      <c r="V141" s="65">
        <v>45683</v>
      </c>
      <c r="W141" s="66">
        <v>2000</v>
      </c>
      <c r="X141" s="39"/>
      <c r="Y141" s="57"/>
      <c r="Z141" s="39"/>
      <c r="AA141" s="57"/>
      <c r="AB141" s="65"/>
      <c r="AC141" s="66"/>
      <c r="AD141" s="65"/>
      <c r="AE141" s="66"/>
      <c r="AF141" s="39"/>
      <c r="AG141" s="57"/>
      <c r="AH141" s="39"/>
      <c r="AI141" s="57"/>
    </row>
    <row r="142" spans="1:35" ht="19.5" customHeight="1" x14ac:dyDescent="0.3">
      <c r="A142" s="4">
        <f>'ECN Master Project Tracker new'!A143</f>
        <v>2409442</v>
      </c>
      <c r="B142" s="110" t="str">
        <f>VLOOKUP(A:A,Table1[[Project No]:[Additional Remark]],2,FALSE)</f>
        <v>Lee Chiou Horng</v>
      </c>
      <c r="C142" s="55">
        <f>VLOOKUP(A:A,Table1[[Project No]:[Additional Remark]],11,FALSE)</f>
        <v>33000</v>
      </c>
      <c r="D142" s="55">
        <f>VLOOKUP(A:A,Table1[[Project No]:[Additional Remark]],12,FALSE)</f>
        <v>0</v>
      </c>
      <c r="E142" s="55" t="str">
        <f>VLOOKUP(A:A,Table1[[Project No]:[Additional Remark]],4,FALSE)</f>
        <v>Tham</v>
      </c>
      <c r="F142" s="4" t="str">
        <f>VLOOKUP(A:A,Table1[[Project No]:[Additional Remark]],5,FALSE)</f>
        <v>R-PV</v>
      </c>
      <c r="G142" s="4" t="str">
        <f>VLOOKUP(A:A,Table1[[Project No]:[Additional Remark]],13,FALSE)</f>
        <v>Credit Card Instalment</v>
      </c>
      <c r="H142" s="4" t="str" cm="1">
        <f t="array" ref="H142">_xlfn.IFS((D142+C142)-J142=0,"Invoice Completed",AC142&lt;&gt;"","5th invoice",Y142&lt;&gt;"","4th invoice",U142&lt;&gt;"","3rd invoice",Q142&lt;&gt;"","2nd invoice",M142&lt;&gt;"","1st invoice",M142="","Pending 1st Invoice")</f>
        <v>Invoice Completed</v>
      </c>
      <c r="I142" s="4" t="str" cm="1">
        <f t="array" ref="I142">_xlfn.IFS((C142+D142)-K142=0,"Payment Completed",AE142&lt;&gt;"","5th payment",AA142&lt;&gt;"","4th payment",W142&lt;&gt;"","3rd payment",S142&lt;&gt;"","2nd payment",O142&lt;&gt;"","1st payment",O142="","Pending 1st Payment")</f>
        <v>Payment Completed</v>
      </c>
      <c r="J142" s="55">
        <f t="shared" si="4"/>
        <v>33000</v>
      </c>
      <c r="K142" s="55">
        <f t="shared" si="5"/>
        <v>33000</v>
      </c>
      <c r="L142" s="65">
        <v>45542</v>
      </c>
      <c r="M142" s="66">
        <v>500</v>
      </c>
      <c r="N142" s="65">
        <v>45542</v>
      </c>
      <c r="O142" s="66">
        <v>500</v>
      </c>
      <c r="P142" s="39">
        <v>45752</v>
      </c>
      <c r="Q142" s="57">
        <v>32500</v>
      </c>
      <c r="R142" s="39">
        <v>45752</v>
      </c>
      <c r="S142" s="57">
        <v>32500</v>
      </c>
      <c r="T142" s="65"/>
      <c r="U142" s="66"/>
      <c r="V142" s="65"/>
      <c r="W142" s="66"/>
      <c r="X142" s="39"/>
      <c r="Y142" s="57"/>
      <c r="Z142" s="39"/>
      <c r="AA142" s="57"/>
      <c r="AB142" s="65"/>
      <c r="AC142" s="66"/>
      <c r="AD142" s="65"/>
      <c r="AE142" s="66"/>
      <c r="AF142" s="39"/>
      <c r="AG142" s="57"/>
      <c r="AH142" s="39"/>
      <c r="AI142" s="57"/>
    </row>
    <row r="143" spans="1:35" ht="19.5" customHeight="1" x14ac:dyDescent="0.3">
      <c r="A143" s="4">
        <f>'ECN Master Project Tracker new'!A144</f>
        <v>2409443</v>
      </c>
      <c r="B143" s="110" t="str">
        <f>VLOOKUP(A:A,Table1[[Project No]:[Additional Remark]],2,FALSE)</f>
        <v>Dato Lim Zhen Peng</v>
      </c>
      <c r="C143" s="55">
        <f>VLOOKUP(A:A,Table1[[Project No]:[Additional Remark]],11,FALSE)</f>
        <v>47360</v>
      </c>
      <c r="D143" s="55">
        <f>VLOOKUP(A:A,Table1[[Project No]:[Additional Remark]],12,FALSE)</f>
        <v>0</v>
      </c>
      <c r="E143" s="55" t="str">
        <f>VLOOKUP(A:A,Table1[[Project No]:[Additional Remark]],4,FALSE)</f>
        <v>Tham</v>
      </c>
      <c r="F143" s="4" t="str">
        <f>VLOOKUP(A:A,Table1[[Project No]:[Additional Remark]],5,FALSE)</f>
        <v>R-PV</v>
      </c>
      <c r="G143" s="4" t="str">
        <f>VLOOKUP(A:A,Table1[[Project No]:[Additional Remark]],13,FALSE)</f>
        <v>Credit Card Instalment</v>
      </c>
      <c r="H143" s="4" t="str" cm="1">
        <f t="array" ref="H143">_xlfn.IFS((D143+C143)-J143=0,"Invoice Completed",AC143&lt;&gt;"","5th invoice",Y143&lt;&gt;"","4th invoice",U143&lt;&gt;"","3rd invoice",Q143&lt;&gt;"","2nd invoice",M143&lt;&gt;"","1st invoice",M143="","Pending 1st Invoice")</f>
        <v>Invoice Completed</v>
      </c>
      <c r="I143" s="4" t="str" cm="1">
        <f t="array" ref="I143">_xlfn.IFS((C143+D143)-K143=0,"Payment Completed",AE143&lt;&gt;"","5th payment",AA143&lt;&gt;"","4th payment",W143&lt;&gt;"","3rd payment",S143&lt;&gt;"","2nd payment",O143&lt;&gt;"","1st payment",O143="","Pending 1st Payment")</f>
        <v>Payment Completed</v>
      </c>
      <c r="J143" s="55">
        <f t="shared" si="4"/>
        <v>47360</v>
      </c>
      <c r="K143" s="55">
        <f t="shared" si="5"/>
        <v>47360</v>
      </c>
      <c r="L143" s="65">
        <v>45544</v>
      </c>
      <c r="M143" s="66">
        <v>500</v>
      </c>
      <c r="N143" s="65">
        <v>45544</v>
      </c>
      <c r="O143" s="66">
        <v>500</v>
      </c>
      <c r="P143" s="39">
        <v>45658</v>
      </c>
      <c r="Q143" s="57">
        <v>46860</v>
      </c>
      <c r="R143" s="39">
        <v>45658</v>
      </c>
      <c r="S143" s="57">
        <v>46860</v>
      </c>
      <c r="T143" s="65"/>
      <c r="U143" s="66"/>
      <c r="V143" s="65"/>
      <c r="W143" s="66"/>
      <c r="X143" s="39"/>
      <c r="Y143" s="57"/>
      <c r="Z143" s="39"/>
      <c r="AA143" s="57"/>
      <c r="AB143" s="65"/>
      <c r="AC143" s="66"/>
      <c r="AD143" s="65"/>
      <c r="AE143" s="66"/>
      <c r="AF143" s="39"/>
      <c r="AG143" s="57"/>
      <c r="AH143" s="39"/>
      <c r="AI143" s="57"/>
    </row>
    <row r="144" spans="1:35" ht="19.5" customHeight="1" x14ac:dyDescent="0.3">
      <c r="A144" s="4">
        <f>'ECN Master Project Tracker new'!A145</f>
        <v>2408417</v>
      </c>
      <c r="B144" s="110" t="str">
        <f>VLOOKUP(A:A,Table1[[Project No]:[Additional Remark]],2,FALSE)</f>
        <v>Mohmad Nazeri bin Abdul Wahab</v>
      </c>
      <c r="C144" s="55">
        <f>VLOOKUP(A:A,Table1[[Project No]:[Additional Remark]],11,FALSE)</f>
        <v>36500</v>
      </c>
      <c r="D144" s="55">
        <f>VLOOKUP(A:A,Table1[[Project No]:[Additional Remark]],12,FALSE)</f>
        <v>0</v>
      </c>
      <c r="E144" s="55" t="str">
        <f>VLOOKUP(A:A,Table1[[Project No]:[Additional Remark]],4,FALSE)</f>
        <v>Tham</v>
      </c>
      <c r="F144" s="4" t="str">
        <f>VLOOKUP(A:A,Table1[[Project No]:[Additional Remark]],5,FALSE)</f>
        <v>R-PV</v>
      </c>
      <c r="G144" s="4" t="str">
        <f>VLOOKUP(A:A,Table1[[Project No]:[Additional Remark]],13,FALSE)</f>
        <v>Cash</v>
      </c>
      <c r="H144" s="4" t="str" cm="1">
        <f t="array" ref="H144">_xlfn.IFS((D144+C144)-J144=0,"Invoice Completed",AC144&lt;&gt;"","5th invoice",Y144&lt;&gt;"","4th invoice",U144&lt;&gt;"","3rd invoice",Q144&lt;&gt;"","2nd invoice",M144&lt;&gt;"","1st invoice",M144="","Pending 1st Invoice")</f>
        <v>Invoice Completed</v>
      </c>
      <c r="I144" s="4" t="str" cm="1">
        <f t="array" ref="I144">_xlfn.IFS((C144+D144)-K144=0,"Payment Completed",AE144&lt;&gt;"","5th payment",AA144&lt;&gt;"","4th payment",W144&lt;&gt;"","3rd payment",S144&lt;&gt;"","2nd payment",O144&lt;&gt;"","1st payment",O144="","Pending 1st Payment")</f>
        <v>1st payment</v>
      </c>
      <c r="J144" s="55">
        <f t="shared" si="4"/>
        <v>36500</v>
      </c>
      <c r="K144" s="55">
        <f t="shared" si="5"/>
        <v>500</v>
      </c>
      <c r="L144" s="65">
        <v>45540</v>
      </c>
      <c r="M144" s="66">
        <v>500</v>
      </c>
      <c r="N144" s="65">
        <v>45540</v>
      </c>
      <c r="O144" s="66">
        <v>500</v>
      </c>
      <c r="P144" s="39">
        <v>45918</v>
      </c>
      <c r="Q144" s="57">
        <v>34000</v>
      </c>
      <c r="R144" s="39"/>
      <c r="S144" s="57"/>
      <c r="T144" s="65">
        <v>45974</v>
      </c>
      <c r="U144" s="66">
        <v>2000</v>
      </c>
      <c r="V144" s="65"/>
      <c r="W144" s="66"/>
      <c r="X144" s="39"/>
      <c r="Y144" s="57"/>
      <c r="Z144" s="39"/>
      <c r="AA144" s="57"/>
      <c r="AB144" s="65"/>
      <c r="AC144" s="66"/>
      <c r="AD144" s="65"/>
      <c r="AE144" s="66"/>
      <c r="AF144" s="39"/>
      <c r="AG144" s="57"/>
      <c r="AH144" s="39"/>
      <c r="AI144" s="57"/>
    </row>
    <row r="145" spans="1:35" ht="19.5" customHeight="1" x14ac:dyDescent="0.3">
      <c r="A145" s="4">
        <f>'ECN Master Project Tracker new'!A146</f>
        <v>2409440</v>
      </c>
      <c r="B145" s="110" t="str">
        <f>VLOOKUP(A:A,Table1[[Project No]:[Additional Remark]],2,FALSE)</f>
        <v>Tan Say Kheng</v>
      </c>
      <c r="C145" s="55">
        <f>VLOOKUP(A:A,Table1[[Project No]:[Additional Remark]],11,FALSE)</f>
        <v>25520</v>
      </c>
      <c r="D145" s="55">
        <f>VLOOKUP(A:A,Table1[[Project No]:[Additional Remark]],12,FALSE)</f>
        <v>0</v>
      </c>
      <c r="E145" s="55" t="str">
        <f>VLOOKUP(A:A,Table1[[Project No]:[Additional Remark]],4,FALSE)</f>
        <v>Tham</v>
      </c>
      <c r="F145" s="4" t="str">
        <f>VLOOKUP(A:A,Table1[[Project No]:[Additional Remark]],5,FALSE)</f>
        <v>R-PV</v>
      </c>
      <c r="G145" s="4" t="str">
        <f>VLOOKUP(A:A,Table1[[Project No]:[Additional Remark]],13,FALSE)</f>
        <v>Credit Card Instalment</v>
      </c>
      <c r="H145" s="4" t="str" cm="1">
        <f t="array" ref="H145">_xlfn.IFS((D145+C145)-J145=0,"Invoice Completed",AC145&lt;&gt;"","5th invoice",Y145&lt;&gt;"","4th invoice",U145&lt;&gt;"","3rd invoice",Q145&lt;&gt;"","2nd invoice",M145&lt;&gt;"","1st invoice",M145="","Pending 1st Invoice")</f>
        <v>Invoice Completed</v>
      </c>
      <c r="I145" s="4" t="str" cm="1">
        <f t="array" ref="I145">_xlfn.IFS((C145+D145)-K145=0,"Payment Completed",AE145&lt;&gt;"","5th payment",AA145&lt;&gt;"","4th payment",W145&lt;&gt;"","3rd payment",S145&lt;&gt;"","2nd payment",O145&lt;&gt;"","1st payment",O145="","Pending 1st Payment")</f>
        <v>Payment Completed</v>
      </c>
      <c r="J145" s="55">
        <f t="shared" si="4"/>
        <v>25520</v>
      </c>
      <c r="K145" s="55">
        <f t="shared" si="5"/>
        <v>25520</v>
      </c>
      <c r="L145" s="65">
        <v>45539</v>
      </c>
      <c r="M145" s="66">
        <v>500</v>
      </c>
      <c r="N145" s="65">
        <v>45539</v>
      </c>
      <c r="O145" s="66">
        <v>500</v>
      </c>
      <c r="P145" s="39">
        <v>45621</v>
      </c>
      <c r="Q145" s="57">
        <v>25020</v>
      </c>
      <c r="R145" s="39">
        <v>45621</v>
      </c>
      <c r="S145" s="57">
        <v>25020</v>
      </c>
      <c r="T145" s="65"/>
      <c r="U145" s="66"/>
      <c r="V145" s="65"/>
      <c r="W145" s="66"/>
      <c r="X145" s="39"/>
      <c r="Y145" s="57"/>
      <c r="Z145" s="39"/>
      <c r="AA145" s="57"/>
      <c r="AB145" s="65"/>
      <c r="AC145" s="66"/>
      <c r="AD145" s="65"/>
      <c r="AE145" s="66"/>
      <c r="AF145" s="39"/>
      <c r="AG145" s="57"/>
      <c r="AH145" s="39"/>
      <c r="AI145" s="57"/>
    </row>
    <row r="146" spans="1:35" ht="19.5" customHeight="1" x14ac:dyDescent="0.3">
      <c r="A146" s="4">
        <f>'ECN Master Project Tracker new'!A147</f>
        <v>2405273</v>
      </c>
      <c r="B146" s="110" t="str">
        <f>VLOOKUP(A:A,Table1[[Project No]:[Additional Remark]],2,FALSE)</f>
        <v>Leong Ah Seng</v>
      </c>
      <c r="C146" s="55">
        <f>VLOOKUP(A:A,Table1[[Project No]:[Additional Remark]],11,FALSE)</f>
        <v>44600</v>
      </c>
      <c r="D146" s="55">
        <f>VLOOKUP(A:A,Table1[[Project No]:[Additional Remark]],12,FALSE)</f>
        <v>7500</v>
      </c>
      <c r="E146" s="55" t="str">
        <f>VLOOKUP(A:A,Table1[[Project No]:[Additional Remark]],4,FALSE)</f>
        <v>Tham</v>
      </c>
      <c r="F146" s="4" t="str">
        <f>VLOOKUP(A:A,Table1[[Project No]:[Additional Remark]],5,FALSE)</f>
        <v>R-PV</v>
      </c>
      <c r="G146" s="4" t="str">
        <f>VLOOKUP(A:A,Table1[[Project No]:[Additional Remark]],13,FALSE)</f>
        <v>Cash</v>
      </c>
      <c r="H146" s="4" t="str" cm="1">
        <f t="array" ref="H146">_xlfn.IFS((D146+C146)-J146=0,"Invoice Completed",AC146&lt;&gt;"","5th invoice",Y146&lt;&gt;"","4th invoice",U146&lt;&gt;"","3rd invoice",Q146&lt;&gt;"","2nd invoice",M146&lt;&gt;"","1st invoice",M146="","Pending 1st Invoice")</f>
        <v>Invoice Completed</v>
      </c>
      <c r="I146" s="4" t="str" cm="1">
        <f t="array" ref="I146">_xlfn.IFS((C146+D146)-K146=0,"Payment Completed",AE146&lt;&gt;"","5th payment",AA146&lt;&gt;"","4th payment",W146&lt;&gt;"","3rd payment",S146&lt;&gt;"","2nd payment",O146&lt;&gt;"","1st payment",O146="","Pending 1st Payment")</f>
        <v>Payment Completed</v>
      </c>
      <c r="J146" s="55">
        <f t="shared" si="4"/>
        <v>52100</v>
      </c>
      <c r="K146" s="55">
        <f t="shared" si="5"/>
        <v>52100</v>
      </c>
      <c r="L146" s="65">
        <v>45533</v>
      </c>
      <c r="M146" s="66">
        <v>500</v>
      </c>
      <c r="N146" s="65">
        <v>45533</v>
      </c>
      <c r="O146" s="66">
        <v>500</v>
      </c>
      <c r="P146" s="39">
        <v>45657</v>
      </c>
      <c r="Q146" s="59">
        <v>42100</v>
      </c>
      <c r="R146" s="64">
        <v>45660</v>
      </c>
      <c r="S146" s="59">
        <v>42100</v>
      </c>
      <c r="T146" s="65">
        <v>45751</v>
      </c>
      <c r="U146" s="66">
        <v>2000</v>
      </c>
      <c r="V146" s="65">
        <v>45771</v>
      </c>
      <c r="W146" s="66">
        <v>2000</v>
      </c>
      <c r="X146" s="39"/>
      <c r="Y146" s="57"/>
      <c r="Z146" s="39"/>
      <c r="AA146" s="57"/>
      <c r="AB146" s="65"/>
      <c r="AC146" s="66"/>
      <c r="AD146" s="65"/>
      <c r="AE146" s="66"/>
      <c r="AF146" s="39">
        <v>45652</v>
      </c>
      <c r="AG146" s="59">
        <v>7500</v>
      </c>
      <c r="AH146" s="39">
        <v>45660</v>
      </c>
      <c r="AI146" s="59">
        <v>7500</v>
      </c>
    </row>
    <row r="147" spans="1:35" ht="19.5" customHeight="1" x14ac:dyDescent="0.3">
      <c r="A147" s="4">
        <f>'ECN Master Project Tracker new'!A148</f>
        <v>2308064</v>
      </c>
      <c r="B147" s="110" t="str">
        <f>VLOOKUP(A:A,Table1[[Project No]:[Additional Remark]],2,FALSE)</f>
        <v>Low Yin Jun</v>
      </c>
      <c r="C147" s="55">
        <f>VLOOKUP(A:A,Table1[[Project No]:[Additional Remark]],11,FALSE)</f>
        <v>35000</v>
      </c>
      <c r="D147" s="55">
        <f>VLOOKUP(A:A,Table1[[Project No]:[Additional Remark]],12,FALSE)</f>
        <v>0</v>
      </c>
      <c r="E147" s="55" t="str">
        <f>VLOOKUP(A:A,Table1[[Project No]:[Additional Remark]],4,FALSE)</f>
        <v>Simon</v>
      </c>
      <c r="F147" s="4" t="str">
        <f>VLOOKUP(A:A,Table1[[Project No]:[Additional Remark]],5,FALSE)</f>
        <v>R-PV</v>
      </c>
      <c r="G147" s="4" t="str">
        <f>VLOOKUP(A:A,Table1[[Project No]:[Additional Remark]],13,FALSE)</f>
        <v>Cash</v>
      </c>
      <c r="H147" s="4" t="str" cm="1">
        <f t="array" ref="H147">_xlfn.IFS((D147+C147)-J147=0,"Invoice Completed",AC147&lt;&gt;"","5th invoice",Y147&lt;&gt;"","4th invoice",U147&lt;&gt;"","3rd invoice",Q147&lt;&gt;"","2nd invoice",M147&lt;&gt;"","1st invoice",M147="","Pending 1st Invoice")</f>
        <v>Invoice Completed</v>
      </c>
      <c r="I147" s="4" t="str" cm="1">
        <f t="array" ref="I147">_xlfn.IFS((C147+D147)-K147=0,"Payment Completed",AE147&lt;&gt;"","5th payment",AA147&lt;&gt;"","4th payment",W147&lt;&gt;"","3rd payment",S147&lt;&gt;"","2nd payment",O147&lt;&gt;"","1st payment",O147="","Pending 1st Payment")</f>
        <v>Payment Completed</v>
      </c>
      <c r="J147" s="55">
        <f t="shared" si="4"/>
        <v>35000</v>
      </c>
      <c r="K147" s="55">
        <f t="shared" si="5"/>
        <v>35000</v>
      </c>
      <c r="L147" s="65">
        <v>45489</v>
      </c>
      <c r="M147" s="66">
        <v>500</v>
      </c>
      <c r="N147" s="65">
        <v>45489</v>
      </c>
      <c r="O147" s="66">
        <v>500</v>
      </c>
      <c r="P147" s="39">
        <v>45804</v>
      </c>
      <c r="Q147" s="59">
        <v>34500</v>
      </c>
      <c r="R147" s="64">
        <v>45804</v>
      </c>
      <c r="S147" s="59">
        <v>34500</v>
      </c>
      <c r="T147" s="65"/>
      <c r="U147" s="66"/>
      <c r="V147" s="65"/>
      <c r="W147" s="66"/>
      <c r="X147" s="39"/>
      <c r="Y147" s="57"/>
      <c r="Z147" s="39"/>
      <c r="AA147" s="57"/>
      <c r="AB147" s="65"/>
      <c r="AC147" s="66"/>
      <c r="AD147" s="65"/>
      <c r="AE147" s="66"/>
      <c r="AF147" s="39"/>
      <c r="AG147" s="59"/>
      <c r="AH147" s="39"/>
      <c r="AI147" s="59"/>
    </row>
    <row r="148" spans="1:35" ht="19.5" customHeight="1" x14ac:dyDescent="0.3">
      <c r="A148" s="4">
        <f>'ECN Master Project Tracker new'!A149</f>
        <v>2409447</v>
      </c>
      <c r="B148" s="110" t="str">
        <f>VLOOKUP(A:A,Table1[[Project No]:[Additional Remark]],2,FALSE)</f>
        <v>Chan Chee Tuck</v>
      </c>
      <c r="C148" s="55">
        <f>VLOOKUP(A:A,Table1[[Project No]:[Additional Remark]],11,FALSE)</f>
        <v>22200</v>
      </c>
      <c r="D148" s="55">
        <f>VLOOKUP(A:A,Table1[[Project No]:[Additional Remark]],12,FALSE)</f>
        <v>0</v>
      </c>
      <c r="E148" s="55" t="str">
        <f>VLOOKUP(A:A,Table1[[Project No]:[Additional Remark]],4,FALSE)</f>
        <v>Chean Bang</v>
      </c>
      <c r="F148" s="4" t="str">
        <f>VLOOKUP(A:A,Table1[[Project No]:[Additional Remark]],5,FALSE)</f>
        <v>R-PV</v>
      </c>
      <c r="G148" s="4" t="str">
        <f>VLOOKUP(A:A,Table1[[Project No]:[Additional Remark]],13,FALSE)</f>
        <v>Cash</v>
      </c>
      <c r="H148" s="4" t="str" cm="1">
        <f t="array" ref="H148">_xlfn.IFS((D148+C148)-J148=0,"Invoice Completed",AC148&lt;&gt;"","5th invoice",Y148&lt;&gt;"","4th invoice",U148&lt;&gt;"","3rd invoice",Q148&lt;&gt;"","2nd invoice",M148&lt;&gt;"","1st invoice",M148="","Pending 1st Invoice")</f>
        <v>Invoice Completed</v>
      </c>
      <c r="I148" s="4" t="str" cm="1">
        <f t="array" ref="I148">_xlfn.IFS((C148+D148)-K148=0,"Payment Completed",AE148&lt;&gt;"","5th payment",AA148&lt;&gt;"","4th payment",W148&lt;&gt;"","3rd payment",S148&lt;&gt;"","2nd payment",O148&lt;&gt;"","1st payment",O148="","Pending 1st Payment")</f>
        <v>Payment Completed</v>
      </c>
      <c r="J148" s="55">
        <f t="shared" si="4"/>
        <v>22200</v>
      </c>
      <c r="K148" s="55">
        <f t="shared" si="5"/>
        <v>22200</v>
      </c>
      <c r="L148" s="65">
        <v>45545</v>
      </c>
      <c r="M148" s="66">
        <v>500</v>
      </c>
      <c r="N148" s="65">
        <v>45545</v>
      </c>
      <c r="O148" s="66">
        <v>500</v>
      </c>
      <c r="P148" s="39">
        <v>45628</v>
      </c>
      <c r="Q148" s="57">
        <v>19700</v>
      </c>
      <c r="R148" s="39">
        <v>45628</v>
      </c>
      <c r="S148" s="57">
        <v>19700</v>
      </c>
      <c r="T148" s="65">
        <v>45756</v>
      </c>
      <c r="U148" s="66">
        <v>2000</v>
      </c>
      <c r="V148" s="65">
        <v>45756</v>
      </c>
      <c r="W148" s="66">
        <v>2000</v>
      </c>
      <c r="X148" s="39"/>
      <c r="Y148" s="57"/>
      <c r="Z148" s="39"/>
      <c r="AA148" s="57"/>
      <c r="AB148" s="65"/>
      <c r="AC148" s="66"/>
      <c r="AD148" s="65"/>
      <c r="AE148" s="66"/>
      <c r="AF148" s="39"/>
      <c r="AG148" s="57"/>
      <c r="AH148" s="39"/>
      <c r="AI148" s="57"/>
    </row>
    <row r="149" spans="1:35" ht="19.5" customHeight="1" x14ac:dyDescent="0.3">
      <c r="A149" s="4">
        <f>'ECN Master Project Tracker new'!A150</f>
        <v>2409444</v>
      </c>
      <c r="B149" s="110" t="str">
        <f>VLOOKUP(A:A,Table1[[Project No]:[Additional Remark]],2,FALSE)</f>
        <v>Tuan Noraizan Bt Tuan Long</v>
      </c>
      <c r="C149" s="55">
        <f>VLOOKUP(A:A,Table1[[Project No]:[Additional Remark]],11,FALSE)</f>
        <v>28700</v>
      </c>
      <c r="D149" s="55">
        <f>VLOOKUP(A:A,Table1[[Project No]:[Additional Remark]],12,FALSE)</f>
        <v>0</v>
      </c>
      <c r="E149" s="55" t="str">
        <f>VLOOKUP(A:A,Table1[[Project No]:[Additional Remark]],4,FALSE)</f>
        <v>Chean Bang</v>
      </c>
      <c r="F149" s="4" t="str">
        <f>VLOOKUP(A:A,Table1[[Project No]:[Additional Remark]],5,FALSE)</f>
        <v>R-PV</v>
      </c>
      <c r="G149" s="4" t="str">
        <f>VLOOKUP(A:A,Table1[[Project No]:[Additional Remark]],13,FALSE)</f>
        <v>Cash</v>
      </c>
      <c r="H149" s="4" t="str" cm="1">
        <f t="array" ref="H149">_xlfn.IFS((D149+C149)-J149=0,"Invoice Completed",AC149&lt;&gt;"","5th invoice",Y149&lt;&gt;"","4th invoice",U149&lt;&gt;"","3rd invoice",Q149&lt;&gt;"","2nd invoice",M149&lt;&gt;"","1st invoice",M149="","Pending 1st Invoice")</f>
        <v>Invoice Completed</v>
      </c>
      <c r="I149" s="4" t="str" cm="1">
        <f t="array" ref="I149">_xlfn.IFS((C149+D149)-K149=0,"Payment Completed",AE149&lt;&gt;"","5th payment",AA149&lt;&gt;"","4th payment",W149&lt;&gt;"","3rd payment",S149&lt;&gt;"","2nd payment",O149&lt;&gt;"","1st payment",O149="","Pending 1st Payment")</f>
        <v>Payment Completed</v>
      </c>
      <c r="J149" s="55">
        <f t="shared" si="4"/>
        <v>28700</v>
      </c>
      <c r="K149" s="55">
        <f t="shared" si="5"/>
        <v>28700</v>
      </c>
      <c r="L149" s="65">
        <v>45546</v>
      </c>
      <c r="M149" s="66">
        <v>500</v>
      </c>
      <c r="N149" s="65">
        <v>45546</v>
      </c>
      <c r="O149" s="66">
        <v>500</v>
      </c>
      <c r="P149" s="39">
        <v>45698</v>
      </c>
      <c r="Q149" s="57">
        <v>26200</v>
      </c>
      <c r="R149" s="39">
        <v>45699</v>
      </c>
      <c r="S149" s="57">
        <v>26200</v>
      </c>
      <c r="T149" s="65">
        <v>45874</v>
      </c>
      <c r="U149" s="66">
        <v>2000</v>
      </c>
      <c r="V149" s="65">
        <v>45874</v>
      </c>
      <c r="W149" s="66">
        <v>2000</v>
      </c>
      <c r="X149" s="39"/>
      <c r="Y149" s="57"/>
      <c r="Z149" s="39"/>
      <c r="AA149" s="57"/>
      <c r="AB149" s="65"/>
      <c r="AC149" s="66"/>
      <c r="AD149" s="65"/>
      <c r="AE149" s="66"/>
      <c r="AF149" s="39"/>
      <c r="AG149" s="57"/>
      <c r="AH149" s="39"/>
      <c r="AI149" s="57"/>
    </row>
    <row r="150" spans="1:35" ht="19.5" customHeight="1" x14ac:dyDescent="0.3">
      <c r="A150" s="4">
        <f>'ECN Master Project Tracker new'!A151</f>
        <v>2407368</v>
      </c>
      <c r="B150" s="110" t="str">
        <f>VLOOKUP(A:A,Table1[[Project No]:[Additional Remark]],2,FALSE)</f>
        <v>Noor Izzah Akmal Bt Mohd Nordin</v>
      </c>
      <c r="C150" s="55">
        <f>VLOOKUP(A:A,Table1[[Project No]:[Additional Remark]],11,FALSE)</f>
        <v>38600</v>
      </c>
      <c r="D150" s="55">
        <f>VLOOKUP(A:A,Table1[[Project No]:[Additional Remark]],12,FALSE)</f>
        <v>0</v>
      </c>
      <c r="E150" s="55" t="str">
        <f>VLOOKUP(A:A,Table1[[Project No]:[Additional Remark]],4,FALSE)</f>
        <v>Chean Bang</v>
      </c>
      <c r="F150" s="4" t="str">
        <f>VLOOKUP(A:A,Table1[[Project No]:[Additional Remark]],5,FALSE)</f>
        <v>R-PV</v>
      </c>
      <c r="G150" s="4" t="str">
        <f>VLOOKUP(A:A,Table1[[Project No]:[Additional Remark]],13,FALSE)</f>
        <v>Cash</v>
      </c>
      <c r="H150" s="4" t="str" cm="1">
        <f t="array" ref="H150">_xlfn.IFS((D150+C150)-J150=0,"Invoice Completed",AC150&lt;&gt;"","5th invoice",Y150&lt;&gt;"","4th invoice",U150&lt;&gt;"","3rd invoice",Q150&lt;&gt;"","2nd invoice",M150&lt;&gt;"","1st invoice",M150="","Pending 1st Invoice")</f>
        <v>Invoice Completed</v>
      </c>
      <c r="I150" s="4" t="str" cm="1">
        <f t="array" ref="I150">_xlfn.IFS((C150+D150)-K150=0,"Payment Completed",AE150&lt;&gt;"","5th payment",AA150&lt;&gt;"","4th payment",W150&lt;&gt;"","3rd payment",S150&lt;&gt;"","2nd payment",O150&lt;&gt;"","1st payment",O150="","Pending 1st Payment")</f>
        <v>Payment Completed</v>
      </c>
      <c r="J150" s="55">
        <f t="shared" si="4"/>
        <v>38600</v>
      </c>
      <c r="K150" s="55">
        <f t="shared" si="5"/>
        <v>38600</v>
      </c>
      <c r="L150" s="65">
        <v>45607</v>
      </c>
      <c r="M150" s="66">
        <v>500</v>
      </c>
      <c r="N150" s="65">
        <v>45607</v>
      </c>
      <c r="O150" s="66">
        <v>500</v>
      </c>
      <c r="P150" s="39">
        <v>45607</v>
      </c>
      <c r="Q150" s="57">
        <v>36100</v>
      </c>
      <c r="R150" s="39">
        <v>45614</v>
      </c>
      <c r="S150" s="57">
        <v>36100</v>
      </c>
      <c r="T150" s="65">
        <v>45663</v>
      </c>
      <c r="U150" s="66">
        <v>2000</v>
      </c>
      <c r="V150" s="65">
        <v>45664</v>
      </c>
      <c r="W150" s="66">
        <v>2000</v>
      </c>
      <c r="X150" s="39"/>
      <c r="Y150" s="57"/>
      <c r="Z150" s="39"/>
      <c r="AA150" s="57"/>
      <c r="AB150" s="65"/>
      <c r="AC150" s="66"/>
      <c r="AD150" s="65"/>
      <c r="AE150" s="66"/>
      <c r="AF150" s="39"/>
      <c r="AG150" s="57"/>
      <c r="AH150" s="39"/>
      <c r="AI150" s="57"/>
    </row>
    <row r="151" spans="1:35" ht="19.5" customHeight="1" x14ac:dyDescent="0.3">
      <c r="A151" s="4">
        <f>'ECN Master Project Tracker new'!A152</f>
        <v>2409446</v>
      </c>
      <c r="B151" s="110" t="str">
        <f>VLOOKUP(A:A,Table1[[Project No]:[Additional Remark]],2,FALSE)</f>
        <v>Guok Diong Chong</v>
      </c>
      <c r="C151" s="55">
        <f>VLOOKUP(A:A,Table1[[Project No]:[Additional Remark]],11,FALSE)</f>
        <v>28500</v>
      </c>
      <c r="D151" s="55">
        <f>VLOOKUP(A:A,Table1[[Project No]:[Additional Remark]],12,FALSE)</f>
        <v>0</v>
      </c>
      <c r="E151" s="55" t="str">
        <f>VLOOKUP(A:A,Table1[[Project No]:[Additional Remark]],4,FALSE)</f>
        <v>Tham</v>
      </c>
      <c r="F151" s="4" t="str">
        <f>VLOOKUP(A:A,Table1[[Project No]:[Additional Remark]],5,FALSE)</f>
        <v>R-PV</v>
      </c>
      <c r="G151" s="4" t="str">
        <f>VLOOKUP(A:A,Table1[[Project No]:[Additional Remark]],13,FALSE)</f>
        <v>Cash</v>
      </c>
      <c r="H151" s="4" t="str" cm="1">
        <f t="array" ref="H151">_xlfn.IFS((D151+C151)-J151=0,"Invoice Completed",AC151&lt;&gt;"","5th invoice",Y151&lt;&gt;"","4th invoice",U151&lt;&gt;"","3rd invoice",Q151&lt;&gt;"","2nd invoice",M151&lt;&gt;"","1st invoice",M151="","Pending 1st Invoice")</f>
        <v>Invoice Completed</v>
      </c>
      <c r="I151" s="4" t="str" cm="1">
        <f t="array" ref="I151">_xlfn.IFS((C151+D151)-K151=0,"Payment Completed",AE151&lt;&gt;"","5th payment",AA151&lt;&gt;"","4th payment",W151&lt;&gt;"","3rd payment",S151&lt;&gt;"","2nd payment",O151&lt;&gt;"","1st payment",O151="","Pending 1st Payment")</f>
        <v>Payment Completed</v>
      </c>
      <c r="J151" s="55">
        <f t="shared" si="4"/>
        <v>28500</v>
      </c>
      <c r="K151" s="55">
        <f t="shared" si="5"/>
        <v>28500</v>
      </c>
      <c r="L151" s="65">
        <v>45545</v>
      </c>
      <c r="M151" s="66">
        <v>500</v>
      </c>
      <c r="N151" s="65">
        <v>45545</v>
      </c>
      <c r="O151" s="66">
        <v>500</v>
      </c>
      <c r="P151" s="39">
        <v>45618</v>
      </c>
      <c r="Q151" s="57">
        <v>26000</v>
      </c>
      <c r="R151" s="39">
        <v>45618</v>
      </c>
      <c r="S151" s="57">
        <v>26000</v>
      </c>
      <c r="T151" s="65">
        <v>45751</v>
      </c>
      <c r="U151" s="66">
        <v>2000</v>
      </c>
      <c r="V151" s="65">
        <v>45761</v>
      </c>
      <c r="W151" s="66">
        <v>2000</v>
      </c>
      <c r="X151" s="39"/>
      <c r="Y151" s="57"/>
      <c r="Z151" s="39"/>
      <c r="AA151" s="57"/>
      <c r="AB151" s="65"/>
      <c r="AC151" s="66"/>
      <c r="AD151" s="65"/>
      <c r="AE151" s="66"/>
      <c r="AF151" s="39"/>
      <c r="AG151" s="57"/>
      <c r="AH151" s="39"/>
      <c r="AI151" s="57"/>
    </row>
    <row r="152" spans="1:35" ht="19.5" customHeight="1" x14ac:dyDescent="0.3">
      <c r="A152" s="4">
        <f>'ECN Master Project Tracker new'!A153</f>
        <v>2404249</v>
      </c>
      <c r="B152" s="110" t="str">
        <f>VLOOKUP(A:A,Table1[[Project No]:[Additional Remark]],2,FALSE)</f>
        <v>Tan Kheng Guan</v>
      </c>
      <c r="C152" s="55">
        <f>VLOOKUP(A:A,Table1[[Project No]:[Additional Remark]],11,FALSE)</f>
        <v>47600</v>
      </c>
      <c r="D152" s="55">
        <f>VLOOKUP(A:A,Table1[[Project No]:[Additional Remark]],12,FALSE)</f>
        <v>0</v>
      </c>
      <c r="E152" s="55" t="str">
        <f>VLOOKUP(A:A,Table1[[Project No]:[Additional Remark]],4,FALSE)</f>
        <v>Tham</v>
      </c>
      <c r="F152" s="4" t="str">
        <f>VLOOKUP(A:A,Table1[[Project No]:[Additional Remark]],5,FALSE)</f>
        <v>R-PV</v>
      </c>
      <c r="G152" s="4">
        <f>VLOOKUP(A:A,Table1[[Project No]:[Additional Remark]],13,FALSE)</f>
        <v>0</v>
      </c>
      <c r="H152" s="4" t="str" cm="1">
        <f t="array" ref="H152">_xlfn.IFS((D152+C152)-J152=0,"Invoice Completed",AC152&lt;&gt;"","5th invoice",Y152&lt;&gt;"","4th invoice",U152&lt;&gt;"","3rd invoice",Q152&lt;&gt;"","2nd invoice",M152&lt;&gt;"","1st invoice",M152="","Pending 1st Invoice")</f>
        <v>1st invoice</v>
      </c>
      <c r="I152" s="4" t="str" cm="1">
        <f t="array" ref="I152">_xlfn.IFS((C152+D152)-K152=0,"Payment Completed",AE152&lt;&gt;"","5th payment",AA152&lt;&gt;"","4th payment",W152&lt;&gt;"","3rd payment",S152&lt;&gt;"","2nd payment",O152&lt;&gt;"","1st payment",O152="","Pending 1st Payment")</f>
        <v>1st payment</v>
      </c>
      <c r="J152" s="55">
        <f t="shared" si="4"/>
        <v>500</v>
      </c>
      <c r="K152" s="55">
        <f t="shared" si="5"/>
        <v>500</v>
      </c>
      <c r="L152" s="65">
        <v>45544</v>
      </c>
      <c r="M152" s="66">
        <v>500</v>
      </c>
      <c r="N152" s="65">
        <v>45544</v>
      </c>
      <c r="O152" s="66">
        <v>500</v>
      </c>
      <c r="P152" s="39"/>
      <c r="Q152" s="57"/>
      <c r="R152" s="39"/>
      <c r="S152" s="57"/>
      <c r="T152" s="65"/>
      <c r="U152" s="66"/>
      <c r="V152" s="65"/>
      <c r="W152" s="66"/>
      <c r="X152" s="39"/>
      <c r="Y152" s="57"/>
      <c r="Z152" s="39"/>
      <c r="AA152" s="57"/>
      <c r="AB152" s="65"/>
      <c r="AC152" s="66"/>
      <c r="AD152" s="65"/>
      <c r="AE152" s="66"/>
      <c r="AF152" s="39"/>
      <c r="AG152" s="57"/>
      <c r="AH152" s="39"/>
      <c r="AI152" s="57"/>
    </row>
    <row r="153" spans="1:35" ht="19.5" customHeight="1" x14ac:dyDescent="0.3">
      <c r="A153" s="4" t="str">
        <f>'ECN Master Project Tracker new'!A154</f>
        <v>2408424-1</v>
      </c>
      <c r="B153" s="110" t="str">
        <f>VLOOKUP(A:A,Table1[[Project No]:[Additional Remark]],2,FALSE)</f>
        <v>Low Bok Tek</v>
      </c>
      <c r="C153" s="55">
        <f>VLOOKUP(A:A,Table1[[Project No]:[Additional Remark]],11,FALSE)</f>
        <v>46100</v>
      </c>
      <c r="D153" s="55">
        <f>VLOOKUP(A:A,Table1[[Project No]:[Additional Remark]],12,FALSE)</f>
        <v>0</v>
      </c>
      <c r="E153" s="55" t="str">
        <f>VLOOKUP(A:A,Table1[[Project No]:[Additional Remark]],4,FALSE)</f>
        <v>Tham</v>
      </c>
      <c r="F153" s="4" t="str">
        <f>VLOOKUP(A:A,Table1[[Project No]:[Additional Remark]],5,FALSE)</f>
        <v>R-PV</v>
      </c>
      <c r="G153" s="4" t="str">
        <f>VLOOKUP(A:A,Table1[[Project No]:[Additional Remark]],13,FALSE)</f>
        <v>Cash</v>
      </c>
      <c r="H153" s="4" t="str" cm="1">
        <f t="array" ref="H153">_xlfn.IFS((D153+C153)-J153=0,"Invoice Completed",AC153&lt;&gt;"","5th invoice",Y153&lt;&gt;"","4th invoice",U153&lt;&gt;"","3rd invoice",Q153&lt;&gt;"","2nd invoice",M153&lt;&gt;"","1st invoice",M153="","Pending 1st Invoice")</f>
        <v>Invoice Completed</v>
      </c>
      <c r="I153" s="4" t="str" cm="1">
        <f t="array" ref="I153">_xlfn.IFS((C153+D153)-K153=0,"Payment Completed",AE153&lt;&gt;"","5th payment",AA153&lt;&gt;"","4th payment",W153&lt;&gt;"","3rd payment",S153&lt;&gt;"","2nd payment",O153&lt;&gt;"","1st payment",O153="","Pending 1st Payment")</f>
        <v>Payment Completed</v>
      </c>
      <c r="J153" s="55">
        <f t="shared" si="4"/>
        <v>46100</v>
      </c>
      <c r="K153" s="55">
        <f t="shared" si="5"/>
        <v>46100</v>
      </c>
      <c r="L153" s="65">
        <v>45635</v>
      </c>
      <c r="M153" s="69">
        <v>500</v>
      </c>
      <c r="N153" s="65">
        <v>45635</v>
      </c>
      <c r="O153" s="69">
        <v>500</v>
      </c>
      <c r="P153" s="39">
        <v>45635</v>
      </c>
      <c r="Q153" s="59">
        <v>43600</v>
      </c>
      <c r="R153" s="39">
        <v>45643</v>
      </c>
      <c r="S153" s="59">
        <v>43600</v>
      </c>
      <c r="T153" s="65">
        <v>45663</v>
      </c>
      <c r="U153" s="66">
        <v>2000</v>
      </c>
      <c r="V153" s="65">
        <v>45664</v>
      </c>
      <c r="W153" s="66">
        <v>2000</v>
      </c>
      <c r="X153" s="39"/>
      <c r="Y153" s="57"/>
      <c r="Z153" s="39"/>
      <c r="AA153" s="57"/>
      <c r="AB153" s="65"/>
      <c r="AC153" s="66"/>
      <c r="AD153" s="65"/>
      <c r="AE153" s="66"/>
      <c r="AF153" s="39"/>
      <c r="AG153" s="57"/>
      <c r="AH153" s="39"/>
      <c r="AI153" s="57"/>
    </row>
    <row r="154" spans="1:35" ht="19.5" customHeight="1" x14ac:dyDescent="0.3">
      <c r="A154" s="4" t="str">
        <f>'ECN Master Project Tracker new'!A155</f>
        <v>2408424-2</v>
      </c>
      <c r="B154" s="110" t="str">
        <f>VLOOKUP(A:A,Table1[[Project No]:[Additional Remark]],2,FALSE)</f>
        <v>Low Bok Tek</v>
      </c>
      <c r="C154" s="55">
        <f>VLOOKUP(A:A,Table1[[Project No]:[Additional Remark]],11,FALSE)</f>
        <v>46100</v>
      </c>
      <c r="D154" s="55">
        <f>VLOOKUP(A:A,Table1[[Project No]:[Additional Remark]],12,FALSE)</f>
        <v>0</v>
      </c>
      <c r="E154" s="55" t="str">
        <f>VLOOKUP(A:A,Table1[[Project No]:[Additional Remark]],4,FALSE)</f>
        <v>Tham</v>
      </c>
      <c r="F154" s="4" t="str">
        <f>VLOOKUP(A:A,Table1[[Project No]:[Additional Remark]],5,FALSE)</f>
        <v>R-PV</v>
      </c>
      <c r="G154" s="4" t="str">
        <f>VLOOKUP(A:A,Table1[[Project No]:[Additional Remark]],13,FALSE)</f>
        <v>Cash</v>
      </c>
      <c r="H154" s="4" t="str" cm="1">
        <f t="array" ref="H154">_xlfn.IFS((D154+C154)-J154=0,"Invoice Completed",AC154&lt;&gt;"","5th invoice",Y154&lt;&gt;"","4th invoice",U154&lt;&gt;"","3rd invoice",Q154&lt;&gt;"","2nd invoice",M154&lt;&gt;"","1st invoice",M154="","Pending 1st Invoice")</f>
        <v>Invoice Completed</v>
      </c>
      <c r="I154" s="4" t="str" cm="1">
        <f t="array" ref="I154">_xlfn.IFS((C154+D154)-K154=0,"Payment Completed",AE154&lt;&gt;"","5th payment",AA154&lt;&gt;"","4th payment",W154&lt;&gt;"","3rd payment",S154&lt;&gt;"","2nd payment",O154&lt;&gt;"","1st payment",O154="","Pending 1st Payment")</f>
        <v>Payment Completed</v>
      </c>
      <c r="J154" s="55">
        <f t="shared" si="4"/>
        <v>46100</v>
      </c>
      <c r="K154" s="55">
        <f t="shared" si="5"/>
        <v>46100</v>
      </c>
      <c r="L154" s="65">
        <v>45635</v>
      </c>
      <c r="M154" s="69">
        <v>500</v>
      </c>
      <c r="N154" s="65">
        <v>45635</v>
      </c>
      <c r="O154" s="69">
        <v>500</v>
      </c>
      <c r="P154" s="39">
        <v>45635</v>
      </c>
      <c r="Q154" s="59">
        <v>43600</v>
      </c>
      <c r="R154" s="39">
        <v>45657</v>
      </c>
      <c r="S154" s="59">
        <v>43600</v>
      </c>
      <c r="T154" s="65">
        <v>45663</v>
      </c>
      <c r="U154" s="66">
        <v>2000</v>
      </c>
      <c r="V154" s="65">
        <v>45664</v>
      </c>
      <c r="W154" s="66">
        <v>2000</v>
      </c>
      <c r="X154" s="39"/>
      <c r="Y154" s="57"/>
      <c r="Z154" s="39"/>
      <c r="AA154" s="57"/>
      <c r="AB154" s="65"/>
      <c r="AC154" s="66"/>
      <c r="AD154" s="65"/>
      <c r="AE154" s="66"/>
      <c r="AF154" s="39"/>
      <c r="AG154" s="57"/>
      <c r="AH154" s="39"/>
      <c r="AI154" s="57"/>
    </row>
    <row r="155" spans="1:35" ht="19.5" customHeight="1" x14ac:dyDescent="0.3">
      <c r="A155" s="4">
        <f>'ECN Master Project Tracker new'!A156</f>
        <v>2405284</v>
      </c>
      <c r="B155" s="110" t="str">
        <f>VLOOKUP(A:A,Table1[[Project No]:[Additional Remark]],2,FALSE)</f>
        <v>Amirul Hakim bin Omar</v>
      </c>
      <c r="C155" s="55">
        <f>VLOOKUP(A:A,Table1[[Project No]:[Additional Remark]],11,FALSE)</f>
        <v>23500</v>
      </c>
      <c r="D155" s="55">
        <f>VLOOKUP(A:A,Table1[[Project No]:[Additional Remark]],12,FALSE)</f>
        <v>0</v>
      </c>
      <c r="E155" s="55" t="str">
        <f>VLOOKUP(A:A,Table1[[Project No]:[Additional Remark]],4,FALSE)</f>
        <v>Tham</v>
      </c>
      <c r="F155" s="4" t="str">
        <f>VLOOKUP(A:A,Table1[[Project No]:[Additional Remark]],5,FALSE)</f>
        <v>R-PV</v>
      </c>
      <c r="G155" s="4">
        <f>VLOOKUP(A:A,Table1[[Project No]:[Additional Remark]],13,FALSE)</f>
        <v>0</v>
      </c>
      <c r="H155" s="4" t="str" cm="1">
        <f t="array" ref="H155">_xlfn.IFS((D155+C155)-J155=0,"Invoice Completed",AC155&lt;&gt;"","5th invoice",Y155&lt;&gt;"","4th invoice",U155&lt;&gt;"","3rd invoice",Q155&lt;&gt;"","2nd invoice",M155&lt;&gt;"","1st invoice",M155="","Pending 1st Invoice")</f>
        <v>Invoice Completed</v>
      </c>
      <c r="I155" s="4" t="str" cm="1">
        <f t="array" ref="I155">_xlfn.IFS((C155+D155)-K155=0,"Payment Completed",AE155&lt;&gt;"","5th payment",AA155&lt;&gt;"","4th payment",W155&lt;&gt;"","3rd payment",S155&lt;&gt;"","2nd payment",O155&lt;&gt;"","1st payment",O155="","Pending 1st Payment")</f>
        <v>Payment Completed</v>
      </c>
      <c r="J155" s="55">
        <f t="shared" si="4"/>
        <v>23500</v>
      </c>
      <c r="K155" s="55">
        <f t="shared" si="5"/>
        <v>23500</v>
      </c>
      <c r="L155" s="65">
        <v>45546</v>
      </c>
      <c r="M155" s="66">
        <v>500</v>
      </c>
      <c r="N155" s="65">
        <v>45546</v>
      </c>
      <c r="O155" s="66">
        <v>500</v>
      </c>
      <c r="P155" s="39">
        <v>45643</v>
      </c>
      <c r="Q155" s="59">
        <v>21000</v>
      </c>
      <c r="R155" s="39">
        <v>45785</v>
      </c>
      <c r="S155" s="59">
        <v>21000</v>
      </c>
      <c r="T155" s="65">
        <v>45751</v>
      </c>
      <c r="U155" s="66">
        <v>2000</v>
      </c>
      <c r="V155" s="65">
        <v>45785</v>
      </c>
      <c r="W155" s="66">
        <v>2000</v>
      </c>
      <c r="X155" s="39"/>
      <c r="Y155" s="57"/>
      <c r="Z155" s="39"/>
      <c r="AA155" s="57"/>
      <c r="AB155" s="65"/>
      <c r="AC155" s="66"/>
      <c r="AD155" s="65"/>
      <c r="AE155" s="66"/>
      <c r="AF155" s="39"/>
      <c r="AG155" s="57"/>
      <c r="AH155" s="39"/>
      <c r="AI155" s="57"/>
    </row>
    <row r="156" spans="1:35" ht="19.5" customHeight="1" x14ac:dyDescent="0.3">
      <c r="A156" s="4">
        <f>'ECN Master Project Tracker new'!A157</f>
        <v>2409448</v>
      </c>
      <c r="B156" s="110" t="str">
        <f>VLOOKUP(A:A,Table1[[Project No]:[Additional Remark]],2,FALSE)</f>
        <v>Pang Chong Han</v>
      </c>
      <c r="C156" s="55">
        <f>VLOOKUP(A:A,Table1[[Project No]:[Additional Remark]],11,FALSE)</f>
        <v>31622</v>
      </c>
      <c r="D156" s="55">
        <f>VLOOKUP(A:A,Table1[[Project No]:[Additional Remark]],12,FALSE)</f>
        <v>0</v>
      </c>
      <c r="E156" s="55" t="str">
        <f>VLOOKUP(A:A,Table1[[Project No]:[Additional Remark]],4,FALSE)</f>
        <v>Simon</v>
      </c>
      <c r="F156" s="4" t="str">
        <f>VLOOKUP(A:A,Table1[[Project No]:[Additional Remark]],5,FALSE)</f>
        <v>R-PV</v>
      </c>
      <c r="G156" s="4" t="str">
        <f>VLOOKUP(A:A,Table1[[Project No]:[Additional Remark]],13,FALSE)</f>
        <v>Credit Card Instalment</v>
      </c>
      <c r="H156" s="4" t="str" cm="1">
        <f t="array" ref="H156">_xlfn.IFS((D156+C156)-J156=0,"Invoice Completed",AC156&lt;&gt;"","5th invoice",Y156&lt;&gt;"","4th invoice",U156&lt;&gt;"","3rd invoice",Q156&lt;&gt;"","2nd invoice",M156&lt;&gt;"","1st invoice",M156="","Pending 1st Invoice")</f>
        <v>Invoice Completed</v>
      </c>
      <c r="I156" s="4" t="str" cm="1">
        <f t="array" ref="I156">_xlfn.IFS((C156+D156)-K156=0,"Payment Completed",AE156&lt;&gt;"","5th payment",AA156&lt;&gt;"","4th payment",W156&lt;&gt;"","3rd payment",S156&lt;&gt;"","2nd payment",O156&lt;&gt;"","1st payment",O156="","Pending 1st Payment")</f>
        <v>Payment Completed</v>
      </c>
      <c r="J156" s="55">
        <f t="shared" si="4"/>
        <v>31622</v>
      </c>
      <c r="K156" s="55">
        <f t="shared" si="5"/>
        <v>31622</v>
      </c>
      <c r="L156" s="65">
        <v>45545</v>
      </c>
      <c r="M156" s="66">
        <v>500</v>
      </c>
      <c r="N156" s="65">
        <v>45545</v>
      </c>
      <c r="O156" s="66">
        <v>500</v>
      </c>
      <c r="P156" s="39">
        <v>45742</v>
      </c>
      <c r="Q156" s="57">
        <v>31122</v>
      </c>
      <c r="R156" s="39">
        <v>45742</v>
      </c>
      <c r="S156" s="57">
        <v>31122</v>
      </c>
      <c r="T156" s="65"/>
      <c r="U156" s="66"/>
      <c r="V156" s="65"/>
      <c r="W156" s="66"/>
      <c r="X156" s="39"/>
      <c r="Y156" s="57"/>
      <c r="Z156" s="39"/>
      <c r="AA156" s="57"/>
      <c r="AB156" s="65"/>
      <c r="AC156" s="66"/>
      <c r="AD156" s="65"/>
      <c r="AE156" s="66"/>
      <c r="AF156" s="39"/>
      <c r="AG156" s="57"/>
      <c r="AH156" s="39"/>
      <c r="AI156" s="57"/>
    </row>
    <row r="157" spans="1:35" ht="19.5" customHeight="1" x14ac:dyDescent="0.3">
      <c r="A157" s="4">
        <f>'ECN Master Project Tracker new'!A158</f>
        <v>2408400</v>
      </c>
      <c r="B157" s="110" t="str">
        <f>VLOOKUP(A:A,Table1[[Project No]:[Additional Remark]],2,FALSE)</f>
        <v>Oh Chai Ean</v>
      </c>
      <c r="C157" s="55">
        <f>VLOOKUP(A:A,Table1[[Project No]:[Additional Remark]],11,FALSE)</f>
        <v>43300</v>
      </c>
      <c r="D157" s="55">
        <f>VLOOKUP(A:A,Table1[[Project No]:[Additional Remark]],12,FALSE)</f>
        <v>0</v>
      </c>
      <c r="E157" s="55" t="str">
        <f>VLOOKUP(A:A,Table1[[Project No]:[Additional Remark]],4,FALSE)</f>
        <v>Chean Bang</v>
      </c>
      <c r="F157" s="4" t="str">
        <f>VLOOKUP(A:A,Table1[[Project No]:[Additional Remark]],5,FALSE)</f>
        <v>R-PV</v>
      </c>
      <c r="G157" s="4" t="str">
        <f>VLOOKUP(A:A,Table1[[Project No]:[Additional Remark]],13,FALSE)</f>
        <v>Cash</v>
      </c>
      <c r="H157" s="4" t="str" cm="1">
        <f t="array" ref="H157">_xlfn.IFS((D157+C157)-J157=0,"Invoice Completed",AC157&lt;&gt;"","5th invoice",Y157&lt;&gt;"","4th invoice",U157&lt;&gt;"","3rd invoice",Q157&lt;&gt;"","2nd invoice",M157&lt;&gt;"","1st invoice",M157="","Pending 1st Invoice")</f>
        <v>Invoice Completed</v>
      </c>
      <c r="I157" s="4" t="str" cm="1">
        <f t="array" ref="I157">_xlfn.IFS((C157+D157)-K157=0,"Payment Completed",AE157&lt;&gt;"","5th payment",AA157&lt;&gt;"","4th payment",W157&lt;&gt;"","3rd payment",S157&lt;&gt;"","2nd payment",O157&lt;&gt;"","1st payment",O157="","Pending 1st Payment")</f>
        <v>Payment Completed</v>
      </c>
      <c r="J157" s="55">
        <f t="shared" si="4"/>
        <v>43300</v>
      </c>
      <c r="K157" s="55">
        <f t="shared" si="5"/>
        <v>43300</v>
      </c>
      <c r="L157" s="65">
        <v>45546</v>
      </c>
      <c r="M157" s="66">
        <v>500</v>
      </c>
      <c r="N157" s="65">
        <v>45546</v>
      </c>
      <c r="O157" s="66">
        <v>500</v>
      </c>
      <c r="P157" s="39">
        <v>45717</v>
      </c>
      <c r="Q157" s="57">
        <v>40800</v>
      </c>
      <c r="R157" s="39">
        <v>45717</v>
      </c>
      <c r="S157" s="57">
        <v>40800</v>
      </c>
      <c r="T157" s="65">
        <v>45797</v>
      </c>
      <c r="U157" s="66">
        <v>2000</v>
      </c>
      <c r="V157" s="65">
        <v>45797</v>
      </c>
      <c r="W157" s="66">
        <v>2000</v>
      </c>
      <c r="X157" s="39"/>
      <c r="Y157" s="57"/>
      <c r="Z157" s="39"/>
      <c r="AA157" s="57"/>
      <c r="AB157" s="65"/>
      <c r="AC157" s="66"/>
      <c r="AD157" s="65"/>
      <c r="AE157" s="66"/>
      <c r="AF157" s="39"/>
      <c r="AG157" s="57"/>
      <c r="AH157" s="39"/>
      <c r="AI157" s="57"/>
    </row>
    <row r="158" spans="1:35" ht="19.5" customHeight="1" x14ac:dyDescent="0.3">
      <c r="A158" s="4" t="str">
        <f>'ECN Master Project Tracker new'!A159</f>
        <v>2409449-1</v>
      </c>
      <c r="B158" s="110" t="str">
        <f>VLOOKUP(A:A,Table1[[Project No]:[Additional Remark]],2,FALSE)</f>
        <v>Nurul Ain Binti Yahaya</v>
      </c>
      <c r="C158" s="55">
        <f>VLOOKUP(A:A,Table1[[Project No]:[Additional Remark]],11,FALSE)</f>
        <v>30000</v>
      </c>
      <c r="D158" s="55">
        <f>VLOOKUP(A:A,Table1[[Project No]:[Additional Remark]],12,FALSE)</f>
        <v>0</v>
      </c>
      <c r="E158" s="55" t="str">
        <f>VLOOKUP(A:A,Table1[[Project No]:[Additional Remark]],4,FALSE)</f>
        <v>Chean Bang</v>
      </c>
      <c r="F158" s="4" t="str">
        <f>VLOOKUP(A:A,Table1[[Project No]:[Additional Remark]],5,FALSE)</f>
        <v>R-PV</v>
      </c>
      <c r="G158" s="4" t="str">
        <f>VLOOKUP(A:A,Table1[[Project No]:[Additional Remark]],13,FALSE)</f>
        <v>Cash+Credit Card Instalment</v>
      </c>
      <c r="H158" s="4" t="str" cm="1">
        <f t="array" ref="H158">_xlfn.IFS((D158+C158)-J158=0,"Invoice Completed",AC158&lt;&gt;"","5th invoice",Y158&lt;&gt;"","4th invoice",U158&lt;&gt;"","3rd invoice",Q158&lt;&gt;"","2nd invoice",M158&lt;&gt;"","1st invoice",M158="","Pending 1st Invoice")</f>
        <v>Invoice Completed</v>
      </c>
      <c r="I158" s="4" t="str" cm="1">
        <f t="array" ref="I158">_xlfn.IFS((C158+D158)-K158=0,"Payment Completed",AE158&lt;&gt;"","5th payment",AA158&lt;&gt;"","4th payment",W158&lt;&gt;"","3rd payment",S158&lt;&gt;"","2nd payment",O158&lt;&gt;"","1st payment",O158="","Pending 1st Payment")</f>
        <v>Payment Completed</v>
      </c>
      <c r="J158" s="55">
        <f t="shared" si="4"/>
        <v>30000</v>
      </c>
      <c r="K158" s="55">
        <f t="shared" si="5"/>
        <v>30000</v>
      </c>
      <c r="L158" s="65">
        <v>45546</v>
      </c>
      <c r="M158" s="66">
        <v>500</v>
      </c>
      <c r="N158" s="65">
        <v>45546</v>
      </c>
      <c r="O158" s="66">
        <v>500</v>
      </c>
      <c r="P158" s="39">
        <v>45636</v>
      </c>
      <c r="Q158" s="59">
        <v>29500</v>
      </c>
      <c r="R158" s="39">
        <v>45659</v>
      </c>
      <c r="S158" s="59">
        <v>29500</v>
      </c>
      <c r="T158" s="65"/>
      <c r="U158" s="66"/>
      <c r="V158" s="65"/>
      <c r="W158" s="66"/>
      <c r="X158" s="39"/>
      <c r="Y158" s="57"/>
      <c r="Z158" s="39"/>
      <c r="AA158" s="57"/>
      <c r="AB158" s="65"/>
      <c r="AC158" s="66"/>
      <c r="AD158" s="65"/>
      <c r="AE158" s="66"/>
      <c r="AF158" s="39"/>
      <c r="AG158" s="57"/>
      <c r="AH158" s="39"/>
      <c r="AI158" s="57"/>
    </row>
    <row r="159" spans="1:35" ht="19.5" customHeight="1" x14ac:dyDescent="0.3">
      <c r="A159" s="4">
        <f>'ECN Master Project Tracker new'!A160</f>
        <v>2409452</v>
      </c>
      <c r="B159" s="110" t="str">
        <f>VLOOKUP(A:A,Table1[[Project No]:[Additional Remark]],2,FALSE)</f>
        <v>Yio Pee Ban</v>
      </c>
      <c r="C159" s="55">
        <f>VLOOKUP(A:A,Table1[[Project No]:[Additional Remark]],11,FALSE)</f>
        <v>29700</v>
      </c>
      <c r="D159" s="55">
        <f>VLOOKUP(A:A,Table1[[Project No]:[Additional Remark]],12,FALSE)</f>
        <v>0</v>
      </c>
      <c r="E159" s="55" t="str">
        <f>VLOOKUP(A:A,Table1[[Project No]:[Additional Remark]],4,FALSE)</f>
        <v>Chean Bang</v>
      </c>
      <c r="F159" s="4" t="str">
        <f>VLOOKUP(A:A,Table1[[Project No]:[Additional Remark]],5,FALSE)</f>
        <v>R-PV</v>
      </c>
      <c r="G159" s="4" t="str">
        <f>VLOOKUP(A:A,Table1[[Project No]:[Additional Remark]],13,FALSE)</f>
        <v>Cash</v>
      </c>
      <c r="H159" s="4" t="str" cm="1">
        <f t="array" ref="H159">_xlfn.IFS((D159+C159)-J159=0,"Invoice Completed",AC159&lt;&gt;"","5th invoice",Y159&lt;&gt;"","4th invoice",U159&lt;&gt;"","3rd invoice",Q159&lt;&gt;"","2nd invoice",M159&lt;&gt;"","1st invoice",M159="","Pending 1st Invoice")</f>
        <v>Invoice Completed</v>
      </c>
      <c r="I159" s="4" t="str" cm="1">
        <f t="array" ref="I159">_xlfn.IFS((C159+D159)-K159=0,"Payment Completed",AE159&lt;&gt;"","5th payment",AA159&lt;&gt;"","4th payment",W159&lt;&gt;"","3rd payment",S159&lt;&gt;"","2nd payment",O159&lt;&gt;"","1st payment",O159="","Pending 1st Payment")</f>
        <v>Payment Completed</v>
      </c>
      <c r="J159" s="55">
        <f t="shared" si="4"/>
        <v>29700</v>
      </c>
      <c r="K159" s="55">
        <f t="shared" si="5"/>
        <v>29700</v>
      </c>
      <c r="L159" s="65">
        <v>45608</v>
      </c>
      <c r="M159" s="66">
        <v>500</v>
      </c>
      <c r="N159" s="65">
        <v>45608</v>
      </c>
      <c r="O159" s="66">
        <v>500</v>
      </c>
      <c r="P159" s="39">
        <v>45608</v>
      </c>
      <c r="Q159" s="57">
        <v>27200</v>
      </c>
      <c r="R159" s="39">
        <v>45608</v>
      </c>
      <c r="S159" s="57">
        <v>27200</v>
      </c>
      <c r="T159" s="65">
        <v>45639</v>
      </c>
      <c r="U159" s="66">
        <v>2000</v>
      </c>
      <c r="V159" s="65">
        <v>45639</v>
      </c>
      <c r="W159" s="66">
        <v>2000</v>
      </c>
      <c r="X159" s="39"/>
      <c r="Y159" s="57"/>
      <c r="Z159" s="39"/>
      <c r="AA159" s="57"/>
      <c r="AB159" s="65"/>
      <c r="AC159" s="66"/>
      <c r="AD159" s="65"/>
      <c r="AE159" s="66"/>
      <c r="AF159" s="39"/>
      <c r="AG159" s="57"/>
      <c r="AH159" s="39"/>
      <c r="AI159" s="57"/>
    </row>
    <row r="160" spans="1:35" ht="19.5" customHeight="1" x14ac:dyDescent="0.3">
      <c r="A160" s="4">
        <f>'ECN Master Project Tracker new'!A161</f>
        <v>2409449</v>
      </c>
      <c r="B160" s="110" t="str">
        <f>VLOOKUP(A:A,Table1[[Project No]:[Additional Remark]],2,FALSE)</f>
        <v>Tan Hock Seng</v>
      </c>
      <c r="C160" s="55">
        <f>VLOOKUP(A:A,Table1[[Project No]:[Additional Remark]],11,FALSE)</f>
        <v>24908</v>
      </c>
      <c r="D160" s="55">
        <f>VLOOKUP(A:A,Table1[[Project No]:[Additional Remark]],12,FALSE)</f>
        <v>0</v>
      </c>
      <c r="E160" s="55" t="str">
        <f>VLOOKUP(A:A,Table1[[Project No]:[Additional Remark]],4,FALSE)</f>
        <v>Tham</v>
      </c>
      <c r="F160" s="4" t="str">
        <f>VLOOKUP(A:A,Table1[[Project No]:[Additional Remark]],5,FALSE)</f>
        <v>R-PV</v>
      </c>
      <c r="G160" s="4" t="str">
        <f>VLOOKUP(A:A,Table1[[Project No]:[Additional Remark]],13,FALSE)</f>
        <v>Credit Card Instalment</v>
      </c>
      <c r="H160" s="4" t="str" cm="1">
        <f t="array" ref="H160">_xlfn.IFS((D160+C160)-J160=0,"Invoice Completed",AC160&lt;&gt;"","5th invoice",Y160&lt;&gt;"","4th invoice",U160&lt;&gt;"","3rd invoice",Q160&lt;&gt;"","2nd invoice",M160&lt;&gt;"","1st invoice",M160="","Pending 1st Invoice")</f>
        <v>Invoice Completed</v>
      </c>
      <c r="I160" s="4" t="str" cm="1">
        <f t="array" ref="I160">_xlfn.IFS((C160+D160)-K160=0,"Payment Completed",AE160&lt;&gt;"","5th payment",AA160&lt;&gt;"","4th payment",W160&lt;&gt;"","3rd payment",S160&lt;&gt;"","2nd payment",O160&lt;&gt;"","1st payment",O160="","Pending 1st Payment")</f>
        <v>Payment Completed</v>
      </c>
      <c r="J160" s="55">
        <f t="shared" si="4"/>
        <v>24908</v>
      </c>
      <c r="K160" s="55">
        <f t="shared" si="5"/>
        <v>24908</v>
      </c>
      <c r="L160" s="65">
        <v>45561</v>
      </c>
      <c r="M160" s="66">
        <v>500</v>
      </c>
      <c r="N160" s="65">
        <v>45561</v>
      </c>
      <c r="O160" s="66">
        <v>500</v>
      </c>
      <c r="P160" s="39">
        <v>45618</v>
      </c>
      <c r="Q160" s="57">
        <v>24408</v>
      </c>
      <c r="R160" s="39">
        <v>45618</v>
      </c>
      <c r="S160" s="57">
        <v>24408</v>
      </c>
      <c r="T160" s="65"/>
      <c r="U160" s="66"/>
      <c r="V160" s="65"/>
      <c r="W160" s="66"/>
      <c r="X160" s="39"/>
      <c r="Y160" s="57"/>
      <c r="Z160" s="39"/>
      <c r="AA160" s="57"/>
      <c r="AB160" s="65"/>
      <c r="AC160" s="66"/>
      <c r="AD160" s="65"/>
      <c r="AE160" s="66"/>
      <c r="AF160" s="39"/>
      <c r="AG160" s="57"/>
      <c r="AH160" s="39"/>
      <c r="AI160" s="57"/>
    </row>
    <row r="161" spans="1:35" ht="19.5" customHeight="1" x14ac:dyDescent="0.3">
      <c r="A161" s="4" t="str">
        <f>'ECN Master Project Tracker new'!A162</f>
        <v>2409448-1</v>
      </c>
      <c r="B161" s="110" t="str">
        <f>VLOOKUP(A:A,Table1[[Project No]:[Additional Remark]],2,FALSE)</f>
        <v>Claris Lim Jink Niee (Lim Chin Horng)</v>
      </c>
      <c r="C161" s="55">
        <f>VLOOKUP(A:A,Table1[[Project No]:[Additional Remark]],11,FALSE)</f>
        <v>34600</v>
      </c>
      <c r="D161" s="55">
        <f>VLOOKUP(A:A,Table1[[Project No]:[Additional Remark]],12,FALSE)</f>
        <v>0</v>
      </c>
      <c r="E161" s="55" t="str">
        <f>VLOOKUP(A:A,Table1[[Project No]:[Additional Remark]],4,FALSE)</f>
        <v>Tham</v>
      </c>
      <c r="F161" s="4" t="str">
        <f>VLOOKUP(A:A,Table1[[Project No]:[Additional Remark]],5,FALSE)</f>
        <v>R-PV</v>
      </c>
      <c r="G161" s="4">
        <f>VLOOKUP(A:A,Table1[[Project No]:[Additional Remark]],13,FALSE)</f>
        <v>0</v>
      </c>
      <c r="H161" s="4" t="str" cm="1">
        <f t="array" ref="H161">_xlfn.IFS((D161+C161)-J161=0,"Invoice Completed",AC161&lt;&gt;"","5th invoice",Y161&lt;&gt;"","4th invoice",U161&lt;&gt;"","3rd invoice",Q161&lt;&gt;"","2nd invoice",M161&lt;&gt;"","1st invoice",M161="","Pending 1st Invoice")</f>
        <v>Invoice Completed</v>
      </c>
      <c r="I161" s="4" t="str" cm="1">
        <f t="array" ref="I161">_xlfn.IFS((C161+D161)-K161=0,"Payment Completed",AE161&lt;&gt;"","5th payment",AA161&lt;&gt;"","4th payment",W161&lt;&gt;"","3rd payment",S161&lt;&gt;"","2nd payment",O161&lt;&gt;"","1st payment",O161="","Pending 1st Payment")</f>
        <v>Payment Completed</v>
      </c>
      <c r="J161" s="55">
        <f t="shared" si="4"/>
        <v>34600</v>
      </c>
      <c r="K161" s="55">
        <f t="shared" si="5"/>
        <v>34600</v>
      </c>
      <c r="L161" s="65">
        <v>45555</v>
      </c>
      <c r="M161" s="66">
        <v>500</v>
      </c>
      <c r="N161" s="65">
        <v>45555</v>
      </c>
      <c r="O161" s="66">
        <v>500</v>
      </c>
      <c r="P161" s="39">
        <v>45638</v>
      </c>
      <c r="Q161" s="57">
        <v>32100</v>
      </c>
      <c r="R161" s="39">
        <v>45639</v>
      </c>
      <c r="S161" s="57">
        <v>32100</v>
      </c>
      <c r="T161" s="65">
        <v>45664</v>
      </c>
      <c r="U161" s="66">
        <v>2000</v>
      </c>
      <c r="V161" s="65">
        <v>45667</v>
      </c>
      <c r="W161" s="66">
        <v>2000</v>
      </c>
      <c r="X161" s="39"/>
      <c r="Y161" s="57"/>
      <c r="Z161" s="39"/>
      <c r="AA161" s="57"/>
      <c r="AB161" s="65"/>
      <c r="AC161" s="66"/>
      <c r="AD161" s="65"/>
      <c r="AE161" s="66"/>
      <c r="AF161" s="39"/>
      <c r="AG161" s="57"/>
      <c r="AH161" s="39"/>
      <c r="AI161" s="57"/>
    </row>
    <row r="162" spans="1:35" ht="19.5" customHeight="1" x14ac:dyDescent="0.3">
      <c r="A162" s="4">
        <f>'ECN Master Project Tracker new'!A163</f>
        <v>2406343</v>
      </c>
      <c r="B162" s="110" t="str">
        <f>VLOOKUP(A:A,Table1[[Project No]:[Additional Remark]],2,FALSE)</f>
        <v>Dato Sim Keng Piao</v>
      </c>
      <c r="C162" s="55">
        <f>VLOOKUP(A:A,Table1[[Project No]:[Additional Remark]],11,FALSE)</f>
        <v>30000</v>
      </c>
      <c r="D162" s="55">
        <f>VLOOKUP(A:A,Table1[[Project No]:[Additional Remark]],12,FALSE)</f>
        <v>0</v>
      </c>
      <c r="E162" s="55" t="str">
        <f>VLOOKUP(A:A,Table1[[Project No]:[Additional Remark]],4,FALSE)</f>
        <v>Tham</v>
      </c>
      <c r="F162" s="4" t="str">
        <f>VLOOKUP(A:A,Table1[[Project No]:[Additional Remark]],5,FALSE)</f>
        <v>R-PV</v>
      </c>
      <c r="G162" s="4">
        <f>VLOOKUP(A:A,Table1[[Project No]:[Additional Remark]],13,FALSE)</f>
        <v>0</v>
      </c>
      <c r="H162" s="4" t="str" cm="1">
        <f t="array" ref="H162">_xlfn.IFS((D162+C162)-J162=0,"Invoice Completed",AC162&lt;&gt;"","5th invoice",Y162&lt;&gt;"","4th invoice",U162&lt;&gt;"","3rd invoice",Q162&lt;&gt;"","2nd invoice",M162&lt;&gt;"","1st invoice",M162="","Pending 1st Invoice")</f>
        <v>Invoice Completed</v>
      </c>
      <c r="I162" s="4" t="str" cm="1">
        <f t="array" ref="I162">_xlfn.IFS((C162+D162)-K162=0,"Payment Completed",AE162&lt;&gt;"","5th payment",AA162&lt;&gt;"","4th payment",W162&lt;&gt;"","3rd payment",S162&lt;&gt;"","2nd payment",O162&lt;&gt;"","1st payment",O162="","Pending 1st Payment")</f>
        <v>Payment Completed</v>
      </c>
      <c r="J162" s="55">
        <f t="shared" si="4"/>
        <v>30000</v>
      </c>
      <c r="K162" s="55">
        <f t="shared" si="5"/>
        <v>30000</v>
      </c>
      <c r="L162" s="65">
        <v>45562</v>
      </c>
      <c r="M162" s="66">
        <v>500</v>
      </c>
      <c r="N162" s="65">
        <v>45562</v>
      </c>
      <c r="O162" s="66">
        <v>500</v>
      </c>
      <c r="P162" s="39">
        <v>45632</v>
      </c>
      <c r="Q162" s="57">
        <v>27500</v>
      </c>
      <c r="R162" s="39">
        <v>45632</v>
      </c>
      <c r="S162" s="57">
        <v>27500</v>
      </c>
      <c r="T162" s="65">
        <v>45635</v>
      </c>
      <c r="U162" s="66">
        <v>2000</v>
      </c>
      <c r="V162" s="65">
        <v>45635</v>
      </c>
      <c r="W162" s="66">
        <v>2000</v>
      </c>
      <c r="X162" s="39"/>
      <c r="Y162" s="57"/>
      <c r="Z162" s="39"/>
      <c r="AA162" s="57"/>
      <c r="AB162" s="65"/>
      <c r="AC162" s="66"/>
      <c r="AD162" s="65"/>
      <c r="AE162" s="66"/>
      <c r="AF162" s="39"/>
      <c r="AG162" s="57"/>
      <c r="AH162" s="39"/>
      <c r="AI162" s="57"/>
    </row>
    <row r="163" spans="1:35" ht="19.5" customHeight="1" x14ac:dyDescent="0.3">
      <c r="A163" s="4">
        <f>'ECN Master Project Tracker new'!A164</f>
        <v>2409455</v>
      </c>
      <c r="B163" s="110" t="str">
        <f>VLOOKUP(A:A,Table1[[Project No]:[Additional Remark]],2,FALSE)</f>
        <v>Muhamad Syamil bin Zulkafli</v>
      </c>
      <c r="C163" s="55">
        <f>VLOOKUP(A:A,Table1[[Project No]:[Additional Remark]],11,FALSE)</f>
        <v>22800</v>
      </c>
      <c r="D163" s="55">
        <f>VLOOKUP(A:A,Table1[[Project No]:[Additional Remark]],12,FALSE)</f>
        <v>0</v>
      </c>
      <c r="E163" s="55" t="str">
        <f>VLOOKUP(A:A,Table1[[Project No]:[Additional Remark]],4,FALSE)</f>
        <v>Tham</v>
      </c>
      <c r="F163" s="4" t="str">
        <f>VLOOKUP(A:A,Table1[[Project No]:[Additional Remark]],5,FALSE)</f>
        <v>R-PV</v>
      </c>
      <c r="G163" s="4" t="str">
        <f>VLOOKUP(A:A,Table1[[Project No]:[Additional Remark]],13,FALSE)</f>
        <v>Cash</v>
      </c>
      <c r="H163" s="4" t="str" cm="1">
        <f t="array" ref="H163">_xlfn.IFS((D163+C163)-J163=0,"Invoice Completed",AC163&lt;&gt;"","5th invoice",Y163&lt;&gt;"","4th invoice",U163&lt;&gt;"","3rd invoice",Q163&lt;&gt;"","2nd invoice",M163&lt;&gt;"","1st invoice",M163="","Pending 1st Invoice")</f>
        <v>Invoice Completed</v>
      </c>
      <c r="I163" s="4" t="str" cm="1">
        <f t="array" ref="I163">_xlfn.IFS((C163+D163)-K163=0,"Payment Completed",AE163&lt;&gt;"","5th payment",AA163&lt;&gt;"","4th payment",W163&lt;&gt;"","3rd payment",S163&lt;&gt;"","2nd payment",O163&lt;&gt;"","1st payment",O163="","Pending 1st Payment")</f>
        <v>Payment Completed</v>
      </c>
      <c r="J163" s="55">
        <f t="shared" si="4"/>
        <v>22800</v>
      </c>
      <c r="K163" s="55">
        <f t="shared" si="5"/>
        <v>22800</v>
      </c>
      <c r="L163" s="65">
        <v>45561</v>
      </c>
      <c r="M163" s="66">
        <v>500</v>
      </c>
      <c r="N163" s="65">
        <v>45561</v>
      </c>
      <c r="O163" s="66">
        <v>500</v>
      </c>
      <c r="P163" s="39">
        <v>45616</v>
      </c>
      <c r="Q163" s="57">
        <v>22300</v>
      </c>
      <c r="R163" s="39">
        <v>45616</v>
      </c>
      <c r="S163" s="57">
        <v>22300</v>
      </c>
      <c r="T163" s="65"/>
      <c r="U163" s="66"/>
      <c r="V163" s="65"/>
      <c r="W163" s="66"/>
      <c r="X163" s="39"/>
      <c r="Y163" s="57"/>
      <c r="Z163" s="39"/>
      <c r="AA163" s="57"/>
      <c r="AB163" s="65"/>
      <c r="AC163" s="66"/>
      <c r="AD163" s="65"/>
      <c r="AE163" s="66"/>
      <c r="AF163" s="39"/>
      <c r="AG163" s="57"/>
      <c r="AH163" s="39"/>
      <c r="AI163" s="57"/>
    </row>
    <row r="164" spans="1:35" ht="19.5" customHeight="1" x14ac:dyDescent="0.3">
      <c r="A164" s="4">
        <f>'ECN Master Project Tracker new'!A165</f>
        <v>2410064</v>
      </c>
      <c r="B164" s="110" t="str">
        <f>VLOOKUP(A:A,Table1[[Project No]:[Additional Remark]],2,FALSE)</f>
        <v>Zarita binti Saliman</v>
      </c>
      <c r="C164" s="55">
        <f>VLOOKUP(A:A,Table1[[Project No]:[Additional Remark]],11,FALSE)</f>
        <v>23940</v>
      </c>
      <c r="D164" s="55">
        <f>VLOOKUP(A:A,Table1[[Project No]:[Additional Remark]],12,FALSE)</f>
        <v>0</v>
      </c>
      <c r="E164" s="55" t="str">
        <f>VLOOKUP(A:A,Table1[[Project No]:[Additional Remark]],4,FALSE)</f>
        <v>Tham</v>
      </c>
      <c r="F164" s="4" t="str">
        <f>VLOOKUP(A:A,Table1[[Project No]:[Additional Remark]],5,FALSE)</f>
        <v>R-PV</v>
      </c>
      <c r="G164" s="4" t="str">
        <f>VLOOKUP(A:A,Table1[[Project No]:[Additional Remark]],13,FALSE)</f>
        <v>Cash</v>
      </c>
      <c r="H164" s="4" t="str" cm="1">
        <f t="array" ref="H164">_xlfn.IFS((D164+C164)-J164=0,"Invoice Completed",AC164&lt;&gt;"","5th invoice",Y164&lt;&gt;"","4th invoice",U164&lt;&gt;"","3rd invoice",Q164&lt;&gt;"","2nd invoice",M164&lt;&gt;"","1st invoice",M164="","Pending 1st Invoice")</f>
        <v>Invoice Completed</v>
      </c>
      <c r="I164" s="4" t="str" cm="1">
        <f t="array" ref="I164">_xlfn.IFS((C164+D164)-K164=0,"Payment Completed",AE164&lt;&gt;"","5th payment",AA164&lt;&gt;"","4th payment",W164&lt;&gt;"","3rd payment",S164&lt;&gt;"","2nd payment",O164&lt;&gt;"","1st payment",O164="","Pending 1st Payment")</f>
        <v>Payment Completed</v>
      </c>
      <c r="J164" s="55">
        <f t="shared" si="4"/>
        <v>23940</v>
      </c>
      <c r="K164" s="55">
        <f t="shared" si="5"/>
        <v>23940</v>
      </c>
      <c r="L164" s="65">
        <v>45573</v>
      </c>
      <c r="M164" s="66">
        <v>500</v>
      </c>
      <c r="N164" s="65">
        <v>45573</v>
      </c>
      <c r="O164" s="66">
        <v>500</v>
      </c>
      <c r="P164" s="39">
        <v>45628</v>
      </c>
      <c r="Q164" s="57">
        <v>21440</v>
      </c>
      <c r="R164" s="39">
        <v>45628</v>
      </c>
      <c r="S164" s="57">
        <v>21440</v>
      </c>
      <c r="T164" s="65">
        <v>45751</v>
      </c>
      <c r="U164" s="66">
        <v>2000</v>
      </c>
      <c r="V164" s="65">
        <v>45757</v>
      </c>
      <c r="W164" s="66">
        <v>2000</v>
      </c>
      <c r="X164" s="39"/>
      <c r="Y164" s="57"/>
      <c r="Z164" s="39"/>
      <c r="AA164" s="57"/>
      <c r="AB164" s="65"/>
      <c r="AC164" s="66"/>
      <c r="AD164" s="65"/>
      <c r="AE164" s="66"/>
      <c r="AF164" s="39"/>
      <c r="AG164" s="57"/>
      <c r="AH164" s="39"/>
      <c r="AI164" s="57"/>
    </row>
    <row r="165" spans="1:35" ht="19.5" customHeight="1" x14ac:dyDescent="0.3">
      <c r="A165" s="4">
        <f>'ECN Master Project Tracker new'!A166</f>
        <v>2405305</v>
      </c>
      <c r="B165" s="110" t="str">
        <f>VLOOKUP(A:A,Table1[[Project No]:[Additional Remark]],2,FALSE)</f>
        <v>Chan Woei Jye</v>
      </c>
      <c r="C165" s="55">
        <f>VLOOKUP(A:A,Table1[[Project No]:[Additional Remark]],11,FALSE)</f>
        <v>32000</v>
      </c>
      <c r="D165" s="55">
        <f>VLOOKUP(A:A,Table1[[Project No]:[Additional Remark]],12,FALSE)</f>
        <v>0</v>
      </c>
      <c r="E165" s="55" t="str">
        <f>VLOOKUP(A:A,Table1[[Project No]:[Additional Remark]],4,FALSE)</f>
        <v>Tham</v>
      </c>
      <c r="F165" s="4" t="str">
        <f>VLOOKUP(A:A,Table1[[Project No]:[Additional Remark]],5,FALSE)</f>
        <v>R-PV</v>
      </c>
      <c r="G165" s="4" t="str">
        <f>VLOOKUP(A:A,Table1[[Project No]:[Additional Remark]],13,FALSE)</f>
        <v>Cash</v>
      </c>
      <c r="H165" s="4" t="str" cm="1">
        <f t="array" ref="H165">_xlfn.IFS((D165+C165)-J165=0,"Invoice Completed",AC165&lt;&gt;"","5th invoice",Y165&lt;&gt;"","4th invoice",U165&lt;&gt;"","3rd invoice",Q165&lt;&gt;"","2nd invoice",M165&lt;&gt;"","1st invoice",M165="","Pending 1st Invoice")</f>
        <v>Invoice Completed</v>
      </c>
      <c r="I165" s="4" t="str" cm="1">
        <f t="array" ref="I165">_xlfn.IFS((C165+D165)-K165=0,"Payment Completed",AE165&lt;&gt;"","5th payment",AA165&lt;&gt;"","4th payment",W165&lt;&gt;"","3rd payment",S165&lt;&gt;"","2nd payment",O165&lt;&gt;"","1st payment",O165="","Pending 1st Payment")</f>
        <v>Payment Completed</v>
      </c>
      <c r="J165" s="55">
        <f t="shared" si="4"/>
        <v>32000</v>
      </c>
      <c r="K165" s="55">
        <f t="shared" si="5"/>
        <v>32000</v>
      </c>
      <c r="L165" s="65">
        <v>45588</v>
      </c>
      <c r="M165" s="66">
        <v>500</v>
      </c>
      <c r="N165" s="65">
        <v>45588</v>
      </c>
      <c r="O165" s="66">
        <v>500</v>
      </c>
      <c r="P165" s="39">
        <v>45723</v>
      </c>
      <c r="Q165" s="57">
        <v>31500</v>
      </c>
      <c r="R165" s="39">
        <v>45723</v>
      </c>
      <c r="S165" s="57">
        <v>31500</v>
      </c>
      <c r="T165" s="65"/>
      <c r="U165" s="66"/>
      <c r="V165" s="65"/>
      <c r="W165" s="66"/>
      <c r="X165" s="39"/>
      <c r="Y165" s="57"/>
      <c r="Z165" s="39"/>
      <c r="AA165" s="57"/>
      <c r="AB165" s="65"/>
      <c r="AC165" s="66"/>
      <c r="AD165" s="65"/>
      <c r="AE165" s="66"/>
      <c r="AF165" s="39"/>
      <c r="AG165" s="57"/>
      <c r="AH165" s="39"/>
      <c r="AI165" s="57"/>
    </row>
    <row r="166" spans="1:35" ht="19.5" customHeight="1" x14ac:dyDescent="0.3">
      <c r="A166" s="4">
        <f>'ECN Master Project Tracker new'!A167</f>
        <v>2409456</v>
      </c>
      <c r="B166" s="110" t="str">
        <f>VLOOKUP(A:A,Table1[[Project No]:[Additional Remark]],2,FALSE)</f>
        <v>Low Hong Chin</v>
      </c>
      <c r="C166" s="55">
        <f>VLOOKUP(A:A,Table1[[Project No]:[Additional Remark]],11,FALSE)</f>
        <v>30000</v>
      </c>
      <c r="D166" s="55">
        <f>VLOOKUP(A:A,Table1[[Project No]:[Additional Remark]],12,FALSE)</f>
        <v>0</v>
      </c>
      <c r="E166" s="55" t="str">
        <f>VLOOKUP(A:A,Table1[[Project No]:[Additional Remark]],4,FALSE)</f>
        <v>Tham</v>
      </c>
      <c r="F166" s="4" t="str">
        <f>VLOOKUP(A:A,Table1[[Project No]:[Additional Remark]],5,FALSE)</f>
        <v>R-PV</v>
      </c>
      <c r="G166" s="4" t="str">
        <f>VLOOKUP(A:A,Table1[[Project No]:[Additional Remark]],13,FALSE)</f>
        <v>Cash</v>
      </c>
      <c r="H166" s="4" t="str" cm="1">
        <f t="array" ref="H166">_xlfn.IFS((D166+C166)-J166=0,"Invoice Completed",AC166&lt;&gt;"","5th invoice",Y166&lt;&gt;"","4th invoice",U166&lt;&gt;"","3rd invoice",Q166&lt;&gt;"","2nd invoice",M166&lt;&gt;"","1st invoice",M166="","Pending 1st Invoice")</f>
        <v>Invoice Completed</v>
      </c>
      <c r="I166" s="4" t="str" cm="1">
        <f t="array" ref="I166">_xlfn.IFS((C166+D166)-K166=0,"Payment Completed",AE166&lt;&gt;"","5th payment",AA166&lt;&gt;"","4th payment",W166&lt;&gt;"","3rd payment",S166&lt;&gt;"","2nd payment",O166&lt;&gt;"","1st payment",O166="","Pending 1st Payment")</f>
        <v>Payment Completed</v>
      </c>
      <c r="J166" s="55">
        <f t="shared" si="4"/>
        <v>30000</v>
      </c>
      <c r="K166" s="55">
        <f t="shared" si="5"/>
        <v>30000</v>
      </c>
      <c r="L166" s="65">
        <v>45583</v>
      </c>
      <c r="M166" s="66">
        <v>500</v>
      </c>
      <c r="N166" s="65">
        <v>45583</v>
      </c>
      <c r="O166" s="66">
        <v>500</v>
      </c>
      <c r="P166" s="39">
        <v>45652</v>
      </c>
      <c r="Q166" s="59">
        <v>27500</v>
      </c>
      <c r="R166" s="64">
        <v>45665</v>
      </c>
      <c r="S166" s="59">
        <v>27500</v>
      </c>
      <c r="T166" s="65">
        <v>45751</v>
      </c>
      <c r="U166" s="66">
        <v>2000</v>
      </c>
      <c r="V166" s="65">
        <v>45842</v>
      </c>
      <c r="W166" s="66">
        <v>2000</v>
      </c>
      <c r="X166" s="39"/>
      <c r="Y166" s="57"/>
      <c r="Z166" s="39"/>
      <c r="AA166" s="57"/>
      <c r="AB166" s="65"/>
      <c r="AC166" s="66"/>
      <c r="AD166" s="65"/>
      <c r="AE166" s="66"/>
      <c r="AF166" s="39"/>
      <c r="AG166" s="57"/>
      <c r="AH166" s="39"/>
      <c r="AI166" s="57"/>
    </row>
    <row r="167" spans="1:35" ht="19.5" customHeight="1" x14ac:dyDescent="0.3">
      <c r="A167" s="4">
        <f>'ECN Master Project Tracker new'!A168</f>
        <v>2410461</v>
      </c>
      <c r="B167" s="110" t="str">
        <f>VLOOKUP(A:A,Table1[[Project No]:[Additional Remark]],2,FALSE)</f>
        <v>Low Hong Choon</v>
      </c>
      <c r="C167" s="55">
        <f>VLOOKUP(A:A,Table1[[Project No]:[Additional Remark]],11,FALSE)</f>
        <v>23500</v>
      </c>
      <c r="D167" s="55">
        <f>VLOOKUP(A:A,Table1[[Project No]:[Additional Remark]],12,FALSE)</f>
        <v>0</v>
      </c>
      <c r="E167" s="55" t="str">
        <f>VLOOKUP(A:A,Table1[[Project No]:[Additional Remark]],4,FALSE)</f>
        <v>Tham</v>
      </c>
      <c r="F167" s="4" t="str">
        <f>VLOOKUP(A:A,Table1[[Project No]:[Additional Remark]],5,FALSE)</f>
        <v>R-PV</v>
      </c>
      <c r="G167" s="4" t="str">
        <f>VLOOKUP(A:A,Table1[[Project No]:[Additional Remark]],13,FALSE)</f>
        <v>Cash</v>
      </c>
      <c r="H167" s="4" t="str" cm="1">
        <f t="array" ref="H167">_xlfn.IFS((D167+C167)-J167=0,"Invoice Completed",AC167&lt;&gt;"","5th invoice",Y167&lt;&gt;"","4th invoice",U167&lt;&gt;"","3rd invoice",Q167&lt;&gt;"","2nd invoice",M167&lt;&gt;"","1st invoice",M167="","Pending 1st Invoice")</f>
        <v>Invoice Completed</v>
      </c>
      <c r="I167" s="4" t="str" cm="1">
        <f t="array" ref="I167">_xlfn.IFS((C167+D167)-K167=0,"Payment Completed",AE167&lt;&gt;"","5th payment",AA167&lt;&gt;"","4th payment",W167&lt;&gt;"","3rd payment",S167&lt;&gt;"","2nd payment",O167&lt;&gt;"","1st payment",O167="","Pending 1st Payment")</f>
        <v>Payment Completed</v>
      </c>
      <c r="J167" s="55">
        <f t="shared" si="4"/>
        <v>23500</v>
      </c>
      <c r="K167" s="55">
        <f t="shared" si="5"/>
        <v>23500</v>
      </c>
      <c r="L167" s="65">
        <v>45569</v>
      </c>
      <c r="M167" s="66">
        <v>500</v>
      </c>
      <c r="N167" s="65">
        <v>45569</v>
      </c>
      <c r="O167" s="66">
        <v>500</v>
      </c>
      <c r="P167" s="39">
        <v>45652</v>
      </c>
      <c r="Q167" s="59">
        <v>21000</v>
      </c>
      <c r="R167" s="64">
        <v>45665</v>
      </c>
      <c r="S167" s="59">
        <v>21000</v>
      </c>
      <c r="T167" s="65">
        <v>45751</v>
      </c>
      <c r="U167" s="66">
        <v>2000</v>
      </c>
      <c r="V167" s="65">
        <v>45842</v>
      </c>
      <c r="W167" s="66">
        <v>2000</v>
      </c>
      <c r="X167" s="39"/>
      <c r="Y167" s="57"/>
      <c r="Z167" s="39"/>
      <c r="AA167" s="57"/>
      <c r="AB167" s="65"/>
      <c r="AC167" s="66"/>
      <c r="AD167" s="65"/>
      <c r="AE167" s="66"/>
      <c r="AF167" s="39"/>
      <c r="AG167" s="57"/>
      <c r="AH167" s="39"/>
      <c r="AI167" s="57"/>
    </row>
    <row r="168" spans="1:35" ht="19.5" customHeight="1" x14ac:dyDescent="0.3">
      <c r="A168" s="4">
        <f>'ECN Master Project Tracker new'!A169</f>
        <v>2409029</v>
      </c>
      <c r="B168" s="110" t="str">
        <f>VLOOKUP(A:A,Table1[[Project No]:[Additional Remark]],2,FALSE)</f>
        <v>Handal Green Mobility Sdn Bhd (Mazda Kuantan Showroom)</v>
      </c>
      <c r="C168" s="55">
        <f>VLOOKUP(A:A,Table1[[Project No]:[Additional Remark]],11,FALSE)</f>
        <v>2643</v>
      </c>
      <c r="D168" s="55">
        <f>VLOOKUP(A:A,Table1[[Project No]:[Additional Remark]],12,FALSE)</f>
        <v>0</v>
      </c>
      <c r="E168" s="55" t="str">
        <f>VLOOKUP(A:A,Table1[[Project No]:[Additional Remark]],4,FALSE)</f>
        <v>Simon</v>
      </c>
      <c r="F168" s="4" t="str">
        <f>VLOOKUP(A:A,Table1[[Project No]:[Additional Remark]],5,FALSE)</f>
        <v>EV Charger</v>
      </c>
      <c r="G168" s="4" t="str">
        <f>VLOOKUP(A:A,Table1[[Project No]:[Additional Remark]],13,FALSE)</f>
        <v>Cash</v>
      </c>
      <c r="H168" s="4" t="str" cm="1">
        <f t="array" ref="H168">_xlfn.IFS((D168+C168)-J168=0,"Invoice Completed",AC168&lt;&gt;"","5th invoice",Y168&lt;&gt;"","4th invoice",U168&lt;&gt;"","3rd invoice",Q168&lt;&gt;"","2nd invoice",M168&lt;&gt;"","1st invoice",M168="","Pending 1st Invoice")</f>
        <v>Invoice Completed</v>
      </c>
      <c r="I168" s="4" t="str" cm="1">
        <f t="array" ref="I168">_xlfn.IFS((C168+D168)-K168=0,"Payment Completed",AE168&lt;&gt;"","5th payment",AA168&lt;&gt;"","4th payment",W168&lt;&gt;"","3rd payment",S168&lt;&gt;"","2nd payment",O168&lt;&gt;"","1st payment",O168="","Pending 1st Payment")</f>
        <v>Pending 1st Payment</v>
      </c>
      <c r="J168" s="55">
        <f t="shared" si="4"/>
        <v>2643</v>
      </c>
      <c r="K168" s="55">
        <f t="shared" si="5"/>
        <v>0</v>
      </c>
      <c r="L168" s="65">
        <v>45609</v>
      </c>
      <c r="M168" s="66">
        <v>2643</v>
      </c>
      <c r="N168" s="65"/>
      <c r="O168" s="66"/>
      <c r="P168" s="39"/>
      <c r="Q168" s="59"/>
      <c r="R168" s="64"/>
      <c r="S168" s="59"/>
      <c r="T168" s="65"/>
      <c r="U168" s="66"/>
      <c r="V168" s="65"/>
      <c r="W168" s="66"/>
      <c r="X168" s="39"/>
      <c r="Y168" s="57"/>
      <c r="Z168" s="39"/>
      <c r="AA168" s="57"/>
      <c r="AB168" s="65"/>
      <c r="AC168" s="66"/>
      <c r="AD168" s="65"/>
      <c r="AE168" s="66"/>
      <c r="AF168" s="39"/>
      <c r="AG168" s="57"/>
      <c r="AH168" s="39"/>
      <c r="AI168" s="57"/>
    </row>
    <row r="169" spans="1:35" ht="19.5" customHeight="1" x14ac:dyDescent="0.3">
      <c r="A169" s="4">
        <f>'ECN Master Project Tracker new'!A170</f>
        <v>2410032</v>
      </c>
      <c r="B169" s="110" t="str">
        <f>VLOOKUP(A:A,Table1[[Project No]:[Additional Remark]],2,FALSE)</f>
        <v>Handal Green Mobility Sdn Bhd (United Point Mall, Kuala Lumpur)</v>
      </c>
      <c r="C169" s="55">
        <f>VLOOKUP(A:A,Table1[[Project No]:[Additional Remark]],11,FALSE)</f>
        <v>38470</v>
      </c>
      <c r="D169" s="55">
        <f>VLOOKUP(A:A,Table1[[Project No]:[Additional Remark]],12,FALSE)</f>
        <v>0</v>
      </c>
      <c r="E169" s="55" t="str">
        <f>VLOOKUP(A:A,Table1[[Project No]:[Additional Remark]],4,FALSE)</f>
        <v>Simon</v>
      </c>
      <c r="F169" s="4" t="str">
        <f>VLOOKUP(A:A,Table1[[Project No]:[Additional Remark]],5,FALSE)</f>
        <v>EV Charger</v>
      </c>
      <c r="G169" s="4" t="str">
        <f>VLOOKUP(A:A,Table1[[Project No]:[Additional Remark]],13,FALSE)</f>
        <v>Cash</v>
      </c>
      <c r="H169" s="4" t="str" cm="1">
        <f t="array" ref="H169">_xlfn.IFS((D169+C169)-J169=0,"Invoice Completed",AC169&lt;&gt;"","5th invoice",Y169&lt;&gt;"","4th invoice",U169&lt;&gt;"","3rd invoice",Q169&lt;&gt;"","2nd invoice",M169&lt;&gt;"","1st invoice",M169="","Pending 1st Invoice")</f>
        <v>Invoice Completed</v>
      </c>
      <c r="I169" s="4" t="str" cm="1">
        <f t="array" ref="I169">_xlfn.IFS((C169+D169)-K169=0,"Payment Completed",AE169&lt;&gt;"","5th payment",AA169&lt;&gt;"","4th payment",W169&lt;&gt;"","3rd payment",S169&lt;&gt;"","2nd payment",O169&lt;&gt;"","1st payment",O169="","Pending 1st Payment")</f>
        <v>Payment Completed</v>
      </c>
      <c r="J169" s="55">
        <f t="shared" si="4"/>
        <v>38470</v>
      </c>
      <c r="K169" s="55">
        <f t="shared" si="5"/>
        <v>38470</v>
      </c>
      <c r="L169" s="65">
        <v>45593</v>
      </c>
      <c r="M169" s="66">
        <v>19235</v>
      </c>
      <c r="N169" s="65">
        <v>45602</v>
      </c>
      <c r="O169" s="66">
        <v>19235</v>
      </c>
      <c r="P169" s="39">
        <v>45301</v>
      </c>
      <c r="Q169" s="59">
        <v>19235</v>
      </c>
      <c r="R169" s="64">
        <v>45685</v>
      </c>
      <c r="S169" s="59">
        <v>19235</v>
      </c>
      <c r="T169" s="65"/>
      <c r="U169" s="66"/>
      <c r="V169" s="65"/>
      <c r="W169" s="66"/>
      <c r="X169" s="39"/>
      <c r="Y169" s="57"/>
      <c r="Z169" s="39"/>
      <c r="AA169" s="57"/>
      <c r="AB169" s="65"/>
      <c r="AC169" s="66"/>
      <c r="AD169" s="65"/>
      <c r="AE169" s="66"/>
      <c r="AF169" s="39"/>
      <c r="AG169" s="57"/>
      <c r="AH169" s="39"/>
      <c r="AI169" s="57"/>
    </row>
    <row r="170" spans="1:35" ht="19.5" customHeight="1" x14ac:dyDescent="0.3">
      <c r="A170" s="4" t="str">
        <f>'ECN Master Project Tracker new'!A171</f>
        <v>2407167-1</v>
      </c>
      <c r="B170" s="110" t="str">
        <f>VLOOKUP(A:A,Table1[[Project No]:[Additional Remark]],2,FALSE)</f>
        <v>Econframe Marketing Sdn Bhd (Kilang 1 &amp; 3)</v>
      </c>
      <c r="C170" s="55">
        <f>VLOOKUP(A:A,Table1[[Project No]:[Additional Remark]],11,FALSE)</f>
        <v>233000</v>
      </c>
      <c r="D170" s="55">
        <f>VLOOKUP(A:A,Table1[[Project No]:[Additional Remark]],12,FALSE)</f>
        <v>0</v>
      </c>
      <c r="E170" s="55" t="str">
        <f>VLOOKUP(A:A,Table1[[Project No]:[Additional Remark]],4,FALSE)</f>
        <v>Tham</v>
      </c>
      <c r="F170" s="4" t="str">
        <f>VLOOKUP(A:A,Table1[[Project No]:[Additional Remark]],5,FALSE)</f>
        <v>C&amp;I-PV</v>
      </c>
      <c r="G170" s="4" t="str">
        <f>VLOOKUP(A:A,Table1[[Project No]:[Additional Remark]],13,FALSE)</f>
        <v>Cash</v>
      </c>
      <c r="H170" s="4" t="str" cm="1">
        <f t="array" ref="H170">_xlfn.IFS((D170+C170)-J170=0,"Invoice Completed",AC170&lt;&gt;"","5th invoice",Y170&lt;&gt;"","4th invoice",U170&lt;&gt;"","3rd invoice",Q170&lt;&gt;"","2nd invoice",M170&lt;&gt;"","1st invoice",M170="","Pending 1st Invoice")</f>
        <v>Invoice Completed</v>
      </c>
      <c r="I170" s="4" t="str" cm="1">
        <f t="array" ref="I170">_xlfn.IFS((C170+D170)-K170=0,"Payment Completed",AE170&lt;&gt;"","5th payment",AA170&lt;&gt;"","4th payment",W170&lt;&gt;"","3rd payment",S170&lt;&gt;"","2nd payment",O170&lt;&gt;"","1st payment",O170="","Pending 1st Payment")</f>
        <v>3rd payment</v>
      </c>
      <c r="J170" s="55">
        <f t="shared" si="4"/>
        <v>233000</v>
      </c>
      <c r="K170" s="55">
        <f t="shared" si="5"/>
        <v>163370</v>
      </c>
      <c r="L170" s="65">
        <v>45559</v>
      </c>
      <c r="M170" s="66">
        <f>13600+9700</f>
        <v>23300</v>
      </c>
      <c r="N170" s="65">
        <v>45559</v>
      </c>
      <c r="O170" s="66">
        <f>13600+9700</f>
        <v>23300</v>
      </c>
      <c r="P170" s="39">
        <v>45621</v>
      </c>
      <c r="Q170" s="59">
        <f>47600+33950</f>
        <v>81550</v>
      </c>
      <c r="R170" s="39">
        <v>45639</v>
      </c>
      <c r="S170" s="59">
        <f>47600+33950</f>
        <v>81550</v>
      </c>
      <c r="T170" s="65">
        <v>45681</v>
      </c>
      <c r="U170" s="66">
        <v>58250</v>
      </c>
      <c r="V170" s="65">
        <v>45693</v>
      </c>
      <c r="W170" s="66">
        <v>58520</v>
      </c>
      <c r="X170" s="39">
        <v>45776</v>
      </c>
      <c r="Y170" s="57">
        <v>69900</v>
      </c>
      <c r="Z170" s="39"/>
      <c r="AA170" s="57"/>
      <c r="AB170" s="65"/>
      <c r="AC170" s="66"/>
      <c r="AD170" s="65"/>
      <c r="AE170" s="66"/>
      <c r="AF170" s="39"/>
      <c r="AG170" s="57"/>
      <c r="AH170" s="39"/>
      <c r="AI170" s="57"/>
    </row>
    <row r="171" spans="1:35" ht="19.5" customHeight="1" x14ac:dyDescent="0.3">
      <c r="A171" s="4" t="str">
        <f>'ECN Master Project Tracker new'!A172</f>
        <v>2407167-2</v>
      </c>
      <c r="B171" s="110" t="str">
        <f>VLOOKUP(A:A,Table1[[Project No]:[Additional Remark]],2,FALSE)</f>
        <v>Econframe Marketing Sdn Bhd (Kilang 4)</v>
      </c>
      <c r="C171" s="55">
        <f>VLOOKUP(A:A,Table1[[Project No]:[Additional Remark]],11,FALSE)</f>
        <v>71000</v>
      </c>
      <c r="D171" s="55">
        <f>VLOOKUP(A:A,Table1[[Project No]:[Additional Remark]],12,FALSE)</f>
        <v>0</v>
      </c>
      <c r="E171" s="55" t="str">
        <f>VLOOKUP(A:A,Table1[[Project No]:[Additional Remark]],4,FALSE)</f>
        <v>Tham</v>
      </c>
      <c r="F171" s="4" t="str">
        <f>VLOOKUP(A:A,Table1[[Project No]:[Additional Remark]],5,FALSE)</f>
        <v>C&amp;I-PV</v>
      </c>
      <c r="G171" s="4" t="str">
        <f>VLOOKUP(A:A,Table1[[Project No]:[Additional Remark]],13,FALSE)</f>
        <v>Cash</v>
      </c>
      <c r="H171" s="4" t="str" cm="1">
        <f t="array" ref="H171">_xlfn.IFS((D171+C171)-J171=0,"Invoice Completed",AC171&lt;&gt;"","5th invoice",Y171&lt;&gt;"","4th invoice",U171&lt;&gt;"","3rd invoice",Q171&lt;&gt;"","2nd invoice",M171&lt;&gt;"","1st invoice",M171="","Pending 1st Invoice")</f>
        <v>Invoice Completed</v>
      </c>
      <c r="I171" s="4" t="str" cm="1">
        <f t="array" ref="I171">_xlfn.IFS((C171+D171)-K171=0,"Payment Completed",AE171&lt;&gt;"","5th payment",AA171&lt;&gt;"","4th payment",W171&lt;&gt;"","3rd payment",S171&lt;&gt;"","2nd payment",O171&lt;&gt;"","1st payment",O171="","Pending 1st Payment")</f>
        <v>2nd payment</v>
      </c>
      <c r="J171" s="55">
        <f t="shared" si="4"/>
        <v>71000</v>
      </c>
      <c r="K171" s="55">
        <f t="shared" si="5"/>
        <v>31950</v>
      </c>
      <c r="L171" s="65">
        <v>45559</v>
      </c>
      <c r="M171" s="66">
        <v>7100</v>
      </c>
      <c r="N171" s="65">
        <v>45559</v>
      </c>
      <c r="O171" s="66">
        <v>7100</v>
      </c>
      <c r="P171" s="39">
        <v>45621</v>
      </c>
      <c r="Q171" s="59">
        <v>24850</v>
      </c>
      <c r="R171" s="39">
        <v>45640</v>
      </c>
      <c r="S171" s="59">
        <v>24850</v>
      </c>
      <c r="T171" s="65">
        <v>45776</v>
      </c>
      <c r="U171" s="66">
        <v>39050</v>
      </c>
      <c r="V171" s="65"/>
      <c r="W171" s="66"/>
      <c r="X171" s="39"/>
      <c r="Y171" s="57"/>
      <c r="Z171" s="39"/>
      <c r="AA171" s="57"/>
      <c r="AB171" s="65"/>
      <c r="AC171" s="66"/>
      <c r="AD171" s="65"/>
      <c r="AE171" s="66"/>
      <c r="AF171" s="39"/>
      <c r="AG171" s="57"/>
      <c r="AH171" s="39"/>
      <c r="AI171" s="57"/>
    </row>
    <row r="172" spans="1:35" ht="19.5" customHeight="1" x14ac:dyDescent="0.3">
      <c r="A172" s="4" t="str">
        <f>'ECN Master Project Tracker new'!A173</f>
        <v>2407167-3</v>
      </c>
      <c r="B172" s="110" t="str">
        <f>VLOOKUP(A:A,Table1[[Project No]:[Additional Remark]],2,FALSE)</f>
        <v>Econframe Marketing Sdn Bhd (Kilang 20)</v>
      </c>
      <c r="C172" s="55">
        <f>VLOOKUP(A:A,Table1[[Project No]:[Additional Remark]],11,FALSE)</f>
        <v>136000</v>
      </c>
      <c r="D172" s="55">
        <f>VLOOKUP(A:A,Table1[[Project No]:[Additional Remark]],12,FALSE)</f>
        <v>0</v>
      </c>
      <c r="E172" s="55" t="str">
        <f>VLOOKUP(A:A,Table1[[Project No]:[Additional Remark]],4,FALSE)</f>
        <v>Tham</v>
      </c>
      <c r="F172" s="4" t="str">
        <f>VLOOKUP(A:A,Table1[[Project No]:[Additional Remark]],5,FALSE)</f>
        <v>C&amp;I-PV</v>
      </c>
      <c r="G172" s="4" t="str">
        <f>VLOOKUP(A:A,Table1[[Project No]:[Additional Remark]],13,FALSE)</f>
        <v>Cash</v>
      </c>
      <c r="H172" s="4" t="str" cm="1">
        <f t="array" ref="H172">_xlfn.IFS((D172+C172)-J172=0,"Invoice Completed",AC172&lt;&gt;"","5th invoice",Y172&lt;&gt;"","4th invoice",U172&lt;&gt;"","3rd invoice",Q172&lt;&gt;"","2nd invoice",M172&lt;&gt;"","1st invoice",M172="","Pending 1st Invoice")</f>
        <v>Invoice Completed</v>
      </c>
      <c r="I172" s="4" t="str" cm="1">
        <f t="array" ref="I172">_xlfn.IFS((C172+D172)-K172=0,"Payment Completed",AE172&lt;&gt;"","5th payment",AA172&lt;&gt;"","4th payment",W172&lt;&gt;"","3rd payment",S172&lt;&gt;"","2nd payment",O172&lt;&gt;"","1st payment",O172="","Pending 1st Payment")</f>
        <v>2nd payment</v>
      </c>
      <c r="J172" s="55">
        <f t="shared" si="4"/>
        <v>136000</v>
      </c>
      <c r="K172" s="55">
        <f t="shared" si="5"/>
        <v>61200</v>
      </c>
      <c r="L172" s="65">
        <v>45559</v>
      </c>
      <c r="M172" s="66">
        <v>13600</v>
      </c>
      <c r="N172" s="65">
        <v>45559</v>
      </c>
      <c r="O172" s="66">
        <v>13600</v>
      </c>
      <c r="P172" s="39">
        <v>45621</v>
      </c>
      <c r="Q172" s="59">
        <v>47600</v>
      </c>
      <c r="R172" s="39">
        <v>45641</v>
      </c>
      <c r="S172" s="59">
        <v>47600</v>
      </c>
      <c r="T172" s="65">
        <v>45776</v>
      </c>
      <c r="U172" s="66">
        <v>74800</v>
      </c>
      <c r="V172" s="65"/>
      <c r="W172" s="66"/>
      <c r="X172" s="39"/>
      <c r="Y172" s="57"/>
      <c r="Z172" s="39"/>
      <c r="AA172" s="57"/>
      <c r="AB172" s="65"/>
      <c r="AC172" s="66"/>
      <c r="AD172" s="65"/>
      <c r="AE172" s="66"/>
      <c r="AF172" s="39"/>
      <c r="AG172" s="57"/>
      <c r="AH172" s="39"/>
      <c r="AI172" s="57"/>
    </row>
    <row r="173" spans="1:35" ht="19.5" customHeight="1" x14ac:dyDescent="0.3">
      <c r="A173" s="4">
        <f>'ECN Master Project Tracker new'!A174</f>
        <v>2408174</v>
      </c>
      <c r="B173" s="110" t="str">
        <f>VLOOKUP(A:A,Table1[[Project No]:[Additional Remark]],2,FALSE)</f>
        <v>Zimandy Construction Sdn Bhd (Bandar Tenggara)</v>
      </c>
      <c r="C173" s="55">
        <f>VLOOKUP(A:A,Table1[[Project No]:[Additional Remark]],11,FALSE)</f>
        <v>269900</v>
      </c>
      <c r="D173" s="55">
        <f>VLOOKUP(A:A,Table1[[Project No]:[Additional Remark]],12,FALSE)</f>
        <v>0</v>
      </c>
      <c r="E173" s="55" t="str">
        <f>VLOOKUP(A:A,Table1[[Project No]:[Additional Remark]],4,FALSE)</f>
        <v>Tham</v>
      </c>
      <c r="F173" s="4" t="str">
        <f>VLOOKUP(A:A,Table1[[Project No]:[Additional Remark]],5,FALSE)</f>
        <v>C&amp;I-PV</v>
      </c>
      <c r="G173" s="4" t="str">
        <f>VLOOKUP(A:A,Table1[[Project No]:[Additional Remark]],13,FALSE)</f>
        <v>Cash</v>
      </c>
      <c r="H173" s="4" t="str" cm="1">
        <f t="array" ref="H173">_xlfn.IFS((D173+C173)-J173=0,"Invoice Completed",AC173&lt;&gt;"","5th invoice",Y173&lt;&gt;"","4th invoice",U173&lt;&gt;"","3rd invoice",Q173&lt;&gt;"","2nd invoice",M173&lt;&gt;"","1st invoice",M173="","Pending 1st Invoice")</f>
        <v>Invoice Completed</v>
      </c>
      <c r="I173" s="4" t="str" cm="1">
        <f t="array" ref="I173">_xlfn.IFS((C173+D173)-K173=0,"Payment Completed",AE173&lt;&gt;"","5th payment",AA173&lt;&gt;"","4th payment",W173&lt;&gt;"","3rd payment",S173&lt;&gt;"","2nd payment",O173&lt;&gt;"","1st payment",O173="","Pending 1st Payment")</f>
        <v>2nd payment</v>
      </c>
      <c r="J173" s="55">
        <f t="shared" si="4"/>
        <v>269900</v>
      </c>
      <c r="K173" s="55">
        <f t="shared" si="5"/>
        <v>121455</v>
      </c>
      <c r="L173" s="65">
        <v>45750</v>
      </c>
      <c r="M173" s="66">
        <v>26990</v>
      </c>
      <c r="N173" s="65">
        <v>45827</v>
      </c>
      <c r="O173" s="66">
        <v>26990</v>
      </c>
      <c r="P173" s="39">
        <v>45875</v>
      </c>
      <c r="Q173" s="57">
        <v>94465</v>
      </c>
      <c r="R173" s="39">
        <v>45883</v>
      </c>
      <c r="S173" s="57">
        <v>94465</v>
      </c>
      <c r="T173" s="65">
        <v>45964</v>
      </c>
      <c r="U173" s="66">
        <v>148445</v>
      </c>
      <c r="V173" s="65"/>
      <c r="W173" s="66"/>
      <c r="X173" s="39"/>
      <c r="Y173" s="57"/>
      <c r="Z173" s="39"/>
      <c r="AA173" s="57"/>
      <c r="AB173" s="65"/>
      <c r="AC173" s="66"/>
      <c r="AD173" s="65"/>
      <c r="AE173" s="66"/>
      <c r="AF173" s="39"/>
      <c r="AG173" s="57"/>
      <c r="AH173" s="39"/>
      <c r="AI173" s="57"/>
    </row>
    <row r="174" spans="1:35" ht="19.5" customHeight="1" x14ac:dyDescent="0.3">
      <c r="A174" s="4">
        <f>'ECN Master Project Tracker new'!A175</f>
        <v>2408179</v>
      </c>
      <c r="B174" s="110" t="str">
        <f>VLOOKUP(A:A,Table1[[Project No]:[Additional Remark]],2,FALSE)</f>
        <v>Pelita Hijrah Sdn Bhd</v>
      </c>
      <c r="C174" s="55">
        <f>VLOOKUP(A:A,Table1[[Project No]:[Additional Remark]],11,FALSE)</f>
        <v>320000</v>
      </c>
      <c r="D174" s="55">
        <f>VLOOKUP(A:A,Table1[[Project No]:[Additional Remark]],12,FALSE)</f>
        <v>0</v>
      </c>
      <c r="E174" s="55" t="str">
        <f>VLOOKUP(A:A,Table1[[Project No]:[Additional Remark]],4,FALSE)</f>
        <v>Tham</v>
      </c>
      <c r="F174" s="4" t="str">
        <f>VLOOKUP(A:A,Table1[[Project No]:[Additional Remark]],5,FALSE)</f>
        <v>C&amp;I-PV</v>
      </c>
      <c r="G174" s="4" t="str">
        <f>VLOOKUP(A:A,Table1[[Project No]:[Additional Remark]],13,FALSE)</f>
        <v>Cash</v>
      </c>
      <c r="H174" s="4" t="str" cm="1">
        <f t="array" ref="H174">_xlfn.IFS((D174+C174)-J174=0,"Invoice Completed",AC174&lt;&gt;"","5th invoice",Y174&lt;&gt;"","4th invoice",U174&lt;&gt;"","3rd invoice",Q174&lt;&gt;"","2nd invoice",M174&lt;&gt;"","1st invoice",M174="","Pending 1st Invoice")</f>
        <v>Invoice Completed</v>
      </c>
      <c r="I174" s="4" t="str" cm="1">
        <f t="array" ref="I174">_xlfn.IFS((C174+D174)-K174=0,"Payment Completed",AE174&lt;&gt;"","5th payment",AA174&lt;&gt;"","4th payment",W174&lt;&gt;"","3rd payment",S174&lt;&gt;"","2nd payment",O174&lt;&gt;"","1st payment",O174="","Pending 1st Payment")</f>
        <v>Payment Completed</v>
      </c>
      <c r="J174" s="55">
        <f t="shared" si="4"/>
        <v>320000</v>
      </c>
      <c r="K174" s="55">
        <f t="shared" si="5"/>
        <v>320000</v>
      </c>
      <c r="L174" s="65">
        <v>45596</v>
      </c>
      <c r="M174" s="66">
        <v>32000</v>
      </c>
      <c r="N174" s="65">
        <v>45596</v>
      </c>
      <c r="O174" s="66">
        <v>32000</v>
      </c>
      <c r="P174" s="64">
        <v>45642</v>
      </c>
      <c r="Q174" s="59">
        <v>112000</v>
      </c>
      <c r="R174" s="64">
        <v>45664</v>
      </c>
      <c r="S174" s="59">
        <v>112000</v>
      </c>
      <c r="T174" s="65">
        <v>45681</v>
      </c>
      <c r="U174" s="66">
        <v>80000</v>
      </c>
      <c r="V174" s="65">
        <v>45693</v>
      </c>
      <c r="W174" s="66">
        <v>80000</v>
      </c>
      <c r="X174" s="39">
        <v>45776</v>
      </c>
      <c r="Y174" s="57">
        <v>96000</v>
      </c>
      <c r="Z174" s="39">
        <v>45959</v>
      </c>
      <c r="AA174" s="57">
        <v>96000</v>
      </c>
      <c r="AB174" s="65"/>
      <c r="AC174" s="66"/>
      <c r="AD174" s="65"/>
      <c r="AE174" s="66"/>
      <c r="AF174" s="39"/>
      <c r="AG174" s="57"/>
      <c r="AH174" s="39"/>
      <c r="AI174" s="57"/>
    </row>
    <row r="175" spans="1:35" ht="19.5" customHeight="1" x14ac:dyDescent="0.3">
      <c r="A175" s="4">
        <f>'ECN Master Project Tracker new'!A176</f>
        <v>2409185</v>
      </c>
      <c r="B175" s="110" t="str">
        <f>VLOOKUP(A:A,Table1[[Project No]:[Additional Remark]],2,FALSE)</f>
        <v>Kim Chong Mechanical Services Sdn Bhd</v>
      </c>
      <c r="C175" s="55">
        <f>VLOOKUP(A:A,Table1[[Project No]:[Additional Remark]],11,FALSE)</f>
        <v>73000</v>
      </c>
      <c r="D175" s="55">
        <f>VLOOKUP(A:A,Table1[[Project No]:[Additional Remark]],12,FALSE)</f>
        <v>0</v>
      </c>
      <c r="E175" s="55" t="str">
        <f>VLOOKUP(A:A,Table1[[Project No]:[Additional Remark]],4,FALSE)</f>
        <v>Tham</v>
      </c>
      <c r="F175" s="4" t="str">
        <f>VLOOKUP(A:A,Table1[[Project No]:[Additional Remark]],5,FALSE)</f>
        <v>C&amp;I-PV</v>
      </c>
      <c r="G175" s="4" t="str">
        <f>VLOOKUP(A:A,Table1[[Project No]:[Additional Remark]],13,FALSE)</f>
        <v>Cash</v>
      </c>
      <c r="H175" s="4" t="str" cm="1">
        <f t="array" ref="H175">_xlfn.IFS((D175+C175)-J175=0,"Invoice Completed",AC175&lt;&gt;"","5th invoice",Y175&lt;&gt;"","4th invoice",U175&lt;&gt;"","3rd invoice",Q175&lt;&gt;"","2nd invoice",M175&lt;&gt;"","1st invoice",M175="","Pending 1st Invoice")</f>
        <v>Invoice Completed</v>
      </c>
      <c r="I175" s="4" t="str" cm="1">
        <f t="array" ref="I175">_xlfn.IFS((C175+D175)-K175=0,"Payment Completed",AE175&lt;&gt;"","5th payment",AA175&lt;&gt;"","4th payment",W175&lt;&gt;"","3rd payment",S175&lt;&gt;"","2nd payment",O175&lt;&gt;"","1st payment",O175="","Pending 1st Payment")</f>
        <v>Payment Completed</v>
      </c>
      <c r="J175" s="55">
        <f t="shared" si="4"/>
        <v>73000</v>
      </c>
      <c r="K175" s="55">
        <f t="shared" si="5"/>
        <v>73000</v>
      </c>
      <c r="L175" s="65">
        <v>45569</v>
      </c>
      <c r="M175" s="66">
        <v>7300</v>
      </c>
      <c r="N175" s="65">
        <v>45569</v>
      </c>
      <c r="O175" s="66">
        <v>7300</v>
      </c>
      <c r="P175" s="39">
        <v>45621</v>
      </c>
      <c r="Q175" s="57">
        <v>25550</v>
      </c>
      <c r="R175" s="39">
        <v>45622</v>
      </c>
      <c r="S175" s="57">
        <v>25550</v>
      </c>
      <c r="T175" s="65">
        <v>45681</v>
      </c>
      <c r="U175" s="66">
        <v>40150</v>
      </c>
      <c r="V175" s="65">
        <v>45692</v>
      </c>
      <c r="W175" s="66">
        <v>40150</v>
      </c>
      <c r="X175" s="39"/>
      <c r="Y175" s="57"/>
      <c r="Z175" s="39"/>
      <c r="AA175" s="57"/>
      <c r="AB175" s="65"/>
      <c r="AC175" s="66"/>
      <c r="AD175" s="65"/>
      <c r="AE175" s="66"/>
      <c r="AF175" s="39"/>
      <c r="AG175" s="57"/>
      <c r="AH175" s="39"/>
      <c r="AI175" s="57"/>
    </row>
    <row r="176" spans="1:35" ht="19.5" customHeight="1" x14ac:dyDescent="0.3">
      <c r="A176" s="4">
        <f>'ECN Master Project Tracker new'!A177</f>
        <v>2410196</v>
      </c>
      <c r="B176" s="110" t="str">
        <f>VLOOKUP(A:A,Table1[[Project No]:[Additional Remark]],2,FALSE)</f>
        <v>Unilink Machinery Sdn Bhd</v>
      </c>
      <c r="C176" s="55">
        <f>VLOOKUP(A:A,Table1[[Project No]:[Additional Remark]],11,FALSE)</f>
        <v>73000</v>
      </c>
      <c r="D176" s="55">
        <f>VLOOKUP(A:A,Table1[[Project No]:[Additional Remark]],12,FALSE)</f>
        <v>0</v>
      </c>
      <c r="E176" s="55" t="str">
        <f>VLOOKUP(A:A,Table1[[Project No]:[Additional Remark]],4,FALSE)</f>
        <v>Tham</v>
      </c>
      <c r="F176" s="4" t="str">
        <f>VLOOKUP(A:A,Table1[[Project No]:[Additional Remark]],5,FALSE)</f>
        <v>C&amp;I-PV</v>
      </c>
      <c r="G176" s="4" t="str">
        <f>VLOOKUP(A:A,Table1[[Project No]:[Additional Remark]],13,FALSE)</f>
        <v>Cash</v>
      </c>
      <c r="H176" s="4" t="str" cm="1">
        <f t="array" ref="H176">_xlfn.IFS((D176+C176)-J176=0,"Invoice Completed",AC176&lt;&gt;"","5th invoice",Y176&lt;&gt;"","4th invoice",U176&lt;&gt;"","3rd invoice",Q176&lt;&gt;"","2nd invoice",M176&lt;&gt;"","1st invoice",M176="","Pending 1st Invoice")</f>
        <v>Invoice Completed</v>
      </c>
      <c r="I176" s="4" t="str" cm="1">
        <f t="array" ref="I176">_xlfn.IFS((C176+D176)-K176=0,"Payment Completed",AE176&lt;&gt;"","5th payment",AA176&lt;&gt;"","4th payment",W176&lt;&gt;"","3rd payment",S176&lt;&gt;"","2nd payment",O176&lt;&gt;"","1st payment",O176="","Pending 1st Payment")</f>
        <v>Payment Completed</v>
      </c>
      <c r="J176" s="55">
        <f t="shared" si="4"/>
        <v>73000</v>
      </c>
      <c r="K176" s="55">
        <f t="shared" si="5"/>
        <v>73000</v>
      </c>
      <c r="L176" s="65">
        <v>45598</v>
      </c>
      <c r="M176" s="66">
        <v>7300</v>
      </c>
      <c r="N176" s="65">
        <v>45598</v>
      </c>
      <c r="O176" s="66">
        <v>7300</v>
      </c>
      <c r="P176" s="39">
        <v>45750</v>
      </c>
      <c r="Q176" s="57">
        <v>65700</v>
      </c>
      <c r="R176" s="39">
        <v>45754</v>
      </c>
      <c r="S176" s="57">
        <v>65700</v>
      </c>
      <c r="T176" s="65"/>
      <c r="U176" s="66"/>
      <c r="V176" s="65"/>
      <c r="W176" s="66"/>
      <c r="X176" s="39"/>
      <c r="Y176" s="57"/>
      <c r="Z176" s="39"/>
      <c r="AA176" s="57"/>
      <c r="AB176" s="65"/>
      <c r="AC176" s="66"/>
      <c r="AD176" s="65"/>
      <c r="AE176" s="66"/>
      <c r="AF176" s="39"/>
      <c r="AG176" s="57"/>
      <c r="AH176" s="39"/>
      <c r="AI176" s="57"/>
    </row>
    <row r="177" spans="1:35" ht="19.5" customHeight="1" x14ac:dyDescent="0.3">
      <c r="A177" s="4">
        <f>'ECN Master Project Tracker new'!A178</f>
        <v>2410474</v>
      </c>
      <c r="B177" s="110" t="str">
        <f>VLOOKUP(A:A,Table1[[Project No]:[Additional Remark]],2,FALSE)</f>
        <v>Koe Ban Seng</v>
      </c>
      <c r="C177" s="55">
        <f>VLOOKUP(A:A,Table1[[Project No]:[Additional Remark]],11,FALSE)</f>
        <v>37600</v>
      </c>
      <c r="D177" s="55">
        <f>VLOOKUP(A:A,Table1[[Project No]:[Additional Remark]],12,FALSE)</f>
        <v>0</v>
      </c>
      <c r="E177" s="55" t="str">
        <f>VLOOKUP(A:A,Table1[[Project No]:[Additional Remark]],4,FALSE)</f>
        <v>Tham</v>
      </c>
      <c r="F177" s="4" t="str">
        <f>VLOOKUP(A:A,Table1[[Project No]:[Additional Remark]],5,FALSE)</f>
        <v>R-PV</v>
      </c>
      <c r="G177" s="4" t="str">
        <f>VLOOKUP(A:A,Table1[[Project No]:[Additional Remark]],13,FALSE)</f>
        <v>Cash</v>
      </c>
      <c r="H177" s="4" t="str" cm="1">
        <f t="array" ref="H177">_xlfn.IFS((D177+C177)-J177=0,"Invoice Completed",AC177&lt;&gt;"","5th invoice",Y177&lt;&gt;"","4th invoice",U177&lt;&gt;"","3rd invoice",Q177&lt;&gt;"","2nd invoice",M177&lt;&gt;"","1st invoice",M177="","Pending 1st Invoice")</f>
        <v>Invoice Completed</v>
      </c>
      <c r="I177" s="4" t="str" cm="1">
        <f t="array" ref="I177">_xlfn.IFS((C177+D177)-K177=0,"Payment Completed",AE177&lt;&gt;"","5th payment",AA177&lt;&gt;"","4th payment",W177&lt;&gt;"","3rd payment",S177&lt;&gt;"","2nd payment",O177&lt;&gt;"","1st payment",O177="","Pending 1st Payment")</f>
        <v>Payment Completed</v>
      </c>
      <c r="J177" s="55">
        <f t="shared" si="4"/>
        <v>37600</v>
      </c>
      <c r="K177" s="55">
        <f t="shared" si="5"/>
        <v>37600</v>
      </c>
      <c r="L177" s="65">
        <v>45597</v>
      </c>
      <c r="M177" s="66">
        <v>500</v>
      </c>
      <c r="N177" s="65">
        <v>45597</v>
      </c>
      <c r="O177" s="66">
        <v>500</v>
      </c>
      <c r="P177" s="39">
        <v>45632</v>
      </c>
      <c r="Q177" s="59">
        <v>35100</v>
      </c>
      <c r="R177" s="39">
        <v>45644</v>
      </c>
      <c r="S177" s="59">
        <v>35100</v>
      </c>
      <c r="T177" s="65">
        <v>45720</v>
      </c>
      <c r="U177" s="66">
        <v>2000</v>
      </c>
      <c r="V177" s="65">
        <v>45720</v>
      </c>
      <c r="W177" s="66">
        <v>2000</v>
      </c>
      <c r="X177" s="39"/>
      <c r="Y177" s="57"/>
      <c r="Z177" s="39"/>
      <c r="AA177" s="57"/>
      <c r="AB177" s="65"/>
      <c r="AC177" s="66"/>
      <c r="AD177" s="65"/>
      <c r="AE177" s="66"/>
      <c r="AF177" s="39"/>
      <c r="AG177" s="57"/>
      <c r="AH177" s="39"/>
      <c r="AI177" s="57"/>
    </row>
    <row r="178" spans="1:35" ht="19.5" customHeight="1" x14ac:dyDescent="0.3">
      <c r="A178" s="4">
        <f>'ECN Master Project Tracker new'!A179</f>
        <v>2410468</v>
      </c>
      <c r="B178" s="110" t="str">
        <f>VLOOKUP(A:A,Table1[[Project No]:[Additional Remark]],2,FALSE)</f>
        <v>Teo Boon Ling</v>
      </c>
      <c r="C178" s="55">
        <f>VLOOKUP(A:A,Table1[[Project No]:[Additional Remark]],11,FALSE)</f>
        <v>36600</v>
      </c>
      <c r="D178" s="55">
        <f>VLOOKUP(A:A,Table1[[Project No]:[Additional Remark]],12,FALSE)</f>
        <v>0</v>
      </c>
      <c r="E178" s="55" t="str">
        <f>VLOOKUP(A:A,Table1[[Project No]:[Additional Remark]],4,FALSE)</f>
        <v>Tham</v>
      </c>
      <c r="F178" s="4" t="str">
        <f>VLOOKUP(A:A,Table1[[Project No]:[Additional Remark]],5,FALSE)</f>
        <v>R-PV</v>
      </c>
      <c r="G178" s="4" t="str">
        <f>VLOOKUP(A:A,Table1[[Project No]:[Additional Remark]],13,FALSE)</f>
        <v>Cash</v>
      </c>
      <c r="H178" s="4" t="str" cm="1">
        <f t="array" ref="H178">_xlfn.IFS((D178+C178)-J178=0,"Invoice Completed",AC178&lt;&gt;"","5th invoice",Y178&lt;&gt;"","4th invoice",U178&lt;&gt;"","3rd invoice",Q178&lt;&gt;"","2nd invoice",M178&lt;&gt;"","1st invoice",M178="","Pending 1st Invoice")</f>
        <v>Invoice Completed</v>
      </c>
      <c r="I178" s="4" t="str" cm="1">
        <f t="array" ref="I178">_xlfn.IFS((C178+D178)-K178=0,"Payment Completed",AE178&lt;&gt;"","5th payment",AA178&lt;&gt;"","4th payment",W178&lt;&gt;"","3rd payment",S178&lt;&gt;"","2nd payment",O178&lt;&gt;"","1st payment",O178="","Pending 1st Payment")</f>
        <v>Payment Completed</v>
      </c>
      <c r="J178" s="55">
        <f t="shared" si="4"/>
        <v>36600</v>
      </c>
      <c r="K178" s="55">
        <f t="shared" si="5"/>
        <v>36600</v>
      </c>
      <c r="L178" s="65">
        <v>45590</v>
      </c>
      <c r="M178" s="66">
        <v>500</v>
      </c>
      <c r="N178" s="65">
        <v>45590</v>
      </c>
      <c r="O178" s="66">
        <v>500</v>
      </c>
      <c r="P178" s="39">
        <v>45775</v>
      </c>
      <c r="Q178" s="57">
        <v>34100</v>
      </c>
      <c r="R178" s="39">
        <v>45839</v>
      </c>
      <c r="S178" s="57">
        <v>34100</v>
      </c>
      <c r="T178" s="65">
        <v>45911</v>
      </c>
      <c r="U178" s="66">
        <v>2000</v>
      </c>
      <c r="V178" s="65">
        <v>45911</v>
      </c>
      <c r="W178" s="66">
        <v>2000</v>
      </c>
      <c r="X178" s="39"/>
      <c r="Y178" s="57"/>
      <c r="Z178" s="39"/>
      <c r="AA178" s="57"/>
      <c r="AB178" s="65"/>
      <c r="AC178" s="66"/>
      <c r="AD178" s="65"/>
      <c r="AE178" s="66"/>
      <c r="AF178" s="39"/>
      <c r="AG178" s="57"/>
      <c r="AH178" s="39"/>
      <c r="AI178" s="57"/>
    </row>
    <row r="179" spans="1:35" ht="19.5" customHeight="1" x14ac:dyDescent="0.3">
      <c r="A179" s="4">
        <f>'ECN Master Project Tracker new'!A180</f>
        <v>2409450</v>
      </c>
      <c r="B179" s="110" t="str">
        <f>VLOOKUP(A:A,Table1[[Project No]:[Additional Remark]],2,FALSE)</f>
        <v>David Hie Wen Jian</v>
      </c>
      <c r="C179" s="55">
        <f>VLOOKUP(A:A,Table1[[Project No]:[Additional Remark]],11,FALSE)</f>
        <v>23500</v>
      </c>
      <c r="D179" s="55">
        <f>VLOOKUP(A:A,Table1[[Project No]:[Additional Remark]],12,FALSE)</f>
        <v>0</v>
      </c>
      <c r="E179" s="55" t="str">
        <f>VLOOKUP(A:A,Table1[[Project No]:[Additional Remark]],4,FALSE)</f>
        <v>Tham</v>
      </c>
      <c r="F179" s="4" t="str">
        <f>VLOOKUP(A:A,Table1[[Project No]:[Additional Remark]],5,FALSE)</f>
        <v>R-PV</v>
      </c>
      <c r="G179" s="4" t="str">
        <f>VLOOKUP(A:A,Table1[[Project No]:[Additional Remark]],13,FALSE)</f>
        <v>Cash</v>
      </c>
      <c r="H179" s="4" t="str" cm="1">
        <f t="array" ref="H179">_xlfn.IFS((D179+C179)-J179=0,"Invoice Completed",AC179&lt;&gt;"","5th invoice",Y179&lt;&gt;"","4th invoice",U179&lt;&gt;"","3rd invoice",Q179&lt;&gt;"","2nd invoice",M179&lt;&gt;"","1st invoice",M179="","Pending 1st Invoice")</f>
        <v>Invoice Completed</v>
      </c>
      <c r="I179" s="4" t="str" cm="1">
        <f t="array" ref="I179">_xlfn.IFS((C179+D179)-K179=0,"Payment Completed",AE179&lt;&gt;"","5th payment",AA179&lt;&gt;"","4th payment",W179&lt;&gt;"","3rd payment",S179&lt;&gt;"","2nd payment",O179&lt;&gt;"","1st payment",O179="","Pending 1st Payment")</f>
        <v>Payment Completed</v>
      </c>
      <c r="J179" s="55">
        <f t="shared" si="4"/>
        <v>23500</v>
      </c>
      <c r="K179" s="55">
        <f t="shared" si="5"/>
        <v>23500</v>
      </c>
      <c r="L179" s="65">
        <v>45590</v>
      </c>
      <c r="M179" s="66">
        <v>500</v>
      </c>
      <c r="N179" s="65">
        <v>45590</v>
      </c>
      <c r="O179" s="66">
        <v>500</v>
      </c>
      <c r="P179" s="39">
        <v>45644</v>
      </c>
      <c r="Q179" s="57">
        <v>21000</v>
      </c>
      <c r="R179" s="39">
        <v>45644</v>
      </c>
      <c r="S179" s="57">
        <v>21000</v>
      </c>
      <c r="T179" s="65">
        <v>45751</v>
      </c>
      <c r="U179" s="66">
        <v>2000</v>
      </c>
      <c r="V179" s="65">
        <v>45757</v>
      </c>
      <c r="W179" s="66">
        <v>2000</v>
      </c>
      <c r="X179" s="39"/>
      <c r="Y179" s="57"/>
      <c r="Z179" s="39"/>
      <c r="AA179" s="57"/>
      <c r="AB179" s="65"/>
      <c r="AC179" s="66"/>
      <c r="AD179" s="65"/>
      <c r="AE179" s="66"/>
      <c r="AF179" s="39"/>
      <c r="AG179" s="57"/>
      <c r="AH179" s="39"/>
      <c r="AI179" s="57"/>
    </row>
    <row r="180" spans="1:35" ht="19.5" customHeight="1" x14ac:dyDescent="0.3">
      <c r="A180" s="4">
        <f>'ECN Master Project Tracker new'!A181</f>
        <v>2411488</v>
      </c>
      <c r="B180" s="110" t="str">
        <f>VLOOKUP(A:A,Table1[[Project No]:[Additional Remark]],2,FALSE)</f>
        <v>Tan Kong Ling</v>
      </c>
      <c r="C180" s="55">
        <f>VLOOKUP(A:A,Table1[[Project No]:[Additional Remark]],11,FALSE)</f>
        <v>32000</v>
      </c>
      <c r="D180" s="55">
        <f>VLOOKUP(A:A,Table1[[Project No]:[Additional Remark]],12,FALSE)</f>
        <v>0</v>
      </c>
      <c r="E180" s="55" t="str">
        <f>VLOOKUP(A:A,Table1[[Project No]:[Additional Remark]],4,FALSE)</f>
        <v>Chean Bang</v>
      </c>
      <c r="F180" s="4" t="str">
        <f>VLOOKUP(A:A,Table1[[Project No]:[Additional Remark]],5,FALSE)</f>
        <v>R-PV</v>
      </c>
      <c r="G180" s="4" t="str">
        <f>VLOOKUP(A:A,Table1[[Project No]:[Additional Remark]],13,FALSE)</f>
        <v>Cash</v>
      </c>
      <c r="H180" s="4" t="str" cm="1">
        <f t="array" ref="H180">_xlfn.IFS((D180+C180)-J180=0,"Invoice Completed",AC180&lt;&gt;"","5th invoice",Y180&lt;&gt;"","4th invoice",U180&lt;&gt;"","3rd invoice",Q180&lt;&gt;"","2nd invoice",M180&lt;&gt;"","1st invoice",M180="","Pending 1st Invoice")</f>
        <v>Invoice Completed</v>
      </c>
      <c r="I180" s="4" t="str" cm="1">
        <f t="array" ref="I180">_xlfn.IFS((C180+D180)-K180=0,"Payment Completed",AE180&lt;&gt;"","5th payment",AA180&lt;&gt;"","4th payment",W180&lt;&gt;"","3rd payment",S180&lt;&gt;"","2nd payment",O180&lt;&gt;"","1st payment",O180="","Pending 1st Payment")</f>
        <v>Payment Completed</v>
      </c>
      <c r="J180" s="55">
        <f t="shared" si="4"/>
        <v>32000</v>
      </c>
      <c r="K180" s="55">
        <f t="shared" si="5"/>
        <v>32000</v>
      </c>
      <c r="L180" s="65">
        <v>45598</v>
      </c>
      <c r="M180" s="66">
        <v>500</v>
      </c>
      <c r="N180" s="65">
        <v>45598</v>
      </c>
      <c r="O180" s="66">
        <v>500</v>
      </c>
      <c r="P180" s="39">
        <v>45643</v>
      </c>
      <c r="Q180" s="57">
        <v>29500</v>
      </c>
      <c r="R180" s="39">
        <v>45643</v>
      </c>
      <c r="S180" s="57">
        <v>29500</v>
      </c>
      <c r="T180" s="65">
        <v>45810</v>
      </c>
      <c r="U180" s="66">
        <v>2000</v>
      </c>
      <c r="V180" s="65">
        <v>45810</v>
      </c>
      <c r="W180" s="66">
        <v>2000</v>
      </c>
      <c r="X180" s="39"/>
      <c r="Y180" s="57"/>
      <c r="Z180" s="39"/>
      <c r="AA180" s="57"/>
      <c r="AB180" s="65"/>
      <c r="AC180" s="66"/>
      <c r="AD180" s="65"/>
      <c r="AE180" s="66"/>
      <c r="AF180" s="39"/>
      <c r="AG180" s="57"/>
      <c r="AH180" s="39"/>
      <c r="AI180" s="57"/>
    </row>
    <row r="181" spans="1:35" ht="19.5" customHeight="1" x14ac:dyDescent="0.3">
      <c r="A181" s="4">
        <f>'ECN Master Project Tracker new'!A182</f>
        <v>2411487</v>
      </c>
      <c r="B181" s="110" t="str">
        <f>VLOOKUP(A:A,Table1[[Project No]:[Additional Remark]],2,FALSE)</f>
        <v>Lim Daw Woei</v>
      </c>
      <c r="C181" s="55">
        <f>VLOOKUP(A:A,Table1[[Project No]:[Additional Remark]],11,FALSE)</f>
        <v>42200</v>
      </c>
      <c r="D181" s="55">
        <f>VLOOKUP(A:A,Table1[[Project No]:[Additional Remark]],12,FALSE)</f>
        <v>0</v>
      </c>
      <c r="E181" s="55" t="str">
        <f>VLOOKUP(A:A,Table1[[Project No]:[Additional Remark]],4,FALSE)</f>
        <v>Tham</v>
      </c>
      <c r="F181" s="4" t="str">
        <f>VLOOKUP(A:A,Table1[[Project No]:[Additional Remark]],5,FALSE)</f>
        <v>R-PV</v>
      </c>
      <c r="G181" s="4" t="str">
        <f>VLOOKUP(A:A,Table1[[Project No]:[Additional Remark]],13,FALSE)</f>
        <v>Cash</v>
      </c>
      <c r="H181" s="4" t="str" cm="1">
        <f t="array" ref="H181">_xlfn.IFS((D181+C181)-J181=0,"Invoice Completed",AC181&lt;&gt;"","5th invoice",Y181&lt;&gt;"","4th invoice",U181&lt;&gt;"","3rd invoice",Q181&lt;&gt;"","2nd invoice",M181&lt;&gt;"","1st invoice",M181="","Pending 1st Invoice")</f>
        <v>Invoice Completed</v>
      </c>
      <c r="I181" s="4" t="str" cm="1">
        <f t="array" ref="I181">_xlfn.IFS((C181+D181)-K181=0,"Payment Completed",AE181&lt;&gt;"","5th payment",AA181&lt;&gt;"","4th payment",W181&lt;&gt;"","3rd payment",S181&lt;&gt;"","2nd payment",O181&lt;&gt;"","1st payment",O181="","Pending 1st Payment")</f>
        <v>Payment Completed</v>
      </c>
      <c r="J181" s="55">
        <f t="shared" si="4"/>
        <v>42200</v>
      </c>
      <c r="K181" s="55">
        <f t="shared" si="5"/>
        <v>42200</v>
      </c>
      <c r="L181" s="65">
        <v>45601</v>
      </c>
      <c r="M181" s="66">
        <v>500</v>
      </c>
      <c r="N181" s="65">
        <v>45601</v>
      </c>
      <c r="O181" s="66">
        <v>500</v>
      </c>
      <c r="P181" s="39">
        <v>45675</v>
      </c>
      <c r="Q181" s="57">
        <v>41700</v>
      </c>
      <c r="R181" s="39">
        <v>45675</v>
      </c>
      <c r="S181" s="57">
        <v>41700</v>
      </c>
      <c r="T181" s="65"/>
      <c r="U181" s="66"/>
      <c r="V181" s="65"/>
      <c r="W181" s="66"/>
      <c r="X181" s="39"/>
      <c r="Y181" s="57"/>
      <c r="Z181" s="39"/>
      <c r="AA181" s="57"/>
      <c r="AB181" s="65"/>
      <c r="AC181" s="66"/>
      <c r="AD181" s="65"/>
      <c r="AE181" s="66"/>
      <c r="AF181" s="39"/>
      <c r="AG181" s="57"/>
      <c r="AH181" s="39"/>
      <c r="AI181" s="57"/>
    </row>
    <row r="182" spans="1:35" ht="19.5" customHeight="1" x14ac:dyDescent="0.3">
      <c r="A182" s="4">
        <f>'ECN Master Project Tracker new'!A183</f>
        <v>2410476</v>
      </c>
      <c r="B182" s="110" t="str">
        <f>VLOOKUP(A:A,Table1[[Project No]:[Additional Remark]],2,FALSE)</f>
        <v>Choong Chin Fong</v>
      </c>
      <c r="C182" s="55">
        <f>VLOOKUP(A:A,Table1[[Project No]:[Additional Remark]],11,FALSE)</f>
        <v>23500</v>
      </c>
      <c r="D182" s="55">
        <f>VLOOKUP(A:A,Table1[[Project No]:[Additional Remark]],12,FALSE)</f>
        <v>0</v>
      </c>
      <c r="E182" s="55" t="str">
        <f>VLOOKUP(A:A,Table1[[Project No]:[Additional Remark]],4,FALSE)</f>
        <v>Tham</v>
      </c>
      <c r="F182" s="4" t="str">
        <f>VLOOKUP(A:A,Table1[[Project No]:[Additional Remark]],5,FALSE)</f>
        <v>R-PV</v>
      </c>
      <c r="G182" s="4" t="str">
        <f>VLOOKUP(A:A,Table1[[Project No]:[Additional Remark]],13,FALSE)</f>
        <v>Cash</v>
      </c>
      <c r="H182" s="4" t="str" cm="1">
        <f t="array" ref="H182">_xlfn.IFS((D182+C182)-J182=0,"Invoice Completed",AC182&lt;&gt;"","5th invoice",Y182&lt;&gt;"","4th invoice",U182&lt;&gt;"","3rd invoice",Q182&lt;&gt;"","2nd invoice",M182&lt;&gt;"","1st invoice",M182="","Pending 1st Invoice")</f>
        <v>Invoice Completed</v>
      </c>
      <c r="I182" s="4" t="str" cm="1">
        <f t="array" ref="I182">_xlfn.IFS((C182+D182)-K182=0,"Payment Completed",AE182&lt;&gt;"","5th payment",AA182&lt;&gt;"","4th payment",W182&lt;&gt;"","3rd payment",S182&lt;&gt;"","2nd payment",O182&lt;&gt;"","1st payment",O182="","Pending 1st Payment")</f>
        <v>Payment Completed</v>
      </c>
      <c r="J182" s="55">
        <f t="shared" si="4"/>
        <v>23500</v>
      </c>
      <c r="K182" s="55">
        <f t="shared" si="5"/>
        <v>23500</v>
      </c>
      <c r="L182" s="65">
        <v>45599</v>
      </c>
      <c r="M182" s="66">
        <v>500</v>
      </c>
      <c r="N182" s="65">
        <v>45599</v>
      </c>
      <c r="O182" s="66">
        <v>500</v>
      </c>
      <c r="P182" s="39">
        <v>45660</v>
      </c>
      <c r="Q182" s="59">
        <v>21000</v>
      </c>
      <c r="R182" s="39">
        <v>45662</v>
      </c>
      <c r="S182" s="59">
        <v>21000</v>
      </c>
      <c r="T182" s="65">
        <v>45751</v>
      </c>
      <c r="U182" s="66">
        <v>2000</v>
      </c>
      <c r="V182" s="65">
        <v>45866</v>
      </c>
      <c r="W182" s="66">
        <v>2000</v>
      </c>
      <c r="X182" s="39"/>
      <c r="Y182" s="57"/>
      <c r="Z182" s="39"/>
      <c r="AA182" s="57"/>
      <c r="AB182" s="65"/>
      <c r="AC182" s="66"/>
      <c r="AD182" s="65"/>
      <c r="AE182" s="66"/>
      <c r="AF182" s="39"/>
      <c r="AG182" s="57"/>
      <c r="AH182" s="39"/>
      <c r="AI182" s="57"/>
    </row>
    <row r="183" spans="1:35" ht="19.5" customHeight="1" x14ac:dyDescent="0.3">
      <c r="A183" s="4">
        <f>'ECN Master Project Tracker new'!A184</f>
        <v>2407376</v>
      </c>
      <c r="B183" s="110" t="str">
        <f>VLOOKUP(A:A,Table1[[Project No]:[Additional Remark]],2,FALSE)</f>
        <v>Teoh Eng Siong</v>
      </c>
      <c r="C183" s="55">
        <f>VLOOKUP(A:A,Table1[[Project No]:[Additional Remark]],11,FALSE)</f>
        <v>37768</v>
      </c>
      <c r="D183" s="55">
        <f>VLOOKUP(A:A,Table1[[Project No]:[Additional Remark]],12,FALSE)</f>
        <v>0</v>
      </c>
      <c r="E183" s="55" t="str">
        <f>VLOOKUP(A:A,Table1[[Project No]:[Additional Remark]],4,FALSE)</f>
        <v>Chean Bang</v>
      </c>
      <c r="F183" s="4" t="str">
        <f>VLOOKUP(A:A,Table1[[Project No]:[Additional Remark]],5,FALSE)</f>
        <v>R-PV</v>
      </c>
      <c r="G183" s="4" t="str">
        <f>VLOOKUP(A:A,Table1[[Project No]:[Additional Remark]],13,FALSE)</f>
        <v>Credit Card Instalment</v>
      </c>
      <c r="H183" s="4" t="str" cm="1">
        <f t="array" ref="H183">_xlfn.IFS((D183+C183)-J183=0,"Invoice Completed",AC183&lt;&gt;"","5th invoice",Y183&lt;&gt;"","4th invoice",U183&lt;&gt;"","3rd invoice",Q183&lt;&gt;"","2nd invoice",M183&lt;&gt;"","1st invoice",M183="","Pending 1st Invoice")</f>
        <v>Invoice Completed</v>
      </c>
      <c r="I183" s="4" t="str" cm="1">
        <f t="array" ref="I183">_xlfn.IFS((C183+D183)-K183=0,"Payment Completed",AE183&lt;&gt;"","5th payment",AA183&lt;&gt;"","4th payment",W183&lt;&gt;"","3rd payment",S183&lt;&gt;"","2nd payment",O183&lt;&gt;"","1st payment",O183="","Pending 1st Payment")</f>
        <v>2nd payment</v>
      </c>
      <c r="J183" s="55">
        <f t="shared" si="4"/>
        <v>37768</v>
      </c>
      <c r="K183" s="55">
        <f t="shared" si="5"/>
        <v>30400</v>
      </c>
      <c r="L183" s="65">
        <v>45490</v>
      </c>
      <c r="M183" s="69">
        <v>500</v>
      </c>
      <c r="N183" s="65">
        <v>45490</v>
      </c>
      <c r="O183" s="71">
        <v>400</v>
      </c>
      <c r="P183" s="39">
        <v>45536</v>
      </c>
      <c r="Q183" s="59">
        <v>37268</v>
      </c>
      <c r="R183" s="39">
        <v>45536</v>
      </c>
      <c r="S183" s="60">
        <v>30000</v>
      </c>
      <c r="T183" s="65"/>
      <c r="U183" s="66"/>
      <c r="V183" s="65"/>
      <c r="W183" s="66"/>
      <c r="X183" s="39"/>
      <c r="Y183" s="57"/>
      <c r="Z183" s="39"/>
      <c r="AA183" s="57"/>
      <c r="AB183" s="65"/>
      <c r="AC183" s="66"/>
      <c r="AD183" s="65"/>
      <c r="AE183" s="66"/>
      <c r="AF183" s="39"/>
      <c r="AG183" s="57"/>
      <c r="AH183" s="39"/>
      <c r="AI183" s="57"/>
    </row>
    <row r="184" spans="1:35" ht="19.5" customHeight="1" x14ac:dyDescent="0.3">
      <c r="A184" s="4">
        <f>'ECN Master Project Tracker new'!A185</f>
        <v>2410482</v>
      </c>
      <c r="B184" s="110" t="str">
        <f>VLOOKUP(A:A,Table1[[Project No]:[Additional Remark]],2,FALSE)</f>
        <v>Teo Thian Keong</v>
      </c>
      <c r="C184" s="55">
        <f>VLOOKUP(A:A,Table1[[Project No]:[Additional Remark]],11,FALSE)</f>
        <v>28500</v>
      </c>
      <c r="D184" s="55">
        <f>VLOOKUP(A:A,Table1[[Project No]:[Additional Remark]],12,FALSE)</f>
        <v>0</v>
      </c>
      <c r="E184" s="55" t="str">
        <f>VLOOKUP(A:A,Table1[[Project No]:[Additional Remark]],4,FALSE)</f>
        <v>Tham</v>
      </c>
      <c r="F184" s="4" t="str">
        <f>VLOOKUP(A:A,Table1[[Project No]:[Additional Remark]],5,FALSE)</f>
        <v>R-PV</v>
      </c>
      <c r="G184" s="4" t="str">
        <f>VLOOKUP(A:A,Table1[[Project No]:[Additional Remark]],13,FALSE)</f>
        <v>Cash</v>
      </c>
      <c r="H184" s="4" t="str" cm="1">
        <f t="array" ref="H184">_xlfn.IFS((D184+C184)-J184=0,"Invoice Completed",AC184&lt;&gt;"","5th invoice",Y184&lt;&gt;"","4th invoice",U184&lt;&gt;"","3rd invoice",Q184&lt;&gt;"","2nd invoice",M184&lt;&gt;"","1st invoice",M184="","Pending 1st Invoice")</f>
        <v>Invoice Completed</v>
      </c>
      <c r="I184" s="4" t="str" cm="1">
        <f t="array" ref="I184">_xlfn.IFS((C184+D184)-K184=0,"Payment Completed",AE184&lt;&gt;"","5th payment",AA184&lt;&gt;"","4th payment",W184&lt;&gt;"","3rd payment",S184&lt;&gt;"","2nd payment",O184&lt;&gt;"","1st payment",O184="","Pending 1st Payment")</f>
        <v>Payment Completed</v>
      </c>
      <c r="J184" s="55">
        <f t="shared" si="4"/>
        <v>28500</v>
      </c>
      <c r="K184" s="55">
        <f t="shared" si="5"/>
        <v>28500</v>
      </c>
      <c r="L184" s="65">
        <v>45596</v>
      </c>
      <c r="M184" s="66">
        <v>500</v>
      </c>
      <c r="N184" s="65">
        <v>45598</v>
      </c>
      <c r="O184" s="66">
        <v>500</v>
      </c>
      <c r="P184" s="39">
        <v>45694</v>
      </c>
      <c r="Q184" s="57">
        <v>28000</v>
      </c>
      <c r="R184" s="39">
        <v>45694</v>
      </c>
      <c r="S184" s="57">
        <v>28000</v>
      </c>
      <c r="T184" s="65"/>
      <c r="U184" s="66"/>
      <c r="V184" s="65"/>
      <c r="W184" s="66"/>
      <c r="X184" s="39"/>
      <c r="Y184" s="57"/>
      <c r="Z184" s="39"/>
      <c r="AA184" s="57"/>
      <c r="AB184" s="65"/>
      <c r="AC184" s="66"/>
      <c r="AD184" s="65"/>
      <c r="AE184" s="66"/>
      <c r="AF184" s="39"/>
      <c r="AG184" s="57"/>
      <c r="AH184" s="39"/>
      <c r="AI184" s="57"/>
    </row>
    <row r="185" spans="1:35" ht="19.5" customHeight="1" x14ac:dyDescent="0.3">
      <c r="A185" s="4">
        <f>'ECN Master Project Tracker new'!A186</f>
        <v>2410471</v>
      </c>
      <c r="B185" s="110" t="str">
        <f>VLOOKUP(A:A,Table1[[Project No]:[Additional Remark]],2,FALSE)</f>
        <v>Chua Lu Chuan</v>
      </c>
      <c r="C185" s="55">
        <f>VLOOKUP(A:A,Table1[[Project No]:[Additional Remark]],11,FALSE)</f>
        <v>47600</v>
      </c>
      <c r="D185" s="55">
        <f>VLOOKUP(A:A,Table1[[Project No]:[Additional Remark]],12,FALSE)</f>
        <v>0</v>
      </c>
      <c r="E185" s="55" t="str">
        <f>VLOOKUP(A:A,Table1[[Project No]:[Additional Remark]],4,FALSE)</f>
        <v>Chean Bang</v>
      </c>
      <c r="F185" s="4" t="str">
        <f>VLOOKUP(A:A,Table1[[Project No]:[Additional Remark]],5,FALSE)</f>
        <v>R-PV</v>
      </c>
      <c r="G185" s="4" t="str">
        <f>VLOOKUP(A:A,Table1[[Project No]:[Additional Remark]],13,FALSE)</f>
        <v>Cash</v>
      </c>
      <c r="H185" s="4" t="str" cm="1">
        <f t="array" ref="H185">_xlfn.IFS((D185+C185)-J185=0,"Invoice Completed",AC185&lt;&gt;"","5th invoice",Y185&lt;&gt;"","4th invoice",U185&lt;&gt;"","3rd invoice",Q185&lt;&gt;"","2nd invoice",M185&lt;&gt;"","1st invoice",M185="","Pending 1st Invoice")</f>
        <v>1st invoice</v>
      </c>
      <c r="I185" s="4" t="str" cm="1">
        <f t="array" ref="I185">_xlfn.IFS((C185+D185)-K185=0,"Payment Completed",AE185&lt;&gt;"","5th payment",AA185&lt;&gt;"","4th payment",W185&lt;&gt;"","3rd payment",S185&lt;&gt;"","2nd payment",O185&lt;&gt;"","1st payment",O185="","Pending 1st Payment")</f>
        <v>1st payment</v>
      </c>
      <c r="J185" s="55">
        <f t="shared" si="4"/>
        <v>500</v>
      </c>
      <c r="K185" s="55">
        <f t="shared" si="5"/>
        <v>500</v>
      </c>
      <c r="L185" s="65">
        <v>45576</v>
      </c>
      <c r="M185" s="66">
        <v>500</v>
      </c>
      <c r="N185" s="65">
        <v>45576</v>
      </c>
      <c r="O185" s="66">
        <v>500</v>
      </c>
      <c r="P185" s="39"/>
      <c r="Q185" s="57"/>
      <c r="R185" s="39"/>
      <c r="S185" s="57"/>
      <c r="T185" s="65"/>
      <c r="U185" s="66"/>
      <c r="V185" s="65"/>
      <c r="W185" s="66"/>
      <c r="X185" s="39"/>
      <c r="Y185" s="57"/>
      <c r="Z185" s="39"/>
      <c r="AA185" s="57"/>
      <c r="AB185" s="65"/>
      <c r="AC185" s="66"/>
      <c r="AD185" s="65"/>
      <c r="AE185" s="66"/>
      <c r="AF185" s="39"/>
      <c r="AG185" s="57"/>
      <c r="AH185" s="39"/>
      <c r="AI185" s="57"/>
    </row>
    <row r="186" spans="1:35" ht="19.5" customHeight="1" x14ac:dyDescent="0.3">
      <c r="A186" s="4">
        <f>'ECN Master Project Tracker new'!A187</f>
        <v>2411489</v>
      </c>
      <c r="B186" s="110" t="str">
        <f>VLOOKUP(A:A,Table1[[Project No]:[Additional Remark]],2,FALSE)</f>
        <v>Quah Ewe Lee</v>
      </c>
      <c r="C186" s="55">
        <f>VLOOKUP(A:A,Table1[[Project No]:[Additional Remark]],11,FALSE)</f>
        <v>39980</v>
      </c>
      <c r="D186" s="55">
        <f>VLOOKUP(A:A,Table1[[Project No]:[Additional Remark]],12,FALSE)</f>
        <v>0</v>
      </c>
      <c r="E186" s="55" t="str">
        <f>VLOOKUP(A:A,Table1[[Project No]:[Additional Remark]],4,FALSE)</f>
        <v>Tham</v>
      </c>
      <c r="F186" s="4" t="str">
        <f>VLOOKUP(A:A,Table1[[Project No]:[Additional Remark]],5,FALSE)</f>
        <v>R-PV</v>
      </c>
      <c r="G186" s="4">
        <f>VLOOKUP(A:A,Table1[[Project No]:[Additional Remark]],13,FALSE)</f>
        <v>0</v>
      </c>
      <c r="H186" s="4" t="str" cm="1">
        <f t="array" ref="H186">_xlfn.IFS((D186+C186)-J186=0,"Invoice Completed",AC186&lt;&gt;"","5th invoice",Y186&lt;&gt;"","4th invoice",U186&lt;&gt;"","3rd invoice",Q186&lt;&gt;"","2nd invoice",M186&lt;&gt;"","1st invoice",M186="","Pending 1st Invoice")</f>
        <v>Invoice Completed</v>
      </c>
      <c r="I186" s="4" t="str" cm="1">
        <f t="array" ref="I186">_xlfn.IFS((C186+D186)-K186=0,"Payment Completed",AE186&lt;&gt;"","5th payment",AA186&lt;&gt;"","4th payment",W186&lt;&gt;"","3rd payment",S186&lt;&gt;"","2nd payment",O186&lt;&gt;"","1st payment",O186="","Pending 1st Payment")</f>
        <v>Payment Completed</v>
      </c>
      <c r="J186" s="55">
        <f t="shared" si="4"/>
        <v>39980</v>
      </c>
      <c r="K186" s="55">
        <f t="shared" si="5"/>
        <v>39980</v>
      </c>
      <c r="L186" s="65">
        <v>45622</v>
      </c>
      <c r="M186" s="66">
        <v>500</v>
      </c>
      <c r="N186" s="65">
        <v>45622</v>
      </c>
      <c r="O186" s="66">
        <v>500</v>
      </c>
      <c r="P186" s="39">
        <v>45674</v>
      </c>
      <c r="Q186" s="57">
        <v>39480</v>
      </c>
      <c r="R186" s="39">
        <v>45674</v>
      </c>
      <c r="S186" s="57">
        <v>39480</v>
      </c>
      <c r="T186" s="65"/>
      <c r="U186" s="66"/>
      <c r="V186" s="65"/>
      <c r="W186" s="66"/>
      <c r="X186" s="39"/>
      <c r="Y186" s="57"/>
      <c r="Z186" s="39"/>
      <c r="AA186" s="57"/>
      <c r="AB186" s="65"/>
      <c r="AC186" s="66"/>
      <c r="AD186" s="65"/>
      <c r="AE186" s="66"/>
      <c r="AF186" s="39"/>
      <c r="AG186" s="57"/>
      <c r="AH186" s="39"/>
      <c r="AI186" s="57"/>
    </row>
    <row r="187" spans="1:35" ht="19.5" customHeight="1" x14ac:dyDescent="0.3">
      <c r="A187" s="4">
        <f>'ECN Master Project Tracker new'!A188</f>
        <v>2411486</v>
      </c>
      <c r="B187" s="110" t="str">
        <f>VLOOKUP(A:A,Table1[[Project No]:[Additional Remark]],2,FALSE)</f>
        <v>Lim Chee Keong</v>
      </c>
      <c r="C187" s="55">
        <f>VLOOKUP(A:A,Table1[[Project No]:[Additional Remark]],11,FALSE)</f>
        <v>36600</v>
      </c>
      <c r="D187" s="55">
        <f>VLOOKUP(A:A,Table1[[Project No]:[Additional Remark]],12,FALSE)</f>
        <v>0</v>
      </c>
      <c r="E187" s="55" t="str">
        <f>VLOOKUP(A:A,Table1[[Project No]:[Additional Remark]],4,FALSE)</f>
        <v>Tham</v>
      </c>
      <c r="F187" s="4" t="str">
        <f>VLOOKUP(A:A,Table1[[Project No]:[Additional Remark]],5,FALSE)</f>
        <v>R-PV</v>
      </c>
      <c r="G187" s="4" t="str">
        <f>VLOOKUP(A:A,Table1[[Project No]:[Additional Remark]],13,FALSE)</f>
        <v>Cash</v>
      </c>
      <c r="H187" s="4" t="str" cm="1">
        <f t="array" ref="H187">_xlfn.IFS((D187+C187)-J187=0,"Invoice Completed",AC187&lt;&gt;"","5th invoice",Y187&lt;&gt;"","4th invoice",U187&lt;&gt;"","3rd invoice",Q187&lt;&gt;"","2nd invoice",M187&lt;&gt;"","1st invoice",M187="","Pending 1st Invoice")</f>
        <v>Invoice Completed</v>
      </c>
      <c r="I187" s="4" t="str" cm="1">
        <f t="array" ref="I187">_xlfn.IFS((C187+D187)-K187=0,"Payment Completed",AE187&lt;&gt;"","5th payment",AA187&lt;&gt;"","4th payment",W187&lt;&gt;"","3rd payment",S187&lt;&gt;"","2nd payment",O187&lt;&gt;"","1st payment",O187="","Pending 1st Payment")</f>
        <v>Payment Completed</v>
      </c>
      <c r="J187" s="55">
        <f t="shared" si="4"/>
        <v>36600</v>
      </c>
      <c r="K187" s="55">
        <f t="shared" si="5"/>
        <v>36600</v>
      </c>
      <c r="L187" s="65">
        <v>45628</v>
      </c>
      <c r="M187" s="66">
        <v>500</v>
      </c>
      <c r="N187" s="65">
        <v>45628</v>
      </c>
      <c r="O187" s="66">
        <v>500</v>
      </c>
      <c r="P187" s="39">
        <v>45709</v>
      </c>
      <c r="Q187" s="57">
        <v>36100</v>
      </c>
      <c r="R187" s="39">
        <v>45709</v>
      </c>
      <c r="S187" s="57">
        <v>36100</v>
      </c>
      <c r="T187" s="65"/>
      <c r="U187" s="66"/>
      <c r="V187" s="65"/>
      <c r="W187" s="66"/>
      <c r="X187" s="39"/>
      <c r="Y187" s="57"/>
      <c r="Z187" s="39"/>
      <c r="AA187" s="57"/>
      <c r="AB187" s="65"/>
      <c r="AC187" s="66"/>
      <c r="AD187" s="65"/>
      <c r="AE187" s="66"/>
      <c r="AF187" s="39"/>
      <c r="AG187" s="57"/>
      <c r="AH187" s="39"/>
      <c r="AI187" s="57"/>
    </row>
    <row r="188" spans="1:35" ht="19.5" customHeight="1" x14ac:dyDescent="0.3">
      <c r="A188" s="4">
        <f>'ECN Master Project Tracker new'!A189</f>
        <v>2411500</v>
      </c>
      <c r="B188" s="110" t="str">
        <f>VLOOKUP(A:A,Table1[[Project No]:[Additional Remark]],2,FALSE)</f>
        <v>Ho Maw Chun</v>
      </c>
      <c r="C188" s="55">
        <f>VLOOKUP(A:A,Table1[[Project No]:[Additional Remark]],11,FALSE)</f>
        <v>37600</v>
      </c>
      <c r="D188" s="55">
        <f>VLOOKUP(A:A,Table1[[Project No]:[Additional Remark]],12,FALSE)</f>
        <v>0</v>
      </c>
      <c r="E188" s="55" t="str">
        <f>VLOOKUP(A:A,Table1[[Project No]:[Additional Remark]],4,FALSE)</f>
        <v>Tham</v>
      </c>
      <c r="F188" s="4" t="str">
        <f>VLOOKUP(A:A,Table1[[Project No]:[Additional Remark]],5,FALSE)</f>
        <v>R-PV</v>
      </c>
      <c r="G188" s="4" t="str">
        <f>VLOOKUP(A:A,Table1[[Project No]:[Additional Remark]],13,FALSE)</f>
        <v>Cash</v>
      </c>
      <c r="H188" s="4" t="str" cm="1">
        <f t="array" ref="H188">_xlfn.IFS((D188+C188)-J188=0,"Invoice Completed",AC188&lt;&gt;"","5th invoice",Y188&lt;&gt;"","4th invoice",U188&lt;&gt;"","3rd invoice",Q188&lt;&gt;"","2nd invoice",M188&lt;&gt;"","1st invoice",M188="","Pending 1st Invoice")</f>
        <v>Invoice Completed</v>
      </c>
      <c r="I188" s="4" t="str" cm="1">
        <f t="array" ref="I188">_xlfn.IFS((C188+D188)-K188=0,"Payment Completed",AE188&lt;&gt;"","5th payment",AA188&lt;&gt;"","4th payment",W188&lt;&gt;"","3rd payment",S188&lt;&gt;"","2nd payment",O188&lt;&gt;"","1st payment",O188="","Pending 1st Payment")</f>
        <v>Payment Completed</v>
      </c>
      <c r="J188" s="55">
        <f t="shared" si="4"/>
        <v>37600</v>
      </c>
      <c r="K188" s="55">
        <f t="shared" si="5"/>
        <v>37600</v>
      </c>
      <c r="L188" s="65">
        <v>45628</v>
      </c>
      <c r="M188" s="66">
        <v>500</v>
      </c>
      <c r="N188" s="65">
        <v>45628</v>
      </c>
      <c r="O188" s="66">
        <v>500</v>
      </c>
      <c r="P188" s="39">
        <v>45709</v>
      </c>
      <c r="Q188" s="57">
        <v>37100</v>
      </c>
      <c r="R188" s="39">
        <v>45725</v>
      </c>
      <c r="S188" s="57">
        <v>37100</v>
      </c>
      <c r="T188" s="65"/>
      <c r="U188" s="66"/>
      <c r="V188" s="65"/>
      <c r="W188" s="66"/>
      <c r="X188" s="39"/>
      <c r="Y188" s="57"/>
      <c r="Z188" s="39"/>
      <c r="AA188" s="57"/>
      <c r="AB188" s="65"/>
      <c r="AC188" s="66"/>
      <c r="AD188" s="65"/>
      <c r="AE188" s="66"/>
      <c r="AF188" s="39"/>
      <c r="AG188" s="57"/>
      <c r="AH188" s="39"/>
      <c r="AI188" s="57"/>
    </row>
    <row r="189" spans="1:35" ht="19.5" customHeight="1" x14ac:dyDescent="0.3">
      <c r="A189" s="4">
        <f>'ECN Master Project Tracker new'!A190</f>
        <v>2410034</v>
      </c>
      <c r="B189" s="110" t="str">
        <f>VLOOKUP(A:A,Table1[[Project No]:[Additional Remark]],2,FALSE)</f>
        <v>Handal Green Mobility Sdn Bhd (Pulse Grande Hotel)</v>
      </c>
      <c r="C189" s="55">
        <f>VLOOKUP(A:A,Table1[[Project No]:[Additional Remark]],11,FALSE)</f>
        <v>4150</v>
      </c>
      <c r="D189" s="55">
        <f>VLOOKUP(A:A,Table1[[Project No]:[Additional Remark]],12,FALSE)</f>
        <v>0</v>
      </c>
      <c r="E189" s="55" t="str">
        <f>VLOOKUP(A:A,Table1[[Project No]:[Additional Remark]],4,FALSE)</f>
        <v>Chean Bang</v>
      </c>
      <c r="F189" s="4" t="str">
        <f>VLOOKUP(A:A,Table1[[Project No]:[Additional Remark]],5,FALSE)</f>
        <v>EV Charger</v>
      </c>
      <c r="G189" s="4" t="str">
        <f>VLOOKUP(A:A,Table1[[Project No]:[Additional Remark]],13,FALSE)</f>
        <v>Cash</v>
      </c>
      <c r="H189" s="4" t="str" cm="1">
        <f t="array" ref="H189">_xlfn.IFS((D189+C189)-J189=0,"Invoice Completed",AC189&lt;&gt;"","5th invoice",Y189&lt;&gt;"","4th invoice",U189&lt;&gt;"","3rd invoice",Q189&lt;&gt;"","2nd invoice",M189&lt;&gt;"","1st invoice",M189="","Pending 1st Invoice")</f>
        <v>Invoice Completed</v>
      </c>
      <c r="I189" s="4" t="str" cm="1">
        <f t="array" ref="I189">_xlfn.IFS((C189+D189)-K189=0,"Payment Completed",AE189&lt;&gt;"","5th payment",AA189&lt;&gt;"","4th payment",W189&lt;&gt;"","3rd payment",S189&lt;&gt;"","2nd payment",O189&lt;&gt;"","1st payment",O189="","Pending 1st Payment")</f>
        <v>Payment Completed</v>
      </c>
      <c r="J189" s="55">
        <f t="shared" si="4"/>
        <v>4150</v>
      </c>
      <c r="K189" s="55">
        <f t="shared" si="5"/>
        <v>4150</v>
      </c>
      <c r="L189" s="65">
        <v>45728</v>
      </c>
      <c r="M189" s="66">
        <v>4150</v>
      </c>
      <c r="N189" s="65">
        <v>45741</v>
      </c>
      <c r="O189" s="66">
        <v>4150</v>
      </c>
      <c r="P189" s="39"/>
      <c r="Q189" s="57"/>
      <c r="R189" s="39"/>
      <c r="S189" s="57"/>
      <c r="T189" s="65"/>
      <c r="U189" s="66"/>
      <c r="V189" s="65"/>
      <c r="W189" s="66"/>
      <c r="X189" s="39"/>
      <c r="Y189" s="57"/>
      <c r="Z189" s="39"/>
      <c r="AA189" s="57"/>
      <c r="AB189" s="65"/>
      <c r="AC189" s="66"/>
      <c r="AD189" s="65"/>
      <c r="AE189" s="66"/>
      <c r="AF189" s="39"/>
      <c r="AG189" s="57"/>
      <c r="AH189" s="39"/>
      <c r="AI189" s="57"/>
    </row>
    <row r="190" spans="1:35" ht="19.5" customHeight="1" x14ac:dyDescent="0.3">
      <c r="A190" s="4">
        <f>'ECN Master Project Tracker new'!A191</f>
        <v>2411494</v>
      </c>
      <c r="B190" s="110" t="str">
        <f>VLOOKUP(A:A,Table1[[Project No]:[Additional Remark]],2,FALSE)</f>
        <v>Pang Kim Soon</v>
      </c>
      <c r="C190" s="55">
        <f>VLOOKUP(A:A,Table1[[Project No]:[Additional Remark]],11,FALSE)</f>
        <v>60000</v>
      </c>
      <c r="D190" s="55">
        <f>VLOOKUP(A:A,Table1[[Project No]:[Additional Remark]],12,FALSE)</f>
        <v>0</v>
      </c>
      <c r="E190" s="55" t="str">
        <f>VLOOKUP(A:A,Table1[[Project No]:[Additional Remark]],4,FALSE)</f>
        <v>Chean Bang</v>
      </c>
      <c r="F190" s="4" t="str">
        <f>VLOOKUP(A:A,Table1[[Project No]:[Additional Remark]],5,FALSE)</f>
        <v>R-PV</v>
      </c>
      <c r="G190" s="4" t="str">
        <f>VLOOKUP(A:A,Table1[[Project No]:[Additional Remark]],13,FALSE)</f>
        <v>Cash</v>
      </c>
      <c r="H190" s="4" t="str" cm="1">
        <f t="array" ref="H190">_xlfn.IFS((D190+C190)-J190=0,"Invoice Completed",AC190&lt;&gt;"","5th invoice",Y190&lt;&gt;"","4th invoice",U190&lt;&gt;"","3rd invoice",Q190&lt;&gt;"","2nd invoice",M190&lt;&gt;"","1st invoice",M190="","Pending 1st Invoice")</f>
        <v>Invoice Completed</v>
      </c>
      <c r="I190" s="4" t="str" cm="1">
        <f t="array" ref="I190">_xlfn.IFS((C190+D190)-K190=0,"Payment Completed",AE190&lt;&gt;"","5th payment",AA190&lt;&gt;"","4th payment",W190&lt;&gt;"","3rd payment",S190&lt;&gt;"","2nd payment",O190&lt;&gt;"","1st payment",O190="","Pending 1st Payment")</f>
        <v>Payment Completed</v>
      </c>
      <c r="J190" s="55">
        <f t="shared" si="4"/>
        <v>60000</v>
      </c>
      <c r="K190" s="55">
        <f t="shared" si="5"/>
        <v>60000</v>
      </c>
      <c r="L190" s="65">
        <v>45622</v>
      </c>
      <c r="M190" s="66">
        <v>500</v>
      </c>
      <c r="N190" s="65">
        <v>45622</v>
      </c>
      <c r="O190" s="66">
        <v>500</v>
      </c>
      <c r="P190" s="39">
        <v>45699</v>
      </c>
      <c r="Q190" s="57">
        <v>57500</v>
      </c>
      <c r="R190" s="39">
        <v>45808</v>
      </c>
      <c r="S190" s="57">
        <v>57500</v>
      </c>
      <c r="T190" s="65">
        <v>45808</v>
      </c>
      <c r="U190" s="66">
        <v>2000</v>
      </c>
      <c r="V190" s="65">
        <v>45808</v>
      </c>
      <c r="W190" s="66">
        <v>2000</v>
      </c>
      <c r="X190" s="39"/>
      <c r="Y190" s="57"/>
      <c r="Z190" s="39"/>
      <c r="AA190" s="57"/>
      <c r="AB190" s="65"/>
      <c r="AC190" s="66"/>
      <c r="AD190" s="65"/>
      <c r="AE190" s="66"/>
      <c r="AF190" s="39"/>
      <c r="AG190" s="57"/>
      <c r="AH190" s="39"/>
      <c r="AI190" s="57"/>
    </row>
    <row r="191" spans="1:35" ht="19.5" customHeight="1" x14ac:dyDescent="0.3">
      <c r="A191" s="4">
        <f>'ECN Master Project Tracker new'!A192</f>
        <v>2411496</v>
      </c>
      <c r="B191" s="110" t="str">
        <f>VLOOKUP(A:A,Table1[[Project No]:[Additional Remark]],2,FALSE)</f>
        <v>Teong Lian Aik</v>
      </c>
      <c r="C191" s="55">
        <f>VLOOKUP(A:A,Table1[[Project No]:[Additional Remark]],11,FALSE)</f>
        <v>29000</v>
      </c>
      <c r="D191" s="55">
        <f>VLOOKUP(A:A,Table1[[Project No]:[Additional Remark]],12,FALSE)</f>
        <v>289</v>
      </c>
      <c r="E191" s="55" t="str">
        <f>VLOOKUP(A:A,Table1[[Project No]:[Additional Remark]],4,FALSE)</f>
        <v>Tham</v>
      </c>
      <c r="F191" s="4" t="str">
        <f>VLOOKUP(A:A,Table1[[Project No]:[Additional Remark]],5,FALSE)</f>
        <v>R-PV</v>
      </c>
      <c r="G191" s="4" t="str">
        <f>VLOOKUP(A:A,Table1[[Project No]:[Additional Remark]],13,FALSE)</f>
        <v>Cash</v>
      </c>
      <c r="H191" s="4" t="str" cm="1">
        <f t="array" ref="H191">_xlfn.IFS((D191+C191)-J191=0,"Invoice Completed",AC191&lt;&gt;"","5th invoice",Y191&lt;&gt;"","4th invoice",U191&lt;&gt;"","3rd invoice",Q191&lt;&gt;"","2nd invoice",M191&lt;&gt;"","1st invoice",M191="","Pending 1st Invoice")</f>
        <v>Invoice Completed</v>
      </c>
      <c r="I191" s="4" t="str" cm="1">
        <f t="array" ref="I191">_xlfn.IFS((C191+D191)-K191=0,"Payment Completed",AE191&lt;&gt;"","5th payment",AA191&lt;&gt;"","4th payment",W191&lt;&gt;"","3rd payment",S191&lt;&gt;"","2nd payment",O191&lt;&gt;"","1st payment",O191="","Pending 1st Payment")</f>
        <v>Payment Completed</v>
      </c>
      <c r="J191" s="55">
        <f t="shared" si="4"/>
        <v>29289</v>
      </c>
      <c r="K191" s="55">
        <f t="shared" si="5"/>
        <v>29289</v>
      </c>
      <c r="L191" s="65">
        <v>45635</v>
      </c>
      <c r="M191" s="66">
        <v>500</v>
      </c>
      <c r="N191" s="65">
        <v>45635</v>
      </c>
      <c r="O191" s="66">
        <v>500</v>
      </c>
      <c r="P191" s="39">
        <v>45674</v>
      </c>
      <c r="Q191" s="57">
        <v>26789</v>
      </c>
      <c r="R191" s="39">
        <v>45678</v>
      </c>
      <c r="S191" s="57">
        <v>26789</v>
      </c>
      <c r="T191" s="65">
        <v>45751</v>
      </c>
      <c r="U191" s="66">
        <v>2000</v>
      </c>
      <c r="V191" s="65">
        <v>45757</v>
      </c>
      <c r="W191" s="66">
        <v>2000</v>
      </c>
      <c r="X191" s="39"/>
      <c r="Y191" s="57"/>
      <c r="Z191" s="39"/>
      <c r="AA191" s="57"/>
      <c r="AB191" s="65"/>
      <c r="AC191" s="66"/>
      <c r="AD191" s="65"/>
      <c r="AE191" s="66"/>
      <c r="AF191" s="39"/>
      <c r="AG191" s="57"/>
      <c r="AH191" s="39"/>
      <c r="AI191" s="57"/>
    </row>
    <row r="192" spans="1:35" ht="19.5" customHeight="1" x14ac:dyDescent="0.3">
      <c r="A192" s="4">
        <f>'ECN Master Project Tracker new'!A193</f>
        <v>2404224</v>
      </c>
      <c r="B192" s="110" t="str">
        <f>VLOOKUP(A:A,Table1[[Project No]:[Additional Remark]],2,FALSE)</f>
        <v>Vijayalakshmi a/p Krishnaswamy (Tan Sri Rama Iyer)</v>
      </c>
      <c r="C192" s="55">
        <f>VLOOKUP(A:A,Table1[[Project No]:[Additional Remark]],11,FALSE)</f>
        <v>45600</v>
      </c>
      <c r="D192" s="55">
        <f>VLOOKUP(A:A,Table1[[Project No]:[Additional Remark]],12,FALSE)</f>
        <v>0</v>
      </c>
      <c r="E192" s="55" t="str">
        <f>VLOOKUP(A:A,Table1[[Project No]:[Additional Remark]],4,FALSE)</f>
        <v>Tham</v>
      </c>
      <c r="F192" s="4" t="str">
        <f>VLOOKUP(A:A,Table1[[Project No]:[Additional Remark]],5,FALSE)</f>
        <v>R-PV</v>
      </c>
      <c r="G192" s="4" t="str">
        <f>VLOOKUP(A:A,Table1[[Project No]:[Additional Remark]],13,FALSE)</f>
        <v>Cash</v>
      </c>
      <c r="H192" s="4" t="str" cm="1">
        <f t="array" ref="H192">_xlfn.IFS((D192+C192)-J192=0,"Invoice Completed",AC192&lt;&gt;"","5th invoice",Y192&lt;&gt;"","4th invoice",U192&lt;&gt;"","3rd invoice",Q192&lt;&gt;"","2nd invoice",M192&lt;&gt;"","1st invoice",M192="","Pending 1st Invoice")</f>
        <v>Invoice Completed</v>
      </c>
      <c r="I192" s="4" t="str" cm="1">
        <f t="array" ref="I192">_xlfn.IFS((C192+D192)-K192=0,"Payment Completed",AE192&lt;&gt;"","5th payment",AA192&lt;&gt;"","4th payment",W192&lt;&gt;"","3rd payment",S192&lt;&gt;"","2nd payment",O192&lt;&gt;"","1st payment",O192="","Pending 1st Payment")</f>
        <v>Payment Completed</v>
      </c>
      <c r="J192" s="55">
        <f t="shared" si="4"/>
        <v>45600</v>
      </c>
      <c r="K192" s="55">
        <f t="shared" si="5"/>
        <v>45600</v>
      </c>
      <c r="L192" s="65">
        <v>45624</v>
      </c>
      <c r="M192" s="66">
        <v>500</v>
      </c>
      <c r="N192" s="65">
        <v>45624</v>
      </c>
      <c r="O192" s="66">
        <v>500</v>
      </c>
      <c r="P192" s="39">
        <v>45706</v>
      </c>
      <c r="Q192" s="57">
        <v>45100</v>
      </c>
      <c r="R192" s="39">
        <v>45706</v>
      </c>
      <c r="S192" s="57">
        <v>45100</v>
      </c>
      <c r="T192" s="65"/>
      <c r="U192" s="66"/>
      <c r="V192" s="65"/>
      <c r="W192" s="66"/>
      <c r="X192" s="39"/>
      <c r="Y192" s="57"/>
      <c r="Z192" s="39"/>
      <c r="AA192" s="57"/>
      <c r="AB192" s="65"/>
      <c r="AC192" s="66"/>
      <c r="AD192" s="65"/>
      <c r="AE192" s="66"/>
      <c r="AF192" s="39"/>
      <c r="AG192" s="57"/>
      <c r="AH192" s="39"/>
      <c r="AI192" s="57"/>
    </row>
    <row r="193" spans="1:35" ht="19.5" customHeight="1" x14ac:dyDescent="0.3">
      <c r="A193" s="4">
        <f>'ECN Master Project Tracker new'!A194</f>
        <v>2411491</v>
      </c>
      <c r="B193" s="110" t="str">
        <f>VLOOKUP(A:A,Table1[[Project No]:[Additional Remark]],2,FALSE)</f>
        <v>Low Kim Keong</v>
      </c>
      <c r="C193" s="55">
        <f>VLOOKUP(A:A,Table1[[Project No]:[Additional Remark]],11,FALSE)</f>
        <v>38420</v>
      </c>
      <c r="D193" s="55">
        <f>VLOOKUP(A:A,Table1[[Project No]:[Additional Remark]],12,FALSE)</f>
        <v>0</v>
      </c>
      <c r="E193" s="55" t="str">
        <f>VLOOKUP(A:A,Table1[[Project No]:[Additional Remark]],4,FALSE)</f>
        <v>Chean Bang</v>
      </c>
      <c r="F193" s="4" t="str">
        <f>VLOOKUP(A:A,Table1[[Project No]:[Additional Remark]],5,FALSE)</f>
        <v>R-PV</v>
      </c>
      <c r="G193" s="4" t="str">
        <f>VLOOKUP(A:A,Table1[[Project No]:[Additional Remark]],13,FALSE)</f>
        <v>Credit Card Instalment</v>
      </c>
      <c r="H193" s="4" t="str" cm="1">
        <f t="array" ref="H193">_xlfn.IFS((D193+C193)-J193=0,"Invoice Completed",AC193&lt;&gt;"","5th invoice",Y193&lt;&gt;"","4th invoice",U193&lt;&gt;"","3rd invoice",Q193&lt;&gt;"","2nd invoice",M193&lt;&gt;"","1st invoice",M193="","Pending 1st Invoice")</f>
        <v>Invoice Completed</v>
      </c>
      <c r="I193" s="4" t="str" cm="1">
        <f t="array" ref="I193">_xlfn.IFS((C193+D193)-K193=0,"Payment Completed",AE193&lt;&gt;"","5th payment",AA193&lt;&gt;"","4th payment",W193&lt;&gt;"","3rd payment",S193&lt;&gt;"","2nd payment",O193&lt;&gt;"","1st payment",O193="","Pending 1st Payment")</f>
        <v>Payment Completed</v>
      </c>
      <c r="J193" s="55">
        <f t="shared" si="4"/>
        <v>38420</v>
      </c>
      <c r="K193" s="55">
        <f t="shared" si="5"/>
        <v>38420</v>
      </c>
      <c r="L193" s="65">
        <v>45631</v>
      </c>
      <c r="M193" s="66">
        <v>500</v>
      </c>
      <c r="N193" s="65">
        <v>45631</v>
      </c>
      <c r="O193" s="66">
        <v>500</v>
      </c>
      <c r="P193" s="39">
        <v>45716</v>
      </c>
      <c r="Q193" s="57">
        <v>37920</v>
      </c>
      <c r="R193" s="39">
        <v>45716</v>
      </c>
      <c r="S193" s="57">
        <v>37920</v>
      </c>
      <c r="T193" s="65"/>
      <c r="U193" s="66"/>
      <c r="V193" s="65"/>
      <c r="W193" s="66"/>
      <c r="X193" s="39"/>
      <c r="Y193" s="57"/>
      <c r="Z193" s="39"/>
      <c r="AA193" s="57"/>
      <c r="AB193" s="65"/>
      <c r="AC193" s="66"/>
      <c r="AD193" s="65"/>
      <c r="AE193" s="66"/>
      <c r="AF193" s="39"/>
      <c r="AG193" s="57"/>
      <c r="AH193" s="39"/>
      <c r="AI193" s="57"/>
    </row>
    <row r="194" spans="1:35" ht="19.5" customHeight="1" x14ac:dyDescent="0.3">
      <c r="A194" s="4">
        <f>'ECN Master Project Tracker new'!A195</f>
        <v>2411490</v>
      </c>
      <c r="B194" s="110" t="str">
        <f>VLOOKUP(A:A,Table1[[Project No]:[Additional Remark]],2,FALSE)</f>
        <v>Chear Eng Soon</v>
      </c>
      <c r="C194" s="55">
        <f>VLOOKUP(A:A,Table1[[Project No]:[Additional Remark]],11,FALSE)</f>
        <v>21500</v>
      </c>
      <c r="D194" s="55">
        <f>VLOOKUP(A:A,Table1[[Project No]:[Additional Remark]],12,FALSE)</f>
        <v>0</v>
      </c>
      <c r="E194" s="55" t="str">
        <f>VLOOKUP(A:A,Table1[[Project No]:[Additional Remark]],4,FALSE)</f>
        <v>Chean Bang</v>
      </c>
      <c r="F194" s="4" t="str">
        <f>VLOOKUP(A:A,Table1[[Project No]:[Additional Remark]],5,FALSE)</f>
        <v>R-PV</v>
      </c>
      <c r="G194" s="4" t="str">
        <f>VLOOKUP(A:A,Table1[[Project No]:[Additional Remark]],13,FALSE)</f>
        <v>Cash</v>
      </c>
      <c r="H194" s="4" t="str" cm="1">
        <f t="array" ref="H194">_xlfn.IFS((D194+C194)-J194=0,"Invoice Completed",AC194&lt;&gt;"","5th invoice",Y194&lt;&gt;"","4th invoice",U194&lt;&gt;"","3rd invoice",Q194&lt;&gt;"","2nd invoice",M194&lt;&gt;"","1st invoice",M194="","Pending 1st Invoice")</f>
        <v>2nd invoice</v>
      </c>
      <c r="I194" s="4" t="str" cm="1">
        <f t="array" ref="I194">_xlfn.IFS((C194+D194)-K194=0,"Payment Completed",AE194&lt;&gt;"","5th payment",AA194&lt;&gt;"","4th payment",W194&lt;&gt;"","3rd payment",S194&lt;&gt;"","2nd payment",O194&lt;&gt;"","1st payment",O194="","Pending 1st Payment")</f>
        <v>2nd payment</v>
      </c>
      <c r="J194" s="55">
        <f t="shared" si="4"/>
        <v>19500</v>
      </c>
      <c r="K194" s="55">
        <f t="shared" si="5"/>
        <v>19500</v>
      </c>
      <c r="L194" s="65">
        <v>45631</v>
      </c>
      <c r="M194" s="66">
        <v>500</v>
      </c>
      <c r="N194" s="65">
        <v>45631</v>
      </c>
      <c r="O194" s="66">
        <v>500</v>
      </c>
      <c r="P194" s="39">
        <v>45657</v>
      </c>
      <c r="Q194" s="57">
        <v>19000</v>
      </c>
      <c r="R194" s="39">
        <v>45659</v>
      </c>
      <c r="S194" s="57">
        <v>19000</v>
      </c>
      <c r="T194" s="65"/>
      <c r="U194" s="66"/>
      <c r="V194" s="65"/>
      <c r="W194" s="66"/>
      <c r="X194" s="39"/>
      <c r="Y194" s="57"/>
      <c r="Z194" s="39"/>
      <c r="AA194" s="57"/>
      <c r="AB194" s="65"/>
      <c r="AC194" s="66"/>
      <c r="AD194" s="65"/>
      <c r="AE194" s="66"/>
      <c r="AF194" s="39"/>
      <c r="AG194" s="57"/>
      <c r="AH194" s="39"/>
      <c r="AI194" s="57"/>
    </row>
    <row r="195" spans="1:35" ht="19.5" customHeight="1" x14ac:dyDescent="0.3">
      <c r="A195" s="4">
        <f>'ECN Master Project Tracker new'!A196</f>
        <v>2412504</v>
      </c>
      <c r="B195" s="110" t="str">
        <f>VLOOKUP(A:A,Table1[[Project No]:[Additional Remark]],2,FALSE)</f>
        <v>Thiong Jeng Ell</v>
      </c>
      <c r="C195" s="55">
        <f>VLOOKUP(A:A,Table1[[Project No]:[Additional Remark]],11,FALSE)</f>
        <v>31616</v>
      </c>
      <c r="D195" s="55">
        <f>VLOOKUP(A:A,Table1[[Project No]:[Additional Remark]],12,FALSE)</f>
        <v>0</v>
      </c>
      <c r="E195" s="55" t="str">
        <f>VLOOKUP(A:A,Table1[[Project No]:[Additional Remark]],4,FALSE)</f>
        <v>Patricia</v>
      </c>
      <c r="F195" s="4" t="str">
        <f>VLOOKUP(A:A,Table1[[Project No]:[Additional Remark]],5,FALSE)</f>
        <v>R-PV</v>
      </c>
      <c r="G195" s="4" t="str">
        <f>VLOOKUP(A:A,Table1[[Project No]:[Additional Remark]],13,FALSE)</f>
        <v>Cash</v>
      </c>
      <c r="H195" s="4" t="str" cm="1">
        <f t="array" ref="H195">_xlfn.IFS((D195+C195)-J195=0,"Invoice Completed",AC195&lt;&gt;"","5th invoice",Y195&lt;&gt;"","4th invoice",U195&lt;&gt;"","3rd invoice",Q195&lt;&gt;"","2nd invoice",M195&lt;&gt;"","1st invoice",M195="","Pending 1st Invoice")</f>
        <v>Invoice Completed</v>
      </c>
      <c r="I195" s="4" t="str" cm="1">
        <f t="array" ref="I195">_xlfn.IFS((C195+D195)-K195=0,"Payment Completed",AE195&lt;&gt;"","5th payment",AA195&lt;&gt;"","4th payment",W195&lt;&gt;"","3rd payment",S195&lt;&gt;"","2nd payment",O195&lt;&gt;"","1st payment",O195="","Pending 1st Payment")</f>
        <v>Payment Completed</v>
      </c>
      <c r="J195" s="55">
        <f t="shared" si="4"/>
        <v>31616</v>
      </c>
      <c r="K195" s="55">
        <f t="shared" si="5"/>
        <v>31616</v>
      </c>
      <c r="L195" s="65">
        <v>45631</v>
      </c>
      <c r="M195" s="66">
        <v>500</v>
      </c>
      <c r="N195" s="65">
        <v>45631</v>
      </c>
      <c r="O195" s="66">
        <v>500</v>
      </c>
      <c r="P195" s="39">
        <v>45668</v>
      </c>
      <c r="Q195" s="57">
        <v>27500</v>
      </c>
      <c r="R195" s="39">
        <v>45703</v>
      </c>
      <c r="S195" s="57">
        <v>27500</v>
      </c>
      <c r="T195" s="65">
        <v>45703</v>
      </c>
      <c r="U195" s="66">
        <v>3616</v>
      </c>
      <c r="V195" s="65">
        <v>45703</v>
      </c>
      <c r="W195" s="66">
        <v>3616</v>
      </c>
      <c r="X195" s="39"/>
      <c r="Y195" s="57"/>
      <c r="Z195" s="39"/>
      <c r="AA195" s="57"/>
      <c r="AB195" s="65"/>
      <c r="AC195" s="66"/>
      <c r="AD195" s="65"/>
      <c r="AE195" s="66"/>
      <c r="AF195" s="39"/>
      <c r="AG195" s="57"/>
      <c r="AH195" s="39"/>
      <c r="AI195" s="57"/>
    </row>
    <row r="196" spans="1:35" ht="19.5" customHeight="1" x14ac:dyDescent="0.3">
      <c r="A196" s="4">
        <f>'ECN Master Project Tracker new'!A197</f>
        <v>2412503</v>
      </c>
      <c r="B196" s="110" t="str">
        <f>VLOOKUP(A:A,Table1[[Project No]:[Additional Remark]],2,FALSE)</f>
        <v>Lian Hock Seng</v>
      </c>
      <c r="C196" s="55">
        <f>VLOOKUP(A:A,Table1[[Project No]:[Additional Remark]],11,FALSE)</f>
        <v>38600</v>
      </c>
      <c r="D196" s="55">
        <f>VLOOKUP(A:A,Table1[[Project No]:[Additional Remark]],12,FALSE)</f>
        <v>0</v>
      </c>
      <c r="E196" s="55" t="str">
        <f>VLOOKUP(A:A,Table1[[Project No]:[Additional Remark]],4,FALSE)</f>
        <v>Chean Bang</v>
      </c>
      <c r="F196" s="4" t="str">
        <f>VLOOKUP(A:A,Table1[[Project No]:[Additional Remark]],5,FALSE)</f>
        <v>R-PV</v>
      </c>
      <c r="G196" s="4" t="str">
        <f>VLOOKUP(A:A,Table1[[Project No]:[Additional Remark]],13,FALSE)</f>
        <v>Cash</v>
      </c>
      <c r="H196" s="4" t="str" cm="1">
        <f t="array" ref="H196">_xlfn.IFS((D196+C196)-J196=0,"Invoice Completed",AC196&lt;&gt;"","5th invoice",Y196&lt;&gt;"","4th invoice",U196&lt;&gt;"","3rd invoice",Q196&lt;&gt;"","2nd invoice",M196&lt;&gt;"","1st invoice",M196="","Pending 1st Invoice")</f>
        <v>Invoice Completed</v>
      </c>
      <c r="I196" s="4" t="str" cm="1">
        <f t="array" ref="I196">_xlfn.IFS((C196+D196)-K196=0,"Payment Completed",AE196&lt;&gt;"","5th payment",AA196&lt;&gt;"","4th payment",W196&lt;&gt;"","3rd payment",S196&lt;&gt;"","2nd payment",O196&lt;&gt;"","1st payment",O196="","Pending 1st Payment")</f>
        <v>Payment Completed</v>
      </c>
      <c r="J196" s="55">
        <f t="shared" ref="J196:J259" si="6">SUM(M196,Q196,U196,Y196,AC196,AG196)</f>
        <v>38600</v>
      </c>
      <c r="K196" s="55">
        <f t="shared" ref="K196:K259" si="7">SUM(O196,S196,W196,AA196,AE196,AI196)</f>
        <v>38600</v>
      </c>
      <c r="L196" s="65">
        <v>45639</v>
      </c>
      <c r="M196" s="66">
        <v>500</v>
      </c>
      <c r="N196" s="65">
        <v>45639</v>
      </c>
      <c r="O196" s="66">
        <v>500</v>
      </c>
      <c r="P196" s="39">
        <v>45666</v>
      </c>
      <c r="Q196" s="57">
        <v>36100</v>
      </c>
      <c r="R196" s="39">
        <v>45666</v>
      </c>
      <c r="S196" s="57">
        <v>36100</v>
      </c>
      <c r="T196" s="65">
        <v>45873</v>
      </c>
      <c r="U196" s="66">
        <v>2000</v>
      </c>
      <c r="V196" s="65">
        <v>45873</v>
      </c>
      <c r="W196" s="66">
        <v>2000</v>
      </c>
      <c r="X196" s="39"/>
      <c r="Y196" s="57"/>
      <c r="Z196" s="39"/>
      <c r="AA196" s="57"/>
      <c r="AB196" s="65"/>
      <c r="AC196" s="66"/>
      <c r="AD196" s="65"/>
      <c r="AE196" s="66"/>
      <c r="AF196" s="39"/>
      <c r="AG196" s="57"/>
      <c r="AH196" s="39"/>
      <c r="AI196" s="57"/>
    </row>
    <row r="197" spans="1:35" ht="19.5" customHeight="1" x14ac:dyDescent="0.3">
      <c r="A197" s="4">
        <f>'ECN Master Project Tracker new'!A198</f>
        <v>2410033</v>
      </c>
      <c r="B197" s="110" t="str">
        <f>VLOOKUP(A:A,Table1[[Project No]:[Additional Remark]],2,FALSE)</f>
        <v>Handal Green Mobility Sdn Bhd (Kuantan City Mall)</v>
      </c>
      <c r="C197" s="55">
        <f>VLOOKUP(A:A,Table1[[Project No]:[Additional Remark]],11,FALSE)</f>
        <v>55000</v>
      </c>
      <c r="D197" s="55">
        <f>VLOOKUP(A:A,Table1[[Project No]:[Additional Remark]],12,FALSE)</f>
        <v>0</v>
      </c>
      <c r="E197" s="55" t="str">
        <f>VLOOKUP(A:A,Table1[[Project No]:[Additional Remark]],4,FALSE)</f>
        <v>Chean Bang</v>
      </c>
      <c r="F197" s="4" t="str">
        <f>VLOOKUP(A:A,Table1[[Project No]:[Additional Remark]],5,FALSE)</f>
        <v>EV Charger</v>
      </c>
      <c r="G197" s="4" t="str">
        <f>VLOOKUP(A:A,Table1[[Project No]:[Additional Remark]],13,FALSE)</f>
        <v>Cash</v>
      </c>
      <c r="H197" s="4" t="str" cm="1">
        <f t="array" ref="H197">_xlfn.IFS((D197+C197)-J197=0,"Invoice Completed",AC197&lt;&gt;"","5th invoice",Y197&lt;&gt;"","4th invoice",U197&lt;&gt;"","3rd invoice",Q197&lt;&gt;"","2nd invoice",M197&lt;&gt;"","1st invoice",M197="","Pending 1st Invoice")</f>
        <v>Invoice Completed</v>
      </c>
      <c r="I197" s="4" t="str" cm="1">
        <f t="array" ref="I197">_xlfn.IFS((C197+D197)-K197=0,"Payment Completed",AE197&lt;&gt;"","5th payment",AA197&lt;&gt;"","4th payment",W197&lt;&gt;"","3rd payment",S197&lt;&gt;"","2nd payment",O197&lt;&gt;"","1st payment",O197="","Pending 1st Payment")</f>
        <v>Payment Completed</v>
      </c>
      <c r="J197" s="55">
        <f t="shared" si="6"/>
        <v>55000</v>
      </c>
      <c r="K197" s="55">
        <f t="shared" si="7"/>
        <v>55000</v>
      </c>
      <c r="L197" s="65">
        <v>45728</v>
      </c>
      <c r="M197" s="66">
        <v>55000</v>
      </c>
      <c r="N197" s="65">
        <v>45741</v>
      </c>
      <c r="O197" s="66">
        <v>55000</v>
      </c>
      <c r="P197" s="39"/>
      <c r="Q197" s="57"/>
      <c r="R197" s="39"/>
      <c r="S197" s="57"/>
      <c r="T197" s="65"/>
      <c r="U197" s="66"/>
      <c r="V197" s="65"/>
      <c r="W197" s="66"/>
      <c r="X197" s="39"/>
      <c r="Y197" s="57"/>
      <c r="Z197" s="39"/>
      <c r="AA197" s="57"/>
      <c r="AB197" s="65"/>
      <c r="AC197" s="66"/>
      <c r="AD197" s="65"/>
      <c r="AE197" s="66"/>
      <c r="AF197" s="39"/>
      <c r="AG197" s="57"/>
      <c r="AH197" s="39"/>
      <c r="AI197" s="57"/>
    </row>
    <row r="198" spans="1:35" ht="19.5" customHeight="1" x14ac:dyDescent="0.3">
      <c r="A198" s="4">
        <f>'ECN Master Project Tracker new'!A199</f>
        <v>2412505</v>
      </c>
      <c r="B198" s="110" t="str">
        <f>VLOOKUP(A:A,Table1[[Project No]:[Additional Remark]],2,FALSE)</f>
        <v>Dong Mee Hong</v>
      </c>
      <c r="C198" s="55">
        <f>VLOOKUP(A:A,Table1[[Project No]:[Additional Remark]],11,FALSE)</f>
        <v>42860</v>
      </c>
      <c r="D198" s="55">
        <f>VLOOKUP(A:A,Table1[[Project No]:[Additional Remark]],12,FALSE)</f>
        <v>0</v>
      </c>
      <c r="E198" s="55" t="str">
        <f>VLOOKUP(A:A,Table1[[Project No]:[Additional Remark]],4,FALSE)</f>
        <v>Patricia</v>
      </c>
      <c r="F198" s="4" t="str">
        <f>VLOOKUP(A:A,Table1[[Project No]:[Additional Remark]],5,FALSE)</f>
        <v>R-PV</v>
      </c>
      <c r="G198" s="4" t="str">
        <f>VLOOKUP(A:A,Table1[[Project No]:[Additional Remark]],13,FALSE)</f>
        <v>Credit Card Instalment</v>
      </c>
      <c r="H198" s="4" t="str" cm="1">
        <f t="array" ref="H198">_xlfn.IFS((D198+C198)-J198=0,"Invoice Completed",AC198&lt;&gt;"","5th invoice",Y198&lt;&gt;"","4th invoice",U198&lt;&gt;"","3rd invoice",Q198&lt;&gt;"","2nd invoice",M198&lt;&gt;"","1st invoice",M198="","Pending 1st Invoice")</f>
        <v>Invoice Completed</v>
      </c>
      <c r="I198" s="4" t="str" cm="1">
        <f t="array" ref="I198">_xlfn.IFS((C198+D198)-K198=0,"Payment Completed",AE198&lt;&gt;"","5th payment",AA198&lt;&gt;"","4th payment",W198&lt;&gt;"","3rd payment",S198&lt;&gt;"","2nd payment",O198&lt;&gt;"","1st payment",O198="","Pending 1st Payment")</f>
        <v>Payment Completed</v>
      </c>
      <c r="J198" s="55">
        <f t="shared" si="6"/>
        <v>42860</v>
      </c>
      <c r="K198" s="55">
        <f t="shared" si="7"/>
        <v>42860</v>
      </c>
      <c r="L198" s="65">
        <v>45639</v>
      </c>
      <c r="M198" s="66">
        <v>500</v>
      </c>
      <c r="N198" s="65">
        <v>45643</v>
      </c>
      <c r="O198" s="66">
        <v>500</v>
      </c>
      <c r="P198" s="39">
        <v>45716</v>
      </c>
      <c r="Q198" s="57">
        <v>42360</v>
      </c>
      <c r="R198" s="39">
        <v>45716</v>
      </c>
      <c r="S198" s="57">
        <v>42360</v>
      </c>
      <c r="T198" s="65"/>
      <c r="U198" s="66"/>
      <c r="V198" s="65"/>
      <c r="W198" s="66"/>
      <c r="X198" s="39"/>
      <c r="Y198" s="57"/>
      <c r="Z198" s="39"/>
      <c r="AA198" s="57"/>
      <c r="AB198" s="65"/>
      <c r="AC198" s="66"/>
      <c r="AD198" s="65"/>
      <c r="AE198" s="66"/>
      <c r="AF198" s="39"/>
      <c r="AG198" s="57"/>
      <c r="AH198" s="39"/>
      <c r="AI198" s="57"/>
    </row>
    <row r="199" spans="1:35" ht="19.5" customHeight="1" x14ac:dyDescent="0.3">
      <c r="A199" s="4">
        <f>'ECN Master Project Tracker new'!A200</f>
        <v>2412509</v>
      </c>
      <c r="B199" s="110" t="str">
        <f>VLOOKUP(A:A,Table1[[Project No]:[Additional Remark]],2,FALSE)</f>
        <v>Muck Bei lee (Le Lodge Mansion)</v>
      </c>
      <c r="C199" s="55">
        <f>VLOOKUP(A:A,Table1[[Project No]:[Additional Remark]],11,FALSE)</f>
        <v>50000</v>
      </c>
      <c r="D199" s="55">
        <f>VLOOKUP(A:A,Table1[[Project No]:[Additional Remark]],12,FALSE)</f>
        <v>0</v>
      </c>
      <c r="E199" s="55" t="str">
        <f>VLOOKUP(A:A,Table1[[Project No]:[Additional Remark]],4,FALSE)</f>
        <v>Chean Bang</v>
      </c>
      <c r="F199" s="4" t="str">
        <f>VLOOKUP(A:A,Table1[[Project No]:[Additional Remark]],5,FALSE)</f>
        <v>R-PV</v>
      </c>
      <c r="G199" s="4" t="str">
        <f>VLOOKUP(A:A,Table1[[Project No]:[Additional Remark]],13,FALSE)</f>
        <v>Credit Card Instalment</v>
      </c>
      <c r="H199" s="4" t="str" cm="1">
        <f t="array" ref="H199">_xlfn.IFS((D199+C199)-J199=0,"Invoice Completed",AC199&lt;&gt;"","5th invoice",Y199&lt;&gt;"","4th invoice",U199&lt;&gt;"","3rd invoice",Q199&lt;&gt;"","2nd invoice",M199&lt;&gt;"","1st invoice",M199="","Pending 1st Invoice")</f>
        <v>Invoice Completed</v>
      </c>
      <c r="I199" s="4" t="str" cm="1">
        <f t="array" ref="I199">_xlfn.IFS((C199+D199)-K199=0,"Payment Completed",AE199&lt;&gt;"","5th payment",AA199&lt;&gt;"","4th payment",W199&lt;&gt;"","3rd payment",S199&lt;&gt;"","2nd payment",O199&lt;&gt;"","1st payment",O199="","Pending 1st Payment")</f>
        <v>Payment Completed</v>
      </c>
      <c r="J199" s="55">
        <f t="shared" si="6"/>
        <v>50000</v>
      </c>
      <c r="K199" s="55">
        <f t="shared" si="7"/>
        <v>50000</v>
      </c>
      <c r="L199" s="65">
        <v>45657</v>
      </c>
      <c r="M199" s="66">
        <v>500</v>
      </c>
      <c r="N199" s="65">
        <v>45657</v>
      </c>
      <c r="O199" s="66">
        <v>500</v>
      </c>
      <c r="P199" s="39">
        <v>45677</v>
      </c>
      <c r="Q199" s="57">
        <v>49500</v>
      </c>
      <c r="R199" s="39">
        <v>45678</v>
      </c>
      <c r="S199" s="57">
        <v>49500</v>
      </c>
      <c r="T199" s="65"/>
      <c r="U199" s="66"/>
      <c r="V199" s="65"/>
      <c r="W199" s="66"/>
      <c r="X199" s="39"/>
      <c r="Y199" s="57"/>
      <c r="Z199" s="39"/>
      <c r="AA199" s="57"/>
      <c r="AB199" s="65"/>
      <c r="AC199" s="66"/>
      <c r="AD199" s="65"/>
      <c r="AE199" s="66"/>
      <c r="AF199" s="39"/>
      <c r="AG199" s="57"/>
      <c r="AH199" s="39"/>
      <c r="AI199" s="57"/>
    </row>
    <row r="200" spans="1:35" ht="19.5" customHeight="1" x14ac:dyDescent="0.3">
      <c r="A200" s="4">
        <f>'ECN Master Project Tracker new'!A201</f>
        <v>2412515</v>
      </c>
      <c r="B200" s="110" t="str">
        <f>VLOOKUP(A:A,Table1[[Project No]:[Additional Remark]],2,FALSE)</f>
        <v>Liew Mun Meng</v>
      </c>
      <c r="C200" s="55">
        <f>VLOOKUP(A:A,Table1[[Project No]:[Additional Remark]],11,FALSE)</f>
        <v>44600</v>
      </c>
      <c r="D200" s="55">
        <f>VLOOKUP(A:A,Table1[[Project No]:[Additional Remark]],12,FALSE)</f>
        <v>0</v>
      </c>
      <c r="E200" s="55" t="str">
        <f>VLOOKUP(A:A,Table1[[Project No]:[Additional Remark]],4,FALSE)</f>
        <v>Tham</v>
      </c>
      <c r="F200" s="4" t="str">
        <f>VLOOKUP(A:A,Table1[[Project No]:[Additional Remark]],5,FALSE)</f>
        <v>R-PV</v>
      </c>
      <c r="G200" s="4" t="str">
        <f>VLOOKUP(A:A,Table1[[Project No]:[Additional Remark]],13,FALSE)</f>
        <v>Cash</v>
      </c>
      <c r="H200" s="4" t="str" cm="1">
        <f t="array" ref="H200">_xlfn.IFS((D200+C200)-J200=0,"Invoice Completed",AC200&lt;&gt;"","5th invoice",Y200&lt;&gt;"","4th invoice",U200&lt;&gt;"","3rd invoice",Q200&lt;&gt;"","2nd invoice",M200&lt;&gt;"","1st invoice",M200="","Pending 1st Invoice")</f>
        <v>Invoice Completed</v>
      </c>
      <c r="I200" s="4" t="str" cm="1">
        <f t="array" ref="I200">_xlfn.IFS((C200+D200)-K200=0,"Payment Completed",AE200&lt;&gt;"","5th payment",AA200&lt;&gt;"","4th payment",W200&lt;&gt;"","3rd payment",S200&lt;&gt;"","2nd payment",O200&lt;&gt;"","1st payment",O200="","Pending 1st Payment")</f>
        <v>Payment Completed</v>
      </c>
      <c r="J200" s="55">
        <f t="shared" si="6"/>
        <v>44600</v>
      </c>
      <c r="K200" s="55">
        <f t="shared" si="7"/>
        <v>44600</v>
      </c>
      <c r="L200" s="65">
        <v>45647</v>
      </c>
      <c r="M200" s="66">
        <v>500</v>
      </c>
      <c r="N200" s="65">
        <v>45647</v>
      </c>
      <c r="O200" s="66">
        <v>500</v>
      </c>
      <c r="P200" s="39">
        <v>45705</v>
      </c>
      <c r="Q200" s="57">
        <v>40600</v>
      </c>
      <c r="R200" s="39">
        <v>45706</v>
      </c>
      <c r="S200" s="57">
        <v>40600</v>
      </c>
      <c r="T200" s="65">
        <v>45721</v>
      </c>
      <c r="U200" s="66">
        <v>3500</v>
      </c>
      <c r="V200" s="65">
        <v>45728</v>
      </c>
      <c r="W200" s="66">
        <v>3500</v>
      </c>
      <c r="X200" s="39"/>
      <c r="Y200" s="57"/>
      <c r="Z200" s="39"/>
      <c r="AA200" s="57"/>
      <c r="AB200" s="65"/>
      <c r="AC200" s="66"/>
      <c r="AD200" s="65"/>
      <c r="AE200" s="66"/>
      <c r="AF200" s="39"/>
      <c r="AG200" s="57"/>
      <c r="AH200" s="39"/>
      <c r="AI200" s="57"/>
    </row>
    <row r="201" spans="1:35" ht="19.5" customHeight="1" x14ac:dyDescent="0.3">
      <c r="A201" s="4">
        <f>'ECN Master Project Tracker new'!A202</f>
        <v>2410462</v>
      </c>
      <c r="B201" s="110" t="str">
        <f>VLOOKUP(A:A,Table1[[Project No]:[Additional Remark]],2,FALSE)</f>
        <v>Yee Mei Ling</v>
      </c>
      <c r="C201" s="55">
        <f>VLOOKUP(A:A,Table1[[Project No]:[Additional Remark]],11,FALSE)</f>
        <v>23500</v>
      </c>
      <c r="D201" s="55">
        <f>VLOOKUP(A:A,Table1[[Project No]:[Additional Remark]],12,FALSE)</f>
        <v>0</v>
      </c>
      <c r="E201" s="55" t="str">
        <f>VLOOKUP(A:A,Table1[[Project No]:[Additional Remark]],4,FALSE)</f>
        <v>Tham</v>
      </c>
      <c r="F201" s="4" t="str">
        <f>VLOOKUP(A:A,Table1[[Project No]:[Additional Remark]],5,FALSE)</f>
        <v>R-PV</v>
      </c>
      <c r="G201" s="4" t="str">
        <f>VLOOKUP(A:A,Table1[[Project No]:[Additional Remark]],13,FALSE)</f>
        <v>Cash</v>
      </c>
      <c r="H201" s="4" t="str" cm="1">
        <f t="array" ref="H201">_xlfn.IFS((D201+C201)-J201=0,"Invoice Completed",AC201&lt;&gt;"","5th invoice",Y201&lt;&gt;"","4th invoice",U201&lt;&gt;"","3rd invoice",Q201&lt;&gt;"","2nd invoice",M201&lt;&gt;"","1st invoice",M201="","Pending 1st Invoice")</f>
        <v>Invoice Completed</v>
      </c>
      <c r="I201" s="4" t="str" cm="1">
        <f t="array" ref="I201">_xlfn.IFS((C201+D201)-K201=0,"Payment Completed",AE201&lt;&gt;"","5th payment",AA201&lt;&gt;"","4th payment",W201&lt;&gt;"","3rd payment",S201&lt;&gt;"","2nd payment",O201&lt;&gt;"","1st payment",O201="","Pending 1st Payment")</f>
        <v>Payment Completed</v>
      </c>
      <c r="J201" s="55">
        <f t="shared" si="6"/>
        <v>23500</v>
      </c>
      <c r="K201" s="55">
        <f t="shared" si="7"/>
        <v>23500</v>
      </c>
      <c r="L201" s="65">
        <v>45649</v>
      </c>
      <c r="M201" s="66">
        <v>500</v>
      </c>
      <c r="N201" s="65">
        <v>45649</v>
      </c>
      <c r="O201" s="66">
        <v>500</v>
      </c>
      <c r="P201" s="39">
        <v>45740</v>
      </c>
      <c r="Q201" s="57">
        <v>23000</v>
      </c>
      <c r="R201" s="39">
        <v>45741</v>
      </c>
      <c r="S201" s="57">
        <v>23000</v>
      </c>
      <c r="T201" s="65"/>
      <c r="U201" s="66"/>
      <c r="V201" s="65"/>
      <c r="W201" s="66"/>
      <c r="X201" s="39"/>
      <c r="Y201" s="57"/>
      <c r="Z201" s="39"/>
      <c r="AA201" s="57"/>
      <c r="AB201" s="65"/>
      <c r="AC201" s="66"/>
      <c r="AD201" s="65"/>
      <c r="AE201" s="66"/>
      <c r="AF201" s="39"/>
      <c r="AG201" s="57"/>
      <c r="AH201" s="39"/>
      <c r="AI201" s="57"/>
    </row>
    <row r="202" spans="1:35" ht="19.5" customHeight="1" x14ac:dyDescent="0.3">
      <c r="A202" s="4">
        <f>'ECN Master Project Tracker new'!A203</f>
        <v>2412516</v>
      </c>
      <c r="B202" s="110" t="str">
        <f>VLOOKUP(A:A,Table1[[Project No]:[Additional Remark]],2,FALSE)</f>
        <v>Chareon Phromsuwan</v>
      </c>
      <c r="C202" s="55">
        <f>VLOOKUP(A:A,Table1[[Project No]:[Additional Remark]],11,FALSE)</f>
        <v>37160</v>
      </c>
      <c r="D202" s="55">
        <f>VLOOKUP(A:A,Table1[[Project No]:[Additional Remark]],12,FALSE)</f>
        <v>0</v>
      </c>
      <c r="E202" s="55" t="str">
        <f>VLOOKUP(A:A,Table1[[Project No]:[Additional Remark]],4,FALSE)</f>
        <v>Tham</v>
      </c>
      <c r="F202" s="4" t="str">
        <f>VLOOKUP(A:A,Table1[[Project No]:[Additional Remark]],5,FALSE)</f>
        <v>R-PV</v>
      </c>
      <c r="G202" s="4" t="str">
        <f>VLOOKUP(A:A,Table1[[Project No]:[Additional Remark]],13,FALSE)</f>
        <v>Credit Card Instalment</v>
      </c>
      <c r="H202" s="4" t="str" cm="1">
        <f t="array" ref="H202">_xlfn.IFS((D202+C202)-J202=0,"Invoice Completed",AC202&lt;&gt;"","5th invoice",Y202&lt;&gt;"","4th invoice",U202&lt;&gt;"","3rd invoice",Q202&lt;&gt;"","2nd invoice",M202&lt;&gt;"","1st invoice",M202="","Pending 1st Invoice")</f>
        <v>Invoice Completed</v>
      </c>
      <c r="I202" s="4" t="str" cm="1">
        <f t="array" ref="I202">_xlfn.IFS((C202+D202)-K202=0,"Payment Completed",AE202&lt;&gt;"","5th payment",AA202&lt;&gt;"","4th payment",W202&lt;&gt;"","3rd payment",S202&lt;&gt;"","2nd payment",O202&lt;&gt;"","1st payment",O202="","Pending 1st Payment")</f>
        <v>Payment Completed</v>
      </c>
      <c r="J202" s="55">
        <f t="shared" si="6"/>
        <v>37160</v>
      </c>
      <c r="K202" s="55">
        <f t="shared" si="7"/>
        <v>37160</v>
      </c>
      <c r="L202" s="65">
        <v>45650</v>
      </c>
      <c r="M202" s="66">
        <v>500</v>
      </c>
      <c r="N202" s="65">
        <v>45650</v>
      </c>
      <c r="O202" s="66">
        <v>500</v>
      </c>
      <c r="P202" s="39">
        <v>45723</v>
      </c>
      <c r="Q202" s="57">
        <v>36660</v>
      </c>
      <c r="R202" s="39">
        <v>45723</v>
      </c>
      <c r="S202" s="57">
        <v>36660</v>
      </c>
      <c r="T202" s="65"/>
      <c r="U202" s="66"/>
      <c r="V202" s="65"/>
      <c r="W202" s="66"/>
      <c r="X202" s="39"/>
      <c r="Y202" s="57"/>
      <c r="Z202" s="39"/>
      <c r="AA202" s="57"/>
      <c r="AB202" s="65"/>
      <c r="AC202" s="66"/>
      <c r="AD202" s="65"/>
      <c r="AE202" s="66"/>
      <c r="AF202" s="39"/>
      <c r="AG202" s="57"/>
      <c r="AH202" s="39"/>
      <c r="AI202" s="57"/>
    </row>
    <row r="203" spans="1:35" ht="19.5" customHeight="1" x14ac:dyDescent="0.3">
      <c r="A203" s="4">
        <f>'ECN Master Project Tracker new'!A204</f>
        <v>2412521</v>
      </c>
      <c r="B203" s="110" t="str">
        <f>VLOOKUP(A:A,Table1[[Project No]:[Additional Remark]],2,FALSE)</f>
        <v>Christopher A De Souza</v>
      </c>
      <c r="C203" s="55">
        <f>VLOOKUP(A:A,Table1[[Project No]:[Additional Remark]],11,FALSE)</f>
        <v>39560</v>
      </c>
      <c r="D203" s="55">
        <f>VLOOKUP(A:A,Table1[[Project No]:[Additional Remark]],12,FALSE)</f>
        <v>0</v>
      </c>
      <c r="E203" s="55" t="str">
        <f>VLOOKUP(A:A,Table1[[Project No]:[Additional Remark]],4,FALSE)</f>
        <v>Tham</v>
      </c>
      <c r="F203" s="4" t="str">
        <f>VLOOKUP(A:A,Table1[[Project No]:[Additional Remark]],5,FALSE)</f>
        <v>R-PV</v>
      </c>
      <c r="G203" s="4" t="str">
        <f>VLOOKUP(A:A,Table1[[Project No]:[Additional Remark]],13,FALSE)</f>
        <v>Credit Card Instalment</v>
      </c>
      <c r="H203" s="4" t="str" cm="1">
        <f t="array" ref="H203">_xlfn.IFS((D203+C203)-J203=0,"Invoice Completed",AC203&lt;&gt;"","5th invoice",Y203&lt;&gt;"","4th invoice",U203&lt;&gt;"","3rd invoice",Q203&lt;&gt;"","2nd invoice",M203&lt;&gt;"","1st invoice",M203="","Pending 1st Invoice")</f>
        <v>Invoice Completed</v>
      </c>
      <c r="I203" s="4" t="str" cm="1">
        <f t="array" ref="I203">_xlfn.IFS((C203+D203)-K203=0,"Payment Completed",AE203&lt;&gt;"","5th payment",AA203&lt;&gt;"","4th payment",W203&lt;&gt;"","3rd payment",S203&lt;&gt;"","2nd payment",O203&lt;&gt;"","1st payment",O203="","Pending 1st Payment")</f>
        <v>Payment Completed</v>
      </c>
      <c r="J203" s="55">
        <f t="shared" si="6"/>
        <v>39560</v>
      </c>
      <c r="K203" s="55">
        <f t="shared" si="7"/>
        <v>39560</v>
      </c>
      <c r="L203" s="65">
        <v>45659</v>
      </c>
      <c r="M203" s="66">
        <v>500</v>
      </c>
      <c r="N203" s="65">
        <v>45659</v>
      </c>
      <c r="O203" s="66">
        <v>500</v>
      </c>
      <c r="P203" s="39">
        <v>45720</v>
      </c>
      <c r="Q203" s="57">
        <v>39060</v>
      </c>
      <c r="R203" s="39">
        <v>45720</v>
      </c>
      <c r="S203" s="57">
        <v>39060</v>
      </c>
      <c r="T203" s="65"/>
      <c r="U203" s="66"/>
      <c r="V203" s="65"/>
      <c r="W203" s="66"/>
      <c r="X203" s="39"/>
      <c r="Y203" s="57"/>
      <c r="Z203" s="39"/>
      <c r="AA203" s="57"/>
      <c r="AB203" s="65"/>
      <c r="AC203" s="66"/>
      <c r="AD203" s="65"/>
      <c r="AE203" s="66"/>
      <c r="AF203" s="39"/>
      <c r="AG203" s="57"/>
      <c r="AH203" s="39"/>
      <c r="AI203" s="57"/>
    </row>
    <row r="204" spans="1:35" ht="19.5" customHeight="1" x14ac:dyDescent="0.3">
      <c r="A204" s="4">
        <f>'ECN Master Project Tracker new'!A205</f>
        <v>2412524</v>
      </c>
      <c r="B204" s="110" t="str">
        <f>VLOOKUP(A:A,Table1[[Project No]:[Additional Remark]],2,FALSE)</f>
        <v>Teng Lee Xung</v>
      </c>
      <c r="C204" s="55">
        <f>VLOOKUP(A:A,Table1[[Project No]:[Additional Remark]],11,FALSE)</f>
        <v>34000</v>
      </c>
      <c r="D204" s="55">
        <f>VLOOKUP(A:A,Table1[[Project No]:[Additional Remark]],12,FALSE)</f>
        <v>0</v>
      </c>
      <c r="E204" s="55" t="str">
        <f>VLOOKUP(A:A,Table1[[Project No]:[Additional Remark]],4,FALSE)</f>
        <v>Chean Bang</v>
      </c>
      <c r="F204" s="4" t="str">
        <f>VLOOKUP(A:A,Table1[[Project No]:[Additional Remark]],5,FALSE)</f>
        <v>R-PV</v>
      </c>
      <c r="G204" s="4" t="str">
        <f>VLOOKUP(A:A,Table1[[Project No]:[Additional Remark]],13,FALSE)</f>
        <v>Cash</v>
      </c>
      <c r="H204" s="4" t="str" cm="1">
        <f t="array" ref="H204">_xlfn.IFS((D204+C204)-J204=0,"Invoice Completed",AC204&lt;&gt;"","5th invoice",Y204&lt;&gt;"","4th invoice",U204&lt;&gt;"","3rd invoice",Q204&lt;&gt;"","2nd invoice",M204&lt;&gt;"","1st invoice",M204="","Pending 1st Invoice")</f>
        <v>Invoice Completed</v>
      </c>
      <c r="I204" s="4" t="str" cm="1">
        <f t="array" ref="I204">_xlfn.IFS((C204+D204)-K204=0,"Payment Completed",AE204&lt;&gt;"","5th payment",AA204&lt;&gt;"","4th payment",W204&lt;&gt;"","3rd payment",S204&lt;&gt;"","2nd payment",O204&lt;&gt;"","1st payment",O204="","Pending 1st Payment")</f>
        <v>Payment Completed</v>
      </c>
      <c r="J204" s="55">
        <f t="shared" si="6"/>
        <v>34000</v>
      </c>
      <c r="K204" s="55">
        <f t="shared" si="7"/>
        <v>34000</v>
      </c>
      <c r="L204" s="65">
        <v>45656</v>
      </c>
      <c r="M204" s="66">
        <v>500</v>
      </c>
      <c r="N204" s="65">
        <v>45656</v>
      </c>
      <c r="O204" s="66">
        <v>500</v>
      </c>
      <c r="P204" s="39">
        <v>45656</v>
      </c>
      <c r="Q204" s="57">
        <v>31500</v>
      </c>
      <c r="R204" s="39">
        <v>45739</v>
      </c>
      <c r="S204" s="57">
        <v>31500</v>
      </c>
      <c r="T204" s="65">
        <v>45739</v>
      </c>
      <c r="U204" s="66">
        <v>2000</v>
      </c>
      <c r="V204" s="65">
        <v>45739</v>
      </c>
      <c r="W204" s="66">
        <v>2000</v>
      </c>
      <c r="X204" s="39"/>
      <c r="Y204" s="57"/>
      <c r="Z204" s="39"/>
      <c r="AA204" s="57"/>
      <c r="AB204" s="65"/>
      <c r="AC204" s="66"/>
      <c r="AD204" s="65"/>
      <c r="AE204" s="66"/>
      <c r="AF204" s="39"/>
      <c r="AG204" s="57"/>
      <c r="AH204" s="39"/>
      <c r="AI204" s="57"/>
    </row>
    <row r="205" spans="1:35" ht="19.5" customHeight="1" x14ac:dyDescent="0.3">
      <c r="A205" s="4">
        <f>'ECN Master Project Tracker new'!A206</f>
        <v>2412513</v>
      </c>
      <c r="B205" s="110" t="str">
        <f>VLOOKUP(A:A,Table1[[Project No]:[Additional Remark]],2,FALSE)</f>
        <v>Ganapathy Srihari a/l Rama Iyer</v>
      </c>
      <c r="C205" s="55">
        <f>VLOOKUP(A:A,Table1[[Project No]:[Additional Remark]],11,FALSE)</f>
        <v>29000</v>
      </c>
      <c r="D205" s="55">
        <f>VLOOKUP(A:A,Table1[[Project No]:[Additional Remark]],12,FALSE)</f>
        <v>0</v>
      </c>
      <c r="E205" s="55" t="str">
        <f>VLOOKUP(A:A,Table1[[Project No]:[Additional Remark]],4,FALSE)</f>
        <v>Tham</v>
      </c>
      <c r="F205" s="4" t="str">
        <f>VLOOKUP(A:A,Table1[[Project No]:[Additional Remark]],5,FALSE)</f>
        <v>R-PV</v>
      </c>
      <c r="G205" s="4" t="str">
        <f>VLOOKUP(A:A,Table1[[Project No]:[Additional Remark]],13,FALSE)</f>
        <v>Cash</v>
      </c>
      <c r="H205" s="4" t="str" cm="1">
        <f t="array" ref="H205">_xlfn.IFS((D205+C205)-J205=0,"Invoice Completed",AC205&lt;&gt;"","5th invoice",Y205&lt;&gt;"","4th invoice",U205&lt;&gt;"","3rd invoice",Q205&lt;&gt;"","2nd invoice",M205&lt;&gt;"","1st invoice",M205="","Pending 1st Invoice")</f>
        <v>2nd invoice</v>
      </c>
      <c r="I205" s="4" t="str" cm="1">
        <f t="array" ref="I205">_xlfn.IFS((C205+D205)-K205=0,"Payment Completed",AE205&lt;&gt;"","5th payment",AA205&lt;&gt;"","4th payment",W205&lt;&gt;"","3rd payment",S205&lt;&gt;"","2nd payment",O205&lt;&gt;"","1st payment",O205="","Pending 1st Payment")</f>
        <v>2nd payment</v>
      </c>
      <c r="J205" s="55">
        <f t="shared" si="6"/>
        <v>27000</v>
      </c>
      <c r="K205" s="55">
        <f t="shared" si="7"/>
        <v>27000</v>
      </c>
      <c r="L205" s="65">
        <v>45666</v>
      </c>
      <c r="M205" s="66">
        <v>500</v>
      </c>
      <c r="N205" s="65">
        <v>45666</v>
      </c>
      <c r="O205" s="66">
        <v>500</v>
      </c>
      <c r="P205" s="39">
        <v>45923</v>
      </c>
      <c r="Q205" s="57">
        <v>26500</v>
      </c>
      <c r="R205" s="39">
        <v>45923</v>
      </c>
      <c r="S205" s="57">
        <v>26500</v>
      </c>
      <c r="T205" s="65"/>
      <c r="U205" s="66"/>
      <c r="V205" s="65"/>
      <c r="W205" s="66"/>
      <c r="X205" s="39"/>
      <c r="Y205" s="57"/>
      <c r="Z205" s="39"/>
      <c r="AA205" s="57"/>
      <c r="AB205" s="65"/>
      <c r="AC205" s="66"/>
      <c r="AD205" s="65"/>
      <c r="AE205" s="66"/>
      <c r="AF205" s="39"/>
      <c r="AG205" s="57"/>
      <c r="AH205" s="39"/>
      <c r="AI205" s="57"/>
    </row>
    <row r="206" spans="1:35" ht="19.5" customHeight="1" x14ac:dyDescent="0.3">
      <c r="A206" s="4">
        <f>'ECN Master Project Tracker new'!A207</f>
        <v>2501038</v>
      </c>
      <c r="B206" s="110" t="str">
        <f>VLOOKUP(A:A,Table1[[Project No]:[Additional Remark]],2,FALSE)</f>
        <v>Florence Poon</v>
      </c>
      <c r="C206" s="55">
        <f>VLOOKUP(A:A,Table1[[Project No]:[Additional Remark]],11,FALSE)</f>
        <v>2000</v>
      </c>
      <c r="D206" s="55">
        <f>VLOOKUP(A:A,Table1[[Project No]:[Additional Remark]],12,FALSE)</f>
        <v>0</v>
      </c>
      <c r="E206" s="55" t="str">
        <f>VLOOKUP(A:A,Table1[[Project No]:[Additional Remark]],4,FALSE)</f>
        <v>Simon</v>
      </c>
      <c r="F206" s="4" t="str">
        <f>VLOOKUP(A:A,Table1[[Project No]:[Additional Remark]],5,FALSE)</f>
        <v>EV Charger</v>
      </c>
      <c r="G206" s="4" t="str">
        <f>VLOOKUP(A:A,Table1[[Project No]:[Additional Remark]],13,FALSE)</f>
        <v>Cash</v>
      </c>
      <c r="H206" s="4" t="str" cm="1">
        <f t="array" ref="H206">_xlfn.IFS((D206+C206)-J206=0,"Invoice Completed",AC206&lt;&gt;"","5th invoice",Y206&lt;&gt;"","4th invoice",U206&lt;&gt;"","3rd invoice",Q206&lt;&gt;"","2nd invoice",M206&lt;&gt;"","1st invoice",M206="","Pending 1st Invoice")</f>
        <v>Invoice Completed</v>
      </c>
      <c r="I206" s="4" t="str" cm="1">
        <f t="array" ref="I206">_xlfn.IFS((C206+D206)-K206=0,"Payment Completed",AE206&lt;&gt;"","5th payment",AA206&lt;&gt;"","4th payment",W206&lt;&gt;"","3rd payment",S206&lt;&gt;"","2nd payment",O206&lt;&gt;"","1st payment",O206="","Pending 1st Payment")</f>
        <v>Payment Completed</v>
      </c>
      <c r="J206" s="55">
        <f t="shared" si="6"/>
        <v>2000</v>
      </c>
      <c r="K206" s="55">
        <f t="shared" si="7"/>
        <v>2000</v>
      </c>
      <c r="L206" s="65">
        <v>45678</v>
      </c>
      <c r="M206" s="66">
        <v>1000</v>
      </c>
      <c r="N206" s="65">
        <v>45678</v>
      </c>
      <c r="O206" s="66">
        <v>1000</v>
      </c>
      <c r="P206" s="39">
        <v>45682</v>
      </c>
      <c r="Q206" s="57">
        <v>1000</v>
      </c>
      <c r="R206" s="39">
        <v>45682</v>
      </c>
      <c r="S206" s="57">
        <v>1000</v>
      </c>
      <c r="T206" s="65"/>
      <c r="U206" s="66"/>
      <c r="V206" s="65"/>
      <c r="W206" s="66"/>
      <c r="X206" s="39"/>
      <c r="Y206" s="57"/>
      <c r="Z206" s="39"/>
      <c r="AA206" s="57"/>
      <c r="AB206" s="65"/>
      <c r="AC206" s="66"/>
      <c r="AD206" s="65"/>
      <c r="AE206" s="66"/>
      <c r="AF206" s="39"/>
      <c r="AG206" s="57"/>
      <c r="AH206" s="39"/>
      <c r="AI206" s="57"/>
    </row>
    <row r="207" spans="1:35" ht="19.5" customHeight="1" x14ac:dyDescent="0.3">
      <c r="A207" s="4">
        <f>'ECN Master Project Tracker new'!A208</f>
        <v>2501532</v>
      </c>
      <c r="B207" s="110" t="str">
        <f>VLOOKUP(A:A,Table1[[Project No]:[Additional Remark]],2,FALSE)</f>
        <v>Prasert Phromsuwan</v>
      </c>
      <c r="C207" s="55">
        <f>VLOOKUP(A:A,Table1[[Project No]:[Additional Remark]],11,FALSE)</f>
        <v>27000</v>
      </c>
      <c r="D207" s="55">
        <f>VLOOKUP(A:A,Table1[[Project No]:[Additional Remark]],12,FALSE)</f>
        <v>0</v>
      </c>
      <c r="E207" s="55" t="str">
        <f>VLOOKUP(A:A,Table1[[Project No]:[Additional Remark]],4,FALSE)</f>
        <v>Tham</v>
      </c>
      <c r="F207" s="4" t="str">
        <f>VLOOKUP(A:A,Table1[[Project No]:[Additional Remark]],5,FALSE)</f>
        <v>R-PV</v>
      </c>
      <c r="G207" s="4" t="str">
        <f>VLOOKUP(A:A,Table1[[Project No]:[Additional Remark]],13,FALSE)</f>
        <v>Cash</v>
      </c>
      <c r="H207" s="4" t="str" cm="1">
        <f t="array" ref="H207">_xlfn.IFS((D207+C207)-J207=0,"Invoice Completed",AC207&lt;&gt;"","5th invoice",Y207&lt;&gt;"","4th invoice",U207&lt;&gt;"","3rd invoice",Q207&lt;&gt;"","2nd invoice",M207&lt;&gt;"","1st invoice",M207="","Pending 1st Invoice")</f>
        <v>Invoice Completed</v>
      </c>
      <c r="I207" s="4" t="str" cm="1">
        <f t="array" ref="I207">_xlfn.IFS((C207+D207)-K207=0,"Payment Completed",AE207&lt;&gt;"","5th payment",AA207&lt;&gt;"","4th payment",W207&lt;&gt;"","3rd payment",S207&lt;&gt;"","2nd payment",O207&lt;&gt;"","1st payment",O207="","Pending 1st Payment")</f>
        <v>Payment Completed</v>
      </c>
      <c r="J207" s="55">
        <f t="shared" si="6"/>
        <v>27000</v>
      </c>
      <c r="K207" s="55">
        <f t="shared" si="7"/>
        <v>27000</v>
      </c>
      <c r="L207" s="65">
        <v>45681</v>
      </c>
      <c r="M207" s="66">
        <v>500</v>
      </c>
      <c r="N207" s="65">
        <v>45681</v>
      </c>
      <c r="O207" s="66">
        <v>500</v>
      </c>
      <c r="P207" s="39">
        <v>45728</v>
      </c>
      <c r="Q207" s="57">
        <v>26500</v>
      </c>
      <c r="R207" s="39">
        <v>45728</v>
      </c>
      <c r="S207" s="57">
        <v>26500</v>
      </c>
      <c r="T207" s="65"/>
      <c r="U207" s="66"/>
      <c r="V207" s="65"/>
      <c r="W207" s="66"/>
      <c r="X207" s="39"/>
      <c r="Y207" s="57"/>
      <c r="Z207" s="39"/>
      <c r="AA207" s="57"/>
      <c r="AB207" s="65"/>
      <c r="AC207" s="66"/>
      <c r="AD207" s="65"/>
      <c r="AE207" s="66"/>
      <c r="AF207" s="39"/>
      <c r="AG207" s="57"/>
      <c r="AH207" s="39"/>
      <c r="AI207" s="57"/>
    </row>
    <row r="208" spans="1:35" ht="19.5" customHeight="1" x14ac:dyDescent="0.3">
      <c r="A208" s="4">
        <f>'ECN Master Project Tracker new'!A209</f>
        <v>2501544</v>
      </c>
      <c r="B208" s="110" t="str">
        <f>VLOOKUP(A:A,Table1[[Project No]:[Additional Remark]],2,FALSE)</f>
        <v>Gan Tek Chuan</v>
      </c>
      <c r="C208" s="55">
        <f>VLOOKUP(A:A,Table1[[Project No]:[Additional Remark]],11,FALSE)</f>
        <v>44000</v>
      </c>
      <c r="D208" s="55">
        <f>VLOOKUP(A:A,Table1[[Project No]:[Additional Remark]],12,FALSE)</f>
        <v>0</v>
      </c>
      <c r="E208" s="55" t="str">
        <f>VLOOKUP(A:A,Table1[[Project No]:[Additional Remark]],4,FALSE)</f>
        <v>Patricia</v>
      </c>
      <c r="F208" s="4" t="str">
        <f>VLOOKUP(A:A,Table1[[Project No]:[Additional Remark]],5,FALSE)</f>
        <v>R-PV</v>
      </c>
      <c r="G208" s="4" t="str">
        <f>VLOOKUP(A:A,Table1[[Project No]:[Additional Remark]],13,FALSE)</f>
        <v>Cash</v>
      </c>
      <c r="H208" s="4" t="str" cm="1">
        <f t="array" ref="H208">_xlfn.IFS((D208+C208)-J208=0,"Invoice Completed",AC208&lt;&gt;"","5th invoice",Y208&lt;&gt;"","4th invoice",U208&lt;&gt;"","3rd invoice",Q208&lt;&gt;"","2nd invoice",M208&lt;&gt;"","1st invoice",M208="","Pending 1st Invoice")</f>
        <v>Invoice Completed</v>
      </c>
      <c r="I208" s="4" t="str" cm="1">
        <f t="array" ref="I208">_xlfn.IFS((C208+D208)-K208=0,"Payment Completed",AE208&lt;&gt;"","5th payment",AA208&lt;&gt;"","4th payment",W208&lt;&gt;"","3rd payment",S208&lt;&gt;"","2nd payment",O208&lt;&gt;"","1st payment",O208="","Pending 1st Payment")</f>
        <v>Payment Completed</v>
      </c>
      <c r="J208" s="55">
        <f t="shared" si="6"/>
        <v>44000</v>
      </c>
      <c r="K208" s="55">
        <f t="shared" si="7"/>
        <v>44000</v>
      </c>
      <c r="L208" s="65">
        <v>45695</v>
      </c>
      <c r="M208" s="66">
        <v>500</v>
      </c>
      <c r="N208" s="65">
        <v>45695</v>
      </c>
      <c r="O208" s="66">
        <v>500</v>
      </c>
      <c r="P208" s="39">
        <v>45733</v>
      </c>
      <c r="Q208" s="57">
        <v>41500</v>
      </c>
      <c r="R208" s="39">
        <v>45733</v>
      </c>
      <c r="S208" s="57">
        <v>41500</v>
      </c>
      <c r="T208" s="65">
        <v>45762</v>
      </c>
      <c r="U208" s="66">
        <v>2000</v>
      </c>
      <c r="V208" s="65">
        <v>45762</v>
      </c>
      <c r="W208" s="66">
        <v>2000</v>
      </c>
      <c r="X208" s="39"/>
      <c r="Y208" s="57"/>
      <c r="Z208" s="39"/>
      <c r="AA208" s="57"/>
      <c r="AB208" s="65"/>
      <c r="AC208" s="66"/>
      <c r="AD208" s="65"/>
      <c r="AE208" s="66"/>
      <c r="AF208" s="39"/>
      <c r="AG208" s="57"/>
      <c r="AH208" s="39"/>
      <c r="AI208" s="57"/>
    </row>
    <row r="209" spans="1:35" ht="19.5" customHeight="1" x14ac:dyDescent="0.3">
      <c r="A209" s="4">
        <f>'ECN Master Project Tracker new'!A210</f>
        <v>2502548</v>
      </c>
      <c r="B209" s="110" t="str">
        <f>VLOOKUP(A:A,Table1[[Project No]:[Additional Remark]],2,FALSE)</f>
        <v>Wong Kok Wai</v>
      </c>
      <c r="C209" s="55">
        <f>VLOOKUP(A:A,Table1[[Project No]:[Additional Remark]],11,FALSE)</f>
        <v>42000</v>
      </c>
      <c r="D209" s="55">
        <f>VLOOKUP(A:A,Table1[[Project No]:[Additional Remark]],12,FALSE)</f>
        <v>0</v>
      </c>
      <c r="E209" s="55" t="str">
        <f>VLOOKUP(A:A,Table1[[Project No]:[Additional Remark]],4,FALSE)</f>
        <v>Chean Bang</v>
      </c>
      <c r="F209" s="4" t="str">
        <f>VLOOKUP(A:A,Table1[[Project No]:[Additional Remark]],5,FALSE)</f>
        <v>R-PV</v>
      </c>
      <c r="G209" s="4" t="str">
        <f>VLOOKUP(A:A,Table1[[Project No]:[Additional Remark]],13,FALSE)</f>
        <v>Cash</v>
      </c>
      <c r="H209" s="4" t="str" cm="1">
        <f t="array" ref="H209">_xlfn.IFS((D209+C209)-J209=0,"Invoice Completed",AC209&lt;&gt;"","5th invoice",Y209&lt;&gt;"","4th invoice",U209&lt;&gt;"","3rd invoice",Q209&lt;&gt;"","2nd invoice",M209&lt;&gt;"","1st invoice",M209="","Pending 1st Invoice")</f>
        <v>Invoice Completed</v>
      </c>
      <c r="I209" s="4" t="str" cm="1">
        <f t="array" ref="I209">_xlfn.IFS((C209+D209)-K209=0,"Payment Completed",AE209&lt;&gt;"","5th payment",AA209&lt;&gt;"","4th payment",W209&lt;&gt;"","3rd payment",S209&lt;&gt;"","2nd payment",O209&lt;&gt;"","1st payment",O209="","Pending 1st Payment")</f>
        <v>Payment Completed</v>
      </c>
      <c r="J209" s="55">
        <f t="shared" si="6"/>
        <v>42000</v>
      </c>
      <c r="K209" s="55">
        <f t="shared" si="7"/>
        <v>42000</v>
      </c>
      <c r="L209" s="65">
        <v>45695</v>
      </c>
      <c r="M209" s="66">
        <v>500</v>
      </c>
      <c r="N209" s="65">
        <v>45695</v>
      </c>
      <c r="O209" s="66">
        <v>500</v>
      </c>
      <c r="P209" s="39">
        <v>45740</v>
      </c>
      <c r="Q209" s="57">
        <v>39500</v>
      </c>
      <c r="R209" s="39">
        <v>45741</v>
      </c>
      <c r="S209" s="57">
        <v>39500</v>
      </c>
      <c r="T209" s="65">
        <v>45970</v>
      </c>
      <c r="U209" s="66">
        <v>2000</v>
      </c>
      <c r="V209" s="65">
        <v>45970</v>
      </c>
      <c r="W209" s="66">
        <v>2000</v>
      </c>
      <c r="X209" s="39"/>
      <c r="Y209" s="57"/>
      <c r="Z209" s="39"/>
      <c r="AA209" s="57"/>
      <c r="AB209" s="65"/>
      <c r="AC209" s="66"/>
      <c r="AD209" s="65"/>
      <c r="AE209" s="66"/>
      <c r="AF209" s="39"/>
      <c r="AG209" s="57"/>
      <c r="AH209" s="39"/>
      <c r="AI209" s="57"/>
    </row>
    <row r="210" spans="1:35" ht="19.5" customHeight="1" x14ac:dyDescent="0.3">
      <c r="A210" s="4">
        <f>'ECN Master Project Tracker new'!A211</f>
        <v>2501545</v>
      </c>
      <c r="B210" s="110" t="str">
        <f>VLOOKUP(A:A,Table1[[Project No]:[Additional Remark]],2,FALSE)</f>
        <v>Lee Tian Look</v>
      </c>
      <c r="C210" s="55">
        <f>VLOOKUP(A:A,Table1[[Project No]:[Additional Remark]],11,FALSE)</f>
        <v>21800</v>
      </c>
      <c r="D210" s="55">
        <f>VLOOKUP(A:A,Table1[[Project No]:[Additional Remark]],12,FALSE)</f>
        <v>0</v>
      </c>
      <c r="E210" s="55" t="str">
        <f>VLOOKUP(A:A,Table1[[Project No]:[Additional Remark]],4,FALSE)</f>
        <v>Chean Bang</v>
      </c>
      <c r="F210" s="4" t="str">
        <f>VLOOKUP(A:A,Table1[[Project No]:[Additional Remark]],5,FALSE)</f>
        <v>R-PV</v>
      </c>
      <c r="G210" s="4" t="str">
        <f>VLOOKUP(A:A,Table1[[Project No]:[Additional Remark]],13,FALSE)</f>
        <v>Cash</v>
      </c>
      <c r="H210" s="4" t="str" cm="1">
        <f t="array" ref="H210">_xlfn.IFS((D210+C210)-J210=0,"Invoice Completed",AC210&lt;&gt;"","5th invoice",Y210&lt;&gt;"","4th invoice",U210&lt;&gt;"","3rd invoice",Q210&lt;&gt;"","2nd invoice",M210&lt;&gt;"","1st invoice",M210="","Pending 1st Invoice")</f>
        <v>Invoice Completed</v>
      </c>
      <c r="I210" s="4" t="str" cm="1">
        <f t="array" ref="I210">_xlfn.IFS((C210+D210)-K210=0,"Payment Completed",AE210&lt;&gt;"","5th payment",AA210&lt;&gt;"","4th payment",W210&lt;&gt;"","3rd payment",S210&lt;&gt;"","2nd payment",O210&lt;&gt;"","1st payment",O210="","Pending 1st Payment")</f>
        <v>Payment Completed</v>
      </c>
      <c r="J210" s="55">
        <f t="shared" si="6"/>
        <v>21800</v>
      </c>
      <c r="K210" s="55">
        <f t="shared" si="7"/>
        <v>21800</v>
      </c>
      <c r="L210" s="65">
        <v>45701</v>
      </c>
      <c r="M210" s="66">
        <v>500</v>
      </c>
      <c r="N210" s="65">
        <v>45701</v>
      </c>
      <c r="O210" s="66">
        <v>500</v>
      </c>
      <c r="P210" s="39">
        <v>45762</v>
      </c>
      <c r="Q210" s="57">
        <v>19300</v>
      </c>
      <c r="R210" s="39">
        <v>45762</v>
      </c>
      <c r="S210" s="57">
        <v>19300</v>
      </c>
      <c r="T210" s="65">
        <v>45808</v>
      </c>
      <c r="U210" s="66">
        <v>2000</v>
      </c>
      <c r="V210" s="65">
        <v>45808</v>
      </c>
      <c r="W210" s="66">
        <v>2000</v>
      </c>
      <c r="X210" s="39"/>
      <c r="Y210" s="57"/>
      <c r="Z210" s="39"/>
      <c r="AA210" s="57"/>
      <c r="AB210" s="65"/>
      <c r="AC210" s="66"/>
      <c r="AD210" s="65"/>
      <c r="AE210" s="66"/>
      <c r="AF210" s="39"/>
      <c r="AG210" s="57"/>
      <c r="AH210" s="39"/>
      <c r="AI210" s="57"/>
    </row>
    <row r="211" spans="1:35" ht="19.5" customHeight="1" x14ac:dyDescent="0.3">
      <c r="A211" s="4">
        <f>'ECN Master Project Tracker new'!A212</f>
        <v>2311088</v>
      </c>
      <c r="B211" s="110" t="str">
        <f>VLOOKUP(A:A,Table1[[Project No]:[Additional Remark]],2,FALSE)</f>
        <v>Lee Chean Chung</v>
      </c>
      <c r="C211" s="55">
        <f>VLOOKUP(A:A,Table1[[Project No]:[Additional Remark]],11,FALSE)</f>
        <v>27000</v>
      </c>
      <c r="D211" s="55">
        <f>VLOOKUP(A:A,Table1[[Project No]:[Additional Remark]],12,FALSE)</f>
        <v>0</v>
      </c>
      <c r="E211" s="55" t="str">
        <f>VLOOKUP(A:A,Table1[[Project No]:[Additional Remark]],4,FALSE)</f>
        <v>Chean Bang</v>
      </c>
      <c r="F211" s="4" t="str">
        <f>VLOOKUP(A:A,Table1[[Project No]:[Additional Remark]],5,FALSE)</f>
        <v>R-PV</v>
      </c>
      <c r="G211" s="4" t="str">
        <f>VLOOKUP(A:A,Table1[[Project No]:[Additional Remark]],13,FALSE)</f>
        <v>Cash</v>
      </c>
      <c r="H211" s="4" t="str" cm="1">
        <f t="array" ref="H211">_xlfn.IFS((D211+C211)-J211=0,"Invoice Completed",AC211&lt;&gt;"","5th invoice",Y211&lt;&gt;"","4th invoice",U211&lt;&gt;"","3rd invoice",Q211&lt;&gt;"","2nd invoice",M211&lt;&gt;"","1st invoice",M211="","Pending 1st Invoice")</f>
        <v>1st invoice</v>
      </c>
      <c r="I211" s="4" t="str" cm="1">
        <f t="array" ref="I211">_xlfn.IFS((C211+D211)-K211=0,"Payment Completed",AE211&lt;&gt;"","5th payment",AA211&lt;&gt;"","4th payment",W211&lt;&gt;"","3rd payment",S211&lt;&gt;"","2nd payment",O211&lt;&gt;"","1st payment",O211="","Pending 1st Payment")</f>
        <v>1st payment</v>
      </c>
      <c r="J211" s="55">
        <f t="shared" si="6"/>
        <v>500</v>
      </c>
      <c r="K211" s="55">
        <f t="shared" si="7"/>
        <v>500</v>
      </c>
      <c r="L211" s="65">
        <v>45700</v>
      </c>
      <c r="M211" s="66">
        <v>500</v>
      </c>
      <c r="N211" s="65">
        <v>45700</v>
      </c>
      <c r="O211" s="66">
        <v>500</v>
      </c>
      <c r="P211" s="39"/>
      <c r="Q211" s="57"/>
      <c r="R211" s="39"/>
      <c r="S211" s="57"/>
      <c r="T211" s="65"/>
      <c r="U211" s="66"/>
      <c r="V211" s="65"/>
      <c r="W211" s="66"/>
      <c r="X211" s="39"/>
      <c r="Y211" s="57"/>
      <c r="Z211" s="39"/>
      <c r="AA211" s="57"/>
      <c r="AB211" s="65"/>
      <c r="AC211" s="66"/>
      <c r="AD211" s="65"/>
      <c r="AE211" s="66"/>
      <c r="AF211" s="39"/>
      <c r="AG211" s="57"/>
      <c r="AH211" s="39"/>
      <c r="AI211" s="57"/>
    </row>
    <row r="212" spans="1:35" ht="19.5" customHeight="1" x14ac:dyDescent="0.3">
      <c r="A212" s="4">
        <f>'ECN Master Project Tracker new'!A213</f>
        <v>2502216</v>
      </c>
      <c r="B212" s="110" t="str">
        <f>VLOOKUP(A:A,Table1[[Project No]:[Additional Remark]],2,FALSE)</f>
        <v>Low Yi Chin</v>
      </c>
      <c r="C212" s="55">
        <f>VLOOKUP(A:A,Table1[[Project No]:[Additional Remark]],11,FALSE)</f>
        <v>37000</v>
      </c>
      <c r="D212" s="55">
        <f>VLOOKUP(A:A,Table1[[Project No]:[Additional Remark]],12,FALSE)</f>
        <v>0</v>
      </c>
      <c r="E212" s="55" t="str">
        <f>VLOOKUP(A:A,Table1[[Project No]:[Additional Remark]],4,FALSE)</f>
        <v>Chean Bang</v>
      </c>
      <c r="F212" s="4" t="str">
        <f>VLOOKUP(A:A,Table1[[Project No]:[Additional Remark]],5,FALSE)</f>
        <v>C&amp;I-PV</v>
      </c>
      <c r="G212" s="4" t="str">
        <f>VLOOKUP(A:A,Table1[[Project No]:[Additional Remark]],13,FALSE)</f>
        <v>Cash</v>
      </c>
      <c r="H212" s="4" t="str" cm="1">
        <f t="array" ref="H212">_xlfn.IFS((D212+C212)-J212=0,"Invoice Completed",AC212&lt;&gt;"","5th invoice",Y212&lt;&gt;"","4th invoice",U212&lt;&gt;"","3rd invoice",Q212&lt;&gt;"","2nd invoice",M212&lt;&gt;"","1st invoice",M212="","Pending 1st Invoice")</f>
        <v>Invoice Completed</v>
      </c>
      <c r="I212" s="4" t="str" cm="1">
        <f t="array" ref="I212">_xlfn.IFS((C212+D212)-K212=0,"Payment Completed",AE212&lt;&gt;"","5th payment",AA212&lt;&gt;"","4th payment",W212&lt;&gt;"","3rd payment",S212&lt;&gt;"","2nd payment",O212&lt;&gt;"","1st payment",O212="","Pending 1st Payment")</f>
        <v>Payment Completed</v>
      </c>
      <c r="J212" s="55">
        <f t="shared" si="6"/>
        <v>37000</v>
      </c>
      <c r="K212" s="55">
        <f t="shared" si="7"/>
        <v>37000</v>
      </c>
      <c r="L212" s="65">
        <v>45701</v>
      </c>
      <c r="M212" s="66">
        <v>500</v>
      </c>
      <c r="N212" s="65">
        <v>45701</v>
      </c>
      <c r="O212" s="66">
        <v>500</v>
      </c>
      <c r="P212" s="39">
        <v>45855</v>
      </c>
      <c r="Q212" s="57">
        <v>34500</v>
      </c>
      <c r="R212" s="39">
        <v>45896</v>
      </c>
      <c r="S212" s="57">
        <v>34500</v>
      </c>
      <c r="T212" s="65">
        <v>45899</v>
      </c>
      <c r="U212" s="66">
        <v>2000</v>
      </c>
      <c r="V212" s="65">
        <v>45899</v>
      </c>
      <c r="W212" s="66">
        <v>2000</v>
      </c>
      <c r="X212" s="39"/>
      <c r="Y212" s="57"/>
      <c r="Z212" s="39"/>
      <c r="AA212" s="57"/>
      <c r="AB212" s="65"/>
      <c r="AC212" s="66"/>
      <c r="AD212" s="65"/>
      <c r="AE212" s="66"/>
      <c r="AF212" s="39"/>
      <c r="AG212" s="57"/>
      <c r="AH212" s="39"/>
      <c r="AI212" s="57"/>
    </row>
    <row r="213" spans="1:35" ht="19.5" customHeight="1" x14ac:dyDescent="0.3">
      <c r="A213" s="4">
        <f>'ECN Master Project Tracker new'!A214</f>
        <v>2502553</v>
      </c>
      <c r="B213" s="110" t="str">
        <f>VLOOKUP(A:A,Table1[[Project No]:[Additional Remark]],2,FALSE)</f>
        <v>Salim Majid Zain Bin  Abdul Majid</v>
      </c>
      <c r="C213" s="55">
        <f>VLOOKUP(A:A,Table1[[Project No]:[Additional Remark]],11,FALSE)</f>
        <v>42000</v>
      </c>
      <c r="D213" s="55">
        <f>VLOOKUP(A:A,Table1[[Project No]:[Additional Remark]],12,FALSE)</f>
        <v>0</v>
      </c>
      <c r="E213" s="55" t="str">
        <f>VLOOKUP(A:A,Table1[[Project No]:[Additional Remark]],4,FALSE)</f>
        <v>Tham</v>
      </c>
      <c r="F213" s="4" t="str">
        <f>VLOOKUP(A:A,Table1[[Project No]:[Additional Remark]],5,FALSE)</f>
        <v>R-PV</v>
      </c>
      <c r="G213" s="4" t="str">
        <f>VLOOKUP(A:A,Table1[[Project No]:[Additional Remark]],13,FALSE)</f>
        <v>Cash</v>
      </c>
      <c r="H213" s="4" t="str" cm="1">
        <f t="array" ref="H213">_xlfn.IFS((D213+C213)-J213=0,"Invoice Completed",AC213&lt;&gt;"","5th invoice",Y213&lt;&gt;"","4th invoice",U213&lt;&gt;"","3rd invoice",Q213&lt;&gt;"","2nd invoice",M213&lt;&gt;"","1st invoice",M213="","Pending 1st Invoice")</f>
        <v>Invoice Completed</v>
      </c>
      <c r="I213" s="4" t="str" cm="1">
        <f t="array" ref="I213">_xlfn.IFS((C213+D213)-K213=0,"Payment Completed",AE213&lt;&gt;"","5th payment",AA213&lt;&gt;"","4th payment",W213&lt;&gt;"","3rd payment",S213&lt;&gt;"","2nd payment",O213&lt;&gt;"","1st payment",O213="","Pending 1st Payment")</f>
        <v>Payment Completed</v>
      </c>
      <c r="J213" s="55">
        <f t="shared" si="6"/>
        <v>42000</v>
      </c>
      <c r="K213" s="55">
        <f t="shared" si="7"/>
        <v>42000</v>
      </c>
      <c r="L213" s="65">
        <v>45702</v>
      </c>
      <c r="M213" s="66">
        <v>500</v>
      </c>
      <c r="N213" s="65">
        <v>45702</v>
      </c>
      <c r="O213" s="66">
        <v>500</v>
      </c>
      <c r="P213" s="39">
        <v>45740</v>
      </c>
      <c r="Q213" s="57">
        <v>41500</v>
      </c>
      <c r="R213" s="39">
        <v>45740</v>
      </c>
      <c r="S213" s="57">
        <v>41500</v>
      </c>
      <c r="T213" s="65"/>
      <c r="U213" s="66"/>
      <c r="V213" s="65"/>
      <c r="W213" s="66"/>
      <c r="X213" s="39"/>
      <c r="Y213" s="57"/>
      <c r="Z213" s="39"/>
      <c r="AA213" s="57"/>
      <c r="AB213" s="65"/>
      <c r="AC213" s="66"/>
      <c r="AD213" s="65"/>
      <c r="AE213" s="66"/>
      <c r="AF213" s="39"/>
      <c r="AG213" s="57"/>
      <c r="AH213" s="39"/>
      <c r="AI213" s="57"/>
    </row>
    <row r="214" spans="1:35" ht="19.5" customHeight="1" x14ac:dyDescent="0.3">
      <c r="A214" s="4">
        <f>'ECN Master Project Tracker new'!A215</f>
        <v>2502552</v>
      </c>
      <c r="B214" s="110" t="str">
        <f>VLOOKUP(A:A,Table1[[Project No]:[Additional Remark]],2,FALSE)</f>
        <v>Anandan a/l Balakrishnan</v>
      </c>
      <c r="C214" s="55">
        <f>VLOOKUP(A:A,Table1[[Project No]:[Additional Remark]],11,FALSE)</f>
        <v>31000</v>
      </c>
      <c r="D214" s="55">
        <f>VLOOKUP(A:A,Table1[[Project No]:[Additional Remark]],12,FALSE)</f>
        <v>0</v>
      </c>
      <c r="E214" s="55" t="str">
        <f>VLOOKUP(A:A,Table1[[Project No]:[Additional Remark]],4,FALSE)</f>
        <v>Tham</v>
      </c>
      <c r="F214" s="4" t="str">
        <f>VLOOKUP(A:A,Table1[[Project No]:[Additional Remark]],5,FALSE)</f>
        <v>R-PV</v>
      </c>
      <c r="G214" s="4" t="str">
        <f>VLOOKUP(A:A,Table1[[Project No]:[Additional Remark]],13,FALSE)</f>
        <v>Cash</v>
      </c>
      <c r="H214" s="4" t="str" cm="1">
        <f t="array" ref="H214">_xlfn.IFS((D214+C214)-J214=0,"Invoice Completed",AC214&lt;&gt;"","5th invoice",Y214&lt;&gt;"","4th invoice",U214&lt;&gt;"","3rd invoice",Q214&lt;&gt;"","2nd invoice",M214&lt;&gt;"","1st invoice",M214="","Pending 1st Invoice")</f>
        <v>Invoice Completed</v>
      </c>
      <c r="I214" s="4" t="str" cm="1">
        <f t="array" ref="I214">_xlfn.IFS((C214+D214)-K214=0,"Payment Completed",AE214&lt;&gt;"","5th payment",AA214&lt;&gt;"","4th payment",W214&lt;&gt;"","3rd payment",S214&lt;&gt;"","2nd payment",O214&lt;&gt;"","1st payment",O214="","Pending 1st Payment")</f>
        <v>Payment Completed</v>
      </c>
      <c r="J214" s="55">
        <f t="shared" si="6"/>
        <v>31000</v>
      </c>
      <c r="K214" s="55">
        <f t="shared" si="7"/>
        <v>31000</v>
      </c>
      <c r="L214" s="65">
        <v>45702</v>
      </c>
      <c r="M214" s="66">
        <v>500</v>
      </c>
      <c r="N214" s="65">
        <v>45702</v>
      </c>
      <c r="O214" s="66">
        <v>500</v>
      </c>
      <c r="P214" s="39">
        <v>45754</v>
      </c>
      <c r="Q214" s="57">
        <v>30500</v>
      </c>
      <c r="R214" s="39">
        <v>45754</v>
      </c>
      <c r="S214" s="57">
        <v>30500</v>
      </c>
      <c r="T214" s="65"/>
      <c r="U214" s="66"/>
      <c r="V214" s="65"/>
      <c r="W214" s="66"/>
      <c r="X214" s="39"/>
      <c r="Y214" s="57"/>
      <c r="Z214" s="39"/>
      <c r="AA214" s="57"/>
      <c r="AB214" s="65"/>
      <c r="AC214" s="66"/>
      <c r="AD214" s="65"/>
      <c r="AE214" s="66"/>
      <c r="AF214" s="39"/>
      <c r="AG214" s="57"/>
      <c r="AH214" s="39"/>
      <c r="AI214" s="57"/>
    </row>
    <row r="215" spans="1:35" ht="19.5" customHeight="1" x14ac:dyDescent="0.3">
      <c r="A215" s="4">
        <f>'ECN Master Project Tracker new'!A216</f>
        <v>2412519</v>
      </c>
      <c r="B215" s="110" t="str">
        <f>VLOOKUP(A:A,Table1[[Project No]:[Additional Remark]],2,FALSE)</f>
        <v>Liew Swee Fah</v>
      </c>
      <c r="C215" s="55">
        <f>VLOOKUP(A:A,Table1[[Project No]:[Additional Remark]],11,FALSE)</f>
        <v>21500</v>
      </c>
      <c r="D215" s="55">
        <f>VLOOKUP(A:A,Table1[[Project No]:[Additional Remark]],12,FALSE)</f>
        <v>0</v>
      </c>
      <c r="E215" s="55" t="str">
        <f>VLOOKUP(A:A,Table1[[Project No]:[Additional Remark]],4,FALSE)</f>
        <v>Tham</v>
      </c>
      <c r="F215" s="4" t="str">
        <f>VLOOKUP(A:A,Table1[[Project No]:[Additional Remark]],5,FALSE)</f>
        <v>R-PV</v>
      </c>
      <c r="G215" s="4" t="str">
        <f>VLOOKUP(A:A,Table1[[Project No]:[Additional Remark]],13,FALSE)</f>
        <v>Cash</v>
      </c>
      <c r="H215" s="4" t="str" cm="1">
        <f t="array" ref="H215">_xlfn.IFS((D215+C215)-J215=0,"Invoice Completed",AC215&lt;&gt;"","5th invoice",Y215&lt;&gt;"","4th invoice",U215&lt;&gt;"","3rd invoice",Q215&lt;&gt;"","2nd invoice",M215&lt;&gt;"","1st invoice",M215="","Pending 1st Invoice")</f>
        <v>Invoice Completed</v>
      </c>
      <c r="I215" s="4" t="str" cm="1">
        <f t="array" ref="I215">_xlfn.IFS((C215+D215)-K215=0,"Payment Completed",AE215&lt;&gt;"","5th payment",AA215&lt;&gt;"","4th payment",W215&lt;&gt;"","3rd payment",S215&lt;&gt;"","2nd payment",O215&lt;&gt;"","1st payment",O215="","Pending 1st Payment")</f>
        <v>Payment Completed</v>
      </c>
      <c r="J215" s="55">
        <f t="shared" si="6"/>
        <v>21500</v>
      </c>
      <c r="K215" s="55">
        <f t="shared" si="7"/>
        <v>21500</v>
      </c>
      <c r="L215" s="65">
        <v>45700</v>
      </c>
      <c r="M215" s="66">
        <v>500</v>
      </c>
      <c r="N215" s="65">
        <v>45700</v>
      </c>
      <c r="O215" s="66">
        <v>500</v>
      </c>
      <c r="P215" s="39">
        <v>45755</v>
      </c>
      <c r="Q215" s="57">
        <v>19000</v>
      </c>
      <c r="R215" s="39">
        <v>45755</v>
      </c>
      <c r="S215" s="57">
        <v>19000</v>
      </c>
      <c r="T215" s="65">
        <v>45812</v>
      </c>
      <c r="U215" s="66">
        <v>2000</v>
      </c>
      <c r="V215" s="65">
        <v>45812</v>
      </c>
      <c r="W215" s="66">
        <v>2000</v>
      </c>
      <c r="X215" s="39"/>
      <c r="Y215" s="57"/>
      <c r="Z215" s="39"/>
      <c r="AA215" s="57"/>
      <c r="AB215" s="65"/>
      <c r="AC215" s="66"/>
      <c r="AD215" s="65"/>
      <c r="AE215" s="66"/>
      <c r="AF215" s="39"/>
      <c r="AG215" s="57"/>
      <c r="AH215" s="39"/>
      <c r="AI215" s="57"/>
    </row>
    <row r="216" spans="1:35" ht="19.5" customHeight="1" x14ac:dyDescent="0.3">
      <c r="A216" s="4">
        <f>'ECN Master Project Tracker new'!A217</f>
        <v>2502547</v>
      </c>
      <c r="B216" s="110" t="str">
        <f>VLOOKUP(A:A,Table1[[Project No]:[Additional Remark]],2,FALSE)</f>
        <v>Chong Chee Hoo</v>
      </c>
      <c r="C216" s="55">
        <f>VLOOKUP(A:A,Table1[[Project No]:[Additional Remark]],11,FALSE)</f>
        <v>32840</v>
      </c>
      <c r="D216" s="55">
        <f>VLOOKUP(A:A,Table1[[Project No]:[Additional Remark]],12,FALSE)</f>
        <v>0</v>
      </c>
      <c r="E216" s="55" t="str">
        <f>VLOOKUP(A:A,Table1[[Project No]:[Additional Remark]],4,FALSE)</f>
        <v>Tham</v>
      </c>
      <c r="F216" s="4" t="str">
        <f>VLOOKUP(A:A,Table1[[Project No]:[Additional Remark]],5,FALSE)</f>
        <v>R-PV</v>
      </c>
      <c r="G216" s="4" t="str">
        <f>VLOOKUP(A:A,Table1[[Project No]:[Additional Remark]],13,FALSE)</f>
        <v>Credit Card Instalment</v>
      </c>
      <c r="H216" s="4" t="str" cm="1">
        <f t="array" ref="H216">_xlfn.IFS((D216+C216)-J216=0,"Invoice Completed",AC216&lt;&gt;"","5th invoice",Y216&lt;&gt;"","4th invoice",U216&lt;&gt;"","3rd invoice",Q216&lt;&gt;"","2nd invoice",M216&lt;&gt;"","1st invoice",M216="","Pending 1st Invoice")</f>
        <v>Invoice Completed</v>
      </c>
      <c r="I216" s="4" t="str" cm="1">
        <f t="array" ref="I216">_xlfn.IFS((C216+D216)-K216=0,"Payment Completed",AE216&lt;&gt;"","5th payment",AA216&lt;&gt;"","4th payment",W216&lt;&gt;"","3rd payment",S216&lt;&gt;"","2nd payment",O216&lt;&gt;"","1st payment",O216="","Pending 1st Payment")</f>
        <v>Payment Completed</v>
      </c>
      <c r="J216" s="55">
        <f t="shared" si="6"/>
        <v>32840</v>
      </c>
      <c r="K216" s="55">
        <f t="shared" si="7"/>
        <v>32840</v>
      </c>
      <c r="L216" s="65">
        <v>45710</v>
      </c>
      <c r="M216" s="66">
        <v>500</v>
      </c>
      <c r="N216" s="65">
        <v>45712</v>
      </c>
      <c r="O216" s="66">
        <v>500</v>
      </c>
      <c r="P216" s="39">
        <v>45750</v>
      </c>
      <c r="Q216" s="57">
        <v>32340</v>
      </c>
      <c r="R216" s="39">
        <v>45750</v>
      </c>
      <c r="S216" s="57">
        <v>32340</v>
      </c>
      <c r="T216" s="65"/>
      <c r="U216" s="66"/>
      <c r="V216" s="65"/>
      <c r="W216" s="66"/>
      <c r="X216" s="39"/>
      <c r="Y216" s="57"/>
      <c r="Z216" s="39"/>
      <c r="AA216" s="57"/>
      <c r="AB216" s="65"/>
      <c r="AC216" s="66"/>
      <c r="AD216" s="65"/>
      <c r="AE216" s="66"/>
      <c r="AF216" s="39"/>
      <c r="AG216" s="57"/>
      <c r="AH216" s="39"/>
      <c r="AI216" s="57"/>
    </row>
    <row r="217" spans="1:35" ht="19.5" customHeight="1" x14ac:dyDescent="0.3">
      <c r="A217" s="4">
        <f>'ECN Master Project Tracker new'!A218</f>
        <v>2502541</v>
      </c>
      <c r="B217" s="110" t="str">
        <f>VLOOKUP(A:A,Table1[[Project No]:[Additional Remark]],2,FALSE)</f>
        <v>Boo Kee Meng</v>
      </c>
      <c r="C217" s="55">
        <f>VLOOKUP(A:A,Table1[[Project No]:[Additional Remark]],11,FALSE)</f>
        <v>21500</v>
      </c>
      <c r="D217" s="55">
        <f>VLOOKUP(A:A,Table1[[Project No]:[Additional Remark]],12,FALSE)</f>
        <v>0</v>
      </c>
      <c r="E217" s="55" t="str">
        <f>VLOOKUP(A:A,Table1[[Project No]:[Additional Remark]],4,FALSE)</f>
        <v>Tham</v>
      </c>
      <c r="F217" s="4" t="str">
        <f>VLOOKUP(A:A,Table1[[Project No]:[Additional Remark]],5,FALSE)</f>
        <v>R-PV</v>
      </c>
      <c r="G217" s="4" t="str">
        <f>VLOOKUP(A:A,Table1[[Project No]:[Additional Remark]],13,FALSE)</f>
        <v>Cash</v>
      </c>
      <c r="H217" s="4" t="str" cm="1">
        <f t="array" ref="H217">_xlfn.IFS((D217+C217)-J217=0,"Invoice Completed",AC217&lt;&gt;"","5th invoice",Y217&lt;&gt;"","4th invoice",U217&lt;&gt;"","3rd invoice",Q217&lt;&gt;"","2nd invoice",M217&lt;&gt;"","1st invoice",M217="","Pending 1st Invoice")</f>
        <v>Invoice Completed</v>
      </c>
      <c r="I217" s="4" t="str" cm="1">
        <f t="array" ref="I217">_xlfn.IFS((C217+D217)-K217=0,"Payment Completed",AE217&lt;&gt;"","5th payment",AA217&lt;&gt;"","4th payment",W217&lt;&gt;"","3rd payment",S217&lt;&gt;"","2nd payment",O217&lt;&gt;"","1st payment",O217="","Pending 1st Payment")</f>
        <v>Payment Completed</v>
      </c>
      <c r="J217" s="55">
        <f t="shared" si="6"/>
        <v>21500</v>
      </c>
      <c r="K217" s="55">
        <f t="shared" si="7"/>
        <v>21500</v>
      </c>
      <c r="L217" s="65">
        <v>45704</v>
      </c>
      <c r="M217" s="66">
        <v>500</v>
      </c>
      <c r="N217" s="65">
        <v>45705</v>
      </c>
      <c r="O217" s="66">
        <v>500</v>
      </c>
      <c r="P217" s="39">
        <v>45734</v>
      </c>
      <c r="Q217" s="57">
        <v>19000</v>
      </c>
      <c r="R217" s="39">
        <v>45734</v>
      </c>
      <c r="S217" s="57">
        <v>19000</v>
      </c>
      <c r="T217" s="65">
        <v>45794</v>
      </c>
      <c r="U217" s="66">
        <v>2000</v>
      </c>
      <c r="V217" s="65">
        <v>45794</v>
      </c>
      <c r="W217" s="66">
        <v>2000</v>
      </c>
      <c r="X217" s="39"/>
      <c r="Y217" s="57"/>
      <c r="Z217" s="39"/>
      <c r="AA217" s="57"/>
      <c r="AB217" s="65"/>
      <c r="AC217" s="66"/>
      <c r="AD217" s="65"/>
      <c r="AE217" s="66"/>
      <c r="AF217" s="39"/>
      <c r="AG217" s="57"/>
      <c r="AH217" s="39"/>
      <c r="AI217" s="57"/>
    </row>
    <row r="218" spans="1:35" ht="19.5" customHeight="1" x14ac:dyDescent="0.3">
      <c r="A218" s="4">
        <f>'ECN Master Project Tracker new'!A219</f>
        <v>2502556</v>
      </c>
      <c r="B218" s="110" t="str">
        <f>VLOOKUP(A:A,Table1[[Project No]:[Additional Remark]],2,FALSE)</f>
        <v>Gan Chong Sing</v>
      </c>
      <c r="C218" s="55">
        <f>VLOOKUP(A:A,Table1[[Project No]:[Additional Remark]],11,FALSE)</f>
        <v>22500</v>
      </c>
      <c r="D218" s="55">
        <f>VLOOKUP(A:A,Table1[[Project No]:[Additional Remark]],12,FALSE)</f>
        <v>0</v>
      </c>
      <c r="E218" s="55" t="str">
        <f>VLOOKUP(A:A,Table1[[Project No]:[Additional Remark]],4,FALSE)</f>
        <v>Patricia</v>
      </c>
      <c r="F218" s="4" t="str">
        <f>VLOOKUP(A:A,Table1[[Project No]:[Additional Remark]],5,FALSE)</f>
        <v>R-PV</v>
      </c>
      <c r="G218" s="4" t="str">
        <f>VLOOKUP(A:A,Table1[[Project No]:[Additional Remark]],13,FALSE)</f>
        <v>Cash</v>
      </c>
      <c r="H218" s="4" t="str" cm="1">
        <f t="array" ref="H218">_xlfn.IFS((D218+C218)-J218=0,"Invoice Completed",AC218&lt;&gt;"","5th invoice",Y218&lt;&gt;"","4th invoice",U218&lt;&gt;"","3rd invoice",Q218&lt;&gt;"","2nd invoice",M218&lt;&gt;"","1st invoice",M218="","Pending 1st Invoice")</f>
        <v>Invoice Completed</v>
      </c>
      <c r="I218" s="4" t="str" cm="1">
        <f t="array" ref="I218">_xlfn.IFS((C218+D218)-K218=0,"Payment Completed",AE218&lt;&gt;"","5th payment",AA218&lt;&gt;"","4th payment",W218&lt;&gt;"","3rd payment",S218&lt;&gt;"","2nd payment",O218&lt;&gt;"","1st payment",O218="","Pending 1st Payment")</f>
        <v>Payment Completed</v>
      </c>
      <c r="J218" s="55">
        <f t="shared" si="6"/>
        <v>22500</v>
      </c>
      <c r="K218" s="55">
        <f t="shared" si="7"/>
        <v>22500</v>
      </c>
      <c r="L218" s="65">
        <v>45705</v>
      </c>
      <c r="M218" s="66">
        <v>500</v>
      </c>
      <c r="N218" s="65">
        <v>45705</v>
      </c>
      <c r="O218" s="66">
        <v>500</v>
      </c>
      <c r="P218" s="39">
        <v>45733</v>
      </c>
      <c r="Q218" s="57">
        <v>20000</v>
      </c>
      <c r="R218" s="39">
        <v>45733</v>
      </c>
      <c r="S218" s="57">
        <v>20000</v>
      </c>
      <c r="T218" s="65">
        <v>45762</v>
      </c>
      <c r="U218" s="66">
        <v>2000</v>
      </c>
      <c r="V218" s="65">
        <v>45762</v>
      </c>
      <c r="W218" s="66">
        <v>2000</v>
      </c>
      <c r="X218" s="39"/>
      <c r="Y218" s="57"/>
      <c r="Z218" s="39"/>
      <c r="AA218" s="57"/>
      <c r="AB218" s="65"/>
      <c r="AC218" s="66"/>
      <c r="AD218" s="65"/>
      <c r="AE218" s="66"/>
      <c r="AF218" s="39"/>
      <c r="AG218" s="57"/>
      <c r="AH218" s="39"/>
      <c r="AI218" s="57"/>
    </row>
    <row r="219" spans="1:35" ht="19.5" customHeight="1" x14ac:dyDescent="0.3">
      <c r="A219" s="4">
        <f>'ECN Master Project Tracker new'!A220</f>
        <v>2502551</v>
      </c>
      <c r="B219" s="110" t="str">
        <f>VLOOKUP(A:A,Table1[[Project No]:[Additional Remark]],2,FALSE)</f>
        <v>Tan Seng Shen</v>
      </c>
      <c r="C219" s="55">
        <f>VLOOKUP(A:A,Table1[[Project No]:[Additional Remark]],11,FALSE)</f>
        <v>35000</v>
      </c>
      <c r="D219" s="55">
        <f>VLOOKUP(A:A,Table1[[Project No]:[Additional Remark]],12,FALSE)</f>
        <v>0</v>
      </c>
      <c r="E219" s="55" t="str">
        <f>VLOOKUP(A:A,Table1[[Project No]:[Additional Remark]],4,FALSE)</f>
        <v>Tham</v>
      </c>
      <c r="F219" s="4" t="str">
        <f>VLOOKUP(A:A,Table1[[Project No]:[Additional Remark]],5,FALSE)</f>
        <v>R-PV</v>
      </c>
      <c r="G219" s="4" t="str">
        <f>VLOOKUP(A:A,Table1[[Project No]:[Additional Remark]],13,FALSE)</f>
        <v>Cash</v>
      </c>
      <c r="H219" s="4" t="str" cm="1">
        <f t="array" ref="H219">_xlfn.IFS((D219+C219)-J219=0,"Invoice Completed",AC219&lt;&gt;"","5th invoice",Y219&lt;&gt;"","4th invoice",U219&lt;&gt;"","3rd invoice",Q219&lt;&gt;"","2nd invoice",M219&lt;&gt;"","1st invoice",M219="","Pending 1st Invoice")</f>
        <v>Invoice Completed</v>
      </c>
      <c r="I219" s="4" t="str" cm="1">
        <f t="array" ref="I219">_xlfn.IFS((C219+D219)-K219=0,"Payment Completed",AE219&lt;&gt;"","5th payment",AA219&lt;&gt;"","4th payment",W219&lt;&gt;"","3rd payment",S219&lt;&gt;"","2nd payment",O219&lt;&gt;"","1st payment",O219="","Pending 1st Payment")</f>
        <v>Payment Completed</v>
      </c>
      <c r="J219" s="55">
        <f t="shared" si="6"/>
        <v>35000</v>
      </c>
      <c r="K219" s="55">
        <f t="shared" si="7"/>
        <v>35000</v>
      </c>
      <c r="L219" s="65">
        <v>45705</v>
      </c>
      <c r="M219" s="66">
        <v>500</v>
      </c>
      <c r="N219" s="65">
        <v>45705</v>
      </c>
      <c r="O219" s="66">
        <v>500</v>
      </c>
      <c r="P219" s="39">
        <v>45726</v>
      </c>
      <c r="Q219" s="57">
        <v>32500</v>
      </c>
      <c r="R219" s="39">
        <v>45728</v>
      </c>
      <c r="S219" s="57">
        <v>32500</v>
      </c>
      <c r="T219" s="65">
        <v>45805</v>
      </c>
      <c r="U219" s="66">
        <v>2000</v>
      </c>
      <c r="V219" s="65">
        <v>45806</v>
      </c>
      <c r="W219" s="66">
        <v>2000</v>
      </c>
      <c r="X219" s="39"/>
      <c r="Y219" s="57"/>
      <c r="Z219" s="39"/>
      <c r="AA219" s="57"/>
      <c r="AB219" s="65"/>
      <c r="AC219" s="66"/>
      <c r="AD219" s="65"/>
      <c r="AE219" s="66"/>
      <c r="AF219" s="39"/>
      <c r="AG219" s="57"/>
      <c r="AH219" s="39"/>
      <c r="AI219" s="57"/>
    </row>
    <row r="220" spans="1:35" ht="19.5" customHeight="1" x14ac:dyDescent="0.3">
      <c r="A220" s="4">
        <f>'ECN Master Project Tracker new'!A221</f>
        <v>2502546</v>
      </c>
      <c r="B220" s="110" t="str">
        <f>VLOOKUP(A:A,Table1[[Project No]:[Additional Remark]],2,FALSE)</f>
        <v>Jordan Tan Heng Xiang</v>
      </c>
      <c r="C220" s="55">
        <f>VLOOKUP(A:A,Table1[[Project No]:[Additional Remark]],11,FALSE)</f>
        <v>22500</v>
      </c>
      <c r="D220" s="55">
        <f>VLOOKUP(A:A,Table1[[Project No]:[Additional Remark]],12,FALSE)</f>
        <v>0</v>
      </c>
      <c r="E220" s="55" t="str">
        <f>VLOOKUP(A:A,Table1[[Project No]:[Additional Remark]],4,FALSE)</f>
        <v>Tham</v>
      </c>
      <c r="F220" s="4" t="str">
        <f>VLOOKUP(A:A,Table1[[Project No]:[Additional Remark]],5,FALSE)</f>
        <v>R-PV</v>
      </c>
      <c r="G220" s="4" t="str">
        <f>VLOOKUP(A:A,Table1[[Project No]:[Additional Remark]],13,FALSE)</f>
        <v>Cash</v>
      </c>
      <c r="H220" s="4" t="str" cm="1">
        <f t="array" ref="H220">_xlfn.IFS((D220+C220)-J220=0,"Invoice Completed",AC220&lt;&gt;"","5th invoice",Y220&lt;&gt;"","4th invoice",U220&lt;&gt;"","3rd invoice",Q220&lt;&gt;"","2nd invoice",M220&lt;&gt;"","1st invoice",M220="","Pending 1st Invoice")</f>
        <v>Invoice Completed</v>
      </c>
      <c r="I220" s="4" t="str" cm="1">
        <f t="array" ref="I220">_xlfn.IFS((C220+D220)-K220=0,"Payment Completed",AE220&lt;&gt;"","5th payment",AA220&lt;&gt;"","4th payment",W220&lt;&gt;"","3rd payment",S220&lt;&gt;"","2nd payment",O220&lt;&gt;"","1st payment",O220="","Pending 1st Payment")</f>
        <v>Payment Completed</v>
      </c>
      <c r="J220" s="55">
        <f t="shared" si="6"/>
        <v>22500</v>
      </c>
      <c r="K220" s="55">
        <f t="shared" si="7"/>
        <v>22500</v>
      </c>
      <c r="L220" s="65">
        <v>45705</v>
      </c>
      <c r="M220" s="66">
        <v>500</v>
      </c>
      <c r="N220" s="65">
        <v>45705</v>
      </c>
      <c r="O220" s="66">
        <v>500</v>
      </c>
      <c r="P220" s="39">
        <v>45724</v>
      </c>
      <c r="Q220" s="57">
        <v>20000</v>
      </c>
      <c r="R220" s="39">
        <v>45724</v>
      </c>
      <c r="S220" s="57">
        <v>20000</v>
      </c>
      <c r="T220" s="65">
        <v>45777</v>
      </c>
      <c r="U220" s="66">
        <v>2000</v>
      </c>
      <c r="V220" s="65">
        <v>45777</v>
      </c>
      <c r="W220" s="66">
        <v>2000</v>
      </c>
      <c r="X220" s="39"/>
      <c r="Y220" s="57"/>
      <c r="Z220" s="39"/>
      <c r="AA220" s="57"/>
      <c r="AB220" s="65"/>
      <c r="AC220" s="66"/>
      <c r="AD220" s="65"/>
      <c r="AE220" s="66"/>
      <c r="AF220" s="39"/>
      <c r="AG220" s="57"/>
      <c r="AH220" s="39"/>
      <c r="AI220" s="57"/>
    </row>
    <row r="221" spans="1:35" ht="19.5" customHeight="1" x14ac:dyDescent="0.3">
      <c r="A221" s="4">
        <f>'ECN Master Project Tracker new'!A222</f>
        <v>2502559</v>
      </c>
      <c r="B221" s="110" t="str">
        <f>VLOOKUP(A:A,Table1[[Project No]:[Additional Remark]],2,FALSE)</f>
        <v>Wong Peng Soon</v>
      </c>
      <c r="C221" s="55">
        <f>VLOOKUP(A:A,Table1[[Project No]:[Additional Remark]],11,FALSE)</f>
        <v>28000</v>
      </c>
      <c r="D221" s="55">
        <f>VLOOKUP(A:A,Table1[[Project No]:[Additional Remark]],12,FALSE)</f>
        <v>0</v>
      </c>
      <c r="E221" s="55" t="str">
        <f>VLOOKUP(A:A,Table1[[Project No]:[Additional Remark]],4,FALSE)</f>
        <v>Chean Bang</v>
      </c>
      <c r="F221" s="4" t="str">
        <f>VLOOKUP(A:A,Table1[[Project No]:[Additional Remark]],5,FALSE)</f>
        <v>R-PV</v>
      </c>
      <c r="G221" s="4" t="str">
        <f>VLOOKUP(A:A,Table1[[Project No]:[Additional Remark]],13,FALSE)</f>
        <v>Cash</v>
      </c>
      <c r="H221" s="4" t="str" cm="1">
        <f t="array" ref="H221">_xlfn.IFS((D221+C221)-J221=0,"Invoice Completed",AC221&lt;&gt;"","5th invoice",Y221&lt;&gt;"","4th invoice",U221&lt;&gt;"","3rd invoice",Q221&lt;&gt;"","2nd invoice",M221&lt;&gt;"","1st invoice",M221="","Pending 1st Invoice")</f>
        <v>Invoice Completed</v>
      </c>
      <c r="I221" s="4" t="str" cm="1">
        <f t="array" ref="I221">_xlfn.IFS((C221+D221)-K221=0,"Payment Completed",AE221&lt;&gt;"","5th payment",AA221&lt;&gt;"","4th payment",W221&lt;&gt;"","3rd payment",S221&lt;&gt;"","2nd payment",O221&lt;&gt;"","1st payment",O221="","Pending 1st Payment")</f>
        <v>Payment Completed</v>
      </c>
      <c r="J221" s="55">
        <f t="shared" si="6"/>
        <v>28000</v>
      </c>
      <c r="K221" s="55">
        <f t="shared" si="7"/>
        <v>28000</v>
      </c>
      <c r="L221" s="65">
        <v>45706</v>
      </c>
      <c r="M221" s="66">
        <v>500</v>
      </c>
      <c r="N221" s="65">
        <v>45706</v>
      </c>
      <c r="O221" s="66">
        <v>500</v>
      </c>
      <c r="P221" s="39">
        <v>45739</v>
      </c>
      <c r="Q221" s="57">
        <v>25500</v>
      </c>
      <c r="R221" s="39">
        <v>45739</v>
      </c>
      <c r="S221" s="57">
        <v>25500</v>
      </c>
      <c r="T221" s="65">
        <v>45749</v>
      </c>
      <c r="U221" s="66">
        <v>2000</v>
      </c>
      <c r="V221" s="65">
        <v>45750</v>
      </c>
      <c r="W221" s="66">
        <v>2000</v>
      </c>
      <c r="X221" s="39"/>
      <c r="Y221" s="57"/>
      <c r="Z221" s="39"/>
      <c r="AA221" s="57"/>
      <c r="AB221" s="65"/>
      <c r="AC221" s="66"/>
      <c r="AD221" s="65"/>
      <c r="AE221" s="66"/>
      <c r="AF221" s="39"/>
      <c r="AG221" s="57"/>
      <c r="AH221" s="39"/>
      <c r="AI221" s="57"/>
    </row>
    <row r="222" spans="1:35" ht="19.5" customHeight="1" x14ac:dyDescent="0.3">
      <c r="A222" s="4">
        <f>'ECN Master Project Tracker new'!A223</f>
        <v>2501537</v>
      </c>
      <c r="B222" s="110" t="str">
        <f>VLOOKUP(A:A,Table1[[Project No]:[Additional Remark]],2,FALSE)</f>
        <v>Chan My Ling</v>
      </c>
      <c r="C222" s="55">
        <f>VLOOKUP(A:A,Table1[[Project No]:[Additional Remark]],11,FALSE)</f>
        <v>33800</v>
      </c>
      <c r="D222" s="55">
        <f>VLOOKUP(A:A,Table1[[Project No]:[Additional Remark]],12,FALSE)</f>
        <v>0</v>
      </c>
      <c r="E222" s="55" t="str">
        <f>VLOOKUP(A:A,Table1[[Project No]:[Additional Remark]],4,FALSE)</f>
        <v>Tham</v>
      </c>
      <c r="F222" s="4" t="str">
        <f>VLOOKUP(A:A,Table1[[Project No]:[Additional Remark]],5,FALSE)</f>
        <v>R-PV</v>
      </c>
      <c r="G222" s="4" t="str">
        <f>VLOOKUP(A:A,Table1[[Project No]:[Additional Remark]],13,FALSE)</f>
        <v>Credit Card Instalment</v>
      </c>
      <c r="H222" s="4" t="str" cm="1">
        <f t="array" ref="H222">_xlfn.IFS((D222+C222)-J222=0,"Invoice Completed",AC222&lt;&gt;"","5th invoice",Y222&lt;&gt;"","4th invoice",U222&lt;&gt;"","3rd invoice",Q222&lt;&gt;"","2nd invoice",M222&lt;&gt;"","1st invoice",M222="","Pending 1st Invoice")</f>
        <v>Invoice Completed</v>
      </c>
      <c r="I222" s="4" t="str" cm="1">
        <f t="array" ref="I222">_xlfn.IFS((C222+D222)-K222=0,"Payment Completed",AE222&lt;&gt;"","5th payment",AA222&lt;&gt;"","4th payment",W222&lt;&gt;"","3rd payment",S222&lt;&gt;"","2nd payment",O222&lt;&gt;"","1st payment",O222="","Pending 1st Payment")</f>
        <v>Payment Completed</v>
      </c>
      <c r="J222" s="55">
        <f t="shared" si="6"/>
        <v>33800</v>
      </c>
      <c r="K222" s="55">
        <f t="shared" si="7"/>
        <v>33800</v>
      </c>
      <c r="L222" s="65">
        <v>45701</v>
      </c>
      <c r="M222" s="66">
        <v>500</v>
      </c>
      <c r="N222" s="65">
        <v>45705</v>
      </c>
      <c r="O222" s="66">
        <v>500</v>
      </c>
      <c r="P222" s="39">
        <v>45744</v>
      </c>
      <c r="Q222" s="57">
        <v>33300</v>
      </c>
      <c r="R222" s="39">
        <v>45744</v>
      </c>
      <c r="S222" s="57">
        <v>33300</v>
      </c>
      <c r="T222" s="65"/>
      <c r="U222" s="66"/>
      <c r="V222" s="65"/>
      <c r="W222" s="66"/>
      <c r="X222" s="39"/>
      <c r="Y222" s="57"/>
      <c r="Z222" s="39"/>
      <c r="AA222" s="57"/>
      <c r="AB222" s="65"/>
      <c r="AC222" s="66"/>
      <c r="AD222" s="65"/>
      <c r="AE222" s="66"/>
      <c r="AF222" s="39"/>
      <c r="AG222" s="57"/>
      <c r="AH222" s="39"/>
      <c r="AI222" s="57"/>
    </row>
    <row r="223" spans="1:35" ht="19.5" customHeight="1" x14ac:dyDescent="0.3">
      <c r="A223" s="4">
        <f>'ECN Master Project Tracker new'!A224</f>
        <v>2502550</v>
      </c>
      <c r="B223" s="110" t="str">
        <f>VLOOKUP(A:A,Table1[[Project No]:[Additional Remark]],2,FALSE)</f>
        <v>Ricky Goh Hoon Kan</v>
      </c>
      <c r="C223" s="55">
        <f>VLOOKUP(A:A,Table1[[Project No]:[Additional Remark]],11,FALSE)</f>
        <v>37500</v>
      </c>
      <c r="D223" s="55">
        <f>VLOOKUP(A:A,Table1[[Project No]:[Additional Remark]],12,FALSE)</f>
        <v>0</v>
      </c>
      <c r="E223" s="55" t="str">
        <f>VLOOKUP(A:A,Table1[[Project No]:[Additional Remark]],4,FALSE)</f>
        <v>Chean Bang</v>
      </c>
      <c r="F223" s="4" t="str">
        <f>VLOOKUP(A:A,Table1[[Project No]:[Additional Remark]],5,FALSE)</f>
        <v>R-PV</v>
      </c>
      <c r="G223" s="4" t="str">
        <f>VLOOKUP(A:A,Table1[[Project No]:[Additional Remark]],13,FALSE)</f>
        <v>Cash</v>
      </c>
      <c r="H223" s="4" t="str" cm="1">
        <f t="array" ref="H223">_xlfn.IFS((D223+C223)-J223=0,"Invoice Completed",AC223&lt;&gt;"","5th invoice",Y223&lt;&gt;"","4th invoice",U223&lt;&gt;"","3rd invoice",Q223&lt;&gt;"","2nd invoice",M223&lt;&gt;"","1st invoice",M223="","Pending 1st Invoice")</f>
        <v>1st invoice</v>
      </c>
      <c r="I223" s="4" t="str" cm="1">
        <f t="array" ref="I223">_xlfn.IFS((C223+D223)-K223=0,"Payment Completed",AE223&lt;&gt;"","5th payment",AA223&lt;&gt;"","4th payment",W223&lt;&gt;"","3rd payment",S223&lt;&gt;"","2nd payment",O223&lt;&gt;"","1st payment",O223="","Pending 1st Payment")</f>
        <v>1st payment</v>
      </c>
      <c r="J223" s="55">
        <f t="shared" si="6"/>
        <v>35500</v>
      </c>
      <c r="K223" s="55">
        <f t="shared" si="7"/>
        <v>35500</v>
      </c>
      <c r="L223" s="65">
        <v>45922</v>
      </c>
      <c r="M223" s="66">
        <v>35500</v>
      </c>
      <c r="N223" s="65">
        <v>45922</v>
      </c>
      <c r="O223" s="66">
        <v>35500</v>
      </c>
      <c r="P223" s="39"/>
      <c r="Q223" s="57"/>
      <c r="R223" s="39"/>
      <c r="S223" s="57"/>
      <c r="T223" s="65"/>
      <c r="U223" s="66"/>
      <c r="V223" s="65"/>
      <c r="W223" s="66"/>
      <c r="X223" s="39"/>
      <c r="Y223" s="57"/>
      <c r="Z223" s="39"/>
      <c r="AA223" s="57"/>
      <c r="AB223" s="65"/>
      <c r="AC223" s="66"/>
      <c r="AD223" s="65"/>
      <c r="AE223" s="66"/>
      <c r="AF223" s="39"/>
      <c r="AG223" s="57"/>
      <c r="AH223" s="39"/>
      <c r="AI223" s="57"/>
    </row>
    <row r="224" spans="1:35" ht="19.5" customHeight="1" x14ac:dyDescent="0.3">
      <c r="A224" s="4">
        <f>'ECN Master Project Tracker new'!A225</f>
        <v>2502543</v>
      </c>
      <c r="B224" s="110" t="str">
        <f>VLOOKUP(A:A,Table1[[Project No]:[Additional Remark]],2,FALSE)</f>
        <v>Chow Leong Choon</v>
      </c>
      <c r="C224" s="55">
        <f>VLOOKUP(A:A,Table1[[Project No]:[Additional Remark]],11,FALSE)</f>
        <v>22000</v>
      </c>
      <c r="D224" s="55">
        <f>VLOOKUP(A:A,Table1[[Project No]:[Additional Remark]],12,FALSE)</f>
        <v>0</v>
      </c>
      <c r="E224" s="55" t="str">
        <f>VLOOKUP(A:A,Table1[[Project No]:[Additional Remark]],4,FALSE)</f>
        <v>Ong</v>
      </c>
      <c r="F224" s="4" t="str">
        <f>VLOOKUP(A:A,Table1[[Project No]:[Additional Remark]],5,FALSE)</f>
        <v>R-PV</v>
      </c>
      <c r="G224" s="4" t="str">
        <f>VLOOKUP(A:A,Table1[[Project No]:[Additional Remark]],13,FALSE)</f>
        <v>Cash</v>
      </c>
      <c r="H224" s="4" t="str" cm="1">
        <f t="array" ref="H224">_xlfn.IFS((D224+C224)-J224=0,"Invoice Completed",AC224&lt;&gt;"","5th invoice",Y224&lt;&gt;"","4th invoice",U224&lt;&gt;"","3rd invoice",Q224&lt;&gt;"","2nd invoice",M224&lt;&gt;"","1st invoice",M224="","Pending 1st Invoice")</f>
        <v>Invoice Completed</v>
      </c>
      <c r="I224" s="4" t="str" cm="1">
        <f t="array" ref="I224">_xlfn.IFS((C224+D224)-K224=0,"Payment Completed",AE224&lt;&gt;"","5th payment",AA224&lt;&gt;"","4th payment",W224&lt;&gt;"","3rd payment",S224&lt;&gt;"","2nd payment",O224&lt;&gt;"","1st payment",O224="","Pending 1st Payment")</f>
        <v>Payment Completed</v>
      </c>
      <c r="J224" s="55">
        <f t="shared" si="6"/>
        <v>22000</v>
      </c>
      <c r="K224" s="55">
        <f t="shared" si="7"/>
        <v>22000</v>
      </c>
      <c r="L224" s="65">
        <v>45701</v>
      </c>
      <c r="M224" s="66">
        <v>500</v>
      </c>
      <c r="N224" s="65">
        <v>45706</v>
      </c>
      <c r="O224" s="66">
        <v>500</v>
      </c>
      <c r="P224" s="39">
        <v>45732</v>
      </c>
      <c r="Q224" s="57">
        <v>19500</v>
      </c>
      <c r="R224" s="39">
        <v>45733</v>
      </c>
      <c r="S224" s="57">
        <v>19500</v>
      </c>
      <c r="T224" s="65">
        <v>45756</v>
      </c>
      <c r="U224" s="66">
        <v>2000</v>
      </c>
      <c r="V224" s="65">
        <v>45756</v>
      </c>
      <c r="W224" s="66">
        <v>2000</v>
      </c>
      <c r="X224" s="39"/>
      <c r="Y224" s="57"/>
      <c r="Z224" s="39"/>
      <c r="AA224" s="57"/>
      <c r="AB224" s="65"/>
      <c r="AC224" s="66"/>
      <c r="AD224" s="65"/>
      <c r="AE224" s="66"/>
      <c r="AF224" s="39"/>
      <c r="AG224" s="57"/>
      <c r="AH224" s="39"/>
      <c r="AI224" s="57"/>
    </row>
    <row r="225" spans="1:35" ht="19.5" customHeight="1" x14ac:dyDescent="0.3">
      <c r="A225" s="4">
        <f>'ECN Master Project Tracker new'!A226</f>
        <v>2502560</v>
      </c>
      <c r="B225" s="110" t="str">
        <f>VLOOKUP(A:A,Table1[[Project No]:[Additional Remark]],2,FALSE)</f>
        <v>Lim Sooi Poh</v>
      </c>
      <c r="C225" s="55">
        <f>VLOOKUP(A:A,Table1[[Project No]:[Additional Remark]],11,FALSE)</f>
        <v>35000</v>
      </c>
      <c r="D225" s="55">
        <f>VLOOKUP(A:A,Table1[[Project No]:[Additional Remark]],12,FALSE)</f>
        <v>0</v>
      </c>
      <c r="E225" s="55" t="str">
        <f>VLOOKUP(A:A,Table1[[Project No]:[Additional Remark]],4,FALSE)</f>
        <v>Tham</v>
      </c>
      <c r="F225" s="4" t="str">
        <f>VLOOKUP(A:A,Table1[[Project No]:[Additional Remark]],5,FALSE)</f>
        <v>R-PV</v>
      </c>
      <c r="G225" s="4" t="str">
        <f>VLOOKUP(A:A,Table1[[Project No]:[Additional Remark]],13,FALSE)</f>
        <v>Cash</v>
      </c>
      <c r="H225" s="4" t="str" cm="1">
        <f t="array" ref="H225">_xlfn.IFS((D225+C225)-J225=0,"Invoice Completed",AC225&lt;&gt;"","5th invoice",Y225&lt;&gt;"","4th invoice",U225&lt;&gt;"","3rd invoice",Q225&lt;&gt;"","2nd invoice",M225&lt;&gt;"","1st invoice",M225="","Pending 1st Invoice")</f>
        <v>Invoice Completed</v>
      </c>
      <c r="I225" s="4" t="str" cm="1">
        <f t="array" ref="I225">_xlfn.IFS((C225+D225)-K225=0,"Payment Completed",AE225&lt;&gt;"","5th payment",AA225&lt;&gt;"","4th payment",W225&lt;&gt;"","3rd payment",S225&lt;&gt;"","2nd payment",O225&lt;&gt;"","1st payment",O225="","Pending 1st Payment")</f>
        <v>Payment Completed</v>
      </c>
      <c r="J225" s="55">
        <f t="shared" si="6"/>
        <v>35000</v>
      </c>
      <c r="K225" s="55">
        <f t="shared" si="7"/>
        <v>35000</v>
      </c>
      <c r="L225" s="65">
        <v>45708</v>
      </c>
      <c r="M225" s="66">
        <v>500</v>
      </c>
      <c r="N225" s="65">
        <v>45708</v>
      </c>
      <c r="O225" s="66">
        <v>500</v>
      </c>
      <c r="P225" s="39">
        <v>45757</v>
      </c>
      <c r="Q225" s="57">
        <v>32500</v>
      </c>
      <c r="R225" s="39">
        <v>45758</v>
      </c>
      <c r="S225" s="57">
        <v>32500</v>
      </c>
      <c r="T225" s="65">
        <v>45838</v>
      </c>
      <c r="U225" s="66">
        <v>2000</v>
      </c>
      <c r="V225" s="65">
        <v>45839</v>
      </c>
      <c r="W225" s="66">
        <v>2000</v>
      </c>
      <c r="X225" s="39"/>
      <c r="Y225" s="57"/>
      <c r="Z225" s="39"/>
      <c r="AA225" s="57"/>
      <c r="AB225" s="65"/>
      <c r="AC225" s="66"/>
      <c r="AD225" s="65"/>
      <c r="AE225" s="66"/>
      <c r="AF225" s="39"/>
      <c r="AG225" s="57"/>
      <c r="AH225" s="39"/>
      <c r="AI225" s="57"/>
    </row>
    <row r="226" spans="1:35" ht="19.5" customHeight="1" x14ac:dyDescent="0.3">
      <c r="A226" s="4" t="str">
        <f>'ECN Master Project Tracker new'!A227</f>
        <v>2408411-1</v>
      </c>
      <c r="B226" s="110" t="str">
        <f>VLOOKUP(A:A,Table1[[Project No]:[Additional Remark]],2,FALSE)</f>
        <v>Eng Khai Shu</v>
      </c>
      <c r="C226" s="55">
        <f>VLOOKUP(A:A,Table1[[Project No]:[Additional Remark]],11,FALSE)</f>
        <v>43000</v>
      </c>
      <c r="D226" s="55">
        <f>VLOOKUP(A:A,Table1[[Project No]:[Additional Remark]],12,FALSE)</f>
        <v>0</v>
      </c>
      <c r="E226" s="55" t="str">
        <f>VLOOKUP(A:A,Table1[[Project No]:[Additional Remark]],4,FALSE)</f>
        <v>Tham</v>
      </c>
      <c r="F226" s="4" t="str">
        <f>VLOOKUP(A:A,Table1[[Project No]:[Additional Remark]],5,FALSE)</f>
        <v>R-PV</v>
      </c>
      <c r="G226" s="4" t="str">
        <f>VLOOKUP(A:A,Table1[[Project No]:[Additional Remark]],13,FALSE)</f>
        <v>Cash</v>
      </c>
      <c r="H226" s="4" t="str" cm="1">
        <f t="array" ref="H226">_xlfn.IFS((D226+C226)-J226=0,"Invoice Completed",AC226&lt;&gt;"","5th invoice",Y226&lt;&gt;"","4th invoice",U226&lt;&gt;"","3rd invoice",Q226&lt;&gt;"","2nd invoice",M226&lt;&gt;"","1st invoice",M226="","Pending 1st Invoice")</f>
        <v>Invoice Completed</v>
      </c>
      <c r="I226" s="4" t="str" cm="1">
        <f t="array" ref="I226">_xlfn.IFS((C226+D226)-K226=0,"Payment Completed",AE226&lt;&gt;"","5th payment",AA226&lt;&gt;"","4th payment",W226&lt;&gt;"","3rd payment",S226&lt;&gt;"","2nd payment",O226&lt;&gt;"","1st payment",O226="","Pending 1st Payment")</f>
        <v>Payment Completed</v>
      </c>
      <c r="J226" s="55">
        <f t="shared" si="6"/>
        <v>43000</v>
      </c>
      <c r="K226" s="55">
        <f t="shared" si="7"/>
        <v>43000</v>
      </c>
      <c r="L226" s="65">
        <v>45713</v>
      </c>
      <c r="M226" s="66">
        <v>500</v>
      </c>
      <c r="N226" s="65">
        <v>45714</v>
      </c>
      <c r="O226" s="66">
        <v>500</v>
      </c>
      <c r="P226" s="39">
        <v>45742</v>
      </c>
      <c r="Q226" s="57">
        <v>40500</v>
      </c>
      <c r="R226" s="39">
        <v>45743</v>
      </c>
      <c r="S226" s="57">
        <v>40500</v>
      </c>
      <c r="T226" s="65">
        <v>45804</v>
      </c>
      <c r="U226" s="66">
        <v>2000</v>
      </c>
      <c r="V226" s="65">
        <v>45804</v>
      </c>
      <c r="W226" s="66">
        <v>2000</v>
      </c>
      <c r="X226" s="39"/>
      <c r="Y226" s="57"/>
      <c r="Z226" s="39"/>
      <c r="AA226" s="57"/>
      <c r="AB226" s="65"/>
      <c r="AC226" s="66"/>
      <c r="AD226" s="65"/>
      <c r="AE226" s="66"/>
      <c r="AF226" s="39"/>
      <c r="AG226" s="57"/>
      <c r="AH226" s="39"/>
      <c r="AI226" s="57"/>
    </row>
    <row r="227" spans="1:35" ht="19.5" customHeight="1" x14ac:dyDescent="0.3">
      <c r="A227" s="4">
        <f>'ECN Master Project Tracker new'!A228</f>
        <v>2502569</v>
      </c>
      <c r="B227" s="110" t="str">
        <f>VLOOKUP(A:A,Table1[[Project No]:[Additional Remark]],2,FALSE)</f>
        <v>Chew Beng Hock</v>
      </c>
      <c r="C227" s="55">
        <f>VLOOKUP(A:A,Table1[[Project No]:[Additional Remark]],11,FALSE)</f>
        <v>29228</v>
      </c>
      <c r="D227" s="55">
        <f>VLOOKUP(A:A,Table1[[Project No]:[Additional Remark]],12,FALSE)</f>
        <v>0</v>
      </c>
      <c r="E227" s="55" t="str">
        <f>VLOOKUP(A:A,Table1[[Project No]:[Additional Remark]],4,FALSE)</f>
        <v>Ong</v>
      </c>
      <c r="F227" s="4" t="str">
        <f>VLOOKUP(A:A,Table1[[Project No]:[Additional Remark]],5,FALSE)</f>
        <v>R-PV</v>
      </c>
      <c r="G227" s="4" t="str">
        <f>VLOOKUP(A:A,Table1[[Project No]:[Additional Remark]],13,FALSE)</f>
        <v>Credit Card Instalment</v>
      </c>
      <c r="H227" s="4" t="str" cm="1">
        <f t="array" ref="H227">_xlfn.IFS((D227+C227)-J227=0,"Invoice Completed",AC227&lt;&gt;"","5th invoice",Y227&lt;&gt;"","4th invoice",U227&lt;&gt;"","3rd invoice",Q227&lt;&gt;"","2nd invoice",M227&lt;&gt;"","1st invoice",M227="","Pending 1st Invoice")</f>
        <v>Invoice Completed</v>
      </c>
      <c r="I227" s="4" t="str" cm="1">
        <f t="array" ref="I227">_xlfn.IFS((C227+D227)-K227=0,"Payment Completed",AE227&lt;&gt;"","5th payment",AA227&lt;&gt;"","4th payment",W227&lt;&gt;"","3rd payment",S227&lt;&gt;"","2nd payment",O227&lt;&gt;"","1st payment",O227="","Pending 1st Payment")</f>
        <v>Payment Completed</v>
      </c>
      <c r="J227" s="55">
        <f t="shared" si="6"/>
        <v>29228</v>
      </c>
      <c r="K227" s="55">
        <f t="shared" si="7"/>
        <v>29228</v>
      </c>
      <c r="L227" s="65">
        <v>45712</v>
      </c>
      <c r="M227" s="66">
        <v>500</v>
      </c>
      <c r="N227" s="65">
        <v>45712</v>
      </c>
      <c r="O227" s="66">
        <v>500</v>
      </c>
      <c r="P227" s="39">
        <v>45750</v>
      </c>
      <c r="Q227" s="57">
        <v>28728</v>
      </c>
      <c r="R227" s="39">
        <v>45750</v>
      </c>
      <c r="S227" s="57">
        <v>28728</v>
      </c>
      <c r="T227" s="65"/>
      <c r="U227" s="66"/>
      <c r="V227" s="65"/>
      <c r="W227" s="66"/>
      <c r="X227" s="39"/>
      <c r="Y227" s="57"/>
      <c r="Z227" s="39"/>
      <c r="AA227" s="57"/>
      <c r="AB227" s="65"/>
      <c r="AC227" s="66"/>
      <c r="AD227" s="65"/>
      <c r="AE227" s="66"/>
      <c r="AF227" s="39"/>
      <c r="AG227" s="57"/>
      <c r="AH227" s="39"/>
      <c r="AI227" s="57"/>
    </row>
    <row r="228" spans="1:35" ht="19.5" customHeight="1" x14ac:dyDescent="0.3">
      <c r="A228" s="4">
        <f>'ECN Master Project Tracker new'!A229</f>
        <v>2502565</v>
      </c>
      <c r="B228" s="110" t="str">
        <f>VLOOKUP(A:A,Table1[[Project No]:[Additional Remark]],2,FALSE)</f>
        <v>Yeo Shu Jin</v>
      </c>
      <c r="C228" s="55">
        <f>VLOOKUP(A:A,Table1[[Project No]:[Additional Remark]],11,FALSE)</f>
        <v>21500</v>
      </c>
      <c r="D228" s="55">
        <f>VLOOKUP(A:A,Table1[[Project No]:[Additional Remark]],12,FALSE)</f>
        <v>0</v>
      </c>
      <c r="E228" s="55" t="str">
        <f>VLOOKUP(A:A,Table1[[Project No]:[Additional Remark]],4,FALSE)</f>
        <v>Simon</v>
      </c>
      <c r="F228" s="4" t="str">
        <f>VLOOKUP(A:A,Table1[[Project No]:[Additional Remark]],5,FALSE)</f>
        <v>R-PV</v>
      </c>
      <c r="G228" s="4" t="str">
        <f>VLOOKUP(A:A,Table1[[Project No]:[Additional Remark]],13,FALSE)</f>
        <v>Cash</v>
      </c>
      <c r="H228" s="4" t="str" cm="1">
        <f t="array" ref="H228">_xlfn.IFS((D228+C228)-J228=0,"Invoice Completed",AC228&lt;&gt;"","5th invoice",Y228&lt;&gt;"","4th invoice",U228&lt;&gt;"","3rd invoice",Q228&lt;&gt;"","2nd invoice",M228&lt;&gt;"","1st invoice",M228="","Pending 1st Invoice")</f>
        <v>1st invoice</v>
      </c>
      <c r="I228" s="4" t="str" cm="1">
        <f t="array" ref="I228">_xlfn.IFS((C228+D228)-K228=0,"Payment Completed",AE228&lt;&gt;"","5th payment",AA228&lt;&gt;"","4th payment",W228&lt;&gt;"","3rd payment",S228&lt;&gt;"","2nd payment",O228&lt;&gt;"","1st payment",O228="","Pending 1st Payment")</f>
        <v>Pending 1st Payment</v>
      </c>
      <c r="J228" s="55">
        <f t="shared" si="6"/>
        <v>19500</v>
      </c>
      <c r="K228" s="55">
        <f t="shared" si="7"/>
        <v>0</v>
      </c>
      <c r="L228" s="65">
        <v>45776</v>
      </c>
      <c r="M228" s="66">
        <v>19500</v>
      </c>
      <c r="N228" s="65"/>
      <c r="O228" s="66"/>
      <c r="P228" s="39"/>
      <c r="Q228" s="57"/>
      <c r="R228" s="39"/>
      <c r="S228" s="57"/>
      <c r="T228" s="65"/>
      <c r="U228" s="66"/>
      <c r="V228" s="65"/>
      <c r="W228" s="66"/>
      <c r="X228" s="39"/>
      <c r="Y228" s="57"/>
      <c r="Z228" s="39"/>
      <c r="AA228" s="57"/>
      <c r="AB228" s="65"/>
      <c r="AC228" s="66"/>
      <c r="AD228" s="65"/>
      <c r="AE228" s="66"/>
      <c r="AF228" s="39"/>
      <c r="AG228" s="57"/>
      <c r="AH228" s="39"/>
      <c r="AI228" s="57"/>
    </row>
    <row r="229" spans="1:35" ht="19.5" customHeight="1" x14ac:dyDescent="0.3">
      <c r="A229" s="4">
        <f>'ECN Master Project Tracker new'!A230</f>
        <v>2502549</v>
      </c>
      <c r="B229" s="110" t="str">
        <f>VLOOKUP(A:A,Table1[[Project No]:[Additional Remark]],2,FALSE)</f>
        <v>Har Hock Lee</v>
      </c>
      <c r="C229" s="55">
        <f>VLOOKUP(A:A,Table1[[Project No]:[Additional Remark]],11,FALSE)</f>
        <v>35000</v>
      </c>
      <c r="D229" s="55">
        <f>VLOOKUP(A:A,Table1[[Project No]:[Additional Remark]],12,FALSE)</f>
        <v>0</v>
      </c>
      <c r="E229" s="55" t="str">
        <f>VLOOKUP(A:A,Table1[[Project No]:[Additional Remark]],4,FALSE)</f>
        <v>Patricia</v>
      </c>
      <c r="F229" s="4" t="str">
        <f>VLOOKUP(A:A,Table1[[Project No]:[Additional Remark]],5,FALSE)</f>
        <v>R-PV</v>
      </c>
      <c r="G229" s="4" t="str">
        <f>VLOOKUP(A:A,Table1[[Project No]:[Additional Remark]],13,FALSE)</f>
        <v>Cash</v>
      </c>
      <c r="H229" s="4" t="str" cm="1">
        <f t="array" ref="H229">_xlfn.IFS((D229+C229)-J229=0,"Invoice Completed",AC229&lt;&gt;"","5th invoice",Y229&lt;&gt;"","4th invoice",U229&lt;&gt;"","3rd invoice",Q229&lt;&gt;"","2nd invoice",M229&lt;&gt;"","1st invoice",M229="","Pending 1st Invoice")</f>
        <v>2nd invoice</v>
      </c>
      <c r="I229" s="4" t="str" cm="1">
        <f t="array" ref="I229">_xlfn.IFS((C229+D229)-K229=0,"Payment Completed",AE229&lt;&gt;"","5th payment",AA229&lt;&gt;"","4th payment",W229&lt;&gt;"","3rd payment",S229&lt;&gt;"","2nd payment",O229&lt;&gt;"","1st payment",O229="","Pending 1st Payment")</f>
        <v>2nd payment</v>
      </c>
      <c r="J229" s="55">
        <f t="shared" si="6"/>
        <v>33000</v>
      </c>
      <c r="K229" s="55">
        <f t="shared" si="7"/>
        <v>15500</v>
      </c>
      <c r="L229" s="65">
        <v>45713</v>
      </c>
      <c r="M229" s="66">
        <v>500</v>
      </c>
      <c r="N229" s="65">
        <v>45713</v>
      </c>
      <c r="O229" s="66">
        <v>500</v>
      </c>
      <c r="P229" s="39">
        <v>45863</v>
      </c>
      <c r="Q229" s="57">
        <v>32500</v>
      </c>
      <c r="R229" s="39">
        <v>45863</v>
      </c>
      <c r="S229" s="57">
        <v>15000</v>
      </c>
      <c r="T229" s="65"/>
      <c r="U229" s="66"/>
      <c r="V229" s="65"/>
      <c r="W229" s="66"/>
      <c r="X229" s="39"/>
      <c r="Y229" s="57"/>
      <c r="Z229" s="39"/>
      <c r="AA229" s="57"/>
      <c r="AB229" s="65"/>
      <c r="AC229" s="66"/>
      <c r="AD229" s="65"/>
      <c r="AE229" s="66"/>
      <c r="AF229" s="39"/>
      <c r="AG229" s="57"/>
      <c r="AH229" s="39"/>
      <c r="AI229" s="57"/>
    </row>
    <row r="230" spans="1:35" ht="19.5" customHeight="1" x14ac:dyDescent="0.3">
      <c r="A230" s="4">
        <f>'ECN Master Project Tracker new'!A231</f>
        <v>2405286</v>
      </c>
      <c r="B230" s="110" t="str">
        <f>VLOOKUP(A:A,Table1[[Project No]:[Additional Remark]],2,FALSE)</f>
        <v>Wong Wai Hung</v>
      </c>
      <c r="C230" s="55">
        <f>VLOOKUP(A:A,Table1[[Project No]:[Additional Remark]],11,FALSE)</f>
        <v>41000</v>
      </c>
      <c r="D230" s="55">
        <f>VLOOKUP(A:A,Table1[[Project No]:[Additional Remark]],12,FALSE)</f>
        <v>0</v>
      </c>
      <c r="E230" s="55" t="str">
        <f>VLOOKUP(A:A,Table1[[Project No]:[Additional Remark]],4,FALSE)</f>
        <v>Tham</v>
      </c>
      <c r="F230" s="4" t="str">
        <f>VLOOKUP(A:A,Table1[[Project No]:[Additional Remark]],5,FALSE)</f>
        <v>R-PV</v>
      </c>
      <c r="G230" s="4" t="str">
        <f>VLOOKUP(A:A,Table1[[Project No]:[Additional Remark]],13,FALSE)</f>
        <v>Cash</v>
      </c>
      <c r="H230" s="4" t="str" cm="1">
        <f t="array" ref="H230">_xlfn.IFS((D230+C230)-J230=0,"Invoice Completed",AC230&lt;&gt;"","5th invoice",Y230&lt;&gt;"","4th invoice",U230&lt;&gt;"","3rd invoice",Q230&lt;&gt;"","2nd invoice",M230&lt;&gt;"","1st invoice",M230="","Pending 1st Invoice")</f>
        <v>Invoice Completed</v>
      </c>
      <c r="I230" s="4" t="str" cm="1">
        <f t="array" ref="I230">_xlfn.IFS((C230+D230)-K230=0,"Payment Completed",AE230&lt;&gt;"","5th payment",AA230&lt;&gt;"","4th payment",W230&lt;&gt;"","3rd payment",S230&lt;&gt;"","2nd payment",O230&lt;&gt;"","1st payment",O230="","Pending 1st Payment")</f>
        <v>Payment Completed</v>
      </c>
      <c r="J230" s="55">
        <f t="shared" si="6"/>
        <v>41000</v>
      </c>
      <c r="K230" s="55">
        <f t="shared" si="7"/>
        <v>41000</v>
      </c>
      <c r="L230" s="65">
        <v>45716</v>
      </c>
      <c r="M230" s="66">
        <v>500</v>
      </c>
      <c r="N230" s="65">
        <v>45716</v>
      </c>
      <c r="O230" s="66">
        <v>500</v>
      </c>
      <c r="P230" s="39">
        <v>45757</v>
      </c>
      <c r="Q230" s="57">
        <v>40500</v>
      </c>
      <c r="R230" s="39">
        <v>45768</v>
      </c>
      <c r="S230" s="57">
        <v>40500</v>
      </c>
      <c r="T230" s="65"/>
      <c r="U230" s="66"/>
      <c r="V230" s="65"/>
      <c r="W230" s="66"/>
      <c r="X230" s="39"/>
      <c r="Y230" s="57"/>
      <c r="Z230" s="39"/>
      <c r="AA230" s="57"/>
      <c r="AB230" s="65"/>
      <c r="AC230" s="66"/>
      <c r="AD230" s="65"/>
      <c r="AE230" s="66"/>
      <c r="AF230" s="39"/>
      <c r="AG230" s="57"/>
      <c r="AH230" s="39"/>
      <c r="AI230" s="57"/>
    </row>
    <row r="231" spans="1:35" ht="19.5" customHeight="1" x14ac:dyDescent="0.3">
      <c r="A231" s="4">
        <f>'ECN Master Project Tracker new'!A232</f>
        <v>2501527</v>
      </c>
      <c r="B231" s="110" t="str">
        <f>VLOOKUP(A:A,Table1[[Project No]:[Additional Remark]],2,FALSE)</f>
        <v>Kuan Guan Chong</v>
      </c>
      <c r="C231" s="55">
        <f>VLOOKUP(A:A,Table1[[Project No]:[Additional Remark]],11,FALSE)</f>
        <v>31000</v>
      </c>
      <c r="D231" s="55">
        <f>VLOOKUP(A:A,Table1[[Project No]:[Additional Remark]],12,FALSE)</f>
        <v>0</v>
      </c>
      <c r="E231" s="55" t="str">
        <f>VLOOKUP(A:A,Table1[[Project No]:[Additional Remark]],4,FALSE)</f>
        <v>Tham</v>
      </c>
      <c r="F231" s="4" t="str">
        <f>VLOOKUP(A:A,Table1[[Project No]:[Additional Remark]],5,FALSE)</f>
        <v>R-PV</v>
      </c>
      <c r="G231" s="4" t="str">
        <f>VLOOKUP(A:A,Table1[[Project No]:[Additional Remark]],13,FALSE)</f>
        <v>Cash</v>
      </c>
      <c r="H231" s="4" t="str" cm="1">
        <f t="array" ref="H231">_xlfn.IFS((D231+C231)-J231=0,"Invoice Completed",AC231&lt;&gt;"","5th invoice",Y231&lt;&gt;"","4th invoice",U231&lt;&gt;"","3rd invoice",Q231&lt;&gt;"","2nd invoice",M231&lt;&gt;"","1st invoice",M231="","Pending 1st Invoice")</f>
        <v>Invoice Completed</v>
      </c>
      <c r="I231" s="4" t="str" cm="1">
        <f t="array" ref="I231">_xlfn.IFS((C231+D231)-K231=0,"Payment Completed",AE231&lt;&gt;"","5th payment",AA231&lt;&gt;"","4th payment",W231&lt;&gt;"","3rd payment",S231&lt;&gt;"","2nd payment",O231&lt;&gt;"","1st payment",O231="","Pending 1st Payment")</f>
        <v>Payment Completed</v>
      </c>
      <c r="J231" s="55">
        <f t="shared" si="6"/>
        <v>31000</v>
      </c>
      <c r="K231" s="55">
        <f t="shared" si="7"/>
        <v>31000</v>
      </c>
      <c r="L231" s="65">
        <v>45707</v>
      </c>
      <c r="M231" s="66">
        <v>500</v>
      </c>
      <c r="N231" s="65">
        <v>45707</v>
      </c>
      <c r="O231" s="66">
        <v>500</v>
      </c>
      <c r="P231" s="39">
        <v>45769</v>
      </c>
      <c r="Q231" s="57">
        <v>30500</v>
      </c>
      <c r="R231" s="39">
        <v>45769</v>
      </c>
      <c r="S231" s="57">
        <v>30500</v>
      </c>
      <c r="T231" s="65"/>
      <c r="U231" s="66"/>
      <c r="V231" s="65"/>
      <c r="W231" s="66"/>
      <c r="X231" s="39"/>
      <c r="Y231" s="57"/>
      <c r="Z231" s="39"/>
      <c r="AA231" s="57"/>
      <c r="AB231" s="65"/>
      <c r="AC231" s="66"/>
      <c r="AD231" s="65"/>
      <c r="AE231" s="66"/>
      <c r="AF231" s="39"/>
      <c r="AG231" s="57"/>
      <c r="AH231" s="39"/>
      <c r="AI231" s="57"/>
    </row>
    <row r="232" spans="1:35" ht="19.5" customHeight="1" x14ac:dyDescent="0.3">
      <c r="A232" s="4">
        <f>'ECN Master Project Tracker new'!A233</f>
        <v>2501529</v>
      </c>
      <c r="B232" s="110" t="str">
        <f>VLOOKUP(A:A,Table1[[Project No]:[Additional Remark]],2,FALSE)</f>
        <v>Kuan Kian Yang</v>
      </c>
      <c r="C232" s="55">
        <f>VLOOKUP(A:A,Table1[[Project No]:[Additional Remark]],11,FALSE)</f>
        <v>29000</v>
      </c>
      <c r="D232" s="55">
        <f>VLOOKUP(A:A,Table1[[Project No]:[Additional Remark]],12,FALSE)</f>
        <v>0</v>
      </c>
      <c r="E232" s="55" t="str">
        <f>VLOOKUP(A:A,Table1[[Project No]:[Additional Remark]],4,FALSE)</f>
        <v>Tham</v>
      </c>
      <c r="F232" s="4" t="str">
        <f>VLOOKUP(A:A,Table1[[Project No]:[Additional Remark]],5,FALSE)</f>
        <v>R-PV</v>
      </c>
      <c r="G232" s="4" t="str">
        <f>VLOOKUP(A:A,Table1[[Project No]:[Additional Remark]],13,FALSE)</f>
        <v>Cash</v>
      </c>
      <c r="H232" s="4" t="str" cm="1">
        <f t="array" ref="H232">_xlfn.IFS((D232+C232)-J232=0,"Invoice Completed",AC232&lt;&gt;"","5th invoice",Y232&lt;&gt;"","4th invoice",U232&lt;&gt;"","3rd invoice",Q232&lt;&gt;"","2nd invoice",M232&lt;&gt;"","1st invoice",M232="","Pending 1st Invoice")</f>
        <v>Invoice Completed</v>
      </c>
      <c r="I232" s="4" t="str" cm="1">
        <f t="array" ref="I232">_xlfn.IFS((C232+D232)-K232=0,"Payment Completed",AE232&lt;&gt;"","5th payment",AA232&lt;&gt;"","4th payment",W232&lt;&gt;"","3rd payment",S232&lt;&gt;"","2nd payment",O232&lt;&gt;"","1st payment",O232="","Pending 1st Payment")</f>
        <v>Payment Completed</v>
      </c>
      <c r="J232" s="55">
        <f t="shared" si="6"/>
        <v>29000</v>
      </c>
      <c r="K232" s="55">
        <f t="shared" si="7"/>
        <v>29000</v>
      </c>
      <c r="L232" s="65">
        <v>45718</v>
      </c>
      <c r="M232" s="66">
        <v>500</v>
      </c>
      <c r="N232" s="65">
        <v>45720</v>
      </c>
      <c r="O232" s="66">
        <v>500</v>
      </c>
      <c r="P232" s="39">
        <v>45769</v>
      </c>
      <c r="Q232" s="57">
        <v>28500</v>
      </c>
      <c r="R232" s="39">
        <v>45769</v>
      </c>
      <c r="S232" s="57">
        <v>28500</v>
      </c>
      <c r="T232" s="65"/>
      <c r="U232" s="66"/>
      <c r="V232" s="65"/>
      <c r="W232" s="66"/>
      <c r="X232" s="39"/>
      <c r="Y232" s="57"/>
      <c r="Z232" s="39"/>
      <c r="AA232" s="57"/>
      <c r="AB232" s="65"/>
      <c r="AC232" s="66"/>
      <c r="AD232" s="65"/>
      <c r="AE232" s="66"/>
      <c r="AF232" s="39"/>
      <c r="AG232" s="57"/>
      <c r="AH232" s="39"/>
      <c r="AI232" s="57"/>
    </row>
    <row r="233" spans="1:35" ht="19.5" customHeight="1" x14ac:dyDescent="0.3">
      <c r="A233" s="4">
        <f>'ECN Master Project Tracker new'!A234</f>
        <v>2502581</v>
      </c>
      <c r="B233" s="110" t="str">
        <f>VLOOKUP(A:A,Table1[[Project No]:[Additional Remark]],2,FALSE)</f>
        <v>Loh Chee Kuan</v>
      </c>
      <c r="C233" s="55">
        <f>VLOOKUP(A:A,Table1[[Project No]:[Additional Remark]],11,FALSE)</f>
        <v>22340</v>
      </c>
      <c r="D233" s="55">
        <f>VLOOKUP(A:A,Table1[[Project No]:[Additional Remark]],12,FALSE)</f>
        <v>0</v>
      </c>
      <c r="E233" s="55" t="str">
        <f>VLOOKUP(A:A,Table1[[Project No]:[Additional Remark]],4,FALSE)</f>
        <v>Tham</v>
      </c>
      <c r="F233" s="4" t="str">
        <f>VLOOKUP(A:A,Table1[[Project No]:[Additional Remark]],5,FALSE)</f>
        <v>R-PV</v>
      </c>
      <c r="G233" s="4" t="str">
        <f>VLOOKUP(A:A,Table1[[Project No]:[Additional Remark]],13,FALSE)</f>
        <v>Credit Card Instalment</v>
      </c>
      <c r="H233" s="4" t="str" cm="1">
        <f t="array" ref="H233">_xlfn.IFS((D233+C233)-J233=0,"Invoice Completed",AC233&lt;&gt;"","5th invoice",Y233&lt;&gt;"","4th invoice",U233&lt;&gt;"","3rd invoice",Q233&lt;&gt;"","2nd invoice",M233&lt;&gt;"","1st invoice",M233="","Pending 1st Invoice")</f>
        <v>Invoice Completed</v>
      </c>
      <c r="I233" s="4" t="str" cm="1">
        <f t="array" ref="I233">_xlfn.IFS((C233+D233)-K233=0,"Payment Completed",AE233&lt;&gt;"","5th payment",AA233&lt;&gt;"","4th payment",W233&lt;&gt;"","3rd payment",S233&lt;&gt;"","2nd payment",O233&lt;&gt;"","1st payment",O233="","Pending 1st Payment")</f>
        <v>Payment Completed</v>
      </c>
      <c r="J233" s="55">
        <f t="shared" si="6"/>
        <v>22340</v>
      </c>
      <c r="K233" s="55">
        <f t="shared" si="7"/>
        <v>22340</v>
      </c>
      <c r="L233" s="65">
        <v>45717</v>
      </c>
      <c r="M233" s="66">
        <v>500</v>
      </c>
      <c r="N233" s="65">
        <v>45718</v>
      </c>
      <c r="O233" s="66">
        <v>500</v>
      </c>
      <c r="P233" s="39">
        <v>45751</v>
      </c>
      <c r="Q233" s="57">
        <v>21840</v>
      </c>
      <c r="R233" s="39">
        <v>45751</v>
      </c>
      <c r="S233" s="57">
        <v>21840</v>
      </c>
      <c r="T233" s="65"/>
      <c r="U233" s="66"/>
      <c r="V233" s="65"/>
      <c r="W233" s="66"/>
      <c r="X233" s="39"/>
      <c r="Y233" s="57"/>
      <c r="Z233" s="39"/>
      <c r="AA233" s="57"/>
      <c r="AB233" s="65"/>
      <c r="AC233" s="66"/>
      <c r="AD233" s="65"/>
      <c r="AE233" s="66"/>
      <c r="AF233" s="39"/>
      <c r="AG233" s="57"/>
      <c r="AH233" s="39"/>
      <c r="AI233" s="57"/>
    </row>
    <row r="234" spans="1:35" ht="19.5" customHeight="1" x14ac:dyDescent="0.3">
      <c r="A234" s="4">
        <f>'ECN Master Project Tracker new'!A235</f>
        <v>2501540</v>
      </c>
      <c r="B234" s="110" t="str">
        <f>VLOOKUP(A:A,Table1[[Project No]:[Additional Remark]],2,FALSE)</f>
        <v>Mohd Rushdi Bin Haji Abu Bakar</v>
      </c>
      <c r="C234" s="55">
        <f>VLOOKUP(A:A,Table1[[Project No]:[Additional Remark]],11,FALSE)</f>
        <v>23429</v>
      </c>
      <c r="D234" s="55">
        <f>VLOOKUP(A:A,Table1[[Project No]:[Additional Remark]],12,FALSE)</f>
        <v>0</v>
      </c>
      <c r="E234" s="55" t="str">
        <f>VLOOKUP(A:A,Table1[[Project No]:[Additional Remark]],4,FALSE)</f>
        <v>Patricia</v>
      </c>
      <c r="F234" s="4" t="str">
        <f>VLOOKUP(A:A,Table1[[Project No]:[Additional Remark]],5,FALSE)</f>
        <v>R-PV</v>
      </c>
      <c r="G234" s="4" t="str">
        <f>VLOOKUP(A:A,Table1[[Project No]:[Additional Remark]],13,FALSE)</f>
        <v>Cash + CC Instalment</v>
      </c>
      <c r="H234" s="4" t="str" cm="1">
        <f t="array" ref="H234">_xlfn.IFS((D234+C234)-J234=0,"Invoice Completed",AC234&lt;&gt;"","5th invoice",Y234&lt;&gt;"","4th invoice",U234&lt;&gt;"","3rd invoice",Q234&lt;&gt;"","2nd invoice",M234&lt;&gt;"","1st invoice",M234="","Pending 1st Invoice")</f>
        <v>Invoice Completed</v>
      </c>
      <c r="I234" s="4" t="str" cm="1">
        <f t="array" ref="I234">_xlfn.IFS((C234+D234)-K234=0,"Payment Completed",AE234&lt;&gt;"","5th payment",AA234&lt;&gt;"","4th payment",W234&lt;&gt;"","3rd payment",S234&lt;&gt;"","2nd payment",O234&lt;&gt;"","1st payment",O234="","Pending 1st Payment")</f>
        <v>Payment Completed</v>
      </c>
      <c r="J234" s="55">
        <f t="shared" si="6"/>
        <v>23429</v>
      </c>
      <c r="K234" s="55">
        <f t="shared" si="7"/>
        <v>23429</v>
      </c>
      <c r="L234" s="65">
        <v>45678</v>
      </c>
      <c r="M234" s="66">
        <v>500</v>
      </c>
      <c r="N234" s="65">
        <v>45678</v>
      </c>
      <c r="O234" s="66">
        <v>500</v>
      </c>
      <c r="P234" s="39">
        <v>45758</v>
      </c>
      <c r="Q234" s="57">
        <v>22929</v>
      </c>
      <c r="R234" s="39" t="s">
        <v>1890</v>
      </c>
      <c r="S234" s="57">
        <v>22929</v>
      </c>
      <c r="T234" s="65"/>
      <c r="U234" s="66"/>
      <c r="V234" s="65"/>
      <c r="W234" s="66"/>
      <c r="X234" s="39"/>
      <c r="Y234" s="57"/>
      <c r="Z234" s="39"/>
      <c r="AA234" s="57"/>
      <c r="AB234" s="65"/>
      <c r="AC234" s="66"/>
      <c r="AD234" s="65"/>
      <c r="AE234" s="66"/>
      <c r="AF234" s="39"/>
      <c r="AG234" s="57"/>
      <c r="AH234" s="39"/>
      <c r="AI234" s="57"/>
    </row>
    <row r="235" spans="1:35" ht="19.5" customHeight="1" x14ac:dyDescent="0.3">
      <c r="A235" s="4">
        <f>'ECN Master Project Tracker new'!A236</f>
        <v>2502571</v>
      </c>
      <c r="B235" s="110" t="str">
        <f>VLOOKUP(A:A,Table1[[Project No]:[Additional Remark]],2,FALSE)</f>
        <v>Ting Kam Peng</v>
      </c>
      <c r="C235" s="55">
        <f>VLOOKUP(A:A,Table1[[Project No]:[Additional Remark]],11,FALSE)</f>
        <v>32840</v>
      </c>
      <c r="D235" s="55">
        <f>VLOOKUP(A:A,Table1[[Project No]:[Additional Remark]],12,FALSE)</f>
        <v>0</v>
      </c>
      <c r="E235" s="55" t="str">
        <f>VLOOKUP(A:A,Table1[[Project No]:[Additional Remark]],4,FALSE)</f>
        <v>Tham</v>
      </c>
      <c r="F235" s="4" t="str">
        <f>VLOOKUP(A:A,Table1[[Project No]:[Additional Remark]],5,FALSE)</f>
        <v>R-PV</v>
      </c>
      <c r="G235" s="4" t="str">
        <f>VLOOKUP(A:A,Table1[[Project No]:[Additional Remark]],13,FALSE)</f>
        <v>Credit Card Instalment</v>
      </c>
      <c r="H235" s="4" t="str" cm="1">
        <f t="array" ref="H235">_xlfn.IFS((D235+C235)-J235=0,"Invoice Completed",AC235&lt;&gt;"","5th invoice",Y235&lt;&gt;"","4th invoice",U235&lt;&gt;"","3rd invoice",Q235&lt;&gt;"","2nd invoice",M235&lt;&gt;"","1st invoice",M235="","Pending 1st Invoice")</f>
        <v>Invoice Completed</v>
      </c>
      <c r="I235" s="4" t="str" cm="1">
        <f t="array" ref="I235">_xlfn.IFS((C235+D235)-K235=0,"Payment Completed",AE235&lt;&gt;"","5th payment",AA235&lt;&gt;"","4th payment",W235&lt;&gt;"","3rd payment",S235&lt;&gt;"","2nd payment",O235&lt;&gt;"","1st payment",O235="","Pending 1st Payment")</f>
        <v>Payment Completed</v>
      </c>
      <c r="J235" s="55">
        <f t="shared" si="6"/>
        <v>32840</v>
      </c>
      <c r="K235" s="55">
        <f t="shared" si="7"/>
        <v>32840</v>
      </c>
      <c r="L235" s="65">
        <v>45718</v>
      </c>
      <c r="M235" s="66">
        <v>500</v>
      </c>
      <c r="N235" s="65">
        <v>45720</v>
      </c>
      <c r="O235" s="66">
        <v>500</v>
      </c>
      <c r="P235" s="39">
        <v>45758</v>
      </c>
      <c r="Q235" s="57">
        <v>32340</v>
      </c>
      <c r="R235" s="39">
        <v>45758</v>
      </c>
      <c r="S235" s="57">
        <v>32340</v>
      </c>
      <c r="T235" s="65"/>
      <c r="U235" s="66"/>
      <c r="V235" s="65"/>
      <c r="W235" s="66"/>
      <c r="X235" s="39"/>
      <c r="Y235" s="57"/>
      <c r="Z235" s="39"/>
      <c r="AA235" s="57"/>
      <c r="AB235" s="65"/>
      <c r="AC235" s="66"/>
      <c r="AD235" s="65"/>
      <c r="AE235" s="66"/>
      <c r="AF235" s="39"/>
      <c r="AG235" s="57"/>
      <c r="AH235" s="39"/>
      <c r="AI235" s="57"/>
    </row>
    <row r="236" spans="1:35" ht="19.5" customHeight="1" x14ac:dyDescent="0.3">
      <c r="A236" s="4">
        <f>'ECN Master Project Tracker new'!A237</f>
        <v>2502568</v>
      </c>
      <c r="B236" s="110" t="str">
        <f>VLOOKUP(A:A,Table1[[Project No]:[Additional Remark]],2,FALSE)</f>
        <v>Lim See Peng</v>
      </c>
      <c r="C236" s="55">
        <f>VLOOKUP(A:A,Table1[[Project No]:[Additional Remark]],11,FALSE)</f>
        <v>25280</v>
      </c>
      <c r="D236" s="55">
        <f>VLOOKUP(A:A,Table1[[Project No]:[Additional Remark]],12,FALSE)</f>
        <v>0</v>
      </c>
      <c r="E236" s="55" t="str">
        <f>VLOOKUP(A:A,Table1[[Project No]:[Additional Remark]],4,FALSE)</f>
        <v>Tham</v>
      </c>
      <c r="F236" s="4" t="str">
        <f>VLOOKUP(A:A,Table1[[Project No]:[Additional Remark]],5,FALSE)</f>
        <v>R-PV</v>
      </c>
      <c r="G236" s="4" t="str">
        <f>VLOOKUP(A:A,Table1[[Project No]:[Additional Remark]],13,FALSE)</f>
        <v>Credit Card Instalment</v>
      </c>
      <c r="H236" s="4" t="str" cm="1">
        <f t="array" ref="H236">_xlfn.IFS((D236+C236)-J236=0,"Invoice Completed",AC236&lt;&gt;"","5th invoice",Y236&lt;&gt;"","4th invoice",U236&lt;&gt;"","3rd invoice",Q236&lt;&gt;"","2nd invoice",M236&lt;&gt;"","1st invoice",M236="","Pending 1st Invoice")</f>
        <v>Invoice Completed</v>
      </c>
      <c r="I236" s="4" t="str" cm="1">
        <f t="array" ref="I236">_xlfn.IFS((C236+D236)-K236=0,"Payment Completed",AE236&lt;&gt;"","5th payment",AA236&lt;&gt;"","4th payment",W236&lt;&gt;"","3rd payment",S236&lt;&gt;"","2nd payment",O236&lt;&gt;"","1st payment",O236="","Pending 1st Payment")</f>
        <v>Payment Completed</v>
      </c>
      <c r="J236" s="55">
        <f t="shared" si="6"/>
        <v>25280</v>
      </c>
      <c r="K236" s="55">
        <f t="shared" si="7"/>
        <v>25280</v>
      </c>
      <c r="L236" s="65">
        <v>45716</v>
      </c>
      <c r="M236" s="66">
        <v>500</v>
      </c>
      <c r="N236" s="65">
        <v>45716</v>
      </c>
      <c r="O236" s="66">
        <v>500</v>
      </c>
      <c r="P236" s="39">
        <v>45820</v>
      </c>
      <c r="Q236" s="57">
        <v>24780</v>
      </c>
      <c r="R236" s="39">
        <v>45820</v>
      </c>
      <c r="S236" s="57">
        <v>24780</v>
      </c>
      <c r="T236" s="65"/>
      <c r="U236" s="66"/>
      <c r="V236" s="65"/>
      <c r="W236" s="66"/>
      <c r="X236" s="39"/>
      <c r="Y236" s="57"/>
      <c r="Z236" s="39"/>
      <c r="AA236" s="57"/>
      <c r="AB236" s="65"/>
      <c r="AC236" s="66"/>
      <c r="AD236" s="65"/>
      <c r="AE236" s="66"/>
      <c r="AF236" s="39"/>
      <c r="AG236" s="57"/>
      <c r="AH236" s="39"/>
      <c r="AI236" s="57"/>
    </row>
    <row r="237" spans="1:35" ht="19.5" customHeight="1" x14ac:dyDescent="0.3">
      <c r="A237" s="4">
        <f>'ECN Master Project Tracker new'!A238</f>
        <v>2404258</v>
      </c>
      <c r="B237" s="110" t="str">
        <f>VLOOKUP(A:A,Table1[[Project No]:[Additional Remark]],2,FALSE)</f>
        <v>Chan Yee  Wan</v>
      </c>
      <c r="C237" s="55">
        <f>VLOOKUP(A:A,Table1[[Project No]:[Additional Remark]],11,FALSE)</f>
        <v>27000</v>
      </c>
      <c r="D237" s="55">
        <f>VLOOKUP(A:A,Table1[[Project No]:[Additional Remark]],12,FALSE)</f>
        <v>0</v>
      </c>
      <c r="E237" s="55" t="str">
        <f>VLOOKUP(A:A,Table1[[Project No]:[Additional Remark]],4,FALSE)</f>
        <v>Tham</v>
      </c>
      <c r="F237" s="4" t="str">
        <f>VLOOKUP(A:A,Table1[[Project No]:[Additional Remark]],5,FALSE)</f>
        <v>R-PV</v>
      </c>
      <c r="G237" s="4" t="str">
        <f>VLOOKUP(A:A,Table1[[Project No]:[Additional Remark]],13,FALSE)</f>
        <v>Cash</v>
      </c>
      <c r="H237" s="4" t="str" cm="1">
        <f t="array" ref="H237">_xlfn.IFS((D237+C237)-J237=0,"Invoice Completed",AC237&lt;&gt;"","5th invoice",Y237&lt;&gt;"","4th invoice",U237&lt;&gt;"","3rd invoice",Q237&lt;&gt;"","2nd invoice",M237&lt;&gt;"","1st invoice",M237="","Pending 1st Invoice")</f>
        <v>Invoice Completed</v>
      </c>
      <c r="I237" s="4" t="str" cm="1">
        <f t="array" ref="I237">_xlfn.IFS((C237+D237)-K237=0,"Payment Completed",AE237&lt;&gt;"","5th payment",AA237&lt;&gt;"","4th payment",W237&lt;&gt;"","3rd payment",S237&lt;&gt;"","2nd payment",O237&lt;&gt;"","1st payment",O237="","Pending 1st Payment")</f>
        <v>Payment Completed</v>
      </c>
      <c r="J237" s="55">
        <f t="shared" si="6"/>
        <v>27000</v>
      </c>
      <c r="K237" s="55">
        <f t="shared" si="7"/>
        <v>27000</v>
      </c>
      <c r="L237" s="65">
        <v>45722</v>
      </c>
      <c r="M237" s="66">
        <v>500</v>
      </c>
      <c r="N237" s="65">
        <v>45722</v>
      </c>
      <c r="O237" s="66">
        <v>500</v>
      </c>
      <c r="P237" s="39">
        <v>45769</v>
      </c>
      <c r="Q237" s="57">
        <v>26500</v>
      </c>
      <c r="R237" s="39">
        <v>45769</v>
      </c>
      <c r="S237" s="57">
        <v>26500</v>
      </c>
      <c r="T237" s="65"/>
      <c r="U237" s="66"/>
      <c r="V237" s="65"/>
      <c r="W237" s="66"/>
      <c r="X237" s="39"/>
      <c r="Y237" s="57"/>
      <c r="Z237" s="39"/>
      <c r="AA237" s="57"/>
      <c r="AB237" s="65"/>
      <c r="AC237" s="66"/>
      <c r="AD237" s="65"/>
      <c r="AE237" s="66"/>
      <c r="AF237" s="39"/>
      <c r="AG237" s="57"/>
      <c r="AH237" s="39"/>
      <c r="AI237" s="57"/>
    </row>
    <row r="238" spans="1:35" ht="19.5" customHeight="1" x14ac:dyDescent="0.3">
      <c r="A238" s="4">
        <f>'ECN Master Project Tracker new'!A239</f>
        <v>2503588</v>
      </c>
      <c r="B238" s="110" t="str">
        <f>VLOOKUP(A:A,Table1[[Project No]:[Additional Remark]],2,FALSE)</f>
        <v>Lee Xue Cheng</v>
      </c>
      <c r="C238" s="55">
        <f>VLOOKUP(A:A,Table1[[Project No]:[Additional Remark]],11,FALSE)</f>
        <v>22500</v>
      </c>
      <c r="D238" s="55">
        <f>VLOOKUP(A:A,Table1[[Project No]:[Additional Remark]],12,FALSE)</f>
        <v>0</v>
      </c>
      <c r="E238" s="55" t="str">
        <f>VLOOKUP(A:A,Table1[[Project No]:[Additional Remark]],4,FALSE)</f>
        <v>Tham</v>
      </c>
      <c r="F238" s="4" t="str">
        <f>VLOOKUP(A:A,Table1[[Project No]:[Additional Remark]],5,FALSE)</f>
        <v>R-PV</v>
      </c>
      <c r="G238" s="4" t="str">
        <f>VLOOKUP(A:A,Table1[[Project No]:[Additional Remark]],13,FALSE)</f>
        <v>Cash</v>
      </c>
      <c r="H238" s="4" t="str" cm="1">
        <f t="array" ref="H238">_xlfn.IFS((D238+C238)-J238=0,"Invoice Completed",AC238&lt;&gt;"","5th invoice",Y238&lt;&gt;"","4th invoice",U238&lt;&gt;"","3rd invoice",Q238&lt;&gt;"","2nd invoice",M238&lt;&gt;"","1st invoice",M238="","Pending 1st Invoice")</f>
        <v>Invoice Completed</v>
      </c>
      <c r="I238" s="4" t="str" cm="1">
        <f t="array" ref="I238">_xlfn.IFS((C238+D238)-K238=0,"Payment Completed",AE238&lt;&gt;"","5th payment",AA238&lt;&gt;"","4th payment",W238&lt;&gt;"","3rd payment",S238&lt;&gt;"","2nd payment",O238&lt;&gt;"","1st payment",O238="","Pending 1st Payment")</f>
        <v>Payment Completed</v>
      </c>
      <c r="J238" s="55">
        <f t="shared" si="6"/>
        <v>22500</v>
      </c>
      <c r="K238" s="55">
        <f t="shared" si="7"/>
        <v>22500</v>
      </c>
      <c r="L238" s="65">
        <v>45722</v>
      </c>
      <c r="M238" s="66">
        <v>500</v>
      </c>
      <c r="N238" s="65">
        <v>45722</v>
      </c>
      <c r="O238" s="66">
        <v>500</v>
      </c>
      <c r="P238" s="39">
        <v>45804</v>
      </c>
      <c r="Q238" s="57">
        <v>20000</v>
      </c>
      <c r="R238" s="39">
        <v>45807</v>
      </c>
      <c r="S238" s="57">
        <v>20000</v>
      </c>
      <c r="T238" s="65">
        <v>45807</v>
      </c>
      <c r="U238" s="66">
        <v>2000</v>
      </c>
      <c r="V238" s="65">
        <v>45807</v>
      </c>
      <c r="W238" s="66">
        <v>2000</v>
      </c>
      <c r="X238" s="39"/>
      <c r="Y238" s="57"/>
      <c r="Z238" s="39"/>
      <c r="AA238" s="57"/>
      <c r="AB238" s="65"/>
      <c r="AC238" s="66"/>
      <c r="AD238" s="65"/>
      <c r="AE238" s="66"/>
      <c r="AF238" s="39"/>
      <c r="AG238" s="57"/>
      <c r="AH238" s="39"/>
      <c r="AI238" s="57"/>
    </row>
    <row r="239" spans="1:35" ht="19.5" customHeight="1" x14ac:dyDescent="0.3">
      <c r="A239" s="4">
        <f>'ECN Master Project Tracker new'!A240</f>
        <v>2502561</v>
      </c>
      <c r="B239" s="110" t="str">
        <f>VLOOKUP(A:A,Table1[[Project No]:[Additional Remark]],2,FALSE)</f>
        <v>Dennis Lee Jia Seng</v>
      </c>
      <c r="C239" s="55">
        <f>VLOOKUP(A:A,Table1[[Project No]:[Additional Remark]],11,FALSE)</f>
        <v>38000</v>
      </c>
      <c r="D239" s="55">
        <f>VLOOKUP(A:A,Table1[[Project No]:[Additional Remark]],12,FALSE)</f>
        <v>0</v>
      </c>
      <c r="E239" s="55" t="str">
        <f>VLOOKUP(A:A,Table1[[Project No]:[Additional Remark]],4,FALSE)</f>
        <v>Tham</v>
      </c>
      <c r="F239" s="4" t="str">
        <f>VLOOKUP(A:A,Table1[[Project No]:[Additional Remark]],5,FALSE)</f>
        <v>R-PV</v>
      </c>
      <c r="G239" s="4" t="str">
        <f>VLOOKUP(A:A,Table1[[Project No]:[Additional Remark]],13,FALSE)</f>
        <v>Cash</v>
      </c>
      <c r="H239" s="4" t="str" cm="1">
        <f t="array" ref="H239">_xlfn.IFS((D239+C239)-J239=0,"Invoice Completed",AC239&lt;&gt;"","5th invoice",Y239&lt;&gt;"","4th invoice",U239&lt;&gt;"","3rd invoice",Q239&lt;&gt;"","2nd invoice",M239&lt;&gt;"","1st invoice",M239="","Pending 1st Invoice")</f>
        <v>Invoice Completed</v>
      </c>
      <c r="I239" s="4" t="str" cm="1">
        <f t="array" ref="I239">_xlfn.IFS((C239+D239)-K239=0,"Payment Completed",AE239&lt;&gt;"","5th payment",AA239&lt;&gt;"","4th payment",W239&lt;&gt;"","3rd payment",S239&lt;&gt;"","2nd payment",O239&lt;&gt;"","1st payment",O239="","Pending 1st Payment")</f>
        <v>Payment Completed</v>
      </c>
      <c r="J239" s="55">
        <f t="shared" si="6"/>
        <v>38000</v>
      </c>
      <c r="K239" s="55">
        <f t="shared" si="7"/>
        <v>38000</v>
      </c>
      <c r="L239" s="65">
        <v>45723</v>
      </c>
      <c r="M239" s="66">
        <v>500</v>
      </c>
      <c r="N239" s="65">
        <v>45723</v>
      </c>
      <c r="O239" s="66">
        <v>500</v>
      </c>
      <c r="P239" s="39">
        <v>45779</v>
      </c>
      <c r="Q239" s="57">
        <v>37500</v>
      </c>
      <c r="R239" s="39">
        <v>45779</v>
      </c>
      <c r="S239" s="57">
        <v>37500</v>
      </c>
      <c r="T239" s="65"/>
      <c r="U239" s="66"/>
      <c r="V239" s="65"/>
      <c r="W239" s="66"/>
      <c r="X239" s="39"/>
      <c r="Y239" s="57"/>
      <c r="Z239" s="39"/>
      <c r="AA239" s="57"/>
      <c r="AB239" s="65"/>
      <c r="AC239" s="66"/>
      <c r="AD239" s="65"/>
      <c r="AE239" s="66"/>
      <c r="AF239" s="39"/>
      <c r="AG239" s="57"/>
      <c r="AH239" s="39"/>
      <c r="AI239" s="57"/>
    </row>
    <row r="240" spans="1:35" ht="19.5" customHeight="1" x14ac:dyDescent="0.3">
      <c r="A240" s="4">
        <f>'ECN Master Project Tracker new'!A241</f>
        <v>2503590</v>
      </c>
      <c r="B240" s="110" t="str">
        <f>VLOOKUP(A:A,Table1[[Project No]:[Additional Remark]],2,FALSE)</f>
        <v>Teh Wee Loon</v>
      </c>
      <c r="C240" s="55">
        <f>VLOOKUP(A:A,Table1[[Project No]:[Additional Remark]],11,FALSE)</f>
        <v>39680</v>
      </c>
      <c r="D240" s="55">
        <f>VLOOKUP(A:A,Table1[[Project No]:[Additional Remark]],12,FALSE)</f>
        <v>0</v>
      </c>
      <c r="E240" s="55" t="str">
        <f>VLOOKUP(A:A,Table1[[Project No]:[Additional Remark]],4,FALSE)</f>
        <v>Tham</v>
      </c>
      <c r="F240" s="4" t="str">
        <f>VLOOKUP(A:A,Table1[[Project No]:[Additional Remark]],5,FALSE)</f>
        <v>R-PV</v>
      </c>
      <c r="G240" s="4" t="str">
        <f>VLOOKUP(A:A,Table1[[Project No]:[Additional Remark]],13,FALSE)</f>
        <v>Credit Card Instalment</v>
      </c>
      <c r="H240" s="4" t="str" cm="1">
        <f t="array" ref="H240">_xlfn.IFS((D240+C240)-J240=0,"Invoice Completed",AC240&lt;&gt;"","5th invoice",Y240&lt;&gt;"","4th invoice",U240&lt;&gt;"","3rd invoice",Q240&lt;&gt;"","2nd invoice",M240&lt;&gt;"","1st invoice",M240="","Pending 1st Invoice")</f>
        <v>Invoice Completed</v>
      </c>
      <c r="I240" s="4" t="str" cm="1">
        <f t="array" ref="I240">_xlfn.IFS((C240+D240)-K240=0,"Payment Completed",AE240&lt;&gt;"","5th payment",AA240&lt;&gt;"","4th payment",W240&lt;&gt;"","3rd payment",S240&lt;&gt;"","2nd payment",O240&lt;&gt;"","1st payment",O240="","Pending 1st Payment")</f>
        <v>Payment Completed</v>
      </c>
      <c r="J240" s="55">
        <f t="shared" si="6"/>
        <v>39680</v>
      </c>
      <c r="K240" s="55">
        <f t="shared" si="7"/>
        <v>39680</v>
      </c>
      <c r="L240" s="65">
        <v>45723</v>
      </c>
      <c r="M240" s="66">
        <v>500</v>
      </c>
      <c r="N240" s="65">
        <v>45723</v>
      </c>
      <c r="O240" s="66">
        <v>500</v>
      </c>
      <c r="P240" s="39">
        <v>45777</v>
      </c>
      <c r="Q240" s="57">
        <v>39180</v>
      </c>
      <c r="R240" s="39">
        <v>45777</v>
      </c>
      <c r="S240" s="57">
        <v>39180</v>
      </c>
      <c r="T240" s="65"/>
      <c r="U240" s="66"/>
      <c r="V240" s="65"/>
      <c r="W240" s="66"/>
      <c r="X240" s="39"/>
      <c r="Y240" s="57"/>
      <c r="Z240" s="39"/>
      <c r="AA240" s="57"/>
      <c r="AB240" s="65"/>
      <c r="AC240" s="66"/>
      <c r="AD240" s="65"/>
      <c r="AE240" s="66"/>
      <c r="AF240" s="39"/>
      <c r="AG240" s="57"/>
      <c r="AH240" s="39"/>
      <c r="AI240" s="57"/>
    </row>
    <row r="241" spans="1:35" ht="19.5" customHeight="1" x14ac:dyDescent="0.3">
      <c r="A241" s="4">
        <f>'ECN Master Project Tracker new'!A242</f>
        <v>2502570</v>
      </c>
      <c r="B241" s="110" t="str">
        <f>VLOOKUP(A:A,Table1[[Project No]:[Additional Remark]],2,FALSE)</f>
        <v>Tang Wei Keong</v>
      </c>
      <c r="C241" s="55">
        <f>VLOOKUP(A:A,Table1[[Project No]:[Additional Remark]],11,FALSE)</f>
        <v>27000</v>
      </c>
      <c r="D241" s="55">
        <f>VLOOKUP(A:A,Table1[[Project No]:[Additional Remark]],12,FALSE)</f>
        <v>0</v>
      </c>
      <c r="E241" s="55" t="str">
        <f>VLOOKUP(A:A,Table1[[Project No]:[Additional Remark]],4,FALSE)</f>
        <v>Tham</v>
      </c>
      <c r="F241" s="4" t="str">
        <f>VLOOKUP(A:A,Table1[[Project No]:[Additional Remark]],5,FALSE)</f>
        <v>R-PV</v>
      </c>
      <c r="G241" s="4" t="str">
        <f>VLOOKUP(A:A,Table1[[Project No]:[Additional Remark]],13,FALSE)</f>
        <v>Cash</v>
      </c>
      <c r="H241" s="4" t="str" cm="1">
        <f t="array" ref="H241">_xlfn.IFS((D241+C241)-J241=0,"Invoice Completed",AC241&lt;&gt;"","5th invoice",Y241&lt;&gt;"","4th invoice",U241&lt;&gt;"","3rd invoice",Q241&lt;&gt;"","2nd invoice",M241&lt;&gt;"","1st invoice",M241="","Pending 1st Invoice")</f>
        <v>Invoice Completed</v>
      </c>
      <c r="I241" s="4" t="str" cm="1">
        <f t="array" ref="I241">_xlfn.IFS((C241+D241)-K241=0,"Payment Completed",AE241&lt;&gt;"","5th payment",AA241&lt;&gt;"","4th payment",W241&lt;&gt;"","3rd payment",S241&lt;&gt;"","2nd payment",O241&lt;&gt;"","1st payment",O241="","Pending 1st Payment")</f>
        <v>Payment Completed</v>
      </c>
      <c r="J241" s="55">
        <f t="shared" si="6"/>
        <v>27000</v>
      </c>
      <c r="K241" s="55">
        <f t="shared" si="7"/>
        <v>27000</v>
      </c>
      <c r="L241" s="65">
        <v>45723</v>
      </c>
      <c r="M241" s="66">
        <v>500</v>
      </c>
      <c r="N241" s="65">
        <v>45723</v>
      </c>
      <c r="O241" s="66">
        <v>500</v>
      </c>
      <c r="P241" s="39">
        <v>45838</v>
      </c>
      <c r="Q241" s="57">
        <v>26500</v>
      </c>
      <c r="R241" s="39">
        <v>45839</v>
      </c>
      <c r="S241" s="57">
        <v>26500</v>
      </c>
      <c r="T241" s="65"/>
      <c r="U241" s="66"/>
      <c r="V241" s="65"/>
      <c r="W241" s="66"/>
      <c r="X241" s="39"/>
      <c r="Y241" s="57"/>
      <c r="Z241" s="39"/>
      <c r="AA241" s="57"/>
      <c r="AB241" s="65"/>
      <c r="AC241" s="66"/>
      <c r="AD241" s="65"/>
      <c r="AE241" s="66"/>
      <c r="AF241" s="39"/>
      <c r="AG241" s="57"/>
      <c r="AH241" s="39"/>
      <c r="AI241" s="57"/>
    </row>
    <row r="242" spans="1:35" ht="19.5" customHeight="1" x14ac:dyDescent="0.3">
      <c r="A242" s="4">
        <f>'ECN Master Project Tracker new'!A243</f>
        <v>2502573</v>
      </c>
      <c r="B242" s="110" t="str">
        <f>VLOOKUP(A:A,Table1[[Project No]:[Additional Remark]],2,FALSE)</f>
        <v>Wong Jun Kit</v>
      </c>
      <c r="C242" s="55">
        <f>VLOOKUP(A:A,Table1[[Project No]:[Additional Remark]],11,FALSE)</f>
        <v>26000</v>
      </c>
      <c r="D242" s="55">
        <f>VLOOKUP(A:A,Table1[[Project No]:[Additional Remark]],12,FALSE)</f>
        <v>0</v>
      </c>
      <c r="E242" s="55" t="str">
        <f>VLOOKUP(A:A,Table1[[Project No]:[Additional Remark]],4,FALSE)</f>
        <v>Simon</v>
      </c>
      <c r="F242" s="4" t="str">
        <f>VLOOKUP(A:A,Table1[[Project No]:[Additional Remark]],5,FALSE)</f>
        <v>R-PV</v>
      </c>
      <c r="G242" s="4" t="str">
        <f>VLOOKUP(A:A,Table1[[Project No]:[Additional Remark]],13,FALSE)</f>
        <v>Cash</v>
      </c>
      <c r="H242" s="4" t="str" cm="1">
        <f t="array" ref="H242">_xlfn.IFS((D242+C242)-J242=0,"Invoice Completed",AC242&lt;&gt;"","5th invoice",Y242&lt;&gt;"","4th invoice",U242&lt;&gt;"","3rd invoice",Q242&lt;&gt;"","2nd invoice",M242&lt;&gt;"","1st invoice",M242="","Pending 1st Invoice")</f>
        <v>Invoice Completed</v>
      </c>
      <c r="I242" s="4" t="str" cm="1">
        <f t="array" ref="I242">_xlfn.IFS((C242+D242)-K242=0,"Payment Completed",AE242&lt;&gt;"","5th payment",AA242&lt;&gt;"","4th payment",W242&lt;&gt;"","3rd payment",S242&lt;&gt;"","2nd payment",O242&lt;&gt;"","1st payment",O242="","Pending 1st Payment")</f>
        <v>Payment Completed</v>
      </c>
      <c r="J242" s="55">
        <f t="shared" si="6"/>
        <v>26000</v>
      </c>
      <c r="K242" s="55">
        <f t="shared" si="7"/>
        <v>26000</v>
      </c>
      <c r="L242" s="65">
        <v>45722</v>
      </c>
      <c r="M242" s="66">
        <v>500</v>
      </c>
      <c r="N242" s="65">
        <v>45722</v>
      </c>
      <c r="O242" s="66">
        <v>500</v>
      </c>
      <c r="P242" s="39">
        <v>45771</v>
      </c>
      <c r="Q242" s="57">
        <v>23500</v>
      </c>
      <c r="R242" s="39">
        <v>45771</v>
      </c>
      <c r="S242" s="57">
        <v>23500</v>
      </c>
      <c r="T242" s="65">
        <v>45784</v>
      </c>
      <c r="U242" s="66">
        <v>2000</v>
      </c>
      <c r="V242" s="65">
        <v>45784</v>
      </c>
      <c r="W242" s="66">
        <v>2000</v>
      </c>
      <c r="X242" s="39"/>
      <c r="Y242" s="57"/>
      <c r="Z242" s="39"/>
      <c r="AA242" s="57"/>
      <c r="AB242" s="65"/>
      <c r="AC242" s="66"/>
      <c r="AD242" s="65"/>
      <c r="AE242" s="66"/>
      <c r="AF242" s="39"/>
      <c r="AG242" s="57"/>
      <c r="AH242" s="39"/>
      <c r="AI242" s="57"/>
    </row>
    <row r="243" spans="1:35" ht="19.5" customHeight="1" x14ac:dyDescent="0.3">
      <c r="A243" s="4">
        <f>'ECN Master Project Tracker new'!A244</f>
        <v>2503593</v>
      </c>
      <c r="B243" s="110" t="str">
        <f>VLOOKUP(A:A,Table1[[Project No]:[Additional Remark]],2,FALSE)</f>
        <v>Rashid Bin Darlan</v>
      </c>
      <c r="C243" s="55">
        <f>VLOOKUP(A:A,Table1[[Project No]:[Additional Remark]],11,FALSE)</f>
        <v>24548</v>
      </c>
      <c r="D243" s="55">
        <f>VLOOKUP(A:A,Table1[[Project No]:[Additional Remark]],12,FALSE)</f>
        <v>0</v>
      </c>
      <c r="E243" s="55" t="str">
        <f>VLOOKUP(A:A,Table1[[Project No]:[Additional Remark]],4,FALSE)</f>
        <v>Patricia</v>
      </c>
      <c r="F243" s="4" t="str">
        <f>VLOOKUP(A:A,Table1[[Project No]:[Additional Remark]],5,FALSE)</f>
        <v>R-PV</v>
      </c>
      <c r="G243" s="4" t="str">
        <f>VLOOKUP(A:A,Table1[[Project No]:[Additional Remark]],13,FALSE)</f>
        <v>Credit Card Instalment</v>
      </c>
      <c r="H243" s="4" t="str" cm="1">
        <f t="array" ref="H243">_xlfn.IFS((D243+C243)-J243=0,"Invoice Completed",AC243&lt;&gt;"","5th invoice",Y243&lt;&gt;"","4th invoice",U243&lt;&gt;"","3rd invoice",Q243&lt;&gt;"","2nd invoice",M243&lt;&gt;"","1st invoice",M243="","Pending 1st Invoice")</f>
        <v>Invoice Completed</v>
      </c>
      <c r="I243" s="4" t="str" cm="1">
        <f t="array" ref="I243">_xlfn.IFS((C243+D243)-K243=0,"Payment Completed",AE243&lt;&gt;"","5th payment",AA243&lt;&gt;"","4th payment",W243&lt;&gt;"","3rd payment",S243&lt;&gt;"","2nd payment",O243&lt;&gt;"","1st payment",O243="","Pending 1st Payment")</f>
        <v>Payment Completed</v>
      </c>
      <c r="J243" s="55">
        <f t="shared" si="6"/>
        <v>24548</v>
      </c>
      <c r="K243" s="55">
        <f t="shared" si="7"/>
        <v>24548</v>
      </c>
      <c r="L243" s="65">
        <v>45726</v>
      </c>
      <c r="M243" s="66">
        <v>500</v>
      </c>
      <c r="N243" s="65">
        <v>45726</v>
      </c>
      <c r="O243" s="66">
        <v>500</v>
      </c>
      <c r="P243" s="39">
        <v>45771</v>
      </c>
      <c r="Q243" s="57">
        <v>24048</v>
      </c>
      <c r="R243" s="39">
        <v>45771</v>
      </c>
      <c r="S243" s="57">
        <v>24048</v>
      </c>
      <c r="T243" s="65"/>
      <c r="U243" s="66"/>
      <c r="V243" s="65"/>
      <c r="W243" s="66"/>
      <c r="X243" s="39"/>
      <c r="Y243" s="57"/>
      <c r="Z243" s="39"/>
      <c r="AA243" s="57"/>
      <c r="AB243" s="65"/>
      <c r="AC243" s="66"/>
      <c r="AD243" s="65"/>
      <c r="AE243" s="66"/>
      <c r="AF243" s="39"/>
      <c r="AG243" s="57"/>
      <c r="AH243" s="39"/>
      <c r="AI243" s="57"/>
    </row>
    <row r="244" spans="1:35" ht="19.5" customHeight="1" x14ac:dyDescent="0.3">
      <c r="A244" s="4">
        <f>'ECN Master Project Tracker new'!A245</f>
        <v>2501211</v>
      </c>
      <c r="B244" s="110" t="str">
        <f>VLOOKUP(A:A,Table1[[Project No]:[Additional Remark]],2,FALSE)</f>
        <v>Great Beauty Furniture Sdn Bhd</v>
      </c>
      <c r="C244" s="55">
        <f>VLOOKUP(A:A,Table1[[Project No]:[Additional Remark]],11,FALSE)</f>
        <v>54000</v>
      </c>
      <c r="D244" s="55">
        <f>VLOOKUP(A:A,Table1[[Project No]:[Additional Remark]],12,FALSE)</f>
        <v>0</v>
      </c>
      <c r="E244" s="55" t="str">
        <f>VLOOKUP(A:A,Table1[[Project No]:[Additional Remark]],4,FALSE)</f>
        <v>Chean Bang</v>
      </c>
      <c r="F244" s="4" t="str">
        <f>VLOOKUP(A:A,Table1[[Project No]:[Additional Remark]],5,FALSE)</f>
        <v>C&amp;I-PV</v>
      </c>
      <c r="G244" s="4" t="str">
        <f>VLOOKUP(A:A,Table1[[Project No]:[Additional Remark]],13,FALSE)</f>
        <v>Cash</v>
      </c>
      <c r="H244" s="4" t="str" cm="1">
        <f t="array" ref="H244">_xlfn.IFS((D244+C244)-J244=0,"Invoice Completed",AC244&lt;&gt;"","5th invoice",Y244&lt;&gt;"","4th invoice",U244&lt;&gt;"","3rd invoice",Q244&lt;&gt;"","2nd invoice",M244&lt;&gt;"","1st invoice",M244="","Pending 1st Invoice")</f>
        <v>1st invoice</v>
      </c>
      <c r="I244" s="4" t="str" cm="1">
        <f t="array" ref="I244">_xlfn.IFS((C244+D244)-K244=0,"Payment Completed",AE244&lt;&gt;"","5th payment",AA244&lt;&gt;"","4th payment",W244&lt;&gt;"","3rd payment",S244&lt;&gt;"","2nd payment",O244&lt;&gt;"","1st payment",O244="","Pending 1st Payment")</f>
        <v>1st payment</v>
      </c>
      <c r="J244" s="55">
        <f t="shared" si="6"/>
        <v>5400</v>
      </c>
      <c r="K244" s="55">
        <f t="shared" si="7"/>
        <v>5400</v>
      </c>
      <c r="L244" s="65">
        <v>45706</v>
      </c>
      <c r="M244" s="66">
        <v>5400</v>
      </c>
      <c r="N244" s="65">
        <v>45715</v>
      </c>
      <c r="O244" s="66">
        <v>5400</v>
      </c>
      <c r="P244" s="39"/>
      <c r="Q244" s="57"/>
      <c r="R244" s="39"/>
      <c r="S244" s="57"/>
      <c r="T244" s="65"/>
      <c r="U244" s="66"/>
      <c r="V244" s="65"/>
      <c r="W244" s="66"/>
      <c r="X244" s="39"/>
      <c r="Y244" s="57"/>
      <c r="Z244" s="39"/>
      <c r="AA244" s="57"/>
      <c r="AB244" s="65"/>
      <c r="AC244" s="66"/>
      <c r="AD244" s="65"/>
      <c r="AE244" s="66"/>
      <c r="AF244" s="39"/>
      <c r="AG244" s="57"/>
      <c r="AH244" s="39"/>
      <c r="AI244" s="57"/>
    </row>
    <row r="245" spans="1:35" ht="19.5" customHeight="1" x14ac:dyDescent="0.3">
      <c r="A245" s="4">
        <f>'ECN Master Project Tracker new'!A246</f>
        <v>2502589</v>
      </c>
      <c r="B245" s="110" t="str">
        <f>VLOOKUP(A:A,Table1[[Project No]:[Additional Remark]],2,FALSE)</f>
        <v>Chin Kok Leng</v>
      </c>
      <c r="C245" s="55">
        <f>VLOOKUP(A:A,Table1[[Project No]:[Additional Remark]],11,FALSE)</f>
        <v>26000</v>
      </c>
      <c r="D245" s="55">
        <f>VLOOKUP(A:A,Table1[[Project No]:[Additional Remark]],12,FALSE)</f>
        <v>0</v>
      </c>
      <c r="E245" s="55" t="str">
        <f>VLOOKUP(A:A,Table1[[Project No]:[Additional Remark]],4,FALSE)</f>
        <v>Patricia</v>
      </c>
      <c r="F245" s="4" t="str">
        <f>VLOOKUP(A:A,Table1[[Project No]:[Additional Remark]],5,FALSE)</f>
        <v>R-PV</v>
      </c>
      <c r="G245" s="4" t="str">
        <f>VLOOKUP(A:A,Table1[[Project No]:[Additional Remark]],13,FALSE)</f>
        <v>Cash</v>
      </c>
      <c r="H245" s="4" t="str" cm="1">
        <f t="array" ref="H245">_xlfn.IFS((D245+C245)-J245=0,"Invoice Completed",AC245&lt;&gt;"","5th invoice",Y245&lt;&gt;"","4th invoice",U245&lt;&gt;"","3rd invoice",Q245&lt;&gt;"","2nd invoice",M245&lt;&gt;"","1st invoice",M245="","Pending 1st Invoice")</f>
        <v>Invoice Completed</v>
      </c>
      <c r="I245" s="4" t="str" cm="1">
        <f t="array" ref="I245">_xlfn.IFS((C245+D245)-K245=0,"Payment Completed",AE245&lt;&gt;"","5th payment",AA245&lt;&gt;"","4th payment",W245&lt;&gt;"","3rd payment",S245&lt;&gt;"","2nd payment",O245&lt;&gt;"","1st payment",O245="","Pending 1st Payment")</f>
        <v>Payment Completed</v>
      </c>
      <c r="J245" s="55">
        <f t="shared" si="6"/>
        <v>26000</v>
      </c>
      <c r="K245" s="55">
        <f t="shared" si="7"/>
        <v>26000</v>
      </c>
      <c r="L245" s="65">
        <v>45723</v>
      </c>
      <c r="M245" s="66">
        <v>500</v>
      </c>
      <c r="N245" s="65">
        <v>45723</v>
      </c>
      <c r="O245" s="66">
        <v>500</v>
      </c>
      <c r="P245" s="39">
        <v>45740</v>
      </c>
      <c r="Q245" s="57">
        <v>25500</v>
      </c>
      <c r="R245" s="39">
        <v>45743</v>
      </c>
      <c r="S245" s="57">
        <v>25500</v>
      </c>
      <c r="T245" s="65"/>
      <c r="U245" s="66"/>
      <c r="V245" s="65"/>
      <c r="W245" s="66"/>
      <c r="X245" s="39"/>
      <c r="Y245" s="57"/>
      <c r="Z245" s="39"/>
      <c r="AA245" s="57"/>
      <c r="AB245" s="65"/>
      <c r="AC245" s="66"/>
      <c r="AD245" s="65"/>
      <c r="AE245" s="66"/>
      <c r="AF245" s="39"/>
      <c r="AG245" s="57"/>
      <c r="AH245" s="39"/>
      <c r="AI245" s="57"/>
    </row>
    <row r="246" spans="1:35" ht="19.5" customHeight="1" x14ac:dyDescent="0.3">
      <c r="A246" s="4">
        <f>'ECN Master Project Tracker new'!A247</f>
        <v>2403090</v>
      </c>
      <c r="B246" s="110" t="str">
        <f>VLOOKUP(A:A,Table1[[Project No]:[Additional Remark]],2,FALSE)</f>
        <v>Mei Shun Fang Manufacturing Sdn Bhd</v>
      </c>
      <c r="C246" s="55">
        <f>VLOOKUP(A:A,Table1[[Project No]:[Additional Remark]],11,FALSE)</f>
        <v>898000</v>
      </c>
      <c r="D246" s="55">
        <f>VLOOKUP(A:A,Table1[[Project No]:[Additional Remark]],12,FALSE)</f>
        <v>8500</v>
      </c>
      <c r="E246" s="55" t="str">
        <f>VLOOKUP(A:A,Table1[[Project No]:[Additional Remark]],4,FALSE)</f>
        <v>Tham</v>
      </c>
      <c r="F246" s="4" t="str">
        <f>VLOOKUP(A:A,Table1[[Project No]:[Additional Remark]],5,FALSE)</f>
        <v>C&amp;I-PV</v>
      </c>
      <c r="G246" s="4" t="str">
        <f>VLOOKUP(A:A,Table1[[Project No]:[Additional Remark]],13,FALSE)</f>
        <v>Cash</v>
      </c>
      <c r="H246" s="4" t="str" cm="1">
        <f t="array" ref="H246">_xlfn.IFS((D246+C246)-J246=0,"Invoice Completed",AC246&lt;&gt;"","5th invoice",Y246&lt;&gt;"","4th invoice",U246&lt;&gt;"","3rd invoice",Q246&lt;&gt;"","2nd invoice",M246&lt;&gt;"","1st invoice",M246="","Pending 1st Invoice")</f>
        <v>5th invoice</v>
      </c>
      <c r="I246" s="4" t="str" cm="1">
        <f t="array" ref="I246">_xlfn.IFS((C246+D246)-K246=0,"Payment Completed",AE246&lt;&gt;"","5th payment",AA246&lt;&gt;"","4th payment",W246&lt;&gt;"","3rd payment",S246&lt;&gt;"","2nd payment",O246&lt;&gt;"","1st payment",O246="","Pending 1st Payment")</f>
        <v>5th payment</v>
      </c>
      <c r="J246" s="55">
        <f t="shared" si="6"/>
        <v>816700</v>
      </c>
      <c r="K246" s="55">
        <f t="shared" si="7"/>
        <v>812450</v>
      </c>
      <c r="L246" s="65">
        <v>45761</v>
      </c>
      <c r="M246" s="66">
        <v>94050</v>
      </c>
      <c r="N246" s="65">
        <v>45771</v>
      </c>
      <c r="O246" s="66">
        <v>94050</v>
      </c>
      <c r="P246" s="39">
        <v>45805</v>
      </c>
      <c r="Q246" s="57">
        <v>4250</v>
      </c>
      <c r="R246" s="39"/>
      <c r="S246" s="57"/>
      <c r="T246" s="65">
        <v>45807</v>
      </c>
      <c r="U246" s="66">
        <v>314300</v>
      </c>
      <c r="V246" s="65">
        <v>45814</v>
      </c>
      <c r="W246" s="66">
        <v>314300</v>
      </c>
      <c r="X246" s="39">
        <v>45904</v>
      </c>
      <c r="Y246" s="57">
        <v>224500</v>
      </c>
      <c r="Z246" s="39">
        <v>45922</v>
      </c>
      <c r="AA246" s="57">
        <v>224500</v>
      </c>
      <c r="AB246" s="65">
        <v>45964</v>
      </c>
      <c r="AC246" s="66">
        <v>179600</v>
      </c>
      <c r="AD246" s="65">
        <v>45979</v>
      </c>
      <c r="AE246" s="66">
        <v>179600</v>
      </c>
      <c r="AF246" s="39"/>
      <c r="AG246" s="57"/>
      <c r="AH246" s="39"/>
      <c r="AI246" s="57"/>
    </row>
    <row r="247" spans="1:35" ht="19.5" customHeight="1" x14ac:dyDescent="0.3">
      <c r="A247" s="4">
        <f>'ECN Master Project Tracker new'!A248</f>
        <v>2502557</v>
      </c>
      <c r="B247" s="110" t="str">
        <f>VLOOKUP(A:A,Table1[[Project No]:[Additional Remark]],2,FALSE)</f>
        <v>Chin Yee Fa</v>
      </c>
      <c r="C247" s="55">
        <f>VLOOKUP(A:A,Table1[[Project No]:[Additional Remark]],11,FALSE)</f>
        <v>28000</v>
      </c>
      <c r="D247" s="55">
        <f>VLOOKUP(A:A,Table1[[Project No]:[Additional Remark]],12,FALSE)</f>
        <v>0</v>
      </c>
      <c r="E247" s="55" t="str">
        <f>VLOOKUP(A:A,Table1[[Project No]:[Additional Remark]],4,FALSE)</f>
        <v>Patricia</v>
      </c>
      <c r="F247" s="4" t="str">
        <f>VLOOKUP(A:A,Table1[[Project No]:[Additional Remark]],5,FALSE)</f>
        <v>R-PV</v>
      </c>
      <c r="G247" s="4" t="str">
        <f>VLOOKUP(A:A,Table1[[Project No]:[Additional Remark]],13,FALSE)</f>
        <v>Cash</v>
      </c>
      <c r="H247" s="4" t="str" cm="1">
        <f t="array" ref="H247">_xlfn.IFS((D247+C247)-J247=0,"Invoice Completed",AC247&lt;&gt;"","5th invoice",Y247&lt;&gt;"","4th invoice",U247&lt;&gt;"","3rd invoice",Q247&lt;&gt;"","2nd invoice",M247&lt;&gt;"","1st invoice",M247="","Pending 1st Invoice")</f>
        <v>Invoice Completed</v>
      </c>
      <c r="I247" s="4" t="str" cm="1">
        <f t="array" ref="I247">_xlfn.IFS((C247+D247)-K247=0,"Payment Completed",AE247&lt;&gt;"","5th payment",AA247&lt;&gt;"","4th payment",W247&lt;&gt;"","3rd payment",S247&lt;&gt;"","2nd payment",O247&lt;&gt;"","1st payment",O247="","Pending 1st Payment")</f>
        <v>Payment Completed</v>
      </c>
      <c r="J247" s="55">
        <f t="shared" si="6"/>
        <v>28000</v>
      </c>
      <c r="K247" s="55">
        <f t="shared" si="7"/>
        <v>28000</v>
      </c>
      <c r="L247" s="65">
        <v>45727</v>
      </c>
      <c r="M247" s="66">
        <v>500</v>
      </c>
      <c r="N247" s="65">
        <v>45727</v>
      </c>
      <c r="O247" s="66">
        <v>500</v>
      </c>
      <c r="P247" s="39">
        <v>45783</v>
      </c>
      <c r="Q247" s="57">
        <v>25500</v>
      </c>
      <c r="R247" s="39">
        <v>45783</v>
      </c>
      <c r="S247" s="57">
        <v>25500</v>
      </c>
      <c r="T247" s="65">
        <v>45908</v>
      </c>
      <c r="U247" s="66">
        <v>2000</v>
      </c>
      <c r="V247" s="65">
        <v>45909</v>
      </c>
      <c r="W247" s="66">
        <v>2000</v>
      </c>
      <c r="X247" s="39"/>
      <c r="Y247" s="57"/>
      <c r="Z247" s="39"/>
      <c r="AA247" s="57"/>
      <c r="AB247" s="65"/>
      <c r="AC247" s="66"/>
      <c r="AD247" s="65"/>
      <c r="AE247" s="66"/>
      <c r="AF247" s="39"/>
      <c r="AG247" s="57"/>
      <c r="AH247" s="39"/>
      <c r="AI247" s="57"/>
    </row>
    <row r="248" spans="1:35" ht="19.5" customHeight="1" x14ac:dyDescent="0.3">
      <c r="A248" s="4">
        <f>'ECN Master Project Tracker new'!A249</f>
        <v>2503594</v>
      </c>
      <c r="B248" s="110" t="str">
        <f>VLOOKUP(A:A,Table1[[Project No]:[Additional Remark]],2,FALSE)</f>
        <v>Wong Teck Keng</v>
      </c>
      <c r="C248" s="55">
        <f>VLOOKUP(A:A,Table1[[Project No]:[Additional Remark]],11,FALSE)</f>
        <v>22500</v>
      </c>
      <c r="D248" s="55">
        <f>VLOOKUP(A:A,Table1[[Project No]:[Additional Remark]],12,FALSE)</f>
        <v>0</v>
      </c>
      <c r="E248" s="55" t="str">
        <f>VLOOKUP(A:A,Table1[[Project No]:[Additional Remark]],4,FALSE)</f>
        <v>Patricia</v>
      </c>
      <c r="F248" s="4" t="str">
        <f>VLOOKUP(A:A,Table1[[Project No]:[Additional Remark]],5,FALSE)</f>
        <v>R-PV</v>
      </c>
      <c r="G248" s="4" t="str">
        <f>VLOOKUP(A:A,Table1[[Project No]:[Additional Remark]],13,FALSE)</f>
        <v>Cash</v>
      </c>
      <c r="H248" s="4" t="str" cm="1">
        <f t="array" ref="H248">_xlfn.IFS((D248+C248)-J248=0,"Invoice Completed",AC248&lt;&gt;"","5th invoice",Y248&lt;&gt;"","4th invoice",U248&lt;&gt;"","3rd invoice",Q248&lt;&gt;"","2nd invoice",M248&lt;&gt;"","1st invoice",M248="","Pending 1st Invoice")</f>
        <v>2nd invoice</v>
      </c>
      <c r="I248" s="4" t="str" cm="1">
        <f t="array" ref="I248">_xlfn.IFS((C248+D248)-K248=0,"Payment Completed",AE248&lt;&gt;"","5th payment",AA248&lt;&gt;"","4th payment",W248&lt;&gt;"","3rd payment",S248&lt;&gt;"","2nd payment",O248&lt;&gt;"","1st payment",O248="","Pending 1st Payment")</f>
        <v>2nd payment</v>
      </c>
      <c r="J248" s="55">
        <f t="shared" si="6"/>
        <v>20500</v>
      </c>
      <c r="K248" s="55">
        <f t="shared" si="7"/>
        <v>20500</v>
      </c>
      <c r="L248" s="65">
        <v>45727</v>
      </c>
      <c r="M248" s="66">
        <v>500</v>
      </c>
      <c r="N248" s="65">
        <v>45727</v>
      </c>
      <c r="O248" s="66">
        <v>500</v>
      </c>
      <c r="P248" s="39">
        <v>45769</v>
      </c>
      <c r="Q248" s="57">
        <v>20000</v>
      </c>
      <c r="R248" s="39">
        <v>45770</v>
      </c>
      <c r="S248" s="57">
        <v>20000</v>
      </c>
      <c r="T248" s="65"/>
      <c r="U248" s="66"/>
      <c r="V248" s="65"/>
      <c r="W248" s="66"/>
      <c r="X248" s="39"/>
      <c r="Y248" s="57"/>
      <c r="Z248" s="39"/>
      <c r="AA248" s="57"/>
      <c r="AB248" s="65"/>
      <c r="AC248" s="66"/>
      <c r="AD248" s="65"/>
      <c r="AE248" s="66"/>
      <c r="AF248" s="39"/>
      <c r="AG248" s="57"/>
      <c r="AH248" s="39"/>
      <c r="AI248" s="57"/>
    </row>
    <row r="249" spans="1:35" ht="19.5" customHeight="1" x14ac:dyDescent="0.3">
      <c r="A249" s="4">
        <f>'ECN Master Project Tracker new'!A250</f>
        <v>2503597</v>
      </c>
      <c r="B249" s="110" t="str">
        <f>VLOOKUP(A:A,Table1[[Project No]:[Additional Remark]],2,FALSE)</f>
        <v>Bhajan Singh a/l S Bachan Singh</v>
      </c>
      <c r="C249" s="55">
        <f>VLOOKUP(A:A,Table1[[Project No]:[Additional Remark]],11,FALSE)</f>
        <v>31000</v>
      </c>
      <c r="D249" s="55">
        <f>VLOOKUP(A:A,Table1[[Project No]:[Additional Remark]],12,FALSE)</f>
        <v>0</v>
      </c>
      <c r="E249" s="55" t="str">
        <f>VLOOKUP(A:A,Table1[[Project No]:[Additional Remark]],4,FALSE)</f>
        <v>Chean Bang</v>
      </c>
      <c r="F249" s="4" t="str">
        <f>VLOOKUP(A:A,Table1[[Project No]:[Additional Remark]],5,FALSE)</f>
        <v>R-PV</v>
      </c>
      <c r="G249" s="4" t="str">
        <f>VLOOKUP(A:A,Table1[[Project No]:[Additional Remark]],13,FALSE)</f>
        <v>Cash</v>
      </c>
      <c r="H249" s="4" t="str" cm="1">
        <f t="array" ref="H249">_xlfn.IFS((D249+C249)-J249=0,"Invoice Completed",AC249&lt;&gt;"","5th invoice",Y249&lt;&gt;"","4th invoice",U249&lt;&gt;"","3rd invoice",Q249&lt;&gt;"","2nd invoice",M249&lt;&gt;"","1st invoice",M249="","Pending 1st Invoice")</f>
        <v>Invoice Completed</v>
      </c>
      <c r="I249" s="4" t="str" cm="1">
        <f t="array" ref="I249">_xlfn.IFS((C249+D249)-K249=0,"Payment Completed",AE249&lt;&gt;"","5th payment",AA249&lt;&gt;"","4th payment",W249&lt;&gt;"","3rd payment",S249&lt;&gt;"","2nd payment",O249&lt;&gt;"","1st payment",O249="","Pending 1st Payment")</f>
        <v>Payment Completed</v>
      </c>
      <c r="J249" s="55">
        <f t="shared" si="6"/>
        <v>31000</v>
      </c>
      <c r="K249" s="55">
        <f t="shared" si="7"/>
        <v>31000</v>
      </c>
      <c r="L249" s="65">
        <v>45727</v>
      </c>
      <c r="M249" s="66">
        <v>500</v>
      </c>
      <c r="N249" s="65">
        <v>45727</v>
      </c>
      <c r="O249" s="66">
        <v>500</v>
      </c>
      <c r="P249" s="39">
        <v>45772</v>
      </c>
      <c r="Q249" s="57">
        <v>28500</v>
      </c>
      <c r="R249" s="39">
        <v>45772</v>
      </c>
      <c r="S249" s="57">
        <v>28500</v>
      </c>
      <c r="T249" s="65">
        <v>45798</v>
      </c>
      <c r="U249" s="66">
        <v>2000</v>
      </c>
      <c r="V249" s="65">
        <v>45798</v>
      </c>
      <c r="W249" s="66">
        <v>2000</v>
      </c>
      <c r="X249" s="39"/>
      <c r="Y249" s="57"/>
      <c r="Z249" s="39"/>
      <c r="AA249" s="57"/>
      <c r="AB249" s="65"/>
      <c r="AC249" s="66"/>
      <c r="AD249" s="65"/>
      <c r="AE249" s="66"/>
      <c r="AF249" s="39"/>
      <c r="AG249" s="57"/>
      <c r="AH249" s="39"/>
      <c r="AI249" s="57"/>
    </row>
    <row r="250" spans="1:35" ht="19.5" customHeight="1" x14ac:dyDescent="0.3">
      <c r="A250" s="4">
        <f>'ECN Master Project Tracker new'!A251</f>
        <v>2502588</v>
      </c>
      <c r="B250" s="110" t="str">
        <f>VLOOKUP(A:A,Table1[[Project No]:[Additional Remark]],2,FALSE)</f>
        <v>Khadillah binti Hassan</v>
      </c>
      <c r="C250" s="55">
        <f>VLOOKUP(A:A,Table1[[Project No]:[Additional Remark]],11,FALSE)</f>
        <v>26600</v>
      </c>
      <c r="D250" s="55">
        <f>VLOOKUP(A:A,Table1[[Project No]:[Additional Remark]],12,FALSE)</f>
        <v>1000</v>
      </c>
      <c r="E250" s="55" t="str">
        <f>VLOOKUP(A:A,Table1[[Project No]:[Additional Remark]],4,FALSE)</f>
        <v>Patricia</v>
      </c>
      <c r="F250" s="4" t="str">
        <f>VLOOKUP(A:A,Table1[[Project No]:[Additional Remark]],5,FALSE)</f>
        <v>R-PV</v>
      </c>
      <c r="G250" s="4" t="str">
        <f>VLOOKUP(A:A,Table1[[Project No]:[Additional Remark]],13,FALSE)</f>
        <v>Cash</v>
      </c>
      <c r="H250" s="4" t="str" cm="1">
        <f t="array" ref="H250">_xlfn.IFS((D250+C250)-J250=0,"Invoice Completed",AC250&lt;&gt;"","5th invoice",Y250&lt;&gt;"","4th invoice",U250&lt;&gt;"","3rd invoice",Q250&lt;&gt;"","2nd invoice",M250&lt;&gt;"","1st invoice",M250="","Pending 1st Invoice")</f>
        <v>Invoice Completed</v>
      </c>
      <c r="I250" s="4" t="str" cm="1">
        <f t="array" ref="I250">_xlfn.IFS((C250+D250)-K250=0,"Payment Completed",AE250&lt;&gt;"","5th payment",AA250&lt;&gt;"","4th payment",W250&lt;&gt;"","3rd payment",S250&lt;&gt;"","2nd payment",O250&lt;&gt;"","1st payment",O250="","Pending 1st Payment")</f>
        <v>Payment Completed</v>
      </c>
      <c r="J250" s="55">
        <f t="shared" si="6"/>
        <v>27600</v>
      </c>
      <c r="K250" s="55">
        <f t="shared" si="7"/>
        <v>27600</v>
      </c>
      <c r="L250" s="65">
        <v>45726</v>
      </c>
      <c r="M250" s="66">
        <v>120</v>
      </c>
      <c r="N250" s="65">
        <v>45728</v>
      </c>
      <c r="O250" s="66">
        <v>120</v>
      </c>
      <c r="P250" s="39">
        <v>45775</v>
      </c>
      <c r="Q250" s="57">
        <v>24480</v>
      </c>
      <c r="R250" s="39">
        <v>45790</v>
      </c>
      <c r="S250" s="57">
        <v>24480</v>
      </c>
      <c r="T250" s="65">
        <v>45790</v>
      </c>
      <c r="U250" s="66">
        <v>2000</v>
      </c>
      <c r="V250" s="65">
        <v>45855</v>
      </c>
      <c r="W250" s="66">
        <v>2000</v>
      </c>
      <c r="X250" s="39"/>
      <c r="Y250" s="57"/>
      <c r="Z250" s="39"/>
      <c r="AA250" s="57"/>
      <c r="AB250" s="65"/>
      <c r="AC250" s="66"/>
      <c r="AD250" s="65"/>
      <c r="AE250" s="66"/>
      <c r="AF250" s="39">
        <v>45838</v>
      </c>
      <c r="AG250" s="57">
        <v>1000</v>
      </c>
      <c r="AH250" s="39">
        <v>45855</v>
      </c>
      <c r="AI250" s="57">
        <v>1000</v>
      </c>
    </row>
    <row r="251" spans="1:35" ht="19.5" customHeight="1" x14ac:dyDescent="0.3">
      <c r="A251" s="4">
        <f>'ECN Master Project Tracker new'!A252</f>
        <v>2502040</v>
      </c>
      <c r="B251" s="110" t="str">
        <f>VLOOKUP(A:A,Table1[[Project No]:[Additional Remark]],2,FALSE)</f>
        <v>ST Rosyam Mall (Plus Xnergy Services Sdn Bhd)</v>
      </c>
      <c r="C251" s="55">
        <f>VLOOKUP(A:A,Table1[[Project No]:[Additional Remark]],11,FALSE)</f>
        <v>92000</v>
      </c>
      <c r="D251" s="55">
        <f>VLOOKUP(A:A,Table1[[Project No]:[Additional Remark]],12,FALSE)</f>
        <v>400</v>
      </c>
      <c r="E251" s="55" t="str">
        <f>VLOOKUP(A:A,Table1[[Project No]:[Additional Remark]],4,FALSE)</f>
        <v>Simon</v>
      </c>
      <c r="F251" s="4" t="str">
        <f>VLOOKUP(A:A,Table1[[Project No]:[Additional Remark]],5,FALSE)</f>
        <v>EV Charger</v>
      </c>
      <c r="G251" s="4" t="str">
        <f>VLOOKUP(A:A,Table1[[Project No]:[Additional Remark]],13,FALSE)</f>
        <v>Cash</v>
      </c>
      <c r="H251" s="4" t="str" cm="1">
        <f t="array" ref="H251">_xlfn.IFS((D251+C251)-J251=0,"Invoice Completed",AC251&lt;&gt;"","5th invoice",Y251&lt;&gt;"","4th invoice",U251&lt;&gt;"","3rd invoice",Q251&lt;&gt;"","2nd invoice",M251&lt;&gt;"","1st invoice",M251="","Pending 1st Invoice")</f>
        <v>Invoice Completed</v>
      </c>
      <c r="I251" s="4" t="str" cm="1">
        <f t="array" ref="I251">_xlfn.IFS((C251+D251)-K251=0,"Payment Completed",AE251&lt;&gt;"","5th payment",AA251&lt;&gt;"","4th payment",W251&lt;&gt;"","3rd payment",S251&lt;&gt;"","2nd payment",O251&lt;&gt;"","1st payment",O251="","Pending 1st Payment")</f>
        <v>Pending 1st Payment</v>
      </c>
      <c r="J251" s="55">
        <f t="shared" si="6"/>
        <v>92400</v>
      </c>
      <c r="K251" s="55">
        <f t="shared" si="7"/>
        <v>0</v>
      </c>
      <c r="L251" s="65">
        <v>45728</v>
      </c>
      <c r="M251" s="66">
        <v>46000</v>
      </c>
      <c r="N251" s="65"/>
      <c r="O251" s="66"/>
      <c r="P251" s="39">
        <v>45733</v>
      </c>
      <c r="Q251" s="57">
        <v>46000</v>
      </c>
      <c r="R251" s="39"/>
      <c r="S251" s="57"/>
      <c r="T251" s="65"/>
      <c r="U251" s="66"/>
      <c r="V251" s="65"/>
      <c r="W251" s="66"/>
      <c r="X251" s="39"/>
      <c r="Y251" s="57"/>
      <c r="Z251" s="39"/>
      <c r="AA251" s="57"/>
      <c r="AB251" s="65"/>
      <c r="AC251" s="66"/>
      <c r="AD251" s="65"/>
      <c r="AE251" s="66"/>
      <c r="AF251" s="39">
        <v>45762</v>
      </c>
      <c r="AG251" s="57">
        <v>400</v>
      </c>
      <c r="AH251" s="39"/>
      <c r="AI251" s="57"/>
    </row>
    <row r="252" spans="1:35" ht="19.5" customHeight="1" x14ac:dyDescent="0.3">
      <c r="A252" s="4">
        <f>'ECN Master Project Tracker new'!A253</f>
        <v>2503595</v>
      </c>
      <c r="B252" s="110" t="str">
        <f>VLOOKUP(A:A,Table1[[Project No]:[Additional Remark]],2,FALSE)</f>
        <v>Lim Zhi Jie</v>
      </c>
      <c r="C252" s="55">
        <f>VLOOKUP(A:A,Table1[[Project No]:[Additional Remark]],11,FALSE)</f>
        <v>35000</v>
      </c>
      <c r="D252" s="55">
        <f>VLOOKUP(A:A,Table1[[Project No]:[Additional Remark]],12,FALSE)</f>
        <v>0</v>
      </c>
      <c r="E252" s="55" t="str">
        <f>VLOOKUP(A:A,Table1[[Project No]:[Additional Remark]],4,FALSE)</f>
        <v>Tham</v>
      </c>
      <c r="F252" s="4" t="str">
        <f>VLOOKUP(A:A,Table1[[Project No]:[Additional Remark]],5,FALSE)</f>
        <v>R-PV</v>
      </c>
      <c r="G252" s="4" t="str">
        <f>VLOOKUP(A:A,Table1[[Project No]:[Additional Remark]],13,FALSE)</f>
        <v>Cash</v>
      </c>
      <c r="H252" s="4" t="str" cm="1">
        <f t="array" ref="H252">_xlfn.IFS((D252+C252)-J252=0,"Invoice Completed",AC252&lt;&gt;"","5th invoice",Y252&lt;&gt;"","4th invoice",U252&lt;&gt;"","3rd invoice",Q252&lt;&gt;"","2nd invoice",M252&lt;&gt;"","1st invoice",M252="","Pending 1st Invoice")</f>
        <v>Invoice Completed</v>
      </c>
      <c r="I252" s="4" t="str" cm="1">
        <f t="array" ref="I252">_xlfn.IFS((C252+D252)-K252=0,"Payment Completed",AE252&lt;&gt;"","5th payment",AA252&lt;&gt;"","4th payment",W252&lt;&gt;"","3rd payment",S252&lt;&gt;"","2nd payment",O252&lt;&gt;"","1st payment",O252="","Pending 1st Payment")</f>
        <v>Payment Completed</v>
      </c>
      <c r="J252" s="55">
        <f t="shared" si="6"/>
        <v>35000</v>
      </c>
      <c r="K252" s="55">
        <f t="shared" si="7"/>
        <v>35000</v>
      </c>
      <c r="L252" s="65">
        <v>45730</v>
      </c>
      <c r="M252" s="66">
        <v>500</v>
      </c>
      <c r="N252" s="65">
        <v>45730</v>
      </c>
      <c r="O252" s="66">
        <v>500</v>
      </c>
      <c r="P252" s="39">
        <v>45869</v>
      </c>
      <c r="Q252" s="57">
        <v>34500</v>
      </c>
      <c r="R252" s="39">
        <v>45869</v>
      </c>
      <c r="S252" s="57">
        <v>34500</v>
      </c>
      <c r="T252" s="65"/>
      <c r="U252" s="66"/>
      <c r="V252" s="65"/>
      <c r="W252" s="66"/>
      <c r="X252" s="39"/>
      <c r="Y252" s="57"/>
      <c r="Z252" s="39"/>
      <c r="AA252" s="57"/>
      <c r="AB252" s="65"/>
      <c r="AC252" s="66"/>
      <c r="AD252" s="65"/>
      <c r="AE252" s="66"/>
      <c r="AF252" s="39"/>
      <c r="AG252" s="57"/>
      <c r="AH252" s="39"/>
      <c r="AI252" s="57"/>
    </row>
    <row r="253" spans="1:35" ht="19.5" customHeight="1" x14ac:dyDescent="0.3">
      <c r="A253" s="4">
        <f>'ECN Master Project Tracker new'!A254</f>
        <v>2503586</v>
      </c>
      <c r="B253" s="110" t="str">
        <f>VLOOKUP(A:A,Table1[[Project No]:[Additional Remark]],2,FALSE)</f>
        <v>Safinaz Binti Mohd Sharif</v>
      </c>
      <c r="C253" s="55">
        <f>VLOOKUP(A:A,Table1[[Project No]:[Additional Remark]],11,FALSE)</f>
        <v>21500</v>
      </c>
      <c r="D253" s="55">
        <f>VLOOKUP(A:A,Table1[[Project No]:[Additional Remark]],12,FALSE)</f>
        <v>0</v>
      </c>
      <c r="E253" s="55" t="str">
        <f>VLOOKUP(A:A,Table1[[Project No]:[Additional Remark]],4,FALSE)</f>
        <v>Patricia</v>
      </c>
      <c r="F253" s="4" t="str">
        <f>VLOOKUP(A:A,Table1[[Project No]:[Additional Remark]],5,FALSE)</f>
        <v>R-PV</v>
      </c>
      <c r="G253" s="4" t="str">
        <f>VLOOKUP(A:A,Table1[[Project No]:[Additional Remark]],13,FALSE)</f>
        <v>Cash</v>
      </c>
      <c r="H253" s="4" t="str" cm="1">
        <f t="array" ref="H253">_xlfn.IFS((D253+C253)-J253=0,"Invoice Completed",AC253&lt;&gt;"","5th invoice",Y253&lt;&gt;"","4th invoice",U253&lt;&gt;"","3rd invoice",Q253&lt;&gt;"","2nd invoice",M253&lt;&gt;"","1st invoice",M253="","Pending 1st Invoice")</f>
        <v>Invoice Completed</v>
      </c>
      <c r="I253" s="4" t="str" cm="1">
        <f t="array" ref="I253">_xlfn.IFS((C253+D253)-K253=0,"Payment Completed",AE253&lt;&gt;"","5th payment",AA253&lt;&gt;"","4th payment",W253&lt;&gt;"","3rd payment",S253&lt;&gt;"","2nd payment",O253&lt;&gt;"","1st payment",O253="","Pending 1st Payment")</f>
        <v>Payment Completed</v>
      </c>
      <c r="J253" s="55">
        <f t="shared" si="6"/>
        <v>21500</v>
      </c>
      <c r="K253" s="55">
        <f t="shared" si="7"/>
        <v>21500</v>
      </c>
      <c r="L253" s="65">
        <v>45730</v>
      </c>
      <c r="M253" s="66">
        <v>500</v>
      </c>
      <c r="N253" s="65">
        <v>45735</v>
      </c>
      <c r="O253" s="66">
        <v>500</v>
      </c>
      <c r="P253" s="39">
        <v>45770</v>
      </c>
      <c r="Q253" s="57">
        <v>19000</v>
      </c>
      <c r="R253" s="39">
        <v>45770</v>
      </c>
      <c r="S253" s="57">
        <v>19000</v>
      </c>
      <c r="T253" s="65">
        <v>45832</v>
      </c>
      <c r="U253" s="66">
        <v>2000</v>
      </c>
      <c r="V253" s="65">
        <v>45837</v>
      </c>
      <c r="W253" s="66">
        <v>2000</v>
      </c>
      <c r="X253" s="39"/>
      <c r="Y253" s="57"/>
      <c r="Z253" s="39"/>
      <c r="AA253" s="57"/>
      <c r="AB253" s="65"/>
      <c r="AC253" s="66"/>
      <c r="AD253" s="65"/>
      <c r="AE253" s="66"/>
      <c r="AF253" s="39"/>
      <c r="AG253" s="57"/>
      <c r="AH253" s="39"/>
      <c r="AI253" s="57"/>
    </row>
    <row r="254" spans="1:35" ht="19.5" customHeight="1" x14ac:dyDescent="0.3">
      <c r="A254" s="4">
        <f>'ECN Master Project Tracker new'!A255</f>
        <v>2503604</v>
      </c>
      <c r="B254" s="110" t="str">
        <f>VLOOKUP(A:A,Table1[[Project No]:[Additional Remark]],2,FALSE)</f>
        <v>Kong Chun Seng</v>
      </c>
      <c r="C254" s="55">
        <f>VLOOKUP(A:A,Table1[[Project No]:[Additional Remark]],11,FALSE)</f>
        <v>27000</v>
      </c>
      <c r="D254" s="55">
        <f>VLOOKUP(A:A,Table1[[Project No]:[Additional Remark]],12,FALSE)</f>
        <v>0</v>
      </c>
      <c r="E254" s="55" t="str">
        <f>VLOOKUP(A:A,Table1[[Project No]:[Additional Remark]],4,FALSE)</f>
        <v>Tham</v>
      </c>
      <c r="F254" s="4" t="str">
        <f>VLOOKUP(A:A,Table1[[Project No]:[Additional Remark]],5,FALSE)</f>
        <v>R-PV</v>
      </c>
      <c r="G254" s="4" t="str">
        <f>VLOOKUP(A:A,Table1[[Project No]:[Additional Remark]],13,FALSE)</f>
        <v>Cash</v>
      </c>
      <c r="H254" s="4" t="str" cm="1">
        <f t="array" ref="H254">_xlfn.IFS((D254+C254)-J254=0,"Invoice Completed",AC254&lt;&gt;"","5th invoice",Y254&lt;&gt;"","4th invoice",U254&lt;&gt;"","3rd invoice",Q254&lt;&gt;"","2nd invoice",M254&lt;&gt;"","1st invoice",M254="","Pending 1st Invoice")</f>
        <v>Invoice Completed</v>
      </c>
      <c r="I254" s="4" t="str" cm="1">
        <f t="array" ref="I254">_xlfn.IFS((C254+D254)-K254=0,"Payment Completed",AE254&lt;&gt;"","5th payment",AA254&lt;&gt;"","4th payment",W254&lt;&gt;"","3rd payment",S254&lt;&gt;"","2nd payment",O254&lt;&gt;"","1st payment",O254="","Pending 1st Payment")</f>
        <v>Payment Completed</v>
      </c>
      <c r="J254" s="55">
        <f t="shared" si="6"/>
        <v>27000</v>
      </c>
      <c r="K254" s="55">
        <f t="shared" si="7"/>
        <v>27000</v>
      </c>
      <c r="L254" s="65">
        <v>45733</v>
      </c>
      <c r="M254" s="66">
        <v>500</v>
      </c>
      <c r="N254" s="65">
        <v>45733</v>
      </c>
      <c r="O254" s="66">
        <v>500</v>
      </c>
      <c r="P254" s="39">
        <v>45768</v>
      </c>
      <c r="Q254" s="57">
        <v>26500</v>
      </c>
      <c r="R254" s="39">
        <v>45768</v>
      </c>
      <c r="S254" s="57">
        <v>26500</v>
      </c>
      <c r="T254" s="65"/>
      <c r="U254" s="66"/>
      <c r="V254" s="65"/>
      <c r="W254" s="66"/>
      <c r="X254" s="39"/>
      <c r="Y254" s="57"/>
      <c r="Z254" s="39"/>
      <c r="AA254" s="57"/>
      <c r="AB254" s="65"/>
      <c r="AC254" s="66"/>
      <c r="AD254" s="65"/>
      <c r="AE254" s="66"/>
      <c r="AF254" s="39"/>
      <c r="AG254" s="57"/>
      <c r="AH254" s="39"/>
      <c r="AI254" s="57"/>
    </row>
    <row r="255" spans="1:35" ht="19.5" customHeight="1" x14ac:dyDescent="0.3">
      <c r="A255" s="4">
        <f>'ECN Master Project Tracker new'!A256</f>
        <v>2503598</v>
      </c>
      <c r="B255" s="110" t="str">
        <f>VLOOKUP(A:A,Table1[[Project No]:[Additional Remark]],2,FALSE)</f>
        <v>Lew Yuen Tang</v>
      </c>
      <c r="C255" s="55">
        <f>VLOOKUP(A:A,Table1[[Project No]:[Additional Remark]],11,FALSE)</f>
        <v>27000</v>
      </c>
      <c r="D255" s="55">
        <f>VLOOKUP(A:A,Table1[[Project No]:[Additional Remark]],12,FALSE)</f>
        <v>0</v>
      </c>
      <c r="E255" s="55" t="str">
        <f>VLOOKUP(A:A,Table1[[Project No]:[Additional Remark]],4,FALSE)</f>
        <v>Tham</v>
      </c>
      <c r="F255" s="4" t="str">
        <f>VLOOKUP(A:A,Table1[[Project No]:[Additional Remark]],5,FALSE)</f>
        <v>R-PV</v>
      </c>
      <c r="G255" s="4" t="str">
        <f>VLOOKUP(A:A,Table1[[Project No]:[Additional Remark]],13,FALSE)</f>
        <v>Cash</v>
      </c>
      <c r="H255" s="4" t="str" cm="1">
        <f t="array" ref="H255">_xlfn.IFS((D255+C255)-J255=0,"Invoice Completed",AC255&lt;&gt;"","5th invoice",Y255&lt;&gt;"","4th invoice",U255&lt;&gt;"","3rd invoice",Q255&lt;&gt;"","2nd invoice",M255&lt;&gt;"","1st invoice",M255="","Pending 1st Invoice")</f>
        <v>Invoice Completed</v>
      </c>
      <c r="I255" s="4" t="str" cm="1">
        <f t="array" ref="I255">_xlfn.IFS((C255+D255)-K255=0,"Payment Completed",AE255&lt;&gt;"","5th payment",AA255&lt;&gt;"","4th payment",W255&lt;&gt;"","3rd payment",S255&lt;&gt;"","2nd payment",O255&lt;&gt;"","1st payment",O255="","Pending 1st Payment")</f>
        <v>Payment Completed</v>
      </c>
      <c r="J255" s="55">
        <f t="shared" si="6"/>
        <v>27000</v>
      </c>
      <c r="K255" s="55">
        <f t="shared" si="7"/>
        <v>27000</v>
      </c>
      <c r="L255" s="65">
        <v>45733</v>
      </c>
      <c r="M255" s="66">
        <v>500</v>
      </c>
      <c r="N255" s="65">
        <v>45733</v>
      </c>
      <c r="O255" s="66">
        <v>500</v>
      </c>
      <c r="P255" s="39">
        <v>45776</v>
      </c>
      <c r="Q255" s="57">
        <v>26500</v>
      </c>
      <c r="R255" s="39">
        <v>45776</v>
      </c>
      <c r="S255" s="57">
        <v>26500</v>
      </c>
      <c r="T255" s="65"/>
      <c r="U255" s="66"/>
      <c r="V255" s="65"/>
      <c r="W255" s="66"/>
      <c r="X255" s="39"/>
      <c r="Y255" s="57"/>
      <c r="Z255" s="39"/>
      <c r="AA255" s="57"/>
      <c r="AB255" s="65"/>
      <c r="AC255" s="66"/>
      <c r="AD255" s="65"/>
      <c r="AE255" s="66"/>
      <c r="AF255" s="39"/>
      <c r="AG255" s="57"/>
      <c r="AH255" s="39"/>
      <c r="AI255" s="57"/>
    </row>
    <row r="256" spans="1:35" ht="19.5" customHeight="1" x14ac:dyDescent="0.3">
      <c r="A256" s="4">
        <f>'ECN Master Project Tracker new'!A257</f>
        <v>2503609</v>
      </c>
      <c r="B256" s="110" t="str">
        <f>VLOOKUP(A:A,Table1[[Project No]:[Additional Remark]],2,FALSE)</f>
        <v>Yau Hwee Tien</v>
      </c>
      <c r="C256" s="55">
        <f>VLOOKUP(A:A,Table1[[Project No]:[Additional Remark]],11,FALSE)</f>
        <v>35000</v>
      </c>
      <c r="D256" s="55">
        <f>VLOOKUP(A:A,Table1[[Project No]:[Additional Remark]],12,FALSE)</f>
        <v>0</v>
      </c>
      <c r="E256" s="55" t="str">
        <f>VLOOKUP(A:A,Table1[[Project No]:[Additional Remark]],4,FALSE)</f>
        <v>Tham</v>
      </c>
      <c r="F256" s="4" t="str">
        <f>VLOOKUP(A:A,Table1[[Project No]:[Additional Remark]],5,FALSE)</f>
        <v>R-PV</v>
      </c>
      <c r="G256" s="4" t="str">
        <f>VLOOKUP(A:A,Table1[[Project No]:[Additional Remark]],13,FALSE)</f>
        <v>Cash</v>
      </c>
      <c r="H256" s="4" t="str" cm="1">
        <f t="array" ref="H256">_xlfn.IFS((D256+C256)-J256=0,"Invoice Completed",AC256&lt;&gt;"","5th invoice",Y256&lt;&gt;"","4th invoice",U256&lt;&gt;"","3rd invoice",Q256&lt;&gt;"","2nd invoice",M256&lt;&gt;"","1st invoice",M256="","Pending 1st Invoice")</f>
        <v>Invoice Completed</v>
      </c>
      <c r="I256" s="4" t="str" cm="1">
        <f t="array" ref="I256">_xlfn.IFS((C256+D256)-K256=0,"Payment Completed",AE256&lt;&gt;"","5th payment",AA256&lt;&gt;"","4th payment",W256&lt;&gt;"","3rd payment",S256&lt;&gt;"","2nd payment",O256&lt;&gt;"","1st payment",O256="","Pending 1st Payment")</f>
        <v>Payment Completed</v>
      </c>
      <c r="J256" s="55">
        <f t="shared" si="6"/>
        <v>35000</v>
      </c>
      <c r="K256" s="55">
        <f t="shared" si="7"/>
        <v>35000</v>
      </c>
      <c r="L256" s="65">
        <v>45735</v>
      </c>
      <c r="M256" s="66">
        <v>500</v>
      </c>
      <c r="N256" s="65">
        <v>45735</v>
      </c>
      <c r="O256" s="66">
        <v>500</v>
      </c>
      <c r="P256" s="39">
        <v>45804</v>
      </c>
      <c r="Q256" s="57">
        <v>32500</v>
      </c>
      <c r="R256" s="39">
        <v>45874</v>
      </c>
      <c r="S256" s="57">
        <v>32500</v>
      </c>
      <c r="T256" s="65">
        <v>45874</v>
      </c>
      <c r="U256" s="66">
        <v>2000</v>
      </c>
      <c r="V256" s="65">
        <v>45874</v>
      </c>
      <c r="W256" s="66">
        <v>2000</v>
      </c>
      <c r="X256" s="39"/>
      <c r="Y256" s="57"/>
      <c r="Z256" s="39"/>
      <c r="AA256" s="57"/>
      <c r="AB256" s="65"/>
      <c r="AC256" s="66"/>
      <c r="AD256" s="65"/>
      <c r="AE256" s="66"/>
      <c r="AF256" s="39"/>
      <c r="AG256" s="57"/>
      <c r="AH256" s="39"/>
      <c r="AI256" s="57"/>
    </row>
    <row r="257" spans="1:35" ht="19.5" customHeight="1" x14ac:dyDescent="0.3">
      <c r="A257" s="4">
        <f>'ECN Master Project Tracker new'!A258</f>
        <v>2503610</v>
      </c>
      <c r="B257" s="110" t="str">
        <f>VLOOKUP(A:A,Table1[[Project No]:[Additional Remark]],2,FALSE)</f>
        <v>Datuk Abdul Rani</v>
      </c>
      <c r="C257" s="55">
        <f>VLOOKUP(A:A,Table1[[Project No]:[Additional Remark]],11,FALSE)</f>
        <v>43000</v>
      </c>
      <c r="D257" s="55">
        <f>VLOOKUP(A:A,Table1[[Project No]:[Additional Remark]],12,FALSE)</f>
        <v>0</v>
      </c>
      <c r="E257" s="55" t="str">
        <f>VLOOKUP(A:A,Table1[[Project No]:[Additional Remark]],4,FALSE)</f>
        <v>Tham</v>
      </c>
      <c r="F257" s="4" t="str">
        <f>VLOOKUP(A:A,Table1[[Project No]:[Additional Remark]],5,FALSE)</f>
        <v>R-PV</v>
      </c>
      <c r="G257" s="4" t="str">
        <f>VLOOKUP(A:A,Table1[[Project No]:[Additional Remark]],13,FALSE)</f>
        <v>Cash</v>
      </c>
      <c r="H257" s="4" t="str" cm="1">
        <f t="array" ref="H257">_xlfn.IFS((D257+C257)-J257=0,"Invoice Completed",AC257&lt;&gt;"","5th invoice",Y257&lt;&gt;"","4th invoice",U257&lt;&gt;"","3rd invoice",Q257&lt;&gt;"","2nd invoice",M257&lt;&gt;"","1st invoice",M257="","Pending 1st Invoice")</f>
        <v>Invoice Completed</v>
      </c>
      <c r="I257" s="4" t="str" cm="1">
        <f t="array" ref="I257">_xlfn.IFS((C257+D257)-K257=0,"Payment Completed",AE257&lt;&gt;"","5th payment",AA257&lt;&gt;"","4th payment",W257&lt;&gt;"","3rd payment",S257&lt;&gt;"","2nd payment",O257&lt;&gt;"","1st payment",O257="","Pending 1st Payment")</f>
        <v>Payment Completed</v>
      </c>
      <c r="J257" s="55">
        <f t="shared" si="6"/>
        <v>43000</v>
      </c>
      <c r="K257" s="55">
        <f t="shared" si="7"/>
        <v>43000</v>
      </c>
      <c r="L257" s="65">
        <v>45740</v>
      </c>
      <c r="M257" s="66">
        <v>500</v>
      </c>
      <c r="N257" s="65">
        <v>45740</v>
      </c>
      <c r="O257" s="66">
        <v>500</v>
      </c>
      <c r="P257" s="39">
        <v>45763</v>
      </c>
      <c r="Q257" s="57">
        <v>40500</v>
      </c>
      <c r="R257" s="39">
        <v>45763</v>
      </c>
      <c r="S257" s="57">
        <v>40500</v>
      </c>
      <c r="T257" s="65">
        <v>45764</v>
      </c>
      <c r="U257" s="66">
        <v>2000</v>
      </c>
      <c r="V257" s="65">
        <v>45764</v>
      </c>
      <c r="W257" s="66">
        <v>2000</v>
      </c>
      <c r="X257" s="39"/>
      <c r="Y257" s="57"/>
      <c r="Z257" s="39"/>
      <c r="AA257" s="57"/>
      <c r="AB257" s="65"/>
      <c r="AC257" s="66"/>
      <c r="AD257" s="65"/>
      <c r="AE257" s="66"/>
      <c r="AF257" s="39"/>
      <c r="AG257" s="57"/>
      <c r="AH257" s="39"/>
      <c r="AI257" s="57"/>
    </row>
    <row r="258" spans="1:35" ht="19.5" customHeight="1" x14ac:dyDescent="0.3">
      <c r="A258" s="4">
        <f>'ECN Master Project Tracker new'!A259</f>
        <v>2503611</v>
      </c>
      <c r="B258" s="110" t="str">
        <f>VLOOKUP(A:A,Table1[[Project No]:[Additional Remark]],2,FALSE)</f>
        <v>Augustine Kok Hwai Nam</v>
      </c>
      <c r="C258" s="55">
        <f>VLOOKUP(A:A,Table1[[Project No]:[Additional Remark]],11,FALSE)</f>
        <v>23500</v>
      </c>
      <c r="D258" s="55">
        <f>VLOOKUP(A:A,Table1[[Project No]:[Additional Remark]],12,FALSE)</f>
        <v>0</v>
      </c>
      <c r="E258" s="55" t="str">
        <f>VLOOKUP(A:A,Table1[[Project No]:[Additional Remark]],4,FALSE)</f>
        <v>Tham</v>
      </c>
      <c r="F258" s="4" t="str">
        <f>VLOOKUP(A:A,Table1[[Project No]:[Additional Remark]],5,FALSE)</f>
        <v>R-PV</v>
      </c>
      <c r="G258" s="4" t="str">
        <f>VLOOKUP(A:A,Table1[[Project No]:[Additional Remark]],13,FALSE)</f>
        <v>Cash</v>
      </c>
      <c r="H258" s="4" t="str" cm="1">
        <f t="array" ref="H258">_xlfn.IFS((D258+C258)-J258=0,"Invoice Completed",AC258&lt;&gt;"","5th invoice",Y258&lt;&gt;"","4th invoice",U258&lt;&gt;"","3rd invoice",Q258&lt;&gt;"","2nd invoice",M258&lt;&gt;"","1st invoice",M258="","Pending 1st Invoice")</f>
        <v>Invoice Completed</v>
      </c>
      <c r="I258" s="4" t="str" cm="1">
        <f t="array" ref="I258">_xlfn.IFS((C258+D258)-K258=0,"Payment Completed",AE258&lt;&gt;"","5th payment",AA258&lt;&gt;"","4th payment",W258&lt;&gt;"","3rd payment",S258&lt;&gt;"","2nd payment",O258&lt;&gt;"","1st payment",O258="","Pending 1st Payment")</f>
        <v>Payment Completed</v>
      </c>
      <c r="J258" s="55">
        <f t="shared" si="6"/>
        <v>23500</v>
      </c>
      <c r="K258" s="55">
        <f t="shared" si="7"/>
        <v>23500</v>
      </c>
      <c r="L258" s="65">
        <v>45742</v>
      </c>
      <c r="M258" s="66">
        <v>500</v>
      </c>
      <c r="N258" s="65">
        <v>45743</v>
      </c>
      <c r="O258" s="66">
        <v>500</v>
      </c>
      <c r="P258" s="39">
        <v>45771</v>
      </c>
      <c r="Q258" s="57">
        <v>23000</v>
      </c>
      <c r="R258" s="39">
        <v>45771</v>
      </c>
      <c r="S258" s="57">
        <v>23000</v>
      </c>
      <c r="T258" s="65"/>
      <c r="U258" s="66"/>
      <c r="V258" s="65"/>
      <c r="W258" s="66"/>
      <c r="X258" s="39"/>
      <c r="Y258" s="57"/>
      <c r="Z258" s="39"/>
      <c r="AA258" s="57"/>
      <c r="AB258" s="65"/>
      <c r="AC258" s="66"/>
      <c r="AD258" s="65"/>
      <c r="AE258" s="66"/>
      <c r="AF258" s="39"/>
      <c r="AG258" s="57"/>
      <c r="AH258" s="39"/>
      <c r="AI258" s="57"/>
    </row>
    <row r="259" spans="1:35" ht="19.5" customHeight="1" x14ac:dyDescent="0.3">
      <c r="A259" s="4">
        <f>'ECN Master Project Tracker new'!A260</f>
        <v>2501524</v>
      </c>
      <c r="B259" s="110" t="str">
        <f>VLOOKUP(A:A,Table1[[Project No]:[Additional Remark]],2,FALSE)</f>
        <v>Jeremy Koo Wui Ken</v>
      </c>
      <c r="C259" s="55">
        <f>VLOOKUP(A:A,Table1[[Project No]:[Additional Remark]],11,FALSE)</f>
        <v>27000</v>
      </c>
      <c r="D259" s="55">
        <f>VLOOKUP(A:A,Table1[[Project No]:[Additional Remark]],12,FALSE)</f>
        <v>0</v>
      </c>
      <c r="E259" s="55" t="str">
        <f>VLOOKUP(A:A,Table1[[Project No]:[Additional Remark]],4,FALSE)</f>
        <v>Tham</v>
      </c>
      <c r="F259" s="4" t="str">
        <f>VLOOKUP(A:A,Table1[[Project No]:[Additional Remark]],5,FALSE)</f>
        <v>R-PV</v>
      </c>
      <c r="G259" s="4" t="str">
        <f>VLOOKUP(A:A,Table1[[Project No]:[Additional Remark]],13,FALSE)</f>
        <v>Cash</v>
      </c>
      <c r="H259" s="4" t="str" cm="1">
        <f t="array" ref="H259">_xlfn.IFS((D259+C259)-J259=0,"Invoice Completed",AC259&lt;&gt;"","5th invoice",Y259&lt;&gt;"","4th invoice",U259&lt;&gt;"","3rd invoice",Q259&lt;&gt;"","2nd invoice",M259&lt;&gt;"","1st invoice",M259="","Pending 1st Invoice")</f>
        <v>Invoice Completed</v>
      </c>
      <c r="I259" s="4" t="str" cm="1">
        <f t="array" ref="I259">_xlfn.IFS((C259+D259)-K259=0,"Payment Completed",AE259&lt;&gt;"","5th payment",AA259&lt;&gt;"","4th payment",W259&lt;&gt;"","3rd payment",S259&lt;&gt;"","2nd payment",O259&lt;&gt;"","1st payment",O259="","Pending 1st Payment")</f>
        <v>Payment Completed</v>
      </c>
      <c r="J259" s="55">
        <f t="shared" si="6"/>
        <v>27000</v>
      </c>
      <c r="K259" s="55">
        <f t="shared" si="7"/>
        <v>27000</v>
      </c>
      <c r="L259" s="65">
        <v>45744</v>
      </c>
      <c r="M259" s="66">
        <v>500</v>
      </c>
      <c r="N259" s="65">
        <v>45744</v>
      </c>
      <c r="O259" s="66">
        <v>500</v>
      </c>
      <c r="P259" s="39">
        <v>45775</v>
      </c>
      <c r="Q259" s="57">
        <v>26500</v>
      </c>
      <c r="R259" s="39">
        <v>45775</v>
      </c>
      <c r="S259" s="57">
        <v>26500</v>
      </c>
      <c r="T259" s="65"/>
      <c r="U259" s="66"/>
      <c r="V259" s="65"/>
      <c r="W259" s="66"/>
      <c r="X259" s="39"/>
      <c r="Y259" s="57"/>
      <c r="Z259" s="39"/>
      <c r="AA259" s="57"/>
      <c r="AB259" s="65"/>
      <c r="AC259" s="66"/>
      <c r="AD259" s="65"/>
      <c r="AE259" s="66"/>
      <c r="AF259" s="39"/>
      <c r="AG259" s="57"/>
      <c r="AH259" s="39"/>
      <c r="AI259" s="57"/>
    </row>
    <row r="260" spans="1:35" ht="19.5" customHeight="1" x14ac:dyDescent="0.3">
      <c r="A260" s="4">
        <f>'ECN Master Project Tracker new'!A261</f>
        <v>2503617</v>
      </c>
      <c r="B260" s="110" t="str">
        <f>VLOOKUP(A:A,Table1[[Project No]:[Additional Remark]],2,FALSE)</f>
        <v>Vinny Len Siew Meng</v>
      </c>
      <c r="C260" s="55">
        <f>VLOOKUP(A:A,Table1[[Project No]:[Additional Remark]],11,FALSE)</f>
        <v>41000</v>
      </c>
      <c r="D260" s="55">
        <f>VLOOKUP(A:A,Table1[[Project No]:[Additional Remark]],12,FALSE)</f>
        <v>0</v>
      </c>
      <c r="E260" s="55" t="str">
        <f>VLOOKUP(A:A,Table1[[Project No]:[Additional Remark]],4,FALSE)</f>
        <v>Patricia</v>
      </c>
      <c r="F260" s="4" t="str">
        <f>VLOOKUP(A:A,Table1[[Project No]:[Additional Remark]],5,FALSE)</f>
        <v>R-PV</v>
      </c>
      <c r="G260" s="4" t="str">
        <f>VLOOKUP(A:A,Table1[[Project No]:[Additional Remark]],13,FALSE)</f>
        <v>Cash</v>
      </c>
      <c r="H260" s="4" t="str" cm="1">
        <f t="array" ref="H260">_xlfn.IFS((D260+C260)-J260=0,"Invoice Completed",AC260&lt;&gt;"","5th invoice",Y260&lt;&gt;"","4th invoice",U260&lt;&gt;"","3rd invoice",Q260&lt;&gt;"","2nd invoice",M260&lt;&gt;"","1st invoice",M260="","Pending 1st Invoice")</f>
        <v>Invoice Completed</v>
      </c>
      <c r="I260" s="4" t="str" cm="1">
        <f t="array" ref="I260">_xlfn.IFS((C260+D260)-K260=0,"Payment Completed",AE260&lt;&gt;"","5th payment",AA260&lt;&gt;"","4th payment",W260&lt;&gt;"","3rd payment",S260&lt;&gt;"","2nd payment",O260&lt;&gt;"","1st payment",O260="","Pending 1st Payment")</f>
        <v>Payment Completed</v>
      </c>
      <c r="J260" s="55">
        <f t="shared" ref="J260:J323" si="8">SUM(M260,Q260,U260,Y260,AC260,AG260)</f>
        <v>41000</v>
      </c>
      <c r="K260" s="55">
        <f t="shared" ref="K260:K323" si="9">SUM(O260,S260,W260,AA260,AE260,AI260)</f>
        <v>41000</v>
      </c>
      <c r="L260" s="65">
        <v>45742</v>
      </c>
      <c r="M260" s="66">
        <v>500</v>
      </c>
      <c r="N260" s="65">
        <v>45742</v>
      </c>
      <c r="O260" s="66">
        <v>500</v>
      </c>
      <c r="P260" s="39">
        <v>45767</v>
      </c>
      <c r="Q260" s="57">
        <v>38500</v>
      </c>
      <c r="R260" s="39">
        <v>45767</v>
      </c>
      <c r="S260" s="57">
        <v>38500</v>
      </c>
      <c r="T260" s="65">
        <v>45898</v>
      </c>
      <c r="U260" s="66">
        <v>2000</v>
      </c>
      <c r="V260" s="65">
        <v>45898</v>
      </c>
      <c r="W260" s="66">
        <v>2000</v>
      </c>
      <c r="X260" s="39"/>
      <c r="Y260" s="57"/>
      <c r="Z260" s="39"/>
      <c r="AA260" s="57"/>
      <c r="AB260" s="65"/>
      <c r="AC260" s="66"/>
      <c r="AD260" s="65"/>
      <c r="AE260" s="66"/>
      <c r="AF260" s="39"/>
      <c r="AG260" s="57"/>
      <c r="AH260" s="39"/>
      <c r="AI260" s="57"/>
    </row>
    <row r="261" spans="1:35" ht="19.5" customHeight="1" x14ac:dyDescent="0.3">
      <c r="A261" s="4">
        <f>'ECN Master Project Tracker new'!A262</f>
        <v>2503601</v>
      </c>
      <c r="B261" s="110" t="str">
        <f>VLOOKUP(A:A,Table1[[Project No]:[Additional Remark]],2,FALSE)</f>
        <v>William Song Jian Tat</v>
      </c>
      <c r="C261" s="55">
        <f>VLOOKUP(A:A,Table1[[Project No]:[Additional Remark]],11,FALSE)</f>
        <v>29000</v>
      </c>
      <c r="D261" s="55">
        <f>VLOOKUP(A:A,Table1[[Project No]:[Additional Remark]],12,FALSE)</f>
        <v>0</v>
      </c>
      <c r="E261" s="55" t="str">
        <f>VLOOKUP(A:A,Table1[[Project No]:[Additional Remark]],4,FALSE)</f>
        <v>Tham</v>
      </c>
      <c r="F261" s="4" t="str">
        <f>VLOOKUP(A:A,Table1[[Project No]:[Additional Remark]],5,FALSE)</f>
        <v>R-PV</v>
      </c>
      <c r="G261" s="4" t="str">
        <f>VLOOKUP(A:A,Table1[[Project No]:[Additional Remark]],13,FALSE)</f>
        <v>Cash</v>
      </c>
      <c r="H261" s="4" t="str" cm="1">
        <f t="array" ref="H261">_xlfn.IFS((D261+C261)-J261=0,"Invoice Completed",AC261&lt;&gt;"","5th invoice",Y261&lt;&gt;"","4th invoice",U261&lt;&gt;"","3rd invoice",Q261&lt;&gt;"","2nd invoice",M261&lt;&gt;"","1st invoice",M261="","Pending 1st Invoice")</f>
        <v>1st invoice</v>
      </c>
      <c r="I261" s="4" t="str" cm="1">
        <f t="array" ref="I261">_xlfn.IFS((C261+D261)-K261=0,"Payment Completed",AE261&lt;&gt;"","5th payment",AA261&lt;&gt;"","4th payment",W261&lt;&gt;"","3rd payment",S261&lt;&gt;"","2nd payment",O261&lt;&gt;"","1st payment",O261="","Pending 1st Payment")</f>
        <v>1st payment</v>
      </c>
      <c r="J261" s="55">
        <f t="shared" si="8"/>
        <v>500</v>
      </c>
      <c r="K261" s="55">
        <f t="shared" si="9"/>
        <v>500</v>
      </c>
      <c r="L261" s="65">
        <v>45742</v>
      </c>
      <c r="M261" s="66">
        <v>500</v>
      </c>
      <c r="N261" s="65">
        <v>45744</v>
      </c>
      <c r="O261" s="66">
        <v>500</v>
      </c>
      <c r="P261" s="39"/>
      <c r="Q261" s="57"/>
      <c r="R261" s="39"/>
      <c r="S261" s="57"/>
      <c r="T261" s="65"/>
      <c r="U261" s="66"/>
      <c r="V261" s="65"/>
      <c r="W261" s="66"/>
      <c r="X261" s="39"/>
      <c r="Y261" s="57"/>
      <c r="Z261" s="39"/>
      <c r="AA261" s="57"/>
      <c r="AB261" s="65"/>
      <c r="AC261" s="66"/>
      <c r="AD261" s="65"/>
      <c r="AE261" s="66"/>
      <c r="AF261" s="39"/>
      <c r="AG261" s="57"/>
      <c r="AH261" s="39"/>
      <c r="AI261" s="57"/>
    </row>
    <row r="262" spans="1:35" s="123" customFormat="1" ht="19.5" customHeight="1" x14ac:dyDescent="0.3">
      <c r="A262" s="116">
        <f>'ECN Master Project Tracker new'!A263</f>
        <v>2503619</v>
      </c>
      <c r="B262" s="125" t="str">
        <f>VLOOKUP(A:A,Table1[[Project No]:[Additional Remark]],2,FALSE)</f>
        <v>Haslina binti Othman</v>
      </c>
      <c r="C262" s="117">
        <f>VLOOKUP(A:A,Table1[[Project No]:[Additional Remark]],11,FALSE)</f>
        <v>21500</v>
      </c>
      <c r="D262" s="117">
        <f>VLOOKUP(A:A,Table1[[Project No]:[Additional Remark]],12,FALSE)</f>
        <v>0</v>
      </c>
      <c r="E262" s="117" t="str">
        <f>VLOOKUP(A:A,Table1[[Project No]:[Additional Remark]],4,FALSE)</f>
        <v>Patricia</v>
      </c>
      <c r="F262" s="116">
        <f>VLOOKUP(A:A,Table1[[Project No]:[Additional Remark]],5,FALSE)</f>
        <v>0</v>
      </c>
      <c r="G262" s="116" t="str">
        <f>VLOOKUP(A:A,Table1[[Project No]:[Additional Remark]],13,FALSE)</f>
        <v>Cash</v>
      </c>
      <c r="H262" s="116" t="str" cm="1">
        <f t="array" ref="H262">_xlfn.IFS((D262+C262)-J262=0,"Invoice Completed",AC262&lt;&gt;"","5th invoice",Y262&lt;&gt;"","4th invoice",U262&lt;&gt;"","3rd invoice",Q262&lt;&gt;"","2nd invoice",M262&lt;&gt;"","1st invoice",M262="","Pending 1st Invoice")</f>
        <v>1st invoice</v>
      </c>
      <c r="I262" s="116" t="str" cm="1">
        <f t="array" ref="I262">_xlfn.IFS((C262+D262)-K262=0,"Payment Completed",AE262&lt;&gt;"","5th payment",AA262&lt;&gt;"","4th payment",W262&lt;&gt;"","3rd payment",S262&lt;&gt;"","2nd payment",O262&lt;&gt;"","1st payment",O262="","Pending 1st Payment")</f>
        <v>1st payment</v>
      </c>
      <c r="J262" s="117">
        <f t="shared" si="8"/>
        <v>500</v>
      </c>
      <c r="K262" s="117">
        <f t="shared" si="9"/>
        <v>500</v>
      </c>
      <c r="L262" s="118">
        <v>45746</v>
      </c>
      <c r="M262" s="119">
        <v>500</v>
      </c>
      <c r="N262" s="118">
        <v>45746</v>
      </c>
      <c r="O262" s="119">
        <v>500</v>
      </c>
      <c r="P262" s="120"/>
      <c r="Q262" s="121"/>
      <c r="R262" s="120"/>
      <c r="S262" s="121"/>
      <c r="T262" s="118"/>
      <c r="U262" s="119"/>
      <c r="V262" s="118"/>
      <c r="W262" s="119"/>
      <c r="X262" s="39"/>
      <c r="Y262" s="121"/>
      <c r="Z262" s="39"/>
      <c r="AA262" s="121"/>
      <c r="AB262" s="118"/>
      <c r="AC262" s="119"/>
      <c r="AD262" s="118"/>
      <c r="AE262" s="119"/>
      <c r="AF262" s="120"/>
      <c r="AG262" s="121"/>
      <c r="AH262" s="120"/>
      <c r="AI262" s="121"/>
    </row>
    <row r="263" spans="1:35" ht="19.5" customHeight="1" x14ac:dyDescent="0.3">
      <c r="A263" s="4">
        <f>'ECN Master Project Tracker new'!A264</f>
        <v>2504623</v>
      </c>
      <c r="B263" s="110" t="str">
        <f>VLOOKUP(A:A,Table1[[Project No]:[Additional Remark]],2,FALSE)</f>
        <v>Choy Poh Chu</v>
      </c>
      <c r="C263" s="55">
        <f>VLOOKUP(A:A,Table1[[Project No]:[Additional Remark]],11,FALSE)</f>
        <v>21500</v>
      </c>
      <c r="D263" s="55">
        <f>VLOOKUP(A:A,Table1[[Project No]:[Additional Remark]],12,FALSE)</f>
        <v>0</v>
      </c>
      <c r="E263" s="55" t="str">
        <f>VLOOKUP(A:A,Table1[[Project No]:[Additional Remark]],4,FALSE)</f>
        <v>Patricia</v>
      </c>
      <c r="F263" s="4" t="str">
        <f>VLOOKUP(A:A,Table1[[Project No]:[Additional Remark]],5,FALSE)</f>
        <v>R-PV</v>
      </c>
      <c r="G263" s="4" t="str">
        <f>VLOOKUP(A:A,Table1[[Project No]:[Additional Remark]],13,FALSE)</f>
        <v>Cash</v>
      </c>
      <c r="H263" s="4" t="str" cm="1">
        <f t="array" ref="H263">_xlfn.IFS((D263+C263)-J263=0,"Invoice Completed",AC263&lt;&gt;"","5th invoice",Y263&lt;&gt;"","4th invoice",U263&lt;&gt;"","3rd invoice",Q263&lt;&gt;"","2nd invoice",M263&lt;&gt;"","1st invoice",M263="","Pending 1st Invoice")</f>
        <v>Invoice Completed</v>
      </c>
      <c r="I263" s="4" t="str" cm="1">
        <f t="array" ref="I263">_xlfn.IFS((C263+D263)-K263=0,"Payment Completed",AE263&lt;&gt;"","5th payment",AA263&lt;&gt;"","4th payment",W263&lt;&gt;"","3rd payment",S263&lt;&gt;"","2nd payment",O263&lt;&gt;"","1st payment",O263="","Pending 1st Payment")</f>
        <v>Payment Completed</v>
      </c>
      <c r="J263" s="55">
        <f t="shared" si="8"/>
        <v>21500</v>
      </c>
      <c r="K263" s="55">
        <f t="shared" si="9"/>
        <v>21500</v>
      </c>
      <c r="L263" s="65">
        <v>45750</v>
      </c>
      <c r="M263" s="66">
        <v>500</v>
      </c>
      <c r="N263" s="65">
        <v>45750</v>
      </c>
      <c r="O263" s="66">
        <v>500</v>
      </c>
      <c r="P263" s="39">
        <v>45766</v>
      </c>
      <c r="Q263" s="57">
        <v>21000</v>
      </c>
      <c r="R263" s="39">
        <v>45787</v>
      </c>
      <c r="S263" s="57">
        <v>21000</v>
      </c>
      <c r="T263" s="65"/>
      <c r="U263" s="66"/>
      <c r="V263" s="65"/>
      <c r="W263" s="66"/>
      <c r="X263" s="39"/>
      <c r="Y263" s="57"/>
      <c r="Z263" s="39"/>
      <c r="AA263" s="57"/>
      <c r="AB263" s="65"/>
      <c r="AC263" s="66"/>
      <c r="AD263" s="65"/>
      <c r="AE263" s="66"/>
      <c r="AF263" s="39"/>
      <c r="AG263" s="57"/>
      <c r="AH263" s="39"/>
      <c r="AI263" s="57"/>
    </row>
    <row r="264" spans="1:35" ht="19.5" customHeight="1" x14ac:dyDescent="0.3">
      <c r="A264" s="4">
        <f>'ECN Master Project Tracker new'!A265</f>
        <v>2503589</v>
      </c>
      <c r="B264" s="110" t="str">
        <f>VLOOKUP(A:A,Table1[[Project No]:[Additional Remark]],2,FALSE)</f>
        <v>Chong Shiuh Dyi</v>
      </c>
      <c r="C264" s="55">
        <f>VLOOKUP(A:A,Table1[[Project No]:[Additional Remark]],11,FALSE)</f>
        <v>21500</v>
      </c>
      <c r="D264" s="55">
        <f>VLOOKUP(A:A,Table1[[Project No]:[Additional Remark]],12,FALSE)</f>
        <v>0</v>
      </c>
      <c r="E264" s="55" t="str">
        <f>VLOOKUP(A:A,Table1[[Project No]:[Additional Remark]],4,FALSE)</f>
        <v>Tham</v>
      </c>
      <c r="F264" s="4" t="str">
        <f>VLOOKUP(A:A,Table1[[Project No]:[Additional Remark]],5,FALSE)</f>
        <v>R-PV</v>
      </c>
      <c r="G264" s="4" t="str">
        <f>VLOOKUP(A:A,Table1[[Project No]:[Additional Remark]],13,FALSE)</f>
        <v>Cash</v>
      </c>
      <c r="H264" s="4" t="str" cm="1">
        <f t="array" ref="H264">_xlfn.IFS((D264+C264)-J264=0,"Invoice Completed",AC264&lt;&gt;"","5th invoice",Y264&lt;&gt;"","4th invoice",U264&lt;&gt;"","3rd invoice",Q264&lt;&gt;"","2nd invoice",M264&lt;&gt;"","1st invoice",M264="","Pending 1st Invoice")</f>
        <v>Invoice Completed</v>
      </c>
      <c r="I264" s="4" t="str" cm="1">
        <f t="array" ref="I264">_xlfn.IFS((C264+D264)-K264=0,"Payment Completed",AE264&lt;&gt;"","5th payment",AA264&lt;&gt;"","4th payment",W264&lt;&gt;"","3rd payment",S264&lt;&gt;"","2nd payment",O264&lt;&gt;"","1st payment",O264="","Pending 1st Payment")</f>
        <v>Payment Completed</v>
      </c>
      <c r="J264" s="55">
        <f t="shared" si="8"/>
        <v>21500</v>
      </c>
      <c r="K264" s="55">
        <f t="shared" si="9"/>
        <v>21500</v>
      </c>
      <c r="L264" s="65">
        <v>45756</v>
      </c>
      <c r="M264" s="66">
        <v>500</v>
      </c>
      <c r="N264" s="65">
        <v>45756</v>
      </c>
      <c r="O264" s="66">
        <v>500</v>
      </c>
      <c r="P264" s="39">
        <v>45807</v>
      </c>
      <c r="Q264" s="57">
        <v>19000</v>
      </c>
      <c r="R264" s="39">
        <v>45807</v>
      </c>
      <c r="S264" s="57">
        <v>19000</v>
      </c>
      <c r="T264" s="65">
        <v>45811</v>
      </c>
      <c r="U264" s="66">
        <v>2000</v>
      </c>
      <c r="V264" s="65">
        <v>45811</v>
      </c>
      <c r="W264" s="66">
        <v>2000</v>
      </c>
      <c r="X264" s="39"/>
      <c r="Y264" s="57"/>
      <c r="Z264" s="39"/>
      <c r="AA264" s="57"/>
      <c r="AB264" s="65"/>
      <c r="AC264" s="66"/>
      <c r="AD264" s="65"/>
      <c r="AE264" s="66"/>
      <c r="AF264" s="39"/>
      <c r="AG264" s="57"/>
      <c r="AH264" s="39"/>
      <c r="AI264" s="57"/>
    </row>
    <row r="265" spans="1:35" ht="19.5" customHeight="1" x14ac:dyDescent="0.3">
      <c r="A265" s="4">
        <f>'ECN Master Project Tracker new'!A266</f>
        <v>2504633</v>
      </c>
      <c r="B265" s="110" t="str">
        <f>VLOOKUP(A:A,Table1[[Project No]:[Additional Remark]],2,FALSE)</f>
        <v>Yong Chee Seng</v>
      </c>
      <c r="C265" s="55">
        <f>VLOOKUP(A:A,Table1[[Project No]:[Additional Remark]],11,FALSE)</f>
        <v>21500</v>
      </c>
      <c r="D265" s="55">
        <f>VLOOKUP(A:A,Table1[[Project No]:[Additional Remark]],12,FALSE)</f>
        <v>0</v>
      </c>
      <c r="E265" s="55" t="str">
        <f>VLOOKUP(A:A,Table1[[Project No]:[Additional Remark]],4,FALSE)</f>
        <v>Tham</v>
      </c>
      <c r="F265" s="4" t="str">
        <f>VLOOKUP(A:A,Table1[[Project No]:[Additional Remark]],5,FALSE)</f>
        <v>R-PV</v>
      </c>
      <c r="G265" s="4" t="str">
        <f>VLOOKUP(A:A,Table1[[Project No]:[Additional Remark]],13,FALSE)</f>
        <v>Cash</v>
      </c>
      <c r="H265" s="4" t="str" cm="1">
        <f t="array" ref="H265">_xlfn.IFS((D265+C265)-J265=0,"Invoice Completed",AC265&lt;&gt;"","5th invoice",Y265&lt;&gt;"","4th invoice",U265&lt;&gt;"","3rd invoice",Q265&lt;&gt;"","2nd invoice",M265&lt;&gt;"","1st invoice",M265="","Pending 1st Invoice")</f>
        <v>Invoice Completed</v>
      </c>
      <c r="I265" s="4" t="str" cm="1">
        <f t="array" ref="I265">_xlfn.IFS((C265+D265)-K265=0,"Payment Completed",AE265&lt;&gt;"","5th payment",AA265&lt;&gt;"","4th payment",W265&lt;&gt;"","3rd payment",S265&lt;&gt;"","2nd payment",O265&lt;&gt;"","1st payment",O265="","Pending 1st Payment")</f>
        <v>Payment Completed</v>
      </c>
      <c r="J265" s="55">
        <f t="shared" si="8"/>
        <v>21500</v>
      </c>
      <c r="K265" s="55">
        <f t="shared" si="9"/>
        <v>21500</v>
      </c>
      <c r="L265" s="65">
        <v>45758</v>
      </c>
      <c r="M265" s="66">
        <v>500</v>
      </c>
      <c r="N265" s="65">
        <v>45758</v>
      </c>
      <c r="O265" s="66">
        <v>500</v>
      </c>
      <c r="P265" s="39">
        <v>45820</v>
      </c>
      <c r="Q265" s="57">
        <v>21000</v>
      </c>
      <c r="R265" s="39">
        <v>45820</v>
      </c>
      <c r="S265" s="57">
        <v>21000</v>
      </c>
      <c r="T265" s="65"/>
      <c r="U265" s="66"/>
      <c r="V265" s="65"/>
      <c r="W265" s="66"/>
      <c r="X265" s="39"/>
      <c r="Y265" s="57"/>
      <c r="Z265" s="39"/>
      <c r="AA265" s="57"/>
      <c r="AB265" s="65"/>
      <c r="AC265" s="66"/>
      <c r="AD265" s="65"/>
      <c r="AE265" s="66"/>
      <c r="AF265" s="39"/>
      <c r="AG265" s="57"/>
      <c r="AH265" s="39"/>
      <c r="AI265" s="57"/>
    </row>
    <row r="266" spans="1:35" ht="19.5" customHeight="1" x14ac:dyDescent="0.3">
      <c r="A266" s="4">
        <f>'ECN Master Project Tracker new'!A267</f>
        <v>2504636</v>
      </c>
      <c r="B266" s="110" t="str">
        <f>VLOOKUP(A:A,Table1[[Project No]:[Additional Remark]],2,FALSE)</f>
        <v>Nur Salinahany binti Hanafiah</v>
      </c>
      <c r="C266" s="55">
        <f>VLOOKUP(A:A,Table1[[Project No]:[Additional Remark]],11,FALSE)</f>
        <v>41000</v>
      </c>
      <c r="D266" s="55">
        <f>VLOOKUP(A:A,Table1[[Project No]:[Additional Remark]],12,FALSE)</f>
        <v>0</v>
      </c>
      <c r="E266" s="55" t="str">
        <f>VLOOKUP(A:A,Table1[[Project No]:[Additional Remark]],4,FALSE)</f>
        <v>Patricia</v>
      </c>
      <c r="F266" s="4" t="str">
        <f>VLOOKUP(A:A,Table1[[Project No]:[Additional Remark]],5,FALSE)</f>
        <v>R-PV</v>
      </c>
      <c r="G266" s="4" t="str">
        <f>VLOOKUP(A:A,Table1[[Project No]:[Additional Remark]],13,FALSE)</f>
        <v>Cash</v>
      </c>
      <c r="H266" s="4" t="str" cm="1">
        <f t="array" ref="H266">_xlfn.IFS((D266+C266)-J266=0,"Invoice Completed",AC266&lt;&gt;"","5th invoice",Y266&lt;&gt;"","4th invoice",U266&lt;&gt;"","3rd invoice",Q266&lt;&gt;"","2nd invoice",M266&lt;&gt;"","1st invoice",M266="","Pending 1st Invoice")</f>
        <v>Invoice Completed</v>
      </c>
      <c r="I266" s="4" t="str" cm="1">
        <f t="array" ref="I266">_xlfn.IFS((C266+D266)-K266=0,"Payment Completed",AE266&lt;&gt;"","5th payment",AA266&lt;&gt;"","4th payment",W266&lt;&gt;"","3rd payment",S266&lt;&gt;"","2nd payment",O266&lt;&gt;"","1st payment",O266="","Pending 1st Payment")</f>
        <v>Payment Completed</v>
      </c>
      <c r="J266" s="55">
        <f t="shared" si="8"/>
        <v>41000</v>
      </c>
      <c r="K266" s="55">
        <f t="shared" si="9"/>
        <v>41000</v>
      </c>
      <c r="L266" s="65">
        <v>45758</v>
      </c>
      <c r="M266" s="66">
        <v>500</v>
      </c>
      <c r="N266" s="65">
        <v>45758</v>
      </c>
      <c r="O266" s="66">
        <v>500</v>
      </c>
      <c r="P266" s="39">
        <v>45783</v>
      </c>
      <c r="Q266" s="57">
        <v>38500</v>
      </c>
      <c r="R266" s="39">
        <v>45784</v>
      </c>
      <c r="S266" s="57">
        <v>38500</v>
      </c>
      <c r="T266" s="65">
        <v>45896</v>
      </c>
      <c r="U266" s="66">
        <v>2000</v>
      </c>
      <c r="V266" s="65">
        <v>45896</v>
      </c>
      <c r="W266" s="66">
        <v>2000</v>
      </c>
      <c r="X266" s="39"/>
      <c r="Y266" s="57"/>
      <c r="Z266" s="39"/>
      <c r="AA266" s="57"/>
      <c r="AB266" s="65"/>
      <c r="AC266" s="66"/>
      <c r="AD266" s="65"/>
      <c r="AE266" s="66"/>
      <c r="AF266" s="39"/>
      <c r="AG266" s="57"/>
      <c r="AH266" s="39"/>
      <c r="AI266" s="57"/>
    </row>
    <row r="267" spans="1:35" ht="19.5" customHeight="1" x14ac:dyDescent="0.3">
      <c r="A267" s="4">
        <f>'ECN Master Project Tracker new'!A268</f>
        <v>2406152</v>
      </c>
      <c r="B267" s="110" t="str">
        <f>VLOOKUP(A:A,Table1[[Project No]:[Additional Remark]],2,FALSE)</f>
        <v>Chara Sdn Bhd</v>
      </c>
      <c r="C267" s="55">
        <f>VLOOKUP(A:A,Table1[[Project No]:[Additional Remark]],11,FALSE)</f>
        <v>155000</v>
      </c>
      <c r="D267" s="55">
        <f>VLOOKUP(A:A,Table1[[Project No]:[Additional Remark]],12,FALSE)</f>
        <v>0</v>
      </c>
      <c r="E267" s="55" t="str">
        <f>VLOOKUP(A:A,Table1[[Project No]:[Additional Remark]],4,FALSE)</f>
        <v>Simon</v>
      </c>
      <c r="F267" s="4" t="str">
        <f>VLOOKUP(A:A,Table1[[Project No]:[Additional Remark]],5,FALSE)</f>
        <v>C&amp;I-PV</v>
      </c>
      <c r="G267" s="4" t="str">
        <f>VLOOKUP(A:A,Table1[[Project No]:[Additional Remark]],13,FALSE)</f>
        <v>Cash</v>
      </c>
      <c r="H267" s="4" t="str" cm="1">
        <f t="array" ref="H267">_xlfn.IFS((D267+C267)-J267=0,"Invoice Completed",AC267&lt;&gt;"","5th invoice",Y267&lt;&gt;"","4th invoice",U267&lt;&gt;"","3rd invoice",Q267&lt;&gt;"","2nd invoice",M267&lt;&gt;"","1st invoice",M267="","Pending 1st Invoice")</f>
        <v>Invoice Completed</v>
      </c>
      <c r="I267" s="4" t="str" cm="1">
        <f t="array" ref="I267">_xlfn.IFS((C267+D267)-K267=0,"Payment Completed",AE267&lt;&gt;"","5th payment",AA267&lt;&gt;"","4th payment",W267&lt;&gt;"","3rd payment",S267&lt;&gt;"","2nd payment",O267&lt;&gt;"","1st payment",O267="","Pending 1st Payment")</f>
        <v>Payment Completed</v>
      </c>
      <c r="J267" s="55">
        <f t="shared" si="8"/>
        <v>155000</v>
      </c>
      <c r="K267" s="55">
        <f t="shared" si="9"/>
        <v>155000</v>
      </c>
      <c r="L267" s="65">
        <v>45796</v>
      </c>
      <c r="M267" s="66">
        <v>69750</v>
      </c>
      <c r="N267" s="65">
        <v>45814</v>
      </c>
      <c r="O267" s="66">
        <v>69750</v>
      </c>
      <c r="P267" s="39">
        <v>45838</v>
      </c>
      <c r="Q267" s="57">
        <v>38750</v>
      </c>
      <c r="R267" s="39">
        <v>45845</v>
      </c>
      <c r="S267" s="57">
        <v>38750</v>
      </c>
      <c r="T267" s="65">
        <v>45929</v>
      </c>
      <c r="U267" s="66">
        <v>46500</v>
      </c>
      <c r="V267" s="65">
        <v>45939</v>
      </c>
      <c r="W267" s="66">
        <v>46500</v>
      </c>
      <c r="X267" s="39"/>
      <c r="Y267" s="57"/>
      <c r="Z267" s="39"/>
      <c r="AA267" s="57"/>
      <c r="AB267" s="65"/>
      <c r="AC267" s="66"/>
      <c r="AD267" s="65"/>
      <c r="AE267" s="66"/>
      <c r="AF267" s="39"/>
      <c r="AG267" s="57"/>
      <c r="AH267" s="39"/>
      <c r="AI267" s="57"/>
    </row>
    <row r="268" spans="1:35" ht="19.5" customHeight="1" x14ac:dyDescent="0.3">
      <c r="A268" s="4">
        <f>'ECN Master Project Tracker new'!A269</f>
        <v>2504640</v>
      </c>
      <c r="B268" s="110" t="str">
        <f>VLOOKUP(A:A,Table1[[Project No]:[Additional Remark]],2,FALSE)</f>
        <v>Ng Mong Ping</v>
      </c>
      <c r="C268" s="55">
        <f>VLOOKUP(A:A,Table1[[Project No]:[Additional Remark]],11,FALSE)</f>
        <v>26000</v>
      </c>
      <c r="D268" s="55">
        <f>VLOOKUP(A:A,Table1[[Project No]:[Additional Remark]],12,FALSE)</f>
        <v>0</v>
      </c>
      <c r="E268" s="55" t="str">
        <f>VLOOKUP(A:A,Table1[[Project No]:[Additional Remark]],4,FALSE)</f>
        <v>Tham</v>
      </c>
      <c r="F268" s="4" t="str">
        <f>VLOOKUP(A:A,Table1[[Project No]:[Additional Remark]],5,FALSE)</f>
        <v>R-PV</v>
      </c>
      <c r="G268" s="4" t="str">
        <f>VLOOKUP(A:A,Table1[[Project No]:[Additional Remark]],13,FALSE)</f>
        <v>Cash</v>
      </c>
      <c r="H268" s="4" t="str" cm="1">
        <f t="array" ref="H268">_xlfn.IFS((D268+C268)-J268=0,"Invoice Completed",AC268&lt;&gt;"","5th invoice",Y268&lt;&gt;"","4th invoice",U268&lt;&gt;"","3rd invoice",Q268&lt;&gt;"","2nd invoice",M268&lt;&gt;"","1st invoice",M268="","Pending 1st Invoice")</f>
        <v>Invoice Completed</v>
      </c>
      <c r="I268" s="4" t="str" cm="1">
        <f t="array" ref="I268">_xlfn.IFS((C268+D268)-K268=0,"Payment Completed",AE268&lt;&gt;"","5th payment",AA268&lt;&gt;"","4th payment",W268&lt;&gt;"","3rd payment",S268&lt;&gt;"","2nd payment",O268&lt;&gt;"","1st payment",O268="","Pending 1st Payment")</f>
        <v>Payment Completed</v>
      </c>
      <c r="J268" s="55">
        <f t="shared" si="8"/>
        <v>26000</v>
      </c>
      <c r="K268" s="55">
        <f t="shared" si="9"/>
        <v>26000</v>
      </c>
      <c r="L268" s="65">
        <v>45764</v>
      </c>
      <c r="M268" s="66">
        <v>500</v>
      </c>
      <c r="N268" s="65">
        <v>45765</v>
      </c>
      <c r="O268" s="66">
        <v>500</v>
      </c>
      <c r="P268" s="39">
        <v>45804</v>
      </c>
      <c r="Q268" s="57">
        <v>25500</v>
      </c>
      <c r="R268" s="39">
        <v>45805</v>
      </c>
      <c r="S268" s="57">
        <v>25500</v>
      </c>
      <c r="T268" s="65"/>
      <c r="U268" s="66"/>
      <c r="V268" s="65"/>
      <c r="W268" s="66"/>
      <c r="X268" s="39"/>
      <c r="Y268" s="57"/>
      <c r="Z268" s="39"/>
      <c r="AA268" s="57"/>
      <c r="AB268" s="65"/>
      <c r="AC268" s="66"/>
      <c r="AD268" s="65"/>
      <c r="AE268" s="66"/>
      <c r="AF268" s="39"/>
      <c r="AG268" s="57"/>
      <c r="AH268" s="39"/>
      <c r="AI268" s="57"/>
    </row>
    <row r="269" spans="1:35" ht="19.5" customHeight="1" x14ac:dyDescent="0.3">
      <c r="A269" s="4">
        <f>'ECN Master Project Tracker new'!A270</f>
        <v>2504638</v>
      </c>
      <c r="B269" s="110" t="str">
        <f>VLOOKUP(A:A,Table1[[Project No]:[Additional Remark]],2,FALSE)</f>
        <v>Lai Boon Liong</v>
      </c>
      <c r="C269" s="55">
        <f>VLOOKUP(A:A,Table1[[Project No]:[Additional Remark]],11,FALSE)</f>
        <v>27000</v>
      </c>
      <c r="D269" s="55">
        <f>VLOOKUP(A:A,Table1[[Project No]:[Additional Remark]],12,FALSE)</f>
        <v>0</v>
      </c>
      <c r="E269" s="55" t="str">
        <f>VLOOKUP(A:A,Table1[[Project No]:[Additional Remark]],4,FALSE)</f>
        <v>Tham</v>
      </c>
      <c r="F269" s="4" t="str">
        <f>VLOOKUP(A:A,Table1[[Project No]:[Additional Remark]],5,FALSE)</f>
        <v>R-PV</v>
      </c>
      <c r="G269" s="4" t="str">
        <f>VLOOKUP(A:A,Table1[[Project No]:[Additional Remark]],13,FALSE)</f>
        <v>Cash</v>
      </c>
      <c r="H269" s="4" t="str" cm="1">
        <f t="array" ref="H269">_xlfn.IFS((D269+C269)-J269=0,"Invoice Completed",AC269&lt;&gt;"","5th invoice",Y269&lt;&gt;"","4th invoice",U269&lt;&gt;"","3rd invoice",Q269&lt;&gt;"","2nd invoice",M269&lt;&gt;"","1st invoice",M269="","Pending 1st Invoice")</f>
        <v>Invoice Completed</v>
      </c>
      <c r="I269" s="4" t="str" cm="1">
        <f t="array" ref="I269">_xlfn.IFS((C269+D269)-K269=0,"Payment Completed",AE269&lt;&gt;"","5th payment",AA269&lt;&gt;"","4th payment",W269&lt;&gt;"","3rd payment",S269&lt;&gt;"","2nd payment",O269&lt;&gt;"","1st payment",O269="","Pending 1st Payment")</f>
        <v>Payment Completed</v>
      </c>
      <c r="J269" s="55">
        <f t="shared" si="8"/>
        <v>27000</v>
      </c>
      <c r="K269" s="55">
        <f t="shared" si="9"/>
        <v>27000</v>
      </c>
      <c r="L269" s="65">
        <v>45764</v>
      </c>
      <c r="M269" s="66">
        <v>500</v>
      </c>
      <c r="N269" s="65">
        <v>45764</v>
      </c>
      <c r="O269" s="66">
        <v>500</v>
      </c>
      <c r="P269" s="39">
        <v>45804</v>
      </c>
      <c r="Q269" s="57">
        <v>26500</v>
      </c>
      <c r="R269" s="39">
        <v>45804</v>
      </c>
      <c r="S269" s="57">
        <v>26500</v>
      </c>
      <c r="T269" s="65"/>
      <c r="U269" s="66"/>
      <c r="V269" s="65"/>
      <c r="W269" s="66"/>
      <c r="X269" s="39"/>
      <c r="Y269" s="57"/>
      <c r="Z269" s="39"/>
      <c r="AA269" s="57"/>
      <c r="AB269" s="65"/>
      <c r="AC269" s="66"/>
      <c r="AD269" s="65"/>
      <c r="AE269" s="66"/>
      <c r="AF269" s="39"/>
      <c r="AG269" s="57"/>
      <c r="AH269" s="39"/>
      <c r="AI269" s="57"/>
    </row>
    <row r="270" spans="1:35" ht="19.5" customHeight="1" x14ac:dyDescent="0.3">
      <c r="A270" s="4">
        <f>'ECN Master Project Tracker new'!A271</f>
        <v>2504652</v>
      </c>
      <c r="B270" s="110" t="str">
        <f>VLOOKUP(A:A,Table1[[Project No]:[Additional Remark]],2,FALSE)</f>
        <v>Khairul Hisham Bin Mohamed</v>
      </c>
      <c r="C270" s="55">
        <f>VLOOKUP(A:A,Table1[[Project No]:[Additional Remark]],11,FALSE)</f>
        <v>27500</v>
      </c>
      <c r="D270" s="55">
        <f>VLOOKUP(A:A,Table1[[Project No]:[Additional Remark]],12,FALSE)</f>
        <v>0</v>
      </c>
      <c r="E270" s="55" t="str">
        <f>VLOOKUP(A:A,Table1[[Project No]:[Additional Remark]],4,FALSE)</f>
        <v>Patricia</v>
      </c>
      <c r="F270" s="4" t="str">
        <f>VLOOKUP(A:A,Table1[[Project No]:[Additional Remark]],5,FALSE)</f>
        <v>R-PV</v>
      </c>
      <c r="G270" s="4" t="str">
        <f>VLOOKUP(A:A,Table1[[Project No]:[Additional Remark]],13,FALSE)</f>
        <v>Cash</v>
      </c>
      <c r="H270" s="4" t="str" cm="1">
        <f t="array" ref="H270">_xlfn.IFS((D270+C270)-J270=0,"Invoice Completed",AC270&lt;&gt;"","5th invoice",Y270&lt;&gt;"","4th invoice",U270&lt;&gt;"","3rd invoice",Q270&lt;&gt;"","2nd invoice",M270&lt;&gt;"","1st invoice",M270="","Pending 1st Invoice")</f>
        <v>Invoice Completed</v>
      </c>
      <c r="I270" s="4" t="str" cm="1">
        <f t="array" ref="I270">_xlfn.IFS((C270+D270)-K270=0,"Payment Completed",AE270&lt;&gt;"","5th payment",AA270&lt;&gt;"","4th payment",W270&lt;&gt;"","3rd payment",S270&lt;&gt;"","2nd payment",O270&lt;&gt;"","1st payment",O270="","Pending 1st Payment")</f>
        <v>Payment Completed</v>
      </c>
      <c r="J270" s="55">
        <f t="shared" si="8"/>
        <v>27500</v>
      </c>
      <c r="K270" s="55">
        <f t="shared" si="9"/>
        <v>27500</v>
      </c>
      <c r="L270" s="65">
        <v>45766</v>
      </c>
      <c r="M270" s="66">
        <v>500</v>
      </c>
      <c r="N270" s="65">
        <v>45766</v>
      </c>
      <c r="O270" s="66">
        <v>500</v>
      </c>
      <c r="P270" s="39">
        <v>45792</v>
      </c>
      <c r="Q270" s="57">
        <v>25000</v>
      </c>
      <c r="R270" s="39">
        <v>45870</v>
      </c>
      <c r="S270" s="57">
        <v>25000</v>
      </c>
      <c r="T270" s="65">
        <v>45887</v>
      </c>
      <c r="U270" s="66">
        <v>2000</v>
      </c>
      <c r="V270" s="65">
        <v>45887</v>
      </c>
      <c r="W270" s="66">
        <v>2000</v>
      </c>
      <c r="X270" s="39"/>
      <c r="Y270" s="57"/>
      <c r="Z270" s="39"/>
      <c r="AA270" s="57"/>
      <c r="AB270" s="65"/>
      <c r="AC270" s="66"/>
      <c r="AD270" s="65"/>
      <c r="AE270" s="66"/>
      <c r="AF270" s="39"/>
      <c r="AG270" s="57"/>
      <c r="AH270" s="39"/>
      <c r="AI270" s="57"/>
    </row>
    <row r="271" spans="1:35" ht="19.5" customHeight="1" x14ac:dyDescent="0.3">
      <c r="A271" s="4">
        <f>'ECN Master Project Tracker new'!A272</f>
        <v>2504647</v>
      </c>
      <c r="B271" s="110" t="str">
        <f>VLOOKUP(A:A,Table1[[Project No]:[Additional Remark]],2,FALSE)</f>
        <v>Tan Hock Cheng</v>
      </c>
      <c r="C271" s="55">
        <f>VLOOKUP(A:A,Table1[[Project No]:[Additional Remark]],11,FALSE)</f>
        <v>21500</v>
      </c>
      <c r="D271" s="55">
        <f>VLOOKUP(A:A,Table1[[Project No]:[Additional Remark]],12,FALSE)</f>
        <v>0</v>
      </c>
      <c r="E271" s="55" t="str">
        <f>VLOOKUP(A:A,Table1[[Project No]:[Additional Remark]],4,FALSE)</f>
        <v>Patricia</v>
      </c>
      <c r="F271" s="4" t="str">
        <f>VLOOKUP(A:A,Table1[[Project No]:[Additional Remark]],5,FALSE)</f>
        <v>R-PV</v>
      </c>
      <c r="G271" s="4" t="str">
        <f>VLOOKUP(A:A,Table1[[Project No]:[Additional Remark]],13,FALSE)</f>
        <v>Cash</v>
      </c>
      <c r="H271" s="4" t="str" cm="1">
        <f t="array" ref="H271">_xlfn.IFS((D271+C271)-J271=0,"Invoice Completed",AC271&lt;&gt;"","5th invoice",Y271&lt;&gt;"","4th invoice",U271&lt;&gt;"","3rd invoice",Q271&lt;&gt;"","2nd invoice",M271&lt;&gt;"","1st invoice",M271="","Pending 1st Invoice")</f>
        <v>Invoice Completed</v>
      </c>
      <c r="I271" s="4" t="str" cm="1">
        <f t="array" ref="I271">_xlfn.IFS((C271+D271)-K271=0,"Payment Completed",AE271&lt;&gt;"","5th payment",AA271&lt;&gt;"","4th payment",W271&lt;&gt;"","3rd payment",S271&lt;&gt;"","2nd payment",O271&lt;&gt;"","1st payment",O271="","Pending 1st Payment")</f>
        <v>Payment Completed</v>
      </c>
      <c r="J271" s="55">
        <f t="shared" si="8"/>
        <v>21500</v>
      </c>
      <c r="K271" s="55">
        <f t="shared" si="9"/>
        <v>21500</v>
      </c>
      <c r="L271" s="65">
        <v>45767</v>
      </c>
      <c r="M271" s="66">
        <v>500</v>
      </c>
      <c r="N271" s="65">
        <v>45768</v>
      </c>
      <c r="O271" s="66">
        <v>500</v>
      </c>
      <c r="P271" s="39">
        <v>45805</v>
      </c>
      <c r="Q271" s="57">
        <v>19000</v>
      </c>
      <c r="R271" s="39">
        <v>45805</v>
      </c>
      <c r="S271" s="57">
        <v>19000</v>
      </c>
      <c r="T271" s="65">
        <v>45805</v>
      </c>
      <c r="U271" s="66">
        <v>2000</v>
      </c>
      <c r="V271" s="65">
        <v>45807</v>
      </c>
      <c r="W271" s="66">
        <v>2000</v>
      </c>
      <c r="X271" s="39"/>
      <c r="Y271" s="57"/>
      <c r="Z271" s="39"/>
      <c r="AA271" s="57"/>
      <c r="AB271" s="65"/>
      <c r="AC271" s="66"/>
      <c r="AD271" s="65"/>
      <c r="AE271" s="66"/>
      <c r="AF271" s="39"/>
      <c r="AG271" s="57"/>
      <c r="AH271" s="39"/>
      <c r="AI271" s="57"/>
    </row>
    <row r="272" spans="1:35" ht="19.5" customHeight="1" x14ac:dyDescent="0.3">
      <c r="A272" s="4">
        <f>'ECN Master Project Tracker new'!A273</f>
        <v>2504658</v>
      </c>
      <c r="B272" s="110" t="str">
        <f>VLOOKUP(A:A,Table1[[Project No]:[Additional Remark]],2,FALSE)</f>
        <v>Phang Yeong Chin</v>
      </c>
      <c r="C272" s="55">
        <f>VLOOKUP(A:A,Table1[[Project No]:[Additional Remark]],11,FALSE)</f>
        <v>22500</v>
      </c>
      <c r="D272" s="55">
        <f>VLOOKUP(A:A,Table1[[Project No]:[Additional Remark]],12,FALSE)</f>
        <v>0</v>
      </c>
      <c r="E272" s="55" t="str">
        <f>VLOOKUP(A:A,Table1[[Project No]:[Additional Remark]],4,FALSE)</f>
        <v>Ong</v>
      </c>
      <c r="F272" s="4" t="str">
        <f>VLOOKUP(A:A,Table1[[Project No]:[Additional Remark]],5,FALSE)</f>
        <v>R-PV</v>
      </c>
      <c r="G272" s="4" t="str">
        <f>VLOOKUP(A:A,Table1[[Project No]:[Additional Remark]],13,FALSE)</f>
        <v>Cash</v>
      </c>
      <c r="H272" s="4" t="str" cm="1">
        <f t="array" ref="H272">_xlfn.IFS((D272+C272)-J272=0,"Invoice Completed",AC272&lt;&gt;"","5th invoice",Y272&lt;&gt;"","4th invoice",U272&lt;&gt;"","3rd invoice",Q272&lt;&gt;"","2nd invoice",M272&lt;&gt;"","1st invoice",M272="","Pending 1st Invoice")</f>
        <v>2nd invoice</v>
      </c>
      <c r="I272" s="4" t="str" cm="1">
        <f t="array" ref="I272">_xlfn.IFS((C272+D272)-K272=0,"Payment Completed",AE272&lt;&gt;"","5th payment",AA272&lt;&gt;"","4th payment",W272&lt;&gt;"","3rd payment",S272&lt;&gt;"","2nd payment",O272&lt;&gt;"","1st payment",O272="","Pending 1st Payment")</f>
        <v>2nd payment</v>
      </c>
      <c r="J272" s="55">
        <f t="shared" si="8"/>
        <v>20500</v>
      </c>
      <c r="K272" s="55">
        <f t="shared" si="9"/>
        <v>20500</v>
      </c>
      <c r="L272" s="65">
        <v>45769</v>
      </c>
      <c r="M272" s="66">
        <v>500</v>
      </c>
      <c r="N272" s="65">
        <v>45769</v>
      </c>
      <c r="O272" s="66">
        <v>500</v>
      </c>
      <c r="P272" s="39">
        <v>45784</v>
      </c>
      <c r="Q272" s="57">
        <v>20000</v>
      </c>
      <c r="R272" s="39">
        <v>45784</v>
      </c>
      <c r="S272" s="57">
        <v>20000</v>
      </c>
      <c r="T272" s="65"/>
      <c r="U272" s="66"/>
      <c r="V272" s="65"/>
      <c r="W272" s="66"/>
      <c r="X272" s="39"/>
      <c r="Y272" s="57"/>
      <c r="Z272" s="39"/>
      <c r="AA272" s="57"/>
      <c r="AB272" s="65"/>
      <c r="AC272" s="66"/>
      <c r="AD272" s="65"/>
      <c r="AE272" s="66"/>
      <c r="AF272" s="39"/>
      <c r="AG272" s="57"/>
      <c r="AH272" s="39"/>
      <c r="AI272" s="57"/>
    </row>
    <row r="273" spans="1:35" s="123" customFormat="1" ht="19.5" customHeight="1" x14ac:dyDescent="0.3">
      <c r="A273" s="116">
        <f>'ECN Master Project Tracker new'!A274</f>
        <v>2503614</v>
      </c>
      <c r="B273" s="125" t="str">
        <f>VLOOKUP(A:A,Table1[[Project No]:[Additional Remark]],2,FALSE)</f>
        <v>Yap Weoi Kee</v>
      </c>
      <c r="C273" s="117">
        <f>VLOOKUP(A:A,Table1[[Project No]:[Additional Remark]],11,FALSE)</f>
        <v>0</v>
      </c>
      <c r="D273" s="117">
        <f>VLOOKUP(A:A,Table1[[Project No]:[Additional Remark]],12,FALSE)</f>
        <v>0</v>
      </c>
      <c r="E273" s="117" t="str">
        <f>VLOOKUP(A:A,Table1[[Project No]:[Additional Remark]],4,FALSE)</f>
        <v>Simon</v>
      </c>
      <c r="F273" s="116">
        <f>VLOOKUP(A:A,Table1[[Project No]:[Additional Remark]],5,FALSE)</f>
        <v>0</v>
      </c>
      <c r="G273" s="116" t="str">
        <f>VLOOKUP(A:A,Table1[[Project No]:[Additional Remark]],13,FALSE)</f>
        <v>Cash</v>
      </c>
      <c r="H273" s="4" t="str" cm="1">
        <f t="array" ref="H273">_xlfn.IFS((D273+C273)-J273=0,"Invoice Completed",AC273&lt;&gt;"","5th invoice",Y273&lt;&gt;"","4th invoice",U273&lt;&gt;"","3rd invoice",Q273&lt;&gt;"","2nd invoice",M273&lt;&gt;"","1st invoice",M273="","Pending 1st Invoice")</f>
        <v>1st invoice</v>
      </c>
      <c r="I273" s="4" t="str" cm="1">
        <f t="array" ref="I273">_xlfn.IFS((C273+D273)-K273=0,"Payment Completed",AE273&lt;&gt;"","5th payment",AA273&lt;&gt;"","4th payment",W273&lt;&gt;"","3rd payment",S273&lt;&gt;"","2nd payment",O273&lt;&gt;"","1st payment",O273="","Pending 1st Payment")</f>
        <v>1st payment</v>
      </c>
      <c r="J273" s="117">
        <f t="shared" si="8"/>
        <v>500</v>
      </c>
      <c r="K273" s="117">
        <f t="shared" si="9"/>
        <v>500</v>
      </c>
      <c r="L273" s="118">
        <v>45770</v>
      </c>
      <c r="M273" s="119">
        <v>500</v>
      </c>
      <c r="N273" s="65">
        <v>45770</v>
      </c>
      <c r="O273" s="119">
        <v>500</v>
      </c>
      <c r="P273" s="120"/>
      <c r="Q273" s="121"/>
      <c r="R273" s="39"/>
      <c r="S273" s="121"/>
      <c r="T273" s="118"/>
      <c r="U273" s="119"/>
      <c r="V273" s="118"/>
      <c r="W273" s="119"/>
      <c r="X273" s="39"/>
      <c r="Y273" s="121"/>
      <c r="Z273" s="39"/>
      <c r="AA273" s="121"/>
      <c r="AB273" s="118"/>
      <c r="AC273" s="119"/>
      <c r="AD273" s="118"/>
      <c r="AE273" s="119"/>
      <c r="AF273" s="120"/>
      <c r="AG273" s="121"/>
      <c r="AH273" s="120"/>
      <c r="AI273" s="121"/>
    </row>
    <row r="274" spans="1:35" ht="19.5" customHeight="1" x14ac:dyDescent="0.3">
      <c r="A274" s="4">
        <f>'ECN Master Project Tracker new'!A275</f>
        <v>2504643</v>
      </c>
      <c r="B274" s="110" t="str">
        <f>VLOOKUP(A:A,Table1[[Project No]:[Additional Remark]],2,FALSE)</f>
        <v>Lee Sui Lian</v>
      </c>
      <c r="C274" s="55">
        <f>VLOOKUP(A:A,Table1[[Project No]:[Additional Remark]],11,FALSE)</f>
        <v>46700</v>
      </c>
      <c r="D274" s="55">
        <f>VLOOKUP(A:A,Table1[[Project No]:[Additional Remark]],12,FALSE)</f>
        <v>0</v>
      </c>
      <c r="E274" s="55" t="str">
        <f>VLOOKUP(A:A,Table1[[Project No]:[Additional Remark]],4,FALSE)</f>
        <v>Patricia</v>
      </c>
      <c r="F274" s="4" t="str">
        <f>VLOOKUP(A:A,Table1[[Project No]:[Additional Remark]],5,FALSE)</f>
        <v>R-PV</v>
      </c>
      <c r="G274" s="4" t="str">
        <f>VLOOKUP(A:A,Table1[[Project No]:[Additional Remark]],13,FALSE)</f>
        <v>Credit Card Instalment</v>
      </c>
      <c r="H274" s="4" t="str" cm="1">
        <f t="array" ref="H274">_xlfn.IFS((D274+C274)-J274=0,"Invoice Completed",AC274&lt;&gt;"","5th invoice",Y274&lt;&gt;"","4th invoice",U274&lt;&gt;"","3rd invoice",Q274&lt;&gt;"","2nd invoice",M274&lt;&gt;"","1st invoice",M274="","Pending 1st Invoice")</f>
        <v>Invoice Completed</v>
      </c>
      <c r="I274" s="4" t="str" cm="1">
        <f t="array" ref="I274">_xlfn.IFS((C274+D274)-K274=0,"Payment Completed",AE274&lt;&gt;"","5th payment",AA274&lt;&gt;"","4th payment",W274&lt;&gt;"","3rd payment",S274&lt;&gt;"","2nd payment",O274&lt;&gt;"","1st payment",O274="","Pending 1st Payment")</f>
        <v>Payment Completed</v>
      </c>
      <c r="J274" s="55">
        <f t="shared" si="8"/>
        <v>46700</v>
      </c>
      <c r="K274" s="55">
        <f t="shared" si="9"/>
        <v>46700</v>
      </c>
      <c r="L274" s="65">
        <v>45764</v>
      </c>
      <c r="M274" s="66">
        <v>500</v>
      </c>
      <c r="N274" s="65">
        <v>45771</v>
      </c>
      <c r="O274" s="66">
        <v>500</v>
      </c>
      <c r="P274" s="39">
        <v>45803</v>
      </c>
      <c r="Q274" s="57">
        <v>46200</v>
      </c>
      <c r="R274" s="39">
        <v>45863</v>
      </c>
      <c r="S274" s="57">
        <v>46200</v>
      </c>
      <c r="T274" s="65"/>
      <c r="U274" s="66"/>
      <c r="V274" s="65"/>
      <c r="W274" s="66"/>
      <c r="X274" s="39"/>
      <c r="Y274" s="57"/>
      <c r="Z274" s="39"/>
      <c r="AA274" s="57"/>
      <c r="AB274" s="65"/>
      <c r="AC274" s="66"/>
      <c r="AD274" s="65"/>
      <c r="AE274" s="66"/>
      <c r="AF274" s="39"/>
      <c r="AG274" s="57"/>
      <c r="AH274" s="39"/>
      <c r="AI274" s="57"/>
    </row>
    <row r="275" spans="1:35" ht="19.5" customHeight="1" x14ac:dyDescent="0.3">
      <c r="A275" s="4">
        <f>'ECN Master Project Tracker new'!A276</f>
        <v>2504663</v>
      </c>
      <c r="B275" s="110" t="str">
        <f>VLOOKUP(A:A,Table1[[Project No]:[Additional Remark]],2,FALSE)</f>
        <v>Too Seng Eng</v>
      </c>
      <c r="C275" s="55">
        <f>VLOOKUP(A:A,Table1[[Project No]:[Additional Remark]],11,FALSE)</f>
        <v>22500</v>
      </c>
      <c r="D275" s="55">
        <f>VLOOKUP(A:A,Table1[[Project No]:[Additional Remark]],12,FALSE)</f>
        <v>0</v>
      </c>
      <c r="E275" s="55" t="str">
        <f>VLOOKUP(A:A,Table1[[Project No]:[Additional Remark]],4,FALSE)</f>
        <v>Patricia</v>
      </c>
      <c r="F275" s="4" t="str">
        <f>VLOOKUP(A:A,Table1[[Project No]:[Additional Remark]],5,FALSE)</f>
        <v>R-PV</v>
      </c>
      <c r="G275" s="4" t="str">
        <f>VLOOKUP(A:A,Table1[[Project No]:[Additional Remark]],13,FALSE)</f>
        <v>Cash</v>
      </c>
      <c r="H275" s="4" t="str" cm="1">
        <f t="array" ref="H275">_xlfn.IFS((D275+C275)-J275=0,"Invoice Completed",AC275&lt;&gt;"","5th invoice",Y275&lt;&gt;"","4th invoice",U275&lt;&gt;"","3rd invoice",Q275&lt;&gt;"","2nd invoice",M275&lt;&gt;"","1st invoice",M275="","Pending 1st Invoice")</f>
        <v>Invoice Completed</v>
      </c>
      <c r="I275" s="4" t="str" cm="1">
        <f t="array" ref="I275">_xlfn.IFS((C275+D275)-K275=0,"Payment Completed",AE275&lt;&gt;"","5th payment",AA275&lt;&gt;"","4th payment",W275&lt;&gt;"","3rd payment",S275&lt;&gt;"","2nd payment",O275&lt;&gt;"","1st payment",O275="","Pending 1st Payment")</f>
        <v>Payment Completed</v>
      </c>
      <c r="J275" s="55">
        <f t="shared" si="8"/>
        <v>22500</v>
      </c>
      <c r="K275" s="55">
        <f t="shared" si="9"/>
        <v>22500</v>
      </c>
      <c r="L275" s="65">
        <v>45770</v>
      </c>
      <c r="M275" s="66">
        <v>500</v>
      </c>
      <c r="N275" s="65">
        <v>45770</v>
      </c>
      <c r="O275" s="66">
        <v>500</v>
      </c>
      <c r="P275" s="39">
        <v>45806</v>
      </c>
      <c r="Q275" s="57">
        <v>20000</v>
      </c>
      <c r="R275" s="39">
        <v>45806</v>
      </c>
      <c r="S275" s="57">
        <v>20000</v>
      </c>
      <c r="T275" s="65">
        <v>45814</v>
      </c>
      <c r="U275" s="66">
        <v>2000</v>
      </c>
      <c r="V275" s="65">
        <v>45814</v>
      </c>
      <c r="W275" s="66">
        <v>2000</v>
      </c>
      <c r="X275" s="39"/>
      <c r="Y275" s="57"/>
      <c r="Z275" s="39"/>
      <c r="AA275" s="57"/>
      <c r="AB275" s="65"/>
      <c r="AC275" s="66"/>
      <c r="AD275" s="65"/>
      <c r="AE275" s="66"/>
      <c r="AF275" s="39"/>
      <c r="AG275" s="57"/>
      <c r="AH275" s="39"/>
      <c r="AI275" s="57"/>
    </row>
    <row r="276" spans="1:35" ht="19.5" customHeight="1" x14ac:dyDescent="0.3">
      <c r="A276" s="4">
        <f>'ECN Master Project Tracker new'!A277</f>
        <v>2504671</v>
      </c>
      <c r="B276" s="110" t="str">
        <f>VLOOKUP(A:A,Table1[[Project No]:[Additional Remark]],2,FALSE)</f>
        <v>Anthony Phua Kin Loong</v>
      </c>
      <c r="C276" s="55">
        <f>VLOOKUP(A:A,Table1[[Project No]:[Additional Remark]],11,FALSE)</f>
        <v>41000</v>
      </c>
      <c r="D276" s="55">
        <f>VLOOKUP(A:A,Table1[[Project No]:[Additional Remark]],12,FALSE)</f>
        <v>0</v>
      </c>
      <c r="E276" s="55" t="str">
        <f>VLOOKUP(A:A,Table1[[Project No]:[Additional Remark]],4,FALSE)</f>
        <v>Patricia</v>
      </c>
      <c r="F276" s="4" t="str">
        <f>VLOOKUP(A:A,Table1[[Project No]:[Additional Remark]],5,FALSE)</f>
        <v>R-PV</v>
      </c>
      <c r="G276" s="4" t="str">
        <f>VLOOKUP(A:A,Table1[[Project No]:[Additional Remark]],13,FALSE)</f>
        <v>Cash</v>
      </c>
      <c r="H276" s="4" t="str" cm="1">
        <f t="array" ref="H276">_xlfn.IFS((D276+C276)-J276=0,"Invoice Completed",AC276&lt;&gt;"","5th invoice",Y276&lt;&gt;"","4th invoice",U276&lt;&gt;"","3rd invoice",Q276&lt;&gt;"","2nd invoice",M276&lt;&gt;"","1st invoice",M276="","Pending 1st Invoice")</f>
        <v>1st invoice</v>
      </c>
      <c r="I276" s="4" t="str" cm="1">
        <f t="array" ref="I276">_xlfn.IFS((C276+D276)-K276=0,"Payment Completed",AE276&lt;&gt;"","5th payment",AA276&lt;&gt;"","4th payment",W276&lt;&gt;"","3rd payment",S276&lt;&gt;"","2nd payment",O276&lt;&gt;"","1st payment",O276="","Pending 1st Payment")</f>
        <v>1st payment</v>
      </c>
      <c r="J276" s="55">
        <f t="shared" si="8"/>
        <v>500</v>
      </c>
      <c r="K276" s="55">
        <f t="shared" si="9"/>
        <v>500</v>
      </c>
      <c r="L276" s="65">
        <v>45777</v>
      </c>
      <c r="M276" s="66">
        <v>500</v>
      </c>
      <c r="N276" s="65">
        <v>45777</v>
      </c>
      <c r="O276" s="66">
        <v>500</v>
      </c>
      <c r="P276" s="39"/>
      <c r="Q276" s="57"/>
      <c r="R276" s="39"/>
      <c r="S276" s="57"/>
      <c r="T276" s="65"/>
      <c r="U276" s="66"/>
      <c r="V276" s="65"/>
      <c r="W276" s="66"/>
      <c r="X276" s="39"/>
      <c r="Y276" s="57"/>
      <c r="Z276" s="39"/>
      <c r="AA276" s="57"/>
      <c r="AB276" s="65"/>
      <c r="AC276" s="66"/>
      <c r="AD276" s="65"/>
      <c r="AE276" s="66"/>
      <c r="AF276" s="39"/>
      <c r="AG276" s="57"/>
      <c r="AH276" s="39"/>
      <c r="AI276" s="57"/>
    </row>
    <row r="277" spans="1:35" ht="19.5" customHeight="1" x14ac:dyDescent="0.3">
      <c r="A277" s="4">
        <f>'ECN Master Project Tracker new'!A278</f>
        <v>2506644</v>
      </c>
      <c r="B277" s="110" t="str">
        <f>VLOOKUP(A:A,Table1[[Project No]:[Additional Remark]],2,FALSE)</f>
        <v>Chang Kok Sang (Chang Vun Yu)</v>
      </c>
      <c r="C277" s="55">
        <f>VLOOKUP(A:A,Table1[[Project No]:[Additional Remark]],11,FALSE)</f>
        <v>21000</v>
      </c>
      <c r="D277" s="55">
        <f>VLOOKUP(A:A,Table1[[Project No]:[Additional Remark]],12,FALSE)</f>
        <v>0</v>
      </c>
      <c r="E277" s="55" t="str">
        <f>VLOOKUP(A:A,Table1[[Project No]:[Additional Remark]],4,FALSE)</f>
        <v>Tham</v>
      </c>
      <c r="F277" s="4" t="str">
        <f>VLOOKUP(A:A,Table1[[Project No]:[Additional Remark]],5,FALSE)</f>
        <v>R-PV</v>
      </c>
      <c r="G277" s="4" t="str">
        <f>VLOOKUP(A:A,Table1[[Project No]:[Additional Remark]],13,FALSE)</f>
        <v>Cash</v>
      </c>
      <c r="H277" s="4" t="str" cm="1">
        <f t="array" ref="H277">_xlfn.IFS((D277+C277)-J277=0,"Invoice Completed",AC277&lt;&gt;"","5th invoice",Y277&lt;&gt;"","4th invoice",U277&lt;&gt;"","3rd invoice",Q277&lt;&gt;"","2nd invoice",M277&lt;&gt;"","1st invoice",M277="","Pending 1st Invoice")</f>
        <v>Invoice Completed</v>
      </c>
      <c r="I277" s="4" t="str" cm="1">
        <f t="array" ref="I277">_xlfn.IFS((C277+D277)-K277=0,"Payment Completed",AE277&lt;&gt;"","5th payment",AA277&lt;&gt;"","4th payment",W277&lt;&gt;"","3rd payment",S277&lt;&gt;"","2nd payment",O277&lt;&gt;"","1st payment",O277="","Pending 1st Payment")</f>
        <v>Payment Completed</v>
      </c>
      <c r="J277" s="55">
        <f t="shared" si="8"/>
        <v>21000</v>
      </c>
      <c r="K277" s="55">
        <f t="shared" si="9"/>
        <v>21000</v>
      </c>
      <c r="L277" s="65">
        <v>45773</v>
      </c>
      <c r="M277" s="66">
        <v>500</v>
      </c>
      <c r="N277" s="65">
        <v>45773</v>
      </c>
      <c r="O277" s="66">
        <v>500</v>
      </c>
      <c r="P277" s="39">
        <v>45828</v>
      </c>
      <c r="Q277" s="57">
        <v>20500</v>
      </c>
      <c r="R277" s="39">
        <v>45832</v>
      </c>
      <c r="S277" s="57">
        <v>20500</v>
      </c>
      <c r="T277" s="65"/>
      <c r="U277" s="66"/>
      <c r="V277" s="65"/>
      <c r="W277" s="66"/>
      <c r="X277" s="39"/>
      <c r="Y277" s="57"/>
      <c r="Z277" s="39"/>
      <c r="AA277" s="57"/>
      <c r="AB277" s="65"/>
      <c r="AC277" s="66"/>
      <c r="AD277" s="65"/>
      <c r="AE277" s="66"/>
      <c r="AF277" s="39"/>
      <c r="AG277" s="57"/>
      <c r="AH277" s="39"/>
      <c r="AI277" s="57"/>
    </row>
    <row r="278" spans="1:35" ht="19.5" customHeight="1" x14ac:dyDescent="0.3">
      <c r="A278" s="4">
        <f>'ECN Master Project Tracker new'!A279</f>
        <v>2505675</v>
      </c>
      <c r="B278" s="110" t="str">
        <f>VLOOKUP(A:A,Table1[[Project No]:[Additional Remark]],2,FALSE)</f>
        <v>Tee Hup Soon</v>
      </c>
      <c r="C278" s="55">
        <f>VLOOKUP(A:A,Table1[[Project No]:[Additional Remark]],11,FALSE)</f>
        <v>42170</v>
      </c>
      <c r="D278" s="55">
        <f>VLOOKUP(A:A,Table1[[Project No]:[Additional Remark]],12,FALSE)</f>
        <v>0</v>
      </c>
      <c r="E278" s="55" t="str">
        <f>VLOOKUP(A:A,Table1[[Project No]:[Additional Remark]],4,FALSE)</f>
        <v>Patricia</v>
      </c>
      <c r="F278" s="4" t="str">
        <f>VLOOKUP(A:A,Table1[[Project No]:[Additional Remark]],5,FALSE)</f>
        <v>R-PV</v>
      </c>
      <c r="G278" s="4" t="str">
        <f>VLOOKUP(A:A,Table1[[Project No]:[Additional Remark]],13,FALSE)</f>
        <v>Credit Card Instalment</v>
      </c>
      <c r="H278" s="4" t="str" cm="1">
        <f t="array" ref="H278">_xlfn.IFS((D278+C278)-J278=0,"Invoice Completed",AC278&lt;&gt;"","5th invoice",Y278&lt;&gt;"","4th invoice",U278&lt;&gt;"","3rd invoice",Q278&lt;&gt;"","2nd invoice",M278&lt;&gt;"","1st invoice",M278="","Pending 1st Invoice")</f>
        <v>1st invoice</v>
      </c>
      <c r="I278" s="4" t="str" cm="1">
        <f t="array" ref="I278">_xlfn.IFS((C278+D278)-K278=0,"Payment Completed",AE278&lt;&gt;"","5th payment",AA278&lt;&gt;"","4th payment",W278&lt;&gt;"","3rd payment",S278&lt;&gt;"","2nd payment",O278&lt;&gt;"","1st payment",O278="","Pending 1st Payment")</f>
        <v>1st payment</v>
      </c>
      <c r="J278" s="55">
        <f t="shared" si="8"/>
        <v>500</v>
      </c>
      <c r="K278" s="55">
        <f t="shared" si="9"/>
        <v>500</v>
      </c>
      <c r="L278" s="65">
        <v>45782</v>
      </c>
      <c r="M278" s="66">
        <v>500</v>
      </c>
      <c r="N278" s="65">
        <v>45782</v>
      </c>
      <c r="O278" s="66">
        <v>500</v>
      </c>
      <c r="P278" s="39"/>
      <c r="Q278" s="57"/>
      <c r="R278" s="39"/>
      <c r="S278" s="57"/>
      <c r="T278" s="65"/>
      <c r="U278" s="66"/>
      <c r="V278" s="65"/>
      <c r="W278" s="66"/>
      <c r="X278" s="39"/>
      <c r="Y278" s="57"/>
      <c r="Z278" s="39"/>
      <c r="AA278" s="57"/>
      <c r="AB278" s="65"/>
      <c r="AC278" s="66"/>
      <c r="AD278" s="65"/>
      <c r="AE278" s="66"/>
      <c r="AF278" s="39"/>
      <c r="AG278" s="57"/>
      <c r="AH278" s="39"/>
      <c r="AI278" s="57"/>
    </row>
    <row r="279" spans="1:35" ht="19.5" customHeight="1" x14ac:dyDescent="0.3">
      <c r="A279" s="4">
        <f>'ECN Master Project Tracker new'!A280</f>
        <v>2502564</v>
      </c>
      <c r="B279" s="110" t="str">
        <f>VLOOKUP(A:A,Table1[[Project No]:[Additional Remark]],2,FALSE)</f>
        <v>Muhammad Arif Stephen bin Abddullah</v>
      </c>
      <c r="C279" s="55">
        <f>VLOOKUP(A:A,Table1[[Project No]:[Additional Remark]],11,FALSE)</f>
        <v>43000</v>
      </c>
      <c r="D279" s="55">
        <f>VLOOKUP(A:A,Table1[[Project No]:[Additional Remark]],12,FALSE)</f>
        <v>0</v>
      </c>
      <c r="E279" s="55" t="str">
        <f>VLOOKUP(A:A,Table1[[Project No]:[Additional Remark]],4,FALSE)</f>
        <v>Simon</v>
      </c>
      <c r="F279" s="4" t="str">
        <f>VLOOKUP(A:A,Table1[[Project No]:[Additional Remark]],5,FALSE)</f>
        <v>R-PV</v>
      </c>
      <c r="G279" s="4" t="str">
        <f>VLOOKUP(A:A,Table1[[Project No]:[Additional Remark]],13,FALSE)</f>
        <v>Cash</v>
      </c>
      <c r="H279" s="4" t="str" cm="1">
        <f t="array" ref="H279">_xlfn.IFS((D279+C279)-J279=0,"Invoice Completed",AC279&lt;&gt;"","5th invoice",Y279&lt;&gt;"","4th invoice",U279&lt;&gt;"","3rd invoice",Q279&lt;&gt;"","2nd invoice",M279&lt;&gt;"","1st invoice",M279="","Pending 1st Invoice")</f>
        <v>1st invoice</v>
      </c>
      <c r="I279" s="4" t="str" cm="1">
        <f t="array" ref="I279">_xlfn.IFS((C279+D279)-K279=0,"Payment Completed",AE279&lt;&gt;"","5th payment",AA279&lt;&gt;"","4th payment",W279&lt;&gt;"","3rd payment",S279&lt;&gt;"","2nd payment",O279&lt;&gt;"","1st payment",O279="","Pending 1st Payment")</f>
        <v>1st payment</v>
      </c>
      <c r="J279" s="55">
        <f t="shared" si="8"/>
        <v>500</v>
      </c>
      <c r="K279" s="55">
        <f t="shared" si="9"/>
        <v>500</v>
      </c>
      <c r="L279" s="65">
        <v>45783</v>
      </c>
      <c r="M279" s="66">
        <v>500</v>
      </c>
      <c r="N279" s="65">
        <v>45783</v>
      </c>
      <c r="O279" s="66">
        <v>500</v>
      </c>
      <c r="P279" s="39"/>
      <c r="Q279" s="57"/>
      <c r="R279" s="39"/>
      <c r="S279" s="57"/>
      <c r="T279" s="65"/>
      <c r="U279" s="66"/>
      <c r="V279" s="65"/>
      <c r="W279" s="66"/>
      <c r="X279" s="39"/>
      <c r="Y279" s="57"/>
      <c r="Z279" s="39"/>
      <c r="AA279" s="57"/>
      <c r="AB279" s="65"/>
      <c r="AC279" s="66"/>
      <c r="AD279" s="65"/>
      <c r="AE279" s="66"/>
      <c r="AF279" s="39"/>
      <c r="AG279" s="57"/>
      <c r="AH279" s="39"/>
      <c r="AI279" s="57"/>
    </row>
    <row r="280" spans="1:35" ht="19.5" customHeight="1" x14ac:dyDescent="0.3">
      <c r="A280" s="4">
        <f>'ECN Master Project Tracker new'!A281</f>
        <v>2504664</v>
      </c>
      <c r="B280" s="110" t="str">
        <f>VLOOKUP(A:A,Table1[[Project No]:[Additional Remark]],2,FALSE)</f>
        <v>Law Meng Siong</v>
      </c>
      <c r="C280" s="55">
        <f>VLOOKUP(A:A,Table1[[Project No]:[Additional Remark]],11,FALSE)</f>
        <v>41000</v>
      </c>
      <c r="D280" s="55">
        <f>VLOOKUP(A:A,Table1[[Project No]:[Additional Remark]],12,FALSE)</f>
        <v>0</v>
      </c>
      <c r="E280" s="55" t="str">
        <f>VLOOKUP(A:A,Table1[[Project No]:[Additional Remark]],4,FALSE)</f>
        <v>Patricia</v>
      </c>
      <c r="F280" s="4" t="str">
        <f>VLOOKUP(A:A,Table1[[Project No]:[Additional Remark]],5,FALSE)</f>
        <v>R-PV</v>
      </c>
      <c r="G280" s="4" t="str">
        <f>VLOOKUP(A:A,Table1[[Project No]:[Additional Remark]],13,FALSE)</f>
        <v>Cash</v>
      </c>
      <c r="H280" s="4" t="str" cm="1">
        <f t="array" ref="H280">_xlfn.IFS((D280+C280)-J280=0,"Invoice Completed",AC280&lt;&gt;"","5th invoice",Y280&lt;&gt;"","4th invoice",U280&lt;&gt;"","3rd invoice",Q280&lt;&gt;"","2nd invoice",M280&lt;&gt;"","1st invoice",M280="","Pending 1st Invoice")</f>
        <v>1st invoice</v>
      </c>
      <c r="I280" s="4" t="str" cm="1">
        <f t="array" ref="I280">_xlfn.IFS((C280+D280)-K280=0,"Payment Completed",AE280&lt;&gt;"","5th payment",AA280&lt;&gt;"","4th payment",W280&lt;&gt;"","3rd payment",S280&lt;&gt;"","2nd payment",O280&lt;&gt;"","1st payment",O280="","Pending 1st Payment")</f>
        <v>1st payment</v>
      </c>
      <c r="J280" s="55">
        <f t="shared" si="8"/>
        <v>500</v>
      </c>
      <c r="K280" s="55">
        <f t="shared" si="9"/>
        <v>500</v>
      </c>
      <c r="L280" s="65">
        <v>45775</v>
      </c>
      <c r="M280" s="66">
        <v>500</v>
      </c>
      <c r="N280" s="65">
        <v>45775</v>
      </c>
      <c r="O280" s="66">
        <v>500</v>
      </c>
      <c r="P280" s="39"/>
      <c r="Q280" s="57"/>
      <c r="R280" s="39"/>
      <c r="S280" s="57"/>
      <c r="T280" s="65"/>
      <c r="U280" s="66"/>
      <c r="V280" s="65"/>
      <c r="W280" s="66"/>
      <c r="X280" s="39"/>
      <c r="Y280" s="57"/>
      <c r="Z280" s="39"/>
      <c r="AA280" s="57"/>
      <c r="AB280" s="65"/>
      <c r="AC280" s="66"/>
      <c r="AD280" s="65"/>
      <c r="AE280" s="66"/>
      <c r="AF280" s="39"/>
      <c r="AG280" s="57"/>
      <c r="AH280" s="39"/>
      <c r="AI280" s="57"/>
    </row>
    <row r="281" spans="1:35" ht="19.5" customHeight="1" x14ac:dyDescent="0.3">
      <c r="A281" s="4">
        <f>'ECN Master Project Tracker new'!A282</f>
        <v>2504651</v>
      </c>
      <c r="B281" s="110" t="str">
        <f>VLOOKUP(A:A,Table1[[Project No]:[Additional Remark]],2,FALSE)</f>
        <v>Teh Bat Kuan (Teh Eng Lim)</v>
      </c>
      <c r="C281" s="55">
        <f>VLOOKUP(A:A,Table1[[Project No]:[Additional Remark]],11,FALSE)</f>
        <v>35000</v>
      </c>
      <c r="D281" s="55">
        <f>VLOOKUP(A:A,Table1[[Project No]:[Additional Remark]],12,FALSE)</f>
        <v>0</v>
      </c>
      <c r="E281" s="55" t="str">
        <f>VLOOKUP(A:A,Table1[[Project No]:[Additional Remark]],4,FALSE)</f>
        <v>Tham</v>
      </c>
      <c r="F281" s="4" t="str">
        <f>VLOOKUP(A:A,Table1[[Project No]:[Additional Remark]],5,FALSE)</f>
        <v>R-PV</v>
      </c>
      <c r="G281" s="4" t="str">
        <f>VLOOKUP(A:A,Table1[[Project No]:[Additional Remark]],13,FALSE)</f>
        <v>Cash</v>
      </c>
      <c r="H281" s="4" t="str" cm="1">
        <f t="array" ref="H281">_xlfn.IFS((D281+C281)-J281=0,"Invoice Completed",AC281&lt;&gt;"","5th invoice",Y281&lt;&gt;"","4th invoice",U281&lt;&gt;"","3rd invoice",Q281&lt;&gt;"","2nd invoice",M281&lt;&gt;"","1st invoice",M281="","Pending 1st Invoice")</f>
        <v>Invoice Completed</v>
      </c>
      <c r="I281" s="4" t="str" cm="1">
        <f t="array" ref="I281">_xlfn.IFS((C281+D281)-K281=0,"Payment Completed",AE281&lt;&gt;"","5th payment",AA281&lt;&gt;"","4th payment",W281&lt;&gt;"","3rd payment",S281&lt;&gt;"","2nd payment",O281&lt;&gt;"","1st payment",O281="","Pending 1st Payment")</f>
        <v>Payment Completed</v>
      </c>
      <c r="J281" s="55">
        <f t="shared" si="8"/>
        <v>35000</v>
      </c>
      <c r="K281" s="55">
        <f t="shared" si="9"/>
        <v>35000</v>
      </c>
      <c r="L281" s="65">
        <v>45786</v>
      </c>
      <c r="M281" s="66">
        <v>500</v>
      </c>
      <c r="N281" s="65">
        <v>45786</v>
      </c>
      <c r="O281" s="66">
        <v>500</v>
      </c>
      <c r="P281" s="39">
        <v>45833</v>
      </c>
      <c r="Q281" s="57">
        <v>32500</v>
      </c>
      <c r="R281" s="39">
        <v>45833</v>
      </c>
      <c r="S281" s="57">
        <v>32500</v>
      </c>
      <c r="T281" s="65">
        <v>45859</v>
      </c>
      <c r="U281" s="66">
        <v>2000</v>
      </c>
      <c r="V281" s="65">
        <v>45859</v>
      </c>
      <c r="W281" s="66">
        <v>2000</v>
      </c>
      <c r="X281" s="39"/>
      <c r="Y281" s="57"/>
      <c r="Z281" s="39"/>
      <c r="AA281" s="57"/>
      <c r="AB281" s="65"/>
      <c r="AC281" s="66"/>
      <c r="AD281" s="65"/>
      <c r="AE281" s="66"/>
      <c r="AF281" s="39"/>
      <c r="AG281" s="57"/>
      <c r="AH281" s="39"/>
      <c r="AI281" s="57"/>
    </row>
    <row r="282" spans="1:35" ht="19.5" customHeight="1" x14ac:dyDescent="0.3">
      <c r="A282" s="4">
        <f>'ECN Master Project Tracker new'!A283</f>
        <v>2504049</v>
      </c>
      <c r="B282" s="110" t="str">
        <f>VLOOKUP(A:A,Table1[[Project No]:[Additional Remark]],2,FALSE)</f>
        <v>Ayer Keroh R&amp;R (Southbound) - Green EV Charge Sdn Bhd</v>
      </c>
      <c r="C282" s="55">
        <f>VLOOKUP(A:A,Table1[[Project No]:[Additional Remark]],11,FALSE)</f>
        <v>45015</v>
      </c>
      <c r="D282" s="55">
        <f>VLOOKUP(A:A,Table1[[Project No]:[Additional Remark]],12,FALSE)</f>
        <v>0</v>
      </c>
      <c r="E282" s="55" t="str">
        <f>VLOOKUP(A:A,Table1[[Project No]:[Additional Remark]],4,FALSE)</f>
        <v>Simon</v>
      </c>
      <c r="F282" s="4" t="str">
        <f>VLOOKUP(A:A,Table1[[Project No]:[Additional Remark]],5,FALSE)</f>
        <v>EV Charger</v>
      </c>
      <c r="G282" s="4" t="str">
        <f>VLOOKUP(A:A,Table1[[Project No]:[Additional Remark]],13,FALSE)</f>
        <v>Cash</v>
      </c>
      <c r="H282" s="4" t="str" cm="1">
        <f t="array" ref="H282">_xlfn.IFS((D282+C282)-J282=0,"Invoice Completed",AC282&lt;&gt;"","5th invoice",Y282&lt;&gt;"","4th invoice",U282&lt;&gt;"","3rd invoice",Q282&lt;&gt;"","2nd invoice",M282&lt;&gt;"","1st invoice",M282="","Pending 1st Invoice")</f>
        <v>1st invoice</v>
      </c>
      <c r="I282" s="4" t="str" cm="1">
        <f t="array" ref="I282">_xlfn.IFS((C282+D282)-K282=0,"Payment Completed",AE282&lt;&gt;"","5th payment",AA282&lt;&gt;"","4th payment",W282&lt;&gt;"","3rd payment",S282&lt;&gt;"","2nd payment",O282&lt;&gt;"","1st payment",O282="","Pending 1st Payment")</f>
        <v>Pending 1st Payment</v>
      </c>
      <c r="J282" s="55">
        <f t="shared" si="8"/>
        <v>22507.5</v>
      </c>
      <c r="K282" s="55">
        <f t="shared" si="9"/>
        <v>0</v>
      </c>
      <c r="L282" s="65">
        <v>45786</v>
      </c>
      <c r="M282" s="66">
        <v>22507.5</v>
      </c>
      <c r="N282" s="65"/>
      <c r="O282" s="66"/>
      <c r="P282" s="39"/>
      <c r="Q282" s="57"/>
      <c r="R282" s="39"/>
      <c r="S282" s="57"/>
      <c r="T282" s="65"/>
      <c r="U282" s="66"/>
      <c r="V282" s="65"/>
      <c r="W282" s="66"/>
      <c r="X282" s="39"/>
      <c r="Y282" s="57"/>
      <c r="Z282" s="39"/>
      <c r="AA282" s="57"/>
      <c r="AB282" s="65"/>
      <c r="AC282" s="66"/>
      <c r="AD282" s="65"/>
      <c r="AE282" s="66"/>
      <c r="AF282" s="39"/>
      <c r="AG282" s="57"/>
      <c r="AH282" s="39"/>
      <c r="AI282" s="57"/>
    </row>
    <row r="283" spans="1:35" ht="19.5" customHeight="1" x14ac:dyDescent="0.3">
      <c r="A283" s="4">
        <f>'ECN Master Project Tracker new'!A284</f>
        <v>2505686</v>
      </c>
      <c r="B283" s="110" t="str">
        <f>VLOOKUP(A:A,Table1[[Project No]:[Additional Remark]],2,FALSE)</f>
        <v>Lai Kwee Far</v>
      </c>
      <c r="C283" s="55">
        <f>VLOOKUP(A:A,Table1[[Project No]:[Additional Remark]],11,FALSE)</f>
        <v>21500</v>
      </c>
      <c r="D283" s="55">
        <f>VLOOKUP(A:A,Table1[[Project No]:[Additional Remark]],12,FALSE)</f>
        <v>0</v>
      </c>
      <c r="E283" s="55" t="str">
        <f>VLOOKUP(A:A,Table1[[Project No]:[Additional Remark]],4,FALSE)</f>
        <v>Patricia</v>
      </c>
      <c r="F283" s="4" t="str">
        <f>VLOOKUP(A:A,Table1[[Project No]:[Additional Remark]],5,FALSE)</f>
        <v>R-PV</v>
      </c>
      <c r="G283" s="4" t="str">
        <f>VLOOKUP(A:A,Table1[[Project No]:[Additional Remark]],13,FALSE)</f>
        <v>Cash</v>
      </c>
      <c r="H283" s="4" t="str" cm="1">
        <f t="array" ref="H283">_xlfn.IFS((D283+C283)-J283=0,"Invoice Completed",AC283&lt;&gt;"","5th invoice",Y283&lt;&gt;"","4th invoice",U283&lt;&gt;"","3rd invoice",Q283&lt;&gt;"","2nd invoice",M283&lt;&gt;"","1st invoice",M283="","Pending 1st Invoice")</f>
        <v>Invoice Completed</v>
      </c>
      <c r="I283" s="4" t="str" cm="1">
        <f t="array" ref="I283">_xlfn.IFS((C283+D283)-K283=0,"Payment Completed",AE283&lt;&gt;"","5th payment",AA283&lt;&gt;"","4th payment",W283&lt;&gt;"","3rd payment",S283&lt;&gt;"","2nd payment",O283&lt;&gt;"","1st payment",O283="","Pending 1st Payment")</f>
        <v>Payment Completed</v>
      </c>
      <c r="J283" s="55">
        <f t="shared" si="8"/>
        <v>21500</v>
      </c>
      <c r="K283" s="55">
        <f t="shared" si="9"/>
        <v>21500</v>
      </c>
      <c r="L283" s="65">
        <v>45790</v>
      </c>
      <c r="M283" s="66">
        <v>500</v>
      </c>
      <c r="N283" s="65">
        <v>45790</v>
      </c>
      <c r="O283" s="66">
        <v>500</v>
      </c>
      <c r="P283" s="39">
        <v>45813</v>
      </c>
      <c r="Q283" s="57">
        <v>18900</v>
      </c>
      <c r="R283" s="39">
        <v>45859</v>
      </c>
      <c r="S283" s="57">
        <v>18900</v>
      </c>
      <c r="T283" s="65">
        <v>45964</v>
      </c>
      <c r="U283" s="66">
        <v>2100</v>
      </c>
      <c r="V283" s="65">
        <v>45964</v>
      </c>
      <c r="W283" s="66">
        <v>2100</v>
      </c>
      <c r="X283" s="39"/>
      <c r="Y283" s="57"/>
      <c r="Z283" s="39"/>
      <c r="AA283" s="57"/>
      <c r="AB283" s="65"/>
      <c r="AC283" s="66"/>
      <c r="AD283" s="65"/>
      <c r="AE283" s="66"/>
      <c r="AF283" s="39"/>
      <c r="AG283" s="57"/>
      <c r="AH283" s="39"/>
      <c r="AI283" s="57"/>
    </row>
    <row r="284" spans="1:35" ht="19.5" customHeight="1" x14ac:dyDescent="0.3">
      <c r="A284" s="4">
        <f>'ECN Master Project Tracker new'!A285</f>
        <v>2503603</v>
      </c>
      <c r="B284" s="110" t="str">
        <f>VLOOKUP(A:A,Table1[[Project No]:[Additional Remark]],2,FALSE)</f>
        <v>Dr Balbinder Singh a/l Gurbaksh Singh</v>
      </c>
      <c r="C284" s="55">
        <f>VLOOKUP(A:A,Table1[[Project No]:[Additional Remark]],11,FALSE)</f>
        <v>43400</v>
      </c>
      <c r="D284" s="55">
        <f>VLOOKUP(A:A,Table1[[Project No]:[Additional Remark]],12,FALSE)</f>
        <v>0</v>
      </c>
      <c r="E284" s="55" t="str">
        <f>VLOOKUP(A:A,Table1[[Project No]:[Additional Remark]],4,FALSE)</f>
        <v>Tham</v>
      </c>
      <c r="F284" s="4" t="str">
        <f>VLOOKUP(A:A,Table1[[Project No]:[Additional Remark]],5,FALSE)</f>
        <v>R-PV</v>
      </c>
      <c r="G284" s="4" t="str">
        <f>VLOOKUP(A:A,Table1[[Project No]:[Additional Remark]],13,FALSE)</f>
        <v>Credit Card Instalment</v>
      </c>
      <c r="H284" s="4" t="str" cm="1">
        <f t="array" ref="H284">_xlfn.IFS((D284+C284)-J284=0,"Invoice Completed",AC284&lt;&gt;"","5th invoice",Y284&lt;&gt;"","4th invoice",U284&lt;&gt;"","3rd invoice",Q284&lt;&gt;"","2nd invoice",M284&lt;&gt;"","1st invoice",M284="","Pending 1st Invoice")</f>
        <v>Invoice Completed</v>
      </c>
      <c r="I284" s="4" t="str" cm="1">
        <f t="array" ref="I284">_xlfn.IFS((C284+D284)-K284=0,"Payment Completed",AE284&lt;&gt;"","5th payment",AA284&lt;&gt;"","4th payment",W284&lt;&gt;"","3rd payment",S284&lt;&gt;"","2nd payment",O284&lt;&gt;"","1st payment",O284="","Pending 1st Payment")</f>
        <v>Payment Completed</v>
      </c>
      <c r="J284" s="55">
        <f t="shared" si="8"/>
        <v>43400</v>
      </c>
      <c r="K284" s="55">
        <f t="shared" si="9"/>
        <v>43400</v>
      </c>
      <c r="L284" s="65">
        <v>45790</v>
      </c>
      <c r="M284" s="66">
        <v>500</v>
      </c>
      <c r="N284" s="65">
        <v>45790</v>
      </c>
      <c r="O284" s="66">
        <v>500</v>
      </c>
      <c r="P284" s="39">
        <v>45867</v>
      </c>
      <c r="Q284" s="57">
        <v>42900</v>
      </c>
      <c r="R284" s="39">
        <v>45867</v>
      </c>
      <c r="S284" s="57">
        <v>42900</v>
      </c>
      <c r="T284" s="65"/>
      <c r="U284" s="66"/>
      <c r="V284" s="65"/>
      <c r="W284" s="66"/>
      <c r="X284" s="39"/>
      <c r="Y284" s="57"/>
      <c r="Z284" s="39"/>
      <c r="AA284" s="57"/>
      <c r="AB284" s="65"/>
      <c r="AC284" s="66"/>
      <c r="AD284" s="65"/>
      <c r="AE284" s="66"/>
      <c r="AF284" s="39"/>
      <c r="AG284" s="57"/>
      <c r="AH284" s="39"/>
      <c r="AI284" s="57"/>
    </row>
    <row r="285" spans="1:35" ht="19.5" customHeight="1" x14ac:dyDescent="0.3">
      <c r="A285" s="4">
        <f>'ECN Master Project Tracker new'!A286</f>
        <v>2302004</v>
      </c>
      <c r="B285" s="110" t="str">
        <f>VLOOKUP(A:A,Table1[[Project No]:[Additional Remark]],2,FALSE)</f>
        <v>Ong Ah Chai</v>
      </c>
      <c r="C285" s="55">
        <f>VLOOKUP(A:A,Table1[[Project No]:[Additional Remark]],11,FALSE)</f>
        <v>27500</v>
      </c>
      <c r="D285" s="55">
        <f>VLOOKUP(A:A,Table1[[Project No]:[Additional Remark]],12,FALSE)</f>
        <v>0</v>
      </c>
      <c r="E285" s="55" t="str">
        <f>VLOOKUP(A:A,Table1[[Project No]:[Additional Remark]],4,FALSE)</f>
        <v>Chean Bang</v>
      </c>
      <c r="F285" s="4" t="str">
        <f>VLOOKUP(A:A,Table1[[Project No]:[Additional Remark]],5,FALSE)</f>
        <v>R-PV</v>
      </c>
      <c r="G285" s="4" t="str">
        <f>VLOOKUP(A:A,Table1[[Project No]:[Additional Remark]],13,FALSE)</f>
        <v>Credit Card Instalment</v>
      </c>
      <c r="H285" s="4" t="str" cm="1">
        <f t="array" ref="H285">_xlfn.IFS((D285+C285)-J285=0,"Invoice Completed",AC285&lt;&gt;"","5th invoice",Y285&lt;&gt;"","4th invoice",U285&lt;&gt;"","3rd invoice",Q285&lt;&gt;"","2nd invoice",M285&lt;&gt;"","1st invoice",M285="","Pending 1st Invoice")</f>
        <v>Invoice Completed</v>
      </c>
      <c r="I285" s="4" t="str" cm="1">
        <f t="array" ref="I285">_xlfn.IFS((C285+D285)-K285=0,"Payment Completed",AE285&lt;&gt;"","5th payment",AA285&lt;&gt;"","4th payment",W285&lt;&gt;"","3rd payment",S285&lt;&gt;"","2nd payment",O285&lt;&gt;"","1st payment",O285="","Pending 1st Payment")</f>
        <v>Payment Completed</v>
      </c>
      <c r="J285" s="55">
        <f t="shared" si="8"/>
        <v>27500</v>
      </c>
      <c r="K285" s="55">
        <f t="shared" si="9"/>
        <v>27500</v>
      </c>
      <c r="L285" s="65">
        <v>45788</v>
      </c>
      <c r="M285" s="66">
        <v>500</v>
      </c>
      <c r="N285" s="65">
        <v>45788</v>
      </c>
      <c r="O285" s="66">
        <v>500</v>
      </c>
      <c r="P285" s="39">
        <v>45829</v>
      </c>
      <c r="Q285" s="57">
        <v>27000</v>
      </c>
      <c r="R285" s="39">
        <v>45829</v>
      </c>
      <c r="S285" s="57">
        <v>27000</v>
      </c>
      <c r="T285" s="65"/>
      <c r="U285" s="66"/>
      <c r="V285" s="65"/>
      <c r="W285" s="66"/>
      <c r="X285" s="39"/>
      <c r="Y285" s="57"/>
      <c r="Z285" s="39"/>
      <c r="AA285" s="57"/>
      <c r="AB285" s="65"/>
      <c r="AC285" s="66"/>
      <c r="AD285" s="65"/>
      <c r="AE285" s="66"/>
      <c r="AF285" s="39"/>
      <c r="AG285" s="57"/>
      <c r="AH285" s="39"/>
      <c r="AI285" s="57"/>
    </row>
    <row r="286" spans="1:35" ht="19.5" customHeight="1" x14ac:dyDescent="0.3">
      <c r="A286" s="4">
        <f>'ECN Master Project Tracker new'!A287</f>
        <v>2503225</v>
      </c>
      <c r="B286" s="110" t="str">
        <f>VLOOKUP(A:A,Table1[[Project No]:[Additional Remark]],2,FALSE)</f>
        <v>Weller Air-Cond Parts Enterprise Sdn Bhd</v>
      </c>
      <c r="C286" s="55">
        <f>VLOOKUP(A:A,Table1[[Project No]:[Additional Remark]],11,FALSE)</f>
        <v>198800</v>
      </c>
      <c r="D286" s="55">
        <f>VLOOKUP(A:A,Table1[[Project No]:[Additional Remark]],12,FALSE)</f>
        <v>0</v>
      </c>
      <c r="E286" s="55" t="str">
        <f>VLOOKUP(A:A,Table1[[Project No]:[Additional Remark]],4,FALSE)</f>
        <v>Tham</v>
      </c>
      <c r="F286" s="4" t="str">
        <f>VLOOKUP(A:A,Table1[[Project No]:[Additional Remark]],5,FALSE)</f>
        <v>C&amp;I-PV</v>
      </c>
      <c r="G286" s="4" t="str">
        <f>VLOOKUP(A:A,Table1[[Project No]:[Additional Remark]],13,FALSE)</f>
        <v>Cash</v>
      </c>
      <c r="H286" s="4" t="str" cm="1">
        <f t="array" ref="H286">_xlfn.IFS((D286+C286)-J286=0,"Invoice Completed",AC286&lt;&gt;"","5th invoice",Y286&lt;&gt;"","4th invoice",U286&lt;&gt;"","3rd invoice",Q286&lt;&gt;"","2nd invoice",M286&lt;&gt;"","1st invoice",M286="","Pending 1st Invoice")</f>
        <v>Invoice Completed</v>
      </c>
      <c r="I286" s="4" t="str" cm="1">
        <f t="array" ref="I286">_xlfn.IFS((C286+D286)-K286=0,"Payment Completed",AE286&lt;&gt;"","5th payment",AA286&lt;&gt;"","4th payment",W286&lt;&gt;"","3rd payment",S286&lt;&gt;"","2nd payment",O286&lt;&gt;"","1st payment",O286="","Pending 1st Payment")</f>
        <v>Payment Completed</v>
      </c>
      <c r="J286" s="55">
        <f>SUM(M286,Q286,U286,Y286,AC286,AG286)</f>
        <v>198800</v>
      </c>
      <c r="K286" s="55">
        <f t="shared" si="9"/>
        <v>198800</v>
      </c>
      <c r="L286" s="65">
        <v>45805</v>
      </c>
      <c r="M286" s="66">
        <v>19880</v>
      </c>
      <c r="N286" s="65">
        <v>45818</v>
      </c>
      <c r="O286" s="66">
        <v>19880</v>
      </c>
      <c r="P286" s="39">
        <v>45859</v>
      </c>
      <c r="Q286" s="57">
        <v>69580</v>
      </c>
      <c r="R286" s="39">
        <v>45866</v>
      </c>
      <c r="S286" s="57">
        <v>69580</v>
      </c>
      <c r="T286" s="65">
        <v>45896</v>
      </c>
      <c r="U286" s="66">
        <v>89460</v>
      </c>
      <c r="V286" s="65">
        <v>45904</v>
      </c>
      <c r="W286" s="66">
        <v>89460</v>
      </c>
      <c r="X286" s="39">
        <v>45924</v>
      </c>
      <c r="Y286" s="57">
        <v>19880</v>
      </c>
      <c r="Z286" s="39">
        <v>45975</v>
      </c>
      <c r="AA286" s="57">
        <v>19880</v>
      </c>
      <c r="AB286" s="65"/>
      <c r="AC286" s="66"/>
      <c r="AD286" s="65"/>
      <c r="AE286" s="66"/>
      <c r="AF286" s="39"/>
      <c r="AG286" s="57"/>
      <c r="AH286" s="39"/>
      <c r="AI286" s="57"/>
    </row>
    <row r="287" spans="1:35" ht="19.5" customHeight="1" x14ac:dyDescent="0.3">
      <c r="A287" s="4">
        <f>'ECN Master Project Tracker new'!A288</f>
        <v>2403185</v>
      </c>
      <c r="B287" s="110" t="str">
        <f>VLOOKUP(A:A,Table1[[Project No]:[Additional Remark]],2,FALSE)</f>
        <v>Wan Kong Wing</v>
      </c>
      <c r="C287" s="55">
        <f>VLOOKUP(A:A,Table1[[Project No]:[Additional Remark]],11,FALSE)</f>
        <v>21500</v>
      </c>
      <c r="D287" s="55">
        <f>VLOOKUP(A:A,Table1[[Project No]:[Additional Remark]],12,FALSE)</f>
        <v>-1416</v>
      </c>
      <c r="E287" s="55" t="str">
        <f>VLOOKUP(A:A,Table1[[Project No]:[Additional Remark]],4,FALSE)</f>
        <v>Tham</v>
      </c>
      <c r="F287" s="4" t="str">
        <f>VLOOKUP(A:A,Table1[[Project No]:[Additional Remark]],5,FALSE)</f>
        <v>R-PV</v>
      </c>
      <c r="G287" s="4" t="str">
        <f>VLOOKUP(A:A,Table1[[Project No]:[Additional Remark]],13,FALSE)</f>
        <v>Cash</v>
      </c>
      <c r="H287" s="4" t="str" cm="1">
        <f t="array" ref="H287">_xlfn.IFS((D287+C287)-J287=0,"Invoice Completed",AC287&lt;&gt;"","5th invoice",Y287&lt;&gt;"","4th invoice",U287&lt;&gt;"","3rd invoice",Q287&lt;&gt;"","2nd invoice",M287&lt;&gt;"","1st invoice",M287="","Pending 1st Invoice")</f>
        <v>Invoice Completed</v>
      </c>
      <c r="I287" s="4" t="str" cm="1">
        <f t="array" ref="I287">_xlfn.IFS((C287+D287)-K287=0,"Payment Completed",AE287&lt;&gt;"","5th payment",AA287&lt;&gt;"","4th payment",W287&lt;&gt;"","3rd payment",S287&lt;&gt;"","2nd payment",O287&lt;&gt;"","1st payment",O287="","Pending 1st Payment")</f>
        <v>Payment Completed</v>
      </c>
      <c r="J287" s="55">
        <f t="shared" si="8"/>
        <v>20084</v>
      </c>
      <c r="K287" s="55">
        <f t="shared" si="9"/>
        <v>20084</v>
      </c>
      <c r="L287" s="65">
        <v>45791</v>
      </c>
      <c r="M287" s="66">
        <v>500</v>
      </c>
      <c r="N287" s="65">
        <v>45792</v>
      </c>
      <c r="O287" s="66">
        <v>500</v>
      </c>
      <c r="P287" s="39">
        <v>45834</v>
      </c>
      <c r="Q287" s="57">
        <v>19584</v>
      </c>
      <c r="R287" s="39">
        <v>45834</v>
      </c>
      <c r="S287" s="57">
        <v>19584</v>
      </c>
      <c r="T287" s="65"/>
      <c r="U287" s="66"/>
      <c r="V287" s="65"/>
      <c r="W287" s="66"/>
      <c r="X287" s="39"/>
      <c r="Y287" s="57"/>
      <c r="Z287" s="39"/>
      <c r="AA287" s="57"/>
      <c r="AB287" s="65"/>
      <c r="AC287" s="66"/>
      <c r="AD287" s="65"/>
      <c r="AE287" s="66"/>
      <c r="AF287" s="39"/>
      <c r="AG287" s="57"/>
      <c r="AH287" s="39"/>
      <c r="AI287" s="57"/>
    </row>
    <row r="288" spans="1:35" ht="19.5" customHeight="1" x14ac:dyDescent="0.3">
      <c r="A288" s="4">
        <f>'ECN Master Project Tracker new'!A289</f>
        <v>2410194</v>
      </c>
      <c r="B288" s="110" t="str">
        <f>VLOOKUP(A:A,Table1[[Project No]:[Additional Remark]],2,FALSE)</f>
        <v>Berjayapak Sdn Bhd</v>
      </c>
      <c r="C288" s="55">
        <f>VLOOKUP(A:A,Table1[[Project No]:[Additional Remark]],11,FALSE)</f>
        <v>395000</v>
      </c>
      <c r="D288" s="55">
        <f>VLOOKUP(A:A,Table1[[Project No]:[Additional Remark]],12,FALSE)</f>
        <v>0</v>
      </c>
      <c r="E288" s="55" t="str">
        <f>VLOOKUP(A:A,Table1[[Project No]:[Additional Remark]],4,FALSE)</f>
        <v>Tham</v>
      </c>
      <c r="F288" s="4" t="str">
        <f>VLOOKUP(A:A,Table1[[Project No]:[Additional Remark]],5,FALSE)</f>
        <v>C&amp;I-PV</v>
      </c>
      <c r="G288" s="4" t="str">
        <f>VLOOKUP(A:A,Table1[[Project No]:[Additional Remark]],13,FALSE)</f>
        <v>Cash</v>
      </c>
      <c r="H288" s="4" t="str" cm="1">
        <f t="array" ref="H288">_xlfn.IFS((D288+C288)-J288=0,"Invoice Completed",AC288&lt;&gt;"","5th invoice",Y288&lt;&gt;"","4th invoice",U288&lt;&gt;"","3rd invoice",Q288&lt;&gt;"","2nd invoice",M288&lt;&gt;"","1st invoice",M288="","Pending 1st Invoice")</f>
        <v>3rd invoice</v>
      </c>
      <c r="I288" s="4" t="str" cm="1">
        <f t="array" ref="I288">_xlfn.IFS((C288+D288)-K288=0,"Payment Completed",AE288&lt;&gt;"","5th payment",AA288&lt;&gt;"","4th payment",W288&lt;&gt;"","3rd payment",S288&lt;&gt;"","2nd payment",O288&lt;&gt;"","1st payment",O288="","Pending 1st Payment")</f>
        <v>2nd payment</v>
      </c>
      <c r="J288" s="55">
        <f t="shared" si="8"/>
        <v>276500</v>
      </c>
      <c r="K288" s="55">
        <f t="shared" si="9"/>
        <v>177750</v>
      </c>
      <c r="L288" s="65">
        <v>45884</v>
      </c>
      <c r="M288" s="66">
        <v>39500</v>
      </c>
      <c r="N288" s="65">
        <v>45898</v>
      </c>
      <c r="O288" s="66">
        <v>39500</v>
      </c>
      <c r="P288" s="39">
        <v>45924</v>
      </c>
      <c r="Q288" s="57">
        <v>138250</v>
      </c>
      <c r="R288" s="39">
        <v>45946</v>
      </c>
      <c r="S288" s="57">
        <v>138250</v>
      </c>
      <c r="T288" s="65">
        <v>45974</v>
      </c>
      <c r="U288" s="66">
        <v>98750</v>
      </c>
      <c r="V288" s="65"/>
      <c r="W288" s="66"/>
      <c r="X288" s="39"/>
      <c r="Y288" s="57"/>
      <c r="Z288" s="39"/>
      <c r="AA288" s="57"/>
      <c r="AB288" s="65"/>
      <c r="AC288" s="66"/>
      <c r="AD288" s="65"/>
      <c r="AE288" s="66"/>
      <c r="AF288" s="39"/>
      <c r="AG288" s="57"/>
      <c r="AH288" s="39"/>
      <c r="AI288" s="57"/>
    </row>
    <row r="289" spans="1:35" ht="19.5" customHeight="1" x14ac:dyDescent="0.3">
      <c r="A289" s="4">
        <f>'ECN Master Project Tracker new'!A290</f>
        <v>2504669</v>
      </c>
      <c r="B289" s="110" t="str">
        <f>VLOOKUP(A:A,Table1[[Project No]:[Additional Remark]],2,FALSE)</f>
        <v>Zohairen Bin Mhamad Sori</v>
      </c>
      <c r="C289" s="55">
        <f>VLOOKUP(A:A,Table1[[Project No]:[Additional Remark]],11,FALSE)</f>
        <v>29000</v>
      </c>
      <c r="D289" s="55">
        <f>VLOOKUP(A:A,Table1[[Project No]:[Additional Remark]],12,FALSE)</f>
        <v>0</v>
      </c>
      <c r="E289" s="55" t="str">
        <f>VLOOKUP(A:A,Table1[[Project No]:[Additional Remark]],4,FALSE)</f>
        <v>Tham</v>
      </c>
      <c r="F289" s="4" t="str">
        <f>VLOOKUP(A:A,Table1[[Project No]:[Additional Remark]],5,FALSE)</f>
        <v>R-PV</v>
      </c>
      <c r="G289" s="4" t="str">
        <f>VLOOKUP(A:A,Table1[[Project No]:[Additional Remark]],13,FALSE)</f>
        <v>Cash</v>
      </c>
      <c r="H289" s="4" t="str" cm="1">
        <f t="array" ref="H289">_xlfn.IFS((D289+C289)-J289=0,"Invoice Completed",AC289&lt;&gt;"","5th invoice",Y289&lt;&gt;"","4th invoice",U289&lt;&gt;"","3rd invoice",Q289&lt;&gt;"","2nd invoice",M289&lt;&gt;"","1st invoice",M289="","Pending 1st Invoice")</f>
        <v>Invoice Completed</v>
      </c>
      <c r="I289" s="4" t="str" cm="1">
        <f t="array" ref="I289">_xlfn.IFS((C289+D289)-K289=0,"Payment Completed",AE289&lt;&gt;"","5th payment",AA289&lt;&gt;"","4th payment",W289&lt;&gt;"","3rd payment",S289&lt;&gt;"","2nd payment",O289&lt;&gt;"","1st payment",O289="","Pending 1st Payment")</f>
        <v>Payment Completed</v>
      </c>
      <c r="J289" s="55">
        <f t="shared" si="8"/>
        <v>29000</v>
      </c>
      <c r="K289" s="55">
        <f t="shared" si="9"/>
        <v>29000</v>
      </c>
      <c r="L289" s="65">
        <v>45790</v>
      </c>
      <c r="M289" s="66">
        <v>500</v>
      </c>
      <c r="N289" s="65">
        <v>45791</v>
      </c>
      <c r="O289" s="66">
        <v>500</v>
      </c>
      <c r="P289" s="39">
        <v>45922</v>
      </c>
      <c r="Q289" s="57">
        <v>28500</v>
      </c>
      <c r="R289" s="39">
        <v>45922</v>
      </c>
      <c r="S289" s="57">
        <v>28500</v>
      </c>
      <c r="T289" s="65"/>
      <c r="U289" s="66"/>
      <c r="V289" s="65"/>
      <c r="W289" s="66"/>
      <c r="X289" s="39"/>
      <c r="Y289" s="57"/>
      <c r="Z289" s="39"/>
      <c r="AA289" s="57"/>
      <c r="AB289" s="65"/>
      <c r="AC289" s="66"/>
      <c r="AD289" s="65"/>
      <c r="AE289" s="66"/>
      <c r="AF289" s="39"/>
      <c r="AG289" s="57"/>
      <c r="AH289" s="39"/>
      <c r="AI289" s="57"/>
    </row>
    <row r="290" spans="1:35" ht="19.5" customHeight="1" x14ac:dyDescent="0.3">
      <c r="A290" s="4">
        <f>'ECN Master Project Tracker new'!A291</f>
        <v>2504660</v>
      </c>
      <c r="B290" s="110" t="str">
        <f>VLOOKUP(A:A,Table1[[Project No]:[Additional Remark]],2,FALSE)</f>
        <v>Roshahni Binti Mhammad</v>
      </c>
      <c r="C290" s="55">
        <f>VLOOKUP(A:A,Table1[[Project No]:[Additional Remark]],11,FALSE)</f>
        <v>34000</v>
      </c>
      <c r="D290" s="55">
        <f>VLOOKUP(A:A,Table1[[Project No]:[Additional Remark]],12,FALSE)</f>
        <v>0</v>
      </c>
      <c r="E290" s="55" t="str">
        <f>VLOOKUP(A:A,Table1[[Project No]:[Additional Remark]],4,FALSE)</f>
        <v>Chean Bang</v>
      </c>
      <c r="F290" s="4" t="str">
        <f>VLOOKUP(A:A,Table1[[Project No]:[Additional Remark]],5,FALSE)</f>
        <v>R-PV</v>
      </c>
      <c r="G290" s="4" t="str">
        <f>VLOOKUP(A:A,Table1[[Project No]:[Additional Remark]],13,FALSE)</f>
        <v>Cash</v>
      </c>
      <c r="H290" s="4" t="str" cm="1">
        <f t="array" ref="H290">_xlfn.IFS((D290+C290)-J290=0,"Invoice Completed",AC290&lt;&gt;"","5th invoice",Y290&lt;&gt;"","4th invoice",U290&lt;&gt;"","3rd invoice",Q290&lt;&gt;"","2nd invoice",M290&lt;&gt;"","1st invoice",M290="","Pending 1st Invoice")</f>
        <v>Invoice Completed</v>
      </c>
      <c r="I290" s="4" t="str" cm="1">
        <f t="array" ref="I290">_xlfn.IFS((C290+D290)-K290=0,"Payment Completed",AE290&lt;&gt;"","5th payment",AA290&lt;&gt;"","4th payment",W290&lt;&gt;"","3rd payment",S290&lt;&gt;"","2nd payment",O290&lt;&gt;"","1st payment",O290="","Pending 1st Payment")</f>
        <v>3rd payment</v>
      </c>
      <c r="J290" s="55">
        <f t="shared" si="8"/>
        <v>34000</v>
      </c>
      <c r="K290" s="55">
        <f t="shared" si="9"/>
        <v>32500</v>
      </c>
      <c r="L290" s="65">
        <v>45793</v>
      </c>
      <c r="M290" s="66">
        <v>500</v>
      </c>
      <c r="N290" s="65">
        <v>45793</v>
      </c>
      <c r="O290" s="66">
        <v>500</v>
      </c>
      <c r="P290" s="39">
        <v>45933</v>
      </c>
      <c r="Q290" s="57">
        <v>31500</v>
      </c>
      <c r="R290" s="39">
        <v>45933</v>
      </c>
      <c r="S290" s="57">
        <v>30000</v>
      </c>
      <c r="T290" s="65">
        <v>45958</v>
      </c>
      <c r="U290" s="66">
        <v>2000</v>
      </c>
      <c r="V290" s="65">
        <v>45958</v>
      </c>
      <c r="W290" s="66">
        <v>2000</v>
      </c>
      <c r="X290" s="39"/>
      <c r="Y290" s="57"/>
      <c r="Z290" s="39"/>
      <c r="AA290" s="57"/>
      <c r="AB290" s="65"/>
      <c r="AC290" s="66"/>
      <c r="AD290" s="65"/>
      <c r="AE290" s="66"/>
      <c r="AF290" s="39"/>
      <c r="AG290" s="57"/>
      <c r="AH290" s="39"/>
      <c r="AI290" s="57"/>
    </row>
    <row r="291" spans="1:35" ht="19.5" customHeight="1" x14ac:dyDescent="0.3">
      <c r="A291" s="4">
        <f>'ECN Master Project Tracker new'!A292</f>
        <v>2410191</v>
      </c>
      <c r="B291" s="110" t="str">
        <f>VLOOKUP(A:A,Table1[[Project No]:[Additional Remark]],2,FALSE)</f>
        <v>Jowee Trading Sdn Bhd</v>
      </c>
      <c r="C291" s="55">
        <f>VLOOKUP(A:A,Table1[[Project No]:[Additional Remark]],11,FALSE)</f>
        <v>150000</v>
      </c>
      <c r="D291" s="55">
        <f>VLOOKUP(A:A,Table1[[Project No]:[Additional Remark]],12,FALSE)</f>
        <v>0</v>
      </c>
      <c r="E291" s="55" t="str">
        <f>VLOOKUP(A:A,Table1[[Project No]:[Additional Remark]],4,FALSE)</f>
        <v>Tham</v>
      </c>
      <c r="F291" s="4" t="str">
        <f>VLOOKUP(A:A,Table1[[Project No]:[Additional Remark]],5,FALSE)</f>
        <v>C&amp;I-PV</v>
      </c>
      <c r="G291" s="4" t="str">
        <f>VLOOKUP(A:A,Table1[[Project No]:[Additional Remark]],13,FALSE)</f>
        <v>Cash</v>
      </c>
      <c r="H291" s="4" t="str" cm="1">
        <f t="array" ref="H291">_xlfn.IFS((D291+C291)-J291=0,"Invoice Completed",AC291&lt;&gt;"","5th invoice",Y291&lt;&gt;"","4th invoice",U291&lt;&gt;"","3rd invoice",Q291&lt;&gt;"","2nd invoice",M291&lt;&gt;"","1st invoice",M291="","Pending 1st Invoice")</f>
        <v>Invoice Completed</v>
      </c>
      <c r="I291" s="4" t="str" cm="1">
        <f t="array" ref="I291">_xlfn.IFS((C291+D291)-K291=0,"Payment Completed",AE291&lt;&gt;"","5th payment",AA291&lt;&gt;"","4th payment",W291&lt;&gt;"","3rd payment",S291&lt;&gt;"","2nd payment",O291&lt;&gt;"","1st payment",O291="","Pending 1st Payment")</f>
        <v>2nd payment</v>
      </c>
      <c r="J291" s="55">
        <f t="shared" si="8"/>
        <v>150000</v>
      </c>
      <c r="K291" s="55">
        <f t="shared" si="9"/>
        <v>67500</v>
      </c>
      <c r="L291" s="65">
        <v>45824</v>
      </c>
      <c r="M291" s="66">
        <v>15000</v>
      </c>
      <c r="N291" s="65">
        <v>45869</v>
      </c>
      <c r="O291" s="66">
        <v>15000</v>
      </c>
      <c r="P291" s="39">
        <v>45869</v>
      </c>
      <c r="Q291" s="57">
        <v>52500</v>
      </c>
      <c r="R291" s="39">
        <v>45882</v>
      </c>
      <c r="S291" s="57">
        <v>52500</v>
      </c>
      <c r="T291" s="65">
        <v>45904</v>
      </c>
      <c r="U291" s="66">
        <v>67500</v>
      </c>
      <c r="V291" s="65"/>
      <c r="W291" s="66"/>
      <c r="X291" s="39">
        <v>45958</v>
      </c>
      <c r="Y291" s="57">
        <v>15000</v>
      </c>
      <c r="Z291" s="39"/>
      <c r="AA291" s="57"/>
      <c r="AB291" s="65"/>
      <c r="AC291" s="66"/>
      <c r="AD291" s="65"/>
      <c r="AE291" s="66"/>
      <c r="AF291" s="39"/>
      <c r="AG291" s="57"/>
      <c r="AH291" s="39"/>
      <c r="AI291" s="57"/>
    </row>
    <row r="292" spans="1:35" ht="19.5" customHeight="1" x14ac:dyDescent="0.3">
      <c r="A292" s="4">
        <f>'ECN Master Project Tracker new'!A293</f>
        <v>2505695</v>
      </c>
      <c r="B292" s="110" t="str">
        <f>VLOOKUP(A:A,Table1[[Project No]:[Additional Remark]],2,FALSE)</f>
        <v>Nur Salwahani Bt Muhammad</v>
      </c>
      <c r="C292" s="55">
        <f>VLOOKUP(A:A,Table1[[Project No]:[Additional Remark]],11,FALSE)</f>
        <v>27000</v>
      </c>
      <c r="D292" s="55">
        <f>VLOOKUP(A:A,Table1[[Project No]:[Additional Remark]],12,FALSE)</f>
        <v>0</v>
      </c>
      <c r="E292" s="55" t="str">
        <f>VLOOKUP(A:A,Table1[[Project No]:[Additional Remark]],4,FALSE)</f>
        <v>Patricia</v>
      </c>
      <c r="F292" s="4" t="str">
        <f>VLOOKUP(A:A,Table1[[Project No]:[Additional Remark]],5,FALSE)</f>
        <v>R-PV</v>
      </c>
      <c r="G292" s="4" t="str">
        <f>VLOOKUP(A:A,Table1[[Project No]:[Additional Remark]],13,FALSE)</f>
        <v>Cash</v>
      </c>
      <c r="H292" s="4" t="str" cm="1">
        <f t="array" ref="H292">_xlfn.IFS((D292+C292)-J292=0,"Invoice Completed",AC292&lt;&gt;"","5th invoice",Y292&lt;&gt;"","4th invoice",U292&lt;&gt;"","3rd invoice",Q292&lt;&gt;"","2nd invoice",M292&lt;&gt;"","1st invoice",M292="","Pending 1st Invoice")</f>
        <v>1st invoice</v>
      </c>
      <c r="I292" s="4" t="str" cm="1">
        <f t="array" ref="I292">_xlfn.IFS((C292+D292)-K292=0,"Payment Completed",AE292&lt;&gt;"","5th payment",AA292&lt;&gt;"","4th payment",W292&lt;&gt;"","3rd payment",S292&lt;&gt;"","2nd payment",O292&lt;&gt;"","1st payment",O292="","Pending 1st Payment")</f>
        <v>1st payment</v>
      </c>
      <c r="J292" s="55">
        <f t="shared" si="8"/>
        <v>500</v>
      </c>
      <c r="K292" s="55">
        <f t="shared" si="9"/>
        <v>500</v>
      </c>
      <c r="L292" s="65">
        <v>45793</v>
      </c>
      <c r="M292" s="66">
        <v>500</v>
      </c>
      <c r="N292" s="65">
        <v>45793</v>
      </c>
      <c r="O292" s="66">
        <v>500</v>
      </c>
      <c r="P292" s="39"/>
      <c r="Q292" s="57"/>
      <c r="R292" s="39"/>
      <c r="S292" s="57"/>
      <c r="T292" s="65"/>
      <c r="U292" s="66"/>
      <c r="V292" s="65"/>
      <c r="W292" s="66"/>
      <c r="X292" s="39"/>
      <c r="Y292" s="57"/>
      <c r="Z292" s="39"/>
      <c r="AA292" s="57"/>
      <c r="AB292" s="65"/>
      <c r="AC292" s="66"/>
      <c r="AD292" s="65"/>
      <c r="AE292" s="66"/>
      <c r="AF292" s="39"/>
      <c r="AG292" s="57"/>
      <c r="AH292" s="39"/>
      <c r="AI292" s="57"/>
    </row>
    <row r="293" spans="1:35" ht="19.5" customHeight="1" x14ac:dyDescent="0.3">
      <c r="A293" s="4">
        <f>'ECN Master Project Tracker new'!A294</f>
        <v>2505672</v>
      </c>
      <c r="B293" s="110" t="str">
        <f>VLOOKUP(A:A,Table1[[Project No]:[Additional Remark]],2,FALSE)</f>
        <v xml:space="preserve">Tham Wai Hong </v>
      </c>
      <c r="C293" s="55">
        <f>VLOOKUP(A:A,Table1[[Project No]:[Additional Remark]],11,FALSE)</f>
        <v>27000</v>
      </c>
      <c r="D293" s="55">
        <f>VLOOKUP(A:A,Table1[[Project No]:[Additional Remark]],12,FALSE)</f>
        <v>0</v>
      </c>
      <c r="E293" s="55" t="str">
        <f>VLOOKUP(A:A,Table1[[Project No]:[Additional Remark]],4,FALSE)</f>
        <v>Patricia</v>
      </c>
      <c r="F293" s="4" t="str">
        <f>VLOOKUP(A:A,Table1[[Project No]:[Additional Remark]],5,FALSE)</f>
        <v>R-PV</v>
      </c>
      <c r="G293" s="4" t="str">
        <f>VLOOKUP(A:A,Table1[[Project No]:[Additional Remark]],13,FALSE)</f>
        <v>Cash</v>
      </c>
      <c r="H293" s="4" t="str" cm="1">
        <f t="array" ref="H293">_xlfn.IFS((D293+C293)-J293=0,"Invoice Completed",AC293&lt;&gt;"","5th invoice",Y293&lt;&gt;"","4th invoice",U293&lt;&gt;"","3rd invoice",Q293&lt;&gt;"","2nd invoice",M293&lt;&gt;"","1st invoice",M293="","Pending 1st Invoice")</f>
        <v>Invoice Completed</v>
      </c>
      <c r="I293" s="4" t="str" cm="1">
        <f t="array" ref="I293">_xlfn.IFS((C293+D293)-K293=0,"Payment Completed",AE293&lt;&gt;"","5th payment",AA293&lt;&gt;"","4th payment",W293&lt;&gt;"","3rd payment",S293&lt;&gt;"","2nd payment",O293&lt;&gt;"","1st payment",O293="","Pending 1st Payment")</f>
        <v>Payment Completed</v>
      </c>
      <c r="J293" s="55">
        <f t="shared" si="8"/>
        <v>27000</v>
      </c>
      <c r="K293" s="55">
        <f t="shared" si="9"/>
        <v>27000</v>
      </c>
      <c r="L293" s="65">
        <v>45792</v>
      </c>
      <c r="M293" s="66">
        <v>500</v>
      </c>
      <c r="N293" s="65">
        <v>45792</v>
      </c>
      <c r="O293" s="66">
        <v>500</v>
      </c>
      <c r="P293" s="39">
        <v>45814</v>
      </c>
      <c r="Q293" s="57">
        <v>25000</v>
      </c>
      <c r="R293" s="39">
        <v>45818</v>
      </c>
      <c r="S293" s="57">
        <v>25000</v>
      </c>
      <c r="T293" s="65">
        <v>45827</v>
      </c>
      <c r="U293" s="66">
        <v>1500</v>
      </c>
      <c r="V293" s="65">
        <v>45827</v>
      </c>
      <c r="W293" s="66">
        <v>1500</v>
      </c>
      <c r="X293" s="39"/>
      <c r="Y293" s="57"/>
      <c r="Z293" s="39"/>
      <c r="AA293" s="57"/>
      <c r="AB293" s="65"/>
      <c r="AC293" s="66"/>
      <c r="AD293" s="65"/>
      <c r="AE293" s="66"/>
      <c r="AF293" s="39"/>
      <c r="AG293" s="57"/>
      <c r="AH293" s="39"/>
      <c r="AI293" s="57"/>
    </row>
    <row r="294" spans="1:35" ht="19.5" customHeight="1" x14ac:dyDescent="0.3">
      <c r="A294" s="4">
        <f>'ECN Master Project Tracker new'!A295</f>
        <v>2505684</v>
      </c>
      <c r="B294" s="110" t="str">
        <f>VLOOKUP(A:A,Table1[[Project No]:[Additional Remark]],2,FALSE)</f>
        <v>Ng Heng Hock</v>
      </c>
      <c r="C294" s="55">
        <f>VLOOKUP(A:A,Table1[[Project No]:[Additional Remark]],11,FALSE)</f>
        <v>30000</v>
      </c>
      <c r="D294" s="55">
        <f>VLOOKUP(A:A,Table1[[Project No]:[Additional Remark]],12,FALSE)</f>
        <v>0</v>
      </c>
      <c r="E294" s="55" t="str">
        <f>VLOOKUP(A:A,Table1[[Project No]:[Additional Remark]],4,FALSE)</f>
        <v>Patricia</v>
      </c>
      <c r="F294" s="4" t="str">
        <f>VLOOKUP(A:A,Table1[[Project No]:[Additional Remark]],5,FALSE)</f>
        <v>R-PV</v>
      </c>
      <c r="G294" s="4" t="str">
        <f>VLOOKUP(A:A,Table1[[Project No]:[Additional Remark]],13,FALSE)</f>
        <v>Cash</v>
      </c>
      <c r="H294" s="4" t="str" cm="1">
        <f t="array" ref="H294">_xlfn.IFS((D294+C294)-J294=0,"Invoice Completed",AC294&lt;&gt;"","5th invoice",Y294&lt;&gt;"","4th invoice",U294&lt;&gt;"","3rd invoice",Q294&lt;&gt;"","2nd invoice",M294&lt;&gt;"","1st invoice",M294="","Pending 1st Invoice")</f>
        <v>Invoice Completed</v>
      </c>
      <c r="I294" s="4" t="str" cm="1">
        <f t="array" ref="I294">_xlfn.IFS((C294+D294)-K294=0,"Payment Completed",AE294&lt;&gt;"","5th payment",AA294&lt;&gt;"","4th payment",W294&lt;&gt;"","3rd payment",S294&lt;&gt;"","2nd payment",O294&lt;&gt;"","1st payment",O294="","Pending 1st Payment")</f>
        <v>Payment Completed</v>
      </c>
      <c r="J294" s="55">
        <f t="shared" si="8"/>
        <v>30000</v>
      </c>
      <c r="K294" s="55">
        <f t="shared" si="9"/>
        <v>30000</v>
      </c>
      <c r="L294" s="65">
        <v>45796</v>
      </c>
      <c r="M294" s="66">
        <v>500</v>
      </c>
      <c r="N294" s="65">
        <v>45796</v>
      </c>
      <c r="O294" s="66">
        <v>500</v>
      </c>
      <c r="P294" s="39">
        <v>45821</v>
      </c>
      <c r="Q294" s="57">
        <v>10000</v>
      </c>
      <c r="R294" s="39">
        <v>45821</v>
      </c>
      <c r="S294" s="57">
        <v>10000</v>
      </c>
      <c r="T294" s="65">
        <v>45858</v>
      </c>
      <c r="U294" s="66">
        <v>19500</v>
      </c>
      <c r="V294" s="65">
        <v>45858</v>
      </c>
      <c r="W294" s="66">
        <v>19500</v>
      </c>
      <c r="X294" s="39"/>
      <c r="Y294" s="57"/>
      <c r="Z294" s="39"/>
      <c r="AA294" s="57"/>
      <c r="AB294" s="65"/>
      <c r="AC294" s="66"/>
      <c r="AD294" s="65"/>
      <c r="AE294" s="66"/>
      <c r="AF294" s="39"/>
      <c r="AG294" s="57"/>
      <c r="AH294" s="39"/>
      <c r="AI294" s="57"/>
    </row>
    <row r="295" spans="1:35" ht="19.5" customHeight="1" x14ac:dyDescent="0.3">
      <c r="A295" s="4">
        <f>'ECN Master Project Tracker new'!A296</f>
        <v>2505697</v>
      </c>
      <c r="B295" s="110" t="str">
        <f>VLOOKUP(A:A,Table1[[Project No]:[Additional Remark]],2,FALSE)</f>
        <v xml:space="preserve">Chong Yee Sam </v>
      </c>
      <c r="C295" s="55">
        <f>VLOOKUP(A:A,Table1[[Project No]:[Additional Remark]],11,FALSE)</f>
        <v>21500</v>
      </c>
      <c r="D295" s="55">
        <f>VLOOKUP(A:A,Table1[[Project No]:[Additional Remark]],12,FALSE)</f>
        <v>0</v>
      </c>
      <c r="E295" s="55" t="str">
        <f>VLOOKUP(A:A,Table1[[Project No]:[Additional Remark]],4,FALSE)</f>
        <v>Patricia</v>
      </c>
      <c r="F295" s="4" t="str">
        <f>VLOOKUP(A:A,Table1[[Project No]:[Additional Remark]],5,FALSE)</f>
        <v>R-PV</v>
      </c>
      <c r="G295" s="4" t="str">
        <f>VLOOKUP(A:A,Table1[[Project No]:[Additional Remark]],13,FALSE)</f>
        <v>Cash</v>
      </c>
      <c r="H295" s="4" t="str" cm="1">
        <f t="array" ref="H295">_xlfn.IFS((D295+C295)-J295=0,"Invoice Completed",AC295&lt;&gt;"","5th invoice",Y295&lt;&gt;"","4th invoice",U295&lt;&gt;"","3rd invoice",Q295&lt;&gt;"","2nd invoice",M295&lt;&gt;"","1st invoice",M295="","Pending 1st Invoice")</f>
        <v>1st invoice</v>
      </c>
      <c r="I295" s="4" t="str" cm="1">
        <f t="array" ref="I295">_xlfn.IFS((C295+D295)-K295=0,"Payment Completed",AE295&lt;&gt;"","5th payment",AA295&lt;&gt;"","4th payment",W295&lt;&gt;"","3rd payment",S295&lt;&gt;"","2nd payment",O295&lt;&gt;"","1st payment",O295="","Pending 1st Payment")</f>
        <v>1st payment</v>
      </c>
      <c r="J295" s="55">
        <f t="shared" si="8"/>
        <v>500</v>
      </c>
      <c r="K295" s="55">
        <f t="shared" si="9"/>
        <v>500</v>
      </c>
      <c r="L295" s="65">
        <v>45797</v>
      </c>
      <c r="M295" s="66">
        <v>500</v>
      </c>
      <c r="N295" s="65">
        <v>45797</v>
      </c>
      <c r="O295" s="66">
        <v>500</v>
      </c>
      <c r="P295" s="39"/>
      <c r="Q295" s="57"/>
      <c r="R295" s="39"/>
      <c r="S295" s="57"/>
      <c r="T295" s="65"/>
      <c r="U295" s="66"/>
      <c r="V295" s="65"/>
      <c r="W295" s="66"/>
      <c r="X295" s="39"/>
      <c r="Y295" s="57"/>
      <c r="Z295" s="39"/>
      <c r="AA295" s="57"/>
      <c r="AB295" s="65"/>
      <c r="AC295" s="66"/>
      <c r="AD295" s="65"/>
      <c r="AE295" s="66"/>
      <c r="AF295" s="39"/>
      <c r="AG295" s="57"/>
      <c r="AH295" s="39"/>
      <c r="AI295" s="57"/>
    </row>
    <row r="296" spans="1:35" ht="19.5" customHeight="1" x14ac:dyDescent="0.3">
      <c r="A296" s="4">
        <f>'ECN Master Project Tracker new'!A297</f>
        <v>2505688</v>
      </c>
      <c r="B296" s="110" t="str">
        <f>VLOOKUP(A:A,Table1[[Project No]:[Additional Remark]],2,FALSE)</f>
        <v>Heng Mooi Sing</v>
      </c>
      <c r="C296" s="55">
        <f>VLOOKUP(A:A,Table1[[Project No]:[Additional Remark]],11,FALSE)</f>
        <v>40000</v>
      </c>
      <c r="D296" s="55">
        <f>VLOOKUP(A:A,Table1[[Project No]:[Additional Remark]],12,FALSE)</f>
        <v>0</v>
      </c>
      <c r="E296" s="55" t="str">
        <f>VLOOKUP(A:A,Table1[[Project No]:[Additional Remark]],4,FALSE)</f>
        <v>Tham</v>
      </c>
      <c r="F296" s="4" t="str">
        <f>VLOOKUP(A:A,Table1[[Project No]:[Additional Remark]],5,FALSE)</f>
        <v>R-PV</v>
      </c>
      <c r="G296" s="4" t="str">
        <f>VLOOKUP(A:A,Table1[[Project No]:[Additional Remark]],13,FALSE)</f>
        <v>Cash</v>
      </c>
      <c r="H296" s="4" t="str" cm="1">
        <f t="array" ref="H296">_xlfn.IFS((D296+C296)-J296=0,"Invoice Completed",AC296&lt;&gt;"","5th invoice",Y296&lt;&gt;"","4th invoice",U296&lt;&gt;"","3rd invoice",Q296&lt;&gt;"","2nd invoice",M296&lt;&gt;"","1st invoice",M296="","Pending 1st Invoice")</f>
        <v>Invoice Completed</v>
      </c>
      <c r="I296" s="4" t="str" cm="1">
        <f t="array" ref="I296">_xlfn.IFS((C296+D296)-K296=0,"Payment Completed",AE296&lt;&gt;"","5th payment",AA296&lt;&gt;"","4th payment",W296&lt;&gt;"","3rd payment",S296&lt;&gt;"","2nd payment",O296&lt;&gt;"","1st payment",O296="","Pending 1st Payment")</f>
        <v>Payment Completed</v>
      </c>
      <c r="J296" s="55">
        <f t="shared" si="8"/>
        <v>40000</v>
      </c>
      <c r="K296" s="55">
        <f t="shared" si="9"/>
        <v>40000</v>
      </c>
      <c r="L296" s="65">
        <v>45797</v>
      </c>
      <c r="M296" s="66">
        <v>500</v>
      </c>
      <c r="N296" s="65">
        <v>45797</v>
      </c>
      <c r="O296" s="66">
        <v>500</v>
      </c>
      <c r="P296" s="39">
        <v>45832</v>
      </c>
      <c r="Q296" s="57">
        <v>37500</v>
      </c>
      <c r="R296" s="39">
        <v>45839</v>
      </c>
      <c r="S296" s="57">
        <v>37500</v>
      </c>
      <c r="T296" s="65">
        <v>45835</v>
      </c>
      <c r="U296" s="66">
        <v>2000</v>
      </c>
      <c r="V296" s="65">
        <v>45874</v>
      </c>
      <c r="W296" s="66">
        <v>2000</v>
      </c>
      <c r="X296" s="39"/>
      <c r="Y296" s="57"/>
      <c r="Z296" s="39"/>
      <c r="AA296" s="57"/>
      <c r="AB296" s="65"/>
      <c r="AC296" s="66"/>
      <c r="AD296" s="65"/>
      <c r="AE296" s="66"/>
      <c r="AF296" s="39"/>
      <c r="AG296" s="57"/>
      <c r="AH296" s="39"/>
      <c r="AI296" s="57"/>
    </row>
    <row r="297" spans="1:35" ht="19.5" customHeight="1" x14ac:dyDescent="0.3">
      <c r="A297" s="4">
        <f>'ECN Master Project Tracker new'!A298</f>
        <v>2505682</v>
      </c>
      <c r="B297" s="110" t="str">
        <f>VLOOKUP(A:A,Table1[[Project No]:[Additional Remark]],2,FALSE)</f>
        <v>Lee Soo Kean</v>
      </c>
      <c r="C297" s="55">
        <f>VLOOKUP(A:A,Table1[[Project No]:[Additional Remark]],11,FALSE)</f>
        <v>36620</v>
      </c>
      <c r="D297" s="55">
        <f>VLOOKUP(A:A,Table1[[Project No]:[Additional Remark]],12,FALSE)</f>
        <v>0</v>
      </c>
      <c r="E297" s="55" t="str">
        <f>VLOOKUP(A:A,Table1[[Project No]:[Additional Remark]],4,FALSE)</f>
        <v>Patricia</v>
      </c>
      <c r="F297" s="4" t="str">
        <f>VLOOKUP(A:A,Table1[[Project No]:[Additional Remark]],5,FALSE)</f>
        <v>R-PV</v>
      </c>
      <c r="G297" s="4" t="str">
        <f>VLOOKUP(A:A,Table1[[Project No]:[Additional Remark]],13,FALSE)</f>
        <v>Credit Card Instalment</v>
      </c>
      <c r="H297" s="4" t="str" cm="1">
        <f t="array" ref="H297">_xlfn.IFS((D297+C297)-J297=0,"Invoice Completed",AC297&lt;&gt;"","5th invoice",Y297&lt;&gt;"","4th invoice",U297&lt;&gt;"","3rd invoice",Q297&lt;&gt;"","2nd invoice",M297&lt;&gt;"","1st invoice",M297="","Pending 1st Invoice")</f>
        <v>Invoice Completed</v>
      </c>
      <c r="I297" s="4" t="str" cm="1">
        <f t="array" ref="I297">_xlfn.IFS((C297+D297)-K297=0,"Payment Completed",AE297&lt;&gt;"","5th payment",AA297&lt;&gt;"","4th payment",W297&lt;&gt;"","3rd payment",S297&lt;&gt;"","2nd payment",O297&lt;&gt;"","1st payment",O297="","Pending 1st Payment")</f>
        <v>Payment Completed</v>
      </c>
      <c r="J297" s="55">
        <f t="shared" si="8"/>
        <v>36620</v>
      </c>
      <c r="K297" s="55">
        <f t="shared" si="9"/>
        <v>36620</v>
      </c>
      <c r="L297" s="65">
        <v>45797</v>
      </c>
      <c r="M297" s="66">
        <v>500</v>
      </c>
      <c r="N297" s="65">
        <v>45797</v>
      </c>
      <c r="O297" s="66">
        <v>500</v>
      </c>
      <c r="P297" s="39">
        <v>45855</v>
      </c>
      <c r="Q297" s="57">
        <v>36120</v>
      </c>
      <c r="R297" s="39">
        <v>45855</v>
      </c>
      <c r="S297" s="57">
        <v>36120</v>
      </c>
      <c r="T297" s="65"/>
      <c r="U297" s="66"/>
      <c r="V297" s="65"/>
      <c r="W297" s="66"/>
      <c r="X297" s="39"/>
      <c r="Y297" s="57"/>
      <c r="Z297" s="39"/>
      <c r="AA297" s="57"/>
      <c r="AB297" s="65"/>
      <c r="AC297" s="66"/>
      <c r="AD297" s="65"/>
      <c r="AE297" s="66"/>
      <c r="AF297" s="39"/>
      <c r="AG297" s="57"/>
      <c r="AH297" s="39"/>
      <c r="AI297" s="57"/>
    </row>
    <row r="298" spans="1:35" ht="19.5" customHeight="1" x14ac:dyDescent="0.3">
      <c r="A298" s="4">
        <f>'ECN Master Project Tracker new'!A299</f>
        <v>2505699</v>
      </c>
      <c r="B298" s="110" t="str">
        <f>VLOOKUP(A:A,Table1[[Project No]:[Additional Remark]],2,FALSE)</f>
        <v>Kiren Kaur A/P Bhajan Singh</v>
      </c>
      <c r="C298" s="55">
        <f>VLOOKUP(A:A,Table1[[Project No]:[Additional Remark]],11,FALSE)</f>
        <v>33000</v>
      </c>
      <c r="D298" s="55">
        <f>VLOOKUP(A:A,Table1[[Project No]:[Additional Remark]],12,FALSE)</f>
        <v>0</v>
      </c>
      <c r="E298" s="55" t="str">
        <f>VLOOKUP(A:A,Table1[[Project No]:[Additional Remark]],4,FALSE)</f>
        <v>Chean Bang</v>
      </c>
      <c r="F298" s="4" t="str">
        <f>VLOOKUP(A:A,Table1[[Project No]:[Additional Remark]],5,FALSE)</f>
        <v>R-PV</v>
      </c>
      <c r="G298" s="4" t="str">
        <f>VLOOKUP(A:A,Table1[[Project No]:[Additional Remark]],13,FALSE)</f>
        <v>Cash</v>
      </c>
      <c r="H298" s="4" t="str" cm="1">
        <f t="array" ref="H298">_xlfn.IFS((D298+C298)-J298=0,"Invoice Completed",AC298&lt;&gt;"","5th invoice",Y298&lt;&gt;"","4th invoice",U298&lt;&gt;"","3rd invoice",Q298&lt;&gt;"","2nd invoice",M298&lt;&gt;"","1st invoice",M298="","Pending 1st Invoice")</f>
        <v>1st invoice</v>
      </c>
      <c r="I298" s="4" t="str" cm="1">
        <f t="array" ref="I298">_xlfn.IFS((C298+D298)-K298=0,"Payment Completed",AE298&lt;&gt;"","5th payment",AA298&lt;&gt;"","4th payment",W298&lt;&gt;"","3rd payment",S298&lt;&gt;"","2nd payment",O298&lt;&gt;"","1st payment",O298="","Pending 1st Payment")</f>
        <v>1st payment</v>
      </c>
      <c r="J298" s="55">
        <f t="shared" si="8"/>
        <v>500</v>
      </c>
      <c r="K298" s="55">
        <f t="shared" si="9"/>
        <v>500</v>
      </c>
      <c r="L298" s="65">
        <v>45798</v>
      </c>
      <c r="M298" s="66">
        <v>500</v>
      </c>
      <c r="N298" s="65">
        <v>45798</v>
      </c>
      <c r="O298" s="66">
        <v>500</v>
      </c>
      <c r="P298" s="39"/>
      <c r="Q298" s="57"/>
      <c r="R298" s="39"/>
      <c r="S298" s="57"/>
      <c r="T298" s="65"/>
      <c r="U298" s="66"/>
      <c r="V298" s="65"/>
      <c r="W298" s="66"/>
      <c r="X298" s="39"/>
      <c r="Y298" s="57"/>
      <c r="Z298" s="39"/>
      <c r="AA298" s="57"/>
      <c r="AB298" s="65"/>
      <c r="AC298" s="66"/>
      <c r="AD298" s="65"/>
      <c r="AE298" s="66"/>
      <c r="AF298" s="39"/>
      <c r="AG298" s="57"/>
      <c r="AH298" s="39"/>
      <c r="AI298" s="57"/>
    </row>
    <row r="299" spans="1:35" ht="19.5" customHeight="1" x14ac:dyDescent="0.3">
      <c r="A299" s="4">
        <f>'ECN Master Project Tracker new'!A300</f>
        <v>2503612</v>
      </c>
      <c r="B299" s="110" t="str">
        <f>VLOOKUP(A:A,Table1[[Project No]:[Additional Remark]],2,FALSE)</f>
        <v>Low Bok Tek</v>
      </c>
      <c r="C299" s="55">
        <f>VLOOKUP(A:A,Table1[[Project No]:[Additional Remark]],11,FALSE)</f>
        <v>0</v>
      </c>
      <c r="D299" s="55">
        <f>VLOOKUP(A:A,Table1[[Project No]:[Additional Remark]],12,FALSE)</f>
        <v>0</v>
      </c>
      <c r="E299" s="55" t="str">
        <f>VLOOKUP(A:A,Table1[[Project No]:[Additional Remark]],4,FALSE)</f>
        <v>Tham</v>
      </c>
      <c r="F299" s="4" t="str">
        <f>VLOOKUP(A:A,Table1[[Project No]:[Additional Remark]],5,FALSE)</f>
        <v>R-PV</v>
      </c>
      <c r="G299" s="4">
        <f>VLOOKUP(A:A,Table1[[Project No]:[Additional Remark]],13,FALSE)</f>
        <v>0</v>
      </c>
      <c r="H299" s="4" t="str" cm="1">
        <f t="array" ref="H299">_xlfn.IFS((D299+C299)-J299=0,"Invoice Completed",AC299&lt;&gt;"","5th invoice",Y299&lt;&gt;"","4th invoice",U299&lt;&gt;"","3rd invoice",Q299&lt;&gt;"","2nd invoice",M299&lt;&gt;"","1st invoice",M299="","Pending 1st Invoice")</f>
        <v>Invoice Completed</v>
      </c>
      <c r="I299" s="4" t="str" cm="1">
        <f t="array" ref="I299">_xlfn.IFS((C299+D299)-K299=0,"Payment Completed",AE299&lt;&gt;"","5th payment",AA299&lt;&gt;"","4th payment",W299&lt;&gt;"","3rd payment",S299&lt;&gt;"","2nd payment",O299&lt;&gt;"","1st payment",O299="","Pending 1st Payment")</f>
        <v>Payment Completed</v>
      </c>
      <c r="J299" s="55">
        <f t="shared" si="8"/>
        <v>0</v>
      </c>
      <c r="K299" s="55">
        <f t="shared" si="9"/>
        <v>0</v>
      </c>
      <c r="L299" s="65"/>
      <c r="M299" s="66"/>
      <c r="N299" s="65"/>
      <c r="O299" s="66"/>
      <c r="P299" s="39"/>
      <c r="Q299" s="57"/>
      <c r="R299" s="39"/>
      <c r="S299" s="57"/>
      <c r="T299" s="65"/>
      <c r="U299" s="66"/>
      <c r="V299" s="65"/>
      <c r="W299" s="66"/>
      <c r="X299" s="39"/>
      <c r="Y299" s="57"/>
      <c r="Z299" s="39"/>
      <c r="AA299" s="57"/>
      <c r="AB299" s="65"/>
      <c r="AC299" s="66"/>
      <c r="AD299" s="65"/>
      <c r="AE299" s="66"/>
      <c r="AF299" s="39"/>
      <c r="AG299" s="57"/>
      <c r="AH299" s="39"/>
      <c r="AI299" s="57"/>
    </row>
    <row r="300" spans="1:35" ht="19.5" customHeight="1" x14ac:dyDescent="0.3">
      <c r="A300" s="4">
        <f>'ECN Master Project Tracker new'!A301</f>
        <v>2505680</v>
      </c>
      <c r="B300" s="110" t="str">
        <f>VLOOKUP(A:A,Table1[[Project No]:[Additional Remark]],2,FALSE)</f>
        <v>Chiang Hock Chiong</v>
      </c>
      <c r="C300" s="55">
        <f>VLOOKUP(A:A,Table1[[Project No]:[Additional Remark]],11,FALSE)</f>
        <v>41000</v>
      </c>
      <c r="D300" s="55">
        <f>VLOOKUP(A:A,Table1[[Project No]:[Additional Remark]],12,FALSE)</f>
        <v>0</v>
      </c>
      <c r="E300" s="55" t="str">
        <f>VLOOKUP(A:A,Table1[[Project No]:[Additional Remark]],4,FALSE)</f>
        <v>Patricia</v>
      </c>
      <c r="F300" s="4" t="str">
        <f>VLOOKUP(A:A,Table1[[Project No]:[Additional Remark]],5,FALSE)</f>
        <v>R-PV</v>
      </c>
      <c r="G300" s="4" t="str">
        <f>VLOOKUP(A:A,Table1[[Project No]:[Additional Remark]],13,FALSE)</f>
        <v>Cash</v>
      </c>
      <c r="H300" s="4" t="str" cm="1">
        <f t="array" ref="H300">_xlfn.IFS((D300+C300)-J300=0,"Invoice Completed",AC300&lt;&gt;"","5th invoice",Y300&lt;&gt;"","4th invoice",U300&lt;&gt;"","3rd invoice",Q300&lt;&gt;"","2nd invoice",M300&lt;&gt;"","1st invoice",M300="","Pending 1st Invoice")</f>
        <v>1st invoice</v>
      </c>
      <c r="I300" s="4" t="str" cm="1">
        <f t="array" ref="I300">_xlfn.IFS((C300+D300)-K300=0,"Payment Completed",AE300&lt;&gt;"","5th payment",AA300&lt;&gt;"","4th payment",W300&lt;&gt;"","3rd payment",S300&lt;&gt;"","2nd payment",O300&lt;&gt;"","1st payment",O300="","Pending 1st Payment")</f>
        <v>Pending 1st Payment</v>
      </c>
      <c r="J300" s="55">
        <f t="shared" si="8"/>
        <v>500</v>
      </c>
      <c r="K300" s="55">
        <f t="shared" si="9"/>
        <v>0</v>
      </c>
      <c r="L300" s="65">
        <v>45799</v>
      </c>
      <c r="M300" s="66">
        <v>500</v>
      </c>
      <c r="N300" s="65"/>
      <c r="O300" s="66"/>
      <c r="P300" s="39"/>
      <c r="Q300" s="57"/>
      <c r="R300" s="39"/>
      <c r="S300" s="57"/>
      <c r="T300" s="65"/>
      <c r="U300" s="66"/>
      <c r="V300" s="65"/>
      <c r="W300" s="66"/>
      <c r="X300" s="39"/>
      <c r="Y300" s="57"/>
      <c r="Z300" s="39"/>
      <c r="AA300" s="57"/>
      <c r="AB300" s="65"/>
      <c r="AC300" s="66"/>
      <c r="AD300" s="65"/>
      <c r="AE300" s="66"/>
      <c r="AF300" s="39"/>
      <c r="AG300" s="57"/>
      <c r="AH300" s="39"/>
      <c r="AI300" s="57"/>
    </row>
    <row r="301" spans="1:35" ht="19.5" customHeight="1" x14ac:dyDescent="0.3">
      <c r="A301" s="4">
        <f>'ECN Master Project Tracker new'!A302</f>
        <v>2503607</v>
      </c>
      <c r="B301" s="110" t="str">
        <f>VLOOKUP(A:A,Table1[[Project No]:[Additional Remark]],2,FALSE)</f>
        <v>Goh Boon Leng</v>
      </c>
      <c r="C301" s="55">
        <f>VLOOKUP(A:A,Table1[[Project No]:[Additional Remark]],11,FALSE)</f>
        <v>29000</v>
      </c>
      <c r="D301" s="55">
        <f>VLOOKUP(A:A,Table1[[Project No]:[Additional Remark]],12,FALSE)</f>
        <v>0</v>
      </c>
      <c r="E301" s="55" t="str">
        <f>VLOOKUP(A:A,Table1[[Project No]:[Additional Remark]],4,FALSE)</f>
        <v>Tham</v>
      </c>
      <c r="F301" s="4" t="str">
        <f>VLOOKUP(A:A,Table1[[Project No]:[Additional Remark]],5,FALSE)</f>
        <v>R-PV</v>
      </c>
      <c r="G301" s="4" t="str">
        <f>VLOOKUP(A:A,Table1[[Project No]:[Additional Remark]],13,FALSE)</f>
        <v>Cash</v>
      </c>
      <c r="H301" s="4" t="str" cm="1">
        <f t="array" ref="H301">_xlfn.IFS((D301+C301)-J301=0,"Invoice Completed",AC301&lt;&gt;"","5th invoice",Y301&lt;&gt;"","4th invoice",U301&lt;&gt;"","3rd invoice",Q301&lt;&gt;"","2nd invoice",M301&lt;&gt;"","1st invoice",M301="","Pending 1st Invoice")</f>
        <v>Invoice Completed</v>
      </c>
      <c r="I301" s="4" t="str" cm="1">
        <f t="array" ref="I301">_xlfn.IFS((C301+D301)-K301=0,"Payment Completed",AE301&lt;&gt;"","5th payment",AA301&lt;&gt;"","4th payment",W301&lt;&gt;"","3rd payment",S301&lt;&gt;"","2nd payment",O301&lt;&gt;"","1st payment",O301="","Pending 1st Payment")</f>
        <v>Payment Completed</v>
      </c>
      <c r="J301" s="55">
        <f t="shared" si="8"/>
        <v>29000</v>
      </c>
      <c r="K301" s="55">
        <f t="shared" si="9"/>
        <v>29000</v>
      </c>
      <c r="L301" s="65">
        <v>45798</v>
      </c>
      <c r="M301" s="66">
        <v>500</v>
      </c>
      <c r="N301" s="65">
        <v>45798</v>
      </c>
      <c r="O301" s="66">
        <v>500</v>
      </c>
      <c r="P301" s="39">
        <v>45868</v>
      </c>
      <c r="Q301" s="57">
        <v>28500</v>
      </c>
      <c r="R301" s="39">
        <v>45868</v>
      </c>
      <c r="S301" s="57">
        <v>28500</v>
      </c>
      <c r="T301" s="65"/>
      <c r="U301" s="66"/>
      <c r="V301" s="65"/>
      <c r="W301" s="66"/>
      <c r="X301" s="39"/>
      <c r="Y301" s="57"/>
      <c r="Z301" s="39"/>
      <c r="AA301" s="57"/>
      <c r="AB301" s="65"/>
      <c r="AC301" s="66"/>
      <c r="AD301" s="65"/>
      <c r="AE301" s="66"/>
      <c r="AF301" s="39"/>
      <c r="AG301" s="57"/>
      <c r="AH301" s="39"/>
      <c r="AI301" s="57"/>
    </row>
    <row r="302" spans="1:35" ht="19.5" customHeight="1" x14ac:dyDescent="0.3">
      <c r="A302" s="4">
        <f>'ECN Master Project Tracker new'!A303</f>
        <v>2505711</v>
      </c>
      <c r="B302" s="110" t="str">
        <f>VLOOKUP(A:A,Table1[[Project No]:[Additional Remark]],2,FALSE)</f>
        <v>Lee Len Foong</v>
      </c>
      <c r="C302" s="55">
        <f>VLOOKUP(A:A,Table1[[Project No]:[Additional Remark]],11,FALSE)</f>
        <v>25500</v>
      </c>
      <c r="D302" s="55">
        <f>VLOOKUP(A:A,Table1[[Project No]:[Additional Remark]],12,FALSE)</f>
        <v>0</v>
      </c>
      <c r="E302" s="55" t="str">
        <f>VLOOKUP(A:A,Table1[[Project No]:[Additional Remark]],4,FALSE)</f>
        <v>Chean Bang</v>
      </c>
      <c r="F302" s="4" t="str">
        <f>VLOOKUP(A:A,Table1[[Project No]:[Additional Remark]],5,FALSE)</f>
        <v>R-PV</v>
      </c>
      <c r="G302" s="4" t="str">
        <f>VLOOKUP(A:A,Table1[[Project No]:[Additional Remark]],13,FALSE)</f>
        <v>Cash</v>
      </c>
      <c r="H302" s="4" t="str" cm="1">
        <f t="array" ref="H302">_xlfn.IFS((D302+C302)-J302=0,"Invoice Completed",AC302&lt;&gt;"","5th invoice",Y302&lt;&gt;"","4th invoice",U302&lt;&gt;"","3rd invoice",Q302&lt;&gt;"","2nd invoice",M302&lt;&gt;"","1st invoice",M302="","Pending 1st Invoice")</f>
        <v>1st invoice</v>
      </c>
      <c r="I302" s="4" t="str" cm="1">
        <f t="array" ref="I302">_xlfn.IFS((C302+D302)-K302=0,"Payment Completed",AE302&lt;&gt;"","5th payment",AA302&lt;&gt;"","4th payment",W302&lt;&gt;"","3rd payment",S302&lt;&gt;"","2nd payment",O302&lt;&gt;"","1st payment",O302="","Pending 1st Payment")</f>
        <v>1st payment</v>
      </c>
      <c r="J302" s="55">
        <f t="shared" si="8"/>
        <v>500</v>
      </c>
      <c r="K302" s="55">
        <f t="shared" si="9"/>
        <v>500</v>
      </c>
      <c r="L302" s="65">
        <v>45804</v>
      </c>
      <c r="M302" s="66">
        <v>500</v>
      </c>
      <c r="N302" s="65">
        <v>45804</v>
      </c>
      <c r="O302" s="66">
        <v>500</v>
      </c>
      <c r="P302" s="39"/>
      <c r="Q302" s="57"/>
      <c r="R302" s="39"/>
      <c r="S302" s="57"/>
      <c r="T302" s="65"/>
      <c r="U302" s="66"/>
      <c r="V302" s="65"/>
      <c r="W302" s="66"/>
      <c r="X302" s="39"/>
      <c r="Y302" s="57"/>
      <c r="Z302" s="39"/>
      <c r="AA302" s="57"/>
      <c r="AB302" s="65"/>
      <c r="AC302" s="66"/>
      <c r="AD302" s="65"/>
      <c r="AE302" s="66"/>
      <c r="AF302" s="39"/>
      <c r="AG302" s="57"/>
      <c r="AH302" s="39"/>
      <c r="AI302" s="57"/>
    </row>
    <row r="303" spans="1:35" ht="19.5" customHeight="1" x14ac:dyDescent="0.3">
      <c r="A303" s="4">
        <f>'ECN Master Project Tracker new'!A304</f>
        <v>2505713</v>
      </c>
      <c r="B303" s="110" t="str">
        <f>VLOOKUP(A:A,Table1[[Project No]:[Additional Remark]],2,FALSE)</f>
        <v>Yap Swee Piau</v>
      </c>
      <c r="C303" s="55">
        <f>VLOOKUP(A:A,Table1[[Project No]:[Additional Remark]],11,FALSE)</f>
        <v>41000</v>
      </c>
      <c r="D303" s="55">
        <f>VLOOKUP(A:A,Table1[[Project No]:[Additional Remark]],12,FALSE)</f>
        <v>0</v>
      </c>
      <c r="E303" s="55" t="str">
        <f>VLOOKUP(A:A,Table1[[Project No]:[Additional Remark]],4,FALSE)</f>
        <v>Patricia</v>
      </c>
      <c r="F303" s="4" t="str">
        <f>VLOOKUP(A:A,Table1[[Project No]:[Additional Remark]],5,FALSE)</f>
        <v>R-PV</v>
      </c>
      <c r="G303" s="4" t="str">
        <f>VLOOKUP(A:A,Table1[[Project No]:[Additional Remark]],13,FALSE)</f>
        <v>Cash</v>
      </c>
      <c r="H303" s="4" t="str" cm="1">
        <f t="array" ref="H303">_xlfn.IFS((D303+C303)-J303=0,"Invoice Completed",AC303&lt;&gt;"","5th invoice",Y303&lt;&gt;"","4th invoice",U303&lt;&gt;"","3rd invoice",Q303&lt;&gt;"","2nd invoice",M303&lt;&gt;"","1st invoice",M303="","Pending 1st Invoice")</f>
        <v>Invoice Completed</v>
      </c>
      <c r="I303" s="4" t="str" cm="1">
        <f t="array" ref="I303">_xlfn.IFS((C303+D303)-K303=0,"Payment Completed",AE303&lt;&gt;"","5th payment",AA303&lt;&gt;"","4th payment",W303&lt;&gt;"","3rd payment",S303&lt;&gt;"","2nd payment",O303&lt;&gt;"","1st payment",O303="","Pending 1st Payment")</f>
        <v>Payment Completed</v>
      </c>
      <c r="J303" s="55">
        <f t="shared" si="8"/>
        <v>41000</v>
      </c>
      <c r="K303" s="55">
        <f t="shared" si="9"/>
        <v>41000</v>
      </c>
      <c r="L303" s="65">
        <v>45804</v>
      </c>
      <c r="M303" s="66">
        <v>500</v>
      </c>
      <c r="N303" s="65">
        <v>45804</v>
      </c>
      <c r="O303" s="66">
        <v>500</v>
      </c>
      <c r="P303" s="39">
        <v>45838</v>
      </c>
      <c r="Q303" s="57">
        <v>38500</v>
      </c>
      <c r="R303" s="39">
        <v>45875</v>
      </c>
      <c r="S303" s="57">
        <v>38500</v>
      </c>
      <c r="T303" s="65">
        <v>45875</v>
      </c>
      <c r="U303" s="66">
        <v>2000</v>
      </c>
      <c r="V303" s="65">
        <v>45886</v>
      </c>
      <c r="W303" s="66">
        <v>2000</v>
      </c>
      <c r="X303" s="39"/>
      <c r="Y303" s="57"/>
      <c r="Z303" s="39"/>
      <c r="AA303" s="57"/>
      <c r="AB303" s="65"/>
      <c r="AC303" s="66"/>
      <c r="AD303" s="65"/>
      <c r="AE303" s="66"/>
      <c r="AF303" s="39"/>
      <c r="AG303" s="57"/>
      <c r="AH303" s="39"/>
      <c r="AI303" s="57"/>
    </row>
    <row r="304" spans="1:35" ht="19.5" customHeight="1" x14ac:dyDescent="0.3">
      <c r="A304" s="4">
        <f>'ECN Master Project Tracker new'!A305</f>
        <v>2505714</v>
      </c>
      <c r="B304" s="110" t="str">
        <f>VLOOKUP(A:A,Table1[[Project No]:[Additional Remark]],2,FALSE)</f>
        <v>Kong King Wai</v>
      </c>
      <c r="C304" s="55">
        <f>VLOOKUP(A:A,Table1[[Project No]:[Additional Remark]],11,FALSE)</f>
        <v>22500</v>
      </c>
      <c r="D304" s="55">
        <f>VLOOKUP(A:A,Table1[[Project No]:[Additional Remark]],12,FALSE)</f>
        <v>0</v>
      </c>
      <c r="E304" s="55" t="str">
        <f>VLOOKUP(A:A,Table1[[Project No]:[Additional Remark]],4,FALSE)</f>
        <v>Tham</v>
      </c>
      <c r="F304" s="4" t="str">
        <f>VLOOKUP(A:A,Table1[[Project No]:[Additional Remark]],5,FALSE)</f>
        <v>R-PV</v>
      </c>
      <c r="G304" s="4" t="str">
        <f>VLOOKUP(A:A,Table1[[Project No]:[Additional Remark]],13,FALSE)</f>
        <v>Cash</v>
      </c>
      <c r="H304" s="4" t="str" cm="1">
        <f t="array" ref="H304">_xlfn.IFS((D304+C304)-J304=0,"Invoice Completed",AC304&lt;&gt;"","5th invoice",Y304&lt;&gt;"","4th invoice",U304&lt;&gt;"","3rd invoice",Q304&lt;&gt;"","2nd invoice",M304&lt;&gt;"","1st invoice",M304="","Pending 1st Invoice")</f>
        <v>1st invoice</v>
      </c>
      <c r="I304" s="4" t="str" cm="1">
        <f t="array" ref="I304">_xlfn.IFS((C304+D304)-K304=0,"Payment Completed",AE304&lt;&gt;"","5th payment",AA304&lt;&gt;"","4th payment",W304&lt;&gt;"","3rd payment",S304&lt;&gt;"","2nd payment",O304&lt;&gt;"","1st payment",O304="","Pending 1st Payment")</f>
        <v>1st payment</v>
      </c>
      <c r="J304" s="55">
        <f t="shared" si="8"/>
        <v>500</v>
      </c>
      <c r="K304" s="55">
        <f t="shared" si="9"/>
        <v>500</v>
      </c>
      <c r="L304" s="65">
        <v>45805</v>
      </c>
      <c r="M304" s="66">
        <v>500</v>
      </c>
      <c r="N304" s="65">
        <v>45805</v>
      </c>
      <c r="O304" s="66">
        <v>500</v>
      </c>
      <c r="P304" s="39"/>
      <c r="Q304" s="57"/>
      <c r="R304" s="39"/>
      <c r="S304" s="57"/>
      <c r="T304" s="65"/>
      <c r="U304" s="66"/>
      <c r="V304" s="65"/>
      <c r="W304" s="66"/>
      <c r="X304" s="39"/>
      <c r="Y304" s="57"/>
      <c r="Z304" s="39"/>
      <c r="AA304" s="57"/>
      <c r="AB304" s="65"/>
      <c r="AC304" s="66"/>
      <c r="AD304" s="65"/>
      <c r="AE304" s="66"/>
      <c r="AF304" s="39"/>
      <c r="AG304" s="57"/>
      <c r="AH304" s="39"/>
      <c r="AI304" s="57"/>
    </row>
    <row r="305" spans="1:35" ht="19.5" customHeight="1" x14ac:dyDescent="0.3">
      <c r="A305" s="4">
        <f>'ECN Master Project Tracker new'!A306</f>
        <v>2405306</v>
      </c>
      <c r="B305" s="110" t="str">
        <f>VLOOKUP(A:A,Table1[[Project No]:[Additional Remark]],2,FALSE)</f>
        <v>Leong Ah Seng</v>
      </c>
      <c r="C305" s="55">
        <f>VLOOKUP(A:A,Table1[[Project No]:[Additional Remark]],11,FALSE)</f>
        <v>43000</v>
      </c>
      <c r="D305" s="55">
        <f>VLOOKUP(A:A,Table1[[Project No]:[Additional Remark]],12,FALSE)</f>
        <v>7000</v>
      </c>
      <c r="E305" s="55" t="str">
        <f>VLOOKUP(A:A,Table1[[Project No]:[Additional Remark]],4,FALSE)</f>
        <v>Tham</v>
      </c>
      <c r="F305" s="4" t="str">
        <f>VLOOKUP(A:A,Table1[[Project No]:[Additional Remark]],5,FALSE)</f>
        <v>R-PV</v>
      </c>
      <c r="G305" s="4" t="str">
        <f>VLOOKUP(A:A,Table1[[Project No]:[Additional Remark]],13,FALSE)</f>
        <v>Cash</v>
      </c>
      <c r="H305" s="4" t="str" cm="1">
        <f t="array" ref="H305">_xlfn.IFS((D305+C305)-J305=0,"Invoice Completed",AC305&lt;&gt;"","5th invoice",Y305&lt;&gt;"","4th invoice",U305&lt;&gt;"","3rd invoice",Q305&lt;&gt;"","2nd invoice",M305&lt;&gt;"","1st invoice",M305="","Pending 1st Invoice")</f>
        <v>Invoice Completed</v>
      </c>
      <c r="I305" s="4" t="str" cm="1">
        <f t="array" ref="I305">_xlfn.IFS((C305+D305)-K305=0,"Payment Completed",AE305&lt;&gt;"","5th payment",AA305&lt;&gt;"","4th payment",W305&lt;&gt;"","3rd payment",S305&lt;&gt;"","2nd payment",O305&lt;&gt;"","1st payment",O305="","Pending 1st Payment")</f>
        <v>1st payment</v>
      </c>
      <c r="J305" s="55">
        <f t="shared" si="8"/>
        <v>50000</v>
      </c>
      <c r="K305" s="55">
        <f t="shared" si="9"/>
        <v>500</v>
      </c>
      <c r="L305" s="65">
        <v>45806</v>
      </c>
      <c r="M305" s="66">
        <v>500</v>
      </c>
      <c r="N305" s="65">
        <v>45806</v>
      </c>
      <c r="O305" s="66">
        <v>500</v>
      </c>
      <c r="P305" s="39">
        <v>45862</v>
      </c>
      <c r="Q305" s="57">
        <v>42500</v>
      </c>
      <c r="R305" s="39"/>
      <c r="S305" s="57"/>
      <c r="T305" s="65"/>
      <c r="U305" s="66"/>
      <c r="V305" s="65"/>
      <c r="W305" s="66"/>
      <c r="X305" s="39"/>
      <c r="Y305" s="57"/>
      <c r="Z305" s="39"/>
      <c r="AA305" s="57"/>
      <c r="AB305" s="65"/>
      <c r="AC305" s="66"/>
      <c r="AD305" s="65"/>
      <c r="AE305" s="66"/>
      <c r="AF305" s="39">
        <v>45862</v>
      </c>
      <c r="AG305" s="57">
        <v>7000</v>
      </c>
      <c r="AH305" s="39"/>
      <c r="AI305" s="57"/>
    </row>
    <row r="306" spans="1:35" ht="19.5" customHeight="1" x14ac:dyDescent="0.3">
      <c r="A306" s="4">
        <f>'ECN Master Project Tracker new'!A307</f>
        <v>2505705</v>
      </c>
      <c r="B306" s="110" t="str">
        <f>VLOOKUP(A:A,Table1[[Project No]:[Additional Remark]],2,FALSE)</f>
        <v>Lee Kee Chew</v>
      </c>
      <c r="C306" s="55">
        <f>VLOOKUP(A:A,Table1[[Project No]:[Additional Remark]],11,FALSE)</f>
        <v>21500</v>
      </c>
      <c r="D306" s="55">
        <f>VLOOKUP(A:A,Table1[[Project No]:[Additional Remark]],12,FALSE)</f>
        <v>0</v>
      </c>
      <c r="E306" s="55" t="str">
        <f>VLOOKUP(A:A,Table1[[Project No]:[Additional Remark]],4,FALSE)</f>
        <v>Tham</v>
      </c>
      <c r="F306" s="4" t="str">
        <f>VLOOKUP(A:A,Table1[[Project No]:[Additional Remark]],5,FALSE)</f>
        <v>R-PV</v>
      </c>
      <c r="G306" s="4" t="str">
        <f>VLOOKUP(A:A,Table1[[Project No]:[Additional Remark]],13,FALSE)</f>
        <v>Cash</v>
      </c>
      <c r="H306" s="4" t="str" cm="1">
        <f t="array" ref="H306">_xlfn.IFS((D306+C306)-J306=0,"Invoice Completed",AC306&lt;&gt;"","5th invoice",Y306&lt;&gt;"","4th invoice",U306&lt;&gt;"","3rd invoice",Q306&lt;&gt;"","2nd invoice",M306&lt;&gt;"","1st invoice",M306="","Pending 1st Invoice")</f>
        <v>Invoice Completed</v>
      </c>
      <c r="I306" s="4" t="str" cm="1">
        <f t="array" ref="I306">_xlfn.IFS((C306+D306)-K306=0,"Payment Completed",AE306&lt;&gt;"","5th payment",AA306&lt;&gt;"","4th payment",W306&lt;&gt;"","3rd payment",S306&lt;&gt;"","2nd payment",O306&lt;&gt;"","1st payment",O306="","Pending 1st Payment")</f>
        <v>Payment Completed</v>
      </c>
      <c r="J306" s="55">
        <f t="shared" si="8"/>
        <v>21500</v>
      </c>
      <c r="K306" s="55">
        <f t="shared" si="9"/>
        <v>21500</v>
      </c>
      <c r="L306" s="65">
        <v>45807</v>
      </c>
      <c r="M306" s="66">
        <v>500</v>
      </c>
      <c r="N306" s="65">
        <v>45807</v>
      </c>
      <c r="O306" s="66">
        <v>500</v>
      </c>
      <c r="P306" s="39">
        <v>45834</v>
      </c>
      <c r="Q306" s="57">
        <v>21000</v>
      </c>
      <c r="R306" s="39">
        <v>45834</v>
      </c>
      <c r="S306" s="57">
        <v>21000</v>
      </c>
      <c r="T306" s="65"/>
      <c r="U306" s="66"/>
      <c r="V306" s="65"/>
      <c r="W306" s="66"/>
      <c r="X306" s="39"/>
      <c r="Y306" s="57"/>
      <c r="Z306" s="39"/>
      <c r="AA306" s="57"/>
      <c r="AB306" s="65"/>
      <c r="AC306" s="66"/>
      <c r="AD306" s="65"/>
      <c r="AE306" s="66"/>
      <c r="AF306" s="39"/>
      <c r="AG306" s="57"/>
      <c r="AH306" s="39"/>
      <c r="AI306" s="57"/>
    </row>
    <row r="307" spans="1:35" ht="19.5" customHeight="1" x14ac:dyDescent="0.3">
      <c r="A307" s="4">
        <f>'ECN Master Project Tracker new'!A308</f>
        <v>2505717</v>
      </c>
      <c r="B307" s="110" t="str">
        <f>VLOOKUP(A:A,Table1[[Project No]:[Additional Remark]],2,FALSE)</f>
        <v>Sia Wee Leng</v>
      </c>
      <c r="C307" s="55">
        <f>VLOOKUP(A:A,Table1[[Project No]:[Additional Remark]],11,FALSE)</f>
        <v>42000</v>
      </c>
      <c r="D307" s="55">
        <f>VLOOKUP(A:A,Table1[[Project No]:[Additional Remark]],12,FALSE)</f>
        <v>0</v>
      </c>
      <c r="E307" s="55" t="str">
        <f>VLOOKUP(A:A,Table1[[Project No]:[Additional Remark]],4,FALSE)</f>
        <v>Tham</v>
      </c>
      <c r="F307" s="4" t="str">
        <f>VLOOKUP(A:A,Table1[[Project No]:[Additional Remark]],5,FALSE)</f>
        <v>R-PV</v>
      </c>
      <c r="G307" s="4" t="str">
        <f>VLOOKUP(A:A,Table1[[Project No]:[Additional Remark]],13,FALSE)</f>
        <v>Credit Card Instalment</v>
      </c>
      <c r="H307" s="4" t="str" cm="1">
        <f t="array" ref="H307">_xlfn.IFS((D307+C307)-J307=0,"Invoice Completed",AC307&lt;&gt;"","5th invoice",Y307&lt;&gt;"","4th invoice",U307&lt;&gt;"","3rd invoice",Q307&lt;&gt;"","2nd invoice",M307&lt;&gt;"","1st invoice",M307="","Pending 1st Invoice")</f>
        <v>Invoice Completed</v>
      </c>
      <c r="I307" s="4" t="str" cm="1">
        <f t="array" ref="I307">_xlfn.IFS((C307+D307)-K307=0,"Payment Completed",AE307&lt;&gt;"","5th payment",AA307&lt;&gt;"","4th payment",W307&lt;&gt;"","3rd payment",S307&lt;&gt;"","2nd payment",O307&lt;&gt;"","1st payment",O307="","Pending 1st Payment")</f>
        <v>Payment Completed</v>
      </c>
      <c r="J307" s="55">
        <f t="shared" si="8"/>
        <v>42000</v>
      </c>
      <c r="K307" s="55">
        <f t="shared" si="9"/>
        <v>42000</v>
      </c>
      <c r="L307" s="65">
        <v>45807</v>
      </c>
      <c r="M307" s="66">
        <v>500</v>
      </c>
      <c r="N307" s="65">
        <v>45807</v>
      </c>
      <c r="O307" s="66">
        <v>500</v>
      </c>
      <c r="P307" s="39">
        <v>45859</v>
      </c>
      <c r="Q307" s="57">
        <v>41500</v>
      </c>
      <c r="R307" s="39">
        <v>45859</v>
      </c>
      <c r="S307" s="57">
        <v>41500</v>
      </c>
      <c r="T307" s="65"/>
      <c r="U307" s="66"/>
      <c r="V307" s="65"/>
      <c r="W307" s="66"/>
      <c r="X307" s="39"/>
      <c r="Y307" s="57"/>
      <c r="Z307" s="39"/>
      <c r="AA307" s="57"/>
      <c r="AB307" s="65"/>
      <c r="AC307" s="66"/>
      <c r="AD307" s="65"/>
      <c r="AE307" s="66"/>
      <c r="AF307" s="39"/>
      <c r="AG307" s="57"/>
      <c r="AH307" s="39"/>
      <c r="AI307" s="57"/>
    </row>
    <row r="308" spans="1:35" ht="19.5" customHeight="1" x14ac:dyDescent="0.3">
      <c r="A308" s="4" t="str">
        <f>'ECN Master Project Tracker new'!A309</f>
        <v>2505699-1</v>
      </c>
      <c r="B308" s="110" t="str">
        <f>VLOOKUP(A:A,Table1[[Project No]:[Additional Remark]],2,FALSE)</f>
        <v>Leong Wai Wung</v>
      </c>
      <c r="C308" s="55">
        <f>VLOOKUP(A:A,Table1[[Project No]:[Additional Remark]],11,FALSE)</f>
        <v>32000</v>
      </c>
      <c r="D308" s="55">
        <f>VLOOKUP(A:A,Table1[[Project No]:[Additional Remark]],12,FALSE)</f>
        <v>0</v>
      </c>
      <c r="E308" s="55" t="str">
        <f>VLOOKUP(A:A,Table1[[Project No]:[Additional Remark]],4,FALSE)</f>
        <v>Tham</v>
      </c>
      <c r="F308" s="4" t="str">
        <f>VLOOKUP(A:A,Table1[[Project No]:[Additional Remark]],5,FALSE)</f>
        <v>R-PV</v>
      </c>
      <c r="G308" s="4" t="str">
        <f>VLOOKUP(A:A,Table1[[Project No]:[Additional Remark]],13,FALSE)</f>
        <v>Cash</v>
      </c>
      <c r="H308" s="4" t="str" cm="1">
        <f t="array" ref="H308">_xlfn.IFS((D308+C308)-J308=0,"Invoice Completed",AC308&lt;&gt;"","5th invoice",Y308&lt;&gt;"","4th invoice",U308&lt;&gt;"","3rd invoice",Q308&lt;&gt;"","2nd invoice",M308&lt;&gt;"","1st invoice",M308="","Pending 1st Invoice")</f>
        <v>1st invoice</v>
      </c>
      <c r="I308" s="4" t="str" cm="1">
        <f t="array" ref="I308">_xlfn.IFS((C308+D308)-K308=0,"Payment Completed",AE308&lt;&gt;"","5th payment",AA308&lt;&gt;"","4th payment",W308&lt;&gt;"","3rd payment",S308&lt;&gt;"","2nd payment",O308&lt;&gt;"","1st payment",O308="","Pending 1st Payment")</f>
        <v>1st payment</v>
      </c>
      <c r="J308" s="55">
        <f t="shared" si="8"/>
        <v>500</v>
      </c>
      <c r="K308" s="55">
        <f t="shared" si="9"/>
        <v>500</v>
      </c>
      <c r="L308" s="65">
        <v>45807</v>
      </c>
      <c r="M308" s="66">
        <v>500</v>
      </c>
      <c r="N308" s="65">
        <v>45812</v>
      </c>
      <c r="O308" s="66">
        <v>500</v>
      </c>
      <c r="P308" s="39"/>
      <c r="Q308" s="57"/>
      <c r="R308" s="39"/>
      <c r="S308" s="57"/>
      <c r="T308" s="65"/>
      <c r="U308" s="66"/>
      <c r="V308" s="65"/>
      <c r="W308" s="66"/>
      <c r="X308" s="39"/>
      <c r="Y308" s="57"/>
      <c r="Z308" s="39"/>
      <c r="AA308" s="57"/>
      <c r="AB308" s="65"/>
      <c r="AC308" s="66"/>
      <c r="AD308" s="65"/>
      <c r="AE308" s="66"/>
      <c r="AF308" s="39"/>
      <c r="AG308" s="57"/>
      <c r="AH308" s="39"/>
      <c r="AI308" s="57"/>
    </row>
    <row r="309" spans="1:35" ht="19.5" customHeight="1" x14ac:dyDescent="0.3">
      <c r="A309" s="4">
        <f>'ECN Master Project Tracker new'!A310</f>
        <v>2505719</v>
      </c>
      <c r="B309" s="110" t="str">
        <f>VLOOKUP(A:A,Table1[[Project No]:[Additional Remark]],2,FALSE)</f>
        <v>Lim Jun Hong</v>
      </c>
      <c r="C309" s="55">
        <f>VLOOKUP(A:A,Table1[[Project No]:[Additional Remark]],11,FALSE)</f>
        <v>27000</v>
      </c>
      <c r="D309" s="55">
        <f>VLOOKUP(A:A,Table1[[Project No]:[Additional Remark]],12,FALSE)</f>
        <v>0</v>
      </c>
      <c r="E309" s="55" t="str">
        <f>VLOOKUP(A:A,Table1[[Project No]:[Additional Remark]],4,FALSE)</f>
        <v>Tham</v>
      </c>
      <c r="F309" s="4" t="str">
        <f>VLOOKUP(A:A,Table1[[Project No]:[Additional Remark]],5,FALSE)</f>
        <v>R-PV</v>
      </c>
      <c r="G309" s="4" t="str">
        <f>VLOOKUP(A:A,Table1[[Project No]:[Additional Remark]],13,FALSE)</f>
        <v>Cash</v>
      </c>
      <c r="H309" s="4" t="str" cm="1">
        <f t="array" ref="H309">_xlfn.IFS((D309+C309)-J309=0,"Invoice Completed",AC309&lt;&gt;"","5th invoice",Y309&lt;&gt;"","4th invoice",U309&lt;&gt;"","3rd invoice",Q309&lt;&gt;"","2nd invoice",M309&lt;&gt;"","1st invoice",M309="","Pending 1st Invoice")</f>
        <v>2nd invoice</v>
      </c>
      <c r="I309" s="4" t="str" cm="1">
        <f t="array" ref="I309">_xlfn.IFS((C309+D309)-K309=0,"Payment Completed",AE309&lt;&gt;"","5th payment",AA309&lt;&gt;"","4th payment",W309&lt;&gt;"","3rd payment",S309&lt;&gt;"","2nd payment",O309&lt;&gt;"","1st payment",O309="","Pending 1st Payment")</f>
        <v>2nd payment</v>
      </c>
      <c r="J309" s="55">
        <f t="shared" si="8"/>
        <v>25000</v>
      </c>
      <c r="K309" s="55">
        <f t="shared" si="9"/>
        <v>25000</v>
      </c>
      <c r="L309" s="65">
        <v>45812</v>
      </c>
      <c r="M309" s="66">
        <v>1000</v>
      </c>
      <c r="N309" s="65">
        <v>45812</v>
      </c>
      <c r="O309" s="66">
        <v>1000</v>
      </c>
      <c r="P309" s="39">
        <v>45869</v>
      </c>
      <c r="Q309" s="57">
        <v>24000</v>
      </c>
      <c r="R309" s="39">
        <v>45869</v>
      </c>
      <c r="S309" s="57">
        <v>24000</v>
      </c>
      <c r="T309" s="65"/>
      <c r="U309" s="66"/>
      <c r="V309" s="65"/>
      <c r="W309" s="66"/>
      <c r="X309" s="39"/>
      <c r="Y309" s="57"/>
      <c r="Z309" s="39"/>
      <c r="AA309" s="57"/>
      <c r="AB309" s="65"/>
      <c r="AC309" s="66"/>
      <c r="AD309" s="65"/>
      <c r="AE309" s="66"/>
      <c r="AF309" s="39"/>
      <c r="AG309" s="57"/>
      <c r="AH309" s="39"/>
      <c r="AI309" s="57"/>
    </row>
    <row r="310" spans="1:35" ht="19.5" customHeight="1" x14ac:dyDescent="0.3">
      <c r="A310" s="4">
        <f>'ECN Master Project Tracker new'!A311</f>
        <v>2505687</v>
      </c>
      <c r="B310" s="110" t="str">
        <f>VLOOKUP(A:A,Table1[[Project No]:[Additional Remark]],2,FALSE)</f>
        <v>Thayananthan A/L Lokanatan</v>
      </c>
      <c r="C310" s="55">
        <f>VLOOKUP(A:A,Table1[[Project No]:[Additional Remark]],11,FALSE)</f>
        <v>30000</v>
      </c>
      <c r="D310" s="55">
        <f>VLOOKUP(A:A,Table1[[Project No]:[Additional Remark]],12,FALSE)</f>
        <v>0</v>
      </c>
      <c r="E310" s="55" t="str">
        <f>VLOOKUP(A:A,Table1[[Project No]:[Additional Remark]],4,FALSE)</f>
        <v>Patricia</v>
      </c>
      <c r="F310" s="4" t="str">
        <f>VLOOKUP(A:A,Table1[[Project No]:[Additional Remark]],5,FALSE)</f>
        <v>R-PV</v>
      </c>
      <c r="G310" s="4" t="str">
        <f>VLOOKUP(A:A,Table1[[Project No]:[Additional Remark]],13,FALSE)</f>
        <v>Cash</v>
      </c>
      <c r="H310" s="4" t="str" cm="1">
        <f t="array" ref="H310">_xlfn.IFS((D310+C310)-J310=0,"Invoice Completed",AC310&lt;&gt;"","5th invoice",Y310&lt;&gt;"","4th invoice",U310&lt;&gt;"","3rd invoice",Q310&lt;&gt;"","2nd invoice",M310&lt;&gt;"","1st invoice",M310="","Pending 1st Invoice")</f>
        <v>2nd invoice</v>
      </c>
      <c r="I310" s="4" t="str" cm="1">
        <f t="array" ref="I310">_xlfn.IFS((C310+D310)-K310=0,"Payment Completed",AE310&lt;&gt;"","5th payment",AA310&lt;&gt;"","4th payment",W310&lt;&gt;"","3rd payment",S310&lt;&gt;"","2nd payment",O310&lt;&gt;"","1st payment",O310="","Pending 1st Payment")</f>
        <v>2nd payment</v>
      </c>
      <c r="J310" s="55">
        <f t="shared" si="8"/>
        <v>27000</v>
      </c>
      <c r="K310" s="55">
        <f t="shared" si="9"/>
        <v>20000</v>
      </c>
      <c r="L310" s="65">
        <v>45804</v>
      </c>
      <c r="M310" s="66">
        <v>500</v>
      </c>
      <c r="N310" s="65">
        <v>45804</v>
      </c>
      <c r="O310" s="66">
        <v>500</v>
      </c>
      <c r="P310" s="39">
        <v>45814</v>
      </c>
      <c r="Q310" s="57">
        <v>26500</v>
      </c>
      <c r="R310" s="39">
        <v>45886</v>
      </c>
      <c r="S310" s="57">
        <v>19500</v>
      </c>
      <c r="T310" s="65"/>
      <c r="U310" s="66"/>
      <c r="V310" s="65"/>
      <c r="W310" s="66"/>
      <c r="X310" s="39"/>
      <c r="Y310" s="57"/>
      <c r="Z310" s="39"/>
      <c r="AA310" s="57"/>
      <c r="AB310" s="65"/>
      <c r="AC310" s="66"/>
      <c r="AD310" s="65"/>
      <c r="AE310" s="66"/>
      <c r="AF310" s="39"/>
      <c r="AG310" s="57"/>
      <c r="AH310" s="39"/>
      <c r="AI310" s="57"/>
    </row>
    <row r="311" spans="1:35" ht="19.5" customHeight="1" x14ac:dyDescent="0.3">
      <c r="A311" s="4">
        <f>'ECN Master Project Tracker new'!A312</f>
        <v>2505718</v>
      </c>
      <c r="B311" s="110" t="str">
        <f>VLOOKUP(A:A,Table1[[Project No]:[Additional Remark]],2,FALSE)</f>
        <v>Koh Kheat Kian</v>
      </c>
      <c r="C311" s="55">
        <f>VLOOKUP(A:A,Table1[[Project No]:[Additional Remark]],11,FALSE)</f>
        <v>23500</v>
      </c>
      <c r="D311" s="55">
        <f>VLOOKUP(A:A,Table1[[Project No]:[Additional Remark]],12,FALSE)</f>
        <v>0</v>
      </c>
      <c r="E311" s="55" t="str">
        <f>VLOOKUP(A:A,Table1[[Project No]:[Additional Remark]],4,FALSE)</f>
        <v>Chean Bang</v>
      </c>
      <c r="F311" s="4" t="str">
        <f>VLOOKUP(A:A,Table1[[Project No]:[Additional Remark]],5,FALSE)</f>
        <v>R-PV</v>
      </c>
      <c r="G311" s="4" t="str">
        <f>VLOOKUP(A:A,Table1[[Project No]:[Additional Remark]],13,FALSE)</f>
        <v>Cash</v>
      </c>
      <c r="H311" s="4" t="str" cm="1">
        <f t="array" ref="H311">_xlfn.IFS((D311+C311)-J311=0,"Invoice Completed",AC311&lt;&gt;"","5th invoice",Y311&lt;&gt;"","4th invoice",U311&lt;&gt;"","3rd invoice",Q311&lt;&gt;"","2nd invoice",M311&lt;&gt;"","1st invoice",M311="","Pending 1st Invoice")</f>
        <v>Invoice Completed</v>
      </c>
      <c r="I311" s="4" t="str" cm="1">
        <f t="array" ref="I311">_xlfn.IFS((C311+D311)-K311=0,"Payment Completed",AE311&lt;&gt;"","5th payment",AA311&lt;&gt;"","4th payment",W311&lt;&gt;"","3rd payment",S311&lt;&gt;"","2nd payment",O311&lt;&gt;"","1st payment",O311="","Pending 1st Payment")</f>
        <v>Payment Completed</v>
      </c>
      <c r="J311" s="55">
        <f t="shared" si="8"/>
        <v>23500</v>
      </c>
      <c r="K311" s="55">
        <f t="shared" si="9"/>
        <v>23500</v>
      </c>
      <c r="L311" s="65">
        <v>45815</v>
      </c>
      <c r="M311" s="66">
        <v>1000</v>
      </c>
      <c r="N311" s="65">
        <v>45815</v>
      </c>
      <c r="O311" s="66">
        <v>1000</v>
      </c>
      <c r="P311" s="39">
        <v>45870</v>
      </c>
      <c r="Q311" s="57">
        <v>20500</v>
      </c>
      <c r="R311" s="39">
        <v>45870</v>
      </c>
      <c r="S311" s="57">
        <v>20500</v>
      </c>
      <c r="T311" s="65">
        <v>45894</v>
      </c>
      <c r="U311" s="66">
        <v>2000</v>
      </c>
      <c r="V311" s="65">
        <v>45894</v>
      </c>
      <c r="W311" s="66">
        <v>2000</v>
      </c>
      <c r="X311" s="39"/>
      <c r="Y311" s="57"/>
      <c r="Z311" s="39"/>
      <c r="AA311" s="57"/>
      <c r="AB311" s="65"/>
      <c r="AC311" s="66"/>
      <c r="AD311" s="65"/>
      <c r="AE311" s="66"/>
      <c r="AF311" s="39"/>
      <c r="AG311" s="57"/>
      <c r="AH311" s="39"/>
      <c r="AI311" s="57"/>
    </row>
    <row r="312" spans="1:35" ht="19.5" customHeight="1" x14ac:dyDescent="0.3">
      <c r="A312" s="4">
        <f>'ECN Master Project Tracker new'!A313</f>
        <v>2506726</v>
      </c>
      <c r="B312" s="110" t="str">
        <f>VLOOKUP(A:A,Table1[[Project No]:[Additional Remark]],2,FALSE)</f>
        <v>Poh Pun Hong</v>
      </c>
      <c r="C312" s="55">
        <f>VLOOKUP(A:A,Table1[[Project No]:[Additional Remark]],11,FALSE)</f>
        <v>22000</v>
      </c>
      <c r="D312" s="55">
        <f>VLOOKUP(A:A,Table1[[Project No]:[Additional Remark]],12,FALSE)</f>
        <v>0</v>
      </c>
      <c r="E312" s="55" t="str">
        <f>VLOOKUP(A:A,Table1[[Project No]:[Additional Remark]],4,FALSE)</f>
        <v>Ong</v>
      </c>
      <c r="F312" s="4" t="str">
        <f>VLOOKUP(A:A,Table1[[Project No]:[Additional Remark]],5,FALSE)</f>
        <v>R-PV</v>
      </c>
      <c r="G312" s="4" t="str">
        <f>VLOOKUP(A:A,Table1[[Project No]:[Additional Remark]],13,FALSE)</f>
        <v>Cash + CC Instalment</v>
      </c>
      <c r="H312" s="4" t="str" cm="1">
        <f t="array" ref="H312">_xlfn.IFS((D312+C312)-J312=0,"Invoice Completed",AC312&lt;&gt;"","5th invoice",Y312&lt;&gt;"","4th invoice",U312&lt;&gt;"","3rd invoice",Q312&lt;&gt;"","2nd invoice",M312&lt;&gt;"","1st invoice",M312="","Pending 1st Invoice")</f>
        <v>Invoice Completed</v>
      </c>
      <c r="I312" s="4" t="str" cm="1">
        <f t="array" ref="I312">_xlfn.IFS((C312+D312)-K312=0,"Payment Completed",AE312&lt;&gt;"","5th payment",AA312&lt;&gt;"","4th payment",W312&lt;&gt;"","3rd payment",S312&lt;&gt;"","2nd payment",O312&lt;&gt;"","1st payment",O312="","Pending 1st Payment")</f>
        <v>Payment Completed</v>
      </c>
      <c r="J312" s="55">
        <f t="shared" si="8"/>
        <v>22000</v>
      </c>
      <c r="K312" s="55">
        <f t="shared" si="9"/>
        <v>22000</v>
      </c>
      <c r="L312" s="65">
        <v>45816</v>
      </c>
      <c r="M312" s="66">
        <v>10000</v>
      </c>
      <c r="N312" s="65">
        <v>45816</v>
      </c>
      <c r="O312" s="66">
        <v>10000</v>
      </c>
      <c r="P312" s="39">
        <v>45838</v>
      </c>
      <c r="Q312" s="57">
        <v>12000</v>
      </c>
      <c r="R312" s="39">
        <v>45867</v>
      </c>
      <c r="S312" s="57">
        <v>12000</v>
      </c>
      <c r="T312" s="65"/>
      <c r="U312" s="66"/>
      <c r="V312" s="65"/>
      <c r="W312" s="66"/>
      <c r="X312" s="39"/>
      <c r="Y312" s="57"/>
      <c r="Z312" s="39"/>
      <c r="AA312" s="57"/>
      <c r="AB312" s="65"/>
      <c r="AC312" s="66"/>
      <c r="AD312" s="65"/>
      <c r="AE312" s="66"/>
      <c r="AF312" s="39"/>
      <c r="AG312" s="57"/>
      <c r="AH312" s="39"/>
      <c r="AI312" s="57"/>
    </row>
    <row r="313" spans="1:35" ht="19.5" customHeight="1" x14ac:dyDescent="0.3">
      <c r="A313" s="4">
        <f>'ECN Master Project Tracker new'!A314</f>
        <v>2506735</v>
      </c>
      <c r="B313" s="110" t="str">
        <f>VLOOKUP(A:A,Table1[[Project No]:[Additional Remark]],2,FALSE)</f>
        <v>Lee Meng Fui</v>
      </c>
      <c r="C313" s="55">
        <f>VLOOKUP(A:A,Table1[[Project No]:[Additional Remark]],11,FALSE)</f>
        <v>19000</v>
      </c>
      <c r="D313" s="55">
        <f>VLOOKUP(A:A,Table1[[Project No]:[Additional Remark]],12,FALSE)</f>
        <v>0</v>
      </c>
      <c r="E313" s="55" t="str">
        <f>VLOOKUP(A:A,Table1[[Project No]:[Additional Remark]],4,FALSE)</f>
        <v>Patricia</v>
      </c>
      <c r="F313" s="4" t="str">
        <f>VLOOKUP(A:A,Table1[[Project No]:[Additional Remark]],5,FALSE)</f>
        <v>R-PV</v>
      </c>
      <c r="G313" s="4" t="str">
        <f>VLOOKUP(A:A,Table1[[Project No]:[Additional Remark]],13,FALSE)</f>
        <v>Cash</v>
      </c>
      <c r="H313" s="4" t="str" cm="1">
        <f t="array" ref="H313">_xlfn.IFS((D313+C313)-J313=0,"Invoice Completed",AC313&lt;&gt;"","5th invoice",Y313&lt;&gt;"","4th invoice",U313&lt;&gt;"","3rd invoice",Q313&lt;&gt;"","2nd invoice",M313&lt;&gt;"","1st invoice",M313="","Pending 1st Invoice")</f>
        <v>Invoice Completed</v>
      </c>
      <c r="I313" s="4" t="str" cm="1">
        <f t="array" ref="I313">_xlfn.IFS((C313+D313)-K313=0,"Payment Completed",AE313&lt;&gt;"","5th payment",AA313&lt;&gt;"","4th payment",W313&lt;&gt;"","3rd payment",S313&lt;&gt;"","2nd payment",O313&lt;&gt;"","1st payment",O313="","Pending 1st Payment")</f>
        <v>Payment Completed</v>
      </c>
      <c r="J313" s="55">
        <f t="shared" si="8"/>
        <v>19000</v>
      </c>
      <c r="K313" s="55">
        <f t="shared" si="9"/>
        <v>19000</v>
      </c>
      <c r="L313" s="65">
        <v>45816</v>
      </c>
      <c r="M313" s="66">
        <v>1000</v>
      </c>
      <c r="N313" s="65">
        <v>45817</v>
      </c>
      <c r="O313" s="66">
        <v>1000</v>
      </c>
      <c r="P313" s="39">
        <v>45838</v>
      </c>
      <c r="Q313" s="57">
        <v>16000</v>
      </c>
      <c r="R313" s="39">
        <v>45847</v>
      </c>
      <c r="S313" s="57">
        <v>16000</v>
      </c>
      <c r="T313" s="65">
        <v>45849</v>
      </c>
      <c r="U313" s="66">
        <v>2000</v>
      </c>
      <c r="V313" s="65">
        <v>45849</v>
      </c>
      <c r="W313" s="66">
        <v>2000</v>
      </c>
      <c r="X313" s="39"/>
      <c r="Y313" s="57"/>
      <c r="Z313" s="39"/>
      <c r="AA313" s="57"/>
      <c r="AB313" s="65"/>
      <c r="AC313" s="66"/>
      <c r="AD313" s="65"/>
      <c r="AE313" s="66"/>
      <c r="AF313" s="39"/>
      <c r="AG313" s="57"/>
      <c r="AH313" s="39"/>
      <c r="AI313" s="57"/>
    </row>
    <row r="314" spans="1:35" ht="19.5" customHeight="1" x14ac:dyDescent="0.3">
      <c r="A314" s="4">
        <f>'ECN Master Project Tracker new'!A315</f>
        <v>2506734</v>
      </c>
      <c r="B314" s="110" t="str">
        <f>VLOOKUP(A:A,Table1[[Project No]:[Additional Remark]],2,FALSE)</f>
        <v>Leow Siew Lian (Tee Hong Yee)</v>
      </c>
      <c r="C314" s="55">
        <f>VLOOKUP(A:A,Table1[[Project No]:[Additional Remark]],11,FALSE)</f>
        <v>25500</v>
      </c>
      <c r="D314" s="55">
        <f>VLOOKUP(A:A,Table1[[Project No]:[Additional Remark]],12,FALSE)</f>
        <v>0</v>
      </c>
      <c r="E314" s="55" t="str">
        <f>VLOOKUP(A:A,Table1[[Project No]:[Additional Remark]],4,FALSE)</f>
        <v>Patricia</v>
      </c>
      <c r="F314" s="4" t="str">
        <f>VLOOKUP(A:A,Table1[[Project No]:[Additional Remark]],5,FALSE)</f>
        <v>R-PV</v>
      </c>
      <c r="G314" s="4" t="str">
        <f>VLOOKUP(A:A,Table1[[Project No]:[Additional Remark]],13,FALSE)</f>
        <v>Cash</v>
      </c>
      <c r="H314" s="4" t="str" cm="1">
        <f t="array" ref="H314">_xlfn.IFS((D314+C314)-J314=0,"Invoice Completed",AC314&lt;&gt;"","5th invoice",Y314&lt;&gt;"","4th invoice",U314&lt;&gt;"","3rd invoice",Q314&lt;&gt;"","2nd invoice",M314&lt;&gt;"","1st invoice",M314="","Pending 1st Invoice")</f>
        <v>Invoice Completed</v>
      </c>
      <c r="I314" s="4" t="str" cm="1">
        <f t="array" ref="I314">_xlfn.IFS((C314+D314)-K314=0,"Payment Completed",AE314&lt;&gt;"","5th payment",AA314&lt;&gt;"","4th payment",W314&lt;&gt;"","3rd payment",S314&lt;&gt;"","2nd payment",O314&lt;&gt;"","1st payment",O314="","Pending 1st Payment")</f>
        <v>Payment Completed</v>
      </c>
      <c r="J314" s="55">
        <f t="shared" si="8"/>
        <v>25500</v>
      </c>
      <c r="K314" s="55">
        <f t="shared" si="9"/>
        <v>25500</v>
      </c>
      <c r="L314" s="65">
        <v>45817</v>
      </c>
      <c r="M314" s="66">
        <v>1000</v>
      </c>
      <c r="N314" s="65">
        <v>45817</v>
      </c>
      <c r="O314" s="66">
        <v>1000</v>
      </c>
      <c r="P314" s="39">
        <v>45838</v>
      </c>
      <c r="Q314" s="57">
        <v>24500</v>
      </c>
      <c r="R314" s="39">
        <v>45849</v>
      </c>
      <c r="S314" s="57">
        <v>24500</v>
      </c>
      <c r="T314" s="65"/>
      <c r="U314" s="66"/>
      <c r="V314" s="65"/>
      <c r="W314" s="66"/>
      <c r="X314" s="39"/>
      <c r="Y314" s="57"/>
      <c r="Z314" s="39"/>
      <c r="AA314" s="57"/>
      <c r="AB314" s="65"/>
      <c r="AC314" s="66"/>
      <c r="AD314" s="65"/>
      <c r="AE314" s="66"/>
      <c r="AF314" s="39"/>
      <c r="AG314" s="57"/>
      <c r="AH314" s="39"/>
      <c r="AI314" s="57"/>
    </row>
    <row r="315" spans="1:35" ht="19.5" customHeight="1" x14ac:dyDescent="0.3">
      <c r="A315" s="4">
        <f>'ECN Master Project Tracker new'!A316</f>
        <v>2505708</v>
      </c>
      <c r="B315" s="110" t="str">
        <f>VLOOKUP(A:A,Table1[[Project No]:[Additional Remark]],2,FALSE)</f>
        <v xml:space="preserve">Mohd Shariff </v>
      </c>
      <c r="C315" s="55">
        <f>VLOOKUP(A:A,Table1[[Project No]:[Additional Remark]],11,FALSE)</f>
        <v>20500</v>
      </c>
      <c r="D315" s="55">
        <f>VLOOKUP(A:A,Table1[[Project No]:[Additional Remark]],12,FALSE)</f>
        <v>0</v>
      </c>
      <c r="E315" s="55" t="str">
        <f>VLOOKUP(A:A,Table1[[Project No]:[Additional Remark]],4,FALSE)</f>
        <v>Tham</v>
      </c>
      <c r="F315" s="4" t="str">
        <f>VLOOKUP(A:A,Table1[[Project No]:[Additional Remark]],5,FALSE)</f>
        <v>R-PV</v>
      </c>
      <c r="G315" s="4" t="str">
        <f>VLOOKUP(A:A,Table1[[Project No]:[Additional Remark]],13,FALSE)</f>
        <v>Cash</v>
      </c>
      <c r="H315" s="4" t="str" cm="1">
        <f t="array" ref="H315">_xlfn.IFS((D315+C315)-J315=0,"Invoice Completed",AC315&lt;&gt;"","5th invoice",Y315&lt;&gt;"","4th invoice",U315&lt;&gt;"","3rd invoice",Q315&lt;&gt;"","2nd invoice",M315&lt;&gt;"","1st invoice",M315="","Pending 1st Invoice")</f>
        <v>1st invoice</v>
      </c>
      <c r="I315" s="4" t="str" cm="1">
        <f t="array" ref="I315">_xlfn.IFS((C315+D315)-K315=0,"Payment Completed",AE315&lt;&gt;"","5th payment",AA315&lt;&gt;"","4th payment",W315&lt;&gt;"","3rd payment",S315&lt;&gt;"","2nd payment",O315&lt;&gt;"","1st payment",O315="","Pending 1st Payment")</f>
        <v>1st payment</v>
      </c>
      <c r="J315" s="55">
        <f t="shared" si="8"/>
        <v>500</v>
      </c>
      <c r="K315" s="55">
        <f t="shared" si="9"/>
        <v>500</v>
      </c>
      <c r="L315" s="65">
        <v>45818</v>
      </c>
      <c r="M315" s="66">
        <v>500</v>
      </c>
      <c r="N315" s="65">
        <v>45818</v>
      </c>
      <c r="O315" s="66">
        <v>500</v>
      </c>
      <c r="P315" s="39"/>
      <c r="Q315" s="57"/>
      <c r="R315" s="39"/>
      <c r="S315" s="57"/>
      <c r="T315" s="65"/>
      <c r="U315" s="66"/>
      <c r="V315" s="65"/>
      <c r="W315" s="66"/>
      <c r="X315" s="39"/>
      <c r="Y315" s="57"/>
      <c r="Z315" s="39"/>
      <c r="AA315" s="57"/>
      <c r="AB315" s="65"/>
      <c r="AC315" s="66"/>
      <c r="AD315" s="65"/>
      <c r="AE315" s="66"/>
      <c r="AF315" s="39"/>
      <c r="AG315" s="57"/>
      <c r="AH315" s="39"/>
      <c r="AI315" s="57"/>
    </row>
    <row r="316" spans="1:35" ht="19.5" customHeight="1" x14ac:dyDescent="0.3">
      <c r="A316" s="4">
        <f>'ECN Master Project Tracker new'!A317</f>
        <v>2506744</v>
      </c>
      <c r="B316" s="110" t="str">
        <f>VLOOKUP(A:A,Table1[[Project No]:[Additional Remark]],2,FALSE)</f>
        <v>Gan Chin Sam</v>
      </c>
      <c r="C316" s="55">
        <f>VLOOKUP(A:A,Table1[[Project No]:[Additional Remark]],11,FALSE)</f>
        <v>32500</v>
      </c>
      <c r="D316" s="55">
        <f>VLOOKUP(A:A,Table1[[Project No]:[Additional Remark]],12,FALSE)</f>
        <v>0</v>
      </c>
      <c r="E316" s="55" t="str">
        <f>VLOOKUP(A:A,Table1[[Project No]:[Additional Remark]],4,FALSE)</f>
        <v>Tham</v>
      </c>
      <c r="F316" s="4" t="str">
        <f>VLOOKUP(A:A,Table1[[Project No]:[Additional Remark]],5,FALSE)</f>
        <v>R-PV</v>
      </c>
      <c r="G316" s="4" t="str">
        <f>VLOOKUP(A:A,Table1[[Project No]:[Additional Remark]],13,FALSE)</f>
        <v>Cash</v>
      </c>
      <c r="H316" s="4" t="str" cm="1">
        <f t="array" ref="H316">_xlfn.IFS((D316+C316)-J316=0,"Invoice Completed",AC316&lt;&gt;"","5th invoice",Y316&lt;&gt;"","4th invoice",U316&lt;&gt;"","3rd invoice",Q316&lt;&gt;"","2nd invoice",M316&lt;&gt;"","1st invoice",M316="","Pending 1st Invoice")</f>
        <v>2nd invoice</v>
      </c>
      <c r="I316" s="4" t="str" cm="1">
        <f t="array" ref="I316">_xlfn.IFS((C316+D316)-K316=0,"Payment Completed",AE316&lt;&gt;"","5th payment",AA316&lt;&gt;"","4th payment",W316&lt;&gt;"","3rd payment",S316&lt;&gt;"","2nd payment",O316&lt;&gt;"","1st payment",O316="","Pending 1st Payment")</f>
        <v>2nd payment</v>
      </c>
      <c r="J316" s="55">
        <f t="shared" si="8"/>
        <v>30500</v>
      </c>
      <c r="K316" s="55">
        <f t="shared" si="9"/>
        <v>30500</v>
      </c>
      <c r="L316" s="65">
        <v>45817</v>
      </c>
      <c r="M316" s="66">
        <v>1000</v>
      </c>
      <c r="N316" s="65">
        <v>45817</v>
      </c>
      <c r="O316" s="66">
        <v>1000</v>
      </c>
      <c r="P316" s="39">
        <v>45865</v>
      </c>
      <c r="Q316" s="57">
        <v>29500</v>
      </c>
      <c r="R316" s="39">
        <v>45865</v>
      </c>
      <c r="S316" s="57">
        <v>29500</v>
      </c>
      <c r="T316" s="65"/>
      <c r="U316" s="66"/>
      <c r="V316" s="65"/>
      <c r="W316" s="66"/>
      <c r="X316" s="39"/>
      <c r="Y316" s="57"/>
      <c r="Z316" s="39"/>
      <c r="AA316" s="57"/>
      <c r="AB316" s="65"/>
      <c r="AC316" s="66"/>
      <c r="AD316" s="65"/>
      <c r="AE316" s="66"/>
      <c r="AF316" s="39"/>
      <c r="AG316" s="57"/>
      <c r="AH316" s="39"/>
      <c r="AI316" s="57"/>
    </row>
    <row r="317" spans="1:35" ht="19.5" customHeight="1" x14ac:dyDescent="0.3">
      <c r="A317" s="4">
        <f>'ECN Master Project Tracker new'!A318</f>
        <v>2506727</v>
      </c>
      <c r="B317" s="110" t="str">
        <f>VLOOKUP(A:A,Table1[[Project No]:[Additional Remark]],2,FALSE)</f>
        <v>Tan Lee Khing</v>
      </c>
      <c r="C317" s="55">
        <f>VLOOKUP(A:A,Table1[[Project No]:[Additional Remark]],11,FALSE)</f>
        <v>28300</v>
      </c>
      <c r="D317" s="55">
        <f>VLOOKUP(A:A,Table1[[Project No]:[Additional Remark]],12,FALSE)</f>
        <v>0</v>
      </c>
      <c r="E317" s="55" t="str">
        <f>VLOOKUP(A:A,Table1[[Project No]:[Additional Remark]],4,FALSE)</f>
        <v>Patricia</v>
      </c>
      <c r="F317" s="4" t="str">
        <f>VLOOKUP(A:A,Table1[[Project No]:[Additional Remark]],5,FALSE)</f>
        <v>R-PV</v>
      </c>
      <c r="G317" s="4" t="str">
        <f>VLOOKUP(A:A,Table1[[Project No]:[Additional Remark]],13,FALSE)</f>
        <v>Cash</v>
      </c>
      <c r="H317" s="4" t="str" cm="1">
        <f t="array" ref="H317">_xlfn.IFS((D317+C317)-J317=0,"Invoice Completed",AC317&lt;&gt;"","5th invoice",Y317&lt;&gt;"","4th invoice",U317&lt;&gt;"","3rd invoice",Q317&lt;&gt;"","2nd invoice",M317&lt;&gt;"","1st invoice",M317="","Pending 1st Invoice")</f>
        <v>Invoice Completed</v>
      </c>
      <c r="I317" s="4" t="str" cm="1">
        <f t="array" ref="I317">_xlfn.IFS((C317+D317)-K317=0,"Payment Completed",AE317&lt;&gt;"","5th payment",AA317&lt;&gt;"","4th payment",W317&lt;&gt;"","3rd payment",S317&lt;&gt;"","2nd payment",O317&lt;&gt;"","1st payment",O317="","Pending 1st Payment")</f>
        <v>Payment Completed</v>
      </c>
      <c r="J317" s="55">
        <f t="shared" si="8"/>
        <v>28300</v>
      </c>
      <c r="K317" s="55">
        <f t="shared" si="9"/>
        <v>28300</v>
      </c>
      <c r="L317" s="65">
        <v>45817</v>
      </c>
      <c r="M317" s="66">
        <v>1000</v>
      </c>
      <c r="N317" s="65">
        <v>45817</v>
      </c>
      <c r="O317" s="66">
        <v>1000</v>
      </c>
      <c r="P317" s="39">
        <v>45866</v>
      </c>
      <c r="Q317" s="57">
        <v>25300</v>
      </c>
      <c r="R317" s="39">
        <v>45866</v>
      </c>
      <c r="S317" s="57">
        <v>25300</v>
      </c>
      <c r="T317" s="65">
        <v>45908</v>
      </c>
      <c r="U317" s="66">
        <v>2000</v>
      </c>
      <c r="V317" s="65">
        <v>45908</v>
      </c>
      <c r="W317" s="66">
        <v>2000</v>
      </c>
      <c r="X317" s="39"/>
      <c r="Y317" s="57"/>
      <c r="Z317" s="39"/>
      <c r="AA317" s="57"/>
      <c r="AB317" s="65"/>
      <c r="AC317" s="66"/>
      <c r="AD317" s="65"/>
      <c r="AE317" s="66"/>
      <c r="AF317" s="39"/>
      <c r="AG317" s="57"/>
      <c r="AH317" s="39"/>
      <c r="AI317" s="57"/>
    </row>
    <row r="318" spans="1:35" ht="19.5" customHeight="1" x14ac:dyDescent="0.3">
      <c r="A318" s="4">
        <f>'ECN Master Project Tracker new'!A319</f>
        <v>2505054</v>
      </c>
      <c r="B318" s="110" t="str">
        <f>VLOOKUP(A:A,Table1[[Project No]:[Additional Remark]],2,FALSE)</f>
        <v>DK Senza Residence</v>
      </c>
      <c r="C318" s="55">
        <f>VLOOKUP(A:A,Table1[[Project No]:[Additional Remark]],11,FALSE)</f>
        <v>59345</v>
      </c>
      <c r="D318" s="55">
        <f>VLOOKUP(A:A,Table1[[Project No]:[Additional Remark]],12,FALSE)</f>
        <v>0</v>
      </c>
      <c r="E318" s="55" t="str">
        <f>VLOOKUP(A:A,Table1[[Project No]:[Additional Remark]],4,FALSE)</f>
        <v>Simon</v>
      </c>
      <c r="F318" s="4" t="str">
        <f>VLOOKUP(A:A,Table1[[Project No]:[Additional Remark]],5,FALSE)</f>
        <v>EV Charger</v>
      </c>
      <c r="G318" s="4">
        <f>VLOOKUP(A:A,Table1[[Project No]:[Additional Remark]],13,FALSE)</f>
        <v>0</v>
      </c>
      <c r="H318" s="4" t="str" cm="1">
        <f t="array" ref="H318">_xlfn.IFS((D318+C318)-J318=0,"Invoice Completed",AC318&lt;&gt;"","5th invoice",Y318&lt;&gt;"","4th invoice",U318&lt;&gt;"","3rd invoice",Q318&lt;&gt;"","2nd invoice",M318&lt;&gt;"","1st invoice",M318="","Pending 1st Invoice")</f>
        <v>1st invoice</v>
      </c>
      <c r="I318" s="4" t="str" cm="1">
        <f t="array" ref="I318">_xlfn.IFS((C318+D318)-K318=0,"Payment Completed",AE318&lt;&gt;"","5th payment",AA318&lt;&gt;"","4th payment",W318&lt;&gt;"","3rd payment",S318&lt;&gt;"","2nd payment",O318&lt;&gt;"","1st payment",O318="","Pending 1st Payment")</f>
        <v>1st payment</v>
      </c>
      <c r="J318" s="55">
        <f t="shared" si="8"/>
        <v>29672.5</v>
      </c>
      <c r="K318" s="55">
        <f t="shared" si="9"/>
        <v>29672.5</v>
      </c>
      <c r="L318" s="65">
        <v>45890</v>
      </c>
      <c r="M318" s="66">
        <v>29672.5</v>
      </c>
      <c r="N318" s="65">
        <v>45933</v>
      </c>
      <c r="O318" s="66">
        <v>29672.5</v>
      </c>
      <c r="P318" s="39"/>
      <c r="Q318" s="57"/>
      <c r="R318" s="39"/>
      <c r="S318" s="57"/>
      <c r="T318" s="65"/>
      <c r="U318" s="66"/>
      <c r="V318" s="65"/>
      <c r="W318" s="66"/>
      <c r="X318" s="39"/>
      <c r="Y318" s="57"/>
      <c r="Z318" s="39"/>
      <c r="AA318" s="57"/>
      <c r="AB318" s="65"/>
      <c r="AC318" s="66"/>
      <c r="AD318" s="65"/>
      <c r="AE318" s="66"/>
      <c r="AF318" s="39"/>
      <c r="AG318" s="57"/>
      <c r="AH318" s="39"/>
      <c r="AI318" s="57"/>
    </row>
    <row r="319" spans="1:35" ht="19.5" customHeight="1" x14ac:dyDescent="0.3">
      <c r="A319" s="4">
        <f>'ECN Master Project Tracker new'!A320</f>
        <v>2506752</v>
      </c>
      <c r="B319" s="110" t="str">
        <f>VLOOKUP(A:A,Table1[[Project No]:[Additional Remark]],2,FALSE)</f>
        <v>Ng Cheng Hoe</v>
      </c>
      <c r="C319" s="55">
        <f>VLOOKUP(A:A,Table1[[Project No]:[Additional Remark]],11,FALSE)</f>
        <v>22500</v>
      </c>
      <c r="D319" s="55">
        <f>VLOOKUP(A:A,Table1[[Project No]:[Additional Remark]],12,FALSE)</f>
        <v>0</v>
      </c>
      <c r="E319" s="55" t="str">
        <f>VLOOKUP(A:A,Table1[[Project No]:[Additional Remark]],4,FALSE)</f>
        <v>Tham</v>
      </c>
      <c r="F319" s="4" t="str">
        <f>VLOOKUP(A:A,Table1[[Project No]:[Additional Remark]],5,FALSE)</f>
        <v>R-PV</v>
      </c>
      <c r="G319" s="4" t="str">
        <f>VLOOKUP(A:A,Table1[[Project No]:[Additional Remark]],13,FALSE)</f>
        <v>Cash</v>
      </c>
      <c r="H319" s="4" t="str" cm="1">
        <f t="array" ref="H319">_xlfn.IFS((D319+C319)-J319=0,"Invoice Completed",AC319&lt;&gt;"","5th invoice",Y319&lt;&gt;"","4th invoice",U319&lt;&gt;"","3rd invoice",Q319&lt;&gt;"","2nd invoice",M319&lt;&gt;"","1st invoice",M319="","Pending 1st Invoice")</f>
        <v>Invoice Completed</v>
      </c>
      <c r="I319" s="4" t="str" cm="1">
        <f t="array" ref="I319">_xlfn.IFS((C319+D319)-K319=0,"Payment Completed",AE319&lt;&gt;"","5th payment",AA319&lt;&gt;"","4th payment",W319&lt;&gt;"","3rd payment",S319&lt;&gt;"","2nd payment",O319&lt;&gt;"","1st payment",O319="","Pending 1st Payment")</f>
        <v>Payment Completed</v>
      </c>
      <c r="J319" s="55">
        <f t="shared" si="8"/>
        <v>22500</v>
      </c>
      <c r="K319" s="55">
        <f t="shared" si="9"/>
        <v>22500</v>
      </c>
      <c r="L319" s="65">
        <v>45821</v>
      </c>
      <c r="M319" s="66">
        <v>1000</v>
      </c>
      <c r="N319" s="65">
        <v>45821</v>
      </c>
      <c r="O319" s="66">
        <v>1000</v>
      </c>
      <c r="P319" s="39">
        <v>45878</v>
      </c>
      <c r="Q319" s="57">
        <v>21500</v>
      </c>
      <c r="R319" s="39">
        <v>45878</v>
      </c>
      <c r="S319" s="57">
        <v>21500</v>
      </c>
      <c r="T319" s="65"/>
      <c r="U319" s="66"/>
      <c r="V319" s="65"/>
      <c r="W319" s="66"/>
      <c r="X319" s="39"/>
      <c r="Y319" s="57"/>
      <c r="Z319" s="39"/>
      <c r="AA319" s="57"/>
      <c r="AB319" s="65"/>
      <c r="AC319" s="66"/>
      <c r="AD319" s="65"/>
      <c r="AE319" s="66"/>
      <c r="AF319" s="39"/>
      <c r="AG319" s="57"/>
      <c r="AH319" s="39"/>
      <c r="AI319" s="57"/>
    </row>
    <row r="320" spans="1:35" ht="19.5" customHeight="1" x14ac:dyDescent="0.3">
      <c r="A320" s="4">
        <f>'ECN Master Project Tracker new'!A321</f>
        <v>2501523</v>
      </c>
      <c r="B320" s="110" t="str">
        <f>VLOOKUP(A:A,Table1[[Project No]:[Additional Remark]],2,FALSE)</f>
        <v>Chen Kim Hock</v>
      </c>
      <c r="C320" s="55">
        <f>VLOOKUP(A:A,Table1[[Project No]:[Additional Remark]],11,FALSE)</f>
        <v>44880</v>
      </c>
      <c r="D320" s="55">
        <f>VLOOKUP(A:A,Table1[[Project No]:[Additional Remark]],12,FALSE)</f>
        <v>0</v>
      </c>
      <c r="E320" s="55" t="str">
        <f>VLOOKUP(A:A,Table1[[Project No]:[Additional Remark]],4,FALSE)</f>
        <v>Tham</v>
      </c>
      <c r="F320" s="4" t="str">
        <f>VLOOKUP(A:A,Table1[[Project No]:[Additional Remark]],5,FALSE)</f>
        <v>R-PV</v>
      </c>
      <c r="G320" s="4" t="str">
        <f>VLOOKUP(A:A,Table1[[Project No]:[Additional Remark]],13,FALSE)</f>
        <v>Cash</v>
      </c>
      <c r="H320" s="4" t="str" cm="1">
        <f t="array" ref="H320">_xlfn.IFS((D320+C320)-J320=0,"Invoice Completed",AC320&lt;&gt;"","5th invoice",Y320&lt;&gt;"","4th invoice",U320&lt;&gt;"","3rd invoice",Q320&lt;&gt;"","2nd invoice",M320&lt;&gt;"","1st invoice",M320="","Pending 1st Invoice")</f>
        <v>1st invoice</v>
      </c>
      <c r="I320" s="4" t="str" cm="1">
        <f t="array" ref="I320">_xlfn.IFS((C320+D320)-K320=0,"Payment Completed",AE320&lt;&gt;"","5th payment",AA320&lt;&gt;"","4th payment",W320&lt;&gt;"","3rd payment",S320&lt;&gt;"","2nd payment",O320&lt;&gt;"","1st payment",O320="","Pending 1st Payment")</f>
        <v>1st payment</v>
      </c>
      <c r="J320" s="55">
        <f t="shared" si="8"/>
        <v>500</v>
      </c>
      <c r="K320" s="55">
        <f t="shared" si="9"/>
        <v>500</v>
      </c>
      <c r="L320" s="65">
        <v>45821</v>
      </c>
      <c r="M320" s="66">
        <v>500</v>
      </c>
      <c r="N320" s="65">
        <v>45821</v>
      </c>
      <c r="O320" s="66">
        <v>500</v>
      </c>
      <c r="P320" s="39"/>
      <c r="Q320" s="57"/>
      <c r="R320" s="39"/>
      <c r="S320" s="57"/>
      <c r="T320" s="65"/>
      <c r="U320" s="66"/>
      <c r="V320" s="65"/>
      <c r="W320" s="66"/>
      <c r="X320" s="39"/>
      <c r="Y320" s="57"/>
      <c r="Z320" s="39"/>
      <c r="AA320" s="57"/>
      <c r="AB320" s="65"/>
      <c r="AC320" s="66"/>
      <c r="AD320" s="65"/>
      <c r="AE320" s="66"/>
      <c r="AF320" s="39"/>
      <c r="AG320" s="57"/>
      <c r="AH320" s="39"/>
      <c r="AI320" s="57"/>
    </row>
    <row r="321" spans="1:35" ht="19.5" customHeight="1" x14ac:dyDescent="0.3">
      <c r="A321" s="4">
        <f>'ECN Master Project Tracker new'!A322</f>
        <v>2506748</v>
      </c>
      <c r="B321" s="110" t="str">
        <f>VLOOKUP(A:A,Table1[[Project No]:[Additional Remark]],2,FALSE)</f>
        <v>Teh Foo Hock</v>
      </c>
      <c r="C321" s="55">
        <f>VLOOKUP(A:A,Table1[[Project No]:[Additional Remark]],11,FALSE)</f>
        <v>22500</v>
      </c>
      <c r="D321" s="55">
        <f>VLOOKUP(A:A,Table1[[Project No]:[Additional Remark]],12,FALSE)</f>
        <v>0</v>
      </c>
      <c r="E321" s="55" t="str">
        <f>VLOOKUP(A:A,Table1[[Project No]:[Additional Remark]],4,FALSE)</f>
        <v>Patricia</v>
      </c>
      <c r="F321" s="4" t="str">
        <f>VLOOKUP(A:A,Table1[[Project No]:[Additional Remark]],5,FALSE)</f>
        <v>R-PV</v>
      </c>
      <c r="G321" s="4" t="str">
        <f>VLOOKUP(A:A,Table1[[Project No]:[Additional Remark]],13,FALSE)</f>
        <v>Cash</v>
      </c>
      <c r="H321" s="4" t="str" cm="1">
        <f t="array" ref="H321">_xlfn.IFS((D321+C321)-J321=0,"Invoice Completed",AC321&lt;&gt;"","5th invoice",Y321&lt;&gt;"","4th invoice",U321&lt;&gt;"","3rd invoice",Q321&lt;&gt;"","2nd invoice",M321&lt;&gt;"","1st invoice",M321="","Pending 1st Invoice")</f>
        <v>1st invoice</v>
      </c>
      <c r="I321" s="4" t="str" cm="1">
        <f t="array" ref="I321">_xlfn.IFS((C321+D321)-K321=0,"Payment Completed",AE321&lt;&gt;"","5th payment",AA321&lt;&gt;"","4th payment",W321&lt;&gt;"","3rd payment",S321&lt;&gt;"","2nd payment",O321&lt;&gt;"","1st payment",O321="","Pending 1st Payment")</f>
        <v>1st payment</v>
      </c>
      <c r="J321" s="55">
        <f t="shared" si="8"/>
        <v>1000</v>
      </c>
      <c r="K321" s="55">
        <f t="shared" si="9"/>
        <v>1000</v>
      </c>
      <c r="L321" s="65">
        <v>45824</v>
      </c>
      <c r="M321" s="66">
        <v>1000</v>
      </c>
      <c r="N321" s="65">
        <v>45824</v>
      </c>
      <c r="O321" s="66">
        <v>1000</v>
      </c>
      <c r="P321" s="39"/>
      <c r="Q321" s="57"/>
      <c r="R321" s="39"/>
      <c r="S321" s="57"/>
      <c r="T321" s="65"/>
      <c r="U321" s="66"/>
      <c r="V321" s="65"/>
      <c r="W321" s="66"/>
      <c r="X321" s="39"/>
      <c r="Y321" s="57"/>
      <c r="Z321" s="39"/>
      <c r="AA321" s="57"/>
      <c r="AB321" s="65"/>
      <c r="AC321" s="66"/>
      <c r="AD321" s="65"/>
      <c r="AE321" s="66"/>
      <c r="AF321" s="39"/>
      <c r="AG321" s="57"/>
      <c r="AH321" s="39"/>
      <c r="AI321" s="57"/>
    </row>
    <row r="322" spans="1:35" ht="19.5" customHeight="1" x14ac:dyDescent="0.3">
      <c r="A322" s="4">
        <f>'ECN Master Project Tracker new'!A323</f>
        <v>2505709</v>
      </c>
      <c r="B322" s="110" t="str">
        <f>VLOOKUP(A:A,Table1[[Project No]:[Additional Remark]],2,FALSE)</f>
        <v>Tan Heng Lian</v>
      </c>
      <c r="C322" s="55">
        <f>VLOOKUP(A:A,Table1[[Project No]:[Additional Remark]],11,FALSE)</f>
        <v>39000.400000000001</v>
      </c>
      <c r="D322" s="55">
        <f>VLOOKUP(A:A,Table1[[Project No]:[Additional Remark]],12,FALSE)</f>
        <v>0</v>
      </c>
      <c r="E322" s="55" t="str">
        <f>VLOOKUP(A:A,Table1[[Project No]:[Additional Remark]],4,FALSE)</f>
        <v>Patricia</v>
      </c>
      <c r="F322" s="4" t="str">
        <f>VLOOKUP(A:A,Table1[[Project No]:[Additional Remark]],5,FALSE)</f>
        <v>R-PV</v>
      </c>
      <c r="G322" s="4" t="str">
        <f>VLOOKUP(A:A,Table1[[Project No]:[Additional Remark]],13,FALSE)</f>
        <v>Credit Card Instalment</v>
      </c>
      <c r="H322" s="4" t="str" cm="1">
        <f t="array" ref="H322">_xlfn.IFS((D322+C322)-J322=0,"Invoice Completed",AC322&lt;&gt;"","5th invoice",Y322&lt;&gt;"","4th invoice",U322&lt;&gt;"","3rd invoice",Q322&lt;&gt;"","2nd invoice",M322&lt;&gt;"","1st invoice",M322="","Pending 1st Invoice")</f>
        <v>Invoice Completed</v>
      </c>
      <c r="I322" s="4" t="str" cm="1">
        <f t="array" ref="I322">_xlfn.IFS((C322+D322)-K322=0,"Payment Completed",AE322&lt;&gt;"","5th payment",AA322&lt;&gt;"","4th payment",W322&lt;&gt;"","3rd payment",S322&lt;&gt;"","2nd payment",O322&lt;&gt;"","1st payment",O322="","Pending 1st Payment")</f>
        <v>Payment Completed</v>
      </c>
      <c r="J322" s="55">
        <f t="shared" si="8"/>
        <v>39000.400000000001</v>
      </c>
      <c r="K322" s="55">
        <f t="shared" si="9"/>
        <v>39000.400000000001</v>
      </c>
      <c r="L322" s="65">
        <v>45824</v>
      </c>
      <c r="M322" s="66">
        <v>1000</v>
      </c>
      <c r="N322" s="65">
        <v>45824</v>
      </c>
      <c r="O322" s="66">
        <v>1000</v>
      </c>
      <c r="P322" s="39">
        <v>45870</v>
      </c>
      <c r="Q322" s="57">
        <v>38000.400000000001</v>
      </c>
      <c r="R322" s="39">
        <v>45870</v>
      </c>
      <c r="S322" s="57">
        <v>38000.400000000001</v>
      </c>
      <c r="T322" s="65"/>
      <c r="U322" s="66"/>
      <c r="V322" s="65"/>
      <c r="W322" s="66"/>
      <c r="X322" s="39"/>
      <c r="Y322" s="57"/>
      <c r="Z322" s="39"/>
      <c r="AA322" s="57"/>
      <c r="AB322" s="65"/>
      <c r="AC322" s="66"/>
      <c r="AD322" s="65"/>
      <c r="AE322" s="66"/>
      <c r="AF322" s="39"/>
      <c r="AG322" s="57"/>
      <c r="AH322" s="39"/>
      <c r="AI322" s="57"/>
    </row>
    <row r="323" spans="1:35" ht="19.5" customHeight="1" x14ac:dyDescent="0.3">
      <c r="A323" s="4">
        <f>'ECN Master Project Tracker new'!A324</f>
        <v>2501531</v>
      </c>
      <c r="B323" s="110" t="str">
        <f>VLOOKUP(A:A,Table1[[Project No]:[Additional Remark]],2,FALSE)</f>
        <v>Mohamad Hafizi Bin Abdul Rahman</v>
      </c>
      <c r="C323" s="55">
        <f>VLOOKUP(A:A,Table1[[Project No]:[Additional Remark]],11,FALSE)</f>
        <v>30500</v>
      </c>
      <c r="D323" s="55">
        <f>VLOOKUP(A:A,Table1[[Project No]:[Additional Remark]],12,FALSE)</f>
        <v>0</v>
      </c>
      <c r="E323" s="55" t="str">
        <f>VLOOKUP(A:A,Table1[[Project No]:[Additional Remark]],4,FALSE)</f>
        <v>Patricia</v>
      </c>
      <c r="F323" s="4" t="str">
        <f>VLOOKUP(A:A,Table1[[Project No]:[Additional Remark]],5,FALSE)</f>
        <v>R-PV</v>
      </c>
      <c r="G323" s="4" t="str">
        <f>VLOOKUP(A:A,Table1[[Project No]:[Additional Remark]],13,FALSE)</f>
        <v>Cash</v>
      </c>
      <c r="H323" s="4" t="str" cm="1">
        <f t="array" ref="H323">_xlfn.IFS((D323+C323)-J323=0,"Invoice Completed",AC323&lt;&gt;"","5th invoice",Y323&lt;&gt;"","4th invoice",U323&lt;&gt;"","3rd invoice",Q323&lt;&gt;"","2nd invoice",M323&lt;&gt;"","1st invoice",M323="","Pending 1st Invoice")</f>
        <v>1st invoice</v>
      </c>
      <c r="I323" s="4" t="str" cm="1">
        <f t="array" ref="I323">_xlfn.IFS((C323+D323)-K323=0,"Payment Completed",AE323&lt;&gt;"","5th payment",AA323&lt;&gt;"","4th payment",W323&lt;&gt;"","3rd payment",S323&lt;&gt;"","2nd payment",O323&lt;&gt;"","1st payment",O323="","Pending 1st Payment")</f>
        <v>1st payment</v>
      </c>
      <c r="J323" s="55">
        <f t="shared" si="8"/>
        <v>1000</v>
      </c>
      <c r="K323" s="55">
        <f t="shared" si="9"/>
        <v>1000</v>
      </c>
      <c r="L323" s="65">
        <v>45824</v>
      </c>
      <c r="M323" s="66">
        <v>1000</v>
      </c>
      <c r="N323" s="65">
        <v>45824</v>
      </c>
      <c r="O323" s="66">
        <v>1000</v>
      </c>
      <c r="P323" s="39"/>
      <c r="Q323" s="57"/>
      <c r="R323" s="39"/>
      <c r="S323" s="57"/>
      <c r="T323" s="65"/>
      <c r="U323" s="66"/>
      <c r="V323" s="65"/>
      <c r="W323" s="66"/>
      <c r="X323" s="39"/>
      <c r="Y323" s="57"/>
      <c r="Z323" s="39"/>
      <c r="AA323" s="57"/>
      <c r="AB323" s="65"/>
      <c r="AC323" s="66"/>
      <c r="AD323" s="65"/>
      <c r="AE323" s="66"/>
      <c r="AF323" s="39"/>
      <c r="AG323" s="57"/>
      <c r="AH323" s="39"/>
      <c r="AI323" s="57"/>
    </row>
    <row r="324" spans="1:35" ht="19.5" customHeight="1" x14ac:dyDescent="0.3">
      <c r="A324" s="4">
        <f>'ECN Master Project Tracker new'!A325</f>
        <v>2506757</v>
      </c>
      <c r="B324" s="110" t="str">
        <f>VLOOKUP(A:A,Table1[[Project No]:[Additional Remark]],2,FALSE)</f>
        <v>Chai Cheong Sing</v>
      </c>
      <c r="C324" s="55">
        <f>VLOOKUP(A:A,Table1[[Project No]:[Additional Remark]],11,FALSE)</f>
        <v>21500</v>
      </c>
      <c r="D324" s="55">
        <f>VLOOKUP(A:A,Table1[[Project No]:[Additional Remark]],12,FALSE)</f>
        <v>0</v>
      </c>
      <c r="E324" s="55" t="str">
        <f>VLOOKUP(A:A,Table1[[Project No]:[Additional Remark]],4,FALSE)</f>
        <v>Patricia</v>
      </c>
      <c r="F324" s="4" t="str">
        <f>VLOOKUP(A:A,Table1[[Project No]:[Additional Remark]],5,FALSE)</f>
        <v>R-PV</v>
      </c>
      <c r="G324" s="4" t="str">
        <f>VLOOKUP(A:A,Table1[[Project No]:[Additional Remark]],13,FALSE)</f>
        <v>Cash</v>
      </c>
      <c r="H324" s="4" t="str" cm="1">
        <f t="array" ref="H324">_xlfn.IFS((D324+C324)-J324=0,"Invoice Completed",AC324&lt;&gt;"","5th invoice",Y324&lt;&gt;"","4th invoice",U324&lt;&gt;"","3rd invoice",Q324&lt;&gt;"","2nd invoice",M324&lt;&gt;"","1st invoice",M324="","Pending 1st Invoice")</f>
        <v>Invoice Completed</v>
      </c>
      <c r="I324" s="4" t="str" cm="1">
        <f t="array" ref="I324">_xlfn.IFS((C324+D324)-K324=0,"Payment Completed",AE324&lt;&gt;"","5th payment",AA324&lt;&gt;"","4th payment",W324&lt;&gt;"","3rd payment",S324&lt;&gt;"","2nd payment",O324&lt;&gt;"","1st payment",O324="","Pending 1st Payment")</f>
        <v>Payment Completed</v>
      </c>
      <c r="J324" s="55">
        <f t="shared" ref="J324:J387" si="10">SUM(M324,Q324,U324,Y324,AC324,AG324)</f>
        <v>21500</v>
      </c>
      <c r="K324" s="55">
        <f t="shared" ref="K324:K387" si="11">SUM(O324,S324,W324,AA324,AE324,AI324)</f>
        <v>21500</v>
      </c>
      <c r="L324" s="65">
        <v>45825</v>
      </c>
      <c r="M324" s="66">
        <v>1000</v>
      </c>
      <c r="N324" s="65">
        <v>45825</v>
      </c>
      <c r="O324" s="66">
        <v>1000</v>
      </c>
      <c r="P324" s="39">
        <v>45924</v>
      </c>
      <c r="Q324" s="57">
        <v>18500</v>
      </c>
      <c r="R324" s="39">
        <v>45874</v>
      </c>
      <c r="S324" s="57">
        <v>18500</v>
      </c>
      <c r="T324" s="65">
        <v>45922</v>
      </c>
      <c r="U324" s="66">
        <v>2000</v>
      </c>
      <c r="V324" s="65">
        <v>45922</v>
      </c>
      <c r="W324" s="66">
        <v>2000</v>
      </c>
      <c r="X324" s="39"/>
      <c r="Y324" s="57"/>
      <c r="Z324" s="39"/>
      <c r="AA324" s="57"/>
      <c r="AB324" s="65"/>
      <c r="AC324" s="66"/>
      <c r="AD324" s="65"/>
      <c r="AE324" s="66"/>
      <c r="AF324" s="39"/>
      <c r="AG324" s="57"/>
      <c r="AH324" s="39"/>
      <c r="AI324" s="57"/>
    </row>
    <row r="325" spans="1:35" ht="19.5" customHeight="1" x14ac:dyDescent="0.3">
      <c r="A325" s="4">
        <f>'ECN Master Project Tracker new'!A326</f>
        <v>2505259</v>
      </c>
      <c r="B325" s="110" t="str">
        <f>VLOOKUP(A:A,Table1[[Project No]:[Additional Remark]],2,FALSE)</f>
        <v>Liew Wen Qi</v>
      </c>
      <c r="C325" s="55">
        <f>VLOOKUP(A:A,Table1[[Project No]:[Additional Remark]],11,FALSE)</f>
        <v>45000</v>
      </c>
      <c r="D325" s="55">
        <f>VLOOKUP(A:A,Table1[[Project No]:[Additional Remark]],12,FALSE)</f>
        <v>0</v>
      </c>
      <c r="E325" s="55" t="str">
        <f>VLOOKUP(A:A,Table1[[Project No]:[Additional Remark]],4,FALSE)</f>
        <v>Patricia</v>
      </c>
      <c r="F325" s="4" t="str">
        <f>VLOOKUP(A:A,Table1[[Project No]:[Additional Remark]],5,FALSE)</f>
        <v>C&amp;I-PV</v>
      </c>
      <c r="G325" s="4" t="str">
        <f>VLOOKUP(A:A,Table1[[Project No]:[Additional Remark]],13,FALSE)</f>
        <v>Cash</v>
      </c>
      <c r="H325" s="4" t="str" cm="1">
        <f t="array" ref="H325">_xlfn.IFS((D325+C325)-J325=0,"Invoice Completed",AC325&lt;&gt;"","5th invoice",Y325&lt;&gt;"","4th invoice",U325&lt;&gt;"","3rd invoice",Q325&lt;&gt;"","2nd invoice",M325&lt;&gt;"","1st invoice",M325="","Pending 1st Invoice")</f>
        <v>Invoice Completed</v>
      </c>
      <c r="I325" s="4" t="str" cm="1">
        <f t="array" ref="I325">_xlfn.IFS((C325+D325)-K325=0,"Payment Completed",AE325&lt;&gt;"","5th payment",AA325&lt;&gt;"","4th payment",W325&lt;&gt;"","3rd payment",S325&lt;&gt;"","2nd payment",O325&lt;&gt;"","1st payment",O325="","Pending 1st Payment")</f>
        <v>Payment Completed</v>
      </c>
      <c r="J325" s="55">
        <f t="shared" si="10"/>
        <v>45000</v>
      </c>
      <c r="K325" s="55">
        <f t="shared" si="11"/>
        <v>45000</v>
      </c>
      <c r="L325" s="65">
        <v>45824</v>
      </c>
      <c r="M325" s="66">
        <v>4500</v>
      </c>
      <c r="N325" s="65">
        <v>45824</v>
      </c>
      <c r="O325" s="66">
        <v>4500</v>
      </c>
      <c r="P325" s="39">
        <v>45860</v>
      </c>
      <c r="Q325" s="57">
        <v>15750</v>
      </c>
      <c r="R325" s="39">
        <v>45860</v>
      </c>
      <c r="S325" s="57">
        <v>15750</v>
      </c>
      <c r="T325" s="65">
        <v>45900</v>
      </c>
      <c r="U325" s="66">
        <v>24750</v>
      </c>
      <c r="V325" s="65">
        <v>45900</v>
      </c>
      <c r="W325" s="66">
        <v>24750</v>
      </c>
      <c r="X325" s="39"/>
      <c r="Y325" s="57"/>
      <c r="Z325" s="39"/>
      <c r="AA325" s="57"/>
      <c r="AB325" s="65"/>
      <c r="AC325" s="66"/>
      <c r="AD325" s="65"/>
      <c r="AE325" s="66"/>
      <c r="AF325" s="39"/>
      <c r="AG325" s="57"/>
      <c r="AH325" s="39"/>
      <c r="AI325" s="57"/>
    </row>
    <row r="326" spans="1:35" ht="19.5" customHeight="1" x14ac:dyDescent="0.3">
      <c r="A326" s="4">
        <f>'ECN Master Project Tracker new'!A327</f>
        <v>2506758</v>
      </c>
      <c r="B326" s="110" t="str">
        <f>VLOOKUP(A:A,Table1[[Project No]:[Additional Remark]],2,FALSE)</f>
        <v>Goh Boon Meng</v>
      </c>
      <c r="C326" s="55">
        <f>VLOOKUP(A:A,Table1[[Project No]:[Additional Remark]],11,FALSE)</f>
        <v>39500</v>
      </c>
      <c r="D326" s="55">
        <f>VLOOKUP(A:A,Table1[[Project No]:[Additional Remark]],12,FALSE)</f>
        <v>0</v>
      </c>
      <c r="E326" s="55" t="str">
        <f>VLOOKUP(A:A,Table1[[Project No]:[Additional Remark]],4,FALSE)</f>
        <v>Patricia</v>
      </c>
      <c r="F326" s="4" t="str">
        <f>VLOOKUP(A:A,Table1[[Project No]:[Additional Remark]],5,FALSE)</f>
        <v>R-PV</v>
      </c>
      <c r="G326" s="4" t="str">
        <f>VLOOKUP(A:A,Table1[[Project No]:[Additional Remark]],13,FALSE)</f>
        <v>Credit Card Instalment</v>
      </c>
      <c r="H326" s="4" t="str" cm="1">
        <f t="array" ref="H326">_xlfn.IFS((D326+C326)-J326=0,"Invoice Completed",AC326&lt;&gt;"","5th invoice",Y326&lt;&gt;"","4th invoice",U326&lt;&gt;"","3rd invoice",Q326&lt;&gt;"","2nd invoice",M326&lt;&gt;"","1st invoice",M326="","Pending 1st Invoice")</f>
        <v>Invoice Completed</v>
      </c>
      <c r="I326" s="4" t="str" cm="1">
        <f t="array" ref="I326">_xlfn.IFS((C326+D326)-K326=0,"Payment Completed",AE326&lt;&gt;"","5th payment",AA326&lt;&gt;"","4th payment",W326&lt;&gt;"","3rd payment",S326&lt;&gt;"","2nd payment",O326&lt;&gt;"","1st payment",O326="","Pending 1st Payment")</f>
        <v>Payment Completed</v>
      </c>
      <c r="J326" s="55">
        <f t="shared" si="10"/>
        <v>39500</v>
      </c>
      <c r="K326" s="55">
        <f t="shared" si="11"/>
        <v>39500</v>
      </c>
      <c r="L326" s="65">
        <v>45826</v>
      </c>
      <c r="M326" s="66">
        <v>1000</v>
      </c>
      <c r="N326" s="65">
        <v>45826</v>
      </c>
      <c r="O326" s="66">
        <v>1000</v>
      </c>
      <c r="P326" s="39">
        <v>45932</v>
      </c>
      <c r="Q326" s="57">
        <v>38500</v>
      </c>
      <c r="R326" s="39">
        <v>45932</v>
      </c>
      <c r="S326" s="57">
        <v>38500</v>
      </c>
      <c r="T326" s="65"/>
      <c r="U326" s="66"/>
      <c r="V326" s="65"/>
      <c r="W326" s="66"/>
      <c r="X326" s="39"/>
      <c r="Y326" s="57"/>
      <c r="Z326" s="39"/>
      <c r="AA326" s="57"/>
      <c r="AB326" s="65"/>
      <c r="AC326" s="66"/>
      <c r="AD326" s="65"/>
      <c r="AE326" s="66"/>
      <c r="AF326" s="39"/>
      <c r="AG326" s="57"/>
      <c r="AH326" s="39"/>
      <c r="AI326" s="57"/>
    </row>
    <row r="327" spans="1:35" ht="19.5" customHeight="1" x14ac:dyDescent="0.3">
      <c r="A327" s="4">
        <f>'ECN Master Project Tracker new'!A328</f>
        <v>2506762</v>
      </c>
      <c r="B327" s="110" t="str">
        <f>VLOOKUP(A:A,Table1[[Project No]:[Additional Remark]],2,FALSE)</f>
        <v>Megat Mohd Nashrul Bin Ahmad Zulkepli</v>
      </c>
      <c r="C327" s="55">
        <f>VLOOKUP(A:A,Table1[[Project No]:[Additional Remark]],11,FALSE)</f>
        <v>32500</v>
      </c>
      <c r="D327" s="55">
        <f>VLOOKUP(A:A,Table1[[Project No]:[Additional Remark]],12,FALSE)</f>
        <v>0</v>
      </c>
      <c r="E327" s="55" t="str">
        <f>VLOOKUP(A:A,Table1[[Project No]:[Additional Remark]],4,FALSE)</f>
        <v>Patricia</v>
      </c>
      <c r="F327" s="4" t="str">
        <f>VLOOKUP(A:A,Table1[[Project No]:[Additional Remark]],5,FALSE)</f>
        <v>R-PV</v>
      </c>
      <c r="G327" s="4" t="str">
        <f>VLOOKUP(A:A,Table1[[Project No]:[Additional Remark]],13,FALSE)</f>
        <v>Cash</v>
      </c>
      <c r="H327" s="4" t="str" cm="1">
        <f t="array" ref="H327">_xlfn.IFS((D327+C327)-J327=0,"Invoice Completed",AC327&lt;&gt;"","5th invoice",Y327&lt;&gt;"","4th invoice",U327&lt;&gt;"","3rd invoice",Q327&lt;&gt;"","2nd invoice",M327&lt;&gt;"","1st invoice",M327="","Pending 1st Invoice")</f>
        <v>1st invoice</v>
      </c>
      <c r="I327" s="4" t="str" cm="1">
        <f t="array" ref="I327">_xlfn.IFS((C327+D327)-K327=0,"Payment Completed",AE327&lt;&gt;"","5th payment",AA327&lt;&gt;"","4th payment",W327&lt;&gt;"","3rd payment",S327&lt;&gt;"","2nd payment",O327&lt;&gt;"","1st payment",O327="","Pending 1st Payment")</f>
        <v>1st payment</v>
      </c>
      <c r="J327" s="55">
        <f t="shared" si="10"/>
        <v>1000</v>
      </c>
      <c r="K327" s="55">
        <f t="shared" si="11"/>
        <v>1000</v>
      </c>
      <c r="L327" s="65">
        <v>45828</v>
      </c>
      <c r="M327" s="66">
        <v>1000</v>
      </c>
      <c r="N327" s="65">
        <v>45828</v>
      </c>
      <c r="O327" s="66">
        <v>1000</v>
      </c>
      <c r="P327" s="39"/>
      <c r="Q327" s="57"/>
      <c r="R327" s="39"/>
      <c r="S327" s="57"/>
      <c r="T327" s="65"/>
      <c r="U327" s="66"/>
      <c r="V327" s="65"/>
      <c r="W327" s="66"/>
      <c r="X327" s="39"/>
      <c r="Y327" s="57"/>
      <c r="Z327" s="39"/>
      <c r="AA327" s="57"/>
      <c r="AB327" s="65"/>
      <c r="AC327" s="66"/>
      <c r="AD327" s="65"/>
      <c r="AE327" s="66"/>
      <c r="AF327" s="39"/>
      <c r="AG327" s="57"/>
      <c r="AH327" s="39"/>
      <c r="AI327" s="57"/>
    </row>
    <row r="328" spans="1:35" ht="19.5" customHeight="1" x14ac:dyDescent="0.3">
      <c r="A328" s="4">
        <f>'ECN Master Project Tracker new'!A329</f>
        <v>2506753</v>
      </c>
      <c r="B328" s="110" t="str">
        <f>VLOOKUP(A:A,Table1[[Project No]:[Additional Remark]],2,FALSE)</f>
        <v>Lim Geok Suan</v>
      </c>
      <c r="C328" s="55">
        <f>VLOOKUP(A:A,Table1[[Project No]:[Additional Remark]],11,FALSE)</f>
        <v>27500</v>
      </c>
      <c r="D328" s="55">
        <f>VLOOKUP(A:A,Table1[[Project No]:[Additional Remark]],12,FALSE)</f>
        <v>0</v>
      </c>
      <c r="E328" s="55" t="str">
        <f>VLOOKUP(A:A,Table1[[Project No]:[Additional Remark]],4,FALSE)</f>
        <v>Patricia</v>
      </c>
      <c r="F328" s="4" t="str">
        <f>VLOOKUP(A:A,Table1[[Project No]:[Additional Remark]],5,FALSE)</f>
        <v>R-PV</v>
      </c>
      <c r="G328" s="4" t="str">
        <f>VLOOKUP(A:A,Table1[[Project No]:[Additional Remark]],13,FALSE)</f>
        <v>Cash</v>
      </c>
      <c r="H328" s="4" t="str" cm="1">
        <f t="array" ref="H328">_xlfn.IFS((D328+C328)-J328=0,"Invoice Completed",AC328&lt;&gt;"","5th invoice",Y328&lt;&gt;"","4th invoice",U328&lt;&gt;"","3rd invoice",Q328&lt;&gt;"","2nd invoice",M328&lt;&gt;"","1st invoice",M328="","Pending 1st Invoice")</f>
        <v>Invoice Completed</v>
      </c>
      <c r="I328" s="4" t="str" cm="1">
        <f t="array" ref="I328">_xlfn.IFS((C328+D328)-K328=0,"Payment Completed",AE328&lt;&gt;"","5th payment",AA328&lt;&gt;"","4th payment",W328&lt;&gt;"","3rd payment",S328&lt;&gt;"","2nd payment",O328&lt;&gt;"","1st payment",O328="","Pending 1st Payment")</f>
        <v>Payment Completed</v>
      </c>
      <c r="J328" s="55">
        <f t="shared" si="10"/>
        <v>27500</v>
      </c>
      <c r="K328" s="55">
        <f t="shared" si="11"/>
        <v>27500</v>
      </c>
      <c r="L328" s="65">
        <v>45827</v>
      </c>
      <c r="M328" s="66">
        <v>1000</v>
      </c>
      <c r="N328" s="65">
        <v>45827</v>
      </c>
      <c r="O328" s="66">
        <v>1000</v>
      </c>
      <c r="P328" s="39">
        <v>45875</v>
      </c>
      <c r="Q328" s="57">
        <v>26500</v>
      </c>
      <c r="R328" s="39">
        <v>45875</v>
      </c>
      <c r="S328" s="57">
        <v>26500</v>
      </c>
      <c r="T328" s="65"/>
      <c r="U328" s="66"/>
      <c r="V328" s="65"/>
      <c r="W328" s="66"/>
      <c r="X328" s="39"/>
      <c r="Y328" s="57"/>
      <c r="Z328" s="39"/>
      <c r="AA328" s="57"/>
      <c r="AB328" s="65"/>
      <c r="AC328" s="66"/>
      <c r="AD328" s="65"/>
      <c r="AE328" s="66"/>
      <c r="AF328" s="39"/>
      <c r="AG328" s="57"/>
      <c r="AH328" s="39"/>
      <c r="AI328" s="57"/>
    </row>
    <row r="329" spans="1:35" ht="19.5" customHeight="1" x14ac:dyDescent="0.3">
      <c r="A329" s="4">
        <f>'ECN Master Project Tracker new'!A330</f>
        <v>2506768</v>
      </c>
      <c r="B329" s="110" t="str">
        <f>VLOOKUP(A:A,Table1[[Project No]:[Additional Remark]],2,FALSE)</f>
        <v>Yap Lee Yan</v>
      </c>
      <c r="C329" s="55">
        <f>VLOOKUP(A:A,Table1[[Project No]:[Additional Remark]],11,FALSE)</f>
        <v>27000</v>
      </c>
      <c r="D329" s="55">
        <f>VLOOKUP(A:A,Table1[[Project No]:[Additional Remark]],12,FALSE)</f>
        <v>0</v>
      </c>
      <c r="E329" s="55" t="str">
        <f>VLOOKUP(A:A,Table1[[Project No]:[Additional Remark]],4,FALSE)</f>
        <v>Patricia</v>
      </c>
      <c r="F329" s="4" t="str">
        <f>VLOOKUP(A:A,Table1[[Project No]:[Additional Remark]],5,FALSE)</f>
        <v>R-PV</v>
      </c>
      <c r="G329" s="4" t="str">
        <f>VLOOKUP(A:A,Table1[[Project No]:[Additional Remark]],13,FALSE)</f>
        <v>Cash</v>
      </c>
      <c r="H329" s="4" t="str" cm="1">
        <f t="array" ref="H329">_xlfn.IFS((D329+C329)-J329=0,"Invoice Completed",AC329&lt;&gt;"","5th invoice",Y329&lt;&gt;"","4th invoice",U329&lt;&gt;"","3rd invoice",Q329&lt;&gt;"","2nd invoice",M329&lt;&gt;"","1st invoice",M329="","Pending 1st Invoice")</f>
        <v>2nd invoice</v>
      </c>
      <c r="I329" s="4" t="str" cm="1">
        <f t="array" ref="I329">_xlfn.IFS((C329+D329)-K329=0,"Payment Completed",AE329&lt;&gt;"","5th payment",AA329&lt;&gt;"","4th payment",W329&lt;&gt;"","3rd payment",S329&lt;&gt;"","2nd payment",O329&lt;&gt;"","1st payment",O329="","Pending 1st Payment")</f>
        <v>2nd payment</v>
      </c>
      <c r="J329" s="55">
        <f t="shared" si="10"/>
        <v>25000</v>
      </c>
      <c r="K329" s="55">
        <f t="shared" si="11"/>
        <v>25000</v>
      </c>
      <c r="L329" s="65">
        <v>45828</v>
      </c>
      <c r="M329" s="66">
        <v>1000</v>
      </c>
      <c r="N329" s="65">
        <v>45828</v>
      </c>
      <c r="O329" s="66">
        <v>1000</v>
      </c>
      <c r="P329" s="39">
        <v>45877</v>
      </c>
      <c r="Q329" s="57">
        <v>24000</v>
      </c>
      <c r="R329" s="39">
        <v>45877</v>
      </c>
      <c r="S329" s="57">
        <v>24000</v>
      </c>
      <c r="T329" s="65"/>
      <c r="U329" s="66"/>
      <c r="V329" s="65"/>
      <c r="W329" s="66"/>
      <c r="X329" s="39"/>
      <c r="Y329" s="57"/>
      <c r="Z329" s="39"/>
      <c r="AA329" s="57"/>
      <c r="AB329" s="65"/>
      <c r="AC329" s="66"/>
      <c r="AD329" s="65"/>
      <c r="AE329" s="66"/>
      <c r="AF329" s="39"/>
      <c r="AG329" s="57"/>
      <c r="AH329" s="39"/>
      <c r="AI329" s="57"/>
    </row>
    <row r="330" spans="1:35" ht="19.5" customHeight="1" x14ac:dyDescent="0.3">
      <c r="A330" s="4">
        <f>'ECN Master Project Tracker new'!A331</f>
        <v>2506761</v>
      </c>
      <c r="B330" s="110" t="str">
        <f>VLOOKUP(A:A,Table1[[Project No]:[Additional Remark]],2,FALSE)</f>
        <v>Lee Swee Li</v>
      </c>
      <c r="C330" s="55">
        <f>VLOOKUP(A:A,Table1[[Project No]:[Additional Remark]],11,FALSE)</f>
        <v>34000</v>
      </c>
      <c r="D330" s="55">
        <f>VLOOKUP(A:A,Table1[[Project No]:[Additional Remark]],12,FALSE)</f>
        <v>0</v>
      </c>
      <c r="E330" s="55" t="str">
        <f>VLOOKUP(A:A,Table1[[Project No]:[Additional Remark]],4,FALSE)</f>
        <v>Patricia</v>
      </c>
      <c r="F330" s="4" t="str">
        <f>VLOOKUP(A:A,Table1[[Project No]:[Additional Remark]],5,FALSE)</f>
        <v>R-PV</v>
      </c>
      <c r="G330" s="4" t="str">
        <f>VLOOKUP(A:A,Table1[[Project No]:[Additional Remark]],13,FALSE)</f>
        <v>Credit Card Instalment</v>
      </c>
      <c r="H330" s="4" t="str" cm="1">
        <f t="array" ref="H330">_xlfn.IFS((D330+C330)-J330=0,"Invoice Completed",AC330&lt;&gt;"","5th invoice",Y330&lt;&gt;"","4th invoice",U330&lt;&gt;"","3rd invoice",Q330&lt;&gt;"","2nd invoice",M330&lt;&gt;"","1st invoice",M330="","Pending 1st Invoice")</f>
        <v>Invoice Completed</v>
      </c>
      <c r="I330" s="4" t="str" cm="1">
        <f t="array" ref="I330">_xlfn.IFS((C330+D330)-K330=0,"Payment Completed",AE330&lt;&gt;"","5th payment",AA330&lt;&gt;"","4th payment",W330&lt;&gt;"","3rd payment",S330&lt;&gt;"","2nd payment",O330&lt;&gt;"","1st payment",O330="","Pending 1st Payment")</f>
        <v>Payment Completed</v>
      </c>
      <c r="J330" s="55">
        <f t="shared" si="10"/>
        <v>34000</v>
      </c>
      <c r="K330" s="55">
        <f t="shared" si="11"/>
        <v>34000</v>
      </c>
      <c r="L330" s="65">
        <v>45831</v>
      </c>
      <c r="M330" s="66">
        <v>1000</v>
      </c>
      <c r="N330" s="65">
        <v>45831</v>
      </c>
      <c r="O330" s="66">
        <v>1000</v>
      </c>
      <c r="P330" s="39">
        <v>45916</v>
      </c>
      <c r="Q330" s="57">
        <v>33000</v>
      </c>
      <c r="R330" s="39">
        <v>45916</v>
      </c>
      <c r="S330" s="57">
        <v>33000</v>
      </c>
      <c r="T330" s="65"/>
      <c r="U330" s="66"/>
      <c r="V330" s="65"/>
      <c r="W330" s="66"/>
      <c r="X330" s="39"/>
      <c r="Y330" s="57"/>
      <c r="Z330" s="39"/>
      <c r="AA330" s="57"/>
      <c r="AB330" s="65"/>
      <c r="AC330" s="66"/>
      <c r="AD330" s="65"/>
      <c r="AE330" s="66"/>
      <c r="AF330" s="39"/>
      <c r="AG330" s="57"/>
      <c r="AH330" s="39"/>
      <c r="AI330" s="57"/>
    </row>
    <row r="331" spans="1:35" ht="19.5" customHeight="1" x14ac:dyDescent="0.3">
      <c r="A331" s="4">
        <f>'ECN Master Project Tracker new'!A332</f>
        <v>2506779</v>
      </c>
      <c r="B331" s="110" t="str">
        <f>VLOOKUP(A:A,Table1[[Project No]:[Additional Remark]],2,FALSE)</f>
        <v>Koo Hing Yew</v>
      </c>
      <c r="C331" s="55">
        <f>VLOOKUP(A:A,Table1[[Project No]:[Additional Remark]],11,FALSE)</f>
        <v>20500</v>
      </c>
      <c r="D331" s="55">
        <f>VLOOKUP(A:A,Table1[[Project No]:[Additional Remark]],12,FALSE)</f>
        <v>0</v>
      </c>
      <c r="E331" s="55" t="str">
        <f>VLOOKUP(A:A,Table1[[Project No]:[Additional Remark]],4,FALSE)</f>
        <v>Patricia</v>
      </c>
      <c r="F331" s="4" t="str">
        <f>VLOOKUP(A:A,Table1[[Project No]:[Additional Remark]],5,FALSE)</f>
        <v>R-PV</v>
      </c>
      <c r="G331" s="4" t="str">
        <f>VLOOKUP(A:A,Table1[[Project No]:[Additional Remark]],13,FALSE)</f>
        <v>Cash</v>
      </c>
      <c r="H331" s="4" t="str" cm="1">
        <f t="array" ref="H331">_xlfn.IFS((D331+C331)-J331=0,"Invoice Completed",AC331&lt;&gt;"","5th invoice",Y331&lt;&gt;"","4th invoice",U331&lt;&gt;"","3rd invoice",Q331&lt;&gt;"","2nd invoice",M331&lt;&gt;"","1st invoice",M331="","Pending 1st Invoice")</f>
        <v>Invoice Completed</v>
      </c>
      <c r="I331" s="4" t="str" cm="1">
        <f t="array" ref="I331">_xlfn.IFS((C331+D331)-K331=0,"Payment Completed",AE331&lt;&gt;"","5th payment",AA331&lt;&gt;"","4th payment",W331&lt;&gt;"","3rd payment",S331&lt;&gt;"","2nd payment",O331&lt;&gt;"","1st payment",O331="","Pending 1st Payment")</f>
        <v>Payment Completed</v>
      </c>
      <c r="J331" s="55">
        <f t="shared" si="10"/>
        <v>20500</v>
      </c>
      <c r="K331" s="55">
        <f t="shared" si="11"/>
        <v>20500</v>
      </c>
      <c r="L331" s="65">
        <v>45831</v>
      </c>
      <c r="M331" s="66">
        <v>1000</v>
      </c>
      <c r="N331" s="65">
        <v>45831</v>
      </c>
      <c r="O331" s="66">
        <v>1000</v>
      </c>
      <c r="P331" s="39">
        <v>45881</v>
      </c>
      <c r="Q331" s="57">
        <v>17500</v>
      </c>
      <c r="R331" s="39">
        <v>45884</v>
      </c>
      <c r="S331" s="57">
        <v>17500</v>
      </c>
      <c r="T331" s="65">
        <v>45903</v>
      </c>
      <c r="U331" s="66">
        <v>2000</v>
      </c>
      <c r="V331" s="65">
        <v>45903</v>
      </c>
      <c r="W331" s="66">
        <v>2000</v>
      </c>
      <c r="X331" s="39"/>
      <c r="Y331" s="57"/>
      <c r="Z331" s="39"/>
      <c r="AA331" s="57"/>
      <c r="AB331" s="65"/>
      <c r="AC331" s="66"/>
      <c r="AD331" s="65"/>
      <c r="AE331" s="66"/>
      <c r="AF331" s="39"/>
      <c r="AG331" s="57"/>
      <c r="AH331" s="39"/>
      <c r="AI331" s="57"/>
    </row>
    <row r="332" spans="1:35" ht="19.5" customHeight="1" x14ac:dyDescent="0.3">
      <c r="A332" s="4">
        <f>'ECN Master Project Tracker new'!A333</f>
        <v>2506781</v>
      </c>
      <c r="B332" s="110" t="str">
        <f>VLOOKUP(A:A,Table1[[Project No]:[Additional Remark]],2,FALSE)</f>
        <v>Teng Lily</v>
      </c>
      <c r="C332" s="55">
        <f>VLOOKUP(A:A,Table1[[Project No]:[Additional Remark]],11,FALSE)</f>
        <v>22000</v>
      </c>
      <c r="D332" s="55">
        <f>VLOOKUP(A:A,Table1[[Project No]:[Additional Remark]],12,FALSE)</f>
        <v>0</v>
      </c>
      <c r="E332" s="55" t="str">
        <f>VLOOKUP(A:A,Table1[[Project No]:[Additional Remark]],4,FALSE)</f>
        <v>Patricia</v>
      </c>
      <c r="F332" s="4" t="str">
        <f>VLOOKUP(A:A,Table1[[Project No]:[Additional Remark]],5,FALSE)</f>
        <v>R-PV</v>
      </c>
      <c r="G332" s="4" t="str">
        <f>VLOOKUP(A:A,Table1[[Project No]:[Additional Remark]],13,FALSE)</f>
        <v>Credit Card Instalment</v>
      </c>
      <c r="H332" s="4" t="str" cm="1">
        <f t="array" ref="H332">_xlfn.IFS((D332+C332)-J332=0,"Invoice Completed",AC332&lt;&gt;"","5th invoice",Y332&lt;&gt;"","4th invoice",U332&lt;&gt;"","3rd invoice",Q332&lt;&gt;"","2nd invoice",M332&lt;&gt;"","1st invoice",M332="","Pending 1st Invoice")</f>
        <v>2nd invoice</v>
      </c>
      <c r="I332" s="4" t="str" cm="1">
        <f t="array" ref="I332">_xlfn.IFS((C332+D332)-K332=0,"Payment Completed",AE332&lt;&gt;"","5th payment",AA332&lt;&gt;"","4th payment",W332&lt;&gt;"","3rd payment",S332&lt;&gt;"","2nd payment",O332&lt;&gt;"","1st payment",O332="","Pending 1st Payment")</f>
        <v>2nd payment</v>
      </c>
      <c r="J332" s="55">
        <f t="shared" si="10"/>
        <v>18500</v>
      </c>
      <c r="K332" s="55">
        <f t="shared" si="11"/>
        <v>18500</v>
      </c>
      <c r="L332" s="65">
        <v>45830</v>
      </c>
      <c r="M332" s="66">
        <v>1000</v>
      </c>
      <c r="N332" s="65">
        <v>45830</v>
      </c>
      <c r="O332" s="66">
        <v>1000</v>
      </c>
      <c r="P332" s="39">
        <v>45896</v>
      </c>
      <c r="Q332" s="57">
        <v>17500</v>
      </c>
      <c r="R332" s="39">
        <v>45896</v>
      </c>
      <c r="S332" s="57">
        <v>17500</v>
      </c>
      <c r="T332" s="65"/>
      <c r="U332" s="66"/>
      <c r="V332" s="65"/>
      <c r="W332" s="66"/>
      <c r="X332" s="39"/>
      <c r="Y332" s="57"/>
      <c r="Z332" s="39"/>
      <c r="AA332" s="57"/>
      <c r="AB332" s="65"/>
      <c r="AC332" s="66"/>
      <c r="AD332" s="65"/>
      <c r="AE332" s="66"/>
      <c r="AF332" s="39"/>
      <c r="AG332" s="57"/>
      <c r="AH332" s="39"/>
      <c r="AI332" s="57"/>
    </row>
    <row r="333" spans="1:35" ht="19.5" customHeight="1" x14ac:dyDescent="0.3">
      <c r="A333" s="4">
        <f>'ECN Master Project Tracker new'!A334</f>
        <v>2506782</v>
      </c>
      <c r="B333" s="110" t="str">
        <f>VLOOKUP(A:A,Table1[[Project No]:[Additional Remark]],2,FALSE)</f>
        <v>Tan Shu Huat</v>
      </c>
      <c r="C333" s="55">
        <f>VLOOKUP(A:A,Table1[[Project No]:[Additional Remark]],11,FALSE)</f>
        <v>36100</v>
      </c>
      <c r="D333" s="55">
        <f>VLOOKUP(A:A,Table1[[Project No]:[Additional Remark]],12,FALSE)</f>
        <v>0</v>
      </c>
      <c r="E333" s="55" t="str">
        <f>VLOOKUP(A:A,Table1[[Project No]:[Additional Remark]],4,FALSE)</f>
        <v>Patricia</v>
      </c>
      <c r="F333" s="4" t="str">
        <f>VLOOKUP(A:A,Table1[[Project No]:[Additional Remark]],5,FALSE)</f>
        <v>R-PV</v>
      </c>
      <c r="G333" s="4" t="str">
        <f>VLOOKUP(A:A,Table1[[Project No]:[Additional Remark]],13,FALSE)</f>
        <v>Cash + CC Instalment</v>
      </c>
      <c r="H333" s="4" t="str" cm="1">
        <f t="array" ref="H333">_xlfn.IFS((D333+C333)-J333=0,"Invoice Completed",AC333&lt;&gt;"","5th invoice",Y333&lt;&gt;"","4th invoice",U333&lt;&gt;"","3rd invoice",Q333&lt;&gt;"","2nd invoice",M333&lt;&gt;"","1st invoice",M333="","Pending 1st Invoice")</f>
        <v>Invoice Completed</v>
      </c>
      <c r="I333" s="4" t="str" cm="1">
        <f t="array" ref="I333">_xlfn.IFS((C333+D333)-K333=0,"Payment Completed",AE333&lt;&gt;"","5th payment",AA333&lt;&gt;"","4th payment",W333&lt;&gt;"","3rd payment",S333&lt;&gt;"","2nd payment",O333&lt;&gt;"","1st payment",O333="","Pending 1st Payment")</f>
        <v>Payment Completed</v>
      </c>
      <c r="J333" s="55">
        <f t="shared" si="10"/>
        <v>36100</v>
      </c>
      <c r="K333" s="55">
        <f t="shared" si="11"/>
        <v>36100</v>
      </c>
      <c r="L333" s="65">
        <v>45830</v>
      </c>
      <c r="M333" s="66">
        <v>1000</v>
      </c>
      <c r="N333" s="65">
        <v>45830</v>
      </c>
      <c r="O333" s="66">
        <v>1000</v>
      </c>
      <c r="P333" s="39">
        <v>45891</v>
      </c>
      <c r="Q333" s="57">
        <v>25000</v>
      </c>
      <c r="R333" s="39">
        <v>45891</v>
      </c>
      <c r="S333" s="57">
        <v>25000</v>
      </c>
      <c r="T333" s="65">
        <v>45912</v>
      </c>
      <c r="U333" s="66">
        <v>10100</v>
      </c>
      <c r="V333" s="65">
        <v>45912</v>
      </c>
      <c r="W333" s="66">
        <v>10100</v>
      </c>
      <c r="X333" s="39"/>
      <c r="Y333" s="57"/>
      <c r="Z333" s="39"/>
      <c r="AA333" s="57"/>
      <c r="AB333" s="65"/>
      <c r="AC333" s="66"/>
      <c r="AD333" s="65"/>
      <c r="AE333" s="66"/>
      <c r="AF333" s="39"/>
      <c r="AG333" s="57"/>
      <c r="AH333" s="39"/>
      <c r="AI333" s="57"/>
    </row>
    <row r="334" spans="1:35" ht="19.5" customHeight="1" x14ac:dyDescent="0.3">
      <c r="A334" s="4">
        <f>'ECN Master Project Tracker new'!A335</f>
        <v>2506746</v>
      </c>
      <c r="B334" s="110" t="str">
        <f>VLOOKUP(A:A,Table1[[Project No]:[Additional Remark]],2,FALSE)</f>
        <v>Tan Wan Ngee</v>
      </c>
      <c r="C334" s="55">
        <f>VLOOKUP(A:A,Table1[[Project No]:[Additional Remark]],11,FALSE)</f>
        <v>24000</v>
      </c>
      <c r="D334" s="55">
        <f>VLOOKUP(A:A,Table1[[Project No]:[Additional Remark]],12,FALSE)</f>
        <v>0</v>
      </c>
      <c r="E334" s="55" t="str">
        <f>VLOOKUP(A:A,Table1[[Project No]:[Additional Remark]],4,FALSE)</f>
        <v>Patricia</v>
      </c>
      <c r="F334" s="4" t="str">
        <f>VLOOKUP(A:A,Table1[[Project No]:[Additional Remark]],5,FALSE)</f>
        <v>R-PV</v>
      </c>
      <c r="G334" s="4" t="str">
        <f>VLOOKUP(A:A,Table1[[Project No]:[Additional Remark]],13,FALSE)</f>
        <v>Cash</v>
      </c>
      <c r="H334" s="4" t="str" cm="1">
        <f t="array" ref="H334">_xlfn.IFS((D334+C334)-J334=0,"Invoice Completed",AC334&lt;&gt;"","5th invoice",Y334&lt;&gt;"","4th invoice",U334&lt;&gt;"","3rd invoice",Q334&lt;&gt;"","2nd invoice",M334&lt;&gt;"","1st invoice",M334="","Pending 1st Invoice")</f>
        <v>1st invoice</v>
      </c>
      <c r="I334" s="4" t="str" cm="1">
        <f t="array" ref="I334">_xlfn.IFS((C334+D334)-K334=0,"Payment Completed",AE334&lt;&gt;"","5th payment",AA334&lt;&gt;"","4th payment",W334&lt;&gt;"","3rd payment",S334&lt;&gt;"","2nd payment",O334&lt;&gt;"","1st payment",O334="","Pending 1st Payment")</f>
        <v>1st payment</v>
      </c>
      <c r="J334" s="55">
        <f t="shared" si="10"/>
        <v>1000</v>
      </c>
      <c r="K334" s="55">
        <f t="shared" si="11"/>
        <v>1000</v>
      </c>
      <c r="L334" s="65">
        <v>45831</v>
      </c>
      <c r="M334" s="66">
        <v>1000</v>
      </c>
      <c r="N334" s="65">
        <v>45831</v>
      </c>
      <c r="O334" s="66">
        <v>1000</v>
      </c>
      <c r="P334" s="39"/>
      <c r="Q334" s="57"/>
      <c r="R334" s="39"/>
      <c r="S334" s="57"/>
      <c r="T334" s="65"/>
      <c r="U334" s="66"/>
      <c r="V334" s="65"/>
      <c r="W334" s="66"/>
      <c r="X334" s="39"/>
      <c r="Y334" s="57"/>
      <c r="Z334" s="39"/>
      <c r="AA334" s="57"/>
      <c r="AB334" s="65"/>
      <c r="AC334" s="66"/>
      <c r="AD334" s="65"/>
      <c r="AE334" s="66"/>
      <c r="AF334" s="39"/>
      <c r="AG334" s="57"/>
      <c r="AH334" s="39"/>
      <c r="AI334" s="57"/>
    </row>
    <row r="335" spans="1:35" ht="19.5" customHeight="1" x14ac:dyDescent="0.3">
      <c r="A335" s="4">
        <f>'ECN Master Project Tracker new'!A336</f>
        <v>2506780</v>
      </c>
      <c r="B335" s="110" t="str">
        <f>VLOOKUP(A:A,Table1[[Project No]:[Additional Remark]],2,FALSE)</f>
        <v>Yeo Khai Boon</v>
      </c>
      <c r="C335" s="55">
        <f>VLOOKUP(A:A,Table1[[Project No]:[Additional Remark]],11,FALSE)</f>
        <v>23800</v>
      </c>
      <c r="D335" s="55">
        <f>VLOOKUP(A:A,Table1[[Project No]:[Additional Remark]],12,FALSE)</f>
        <v>0</v>
      </c>
      <c r="E335" s="55" t="str">
        <f>VLOOKUP(A:A,Table1[[Project No]:[Additional Remark]],4,FALSE)</f>
        <v>Patricia</v>
      </c>
      <c r="F335" s="4" t="str">
        <f>VLOOKUP(A:A,Table1[[Project No]:[Additional Remark]],5,FALSE)</f>
        <v>R-PV</v>
      </c>
      <c r="G335" s="4" t="str">
        <f>VLOOKUP(A:A,Table1[[Project No]:[Additional Remark]],13,FALSE)</f>
        <v>Cash</v>
      </c>
      <c r="H335" s="4" t="str" cm="1">
        <f t="array" ref="H335">_xlfn.IFS((D335+C335)-J335=0,"Invoice Completed",AC335&lt;&gt;"","5th invoice",Y335&lt;&gt;"","4th invoice",U335&lt;&gt;"","3rd invoice",Q335&lt;&gt;"","2nd invoice",M335&lt;&gt;"","1st invoice",M335="","Pending 1st Invoice")</f>
        <v>2nd invoice</v>
      </c>
      <c r="I335" s="4" t="str" cm="1">
        <f t="array" ref="I335">_xlfn.IFS((C335+D335)-K335=0,"Payment Completed",AE335&lt;&gt;"","5th payment",AA335&lt;&gt;"","4th payment",W335&lt;&gt;"","3rd payment",S335&lt;&gt;"","2nd payment",O335&lt;&gt;"","1st payment",O335="","Pending 1st Payment")</f>
        <v>2nd payment</v>
      </c>
      <c r="J335" s="55">
        <f t="shared" si="10"/>
        <v>21800</v>
      </c>
      <c r="K335" s="55">
        <f t="shared" si="11"/>
        <v>21800</v>
      </c>
      <c r="L335" s="65">
        <v>45829</v>
      </c>
      <c r="M335" s="66">
        <v>1000</v>
      </c>
      <c r="N335" s="65">
        <v>45829</v>
      </c>
      <c r="O335" s="66">
        <v>1000</v>
      </c>
      <c r="P335" s="39">
        <v>45974</v>
      </c>
      <c r="Q335" s="57">
        <v>20800</v>
      </c>
      <c r="R335" s="39">
        <v>45973</v>
      </c>
      <c r="S335" s="57">
        <v>20800</v>
      </c>
      <c r="T335" s="65"/>
      <c r="U335" s="66"/>
      <c r="V335" s="65"/>
      <c r="W335" s="66"/>
      <c r="X335" s="39"/>
      <c r="Y335" s="57"/>
      <c r="Z335" s="39"/>
      <c r="AA335" s="57"/>
      <c r="AB335" s="65"/>
      <c r="AC335" s="66"/>
      <c r="AD335" s="65"/>
      <c r="AE335" s="66"/>
      <c r="AF335" s="39"/>
      <c r="AG335" s="57"/>
      <c r="AH335" s="39"/>
      <c r="AI335" s="57"/>
    </row>
    <row r="336" spans="1:35" ht="19.5" customHeight="1" x14ac:dyDescent="0.3">
      <c r="A336" s="4">
        <f>'ECN Master Project Tracker new'!A337</f>
        <v>2506778</v>
      </c>
      <c r="B336" s="110" t="str">
        <f>VLOOKUP(A:A,Table1[[Project No]:[Additional Remark]],2,FALSE)</f>
        <v>Teo Lun Wei</v>
      </c>
      <c r="C336" s="55">
        <f>VLOOKUP(A:A,Table1[[Project No]:[Additional Remark]],11,FALSE)</f>
        <v>20500</v>
      </c>
      <c r="D336" s="55">
        <f>VLOOKUP(A:A,Table1[[Project No]:[Additional Remark]],12,FALSE)</f>
        <v>0</v>
      </c>
      <c r="E336" s="55" t="str">
        <f>VLOOKUP(A:A,Table1[[Project No]:[Additional Remark]],4,FALSE)</f>
        <v>Patricia</v>
      </c>
      <c r="F336" s="4" t="str">
        <f>VLOOKUP(A:A,Table1[[Project No]:[Additional Remark]],5,FALSE)</f>
        <v>R-PV</v>
      </c>
      <c r="G336" s="4" t="str">
        <f>VLOOKUP(A:A,Table1[[Project No]:[Additional Remark]],13,FALSE)</f>
        <v>Cash</v>
      </c>
      <c r="H336" s="4" t="str" cm="1">
        <f t="array" ref="H336">_xlfn.IFS((D336+C336)-J336=0,"Invoice Completed",AC336&lt;&gt;"","5th invoice",Y336&lt;&gt;"","4th invoice",U336&lt;&gt;"","3rd invoice",Q336&lt;&gt;"","2nd invoice",M336&lt;&gt;"","1st invoice",M336="","Pending 1st Invoice")</f>
        <v>1st invoice</v>
      </c>
      <c r="I336" s="4" t="str" cm="1">
        <f t="array" ref="I336">_xlfn.IFS((C336+D336)-K336=0,"Payment Completed",AE336&lt;&gt;"","5th payment",AA336&lt;&gt;"","4th payment",W336&lt;&gt;"","3rd payment",S336&lt;&gt;"","2nd payment",O336&lt;&gt;"","1st payment",O336="","Pending 1st Payment")</f>
        <v>1st payment</v>
      </c>
      <c r="J336" s="55">
        <f t="shared" si="10"/>
        <v>1000</v>
      </c>
      <c r="K336" s="55">
        <f t="shared" si="11"/>
        <v>1000</v>
      </c>
      <c r="L336" s="65">
        <v>45831</v>
      </c>
      <c r="M336" s="66">
        <v>1000</v>
      </c>
      <c r="N336" s="65">
        <v>45831</v>
      </c>
      <c r="O336" s="66">
        <v>1000</v>
      </c>
      <c r="P336" s="39"/>
      <c r="Q336" s="57"/>
      <c r="R336" s="39"/>
      <c r="S336" s="57"/>
      <c r="T336" s="65"/>
      <c r="U336" s="66"/>
      <c r="V336" s="65"/>
      <c r="W336" s="66"/>
      <c r="X336" s="39"/>
      <c r="Y336" s="57"/>
      <c r="Z336" s="39"/>
      <c r="AA336" s="57"/>
      <c r="AB336" s="65"/>
      <c r="AC336" s="66"/>
      <c r="AD336" s="65"/>
      <c r="AE336" s="66"/>
      <c r="AF336" s="39"/>
      <c r="AG336" s="57"/>
      <c r="AH336" s="39"/>
      <c r="AI336" s="57"/>
    </row>
    <row r="337" spans="1:35" ht="19.5" customHeight="1" x14ac:dyDescent="0.3">
      <c r="A337" s="4">
        <f>'ECN Master Project Tracker new'!A338</f>
        <v>2506745</v>
      </c>
      <c r="B337" s="110" t="str">
        <f>VLOOKUP(A:A,Table1[[Project No]:[Additional Remark]],2,FALSE)</f>
        <v>Lee Ban Hong</v>
      </c>
      <c r="C337" s="55">
        <f>VLOOKUP(A:A,Table1[[Project No]:[Additional Remark]],11,FALSE)</f>
        <v>32500</v>
      </c>
      <c r="D337" s="55">
        <f>VLOOKUP(A:A,Table1[[Project No]:[Additional Remark]],12,FALSE)</f>
        <v>0</v>
      </c>
      <c r="E337" s="55" t="str">
        <f>VLOOKUP(A:A,Table1[[Project No]:[Additional Remark]],4,FALSE)</f>
        <v>Tham</v>
      </c>
      <c r="F337" s="4" t="str">
        <f>VLOOKUP(A:A,Table1[[Project No]:[Additional Remark]],5,FALSE)</f>
        <v>R-PV</v>
      </c>
      <c r="G337" s="4" t="str">
        <f>VLOOKUP(A:A,Table1[[Project No]:[Additional Remark]],13,FALSE)</f>
        <v>Cash</v>
      </c>
      <c r="H337" s="4" t="str" cm="1">
        <f t="array" ref="H337">_xlfn.IFS((D337+C337)-J337=0,"Invoice Completed",AC337&lt;&gt;"","5th invoice",Y337&lt;&gt;"","4th invoice",U337&lt;&gt;"","3rd invoice",Q337&lt;&gt;"","2nd invoice",M337&lt;&gt;"","1st invoice",M337="","Pending 1st Invoice")</f>
        <v>Invoice Completed</v>
      </c>
      <c r="I337" s="4" t="str" cm="1">
        <f t="array" ref="I337">_xlfn.IFS((C337+D337)-K337=0,"Payment Completed",AE337&lt;&gt;"","5th payment",AA337&lt;&gt;"","4th payment",W337&lt;&gt;"","3rd payment",S337&lt;&gt;"","2nd payment",O337&lt;&gt;"","1st payment",O337="","Pending 1st Payment")</f>
        <v>Payment Completed</v>
      </c>
      <c r="J337" s="55">
        <f t="shared" si="10"/>
        <v>32500</v>
      </c>
      <c r="K337" s="55">
        <f t="shared" si="11"/>
        <v>32500</v>
      </c>
      <c r="L337" s="65">
        <v>45823</v>
      </c>
      <c r="M337" s="66">
        <v>1000</v>
      </c>
      <c r="N337" s="65">
        <v>45823</v>
      </c>
      <c r="O337" s="66">
        <v>1000</v>
      </c>
      <c r="P337" s="39">
        <v>45874</v>
      </c>
      <c r="Q337" s="57">
        <v>29500</v>
      </c>
      <c r="R337" s="39">
        <v>45891</v>
      </c>
      <c r="S337" s="57">
        <v>29500</v>
      </c>
      <c r="T337" s="65">
        <v>45892</v>
      </c>
      <c r="U337" s="66">
        <v>2000</v>
      </c>
      <c r="V337" s="65">
        <v>45892</v>
      </c>
      <c r="W337" s="66">
        <v>2000</v>
      </c>
      <c r="X337" s="39"/>
      <c r="Y337" s="57"/>
      <c r="Z337" s="39"/>
      <c r="AA337" s="57"/>
      <c r="AB337" s="65"/>
      <c r="AC337" s="66"/>
      <c r="AD337" s="65"/>
      <c r="AE337" s="66"/>
      <c r="AF337" s="39"/>
      <c r="AG337" s="57"/>
      <c r="AH337" s="39"/>
      <c r="AI337" s="57"/>
    </row>
    <row r="338" spans="1:35" ht="19.5" customHeight="1" x14ac:dyDescent="0.3">
      <c r="A338" s="4">
        <f>'ECN Master Project Tracker new'!A339</f>
        <v>2506789</v>
      </c>
      <c r="B338" s="110" t="str">
        <f>VLOOKUP(A:A,Table1[[Project No]:[Additional Remark]],2,FALSE)</f>
        <v>Wu Sio Yunn</v>
      </c>
      <c r="C338" s="55">
        <f>VLOOKUP(A:A,Table1[[Project No]:[Additional Remark]],11,FALSE)</f>
        <v>27130</v>
      </c>
      <c r="D338" s="55">
        <f>VLOOKUP(A:A,Table1[[Project No]:[Additional Remark]],12,FALSE)</f>
        <v>0</v>
      </c>
      <c r="E338" s="55" t="str">
        <f>VLOOKUP(A:A,Table1[[Project No]:[Additional Remark]],4,FALSE)</f>
        <v>Patricia</v>
      </c>
      <c r="F338" s="4" t="str">
        <f>VLOOKUP(A:A,Table1[[Project No]:[Additional Remark]],5,FALSE)</f>
        <v>R-PV</v>
      </c>
      <c r="G338" s="4" t="str">
        <f>VLOOKUP(A:A,Table1[[Project No]:[Additional Remark]],13,FALSE)</f>
        <v>Credit Card Instalment</v>
      </c>
      <c r="H338" s="4" t="str" cm="1">
        <f t="array" ref="H338">_xlfn.IFS((D338+C338)-J338=0,"Invoice Completed",AC338&lt;&gt;"","5th invoice",Y338&lt;&gt;"","4th invoice",U338&lt;&gt;"","3rd invoice",Q338&lt;&gt;"","2nd invoice",M338&lt;&gt;"","1st invoice",M338="","Pending 1st Invoice")</f>
        <v>Invoice Completed</v>
      </c>
      <c r="I338" s="4" t="str" cm="1">
        <f t="array" ref="I338">_xlfn.IFS((C338+D338)-K338=0,"Payment Completed",AE338&lt;&gt;"","5th payment",AA338&lt;&gt;"","4th payment",W338&lt;&gt;"","3rd payment",S338&lt;&gt;"","2nd payment",O338&lt;&gt;"","1st payment",O338="","Pending 1st Payment")</f>
        <v>Payment Completed</v>
      </c>
      <c r="J338" s="55">
        <f t="shared" si="10"/>
        <v>27130</v>
      </c>
      <c r="K338" s="55">
        <f t="shared" si="11"/>
        <v>27130</v>
      </c>
      <c r="L338" s="65">
        <v>45832</v>
      </c>
      <c r="M338" s="66">
        <v>1000</v>
      </c>
      <c r="N338" s="65">
        <v>45832</v>
      </c>
      <c r="O338" s="66">
        <v>1000</v>
      </c>
      <c r="P338" s="39">
        <v>45888</v>
      </c>
      <c r="Q338" s="57">
        <v>10000</v>
      </c>
      <c r="R338" s="39">
        <v>45889</v>
      </c>
      <c r="S338" s="57">
        <v>10000</v>
      </c>
      <c r="T338" s="65">
        <v>45891</v>
      </c>
      <c r="U338" s="66">
        <v>16130</v>
      </c>
      <c r="V338" s="65">
        <v>45891</v>
      </c>
      <c r="W338" s="66">
        <v>16130</v>
      </c>
      <c r="X338" s="39"/>
      <c r="Y338" s="57"/>
      <c r="Z338" s="39"/>
      <c r="AA338" s="57"/>
      <c r="AB338" s="65"/>
      <c r="AC338" s="66"/>
      <c r="AD338" s="65"/>
      <c r="AE338" s="66"/>
      <c r="AF338" s="39"/>
      <c r="AG338" s="57"/>
      <c r="AH338" s="39"/>
      <c r="AI338" s="57"/>
    </row>
    <row r="339" spans="1:35" ht="19.5" customHeight="1" x14ac:dyDescent="0.3">
      <c r="A339" s="4">
        <f>'ECN Master Project Tracker new'!A340</f>
        <v>2404254</v>
      </c>
      <c r="B339" s="110" t="str">
        <f>VLOOKUP(A:A,Table1[[Project No]:[Additional Remark]],2,FALSE)</f>
        <v>Meor Farizal Bin Ramli</v>
      </c>
      <c r="C339" s="55">
        <f>VLOOKUP(A:A,Table1[[Project No]:[Additional Remark]],11,FALSE)</f>
        <v>19500</v>
      </c>
      <c r="D339" s="55">
        <f>VLOOKUP(A:A,Table1[[Project No]:[Additional Remark]],12,FALSE)</f>
        <v>0</v>
      </c>
      <c r="E339" s="55" t="str">
        <f>VLOOKUP(A:A,Table1[[Project No]:[Additional Remark]],4,FALSE)</f>
        <v>Chean Bang</v>
      </c>
      <c r="F339" s="4" t="str">
        <f>VLOOKUP(A:A,Table1[[Project No]:[Additional Remark]],5,FALSE)</f>
        <v>R-PV</v>
      </c>
      <c r="G339" s="4" t="str">
        <f>VLOOKUP(A:A,Table1[[Project No]:[Additional Remark]],13,FALSE)</f>
        <v>Cash</v>
      </c>
      <c r="H339" s="4" t="str" cm="1">
        <f t="array" ref="H339">_xlfn.IFS((D339+C339)-J339=0,"Invoice Completed",AC339&lt;&gt;"","5th invoice",Y339&lt;&gt;"","4th invoice",U339&lt;&gt;"","3rd invoice",Q339&lt;&gt;"","2nd invoice",M339&lt;&gt;"","1st invoice",M339="","Pending 1st Invoice")</f>
        <v>Invoice Completed</v>
      </c>
      <c r="I339" s="4" t="str" cm="1">
        <f t="array" ref="I339">_xlfn.IFS((C339+D339)-K339=0,"Payment Completed",AE339&lt;&gt;"","5th payment",AA339&lt;&gt;"","4th payment",W339&lt;&gt;"","3rd payment",S339&lt;&gt;"","2nd payment",O339&lt;&gt;"","1st payment",O339="","Pending 1st Payment")</f>
        <v>Payment Completed</v>
      </c>
      <c r="J339" s="55">
        <f t="shared" si="10"/>
        <v>19500</v>
      </c>
      <c r="K339" s="55">
        <f t="shared" si="11"/>
        <v>19500</v>
      </c>
      <c r="L339" s="65">
        <v>45833</v>
      </c>
      <c r="M339" s="66">
        <v>1000</v>
      </c>
      <c r="N339" s="65">
        <v>45833</v>
      </c>
      <c r="O339" s="66">
        <v>1000</v>
      </c>
      <c r="P339" s="39">
        <v>45886</v>
      </c>
      <c r="Q339" s="57">
        <v>16000</v>
      </c>
      <c r="R339" s="39">
        <v>45886</v>
      </c>
      <c r="S339" s="57">
        <v>16000</v>
      </c>
      <c r="T339" s="65">
        <v>45901</v>
      </c>
      <c r="U339" s="66">
        <v>2500</v>
      </c>
      <c r="V339" s="65">
        <v>45901</v>
      </c>
      <c r="W339" s="66">
        <v>2500</v>
      </c>
      <c r="X339" s="39"/>
      <c r="Y339" s="57"/>
      <c r="Z339" s="39"/>
      <c r="AA339" s="57"/>
      <c r="AB339" s="65"/>
      <c r="AC339" s="66"/>
      <c r="AD339" s="65"/>
      <c r="AE339" s="66"/>
      <c r="AF339" s="39"/>
      <c r="AG339" s="57"/>
      <c r="AH339" s="39"/>
      <c r="AI339" s="57"/>
    </row>
    <row r="340" spans="1:35" ht="19.5" customHeight="1" x14ac:dyDescent="0.3">
      <c r="A340" s="4">
        <f>'ECN Master Project Tracker new'!A341</f>
        <v>2506732</v>
      </c>
      <c r="B340" s="110" t="str">
        <f>VLOOKUP(A:A,Table1[[Project No]:[Additional Remark]],2,FALSE)</f>
        <v>Chai Shwu Yi (Tan Lewin)</v>
      </c>
      <c r="C340" s="55">
        <f>VLOOKUP(A:A,Table1[[Project No]:[Additional Remark]],11,FALSE)</f>
        <v>20500</v>
      </c>
      <c r="D340" s="55">
        <f>VLOOKUP(A:A,Table1[[Project No]:[Additional Remark]],12,FALSE)</f>
        <v>0</v>
      </c>
      <c r="E340" s="55" t="str">
        <f>VLOOKUP(A:A,Table1[[Project No]:[Additional Remark]],4,FALSE)</f>
        <v>Simon</v>
      </c>
      <c r="F340" s="4" t="str">
        <f>VLOOKUP(A:A,Table1[[Project No]:[Additional Remark]],5,FALSE)</f>
        <v>R-PV</v>
      </c>
      <c r="G340" s="4" t="str">
        <f>VLOOKUP(A:A,Table1[[Project No]:[Additional Remark]],13,FALSE)</f>
        <v>Cash</v>
      </c>
      <c r="H340" s="4" t="str" cm="1">
        <f t="array" ref="H340">_xlfn.IFS((D340+C340)-J340=0,"Invoice Completed",AC340&lt;&gt;"","5th invoice",Y340&lt;&gt;"","4th invoice",U340&lt;&gt;"","3rd invoice",Q340&lt;&gt;"","2nd invoice",M340&lt;&gt;"","1st invoice",M340="","Pending 1st Invoice")</f>
        <v>2nd invoice</v>
      </c>
      <c r="I340" s="4" t="str" cm="1">
        <f t="array" ref="I340">_xlfn.IFS((C340+D340)-K340=0,"Payment Completed",AE340&lt;&gt;"","5th payment",AA340&lt;&gt;"","4th payment",W340&lt;&gt;"","3rd payment",S340&lt;&gt;"","2nd payment",O340&lt;&gt;"","1st payment",O340="","Pending 1st Payment")</f>
        <v>1st payment</v>
      </c>
      <c r="J340" s="55">
        <f t="shared" si="10"/>
        <v>18500</v>
      </c>
      <c r="K340" s="55">
        <f t="shared" si="11"/>
        <v>1000</v>
      </c>
      <c r="L340" s="65">
        <v>45833</v>
      </c>
      <c r="M340" s="66">
        <v>1000</v>
      </c>
      <c r="N340" s="65">
        <v>42180</v>
      </c>
      <c r="O340" s="66">
        <v>1000</v>
      </c>
      <c r="P340" s="39">
        <v>45890</v>
      </c>
      <c r="Q340" s="57">
        <v>17500</v>
      </c>
      <c r="R340" s="39"/>
      <c r="S340" s="57"/>
      <c r="T340" s="65"/>
      <c r="U340" s="66"/>
      <c r="V340" s="65"/>
      <c r="W340" s="66"/>
      <c r="X340" s="39"/>
      <c r="Y340" s="57"/>
      <c r="Z340" s="39"/>
      <c r="AA340" s="57"/>
      <c r="AB340" s="65"/>
      <c r="AC340" s="66"/>
      <c r="AD340" s="65"/>
      <c r="AE340" s="66"/>
      <c r="AF340" s="39"/>
      <c r="AG340" s="57"/>
      <c r="AH340" s="39"/>
      <c r="AI340" s="57"/>
    </row>
    <row r="341" spans="1:35" ht="19.5" customHeight="1" x14ac:dyDescent="0.3">
      <c r="A341" s="4">
        <f>'ECN Master Project Tracker new'!A342</f>
        <v>2506767</v>
      </c>
      <c r="B341" s="110" t="str">
        <f>VLOOKUP(A:A,Table1[[Project No]:[Additional Remark]],2,FALSE)</f>
        <v>Lee Lee Tan @ Tan Lee Lee</v>
      </c>
      <c r="C341" s="55">
        <f>VLOOKUP(A:A,Table1[[Project No]:[Additional Remark]],11,FALSE)</f>
        <v>20500</v>
      </c>
      <c r="D341" s="55">
        <f>VLOOKUP(A:A,Table1[[Project No]:[Additional Remark]],12,FALSE)</f>
        <v>0</v>
      </c>
      <c r="E341" s="55" t="str">
        <f>VLOOKUP(A:A,Table1[[Project No]:[Additional Remark]],4,FALSE)</f>
        <v>Tham</v>
      </c>
      <c r="F341" s="4" t="str">
        <f>VLOOKUP(A:A,Table1[[Project No]:[Additional Remark]],5,FALSE)</f>
        <v>R-PV</v>
      </c>
      <c r="G341" s="4" t="str">
        <f>VLOOKUP(A:A,Table1[[Project No]:[Additional Remark]],13,FALSE)</f>
        <v>Cash</v>
      </c>
      <c r="H341" s="4" t="str" cm="1">
        <f t="array" ref="H341">_xlfn.IFS((D341+C341)-J341=0,"Invoice Completed",AC341&lt;&gt;"","5th invoice",Y341&lt;&gt;"","4th invoice",U341&lt;&gt;"","3rd invoice",Q341&lt;&gt;"","2nd invoice",M341&lt;&gt;"","1st invoice",M341="","Pending 1st Invoice")</f>
        <v>Invoice Completed</v>
      </c>
      <c r="I341" s="4" t="str" cm="1">
        <f t="array" ref="I341">_xlfn.IFS((C341+D341)-K341=0,"Payment Completed",AE341&lt;&gt;"","5th payment",AA341&lt;&gt;"","4th payment",W341&lt;&gt;"","3rd payment",S341&lt;&gt;"","2nd payment",O341&lt;&gt;"","1st payment",O341="","Pending 1st Payment")</f>
        <v>Payment Completed</v>
      </c>
      <c r="J341" s="55">
        <f t="shared" si="10"/>
        <v>20500</v>
      </c>
      <c r="K341" s="55">
        <f t="shared" si="11"/>
        <v>20500</v>
      </c>
      <c r="L341" s="65">
        <v>45833</v>
      </c>
      <c r="M341" s="66">
        <v>1000</v>
      </c>
      <c r="N341" s="65">
        <v>45833</v>
      </c>
      <c r="O341" s="66">
        <v>1000</v>
      </c>
      <c r="P341" s="39">
        <v>45912</v>
      </c>
      <c r="Q341" s="57">
        <v>19500</v>
      </c>
      <c r="R341" s="39">
        <v>45912</v>
      </c>
      <c r="S341" s="57">
        <v>19500</v>
      </c>
      <c r="T341" s="65"/>
      <c r="U341" s="66"/>
      <c r="V341" s="65"/>
      <c r="W341" s="66"/>
      <c r="X341" s="39"/>
      <c r="Y341" s="57"/>
      <c r="Z341" s="39"/>
      <c r="AA341" s="57"/>
      <c r="AB341" s="65"/>
      <c r="AC341" s="66"/>
      <c r="AD341" s="65"/>
      <c r="AE341" s="66"/>
      <c r="AF341" s="39"/>
      <c r="AG341" s="57"/>
      <c r="AH341" s="39"/>
      <c r="AI341" s="57"/>
    </row>
    <row r="342" spans="1:35" ht="19.5" customHeight="1" x14ac:dyDescent="0.3">
      <c r="A342" s="4">
        <f>'ECN Master Project Tracker new'!A343</f>
        <v>2506759</v>
      </c>
      <c r="B342" s="110" t="str">
        <f>VLOOKUP(A:A,Table1[[Project No]:[Additional Remark]],2,FALSE)</f>
        <v>Yim Kai Mun</v>
      </c>
      <c r="C342" s="55">
        <f>VLOOKUP(A:A,Table1[[Project No]:[Additional Remark]],11,FALSE)</f>
        <v>27000</v>
      </c>
      <c r="D342" s="55">
        <f>VLOOKUP(A:A,Table1[[Project No]:[Additional Remark]],12,FALSE)</f>
        <v>0</v>
      </c>
      <c r="E342" s="55" t="str">
        <f>VLOOKUP(A:A,Table1[[Project No]:[Additional Remark]],4,FALSE)</f>
        <v>Patricia</v>
      </c>
      <c r="F342" s="4" t="str">
        <f>VLOOKUP(A:A,Table1[[Project No]:[Additional Remark]],5,FALSE)</f>
        <v>R-PV</v>
      </c>
      <c r="G342" s="4" t="str">
        <f>VLOOKUP(A:A,Table1[[Project No]:[Additional Remark]],13,FALSE)</f>
        <v>Cash</v>
      </c>
      <c r="H342" s="4" t="str" cm="1">
        <f t="array" ref="H342">_xlfn.IFS((D342+C342)-J342=0,"Invoice Completed",AC342&lt;&gt;"","5th invoice",Y342&lt;&gt;"","4th invoice",U342&lt;&gt;"","3rd invoice",Q342&lt;&gt;"","2nd invoice",M342&lt;&gt;"","1st invoice",M342="","Pending 1st Invoice")</f>
        <v>2nd invoice</v>
      </c>
      <c r="I342" s="4" t="str" cm="1">
        <f t="array" ref="I342">_xlfn.IFS((C342+D342)-K342=0,"Payment Completed",AE342&lt;&gt;"","5th payment",AA342&lt;&gt;"","4th payment",W342&lt;&gt;"","3rd payment",S342&lt;&gt;"","2nd payment",O342&lt;&gt;"","1st payment",O342="","Pending 1st Payment")</f>
        <v>2nd payment</v>
      </c>
      <c r="J342" s="55">
        <f t="shared" si="10"/>
        <v>25000</v>
      </c>
      <c r="K342" s="55">
        <f t="shared" si="11"/>
        <v>25000</v>
      </c>
      <c r="L342" s="65">
        <v>45833</v>
      </c>
      <c r="M342" s="66">
        <v>1000</v>
      </c>
      <c r="N342" s="65">
        <v>45833</v>
      </c>
      <c r="O342" s="66">
        <v>1000</v>
      </c>
      <c r="P342" s="39">
        <v>45873</v>
      </c>
      <c r="Q342" s="57">
        <v>24000</v>
      </c>
      <c r="R342" s="39">
        <v>45874</v>
      </c>
      <c r="S342" s="57">
        <v>24000</v>
      </c>
      <c r="T342" s="65"/>
      <c r="U342" s="66"/>
      <c r="V342" s="65"/>
      <c r="W342" s="66"/>
      <c r="X342" s="39"/>
      <c r="Y342" s="57"/>
      <c r="Z342" s="39"/>
      <c r="AA342" s="57"/>
      <c r="AB342" s="65"/>
      <c r="AC342" s="66"/>
      <c r="AD342" s="65"/>
      <c r="AE342" s="66"/>
      <c r="AF342" s="39"/>
      <c r="AG342" s="57"/>
      <c r="AH342" s="39"/>
      <c r="AI342" s="57"/>
    </row>
    <row r="343" spans="1:35" ht="19.5" customHeight="1" x14ac:dyDescent="0.3">
      <c r="A343" s="4">
        <f>'ECN Master Project Tracker new'!A344</f>
        <v>2506794</v>
      </c>
      <c r="B343" s="110" t="str">
        <f>VLOOKUP(A:A,Table1[[Project No]:[Additional Remark]],2,FALSE)</f>
        <v>Ahmad Fadhil Bin Alias</v>
      </c>
      <c r="C343" s="55">
        <f>VLOOKUP(A:A,Table1[[Project No]:[Additional Remark]],11,FALSE)</f>
        <v>25000</v>
      </c>
      <c r="D343" s="55">
        <f>VLOOKUP(A:A,Table1[[Project No]:[Additional Remark]],12,FALSE)</f>
        <v>0</v>
      </c>
      <c r="E343" s="55" t="str">
        <f>VLOOKUP(A:A,Table1[[Project No]:[Additional Remark]],4,FALSE)</f>
        <v>Patricia</v>
      </c>
      <c r="F343" s="4" t="str">
        <f>VLOOKUP(A:A,Table1[[Project No]:[Additional Remark]],5,FALSE)</f>
        <v>R-PV</v>
      </c>
      <c r="G343" s="4" t="str">
        <f>VLOOKUP(A:A,Table1[[Project No]:[Additional Remark]],13,FALSE)</f>
        <v>Cash</v>
      </c>
      <c r="H343" s="4" t="str" cm="1">
        <f t="array" ref="H343">_xlfn.IFS((D343+C343)-J343=0,"Invoice Completed",AC343&lt;&gt;"","5th invoice",Y343&lt;&gt;"","4th invoice",U343&lt;&gt;"","3rd invoice",Q343&lt;&gt;"","2nd invoice",M343&lt;&gt;"","1st invoice",M343="","Pending 1st Invoice")</f>
        <v>2nd invoice</v>
      </c>
      <c r="I343" s="4" t="str" cm="1">
        <f t="array" ref="I343">_xlfn.IFS((C343+D343)-K343=0,"Payment Completed",AE343&lt;&gt;"","5th payment",AA343&lt;&gt;"","4th payment",W343&lt;&gt;"","3rd payment",S343&lt;&gt;"","2nd payment",O343&lt;&gt;"","1st payment",O343="","Pending 1st Payment")</f>
        <v>2nd payment</v>
      </c>
      <c r="J343" s="55">
        <f t="shared" si="10"/>
        <v>23000</v>
      </c>
      <c r="K343" s="55">
        <f t="shared" si="11"/>
        <v>23000</v>
      </c>
      <c r="L343" s="65">
        <v>45834</v>
      </c>
      <c r="M343" s="66">
        <v>1000</v>
      </c>
      <c r="N343" s="65">
        <v>45834</v>
      </c>
      <c r="O343" s="66">
        <v>1000</v>
      </c>
      <c r="P343" s="39">
        <v>45932</v>
      </c>
      <c r="Q343" s="57">
        <v>22000</v>
      </c>
      <c r="R343" s="39">
        <v>45937</v>
      </c>
      <c r="S343" s="57">
        <v>22000</v>
      </c>
      <c r="T343" s="65"/>
      <c r="U343" s="66"/>
      <c r="V343" s="65"/>
      <c r="W343" s="66"/>
      <c r="X343" s="39"/>
      <c r="Y343" s="57"/>
      <c r="Z343" s="39"/>
      <c r="AA343" s="57"/>
      <c r="AB343" s="65"/>
      <c r="AC343" s="66"/>
      <c r="AD343" s="65"/>
      <c r="AE343" s="66"/>
      <c r="AF343" s="39"/>
      <c r="AG343" s="57"/>
      <c r="AH343" s="39"/>
      <c r="AI343" s="57"/>
    </row>
    <row r="344" spans="1:35" ht="19.5" customHeight="1" x14ac:dyDescent="0.3">
      <c r="A344" s="4">
        <f>'ECN Master Project Tracker new'!A345</f>
        <v>2506798</v>
      </c>
      <c r="B344" s="110" t="str">
        <f>VLOOKUP(A:A,Table1[[Project No]:[Additional Remark]],2,FALSE)</f>
        <v>Lew Sieow Shih</v>
      </c>
      <c r="C344" s="55">
        <f>VLOOKUP(A:A,Table1[[Project No]:[Additional Remark]],11,FALSE)</f>
        <v>20500</v>
      </c>
      <c r="D344" s="55">
        <f>VLOOKUP(A:A,Table1[[Project No]:[Additional Remark]],12,FALSE)</f>
        <v>0</v>
      </c>
      <c r="E344" s="55" t="str">
        <f>VLOOKUP(A:A,Table1[[Project No]:[Additional Remark]],4,FALSE)</f>
        <v>Patricia</v>
      </c>
      <c r="F344" s="4" t="str">
        <f>VLOOKUP(A:A,Table1[[Project No]:[Additional Remark]],5,FALSE)</f>
        <v>R-PV</v>
      </c>
      <c r="G344" s="4" t="str">
        <f>VLOOKUP(A:A,Table1[[Project No]:[Additional Remark]],13,FALSE)</f>
        <v>Cash</v>
      </c>
      <c r="H344" s="4" t="str" cm="1">
        <f t="array" ref="H344">_xlfn.IFS((D344+C344)-J344=0,"Invoice Completed",AC344&lt;&gt;"","5th invoice",Y344&lt;&gt;"","4th invoice",U344&lt;&gt;"","3rd invoice",Q344&lt;&gt;"","2nd invoice",M344&lt;&gt;"","1st invoice",M344="","Pending 1st Invoice")</f>
        <v>1st invoice</v>
      </c>
      <c r="I344" s="4" t="str" cm="1">
        <f t="array" ref="I344">_xlfn.IFS((C344+D344)-K344=0,"Payment Completed",AE344&lt;&gt;"","5th payment",AA344&lt;&gt;"","4th payment",W344&lt;&gt;"","3rd payment",S344&lt;&gt;"","2nd payment",O344&lt;&gt;"","1st payment",O344="","Pending 1st Payment")</f>
        <v>1st payment</v>
      </c>
      <c r="J344" s="55">
        <f t="shared" si="10"/>
        <v>1000</v>
      </c>
      <c r="K344" s="55">
        <f t="shared" si="11"/>
        <v>1000</v>
      </c>
      <c r="L344" s="65">
        <v>45833</v>
      </c>
      <c r="M344" s="66">
        <v>1000</v>
      </c>
      <c r="N344" s="65">
        <v>45833</v>
      </c>
      <c r="O344" s="66">
        <v>1000</v>
      </c>
      <c r="P344" s="39"/>
      <c r="Q344" s="57"/>
      <c r="R344" s="39"/>
      <c r="S344" s="57"/>
      <c r="T344" s="65"/>
      <c r="U344" s="66"/>
      <c r="V344" s="65"/>
      <c r="W344" s="66"/>
      <c r="X344" s="39"/>
      <c r="Y344" s="57"/>
      <c r="Z344" s="39"/>
      <c r="AA344" s="57"/>
      <c r="AB344" s="65"/>
      <c r="AC344" s="66"/>
      <c r="AD344" s="65"/>
      <c r="AE344" s="66"/>
      <c r="AF344" s="39"/>
      <c r="AG344" s="57"/>
      <c r="AH344" s="39"/>
      <c r="AI344" s="57"/>
    </row>
    <row r="345" spans="1:35" ht="19.5" customHeight="1" x14ac:dyDescent="0.3">
      <c r="A345" s="4">
        <f>'ECN Master Project Tracker new'!A346</f>
        <v>2506773</v>
      </c>
      <c r="B345" s="110" t="str">
        <f>VLOOKUP(A:A,Table1[[Project No]:[Additional Remark]],2,FALSE)</f>
        <v>Leiw Chew Choi</v>
      </c>
      <c r="C345" s="55">
        <f>VLOOKUP(A:A,Table1[[Project No]:[Additional Remark]],11,FALSE)</f>
        <v>32500</v>
      </c>
      <c r="D345" s="55">
        <f>VLOOKUP(A:A,Table1[[Project No]:[Additional Remark]],12,FALSE)</f>
        <v>0</v>
      </c>
      <c r="E345" s="55" t="str">
        <f>VLOOKUP(A:A,Table1[[Project No]:[Additional Remark]],4,FALSE)</f>
        <v>Patricia</v>
      </c>
      <c r="F345" s="4" t="str">
        <f>VLOOKUP(A:A,Table1[[Project No]:[Additional Remark]],5,FALSE)</f>
        <v>R-PV</v>
      </c>
      <c r="G345" s="4" t="str">
        <f>VLOOKUP(A:A,Table1[[Project No]:[Additional Remark]],13,FALSE)</f>
        <v>Cash</v>
      </c>
      <c r="H345" s="4" t="str" cm="1">
        <f t="array" ref="H345">_xlfn.IFS((D345+C345)-J345=0,"Invoice Completed",AC345&lt;&gt;"","5th invoice",Y345&lt;&gt;"","4th invoice",U345&lt;&gt;"","3rd invoice",Q345&lt;&gt;"","2nd invoice",M345&lt;&gt;"","1st invoice",M345="","Pending 1st Invoice")</f>
        <v>1st invoice</v>
      </c>
      <c r="I345" s="4" t="str" cm="1">
        <f t="array" ref="I345">_xlfn.IFS((C345+D345)-K345=0,"Payment Completed",AE345&lt;&gt;"","5th payment",AA345&lt;&gt;"","4th payment",W345&lt;&gt;"","3rd payment",S345&lt;&gt;"","2nd payment",O345&lt;&gt;"","1st payment",O345="","Pending 1st Payment")</f>
        <v>1st payment</v>
      </c>
      <c r="J345" s="55">
        <f t="shared" si="10"/>
        <v>1000</v>
      </c>
      <c r="K345" s="55">
        <f t="shared" si="11"/>
        <v>1000</v>
      </c>
      <c r="L345" s="65">
        <v>45834</v>
      </c>
      <c r="M345" s="66">
        <v>1000</v>
      </c>
      <c r="N345" s="65">
        <v>45834</v>
      </c>
      <c r="O345" s="66">
        <v>1000</v>
      </c>
      <c r="P345" s="39"/>
      <c r="Q345" s="57"/>
      <c r="R345" s="39"/>
      <c r="S345" s="57"/>
      <c r="T345" s="65"/>
      <c r="U345" s="66"/>
      <c r="V345" s="65"/>
      <c r="W345" s="66"/>
      <c r="X345" s="39"/>
      <c r="Y345" s="57"/>
      <c r="Z345" s="39"/>
      <c r="AA345" s="57"/>
      <c r="AB345" s="65"/>
      <c r="AC345" s="66"/>
      <c r="AD345" s="65"/>
      <c r="AE345" s="66"/>
      <c r="AF345" s="39"/>
      <c r="AG345" s="57"/>
      <c r="AH345" s="39"/>
      <c r="AI345" s="57"/>
    </row>
    <row r="346" spans="1:35" ht="19.5" customHeight="1" x14ac:dyDescent="0.3">
      <c r="A346" s="4" t="str">
        <f>'ECN Master Project Tracker new'!A347</f>
        <v>2506789-1</v>
      </c>
      <c r="B346" s="110" t="str">
        <f>VLOOKUP(A:A,Table1[[Project No]:[Additional Remark]],2,FALSE)</f>
        <v>Lim Kim Kiew</v>
      </c>
      <c r="C346" s="55">
        <f>VLOOKUP(A:A,Table1[[Project No]:[Additional Remark]],11,FALSE)</f>
        <v>20500</v>
      </c>
      <c r="D346" s="55">
        <f>VLOOKUP(A:A,Table1[[Project No]:[Additional Remark]],12,FALSE)</f>
        <v>0</v>
      </c>
      <c r="E346" s="55" t="str">
        <f>VLOOKUP(A:A,Table1[[Project No]:[Additional Remark]],4,FALSE)</f>
        <v>Chean Bang</v>
      </c>
      <c r="F346" s="4" t="str">
        <f>VLOOKUP(A:A,Table1[[Project No]:[Additional Remark]],5,FALSE)</f>
        <v>R-PV</v>
      </c>
      <c r="G346" s="4" t="str">
        <f>VLOOKUP(A:A,Table1[[Project No]:[Additional Remark]],13,FALSE)</f>
        <v>Cash</v>
      </c>
      <c r="H346" s="4" t="str" cm="1">
        <f t="array" ref="H346">_xlfn.IFS((D346+C346)-J346=0,"Invoice Completed",AC346&lt;&gt;"","5th invoice",Y346&lt;&gt;"","4th invoice",U346&lt;&gt;"","3rd invoice",Q346&lt;&gt;"","2nd invoice",M346&lt;&gt;"","1st invoice",M346="","Pending 1st Invoice")</f>
        <v>Invoice Completed</v>
      </c>
      <c r="I346" s="4" t="str" cm="1">
        <f t="array" ref="I346">_xlfn.IFS((C346+D346)-K346=0,"Payment Completed",AE346&lt;&gt;"","5th payment",AA346&lt;&gt;"","4th payment",W346&lt;&gt;"","3rd payment",S346&lt;&gt;"","2nd payment",O346&lt;&gt;"","1st payment",O346="","Pending 1st Payment")</f>
        <v>Payment Completed</v>
      </c>
      <c r="J346" s="55">
        <f t="shared" si="10"/>
        <v>20500</v>
      </c>
      <c r="K346" s="55">
        <f t="shared" si="11"/>
        <v>20500</v>
      </c>
      <c r="L346" s="65">
        <v>45833</v>
      </c>
      <c r="M346" s="66">
        <v>1000</v>
      </c>
      <c r="N346" s="65">
        <v>45833</v>
      </c>
      <c r="O346" s="66">
        <v>1000</v>
      </c>
      <c r="P346" s="39">
        <v>45875</v>
      </c>
      <c r="Q346" s="57">
        <v>17500</v>
      </c>
      <c r="R346" s="39">
        <v>45875</v>
      </c>
      <c r="S346" s="57">
        <v>17500</v>
      </c>
      <c r="T346" s="65">
        <v>45902</v>
      </c>
      <c r="U346" s="66">
        <v>2000</v>
      </c>
      <c r="V346" s="65">
        <v>45903</v>
      </c>
      <c r="W346" s="66">
        <v>2000</v>
      </c>
      <c r="X346" s="39"/>
      <c r="Y346" s="57"/>
      <c r="Z346" s="39"/>
      <c r="AA346" s="57"/>
      <c r="AB346" s="65"/>
      <c r="AC346" s="66"/>
      <c r="AD346" s="65"/>
      <c r="AE346" s="66"/>
      <c r="AF346" s="39"/>
      <c r="AG346" s="57"/>
      <c r="AH346" s="39"/>
      <c r="AI346" s="57"/>
    </row>
    <row r="347" spans="1:35" ht="19.5" customHeight="1" x14ac:dyDescent="0.3">
      <c r="A347" s="4">
        <f>'ECN Master Project Tracker new'!A348</f>
        <v>2506786</v>
      </c>
      <c r="B347" s="110" t="str">
        <f>VLOOKUP(A:A,Table1[[Project No]:[Additional Remark]],2,FALSE)</f>
        <v>Lim Chee Seng</v>
      </c>
      <c r="C347" s="55">
        <f>VLOOKUP(A:A,Table1[[Project No]:[Additional Remark]],11,FALSE)</f>
        <v>30500</v>
      </c>
      <c r="D347" s="55">
        <f>VLOOKUP(A:A,Table1[[Project No]:[Additional Remark]],12,FALSE)</f>
        <v>0</v>
      </c>
      <c r="E347" s="55" t="str">
        <f>VLOOKUP(A:A,Table1[[Project No]:[Additional Remark]],4,FALSE)</f>
        <v>Tham</v>
      </c>
      <c r="F347" s="4" t="str">
        <f>VLOOKUP(A:A,Table1[[Project No]:[Additional Remark]],5,FALSE)</f>
        <v>R-PV</v>
      </c>
      <c r="G347" s="4" t="str">
        <f>VLOOKUP(A:A,Table1[[Project No]:[Additional Remark]],13,FALSE)</f>
        <v>Cash</v>
      </c>
      <c r="H347" s="4" t="str" cm="1">
        <f t="array" ref="H347">_xlfn.IFS((D347+C347)-J347=0,"Invoice Completed",AC347&lt;&gt;"","5th invoice",Y347&lt;&gt;"","4th invoice",U347&lt;&gt;"","3rd invoice",Q347&lt;&gt;"","2nd invoice",M347&lt;&gt;"","1st invoice",M347="","Pending 1st Invoice")</f>
        <v>Invoice Completed</v>
      </c>
      <c r="I347" s="4" t="str" cm="1">
        <f t="array" ref="I347">_xlfn.IFS((C347+D347)-K347=0,"Payment Completed",AE347&lt;&gt;"","5th payment",AA347&lt;&gt;"","4th payment",W347&lt;&gt;"","3rd payment",S347&lt;&gt;"","2nd payment",O347&lt;&gt;"","1st payment",O347="","Pending 1st Payment")</f>
        <v>Payment Completed</v>
      </c>
      <c r="J347" s="55">
        <f t="shared" si="10"/>
        <v>30500</v>
      </c>
      <c r="K347" s="55">
        <f t="shared" si="11"/>
        <v>30500</v>
      </c>
      <c r="L347" s="65">
        <v>45837</v>
      </c>
      <c r="M347" s="66">
        <v>1000</v>
      </c>
      <c r="N347" s="65">
        <v>45837</v>
      </c>
      <c r="O347" s="66">
        <v>1000</v>
      </c>
      <c r="P347" s="39">
        <v>45891</v>
      </c>
      <c r="Q347" s="57">
        <v>29500</v>
      </c>
      <c r="R347" s="39">
        <v>45891</v>
      </c>
      <c r="S347" s="57">
        <v>29500</v>
      </c>
      <c r="T347" s="65"/>
      <c r="U347" s="66"/>
      <c r="V347" s="65"/>
      <c r="W347" s="66"/>
      <c r="X347" s="39"/>
      <c r="Y347" s="57"/>
      <c r="Z347" s="39"/>
      <c r="AA347" s="57"/>
      <c r="AB347" s="65"/>
      <c r="AC347" s="66"/>
      <c r="AD347" s="65"/>
      <c r="AE347" s="66"/>
      <c r="AF347" s="39"/>
      <c r="AG347" s="57"/>
      <c r="AH347" s="39"/>
      <c r="AI347" s="57"/>
    </row>
    <row r="348" spans="1:35" ht="19.5" customHeight="1" x14ac:dyDescent="0.3">
      <c r="A348" s="4">
        <f>'ECN Master Project Tracker new'!A349</f>
        <v>2505260</v>
      </c>
      <c r="B348" s="110" t="str">
        <f>VLOOKUP(A:A,Table1[[Project No]:[Additional Remark]],2,FALSE)</f>
        <v>Canning Garden Baptist Church</v>
      </c>
      <c r="C348" s="55">
        <f>VLOOKUP(A:A,Table1[[Project No]:[Additional Remark]],11,FALSE)</f>
        <v>95000</v>
      </c>
      <c r="D348" s="55">
        <f>VLOOKUP(A:A,Table1[[Project No]:[Additional Remark]],12,FALSE)</f>
        <v>0</v>
      </c>
      <c r="E348" s="55" t="str">
        <f>VLOOKUP(A:A,Table1[[Project No]:[Additional Remark]],4,FALSE)</f>
        <v>Patricia</v>
      </c>
      <c r="F348" s="4" t="str">
        <f>VLOOKUP(A:A,Table1[[Project No]:[Additional Remark]],5,FALSE)</f>
        <v>C&amp;I-PV</v>
      </c>
      <c r="G348" s="4" t="str">
        <f>VLOOKUP(A:A,Table1[[Project No]:[Additional Remark]],13,FALSE)</f>
        <v>Cash</v>
      </c>
      <c r="H348" s="4" t="str" cm="1">
        <f t="array" ref="H348">_xlfn.IFS((D348+C348)-J348=0,"Invoice Completed",AC348&lt;&gt;"","5th invoice",Y348&lt;&gt;"","4th invoice",U348&lt;&gt;"","3rd invoice",Q348&lt;&gt;"","2nd invoice",M348&lt;&gt;"","1st invoice",M348="","Pending 1st Invoice")</f>
        <v>2nd invoice</v>
      </c>
      <c r="I348" s="4" t="str" cm="1">
        <f t="array" ref="I348">_xlfn.IFS((C348+D348)-K348=0,"Payment Completed",AE348&lt;&gt;"","5th payment",AA348&lt;&gt;"","4th payment",W348&lt;&gt;"","3rd payment",S348&lt;&gt;"","2nd payment",O348&lt;&gt;"","1st payment",O348="","Pending 1st Payment")</f>
        <v>2nd payment</v>
      </c>
      <c r="J348" s="55">
        <f t="shared" si="10"/>
        <v>42750</v>
      </c>
      <c r="K348" s="55">
        <f t="shared" si="11"/>
        <v>42750</v>
      </c>
      <c r="L348" s="65">
        <v>45834</v>
      </c>
      <c r="M348" s="66">
        <v>9500</v>
      </c>
      <c r="N348" s="65">
        <v>45863</v>
      </c>
      <c r="O348" s="66">
        <v>9500</v>
      </c>
      <c r="P348" s="39">
        <v>45930</v>
      </c>
      <c r="Q348" s="57">
        <v>33250</v>
      </c>
      <c r="R348" s="39">
        <v>45936</v>
      </c>
      <c r="S348" s="57">
        <v>33250</v>
      </c>
      <c r="T348" s="65"/>
      <c r="U348" s="66"/>
      <c r="V348" s="65"/>
      <c r="W348" s="66"/>
      <c r="X348" s="39"/>
      <c r="Y348" s="57"/>
      <c r="Z348" s="39"/>
      <c r="AA348" s="57"/>
      <c r="AB348" s="65"/>
      <c r="AC348" s="66"/>
      <c r="AD348" s="65"/>
      <c r="AE348" s="66"/>
      <c r="AF348" s="39"/>
      <c r="AG348" s="57"/>
      <c r="AH348" s="39"/>
      <c r="AI348" s="57"/>
    </row>
    <row r="349" spans="1:35" ht="19.5" customHeight="1" x14ac:dyDescent="0.3">
      <c r="A349" s="4">
        <f>'ECN Master Project Tracker new'!A350</f>
        <v>2506799</v>
      </c>
      <c r="B349" s="110" t="str">
        <f>VLOOKUP(A:A,Table1[[Project No]:[Additional Remark]],2,FALSE)</f>
        <v>Lee Cheow Ban</v>
      </c>
      <c r="C349" s="55">
        <f>VLOOKUP(A:A,Table1[[Project No]:[Additional Remark]],11,FALSE)</f>
        <v>30500</v>
      </c>
      <c r="D349" s="55">
        <f>VLOOKUP(A:A,Table1[[Project No]:[Additional Remark]],12,FALSE)</f>
        <v>0</v>
      </c>
      <c r="E349" s="55" t="str">
        <f>VLOOKUP(A:A,Table1[[Project No]:[Additional Remark]],4,FALSE)</f>
        <v>Patricia</v>
      </c>
      <c r="F349" s="4" t="str">
        <f>VLOOKUP(A:A,Table1[[Project No]:[Additional Remark]],5,FALSE)</f>
        <v>R-PV</v>
      </c>
      <c r="G349" s="4" t="str">
        <f>VLOOKUP(A:A,Table1[[Project No]:[Additional Remark]],13,FALSE)</f>
        <v>Cash</v>
      </c>
      <c r="H349" s="4" t="str" cm="1">
        <f t="array" ref="H349">_xlfn.IFS((D349+C349)-J349=0,"Invoice Completed",AC349&lt;&gt;"","5th invoice",Y349&lt;&gt;"","4th invoice",U349&lt;&gt;"","3rd invoice",Q349&lt;&gt;"","2nd invoice",M349&lt;&gt;"","1st invoice",M349="","Pending 1st Invoice")</f>
        <v>Invoice Completed</v>
      </c>
      <c r="I349" s="4" t="str" cm="1">
        <f t="array" ref="I349">_xlfn.IFS((C349+D349)-K349=0,"Payment Completed",AE349&lt;&gt;"","5th payment",AA349&lt;&gt;"","4th payment",W349&lt;&gt;"","3rd payment",S349&lt;&gt;"","2nd payment",O349&lt;&gt;"","1st payment",O349="","Pending 1st Payment")</f>
        <v>Payment Completed</v>
      </c>
      <c r="J349" s="55">
        <f t="shared" si="10"/>
        <v>30500</v>
      </c>
      <c r="K349" s="55">
        <f t="shared" si="11"/>
        <v>30500</v>
      </c>
      <c r="L349" s="65">
        <v>45833</v>
      </c>
      <c r="M349" s="66">
        <v>1000</v>
      </c>
      <c r="N349" s="65">
        <v>45833</v>
      </c>
      <c r="O349" s="66">
        <v>1000</v>
      </c>
      <c r="P349" s="39">
        <v>45875</v>
      </c>
      <c r="Q349" s="57">
        <v>29500</v>
      </c>
      <c r="R349" s="39">
        <v>45875</v>
      </c>
      <c r="S349" s="57">
        <v>29500</v>
      </c>
      <c r="T349" s="65"/>
      <c r="U349" s="66"/>
      <c r="V349" s="65"/>
      <c r="W349" s="66"/>
      <c r="X349" s="39"/>
      <c r="Y349" s="57"/>
      <c r="Z349" s="39"/>
      <c r="AA349" s="57"/>
      <c r="AB349" s="65"/>
      <c r="AC349" s="66"/>
      <c r="AD349" s="65"/>
      <c r="AE349" s="66"/>
      <c r="AF349" s="39"/>
      <c r="AG349" s="57"/>
      <c r="AH349" s="39"/>
      <c r="AI349" s="57"/>
    </row>
    <row r="350" spans="1:35" ht="19.5" customHeight="1" x14ac:dyDescent="0.3">
      <c r="A350" s="4">
        <f>'ECN Master Project Tracker new'!A351</f>
        <v>2506276</v>
      </c>
      <c r="B350" s="110" t="str">
        <f>VLOOKUP(A:A,Table1[[Project No]:[Additional Remark]],2,FALSE)</f>
        <v>Tew Ah Sing @ Teo Ah Sing</v>
      </c>
      <c r="C350" s="55">
        <f>VLOOKUP(A:A,Table1[[Project No]:[Additional Remark]],11,FALSE)</f>
        <v>40000</v>
      </c>
      <c r="D350" s="55">
        <f>VLOOKUP(A:A,Table1[[Project No]:[Additional Remark]],12,FALSE)</f>
        <v>-1000</v>
      </c>
      <c r="E350" s="55" t="str">
        <f>VLOOKUP(A:A,Table1[[Project No]:[Additional Remark]],4,FALSE)</f>
        <v>Chean Bang</v>
      </c>
      <c r="F350" s="4" t="str">
        <f>VLOOKUP(A:A,Table1[[Project No]:[Additional Remark]],5,FALSE)</f>
        <v>R-PV</v>
      </c>
      <c r="G350" s="4" t="str">
        <f>VLOOKUP(A:A,Table1[[Project No]:[Additional Remark]],13,FALSE)</f>
        <v>Cash</v>
      </c>
      <c r="H350" s="4" t="str" cm="1">
        <f t="array" ref="H350">_xlfn.IFS((D350+C350)-J350=0,"Invoice Completed",AC350&lt;&gt;"","5th invoice",Y350&lt;&gt;"","4th invoice",U350&lt;&gt;"","3rd invoice",Q350&lt;&gt;"","2nd invoice",M350&lt;&gt;"","1st invoice",M350="","Pending 1st Invoice")</f>
        <v>Invoice Completed</v>
      </c>
      <c r="I350" s="4" t="str" cm="1">
        <f t="array" ref="I350">_xlfn.IFS((C350+D350)-K350=0,"Payment Completed",AE350&lt;&gt;"","5th payment",AA350&lt;&gt;"","4th payment",W350&lt;&gt;"","3rd payment",S350&lt;&gt;"","2nd payment",O350&lt;&gt;"","1st payment",O350="","Pending 1st Payment")</f>
        <v>Payment Completed</v>
      </c>
      <c r="J350" s="55">
        <f t="shared" si="10"/>
        <v>39000</v>
      </c>
      <c r="K350" s="55">
        <f t="shared" si="11"/>
        <v>39000</v>
      </c>
      <c r="L350" s="65">
        <v>45836</v>
      </c>
      <c r="M350" s="66">
        <v>4000</v>
      </c>
      <c r="N350" s="65">
        <v>45836</v>
      </c>
      <c r="O350" s="66">
        <v>4000</v>
      </c>
      <c r="P350" s="39">
        <v>45896</v>
      </c>
      <c r="Q350" s="57">
        <v>14000</v>
      </c>
      <c r="R350" s="39">
        <v>45909</v>
      </c>
      <c r="S350" s="57">
        <v>14000</v>
      </c>
      <c r="T350" s="65">
        <v>45961</v>
      </c>
      <c r="U350" s="66">
        <v>18000</v>
      </c>
      <c r="V350" s="65">
        <v>45964</v>
      </c>
      <c r="W350" s="66">
        <v>18000</v>
      </c>
      <c r="X350" s="39">
        <v>45964</v>
      </c>
      <c r="Y350" s="57">
        <v>3000</v>
      </c>
      <c r="Z350" s="39">
        <v>45964</v>
      </c>
      <c r="AA350" s="57">
        <v>3000</v>
      </c>
      <c r="AB350" s="65"/>
      <c r="AC350" s="66"/>
      <c r="AD350" s="65"/>
      <c r="AE350" s="66"/>
      <c r="AF350" s="39"/>
      <c r="AG350" s="57"/>
      <c r="AH350" s="39"/>
      <c r="AI350" s="57"/>
    </row>
    <row r="351" spans="1:35" ht="19.5" customHeight="1" x14ac:dyDescent="0.3">
      <c r="A351" s="4">
        <f>'ECN Master Project Tracker new'!A352</f>
        <v>2506785</v>
      </c>
      <c r="B351" s="110" t="str">
        <f>VLOOKUP(A:A,Table1[[Project No]:[Additional Remark]],2,FALSE)</f>
        <v>Mohd Nurazuwan Bin Radzi</v>
      </c>
      <c r="C351" s="55">
        <f>VLOOKUP(A:A,Table1[[Project No]:[Additional Remark]],11,FALSE)</f>
        <v>34500</v>
      </c>
      <c r="D351" s="55">
        <f>VLOOKUP(A:A,Table1[[Project No]:[Additional Remark]],12,FALSE)</f>
        <v>0</v>
      </c>
      <c r="E351" s="55" t="str">
        <f>VLOOKUP(A:A,Table1[[Project No]:[Additional Remark]],4,FALSE)</f>
        <v>Patricia</v>
      </c>
      <c r="F351" s="4" t="str">
        <f>VLOOKUP(A:A,Table1[[Project No]:[Additional Remark]],5,FALSE)</f>
        <v>R-PV</v>
      </c>
      <c r="G351" s="4" t="str">
        <f>VLOOKUP(A:A,Table1[[Project No]:[Additional Remark]],13,FALSE)</f>
        <v>Cash</v>
      </c>
      <c r="H351" s="4" t="str" cm="1">
        <f t="array" ref="H351">_xlfn.IFS((D351+C351)-J351=0,"Invoice Completed",AC351&lt;&gt;"","5th invoice",Y351&lt;&gt;"","4th invoice",U351&lt;&gt;"","3rd invoice",Q351&lt;&gt;"","2nd invoice",M351&lt;&gt;"","1st invoice",M351="","Pending 1st Invoice")</f>
        <v>1st invoice</v>
      </c>
      <c r="I351" s="4" t="str" cm="1">
        <f t="array" ref="I351">_xlfn.IFS((C351+D351)-K351=0,"Payment Completed",AE351&lt;&gt;"","5th payment",AA351&lt;&gt;"","4th payment",W351&lt;&gt;"","3rd payment",S351&lt;&gt;"","2nd payment",O351&lt;&gt;"","1st payment",O351="","Pending 1st Payment")</f>
        <v>1st payment</v>
      </c>
      <c r="J351" s="55">
        <f t="shared" si="10"/>
        <v>1000</v>
      </c>
      <c r="K351" s="55">
        <f t="shared" si="11"/>
        <v>1000</v>
      </c>
      <c r="L351" s="65">
        <v>45837</v>
      </c>
      <c r="M351" s="66">
        <v>1000</v>
      </c>
      <c r="N351" s="65">
        <v>45837</v>
      </c>
      <c r="O351" s="66">
        <v>1000</v>
      </c>
      <c r="P351" s="39"/>
      <c r="Q351" s="57"/>
      <c r="R351" s="39"/>
      <c r="S351" s="57"/>
      <c r="T351" s="65"/>
      <c r="U351" s="66"/>
      <c r="V351" s="65"/>
      <c r="W351" s="66"/>
      <c r="X351" s="39"/>
      <c r="Y351" s="57"/>
      <c r="Z351" s="39"/>
      <c r="AA351" s="57"/>
      <c r="AB351" s="65"/>
      <c r="AC351" s="66"/>
      <c r="AD351" s="65"/>
      <c r="AE351" s="66"/>
      <c r="AF351" s="39"/>
      <c r="AG351" s="57"/>
      <c r="AH351" s="39"/>
      <c r="AI351" s="57"/>
    </row>
    <row r="352" spans="1:35" ht="19.5" customHeight="1" x14ac:dyDescent="0.3">
      <c r="A352" s="4">
        <f>'ECN Master Project Tracker new'!A353</f>
        <v>2506801</v>
      </c>
      <c r="B352" s="110" t="str">
        <f>VLOOKUP(A:A,Table1[[Project No]:[Additional Remark]],2,FALSE)</f>
        <v>Lim Joo Eng</v>
      </c>
      <c r="C352" s="55">
        <f>VLOOKUP(A:A,Table1[[Project No]:[Additional Remark]],11,FALSE)</f>
        <v>39500</v>
      </c>
      <c r="D352" s="55">
        <f>VLOOKUP(A:A,Table1[[Project No]:[Additional Remark]],12,FALSE)</f>
        <v>0</v>
      </c>
      <c r="E352" s="55" t="str">
        <f>VLOOKUP(A:A,Table1[[Project No]:[Additional Remark]],4,FALSE)</f>
        <v>Patricia</v>
      </c>
      <c r="F352" s="4" t="str">
        <f>VLOOKUP(A:A,Table1[[Project No]:[Additional Remark]],5,FALSE)</f>
        <v>R-PV</v>
      </c>
      <c r="G352" s="4" t="str">
        <f>VLOOKUP(A:A,Table1[[Project No]:[Additional Remark]],13,FALSE)</f>
        <v>Credit Card Instalment</v>
      </c>
      <c r="H352" s="4" t="str" cm="1">
        <f t="array" ref="H352">_xlfn.IFS((D352+C352)-J352=0,"Invoice Completed",AC352&lt;&gt;"","5th invoice",Y352&lt;&gt;"","4th invoice",U352&lt;&gt;"","3rd invoice",Q352&lt;&gt;"","2nd invoice",M352&lt;&gt;"","1st invoice",M352="","Pending 1st Invoice")</f>
        <v>1st invoice</v>
      </c>
      <c r="I352" s="4" t="str" cm="1">
        <f t="array" ref="I352">_xlfn.IFS((C352+D352)-K352=0,"Payment Completed",AE352&lt;&gt;"","5th payment",AA352&lt;&gt;"","4th payment",W352&lt;&gt;"","3rd payment",S352&lt;&gt;"","2nd payment",O352&lt;&gt;"","1st payment",O352="","Pending 1st Payment")</f>
        <v>1st payment</v>
      </c>
      <c r="J352" s="55">
        <f t="shared" si="10"/>
        <v>1000</v>
      </c>
      <c r="K352" s="55">
        <f t="shared" si="11"/>
        <v>1000</v>
      </c>
      <c r="L352" s="65">
        <v>45837</v>
      </c>
      <c r="M352" s="66">
        <v>1000</v>
      </c>
      <c r="N352" s="65">
        <v>45837</v>
      </c>
      <c r="O352" s="66">
        <v>1000</v>
      </c>
      <c r="P352" s="39"/>
      <c r="Q352" s="57"/>
      <c r="R352" s="39"/>
      <c r="S352" s="57"/>
      <c r="T352" s="65"/>
      <c r="U352" s="66"/>
      <c r="V352" s="65"/>
      <c r="W352" s="66"/>
      <c r="X352" s="39"/>
      <c r="Y352" s="57"/>
      <c r="Z352" s="39"/>
      <c r="AA352" s="57"/>
      <c r="AB352" s="65"/>
      <c r="AC352" s="66"/>
      <c r="AD352" s="65"/>
      <c r="AE352" s="66"/>
      <c r="AF352" s="39"/>
      <c r="AG352" s="57"/>
      <c r="AH352" s="39"/>
      <c r="AI352" s="57"/>
    </row>
    <row r="353" spans="1:35" ht="19.5" customHeight="1" x14ac:dyDescent="0.3">
      <c r="A353" s="4">
        <f>'ECN Master Project Tracker new'!A354</f>
        <v>2503223</v>
      </c>
      <c r="B353" s="110" t="str">
        <f>VLOOKUP(A:A,Table1[[Project No]:[Additional Remark]],2,FALSE)</f>
        <v>Insultec Duragate Sdn Bhd</v>
      </c>
      <c r="C353" s="55">
        <f>VLOOKUP(A:A,Table1[[Project No]:[Additional Remark]],11,FALSE)</f>
        <v>117500</v>
      </c>
      <c r="D353" s="55">
        <f>VLOOKUP(A:A,Table1[[Project No]:[Additional Remark]],12,FALSE)</f>
        <v>0</v>
      </c>
      <c r="E353" s="55" t="str">
        <f>VLOOKUP(A:A,Table1[[Project No]:[Additional Remark]],4,FALSE)</f>
        <v>Tham</v>
      </c>
      <c r="F353" s="4" t="str">
        <f>VLOOKUP(A:A,Table1[[Project No]:[Additional Remark]],5,FALSE)</f>
        <v>C&amp;I-PV</v>
      </c>
      <c r="G353" s="4" t="str">
        <f>VLOOKUP(A:A,Table1[[Project No]:[Additional Remark]],13,FALSE)</f>
        <v xml:space="preserve">Cash </v>
      </c>
      <c r="H353" s="4" t="str" cm="1">
        <f t="array" ref="H353">_xlfn.IFS((D353+C353)-J353=0,"Invoice Completed",AC353&lt;&gt;"","5th invoice",Y353&lt;&gt;"","4th invoice",U353&lt;&gt;"","3rd invoice",Q353&lt;&gt;"","2nd invoice",M353&lt;&gt;"","1st invoice",M353="","Pending 1st Invoice")</f>
        <v>2nd invoice</v>
      </c>
      <c r="I353" s="4" t="str" cm="1">
        <f t="array" ref="I353">_xlfn.IFS((C353+D353)-K353=0,"Payment Completed",AE353&lt;&gt;"","5th payment",AA353&lt;&gt;"","4th payment",W353&lt;&gt;"","3rd payment",S353&lt;&gt;"","2nd payment",O353&lt;&gt;"","1st payment",O353="","Pending 1st Payment")</f>
        <v>2nd payment</v>
      </c>
      <c r="J353" s="55">
        <f t="shared" si="10"/>
        <v>52875</v>
      </c>
      <c r="K353" s="55">
        <f t="shared" si="11"/>
        <v>52875</v>
      </c>
      <c r="L353" s="65">
        <v>45877</v>
      </c>
      <c r="M353" s="66">
        <v>11750</v>
      </c>
      <c r="N353" s="65">
        <v>45897</v>
      </c>
      <c r="O353" s="66">
        <v>11750</v>
      </c>
      <c r="P353" s="39">
        <v>45926</v>
      </c>
      <c r="Q353" s="57">
        <v>41125</v>
      </c>
      <c r="R353" s="39">
        <v>45937</v>
      </c>
      <c r="S353" s="57">
        <v>41125</v>
      </c>
      <c r="T353" s="65"/>
      <c r="U353" s="66"/>
      <c r="V353" s="65"/>
      <c r="W353" s="66"/>
      <c r="X353" s="39"/>
      <c r="Y353" s="57"/>
      <c r="Z353" s="39"/>
      <c r="AA353" s="57"/>
      <c r="AB353" s="65"/>
      <c r="AC353" s="66"/>
      <c r="AD353" s="65"/>
      <c r="AE353" s="66"/>
      <c r="AF353" s="39"/>
      <c r="AG353" s="57"/>
      <c r="AH353" s="39"/>
      <c r="AI353" s="57"/>
    </row>
    <row r="354" spans="1:35" ht="19.5" customHeight="1" x14ac:dyDescent="0.3">
      <c r="A354" s="4">
        <f>'ECN Master Project Tracker new'!A355</f>
        <v>2506802</v>
      </c>
      <c r="B354" s="110" t="str">
        <f>VLOOKUP(A:A,Table1[[Project No]:[Additional Remark]],2,FALSE)</f>
        <v>Hung Wen Hao</v>
      </c>
      <c r="C354" s="55">
        <f>VLOOKUP(A:A,Table1[[Project No]:[Additional Remark]],11,FALSE)</f>
        <v>31500</v>
      </c>
      <c r="D354" s="55">
        <f>VLOOKUP(A:A,Table1[[Project No]:[Additional Remark]],12,FALSE)</f>
        <v>0</v>
      </c>
      <c r="E354" s="55" t="str">
        <f>VLOOKUP(A:A,Table1[[Project No]:[Additional Remark]],4,FALSE)</f>
        <v>Patricia</v>
      </c>
      <c r="F354" s="4" t="str">
        <f>VLOOKUP(A:A,Table1[[Project No]:[Additional Remark]],5,FALSE)</f>
        <v>R-PV</v>
      </c>
      <c r="G354" s="4" t="str">
        <f>VLOOKUP(A:A,Table1[[Project No]:[Additional Remark]],13,FALSE)</f>
        <v>Cash</v>
      </c>
      <c r="H354" s="4" t="str" cm="1">
        <f t="array" ref="H354">_xlfn.IFS((D354+C354)-J354=0,"Invoice Completed",AC354&lt;&gt;"","5th invoice",Y354&lt;&gt;"","4th invoice",U354&lt;&gt;"","3rd invoice",Q354&lt;&gt;"","2nd invoice",M354&lt;&gt;"","1st invoice",M354="","Pending 1st Invoice")</f>
        <v>Pending 1st Invoice</v>
      </c>
      <c r="I354" s="4" t="str" cm="1">
        <f t="array" ref="I354">_xlfn.IFS((C354+D354)-K354=0,"Payment Completed",AE354&lt;&gt;"","5th payment",AA354&lt;&gt;"","4th payment",W354&lt;&gt;"","3rd payment",S354&lt;&gt;"","2nd payment",O354&lt;&gt;"","1st payment",O354="","Pending 1st Payment")</f>
        <v>Pending 1st Payment</v>
      </c>
      <c r="J354" s="55">
        <f t="shared" si="10"/>
        <v>0</v>
      </c>
      <c r="K354" s="55">
        <f t="shared" si="11"/>
        <v>0</v>
      </c>
      <c r="L354" s="65"/>
      <c r="M354" s="66"/>
      <c r="N354" s="65"/>
      <c r="O354" s="66"/>
      <c r="P354" s="39"/>
      <c r="Q354" s="57"/>
      <c r="R354" s="39"/>
      <c r="S354" s="57"/>
      <c r="T354" s="65"/>
      <c r="U354" s="66"/>
      <c r="V354" s="65"/>
      <c r="W354" s="66"/>
      <c r="X354" s="39"/>
      <c r="Y354" s="57"/>
      <c r="Z354" s="39"/>
      <c r="AA354" s="57"/>
      <c r="AB354" s="65"/>
      <c r="AC354" s="66"/>
      <c r="AD354" s="65"/>
      <c r="AE354" s="66"/>
      <c r="AF354" s="39"/>
      <c r="AG354" s="57"/>
      <c r="AH354" s="39"/>
      <c r="AI354" s="57"/>
    </row>
    <row r="355" spans="1:35" ht="19.5" customHeight="1" x14ac:dyDescent="0.3">
      <c r="A355" s="4">
        <f>'ECN Master Project Tracker new'!A356</f>
        <v>2412510</v>
      </c>
      <c r="B355" s="110" t="str">
        <f>VLOOKUP(A:A,Table1[[Project No]:[Additional Remark]],2,FALSE)</f>
        <v>How Toon Huah</v>
      </c>
      <c r="C355" s="55">
        <f>VLOOKUP(A:A,Table1[[Project No]:[Additional Remark]],11,FALSE)</f>
        <v>34000</v>
      </c>
      <c r="D355" s="55">
        <f>VLOOKUP(A:A,Table1[[Project No]:[Additional Remark]],12,FALSE)</f>
        <v>0</v>
      </c>
      <c r="E355" s="55" t="str">
        <f>VLOOKUP(A:A,Table1[[Project No]:[Additional Remark]],4,FALSE)</f>
        <v>Chean Bang</v>
      </c>
      <c r="F355" s="4" t="str">
        <f>VLOOKUP(A:A,Table1[[Project No]:[Additional Remark]],5,FALSE)</f>
        <v>R-PV</v>
      </c>
      <c r="G355" s="4" t="str">
        <f>VLOOKUP(A:A,Table1[[Project No]:[Additional Remark]],13,FALSE)</f>
        <v>Credit Card Instalment</v>
      </c>
      <c r="H355" s="4" t="str" cm="1">
        <f t="array" ref="H355">_xlfn.IFS((D355+C355)-J355=0,"Invoice Completed",AC355&lt;&gt;"","5th invoice",Y355&lt;&gt;"","4th invoice",U355&lt;&gt;"","3rd invoice",Q355&lt;&gt;"","2nd invoice",M355&lt;&gt;"","1st invoice",M355="","Pending 1st Invoice")</f>
        <v>Invoice Completed</v>
      </c>
      <c r="I355" s="4" t="str" cm="1">
        <f t="array" ref="I355">_xlfn.IFS((C355+D355)-K355=0,"Payment Completed",AE355&lt;&gt;"","5th payment",AA355&lt;&gt;"","4th payment",W355&lt;&gt;"","3rd payment",S355&lt;&gt;"","2nd payment",O355&lt;&gt;"","1st payment",O355="","Pending 1st Payment")</f>
        <v>Payment Completed</v>
      </c>
      <c r="J355" s="55">
        <f t="shared" si="10"/>
        <v>34000</v>
      </c>
      <c r="K355" s="55">
        <f t="shared" si="11"/>
        <v>34000</v>
      </c>
      <c r="L355" s="65">
        <v>45838</v>
      </c>
      <c r="M355" s="66">
        <v>1000</v>
      </c>
      <c r="N355" s="65">
        <v>45843</v>
      </c>
      <c r="O355" s="66">
        <v>1000</v>
      </c>
      <c r="P355" s="39">
        <v>45896</v>
      </c>
      <c r="Q355" s="57">
        <v>33000</v>
      </c>
      <c r="R355" s="39">
        <v>45896</v>
      </c>
      <c r="S355" s="57">
        <v>33000</v>
      </c>
      <c r="T355" s="65"/>
      <c r="U355" s="66"/>
      <c r="V355" s="65"/>
      <c r="W355" s="66"/>
      <c r="X355" s="39"/>
      <c r="Y355" s="57"/>
      <c r="Z355" s="39"/>
      <c r="AA355" s="57"/>
      <c r="AB355" s="65"/>
      <c r="AC355" s="66"/>
      <c r="AD355" s="65"/>
      <c r="AE355" s="66"/>
      <c r="AF355" s="39"/>
      <c r="AG355" s="57"/>
      <c r="AH355" s="39"/>
      <c r="AI355" s="57"/>
    </row>
    <row r="356" spans="1:35" ht="19.5" customHeight="1" x14ac:dyDescent="0.3">
      <c r="A356" s="4">
        <f>'ECN Master Project Tracker new'!A357</f>
        <v>2504051</v>
      </c>
      <c r="B356" s="110" t="str">
        <f>VLOOKUP(A:A,Table1[[Project No]:[Additional Remark]],2,FALSE)</f>
        <v>G. Semanggol R&amp;R (Northbound) - Green EV Charge Sdn Bhd</v>
      </c>
      <c r="C356" s="55">
        <f>VLOOKUP(A:A,Table1[[Project No]:[Additional Remark]],11,FALSE)</f>
        <v>250000</v>
      </c>
      <c r="D356" s="55">
        <f>VLOOKUP(A:A,Table1[[Project No]:[Additional Remark]],12,FALSE)</f>
        <v>0</v>
      </c>
      <c r="E356" s="55" t="str">
        <f>VLOOKUP(A:A,Table1[[Project No]:[Additional Remark]],4,FALSE)</f>
        <v>Simon</v>
      </c>
      <c r="F356" s="4" t="str">
        <f>VLOOKUP(A:A,Table1[[Project No]:[Additional Remark]],5,FALSE)</f>
        <v>EV Charger</v>
      </c>
      <c r="G356" s="4" t="str">
        <f>VLOOKUP(A:A,Table1[[Project No]:[Additional Remark]],13,FALSE)</f>
        <v>Cash</v>
      </c>
      <c r="H356" s="4" t="str" cm="1">
        <f t="array" ref="H356">_xlfn.IFS((D356+C356)-J356=0,"Invoice Completed",AC356&lt;&gt;"","5th invoice",Y356&lt;&gt;"","4th invoice",U356&lt;&gt;"","3rd invoice",Q356&lt;&gt;"","2nd invoice",M356&lt;&gt;"","1st invoice",M356="","Pending 1st Invoice")</f>
        <v>Pending 1st Invoice</v>
      </c>
      <c r="I356" s="4" t="str" cm="1">
        <f t="array" ref="I356">_xlfn.IFS((C356+D356)-K356=0,"Payment Completed",AE356&lt;&gt;"","5th payment",AA356&lt;&gt;"","4th payment",W356&lt;&gt;"","3rd payment",S356&lt;&gt;"","2nd payment",O356&lt;&gt;"","1st payment",O356="","Pending 1st Payment")</f>
        <v>Pending 1st Payment</v>
      </c>
      <c r="J356" s="55">
        <f t="shared" si="10"/>
        <v>0</v>
      </c>
      <c r="K356" s="55">
        <f t="shared" si="11"/>
        <v>0</v>
      </c>
      <c r="L356" s="65"/>
      <c r="M356" s="66"/>
      <c r="N356" s="65"/>
      <c r="O356" s="66"/>
      <c r="P356" s="39"/>
      <c r="Q356" s="57"/>
      <c r="R356" s="39"/>
      <c r="S356" s="57"/>
      <c r="T356" s="65"/>
      <c r="U356" s="66"/>
      <c r="V356" s="65"/>
      <c r="W356" s="66"/>
      <c r="X356" s="39"/>
      <c r="Y356" s="57"/>
      <c r="Z356" s="39"/>
      <c r="AA356" s="57"/>
      <c r="AB356" s="65"/>
      <c r="AC356" s="66"/>
      <c r="AD356" s="65"/>
      <c r="AE356" s="66"/>
      <c r="AF356" s="39"/>
      <c r="AG356" s="57"/>
      <c r="AH356" s="39"/>
      <c r="AI356" s="57"/>
    </row>
    <row r="357" spans="1:35" ht="19.5" customHeight="1" x14ac:dyDescent="0.3">
      <c r="A357" s="4">
        <f>'ECN Master Project Tracker new'!A358</f>
        <v>2505056</v>
      </c>
      <c r="B357" s="110" t="str">
        <f>VLOOKUP(A:A,Table1[[Project No]:[Additional Remark]],2,FALSE)</f>
        <v>TMG Mall Tanjung Lumpur (Handal Green Mobility)</v>
      </c>
      <c r="C357" s="55">
        <f>VLOOKUP(A:A,Table1[[Project No]:[Additional Remark]],11,FALSE)</f>
        <v>43000</v>
      </c>
      <c r="D357" s="55">
        <f>VLOOKUP(A:A,Table1[[Project No]:[Additional Remark]],12,FALSE)</f>
        <v>0</v>
      </c>
      <c r="E357" s="55" t="str">
        <f>VLOOKUP(A:A,Table1[[Project No]:[Additional Remark]],4,FALSE)</f>
        <v>Chean Bang</v>
      </c>
      <c r="F357" s="4" t="str">
        <f>VLOOKUP(A:A,Table1[[Project No]:[Additional Remark]],5,FALSE)</f>
        <v>EV Charger</v>
      </c>
      <c r="G357" s="4" t="str">
        <f>VLOOKUP(A:A,Table1[[Project No]:[Additional Remark]],13,FALSE)</f>
        <v>Cash</v>
      </c>
      <c r="H357" s="4" t="str" cm="1">
        <f t="array" ref="H357">_xlfn.IFS((D357+C357)-J357=0,"Invoice Completed",AC357&lt;&gt;"","5th invoice",Y357&lt;&gt;"","4th invoice",U357&lt;&gt;"","3rd invoice",Q357&lt;&gt;"","2nd invoice",M357&lt;&gt;"","1st invoice",M357="","Pending 1st Invoice")</f>
        <v>Invoice Completed</v>
      </c>
      <c r="I357" s="4" t="str" cm="1">
        <f t="array" ref="I357">_xlfn.IFS((C357+D357)-K357=0,"Payment Completed",AE357&lt;&gt;"","5th payment",AA357&lt;&gt;"","4th payment",W357&lt;&gt;"","3rd payment",S357&lt;&gt;"","2nd payment",O357&lt;&gt;"","1st payment",O357="","Pending 1st Payment")</f>
        <v>1st payment</v>
      </c>
      <c r="J357" s="55">
        <f t="shared" si="10"/>
        <v>43000</v>
      </c>
      <c r="K357" s="55">
        <f t="shared" si="11"/>
        <v>21500</v>
      </c>
      <c r="L357" s="65">
        <v>45877</v>
      </c>
      <c r="M357" s="66">
        <v>21500</v>
      </c>
      <c r="N357" s="65">
        <v>45888</v>
      </c>
      <c r="O357" s="66">
        <v>21500</v>
      </c>
      <c r="P357" s="39">
        <v>45898</v>
      </c>
      <c r="Q357" s="57">
        <v>21500</v>
      </c>
      <c r="R357" s="39"/>
      <c r="S357" s="57"/>
      <c r="T357" s="65"/>
      <c r="U357" s="66"/>
      <c r="V357" s="65"/>
      <c r="W357" s="66"/>
      <c r="X357" s="39"/>
      <c r="Y357" s="57"/>
      <c r="Z357" s="39"/>
      <c r="AA357" s="57"/>
      <c r="AB357" s="65"/>
      <c r="AC357" s="66"/>
      <c r="AD357" s="65"/>
      <c r="AE357" s="66"/>
      <c r="AF357" s="39"/>
      <c r="AG357" s="57"/>
      <c r="AH357" s="39"/>
      <c r="AI357" s="57"/>
    </row>
    <row r="358" spans="1:35" ht="19.5" customHeight="1" x14ac:dyDescent="0.3">
      <c r="A358" s="4">
        <f>'ECN Master Project Tracker new'!A359</f>
        <v>2507833</v>
      </c>
      <c r="B358" s="110" t="str">
        <f>VLOOKUP(A:A,Table1[[Project No]:[Additional Remark]],2,FALSE)</f>
        <v>Yee Main Way</v>
      </c>
      <c r="C358" s="55">
        <f>VLOOKUP(A:A,Table1[[Project No]:[Additional Remark]],11,FALSE)</f>
        <v>46000</v>
      </c>
      <c r="D358" s="55">
        <f>VLOOKUP(A:A,Table1[[Project No]:[Additional Remark]],12,FALSE)</f>
        <v>0</v>
      </c>
      <c r="E358" s="55" t="str">
        <f>VLOOKUP(A:A,Table1[[Project No]:[Additional Remark]],4,FALSE)</f>
        <v>Patricia</v>
      </c>
      <c r="F358" s="4" t="str">
        <f>VLOOKUP(A:A,Table1[[Project No]:[Additional Remark]],5,FALSE)</f>
        <v>R-PV</v>
      </c>
      <c r="G358" s="4" t="str">
        <f>VLOOKUP(A:A,Table1[[Project No]:[Additional Remark]],13,FALSE)</f>
        <v>Cash + CC Instalment</v>
      </c>
      <c r="H358" s="4" t="str" cm="1">
        <f t="array" ref="H358">_xlfn.IFS((D358+C358)-J358=0,"Invoice Completed",AC358&lt;&gt;"","5th invoice",Y358&lt;&gt;"","4th invoice",U358&lt;&gt;"","3rd invoice",Q358&lt;&gt;"","2nd invoice",M358&lt;&gt;"","1st invoice",M358="","Pending 1st Invoice")</f>
        <v>Invoice Completed</v>
      </c>
      <c r="I358" s="4" t="str" cm="1">
        <f t="array" ref="I358">_xlfn.IFS((C358+D358)-K358=0,"Payment Completed",AE358&lt;&gt;"","5th payment",AA358&lt;&gt;"","4th payment",W358&lt;&gt;"","3rd payment",S358&lt;&gt;"","2nd payment",O358&lt;&gt;"","1st payment",O358="","Pending 1st Payment")</f>
        <v>Payment Completed</v>
      </c>
      <c r="J358" s="55">
        <f t="shared" si="10"/>
        <v>46000</v>
      </c>
      <c r="K358" s="55">
        <f t="shared" si="11"/>
        <v>46000</v>
      </c>
      <c r="L358" s="65">
        <v>45874</v>
      </c>
      <c r="M358" s="66">
        <v>6900</v>
      </c>
      <c r="N358" s="65">
        <v>45874</v>
      </c>
      <c r="O358" s="66">
        <v>6900</v>
      </c>
      <c r="P358" s="39">
        <v>45946</v>
      </c>
      <c r="Q358" s="57">
        <v>39100</v>
      </c>
      <c r="R358" s="39">
        <v>45947</v>
      </c>
      <c r="S358" s="57">
        <v>39100</v>
      </c>
      <c r="T358" s="65"/>
      <c r="U358" s="66"/>
      <c r="V358" s="65"/>
      <c r="W358" s="66"/>
      <c r="X358" s="39"/>
      <c r="Y358" s="57"/>
      <c r="Z358" s="39"/>
      <c r="AA358" s="57"/>
      <c r="AB358" s="65"/>
      <c r="AC358" s="66"/>
      <c r="AD358" s="65"/>
      <c r="AE358" s="66"/>
      <c r="AF358" s="39"/>
      <c r="AG358" s="57"/>
      <c r="AH358" s="39"/>
      <c r="AI358" s="57"/>
    </row>
    <row r="359" spans="1:35" ht="19.5" customHeight="1" x14ac:dyDescent="0.3">
      <c r="A359" s="4">
        <f>'ECN Master Project Tracker new'!A360</f>
        <v>2409030</v>
      </c>
      <c r="B359" s="110" t="str">
        <f>VLOOKUP(A:A,Table1[[Project No]:[Additional Remark]],2,FALSE)</f>
        <v>TMG Mall Bandar Indera Mahkota (Handal Green Mobility)</v>
      </c>
      <c r="C359" s="55">
        <f>VLOOKUP(A:A,Table1[[Project No]:[Additional Remark]],11,FALSE)</f>
        <v>58000</v>
      </c>
      <c r="D359" s="55">
        <f>VLOOKUP(A:A,Table1[[Project No]:[Additional Remark]],12,FALSE)</f>
        <v>0</v>
      </c>
      <c r="E359" s="55" t="str">
        <f>VLOOKUP(A:A,Table1[[Project No]:[Additional Remark]],4,FALSE)</f>
        <v>Chean Bang</v>
      </c>
      <c r="F359" s="4" t="str">
        <f>VLOOKUP(A:A,Table1[[Project No]:[Additional Remark]],5,FALSE)</f>
        <v>EV Charger</v>
      </c>
      <c r="G359" s="4" t="str">
        <f>VLOOKUP(A:A,Table1[[Project No]:[Additional Remark]],13,FALSE)</f>
        <v>Cash</v>
      </c>
      <c r="H359" s="4" t="str" cm="1">
        <f t="array" ref="H359">_xlfn.IFS((D359+C359)-J359=0,"Invoice Completed",AC359&lt;&gt;"","5th invoice",Y359&lt;&gt;"","4th invoice",U359&lt;&gt;"","3rd invoice",Q359&lt;&gt;"","2nd invoice",M359&lt;&gt;"","1st invoice",M359="","Pending 1st Invoice")</f>
        <v>Invoice Completed</v>
      </c>
      <c r="I359" s="4" t="str" cm="1">
        <f t="array" ref="I359">_xlfn.IFS((C359+D359)-K359=0,"Payment Completed",AE359&lt;&gt;"","5th payment",AA359&lt;&gt;"","4th payment",W359&lt;&gt;"","3rd payment",S359&lt;&gt;"","2nd payment",O359&lt;&gt;"","1st payment",O359="","Pending 1st Payment")</f>
        <v>1st payment</v>
      </c>
      <c r="J359" s="55">
        <f t="shared" si="10"/>
        <v>58000</v>
      </c>
      <c r="K359" s="55">
        <f t="shared" si="11"/>
        <v>29000</v>
      </c>
      <c r="L359" s="65">
        <v>45882</v>
      </c>
      <c r="M359" s="66">
        <v>29000</v>
      </c>
      <c r="N359" s="65">
        <v>45888</v>
      </c>
      <c r="O359" s="66">
        <v>29000</v>
      </c>
      <c r="P359" s="39">
        <v>45898</v>
      </c>
      <c r="Q359" s="57">
        <v>29000</v>
      </c>
      <c r="R359" s="39"/>
      <c r="S359" s="57"/>
      <c r="T359" s="65"/>
      <c r="U359" s="66"/>
      <c r="V359" s="65"/>
      <c r="W359" s="66"/>
      <c r="X359" s="39"/>
      <c r="Y359" s="57"/>
      <c r="Z359" s="39"/>
      <c r="AA359" s="57"/>
      <c r="AB359" s="65"/>
      <c r="AC359" s="66"/>
      <c r="AD359" s="65"/>
      <c r="AE359" s="66"/>
      <c r="AF359" s="39"/>
      <c r="AG359" s="57"/>
      <c r="AH359" s="39"/>
      <c r="AI359" s="57"/>
    </row>
    <row r="360" spans="1:35" ht="19.5" customHeight="1" x14ac:dyDescent="0.3">
      <c r="A360" s="4">
        <f>'ECN Master Project Tracker new'!A361</f>
        <v>2507059</v>
      </c>
      <c r="B360" s="110" t="str">
        <f>VLOOKUP(A:A,Table1[[Project No]:[Additional Remark]],2,FALSE)</f>
        <v>TMG Mall IM16 (Handal Green Mobility)</v>
      </c>
      <c r="C360" s="55">
        <f>VLOOKUP(A:A,Table1[[Project No]:[Additional Remark]],11,FALSE)</f>
        <v>53000</v>
      </c>
      <c r="D360" s="55">
        <f>VLOOKUP(A:A,Table1[[Project No]:[Additional Remark]],12,FALSE)</f>
        <v>0</v>
      </c>
      <c r="E360" s="55" t="str">
        <f>VLOOKUP(A:A,Table1[[Project No]:[Additional Remark]],4,FALSE)</f>
        <v>Chean Bang</v>
      </c>
      <c r="F360" s="4" t="str">
        <f>VLOOKUP(A:A,Table1[[Project No]:[Additional Remark]],5,FALSE)</f>
        <v>EV Charger</v>
      </c>
      <c r="G360" s="4" t="str">
        <f>VLOOKUP(A:A,Table1[[Project No]:[Additional Remark]],13,FALSE)</f>
        <v>Cash</v>
      </c>
      <c r="H360" s="4" t="str" cm="1">
        <f t="array" ref="H360">_xlfn.IFS((D360+C360)-J360=0,"Invoice Completed",AC360&lt;&gt;"","5th invoice",Y360&lt;&gt;"","4th invoice",U360&lt;&gt;"","3rd invoice",Q360&lt;&gt;"","2nd invoice",M360&lt;&gt;"","1st invoice",M360="","Pending 1st Invoice")</f>
        <v>Invoice Completed</v>
      </c>
      <c r="I360" s="4" t="str" cm="1">
        <f t="array" ref="I360">_xlfn.IFS((C360+D360)-K360=0,"Payment Completed",AE360&lt;&gt;"","5th payment",AA360&lt;&gt;"","4th payment",W360&lt;&gt;"","3rd payment",S360&lt;&gt;"","2nd payment",O360&lt;&gt;"","1st payment",O360="","Pending 1st Payment")</f>
        <v>1st payment</v>
      </c>
      <c r="J360" s="55">
        <f t="shared" si="10"/>
        <v>53000</v>
      </c>
      <c r="K360" s="55">
        <f t="shared" si="11"/>
        <v>26500</v>
      </c>
      <c r="L360" s="65">
        <v>45882</v>
      </c>
      <c r="M360" s="66">
        <v>26500</v>
      </c>
      <c r="N360" s="65">
        <v>45888</v>
      </c>
      <c r="O360" s="66">
        <v>26500</v>
      </c>
      <c r="P360" s="39">
        <v>45898</v>
      </c>
      <c r="Q360" s="57">
        <v>26500</v>
      </c>
      <c r="R360" s="39"/>
      <c r="S360" s="57"/>
      <c r="T360" s="65"/>
      <c r="U360" s="66"/>
      <c r="V360" s="65"/>
      <c r="W360" s="66"/>
      <c r="X360" s="39"/>
      <c r="Y360" s="57"/>
      <c r="Z360" s="39"/>
      <c r="AA360" s="57"/>
      <c r="AB360" s="65"/>
      <c r="AC360" s="66"/>
      <c r="AD360" s="65"/>
      <c r="AE360" s="66"/>
      <c r="AF360" s="39"/>
      <c r="AG360" s="57"/>
      <c r="AH360" s="39"/>
      <c r="AI360" s="57"/>
    </row>
    <row r="361" spans="1:35" ht="19.5" customHeight="1" x14ac:dyDescent="0.3">
      <c r="A361" s="4">
        <f>'ECN Master Project Tracker new'!A362</f>
        <v>2507060</v>
      </c>
      <c r="B361" s="110" t="str">
        <f>VLOOKUP(A:A,Table1[[Project No]:[Additional Remark]],2,FALSE)</f>
        <v>TMG Mall Temerloh (Handal Green Mobility)</v>
      </c>
      <c r="C361" s="55">
        <f>VLOOKUP(A:A,Table1[[Project No]:[Additional Remark]],11,FALSE)</f>
        <v>55500</v>
      </c>
      <c r="D361" s="55">
        <f>VLOOKUP(A:A,Table1[[Project No]:[Additional Remark]],12,FALSE)</f>
        <v>0</v>
      </c>
      <c r="E361" s="55" t="str">
        <f>VLOOKUP(A:A,Table1[[Project No]:[Additional Remark]],4,FALSE)</f>
        <v>Chean Bang</v>
      </c>
      <c r="F361" s="4" t="str">
        <f>VLOOKUP(A:A,Table1[[Project No]:[Additional Remark]],5,FALSE)</f>
        <v>EV Charger</v>
      </c>
      <c r="G361" s="4" t="str">
        <f>VLOOKUP(A:A,Table1[[Project No]:[Additional Remark]],13,FALSE)</f>
        <v>Cash</v>
      </c>
      <c r="H361" s="4" t="str" cm="1">
        <f t="array" ref="H361">_xlfn.IFS((D361+C361)-J361=0,"Invoice Completed",AC361&lt;&gt;"","5th invoice",Y361&lt;&gt;"","4th invoice",U361&lt;&gt;"","3rd invoice",Q361&lt;&gt;"","2nd invoice",M361&lt;&gt;"","1st invoice",M361="","Pending 1st Invoice")</f>
        <v>Invoice Completed</v>
      </c>
      <c r="I361" s="4" t="str" cm="1">
        <f t="array" ref="I361">_xlfn.IFS((C361+D361)-K361=0,"Payment Completed",AE361&lt;&gt;"","5th payment",AA361&lt;&gt;"","4th payment",W361&lt;&gt;"","3rd payment",S361&lt;&gt;"","2nd payment",O361&lt;&gt;"","1st payment",O361="","Pending 1st Payment")</f>
        <v>1st payment</v>
      </c>
      <c r="J361" s="55">
        <f t="shared" si="10"/>
        <v>55500</v>
      </c>
      <c r="K361" s="55">
        <f t="shared" si="11"/>
        <v>27750</v>
      </c>
      <c r="L361" s="65">
        <v>45882</v>
      </c>
      <c r="M361" s="66">
        <v>27750</v>
      </c>
      <c r="N361" s="65">
        <v>45888</v>
      </c>
      <c r="O361" s="66">
        <v>27750</v>
      </c>
      <c r="P361" s="39">
        <v>45898</v>
      </c>
      <c r="Q361" s="57">
        <v>27750</v>
      </c>
      <c r="R361" s="39"/>
      <c r="S361" s="57"/>
      <c r="T361" s="65"/>
      <c r="U361" s="66"/>
      <c r="V361" s="65"/>
      <c r="W361" s="66"/>
      <c r="X361" s="39"/>
      <c r="Y361" s="57"/>
      <c r="Z361" s="39"/>
      <c r="AA361" s="57"/>
      <c r="AB361" s="65"/>
      <c r="AC361" s="66"/>
      <c r="AD361" s="65"/>
      <c r="AE361" s="66"/>
      <c r="AF361" s="39"/>
      <c r="AG361" s="57"/>
      <c r="AH361" s="39"/>
      <c r="AI361" s="57"/>
    </row>
    <row r="362" spans="1:35" ht="19.5" customHeight="1" x14ac:dyDescent="0.3">
      <c r="A362" s="4">
        <f>'ECN Master Project Tracker new'!A363</f>
        <v>2508858</v>
      </c>
      <c r="B362" s="110" t="str">
        <f>VLOOKUP(A:A,Table1[[Project No]:[Additional Remark]],2,FALSE)</f>
        <v>Chan Weng Leong</v>
      </c>
      <c r="C362" s="55">
        <f>VLOOKUP(A:A,Table1[[Project No]:[Additional Remark]],11,FALSE)</f>
        <v>49000</v>
      </c>
      <c r="D362" s="55">
        <f>VLOOKUP(A:A,Table1[[Project No]:[Additional Remark]],12,FALSE)</f>
        <v>1593</v>
      </c>
      <c r="E362" s="55" t="str">
        <f>VLOOKUP(A:A,Table1[[Project No]:[Additional Remark]],4,FALSE)</f>
        <v>Patricia</v>
      </c>
      <c r="F362" s="4" t="str">
        <f>VLOOKUP(A:A,Table1[[Project No]:[Additional Remark]],5,FALSE)</f>
        <v>R-PV</v>
      </c>
      <c r="G362" s="4" t="str">
        <f>VLOOKUP(A:A,Table1[[Project No]:[Additional Remark]],13,FALSE)</f>
        <v>Cash</v>
      </c>
      <c r="H362" s="4" t="str" cm="1">
        <f t="array" ref="H362">_xlfn.IFS((D362+C362)-J362=0,"Invoice Completed",AC362&lt;&gt;"","5th invoice",Y362&lt;&gt;"","4th invoice",U362&lt;&gt;"","3rd invoice",Q362&lt;&gt;"","2nd invoice",M362&lt;&gt;"","1st invoice",M362="","Pending 1st Invoice")</f>
        <v>Invoice Completed</v>
      </c>
      <c r="I362" s="4" t="str" cm="1">
        <f t="array" ref="I362">_xlfn.IFS((C362+D362)-K362=0,"Payment Completed",AE362&lt;&gt;"","5th payment",AA362&lt;&gt;"","4th payment",W362&lt;&gt;"","3rd payment",S362&lt;&gt;"","2nd payment",O362&lt;&gt;"","1st payment",O362="","Pending 1st Payment")</f>
        <v>Payment Completed</v>
      </c>
      <c r="J362" s="55">
        <f t="shared" si="10"/>
        <v>50593</v>
      </c>
      <c r="K362" s="55">
        <f t="shared" si="11"/>
        <v>50593</v>
      </c>
      <c r="L362" s="65">
        <v>45924</v>
      </c>
      <c r="M362" s="66">
        <v>10000</v>
      </c>
      <c r="N362" s="65">
        <v>45895</v>
      </c>
      <c r="O362" s="66">
        <v>10000</v>
      </c>
      <c r="P362" s="39">
        <v>45912</v>
      </c>
      <c r="Q362" s="57">
        <v>10000</v>
      </c>
      <c r="R362" s="39">
        <v>45912</v>
      </c>
      <c r="S362" s="57">
        <v>10000</v>
      </c>
      <c r="T362" s="65">
        <v>45941</v>
      </c>
      <c r="U362" s="66">
        <v>15000</v>
      </c>
      <c r="V362" s="65">
        <v>45941</v>
      </c>
      <c r="W362" s="66">
        <v>15000</v>
      </c>
      <c r="X362" s="39">
        <v>45960</v>
      </c>
      <c r="Y362" s="57">
        <v>14000</v>
      </c>
      <c r="Z362" s="39">
        <v>45960</v>
      </c>
      <c r="AA362" s="57">
        <v>14000</v>
      </c>
      <c r="AB362" s="65"/>
      <c r="AC362" s="66"/>
      <c r="AD362" s="65"/>
      <c r="AE362" s="66"/>
      <c r="AF362" s="39">
        <v>45960</v>
      </c>
      <c r="AG362" s="57">
        <v>1593</v>
      </c>
      <c r="AH362" s="39">
        <v>45960</v>
      </c>
      <c r="AI362" s="57">
        <v>1593</v>
      </c>
    </row>
    <row r="363" spans="1:35" ht="19.5" customHeight="1" x14ac:dyDescent="0.3">
      <c r="A363" s="4">
        <f>'ECN Master Project Tracker new'!A364</f>
        <v>2507062</v>
      </c>
      <c r="B363" s="110" t="str">
        <f>VLOOKUP(A:A,Table1[[Project No]:[Additional Remark]],2,FALSE)</f>
        <v>Tapah R&amp;R (Southbound) - Green EV Charge Sdn Bhd</v>
      </c>
      <c r="C363" s="55">
        <f>VLOOKUP(A:A,Table1[[Project No]:[Additional Remark]],11,FALSE)</f>
        <v>324360</v>
      </c>
      <c r="D363" s="55">
        <f>VLOOKUP(A:A,Table1[[Project No]:[Additional Remark]],12,FALSE)</f>
        <v>0</v>
      </c>
      <c r="E363" s="55" t="str">
        <f>VLOOKUP(A:A,Table1[[Project No]:[Additional Remark]],4,FALSE)</f>
        <v>Simon</v>
      </c>
      <c r="F363" s="4" t="str">
        <f>VLOOKUP(A:A,Table1[[Project No]:[Additional Remark]],5,FALSE)</f>
        <v>EV Charger</v>
      </c>
      <c r="G363" s="4" t="str">
        <f>VLOOKUP(A:A,Table1[[Project No]:[Additional Remark]],13,FALSE)</f>
        <v>Cash</v>
      </c>
      <c r="H363" s="4" t="str" cm="1">
        <f t="array" ref="H363">_xlfn.IFS((D363+C363)-J363=0,"Invoice Completed",AC363&lt;&gt;"","5th invoice",Y363&lt;&gt;"","4th invoice",U363&lt;&gt;"","3rd invoice",Q363&lt;&gt;"","2nd invoice",M363&lt;&gt;"","1st invoice",M363="","Pending 1st Invoice")</f>
        <v>1st invoice</v>
      </c>
      <c r="I363" s="4" t="str" cm="1">
        <f t="array" ref="I363">_xlfn.IFS((C363+D363)-K363=0,"Payment Completed",AE363&lt;&gt;"","5th payment",AA363&lt;&gt;"","4th payment",W363&lt;&gt;"","3rd payment",S363&lt;&gt;"","2nd payment",O363&lt;&gt;"","1st payment",O363="","Pending 1st Payment")</f>
        <v>1st payment</v>
      </c>
      <c r="J363" s="55">
        <f t="shared" si="10"/>
        <v>153000</v>
      </c>
      <c r="K363" s="55">
        <f t="shared" si="11"/>
        <v>153000</v>
      </c>
      <c r="L363" s="65">
        <v>45909</v>
      </c>
      <c r="M363" s="66">
        <v>153000</v>
      </c>
      <c r="N363" s="65">
        <v>45922</v>
      </c>
      <c r="O363" s="66">
        <v>153000</v>
      </c>
      <c r="P363" s="39"/>
      <c r="Q363" s="57"/>
      <c r="R363" s="39"/>
      <c r="S363" s="57"/>
      <c r="T363" s="65"/>
      <c r="U363" s="66"/>
      <c r="V363" s="65"/>
      <c r="W363" s="66"/>
      <c r="X363" s="39"/>
      <c r="Y363" s="57"/>
      <c r="Z363" s="39"/>
      <c r="AA363" s="57"/>
      <c r="AB363" s="65"/>
      <c r="AC363" s="66"/>
      <c r="AD363" s="65"/>
      <c r="AE363" s="66"/>
      <c r="AF363" s="39"/>
      <c r="AG363" s="57"/>
      <c r="AH363" s="39"/>
      <c r="AI363" s="57"/>
    </row>
    <row r="364" spans="1:35" ht="19.5" customHeight="1" x14ac:dyDescent="0.3">
      <c r="A364" s="4">
        <f>'ECN Master Project Tracker new'!A365</f>
        <v>2509863</v>
      </c>
      <c r="B364" s="110" t="str">
        <f>VLOOKUP(A:A,Table1[[Project No]:[Additional Remark]],2,FALSE)</f>
        <v>Goh Soon Teck</v>
      </c>
      <c r="C364" s="55">
        <f>VLOOKUP(A:A,Table1[[Project No]:[Additional Remark]],11,FALSE)</f>
        <v>27000</v>
      </c>
      <c r="D364" s="55">
        <f>VLOOKUP(A:A,Table1[[Project No]:[Additional Remark]],12,FALSE)</f>
        <v>0</v>
      </c>
      <c r="E364" s="55" t="str">
        <f>VLOOKUP(A:A,Table1[[Project No]:[Additional Remark]],4,FALSE)</f>
        <v>Patricia</v>
      </c>
      <c r="F364" s="4" t="str">
        <f>VLOOKUP(A:A,Table1[[Project No]:[Additional Remark]],5,FALSE)</f>
        <v>R-PV</v>
      </c>
      <c r="G364" s="4" t="str">
        <f>VLOOKUP(A:A,Table1[[Project No]:[Additional Remark]],13,FALSE)</f>
        <v>Cash</v>
      </c>
      <c r="H364" s="4" t="str" cm="1">
        <f t="array" ref="H364">_xlfn.IFS((D364+C364)-J364=0,"Invoice Completed",AC364&lt;&gt;"","5th invoice",Y364&lt;&gt;"","4th invoice",U364&lt;&gt;"","3rd invoice",Q364&lt;&gt;"","2nd invoice",M364&lt;&gt;"","1st invoice",M364="","Pending 1st Invoice")</f>
        <v>1st invoice</v>
      </c>
      <c r="I364" s="4" t="str" cm="1">
        <f t="array" ref="I364">_xlfn.IFS((C364+D364)-K364=0,"Payment Completed",AE364&lt;&gt;"","5th payment",AA364&lt;&gt;"","4th payment",W364&lt;&gt;"","3rd payment",S364&lt;&gt;"","2nd payment",O364&lt;&gt;"","1st payment",O364="","Pending 1st Payment")</f>
        <v>1st payment</v>
      </c>
      <c r="J364" s="55">
        <f t="shared" si="10"/>
        <v>1000</v>
      </c>
      <c r="K364" s="55">
        <f t="shared" si="11"/>
        <v>1000</v>
      </c>
      <c r="L364" s="65">
        <v>45957</v>
      </c>
      <c r="M364" s="66">
        <v>1000</v>
      </c>
      <c r="N364" s="65">
        <v>45929</v>
      </c>
      <c r="O364" s="66">
        <v>1000</v>
      </c>
      <c r="P364" s="39"/>
      <c r="Q364" s="57"/>
      <c r="R364" s="39"/>
      <c r="S364" s="57"/>
      <c r="T364" s="65"/>
      <c r="U364" s="66"/>
      <c r="V364" s="65"/>
      <c r="W364" s="66"/>
      <c r="X364" s="39"/>
      <c r="Y364" s="57"/>
      <c r="Z364" s="39"/>
      <c r="AA364" s="57"/>
      <c r="AB364" s="65"/>
      <c r="AC364" s="66"/>
      <c r="AD364" s="65"/>
      <c r="AE364" s="66"/>
      <c r="AF364" s="39"/>
      <c r="AG364" s="57"/>
      <c r="AH364" s="39"/>
      <c r="AI364" s="57"/>
    </row>
    <row r="365" spans="1:35" ht="19.5" customHeight="1" x14ac:dyDescent="0.3">
      <c r="A365" s="4">
        <f>'ECN Master Project Tracker new'!A366</f>
        <v>2507840</v>
      </c>
      <c r="B365" s="110" t="str">
        <f>VLOOKUP(A:A,Table1[[Project No]:[Additional Remark]],2,FALSE)</f>
        <v>Chew Kok leong</v>
      </c>
      <c r="C365" s="55">
        <f>VLOOKUP(A:A,Table1[[Project No]:[Additional Remark]],11,FALSE)</f>
        <v>63000</v>
      </c>
      <c r="D365" s="55">
        <f>VLOOKUP(A:A,Table1[[Project No]:[Additional Remark]],12,FALSE)</f>
        <v>0</v>
      </c>
      <c r="E365" s="55" t="str">
        <f>VLOOKUP(A:A,Table1[[Project No]:[Additional Remark]],4,FALSE)</f>
        <v>Patricia</v>
      </c>
      <c r="F365" s="4" t="str">
        <f>VLOOKUP(A:A,Table1[[Project No]:[Additional Remark]],5,FALSE)</f>
        <v>R-PV</v>
      </c>
      <c r="G365" s="4" t="str">
        <f>VLOOKUP(A:A,Table1[[Project No]:[Additional Remark]],13,FALSE)</f>
        <v>Cash + CC Instalment</v>
      </c>
      <c r="H365" s="4" t="str" cm="1">
        <f t="array" ref="H365">_xlfn.IFS((D365+C365)-J365=0,"Invoice Completed",AC365&lt;&gt;"","5th invoice",Y365&lt;&gt;"","4th invoice",U365&lt;&gt;"","3rd invoice",Q365&lt;&gt;"","2nd invoice",M365&lt;&gt;"","1st invoice",M365="","Pending 1st Invoice")</f>
        <v>1st invoice</v>
      </c>
      <c r="I365" s="4" t="str" cm="1">
        <f t="array" ref="I365">_xlfn.IFS((C365+D365)-K365=0,"Payment Completed",AE365&lt;&gt;"","5th payment",AA365&lt;&gt;"","4th payment",W365&lt;&gt;"","3rd payment",S365&lt;&gt;"","2nd payment",O365&lt;&gt;"","1st payment",O365="","Pending 1st Payment")</f>
        <v>1st payment</v>
      </c>
      <c r="J365" s="55">
        <f t="shared" si="10"/>
        <v>6300</v>
      </c>
      <c r="K365" s="55">
        <f t="shared" si="11"/>
        <v>6300</v>
      </c>
      <c r="L365" s="65">
        <v>45957</v>
      </c>
      <c r="M365" s="66">
        <v>6300</v>
      </c>
      <c r="N365" s="65">
        <v>45929</v>
      </c>
      <c r="O365" s="66">
        <v>6300</v>
      </c>
      <c r="P365" s="39"/>
      <c r="Q365" s="57"/>
      <c r="R365" s="39"/>
      <c r="S365" s="57"/>
      <c r="T365" s="65"/>
      <c r="U365" s="66"/>
      <c r="V365" s="65"/>
      <c r="W365" s="66"/>
      <c r="X365" s="39"/>
      <c r="Y365" s="57"/>
      <c r="Z365" s="39"/>
      <c r="AA365" s="57"/>
      <c r="AB365" s="65"/>
      <c r="AC365" s="66"/>
      <c r="AD365" s="65"/>
      <c r="AE365" s="66"/>
      <c r="AF365" s="39"/>
      <c r="AG365" s="57"/>
      <c r="AH365" s="39"/>
      <c r="AI365" s="57"/>
    </row>
    <row r="366" spans="1:35" ht="19.5" customHeight="1" x14ac:dyDescent="0.3">
      <c r="A366" s="4">
        <f>'ECN Master Project Tracker new'!A367</f>
        <v>2508857</v>
      </c>
      <c r="B366" s="110" t="str">
        <f>VLOOKUP(A:A,Table1[[Project No]:[Additional Remark]],2,FALSE)</f>
        <v>Chong Horng Tat</v>
      </c>
      <c r="C366" s="55">
        <f>VLOOKUP(A:A,Table1[[Project No]:[Additional Remark]],11,FALSE)</f>
        <v>49800</v>
      </c>
      <c r="D366" s="55">
        <f>VLOOKUP(A:A,Table1[[Project No]:[Additional Remark]],12,FALSE)</f>
        <v>0</v>
      </c>
      <c r="E366" s="55" t="str">
        <f>VLOOKUP(A:A,Table1[[Project No]:[Additional Remark]],4,FALSE)</f>
        <v>Ong</v>
      </c>
      <c r="F366" s="4" t="str">
        <f>VLOOKUP(A:A,Table1[[Project No]:[Additional Remark]],5,FALSE)</f>
        <v>R-PV</v>
      </c>
      <c r="G366" s="4" t="str">
        <f>VLOOKUP(A:A,Table1[[Project No]:[Additional Remark]],13,FALSE)</f>
        <v>Cash</v>
      </c>
      <c r="H366" s="4" t="str" cm="1">
        <f t="array" ref="H366">_xlfn.IFS((D366+C366)-J366=0,"Invoice Completed",AC366&lt;&gt;"","5th invoice",Y366&lt;&gt;"","4th invoice",U366&lt;&gt;"","3rd invoice",Q366&lt;&gt;"","2nd invoice",M366&lt;&gt;"","1st invoice",M366="","Pending 1st Invoice")</f>
        <v>2nd invoice</v>
      </c>
      <c r="I366" s="4" t="str" cm="1">
        <f t="array" ref="I366">_xlfn.IFS((C366+D366)-K366=0,"Payment Completed",AE366&lt;&gt;"","5th payment",AA366&lt;&gt;"","4th payment",W366&lt;&gt;"","3rd payment",S366&lt;&gt;"","2nd payment",O366&lt;&gt;"","1st payment",O366="","Pending 1st Payment")</f>
        <v>2nd payment</v>
      </c>
      <c r="J366" s="55">
        <f t="shared" si="10"/>
        <v>44800</v>
      </c>
      <c r="K366" s="55">
        <f t="shared" si="11"/>
        <v>44800</v>
      </c>
      <c r="L366" s="65">
        <v>45940</v>
      </c>
      <c r="M366" s="66">
        <v>4980</v>
      </c>
      <c r="N366" s="65">
        <v>45940</v>
      </c>
      <c r="O366" s="66">
        <v>4980</v>
      </c>
      <c r="P366" s="39">
        <v>45978</v>
      </c>
      <c r="Q366" s="57">
        <v>39820</v>
      </c>
      <c r="R366" s="39">
        <v>45974</v>
      </c>
      <c r="S366" s="57">
        <v>39820</v>
      </c>
      <c r="T366" s="65"/>
      <c r="U366" s="66"/>
      <c r="V366" s="65"/>
      <c r="W366" s="66"/>
      <c r="X366" s="39"/>
      <c r="Y366" s="57"/>
      <c r="Z366" s="39"/>
      <c r="AA366" s="57"/>
      <c r="AB366" s="65"/>
      <c r="AC366" s="66"/>
      <c r="AD366" s="65"/>
      <c r="AE366" s="66"/>
      <c r="AF366" s="39"/>
      <c r="AG366" s="57"/>
      <c r="AH366" s="39"/>
      <c r="AI366" s="57"/>
    </row>
    <row r="367" spans="1:35" ht="19.5" customHeight="1" x14ac:dyDescent="0.3">
      <c r="A367" s="4">
        <f>'ECN Master Project Tracker new'!A368</f>
        <v>2305008</v>
      </c>
      <c r="B367" s="110" t="str">
        <f>VLOOKUP(A:A,Table1[[Project No]:[Additional Remark]],2,FALSE)</f>
        <v>Yeap Chooi Hock</v>
      </c>
      <c r="C367" s="55">
        <f>VLOOKUP(A:A,Table1[[Project No]:[Additional Remark]],11,FALSE)</f>
        <v>63773.58</v>
      </c>
      <c r="D367" s="55">
        <f>VLOOKUP(A:A,Table1[[Project No]:[Additional Remark]],12,FALSE)</f>
        <v>0</v>
      </c>
      <c r="E367" s="55" t="str">
        <f>VLOOKUP(A:A,Table1[[Project No]:[Additional Remark]],4,FALSE)</f>
        <v>Patricia</v>
      </c>
      <c r="F367" s="4" t="str">
        <f>VLOOKUP(A:A,Table1[[Project No]:[Additional Remark]],5,FALSE)</f>
        <v>C&amp;I-PV</v>
      </c>
      <c r="G367" s="4" t="str">
        <f>VLOOKUP(A:A,Table1[[Project No]:[Additional Remark]],13,FALSE)</f>
        <v>Cash + CC Instalment</v>
      </c>
      <c r="H367" s="4" t="str" cm="1">
        <f t="array" ref="H367">_xlfn.IFS((D367+C367)-J367=0,"Invoice Completed",AC367&lt;&gt;"","5th invoice",Y367&lt;&gt;"","4th invoice",U367&lt;&gt;"","3rd invoice",Q367&lt;&gt;"","2nd invoice",M367&lt;&gt;"","1st invoice",M367="","Pending 1st Invoice")</f>
        <v>1st invoice</v>
      </c>
      <c r="I367" s="4" t="str" cm="1">
        <f t="array" ref="I367">_xlfn.IFS((C367+D367)-K367=0,"Payment Completed",AE367&lt;&gt;"","5th payment",AA367&lt;&gt;"","4th payment",W367&lt;&gt;"","3rd payment",S367&lt;&gt;"","2nd payment",O367&lt;&gt;"","1st payment",O367="","Pending 1st Payment")</f>
        <v>1st payment</v>
      </c>
      <c r="J367" s="55">
        <f t="shared" si="10"/>
        <v>6226.41</v>
      </c>
      <c r="K367" s="55">
        <f t="shared" si="11"/>
        <v>6226.41</v>
      </c>
      <c r="L367" s="65">
        <v>45958</v>
      </c>
      <c r="M367" s="66">
        <v>6226.41</v>
      </c>
      <c r="N367" s="65">
        <v>45958</v>
      </c>
      <c r="O367" s="66">
        <v>6226.41</v>
      </c>
      <c r="P367" s="39"/>
      <c r="Q367" s="57"/>
      <c r="R367" s="39"/>
      <c r="S367" s="57"/>
      <c r="T367" s="65"/>
      <c r="U367" s="66"/>
      <c r="V367" s="65"/>
      <c r="W367" s="66"/>
      <c r="X367" s="39"/>
      <c r="Y367" s="57"/>
      <c r="Z367" s="39"/>
      <c r="AA367" s="57"/>
      <c r="AB367" s="65"/>
      <c r="AC367" s="66"/>
      <c r="AD367" s="65"/>
      <c r="AE367" s="66"/>
      <c r="AF367" s="39"/>
      <c r="AG367" s="57"/>
      <c r="AH367" s="39"/>
      <c r="AI367" s="57"/>
    </row>
    <row r="368" spans="1:35" ht="19.5" customHeight="1" x14ac:dyDescent="0.3">
      <c r="A368" s="4">
        <f>'ECN Master Project Tracker new'!A369</f>
        <v>2508856</v>
      </c>
      <c r="B368" s="110" t="str">
        <f>VLOOKUP(A:A,Table1[[Project No]:[Additional Remark]],2,FALSE)</f>
        <v>Eddie Leong Kai Sheng</v>
      </c>
      <c r="C368" s="55">
        <f>VLOOKUP(A:A,Table1[[Project No]:[Additional Remark]],11,FALSE)</f>
        <v>73500</v>
      </c>
      <c r="D368" s="55">
        <f>VLOOKUP(A:A,Table1[[Project No]:[Additional Remark]],12,FALSE)</f>
        <v>0</v>
      </c>
      <c r="E368" s="55" t="str">
        <f>VLOOKUP(A:A,Table1[[Project No]:[Additional Remark]],4,FALSE)</f>
        <v>Ong</v>
      </c>
      <c r="F368" s="4" t="str">
        <f>VLOOKUP(A:A,Table1[[Project No]:[Additional Remark]],5,FALSE)</f>
        <v>R-PV</v>
      </c>
      <c r="G368" s="4" t="str">
        <f>VLOOKUP(A:A,Table1[[Project No]:[Additional Remark]],13,FALSE)</f>
        <v>Cash</v>
      </c>
      <c r="H368" s="4" t="str" cm="1">
        <f t="array" ref="H368">_xlfn.IFS((D368+C368)-J368=0,"Invoice Completed",AC368&lt;&gt;"","5th invoice",Y368&lt;&gt;"","4th invoice",U368&lt;&gt;"","3rd invoice",Q368&lt;&gt;"","2nd invoice",M368&lt;&gt;"","1st invoice",M368="","Pending 1st Invoice")</f>
        <v>1st invoice</v>
      </c>
      <c r="I368" s="4" t="str" cm="1">
        <f t="array" ref="I368">_xlfn.IFS((C368+D368)-K368=0,"Payment Completed",AE368&lt;&gt;"","5th payment",AA368&lt;&gt;"","4th payment",W368&lt;&gt;"","3rd payment",S368&lt;&gt;"","2nd payment",O368&lt;&gt;"","1st payment",O368="","Pending 1st Payment")</f>
        <v>1st payment</v>
      </c>
      <c r="J368" s="55">
        <f t="shared" si="10"/>
        <v>7350</v>
      </c>
      <c r="K368" s="55">
        <f t="shared" si="11"/>
        <v>7350</v>
      </c>
      <c r="L368" s="65">
        <v>45958</v>
      </c>
      <c r="M368" s="66">
        <v>7350</v>
      </c>
      <c r="N368" s="65">
        <v>45958</v>
      </c>
      <c r="O368" s="66">
        <v>7350</v>
      </c>
      <c r="P368" s="39"/>
      <c r="Q368" s="57"/>
      <c r="R368" s="39"/>
      <c r="S368" s="57"/>
      <c r="T368" s="65"/>
      <c r="U368" s="66"/>
      <c r="V368" s="65"/>
      <c r="W368" s="66"/>
      <c r="X368" s="39"/>
      <c r="Y368" s="57"/>
      <c r="Z368" s="39"/>
      <c r="AA368" s="57"/>
      <c r="AB368" s="65"/>
      <c r="AC368" s="66"/>
      <c r="AD368" s="65"/>
      <c r="AE368" s="66"/>
      <c r="AF368" s="39"/>
      <c r="AG368" s="57"/>
      <c r="AH368" s="39"/>
      <c r="AI368" s="57"/>
    </row>
    <row r="369" spans="1:35" ht="19.5" customHeight="1" x14ac:dyDescent="0.3">
      <c r="A369" s="4">
        <f>'ECN Master Project Tracker new'!A370</f>
        <v>2510877</v>
      </c>
      <c r="B369" s="110" t="str">
        <f>VLOOKUP(A:A,Table1[[Project No]:[Additional Remark]],2,FALSE)</f>
        <v>Wang Pay Chen</v>
      </c>
      <c r="C369" s="55">
        <f>VLOOKUP(A:A,Table1[[Project No]:[Additional Remark]],11,FALSE)</f>
        <v>28500</v>
      </c>
      <c r="D369" s="55">
        <f>VLOOKUP(A:A,Table1[[Project No]:[Additional Remark]],12,FALSE)</f>
        <v>0</v>
      </c>
      <c r="E369" s="55" t="str">
        <f>VLOOKUP(A:A,Table1[[Project No]:[Additional Remark]],4,FALSE)</f>
        <v>Patricia</v>
      </c>
      <c r="F369" s="4" t="str">
        <f>VLOOKUP(A:A,Table1[[Project No]:[Additional Remark]],5,FALSE)</f>
        <v>R-PV</v>
      </c>
      <c r="G369" s="4" t="str">
        <f>VLOOKUP(A:A,Table1[[Project No]:[Additional Remark]],13,FALSE)</f>
        <v>Cash</v>
      </c>
      <c r="H369" s="4" t="str" cm="1">
        <f t="array" ref="H369">_xlfn.IFS((D369+C369)-J369=0,"Invoice Completed",AC369&lt;&gt;"","5th invoice",Y369&lt;&gt;"","4th invoice",U369&lt;&gt;"","3rd invoice",Q369&lt;&gt;"","2nd invoice",M369&lt;&gt;"","1st invoice",M369="","Pending 1st Invoice")</f>
        <v>1st invoice</v>
      </c>
      <c r="I369" s="4" t="str" cm="1">
        <f t="array" ref="I369">_xlfn.IFS((C369+D369)-K369=0,"Payment Completed",AE369&lt;&gt;"","5th payment",AA369&lt;&gt;"","4th payment",W369&lt;&gt;"","3rd payment",S369&lt;&gt;"","2nd payment",O369&lt;&gt;"","1st payment",O369="","Pending 1st Payment")</f>
        <v>1st payment</v>
      </c>
      <c r="J369" s="55">
        <f t="shared" si="10"/>
        <v>1000</v>
      </c>
      <c r="K369" s="55">
        <f t="shared" si="11"/>
        <v>1000</v>
      </c>
      <c r="L369" s="65">
        <v>45964</v>
      </c>
      <c r="M369" s="66">
        <v>1000</v>
      </c>
      <c r="N369" s="65">
        <v>45964</v>
      </c>
      <c r="O369" s="66">
        <v>1000</v>
      </c>
      <c r="P369" s="39"/>
      <c r="Q369" s="57"/>
      <c r="R369" s="39"/>
      <c r="S369" s="57"/>
      <c r="T369" s="65"/>
      <c r="U369" s="66"/>
      <c r="V369" s="65"/>
      <c r="W369" s="66"/>
      <c r="X369" s="39"/>
      <c r="Y369" s="57"/>
      <c r="Z369" s="39"/>
      <c r="AA369" s="57"/>
      <c r="AB369" s="65"/>
      <c r="AC369" s="66"/>
      <c r="AD369" s="65"/>
      <c r="AE369" s="66"/>
      <c r="AF369" s="39"/>
      <c r="AG369" s="57"/>
      <c r="AH369" s="39"/>
      <c r="AI369" s="57"/>
    </row>
    <row r="370" spans="1:35" ht="19.5" customHeight="1" x14ac:dyDescent="0.3">
      <c r="A370" s="4">
        <f>'ECN Master Project Tracker new'!A371</f>
        <v>2511887</v>
      </c>
      <c r="B370" s="110" t="str">
        <f>VLOOKUP(A:A,Table1[[Project No]:[Additional Remark]],2,FALSE)</f>
        <v>Lee Hang Meng</v>
      </c>
      <c r="C370" s="55">
        <f>VLOOKUP(A:A,Table1[[Project No]:[Additional Remark]],11,FALSE)</f>
        <v>29000</v>
      </c>
      <c r="D370" s="55">
        <f>VLOOKUP(A:A,Table1[[Project No]:[Additional Remark]],12,FALSE)</f>
        <v>0</v>
      </c>
      <c r="E370" s="55" t="str">
        <f>VLOOKUP(A:A,Table1[[Project No]:[Additional Remark]],4,FALSE)</f>
        <v>Patricia</v>
      </c>
      <c r="F370" s="4" t="str">
        <f>VLOOKUP(A:A,Table1[[Project No]:[Additional Remark]],5,FALSE)</f>
        <v>R-PV</v>
      </c>
      <c r="G370" s="4" t="str">
        <f>VLOOKUP(A:A,Table1[[Project No]:[Additional Remark]],13,FALSE)</f>
        <v>Cash</v>
      </c>
      <c r="H370" s="4" t="str" cm="1">
        <f t="array" ref="H370">_xlfn.IFS((D370+C370)-J370=0,"Invoice Completed",AC370&lt;&gt;"","5th invoice",Y370&lt;&gt;"","4th invoice",U370&lt;&gt;"","3rd invoice",Q370&lt;&gt;"","2nd invoice",M370&lt;&gt;"","1st invoice",M370="","Pending 1st Invoice")</f>
        <v>1st invoice</v>
      </c>
      <c r="I370" s="4" t="str" cm="1">
        <f t="array" ref="I370">_xlfn.IFS((C370+D370)-K370=0,"Payment Completed",AE370&lt;&gt;"","5th payment",AA370&lt;&gt;"","4th payment",W370&lt;&gt;"","3rd payment",S370&lt;&gt;"","2nd payment",O370&lt;&gt;"","1st payment",O370="","Pending 1st Payment")</f>
        <v>1st payment</v>
      </c>
      <c r="J370" s="55">
        <f t="shared" si="10"/>
        <v>1000</v>
      </c>
      <c r="K370" s="55">
        <f t="shared" si="11"/>
        <v>1000</v>
      </c>
      <c r="L370" s="65">
        <v>45970</v>
      </c>
      <c r="M370" s="66">
        <v>1000</v>
      </c>
      <c r="N370" s="65">
        <v>45970</v>
      </c>
      <c r="O370" s="66">
        <v>1000</v>
      </c>
      <c r="P370" s="39"/>
      <c r="Q370" s="57"/>
      <c r="R370" s="39"/>
      <c r="S370" s="57"/>
      <c r="T370" s="65"/>
      <c r="U370" s="66"/>
      <c r="V370" s="65"/>
      <c r="W370" s="66"/>
      <c r="X370" s="39"/>
      <c r="Y370" s="57"/>
      <c r="Z370" s="39"/>
      <c r="AA370" s="57"/>
      <c r="AB370" s="65"/>
      <c r="AC370" s="66"/>
      <c r="AD370" s="65"/>
      <c r="AE370" s="66"/>
      <c r="AF370" s="39"/>
      <c r="AG370" s="57"/>
      <c r="AH370" s="39"/>
      <c r="AI370" s="57"/>
    </row>
    <row r="371" spans="1:35" ht="19.5" customHeight="1" x14ac:dyDescent="0.3">
      <c r="A371" s="4">
        <f>'ECN Master Project Tracker new'!A372</f>
        <v>2305019</v>
      </c>
      <c r="B371" s="110" t="str">
        <f>VLOOKUP(A:A,Table1[[Project No]:[Additional Remark]],2,FALSE)</f>
        <v>Soe Yew Seng</v>
      </c>
      <c r="C371" s="55">
        <f>VLOOKUP(A:A,Table1[[Project No]:[Additional Remark]],11,FALSE)</f>
        <v>60000</v>
      </c>
      <c r="D371" s="55">
        <f>VLOOKUP(A:A,Table1[[Project No]:[Additional Remark]],12,FALSE)</f>
        <v>0</v>
      </c>
      <c r="E371" s="55" t="str">
        <f>VLOOKUP(A:A,Table1[[Project No]:[Additional Remark]],4,FALSE)</f>
        <v>Simon</v>
      </c>
      <c r="F371" s="4" t="str">
        <f>VLOOKUP(A:A,Table1[[Project No]:[Additional Remark]],5,FALSE)</f>
        <v>R-PV</v>
      </c>
      <c r="G371" s="4" t="str">
        <f>VLOOKUP(A:A,Table1[[Project No]:[Additional Remark]],13,FALSE)</f>
        <v>Cash</v>
      </c>
      <c r="H371" s="4" t="str" cm="1">
        <f t="array" ref="H371">_xlfn.IFS((D371+C371)-J371=0,"Invoice Completed",AC371&lt;&gt;"","5th invoice",Y371&lt;&gt;"","4th invoice",U371&lt;&gt;"","3rd invoice",Q371&lt;&gt;"","2nd invoice",M371&lt;&gt;"","1st invoice",M371="","Pending 1st Invoice")</f>
        <v>1st invoice</v>
      </c>
      <c r="I371" s="4" t="str" cm="1">
        <f t="array" ref="I371">_xlfn.IFS((C371+D371)-K371=0,"Payment Completed",AE371&lt;&gt;"","5th payment",AA371&lt;&gt;"","4th payment",W371&lt;&gt;"","3rd payment",S371&lt;&gt;"","2nd payment",O371&lt;&gt;"","1st payment",O371="","Pending 1st Payment")</f>
        <v>1st payment</v>
      </c>
      <c r="J371" s="55">
        <f t="shared" si="10"/>
        <v>1000</v>
      </c>
      <c r="K371" s="55">
        <f t="shared" si="11"/>
        <v>1000</v>
      </c>
      <c r="L371" s="65">
        <v>45960</v>
      </c>
      <c r="M371" s="66">
        <v>1000</v>
      </c>
      <c r="N371" s="65">
        <v>45960</v>
      </c>
      <c r="O371" s="66">
        <v>1000</v>
      </c>
      <c r="P371" s="39"/>
      <c r="Q371" s="57"/>
      <c r="R371" s="39"/>
      <c r="S371" s="57"/>
      <c r="T371" s="65"/>
      <c r="U371" s="66"/>
      <c r="V371" s="65"/>
      <c r="W371" s="66"/>
      <c r="X371" s="39"/>
      <c r="Y371" s="57"/>
      <c r="Z371" s="39"/>
      <c r="AA371" s="57"/>
      <c r="AB371" s="65"/>
      <c r="AC371" s="66"/>
      <c r="AD371" s="65"/>
      <c r="AE371" s="66"/>
      <c r="AF371" s="39"/>
      <c r="AG371" s="57"/>
      <c r="AH371" s="39"/>
      <c r="AI371" s="57"/>
    </row>
    <row r="372" spans="1:35" ht="19.5" customHeight="1" x14ac:dyDescent="0.3">
      <c r="A372" s="4" t="e">
        <f>'ECN Master Project Tracker new'!#REF!</f>
        <v>#REF!</v>
      </c>
      <c r="B372" s="110" t="e">
        <f>VLOOKUP(A:A,Table1[[Project No]:[Additional Remark]],2,FALSE)</f>
        <v>#REF!</v>
      </c>
      <c r="C372" s="55" t="e">
        <f>VLOOKUP(A:A,Table1[[Project No]:[Additional Remark]],11,FALSE)</f>
        <v>#REF!</v>
      </c>
      <c r="D372" s="55" t="e">
        <f>VLOOKUP(A:A,Table1[[Project No]:[Additional Remark]],12,FALSE)</f>
        <v>#REF!</v>
      </c>
      <c r="E372" s="55" t="e">
        <f>VLOOKUP(A:A,Table1[[Project No]:[Additional Remark]],4,FALSE)</f>
        <v>#REF!</v>
      </c>
      <c r="F372" s="4" t="e">
        <f>VLOOKUP(A:A,Table1[[Project No]:[Additional Remark]],5,FALSE)</f>
        <v>#REF!</v>
      </c>
      <c r="G372" s="4" t="e">
        <f>VLOOKUP(A:A,Table1[[Project No]:[Additional Remark]],13,FALSE)</f>
        <v>#REF!</v>
      </c>
      <c r="H372" s="4" t="e" cm="1">
        <f t="array" ref="H372">_xlfn.IFS((D372+C372)-J372=0,"Invoice Completed",AC372&lt;&gt;"","5th invoice",Y372&lt;&gt;"","4th invoice",U372&lt;&gt;"","3rd invoice",Q372&lt;&gt;"","2nd invoice",M372&lt;&gt;"","1st invoice",M372="","Pending 1st Invoice")</f>
        <v>#REF!</v>
      </c>
      <c r="I372" s="4" t="e" cm="1">
        <f t="array" ref="I372">_xlfn.IFS((C372+D372)-K372=0,"Payment Completed",AE372&lt;&gt;"","5th payment",AA372&lt;&gt;"","4th payment",W372&lt;&gt;"","3rd payment",S372&lt;&gt;"","2nd payment",O372&lt;&gt;"","1st payment",O372="","Pending 1st Payment")</f>
        <v>#REF!</v>
      </c>
      <c r="J372" s="55">
        <f t="shared" si="10"/>
        <v>5000</v>
      </c>
      <c r="K372" s="55">
        <f t="shared" si="11"/>
        <v>5000</v>
      </c>
      <c r="L372" s="65">
        <v>46204</v>
      </c>
      <c r="M372" s="66">
        <v>5000</v>
      </c>
      <c r="N372" s="65">
        <v>46205</v>
      </c>
      <c r="O372" s="66">
        <v>5000</v>
      </c>
      <c r="P372" s="39"/>
      <c r="Q372" s="57"/>
      <c r="R372" s="39"/>
      <c r="S372" s="57"/>
      <c r="T372" s="65"/>
      <c r="U372" s="66"/>
      <c r="V372" s="65"/>
      <c r="W372" s="66"/>
      <c r="X372" s="39"/>
      <c r="Y372" s="57"/>
      <c r="Z372" s="39"/>
      <c r="AA372" s="57"/>
      <c r="AB372" s="65"/>
      <c r="AC372" s="66"/>
      <c r="AD372" s="65"/>
      <c r="AE372" s="66"/>
      <c r="AF372" s="39"/>
      <c r="AG372" s="57"/>
      <c r="AH372" s="39"/>
      <c r="AI372" s="57"/>
    </row>
    <row r="373" spans="1:35" ht="19.5" customHeight="1" x14ac:dyDescent="0.3">
      <c r="A373" s="4" t="e">
        <f>'ECN Master Project Tracker new'!#REF!</f>
        <v>#REF!</v>
      </c>
      <c r="B373" s="110" t="e">
        <f>VLOOKUP(A:A,Table1[[Project No]:[Additional Remark]],2,FALSE)</f>
        <v>#REF!</v>
      </c>
      <c r="C373" s="55" t="e">
        <f>VLOOKUP(A:A,Table1[[Project No]:[Additional Remark]],11,FALSE)</f>
        <v>#REF!</v>
      </c>
      <c r="D373" s="55" t="e">
        <f>VLOOKUP(A:A,Table1[[Project No]:[Additional Remark]],12,FALSE)</f>
        <v>#REF!</v>
      </c>
      <c r="E373" s="55" t="e">
        <f>VLOOKUP(A:A,Table1[[Project No]:[Additional Remark]],4,FALSE)</f>
        <v>#REF!</v>
      </c>
      <c r="F373" s="4" t="e">
        <f>VLOOKUP(A:A,Table1[[Project No]:[Additional Remark]],5,FALSE)</f>
        <v>#REF!</v>
      </c>
      <c r="G373" s="4" t="e">
        <f>VLOOKUP(A:A,Table1[[Project No]:[Additional Remark]],13,FALSE)</f>
        <v>#REF!</v>
      </c>
      <c r="H373" s="4" t="e" cm="1">
        <f t="array" ref="H373">_xlfn.IFS((D373+C373)-J373=0,"Invoice Completed",AC373&lt;&gt;"","5th invoice",Y373&lt;&gt;"","4th invoice",U373&lt;&gt;"","3rd invoice",Q373&lt;&gt;"","2nd invoice",M373&lt;&gt;"","1st invoice",M373="","Pending 1st Invoice")</f>
        <v>#REF!</v>
      </c>
      <c r="I373" s="4" t="e" cm="1">
        <f t="array" ref="I373">_xlfn.IFS((C373+D373)-K373=0,"Payment Completed",AE373&lt;&gt;"","5th payment",AA373&lt;&gt;"","4th payment",W373&lt;&gt;"","3rd payment",S373&lt;&gt;"","2nd payment",O373&lt;&gt;"","1st payment",O373="","Pending 1st Payment")</f>
        <v>#REF!</v>
      </c>
      <c r="J373" s="55">
        <f t="shared" si="10"/>
        <v>500000</v>
      </c>
      <c r="K373" s="55">
        <f t="shared" si="11"/>
        <v>500000</v>
      </c>
      <c r="L373" s="65">
        <v>46204</v>
      </c>
      <c r="M373" s="66">
        <v>500000</v>
      </c>
      <c r="N373" s="65">
        <v>46205</v>
      </c>
      <c r="O373" s="66">
        <v>500000</v>
      </c>
      <c r="P373" s="39"/>
      <c r="Q373" s="57"/>
      <c r="R373" s="39"/>
      <c r="S373" s="57"/>
      <c r="T373" s="65"/>
      <c r="U373" s="66"/>
      <c r="V373" s="65"/>
      <c r="W373" s="66"/>
      <c r="X373" s="39"/>
      <c r="Y373" s="57"/>
      <c r="Z373" s="39"/>
      <c r="AA373" s="57"/>
      <c r="AB373" s="65"/>
      <c r="AC373" s="66"/>
      <c r="AD373" s="65"/>
      <c r="AE373" s="66"/>
      <c r="AF373" s="39"/>
      <c r="AG373" s="57"/>
      <c r="AH373" s="39"/>
      <c r="AI373" s="57"/>
    </row>
    <row r="374" spans="1:35" ht="19.5" customHeight="1" x14ac:dyDescent="0.3">
      <c r="A374" s="4" t="e">
        <f>'ECN Master Project Tracker new'!#REF!</f>
        <v>#REF!</v>
      </c>
      <c r="B374" s="110" t="e">
        <f>VLOOKUP(A:A,Table1[[Project No]:[Additional Remark]],2,FALSE)</f>
        <v>#REF!</v>
      </c>
      <c r="C374" s="55" t="e">
        <f>VLOOKUP(A:A,Table1[[Project No]:[Additional Remark]],11,FALSE)</f>
        <v>#REF!</v>
      </c>
      <c r="D374" s="55" t="e">
        <f>VLOOKUP(A:A,Table1[[Project No]:[Additional Remark]],12,FALSE)</f>
        <v>#REF!</v>
      </c>
      <c r="E374" s="55" t="e">
        <f>VLOOKUP(A:A,Table1[[Project No]:[Additional Remark]],4,FALSE)</f>
        <v>#REF!</v>
      </c>
      <c r="F374" s="4" t="e">
        <f>VLOOKUP(A:A,Table1[[Project No]:[Additional Remark]],5,FALSE)</f>
        <v>#REF!</v>
      </c>
      <c r="G374" s="4" t="e">
        <f>VLOOKUP(A:A,Table1[[Project No]:[Additional Remark]],13,FALSE)</f>
        <v>#REF!</v>
      </c>
      <c r="H374" s="4" t="e" cm="1">
        <f t="array" ref="H374">_xlfn.IFS((D374+C374)-J374=0,"Invoice Completed",AC374&lt;&gt;"","5th invoice",Y374&lt;&gt;"","4th invoice",U374&lt;&gt;"","3rd invoice",Q374&lt;&gt;"","2nd invoice",M374&lt;&gt;"","1st invoice",M374="","Pending 1st Invoice")</f>
        <v>#REF!</v>
      </c>
      <c r="I374" s="4" t="e" cm="1">
        <f t="array" ref="I374">_xlfn.IFS((C374+D374)-K374=0,"Payment Completed",AE374&lt;&gt;"","5th payment",AA374&lt;&gt;"","4th payment",W374&lt;&gt;"","3rd payment",S374&lt;&gt;"","2nd payment",O374&lt;&gt;"","1st payment",O374="","Pending 1st Payment")</f>
        <v>#REF!</v>
      </c>
      <c r="J374" s="55">
        <f t="shared" si="10"/>
        <v>50000</v>
      </c>
      <c r="K374" s="55">
        <f t="shared" si="11"/>
        <v>50000</v>
      </c>
      <c r="L374" s="65">
        <v>46204</v>
      </c>
      <c r="M374" s="66">
        <v>50000</v>
      </c>
      <c r="N374" s="65">
        <v>46205</v>
      </c>
      <c r="O374" s="66">
        <v>50000</v>
      </c>
      <c r="P374" s="39"/>
      <c r="Q374" s="57"/>
      <c r="R374" s="39"/>
      <c r="S374" s="57"/>
      <c r="T374" s="65"/>
      <c r="U374" s="66"/>
      <c r="V374" s="65"/>
      <c r="W374" s="66"/>
      <c r="X374" s="39"/>
      <c r="Y374" s="57"/>
      <c r="Z374" s="39"/>
      <c r="AA374" s="57"/>
      <c r="AB374" s="65"/>
      <c r="AC374" s="66"/>
      <c r="AD374" s="65"/>
      <c r="AE374" s="66"/>
      <c r="AF374" s="39"/>
      <c r="AG374" s="57"/>
      <c r="AH374" s="39"/>
      <c r="AI374" s="57"/>
    </row>
    <row r="375" spans="1:35" ht="19.5" customHeight="1" x14ac:dyDescent="0.3">
      <c r="A375" s="4" t="e">
        <f>'ECN Master Project Tracker new'!#REF!</f>
        <v>#REF!</v>
      </c>
      <c r="B375" s="110" t="e">
        <f>VLOOKUP(A:A,Table1[[Project No]:[Additional Remark]],2,FALSE)</f>
        <v>#REF!</v>
      </c>
      <c r="C375" s="55" t="e">
        <f>VLOOKUP(A:A,Table1[[Project No]:[Additional Remark]],11,FALSE)</f>
        <v>#REF!</v>
      </c>
      <c r="D375" s="55" t="e">
        <f>VLOOKUP(A:A,Table1[[Project No]:[Additional Remark]],12,FALSE)</f>
        <v>#REF!</v>
      </c>
      <c r="E375" s="55" t="e">
        <f>VLOOKUP(A:A,Table1[[Project No]:[Additional Remark]],4,FALSE)</f>
        <v>#REF!</v>
      </c>
      <c r="F375" s="4" t="e">
        <f>VLOOKUP(A:A,Table1[[Project No]:[Additional Remark]],5,FALSE)</f>
        <v>#REF!</v>
      </c>
      <c r="G375" s="4" t="e">
        <f>VLOOKUP(A:A,Table1[[Project No]:[Additional Remark]],13,FALSE)</f>
        <v>#REF!</v>
      </c>
      <c r="H375" s="4" t="e" cm="1">
        <f t="array" ref="H375">_xlfn.IFS((D375+C375)-J375=0,"Invoice Completed",AC375&lt;&gt;"","5th invoice",Y375&lt;&gt;"","4th invoice",U375&lt;&gt;"","3rd invoice",Q375&lt;&gt;"","2nd invoice",M375&lt;&gt;"","1st invoice",M375="","Pending 1st Invoice")</f>
        <v>#REF!</v>
      </c>
      <c r="I375" s="4" t="e" cm="1">
        <f t="array" ref="I375">_xlfn.IFS((C375+D375)-K375=0,"Payment Completed",AE375&lt;&gt;"","5th payment",AA375&lt;&gt;"","4th payment",W375&lt;&gt;"","3rd payment",S375&lt;&gt;"","2nd payment",O375&lt;&gt;"","1st payment",O375="","Pending 1st Payment")</f>
        <v>#REF!</v>
      </c>
      <c r="J375" s="55">
        <f t="shared" si="10"/>
        <v>0</v>
      </c>
      <c r="K375" s="55">
        <f t="shared" si="11"/>
        <v>0</v>
      </c>
      <c r="L375" s="65"/>
      <c r="M375" s="66"/>
      <c r="N375" s="65"/>
      <c r="O375" s="66"/>
      <c r="P375" s="39"/>
      <c r="Q375" s="57"/>
      <c r="R375" s="39"/>
      <c r="S375" s="57"/>
      <c r="T375" s="65"/>
      <c r="U375" s="66"/>
      <c r="V375" s="65"/>
      <c r="W375" s="66"/>
      <c r="X375" s="39"/>
      <c r="Y375" s="57"/>
      <c r="Z375" s="39"/>
      <c r="AA375" s="57"/>
      <c r="AB375" s="65"/>
      <c r="AC375" s="66"/>
      <c r="AD375" s="65"/>
      <c r="AE375" s="66"/>
      <c r="AF375" s="39"/>
      <c r="AG375" s="57"/>
      <c r="AH375" s="39"/>
      <c r="AI375" s="57"/>
    </row>
    <row r="376" spans="1:35" ht="19.5" customHeight="1" x14ac:dyDescent="0.3">
      <c r="A376" s="4" t="e">
        <f>'ECN Master Project Tracker new'!#REF!</f>
        <v>#REF!</v>
      </c>
      <c r="B376" s="110" t="e">
        <f>VLOOKUP(A:A,Table1[[Project No]:[Additional Remark]],2,FALSE)</f>
        <v>#REF!</v>
      </c>
      <c r="C376" s="55" t="e">
        <f>VLOOKUP(A:A,Table1[[Project No]:[Additional Remark]],11,FALSE)</f>
        <v>#REF!</v>
      </c>
      <c r="D376" s="55" t="e">
        <f>VLOOKUP(A:A,Table1[[Project No]:[Additional Remark]],12,FALSE)</f>
        <v>#REF!</v>
      </c>
      <c r="E376" s="55" t="e">
        <f>VLOOKUP(A:A,Table1[[Project No]:[Additional Remark]],4,FALSE)</f>
        <v>#REF!</v>
      </c>
      <c r="F376" s="4" t="e">
        <f>VLOOKUP(A:A,Table1[[Project No]:[Additional Remark]],5,FALSE)</f>
        <v>#REF!</v>
      </c>
      <c r="G376" s="4" t="e">
        <f>VLOOKUP(A:A,Table1[[Project No]:[Additional Remark]],13,FALSE)</f>
        <v>#REF!</v>
      </c>
      <c r="H376" s="4" t="e" cm="1">
        <f t="array" ref="H376">_xlfn.IFS((D376+C376)-J376=0,"Invoice Completed",AC376&lt;&gt;"","5th invoice",Y376&lt;&gt;"","4th invoice",U376&lt;&gt;"","3rd invoice",Q376&lt;&gt;"","2nd invoice",M376&lt;&gt;"","1st invoice",M376="","Pending 1st Invoice")</f>
        <v>#REF!</v>
      </c>
      <c r="I376" s="4" t="e" cm="1">
        <f t="array" ref="I376">_xlfn.IFS((C376+D376)-K376=0,"Payment Completed",AE376&lt;&gt;"","5th payment",AA376&lt;&gt;"","4th payment",W376&lt;&gt;"","3rd payment",S376&lt;&gt;"","2nd payment",O376&lt;&gt;"","1st payment",O376="","Pending 1st Payment")</f>
        <v>#REF!</v>
      </c>
      <c r="J376" s="55">
        <f t="shared" si="10"/>
        <v>0</v>
      </c>
      <c r="K376" s="55">
        <f t="shared" si="11"/>
        <v>0</v>
      </c>
      <c r="L376" s="65"/>
      <c r="M376" s="66"/>
      <c r="N376" s="65"/>
      <c r="O376" s="66"/>
      <c r="P376" s="39"/>
      <c r="Q376" s="57"/>
      <c r="R376" s="39"/>
      <c r="S376" s="57"/>
      <c r="T376" s="65"/>
      <c r="U376" s="66"/>
      <c r="V376" s="65"/>
      <c r="W376" s="66"/>
      <c r="X376" s="39"/>
      <c r="Y376" s="57"/>
      <c r="Z376" s="39"/>
      <c r="AA376" s="57"/>
      <c r="AB376" s="65"/>
      <c r="AC376" s="66"/>
      <c r="AD376" s="65"/>
      <c r="AE376" s="66"/>
      <c r="AF376" s="39"/>
      <c r="AG376" s="57"/>
      <c r="AH376" s="39"/>
      <c r="AI376" s="57"/>
    </row>
    <row r="377" spans="1:35" ht="19.5" customHeight="1" x14ac:dyDescent="0.3">
      <c r="A377" s="4" t="e">
        <f>'ECN Master Project Tracker new'!#REF!</f>
        <v>#REF!</v>
      </c>
      <c r="B377" s="110" t="e">
        <f>VLOOKUP(A:A,Table1[[Project No]:[Additional Remark]],2,FALSE)</f>
        <v>#REF!</v>
      </c>
      <c r="C377" s="55" t="e">
        <f>VLOOKUP(A:A,Table1[[Project No]:[Additional Remark]],11,FALSE)</f>
        <v>#REF!</v>
      </c>
      <c r="D377" s="55" t="e">
        <f>VLOOKUP(A:A,Table1[[Project No]:[Additional Remark]],12,FALSE)</f>
        <v>#REF!</v>
      </c>
      <c r="E377" s="55" t="e">
        <f>VLOOKUP(A:A,Table1[[Project No]:[Additional Remark]],4,FALSE)</f>
        <v>#REF!</v>
      </c>
      <c r="F377" s="4" t="e">
        <f>VLOOKUP(A:A,Table1[[Project No]:[Additional Remark]],5,FALSE)</f>
        <v>#REF!</v>
      </c>
      <c r="G377" s="4" t="e">
        <f>VLOOKUP(A:A,Table1[[Project No]:[Additional Remark]],13,FALSE)</f>
        <v>#REF!</v>
      </c>
      <c r="H377" s="4" t="e" cm="1">
        <f t="array" ref="H377">_xlfn.IFS((D377+C377)-J377=0,"Invoice Completed",AC377&lt;&gt;"","5th invoice",Y377&lt;&gt;"","4th invoice",U377&lt;&gt;"","3rd invoice",Q377&lt;&gt;"","2nd invoice",M377&lt;&gt;"","1st invoice",M377="","Pending 1st Invoice")</f>
        <v>#REF!</v>
      </c>
      <c r="I377" s="4" t="e" cm="1">
        <f t="array" ref="I377">_xlfn.IFS((C377+D377)-K377=0,"Payment Completed",AE377&lt;&gt;"","5th payment",AA377&lt;&gt;"","4th payment",W377&lt;&gt;"","3rd payment",S377&lt;&gt;"","2nd payment",O377&lt;&gt;"","1st payment",O377="","Pending 1st Payment")</f>
        <v>#REF!</v>
      </c>
      <c r="J377" s="55">
        <f t="shared" si="10"/>
        <v>0</v>
      </c>
      <c r="K377" s="55">
        <f t="shared" si="11"/>
        <v>0</v>
      </c>
      <c r="L377" s="65"/>
      <c r="M377" s="66"/>
      <c r="N377" s="65"/>
      <c r="O377" s="66"/>
      <c r="P377" s="39"/>
      <c r="Q377" s="57"/>
      <c r="R377" s="39"/>
      <c r="S377" s="57"/>
      <c r="T377" s="65"/>
      <c r="U377" s="66"/>
      <c r="V377" s="65"/>
      <c r="W377" s="66"/>
      <c r="X377" s="39"/>
      <c r="Y377" s="57"/>
      <c r="Z377" s="39"/>
      <c r="AA377" s="57"/>
      <c r="AB377" s="65"/>
      <c r="AC377" s="66"/>
      <c r="AD377" s="65"/>
      <c r="AE377" s="66"/>
      <c r="AF377" s="39"/>
      <c r="AG377" s="57"/>
      <c r="AH377" s="39"/>
      <c r="AI377" s="57"/>
    </row>
    <row r="378" spans="1:35" ht="19.5" customHeight="1" x14ac:dyDescent="0.3">
      <c r="A378" s="4" t="e">
        <f>'ECN Master Project Tracker new'!#REF!</f>
        <v>#REF!</v>
      </c>
      <c r="B378" s="110" t="e">
        <f>VLOOKUP(A:A,Table1[[Project No]:[Additional Remark]],2,FALSE)</f>
        <v>#REF!</v>
      </c>
      <c r="C378" s="55" t="e">
        <f>VLOOKUP(A:A,Table1[[Project No]:[Additional Remark]],11,FALSE)</f>
        <v>#REF!</v>
      </c>
      <c r="D378" s="55" t="e">
        <f>VLOOKUP(A:A,Table1[[Project No]:[Additional Remark]],12,FALSE)</f>
        <v>#REF!</v>
      </c>
      <c r="E378" s="55" t="e">
        <f>VLOOKUP(A:A,Table1[[Project No]:[Additional Remark]],4,FALSE)</f>
        <v>#REF!</v>
      </c>
      <c r="F378" s="4" t="e">
        <f>VLOOKUP(A:A,Table1[[Project No]:[Additional Remark]],5,FALSE)</f>
        <v>#REF!</v>
      </c>
      <c r="G378" s="4" t="e">
        <f>VLOOKUP(A:A,Table1[[Project No]:[Additional Remark]],13,FALSE)</f>
        <v>#REF!</v>
      </c>
      <c r="H378" s="4" t="e" cm="1">
        <f t="array" ref="H378">_xlfn.IFS((D378+C378)-J378=0,"Invoice Completed",AC378&lt;&gt;"","5th invoice",Y378&lt;&gt;"","4th invoice",U378&lt;&gt;"","3rd invoice",Q378&lt;&gt;"","2nd invoice",M378&lt;&gt;"","1st invoice",M378="","Pending 1st Invoice")</f>
        <v>#REF!</v>
      </c>
      <c r="I378" s="4" t="e" cm="1">
        <f t="array" ref="I378">_xlfn.IFS((C378+D378)-K378=0,"Payment Completed",AE378&lt;&gt;"","5th payment",AA378&lt;&gt;"","4th payment",W378&lt;&gt;"","3rd payment",S378&lt;&gt;"","2nd payment",O378&lt;&gt;"","1st payment",O378="","Pending 1st Payment")</f>
        <v>#REF!</v>
      </c>
      <c r="J378" s="55">
        <f t="shared" si="10"/>
        <v>0</v>
      </c>
      <c r="K378" s="55">
        <f t="shared" si="11"/>
        <v>0</v>
      </c>
      <c r="L378" s="65"/>
      <c r="M378" s="66"/>
      <c r="N378" s="65"/>
      <c r="O378" s="66"/>
      <c r="P378" s="39"/>
      <c r="Q378" s="57"/>
      <c r="R378" s="39"/>
      <c r="S378" s="57"/>
      <c r="T378" s="65"/>
      <c r="U378" s="66"/>
      <c r="V378" s="65"/>
      <c r="W378" s="66"/>
      <c r="X378" s="39"/>
      <c r="Y378" s="57"/>
      <c r="Z378" s="39"/>
      <c r="AA378" s="57"/>
      <c r="AB378" s="65"/>
      <c r="AC378" s="66"/>
      <c r="AD378" s="65"/>
      <c r="AE378" s="66"/>
      <c r="AF378" s="39"/>
      <c r="AG378" s="57"/>
      <c r="AH378" s="39"/>
      <c r="AI378" s="57"/>
    </row>
    <row r="379" spans="1:35" ht="19.5" customHeight="1" x14ac:dyDescent="0.3">
      <c r="A379" s="4" t="e">
        <f>'ECN Master Project Tracker new'!#REF!</f>
        <v>#REF!</v>
      </c>
      <c r="B379" s="110" t="e">
        <f>VLOOKUP(A:A,Table1[[Project No]:[Additional Remark]],2,FALSE)</f>
        <v>#REF!</v>
      </c>
      <c r="C379" s="55" t="e">
        <f>VLOOKUP(A:A,Table1[[Project No]:[Additional Remark]],11,FALSE)</f>
        <v>#REF!</v>
      </c>
      <c r="D379" s="55" t="e">
        <f>VLOOKUP(A:A,Table1[[Project No]:[Additional Remark]],12,FALSE)</f>
        <v>#REF!</v>
      </c>
      <c r="E379" s="55" t="e">
        <f>VLOOKUP(A:A,Table1[[Project No]:[Additional Remark]],4,FALSE)</f>
        <v>#REF!</v>
      </c>
      <c r="F379" s="4" t="e">
        <f>VLOOKUP(A:A,Table1[[Project No]:[Additional Remark]],5,FALSE)</f>
        <v>#REF!</v>
      </c>
      <c r="G379" s="4" t="e">
        <f>VLOOKUP(A:A,Table1[[Project No]:[Additional Remark]],13,FALSE)</f>
        <v>#REF!</v>
      </c>
      <c r="H379" s="4" t="e" cm="1">
        <f t="array" ref="H379">_xlfn.IFS((D379+C379)-J379=0,"Invoice Completed",AC379&lt;&gt;"","5th invoice",Y379&lt;&gt;"","4th invoice",U379&lt;&gt;"","3rd invoice",Q379&lt;&gt;"","2nd invoice",M379&lt;&gt;"","1st invoice",M379="","Pending 1st Invoice")</f>
        <v>#REF!</v>
      </c>
      <c r="I379" s="4" t="e" cm="1">
        <f t="array" ref="I379">_xlfn.IFS((C379+D379)-K379=0,"Payment Completed",AE379&lt;&gt;"","5th payment",AA379&lt;&gt;"","4th payment",W379&lt;&gt;"","3rd payment",S379&lt;&gt;"","2nd payment",O379&lt;&gt;"","1st payment",O379="","Pending 1st Payment")</f>
        <v>#REF!</v>
      </c>
      <c r="J379" s="55">
        <f t="shared" si="10"/>
        <v>0</v>
      </c>
      <c r="K379" s="55">
        <f t="shared" si="11"/>
        <v>0</v>
      </c>
      <c r="L379" s="65"/>
      <c r="M379" s="66"/>
      <c r="N379" s="65"/>
      <c r="O379" s="66"/>
      <c r="P379" s="39"/>
      <c r="Q379" s="57"/>
      <c r="R379" s="4"/>
      <c r="S379" s="57"/>
      <c r="T379" s="65"/>
      <c r="U379" s="66"/>
      <c r="V379" s="65"/>
      <c r="W379" s="66"/>
      <c r="X379" s="39"/>
      <c r="Y379" s="57"/>
      <c r="Z379" s="39"/>
      <c r="AA379" s="57"/>
      <c r="AB379" s="65"/>
      <c r="AC379" s="66"/>
      <c r="AD379" s="65"/>
      <c r="AE379" s="66"/>
      <c r="AF379" s="39"/>
      <c r="AG379" s="57"/>
      <c r="AH379" s="39"/>
      <c r="AI379" s="57"/>
    </row>
    <row r="380" spans="1:35" ht="19.5" customHeight="1" x14ac:dyDescent="0.3">
      <c r="A380" s="4" t="e">
        <f>'ECN Master Project Tracker new'!#REF!</f>
        <v>#REF!</v>
      </c>
      <c r="B380" s="110" t="e">
        <f>VLOOKUP(A:A,Table1[[Project No]:[Additional Remark]],2,FALSE)</f>
        <v>#REF!</v>
      </c>
      <c r="C380" s="55" t="e">
        <f>VLOOKUP(A:A,Table1[[Project No]:[Additional Remark]],11,FALSE)</f>
        <v>#REF!</v>
      </c>
      <c r="D380" s="55" t="e">
        <f>VLOOKUP(A:A,Table1[[Project No]:[Additional Remark]],12,FALSE)</f>
        <v>#REF!</v>
      </c>
      <c r="E380" s="55" t="e">
        <f>VLOOKUP(A:A,Table1[[Project No]:[Additional Remark]],4,FALSE)</f>
        <v>#REF!</v>
      </c>
      <c r="F380" s="4" t="e">
        <f>VLOOKUP(A:A,Table1[[Project No]:[Additional Remark]],5,FALSE)</f>
        <v>#REF!</v>
      </c>
      <c r="G380" s="4" t="e">
        <f>VLOOKUP(A:A,Table1[[Project No]:[Additional Remark]],13,FALSE)</f>
        <v>#REF!</v>
      </c>
      <c r="H380" s="4" t="e" cm="1">
        <f t="array" ref="H380">_xlfn.IFS((D380+C380)-J380=0,"Invoice Completed",AC380&lt;&gt;"","5th invoice",Y380&lt;&gt;"","4th invoice",U380&lt;&gt;"","3rd invoice",Q380&lt;&gt;"","2nd invoice",M380&lt;&gt;"","1st invoice",M380="","Pending 1st Invoice")</f>
        <v>#REF!</v>
      </c>
      <c r="I380" s="4" t="e" cm="1">
        <f t="array" ref="I380">_xlfn.IFS((C380+D380)-K380=0,"Payment Completed",AE380&lt;&gt;"","5th payment",AA380&lt;&gt;"","4th payment",W380&lt;&gt;"","3rd payment",S380&lt;&gt;"","2nd payment",O380&lt;&gt;"","1st payment",O380="","Pending 1st Payment")</f>
        <v>#REF!</v>
      </c>
      <c r="J380" s="55">
        <f t="shared" si="10"/>
        <v>0</v>
      </c>
      <c r="K380" s="55">
        <f t="shared" si="11"/>
        <v>0</v>
      </c>
      <c r="L380" s="65"/>
      <c r="M380" s="66"/>
      <c r="N380" s="65"/>
      <c r="O380" s="66"/>
      <c r="P380" s="39"/>
      <c r="Q380" s="57"/>
      <c r="R380" s="4"/>
      <c r="S380" s="57"/>
      <c r="T380" s="65"/>
      <c r="U380" s="66"/>
      <c r="V380" s="65"/>
      <c r="W380" s="66"/>
      <c r="X380" s="39"/>
      <c r="Y380" s="57"/>
      <c r="Z380" s="39"/>
      <c r="AA380" s="57"/>
      <c r="AB380" s="65"/>
      <c r="AC380" s="66"/>
      <c r="AD380" s="65"/>
      <c r="AE380" s="66"/>
      <c r="AF380" s="39"/>
      <c r="AG380" s="57"/>
      <c r="AH380" s="39"/>
      <c r="AI380" s="57"/>
    </row>
    <row r="381" spans="1:35" ht="19.5" customHeight="1" x14ac:dyDescent="0.3">
      <c r="A381" s="4" t="e">
        <f>'ECN Master Project Tracker new'!#REF!</f>
        <v>#REF!</v>
      </c>
      <c r="B381" s="110" t="e">
        <f>VLOOKUP(A:A,Table1[[Project No]:[Additional Remark]],2,FALSE)</f>
        <v>#REF!</v>
      </c>
      <c r="C381" s="55" t="e">
        <f>VLOOKUP(A:A,Table1[[Project No]:[Additional Remark]],11,FALSE)</f>
        <v>#REF!</v>
      </c>
      <c r="D381" s="55" t="e">
        <f>VLOOKUP(A:A,Table1[[Project No]:[Additional Remark]],12,FALSE)</f>
        <v>#REF!</v>
      </c>
      <c r="E381" s="55" t="e">
        <f>VLOOKUP(A:A,Table1[[Project No]:[Additional Remark]],4,FALSE)</f>
        <v>#REF!</v>
      </c>
      <c r="F381" s="4" t="e">
        <f>VLOOKUP(A:A,Table1[[Project No]:[Additional Remark]],5,FALSE)</f>
        <v>#REF!</v>
      </c>
      <c r="G381" s="4" t="e">
        <f>VLOOKUP(A:A,Table1[[Project No]:[Additional Remark]],13,FALSE)</f>
        <v>#REF!</v>
      </c>
      <c r="H381" s="4" t="e" cm="1">
        <f t="array" ref="H381">_xlfn.IFS((D381+C381)-J381=0,"Invoice Completed",AC381&lt;&gt;"","5th invoice",Y381&lt;&gt;"","4th invoice",U381&lt;&gt;"","3rd invoice",Q381&lt;&gt;"","2nd invoice",M381&lt;&gt;"","1st invoice",M381="","Pending 1st Invoice")</f>
        <v>#REF!</v>
      </c>
      <c r="I381" s="4" t="e" cm="1">
        <f t="array" ref="I381">_xlfn.IFS((C381+D381)-K381=0,"Payment Completed",AE381&lt;&gt;"","5th payment",AA381&lt;&gt;"","4th payment",W381&lt;&gt;"","3rd payment",S381&lt;&gt;"","2nd payment",O381&lt;&gt;"","1st payment",O381="","Pending 1st Payment")</f>
        <v>#REF!</v>
      </c>
      <c r="J381" s="55">
        <f t="shared" si="10"/>
        <v>0</v>
      </c>
      <c r="K381" s="55">
        <f t="shared" si="11"/>
        <v>0</v>
      </c>
      <c r="L381" s="65"/>
      <c r="M381" s="66"/>
      <c r="N381" s="65"/>
      <c r="O381" s="66"/>
      <c r="P381" s="39"/>
      <c r="Q381" s="57"/>
      <c r="R381" s="4"/>
      <c r="S381" s="57"/>
      <c r="T381" s="65"/>
      <c r="U381" s="66"/>
      <c r="V381" s="65"/>
      <c r="W381" s="66"/>
      <c r="X381" s="39"/>
      <c r="Y381" s="57"/>
      <c r="Z381" s="39"/>
      <c r="AA381" s="57"/>
      <c r="AB381" s="65"/>
      <c r="AC381" s="66"/>
      <c r="AD381" s="65"/>
      <c r="AE381" s="66"/>
      <c r="AF381" s="39"/>
      <c r="AG381" s="57"/>
      <c r="AH381" s="39"/>
      <c r="AI381" s="57"/>
    </row>
    <row r="382" spans="1:35" ht="19.5" customHeight="1" x14ac:dyDescent="0.3">
      <c r="A382" s="4" t="e">
        <f>'ECN Master Project Tracker new'!#REF!</f>
        <v>#REF!</v>
      </c>
      <c r="B382" s="110" t="e">
        <f>VLOOKUP(A:A,Table1[[Project No]:[Additional Remark]],2,FALSE)</f>
        <v>#REF!</v>
      </c>
      <c r="C382" s="55" t="e">
        <f>VLOOKUP(A:A,Table1[[Project No]:[Additional Remark]],11,FALSE)</f>
        <v>#REF!</v>
      </c>
      <c r="D382" s="55" t="e">
        <f>VLOOKUP(A:A,Table1[[Project No]:[Additional Remark]],12,FALSE)</f>
        <v>#REF!</v>
      </c>
      <c r="E382" s="55" t="e">
        <f>VLOOKUP(A:A,Table1[[Project No]:[Additional Remark]],4,FALSE)</f>
        <v>#REF!</v>
      </c>
      <c r="F382" s="4" t="e">
        <f>VLOOKUP(A:A,Table1[[Project No]:[Additional Remark]],5,FALSE)</f>
        <v>#REF!</v>
      </c>
      <c r="G382" s="4" t="e">
        <f>VLOOKUP(A:A,Table1[[Project No]:[Additional Remark]],13,FALSE)</f>
        <v>#REF!</v>
      </c>
      <c r="H382" s="4" t="e" cm="1">
        <f t="array" ref="H382">_xlfn.IFS((D382+C382)-J382=0,"Invoice Completed",AC382&lt;&gt;"","5th invoice",Y382&lt;&gt;"","4th invoice",U382&lt;&gt;"","3rd invoice",Q382&lt;&gt;"","2nd invoice",M382&lt;&gt;"","1st invoice",M382="","Pending 1st Invoice")</f>
        <v>#REF!</v>
      </c>
      <c r="I382" s="4" t="e" cm="1">
        <f t="array" ref="I382">_xlfn.IFS((C382+D382)-K382=0,"Payment Completed",AE382&lt;&gt;"","5th payment",AA382&lt;&gt;"","4th payment",W382&lt;&gt;"","3rd payment",S382&lt;&gt;"","2nd payment",O382&lt;&gt;"","1st payment",O382="","Pending 1st Payment")</f>
        <v>#REF!</v>
      </c>
      <c r="J382" s="55">
        <f t="shared" si="10"/>
        <v>0</v>
      </c>
      <c r="K382" s="55">
        <f t="shared" si="11"/>
        <v>0</v>
      </c>
      <c r="L382" s="65"/>
      <c r="M382" s="66"/>
      <c r="N382" s="65"/>
      <c r="O382" s="66"/>
      <c r="P382" s="39"/>
      <c r="Q382" s="57"/>
      <c r="R382" s="4"/>
      <c r="S382" s="57"/>
      <c r="T382" s="65"/>
      <c r="U382" s="66"/>
      <c r="V382" s="65"/>
      <c r="W382" s="66"/>
      <c r="X382" s="39"/>
      <c r="Y382" s="57"/>
      <c r="Z382" s="39"/>
      <c r="AA382" s="57"/>
      <c r="AB382" s="65"/>
      <c r="AC382" s="66"/>
      <c r="AD382" s="65"/>
      <c r="AE382" s="66"/>
      <c r="AF382" s="39"/>
      <c r="AG382" s="57"/>
      <c r="AH382" s="39"/>
      <c r="AI382" s="57"/>
    </row>
    <row r="383" spans="1:35" ht="19.5" customHeight="1" x14ac:dyDescent="0.3">
      <c r="A383" s="4" t="e">
        <f>'ECN Master Project Tracker new'!#REF!</f>
        <v>#REF!</v>
      </c>
      <c r="B383" s="110" t="e">
        <f>VLOOKUP(A:A,Table1[[Project No]:[Additional Remark]],2,FALSE)</f>
        <v>#REF!</v>
      </c>
      <c r="C383" s="55" t="e">
        <f>VLOOKUP(A:A,Table1[[Project No]:[Additional Remark]],11,FALSE)</f>
        <v>#REF!</v>
      </c>
      <c r="D383" s="55" t="e">
        <f>VLOOKUP(A:A,Table1[[Project No]:[Additional Remark]],12,FALSE)</f>
        <v>#REF!</v>
      </c>
      <c r="E383" s="55" t="e">
        <f>VLOOKUP(A:A,Table1[[Project No]:[Additional Remark]],4,FALSE)</f>
        <v>#REF!</v>
      </c>
      <c r="F383" s="4" t="e">
        <f>VLOOKUP(A:A,Table1[[Project No]:[Additional Remark]],5,FALSE)</f>
        <v>#REF!</v>
      </c>
      <c r="G383" s="4" t="e">
        <f>VLOOKUP(A:A,Table1[[Project No]:[Additional Remark]],13,FALSE)</f>
        <v>#REF!</v>
      </c>
      <c r="H383" s="4" t="e" cm="1">
        <f t="array" ref="H383">_xlfn.IFS((D383+C383)-J383=0,"Invoice Completed",AC383&lt;&gt;"","5th invoice",Y383&lt;&gt;"","4th invoice",U383&lt;&gt;"","3rd invoice",Q383&lt;&gt;"","2nd invoice",M383&lt;&gt;"","1st invoice",M383="","Pending 1st Invoice")</f>
        <v>#REF!</v>
      </c>
      <c r="I383" s="4" t="e" cm="1">
        <f t="array" ref="I383">_xlfn.IFS((C383+D383)-K383=0,"Payment Completed",AE383&lt;&gt;"","5th payment",AA383&lt;&gt;"","4th payment",W383&lt;&gt;"","3rd payment",S383&lt;&gt;"","2nd payment",O383&lt;&gt;"","1st payment",O383="","Pending 1st Payment")</f>
        <v>#REF!</v>
      </c>
      <c r="J383" s="55">
        <f t="shared" si="10"/>
        <v>0</v>
      </c>
      <c r="K383" s="55">
        <f t="shared" si="11"/>
        <v>0</v>
      </c>
      <c r="L383" s="65"/>
      <c r="M383" s="66"/>
      <c r="N383" s="65"/>
      <c r="O383" s="66"/>
      <c r="P383" s="39"/>
      <c r="Q383" s="57"/>
      <c r="R383" s="4"/>
      <c r="S383" s="57"/>
      <c r="T383" s="65"/>
      <c r="U383" s="66"/>
      <c r="V383" s="65"/>
      <c r="W383" s="66"/>
      <c r="X383" s="39"/>
      <c r="Y383" s="57"/>
      <c r="Z383" s="39"/>
      <c r="AA383" s="57"/>
      <c r="AB383" s="65"/>
      <c r="AC383" s="66"/>
      <c r="AD383" s="65"/>
      <c r="AE383" s="66"/>
      <c r="AF383" s="39"/>
      <c r="AG383" s="57"/>
      <c r="AH383" s="39"/>
      <c r="AI383" s="57"/>
    </row>
    <row r="384" spans="1:35" ht="19.5" customHeight="1" x14ac:dyDescent="0.3">
      <c r="A384" s="4" t="e">
        <f>'ECN Master Project Tracker new'!#REF!</f>
        <v>#REF!</v>
      </c>
      <c r="B384" s="110" t="e">
        <f>VLOOKUP(A:A,Table1[[Project No]:[Additional Remark]],2,FALSE)</f>
        <v>#REF!</v>
      </c>
      <c r="C384" s="55" t="e">
        <f>VLOOKUP(A:A,Table1[[Project No]:[Additional Remark]],11,FALSE)</f>
        <v>#REF!</v>
      </c>
      <c r="D384" s="55" t="e">
        <f>VLOOKUP(A:A,Table1[[Project No]:[Additional Remark]],12,FALSE)</f>
        <v>#REF!</v>
      </c>
      <c r="E384" s="55" t="e">
        <f>VLOOKUP(A:A,Table1[[Project No]:[Additional Remark]],4,FALSE)</f>
        <v>#REF!</v>
      </c>
      <c r="F384" s="4" t="e">
        <f>VLOOKUP(A:A,Table1[[Project No]:[Additional Remark]],5,FALSE)</f>
        <v>#REF!</v>
      </c>
      <c r="G384" s="4" t="e">
        <f>VLOOKUP(A:A,Table1[[Project No]:[Additional Remark]],13,FALSE)</f>
        <v>#REF!</v>
      </c>
      <c r="H384" s="4" t="e" cm="1">
        <f t="array" ref="H384">_xlfn.IFS((D384+C384)-J384=0,"Invoice Completed",AC384&lt;&gt;"","5th invoice",Y384&lt;&gt;"","4th invoice",U384&lt;&gt;"","3rd invoice",Q384&lt;&gt;"","2nd invoice",M384&lt;&gt;"","1st invoice",M384="","Pending 1st Invoice")</f>
        <v>#REF!</v>
      </c>
      <c r="I384" s="4" t="e" cm="1">
        <f t="array" ref="I384">_xlfn.IFS((C384+D384)-K384=0,"Payment Completed",AE384&lt;&gt;"","5th payment",AA384&lt;&gt;"","4th payment",W384&lt;&gt;"","3rd payment",S384&lt;&gt;"","2nd payment",O384&lt;&gt;"","1st payment",O384="","Pending 1st Payment")</f>
        <v>#REF!</v>
      </c>
      <c r="J384" s="55">
        <f t="shared" si="10"/>
        <v>0</v>
      </c>
      <c r="K384" s="55">
        <f t="shared" si="11"/>
        <v>0</v>
      </c>
      <c r="L384" s="65"/>
      <c r="M384" s="66"/>
      <c r="N384" s="65"/>
      <c r="O384" s="66"/>
      <c r="P384" s="39"/>
      <c r="Q384" s="57"/>
      <c r="R384" s="4"/>
      <c r="S384" s="57"/>
      <c r="T384" s="65"/>
      <c r="U384" s="66"/>
      <c r="V384" s="65"/>
      <c r="W384" s="66"/>
      <c r="X384" s="39"/>
      <c r="Y384" s="57"/>
      <c r="Z384" s="39"/>
      <c r="AA384" s="57"/>
      <c r="AB384" s="65"/>
      <c r="AC384" s="66"/>
      <c r="AD384" s="65"/>
      <c r="AE384" s="66"/>
      <c r="AF384" s="39"/>
      <c r="AG384" s="57"/>
      <c r="AH384" s="39"/>
      <c r="AI384" s="57"/>
    </row>
    <row r="385" spans="1:35" ht="19.5" customHeight="1" x14ac:dyDescent="0.3">
      <c r="A385" s="4" t="e">
        <f>'ECN Master Project Tracker new'!#REF!</f>
        <v>#REF!</v>
      </c>
      <c r="B385" s="110" t="e">
        <f>VLOOKUP(A:A,Table1[[Project No]:[Additional Remark]],2,FALSE)</f>
        <v>#REF!</v>
      </c>
      <c r="C385" s="55" t="e">
        <f>VLOOKUP(A:A,Table1[[Project No]:[Additional Remark]],11,FALSE)</f>
        <v>#REF!</v>
      </c>
      <c r="D385" s="55" t="e">
        <f>VLOOKUP(A:A,Table1[[Project No]:[Additional Remark]],12,FALSE)</f>
        <v>#REF!</v>
      </c>
      <c r="E385" s="55" t="e">
        <f>VLOOKUP(A:A,Table1[[Project No]:[Additional Remark]],4,FALSE)</f>
        <v>#REF!</v>
      </c>
      <c r="F385" s="4" t="e">
        <f>VLOOKUP(A:A,Table1[[Project No]:[Additional Remark]],5,FALSE)</f>
        <v>#REF!</v>
      </c>
      <c r="G385" s="4" t="e">
        <f>VLOOKUP(A:A,Table1[[Project No]:[Additional Remark]],13,FALSE)</f>
        <v>#REF!</v>
      </c>
      <c r="H385" s="4" t="e" cm="1">
        <f t="array" ref="H385">_xlfn.IFS((D385+C385)-J385=0,"Invoice Completed",AC385&lt;&gt;"","5th invoice",Y385&lt;&gt;"","4th invoice",U385&lt;&gt;"","3rd invoice",Q385&lt;&gt;"","2nd invoice",M385&lt;&gt;"","1st invoice",M385="","Pending 1st Invoice")</f>
        <v>#REF!</v>
      </c>
      <c r="I385" s="4" t="e" cm="1">
        <f t="array" ref="I385">_xlfn.IFS((C385+D385)-K385=0,"Payment Completed",AE385&lt;&gt;"","5th payment",AA385&lt;&gt;"","4th payment",W385&lt;&gt;"","3rd payment",S385&lt;&gt;"","2nd payment",O385&lt;&gt;"","1st payment",O385="","Pending 1st Payment")</f>
        <v>#REF!</v>
      </c>
      <c r="J385" s="55">
        <f t="shared" si="10"/>
        <v>0</v>
      </c>
      <c r="K385" s="55">
        <f t="shared" si="11"/>
        <v>0</v>
      </c>
      <c r="L385" s="65"/>
      <c r="M385" s="66"/>
      <c r="N385" s="65"/>
      <c r="O385" s="66"/>
      <c r="P385" s="39"/>
      <c r="Q385" s="57"/>
      <c r="R385" s="4"/>
      <c r="S385" s="57"/>
      <c r="T385" s="65"/>
      <c r="U385" s="66"/>
      <c r="V385" s="65"/>
      <c r="W385" s="66"/>
      <c r="X385" s="39"/>
      <c r="Y385" s="57"/>
      <c r="Z385" s="39"/>
      <c r="AA385" s="57"/>
      <c r="AB385" s="65"/>
      <c r="AC385" s="66"/>
      <c r="AD385" s="65"/>
      <c r="AE385" s="66"/>
      <c r="AF385" s="39"/>
      <c r="AG385" s="57"/>
      <c r="AH385" s="39"/>
      <c r="AI385" s="57"/>
    </row>
    <row r="386" spans="1:35" ht="19.5" customHeight="1" x14ac:dyDescent="0.3">
      <c r="A386" s="4" t="e">
        <f>'ECN Master Project Tracker new'!#REF!</f>
        <v>#REF!</v>
      </c>
      <c r="B386" s="110" t="e">
        <f>VLOOKUP(A:A,Table1[[Project No]:[Additional Remark]],2,FALSE)</f>
        <v>#REF!</v>
      </c>
      <c r="C386" s="55" t="e">
        <f>VLOOKUP(A:A,Table1[[Project No]:[Additional Remark]],11,FALSE)</f>
        <v>#REF!</v>
      </c>
      <c r="D386" s="55" t="e">
        <f>VLOOKUP(A:A,Table1[[Project No]:[Additional Remark]],12,FALSE)</f>
        <v>#REF!</v>
      </c>
      <c r="E386" s="55" t="e">
        <f>VLOOKUP(A:A,Table1[[Project No]:[Additional Remark]],4,FALSE)</f>
        <v>#REF!</v>
      </c>
      <c r="F386" s="4" t="e">
        <f>VLOOKUP(A:A,Table1[[Project No]:[Additional Remark]],5,FALSE)</f>
        <v>#REF!</v>
      </c>
      <c r="G386" s="4" t="e">
        <f>VLOOKUP(A:A,Table1[[Project No]:[Additional Remark]],13,FALSE)</f>
        <v>#REF!</v>
      </c>
      <c r="H386" s="4" t="e" cm="1">
        <f t="array" ref="H386">_xlfn.IFS((D386+C386)-J386=0,"Invoice Completed",AC386&lt;&gt;"","5th invoice",Y386&lt;&gt;"","4th invoice",U386&lt;&gt;"","3rd invoice",Q386&lt;&gt;"","2nd invoice",M386&lt;&gt;"","1st invoice",M386="","Pending 1st Invoice")</f>
        <v>#REF!</v>
      </c>
      <c r="I386" s="4" t="e" cm="1">
        <f t="array" ref="I386">_xlfn.IFS((C386+D386)-K386=0,"Payment Completed",AE386&lt;&gt;"","5th payment",AA386&lt;&gt;"","4th payment",W386&lt;&gt;"","3rd payment",S386&lt;&gt;"","2nd payment",O386&lt;&gt;"","1st payment",O386="","Pending 1st Payment")</f>
        <v>#REF!</v>
      </c>
      <c r="J386" s="55">
        <f t="shared" si="10"/>
        <v>0</v>
      </c>
      <c r="K386" s="55">
        <f t="shared" si="11"/>
        <v>0</v>
      </c>
      <c r="L386" s="65"/>
      <c r="M386" s="66"/>
      <c r="N386" s="65"/>
      <c r="O386" s="66"/>
      <c r="P386" s="39"/>
      <c r="Q386" s="57"/>
      <c r="R386" s="4"/>
      <c r="S386" s="57"/>
      <c r="T386" s="65"/>
      <c r="U386" s="66"/>
      <c r="V386" s="65"/>
      <c r="W386" s="66"/>
      <c r="X386" s="39"/>
      <c r="Y386" s="57"/>
      <c r="Z386" s="39"/>
      <c r="AA386" s="57"/>
      <c r="AB386" s="65"/>
      <c r="AC386" s="66"/>
      <c r="AD386" s="65"/>
      <c r="AE386" s="66"/>
      <c r="AF386" s="39"/>
      <c r="AG386" s="57"/>
      <c r="AH386" s="39"/>
      <c r="AI386" s="57"/>
    </row>
    <row r="387" spans="1:35" ht="19.5" customHeight="1" x14ac:dyDescent="0.3">
      <c r="A387" s="4" t="e">
        <f>'ECN Master Project Tracker new'!#REF!</f>
        <v>#REF!</v>
      </c>
      <c r="B387" s="110" t="e">
        <f>VLOOKUP(A:A,Table1[[Project No]:[Additional Remark]],2,FALSE)</f>
        <v>#REF!</v>
      </c>
      <c r="C387" s="55" t="e">
        <f>VLOOKUP(A:A,Table1[[Project No]:[Additional Remark]],11,FALSE)</f>
        <v>#REF!</v>
      </c>
      <c r="D387" s="55" t="e">
        <f>VLOOKUP(A:A,Table1[[Project No]:[Additional Remark]],12,FALSE)</f>
        <v>#REF!</v>
      </c>
      <c r="E387" s="55" t="e">
        <f>VLOOKUP(A:A,Table1[[Project No]:[Additional Remark]],4,FALSE)</f>
        <v>#REF!</v>
      </c>
      <c r="F387" s="4" t="e">
        <f>VLOOKUP(A:A,Table1[[Project No]:[Additional Remark]],5,FALSE)</f>
        <v>#REF!</v>
      </c>
      <c r="G387" s="4" t="e">
        <f>VLOOKUP(A:A,Table1[[Project No]:[Additional Remark]],13,FALSE)</f>
        <v>#REF!</v>
      </c>
      <c r="H387" s="4" t="e" cm="1">
        <f t="array" ref="H387">_xlfn.IFS((D387+C387)-J387=0,"Invoice Completed",AC387&lt;&gt;"","5th invoice",Y387&lt;&gt;"","4th invoice",U387&lt;&gt;"","3rd invoice",Q387&lt;&gt;"","2nd invoice",M387&lt;&gt;"","1st invoice",M387="","Pending 1st Invoice")</f>
        <v>#REF!</v>
      </c>
      <c r="I387" s="4" t="e" cm="1">
        <f t="array" ref="I387">_xlfn.IFS((C387+D387)-K387=0,"Payment Completed",AE387&lt;&gt;"","5th payment",AA387&lt;&gt;"","4th payment",W387&lt;&gt;"","3rd payment",S387&lt;&gt;"","2nd payment",O387&lt;&gt;"","1st payment",O387="","Pending 1st Payment")</f>
        <v>#REF!</v>
      </c>
      <c r="J387" s="55">
        <f t="shared" si="10"/>
        <v>0</v>
      </c>
      <c r="K387" s="55">
        <f t="shared" si="11"/>
        <v>0</v>
      </c>
      <c r="L387" s="65"/>
      <c r="M387" s="66"/>
      <c r="N387" s="65"/>
      <c r="O387" s="66"/>
      <c r="P387" s="39"/>
      <c r="Q387" s="57"/>
      <c r="R387" s="4"/>
      <c r="S387" s="57"/>
      <c r="T387" s="65"/>
      <c r="U387" s="66"/>
      <c r="V387" s="65"/>
      <c r="W387" s="66"/>
      <c r="X387" s="39"/>
      <c r="Y387" s="57"/>
      <c r="Z387" s="39"/>
      <c r="AA387" s="57"/>
      <c r="AB387" s="65"/>
      <c r="AC387" s="66"/>
      <c r="AD387" s="65"/>
      <c r="AE387" s="66"/>
      <c r="AF387" s="39"/>
      <c r="AG387" s="57"/>
      <c r="AH387" s="39"/>
      <c r="AI387" s="57"/>
    </row>
    <row r="388" spans="1:35" ht="19.5" customHeight="1" x14ac:dyDescent="0.3">
      <c r="A388" s="4" t="e">
        <f>'ECN Master Project Tracker new'!#REF!</f>
        <v>#REF!</v>
      </c>
      <c r="B388" s="110" t="e">
        <f>VLOOKUP(A:A,Table1[[Project No]:[Additional Remark]],2,FALSE)</f>
        <v>#REF!</v>
      </c>
      <c r="C388" s="55" t="e">
        <f>VLOOKUP(A:A,Table1[[Project No]:[Additional Remark]],11,FALSE)</f>
        <v>#REF!</v>
      </c>
      <c r="D388" s="55" t="e">
        <f>VLOOKUP(A:A,Table1[[Project No]:[Additional Remark]],12,FALSE)</f>
        <v>#REF!</v>
      </c>
      <c r="E388" s="55" t="e">
        <f>VLOOKUP(A:A,Table1[[Project No]:[Additional Remark]],4,FALSE)</f>
        <v>#REF!</v>
      </c>
      <c r="F388" s="4" t="e">
        <f>VLOOKUP(A:A,Table1[[Project No]:[Additional Remark]],5,FALSE)</f>
        <v>#REF!</v>
      </c>
      <c r="G388" s="4" t="e">
        <f>VLOOKUP(A:A,Table1[[Project No]:[Additional Remark]],13,FALSE)</f>
        <v>#REF!</v>
      </c>
      <c r="H388" s="4" t="e" cm="1">
        <f t="array" ref="H388">_xlfn.IFS((D388+C388)-J388=0,"Invoice Completed",AC388&lt;&gt;"","5th invoice",Y388&lt;&gt;"","4th invoice",U388&lt;&gt;"","3rd invoice",Q388&lt;&gt;"","2nd invoice",M388&lt;&gt;"","1st invoice",M388="","Pending 1st Invoice")</f>
        <v>#REF!</v>
      </c>
      <c r="I388" s="4" t="e" cm="1">
        <f t="array" ref="I388">_xlfn.IFS((C388+D388)-K388=0,"Payment Completed",AE388&lt;&gt;"","5th payment",AA388&lt;&gt;"","4th payment",W388&lt;&gt;"","3rd payment",S388&lt;&gt;"","2nd payment",O388&lt;&gt;"","1st payment",O388="","Pending 1st Payment")</f>
        <v>#REF!</v>
      </c>
      <c r="J388" s="55">
        <f t="shared" ref="J388:J403" si="12">SUM(M388,Q388,U388,Y388,AC388,AG388)</f>
        <v>0</v>
      </c>
      <c r="K388" s="55">
        <f t="shared" ref="K388:K403" si="13">SUM(O388,S388,W388,AA388,AE388,AI388)</f>
        <v>0</v>
      </c>
      <c r="L388" s="65"/>
      <c r="M388" s="66"/>
      <c r="N388" s="65"/>
      <c r="O388" s="66"/>
      <c r="P388" s="39"/>
      <c r="Q388" s="57"/>
      <c r="R388" s="4"/>
      <c r="S388" s="57"/>
      <c r="T388" s="65"/>
      <c r="U388" s="66"/>
      <c r="V388" s="65"/>
      <c r="W388" s="66"/>
      <c r="X388" s="39"/>
      <c r="Y388" s="57"/>
      <c r="Z388" s="39"/>
      <c r="AA388" s="57"/>
      <c r="AB388" s="65"/>
      <c r="AC388" s="66"/>
      <c r="AD388" s="65"/>
      <c r="AE388" s="66"/>
      <c r="AF388" s="39"/>
      <c r="AG388" s="57"/>
      <c r="AH388" s="39"/>
      <c r="AI388" s="57"/>
    </row>
    <row r="389" spans="1:35" ht="19.5" customHeight="1" x14ac:dyDescent="0.3">
      <c r="A389" s="4" t="e">
        <f>'ECN Master Project Tracker new'!#REF!</f>
        <v>#REF!</v>
      </c>
      <c r="B389" s="110" t="e">
        <f>VLOOKUP(A:A,Table1[[Project No]:[Additional Remark]],2,FALSE)</f>
        <v>#REF!</v>
      </c>
      <c r="C389" s="55" t="e">
        <f>VLOOKUP(A:A,Table1[[Project No]:[Additional Remark]],11,FALSE)</f>
        <v>#REF!</v>
      </c>
      <c r="D389" s="55" t="e">
        <f>VLOOKUP(A:A,Table1[[Project No]:[Additional Remark]],12,FALSE)</f>
        <v>#REF!</v>
      </c>
      <c r="E389" s="55" t="e">
        <f>VLOOKUP(A:A,Table1[[Project No]:[Additional Remark]],4,FALSE)</f>
        <v>#REF!</v>
      </c>
      <c r="F389" s="4" t="e">
        <f>VLOOKUP(A:A,Table1[[Project No]:[Additional Remark]],5,FALSE)</f>
        <v>#REF!</v>
      </c>
      <c r="G389" s="4" t="e">
        <f>VLOOKUP(A:A,Table1[[Project No]:[Additional Remark]],13,FALSE)</f>
        <v>#REF!</v>
      </c>
      <c r="H389" s="4" t="e" cm="1">
        <f t="array" ref="H389">_xlfn.IFS((D389+C389)-J389=0,"Invoice Completed",AC389&lt;&gt;"","5th invoice",Y389&lt;&gt;"","4th invoice",U389&lt;&gt;"","3rd invoice",Q389&lt;&gt;"","2nd invoice",M389&lt;&gt;"","1st invoice",M389="","Pending 1st Invoice")</f>
        <v>#REF!</v>
      </c>
      <c r="I389" s="4" t="e" cm="1">
        <f t="array" ref="I389">_xlfn.IFS((C389+D389)-K389=0,"Payment Completed",AE389&lt;&gt;"","5th payment",AA389&lt;&gt;"","4th payment",W389&lt;&gt;"","3rd payment",S389&lt;&gt;"","2nd payment",O389&lt;&gt;"","1st payment",O389="","Pending 1st Payment")</f>
        <v>#REF!</v>
      </c>
      <c r="J389" s="55">
        <f t="shared" si="12"/>
        <v>0</v>
      </c>
      <c r="K389" s="55">
        <f t="shared" si="13"/>
        <v>0</v>
      </c>
      <c r="L389" s="65"/>
      <c r="M389" s="66"/>
      <c r="N389" s="65"/>
      <c r="O389" s="66"/>
      <c r="P389" s="39"/>
      <c r="Q389" s="57"/>
      <c r="R389" s="4"/>
      <c r="S389" s="57"/>
      <c r="T389" s="65"/>
      <c r="U389" s="66"/>
      <c r="V389" s="65"/>
      <c r="W389" s="66"/>
      <c r="X389" s="39"/>
      <c r="Y389" s="57"/>
      <c r="Z389" s="39"/>
      <c r="AA389" s="57"/>
      <c r="AB389" s="65"/>
      <c r="AC389" s="66"/>
      <c r="AD389" s="65"/>
      <c r="AE389" s="66"/>
      <c r="AF389" s="39"/>
      <c r="AG389" s="57"/>
      <c r="AH389" s="39"/>
      <c r="AI389" s="57"/>
    </row>
    <row r="390" spans="1:35" ht="19.5" customHeight="1" x14ac:dyDescent="0.3">
      <c r="A390" s="4" t="e">
        <f>'ECN Master Project Tracker new'!#REF!</f>
        <v>#REF!</v>
      </c>
      <c r="B390" s="110" t="e">
        <f>VLOOKUP(A:A,Table1[[Project No]:[Additional Remark]],2,FALSE)</f>
        <v>#REF!</v>
      </c>
      <c r="C390" s="55" t="e">
        <f>VLOOKUP(A:A,Table1[[Project No]:[Additional Remark]],11,FALSE)</f>
        <v>#REF!</v>
      </c>
      <c r="D390" s="55" t="e">
        <f>VLOOKUP(A:A,Table1[[Project No]:[Additional Remark]],12,FALSE)</f>
        <v>#REF!</v>
      </c>
      <c r="E390" s="55" t="e">
        <f>VLOOKUP(A:A,Table1[[Project No]:[Additional Remark]],4,FALSE)</f>
        <v>#REF!</v>
      </c>
      <c r="F390" s="4" t="e">
        <f>VLOOKUP(A:A,Table1[[Project No]:[Additional Remark]],5,FALSE)</f>
        <v>#REF!</v>
      </c>
      <c r="G390" s="4" t="e">
        <f>VLOOKUP(A:A,Table1[[Project No]:[Additional Remark]],13,FALSE)</f>
        <v>#REF!</v>
      </c>
      <c r="H390" s="4" t="e" cm="1">
        <f t="array" ref="H390">_xlfn.IFS((D390+C390)-J390=0,"Invoice Completed",AC390&lt;&gt;"","5th invoice",Y390&lt;&gt;"","4th invoice",U390&lt;&gt;"","3rd invoice",Q390&lt;&gt;"","2nd invoice",M390&lt;&gt;"","1st invoice",M390="","Pending 1st Invoice")</f>
        <v>#REF!</v>
      </c>
      <c r="I390" s="4" t="e" cm="1">
        <f t="array" ref="I390">_xlfn.IFS((C390+D390)-K390=0,"Payment Completed",AE390&lt;&gt;"","5th payment",AA390&lt;&gt;"","4th payment",W390&lt;&gt;"","3rd payment",S390&lt;&gt;"","2nd payment",O390&lt;&gt;"","1st payment",O390="","Pending 1st Payment")</f>
        <v>#REF!</v>
      </c>
      <c r="J390" s="55">
        <f t="shared" si="12"/>
        <v>0</v>
      </c>
      <c r="K390" s="55">
        <f t="shared" si="13"/>
        <v>0</v>
      </c>
      <c r="L390" s="65"/>
      <c r="M390" s="66"/>
      <c r="N390" s="65"/>
      <c r="O390" s="66"/>
      <c r="P390" s="39"/>
      <c r="Q390" s="57"/>
      <c r="R390" s="4"/>
      <c r="S390" s="57"/>
      <c r="T390" s="65"/>
      <c r="U390" s="66"/>
      <c r="V390" s="65"/>
      <c r="W390" s="66"/>
      <c r="X390" s="39"/>
      <c r="Y390" s="57"/>
      <c r="Z390" s="39"/>
      <c r="AA390" s="57"/>
      <c r="AB390" s="65"/>
      <c r="AC390" s="66"/>
      <c r="AD390" s="65"/>
      <c r="AE390" s="66"/>
      <c r="AF390" s="39"/>
      <c r="AG390" s="57"/>
      <c r="AH390" s="39"/>
      <c r="AI390" s="57"/>
    </row>
    <row r="391" spans="1:35" ht="19.5" customHeight="1" x14ac:dyDescent="0.3">
      <c r="A391" s="4" t="e">
        <f>'ECN Master Project Tracker new'!#REF!</f>
        <v>#REF!</v>
      </c>
      <c r="B391" s="110" t="e">
        <f>VLOOKUP(A:A,Table1[[Project No]:[Additional Remark]],2,FALSE)</f>
        <v>#REF!</v>
      </c>
      <c r="C391" s="55" t="e">
        <f>VLOOKUP(A:A,Table1[[Project No]:[Additional Remark]],11,FALSE)</f>
        <v>#REF!</v>
      </c>
      <c r="D391" s="55" t="e">
        <f>VLOOKUP(A:A,Table1[[Project No]:[Additional Remark]],12,FALSE)</f>
        <v>#REF!</v>
      </c>
      <c r="E391" s="55" t="e">
        <f>VLOOKUP(A:A,Table1[[Project No]:[Additional Remark]],4,FALSE)</f>
        <v>#REF!</v>
      </c>
      <c r="F391" s="4" t="e">
        <f>VLOOKUP(A:A,Table1[[Project No]:[Additional Remark]],5,FALSE)</f>
        <v>#REF!</v>
      </c>
      <c r="G391" s="4" t="e">
        <f>VLOOKUP(A:A,Table1[[Project No]:[Additional Remark]],13,FALSE)</f>
        <v>#REF!</v>
      </c>
      <c r="H391" s="4" t="e" cm="1">
        <f t="array" ref="H391">_xlfn.IFS((D391+C391)-J391=0,"Invoice Completed",AC391&lt;&gt;"","5th invoice",Y391&lt;&gt;"","4th invoice",U391&lt;&gt;"","3rd invoice",Q391&lt;&gt;"","2nd invoice",M391&lt;&gt;"","1st invoice",M391="","Pending 1st Invoice")</f>
        <v>#REF!</v>
      </c>
      <c r="I391" s="4" t="e" cm="1">
        <f t="array" ref="I391">_xlfn.IFS((C391+D391)-K391=0,"Payment Completed",AE391&lt;&gt;"","5th payment",AA391&lt;&gt;"","4th payment",W391&lt;&gt;"","3rd payment",S391&lt;&gt;"","2nd payment",O391&lt;&gt;"","1st payment",O391="","Pending 1st Payment")</f>
        <v>#REF!</v>
      </c>
      <c r="J391" s="55">
        <f t="shared" si="12"/>
        <v>0</v>
      </c>
      <c r="K391" s="55">
        <f t="shared" si="13"/>
        <v>0</v>
      </c>
      <c r="L391" s="65"/>
      <c r="M391" s="66"/>
      <c r="N391" s="65"/>
      <c r="O391" s="66"/>
      <c r="P391" s="39"/>
      <c r="Q391" s="57"/>
      <c r="R391" s="4"/>
      <c r="S391" s="57"/>
      <c r="T391" s="65"/>
      <c r="U391" s="66"/>
      <c r="V391" s="65"/>
      <c r="W391" s="66"/>
      <c r="X391" s="39"/>
      <c r="Y391" s="57"/>
      <c r="Z391" s="39"/>
      <c r="AA391" s="57"/>
      <c r="AB391" s="65"/>
      <c r="AC391" s="66"/>
      <c r="AD391" s="65"/>
      <c r="AE391" s="66"/>
      <c r="AF391" s="39"/>
      <c r="AG391" s="57"/>
      <c r="AH391" s="39"/>
      <c r="AI391" s="57"/>
    </row>
    <row r="392" spans="1:35" ht="19.5" customHeight="1" x14ac:dyDescent="0.3">
      <c r="A392" s="4" t="e">
        <f>'ECN Master Project Tracker new'!#REF!</f>
        <v>#REF!</v>
      </c>
      <c r="B392" s="110" t="e">
        <f>VLOOKUP(A:A,Table1[[Project No]:[Additional Remark]],2,FALSE)</f>
        <v>#REF!</v>
      </c>
      <c r="C392" s="55" t="e">
        <f>VLOOKUP(A:A,Table1[[Project No]:[Additional Remark]],11,FALSE)</f>
        <v>#REF!</v>
      </c>
      <c r="D392" s="55" t="e">
        <f>VLOOKUP(A:A,Table1[[Project No]:[Additional Remark]],12,FALSE)</f>
        <v>#REF!</v>
      </c>
      <c r="E392" s="55" t="e">
        <f>VLOOKUP(A:A,Table1[[Project No]:[Additional Remark]],4,FALSE)</f>
        <v>#REF!</v>
      </c>
      <c r="F392" s="4" t="e">
        <f>VLOOKUP(A:A,Table1[[Project No]:[Additional Remark]],5,FALSE)</f>
        <v>#REF!</v>
      </c>
      <c r="G392" s="4" t="e">
        <f>VLOOKUP(A:A,Table1[[Project No]:[Additional Remark]],13,FALSE)</f>
        <v>#REF!</v>
      </c>
      <c r="H392" s="4" t="e" cm="1">
        <f t="array" ref="H392">_xlfn.IFS((D392+C392)-J392=0,"Invoice Completed",AC392&lt;&gt;"","5th invoice",Y392&lt;&gt;"","4th invoice",U392&lt;&gt;"","3rd invoice",Q392&lt;&gt;"","2nd invoice",M392&lt;&gt;"","1st invoice",M392="","Pending 1st Invoice")</f>
        <v>#REF!</v>
      </c>
      <c r="I392" s="4" t="e" cm="1">
        <f t="array" ref="I392">_xlfn.IFS((C392+D392)-K392=0,"Payment Completed",AE392&lt;&gt;"","5th payment",AA392&lt;&gt;"","4th payment",W392&lt;&gt;"","3rd payment",S392&lt;&gt;"","2nd payment",O392&lt;&gt;"","1st payment",O392="","Pending 1st Payment")</f>
        <v>#REF!</v>
      </c>
      <c r="J392" s="55">
        <f t="shared" si="12"/>
        <v>0</v>
      </c>
      <c r="K392" s="55">
        <f t="shared" si="13"/>
        <v>0</v>
      </c>
      <c r="L392" s="65"/>
      <c r="M392" s="66"/>
      <c r="N392" s="65"/>
      <c r="O392" s="66"/>
      <c r="P392" s="39"/>
      <c r="Q392" s="57"/>
      <c r="R392" s="4"/>
      <c r="S392" s="57"/>
      <c r="T392" s="65"/>
      <c r="U392" s="66"/>
      <c r="V392" s="65"/>
      <c r="W392" s="66"/>
      <c r="X392" s="39"/>
      <c r="Y392" s="57"/>
      <c r="Z392" s="39"/>
      <c r="AA392" s="57"/>
      <c r="AB392" s="65"/>
      <c r="AC392" s="66"/>
      <c r="AD392" s="65"/>
      <c r="AE392" s="66"/>
      <c r="AF392" s="39"/>
      <c r="AG392" s="57"/>
      <c r="AH392" s="39"/>
      <c r="AI392" s="57"/>
    </row>
    <row r="393" spans="1:35" ht="19.5" customHeight="1" x14ac:dyDescent="0.3">
      <c r="A393" s="4" t="e">
        <f>'ECN Master Project Tracker new'!#REF!</f>
        <v>#REF!</v>
      </c>
      <c r="B393" s="110" t="e">
        <f>VLOOKUP(A:A,Table1[[Project No]:[Additional Remark]],2,FALSE)</f>
        <v>#REF!</v>
      </c>
      <c r="C393" s="55" t="e">
        <f>VLOOKUP(A:A,Table1[[Project No]:[Additional Remark]],11,FALSE)</f>
        <v>#REF!</v>
      </c>
      <c r="D393" s="55" t="e">
        <f>VLOOKUP(A:A,Table1[[Project No]:[Additional Remark]],12,FALSE)</f>
        <v>#REF!</v>
      </c>
      <c r="E393" s="55" t="e">
        <f>VLOOKUP(A:A,Table1[[Project No]:[Additional Remark]],4,FALSE)</f>
        <v>#REF!</v>
      </c>
      <c r="F393" s="4" t="e">
        <f>VLOOKUP(A:A,Table1[[Project No]:[Additional Remark]],5,FALSE)</f>
        <v>#REF!</v>
      </c>
      <c r="G393" s="4" t="e">
        <f>VLOOKUP(A:A,Table1[[Project No]:[Additional Remark]],13,FALSE)</f>
        <v>#REF!</v>
      </c>
      <c r="H393" s="4" t="e" cm="1">
        <f t="array" ref="H393">_xlfn.IFS((D393+C393)-J393=0,"Invoice Completed",AC393&lt;&gt;"","5th invoice",Y393&lt;&gt;"","4th invoice",U393&lt;&gt;"","3rd invoice",Q393&lt;&gt;"","2nd invoice",M393&lt;&gt;"","1st invoice",M393="","Pending 1st Invoice")</f>
        <v>#REF!</v>
      </c>
      <c r="I393" s="4" t="e" cm="1">
        <f t="array" ref="I393">_xlfn.IFS((C393+D393)-K393=0,"Payment Completed",AE393&lt;&gt;"","5th payment",AA393&lt;&gt;"","4th payment",W393&lt;&gt;"","3rd payment",S393&lt;&gt;"","2nd payment",O393&lt;&gt;"","1st payment",O393="","Pending 1st Payment")</f>
        <v>#REF!</v>
      </c>
      <c r="J393" s="55">
        <f t="shared" si="12"/>
        <v>0</v>
      </c>
      <c r="K393" s="55">
        <f t="shared" si="13"/>
        <v>0</v>
      </c>
      <c r="L393" s="65"/>
      <c r="M393" s="66"/>
      <c r="N393" s="65"/>
      <c r="O393" s="66"/>
      <c r="P393" s="39"/>
      <c r="Q393" s="57"/>
      <c r="R393" s="4"/>
      <c r="S393" s="57"/>
      <c r="T393" s="65"/>
      <c r="U393" s="66"/>
      <c r="V393" s="65"/>
      <c r="W393" s="66"/>
      <c r="X393" s="39"/>
      <c r="Y393" s="57"/>
      <c r="Z393" s="39"/>
      <c r="AA393" s="57"/>
      <c r="AB393" s="65"/>
      <c r="AC393" s="66"/>
      <c r="AD393" s="65"/>
      <c r="AE393" s="66"/>
      <c r="AF393" s="39"/>
      <c r="AG393" s="57"/>
      <c r="AH393" s="39"/>
      <c r="AI393" s="57"/>
    </row>
    <row r="394" spans="1:35" ht="19.5" customHeight="1" x14ac:dyDescent="0.3">
      <c r="A394" s="4" t="e">
        <f>'ECN Master Project Tracker new'!#REF!</f>
        <v>#REF!</v>
      </c>
      <c r="B394" s="110" t="e">
        <f>VLOOKUP(A:A,Table1[[Project No]:[Additional Remark]],2,FALSE)</f>
        <v>#REF!</v>
      </c>
      <c r="C394" s="55" t="e">
        <f>VLOOKUP(A:A,Table1[[Project No]:[Additional Remark]],11,FALSE)</f>
        <v>#REF!</v>
      </c>
      <c r="D394" s="55" t="e">
        <f>VLOOKUP(A:A,Table1[[Project No]:[Additional Remark]],12,FALSE)</f>
        <v>#REF!</v>
      </c>
      <c r="E394" s="55" t="e">
        <f>VLOOKUP(A:A,Table1[[Project No]:[Additional Remark]],4,FALSE)</f>
        <v>#REF!</v>
      </c>
      <c r="F394" s="4" t="e">
        <f>VLOOKUP(A:A,Table1[[Project No]:[Additional Remark]],5,FALSE)</f>
        <v>#REF!</v>
      </c>
      <c r="G394" s="4" t="e">
        <f>VLOOKUP(A:A,Table1[[Project No]:[Additional Remark]],13,FALSE)</f>
        <v>#REF!</v>
      </c>
      <c r="H394" s="4" t="e" cm="1">
        <f t="array" ref="H394">_xlfn.IFS((D394+C394)-J394=0,"Invoice Completed",AC394&lt;&gt;"","5th invoice",Y394&lt;&gt;"","4th invoice",U394&lt;&gt;"","3rd invoice",Q394&lt;&gt;"","2nd invoice",M394&lt;&gt;"","1st invoice",M394="","Pending 1st Invoice")</f>
        <v>#REF!</v>
      </c>
      <c r="I394" s="4" t="e" cm="1">
        <f t="array" ref="I394">_xlfn.IFS((C394+D394)-K394=0,"Payment Completed",AE394&lt;&gt;"","5th payment",AA394&lt;&gt;"","4th payment",W394&lt;&gt;"","3rd payment",S394&lt;&gt;"","2nd payment",O394&lt;&gt;"","1st payment",O394="","Pending 1st Payment")</f>
        <v>#REF!</v>
      </c>
      <c r="J394" s="55">
        <f t="shared" si="12"/>
        <v>0</v>
      </c>
      <c r="K394" s="55">
        <f t="shared" si="13"/>
        <v>0</v>
      </c>
      <c r="L394" s="65"/>
      <c r="M394" s="66"/>
      <c r="N394" s="65"/>
      <c r="O394" s="66"/>
      <c r="P394" s="39"/>
      <c r="Q394" s="57"/>
      <c r="R394" s="4"/>
      <c r="S394" s="57"/>
      <c r="T394" s="65"/>
      <c r="U394" s="66"/>
      <c r="V394" s="65"/>
      <c r="W394" s="66"/>
      <c r="X394" s="39"/>
      <c r="Y394" s="57"/>
      <c r="Z394" s="39"/>
      <c r="AA394" s="57"/>
      <c r="AB394" s="65"/>
      <c r="AC394" s="66"/>
      <c r="AD394" s="65"/>
      <c r="AE394" s="66"/>
      <c r="AF394" s="39"/>
      <c r="AG394" s="57"/>
      <c r="AH394" s="39"/>
      <c r="AI394" s="57"/>
    </row>
    <row r="395" spans="1:35" ht="19.5" customHeight="1" x14ac:dyDescent="0.3">
      <c r="A395" s="4" t="e">
        <f>'ECN Master Project Tracker new'!#REF!</f>
        <v>#REF!</v>
      </c>
      <c r="B395" s="110" t="e">
        <f>VLOOKUP(A:A,Table1[[Project No]:[Additional Remark]],2,FALSE)</f>
        <v>#REF!</v>
      </c>
      <c r="C395" s="55" t="e">
        <f>VLOOKUP(A:A,Table1[[Project No]:[Additional Remark]],11,FALSE)</f>
        <v>#REF!</v>
      </c>
      <c r="D395" s="55" t="e">
        <f>VLOOKUP(A:A,Table1[[Project No]:[Additional Remark]],12,FALSE)</f>
        <v>#REF!</v>
      </c>
      <c r="E395" s="55" t="e">
        <f>VLOOKUP(A:A,Table1[[Project No]:[Additional Remark]],4,FALSE)</f>
        <v>#REF!</v>
      </c>
      <c r="F395" s="4" t="e">
        <f>VLOOKUP(A:A,Table1[[Project No]:[Additional Remark]],5,FALSE)</f>
        <v>#REF!</v>
      </c>
      <c r="G395" s="4" t="e">
        <f>VLOOKUP(A:A,Table1[[Project No]:[Additional Remark]],13,FALSE)</f>
        <v>#REF!</v>
      </c>
      <c r="H395" s="4" t="e" cm="1">
        <f t="array" ref="H395">_xlfn.IFS((D395+C395)-J395=0,"Invoice Completed",AC395&lt;&gt;"","5th invoice",Y395&lt;&gt;"","4th invoice",U395&lt;&gt;"","3rd invoice",Q395&lt;&gt;"","2nd invoice",M395&lt;&gt;"","1st invoice",M395="","Pending 1st Invoice")</f>
        <v>#REF!</v>
      </c>
      <c r="I395" s="4" t="e" cm="1">
        <f t="array" ref="I395">_xlfn.IFS((C395+D395)-K395=0,"Payment Completed",AE395&lt;&gt;"","5th payment",AA395&lt;&gt;"","4th payment",W395&lt;&gt;"","3rd payment",S395&lt;&gt;"","2nd payment",O395&lt;&gt;"","1st payment",O395="","Pending 1st Payment")</f>
        <v>#REF!</v>
      </c>
      <c r="J395" s="55">
        <f t="shared" si="12"/>
        <v>0</v>
      </c>
      <c r="K395" s="55">
        <f t="shared" si="13"/>
        <v>0</v>
      </c>
      <c r="L395" s="65"/>
      <c r="M395" s="66"/>
      <c r="N395" s="65"/>
      <c r="O395" s="66"/>
      <c r="P395" s="39"/>
      <c r="Q395" s="57"/>
      <c r="R395" s="4"/>
      <c r="S395" s="57"/>
      <c r="T395" s="65"/>
      <c r="U395" s="66"/>
      <c r="V395" s="65"/>
      <c r="W395" s="66"/>
      <c r="X395" s="39"/>
      <c r="Y395" s="57"/>
      <c r="Z395" s="39"/>
      <c r="AA395" s="57"/>
      <c r="AB395" s="65"/>
      <c r="AC395" s="66"/>
      <c r="AD395" s="65"/>
      <c r="AE395" s="66"/>
      <c r="AF395" s="39"/>
      <c r="AG395" s="57"/>
      <c r="AH395" s="39"/>
      <c r="AI395" s="57"/>
    </row>
    <row r="396" spans="1:35" ht="19.5" customHeight="1" x14ac:dyDescent="0.3">
      <c r="A396" s="4" t="e">
        <f>'ECN Master Project Tracker new'!#REF!</f>
        <v>#REF!</v>
      </c>
      <c r="B396" s="110" t="e">
        <f>VLOOKUP(A:A,Table1[[Project No]:[Additional Remark]],2,FALSE)</f>
        <v>#REF!</v>
      </c>
      <c r="C396" s="55" t="e">
        <f>VLOOKUP(A:A,Table1[[Project No]:[Additional Remark]],11,FALSE)</f>
        <v>#REF!</v>
      </c>
      <c r="D396" s="55" t="e">
        <f>VLOOKUP(A:A,Table1[[Project No]:[Additional Remark]],12,FALSE)</f>
        <v>#REF!</v>
      </c>
      <c r="E396" s="55" t="e">
        <f>VLOOKUP(A:A,Table1[[Project No]:[Additional Remark]],4,FALSE)</f>
        <v>#REF!</v>
      </c>
      <c r="F396" s="4" t="e">
        <f>VLOOKUP(A:A,Table1[[Project No]:[Additional Remark]],5,FALSE)</f>
        <v>#REF!</v>
      </c>
      <c r="G396" s="4" t="e">
        <f>VLOOKUP(A:A,Table1[[Project No]:[Additional Remark]],13,FALSE)</f>
        <v>#REF!</v>
      </c>
      <c r="H396" s="4" t="e" cm="1">
        <f t="array" ref="H396">_xlfn.IFS((D396+C396)-J396=0,"Invoice Completed",AC396&lt;&gt;"","5th invoice",Y396&lt;&gt;"","4th invoice",U396&lt;&gt;"","3rd invoice",Q396&lt;&gt;"","2nd invoice",M396&lt;&gt;"","1st invoice",M396="","Pending 1st Invoice")</f>
        <v>#REF!</v>
      </c>
      <c r="I396" s="4" t="e" cm="1">
        <f t="array" ref="I396">_xlfn.IFS((C396+D396)-K396=0,"Payment Completed",AE396&lt;&gt;"","5th payment",AA396&lt;&gt;"","4th payment",W396&lt;&gt;"","3rd payment",S396&lt;&gt;"","2nd payment",O396&lt;&gt;"","1st payment",O396="","Pending 1st Payment")</f>
        <v>#REF!</v>
      </c>
      <c r="J396" s="55">
        <f t="shared" si="12"/>
        <v>0</v>
      </c>
      <c r="K396" s="55">
        <f t="shared" si="13"/>
        <v>0</v>
      </c>
      <c r="L396" s="65"/>
      <c r="M396" s="66"/>
      <c r="N396" s="65"/>
      <c r="O396" s="66"/>
      <c r="P396" s="39"/>
      <c r="Q396" s="57"/>
      <c r="R396" s="4"/>
      <c r="S396" s="57"/>
      <c r="T396" s="65"/>
      <c r="U396" s="66"/>
      <c r="V396" s="65"/>
      <c r="W396" s="66"/>
      <c r="X396" s="39"/>
      <c r="Y396" s="57"/>
      <c r="Z396" s="39"/>
      <c r="AA396" s="57"/>
      <c r="AB396" s="65"/>
      <c r="AC396" s="66"/>
      <c r="AD396" s="65"/>
      <c r="AE396" s="66"/>
      <c r="AF396" s="39"/>
      <c r="AG396" s="57"/>
      <c r="AH396" s="39"/>
      <c r="AI396" s="57"/>
    </row>
    <row r="397" spans="1:35" ht="19.5" customHeight="1" x14ac:dyDescent="0.3">
      <c r="A397" s="4" t="e">
        <f>'ECN Master Project Tracker new'!#REF!</f>
        <v>#REF!</v>
      </c>
      <c r="B397" s="110" t="e">
        <f>VLOOKUP(A:A,Table1[[Project No]:[Additional Remark]],2,FALSE)</f>
        <v>#REF!</v>
      </c>
      <c r="C397" s="55" t="e">
        <f>VLOOKUP(A:A,Table1[[Project No]:[Additional Remark]],11,FALSE)</f>
        <v>#REF!</v>
      </c>
      <c r="D397" s="55" t="e">
        <f>VLOOKUP(A:A,Table1[[Project No]:[Additional Remark]],12,FALSE)</f>
        <v>#REF!</v>
      </c>
      <c r="E397" s="55" t="e">
        <f>VLOOKUP(A:A,Table1[[Project No]:[Additional Remark]],4,FALSE)</f>
        <v>#REF!</v>
      </c>
      <c r="F397" s="4" t="e">
        <f>VLOOKUP(A:A,Table1[[Project No]:[Additional Remark]],5,FALSE)</f>
        <v>#REF!</v>
      </c>
      <c r="G397" s="4" t="e">
        <f>VLOOKUP(A:A,Table1[[Project No]:[Additional Remark]],13,FALSE)</f>
        <v>#REF!</v>
      </c>
      <c r="H397" s="4" t="e" cm="1">
        <f t="array" ref="H397">_xlfn.IFS((D397+C397)-J397=0,"Invoice Completed",AC397&lt;&gt;"","5th invoice",Y397&lt;&gt;"","4th invoice",U397&lt;&gt;"","3rd invoice",Q397&lt;&gt;"","2nd invoice",M397&lt;&gt;"","1st invoice",M397="","Pending 1st Invoice")</f>
        <v>#REF!</v>
      </c>
      <c r="I397" s="4" t="e" cm="1">
        <f t="array" ref="I397">_xlfn.IFS((C397+D397)-K397=0,"Payment Completed",AE397&lt;&gt;"","5th payment",AA397&lt;&gt;"","4th payment",W397&lt;&gt;"","3rd payment",S397&lt;&gt;"","2nd payment",O397&lt;&gt;"","1st payment",O397="","Pending 1st Payment")</f>
        <v>#REF!</v>
      </c>
      <c r="J397" s="55">
        <f t="shared" si="12"/>
        <v>0</v>
      </c>
      <c r="K397" s="55">
        <f t="shared" si="13"/>
        <v>0</v>
      </c>
      <c r="L397" s="65"/>
      <c r="M397" s="66"/>
      <c r="N397" s="65"/>
      <c r="O397" s="66"/>
      <c r="P397" s="39"/>
      <c r="Q397" s="57"/>
      <c r="R397" s="4"/>
      <c r="S397" s="57"/>
      <c r="T397" s="65"/>
      <c r="U397" s="66"/>
      <c r="V397" s="65"/>
      <c r="W397" s="66"/>
      <c r="X397" s="39"/>
      <c r="Y397" s="57"/>
      <c r="Z397" s="39"/>
      <c r="AA397" s="57"/>
      <c r="AB397" s="65"/>
      <c r="AC397" s="66"/>
      <c r="AD397" s="65"/>
      <c r="AE397" s="66"/>
      <c r="AF397" s="39"/>
      <c r="AG397" s="57"/>
      <c r="AH397" s="39"/>
      <c r="AI397" s="57"/>
    </row>
    <row r="398" spans="1:35" ht="19.5" customHeight="1" x14ac:dyDescent="0.3">
      <c r="A398" s="4" t="e">
        <f>'ECN Master Project Tracker new'!#REF!</f>
        <v>#REF!</v>
      </c>
      <c r="B398" s="110" t="e">
        <f>VLOOKUP(A:A,Table1[[Project No]:[Additional Remark]],2,FALSE)</f>
        <v>#REF!</v>
      </c>
      <c r="C398" s="55" t="e">
        <f>VLOOKUP(A:A,Table1[[Project No]:[Additional Remark]],11,FALSE)</f>
        <v>#REF!</v>
      </c>
      <c r="D398" s="55" t="e">
        <f>VLOOKUP(A:A,Table1[[Project No]:[Additional Remark]],12,FALSE)</f>
        <v>#REF!</v>
      </c>
      <c r="E398" s="55" t="e">
        <f>VLOOKUP(A:A,Table1[[Project No]:[Additional Remark]],4,FALSE)</f>
        <v>#REF!</v>
      </c>
      <c r="F398" s="4" t="e">
        <f>VLOOKUP(A:A,Table1[[Project No]:[Additional Remark]],5,FALSE)</f>
        <v>#REF!</v>
      </c>
      <c r="G398" s="4" t="e">
        <f>VLOOKUP(A:A,Table1[[Project No]:[Additional Remark]],13,FALSE)</f>
        <v>#REF!</v>
      </c>
      <c r="H398" s="4" t="e" cm="1">
        <f t="array" ref="H398">_xlfn.IFS((D398+C398)-J398=0,"Invoice Completed",AC398&lt;&gt;"","5th invoice",Y398&lt;&gt;"","4th invoice",U398&lt;&gt;"","3rd invoice",Q398&lt;&gt;"","2nd invoice",M398&lt;&gt;"","1st invoice",M398="","Pending 1st Invoice")</f>
        <v>#REF!</v>
      </c>
      <c r="I398" s="4" t="e" cm="1">
        <f t="array" ref="I398">_xlfn.IFS((C398+D398)-K398=0,"Payment Completed",AE398&lt;&gt;"","5th payment",AA398&lt;&gt;"","4th payment",W398&lt;&gt;"","3rd payment",S398&lt;&gt;"","2nd payment",O398&lt;&gt;"","1st payment",O398="","Pending 1st Payment")</f>
        <v>#REF!</v>
      </c>
      <c r="J398" s="55">
        <f t="shared" si="12"/>
        <v>0</v>
      </c>
      <c r="K398" s="55">
        <f t="shared" si="13"/>
        <v>0</v>
      </c>
      <c r="L398" s="65"/>
      <c r="M398" s="66"/>
      <c r="N398" s="65"/>
      <c r="O398" s="66"/>
      <c r="P398" s="39"/>
      <c r="Q398" s="57"/>
      <c r="R398" s="4"/>
      <c r="S398" s="57"/>
      <c r="T398" s="65"/>
      <c r="U398" s="66"/>
      <c r="V398" s="65"/>
      <c r="W398" s="66"/>
      <c r="X398" s="39"/>
      <c r="Y398" s="57"/>
      <c r="Z398" s="39"/>
      <c r="AA398" s="57"/>
      <c r="AB398" s="65"/>
      <c r="AC398" s="66"/>
      <c r="AD398" s="65"/>
      <c r="AE398" s="66"/>
      <c r="AF398" s="39"/>
      <c r="AG398" s="57"/>
      <c r="AH398" s="39"/>
      <c r="AI398" s="57"/>
    </row>
    <row r="399" spans="1:35" ht="19.5" customHeight="1" x14ac:dyDescent="0.3">
      <c r="A399" s="4" t="e">
        <f>'ECN Master Project Tracker new'!#REF!</f>
        <v>#REF!</v>
      </c>
      <c r="B399" s="110" t="e">
        <f>VLOOKUP(A:A,Table1[[Project No]:[Additional Remark]],2,FALSE)</f>
        <v>#REF!</v>
      </c>
      <c r="C399" s="55" t="e">
        <f>VLOOKUP(A:A,Table1[[Project No]:[Additional Remark]],11,FALSE)</f>
        <v>#REF!</v>
      </c>
      <c r="D399" s="55" t="e">
        <f>VLOOKUP(A:A,Table1[[Project No]:[Additional Remark]],12,FALSE)</f>
        <v>#REF!</v>
      </c>
      <c r="E399" s="55" t="e">
        <f>VLOOKUP(A:A,Table1[[Project No]:[Additional Remark]],4,FALSE)</f>
        <v>#REF!</v>
      </c>
      <c r="F399" s="4" t="e">
        <f>VLOOKUP(A:A,Table1[[Project No]:[Additional Remark]],5,FALSE)</f>
        <v>#REF!</v>
      </c>
      <c r="G399" s="4" t="e">
        <f>VLOOKUP(A:A,Table1[[Project No]:[Additional Remark]],13,FALSE)</f>
        <v>#REF!</v>
      </c>
      <c r="H399" s="4" t="e" cm="1">
        <f t="array" ref="H399">_xlfn.IFS((D399+C399)-J399=0,"Invoice Completed",AC399&lt;&gt;"","5th invoice",Y399&lt;&gt;"","4th invoice",U399&lt;&gt;"","3rd invoice",Q399&lt;&gt;"","2nd invoice",M399&lt;&gt;"","1st invoice",M399="","Pending 1st Invoice")</f>
        <v>#REF!</v>
      </c>
      <c r="I399" s="4" t="e" cm="1">
        <f t="array" ref="I399">_xlfn.IFS((C399+D399)-K399=0,"Payment Completed",AE399&lt;&gt;"","5th payment",AA399&lt;&gt;"","4th payment",W399&lt;&gt;"","3rd payment",S399&lt;&gt;"","2nd payment",O399&lt;&gt;"","1st payment",O399="","Pending 1st Payment")</f>
        <v>#REF!</v>
      </c>
      <c r="J399" s="55">
        <f t="shared" si="12"/>
        <v>0</v>
      </c>
      <c r="K399" s="55">
        <f t="shared" si="13"/>
        <v>0</v>
      </c>
      <c r="L399" s="65"/>
      <c r="M399" s="66"/>
      <c r="N399" s="65"/>
      <c r="O399" s="66"/>
      <c r="P399" s="39"/>
      <c r="Q399" s="57"/>
      <c r="R399" s="4"/>
      <c r="S399" s="57"/>
      <c r="T399" s="65"/>
      <c r="U399" s="66"/>
      <c r="V399" s="65"/>
      <c r="W399" s="66"/>
      <c r="X399" s="39"/>
      <c r="Y399" s="57"/>
      <c r="Z399" s="39"/>
      <c r="AA399" s="57"/>
      <c r="AB399" s="65"/>
      <c r="AC399" s="66"/>
      <c r="AD399" s="65"/>
      <c r="AE399" s="66"/>
      <c r="AF399" s="39"/>
      <c r="AG399" s="57"/>
      <c r="AH399" s="39"/>
      <c r="AI399" s="57"/>
    </row>
    <row r="400" spans="1:35" ht="19.5" customHeight="1" x14ac:dyDescent="0.3">
      <c r="A400" s="4" t="e">
        <f>'ECN Master Project Tracker new'!#REF!</f>
        <v>#REF!</v>
      </c>
      <c r="B400" s="110" t="e">
        <f>VLOOKUP(A:A,Table1[[Project No]:[Additional Remark]],2,FALSE)</f>
        <v>#REF!</v>
      </c>
      <c r="C400" s="55" t="e">
        <f>VLOOKUP(A:A,Table1[[Project No]:[Additional Remark]],11,FALSE)</f>
        <v>#REF!</v>
      </c>
      <c r="D400" s="55" t="e">
        <f>VLOOKUP(A:A,Table1[[Project No]:[Additional Remark]],12,FALSE)</f>
        <v>#REF!</v>
      </c>
      <c r="E400" s="55" t="e">
        <f>VLOOKUP(A:A,Table1[[Project No]:[Additional Remark]],4,FALSE)</f>
        <v>#REF!</v>
      </c>
      <c r="F400" s="4" t="e">
        <f>VLOOKUP(A:A,Table1[[Project No]:[Additional Remark]],5,FALSE)</f>
        <v>#REF!</v>
      </c>
      <c r="G400" s="4" t="e">
        <f>VLOOKUP(A:A,Table1[[Project No]:[Additional Remark]],13,FALSE)</f>
        <v>#REF!</v>
      </c>
      <c r="H400" s="4" t="e" cm="1">
        <f t="array" ref="H400">_xlfn.IFS((D400+C400)-J400=0,"Invoice Completed",AC400&lt;&gt;"","5th invoice",Y400&lt;&gt;"","4th invoice",U400&lt;&gt;"","3rd invoice",Q400&lt;&gt;"","2nd invoice",M400&lt;&gt;"","1st invoice",M400="","Pending 1st Invoice")</f>
        <v>#REF!</v>
      </c>
      <c r="I400" s="4" t="e" cm="1">
        <f t="array" ref="I400">_xlfn.IFS((C400+D400)-K400=0,"Payment Completed",AE400&lt;&gt;"","5th payment",AA400&lt;&gt;"","4th payment",W400&lt;&gt;"","3rd payment",S400&lt;&gt;"","2nd payment",O400&lt;&gt;"","1st payment",O400="","Pending 1st Payment")</f>
        <v>#REF!</v>
      </c>
      <c r="J400" s="55">
        <f t="shared" si="12"/>
        <v>0</v>
      </c>
      <c r="K400" s="55">
        <f t="shared" si="13"/>
        <v>0</v>
      </c>
      <c r="L400" s="65"/>
      <c r="M400" s="66"/>
      <c r="N400" s="65"/>
      <c r="O400" s="66"/>
      <c r="P400" s="39"/>
      <c r="Q400" s="57"/>
      <c r="R400" s="4"/>
      <c r="S400" s="57"/>
      <c r="T400" s="65"/>
      <c r="U400" s="66"/>
      <c r="V400" s="65"/>
      <c r="W400" s="66"/>
      <c r="X400" s="39"/>
      <c r="Y400" s="57"/>
      <c r="Z400" s="39"/>
      <c r="AA400" s="57"/>
      <c r="AB400" s="65"/>
      <c r="AC400" s="66"/>
      <c r="AD400" s="65"/>
      <c r="AE400" s="66"/>
      <c r="AF400" s="39"/>
      <c r="AG400" s="57"/>
      <c r="AH400" s="39"/>
      <c r="AI400" s="57"/>
    </row>
    <row r="401" spans="1:35" ht="19.5" customHeight="1" x14ac:dyDescent="0.3">
      <c r="A401" s="4" t="e">
        <f>'ECN Master Project Tracker new'!#REF!</f>
        <v>#REF!</v>
      </c>
      <c r="B401" s="110" t="e">
        <f>VLOOKUP(A:A,Table1[[Project No]:[Additional Remark]],2,FALSE)</f>
        <v>#REF!</v>
      </c>
      <c r="C401" s="55" t="e">
        <f>VLOOKUP(A:A,Table1[[Project No]:[Additional Remark]],11,FALSE)</f>
        <v>#REF!</v>
      </c>
      <c r="D401" s="55" t="e">
        <f>VLOOKUP(A:A,Table1[[Project No]:[Additional Remark]],12,FALSE)</f>
        <v>#REF!</v>
      </c>
      <c r="E401" s="55" t="e">
        <f>VLOOKUP(A:A,Table1[[Project No]:[Additional Remark]],4,FALSE)</f>
        <v>#REF!</v>
      </c>
      <c r="F401" s="4" t="e">
        <f>VLOOKUP(A:A,Table1[[Project No]:[Additional Remark]],5,FALSE)</f>
        <v>#REF!</v>
      </c>
      <c r="G401" s="4" t="e">
        <f>VLOOKUP(A:A,Table1[[Project No]:[Additional Remark]],13,FALSE)</f>
        <v>#REF!</v>
      </c>
      <c r="H401" s="4" t="e" cm="1">
        <f t="array" ref="H401">_xlfn.IFS((D401+C401)-J401=0,"Invoice Completed",AC401&lt;&gt;"","5th invoice",Y401&lt;&gt;"","4th invoice",U401&lt;&gt;"","3rd invoice",Q401&lt;&gt;"","2nd invoice",M401&lt;&gt;"","1st invoice",M401="","Pending 1st Invoice")</f>
        <v>#REF!</v>
      </c>
      <c r="I401" s="4" t="e" cm="1">
        <f t="array" ref="I401">_xlfn.IFS((C401+D401)-K401=0,"Payment Completed",AE401&lt;&gt;"","5th payment",AA401&lt;&gt;"","4th payment",W401&lt;&gt;"","3rd payment",S401&lt;&gt;"","2nd payment",O401&lt;&gt;"","1st payment",O401="","Pending 1st Payment")</f>
        <v>#REF!</v>
      </c>
      <c r="J401" s="55">
        <f t="shared" si="12"/>
        <v>0</v>
      </c>
      <c r="K401" s="55">
        <f t="shared" si="13"/>
        <v>0</v>
      </c>
      <c r="L401" s="65"/>
      <c r="M401" s="66"/>
      <c r="N401" s="65"/>
      <c r="O401" s="66"/>
      <c r="P401" s="39"/>
      <c r="Q401" s="57"/>
      <c r="R401" s="4"/>
      <c r="S401" s="57"/>
      <c r="T401" s="65"/>
      <c r="U401" s="66"/>
      <c r="V401" s="65"/>
      <c r="W401" s="66"/>
      <c r="X401" s="39"/>
      <c r="Y401" s="57"/>
      <c r="Z401" s="39"/>
      <c r="AA401" s="57"/>
      <c r="AB401" s="65"/>
      <c r="AC401" s="66"/>
      <c r="AD401" s="65"/>
      <c r="AE401" s="66"/>
      <c r="AF401" s="39"/>
      <c r="AG401" s="57"/>
      <c r="AH401" s="39"/>
      <c r="AI401" s="57"/>
    </row>
    <row r="402" spans="1:35" ht="19.5" customHeight="1" x14ac:dyDescent="0.3">
      <c r="A402" s="4" t="e">
        <f>'ECN Master Project Tracker new'!#REF!</f>
        <v>#REF!</v>
      </c>
      <c r="B402" s="110" t="e">
        <f>VLOOKUP(A:A,Table1[[Project No]:[Additional Remark]],2,FALSE)</f>
        <v>#REF!</v>
      </c>
      <c r="C402" s="55" t="e">
        <f>VLOOKUP(A:A,Table1[[Project No]:[Additional Remark]],11,FALSE)</f>
        <v>#REF!</v>
      </c>
      <c r="D402" s="55" t="e">
        <f>VLOOKUP(A:A,Table1[[Project No]:[Additional Remark]],12,FALSE)</f>
        <v>#REF!</v>
      </c>
      <c r="E402" s="55" t="e">
        <f>VLOOKUP(A:A,Table1[[Project No]:[Additional Remark]],4,FALSE)</f>
        <v>#REF!</v>
      </c>
      <c r="F402" s="4" t="e">
        <f>VLOOKUP(A:A,Table1[[Project No]:[Additional Remark]],5,FALSE)</f>
        <v>#REF!</v>
      </c>
      <c r="G402" s="4" t="e">
        <f>VLOOKUP(A:A,Table1[[Project No]:[Additional Remark]],13,FALSE)</f>
        <v>#REF!</v>
      </c>
      <c r="H402" s="4" t="e" cm="1">
        <f t="array" ref="H402">_xlfn.IFS((D402+C402)-J402=0,"Invoice Completed",AC402&lt;&gt;"","5th invoice",Y402&lt;&gt;"","4th invoice",U402&lt;&gt;"","3rd invoice",Q402&lt;&gt;"","2nd invoice",M402&lt;&gt;"","1st invoice",M402="","Pending 1st Invoice")</f>
        <v>#REF!</v>
      </c>
      <c r="I402" s="4" t="e" cm="1">
        <f t="array" ref="I402">_xlfn.IFS((C402+D402)-K402=0,"Payment Completed",AE402&lt;&gt;"","5th payment",AA402&lt;&gt;"","4th payment",W402&lt;&gt;"","3rd payment",S402&lt;&gt;"","2nd payment",O402&lt;&gt;"","1st payment",O402="","Pending 1st Payment")</f>
        <v>#REF!</v>
      </c>
      <c r="J402" s="55">
        <f t="shared" si="12"/>
        <v>0</v>
      </c>
      <c r="K402" s="55">
        <f t="shared" si="13"/>
        <v>0</v>
      </c>
      <c r="L402" s="65"/>
      <c r="M402" s="66"/>
      <c r="N402" s="65"/>
      <c r="O402" s="66"/>
      <c r="P402" s="39"/>
      <c r="Q402" s="57"/>
      <c r="R402" s="4"/>
      <c r="S402" s="57"/>
      <c r="T402" s="65"/>
      <c r="U402" s="66"/>
      <c r="V402" s="65"/>
      <c r="W402" s="66"/>
      <c r="X402" s="39"/>
      <c r="Y402" s="57"/>
      <c r="Z402" s="39"/>
      <c r="AA402" s="57"/>
      <c r="AB402" s="65"/>
      <c r="AC402" s="66"/>
      <c r="AD402" s="65"/>
      <c r="AE402" s="66"/>
      <c r="AF402" s="39"/>
      <c r="AG402" s="57"/>
      <c r="AH402" s="39"/>
      <c r="AI402" s="57"/>
    </row>
    <row r="403" spans="1:35" ht="19.5" customHeight="1" x14ac:dyDescent="0.3">
      <c r="A403" s="4" t="e">
        <f>'ECN Master Project Tracker new'!#REF!</f>
        <v>#REF!</v>
      </c>
      <c r="B403" s="110" t="e">
        <f>VLOOKUP(A:A,Table1[[Project No]:[Additional Remark]],2,FALSE)</f>
        <v>#REF!</v>
      </c>
      <c r="C403" s="55" t="e">
        <f>VLOOKUP(A:A,Table1[[Project No]:[Additional Remark]],11,FALSE)</f>
        <v>#REF!</v>
      </c>
      <c r="D403" s="55" t="e">
        <f>VLOOKUP(A:A,Table1[[Project No]:[Additional Remark]],12,FALSE)</f>
        <v>#REF!</v>
      </c>
      <c r="E403" s="55" t="e">
        <f>VLOOKUP(A:A,Table1[[Project No]:[Additional Remark]],4,FALSE)</f>
        <v>#REF!</v>
      </c>
      <c r="F403" s="4" t="e">
        <f>VLOOKUP(A:A,Table1[[Project No]:[Additional Remark]],5,FALSE)</f>
        <v>#REF!</v>
      </c>
      <c r="G403" s="4" t="e">
        <f>VLOOKUP(A:A,Table1[[Project No]:[Additional Remark]],13,FALSE)</f>
        <v>#REF!</v>
      </c>
      <c r="H403" s="4" t="e" cm="1">
        <f t="array" ref="H403">_xlfn.IFS((D403+C403)-J403=0,"Invoice Completed",AC403&lt;&gt;"","5th invoice",Y403&lt;&gt;"","4th invoice",U403&lt;&gt;"","3rd invoice",Q403&lt;&gt;"","2nd invoice",M403&lt;&gt;"","1st invoice",M403="","Pending 1st Invoice")</f>
        <v>#REF!</v>
      </c>
      <c r="I403" s="4" t="e" cm="1">
        <f t="array" ref="I403">_xlfn.IFS((C403+D403)-K403=0,"Payment Completed",AE403&lt;&gt;"","5th payment",AA403&lt;&gt;"","4th payment",W403&lt;&gt;"","3rd payment",S403&lt;&gt;"","2nd payment",O403&lt;&gt;"","1st payment",O403="","Pending 1st Payment")</f>
        <v>#REF!</v>
      </c>
      <c r="J403" s="55">
        <f t="shared" si="12"/>
        <v>0</v>
      </c>
      <c r="K403" s="55">
        <f t="shared" si="13"/>
        <v>0</v>
      </c>
      <c r="L403" s="65"/>
      <c r="M403" s="66"/>
      <c r="N403" s="65"/>
      <c r="O403" s="66"/>
      <c r="P403" s="39"/>
      <c r="Q403" s="57"/>
      <c r="R403" s="4"/>
      <c r="S403" s="57"/>
      <c r="T403" s="65"/>
      <c r="U403" s="66"/>
      <c r="V403" s="65"/>
      <c r="W403" s="66"/>
      <c r="X403" s="39"/>
      <c r="Y403" s="57"/>
      <c r="Z403" s="39"/>
      <c r="AA403" s="57"/>
      <c r="AB403" s="65"/>
      <c r="AC403" s="66"/>
      <c r="AD403" s="65"/>
      <c r="AE403" s="66"/>
      <c r="AF403" s="39"/>
      <c r="AG403" s="57"/>
      <c r="AH403" s="39"/>
      <c r="AI403" s="57"/>
    </row>
    <row r="404" spans="1:35" ht="19.5" customHeight="1" x14ac:dyDescent="0.3">
      <c r="AB404" s="26"/>
      <c r="AD404" s="26"/>
    </row>
    <row r="405" spans="1:35" ht="19.5" customHeight="1" x14ac:dyDescent="0.3">
      <c r="AB405" s="26"/>
      <c r="AD405" s="26"/>
    </row>
  </sheetData>
  <autoFilter ref="A3:AI403" xr:uid="{B95B55F5-6B84-4FFA-AEC1-73DBDD62950C}"/>
  <mergeCells count="6">
    <mergeCell ref="AF2:AI2"/>
    <mergeCell ref="L2:O2"/>
    <mergeCell ref="P2:S2"/>
    <mergeCell ref="T2:W2"/>
    <mergeCell ref="X2:AA2"/>
    <mergeCell ref="AB2:AE2"/>
  </mergeCells>
  <phoneticPr fontId="4" type="noConversion"/>
  <conditionalFormatting sqref="I1:I1048576">
    <cfRule type="containsText" dxfId="2" priority="2" operator="containsText" text="Payment Completed">
      <formula>NOT(ISERROR(SEARCH("Payment Completed",I1)))</formula>
    </cfRule>
  </conditionalFormatting>
  <conditionalFormatting sqref="H1:H1048576">
    <cfRule type="containsText" dxfId="1" priority="1" operator="containsText" text="Invoice Completed">
      <formula>NOT(ISERROR(SEARCH("Invoice Completed",H1)))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EE818-40AC-4F81-B6C4-8FDA893247D8}">
  <sheetPr codeName="Sheet7"/>
  <dimension ref="A2:V661"/>
  <sheetViews>
    <sheetView zoomScale="90" zoomScaleNormal="90" workbookViewId="0">
      <pane xSplit="2" ySplit="3" topLeftCell="C25" activePane="bottomRight" state="frozen"/>
      <selection pane="topRight" activeCell="C1" sqref="C1"/>
      <selection pane="bottomLeft" activeCell="A4" sqref="A4"/>
      <selection pane="bottomRight" activeCell="K669" sqref="K669"/>
    </sheetView>
  </sheetViews>
  <sheetFormatPr defaultRowHeight="14.4" outlineLevelCol="1" x14ac:dyDescent="0.3"/>
  <cols>
    <col min="1" max="1" width="17.44140625" style="5" customWidth="1"/>
    <col min="2" max="2" width="53.5546875" customWidth="1"/>
    <col min="3" max="3" width="19.5546875" hidden="1" customWidth="1" outlineLevel="1"/>
    <col min="4" max="4" width="68.5546875" hidden="1" customWidth="1" outlineLevel="1"/>
    <col min="5" max="6" width="27.88671875" hidden="1" customWidth="1" outlineLevel="1"/>
    <col min="7" max="7" width="19.44140625" style="11" customWidth="1" collapsed="1"/>
    <col min="8" max="9" width="17.44140625" style="5" hidden="1" customWidth="1" outlineLevel="1"/>
    <col min="10" max="10" width="21.5546875" style="5" customWidth="1" collapsed="1"/>
    <col min="11" max="11" width="21.5546875" style="5" customWidth="1"/>
    <col min="12" max="12" width="23.88671875" style="5" bestFit="1" customWidth="1"/>
    <col min="13" max="15" width="21.5546875" style="5" customWidth="1"/>
    <col min="16" max="16" width="21.44140625" style="5" customWidth="1"/>
    <col min="17" max="22" width="21.44140625" customWidth="1"/>
  </cols>
  <sheetData>
    <row r="2" spans="1:22" ht="19.5" customHeight="1" x14ac:dyDescent="0.3">
      <c r="K2" s="166" t="s">
        <v>1891</v>
      </c>
      <c r="L2" s="166"/>
      <c r="M2" s="166"/>
      <c r="N2" s="166" t="s">
        <v>1892</v>
      </c>
      <c r="O2" s="166"/>
      <c r="P2" s="166"/>
      <c r="Q2" s="166" t="s">
        <v>1893</v>
      </c>
      <c r="R2" s="166"/>
      <c r="S2" s="166"/>
      <c r="T2" s="166" t="s">
        <v>1894</v>
      </c>
      <c r="U2" s="166"/>
      <c r="V2" s="166"/>
    </row>
    <row r="3" spans="1:22" ht="27.75" customHeight="1" x14ac:dyDescent="0.3">
      <c r="A3" s="61" t="s">
        <v>43</v>
      </c>
      <c r="B3" s="61" t="s">
        <v>44</v>
      </c>
      <c r="C3" s="61" t="s">
        <v>1895</v>
      </c>
      <c r="D3" s="61" t="s">
        <v>61</v>
      </c>
      <c r="E3" s="61" t="s">
        <v>62</v>
      </c>
      <c r="F3" s="61" t="s">
        <v>1896</v>
      </c>
      <c r="G3" s="61" t="s">
        <v>39</v>
      </c>
      <c r="H3" s="61" t="s">
        <v>47</v>
      </c>
      <c r="I3" s="61" t="s">
        <v>2</v>
      </c>
      <c r="J3" s="61" t="s">
        <v>64</v>
      </c>
      <c r="K3" s="61" t="s">
        <v>1897</v>
      </c>
      <c r="L3" s="61" t="s">
        <v>1898</v>
      </c>
      <c r="M3" s="61" t="s">
        <v>1899</v>
      </c>
      <c r="N3" s="61" t="s">
        <v>1897</v>
      </c>
      <c r="O3" s="61" t="s">
        <v>1898</v>
      </c>
      <c r="P3" s="61" t="s">
        <v>1899</v>
      </c>
      <c r="Q3" s="61" t="s">
        <v>1897</v>
      </c>
      <c r="R3" s="61" t="s">
        <v>1898</v>
      </c>
      <c r="S3" s="61" t="s">
        <v>1899</v>
      </c>
      <c r="T3" s="61" t="s">
        <v>1897</v>
      </c>
      <c r="U3" s="61" t="s">
        <v>1898</v>
      </c>
      <c r="V3" s="61" t="s">
        <v>1899</v>
      </c>
    </row>
    <row r="4" spans="1:22" x14ac:dyDescent="0.3">
      <c r="A4" s="4">
        <f>'ECN Master Project Tracker new'!A5</f>
        <v>2303005</v>
      </c>
      <c r="B4" s="108" t="str">
        <f>VLOOKUP(A:A,Table1[[#All],[Project No]:[Additional Remark]],2,FALSE)</f>
        <v>Wong Kim Mei</v>
      </c>
      <c r="C4" s="4" t="str">
        <f>VLOOKUP(A:A,Table1[[Project No]:[Additional Remark]],19,FALSE)</f>
        <v>731013-10-5784</v>
      </c>
      <c r="D4" s="4" t="str">
        <f>VLOOKUP(A:A,Table1[[Project No]:[Additional Remark]],20,FALSE)</f>
        <v>No. 24, Jalan Seri Muka 36/27A, Taman Menegun Indah, 41000 Klang, Selangor.</v>
      </c>
      <c r="E4" s="4" t="str">
        <f>VLOOKUP(A:A,Table1[[Project No]:[Additional Remark]],21,FALSE)</f>
        <v>016-335 4884</v>
      </c>
      <c r="F4" s="4" t="str">
        <f>VLOOKUP(A:A,Table1[[Project No]:[Additional Remark]],22,FALSE)</f>
        <v>wongkimmei73@gmail.com</v>
      </c>
      <c r="G4" s="55">
        <f>VLOOKUP(A:A,Table1[[Project No]:[Additional Remark]],11,FALSE)</f>
        <v>32000</v>
      </c>
      <c r="H4" s="4" t="str">
        <f>VLOOKUP(A:A,Table1[[Project No]:[Additional Remark]],5,FALSE)</f>
        <v>R-PV</v>
      </c>
      <c r="I4" s="4">
        <f>VLOOKUP(A:A,Table1[[Project No]:[Additional Remark]],8,FALSE)</f>
        <v>8.0500000000000007</v>
      </c>
      <c r="J4" s="4" t="str">
        <f>VLOOKUP(A:A,Table1[[Project No]:[Additional Remark]],23,FALSE)</f>
        <v>5 years</v>
      </c>
      <c r="K4" s="4" t="s">
        <v>1900</v>
      </c>
      <c r="L4" s="4" t="s">
        <v>1901</v>
      </c>
      <c r="M4" s="93">
        <v>45265</v>
      </c>
      <c r="N4" s="4" t="s">
        <v>1902</v>
      </c>
      <c r="O4" s="4" t="s">
        <v>1903</v>
      </c>
      <c r="P4" s="93">
        <v>45624</v>
      </c>
      <c r="Q4" s="4"/>
      <c r="R4" s="4"/>
      <c r="S4" s="93"/>
      <c r="T4" s="4"/>
      <c r="U4" s="4"/>
      <c r="V4" s="93"/>
    </row>
    <row r="5" spans="1:22" x14ac:dyDescent="0.3">
      <c r="A5" s="4">
        <f>'ECN Master Project Tracker new'!A6</f>
        <v>2303006</v>
      </c>
      <c r="B5" s="108" t="str">
        <f>VLOOKUP(A:A,Table1[[#All],[Project No]:[Additional Remark]],2,FALSE)</f>
        <v>Ang Ching Ming</v>
      </c>
      <c r="C5" s="4" t="str">
        <f>VLOOKUP(A:A,Table1[[Project No]:[Additional Remark]],19,FALSE)</f>
        <v>931003-10-6105</v>
      </c>
      <c r="D5" s="4" t="str">
        <f>VLOOKUP(A:A,Table1[[Project No]:[Additional Remark]],20,FALSE)</f>
        <v>1, Jalan Ulek Mayang 2C/KU5, Bandar Bukit Raja, 41050 Klang, Selangpr</v>
      </c>
      <c r="E5" s="4" t="str">
        <f>VLOOKUP(A:A,Table1[[Project No]:[Additional Remark]],21,FALSE)</f>
        <v>017-9666099</v>
      </c>
      <c r="F5" s="4" t="str">
        <f>VLOOKUP(A:A,Table1[[Project No]:[Additional Remark]],22,FALSE)</f>
        <v>cmang_02@outlook.com</v>
      </c>
      <c r="G5" s="55">
        <f>VLOOKUP(A:A,Table1[[Project No]:[Additional Remark]],11,FALSE)</f>
        <v>40000</v>
      </c>
      <c r="H5" s="4" t="str">
        <f>VLOOKUP(A:A,Table1[[Project No]:[Additional Remark]],5,FALSE)</f>
        <v>R-PV</v>
      </c>
      <c r="I5" s="4">
        <f>VLOOKUP(A:A,Table1[[Project No]:[Additional Remark]],8,FALSE)</f>
        <v>12.65</v>
      </c>
      <c r="J5" s="4" t="str">
        <f>VLOOKUP(A:A,Table1[[Project No]:[Additional Remark]],23,FALSE)</f>
        <v>1 year</v>
      </c>
      <c r="K5" s="4" t="s">
        <v>1902</v>
      </c>
      <c r="L5" s="4" t="s">
        <v>1904</v>
      </c>
      <c r="M5" s="93">
        <v>45750</v>
      </c>
      <c r="N5" s="4"/>
      <c r="O5" s="4"/>
      <c r="P5" s="4"/>
      <c r="Q5" s="4"/>
      <c r="R5" s="4"/>
      <c r="S5" s="4"/>
      <c r="T5" s="4"/>
      <c r="U5" s="4"/>
      <c r="V5" s="4"/>
    </row>
    <row r="6" spans="1:22" x14ac:dyDescent="0.3">
      <c r="A6" s="4">
        <f>'ECN Master Project Tracker new'!A7</f>
        <v>2304016</v>
      </c>
      <c r="B6" s="108" t="str">
        <f>VLOOKUP(A:A,Table1[[#All],[Project No]:[Additional Remark]],2,FALSE)</f>
        <v>Tan Sei Choon</v>
      </c>
      <c r="C6" s="4" t="str">
        <f>VLOOKUP(A:A,Table1[[Project No]:[Additional Remark]],19,FALSE)</f>
        <v>650818-06-5287</v>
      </c>
      <c r="D6" s="4" t="str">
        <f>VLOOKUP(A:A,Table1[[Project No]:[Additional Remark]],20,FALSE)</f>
        <v>2, Lorong Bukit Setongkol Perdana 52, Taman Fairmont Jaya, 25200 Kuantan, Pahang.</v>
      </c>
      <c r="E6" s="4" t="str">
        <f>VLOOKUP(A:A,Table1[[Project No]:[Additional Remark]],21,FALSE)</f>
        <v>016-922 3868</v>
      </c>
      <c r="F6" s="4" t="str">
        <f>VLOOKUP(A:A,Table1[[Project No]:[Additional Remark]],22,FALSE)</f>
        <v>tesoon12@gmail.com</v>
      </c>
      <c r="G6" s="55">
        <f>VLOOKUP(A:A,Table1[[Project No]:[Additional Remark]],11,FALSE)</f>
        <v>31000</v>
      </c>
      <c r="H6" s="4" t="str">
        <f>VLOOKUP(A:A,Table1[[Project No]:[Additional Remark]],5,FALSE)</f>
        <v>R-PV</v>
      </c>
      <c r="I6" s="4">
        <f>VLOOKUP(A:A,Table1[[Project No]:[Additional Remark]],8,FALSE)</f>
        <v>8.0500000000000007</v>
      </c>
      <c r="J6" s="4" t="str">
        <f>VLOOKUP(A:A,Table1[[Project No]:[Additional Remark]],23,FALSE)</f>
        <v>5 years</v>
      </c>
      <c r="K6" s="4" t="s">
        <v>1900</v>
      </c>
      <c r="L6" s="4" t="s">
        <v>1905</v>
      </c>
      <c r="M6" s="93">
        <v>45265</v>
      </c>
      <c r="N6" s="4" t="s">
        <v>1902</v>
      </c>
      <c r="O6" s="4" t="s">
        <v>1906</v>
      </c>
      <c r="P6" s="93">
        <v>45624</v>
      </c>
      <c r="Q6" s="4"/>
      <c r="R6" s="4"/>
      <c r="S6" s="93"/>
      <c r="T6" s="4"/>
      <c r="U6" s="4"/>
      <c r="V6" s="93"/>
    </row>
    <row r="7" spans="1:22" x14ac:dyDescent="0.3">
      <c r="A7" s="4">
        <f>'ECN Master Project Tracker new'!A8</f>
        <v>2305021</v>
      </c>
      <c r="B7" s="108" t="str">
        <f>VLOOKUP(A:A,Table1[[#All],[Project No]:[Additional Remark]],2,FALSE)</f>
        <v>Ho Hon Kit</v>
      </c>
      <c r="C7" s="4" t="str">
        <f>VLOOKUP(A:A,Table1[[Project No]:[Additional Remark]],19,FALSE)</f>
        <v>670422-10-5607</v>
      </c>
      <c r="D7" s="4" t="str">
        <f>VLOOKUP(A:A,Table1[[Project No]:[Additional Remark]],20,FALSE)</f>
        <v>No 32, Jalan Puteri 12/7, Bandar Puteri, 47100 Puchong, Selangor.</v>
      </c>
      <c r="E7" s="4" t="str">
        <f>VLOOKUP(A:A,Table1[[Project No]:[Additional Remark]],21,FALSE)</f>
        <v>012-3979968</v>
      </c>
      <c r="F7" s="4" t="str">
        <f>VLOOKUP(A:A,Table1[[Project No]:[Additional Remark]],22,FALSE)</f>
        <v>hkho@trident-x.com</v>
      </c>
      <c r="G7" s="55">
        <f>VLOOKUP(A:A,Table1[[Project No]:[Additional Remark]],11,FALSE)</f>
        <v>20000</v>
      </c>
      <c r="H7" s="4" t="str">
        <f>VLOOKUP(A:A,Table1[[Project No]:[Additional Remark]],5,FALSE)</f>
        <v>R-PV</v>
      </c>
      <c r="I7" s="4">
        <f>VLOOKUP(A:A,Table1[[Project No]:[Additional Remark]],8,FALSE)</f>
        <v>4.6500000000000004</v>
      </c>
      <c r="J7" s="4" t="str">
        <f>VLOOKUP(A:A,Table1[[Project No]:[Additional Remark]],23,FALSE)</f>
        <v>5 years</v>
      </c>
      <c r="K7" s="4" t="s">
        <v>1900</v>
      </c>
      <c r="L7" s="4" t="s">
        <v>1907</v>
      </c>
      <c r="M7" s="93">
        <v>45265</v>
      </c>
      <c r="N7" s="4" t="s">
        <v>1902</v>
      </c>
      <c r="O7" s="4" t="s">
        <v>1908</v>
      </c>
      <c r="P7" s="93">
        <v>45624</v>
      </c>
      <c r="Q7" s="4"/>
      <c r="R7" s="4"/>
      <c r="S7" s="93"/>
      <c r="T7" s="4"/>
      <c r="U7" s="4"/>
      <c r="V7" s="93"/>
    </row>
    <row r="8" spans="1:22" x14ac:dyDescent="0.3">
      <c r="A8" s="4">
        <f>'ECN Master Project Tracker new'!A9</f>
        <v>2305026</v>
      </c>
      <c r="B8" s="108" t="str">
        <f>VLOOKUP(A:A,Table1[[#All],[Project No]:[Additional Remark]],2,FALSE)</f>
        <v>Stanley Ang Leng Chuan</v>
      </c>
      <c r="C8" s="4" t="str">
        <f>VLOOKUP(A:A,Table1[[Project No]:[Additional Remark]],19,FALSE)</f>
        <v>751007-10-5671</v>
      </c>
      <c r="D8" s="4" t="str">
        <f>VLOOKUP(A:A,Table1[[Project No]:[Additional Remark]],20,FALSE)</f>
        <v>5, Jalan Bidara 9, Bandar Botanic, 41200 Klang, Selangor.</v>
      </c>
      <c r="E8" s="4" t="str">
        <f>VLOOKUP(A:A,Table1[[Project No]:[Additional Remark]],21,FALSE)</f>
        <v>016-6767999</v>
      </c>
      <c r="F8" s="4" t="str">
        <f>VLOOKUP(A:A,Table1[[Project No]:[Additional Remark]],22,FALSE)</f>
        <v>stanleyang9@gmail.com</v>
      </c>
      <c r="G8" s="55">
        <f>VLOOKUP(A:A,Table1[[Project No]:[Additional Remark]],11,FALSE)</f>
        <v>40000</v>
      </c>
      <c r="H8" s="4" t="str">
        <f>VLOOKUP(A:A,Table1[[Project No]:[Additional Remark]],5,FALSE)</f>
        <v>R-PV</v>
      </c>
      <c r="I8" s="4">
        <f>VLOOKUP(A:A,Table1[[Project No]:[Additional Remark]],8,FALSE)</f>
        <v>12.65</v>
      </c>
      <c r="J8" s="4" t="str">
        <f>VLOOKUP(A:A,Table1[[Project No]:[Additional Remark]],23,FALSE)</f>
        <v>1 year</v>
      </c>
      <c r="K8" s="4" t="s">
        <v>1900</v>
      </c>
      <c r="L8" s="4" t="s">
        <v>1909</v>
      </c>
      <c r="M8" s="93">
        <v>45265</v>
      </c>
      <c r="N8" s="163" t="s">
        <v>109</v>
      </c>
      <c r="O8" s="164"/>
      <c r="P8" s="165"/>
      <c r="Q8" s="163" t="s">
        <v>109</v>
      </c>
      <c r="R8" s="164"/>
      <c r="S8" s="165"/>
      <c r="T8" s="163" t="s">
        <v>109</v>
      </c>
      <c r="U8" s="164"/>
      <c r="V8" s="165"/>
    </row>
    <row r="9" spans="1:22" x14ac:dyDescent="0.3">
      <c r="A9" s="4">
        <f>'ECN Master Project Tracker new'!A10</f>
        <v>2306033</v>
      </c>
      <c r="B9" s="108" t="str">
        <f>VLOOKUP(A:A,Table1[[#All],[Project No]:[Additional Remark]],2,FALSE)</f>
        <v>Foo Tuang Lee</v>
      </c>
      <c r="C9" s="4" t="str">
        <f>VLOOKUP(A:A,Table1[[Project No]:[Additional Remark]],19,FALSE)</f>
        <v>741128-01-5075</v>
      </c>
      <c r="D9" s="4" t="str">
        <f>VLOOKUP(A:A,Table1[[Project No]:[Additional Remark]],20,FALSE)</f>
        <v>No 20, Jln Pelangi 15, Tmn Pelangi, 86000 Kluang, Johor</v>
      </c>
      <c r="E9" s="4" t="str">
        <f>VLOOKUP(A:A,Table1[[Project No]:[Additional Remark]],21,FALSE)</f>
        <v>016-2368221</v>
      </c>
      <c r="F9" s="4" t="str">
        <f>VLOOKUP(A:A,Table1[[Project No]:[Additional Remark]],22,FALSE)</f>
        <v>ericfoo8888@gmail.com</v>
      </c>
      <c r="G9" s="55">
        <f>VLOOKUP(A:A,Table1[[Project No]:[Additional Remark]],11,FALSE)</f>
        <v>16000</v>
      </c>
      <c r="H9" s="4" t="str">
        <f>VLOOKUP(A:A,Table1[[Project No]:[Additional Remark]],5,FALSE)</f>
        <v>R-PV</v>
      </c>
      <c r="I9" s="4">
        <f>VLOOKUP(A:A,Table1[[Project No]:[Additional Remark]],8,FALSE)</f>
        <v>4.6500000000000004</v>
      </c>
      <c r="J9" s="4" t="str">
        <f>VLOOKUP(A:A,Table1[[Project No]:[Additional Remark]],23,FALSE)</f>
        <v>N/A</v>
      </c>
      <c r="K9" s="163" t="s">
        <v>109</v>
      </c>
      <c r="L9" s="164" t="s">
        <v>109</v>
      </c>
      <c r="M9" s="165"/>
      <c r="N9" s="163" t="s">
        <v>109</v>
      </c>
      <c r="O9" s="164" t="s">
        <v>109</v>
      </c>
      <c r="P9" s="165"/>
      <c r="Q9" s="163" t="s">
        <v>109</v>
      </c>
      <c r="R9" s="164"/>
      <c r="S9" s="165"/>
      <c r="T9" s="163" t="s">
        <v>109</v>
      </c>
      <c r="U9" s="164"/>
      <c r="V9" s="165"/>
    </row>
    <row r="10" spans="1:22" x14ac:dyDescent="0.3">
      <c r="A10" s="4">
        <f>'ECN Master Project Tracker new'!A11</f>
        <v>2306037</v>
      </c>
      <c r="B10" s="108" t="str">
        <f>VLOOKUP(A:A,Table1[[#All],[Project No]:[Additional Remark]],2,FALSE)</f>
        <v>Tan Hong Guan</v>
      </c>
      <c r="C10" s="4" t="str">
        <f>VLOOKUP(A:A,Table1[[Project No]:[Additional Remark]],19,FALSE)</f>
        <v>680512-07-5359</v>
      </c>
      <c r="D10" s="4" t="str">
        <f>VLOOKUP(A:A,Table1[[Project No]:[Additional Remark]],20,FALSE)</f>
        <v>No 6, Pinggir Bukit Segar 2, Tmn Bkt Segar, 56100 Cheras, Kuala Lumpur</v>
      </c>
      <c r="E10" s="4" t="str">
        <f>VLOOKUP(A:A,Table1[[Project No]:[Additional Remark]],21,FALSE)</f>
        <v>012-4380246</v>
      </c>
      <c r="F10" s="4" t="str">
        <f>VLOOKUP(A:A,Table1[[Project No]:[Additional Remark]],22,FALSE)</f>
        <v>hongguan.tan@gmail.com</v>
      </c>
      <c r="G10" s="55">
        <f>VLOOKUP(A:A,Table1[[Project No]:[Additional Remark]],11,FALSE)</f>
        <v>36575</v>
      </c>
      <c r="H10" s="4" t="str">
        <f>VLOOKUP(A:A,Table1[[Project No]:[Additional Remark]],5,FALSE)</f>
        <v>R-PV</v>
      </c>
      <c r="I10" s="4">
        <f>VLOOKUP(A:A,Table1[[Project No]:[Additional Remark]],8,FALSE)</f>
        <v>10.925000000000001</v>
      </c>
      <c r="J10" s="4" t="str">
        <f>VLOOKUP(A:A,Table1[[Project No]:[Additional Remark]],23,FALSE)</f>
        <v>N/A</v>
      </c>
      <c r="K10" s="163" t="s">
        <v>109</v>
      </c>
      <c r="L10" s="164" t="s">
        <v>109</v>
      </c>
      <c r="M10" s="165"/>
      <c r="N10" s="163" t="s">
        <v>109</v>
      </c>
      <c r="O10" s="164" t="s">
        <v>109</v>
      </c>
      <c r="P10" s="165"/>
      <c r="Q10" s="163" t="s">
        <v>109</v>
      </c>
      <c r="R10" s="164"/>
      <c r="S10" s="165"/>
      <c r="T10" s="163" t="s">
        <v>109</v>
      </c>
      <c r="U10" s="164"/>
      <c r="V10" s="165"/>
    </row>
    <row r="11" spans="1:22" x14ac:dyDescent="0.3">
      <c r="A11" s="4">
        <f>'ECN Master Project Tracker new'!A12</f>
        <v>2307040</v>
      </c>
      <c r="B11" s="108" t="str">
        <f>VLOOKUP(A:A,Table1[[#All],[Project No]:[Additional Remark]],2,FALSE)</f>
        <v>Law Soo Chin</v>
      </c>
      <c r="C11" s="4" t="str">
        <f>VLOOKUP(A:A,Table1[[Project No]:[Additional Remark]],19,FALSE)</f>
        <v>640407-07-5713</v>
      </c>
      <c r="D11" s="4" t="str">
        <f>VLOOKUP(A:A,Table1[[Project No]:[Additional Remark]],20,FALSE)</f>
        <v>6, Jalan BS 3/8, Taman Bukit Serdang, 43300 Seri Kembangan, Selangor.</v>
      </c>
      <c r="E11" s="4" t="str">
        <f>VLOOKUP(A:A,Table1[[Project No]:[Additional Remark]],21,FALSE)</f>
        <v>016-2013221</v>
      </c>
      <c r="F11" s="4" t="str">
        <f>VLOOKUP(A:A,Table1[[Project No]:[Additional Remark]],22,FALSE)</f>
        <v>lawsc123@hotmail.com</v>
      </c>
      <c r="G11" s="55">
        <f>VLOOKUP(A:A,Table1[[Project No]:[Additional Remark]],11,FALSE)</f>
        <v>40000</v>
      </c>
      <c r="H11" s="4" t="str">
        <f>VLOOKUP(A:A,Table1[[Project No]:[Additional Remark]],5,FALSE)</f>
        <v>R-PV</v>
      </c>
      <c r="I11" s="4">
        <f>VLOOKUP(A:A,Table1[[Project No]:[Additional Remark]],8,FALSE)</f>
        <v>12.65</v>
      </c>
      <c r="J11" s="4" t="str">
        <f>VLOOKUP(A:A,Table1[[Project No]:[Additional Remark]],23,FALSE)</f>
        <v>3 years</v>
      </c>
      <c r="K11" s="4" t="s">
        <v>1900</v>
      </c>
      <c r="L11" s="4" t="s">
        <v>1910</v>
      </c>
      <c r="M11" s="93">
        <v>45265</v>
      </c>
      <c r="N11" s="4" t="s">
        <v>1902</v>
      </c>
      <c r="O11" s="4" t="s">
        <v>1911</v>
      </c>
      <c r="P11" s="93">
        <v>45624</v>
      </c>
      <c r="Q11" s="4"/>
      <c r="R11" s="4"/>
      <c r="S11" s="93"/>
      <c r="T11" s="4"/>
      <c r="U11" s="4"/>
      <c r="V11" s="93"/>
    </row>
    <row r="12" spans="1:22" x14ac:dyDescent="0.3">
      <c r="A12" s="4">
        <f>'ECN Master Project Tracker new'!A13</f>
        <v>2305011</v>
      </c>
      <c r="B12" s="108" t="str">
        <f>VLOOKUP(A:A,Table1[[#All],[Project No]:[Additional Remark]],2,FALSE)</f>
        <v>Kossan FRP Marketing (M) Sdn Bhd</v>
      </c>
      <c r="C12" s="4" t="str">
        <f>VLOOKUP(A:A,Table1[[Project No]:[Additional Remark]],19,FALSE)</f>
        <v>-</v>
      </c>
      <c r="D12" s="4" t="str">
        <f>VLOOKUP(A:A,Table1[[Project No]:[Additional Remark]],20,FALSE)</f>
        <v>PT 2019, Jln Keretapi Lama Off, Jln Kapar, BT 4 3/4, Kg Rantau Panjang, 42100 Klang, Selangor</v>
      </c>
      <c r="E12" s="4" t="str">
        <f>VLOOKUP(A:A,Table1[[Project No]:[Additional Remark]],21,FALSE)</f>
        <v>-</v>
      </c>
      <c r="F12" s="4" t="str">
        <f>VLOOKUP(A:A,Table1[[Project No]:[Additional Remark]],22,FALSE)</f>
        <v>-</v>
      </c>
      <c r="G12" s="55">
        <f>VLOOKUP(A:A,Table1[[Project No]:[Additional Remark]],11,FALSE)</f>
        <v>242000</v>
      </c>
      <c r="H12" s="4" t="str">
        <f>VLOOKUP(A:A,Table1[[Project No]:[Additional Remark]],5,FALSE)</f>
        <v>C&amp;I-PV</v>
      </c>
      <c r="I12" s="4">
        <f>VLOOKUP(A:A,Table1[[Project No]:[Additional Remark]],8,FALSE)</f>
        <v>283.94499999999999</v>
      </c>
      <c r="J12" s="4" t="str">
        <f>VLOOKUP(A:A,Table1[[Project No]:[Additional Remark]],23,FALSE)</f>
        <v>N/A</v>
      </c>
      <c r="K12" s="163" t="s">
        <v>109</v>
      </c>
      <c r="L12" s="164" t="s">
        <v>109</v>
      </c>
      <c r="M12" s="165"/>
      <c r="N12" s="163" t="s">
        <v>109</v>
      </c>
      <c r="O12" s="164" t="s">
        <v>109</v>
      </c>
      <c r="P12" s="165"/>
      <c r="Q12" s="163" t="s">
        <v>109</v>
      </c>
      <c r="R12" s="164"/>
      <c r="S12" s="165"/>
      <c r="T12" s="163" t="s">
        <v>109</v>
      </c>
      <c r="U12" s="164"/>
      <c r="V12" s="165"/>
    </row>
    <row r="13" spans="1:22" x14ac:dyDescent="0.3">
      <c r="A13" s="4">
        <f>'ECN Master Project Tracker new'!A14</f>
        <v>2304007</v>
      </c>
      <c r="B13" s="108" t="str">
        <f>VLOOKUP(A:A,Table1[[#All],[Project No]:[Additional Remark]],2,FALSE)</f>
        <v>MTJ Development Sdn Bhd (Intercontinental KL)</v>
      </c>
      <c r="C13" s="4" t="str">
        <f>VLOOKUP(A:A,Table1[[Project No]:[Additional Remark]],19,FALSE)</f>
        <v>-</v>
      </c>
      <c r="D13" s="4" t="str">
        <f>VLOOKUP(A:A,Table1[[Project No]:[Additional Remark]],20,FALSE)</f>
        <v>No 165, Jln Ampang, 50450 Kuala Lumpur, WP Kuala Lumpur</v>
      </c>
      <c r="E13" s="4" t="str">
        <f>VLOOKUP(A:A,Table1[[Project No]:[Additional Remark]],21,FALSE)</f>
        <v>-</v>
      </c>
      <c r="F13" s="4" t="str">
        <f>VLOOKUP(A:A,Table1[[Project No]:[Additional Remark]],22,FALSE)</f>
        <v>-</v>
      </c>
      <c r="G13" s="55">
        <f>VLOOKUP(A:A,Table1[[Project No]:[Additional Remark]],11,FALSE)</f>
        <v>188800</v>
      </c>
      <c r="H13" s="4" t="str">
        <f>VLOOKUP(A:A,Table1[[Project No]:[Additional Remark]],5,FALSE)</f>
        <v>C&amp;I-PV</v>
      </c>
      <c r="I13" s="4">
        <f>VLOOKUP(A:A,Table1[[Project No]:[Additional Remark]],8,FALSE)</f>
        <v>51.75</v>
      </c>
      <c r="J13" s="4" t="str">
        <f>VLOOKUP(A:A,Table1[[Project No]:[Additional Remark]],23,FALSE)</f>
        <v>3 years</v>
      </c>
      <c r="K13" s="4" t="s">
        <v>1912</v>
      </c>
      <c r="L13" s="4" t="s">
        <v>1913</v>
      </c>
      <c r="M13" s="93">
        <v>45625</v>
      </c>
      <c r="N13" s="4"/>
      <c r="O13" s="4"/>
      <c r="P13" s="4"/>
      <c r="Q13" s="4"/>
      <c r="R13" s="4"/>
      <c r="S13" s="4"/>
      <c r="T13" s="4"/>
      <c r="U13" s="4"/>
      <c r="V13" s="4"/>
    </row>
    <row r="14" spans="1:22" x14ac:dyDescent="0.3">
      <c r="A14" s="4">
        <f>'ECN Master Project Tracker new'!A15</f>
        <v>2307042</v>
      </c>
      <c r="B14" s="108" t="str">
        <f>VLOOKUP(A:A,Table1[[#All],[Project No]:[Additional Remark]],2,FALSE)</f>
        <v>Dato' Sri Ng Chong Keong</v>
      </c>
      <c r="C14" s="4" t="str">
        <f>VLOOKUP(A:A,Table1[[Project No]:[Additional Remark]],19,FALSE)</f>
        <v>650309-08-5407</v>
      </c>
      <c r="D14" s="4" t="str">
        <f>VLOOKUP(A:A,Table1[[Project No]:[Additional Remark]],20,FALSE)</f>
        <v>9, Lorong Tok Sira 4, Taman Melor, 25050 Kuantan, Pahang.</v>
      </c>
      <c r="E14" s="4" t="str">
        <f>VLOOKUP(A:A,Table1[[Project No]:[Additional Remark]],21,FALSE)</f>
        <v>016-9907409</v>
      </c>
      <c r="F14" s="4" t="str">
        <f>VLOOKUP(A:A,Table1[[Project No]:[Additional Remark]],22,FALSE)</f>
        <v>ng_xinnee@hotmail.com</v>
      </c>
      <c r="G14" s="55">
        <f>VLOOKUP(A:A,Table1[[Project No]:[Additional Remark]],11,FALSE)</f>
        <v>50000</v>
      </c>
      <c r="H14" s="4" t="str">
        <f>VLOOKUP(A:A,Table1[[Project No]:[Additional Remark]],5,FALSE)</f>
        <v>R-PV</v>
      </c>
      <c r="I14" s="4">
        <f>VLOOKUP(A:A,Table1[[Project No]:[Additional Remark]],8,FALSE)</f>
        <v>16.100000000000001</v>
      </c>
      <c r="J14" s="4" t="str">
        <f>VLOOKUP(A:A,Table1[[Project No]:[Additional Remark]],23,FALSE)</f>
        <v>5 years</v>
      </c>
      <c r="K14" s="4" t="s">
        <v>1900</v>
      </c>
      <c r="L14" s="4" t="s">
        <v>1914</v>
      </c>
      <c r="M14" s="93">
        <v>45265</v>
      </c>
      <c r="N14" s="4" t="s">
        <v>1902</v>
      </c>
      <c r="O14" s="4" t="s">
        <v>1915</v>
      </c>
      <c r="P14" s="93">
        <v>45624</v>
      </c>
      <c r="Q14" s="4"/>
      <c r="R14" s="4"/>
      <c r="S14" s="93"/>
      <c r="T14" s="4"/>
      <c r="U14" s="4"/>
      <c r="V14" s="93"/>
    </row>
    <row r="15" spans="1:22" x14ac:dyDescent="0.3">
      <c r="A15" s="4">
        <f>'ECN Master Project Tracker new'!A16</f>
        <v>2308058</v>
      </c>
      <c r="B15" s="108" t="str">
        <f>VLOOKUP(A:A,Table1[[#All],[Project No]:[Additional Remark]],2,FALSE)</f>
        <v>Cheong Yik Yin</v>
      </c>
      <c r="C15" s="4" t="str">
        <f>VLOOKUP(A:A,Table1[[Project No]:[Additional Remark]],19,FALSE)</f>
        <v>950710-14-6004</v>
      </c>
      <c r="D15" s="4" t="str">
        <f>VLOOKUP(A:A,Table1[[Project No]:[Additional Remark]],20,FALSE)</f>
        <v>No. 18, Jalan Setia Utama U13/39D, Setia Alam, Seksyen U13, 40170 Shah Alam, Selangor.</v>
      </c>
      <c r="E15" s="4" t="str">
        <f>VLOOKUP(A:A,Table1[[Project No]:[Additional Remark]],21,FALSE)</f>
        <v>016-6530107</v>
      </c>
      <c r="F15" s="4" t="str">
        <f>VLOOKUP(A:A,Table1[[Project No]:[Additional Remark]],22,FALSE)</f>
        <v>yikyin_cheong@hotmail.com</v>
      </c>
      <c r="G15" s="55">
        <f>VLOOKUP(A:A,Table1[[Project No]:[Additional Remark]],11,FALSE)</f>
        <v>30000</v>
      </c>
      <c r="H15" s="4" t="str">
        <f>VLOOKUP(A:A,Table1[[Project No]:[Additional Remark]],5,FALSE)</f>
        <v>R-PV</v>
      </c>
      <c r="I15" s="4">
        <f>VLOOKUP(A:A,Table1[[Project No]:[Additional Remark]],8,FALSE)</f>
        <v>6.9</v>
      </c>
      <c r="J15" s="4" t="str">
        <f>VLOOKUP(A:A,Table1[[Project No]:[Additional Remark]],23,FALSE)</f>
        <v>3 years</v>
      </c>
      <c r="K15" s="4" t="s">
        <v>1900</v>
      </c>
      <c r="L15" s="4" t="s">
        <v>1916</v>
      </c>
      <c r="M15" s="93">
        <v>45265</v>
      </c>
      <c r="N15" s="4" t="s">
        <v>1902</v>
      </c>
      <c r="O15" s="4" t="s">
        <v>1917</v>
      </c>
      <c r="P15" s="93">
        <v>45624</v>
      </c>
      <c r="Q15" s="4"/>
      <c r="R15" s="4"/>
      <c r="S15" s="93"/>
      <c r="T15" s="4"/>
      <c r="U15" s="4"/>
      <c r="V15" s="93"/>
    </row>
    <row r="16" spans="1:22" x14ac:dyDescent="0.3">
      <c r="A16" s="4">
        <f>'ECN Master Project Tracker new'!A17</f>
        <v>2308062</v>
      </c>
      <c r="B16" s="108" t="str">
        <f>VLOOKUP(A:A,Table1[[#All],[Project No]:[Additional Remark]],2,FALSE)</f>
        <v>Lim Chin Joo</v>
      </c>
      <c r="C16" s="4" t="str">
        <f>VLOOKUP(A:A,Table1[[Project No]:[Additional Remark]],19,FALSE)</f>
        <v>6905020-02-5211</v>
      </c>
      <c r="D16" s="4" t="str">
        <f>VLOOKUP(A:A,Table1[[Project No]:[Additional Remark]],20,FALSE)</f>
        <v xml:space="preserve">8, Jln BK 6A/2A, Bandar Kinrara, 47100 Puchong, Selangor Darul Ehsan </v>
      </c>
      <c r="E16" s="4" t="str">
        <f>VLOOKUP(A:A,Table1[[Project No]:[Additional Remark]],21,FALSE)</f>
        <v>012-6151020</v>
      </c>
      <c r="F16" s="4" t="str">
        <f>VLOOKUP(A:A,Table1[[Project No]:[Additional Remark]],22,FALSE)</f>
        <v>chinjoolim@gmail.com</v>
      </c>
      <c r="G16" s="55">
        <f>VLOOKUP(A:A,Table1[[Project No]:[Additional Remark]],11,FALSE)</f>
        <v>42300</v>
      </c>
      <c r="H16" s="4" t="str">
        <f>VLOOKUP(A:A,Table1[[Project No]:[Additional Remark]],5,FALSE)</f>
        <v>R-PV</v>
      </c>
      <c r="I16" s="4">
        <f>VLOOKUP(A:A,Table1[[Project No]:[Additional Remark]],8,FALSE)</f>
        <v>12.65</v>
      </c>
      <c r="J16" s="4" t="str">
        <f>VLOOKUP(A:A,Table1[[Project No]:[Additional Remark]],23,FALSE)</f>
        <v>3 years</v>
      </c>
      <c r="K16" s="4" t="s">
        <v>1902</v>
      </c>
      <c r="L16" s="4" t="s">
        <v>1918</v>
      </c>
      <c r="M16" s="93">
        <v>45568</v>
      </c>
      <c r="N16" s="4"/>
      <c r="O16" s="4"/>
      <c r="P16" s="93"/>
      <c r="Q16" s="4"/>
      <c r="R16" s="4"/>
      <c r="S16" s="93"/>
      <c r="T16" s="4"/>
      <c r="U16" s="4"/>
      <c r="V16" s="93"/>
    </row>
    <row r="17" spans="1:22" x14ac:dyDescent="0.3">
      <c r="A17" s="4">
        <f>'ECN Master Project Tracker new'!A18</f>
        <v>2309068</v>
      </c>
      <c r="B17" s="108" t="str">
        <f>VLOOKUP(A:A,Table1[[#All],[Project No]:[Additional Remark]],2,FALSE)</f>
        <v>Kee Siew Chuan (Ngo Woon Wah)</v>
      </c>
      <c r="C17" s="4" t="str">
        <f>VLOOKUP(A:A,Table1[[Project No]:[Additional Remark]],19,FALSE)</f>
        <v>730119-08-5342</v>
      </c>
      <c r="D17" s="4" t="str">
        <f>VLOOKUP(A:A,Table1[[Project No]:[Additional Remark]],20,FALSE)</f>
        <v>No 12-A, Lrg Bukit Setongkol Jaya 32, Bkt Setongkol, 25200, Kuantan, Pahang Darul Makmur</v>
      </c>
      <c r="E17" s="4" t="str">
        <f>VLOOKUP(A:A,Table1[[Project No]:[Additional Remark]],21,FALSE)</f>
        <v>019-9631028</v>
      </c>
      <c r="F17" s="4" t="str">
        <f>VLOOKUP(A:A,Table1[[Project No]:[Additional Remark]],22,FALSE)</f>
        <v>siewchuan639@gmail.com</v>
      </c>
      <c r="G17" s="55">
        <f>VLOOKUP(A:A,Table1[[Project No]:[Additional Remark]],11,FALSE)</f>
        <v>28500</v>
      </c>
      <c r="H17" s="4" t="str">
        <f>VLOOKUP(A:A,Table1[[Project No]:[Additional Remark]],5,FALSE)</f>
        <v>R-PV</v>
      </c>
      <c r="I17" s="4">
        <f>VLOOKUP(A:A,Table1[[Project No]:[Additional Remark]],8,FALSE)</f>
        <v>6.9</v>
      </c>
      <c r="J17" s="4" t="str">
        <f>VLOOKUP(A:A,Table1[[Project No]:[Additional Remark]],23,FALSE)</f>
        <v>5 years</v>
      </c>
      <c r="K17" s="4" t="s">
        <v>1902</v>
      </c>
      <c r="L17" s="4" t="s">
        <v>1919</v>
      </c>
      <c r="M17" s="93">
        <v>45568</v>
      </c>
      <c r="N17" s="4"/>
      <c r="O17" s="4"/>
      <c r="P17" s="93"/>
      <c r="Q17" s="4"/>
      <c r="R17" s="4"/>
      <c r="S17" s="93"/>
      <c r="T17" s="4"/>
      <c r="U17" s="4"/>
      <c r="V17" s="93"/>
    </row>
    <row r="18" spans="1:22" x14ac:dyDescent="0.3">
      <c r="A18" s="4">
        <f>'ECN Master Project Tracker new'!A19</f>
        <v>2310078</v>
      </c>
      <c r="B18" s="108" t="str">
        <f>VLOOKUP(A:A,Table1[[#All],[Project No]:[Additional Remark]],2,FALSE)</f>
        <v>Lee Nyok Cheng</v>
      </c>
      <c r="C18" s="4" t="str">
        <f>VLOOKUP(A:A,Table1[[Project No]:[Additional Remark]],19,FALSE)</f>
        <v>581227-05-5427</v>
      </c>
      <c r="D18" s="4" t="str">
        <f>VLOOKUP(A:A,Table1[[Project No]:[Additional Remark]],20,FALSE)</f>
        <v>No. 1, Lorong IM 1/62, Perumahan Indera Mahkota 1, 25200 Kuantan, Pahang.</v>
      </c>
      <c r="E18" s="4" t="str">
        <f>VLOOKUP(A:A,Table1[[Project No]:[Additional Remark]],21,FALSE)</f>
        <v>016-9221189</v>
      </c>
      <c r="F18" s="4" t="str">
        <f>VLOOKUP(A:A,Table1[[Project No]:[Additional Remark]],22,FALSE)</f>
        <v>songlee1188@gmail.com</v>
      </c>
      <c r="G18" s="55">
        <f>VLOOKUP(A:A,Table1[[Project No]:[Additional Remark]],11,FALSE)</f>
        <v>52000</v>
      </c>
      <c r="H18" s="4" t="str">
        <f>VLOOKUP(A:A,Table1[[Project No]:[Additional Remark]],5,FALSE)</f>
        <v>R-PV</v>
      </c>
      <c r="I18" s="4">
        <f>VLOOKUP(A:A,Table1[[Project No]:[Additional Remark]],8,FALSE)</f>
        <v>16.100000000000001</v>
      </c>
      <c r="J18" s="4" t="str">
        <f>VLOOKUP(A:A,Table1[[Project No]:[Additional Remark]],23,FALSE)</f>
        <v>5 years</v>
      </c>
      <c r="K18" s="4" t="s">
        <v>1900</v>
      </c>
      <c r="L18" s="4" t="s">
        <v>1920</v>
      </c>
      <c r="M18" s="93">
        <v>45631</v>
      </c>
      <c r="N18" s="4" t="s">
        <v>1902</v>
      </c>
      <c r="O18" s="4" t="s">
        <v>1921</v>
      </c>
      <c r="P18" s="93">
        <v>45624</v>
      </c>
      <c r="Q18" s="4"/>
      <c r="R18" s="4"/>
      <c r="S18" s="93"/>
      <c r="T18" s="4"/>
      <c r="U18" s="4"/>
      <c r="V18" s="93"/>
    </row>
    <row r="19" spans="1:22" x14ac:dyDescent="0.3">
      <c r="A19" s="4">
        <f>'ECN Master Project Tracker new'!A20</f>
        <v>2310083</v>
      </c>
      <c r="B19" s="108" t="str">
        <f>VLOOKUP(A:A,Table1[[#All],[Project No]:[Additional Remark]],2,FALSE)</f>
        <v>Ong Eng Guan</v>
      </c>
      <c r="C19" s="4" t="str">
        <f>VLOOKUP(A:A,Table1[[Project No]:[Additional Remark]],19,FALSE)</f>
        <v>451011-02-5493</v>
      </c>
      <c r="D19" s="4" t="str">
        <f>VLOOKUP(A:A,Table1[[Project No]:[Additional Remark]],20,FALSE)</f>
        <v>No. 9 Lorong Im 11/12, Mahkota Heights, 25200 Kuantan, Pahang Darul Makmur</v>
      </c>
      <c r="E19" s="4" t="str">
        <f>VLOOKUP(A:A,Table1[[Project No]:[Additional Remark]],21,FALSE)</f>
        <v>012-9853289</v>
      </c>
      <c r="F19" s="4" t="str">
        <f>VLOOKUP(A:A,Table1[[Project No]:[Additional Remark]],22,FALSE)</f>
        <v>daniel_8632@yahoo.com</v>
      </c>
      <c r="G19" s="55">
        <f>VLOOKUP(A:A,Table1[[Project No]:[Additional Remark]],11,FALSE)</f>
        <v>31000</v>
      </c>
      <c r="H19" s="4" t="str">
        <f>VLOOKUP(A:A,Table1[[Project No]:[Additional Remark]],5,FALSE)</f>
        <v>R-PV</v>
      </c>
      <c r="I19" s="4">
        <f>VLOOKUP(A:A,Table1[[Project No]:[Additional Remark]],8,FALSE)</f>
        <v>8.0500000000000007</v>
      </c>
      <c r="J19" s="4" t="str">
        <f>VLOOKUP(A:A,Table1[[Project No]:[Additional Remark]],23,FALSE)</f>
        <v>5 years</v>
      </c>
      <c r="K19" s="4" t="s">
        <v>1902</v>
      </c>
      <c r="L19" s="4" t="s">
        <v>1922</v>
      </c>
      <c r="M19" s="93">
        <v>45568</v>
      </c>
      <c r="N19" s="4"/>
      <c r="O19" s="4"/>
      <c r="P19" s="93"/>
      <c r="Q19" s="4"/>
      <c r="R19" s="4"/>
      <c r="S19" s="93"/>
      <c r="T19" s="4"/>
      <c r="U19" s="4"/>
      <c r="V19" s="93"/>
    </row>
    <row r="20" spans="1:22" x14ac:dyDescent="0.3">
      <c r="A20" s="4">
        <f>'ECN Master Project Tracker new'!A21</f>
        <v>2310084</v>
      </c>
      <c r="B20" s="108" t="str">
        <f>VLOOKUP(A:A,Table1[[#All],[Project No]:[Additional Remark]],2,FALSE)</f>
        <v>Chia Le Chin</v>
      </c>
      <c r="C20" s="4" t="str">
        <f>VLOOKUP(A:A,Table1[[Project No]:[Additional Remark]],19,FALSE)</f>
        <v>730219-06-5090</v>
      </c>
      <c r="D20" s="4" t="str">
        <f>VLOOKUP(A:A,Table1[[Project No]:[Additional Remark]],20,FALSE)</f>
        <v>No 11, Lorong Im 11/12, Mahkota Heights, 25200 Kuantan, Pahang Darul Makmur</v>
      </c>
      <c r="E20" s="4" t="str">
        <f>VLOOKUP(A:A,Table1[[Project No]:[Additional Remark]],21,FALSE)</f>
        <v>013-9318778</v>
      </c>
      <c r="F20" s="4" t="str">
        <f>VLOOKUP(A:A,Table1[[Project No]:[Additional Remark]],22,FALSE)</f>
        <v>health_trading@yahoo</v>
      </c>
      <c r="G20" s="55">
        <f>VLOOKUP(A:A,Table1[[Project No]:[Additional Remark]],11,FALSE)</f>
        <v>34000</v>
      </c>
      <c r="H20" s="4" t="str">
        <f>VLOOKUP(A:A,Table1[[Project No]:[Additional Remark]],5,FALSE)</f>
        <v>R-PV</v>
      </c>
      <c r="I20" s="4">
        <f>VLOOKUP(A:A,Table1[[Project No]:[Additional Remark]],8,FALSE)</f>
        <v>8.0500000000000007</v>
      </c>
      <c r="J20" s="4" t="str">
        <f>VLOOKUP(A:A,Table1[[Project No]:[Additional Remark]],23,FALSE)</f>
        <v>5 years</v>
      </c>
      <c r="K20" s="4" t="s">
        <v>1902</v>
      </c>
      <c r="L20" s="4" t="s">
        <v>1923</v>
      </c>
      <c r="M20" s="93">
        <v>45568</v>
      </c>
      <c r="N20" s="4"/>
      <c r="O20" s="4"/>
      <c r="P20" s="93"/>
      <c r="Q20" s="4"/>
      <c r="R20" s="4"/>
      <c r="S20" s="93"/>
      <c r="T20" s="4"/>
      <c r="U20" s="4"/>
      <c r="V20" s="93"/>
    </row>
    <row r="21" spans="1:22" x14ac:dyDescent="0.3">
      <c r="A21" s="4">
        <f>'ECN Master Project Tracker new'!A22</f>
        <v>2305024</v>
      </c>
      <c r="B21" s="108" t="str">
        <f>VLOOKUP(A:A,Table1[[#All],[Project No]:[Additional Remark]],2,FALSE)</f>
        <v>Beh Poh Loh</v>
      </c>
      <c r="C21" s="4" t="str">
        <f>VLOOKUP(A:A,Table1[[Project No]:[Additional Remark]],19,FALSE)</f>
        <v>890620-06-5065</v>
      </c>
      <c r="D21" s="4" t="str">
        <f>VLOOKUP(A:A,Table1[[Project No]:[Additional Remark]],20,FALSE)</f>
        <v>No 10, Lorong Peramu Jaya 1/3, Perumahan Peramu Jaya 1, 26060 Kuantan, Pahang Darul Makmur</v>
      </c>
      <c r="E21" s="4" t="str">
        <f>VLOOKUP(A:A,Table1[[Project No]:[Additional Remark]],21,FALSE)</f>
        <v>016-9862270</v>
      </c>
      <c r="F21" s="4" t="str">
        <f>VLOOKUP(A:A,Table1[[Project No]:[Additional Remark]],22,FALSE)</f>
        <v>graybackboy@hotmail.com</v>
      </c>
      <c r="G21" s="55">
        <f>VLOOKUP(A:A,Table1[[Project No]:[Additional Remark]],11,FALSE)</f>
        <v>42500</v>
      </c>
      <c r="H21" s="4" t="str">
        <f>VLOOKUP(A:A,Table1[[Project No]:[Additional Remark]],5,FALSE)</f>
        <v>R-PV</v>
      </c>
      <c r="I21" s="4">
        <f>VLOOKUP(A:A,Table1[[Project No]:[Additional Remark]],8,FALSE)</f>
        <v>12.65</v>
      </c>
      <c r="J21" s="4" t="str">
        <f>VLOOKUP(A:A,Table1[[Project No]:[Additional Remark]],23,FALSE)</f>
        <v>5 years</v>
      </c>
      <c r="K21" s="4" t="s">
        <v>1902</v>
      </c>
      <c r="L21" s="4" t="s">
        <v>1924</v>
      </c>
      <c r="M21" s="93">
        <v>45568</v>
      </c>
      <c r="N21" s="4"/>
      <c r="O21" s="4"/>
      <c r="P21" s="93"/>
      <c r="Q21" s="4"/>
      <c r="R21" s="4"/>
      <c r="S21" s="93"/>
      <c r="T21" s="4"/>
      <c r="U21" s="4"/>
      <c r="V21" s="93"/>
    </row>
    <row r="22" spans="1:22" s="123" customFormat="1" x14ac:dyDescent="0.3">
      <c r="A22" s="122">
        <f>'ECN Master Project Tracker new'!A23</f>
        <v>2307052</v>
      </c>
      <c r="B22" s="136" t="str">
        <f>VLOOKUP(A:A,Table1[[#All],[Project No]:[Additional Remark]],2,FALSE)</f>
        <v>Ngoh Win Nee</v>
      </c>
      <c r="C22" s="122" t="str">
        <f>VLOOKUP(A:A,Table1[[Project No]:[Additional Remark]],19,FALSE)</f>
        <v>851017-06-5456</v>
      </c>
      <c r="D22" s="122" t="str">
        <f>VLOOKUP(A:A,Table1[[Project No]:[Additional Remark]],20,FALSE)</f>
        <v>No 49, Lrg Tiram Jaya 5, Perumahan Tiram Jaya, 25200 Kuantan, Pahang</v>
      </c>
      <c r="E22" s="122" t="str">
        <f>VLOOKUP(A:A,Table1[[Project No]:[Additional Remark]],21,FALSE)</f>
        <v>012-9860700</v>
      </c>
      <c r="F22" s="122" t="str">
        <f>VLOOKUP(A:A,Table1[[Project No]:[Additional Remark]],22,FALSE)</f>
        <v>winneengoh@gmail.com</v>
      </c>
      <c r="G22" s="137">
        <f>VLOOKUP(A:A,Table1[[Project No]:[Additional Remark]],11,FALSE)</f>
        <v>22100</v>
      </c>
      <c r="H22" s="122" t="str">
        <f>VLOOKUP(A:A,Table1[[Project No]:[Additional Remark]],5,FALSE)</f>
        <v>R-PV</v>
      </c>
      <c r="I22" s="122">
        <f>VLOOKUP(A:A,Table1[[Project No]:[Additional Remark]],8,FALSE)</f>
        <v>4.5999999999999996</v>
      </c>
      <c r="J22" s="122" t="str">
        <f>VLOOKUP(A:A,Table1[[Project No]:[Additional Remark]],23,FALSE)</f>
        <v>5 years</v>
      </c>
      <c r="K22" s="163" t="s">
        <v>1925</v>
      </c>
      <c r="L22" s="164"/>
      <c r="M22" s="164"/>
      <c r="N22" s="164"/>
      <c r="O22" s="164"/>
      <c r="P22" s="164"/>
      <c r="Q22" s="164"/>
      <c r="R22" s="164"/>
      <c r="S22" s="164"/>
      <c r="T22" s="164"/>
      <c r="U22" s="164"/>
      <c r="V22" s="165"/>
    </row>
    <row r="23" spans="1:22" x14ac:dyDescent="0.3">
      <c r="A23" s="116">
        <f>'ECN Master Project Tracker new'!A24</f>
        <v>2304010</v>
      </c>
      <c r="B23" s="133" t="str">
        <f>VLOOKUP(A:A,Table1[[#All],[Project No]:[Additional Remark]],2,FALSE)</f>
        <v>Tung Seng Chang</v>
      </c>
      <c r="C23" s="116" t="str">
        <f>VLOOKUP(A:A,Table1[[Project No]:[Additional Remark]],19,FALSE)</f>
        <v>720703-10-5665</v>
      </c>
      <c r="D23" s="116" t="str">
        <f>VLOOKUP(A:A,Table1[[Project No]:[Additional Remark]],20,FALSE)</f>
        <v>18, Jalan Setia Perdana U13/29C, Setia Alam, 40170 Shah Alam, Selangor</v>
      </c>
      <c r="E23" s="116" t="str">
        <f>VLOOKUP(A:A,Table1[[Project No]:[Additional Remark]],21,FALSE)</f>
        <v>019-2933333</v>
      </c>
      <c r="F23" s="116" t="str">
        <f>VLOOKUP(A:A,Table1[[Project No]:[Additional Remark]],22,FALSE)</f>
        <v>tungsc6@gmail.com</v>
      </c>
      <c r="G23" s="117">
        <f>VLOOKUP(A:A,Table1[[Project No]:[Additional Remark]],11,FALSE)</f>
        <v>20650</v>
      </c>
      <c r="H23" s="116" t="str">
        <f>VLOOKUP(A:A,Table1[[Project No]:[Additional Remark]],5,FALSE)</f>
        <v>R-PV</v>
      </c>
      <c r="I23" s="116">
        <f>VLOOKUP(A:A,Table1[[Project No]:[Additional Remark]],8,FALSE)</f>
        <v>13.625</v>
      </c>
      <c r="J23" s="116" t="str">
        <f>VLOOKUP(A:A,Table1[[Project No]:[Additional Remark]],23,FALSE)</f>
        <v>N/A</v>
      </c>
      <c r="K23" s="163" t="s">
        <v>109</v>
      </c>
      <c r="L23" s="164" t="s">
        <v>109</v>
      </c>
      <c r="M23" s="165"/>
      <c r="N23" s="163" t="s">
        <v>109</v>
      </c>
      <c r="O23" s="164" t="s">
        <v>109</v>
      </c>
      <c r="P23" s="165"/>
      <c r="Q23" s="163" t="s">
        <v>109</v>
      </c>
      <c r="R23" s="164" t="s">
        <v>109</v>
      </c>
      <c r="S23" s="165"/>
      <c r="T23" s="163" t="s">
        <v>109</v>
      </c>
      <c r="U23" s="164" t="s">
        <v>109</v>
      </c>
      <c r="V23" s="165"/>
    </row>
    <row r="24" spans="1:22" x14ac:dyDescent="0.3">
      <c r="A24" s="4">
        <f>'ECN Master Project Tracker new'!A25</f>
        <v>2308065</v>
      </c>
      <c r="B24" s="108" t="str">
        <f>VLOOKUP(A:A,Table1[[#All],[Project No]:[Additional Remark]],2,FALSE)</f>
        <v xml:space="preserve">Pua Hock Meng </v>
      </c>
      <c r="C24" s="4" t="str">
        <f>VLOOKUP(A:A,Table1[[Project No]:[Additional Remark]],19,FALSE)</f>
        <v>830524-06-5271</v>
      </c>
      <c r="D24" s="4" t="str">
        <f>VLOOKUP(A:A,Table1[[Project No]:[Additional Remark]],20,FALSE)</f>
        <v>No. 18, Lorong Peramu Jaya 1/2, Perumahan Peramu Jaya 1, 26060 Kuantan, Pahang Darul Makmur</v>
      </c>
      <c r="E24" s="4" t="str">
        <f>VLOOKUP(A:A,Table1[[Project No]:[Additional Remark]],21,FALSE)</f>
        <v>019-9956536</v>
      </c>
      <c r="F24" s="4" t="str">
        <f>VLOOKUP(A:A,Table1[[Project No]:[Additional Remark]],22,FALSE)</f>
        <v>prinze.pua@gmail.com</v>
      </c>
      <c r="G24" s="55">
        <f>VLOOKUP(A:A,Table1[[Project No]:[Additional Remark]],11,FALSE)</f>
        <v>33000</v>
      </c>
      <c r="H24" s="4" t="str">
        <f>VLOOKUP(A:A,Table1[[Project No]:[Additional Remark]],5,FALSE)</f>
        <v>R-PV</v>
      </c>
      <c r="I24" s="4">
        <f>VLOOKUP(A:A,Table1[[Project No]:[Additional Remark]],8,FALSE)</f>
        <v>8.625</v>
      </c>
      <c r="J24" s="4" t="str">
        <f>VLOOKUP(A:A,Table1[[Project No]:[Additional Remark]],23,FALSE)</f>
        <v>5 years</v>
      </c>
      <c r="K24" s="4" t="s">
        <v>1902</v>
      </c>
      <c r="L24" s="4" t="s">
        <v>1926</v>
      </c>
      <c r="M24" s="93">
        <v>45750</v>
      </c>
      <c r="N24" s="4"/>
      <c r="O24" s="4"/>
      <c r="P24" s="4"/>
      <c r="Q24" s="4"/>
      <c r="R24" s="4"/>
      <c r="S24" s="4"/>
      <c r="T24" s="4"/>
      <c r="U24" s="4"/>
      <c r="V24" s="4"/>
    </row>
    <row r="25" spans="1:22" x14ac:dyDescent="0.3">
      <c r="A25" s="4">
        <f>'ECN Master Project Tracker new'!A26</f>
        <v>2306009</v>
      </c>
      <c r="B25" s="108" t="str">
        <f>VLOOKUP(A:A,Table1[[#All],[Project No]:[Additional Remark]],2,FALSE)</f>
        <v>Dato Arif Stephen bin Abdullah</v>
      </c>
      <c r="C25" s="4">
        <f>VLOOKUP(A:A,Table1[[Project No]:[Additional Remark]],19,FALSE)</f>
        <v>0</v>
      </c>
      <c r="D25" s="4" t="str">
        <f>VLOOKUP(A:A,Table1[[Project No]:[Additional Remark]],20,FALSE)</f>
        <v>Lot 12193, Jalan Felcra Semungkis, Batu 14 Hulu Langat, 43100 Hulu Langat, Selangor Darul Ehsan</v>
      </c>
      <c r="E25" s="4">
        <f>VLOOKUP(A:A,Table1[[Project No]:[Additional Remark]],21,FALSE)</f>
        <v>0</v>
      </c>
      <c r="F25" s="4">
        <f>VLOOKUP(A:A,Table1[[Project No]:[Additional Remark]],22,FALSE)</f>
        <v>0</v>
      </c>
      <c r="G25" s="55">
        <f>VLOOKUP(A:A,Table1[[Project No]:[Additional Remark]],11,FALSE)</f>
        <v>720000</v>
      </c>
      <c r="H25" s="4" t="str">
        <f>VLOOKUP(A:A,Table1[[Project No]:[Additional Remark]],5,FALSE)</f>
        <v>R-BESS</v>
      </c>
      <c r="I25" s="4">
        <f>VLOOKUP(A:A,Table1[[Project No]:[Additional Remark]],8,FALSE)</f>
        <v>85.1</v>
      </c>
      <c r="J25" s="4">
        <f>VLOOKUP(A:A,Table1[[Project No]:[Additional Remark]],23,FALSE)</f>
        <v>0</v>
      </c>
      <c r="K25" s="163" t="s">
        <v>109</v>
      </c>
      <c r="L25" s="164" t="s">
        <v>109</v>
      </c>
      <c r="M25" s="165"/>
      <c r="N25" s="163" t="s">
        <v>109</v>
      </c>
      <c r="O25" s="164" t="s">
        <v>109</v>
      </c>
      <c r="P25" s="165"/>
      <c r="Q25" s="163" t="s">
        <v>109</v>
      </c>
      <c r="R25" s="164" t="s">
        <v>109</v>
      </c>
      <c r="S25" s="165"/>
      <c r="T25" s="163" t="s">
        <v>109</v>
      </c>
      <c r="U25" s="164" t="s">
        <v>109</v>
      </c>
      <c r="V25" s="165"/>
    </row>
    <row r="26" spans="1:22" x14ac:dyDescent="0.3">
      <c r="A26" s="4">
        <f>'ECN Master Project Tracker new'!A27</f>
        <v>2303003</v>
      </c>
      <c r="B26" s="108" t="str">
        <f>VLOOKUP(A:A,Table1[[#All],[Project No]:[Additional Remark]],2,FALSE)</f>
        <v>Greenlast Housing Development Sdn Bhd</v>
      </c>
      <c r="C26" s="4" t="str">
        <f>VLOOKUP(A:A,Table1[[Project No]:[Additional Remark]],19,FALSE)</f>
        <v>-</v>
      </c>
      <c r="D26" s="4" t="str">
        <f>VLOOKUP(A:A,Table1[[Project No]:[Additional Remark]],20,FALSE)</f>
        <v>Lot 1-5, Jalan Semambu,Kawasan Perindustrian Semambu, Kuantan Pahang 25350 Malaysia</v>
      </c>
      <c r="E26" s="4" t="str">
        <f>VLOOKUP(A:A,Table1[[Project No]:[Additional Remark]],21,FALSE)</f>
        <v>-</v>
      </c>
      <c r="F26" s="4" t="str">
        <f>VLOOKUP(A:A,Table1[[Project No]:[Additional Remark]],22,FALSE)</f>
        <v>-</v>
      </c>
      <c r="G26" s="55">
        <f>VLOOKUP(A:A,Table1[[Project No]:[Additional Remark]],11,FALSE)</f>
        <v>80000</v>
      </c>
      <c r="H26" s="4" t="str">
        <f>VLOOKUP(A:A,Table1[[Project No]:[Additional Remark]],5,FALSE)</f>
        <v>C&amp;I-PV</v>
      </c>
      <c r="I26" s="4">
        <f>VLOOKUP(A:A,Table1[[Project No]:[Additional Remark]],8,FALSE)</f>
        <v>23</v>
      </c>
      <c r="J26" s="4" t="str">
        <f>VLOOKUP(A:A,Table1[[Project No]:[Additional Remark]],23,FALSE)</f>
        <v>N/A</v>
      </c>
      <c r="K26" s="163" t="s">
        <v>109</v>
      </c>
      <c r="L26" s="164" t="s">
        <v>109</v>
      </c>
      <c r="M26" s="165"/>
      <c r="N26" s="163" t="s">
        <v>109</v>
      </c>
      <c r="O26" s="164" t="s">
        <v>109</v>
      </c>
      <c r="P26" s="165"/>
      <c r="Q26" s="163" t="s">
        <v>109</v>
      </c>
      <c r="R26" s="164" t="s">
        <v>109</v>
      </c>
      <c r="S26" s="165"/>
      <c r="T26" s="163" t="s">
        <v>109</v>
      </c>
      <c r="U26" s="164" t="s">
        <v>109</v>
      </c>
      <c r="V26" s="165"/>
    </row>
    <row r="27" spans="1:22" x14ac:dyDescent="0.3">
      <c r="A27" s="4">
        <f>'ECN Master Project Tracker new'!A28</f>
        <v>2311040</v>
      </c>
      <c r="B27" s="108" t="str">
        <f>VLOOKUP(A:A,Table1[[#All],[Project No]:[Additional Remark]],2,FALSE)</f>
        <v>DBTS Industries Sdn Bhd</v>
      </c>
      <c r="C27" s="4" t="str">
        <f>VLOOKUP(A:A,Table1[[Project No]:[Additional Remark]],19,FALSE)</f>
        <v>-</v>
      </c>
      <c r="D27" s="4" t="str">
        <f>VLOOKUP(A:A,Table1[[Project No]:[Additional Remark]],20,FALSE)</f>
        <v>Lot 2199, Jalan Nuri, Kampung Batu 9 Kebun Baru, 42500 Telok Panglima Garang, Selangor</v>
      </c>
      <c r="E27" s="4" t="str">
        <f>VLOOKUP(A:A,Table1[[Project No]:[Additional Remark]],21,FALSE)</f>
        <v>-</v>
      </c>
      <c r="F27" s="4" t="str">
        <f>VLOOKUP(A:A,Table1[[Project No]:[Additional Remark]],22,FALSE)</f>
        <v>-</v>
      </c>
      <c r="G27" s="55">
        <f>VLOOKUP(A:A,Table1[[Project No]:[Additional Remark]],11,FALSE)</f>
        <v>91000</v>
      </c>
      <c r="H27" s="4" t="str">
        <f>VLOOKUP(A:A,Table1[[Project No]:[Additional Remark]],5,FALSE)</f>
        <v>C&amp;I-PV</v>
      </c>
      <c r="I27" s="4">
        <f>VLOOKUP(A:A,Table1[[Project No]:[Additional Remark]],8,FALSE)</f>
        <v>93</v>
      </c>
      <c r="J27" s="4" t="str">
        <f>VLOOKUP(A:A,Table1[[Project No]:[Additional Remark]],23,FALSE)</f>
        <v>N/A</v>
      </c>
      <c r="K27" s="163" t="s">
        <v>109</v>
      </c>
      <c r="L27" s="164" t="s">
        <v>109</v>
      </c>
      <c r="M27" s="165"/>
      <c r="N27" s="163" t="s">
        <v>109</v>
      </c>
      <c r="O27" s="164" t="s">
        <v>109</v>
      </c>
      <c r="P27" s="165"/>
      <c r="Q27" s="163" t="s">
        <v>109</v>
      </c>
      <c r="R27" s="164" t="s">
        <v>109</v>
      </c>
      <c r="S27" s="165"/>
      <c r="T27" s="163" t="s">
        <v>109</v>
      </c>
      <c r="U27" s="164" t="s">
        <v>109</v>
      </c>
      <c r="V27" s="165"/>
    </row>
    <row r="28" spans="1:22" x14ac:dyDescent="0.3">
      <c r="A28" s="4">
        <f>'ECN Master Project Tracker new'!A29</f>
        <v>2308007</v>
      </c>
      <c r="B28" s="108" t="str">
        <f>VLOOKUP(A:A,Table1[[#All],[Project No]:[Additional Remark]],2,FALSE)</f>
        <v>EV Connection Sdn Bhd (The Pines Melaka)</v>
      </c>
      <c r="C28" s="4">
        <f>VLOOKUP(A:A,Table1[[Project No]:[Additional Remark]],19,FALSE)</f>
        <v>0</v>
      </c>
      <c r="D28" s="4" t="str">
        <f>VLOOKUP(A:A,Table1[[Project No]:[Additional Remark]],20,FALSE)</f>
        <v>33, Jalan Tun Sri Lanang, 75100 Melaka</v>
      </c>
      <c r="E28" s="4">
        <f>VLOOKUP(A:A,Table1[[Project No]:[Additional Remark]],21,FALSE)</f>
        <v>0</v>
      </c>
      <c r="F28" s="4">
        <f>VLOOKUP(A:A,Table1[[Project No]:[Additional Remark]],22,FALSE)</f>
        <v>0</v>
      </c>
      <c r="G28" s="55">
        <f>VLOOKUP(A:A,Table1[[Project No]:[Additional Remark]],11,FALSE)</f>
        <v>93380</v>
      </c>
      <c r="H28" s="4" t="str">
        <f>VLOOKUP(A:A,Table1[[Project No]:[Additional Remark]],5,FALSE)</f>
        <v>EV Charger</v>
      </c>
      <c r="I28" s="4">
        <f>VLOOKUP(A:A,Table1[[Project No]:[Additional Remark]],8,FALSE)</f>
        <v>0</v>
      </c>
      <c r="J28" s="4" t="str">
        <f>VLOOKUP(A:A,Table1[[Project No]:[Additional Remark]],23,FALSE)</f>
        <v>N/A</v>
      </c>
      <c r="K28" s="163" t="s">
        <v>109</v>
      </c>
      <c r="L28" s="164" t="s">
        <v>109</v>
      </c>
      <c r="M28" s="165"/>
      <c r="N28" s="163" t="s">
        <v>109</v>
      </c>
      <c r="O28" s="164" t="s">
        <v>109</v>
      </c>
      <c r="P28" s="165"/>
      <c r="Q28" s="163" t="s">
        <v>109</v>
      </c>
      <c r="R28" s="164" t="s">
        <v>109</v>
      </c>
      <c r="S28" s="165"/>
      <c r="T28" s="163" t="s">
        <v>109</v>
      </c>
      <c r="U28" s="164" t="s">
        <v>109</v>
      </c>
      <c r="V28" s="165"/>
    </row>
    <row r="29" spans="1:22" x14ac:dyDescent="0.3">
      <c r="A29" s="4">
        <f>'ECN Master Project Tracker new'!A30</f>
        <v>2311094</v>
      </c>
      <c r="B29" s="108" t="str">
        <f>VLOOKUP(A:A,Table1[[#All],[Project No]:[Additional Remark]],2,FALSE)</f>
        <v>Ching Kok Keong</v>
      </c>
      <c r="C29" s="4" t="str">
        <f>VLOOKUP(A:A,Table1[[Project No]:[Additional Remark]],19,FALSE)</f>
        <v>670428-11-5021</v>
      </c>
      <c r="D29" s="4" t="str">
        <f>VLOOKUP(A:A,Table1[[Project No]:[Additional Remark]],20,FALSE)</f>
        <v>Lot 10997, Jln Kenanga, Kg Sura Jeti, 23000 Dungun, Terengganu Darul Iman</v>
      </c>
      <c r="E29" s="4" t="str">
        <f>VLOOKUP(A:A,Table1[[Project No]:[Additional Remark]],21,FALSE)</f>
        <v>017-9767388</v>
      </c>
      <c r="F29" s="4" t="str">
        <f>VLOOKUP(A:A,Table1[[Project No]:[Additional Remark]],22,FALSE)</f>
        <v>ckkcsk6666@gmail.com</v>
      </c>
      <c r="G29" s="55">
        <f>VLOOKUP(A:A,Table1[[Project No]:[Additional Remark]],11,FALSE)</f>
        <v>37000</v>
      </c>
      <c r="H29" s="4" t="str">
        <f>VLOOKUP(A:A,Table1[[Project No]:[Additional Remark]],5,FALSE)</f>
        <v>R-PV</v>
      </c>
      <c r="I29" s="4">
        <f>VLOOKUP(A:A,Table1[[Project No]:[Additional Remark]],8,FALSE)</f>
        <v>9.7750000000000004</v>
      </c>
      <c r="J29" s="4" t="str">
        <f>VLOOKUP(A:A,Table1[[Project No]:[Additional Remark]],23,FALSE)</f>
        <v>3 years</v>
      </c>
      <c r="K29" s="4" t="s">
        <v>1902</v>
      </c>
      <c r="L29" s="4" t="s">
        <v>1927</v>
      </c>
      <c r="M29" s="93">
        <v>45568</v>
      </c>
      <c r="N29" s="4"/>
      <c r="O29" s="4"/>
      <c r="P29" s="93"/>
      <c r="Q29" s="4"/>
      <c r="R29" s="4"/>
      <c r="S29" s="93"/>
      <c r="T29" s="4"/>
      <c r="U29" s="4"/>
      <c r="V29" s="93"/>
    </row>
    <row r="30" spans="1:22" x14ac:dyDescent="0.3">
      <c r="A30" s="4">
        <f>'ECN Master Project Tracker new'!A31</f>
        <v>2311095</v>
      </c>
      <c r="B30" s="108" t="str">
        <f>VLOOKUP(A:A,Table1[[#All],[Project No]:[Additional Remark]],2,FALSE)</f>
        <v>Chu Yin Siong</v>
      </c>
      <c r="C30" s="4" t="str">
        <f>VLOOKUP(A:A,Table1[[Project No]:[Additional Remark]],19,FALSE)</f>
        <v>620818-11-5371</v>
      </c>
      <c r="D30" s="4" t="str">
        <f>VLOOKUP(A:A,Table1[[Project No]:[Additional Remark]],20,FALSE)</f>
        <v>No 11, Jln Paka, Tmn Bunga Raya, 23000 Dungun, Terengganu Darul Iman</v>
      </c>
      <c r="E30" s="4" t="str">
        <f>VLOOKUP(A:A,Table1[[Project No]:[Additional Remark]],21,FALSE)</f>
        <v>019-9836811</v>
      </c>
      <c r="F30" s="4" t="str">
        <f>VLOOKUP(A:A,Table1[[Project No]:[Additional Remark]],22,FALSE)</f>
        <v>cca6668@gmail.com</v>
      </c>
      <c r="G30" s="55">
        <f>VLOOKUP(A:A,Table1[[Project No]:[Additional Remark]],11,FALSE)</f>
        <v>44600</v>
      </c>
      <c r="H30" s="4" t="str">
        <f>VLOOKUP(A:A,Table1[[Project No]:[Additional Remark]],5,FALSE)</f>
        <v>R-PV</v>
      </c>
      <c r="I30" s="4">
        <f>VLOOKUP(A:A,Table1[[Project No]:[Additional Remark]],8,FALSE)</f>
        <v>12.65</v>
      </c>
      <c r="J30" s="4" t="str">
        <f>VLOOKUP(A:A,Table1[[Project No]:[Additional Remark]],23,FALSE)</f>
        <v>3 years</v>
      </c>
      <c r="K30" s="4" t="s">
        <v>1902</v>
      </c>
      <c r="L30" s="4" t="s">
        <v>1928</v>
      </c>
      <c r="M30" s="93">
        <v>45568</v>
      </c>
      <c r="N30" s="4"/>
      <c r="O30" s="4"/>
      <c r="P30" s="93"/>
      <c r="Q30" s="4"/>
      <c r="R30" s="4"/>
      <c r="S30" s="93"/>
      <c r="T30" s="4"/>
      <c r="U30" s="4"/>
      <c r="V30" s="93"/>
    </row>
    <row r="31" spans="1:22" x14ac:dyDescent="0.3">
      <c r="A31" s="4">
        <f>'ECN Master Project Tracker new'!A32</f>
        <v>2311039</v>
      </c>
      <c r="B31" s="108" t="str">
        <f>VLOOKUP(A:A,Table1[[#All],[Project No]:[Additional Remark]],2,FALSE)</f>
        <v>DC Handal EV Charging Hub</v>
      </c>
      <c r="C31" s="4" t="str">
        <f>VLOOKUP(A:A,Table1[[Project No]:[Additional Remark]],19,FALSE)</f>
        <v>-</v>
      </c>
      <c r="D31" s="4" t="str">
        <f>VLOOKUP(A:A,Table1[[Project No]:[Additional Remark]],20,FALSE)</f>
        <v>-</v>
      </c>
      <c r="E31" s="4" t="str">
        <f>VLOOKUP(A:A,Table1[[Project No]:[Additional Remark]],21,FALSE)</f>
        <v>-</v>
      </c>
      <c r="F31" s="4" t="str">
        <f>VLOOKUP(A:A,Table1[[Project No]:[Additional Remark]],22,FALSE)</f>
        <v>-</v>
      </c>
      <c r="G31" s="55">
        <f>VLOOKUP(A:A,Table1[[Project No]:[Additional Remark]],11,FALSE)</f>
        <v>280080</v>
      </c>
      <c r="H31" s="4" t="str">
        <f>VLOOKUP(A:A,Table1[[Project No]:[Additional Remark]],5,FALSE)</f>
        <v>C&amp;I-PV</v>
      </c>
      <c r="I31" s="4">
        <f>VLOOKUP(A:A,Table1[[Project No]:[Additional Remark]],8,FALSE)</f>
        <v>370.05500000000001</v>
      </c>
      <c r="J31" s="4" t="str">
        <f>VLOOKUP(A:A,Table1[[Project No]:[Additional Remark]],23,FALSE)</f>
        <v>N/A</v>
      </c>
      <c r="K31" s="163" t="s">
        <v>109</v>
      </c>
      <c r="L31" s="164" t="s">
        <v>109</v>
      </c>
      <c r="M31" s="165"/>
      <c r="N31" s="163" t="s">
        <v>109</v>
      </c>
      <c r="O31" s="164" t="s">
        <v>109</v>
      </c>
      <c r="P31" s="165"/>
      <c r="Q31" s="163" t="s">
        <v>109</v>
      </c>
      <c r="R31" s="164" t="s">
        <v>109</v>
      </c>
      <c r="S31" s="165"/>
      <c r="T31" s="163" t="s">
        <v>109</v>
      </c>
      <c r="U31" s="164" t="s">
        <v>109</v>
      </c>
      <c r="V31" s="165"/>
    </row>
    <row r="32" spans="1:22" x14ac:dyDescent="0.3">
      <c r="A32" s="4">
        <f>'ECN Master Project Tracker new'!A33</f>
        <v>2311012</v>
      </c>
      <c r="B32" s="108" t="str">
        <f>VLOOKUP(A:A,Table1[[#All],[Project No]:[Additional Remark]],2,FALSE)</f>
        <v>EV Connection Sdn Bhd (IOI Citymall, Putrajaya)</v>
      </c>
      <c r="C32" s="4" t="str">
        <f>VLOOKUP(A:A,Table1[[Project No]:[Additional Remark]],19,FALSE)</f>
        <v>-</v>
      </c>
      <c r="D32" s="4" t="str">
        <f>VLOOKUP(A:A,Table1[[Project No]:[Additional Remark]],20,FALSE)</f>
        <v>-</v>
      </c>
      <c r="E32" s="4" t="str">
        <f>VLOOKUP(A:A,Table1[[Project No]:[Additional Remark]],21,FALSE)</f>
        <v>-</v>
      </c>
      <c r="F32" s="4" t="str">
        <f>VLOOKUP(A:A,Table1[[Project No]:[Additional Remark]],22,FALSE)</f>
        <v>-</v>
      </c>
      <c r="G32" s="55">
        <f>VLOOKUP(A:A,Table1[[Project No]:[Additional Remark]],11,FALSE)</f>
        <v>109000</v>
      </c>
      <c r="H32" s="4" t="str">
        <f>VLOOKUP(A:A,Table1[[Project No]:[Additional Remark]],5,FALSE)</f>
        <v>EV Charger</v>
      </c>
      <c r="I32" s="4">
        <f>VLOOKUP(A:A,Table1[[Project No]:[Additional Remark]],8,FALSE)</f>
        <v>0</v>
      </c>
      <c r="J32" s="4" t="str">
        <f>VLOOKUP(A:A,Table1[[Project No]:[Additional Remark]],23,FALSE)</f>
        <v>N/A</v>
      </c>
      <c r="K32" s="163" t="s">
        <v>109</v>
      </c>
      <c r="L32" s="164" t="s">
        <v>109</v>
      </c>
      <c r="M32" s="165"/>
      <c r="N32" s="163" t="s">
        <v>109</v>
      </c>
      <c r="O32" s="164" t="s">
        <v>109</v>
      </c>
      <c r="P32" s="165"/>
      <c r="Q32" s="163" t="s">
        <v>109</v>
      </c>
      <c r="R32" s="164" t="s">
        <v>109</v>
      </c>
      <c r="S32" s="165"/>
      <c r="T32" s="163" t="s">
        <v>109</v>
      </c>
      <c r="U32" s="164" t="s">
        <v>109</v>
      </c>
      <c r="V32" s="165"/>
    </row>
    <row r="33" spans="1:22" x14ac:dyDescent="0.3">
      <c r="A33" s="4">
        <f>'ECN Master Project Tracker new'!A34</f>
        <v>2311089</v>
      </c>
      <c r="B33" s="108" t="str">
        <f>VLOOKUP(A:A,Table1[[#All],[Project No]:[Additional Remark]],2,FALSE)</f>
        <v>Susan Lau Shiew Hung</v>
      </c>
      <c r="C33" s="4" t="str">
        <f>VLOOKUP(A:A,Table1[[Project No]:[Additional Remark]],19,FALSE)</f>
        <v>821226-13-5150</v>
      </c>
      <c r="D33" s="4" t="str">
        <f>VLOOKUP(A:A,Table1[[Project No]:[Additional Remark]],20,FALSE)</f>
        <v>27, Jalan SS 22A/8, Damansara Jaya, 47400 Petaling Jaya, Selangor Darul Ehsan</v>
      </c>
      <c r="E33" s="4" t="str">
        <f>VLOOKUP(A:A,Table1[[Project No]:[Additional Remark]],21,FALSE)</f>
        <v>012-2777019</v>
      </c>
      <c r="F33" s="4" t="str">
        <f>VLOOKUP(A:A,Table1[[Project No]:[Additional Remark]],22,FALSE)</f>
        <v>san99lau@gmail.com</v>
      </c>
      <c r="G33" s="55">
        <f>VLOOKUP(A:A,Table1[[Project No]:[Additional Remark]],11,FALSE)</f>
        <v>37500</v>
      </c>
      <c r="H33" s="4" t="str">
        <f>VLOOKUP(A:A,Table1[[Project No]:[Additional Remark]],5,FALSE)</f>
        <v>R-PV</v>
      </c>
      <c r="I33" s="4">
        <f>VLOOKUP(A:A,Table1[[Project No]:[Additional Remark]],8,FALSE)</f>
        <v>11.5</v>
      </c>
      <c r="J33" s="4" t="str">
        <f>VLOOKUP(A:A,Table1[[Project No]:[Additional Remark]],23,FALSE)</f>
        <v>3 years</v>
      </c>
      <c r="K33" s="4" t="s">
        <v>1902</v>
      </c>
      <c r="L33" s="4" t="s">
        <v>1929</v>
      </c>
      <c r="M33" s="93">
        <v>45568</v>
      </c>
      <c r="N33" s="4"/>
      <c r="O33" s="4"/>
      <c r="P33" s="93"/>
      <c r="Q33" s="4"/>
      <c r="R33" s="4"/>
      <c r="S33" s="93"/>
      <c r="T33" s="4"/>
      <c r="U33" s="4"/>
      <c r="V33" s="93"/>
    </row>
    <row r="34" spans="1:22" x14ac:dyDescent="0.3">
      <c r="A34" s="4">
        <f>'ECN Master Project Tracker new'!A35</f>
        <v>2312118</v>
      </c>
      <c r="B34" s="108" t="str">
        <f>VLOOKUP(A:A,Table1[[#All],[Project No]:[Additional Remark]],2,FALSE)</f>
        <v>Dr Suntheresan A/L Ganapathy</v>
      </c>
      <c r="C34" s="4" t="str">
        <f>VLOOKUP(A:A,Table1[[Project No]:[Additional Remark]],19,FALSE)</f>
        <v>680926-02-5351</v>
      </c>
      <c r="D34" s="4" t="str">
        <f>VLOOKUP(A:A,Table1[[Project No]:[Additional Remark]],20,FALSE)</f>
        <v>No 27, Jalan Aman Elemen 3, Bandar Tropicana Aman, 42500 Telok Panglima Garang, Selangor Darul Ehsan</v>
      </c>
      <c r="E34" s="4" t="str">
        <f>VLOOKUP(A:A,Table1[[Project No]:[Additional Remark]],21,FALSE)</f>
        <v>019-2262119</v>
      </c>
      <c r="F34" s="4" t="str">
        <f>VLOOKUP(A:A,Table1[[Project No]:[Additional Remark]],22,FALSE)</f>
        <v>sunthe26@gmail.com</v>
      </c>
      <c r="G34" s="55">
        <f>VLOOKUP(A:A,Table1[[Project No]:[Additional Remark]],11,FALSE)</f>
        <v>54930</v>
      </c>
      <c r="H34" s="4" t="str">
        <f>VLOOKUP(A:A,Table1[[Project No]:[Additional Remark]],5,FALSE)</f>
        <v>R-PV</v>
      </c>
      <c r="I34" s="4">
        <f>VLOOKUP(A:A,Table1[[Project No]:[Additional Remark]],8,FALSE)</f>
        <v>13.8</v>
      </c>
      <c r="J34" s="4" t="str">
        <f>VLOOKUP(A:A,Table1[[Project No]:[Additional Remark]],23,FALSE)</f>
        <v>3 years</v>
      </c>
      <c r="K34" s="4" t="s">
        <v>1902</v>
      </c>
      <c r="L34" s="4" t="s">
        <v>1930</v>
      </c>
      <c r="M34" s="93">
        <v>45568</v>
      </c>
      <c r="N34" s="4"/>
      <c r="O34" s="4"/>
      <c r="P34" s="93"/>
      <c r="Q34" s="4"/>
      <c r="R34" s="4"/>
      <c r="S34" s="93"/>
      <c r="T34" s="4"/>
      <c r="U34" s="4"/>
      <c r="V34" s="93"/>
    </row>
    <row r="35" spans="1:22" x14ac:dyDescent="0.3">
      <c r="A35" s="4">
        <f>'ECN Master Project Tracker new'!A36</f>
        <v>2309070</v>
      </c>
      <c r="B35" s="108" t="str">
        <f>VLOOKUP(A:A,Table1[[#All],[Project No]:[Additional Remark]],2,FALSE)</f>
        <v>Saiful Lizan Bin Ibrahim</v>
      </c>
      <c r="C35" s="4" t="str">
        <f>VLOOKUP(A:A,Table1[[Project No]:[Additional Remark]],19,FALSE)</f>
        <v>731112-06-5749</v>
      </c>
      <c r="D35" s="4" t="str">
        <f>VLOOKUP(A:A,Table1[[Project No]:[Additional Remark]],20,FALSE)</f>
        <v>16, Jalan Suadamai 6/2, Bandar Tun Hussein Onn, 43200 Cheras, Selangor Darul Ehsan</v>
      </c>
      <c r="E35" s="4" t="str">
        <f>VLOOKUP(A:A,Table1[[Project No]:[Additional Remark]],21,FALSE)</f>
        <v>019-2611759</v>
      </c>
      <c r="F35" s="4" t="str">
        <f>VLOOKUP(A:A,Table1[[Project No]:[Additional Remark]],22,FALSE)</f>
        <v>gunner2490@yahoo.com</v>
      </c>
      <c r="G35" s="55">
        <f>VLOOKUP(A:A,Table1[[Project No]:[Additional Remark]],11,FALSE)</f>
        <v>48902</v>
      </c>
      <c r="H35" s="4" t="str">
        <f>VLOOKUP(A:A,Table1[[Project No]:[Additional Remark]],5,FALSE)</f>
        <v>R-PV</v>
      </c>
      <c r="I35" s="4">
        <f>VLOOKUP(A:A,Table1[[Project No]:[Additional Remark]],8,FALSE)</f>
        <v>13.8</v>
      </c>
      <c r="J35" s="4" t="str">
        <f>VLOOKUP(A:A,Table1[[Project No]:[Additional Remark]],23,FALSE)</f>
        <v>3 years</v>
      </c>
      <c r="K35" s="4" t="s">
        <v>1902</v>
      </c>
      <c r="L35" s="4" t="s">
        <v>1931</v>
      </c>
      <c r="M35" s="93">
        <v>45568</v>
      </c>
      <c r="N35" s="4"/>
      <c r="O35" s="4"/>
      <c r="P35" s="93"/>
      <c r="Q35" s="4"/>
      <c r="R35" s="4"/>
      <c r="S35" s="93"/>
      <c r="T35" s="4"/>
      <c r="U35" s="4"/>
      <c r="V35" s="93"/>
    </row>
    <row r="36" spans="1:22" x14ac:dyDescent="0.3">
      <c r="A36" s="122">
        <f>'ECN Master Project Tracker new'!A37</f>
        <v>2310075</v>
      </c>
      <c r="B36" s="136" t="str">
        <f>VLOOKUP(A:A,Table1[[#All],[Project No]:[Additional Remark]],2,FALSE)</f>
        <v>Chong Fong Chin(Jessie)</v>
      </c>
      <c r="C36" s="122" t="str">
        <f>VLOOKUP(A:A,Table1[[Project No]:[Additional Remark]],19,FALSE)</f>
        <v>861207-33-5276</v>
      </c>
      <c r="D36" s="122" t="str">
        <f>VLOOKUP(A:A,Table1[[Project No]:[Additional Remark]],20,FALSE)</f>
        <v>No 11, Lrg Bkt Setongkol Perdana 29, Perkpgn Bkt Setongkol, Tmn Bukit Setongkol,  25200 Kuantan, Pahang Darul Makmur</v>
      </c>
      <c r="E36" s="122" t="str">
        <f>VLOOKUP(A:A,Table1[[Project No]:[Additional Remark]],21,FALSE)</f>
        <v>019-9351188</v>
      </c>
      <c r="F36" s="122" t="str">
        <f>VLOOKUP(A:A,Table1[[Project No]:[Additional Remark]],22,FALSE)</f>
        <v>jessie.cfc@gmail.com</v>
      </c>
      <c r="G36" s="137">
        <f>VLOOKUP(A:A,Table1[[Project No]:[Additional Remark]],11,FALSE)</f>
        <v>45600</v>
      </c>
      <c r="H36" s="122" t="str">
        <f>VLOOKUP(A:A,Table1[[Project No]:[Additional Remark]],5,FALSE)</f>
        <v>R-PV</v>
      </c>
      <c r="I36" s="122">
        <f>VLOOKUP(A:A,Table1[[Project No]:[Additional Remark]],8,FALSE)</f>
        <v>14.625</v>
      </c>
      <c r="J36" s="122">
        <f>VLOOKUP(A:A,Table1[[Project No]:[Additional Remark]],23,FALSE)</f>
        <v>0</v>
      </c>
      <c r="K36" s="163" t="s">
        <v>1925</v>
      </c>
      <c r="L36" s="164"/>
      <c r="M36" s="164"/>
      <c r="N36" s="164"/>
      <c r="O36" s="164"/>
      <c r="P36" s="164"/>
      <c r="Q36" s="164"/>
      <c r="R36" s="164"/>
      <c r="S36" s="164"/>
      <c r="T36" s="164"/>
      <c r="U36" s="164"/>
      <c r="V36" s="165"/>
    </row>
    <row r="37" spans="1:22" x14ac:dyDescent="0.3">
      <c r="A37" s="4">
        <f>'ECN Master Project Tracker new'!A38</f>
        <v>2310076</v>
      </c>
      <c r="B37" s="108" t="str">
        <f>VLOOKUP(A:A,Table1[[#All],[Project No]:[Additional Remark]],2,FALSE)</f>
        <v>Loo Thiam Seng</v>
      </c>
      <c r="C37" s="4" t="str">
        <f>VLOOKUP(A:A,Table1[[Project No]:[Additional Remark]],19,FALSE)</f>
        <v>560426-07-5479</v>
      </c>
      <c r="D37" s="4" t="str">
        <f>VLOOKUP(A:A,Table1[[Project No]:[Additional Remark]],20,FALSE)</f>
        <v>61, Jln Tasik Indah 2, Tmn Tasik Indah, 51200 WP Kuala Lumpur</v>
      </c>
      <c r="E37" s="4" t="str">
        <f>VLOOKUP(A:A,Table1[[Project No]:[Additional Remark]],21,FALSE)</f>
        <v>019-2263229</v>
      </c>
      <c r="F37" s="4" t="str">
        <f>VLOOKUP(A:A,Table1[[Project No]:[Additional Remark]],22,FALSE)</f>
        <v>tsloo1956@gmail.com</v>
      </c>
      <c r="G37" s="55">
        <f>VLOOKUP(A:A,Table1[[Project No]:[Additional Remark]],11,FALSE)</f>
        <v>24000</v>
      </c>
      <c r="H37" s="4" t="str">
        <f>VLOOKUP(A:A,Table1[[Project No]:[Additional Remark]],5,FALSE)</f>
        <v>R-PV</v>
      </c>
      <c r="I37" s="4">
        <f>VLOOKUP(A:A,Table1[[Project No]:[Additional Remark]],8,FALSE)</f>
        <v>8.26</v>
      </c>
      <c r="J37" s="4" t="str">
        <f>VLOOKUP(A:A,Table1[[Project No]:[Additional Remark]],23,FALSE)</f>
        <v>3 years</v>
      </c>
      <c r="K37" s="4" t="s">
        <v>1902</v>
      </c>
      <c r="L37" s="4" t="s">
        <v>1932</v>
      </c>
      <c r="M37" s="93">
        <v>45806</v>
      </c>
      <c r="N37" s="4"/>
      <c r="O37" s="4"/>
      <c r="P37" s="4"/>
      <c r="Q37" s="4"/>
      <c r="R37" s="4"/>
      <c r="S37" s="4"/>
      <c r="T37" s="4"/>
      <c r="U37" s="4"/>
      <c r="V37" s="4"/>
    </row>
    <row r="38" spans="1:22" x14ac:dyDescent="0.3">
      <c r="A38" s="4">
        <f>'ECN Master Project Tracker new'!A39</f>
        <v>2310085</v>
      </c>
      <c r="B38" s="108" t="str">
        <f>VLOOKUP(A:A,Table1[[#All],[Project No]:[Additional Remark]],2,FALSE)</f>
        <v>Chew Mei May</v>
      </c>
      <c r="C38" s="4" t="str">
        <f>VLOOKUP(A:A,Table1[[Project No]:[Additional Remark]],19,FALSE)</f>
        <v>721025-10-5598</v>
      </c>
      <c r="D38" s="4" t="str">
        <f>VLOOKUP(A:A,Table1[[Project No]:[Additional Remark]],20,FALSE)</f>
        <v>67, Jln BK 5B/5A, Bdr Kinrara, 47180 Puchong, Selangor Darul Ehsan</v>
      </c>
      <c r="E38" s="4" t="str">
        <f>VLOOKUP(A:A,Table1[[Project No]:[Additional Remark]],21,FALSE)</f>
        <v>012-2203402</v>
      </c>
      <c r="F38" s="4" t="str">
        <f>VLOOKUP(A:A,Table1[[Project No]:[Additional Remark]],22,FALSE)</f>
        <v>meimaychew@gmail.com</v>
      </c>
      <c r="G38" s="55">
        <f>VLOOKUP(A:A,Table1[[Project No]:[Additional Remark]],11,FALSE)</f>
        <v>47786</v>
      </c>
      <c r="H38" s="4" t="str">
        <f>VLOOKUP(A:A,Table1[[Project No]:[Additional Remark]],5,FALSE)</f>
        <v>R-PV</v>
      </c>
      <c r="I38" s="4">
        <f>VLOOKUP(A:A,Table1[[Project No]:[Additional Remark]],8,FALSE)</f>
        <v>12.074999999999999</v>
      </c>
      <c r="J38" s="4" t="str">
        <f>VLOOKUP(A:A,Table1[[Project No]:[Additional Remark]],23,FALSE)</f>
        <v>3 years</v>
      </c>
      <c r="K38" s="4" t="s">
        <v>1902</v>
      </c>
      <c r="L38" s="4" t="s">
        <v>1933</v>
      </c>
      <c r="M38" s="93">
        <v>45568</v>
      </c>
      <c r="N38" s="4"/>
      <c r="O38" s="4"/>
      <c r="P38" s="93"/>
      <c r="Q38" s="4"/>
      <c r="R38" s="4"/>
      <c r="S38" s="93"/>
      <c r="T38" s="4"/>
      <c r="U38" s="4"/>
      <c r="V38" s="93"/>
    </row>
    <row r="39" spans="1:22" x14ac:dyDescent="0.3">
      <c r="A39" s="4">
        <f>'ECN Master Project Tracker new'!A40</f>
        <v>2312113</v>
      </c>
      <c r="B39" s="108" t="str">
        <f>VLOOKUP(A:A,Table1[[#All],[Project No]:[Additional Remark]],2,FALSE)</f>
        <v>Razman Bin Samsudin</v>
      </c>
      <c r="C39" s="4" t="str">
        <f>VLOOKUP(A:A,Table1[[Project No]:[Additional Remark]],19,FALSE)</f>
        <v>760713-71-5025</v>
      </c>
      <c r="D39" s="4" t="str">
        <f>VLOOKUP(A:A,Table1[[Project No]:[Additional Remark]],20,FALSE)</f>
        <v>No.8, Jalan SS20/25, Damansara Utama, 47400 Petaling Jaya, Selangor</v>
      </c>
      <c r="E39" s="4" t="str">
        <f>VLOOKUP(A:A,Table1[[Project No]:[Additional Remark]],21,FALSE)</f>
        <v>019-3371313</v>
      </c>
      <c r="F39" s="4" t="str">
        <f>VLOOKUP(A:A,Table1[[Project No]:[Additional Remark]],22,FALSE)</f>
        <v>razmanbinsamsudin@gmailcom</v>
      </c>
      <c r="G39" s="55">
        <f>VLOOKUP(A:A,Table1[[Project No]:[Additional Remark]],11,FALSE)</f>
        <v>44000</v>
      </c>
      <c r="H39" s="4" t="str">
        <f>VLOOKUP(A:A,Table1[[Project No]:[Additional Remark]],5,FALSE)</f>
        <v>R-PV</v>
      </c>
      <c r="I39" s="4">
        <f>VLOOKUP(A:A,Table1[[Project No]:[Additional Remark]],8,FALSE)</f>
        <v>13.8</v>
      </c>
      <c r="J39" s="4" t="str">
        <f>VLOOKUP(A:A,Table1[[Project No]:[Additional Remark]],23,FALSE)</f>
        <v>3 years</v>
      </c>
      <c r="K39" s="4" t="s">
        <v>1902</v>
      </c>
      <c r="L39" s="4" t="s">
        <v>1934</v>
      </c>
      <c r="M39" s="93">
        <v>45806</v>
      </c>
      <c r="N39" s="4"/>
      <c r="O39" s="4"/>
      <c r="P39" s="4"/>
      <c r="Q39" s="4"/>
      <c r="R39" s="4"/>
      <c r="S39" s="4"/>
      <c r="T39" s="4"/>
      <c r="U39" s="4"/>
      <c r="V39" s="4"/>
    </row>
    <row r="40" spans="1:22" x14ac:dyDescent="0.3">
      <c r="A40" s="4">
        <f>'ECN Master Project Tracker new'!A41</f>
        <v>2401121</v>
      </c>
      <c r="B40" s="108" t="str">
        <f>VLOOKUP(A:A,Table1[[#All],[Project No]:[Additional Remark]],2,FALSE)</f>
        <v>Chen Ah Hin</v>
      </c>
      <c r="C40" s="4" t="str">
        <f>VLOOKUP(A:A,Table1[[Project No]:[Additional Remark]],19,FALSE)</f>
        <v>480824-10-5119</v>
      </c>
      <c r="D40" s="4" t="str">
        <f>VLOOKUP(A:A,Table1[[Project No]:[Additional Remark]],20,FALSE)</f>
        <v>Lot 1325-79B, Jalan Jinjang Damai 7, JinJang Utara, 52000 Kuala Lumpur</v>
      </c>
      <c r="E40" s="4" t="str">
        <f>VLOOKUP(A:A,Table1[[Project No]:[Additional Remark]],21,FALSE)</f>
        <v>019-3281707</v>
      </c>
      <c r="F40" s="4" t="str">
        <f>VLOOKUP(A:A,Table1[[Project No]:[Additional Remark]],22,FALSE)</f>
        <v>chen2.luma@gmail.com</v>
      </c>
      <c r="G40" s="55">
        <f>VLOOKUP(A:A,Table1[[Project No]:[Additional Remark]],11,FALSE)</f>
        <v>40000</v>
      </c>
      <c r="H40" s="4" t="str">
        <f>VLOOKUP(A:A,Table1[[Project No]:[Additional Remark]],5,FALSE)</f>
        <v>R-PV</v>
      </c>
      <c r="I40" s="4">
        <f>VLOOKUP(A:A,Table1[[Project No]:[Additional Remark]],8,FALSE)</f>
        <v>11.7</v>
      </c>
      <c r="J40" s="4" t="str">
        <f>VLOOKUP(A:A,Table1[[Project No]:[Additional Remark]],23,FALSE)</f>
        <v>3 years</v>
      </c>
      <c r="K40" s="4" t="s">
        <v>1902</v>
      </c>
      <c r="L40" s="4" t="s">
        <v>1935</v>
      </c>
      <c r="M40" s="93">
        <v>45568</v>
      </c>
      <c r="N40" s="4"/>
      <c r="O40" s="4"/>
      <c r="P40" s="93"/>
      <c r="Q40" s="4"/>
      <c r="R40" s="4"/>
      <c r="S40" s="93"/>
      <c r="T40" s="4"/>
      <c r="U40" s="4"/>
      <c r="V40" s="93"/>
    </row>
    <row r="41" spans="1:22" x14ac:dyDescent="0.3">
      <c r="A41" s="4">
        <f>'ECN Master Project Tracker new'!A42</f>
        <v>2401124</v>
      </c>
      <c r="B41" s="108" t="str">
        <f>VLOOKUP(A:A,Table1[[#All],[Project No]:[Additional Remark]],2,FALSE)</f>
        <v>Lim Kok Teong</v>
      </c>
      <c r="C41" s="4" t="str">
        <f>VLOOKUP(A:A,Table1[[Project No]:[Additional Remark]],19,FALSE)</f>
        <v>790418-07-5747</v>
      </c>
      <c r="D41" s="4" t="str">
        <f>VLOOKUP(A:A,Table1[[Project No]:[Additional Remark]],20,FALSE)</f>
        <v>3 Jalan Kenyalang 11/4E, PJU 5, Kota Damansara, 47810 Petaling Jaya, Selangor Darul Ehsan</v>
      </c>
      <c r="E41" s="4" t="str">
        <f>VLOOKUP(A:A,Table1[[Project No]:[Additional Remark]],21,FALSE)</f>
        <v>019-4134865</v>
      </c>
      <c r="F41" s="4" t="str">
        <f>VLOOKUP(A:A,Table1[[Project No]:[Additional Remark]],22,FALSE)</f>
        <v>cmjasonlim311@gmail.com</v>
      </c>
      <c r="G41" s="55">
        <f>VLOOKUP(A:A,Table1[[Project No]:[Additional Remark]],11,FALSE)</f>
        <v>53708</v>
      </c>
      <c r="H41" s="4" t="str">
        <f>VLOOKUP(A:A,Table1[[Project No]:[Additional Remark]],5,FALSE)</f>
        <v>R-PV</v>
      </c>
      <c r="I41" s="4">
        <f>VLOOKUP(A:A,Table1[[Project No]:[Additional Remark]],8,FALSE)</f>
        <v>17.55</v>
      </c>
      <c r="J41" s="4" t="str">
        <f>VLOOKUP(A:A,Table1[[Project No]:[Additional Remark]],23,FALSE)</f>
        <v>3 years</v>
      </c>
      <c r="K41" s="4" t="s">
        <v>1902</v>
      </c>
      <c r="L41" s="4" t="s">
        <v>1936</v>
      </c>
      <c r="M41" s="93">
        <v>45568</v>
      </c>
      <c r="N41" s="4"/>
      <c r="O41" s="4"/>
      <c r="P41" s="93"/>
      <c r="Q41" s="4"/>
      <c r="R41" s="4"/>
      <c r="S41" s="93"/>
      <c r="T41" s="4"/>
      <c r="U41" s="4"/>
      <c r="V41" s="93"/>
    </row>
    <row r="42" spans="1:22" x14ac:dyDescent="0.3">
      <c r="A42" s="4">
        <f>'ECN Master Project Tracker new'!A43</f>
        <v>2401131</v>
      </c>
      <c r="B42" s="108" t="str">
        <f>VLOOKUP(A:A,Table1[[#All],[Project No]:[Additional Remark]],2,FALSE)</f>
        <v>Chan Po Kok (JC Chan KEB)</v>
      </c>
      <c r="C42" s="4" t="str">
        <f>VLOOKUP(A:A,Table1[[Project No]:[Additional Remark]],19,FALSE)</f>
        <v>830506-14-6019</v>
      </c>
      <c r="D42" s="4" t="str">
        <f>VLOOKUP(A:A,Table1[[Project No]:[Additional Remark]],20,FALSE)</f>
        <v>16, Jalan Sunville 4, Taman Sunville, 43000 Kajang, Selangor Darul Ehsan</v>
      </c>
      <c r="E42" s="4" t="str">
        <f>VLOOKUP(A:A,Table1[[Project No]:[Additional Remark]],21,FALSE)</f>
        <v>017-8786050</v>
      </c>
      <c r="F42" s="4" t="str">
        <f>VLOOKUP(A:A,Table1[[Project No]:[Additional Remark]],22,FALSE)</f>
        <v>cpokok0506@hotmail.com</v>
      </c>
      <c r="G42" s="55">
        <f>VLOOKUP(A:A,Table1[[Project No]:[Additional Remark]],11,FALSE)</f>
        <v>29500</v>
      </c>
      <c r="H42" s="4" t="str">
        <f>VLOOKUP(A:A,Table1[[Project No]:[Additional Remark]],5,FALSE)</f>
        <v>R-PV</v>
      </c>
      <c r="I42" s="4">
        <f>VLOOKUP(A:A,Table1[[Project No]:[Additional Remark]],8,FALSE)</f>
        <v>8.19</v>
      </c>
      <c r="J42" s="4" t="str">
        <f>VLOOKUP(A:A,Table1[[Project No]:[Additional Remark]],23,FALSE)</f>
        <v>3 years</v>
      </c>
      <c r="K42" s="4" t="s">
        <v>1902</v>
      </c>
      <c r="L42" s="4" t="s">
        <v>1937</v>
      </c>
      <c r="M42" s="93">
        <v>45568</v>
      </c>
      <c r="N42" s="4"/>
      <c r="O42" s="4"/>
      <c r="P42" s="93"/>
      <c r="Q42" s="4"/>
      <c r="R42" s="4"/>
      <c r="S42" s="93"/>
      <c r="T42" s="4"/>
      <c r="U42" s="4"/>
      <c r="V42" s="93"/>
    </row>
    <row r="43" spans="1:22" x14ac:dyDescent="0.3">
      <c r="A43" s="4">
        <f>'ECN Master Project Tracker new'!A44</f>
        <v>2401137</v>
      </c>
      <c r="B43" s="108" t="str">
        <f>VLOOKUP(A:A,Table1[[#All],[Project No]:[Additional Remark]],2,FALSE)</f>
        <v>Lim Kok Liang</v>
      </c>
      <c r="C43" s="4" t="str">
        <f>VLOOKUP(A:A,Table1[[Project No]:[Additional Remark]],19,FALSE)</f>
        <v>830112-02-5169</v>
      </c>
      <c r="D43" s="4" t="str">
        <f>VLOOKUP(A:A,Table1[[Project No]:[Additional Remark]],20,FALSE)</f>
        <v>1, Jalan Metafasa, U16/160. Elmina West, Seksyen U16, 40160, Shah Alam , Selangor Darul Ehsan</v>
      </c>
      <c r="E43" s="4" t="str">
        <f>VLOOKUP(A:A,Table1[[Project No]:[Additional Remark]],21,FALSE)</f>
        <v>016-2173777</v>
      </c>
      <c r="F43" s="4" t="str">
        <f>VLOOKUP(A:A,Table1[[Project No]:[Additional Remark]],22,FALSE)</f>
        <v>steelmerchantssb@gmail.com</v>
      </c>
      <c r="G43" s="55">
        <f>VLOOKUP(A:A,Table1[[Project No]:[Additional Remark]],11,FALSE)</f>
        <v>40900</v>
      </c>
      <c r="H43" s="4" t="str">
        <f>VLOOKUP(A:A,Table1[[Project No]:[Additional Remark]],5,FALSE)</f>
        <v>R-PV</v>
      </c>
      <c r="I43" s="4">
        <f>VLOOKUP(A:A,Table1[[Project No]:[Additional Remark]],8,FALSE)</f>
        <v>11.7</v>
      </c>
      <c r="J43" s="4" t="str">
        <f>VLOOKUP(A:A,Table1[[Project No]:[Additional Remark]],23,FALSE)</f>
        <v>3 years</v>
      </c>
      <c r="K43" s="4" t="s">
        <v>1902</v>
      </c>
      <c r="L43" s="4" t="s">
        <v>1938</v>
      </c>
      <c r="M43" s="93">
        <v>45568</v>
      </c>
      <c r="N43" s="4"/>
      <c r="O43" s="4"/>
      <c r="P43" s="93"/>
      <c r="Q43" s="4"/>
      <c r="R43" s="4"/>
      <c r="S43" s="93"/>
      <c r="T43" s="4"/>
      <c r="U43" s="4"/>
      <c r="V43" s="93"/>
    </row>
    <row r="44" spans="1:22" x14ac:dyDescent="0.3">
      <c r="A44" s="4">
        <f>'ECN Master Project Tracker new'!A45</f>
        <v>2401147</v>
      </c>
      <c r="B44" s="108" t="str">
        <f>VLOOKUP(A:A,Table1[[#All],[Project No]:[Additional Remark]],2,FALSE)</f>
        <v>Susan Sung Fong Thieng</v>
      </c>
      <c r="C44" s="4" t="str">
        <f>VLOOKUP(A:A,Table1[[Project No]:[Additional Remark]],19,FALSE)</f>
        <v>691205-12-5030</v>
      </c>
      <c r="D44" s="4" t="str">
        <f>VLOOKUP(A:A,Table1[[Project No]:[Additional Remark]],20,FALSE)</f>
        <v>37, Southlake Terraces, Jalan Denai Selatan 5, Desa Parkcity. 52200 Kuala Lumpur</v>
      </c>
      <c r="E44" s="4" t="str">
        <f>VLOOKUP(A:A,Table1[[Project No]:[Additional Remark]],21,FALSE)</f>
        <v>012-2393003</v>
      </c>
      <c r="F44" s="4" t="str">
        <f>VLOOKUP(A:A,Table1[[Project No]:[Additional Remark]],22,FALSE)</f>
        <v>susansung37@gmail.com</v>
      </c>
      <c r="G44" s="55">
        <f>VLOOKUP(A:A,Table1[[Project No]:[Additional Remark]],11,FALSE)</f>
        <v>40440</v>
      </c>
      <c r="H44" s="4" t="str">
        <f>VLOOKUP(A:A,Table1[[Project No]:[Additional Remark]],5,FALSE)</f>
        <v>R-PV</v>
      </c>
      <c r="I44" s="4">
        <f>VLOOKUP(A:A,Table1[[Project No]:[Additional Remark]],8,FALSE)</f>
        <v>11.7</v>
      </c>
      <c r="J44" s="4" t="str">
        <f>VLOOKUP(A:A,Table1[[Project No]:[Additional Remark]],23,FALSE)</f>
        <v>3 years</v>
      </c>
      <c r="K44" s="4" t="s">
        <v>1902</v>
      </c>
      <c r="L44" s="4" t="s">
        <v>1939</v>
      </c>
      <c r="M44" s="93">
        <v>45568</v>
      </c>
      <c r="N44" s="4"/>
      <c r="O44" s="4"/>
      <c r="P44" s="93"/>
      <c r="Q44" s="4"/>
      <c r="R44" s="4"/>
      <c r="S44" s="93"/>
      <c r="T44" s="4"/>
      <c r="U44" s="4"/>
      <c r="V44" s="93"/>
    </row>
    <row r="45" spans="1:22" x14ac:dyDescent="0.3">
      <c r="A45" s="4">
        <f>'ECN Master Project Tracker new'!A46</f>
        <v>2403165</v>
      </c>
      <c r="B45" s="108" t="str">
        <f>VLOOKUP(A:A,Table1[[#All],[Project No]:[Additional Remark]],2,FALSE)</f>
        <v>Lee Boon Huet</v>
      </c>
      <c r="C45" s="4" t="str">
        <f>VLOOKUP(A:A,Table1[[Project No]:[Additional Remark]],19,FALSE)</f>
        <v>720825-05-5109</v>
      </c>
      <c r="D45" s="4" t="str">
        <f>VLOOKUP(A:A,Table1[[Project No]:[Additional Remark]],20,FALSE)</f>
        <v>31, Jln Cassia 4, Bdr Botanic, 41200 Klang, Selangor Darul Ehsan</v>
      </c>
      <c r="E45" s="4" t="str">
        <f>VLOOKUP(A:A,Table1[[Project No]:[Additional Remark]],21,FALSE)</f>
        <v>012-2045618</v>
      </c>
      <c r="F45" s="4" t="str">
        <f>VLOOKUP(A:A,Table1[[Project No]:[Additional Remark]],22,FALSE)</f>
        <v>blee@fp-group.com</v>
      </c>
      <c r="G45" s="55">
        <f>VLOOKUP(A:A,Table1[[Project No]:[Additional Remark]],11,FALSE)</f>
        <v>24600</v>
      </c>
      <c r="H45" s="4" t="str">
        <f>VLOOKUP(A:A,Table1[[Project No]:[Additional Remark]],5,FALSE)</f>
        <v>R-PV</v>
      </c>
      <c r="I45" s="4">
        <f>VLOOKUP(A:A,Table1[[Project No]:[Additional Remark]],8,FALSE)</f>
        <v>7.02</v>
      </c>
      <c r="J45" s="4" t="str">
        <f>VLOOKUP(A:A,Table1[[Project No]:[Additional Remark]],23,FALSE)</f>
        <v>3 years</v>
      </c>
      <c r="K45" s="4" t="s">
        <v>1902</v>
      </c>
      <c r="L45" s="4" t="s">
        <v>1940</v>
      </c>
      <c r="M45" s="93">
        <v>45568</v>
      </c>
      <c r="N45" s="4"/>
      <c r="O45" s="4"/>
      <c r="P45" s="93"/>
      <c r="Q45" s="4"/>
      <c r="R45" s="4"/>
      <c r="S45" s="93"/>
      <c r="T45" s="4"/>
      <c r="U45" s="4"/>
      <c r="V45" s="93"/>
    </row>
    <row r="46" spans="1:22" x14ac:dyDescent="0.3">
      <c r="A46" s="4">
        <f>'ECN Master Project Tracker new'!A47</f>
        <v>2403167</v>
      </c>
      <c r="B46" s="108" t="str">
        <f>VLOOKUP(A:A,Table1[[#All],[Project No]:[Additional Remark]],2,FALSE)</f>
        <v>Ng Yunn Chong</v>
      </c>
      <c r="C46" s="4" t="str">
        <f>VLOOKUP(A:A,Table1[[Project No]:[Additional Remark]],19,FALSE)</f>
        <v>620205-08-6037</v>
      </c>
      <c r="D46" s="4" t="str">
        <f>VLOOKUP(A:A,Table1[[Project No]:[Additional Remark]],20,FALSE)</f>
        <v>97, Jalan Selasar Rokam 11, Kampung Sri Ampang, 31350 Ipoh, Perak Darul Ridzuan</v>
      </c>
      <c r="E46" s="4" t="str">
        <f>VLOOKUP(A:A,Table1[[Project No]:[Additional Remark]],21,FALSE)</f>
        <v>012-5127295</v>
      </c>
      <c r="F46" s="4" t="str">
        <f>VLOOKUP(A:A,Table1[[Project No]:[Additional Remark]],22,FALSE)</f>
        <v>ngyunnchong123@gmail.com</v>
      </c>
      <c r="G46" s="55">
        <f>VLOOKUP(A:A,Table1[[Project No]:[Additional Remark]],11,FALSE)</f>
        <v>47500</v>
      </c>
      <c r="H46" s="4" t="str">
        <f>VLOOKUP(A:A,Table1[[Project No]:[Additional Remark]],5,FALSE)</f>
        <v>R-PV</v>
      </c>
      <c r="I46" s="4">
        <f>VLOOKUP(A:A,Table1[[Project No]:[Additional Remark]],8,FALSE)</f>
        <v>17.55</v>
      </c>
      <c r="J46" s="4" t="str">
        <f>VLOOKUP(A:A,Table1[[Project No]:[Additional Remark]],23,FALSE)</f>
        <v>3 years</v>
      </c>
      <c r="K46" s="4" t="s">
        <v>1902</v>
      </c>
      <c r="L46" s="4" t="s">
        <v>1941</v>
      </c>
      <c r="M46" s="93">
        <v>45568</v>
      </c>
      <c r="N46" s="4"/>
      <c r="O46" s="4"/>
      <c r="P46" s="93"/>
      <c r="Q46" s="4"/>
      <c r="R46" s="4"/>
      <c r="S46" s="93"/>
      <c r="T46" s="4"/>
      <c r="U46" s="4"/>
      <c r="V46" s="93"/>
    </row>
    <row r="47" spans="1:22" x14ac:dyDescent="0.3">
      <c r="A47" s="4">
        <f>'ECN Master Project Tracker new'!A48</f>
        <v>2403170</v>
      </c>
      <c r="B47" s="108" t="str">
        <f>VLOOKUP(A:A,Table1[[#All],[Project No]:[Additional Remark]],2,FALSE)</f>
        <v>Wong Hoon Sang</v>
      </c>
      <c r="C47" s="4" t="str">
        <f>VLOOKUP(A:A,Table1[[Project No]:[Additional Remark]],19,FALSE)</f>
        <v>630220-10-7149</v>
      </c>
      <c r="D47" s="4" t="str">
        <f>VLOOKUP(A:A,Table1[[Project No]:[Additional Remark]],20,FALSE)</f>
        <v>75, Jalan Uranus U5/122B, Seksyen U5, 40150 Shah Alam. Selangor Darul Ehsan</v>
      </c>
      <c r="E47" s="4" t="str">
        <f>VLOOKUP(A:A,Table1[[Project No]:[Additional Remark]],21,FALSE)</f>
        <v>014-9159789</v>
      </c>
      <c r="F47" s="4" t="str">
        <f>VLOOKUP(A:A,Table1[[Project No]:[Additional Remark]],22,FALSE)</f>
        <v>wonghoonsang@gmail.com</v>
      </c>
      <c r="G47" s="55">
        <f>VLOOKUP(A:A,Table1[[Project No]:[Additional Remark]],11,FALSE)</f>
        <v>35600</v>
      </c>
      <c r="H47" s="4" t="str">
        <f>VLOOKUP(A:A,Table1[[Project No]:[Additional Remark]],5,FALSE)</f>
        <v>R-PV</v>
      </c>
      <c r="I47" s="4">
        <f>VLOOKUP(A:A,Table1[[Project No]:[Additional Remark]],8,FALSE)</f>
        <v>10.53</v>
      </c>
      <c r="J47" s="4" t="str">
        <f>VLOOKUP(A:A,Table1[[Project No]:[Additional Remark]],23,FALSE)</f>
        <v>3 years</v>
      </c>
      <c r="K47" s="4" t="s">
        <v>1902</v>
      </c>
      <c r="L47" s="4" t="s">
        <v>1942</v>
      </c>
      <c r="M47" s="93">
        <v>45568</v>
      </c>
      <c r="N47" s="4"/>
      <c r="O47" s="4"/>
      <c r="P47" s="93"/>
      <c r="Q47" s="4"/>
      <c r="R47" s="4"/>
      <c r="S47" s="93"/>
      <c r="T47" s="4"/>
      <c r="U47" s="4"/>
      <c r="V47" s="93"/>
    </row>
    <row r="48" spans="1:22" x14ac:dyDescent="0.3">
      <c r="A48" s="4">
        <f>'ECN Master Project Tracker new'!A49</f>
        <v>2403177</v>
      </c>
      <c r="B48" s="108" t="str">
        <f>VLOOKUP(A:A,Table1[[#All],[Project No]:[Additional Remark]],2,FALSE)</f>
        <v>Nor Aini binti Mohd Ashari</v>
      </c>
      <c r="C48" s="4" t="str">
        <f>VLOOKUP(A:A,Table1[[Project No]:[Additional Remark]],19,FALSE)</f>
        <v>731105-08-6402</v>
      </c>
      <c r="D48" s="4" t="str">
        <f>VLOOKUP(A:A,Table1[[Project No]:[Additional Remark]],20,FALSE)</f>
        <v>No 61, Jln Sigma U6/16A, Sek U6 (Taman Subang Permata), 40150 Subang, Selangor Darul Ehsan</v>
      </c>
      <c r="E48" s="4" t="str">
        <f>VLOOKUP(A:A,Table1[[Project No]:[Additional Remark]],21,FALSE)</f>
        <v>011-28584486</v>
      </c>
      <c r="F48" s="4" t="str">
        <f>VLOOKUP(A:A,Table1[[Project No]:[Additional Remark]],22,FALSE)</f>
        <v>norazam4446@yahoo.com.sg</v>
      </c>
      <c r="G48" s="55">
        <f>VLOOKUP(A:A,Table1[[Project No]:[Additional Remark]],11,FALSE)</f>
        <v>20000</v>
      </c>
      <c r="H48" s="4" t="str">
        <f>VLOOKUP(A:A,Table1[[Project No]:[Additional Remark]],5,FALSE)</f>
        <v>R-PV</v>
      </c>
      <c r="I48" s="4">
        <f>VLOOKUP(A:A,Table1[[Project No]:[Additional Remark]],8,FALSE)</f>
        <v>4.68</v>
      </c>
      <c r="J48" s="4" t="str">
        <f>VLOOKUP(A:A,Table1[[Project No]:[Additional Remark]],23,FALSE)</f>
        <v>3 years</v>
      </c>
      <c r="K48" s="4" t="s">
        <v>1902</v>
      </c>
      <c r="L48" s="4" t="s">
        <v>1943</v>
      </c>
      <c r="M48" s="93">
        <v>45568</v>
      </c>
      <c r="N48" s="4"/>
      <c r="O48" s="4"/>
      <c r="P48" s="93"/>
      <c r="Q48" s="4"/>
      <c r="R48" s="4"/>
      <c r="S48" s="93"/>
      <c r="T48" s="4"/>
      <c r="U48" s="4"/>
      <c r="V48" s="93"/>
    </row>
    <row r="49" spans="1:22" x14ac:dyDescent="0.3">
      <c r="A49" s="4">
        <f>'ECN Master Project Tracker new'!A50</f>
        <v>2403189</v>
      </c>
      <c r="B49" s="108" t="str">
        <f>VLOOKUP(A:A,Table1[[#All],[Project No]:[Additional Remark]],2,FALSE)</f>
        <v>Lai Kim Soon (Stella)</v>
      </c>
      <c r="C49" s="4" t="str">
        <f>VLOOKUP(A:A,Table1[[Project No]:[Additional Remark]],19,FALSE)</f>
        <v>910301-06-5675</v>
      </c>
      <c r="D49" s="4" t="str">
        <f>VLOOKUP(A:A,Table1[[Project No]:[Additional Remark]],20,FALSE)</f>
        <v>No 36, Lrg Seri Teruntum 13, Tmn Sri Teru, Tanah Putih, 25200 Kuantan. Pahang Darul Makmur</v>
      </c>
      <c r="E49" s="4" t="str">
        <f>VLOOKUP(A:A,Table1[[Project No]:[Additional Remark]],21,FALSE)</f>
        <v>011-55090155</v>
      </c>
      <c r="F49" s="4" t="str">
        <f>VLOOKUP(A:A,Table1[[Project No]:[Additional Remark]],22,FALSE)</f>
        <v>miiao_maomao520@hotmail.com</v>
      </c>
      <c r="G49" s="55">
        <f>VLOOKUP(A:A,Table1[[Project No]:[Additional Remark]],11,FALSE)</f>
        <v>27500</v>
      </c>
      <c r="H49" s="4" t="str">
        <f>VLOOKUP(A:A,Table1[[Project No]:[Additional Remark]],5,FALSE)</f>
        <v>R-PV</v>
      </c>
      <c r="I49" s="4">
        <f>VLOOKUP(A:A,Table1[[Project No]:[Additional Remark]],8,FALSE)</f>
        <v>7.02</v>
      </c>
      <c r="J49" s="4" t="str">
        <f>VLOOKUP(A:A,Table1[[Project No]:[Additional Remark]],23,FALSE)</f>
        <v>3 years</v>
      </c>
      <c r="K49" s="4" t="s">
        <v>1902</v>
      </c>
      <c r="L49" s="4" t="s">
        <v>1944</v>
      </c>
      <c r="M49" s="93">
        <v>45568</v>
      </c>
      <c r="N49" s="4"/>
      <c r="O49" s="4"/>
      <c r="P49" s="93"/>
      <c r="Q49" s="4"/>
      <c r="R49" s="4"/>
      <c r="S49" s="93"/>
      <c r="T49" s="4"/>
      <c r="U49" s="4"/>
      <c r="V49" s="93"/>
    </row>
    <row r="50" spans="1:22" x14ac:dyDescent="0.3">
      <c r="A50" s="4">
        <f>'ECN Master Project Tracker new'!A51</f>
        <v>2403190</v>
      </c>
      <c r="B50" s="108" t="str">
        <f>VLOOKUP(A:A,Table1[[#All],[Project No]:[Additional Remark]],2,FALSE)</f>
        <v>Tan Poh Poh</v>
      </c>
      <c r="C50" s="4" t="str">
        <f>VLOOKUP(A:A,Table1[[Project No]:[Additional Remark]],19,FALSE)</f>
        <v>710625-08-5224</v>
      </c>
      <c r="D50" s="4" t="str">
        <f>VLOOKUP(A:A,Table1[[Project No]:[Additional Remark]],20,FALSE)</f>
        <v>6, Lrg Seri Setali, 115 Off Jln Air Putih, Air Putih, 25300 Kuantan, Pahang Darul Makmur</v>
      </c>
      <c r="E50" s="4" t="str">
        <f>VLOOKUP(A:A,Table1[[Project No]:[Additional Remark]],21,FALSE)</f>
        <v>012-9831939</v>
      </c>
      <c r="F50" s="4" t="str">
        <f>VLOOKUP(A:A,Table1[[Project No]:[Additional Remark]],22,FALSE)</f>
        <v xml:space="preserve">may014215@gmail.com </v>
      </c>
      <c r="G50" s="55">
        <f>VLOOKUP(A:A,Table1[[Project No]:[Additional Remark]],11,FALSE)</f>
        <v>21000</v>
      </c>
      <c r="H50" s="4" t="str">
        <f>VLOOKUP(A:A,Table1[[Project No]:[Additional Remark]],5,FALSE)</f>
        <v>R-PV</v>
      </c>
      <c r="I50" s="4">
        <f>VLOOKUP(A:A,Table1[[Project No]:[Additional Remark]],8,FALSE)</f>
        <v>7.02</v>
      </c>
      <c r="J50" s="4" t="str">
        <f>VLOOKUP(A:A,Table1[[Project No]:[Additional Remark]],23,FALSE)</f>
        <v>3 years</v>
      </c>
      <c r="K50" s="4" t="s">
        <v>1902</v>
      </c>
      <c r="L50" s="4" t="s">
        <v>1945</v>
      </c>
      <c r="M50" s="93">
        <v>45568</v>
      </c>
      <c r="N50" s="4"/>
      <c r="O50" s="4"/>
      <c r="P50" s="93"/>
      <c r="Q50" s="4"/>
      <c r="R50" s="4"/>
      <c r="S50" s="93"/>
      <c r="T50" s="4"/>
      <c r="U50" s="4"/>
      <c r="V50" s="93"/>
    </row>
    <row r="51" spans="1:22" x14ac:dyDescent="0.3">
      <c r="A51" s="122">
        <f>'ECN Master Project Tracker new'!A52</f>
        <v>2403197</v>
      </c>
      <c r="B51" s="136" t="str">
        <f>VLOOKUP(A:A,Table1[[#All],[Project No]:[Additional Remark]],2,FALSE)</f>
        <v>Leau Koo Sien (Eric)</v>
      </c>
      <c r="C51" s="122" t="str">
        <f>VLOOKUP(A:A,Table1[[Project No]:[Additional Remark]],19,FALSE)</f>
        <v>740722-06-5097</v>
      </c>
      <c r="D51" s="122" t="str">
        <f>VLOOKUP(A:A,Table1[[Project No]:[Additional Remark]],20,FALSE)</f>
        <v>No 12A, Lorong Pelindung 95, Perumahan Pelindung, 25050 Kuantan, Pahang Darul makmur</v>
      </c>
      <c r="E51" s="122" t="str">
        <f>VLOOKUP(A:A,Table1[[Project No]:[Additional Remark]],21,FALSE)</f>
        <v>019-9270778</v>
      </c>
      <c r="F51" s="122" t="str">
        <f>VLOOKUP(A:A,Table1[[Project No]:[Additional Remark]],22,FALSE)</f>
        <v>Leaueric@gmail.com</v>
      </c>
      <c r="G51" s="137">
        <f>VLOOKUP(A:A,Table1[[Project No]:[Additional Remark]],11,FALSE)</f>
        <v>48600</v>
      </c>
      <c r="H51" s="122" t="str">
        <f>VLOOKUP(A:A,Table1[[Project No]:[Additional Remark]],5,FALSE)</f>
        <v>R-PV</v>
      </c>
      <c r="I51" s="122">
        <f>VLOOKUP(A:A,Table1[[Project No]:[Additional Remark]],8,FALSE)</f>
        <v>16.38</v>
      </c>
      <c r="J51" s="122" t="str">
        <f>VLOOKUP(A:A,Table1[[Project No]:[Additional Remark]],23,FALSE)</f>
        <v>3 years</v>
      </c>
      <c r="K51" s="163" t="s">
        <v>1925</v>
      </c>
      <c r="L51" s="164"/>
      <c r="M51" s="164"/>
      <c r="N51" s="164"/>
      <c r="O51" s="164"/>
      <c r="P51" s="164"/>
      <c r="Q51" s="164"/>
      <c r="R51" s="164"/>
      <c r="S51" s="164"/>
      <c r="T51" s="164"/>
      <c r="U51" s="164"/>
      <c r="V51" s="165"/>
    </row>
    <row r="52" spans="1:22" x14ac:dyDescent="0.3">
      <c r="A52" s="4" t="str">
        <f>'ECN Master Project Tracker new'!A53</f>
        <v>2403197-1</v>
      </c>
      <c r="B52" s="108" t="str">
        <f>VLOOKUP(A:A,Table1[[#All],[Project No]:[Additional Remark]],2,FALSE)</f>
        <v>Koon Kok Leong</v>
      </c>
      <c r="C52" s="4" t="str">
        <f>VLOOKUP(A:A,Table1[[Project No]:[Additional Remark]],19,FALSE)</f>
        <v>741008-01-5759</v>
      </c>
      <c r="D52" s="4" t="str">
        <f>VLOOKUP(A:A,Table1[[Project No]:[Additional Remark]],20,FALSE)</f>
        <v>No 80, Lrg Delima 5/KS6, Bdr Parklands, Pandamar, 42000 Klang, Selangor Darul Ehsan</v>
      </c>
      <c r="E52" s="4" t="str">
        <f>VLOOKUP(A:A,Table1[[Project No]:[Additional Remark]],21,FALSE)</f>
        <v>012-3988909</v>
      </c>
      <c r="F52" s="4" t="str">
        <f>VLOOKUP(A:A,Table1[[Project No]:[Additional Remark]],22,FALSE)</f>
        <v>klkoon8882@gmail.com</v>
      </c>
      <c r="G52" s="55">
        <f>VLOOKUP(A:A,Table1[[Project No]:[Additional Remark]],11,FALSE)</f>
        <v>27237.200000000001</v>
      </c>
      <c r="H52" s="4" t="str">
        <f>VLOOKUP(A:A,Table1[[Project No]:[Additional Remark]],5,FALSE)</f>
        <v>R-PV</v>
      </c>
      <c r="I52" s="4">
        <f>VLOOKUP(A:A,Table1[[Project No]:[Additional Remark]],8,FALSE)</f>
        <v>7.02</v>
      </c>
      <c r="J52" s="4" t="str">
        <f>VLOOKUP(A:A,Table1[[Project No]:[Additional Remark]],23,FALSE)</f>
        <v>3 years</v>
      </c>
      <c r="K52" s="4" t="s">
        <v>1902</v>
      </c>
      <c r="L52" s="4" t="s">
        <v>1946</v>
      </c>
      <c r="M52" s="93">
        <v>45568</v>
      </c>
      <c r="N52" s="4"/>
      <c r="O52" s="4"/>
      <c r="P52" s="93"/>
      <c r="Q52" s="4"/>
      <c r="R52" s="4"/>
      <c r="S52" s="93"/>
      <c r="T52" s="4"/>
      <c r="U52" s="4"/>
      <c r="V52" s="93"/>
    </row>
    <row r="53" spans="1:22" x14ac:dyDescent="0.3">
      <c r="A53" s="4">
        <f>'ECN Master Project Tracker new'!A54</f>
        <v>2404206</v>
      </c>
      <c r="B53" s="108" t="str">
        <f>VLOOKUP(A:A,Table1[[#All],[Project No]:[Additional Remark]],2,FALSE)</f>
        <v>Wong Wai Kwong</v>
      </c>
      <c r="C53" s="4" t="str">
        <f>VLOOKUP(A:A,Table1[[Project No]:[Additional Remark]],19,FALSE)</f>
        <v>790114-06-5467</v>
      </c>
      <c r="D53" s="4" t="str">
        <f>VLOOKUP(A:A,Table1[[Project No]:[Additional Remark]],20,FALSE)</f>
        <v>No 55, Lrg Im 1/41, Tmn Putra Aman, 25200 Bandar Indera Mahkota, Pahang Darul Makmur</v>
      </c>
      <c r="E53" s="4" t="str">
        <f>VLOOKUP(A:A,Table1[[Project No]:[Additional Remark]],21,FALSE)</f>
        <v>016-9233066</v>
      </c>
      <c r="F53" s="4" t="str">
        <f>VLOOKUP(A:A,Table1[[Project No]:[Additional Remark]],22,FALSE)</f>
        <v>ww_kwong@yahoo.com.sg</v>
      </c>
      <c r="G53" s="55">
        <f>VLOOKUP(A:A,Table1[[Project No]:[Additional Remark]],11,FALSE)</f>
        <v>31000</v>
      </c>
      <c r="H53" s="4" t="str">
        <f>VLOOKUP(A:A,Table1[[Project No]:[Additional Remark]],5,FALSE)</f>
        <v>R-PV</v>
      </c>
      <c r="I53" s="4">
        <f>VLOOKUP(A:A,Table1[[Project No]:[Additional Remark]],8,FALSE)</f>
        <v>8.19</v>
      </c>
      <c r="J53" s="4" t="str">
        <f>VLOOKUP(A:A,Table1[[Project No]:[Additional Remark]],23,FALSE)</f>
        <v>3 years</v>
      </c>
      <c r="K53" s="4" t="s">
        <v>1902</v>
      </c>
      <c r="L53" s="4" t="s">
        <v>1947</v>
      </c>
      <c r="M53" s="93">
        <v>45568</v>
      </c>
      <c r="N53" s="4"/>
      <c r="O53" s="4"/>
      <c r="P53" s="93"/>
      <c r="Q53" s="4"/>
      <c r="R53" s="4"/>
      <c r="S53" s="93"/>
      <c r="T53" s="4"/>
      <c r="U53" s="4"/>
      <c r="V53" s="93"/>
    </row>
    <row r="54" spans="1:22" x14ac:dyDescent="0.3">
      <c r="A54" s="4">
        <f>'ECN Master Project Tracker new'!A55</f>
        <v>2404226</v>
      </c>
      <c r="B54" s="108" t="str">
        <f>VLOOKUP(A:A,Table1[[#All],[Project No]:[Additional Remark]],2,FALSE)</f>
        <v>Jimmy Kok Aik Lim</v>
      </c>
      <c r="C54" s="4" t="str">
        <f>VLOOKUP(A:A,Table1[[Project No]:[Additional Remark]],19,FALSE)</f>
        <v>621013-11-5109</v>
      </c>
      <c r="D54" s="4" t="str">
        <f>VLOOKUP(A:A,Table1[[Project No]:[Additional Remark]],20,FALSE)</f>
        <v>3 Jalan Telawi 7, Bangsar Baru, Bangsar,59100 Kuala Lumpur, WP Kuala Lumpur</v>
      </c>
      <c r="E54" s="4" t="str">
        <f>VLOOKUP(A:A,Table1[[Project No]:[Additional Remark]],21,FALSE)</f>
        <v>012-3709905</v>
      </c>
      <c r="F54" s="4" t="str">
        <f>VLOOKUP(A:A,Table1[[Project No]:[Additional Remark]],22,FALSE)</f>
        <v>lytan63@hotmail.com</v>
      </c>
      <c r="G54" s="55">
        <f>VLOOKUP(A:A,Table1[[Project No]:[Additional Remark]],11,FALSE)</f>
        <v>25100</v>
      </c>
      <c r="H54" s="4" t="str">
        <f>VLOOKUP(A:A,Table1[[Project No]:[Additional Remark]],5,FALSE)</f>
        <v>R-PV</v>
      </c>
      <c r="I54" s="4">
        <f>VLOOKUP(A:A,Table1[[Project No]:[Additional Remark]],8,FALSE)</f>
        <v>7.02</v>
      </c>
      <c r="J54" s="4" t="str">
        <f>VLOOKUP(A:A,Table1[[Project No]:[Additional Remark]],23,FALSE)</f>
        <v>3 years</v>
      </c>
      <c r="K54" s="4" t="s">
        <v>1902</v>
      </c>
      <c r="L54" s="4" t="s">
        <v>1948</v>
      </c>
      <c r="M54" s="93">
        <v>45568</v>
      </c>
      <c r="N54" s="4"/>
      <c r="O54" s="4"/>
      <c r="P54" s="93"/>
      <c r="Q54" s="4"/>
      <c r="R54" s="4"/>
      <c r="S54" s="93"/>
      <c r="T54" s="4"/>
      <c r="U54" s="4"/>
      <c r="V54" s="93"/>
    </row>
    <row r="55" spans="1:22" x14ac:dyDescent="0.3">
      <c r="A55" s="4">
        <f>'ECN Master Project Tracker new'!A56</f>
        <v>2401063</v>
      </c>
      <c r="B55" s="108" t="str">
        <f>VLOOKUP(A:A,Table1[[#All],[Project No]:[Additional Remark]],2,FALSE)</f>
        <v>Weller Air-Cond Parts Enterprise Sdn Bhd</v>
      </c>
      <c r="C55" s="4">
        <f>VLOOKUP(A:A,Table1[[Project No]:[Additional Remark]],19,FALSE)</f>
        <v>0</v>
      </c>
      <c r="D55" s="4" t="str">
        <f>VLOOKUP(A:A,Table1[[Project No]:[Additional Remark]],20,FALSE)</f>
        <v>Lot 8324, Kg Makau Bt 1, 43100 Hulu Langat, Selangor</v>
      </c>
      <c r="E55" s="4">
        <f>VLOOKUP(A:A,Table1[[Project No]:[Additional Remark]],21,FALSE)</f>
        <v>0</v>
      </c>
      <c r="F55" s="4">
        <f>VLOOKUP(A:A,Table1[[Project No]:[Additional Remark]],22,FALSE)</f>
        <v>0</v>
      </c>
      <c r="G55" s="55">
        <f>VLOOKUP(A:A,Table1[[Project No]:[Additional Remark]],11,FALSE)</f>
        <v>82000</v>
      </c>
      <c r="H55" s="4" t="str">
        <f>VLOOKUP(A:A,Table1[[Project No]:[Additional Remark]],5,FALSE)</f>
        <v>C&amp;I-PV</v>
      </c>
      <c r="I55" s="4">
        <f>VLOOKUP(A:A,Table1[[Project No]:[Additional Remark]],8,FALSE)</f>
        <v>26.91</v>
      </c>
      <c r="J55" s="4" t="str">
        <f>VLOOKUP(A:A,Table1[[Project No]:[Additional Remark]],23,FALSE)</f>
        <v>3 years</v>
      </c>
      <c r="K55" s="4" t="s">
        <v>1912</v>
      </c>
      <c r="L55" s="4" t="s">
        <v>1949</v>
      </c>
      <c r="M55" s="93">
        <v>45890</v>
      </c>
      <c r="N55" s="4"/>
      <c r="O55" s="4"/>
      <c r="P55" s="4"/>
      <c r="Q55" s="4"/>
      <c r="R55" s="4"/>
      <c r="S55" s="4"/>
      <c r="T55" s="4"/>
      <c r="U55" s="4"/>
      <c r="V55" s="4"/>
    </row>
    <row r="56" spans="1:22" x14ac:dyDescent="0.3">
      <c r="A56" s="4">
        <f>'ECN Master Project Tracker new'!A57</f>
        <v>2401069</v>
      </c>
      <c r="B56" s="108" t="str">
        <f>VLOOKUP(A:A,Table1[[#All],[Project No]:[Additional Remark]],2,FALSE)</f>
        <v>Enviri Industries Sdn Bhd</v>
      </c>
      <c r="C56" s="4">
        <f>VLOOKUP(A:A,Table1[[Project No]:[Additional Remark]],19,FALSE)</f>
        <v>0</v>
      </c>
      <c r="D56" s="4" t="str">
        <f>VLOOKUP(A:A,Table1[[Project No]:[Additional Remark]],20,FALSE)</f>
        <v>PT71179, Jalan Lapis 2, 42100 Klang, Selangor</v>
      </c>
      <c r="E56" s="4">
        <f>VLOOKUP(A:A,Table1[[Project No]:[Additional Remark]],21,FALSE)</f>
        <v>0</v>
      </c>
      <c r="F56" s="4">
        <f>VLOOKUP(A:A,Table1[[Project No]:[Additional Remark]],22,FALSE)</f>
        <v>0</v>
      </c>
      <c r="G56" s="55">
        <f>VLOOKUP(A:A,Table1[[Project No]:[Additional Remark]],11,FALSE)</f>
        <v>668000</v>
      </c>
      <c r="H56" s="4" t="str">
        <f>VLOOKUP(A:A,Table1[[Project No]:[Additional Remark]],5,FALSE)</f>
        <v>C&amp;I-PV</v>
      </c>
      <c r="I56" s="4">
        <f>VLOOKUP(A:A,Table1[[Project No]:[Additional Remark]],8,FALSE)</f>
        <v>290.39999999999998</v>
      </c>
      <c r="J56" s="4" t="str">
        <f>VLOOKUP(A:A,Table1[[Project No]:[Additional Remark]],23,FALSE)</f>
        <v>3 years</v>
      </c>
      <c r="K56" s="4"/>
      <c r="L56" s="4"/>
      <c r="M56" s="4"/>
      <c r="N56" s="4"/>
      <c r="O56" s="4"/>
      <c r="P56" s="4"/>
      <c r="Q56" s="4"/>
      <c r="R56" s="4"/>
      <c r="S56" s="4"/>
      <c r="T56" s="4"/>
      <c r="U56" s="4"/>
      <c r="V56" s="4"/>
    </row>
    <row r="57" spans="1:22" x14ac:dyDescent="0.3">
      <c r="A57" s="4">
        <f>'ECN Master Project Tracker new'!A58</f>
        <v>2402079</v>
      </c>
      <c r="B57" s="108" t="str">
        <f>VLOOKUP(A:A,Table1[[#All],[Project No]:[Additional Remark]],2,FALSE)</f>
        <v>Intergreen Holdings Sdn Bhd</v>
      </c>
      <c r="C57" s="4">
        <f>VLOOKUP(A:A,Table1[[Project No]:[Additional Remark]],19,FALSE)</f>
        <v>0</v>
      </c>
      <c r="D57" s="4" t="str">
        <f>VLOOKUP(A:A,Table1[[Project No]:[Additional Remark]],20,FALSE)</f>
        <v>Pusat Perdagangan Amcorp, 3, Jalan Timur, Seksyen 9, 46000 Petaling Jaya, Selangor</v>
      </c>
      <c r="E57" s="4">
        <f>VLOOKUP(A:A,Table1[[Project No]:[Additional Remark]],21,FALSE)</f>
        <v>0</v>
      </c>
      <c r="F57" s="4">
        <f>VLOOKUP(A:A,Table1[[Project No]:[Additional Remark]],22,FALSE)</f>
        <v>0</v>
      </c>
      <c r="G57" s="55">
        <f>VLOOKUP(A:A,Table1[[Project No]:[Additional Remark]],11,FALSE)</f>
        <v>194600</v>
      </c>
      <c r="H57" s="4" t="str">
        <f>VLOOKUP(A:A,Table1[[Project No]:[Additional Remark]],5,FALSE)</f>
        <v>C&amp;I-PV</v>
      </c>
      <c r="I57" s="4">
        <f>VLOOKUP(A:A,Table1[[Project No]:[Additional Remark]],8,FALSE)</f>
        <v>46.8</v>
      </c>
      <c r="J57" s="4" t="str">
        <f>VLOOKUP(A:A,Table1[[Project No]:[Additional Remark]],23,FALSE)</f>
        <v>3 years</v>
      </c>
      <c r="K57" s="4"/>
      <c r="L57" s="4"/>
      <c r="M57" s="4"/>
      <c r="N57" s="4"/>
      <c r="O57" s="4"/>
      <c r="P57" s="4"/>
      <c r="Q57" s="4"/>
      <c r="R57" s="4"/>
      <c r="S57" s="4"/>
      <c r="T57" s="4"/>
      <c r="U57" s="4"/>
      <c r="V57" s="4"/>
    </row>
    <row r="58" spans="1:22" x14ac:dyDescent="0.3">
      <c r="A58" s="4">
        <f>'ECN Master Project Tracker new'!A59</f>
        <v>2402080</v>
      </c>
      <c r="B58" s="108" t="str">
        <f>VLOOKUP(A:A,Table1[[#All],[Project No]:[Additional Remark]],2,FALSE)</f>
        <v>CK Fresh Sdn Bhd</v>
      </c>
      <c r="C58" s="4">
        <f>VLOOKUP(A:A,Table1[[Project No]:[Additional Remark]],19,FALSE)</f>
        <v>0</v>
      </c>
      <c r="D58" s="4" t="str">
        <f>VLOOKUP(A:A,Table1[[Project No]:[Additional Remark]],20,FALSE)</f>
        <v>Lot 8393, Jln Air Hitam, Kelapa Sawit, 81000 Kulai, Johor</v>
      </c>
      <c r="E58" s="4">
        <f>VLOOKUP(A:A,Table1[[Project No]:[Additional Remark]],21,FALSE)</f>
        <v>0</v>
      </c>
      <c r="F58" s="4">
        <f>VLOOKUP(A:A,Table1[[Project No]:[Additional Remark]],22,FALSE)</f>
        <v>0</v>
      </c>
      <c r="G58" s="55">
        <f>VLOOKUP(A:A,Table1[[Project No]:[Additional Remark]],11,FALSE)</f>
        <v>120000</v>
      </c>
      <c r="H58" s="4" t="str">
        <f>VLOOKUP(A:A,Table1[[Project No]:[Additional Remark]],5,FALSE)</f>
        <v>C&amp;I-PV</v>
      </c>
      <c r="I58" s="4">
        <f>VLOOKUP(A:A,Table1[[Project No]:[Additional Remark]],8,FALSE)</f>
        <v>43.29</v>
      </c>
      <c r="J58" s="4" t="str">
        <f>VLOOKUP(A:A,Table1[[Project No]:[Additional Remark]],23,FALSE)</f>
        <v>3 years</v>
      </c>
      <c r="K58" s="4"/>
      <c r="L58" s="4"/>
      <c r="M58" s="4"/>
      <c r="N58" s="4"/>
      <c r="O58" s="4"/>
      <c r="P58" s="4"/>
      <c r="Q58" s="4"/>
      <c r="R58" s="4"/>
      <c r="S58" s="4"/>
      <c r="T58" s="4"/>
      <c r="U58" s="4"/>
      <c r="V58" s="4"/>
    </row>
    <row r="59" spans="1:22" x14ac:dyDescent="0.3">
      <c r="A59" s="4">
        <f>'ECN Master Project Tracker new'!A60</f>
        <v>2312120</v>
      </c>
      <c r="B59" s="108" t="str">
        <f>VLOOKUP(A:A,Table1[[#All],[Project No]:[Additional Remark]],2,FALSE)</f>
        <v>Ling Duon Kwan</v>
      </c>
      <c r="C59" s="4" t="str">
        <f>VLOOKUP(A:A,Table1[[Project No]:[Additional Remark]],19,FALSE)</f>
        <v>780817-13--5437</v>
      </c>
      <c r="D59" s="4" t="str">
        <f>VLOOKUP(A:A,Table1[[Project No]:[Additional Remark]],20,FALSE)</f>
        <v>No 58, Jln TP 1/3, Tiara Putra, 47000 Sungai Buloh, Selangor Darul Ehsan</v>
      </c>
      <c r="E59" s="4" t="str">
        <f>VLOOKUP(A:A,Table1[[Project No]:[Additional Remark]],21,FALSE)</f>
        <v>012-3799638</v>
      </c>
      <c r="F59" s="4" t="str">
        <f>VLOOKUP(A:A,Table1[[Project No]:[Additional Remark]],22,FALSE)</f>
        <v>duncanling@yahoo.com</v>
      </c>
      <c r="G59" s="55">
        <f>VLOOKUP(A:A,Table1[[Project No]:[Additional Remark]],11,FALSE)</f>
        <v>27500</v>
      </c>
      <c r="H59" s="4" t="str">
        <f>VLOOKUP(A:A,Table1[[Project No]:[Additional Remark]],5,FALSE)</f>
        <v>R-PV</v>
      </c>
      <c r="I59" s="4">
        <f>VLOOKUP(A:A,Table1[[Project No]:[Additional Remark]],8,FALSE)</f>
        <v>7.6050000000000004</v>
      </c>
      <c r="J59" s="4" t="str">
        <f>VLOOKUP(A:A,Table1[[Project No]:[Additional Remark]],23,FALSE)</f>
        <v>3 years</v>
      </c>
      <c r="K59" s="4" t="s">
        <v>1902</v>
      </c>
      <c r="L59" s="4" t="s">
        <v>1950</v>
      </c>
      <c r="M59" s="93">
        <v>45568</v>
      </c>
      <c r="N59" s="4"/>
      <c r="O59" s="4"/>
      <c r="P59" s="93"/>
      <c r="Q59" s="4"/>
      <c r="R59" s="4"/>
      <c r="S59" s="93"/>
      <c r="T59" s="4"/>
      <c r="U59" s="4"/>
      <c r="V59" s="93"/>
    </row>
    <row r="60" spans="1:22" x14ac:dyDescent="0.3">
      <c r="A60" s="4">
        <f>'ECN Master Project Tracker new'!A61</f>
        <v>2311092</v>
      </c>
      <c r="B60" s="108" t="str">
        <f>VLOOKUP(A:A,Table1[[#All],[Project No]:[Additional Remark]],2,FALSE)</f>
        <v>Tham Chee Man</v>
      </c>
      <c r="C60" s="4" t="str">
        <f>VLOOKUP(A:A,Table1[[Project No]:[Additional Remark]],19,FALSE)</f>
        <v>590601-06-5153</v>
      </c>
      <c r="D60" s="4" t="str">
        <f>VLOOKUP(A:A,Table1[[Project No]:[Additional Remark]],20,FALSE)</f>
        <v>33, Jalan Flora 3, Saujana Utama, 47000 Sungai Buloh, Selangor Darul Ehsan</v>
      </c>
      <c r="E60" s="4" t="str">
        <f>VLOOKUP(A:A,Table1[[Project No]:[Additional Remark]],21,FALSE)</f>
        <v>017-9034540</v>
      </c>
      <c r="F60" s="4" t="str">
        <f>VLOOKUP(A:A,Table1[[Project No]:[Additional Remark]],22,FALSE)</f>
        <v>thamcheongsheng@gmail.com</v>
      </c>
      <c r="G60" s="55">
        <f>VLOOKUP(A:A,Table1[[Project No]:[Additional Remark]],11,FALSE)</f>
        <v>22000</v>
      </c>
      <c r="H60" s="4" t="str">
        <f>VLOOKUP(A:A,Table1[[Project No]:[Additional Remark]],5,FALSE)</f>
        <v>R-PV</v>
      </c>
      <c r="I60" s="4">
        <f>VLOOKUP(A:A,Table1[[Project No]:[Additional Remark]],8,FALSE)</f>
        <v>5.75</v>
      </c>
      <c r="J60" s="4" t="str">
        <f>VLOOKUP(A:A,Table1[[Project No]:[Additional Remark]],23,FALSE)</f>
        <v>3 years</v>
      </c>
      <c r="K60" s="4" t="s">
        <v>1902</v>
      </c>
      <c r="L60" s="4" t="s">
        <v>1951</v>
      </c>
      <c r="M60" s="93">
        <v>45568</v>
      </c>
      <c r="N60" s="4"/>
      <c r="O60" s="4"/>
      <c r="P60" s="93"/>
      <c r="Q60" s="4"/>
      <c r="R60" s="4"/>
      <c r="S60" s="93"/>
      <c r="T60" s="4"/>
      <c r="U60" s="4"/>
      <c r="V60" s="93"/>
    </row>
    <row r="61" spans="1:22" x14ac:dyDescent="0.3">
      <c r="A61" s="4">
        <f>'ECN Master Project Tracker new'!A62</f>
        <v>2404230</v>
      </c>
      <c r="B61" s="108" t="str">
        <f>VLOOKUP(A:A,Table1[[#All],[Project No]:[Additional Remark]],2,FALSE)</f>
        <v>Yap Bee Im Marianne</v>
      </c>
      <c r="C61" s="4" t="str">
        <f>VLOOKUP(A:A,Table1[[Project No]:[Additional Remark]],19,FALSE)</f>
        <v>831021-14-6242</v>
      </c>
      <c r="D61" s="4" t="str">
        <f>VLOOKUP(A:A,Table1[[Project No]:[Additional Remark]],20,FALSE)</f>
        <v>No 8, Jln Hijau Alam U9/14C, Cahaya SPK, Sek U9, 40150 Shah Alam, Selangor Darul Ehsan</v>
      </c>
      <c r="E61" s="4" t="str">
        <f>VLOOKUP(A:A,Table1[[Project No]:[Additional Remark]],21,FALSE)</f>
        <v>012-3050288</v>
      </c>
      <c r="F61" s="4" t="str">
        <f>VLOOKUP(A:A,Table1[[Project No]:[Additional Remark]],22,FALSE)</f>
        <v>marianneyap21@gmail.com</v>
      </c>
      <c r="G61" s="55">
        <f>VLOOKUP(A:A,Table1[[Project No]:[Additional Remark]],11,FALSE)</f>
        <v>32500</v>
      </c>
      <c r="H61" s="4" t="str">
        <f>VLOOKUP(A:A,Table1[[Project No]:[Additional Remark]],5,FALSE)</f>
        <v>R-PV</v>
      </c>
      <c r="I61" s="4">
        <f>VLOOKUP(A:A,Table1[[Project No]:[Additional Remark]],8,FALSE)</f>
        <v>8.7750000000000004</v>
      </c>
      <c r="J61" s="4" t="str">
        <f>VLOOKUP(A:A,Table1[[Project No]:[Additional Remark]],23,FALSE)</f>
        <v>3 years</v>
      </c>
      <c r="K61" s="4" t="s">
        <v>1902</v>
      </c>
      <c r="L61" s="4" t="s">
        <v>1952</v>
      </c>
      <c r="M61" s="93">
        <v>45568</v>
      </c>
      <c r="N61" s="4"/>
      <c r="O61" s="4"/>
      <c r="P61" s="93"/>
      <c r="Q61" s="4"/>
      <c r="R61" s="4"/>
      <c r="S61" s="93"/>
      <c r="T61" s="4"/>
      <c r="U61" s="4"/>
      <c r="V61" s="93"/>
    </row>
    <row r="62" spans="1:22" x14ac:dyDescent="0.3">
      <c r="A62" s="4">
        <f>'ECN Master Project Tracker new'!A63</f>
        <v>2401133</v>
      </c>
      <c r="B62" s="108" t="str">
        <f>VLOOKUP(A:A,Table1[[#All],[Project No]:[Additional Remark]],2,FALSE)</f>
        <v>Cheong Sau Ling</v>
      </c>
      <c r="C62" s="4" t="str">
        <f>VLOOKUP(A:A,Table1[[Project No]:[Additional Remark]],19,FALSE)</f>
        <v>740823-02-5825</v>
      </c>
      <c r="D62" s="4" t="str">
        <f>VLOOKUP(A:A,Table1[[Project No]:[Additional Remark]],20,FALSE)</f>
        <v>15, Jalan Kemuning Bayu 33/32L, Kemuning Utama,40400 Shah Alam, Selangor Darul Ehsan</v>
      </c>
      <c r="E62" s="4" t="str">
        <f>VLOOKUP(A:A,Table1[[Project No]:[Additional Remark]],21,FALSE)</f>
        <v>013-7274135</v>
      </c>
      <c r="F62" s="4" t="str">
        <f>VLOOKUP(A:A,Table1[[Project No]:[Additional Remark]],22,FALSE)</f>
        <v>lingling822@hotmail.my</v>
      </c>
      <c r="G62" s="55">
        <f>VLOOKUP(A:A,Table1[[Project No]:[Additional Remark]],11,FALSE)</f>
        <v>34460</v>
      </c>
      <c r="H62" s="4" t="str">
        <f>VLOOKUP(A:A,Table1[[Project No]:[Additional Remark]],5,FALSE)</f>
        <v>R-PV</v>
      </c>
      <c r="I62" s="4">
        <f>VLOOKUP(A:A,Table1[[Project No]:[Additional Remark]],8,FALSE)</f>
        <v>8.7750000000000004</v>
      </c>
      <c r="J62" s="4" t="str">
        <f>VLOOKUP(A:A,Table1[[Project No]:[Additional Remark]],23,FALSE)</f>
        <v>3 years</v>
      </c>
      <c r="K62" s="4" t="s">
        <v>1902</v>
      </c>
      <c r="L62" s="4" t="s">
        <v>1953</v>
      </c>
      <c r="M62" s="93">
        <v>45568</v>
      </c>
      <c r="N62" s="4"/>
      <c r="O62" s="4"/>
      <c r="P62" s="93"/>
      <c r="Q62" s="4"/>
      <c r="R62" s="4"/>
      <c r="S62" s="93"/>
      <c r="T62" s="4"/>
      <c r="U62" s="4"/>
      <c r="V62" s="93"/>
    </row>
    <row r="63" spans="1:22" x14ac:dyDescent="0.3">
      <c r="A63" s="4">
        <f>'ECN Master Project Tracker new'!A64</f>
        <v>2403171</v>
      </c>
      <c r="B63" s="108" t="str">
        <f>VLOOKUP(A:A,Table1[[#All],[Project No]:[Additional Remark]],2,FALSE)</f>
        <v>Sim Keng Chor</v>
      </c>
      <c r="C63" s="4" t="str">
        <f>VLOOKUP(A:A,Table1[[Project No]:[Additional Remark]],19,FALSE)</f>
        <v>470725-01-5629</v>
      </c>
      <c r="D63" s="4" t="str">
        <f>VLOOKUP(A:A,Table1[[Project No]:[Additional Remark]],20,FALSE)</f>
        <v>8, Lorong Kemaris 6, Bangsar Baru, 59100 Kuala Lumpur, WP Kuala Lumpur</v>
      </c>
      <c r="E63" s="4" t="str">
        <f>VLOOKUP(A:A,Table1[[Project No]:[Additional Remark]],21,FALSE)</f>
        <v>012-2789488</v>
      </c>
      <c r="F63" s="4" t="str">
        <f>VLOOKUP(A:A,Table1[[Project No]:[Additional Remark]],22,FALSE)</f>
        <v>simson@unitrade.com.my</v>
      </c>
      <c r="G63" s="55">
        <f>VLOOKUP(A:A,Table1[[Project No]:[Additional Remark]],11,FALSE)</f>
        <v>52400</v>
      </c>
      <c r="H63" s="4" t="str">
        <f>VLOOKUP(A:A,Table1[[Project No]:[Additional Remark]],5,FALSE)</f>
        <v>R-PV</v>
      </c>
      <c r="I63" s="4">
        <f>VLOOKUP(A:A,Table1[[Project No]:[Additional Remark]],8,FALSE)</f>
        <v>17.55</v>
      </c>
      <c r="J63" s="4" t="str">
        <f>VLOOKUP(A:A,Table1[[Project No]:[Additional Remark]],23,FALSE)</f>
        <v>3 years</v>
      </c>
      <c r="K63" s="4" t="s">
        <v>1902</v>
      </c>
      <c r="L63" s="4" t="s">
        <v>1954</v>
      </c>
      <c r="M63" s="93">
        <v>45568</v>
      </c>
      <c r="N63" s="4"/>
      <c r="O63" s="4"/>
      <c r="P63" s="93"/>
      <c r="Q63" s="4"/>
      <c r="R63" s="4"/>
      <c r="S63" s="93"/>
      <c r="T63" s="4"/>
      <c r="U63" s="4"/>
      <c r="V63" s="93"/>
    </row>
    <row r="64" spans="1:22" x14ac:dyDescent="0.3">
      <c r="A64" s="4">
        <f>'ECN Master Project Tracker new'!A65</f>
        <v>2403176</v>
      </c>
      <c r="B64" s="108" t="str">
        <f>VLOOKUP(A:A,Table1[[#All],[Project No]:[Additional Remark]],2,FALSE)</f>
        <v>Nor Hana binti Supiran @ Soviran</v>
      </c>
      <c r="C64" s="4" t="str">
        <f>VLOOKUP(A:A,Table1[[Project No]:[Additional Remark]],19,FALSE)</f>
        <v>801003-08-5944</v>
      </c>
      <c r="D64" s="4" t="str">
        <f>VLOOKUP(A:A,Table1[[Project No]:[Additional Remark]],20,FALSE)</f>
        <v>Lot 84327, Lorong Merbau 1, Kampung Melayu, 68000 Ampang, Selangor Darul Ehsan</v>
      </c>
      <c r="E64" s="4" t="str">
        <f>VLOOKUP(A:A,Table1[[Project No]:[Additional Remark]],21,FALSE)</f>
        <v>019-3170725</v>
      </c>
      <c r="F64" s="4" t="str">
        <f>VLOOKUP(A:A,Table1[[Project No]:[Additional Remark]],22,FALSE)</f>
        <v>hanatrading78@yahoo.com</v>
      </c>
      <c r="G64" s="55">
        <f>VLOOKUP(A:A,Table1[[Project No]:[Additional Remark]],11,FALSE)</f>
        <v>30500</v>
      </c>
      <c r="H64" s="4" t="str">
        <f>VLOOKUP(A:A,Table1[[Project No]:[Additional Remark]],5,FALSE)</f>
        <v>R-PV</v>
      </c>
      <c r="I64" s="4">
        <f>VLOOKUP(A:A,Table1[[Project No]:[Additional Remark]],8,FALSE)</f>
        <v>6.4349999999999996</v>
      </c>
      <c r="J64" s="4" t="str">
        <f>VLOOKUP(A:A,Table1[[Project No]:[Additional Remark]],23,FALSE)</f>
        <v>3 years</v>
      </c>
      <c r="K64" s="4" t="s">
        <v>1902</v>
      </c>
      <c r="L64" s="4" t="s">
        <v>1955</v>
      </c>
      <c r="M64" s="93">
        <v>45568</v>
      </c>
      <c r="N64" s="4"/>
      <c r="O64" s="4"/>
      <c r="P64" s="93"/>
      <c r="Q64" s="4"/>
      <c r="R64" s="4"/>
      <c r="S64" s="93"/>
      <c r="T64" s="4"/>
      <c r="U64" s="4"/>
      <c r="V64" s="93"/>
    </row>
    <row r="65" spans="1:22" x14ac:dyDescent="0.3">
      <c r="A65" s="4">
        <f>'ECN Master Project Tracker new'!A66</f>
        <v>2404229</v>
      </c>
      <c r="B65" s="108" t="str">
        <f>VLOOKUP(A:A,Table1[[#All],[Project No]:[Additional Remark]],2,FALSE)</f>
        <v>Ng Lay Ping</v>
      </c>
      <c r="C65" s="4" t="str">
        <f>VLOOKUP(A:A,Table1[[Project No]:[Additional Remark]],19,FALSE)</f>
        <v>700919-10-5236</v>
      </c>
      <c r="D65" s="4" t="str">
        <f>VLOOKUP(A:A,Table1[[Project No]:[Additional Remark]],20,FALSE)</f>
        <v>Lot 27838, Jln BRP 2/2C, Bkt Rahman Putra, 40160 Sungai Buloh, Selangor Darul Ehsan</v>
      </c>
      <c r="E65" s="4" t="str">
        <f>VLOOKUP(A:A,Table1[[Project No]:[Additional Remark]],21,FALSE)</f>
        <v>012-3999903</v>
      </c>
      <c r="F65" s="4" t="str">
        <f>VLOOKUP(A:A,Table1[[Project No]:[Additional Remark]],22,FALSE)</f>
        <v>lpng_lew@yahoo.com</v>
      </c>
      <c r="G65" s="55">
        <f>VLOOKUP(A:A,Table1[[Project No]:[Additional Remark]],11,FALSE)</f>
        <v>41600</v>
      </c>
      <c r="H65" s="4" t="str">
        <f>VLOOKUP(A:A,Table1[[Project No]:[Additional Remark]],5,FALSE)</f>
        <v>R-PV</v>
      </c>
      <c r="I65" s="4">
        <f>VLOOKUP(A:A,Table1[[Project No]:[Additional Remark]],8,FALSE)</f>
        <v>14.625</v>
      </c>
      <c r="J65" s="4" t="str">
        <f>VLOOKUP(A:A,Table1[[Project No]:[Additional Remark]],23,FALSE)</f>
        <v>3 years</v>
      </c>
      <c r="K65" s="4" t="s">
        <v>1902</v>
      </c>
      <c r="L65" s="4" t="s">
        <v>1956</v>
      </c>
      <c r="M65" s="93">
        <v>45568</v>
      </c>
      <c r="N65" s="4"/>
      <c r="O65" s="4"/>
      <c r="P65" s="93"/>
      <c r="Q65" s="4"/>
      <c r="R65" s="4"/>
      <c r="S65" s="93"/>
      <c r="T65" s="4"/>
      <c r="U65" s="4"/>
      <c r="V65" s="93"/>
    </row>
    <row r="66" spans="1:22" x14ac:dyDescent="0.3">
      <c r="A66" s="4">
        <f>'ECN Master Project Tracker new'!A67</f>
        <v>2404211</v>
      </c>
      <c r="B66" s="108" t="str">
        <f>VLOOKUP(A:A,Table1[[#All],[Project No]:[Additional Remark]],2,FALSE)</f>
        <v>Nor Fadillah</v>
      </c>
      <c r="C66" s="4" t="str">
        <f>VLOOKUP(A:A,Table1[[Project No]:[Additional Remark]],19,FALSE)</f>
        <v>630327-04-5398</v>
      </c>
      <c r="D66" s="4" t="str">
        <f>VLOOKUP(A:A,Table1[[Project No]:[Additional Remark]],20,FALSE)</f>
        <v>17, Jalan Laman Jasmin 5A, Laman Jasmin, 71800 Nilai Negeri Sembilan Darul Khusus</v>
      </c>
      <c r="E66" s="4" t="str">
        <f>VLOOKUP(A:A,Table1[[Project No]:[Additional Remark]],21,FALSE)</f>
        <v>016-2477797</v>
      </c>
      <c r="F66" s="4" t="str">
        <f>VLOOKUP(A:A,Table1[[Project No]:[Additional Remark]],22,FALSE)</f>
        <v>drnorfadillah@gmail.com</v>
      </c>
      <c r="G66" s="55">
        <f>VLOOKUP(A:A,Table1[[Project No]:[Additional Remark]],11,FALSE)</f>
        <v>49600</v>
      </c>
      <c r="H66" s="4" t="str">
        <f>VLOOKUP(A:A,Table1[[Project No]:[Additional Remark]],5,FALSE)</f>
        <v>R-PV</v>
      </c>
      <c r="I66" s="4">
        <f>VLOOKUP(A:A,Table1[[Project No]:[Additional Remark]],8,FALSE)</f>
        <v>17.55</v>
      </c>
      <c r="J66" s="4" t="str">
        <f>VLOOKUP(A:A,Table1[[Project No]:[Additional Remark]],23,FALSE)</f>
        <v>3 years</v>
      </c>
      <c r="K66" s="4" t="s">
        <v>1902</v>
      </c>
      <c r="L66" s="4" t="s">
        <v>1957</v>
      </c>
      <c r="M66" s="93">
        <v>45568</v>
      </c>
      <c r="N66" s="4"/>
      <c r="O66" s="4"/>
      <c r="P66" s="93"/>
      <c r="Q66" s="4"/>
      <c r="R66" s="4"/>
      <c r="S66" s="93"/>
      <c r="T66" s="4"/>
      <c r="U66" s="4"/>
      <c r="V66" s="93"/>
    </row>
    <row r="67" spans="1:22" x14ac:dyDescent="0.3">
      <c r="A67" s="4">
        <f>'ECN Master Project Tracker new'!A68</f>
        <v>2404111</v>
      </c>
      <c r="B67" s="108" t="str">
        <f>VLOOKUP(A:A,Table1[[#All],[Project No]:[Additional Remark]],2,FALSE)</f>
        <v>Budi Jelas Sdn Bhd</v>
      </c>
      <c r="C67" s="4">
        <f>VLOOKUP(A:A,Table1[[Project No]:[Additional Remark]],19,FALSE)</f>
        <v>0</v>
      </c>
      <c r="D67" s="4" t="str">
        <f>VLOOKUP(A:A,Table1[[Project No]:[Additional Remark]],20,FALSE)</f>
        <v>PT 12887, Kaw Asan Perindustrian LKNP Benus, 28700 Bentong, Pahang</v>
      </c>
      <c r="E67" s="4">
        <f>VLOOKUP(A:A,Table1[[Project No]:[Additional Remark]],21,FALSE)</f>
        <v>0</v>
      </c>
      <c r="F67" s="4">
        <f>VLOOKUP(A:A,Table1[[Project No]:[Additional Remark]],22,FALSE)</f>
        <v>0</v>
      </c>
      <c r="G67" s="55">
        <f>VLOOKUP(A:A,Table1[[Project No]:[Additional Remark]],11,FALSE)</f>
        <v>81000</v>
      </c>
      <c r="H67" s="4" t="str">
        <f>VLOOKUP(A:A,Table1[[Project No]:[Additional Remark]],5,FALSE)</f>
        <v>C&amp;I-PV</v>
      </c>
      <c r="I67" s="4">
        <f>VLOOKUP(A:A,Table1[[Project No]:[Additional Remark]],8,FALSE)</f>
        <v>26.91</v>
      </c>
      <c r="J67" s="4" t="str">
        <f>VLOOKUP(A:A,Table1[[Project No]:[Additional Remark]],23,FALSE)</f>
        <v>3 years</v>
      </c>
      <c r="K67" s="4" t="s">
        <v>1912</v>
      </c>
      <c r="L67" s="4" t="s">
        <v>1958</v>
      </c>
      <c r="M67" s="93">
        <v>45890</v>
      </c>
      <c r="N67" s="4"/>
      <c r="O67" s="4"/>
      <c r="P67" s="4"/>
      <c r="Q67" s="4"/>
      <c r="R67" s="4"/>
      <c r="S67" s="4"/>
      <c r="T67" s="4"/>
      <c r="U67" s="4"/>
      <c r="V67" s="4"/>
    </row>
    <row r="68" spans="1:22" x14ac:dyDescent="0.3">
      <c r="A68" s="4">
        <f>'ECN Master Project Tracker new'!A69</f>
        <v>2404219</v>
      </c>
      <c r="B68" s="108" t="str">
        <f>VLOOKUP(A:A,Table1[[#All],[Project No]:[Additional Remark]],2,FALSE)</f>
        <v>Billy Teoh Wee Wei</v>
      </c>
      <c r="C68" s="4" t="str">
        <f>VLOOKUP(A:A,Table1[[Project No]:[Additional Remark]],19,FALSE)</f>
        <v>830811-07-5405</v>
      </c>
      <c r="D68" s="4" t="str">
        <f>VLOOKUP(A:A,Table1[[Project No]:[Additional Remark]],20,FALSE)</f>
        <v>No 5082, Lrg Bagan Vista, Jln Telaga Air, 12200 Butterworth Pulau Pinang</v>
      </c>
      <c r="E68" s="4" t="str">
        <f>VLOOKUP(A:A,Table1[[Project No]:[Additional Remark]],21,FALSE)</f>
        <v>012-4215656</v>
      </c>
      <c r="F68" s="4" t="str">
        <f>VLOOKUP(A:A,Table1[[Project No]:[Additional Remark]],22,FALSE)</f>
        <v>billyteoh19@hotmail.com</v>
      </c>
      <c r="G68" s="55">
        <f>VLOOKUP(A:A,Table1[[Project No]:[Additional Remark]],11,FALSE)</f>
        <v>52000</v>
      </c>
      <c r="H68" s="4" t="str">
        <f>VLOOKUP(A:A,Table1[[Project No]:[Additional Remark]],5,FALSE)</f>
        <v>R-PV</v>
      </c>
      <c r="I68" s="4">
        <f>VLOOKUP(A:A,Table1[[Project No]:[Additional Remark]],8,FALSE)</f>
        <v>17.55</v>
      </c>
      <c r="J68" s="4" t="str">
        <f>VLOOKUP(A:A,Table1[[Project No]:[Additional Remark]],23,FALSE)</f>
        <v>3 years</v>
      </c>
      <c r="K68" s="4" t="s">
        <v>1902</v>
      </c>
      <c r="L68" s="4" t="s">
        <v>1959</v>
      </c>
      <c r="M68" s="93">
        <v>45568</v>
      </c>
      <c r="N68" s="4"/>
      <c r="O68" s="4"/>
      <c r="P68" s="93"/>
      <c r="Q68" s="4"/>
      <c r="R68" s="4"/>
      <c r="S68" s="93"/>
      <c r="T68" s="4"/>
      <c r="U68" s="4"/>
      <c r="V68" s="93"/>
    </row>
    <row r="69" spans="1:22" x14ac:dyDescent="0.3">
      <c r="A69" s="4">
        <f>'ECN Master Project Tracker new'!A70</f>
        <v>2404214</v>
      </c>
      <c r="B69" s="108" t="str">
        <f>VLOOKUP(A:A,Table1[[#All],[Project No]:[Additional Remark]],2,FALSE)</f>
        <v>Teo En Chie</v>
      </c>
      <c r="C69" s="4" t="str">
        <f>VLOOKUP(A:A,Table1[[Project No]:[Additional Remark]],19,FALSE)</f>
        <v>910530-01-6505</v>
      </c>
      <c r="D69" s="4" t="str">
        <f>VLOOKUP(A:A,Table1[[Project No]:[Additional Remark]],20,FALSE)</f>
        <v>18, Jalan Senibong 1, Teluk Senibong, 81750 Masai, Johor Darul Takzim</v>
      </c>
      <c r="E69" s="4" t="str">
        <f>VLOOKUP(A:A,Table1[[Project No]:[Additional Remark]],21,FALSE)</f>
        <v>010-8820636</v>
      </c>
      <c r="F69" s="4" t="str">
        <f>VLOOKUP(A:A,Table1[[Project No]:[Additional Remark]],22,FALSE)</f>
        <v>enchie@live.com.my</v>
      </c>
      <c r="G69" s="55">
        <f>VLOOKUP(A:A,Table1[[Project No]:[Additional Remark]],11,FALSE)</f>
        <v>48200</v>
      </c>
      <c r="H69" s="4" t="str">
        <f>VLOOKUP(A:A,Table1[[Project No]:[Additional Remark]],5,FALSE)</f>
        <v>R-PV</v>
      </c>
      <c r="I69" s="4">
        <f>VLOOKUP(A:A,Table1[[Project No]:[Additional Remark]],8,FALSE)</f>
        <v>15.795</v>
      </c>
      <c r="J69" s="4" t="str">
        <f>VLOOKUP(A:A,Table1[[Project No]:[Additional Remark]],23,FALSE)</f>
        <v>3 years</v>
      </c>
      <c r="K69" s="4" t="s">
        <v>1902</v>
      </c>
      <c r="L69" s="4" t="s">
        <v>1960</v>
      </c>
      <c r="M69" s="93">
        <v>45568</v>
      </c>
      <c r="N69" s="4"/>
      <c r="O69" s="4"/>
      <c r="P69" s="93"/>
      <c r="Q69" s="4"/>
      <c r="R69" s="4"/>
      <c r="S69" s="93"/>
      <c r="T69" s="4"/>
      <c r="U69" s="4"/>
      <c r="V69" s="93"/>
    </row>
    <row r="70" spans="1:22" x14ac:dyDescent="0.3">
      <c r="A70" s="4">
        <f>'ECN Master Project Tracker new'!A71</f>
        <v>2403102</v>
      </c>
      <c r="B70" s="108" t="str">
        <f>VLOOKUP(A:A,Table1[[#All],[Project No]:[Additional Remark]],2,FALSE)</f>
        <v>Sleep Matics (Asia) Sdn Bhd</v>
      </c>
      <c r="C70" s="4">
        <f>VLOOKUP(A:A,Table1[[Project No]:[Additional Remark]],19,FALSE)</f>
        <v>0</v>
      </c>
      <c r="D70" s="4" t="str">
        <f>VLOOKUP(A:A,Table1[[Project No]:[Additional Remark]],20,FALSE)</f>
        <v>Lot 37133, Kg Baru Sg Buloh, 47000 Sungai Buloh, Selangor</v>
      </c>
      <c r="E70" s="4">
        <f>VLOOKUP(A:A,Table1[[Project No]:[Additional Remark]],21,FALSE)</f>
        <v>0</v>
      </c>
      <c r="F70" s="4">
        <f>VLOOKUP(A:A,Table1[[Project No]:[Additional Remark]],22,FALSE)</f>
        <v>0</v>
      </c>
      <c r="G70" s="55">
        <f>VLOOKUP(A:A,Table1[[Project No]:[Additional Remark]],11,FALSE)</f>
        <v>744800</v>
      </c>
      <c r="H70" s="4" t="str">
        <f>VLOOKUP(A:A,Table1[[Project No]:[Additional Remark]],5,FALSE)</f>
        <v>C&amp;I-PV</v>
      </c>
      <c r="I70" s="4">
        <f>VLOOKUP(A:A,Table1[[Project No]:[Additional Remark]],8,FALSE)</f>
        <v>374.4</v>
      </c>
      <c r="J70" s="4" t="str">
        <f>VLOOKUP(A:A,Table1[[Project No]:[Additional Remark]],23,FALSE)</f>
        <v>N/A</v>
      </c>
      <c r="K70" s="163" t="s">
        <v>109</v>
      </c>
      <c r="L70" s="164" t="s">
        <v>109</v>
      </c>
      <c r="M70" s="165"/>
      <c r="N70" s="163" t="s">
        <v>109</v>
      </c>
      <c r="O70" s="164" t="s">
        <v>109</v>
      </c>
      <c r="P70" s="165"/>
      <c r="Q70" s="163" t="s">
        <v>109</v>
      </c>
      <c r="R70" s="164" t="s">
        <v>109</v>
      </c>
      <c r="S70" s="165"/>
      <c r="T70" s="163" t="s">
        <v>109</v>
      </c>
      <c r="U70" s="164" t="s">
        <v>109</v>
      </c>
      <c r="V70" s="165"/>
    </row>
    <row r="71" spans="1:22" x14ac:dyDescent="0.3">
      <c r="A71" s="4">
        <f>'ECN Master Project Tracker new'!A72</f>
        <v>2312059</v>
      </c>
      <c r="B71" s="108" t="str">
        <f>VLOOKUP(A:A,Table1[[#All],[Project No]:[Additional Remark]],2,FALSE)</f>
        <v>CHL Foam Industries Sdn Bhd</v>
      </c>
      <c r="C71" s="4">
        <f>VLOOKUP(A:A,Table1[[Project No]:[Additional Remark]],19,FALSE)</f>
        <v>0</v>
      </c>
      <c r="D71" s="4" t="str">
        <f>VLOOKUP(A:A,Table1[[Project No]:[Additional Remark]],20,FALSE)</f>
        <v>Lot 37174, Kg Baru Sg Buloh, 47000 Sungai Buloh, Selangor</v>
      </c>
      <c r="E71" s="4">
        <f>VLOOKUP(A:A,Table1[[Project No]:[Additional Remark]],21,FALSE)</f>
        <v>0</v>
      </c>
      <c r="F71" s="4">
        <f>VLOOKUP(A:A,Table1[[Project No]:[Additional Remark]],22,FALSE)</f>
        <v>0</v>
      </c>
      <c r="G71" s="55">
        <f>VLOOKUP(A:A,Table1[[Project No]:[Additional Remark]],11,FALSE)</f>
        <v>690300</v>
      </c>
      <c r="H71" s="4" t="str">
        <f>VLOOKUP(A:A,Table1[[Project No]:[Additional Remark]],5,FALSE)</f>
        <v>C&amp;I-PV</v>
      </c>
      <c r="I71" s="4">
        <f>VLOOKUP(A:A,Table1[[Project No]:[Additional Remark]],8,FALSE)</f>
        <v>345.15</v>
      </c>
      <c r="J71" s="4" t="str">
        <f>VLOOKUP(A:A,Table1[[Project No]:[Additional Remark]],23,FALSE)</f>
        <v>N/A</v>
      </c>
      <c r="K71" s="163" t="s">
        <v>109</v>
      </c>
      <c r="L71" s="164" t="s">
        <v>109</v>
      </c>
      <c r="M71" s="165"/>
      <c r="N71" s="163" t="s">
        <v>109</v>
      </c>
      <c r="O71" s="164" t="s">
        <v>109</v>
      </c>
      <c r="P71" s="165"/>
      <c r="Q71" s="163" t="s">
        <v>109</v>
      </c>
      <c r="R71" s="164" t="s">
        <v>109</v>
      </c>
      <c r="S71" s="165"/>
      <c r="T71" s="163" t="s">
        <v>109</v>
      </c>
      <c r="U71" s="164" t="s">
        <v>109</v>
      </c>
      <c r="V71" s="165"/>
    </row>
    <row r="72" spans="1:22" x14ac:dyDescent="0.3">
      <c r="A72" s="4">
        <f>'ECN Master Project Tracker new'!A73</f>
        <v>2404255</v>
      </c>
      <c r="B72" s="108" t="str">
        <f>VLOOKUP(A:A,Table1[[#All],[Project No]:[Additional Remark]],2,FALSE)</f>
        <v>Ong Pui Fen</v>
      </c>
      <c r="C72" s="4" t="str">
        <f>VLOOKUP(A:A,Table1[[Project No]:[Additional Remark]],19,FALSE)</f>
        <v>760801-04-5180</v>
      </c>
      <c r="D72" s="4" t="str">
        <f>VLOOKUP(A:A,Table1[[Project No]:[Additional Remark]],20,FALSE)</f>
        <v>51, Jalan USJ 2/5H, USJ 2, 47600 Subang Jaya, Selangor Darul Ehsan</v>
      </c>
      <c r="E72" s="4" t="str">
        <f>VLOOKUP(A:A,Table1[[Project No]:[Additional Remark]],21,FALSE)</f>
        <v>016-2100039</v>
      </c>
      <c r="F72" s="4" t="str">
        <f>VLOOKUP(A:A,Table1[[Project No]:[Additional Remark]],22,FALSE)</f>
        <v>tattmun@gmail.com</v>
      </c>
      <c r="G72" s="55">
        <f>VLOOKUP(A:A,Table1[[Project No]:[Additional Remark]],11,FALSE)</f>
        <v>30260</v>
      </c>
      <c r="H72" s="4" t="str">
        <f>VLOOKUP(A:A,Table1[[Project No]:[Additional Remark]],5,FALSE)</f>
        <v>R-PV</v>
      </c>
      <c r="I72" s="4">
        <f>VLOOKUP(A:A,Table1[[Project No]:[Additional Remark]],8,FALSE)</f>
        <v>7.6050000000000004</v>
      </c>
      <c r="J72" s="4" t="str">
        <f>VLOOKUP(A:A,Table1[[Project No]:[Additional Remark]],23,FALSE)</f>
        <v>3 years</v>
      </c>
      <c r="K72" s="4" t="s">
        <v>1902</v>
      </c>
      <c r="L72" s="4" t="s">
        <v>1961</v>
      </c>
      <c r="M72" s="93">
        <v>45568</v>
      </c>
      <c r="N72" s="4"/>
      <c r="O72" s="4"/>
      <c r="P72" s="93"/>
      <c r="Q72" s="4"/>
      <c r="R72" s="4"/>
      <c r="S72" s="93"/>
      <c r="T72" s="4"/>
      <c r="U72" s="4"/>
      <c r="V72" s="93"/>
    </row>
    <row r="73" spans="1:22" x14ac:dyDescent="0.3">
      <c r="A73" s="4">
        <f>'ECN Master Project Tracker new'!A74</f>
        <v>2404242</v>
      </c>
      <c r="B73" s="108" t="str">
        <f>VLOOKUP(A:A,Table1[[#All],[Project No]:[Additional Remark]],2,FALSE)</f>
        <v>Chua Boon Seng</v>
      </c>
      <c r="C73" s="4" t="str">
        <f>VLOOKUP(A:A,Table1[[Project No]:[Additional Remark]],19,FALSE)</f>
        <v>750927-06-5137</v>
      </c>
      <c r="D73" s="4" t="str">
        <f>VLOOKUP(A:A,Table1[[Project No]:[Additional Remark]],20,FALSE)</f>
        <v>No 1B, Lrg Seri Kuantan 28/1, Kuantan Garden, 25300 Kuantan, Pahang Darul Makmur</v>
      </c>
      <c r="E73" s="4" t="str">
        <f>VLOOKUP(A:A,Table1[[Project No]:[Additional Remark]],21,FALSE)</f>
        <v>018-9094538</v>
      </c>
      <c r="F73" s="4" t="str">
        <f>VLOOKUP(A:A,Table1[[Project No]:[Additional Remark]],22,FALSE)</f>
        <v>cboonhuang@gmail.com</v>
      </c>
      <c r="G73" s="55">
        <f>VLOOKUP(A:A,Table1[[Project No]:[Additional Remark]],11,FALSE)</f>
        <v>35000</v>
      </c>
      <c r="H73" s="4" t="str">
        <f>VLOOKUP(A:A,Table1[[Project No]:[Additional Remark]],5,FALSE)</f>
        <v>R-PV</v>
      </c>
      <c r="I73" s="4">
        <f>VLOOKUP(A:A,Table1[[Project No]:[Additional Remark]],8,FALSE)</f>
        <v>10.53</v>
      </c>
      <c r="J73" s="4" t="str">
        <f>VLOOKUP(A:A,Table1[[Project No]:[Additional Remark]],23,FALSE)</f>
        <v>3 years</v>
      </c>
      <c r="K73" s="4" t="s">
        <v>1902</v>
      </c>
      <c r="L73" s="4" t="s">
        <v>1962</v>
      </c>
      <c r="M73" s="93">
        <v>45568</v>
      </c>
      <c r="N73" s="4"/>
      <c r="O73" s="4"/>
      <c r="P73" s="93"/>
      <c r="Q73" s="4"/>
      <c r="R73" s="4"/>
      <c r="S73" s="93"/>
      <c r="T73" s="4"/>
      <c r="U73" s="4"/>
      <c r="V73" s="93"/>
    </row>
    <row r="74" spans="1:22" x14ac:dyDescent="0.3">
      <c r="A74" s="4">
        <f>'ECN Master Project Tracker new'!A75</f>
        <v>2405272</v>
      </c>
      <c r="B74" s="108" t="str">
        <f>VLOOKUP(A:A,Table1[[#All],[Project No]:[Additional Remark]],2,FALSE)</f>
        <v>Chan Hui Li</v>
      </c>
      <c r="C74" s="4" t="str">
        <f>VLOOKUP(A:A,Table1[[Project No]:[Additional Remark]],19,FALSE)</f>
        <v>700521-06--5318</v>
      </c>
      <c r="D74" s="4" t="str">
        <f>VLOOKUP(A:A,Table1[[Project No]:[Additional Remark]],20,FALSE)</f>
        <v>No 111, Lrg Air Putih 21, Jln Air Putih, Tmn Dahlia Astana, 25350 Kuantan, Pahang Darul Makmur</v>
      </c>
      <c r="E74" s="4" t="str">
        <f>VLOOKUP(A:A,Table1[[Project No]:[Additional Remark]],21,FALSE)</f>
        <v>012-2392000</v>
      </c>
      <c r="F74" s="4" t="str">
        <f>VLOOKUP(A:A,Table1[[Project No]:[Additional Remark]],22,FALSE)</f>
        <v>conniechan2105@yahoo.com</v>
      </c>
      <c r="G74" s="55">
        <f>VLOOKUP(A:A,Table1[[Project No]:[Additional Remark]],11,FALSE)</f>
        <v>32180</v>
      </c>
      <c r="H74" s="4" t="str">
        <f>VLOOKUP(A:A,Table1[[Project No]:[Additional Remark]],5,FALSE)</f>
        <v>R-PV</v>
      </c>
      <c r="I74" s="4">
        <f>VLOOKUP(A:A,Table1[[Project No]:[Additional Remark]],8,FALSE)</f>
        <v>9.36</v>
      </c>
      <c r="J74" s="4" t="str">
        <f>VLOOKUP(A:A,Table1[[Project No]:[Additional Remark]],23,FALSE)</f>
        <v>3 years</v>
      </c>
      <c r="K74" s="4" t="s">
        <v>1902</v>
      </c>
      <c r="L74" s="4" t="s">
        <v>1963</v>
      </c>
      <c r="M74" s="93">
        <v>45568</v>
      </c>
      <c r="N74" s="4"/>
      <c r="O74" s="4"/>
      <c r="P74" s="93"/>
      <c r="Q74" s="4"/>
      <c r="R74" s="4"/>
      <c r="S74" s="93"/>
      <c r="T74" s="4"/>
      <c r="U74" s="4"/>
      <c r="V74" s="93"/>
    </row>
    <row r="75" spans="1:22" x14ac:dyDescent="0.3">
      <c r="A75" s="4">
        <f>'ECN Master Project Tracker new'!A76</f>
        <v>2405266</v>
      </c>
      <c r="B75" s="108" t="str">
        <f>VLOOKUP(A:A,Table1[[#All],[Project No]:[Additional Remark]],2,FALSE)</f>
        <v>Goh Wee Bang (Goh Swee Teng)</v>
      </c>
      <c r="C75" s="4" t="str">
        <f>VLOOKUP(A:A,Table1[[Project No]:[Additional Remark]],19,FALSE)</f>
        <v>750605-10-5255</v>
      </c>
      <c r="D75" s="4" t="str">
        <f>VLOOKUP(A:A,Table1[[Project No]:[Additional Remark]],20,FALSE)</f>
        <v>No 12A, Jln Cokmar 2 K, Tmn Mutiara Bkt Raja, 41050 Klang, Selangor Darul Ehsan</v>
      </c>
      <c r="E75" s="4" t="str">
        <f>VLOOKUP(A:A,Table1[[Project No]:[Additional Remark]],21,FALSE)</f>
        <v>012-2313922</v>
      </c>
      <c r="F75" s="4" t="str">
        <f>VLOOKUP(A:A,Table1[[Project No]:[Additional Remark]],22,FALSE)</f>
        <v>vbangoh1975@gmail.com</v>
      </c>
      <c r="G75" s="55">
        <f>VLOOKUP(A:A,Table1[[Project No]:[Additional Remark]],11,FALSE)</f>
        <v>41000</v>
      </c>
      <c r="H75" s="4" t="str">
        <f>VLOOKUP(A:A,Table1[[Project No]:[Additional Remark]],5,FALSE)</f>
        <v>R-PV</v>
      </c>
      <c r="I75" s="4">
        <f>VLOOKUP(A:A,Table1[[Project No]:[Additional Remark]],8,FALSE)</f>
        <v>13.455</v>
      </c>
      <c r="J75" s="4" t="str">
        <f>VLOOKUP(A:A,Table1[[Project No]:[Additional Remark]],23,FALSE)</f>
        <v>3 years</v>
      </c>
      <c r="K75" s="4" t="s">
        <v>1902</v>
      </c>
      <c r="L75" s="4" t="s">
        <v>1964</v>
      </c>
      <c r="M75" s="93">
        <v>45568</v>
      </c>
      <c r="N75" s="4"/>
      <c r="O75" s="4"/>
      <c r="P75" s="93"/>
      <c r="Q75" s="4"/>
      <c r="R75" s="4"/>
      <c r="S75" s="93"/>
      <c r="T75" s="4"/>
      <c r="U75" s="4"/>
      <c r="V75" s="93"/>
    </row>
    <row r="76" spans="1:22" x14ac:dyDescent="0.3">
      <c r="A76" s="4">
        <f>'ECN Master Project Tracker new'!A77</f>
        <v>2405280</v>
      </c>
      <c r="B76" s="108" t="str">
        <f>VLOOKUP(A:A,Table1[[#All],[Project No]:[Additional Remark]],2,FALSE)</f>
        <v>Teoh Kah Ming</v>
      </c>
      <c r="C76" s="4" t="str">
        <f>VLOOKUP(A:A,Table1[[Project No]:[Additional Remark]],19,FALSE)</f>
        <v>880326-14-5807</v>
      </c>
      <c r="D76" s="4" t="str">
        <f>VLOOKUP(A:A,Table1[[Project No]:[Additional Remark]],20,FALSE)</f>
        <v>No 5, Jln Kemuning Indah 32/141J, Kemuning Utama, 40460 Shah Alam, Selangor Darul Ehsan</v>
      </c>
      <c r="E76" s="4" t="str">
        <f>VLOOKUP(A:A,Table1[[Project No]:[Additional Remark]],21,FALSE)</f>
        <v>012-6777309</v>
      </c>
      <c r="F76" s="4" t="str">
        <f>VLOOKUP(A:A,Table1[[Project No]:[Additional Remark]],22,FALSE)</f>
        <v>kahming.teoh@gmail.com</v>
      </c>
      <c r="G76" s="55">
        <f>VLOOKUP(A:A,Table1[[Project No]:[Additional Remark]],11,FALSE)</f>
        <v>34600</v>
      </c>
      <c r="H76" s="4" t="str">
        <f>VLOOKUP(A:A,Table1[[Project No]:[Additional Remark]],5,FALSE)</f>
        <v>R-PV</v>
      </c>
      <c r="I76" s="4">
        <f>VLOOKUP(A:A,Table1[[Project No]:[Additional Remark]],8,FALSE)</f>
        <v>9.36</v>
      </c>
      <c r="J76" s="4" t="str">
        <f>VLOOKUP(A:A,Table1[[Project No]:[Additional Remark]],23,FALSE)</f>
        <v>3 years</v>
      </c>
      <c r="K76" s="4" t="s">
        <v>1902</v>
      </c>
      <c r="L76" s="4" t="s">
        <v>1965</v>
      </c>
      <c r="M76" s="93">
        <v>45568</v>
      </c>
      <c r="N76" s="4"/>
      <c r="O76" s="4"/>
      <c r="P76" s="93"/>
      <c r="Q76" s="4"/>
      <c r="R76" s="4"/>
      <c r="S76" s="93"/>
      <c r="T76" s="4"/>
      <c r="U76" s="4"/>
      <c r="V76" s="93"/>
    </row>
    <row r="77" spans="1:22" s="123" customFormat="1" x14ac:dyDescent="0.3">
      <c r="A77" s="122">
        <f>'ECN Master Project Tracker new'!A78</f>
        <v>2405294</v>
      </c>
      <c r="B77" s="136" t="str">
        <f>VLOOKUP(A:A,Table1[[#All],[Project No]:[Additional Remark]],2,FALSE)</f>
        <v>Gan Wei Kuan</v>
      </c>
      <c r="C77" s="70">
        <f>VLOOKUP(A:A,Table1[[Project No]:[Additional Remark]],19,FALSE)</f>
        <v>0</v>
      </c>
      <c r="D77" s="70">
        <f>VLOOKUP(A:A,Table1[[Project No]:[Additional Remark]],20,FALSE)</f>
        <v>0</v>
      </c>
      <c r="E77" s="70">
        <f>VLOOKUP(A:A,Table1[[Project No]:[Additional Remark]],21,FALSE)</f>
        <v>0</v>
      </c>
      <c r="F77" s="70">
        <f>VLOOKUP(A:A,Table1[[Project No]:[Additional Remark]],22,FALSE)</f>
        <v>0</v>
      </c>
      <c r="G77" s="137">
        <f>VLOOKUP(A:A,Table1[[Project No]:[Additional Remark]],11,FALSE)</f>
        <v>25100</v>
      </c>
      <c r="H77" s="122">
        <f>VLOOKUP(A:A,Table1[[Project No]:[Additional Remark]],5,FALSE)</f>
        <v>0</v>
      </c>
      <c r="I77" s="122">
        <f>VLOOKUP(A:A,Table1[[Project No]:[Additional Remark]],8,FALSE)</f>
        <v>7.02</v>
      </c>
      <c r="J77" s="122" t="str">
        <f>VLOOKUP(A:A,Table1[[Project No]:[Additional Remark]],23,FALSE)</f>
        <v>3 years</v>
      </c>
      <c r="K77" s="163" t="s">
        <v>1925</v>
      </c>
      <c r="L77" s="164"/>
      <c r="M77" s="164"/>
      <c r="N77" s="164"/>
      <c r="O77" s="164"/>
      <c r="P77" s="164"/>
      <c r="Q77" s="164"/>
      <c r="R77" s="164"/>
      <c r="S77" s="164"/>
      <c r="T77" s="164"/>
      <c r="U77" s="164"/>
      <c r="V77" s="165"/>
    </row>
    <row r="78" spans="1:22" x14ac:dyDescent="0.3">
      <c r="A78" s="4">
        <f>'ECN Master Project Tracker new'!A79</f>
        <v>2405296</v>
      </c>
      <c r="B78" s="108" t="str">
        <f>VLOOKUP(A:A,Table1[[#All],[Project No]:[Additional Remark]],2,FALSE)</f>
        <v>Haiu Chan Lai</v>
      </c>
      <c r="C78" s="4" t="str">
        <f>VLOOKUP(A:A,Table1[[Project No]:[Additional Remark]],19,FALSE)</f>
        <v>670120-11-5324</v>
      </c>
      <c r="D78" s="4" t="str">
        <f>VLOOKUP(A:A,Table1[[Project No]:[Additional Remark]],20,FALSE)</f>
        <v>41, Jln Daun Inai 7, Sunway SPK Damansara, 52200 Kuala Lumpur, WP Kuala Lumpur</v>
      </c>
      <c r="E78" s="4" t="str">
        <f>VLOOKUP(A:A,Table1[[Project No]:[Additional Remark]],21,FALSE)</f>
        <v>012-3760333</v>
      </c>
      <c r="F78" s="4" t="str">
        <f>VLOOKUP(A:A,Table1[[Project No]:[Additional Remark]],22,FALSE)</f>
        <v>jacquelinehaiu@gmail.com</v>
      </c>
      <c r="G78" s="55">
        <f>VLOOKUP(A:A,Table1[[Project No]:[Additional Remark]],11,FALSE)</f>
        <v>32000</v>
      </c>
      <c r="H78" s="4" t="str">
        <f>VLOOKUP(A:A,Table1[[Project No]:[Additional Remark]],5,FALSE)</f>
        <v>R-PV</v>
      </c>
      <c r="I78" s="4">
        <f>VLOOKUP(A:A,Table1[[Project No]:[Additional Remark]],8,FALSE)</f>
        <v>8.7750000000000004</v>
      </c>
      <c r="J78" s="4" t="str">
        <f>VLOOKUP(A:A,Table1[[Project No]:[Additional Remark]],23,FALSE)</f>
        <v>3 years</v>
      </c>
      <c r="K78" s="4" t="s">
        <v>1902</v>
      </c>
      <c r="L78" s="4" t="s">
        <v>1966</v>
      </c>
      <c r="M78" s="93">
        <v>45750</v>
      </c>
      <c r="N78" s="4"/>
      <c r="O78" s="4"/>
      <c r="P78" s="4"/>
      <c r="Q78" s="4"/>
      <c r="R78" s="4"/>
      <c r="S78" s="4"/>
      <c r="T78" s="4"/>
      <c r="U78" s="4"/>
      <c r="V78" s="4"/>
    </row>
    <row r="79" spans="1:22" x14ac:dyDescent="0.3">
      <c r="A79" s="4">
        <f>'ECN Master Project Tracker new'!A80</f>
        <v>2405307</v>
      </c>
      <c r="B79" s="108" t="str">
        <f>VLOOKUP(A:A,Table1[[#All],[Project No]:[Additional Remark]],2,FALSE)</f>
        <v>Shreeram Nadarajah</v>
      </c>
      <c r="C79" s="4" t="str">
        <f>VLOOKUP(A:A,Table1[[Project No]:[Additional Remark]],19,FALSE)</f>
        <v>760726-14-5391</v>
      </c>
      <c r="D79" s="4" t="str">
        <f>VLOOKUP(A:A,Table1[[Project No]:[Additional Remark]],20,FALSE)</f>
        <v>123, Jalan Terasek 1, Bangsar Baru, Bangsar, 59100 Kuala Lumpur, WP Kuala Lumpur</v>
      </c>
      <c r="E79" s="4" t="str">
        <f>VLOOKUP(A:A,Table1[[Project No]:[Additional Remark]],21,FALSE)</f>
        <v>019-2619729</v>
      </c>
      <c r="F79" s="4" t="str">
        <f>VLOOKUP(A:A,Table1[[Project No]:[Additional Remark]],22,FALSE)</f>
        <v>shreeram.nadarajah@gmail.com</v>
      </c>
      <c r="G79" s="55">
        <f>VLOOKUP(A:A,Table1[[Project No]:[Additional Remark]],11,FALSE)</f>
        <v>28000</v>
      </c>
      <c r="H79" s="4" t="str">
        <f>VLOOKUP(A:A,Table1[[Project No]:[Additional Remark]],5,FALSE)</f>
        <v>R-PV</v>
      </c>
      <c r="I79" s="4">
        <f>VLOOKUP(A:A,Table1[[Project No]:[Additional Remark]],8,FALSE)</f>
        <v>8.19</v>
      </c>
      <c r="J79" s="4" t="str">
        <f>VLOOKUP(A:A,Table1[[Project No]:[Additional Remark]],23,FALSE)</f>
        <v>1 year</v>
      </c>
      <c r="K79" s="4" t="s">
        <v>1902</v>
      </c>
      <c r="L79" s="4" t="s">
        <v>1967</v>
      </c>
      <c r="M79" s="93">
        <v>45568</v>
      </c>
      <c r="N79" s="163" t="s">
        <v>109</v>
      </c>
      <c r="O79" s="164" t="s">
        <v>109</v>
      </c>
      <c r="P79" s="165"/>
      <c r="Q79" s="163" t="s">
        <v>109</v>
      </c>
      <c r="R79" s="164"/>
      <c r="S79" s="165"/>
      <c r="T79" s="163" t="s">
        <v>109</v>
      </c>
      <c r="U79" s="164"/>
      <c r="V79" s="165"/>
    </row>
    <row r="80" spans="1:22" x14ac:dyDescent="0.3">
      <c r="A80" s="4">
        <f>'ECN Master Project Tracker new'!A81</f>
        <v>2404227</v>
      </c>
      <c r="B80" s="108" t="str">
        <f>VLOOKUP(A:A,Table1[[#All],[Project No]:[Additional Remark]],2,FALSE)</f>
        <v>Datin Tai Bee Choon</v>
      </c>
      <c r="C80" s="4" t="str">
        <f>VLOOKUP(A:A,Table1[[Project No]:[Additional Remark]],19,FALSE)</f>
        <v>760817-01-5584</v>
      </c>
      <c r="D80" s="4" t="str">
        <f>VLOOKUP(A:A,Table1[[Project No]:[Additional Remark]],20,FALSE)</f>
        <v>No 16, Jln Setia Tropika 15/1, Tmn Setia Tropika, 81200 Johor Bahru. Johor Darul Takzim</v>
      </c>
      <c r="E80" s="4" t="str">
        <f>VLOOKUP(A:A,Table1[[Project No]:[Additional Remark]],21,FALSE)</f>
        <v>013-8222255</v>
      </c>
      <c r="F80" s="4" t="str">
        <f>VLOOKUP(A:A,Table1[[Project No]:[Additional Remark]],22,FALSE)</f>
        <v>datoivan@ungguhgroup.com</v>
      </c>
      <c r="G80" s="55">
        <f>VLOOKUP(A:A,Table1[[Project No]:[Additional Remark]],11,FALSE)</f>
        <v>52400</v>
      </c>
      <c r="H80" s="4" t="str">
        <f>VLOOKUP(A:A,Table1[[Project No]:[Additional Remark]],5,FALSE)</f>
        <v>R-PV</v>
      </c>
      <c r="I80" s="4">
        <f>VLOOKUP(A:A,Table1[[Project No]:[Additional Remark]],8,FALSE)</f>
        <v>17.55</v>
      </c>
      <c r="J80" s="4" t="str">
        <f>VLOOKUP(A:A,Table1[[Project No]:[Additional Remark]],23,FALSE)</f>
        <v>3 years</v>
      </c>
      <c r="K80" s="4" t="s">
        <v>1902</v>
      </c>
      <c r="L80" s="4" t="s">
        <v>1968</v>
      </c>
      <c r="M80" s="93">
        <v>45750</v>
      </c>
      <c r="N80" s="4"/>
      <c r="O80" s="4"/>
      <c r="P80" s="4"/>
      <c r="Q80" s="4"/>
      <c r="R80" s="4"/>
      <c r="S80" s="4"/>
      <c r="T80" s="4"/>
      <c r="U80" s="4"/>
      <c r="V80" s="4"/>
    </row>
    <row r="81" spans="1:22" x14ac:dyDescent="0.3">
      <c r="A81" s="4">
        <f>'ECN Master Project Tracker new'!A82</f>
        <v>2405315</v>
      </c>
      <c r="B81" s="108" t="str">
        <f>VLOOKUP(A:A,Table1[[#All],[Project No]:[Additional Remark]],2,FALSE)</f>
        <v>Yeap Say Woei</v>
      </c>
      <c r="C81" s="4" t="str">
        <f>VLOOKUP(A:A,Table1[[Project No]:[Additional Remark]],19,FALSE)</f>
        <v>800117-02-5697</v>
      </c>
      <c r="D81" s="4" t="str">
        <f>VLOOKUP(A:A,Table1[[Project No]:[Additional Remark]],20,FALSE)</f>
        <v>10, Bukit Dumbar Residences, Lorong Batu Gajah, 11600 Jelutong, Pulau Pinang</v>
      </c>
      <c r="E81" s="4" t="str">
        <f>VLOOKUP(A:A,Table1[[Project No]:[Additional Remark]],21,FALSE)</f>
        <v>012-4776246</v>
      </c>
      <c r="F81" s="4" t="str">
        <f>VLOOKUP(A:A,Table1[[Project No]:[Additional Remark]],22,FALSE)</f>
        <v>saywoei@yahoo.com</v>
      </c>
      <c r="G81" s="55">
        <f>VLOOKUP(A:A,Table1[[Project No]:[Additional Remark]],11,FALSE)</f>
        <v>40000</v>
      </c>
      <c r="H81" s="4" t="str">
        <f>VLOOKUP(A:A,Table1[[Project No]:[Additional Remark]],5,FALSE)</f>
        <v>R-PV</v>
      </c>
      <c r="I81" s="4">
        <f>VLOOKUP(A:A,Table1[[Project No]:[Additional Remark]],8,FALSE)</f>
        <v>13.455</v>
      </c>
      <c r="J81" s="4" t="str">
        <f>VLOOKUP(A:A,Table1[[Project No]:[Additional Remark]],23,FALSE)</f>
        <v>3 years</v>
      </c>
      <c r="K81" s="4" t="s">
        <v>1902</v>
      </c>
      <c r="L81" s="4" t="s">
        <v>1969</v>
      </c>
      <c r="M81" s="93">
        <v>45568</v>
      </c>
      <c r="N81" s="4"/>
      <c r="O81" s="4"/>
      <c r="P81" s="93"/>
      <c r="Q81" s="4"/>
      <c r="R81" s="4"/>
      <c r="S81" s="93"/>
      <c r="T81" s="4"/>
      <c r="U81" s="4"/>
      <c r="V81" s="93"/>
    </row>
    <row r="82" spans="1:22" x14ac:dyDescent="0.3">
      <c r="A82" s="4">
        <f>'ECN Master Project Tracker new'!A83</f>
        <v>2405319</v>
      </c>
      <c r="B82" s="108" t="str">
        <f>VLOOKUP(A:A,Table1[[#All],[Project No]:[Additional Remark]],2,FALSE)</f>
        <v>Tan Zhi Cheng</v>
      </c>
      <c r="C82" s="4" t="str">
        <f>VLOOKUP(A:A,Table1[[Project No]:[Additional Remark]],19,FALSE)</f>
        <v>840518-09-5203</v>
      </c>
      <c r="D82" s="4" t="str">
        <f>VLOOKUP(A:A,Table1[[Project No]:[Additional Remark]],20,FALSE)</f>
        <v>15, Jalan BK 2/7, Bandar Kinrara, 47180 Puchong, Selangor Darul Ehsan</v>
      </c>
      <c r="E82" s="4" t="str">
        <f>VLOOKUP(A:A,Table1[[Project No]:[Additional Remark]],21,FALSE)</f>
        <v>016-4010372</v>
      </c>
      <c r="F82" s="4" t="str">
        <f>VLOOKUP(A:A,Table1[[Project No]:[Additional Remark]],22,FALSE)</f>
        <v>tzcheng07@gmail.com</v>
      </c>
      <c r="G82" s="55">
        <f>VLOOKUP(A:A,Table1[[Project No]:[Additional Remark]],11,FALSE)</f>
        <v>26240</v>
      </c>
      <c r="H82" s="4" t="str">
        <f>VLOOKUP(A:A,Table1[[Project No]:[Additional Remark]],5,FALSE)</f>
        <v>R-PV</v>
      </c>
      <c r="I82" s="4">
        <f>VLOOKUP(A:A,Table1[[Project No]:[Additional Remark]],8,FALSE)</f>
        <v>7.02</v>
      </c>
      <c r="J82" s="4" t="str">
        <f>VLOOKUP(A:A,Table1[[Project No]:[Additional Remark]],23,FALSE)</f>
        <v>3 years</v>
      </c>
      <c r="K82" s="4" t="s">
        <v>1902</v>
      </c>
      <c r="L82" s="4" t="s">
        <v>1970</v>
      </c>
      <c r="M82" s="93">
        <v>45568</v>
      </c>
      <c r="N82" s="4"/>
      <c r="O82" s="4"/>
      <c r="P82" s="93"/>
      <c r="Q82" s="4"/>
      <c r="R82" s="4"/>
      <c r="S82" s="93"/>
      <c r="T82" s="4"/>
      <c r="U82" s="4"/>
      <c r="V82" s="93"/>
    </row>
    <row r="83" spans="1:22" x14ac:dyDescent="0.3">
      <c r="A83" s="4">
        <f>'ECN Master Project Tracker new'!A84</f>
        <v>2405288</v>
      </c>
      <c r="B83" s="108" t="str">
        <f>VLOOKUP(A:A,Table1[[#All],[Project No]:[Additional Remark]],2,FALSE)</f>
        <v>Teh Siew Eng</v>
      </c>
      <c r="C83" s="4" t="str">
        <f>VLOOKUP(A:A,Table1[[Project No]:[Additional Remark]],19,FALSE)</f>
        <v>531030-08-5440</v>
      </c>
      <c r="D83" s="4" t="str">
        <f>VLOOKUP(A:A,Table1[[Project No]:[Additional Remark]],20,FALSE)</f>
        <v>No 49, Jln Kasipillay, 51200 Kuala Lumpur, WP Kuala Lumpur</v>
      </c>
      <c r="E83" s="4" t="str">
        <f>VLOOKUP(A:A,Table1[[Project No]:[Additional Remark]],21,FALSE)</f>
        <v>012-2290951</v>
      </c>
      <c r="F83" s="4" t="str">
        <f>VLOOKUP(A:A,Table1[[Project No]:[Additional Remark]],22,FALSE)</f>
        <v>fattychuah@gmail.com</v>
      </c>
      <c r="G83" s="55">
        <f>VLOOKUP(A:A,Table1[[Project No]:[Additional Remark]],11,FALSE)</f>
        <v>41840</v>
      </c>
      <c r="H83" s="4" t="str">
        <f>VLOOKUP(A:A,Table1[[Project No]:[Additional Remark]],5,FALSE)</f>
        <v>R-PV</v>
      </c>
      <c r="I83" s="4">
        <f>VLOOKUP(A:A,Table1[[Project No]:[Additional Remark]],8,FALSE)</f>
        <v>12.285</v>
      </c>
      <c r="J83" s="4" t="str">
        <f>VLOOKUP(A:A,Table1[[Project No]:[Additional Remark]],23,FALSE)</f>
        <v>3 years</v>
      </c>
      <c r="K83" s="4" t="s">
        <v>1902</v>
      </c>
      <c r="L83" s="4" t="s">
        <v>1971</v>
      </c>
      <c r="M83" s="93">
        <v>45568</v>
      </c>
      <c r="N83" s="4"/>
      <c r="O83" s="4"/>
      <c r="P83" s="93"/>
      <c r="Q83" s="4"/>
      <c r="R83" s="4"/>
      <c r="S83" s="93"/>
      <c r="T83" s="4"/>
      <c r="U83" s="4"/>
      <c r="V83" s="93"/>
    </row>
    <row r="84" spans="1:22" x14ac:dyDescent="0.3">
      <c r="A84" s="4">
        <f>'ECN Master Project Tracker new'!A85</f>
        <v>2404256</v>
      </c>
      <c r="B84" s="108" t="str">
        <f>VLOOKUP(A:A,Table1[[#All],[Project No]:[Additional Remark]],2,FALSE)</f>
        <v>Lai Chun Wai</v>
      </c>
      <c r="C84" s="4" t="str">
        <f>VLOOKUP(A:A,Table1[[Project No]:[Additional Remark]],19,FALSE)</f>
        <v>711015-14-5159</v>
      </c>
      <c r="D84" s="4" t="str">
        <f>VLOOKUP(A:A,Table1[[Project No]:[Additional Remark]],20,FALSE)</f>
        <v>No  31, Lrg Sri Kuantan 55, Tmn Timur, 25150 Kuantan, Pahang Darul Makmur</v>
      </c>
      <c r="E84" s="4" t="str">
        <f>VLOOKUP(A:A,Table1[[Project No]:[Additional Remark]],21,FALSE)</f>
        <v>012-3879932</v>
      </c>
      <c r="F84" s="4" t="str">
        <f>VLOOKUP(A:A,Table1[[Project No]:[Additional Remark]],22,FALSE)</f>
        <v>chunwai103@gmail.com</v>
      </c>
      <c r="G84" s="55">
        <f>VLOOKUP(A:A,Table1[[Project No]:[Additional Remark]],11,FALSE)</f>
        <v>33100</v>
      </c>
      <c r="H84" s="4" t="str">
        <f>VLOOKUP(A:A,Table1[[Project No]:[Additional Remark]],5,FALSE)</f>
        <v>R-PV</v>
      </c>
      <c r="I84" s="4">
        <f>VLOOKUP(A:A,Table1[[Project No]:[Additional Remark]],8,FALSE)</f>
        <v>8.7750000000000004</v>
      </c>
      <c r="J84" s="4" t="str">
        <f>VLOOKUP(A:A,Table1[[Project No]:[Additional Remark]],23,FALSE)</f>
        <v>3 years</v>
      </c>
      <c r="K84" s="4" t="s">
        <v>1902</v>
      </c>
      <c r="L84" s="4" t="s">
        <v>1972</v>
      </c>
      <c r="M84" s="93">
        <v>45750</v>
      </c>
      <c r="N84" s="4"/>
      <c r="O84" s="4"/>
      <c r="P84" s="4"/>
      <c r="Q84" s="4"/>
      <c r="R84" s="4"/>
      <c r="S84" s="4"/>
      <c r="T84" s="4"/>
      <c r="U84" s="4"/>
      <c r="V84" s="4"/>
    </row>
    <row r="85" spans="1:22" x14ac:dyDescent="0.3">
      <c r="A85" s="4">
        <f>'ECN Master Project Tracker new'!A86</f>
        <v>2406323</v>
      </c>
      <c r="B85" s="108" t="str">
        <f>VLOOKUP(A:A,Table1[[#All],[Project No]:[Additional Remark]],2,FALSE)</f>
        <v>Tay Poh Chai</v>
      </c>
      <c r="C85" s="4" t="str">
        <f>VLOOKUP(A:A,Table1[[Project No]:[Additional Remark]],19,FALSE)</f>
        <v>730209-04-5037</v>
      </c>
      <c r="D85" s="4" t="str">
        <f>VLOOKUP(A:A,Table1[[Project No]:[Additional Remark]],20,FALSE)</f>
        <v>53, Jalan Saujana Duta 7, Saujana Duta, Seremban 2 Heights, 70300 Seremban, Negeri Sembilan Darul Khusus</v>
      </c>
      <c r="E85" s="4" t="str">
        <f>VLOOKUP(A:A,Table1[[Project No]:[Additional Remark]],21,FALSE)</f>
        <v>019-6616826</v>
      </c>
      <c r="F85" s="4" t="str">
        <f>VLOOKUP(A:A,Table1[[Project No]:[Additional Remark]],22,FALSE)</f>
        <v>alextaypohchai@hotmail.com</v>
      </c>
      <c r="G85" s="55">
        <f>VLOOKUP(A:A,Table1[[Project No]:[Additional Remark]],11,FALSE)</f>
        <v>40000</v>
      </c>
      <c r="H85" s="4" t="str">
        <f>VLOOKUP(A:A,Table1[[Project No]:[Additional Remark]],5,FALSE)</f>
        <v>R-PV</v>
      </c>
      <c r="I85" s="4">
        <f>VLOOKUP(A:A,Table1[[Project No]:[Additional Remark]],8,FALSE)</f>
        <v>14.04</v>
      </c>
      <c r="J85" s="4" t="str">
        <f>VLOOKUP(A:A,Table1[[Project No]:[Additional Remark]],23,FALSE)</f>
        <v>3 years</v>
      </c>
      <c r="K85" s="4" t="s">
        <v>1902</v>
      </c>
      <c r="L85" s="4" t="s">
        <v>1973</v>
      </c>
      <c r="M85" s="93">
        <v>45568</v>
      </c>
      <c r="N85" s="4"/>
      <c r="O85" s="4"/>
      <c r="P85" s="93"/>
      <c r="Q85" s="4"/>
      <c r="R85" s="4"/>
      <c r="S85" s="93"/>
      <c r="T85" s="4"/>
      <c r="U85" s="4"/>
      <c r="V85" s="93"/>
    </row>
    <row r="86" spans="1:22" x14ac:dyDescent="0.3">
      <c r="A86" s="4">
        <f>'ECN Master Project Tracker new'!A87</f>
        <v>2406336</v>
      </c>
      <c r="B86" s="108" t="str">
        <f>VLOOKUP(A:A,Table1[[#All],[Project No]:[Additional Remark]],2,FALSE)</f>
        <v>Alex How Chee Keong</v>
      </c>
      <c r="C86" s="4" t="str">
        <f>VLOOKUP(A:A,Table1[[Project No]:[Additional Remark]],19,FALSE)</f>
        <v>770202-14-5437</v>
      </c>
      <c r="D86" s="4" t="str">
        <f>VLOOKUP(A:A,Table1[[Project No]:[Additional Remark]],20,FALSE)</f>
        <v>Unit 16, Zenia Jalan Residen 2, Desa Parkcity, 52200 Kuala Lumpur, WP Kuala Lumpur</v>
      </c>
      <c r="E86" s="4" t="str">
        <f>VLOOKUP(A:A,Table1[[Project No]:[Additional Remark]],21,FALSE)</f>
        <v>012-3453457</v>
      </c>
      <c r="F86" s="4" t="str">
        <f>VLOOKUP(A:A,Table1[[Project No]:[Additional Remark]],22,FALSE)</f>
        <v>keongko@hotmail.com</v>
      </c>
      <c r="G86" s="55">
        <f>VLOOKUP(A:A,Table1[[Project No]:[Additional Remark]],11,FALSE)</f>
        <v>31000</v>
      </c>
      <c r="H86" s="4" t="str">
        <f>VLOOKUP(A:A,Table1[[Project No]:[Additional Remark]],5,FALSE)</f>
        <v>R-PV</v>
      </c>
      <c r="I86" s="4">
        <f>VLOOKUP(A:A,Table1[[Project No]:[Additional Remark]],8,FALSE)</f>
        <v>11.7</v>
      </c>
      <c r="J86" s="4" t="str">
        <f>VLOOKUP(A:A,Table1[[Project No]:[Additional Remark]],23,FALSE)</f>
        <v>1 year</v>
      </c>
      <c r="K86" s="4" t="s">
        <v>1902</v>
      </c>
      <c r="L86" s="4" t="s">
        <v>1974</v>
      </c>
      <c r="M86" s="93">
        <v>45568</v>
      </c>
      <c r="N86" s="163" t="s">
        <v>109</v>
      </c>
      <c r="O86" s="164" t="s">
        <v>109</v>
      </c>
      <c r="P86" s="165"/>
      <c r="Q86" s="163" t="s">
        <v>109</v>
      </c>
      <c r="R86" s="164"/>
      <c r="S86" s="165"/>
      <c r="T86" s="163" t="s">
        <v>109</v>
      </c>
      <c r="U86" s="164"/>
      <c r="V86" s="165"/>
    </row>
    <row r="87" spans="1:22" x14ac:dyDescent="0.3">
      <c r="A87" s="4">
        <f>'ECN Master Project Tracker new'!A88</f>
        <v>2406340</v>
      </c>
      <c r="B87" s="108" t="str">
        <f>VLOOKUP(A:A,Table1[[#All],[Project No]:[Additional Remark]],2,FALSE)</f>
        <v>How Mei Cheng</v>
      </c>
      <c r="C87" s="4" t="str">
        <f>VLOOKUP(A:A,Table1[[Project No]:[Additional Remark]],19,FALSE)</f>
        <v>811203-14-5656</v>
      </c>
      <c r="D87" s="4" t="str">
        <f>VLOOKUP(A:A,Table1[[Project No]:[Additional Remark]],20,FALSE)</f>
        <v>2-134, Jalan Udang Ketak, Taman Sri Segambut, 52000 Kuala Lumpur, WP Kuala Lumpur</v>
      </c>
      <c r="E87" s="4" t="str">
        <f>VLOOKUP(A:A,Table1[[Project No]:[Additional Remark]],21,FALSE)</f>
        <v>012-2012123</v>
      </c>
      <c r="F87" s="4" t="str">
        <f>VLOOKUP(A:A,Table1[[Project No]:[Additional Remark]],22,FALSE)</f>
        <v>joe_hmc@hotmail.com</v>
      </c>
      <c r="G87" s="55">
        <f>VLOOKUP(A:A,Table1[[Project No]:[Additional Remark]],11,FALSE)</f>
        <v>24100</v>
      </c>
      <c r="H87" s="4" t="str">
        <f>VLOOKUP(A:A,Table1[[Project No]:[Additional Remark]],5,FALSE)</f>
        <v>R-PV</v>
      </c>
      <c r="I87" s="4">
        <f>VLOOKUP(A:A,Table1[[Project No]:[Additional Remark]],8,FALSE)</f>
        <v>7.02</v>
      </c>
      <c r="J87" s="4" t="str">
        <f>VLOOKUP(A:A,Table1[[Project No]:[Additional Remark]],23,FALSE)</f>
        <v>3 years</v>
      </c>
      <c r="K87" s="4" t="s">
        <v>1902</v>
      </c>
      <c r="L87" s="4" t="s">
        <v>1975</v>
      </c>
      <c r="M87" s="93">
        <v>45568</v>
      </c>
      <c r="N87" s="4"/>
      <c r="O87" s="4"/>
      <c r="P87" s="93"/>
      <c r="Q87" s="4"/>
      <c r="R87" s="4"/>
      <c r="S87" s="93"/>
      <c r="T87" s="4"/>
      <c r="U87" s="4"/>
      <c r="V87" s="93"/>
    </row>
    <row r="88" spans="1:22" x14ac:dyDescent="0.3">
      <c r="A88" s="4">
        <f>'ECN Master Project Tracker new'!A89</f>
        <v>2406355</v>
      </c>
      <c r="B88" s="108" t="str">
        <f>VLOOKUP(A:A,Table1[[#All],[Project No]:[Additional Remark]],2,FALSE)</f>
        <v>Windy Ng</v>
      </c>
      <c r="C88" s="4" t="str">
        <f>VLOOKUP(A:A,Table1[[Project No]:[Additional Remark]],19,FALSE)</f>
        <v>820717-01-5204</v>
      </c>
      <c r="D88" s="4" t="str">
        <f>VLOOKUP(A:A,Table1[[Project No]:[Additional Remark]],20,FALSE)</f>
        <v>13, Jalan U13/53H, Eco Ardence, Seksyen U13, 40170 Shah Alam, Selangor Darul Ehsan</v>
      </c>
      <c r="E88" s="4" t="str">
        <f>VLOOKUP(A:A,Table1[[Project No]:[Additional Remark]],21,FALSE)</f>
        <v>017-7753119</v>
      </c>
      <c r="F88" s="4" t="str">
        <f>VLOOKUP(A:A,Table1[[Project No]:[Additional Remark]],22,FALSE)</f>
        <v>yellowwindy@hotmail.com</v>
      </c>
      <c r="G88" s="55">
        <f>VLOOKUP(A:A,Table1[[Project No]:[Additional Remark]],11,FALSE)</f>
        <v>27000</v>
      </c>
      <c r="H88" s="4" t="str">
        <f>VLOOKUP(A:A,Table1[[Project No]:[Additional Remark]],5,FALSE)</f>
        <v>R-PV</v>
      </c>
      <c r="I88" s="4">
        <f>VLOOKUP(A:A,Table1[[Project No]:[Additional Remark]],8,FALSE)</f>
        <v>9.36</v>
      </c>
      <c r="J88" s="4" t="str">
        <f>VLOOKUP(A:A,Table1[[Project No]:[Additional Remark]],23,FALSE)</f>
        <v>N/A</v>
      </c>
      <c r="K88" s="163" t="s">
        <v>109</v>
      </c>
      <c r="L88" s="164" t="s">
        <v>109</v>
      </c>
      <c r="M88" s="165"/>
      <c r="N88" s="163" t="s">
        <v>109</v>
      </c>
      <c r="O88" s="164" t="s">
        <v>109</v>
      </c>
      <c r="P88" s="165"/>
      <c r="Q88" s="163" t="s">
        <v>109</v>
      </c>
      <c r="R88" s="164" t="s">
        <v>109</v>
      </c>
      <c r="S88" s="165"/>
      <c r="T88" s="163" t="s">
        <v>109</v>
      </c>
      <c r="U88" s="164" t="s">
        <v>109</v>
      </c>
      <c r="V88" s="165"/>
    </row>
    <row r="89" spans="1:22" x14ac:dyDescent="0.3">
      <c r="A89" s="4">
        <f>'ECN Master Project Tracker new'!A90</f>
        <v>2406357</v>
      </c>
      <c r="B89" s="108" t="str">
        <f>VLOOKUP(A:A,Table1[[#All],[Project No]:[Additional Remark]],2,FALSE)</f>
        <v>Zainuddin Zin</v>
      </c>
      <c r="C89" s="4" t="str">
        <f>VLOOKUP(A:A,Table1[[Project No]:[Additional Remark]],19,FALSE)</f>
        <v>590911-06-5319</v>
      </c>
      <c r="D89" s="4" t="str">
        <f>VLOOKUP(A:A,Table1[[Project No]:[Additional Remark]],20,FALSE)</f>
        <v>8, Lrg Kg Panching 10, Kg Panching, 26090 Kuantan, Pahang Darul Makmur</v>
      </c>
      <c r="E89" s="4" t="str">
        <f>VLOOKUP(A:A,Table1[[Project No]:[Additional Remark]],21,FALSE)</f>
        <v>019-9774850</v>
      </c>
      <c r="F89" s="4" t="str">
        <f>VLOOKUP(A:A,Table1[[Project No]:[Additional Remark]],22,FALSE)</f>
        <v>zainudinzin@gmail.com</v>
      </c>
      <c r="G89" s="55">
        <f>VLOOKUP(A:A,Table1[[Project No]:[Additional Remark]],11,FALSE)</f>
        <v>38000</v>
      </c>
      <c r="H89" s="4" t="str">
        <f>VLOOKUP(A:A,Table1[[Project No]:[Additional Remark]],5,FALSE)</f>
        <v>R-PV</v>
      </c>
      <c r="I89" s="4">
        <f>VLOOKUP(A:A,Table1[[Project No]:[Additional Remark]],8,FALSE)</f>
        <v>12.285</v>
      </c>
      <c r="J89" s="4" t="str">
        <f>VLOOKUP(A:A,Table1[[Project No]:[Additional Remark]],23,FALSE)</f>
        <v>5 years</v>
      </c>
      <c r="K89" s="4" t="s">
        <v>1902</v>
      </c>
      <c r="L89" s="4" t="s">
        <v>1976</v>
      </c>
      <c r="M89" s="93">
        <v>45568</v>
      </c>
      <c r="N89" s="4"/>
      <c r="O89" s="4"/>
      <c r="P89" s="93"/>
      <c r="Q89" s="4"/>
      <c r="R89" s="4"/>
      <c r="S89" s="93"/>
      <c r="T89" s="4"/>
      <c r="U89" s="4"/>
      <c r="V89" s="93"/>
    </row>
    <row r="90" spans="1:22" x14ac:dyDescent="0.3">
      <c r="A90" s="4">
        <f>'ECN Master Project Tracker new'!A91</f>
        <v>2405019</v>
      </c>
      <c r="B90" s="108" t="str">
        <f>VLOOKUP(A:A,Table1[[#All],[Project No]:[Additional Remark]],2,FALSE)</f>
        <v>Handal Green Mobility Sdn Bhd (Encore Melaka)</v>
      </c>
      <c r="C90" s="4" t="str">
        <f>VLOOKUP(A:A,Table1[[Project No]:[Additional Remark]],19,FALSE)</f>
        <v>-</v>
      </c>
      <c r="D90" s="4" t="str">
        <f>VLOOKUP(A:A,Table1[[Project No]:[Additional Remark]],20,FALSE)</f>
        <v>No 3, Jalan KSB - Impression 8, Impression City @ Kota Syahbandar, 75200 Melaka</v>
      </c>
      <c r="E90" s="4" t="str">
        <f>VLOOKUP(A:A,Table1[[Project No]:[Additional Remark]],21,FALSE)</f>
        <v>-</v>
      </c>
      <c r="F90" s="4" t="str">
        <f>VLOOKUP(A:A,Table1[[Project No]:[Additional Remark]],22,FALSE)</f>
        <v>-</v>
      </c>
      <c r="G90" s="55">
        <f>VLOOKUP(A:A,Table1[[Project No]:[Additional Remark]],11,FALSE)</f>
        <v>90800</v>
      </c>
      <c r="H90" s="4" t="str">
        <f>VLOOKUP(A:A,Table1[[Project No]:[Additional Remark]],5,FALSE)</f>
        <v>EV Charger</v>
      </c>
      <c r="I90" s="4">
        <f>VLOOKUP(A:A,Table1[[Project No]:[Additional Remark]],8,FALSE)</f>
        <v>0</v>
      </c>
      <c r="J90" s="4" t="str">
        <f>VLOOKUP(A:A,Table1[[Project No]:[Additional Remark]],23,FALSE)</f>
        <v>N/A</v>
      </c>
      <c r="K90" s="163" t="s">
        <v>109</v>
      </c>
      <c r="L90" s="164" t="s">
        <v>109</v>
      </c>
      <c r="M90" s="165"/>
      <c r="N90" s="163" t="s">
        <v>109</v>
      </c>
      <c r="O90" s="164" t="s">
        <v>109</v>
      </c>
      <c r="P90" s="165"/>
      <c r="Q90" s="163" t="s">
        <v>109</v>
      </c>
      <c r="R90" s="164" t="s">
        <v>109</v>
      </c>
      <c r="S90" s="165"/>
      <c r="T90" s="163" t="s">
        <v>109</v>
      </c>
      <c r="U90" s="164" t="s">
        <v>109</v>
      </c>
      <c r="V90" s="165"/>
    </row>
    <row r="91" spans="1:22" x14ac:dyDescent="0.3">
      <c r="A91" s="4">
        <f>'ECN Master Project Tracker new'!A92</f>
        <v>2406358</v>
      </c>
      <c r="B91" s="108" t="str">
        <f>VLOOKUP(A:A,Table1[[#All],[Project No]:[Additional Remark]],2,FALSE)</f>
        <v>Kwan Li Shan</v>
      </c>
      <c r="C91" s="4" t="str">
        <f>VLOOKUP(A:A,Table1[[Project No]:[Additional Remark]],19,FALSE)</f>
        <v>800718-08-5978</v>
      </c>
      <c r="D91" s="4" t="str">
        <f>VLOOKUP(A:A,Table1[[Project No]:[Additional Remark]],20,FALSE)</f>
        <v>Lot 387509, Laluan Sri Ampang 2, Kampung Sri Ampang, 31350 Ipoh, Perak Darul Ridzuan</v>
      </c>
      <c r="E91" s="4" t="str">
        <f>VLOOKUP(A:A,Table1[[Project No]:[Additional Remark]],21,FALSE)</f>
        <v>012-5142483</v>
      </c>
      <c r="F91" s="4" t="str">
        <f>VLOOKUP(A:A,Table1[[Project No]:[Additional Remark]],22,FALSE)</f>
        <v>lishankwan@gmail.com</v>
      </c>
      <c r="G91" s="55">
        <f>VLOOKUP(A:A,Table1[[Project No]:[Additional Remark]],11,FALSE)</f>
        <v>30000</v>
      </c>
      <c r="H91" s="4" t="str">
        <f>VLOOKUP(A:A,Table1[[Project No]:[Additional Remark]],5,FALSE)</f>
        <v>R-PV</v>
      </c>
      <c r="I91" s="4">
        <f>VLOOKUP(A:A,Table1[[Project No]:[Additional Remark]],8,FALSE)</f>
        <v>9.36</v>
      </c>
      <c r="J91" s="4" t="str">
        <f>VLOOKUP(A:A,Table1[[Project No]:[Additional Remark]],23,FALSE)</f>
        <v>3 years</v>
      </c>
      <c r="K91" s="4" t="s">
        <v>1902</v>
      </c>
      <c r="L91" s="4" t="s">
        <v>1977</v>
      </c>
      <c r="M91" s="93">
        <v>45568</v>
      </c>
      <c r="N91" s="4"/>
      <c r="O91" s="4"/>
      <c r="P91" s="93"/>
      <c r="Q91" s="4"/>
      <c r="R91" s="4"/>
      <c r="S91" s="93"/>
      <c r="T91" s="4"/>
      <c r="U91" s="4"/>
      <c r="V91" s="93"/>
    </row>
    <row r="92" spans="1:22" x14ac:dyDescent="0.3">
      <c r="A92" s="4">
        <f>'ECN Master Project Tracker new'!A93</f>
        <v>2407360</v>
      </c>
      <c r="B92" s="108" t="str">
        <f>VLOOKUP(A:A,Table1[[#All],[Project No]:[Additional Remark]],2,FALSE)</f>
        <v>Liau Hui Kiem</v>
      </c>
      <c r="C92" s="4" t="str">
        <f>VLOOKUP(A:A,Table1[[Project No]:[Additional Remark]],19,FALSE)</f>
        <v>780419-10-5734</v>
      </c>
      <c r="D92" s="4" t="str">
        <f>VLOOKUP(A:A,Table1[[Project No]:[Additional Remark]],20,FALSE)</f>
        <v>20, Jalan Setia Damai U13/15F, Setia Alam 40170 Shah Alam, Selangor Darul Ehsan</v>
      </c>
      <c r="E92" s="4" t="str">
        <f>VLOOKUP(A:A,Table1[[Project No]:[Additional Remark]],21,FALSE)</f>
        <v>019-2338688</v>
      </c>
      <c r="F92" s="4" t="str">
        <f>VLOOKUP(A:A,Table1[[Project No]:[Additional Remark]],22,FALSE)</f>
        <v>hkliau8688@gmail.com</v>
      </c>
      <c r="G92" s="55">
        <f>VLOOKUP(A:A,Table1[[Project No]:[Additional Remark]],11,FALSE)</f>
        <v>45020</v>
      </c>
      <c r="H92" s="4" t="str">
        <f>VLOOKUP(A:A,Table1[[Project No]:[Additional Remark]],5,FALSE)</f>
        <v>R-PV</v>
      </c>
      <c r="I92" s="4">
        <f>VLOOKUP(A:A,Table1[[Project No]:[Additional Remark]],8,FALSE)</f>
        <v>14.04</v>
      </c>
      <c r="J92" s="4" t="str">
        <f>VLOOKUP(A:A,Table1[[Project No]:[Additional Remark]],23,FALSE)</f>
        <v>3 years</v>
      </c>
      <c r="K92" s="4" t="s">
        <v>1902</v>
      </c>
      <c r="L92" s="4" t="s">
        <v>1978</v>
      </c>
      <c r="M92" s="93">
        <v>45568</v>
      </c>
      <c r="N92" s="4"/>
      <c r="O92" s="4"/>
      <c r="P92" s="93"/>
      <c r="Q92" s="4"/>
      <c r="R92" s="4"/>
      <c r="S92" s="93"/>
      <c r="T92" s="4"/>
      <c r="U92" s="4"/>
      <c r="V92" s="93"/>
    </row>
    <row r="93" spans="1:22" x14ac:dyDescent="0.3">
      <c r="A93" s="4">
        <f>'ECN Master Project Tracker new'!A94</f>
        <v>2407364</v>
      </c>
      <c r="B93" s="108" t="str">
        <f>VLOOKUP(A:A,Table1[[#All],[Project No]:[Additional Remark]],2,FALSE)</f>
        <v>Mohd Nasir Man</v>
      </c>
      <c r="C93" s="4" t="str">
        <f>VLOOKUP(A:A,Table1[[Project No]:[Additional Remark]],19,FALSE)</f>
        <v>640103-09-5029</v>
      </c>
      <c r="D93" s="4" t="str">
        <f>VLOOKUP(A:A,Table1[[Project No]:[Additional Remark]],20,FALSE)</f>
        <v>No B3075, Jln Beserah, Tmn Multiply, 25300 Kuantan, Pahang Darul Makmur</v>
      </c>
      <c r="E93" s="4" t="str">
        <f>VLOOKUP(A:A,Table1[[Project No]:[Additional Remark]],21,FALSE)</f>
        <v>012-9003767</v>
      </c>
      <c r="F93" s="4" t="str">
        <f>VLOOKUP(A:A,Table1[[Project No]:[Additional Remark]],22,FALSE)</f>
        <v>mnasirman17@gmail.com</v>
      </c>
      <c r="G93" s="55">
        <f>VLOOKUP(A:A,Table1[[Project No]:[Additional Remark]],11,FALSE)</f>
        <v>25000</v>
      </c>
      <c r="H93" s="4" t="str">
        <f>VLOOKUP(A:A,Table1[[Project No]:[Additional Remark]],5,FALSE)</f>
        <v>R-PV</v>
      </c>
      <c r="I93" s="4">
        <f>VLOOKUP(A:A,Table1[[Project No]:[Additional Remark]],8,FALSE)</f>
        <v>8.19</v>
      </c>
      <c r="J93" s="4" t="str">
        <f>VLOOKUP(A:A,Table1[[Project No]:[Additional Remark]],23,FALSE)</f>
        <v>N/A</v>
      </c>
      <c r="K93" s="163" t="s">
        <v>109</v>
      </c>
      <c r="L93" s="164" t="s">
        <v>109</v>
      </c>
      <c r="M93" s="165"/>
      <c r="N93" s="163" t="s">
        <v>109</v>
      </c>
      <c r="O93" s="164" t="s">
        <v>109</v>
      </c>
      <c r="P93" s="165"/>
      <c r="Q93" s="163" t="s">
        <v>109</v>
      </c>
      <c r="R93" s="164" t="s">
        <v>109</v>
      </c>
      <c r="S93" s="165"/>
      <c r="T93" s="163" t="s">
        <v>109</v>
      </c>
      <c r="U93" s="164" t="s">
        <v>109</v>
      </c>
      <c r="V93" s="165"/>
    </row>
    <row r="94" spans="1:22" x14ac:dyDescent="0.3">
      <c r="A94" s="4">
        <f>'ECN Master Project Tracker new'!A95</f>
        <v>2407375</v>
      </c>
      <c r="B94" s="108" t="str">
        <f>VLOOKUP(A:A,Table1[[#All],[Project No]:[Additional Remark]],2,FALSE)</f>
        <v>Tan Ger Ber</v>
      </c>
      <c r="C94" s="4" t="str">
        <f>VLOOKUP(A:A,Table1[[Project No]:[Additional Remark]],19,FALSE)</f>
        <v>560608-01-6090</v>
      </c>
      <c r="D94" s="4" t="str">
        <f>VLOOKUP(A:A,Table1[[Project No]:[Additional Remark]],20,FALSE)</f>
        <v>10, Jalan Kenyalang 11/15G, Seksyen 11, Kota Damansara, 47810, Petaling Jaya, Selangor Darul Ehsan</v>
      </c>
      <c r="E94" s="4" t="str">
        <f>VLOOKUP(A:A,Table1[[Project No]:[Additional Remark]],21,FALSE)</f>
        <v>012-5273664</v>
      </c>
      <c r="F94" s="4" t="str">
        <f>VLOOKUP(A:A,Table1[[Project No]:[Additional Remark]],22,FALSE)</f>
        <v>tangerber@gmail.com</v>
      </c>
      <c r="G94" s="55">
        <f>VLOOKUP(A:A,Table1[[Project No]:[Additional Remark]],11,FALSE)</f>
        <v>39980</v>
      </c>
      <c r="H94" s="4" t="str">
        <f>VLOOKUP(A:A,Table1[[Project No]:[Additional Remark]],5,FALSE)</f>
        <v>R-PV</v>
      </c>
      <c r="I94" s="4">
        <f>VLOOKUP(A:A,Table1[[Project No]:[Additional Remark]],8,FALSE)</f>
        <v>14.04</v>
      </c>
      <c r="J94" s="4" t="str">
        <f>VLOOKUP(A:A,Table1[[Project No]:[Additional Remark]],23,FALSE)</f>
        <v>3 years</v>
      </c>
      <c r="K94" s="4" t="s">
        <v>1902</v>
      </c>
      <c r="L94" s="4" t="s">
        <v>1979</v>
      </c>
      <c r="M94" s="93">
        <v>45568</v>
      </c>
      <c r="N94" s="4"/>
      <c r="O94" s="4"/>
      <c r="P94" s="93"/>
      <c r="Q94" s="4"/>
      <c r="R94" s="4"/>
      <c r="S94" s="93"/>
      <c r="T94" s="4"/>
      <c r="U94" s="4"/>
      <c r="V94" s="93"/>
    </row>
    <row r="95" spans="1:22" x14ac:dyDescent="0.3">
      <c r="A95" s="4">
        <f>'ECN Master Project Tracker new'!A96</f>
        <v>2407379</v>
      </c>
      <c r="B95" s="108" t="str">
        <f>VLOOKUP(A:A,Table1[[#All],[Project No]:[Additional Remark]],2,FALSE)</f>
        <v>Ng Boon Kiat (Daniel)</v>
      </c>
      <c r="C95" s="4" t="str">
        <f>VLOOKUP(A:A,Table1[[Project No]:[Additional Remark]],19,FALSE)</f>
        <v>840903-01-5679</v>
      </c>
      <c r="D95" s="4" t="str">
        <f>VLOOKUP(A:A,Table1[[Project No]:[Additional Remark]],20,FALSE)</f>
        <v>No 4, Jalan KS 14/12, Kota Sultan Ahmad Shah, 25200 Kuantan, Pahang</v>
      </c>
      <c r="E95" s="4" t="str">
        <f>VLOOKUP(A:A,Table1[[Project No]:[Additional Remark]],21,FALSE)</f>
        <v>012-6121112</v>
      </c>
      <c r="F95" s="4" t="str">
        <f>VLOOKUP(A:A,Table1[[Project No]:[Additional Remark]],22,FALSE)</f>
        <v>danielngbk84@gmail.com</v>
      </c>
      <c r="G95" s="55">
        <f>VLOOKUP(A:A,Table1[[Project No]:[Additional Remark]],11,FALSE)</f>
        <v>22860</v>
      </c>
      <c r="H95" s="4" t="str">
        <f>VLOOKUP(A:A,Table1[[Project No]:[Additional Remark]],5,FALSE)</f>
        <v>R-PV</v>
      </c>
      <c r="I95" s="4">
        <f>VLOOKUP(A:A,Table1[[Project No]:[Additional Remark]],8,FALSE)</f>
        <v>5.2649999999999997</v>
      </c>
      <c r="J95" s="4" t="str">
        <f>VLOOKUP(A:A,Table1[[Project No]:[Additional Remark]],23,FALSE)</f>
        <v>N/A</v>
      </c>
      <c r="K95" s="163" t="s">
        <v>109</v>
      </c>
      <c r="L95" s="164" t="s">
        <v>109</v>
      </c>
      <c r="M95" s="165"/>
      <c r="N95" s="163" t="s">
        <v>109</v>
      </c>
      <c r="O95" s="164" t="s">
        <v>109</v>
      </c>
      <c r="P95" s="165"/>
      <c r="Q95" s="163" t="s">
        <v>109</v>
      </c>
      <c r="R95" s="164" t="s">
        <v>109</v>
      </c>
      <c r="S95" s="165"/>
      <c r="T95" s="163" t="s">
        <v>109</v>
      </c>
      <c r="U95" s="164" t="s">
        <v>109</v>
      </c>
      <c r="V95" s="165"/>
    </row>
    <row r="96" spans="1:22" x14ac:dyDescent="0.3">
      <c r="A96" s="4">
        <f>'ECN Master Project Tracker new'!A97</f>
        <v>2407380</v>
      </c>
      <c r="B96" s="108" t="str">
        <f>VLOOKUP(A:A,Table1[[#All],[Project No]:[Additional Remark]],2,FALSE)</f>
        <v>How Yee Seun</v>
      </c>
      <c r="C96" s="4" t="str">
        <f>VLOOKUP(A:A,Table1[[Project No]:[Additional Remark]],19,FALSE)</f>
        <v>840202-06-5008</v>
      </c>
      <c r="D96" s="4" t="str">
        <f>VLOOKUP(A:A,Table1[[Project No]:[Additional Remark]],20,FALSE)</f>
        <v>32A, Jalan Aman Arahsia 7, Bandar Tropicana Aman, 42500 Telok Panglima Garang, Selangor Darul Ehsan</v>
      </c>
      <c r="E96" s="4" t="str">
        <f>VLOOKUP(A:A,Table1[[Project No]:[Additional Remark]],21,FALSE)</f>
        <v>012-9370766</v>
      </c>
      <c r="F96" s="4" t="str">
        <f>VLOOKUP(A:A,Table1[[Project No]:[Additional Remark]],22,FALSE)</f>
        <v>yeesuen02@yahoo.com</v>
      </c>
      <c r="G96" s="55">
        <f>VLOOKUP(A:A,Table1[[Project No]:[Additional Remark]],11,FALSE)</f>
        <v>38000</v>
      </c>
      <c r="H96" s="4" t="str">
        <f>VLOOKUP(A:A,Table1[[Project No]:[Additional Remark]],5,FALSE)</f>
        <v>R-PV</v>
      </c>
      <c r="I96" s="4">
        <f>VLOOKUP(A:A,Table1[[Project No]:[Additional Remark]],8,FALSE)</f>
        <v>12.87</v>
      </c>
      <c r="J96" s="4" t="str">
        <f>VLOOKUP(A:A,Table1[[Project No]:[Additional Remark]],23,FALSE)</f>
        <v>3 years</v>
      </c>
      <c r="K96" s="4" t="s">
        <v>1902</v>
      </c>
      <c r="L96" s="4" t="s">
        <v>1980</v>
      </c>
      <c r="M96" s="93">
        <v>45568</v>
      </c>
      <c r="N96" s="4"/>
      <c r="O96" s="4"/>
      <c r="P96" s="93"/>
      <c r="Q96" s="4"/>
      <c r="R96" s="4"/>
      <c r="S96" s="93"/>
      <c r="T96" s="4"/>
      <c r="U96" s="4"/>
      <c r="V96" s="93"/>
    </row>
    <row r="97" spans="1:22" x14ac:dyDescent="0.3">
      <c r="A97" s="4">
        <f>'ECN Master Project Tracker new'!A98</f>
        <v>2407381</v>
      </c>
      <c r="B97" s="108" t="str">
        <f>VLOOKUP(A:A,Table1[[#All],[Project No]:[Additional Remark]],2,FALSE)</f>
        <v>Lau Ah Leng</v>
      </c>
      <c r="C97" s="4" t="str">
        <f>VLOOKUP(A:A,Table1[[Project No]:[Additional Remark]],19,FALSE)</f>
        <v>550425-02-5403</v>
      </c>
      <c r="D97" s="4" t="str">
        <f>VLOOKUP(A:A,Table1[[Project No]:[Additional Remark]],20,FALSE)</f>
        <v>19, Jln Kenyalang 11/15I, Seksyen 11, Kota Damansara, 47810 Petaling Jaya, Selangor Darul Ehsan</v>
      </c>
      <c r="E97" s="4" t="str">
        <f>VLOOKUP(A:A,Table1[[Project No]:[Additional Remark]],21,FALSE)</f>
        <v>019-3128863</v>
      </c>
      <c r="F97" s="4" t="str">
        <f>VLOOKUP(A:A,Table1[[Project No]:[Additional Remark]],22,FALSE)</f>
        <v>allan@gmail.com</v>
      </c>
      <c r="G97" s="55">
        <f>VLOOKUP(A:A,Table1[[Project No]:[Additional Remark]],11,FALSE)</f>
        <v>36680</v>
      </c>
      <c r="H97" s="4" t="str">
        <f>VLOOKUP(A:A,Table1[[Project No]:[Additional Remark]],5,FALSE)</f>
        <v>R-PV</v>
      </c>
      <c r="I97" s="4">
        <f>VLOOKUP(A:A,Table1[[Project No]:[Additional Remark]],8,FALSE)</f>
        <v>12.285</v>
      </c>
      <c r="J97" s="4" t="str">
        <f>VLOOKUP(A:A,Table1[[Project No]:[Additional Remark]],23,FALSE)</f>
        <v>3 years</v>
      </c>
      <c r="K97" s="4" t="s">
        <v>1902</v>
      </c>
      <c r="L97" s="4" t="s">
        <v>1981</v>
      </c>
      <c r="M97" s="93">
        <v>45750</v>
      </c>
      <c r="N97" s="4"/>
      <c r="O97" s="4"/>
      <c r="P97" s="4"/>
      <c r="Q97" s="4"/>
      <c r="R97" s="4"/>
      <c r="S97" s="4"/>
      <c r="T97" s="4"/>
      <c r="U97" s="4"/>
      <c r="V97" s="4"/>
    </row>
    <row r="98" spans="1:22" x14ac:dyDescent="0.3">
      <c r="A98" s="4">
        <f>'ECN Master Project Tracker new'!A99</f>
        <v>2407382</v>
      </c>
      <c r="B98" s="108" t="str">
        <f>VLOOKUP(A:A,Table1[[#All],[Project No]:[Additional Remark]],2,FALSE)</f>
        <v>Leong Tack Ming</v>
      </c>
      <c r="C98" s="4" t="str">
        <f>VLOOKUP(A:A,Table1[[Project No]:[Additional Remark]],19,FALSE)</f>
        <v>530501-05-5607</v>
      </c>
      <c r="D98" s="4" t="str">
        <f>VLOOKUP(A:A,Table1[[Project No]:[Additional Remark]],20,FALSE)</f>
        <v>3, Jalan SS 22/24, Damansara jaya. 47400 Petaling Jaya, Selangor</v>
      </c>
      <c r="E98" s="4" t="str">
        <f>VLOOKUP(A:A,Table1[[Project No]:[Additional Remark]],21,FALSE)</f>
        <v>012-2011132</v>
      </c>
      <c r="F98" s="4">
        <f>VLOOKUP(A:A,Table1[[Project No]:[Additional Remark]],22,FALSE)</f>
        <v>0</v>
      </c>
      <c r="G98" s="55">
        <f>VLOOKUP(A:A,Table1[[Project No]:[Additional Remark]],11,FALSE)</f>
        <v>29840</v>
      </c>
      <c r="H98" s="4" t="str">
        <f>VLOOKUP(A:A,Table1[[Project No]:[Additional Remark]],5,FALSE)</f>
        <v>R-PV</v>
      </c>
      <c r="I98" s="4">
        <f>VLOOKUP(A:A,Table1[[Project No]:[Additional Remark]],8,FALSE)</f>
        <v>8.7750000000000004</v>
      </c>
      <c r="J98" s="4" t="str">
        <f>VLOOKUP(A:A,Table1[[Project No]:[Additional Remark]],23,FALSE)</f>
        <v>3 years</v>
      </c>
      <c r="K98" s="4" t="s">
        <v>1902</v>
      </c>
      <c r="L98" s="4" t="s">
        <v>1982</v>
      </c>
      <c r="M98" s="93">
        <v>45750</v>
      </c>
      <c r="N98" s="4"/>
      <c r="O98" s="4"/>
      <c r="P98" s="4"/>
      <c r="Q98" s="4"/>
      <c r="R98" s="4"/>
      <c r="S98" s="4"/>
      <c r="T98" s="4"/>
      <c r="U98" s="4"/>
      <c r="V98" s="4"/>
    </row>
    <row r="99" spans="1:22" x14ac:dyDescent="0.3">
      <c r="A99" s="4">
        <f>'ECN Master Project Tracker new'!A100</f>
        <v>2407383</v>
      </c>
      <c r="B99" s="108" t="str">
        <f>VLOOKUP(A:A,Table1[[#All],[Project No]:[Additional Remark]],2,FALSE)</f>
        <v>Charles Lew Chow Leng</v>
      </c>
      <c r="C99" s="4" t="str">
        <f>VLOOKUP(A:A,Table1[[Project No]:[Additional Remark]],19,FALSE)</f>
        <v>620529-07-5406</v>
      </c>
      <c r="D99" s="4" t="str">
        <f>VLOOKUP(A:A,Table1[[Project No]:[Additional Remark]],20,FALSE)</f>
        <v>6, Jalan Kenyalang 11/15A, Seksyen 11, Kota Damansara, 47810 Petaling Jaya, Selangor Darul Ehsan</v>
      </c>
      <c r="E99" s="4" t="str">
        <f>VLOOKUP(A:A,Table1[[Project No]:[Additional Remark]],21,FALSE)</f>
        <v>012-3999189</v>
      </c>
      <c r="F99" s="4" t="str">
        <f>VLOOKUP(A:A,Table1[[Project No]:[Additional Remark]],22,FALSE)</f>
        <v>clew62@gmail.com</v>
      </c>
      <c r="G99" s="55">
        <f>VLOOKUP(A:A,Table1[[Project No]:[Additional Remark]],11,FALSE)</f>
        <v>39980</v>
      </c>
      <c r="H99" s="4" t="str">
        <f>VLOOKUP(A:A,Table1[[Project No]:[Additional Remark]],5,FALSE)</f>
        <v>R-PV</v>
      </c>
      <c r="I99" s="4">
        <f>VLOOKUP(A:A,Table1[[Project No]:[Additional Remark]],8,FALSE)</f>
        <v>14.04</v>
      </c>
      <c r="J99" s="4" t="str">
        <f>VLOOKUP(A:A,Table1[[Project No]:[Additional Remark]],23,FALSE)</f>
        <v>3 years</v>
      </c>
      <c r="K99" s="4" t="s">
        <v>1902</v>
      </c>
      <c r="L99" s="4" t="s">
        <v>1983</v>
      </c>
      <c r="M99" s="93">
        <v>45568</v>
      </c>
      <c r="N99" s="4"/>
      <c r="O99" s="4"/>
      <c r="P99" s="93"/>
      <c r="Q99" s="4"/>
      <c r="R99" s="4"/>
      <c r="S99" s="93"/>
      <c r="T99" s="4"/>
      <c r="U99" s="4"/>
      <c r="V99" s="93"/>
    </row>
    <row r="100" spans="1:22" x14ac:dyDescent="0.3">
      <c r="A100" s="4">
        <f>'ECN Master Project Tracker new'!A101</f>
        <v>2407384</v>
      </c>
      <c r="B100" s="108" t="str">
        <f>VLOOKUP(A:A,Table1[[#All],[Project No]:[Additional Remark]],2,FALSE)</f>
        <v>Loh Fook Khew</v>
      </c>
      <c r="C100" s="4" t="str">
        <f>VLOOKUP(A:A,Table1[[Project No]:[Additional Remark]],19,FALSE)</f>
        <v>560512-08-5307</v>
      </c>
      <c r="D100" s="4" t="str">
        <f>VLOOKUP(A:A,Table1[[Project No]:[Additional Remark]],20,FALSE)</f>
        <v>8, Jalan Kenyalang 11/15A, Seksyen 11, Kota Damansara, 47810 Petaling Jaya, Selangor Darul Ehsan</v>
      </c>
      <c r="E100" s="4" t="str">
        <f>VLOOKUP(A:A,Table1[[Project No]:[Additional Remark]],21,FALSE)</f>
        <v>012-3351801</v>
      </c>
      <c r="F100" s="4" t="str">
        <f>VLOOKUP(A:A,Table1[[Project No]:[Additional Remark]],22,FALSE)</f>
        <v>chinmei_fashion@hotmail.com</v>
      </c>
      <c r="G100" s="55">
        <f>VLOOKUP(A:A,Table1[[Project No]:[Additional Remark]],11,FALSE)</f>
        <v>36800</v>
      </c>
      <c r="H100" s="4" t="str">
        <f>VLOOKUP(A:A,Table1[[Project No]:[Additional Remark]],5,FALSE)</f>
        <v>R-PV</v>
      </c>
      <c r="I100" s="4">
        <f>VLOOKUP(A:A,Table1[[Project No]:[Additional Remark]],8,FALSE)</f>
        <v>12.285</v>
      </c>
      <c r="J100" s="4" t="str">
        <f>VLOOKUP(A:A,Table1[[Project No]:[Additional Remark]],23,FALSE)</f>
        <v>3 years</v>
      </c>
      <c r="K100" s="4" t="s">
        <v>1902</v>
      </c>
      <c r="L100" s="4" t="s">
        <v>1984</v>
      </c>
      <c r="M100" s="93">
        <v>45568</v>
      </c>
      <c r="N100" s="4"/>
      <c r="O100" s="4"/>
      <c r="P100" s="93"/>
      <c r="Q100" s="4"/>
      <c r="R100" s="4"/>
      <c r="S100" s="93"/>
      <c r="T100" s="4"/>
      <c r="U100" s="4"/>
      <c r="V100" s="93"/>
    </row>
    <row r="101" spans="1:22" x14ac:dyDescent="0.3">
      <c r="A101" s="4">
        <f>'ECN Master Project Tracker new'!A102</f>
        <v>2407385</v>
      </c>
      <c r="B101" s="108" t="str">
        <f>VLOOKUP(A:A,Table1[[#All],[Project No]:[Additional Remark]],2,FALSE)</f>
        <v>Cheong Chin Meng</v>
      </c>
      <c r="C101" s="4" t="str">
        <f>VLOOKUP(A:A,Table1[[Project No]:[Additional Remark]],19,FALSE)</f>
        <v>730422-06-5301</v>
      </c>
      <c r="D101" s="4" t="str">
        <f>VLOOKUP(A:A,Table1[[Project No]:[Additional Remark]],20,FALSE)</f>
        <v>145, Jln Bkt Setongkol 3, Tmn Muhibah FAS, Bukit Setongkol, 25200 Kuantan, Pahang Darul Makmur</v>
      </c>
      <c r="E101" s="4" t="str">
        <f>VLOOKUP(A:A,Table1[[Project No]:[Additional Remark]],21,FALSE)</f>
        <v>012-9103893</v>
      </c>
      <c r="F101" s="4" t="str">
        <f>VLOOKUP(A:A,Table1[[Project No]:[Additional Remark]],22,FALSE)</f>
        <v>ioienterprisektn@gmail.com</v>
      </c>
      <c r="G101" s="55">
        <f>VLOOKUP(A:A,Table1[[Project No]:[Additional Remark]],11,FALSE)</f>
        <v>45600</v>
      </c>
      <c r="H101" s="4" t="str">
        <f>VLOOKUP(A:A,Table1[[Project No]:[Additional Remark]],5,FALSE)</f>
        <v>R-PV</v>
      </c>
      <c r="I101" s="4">
        <f>VLOOKUP(A:A,Table1[[Project No]:[Additional Remark]],8,FALSE)</f>
        <v>15.21</v>
      </c>
      <c r="J101" s="4" t="str">
        <f>VLOOKUP(A:A,Table1[[Project No]:[Additional Remark]],23,FALSE)</f>
        <v>3 years</v>
      </c>
      <c r="K101" s="4" t="s">
        <v>1902</v>
      </c>
      <c r="L101" s="4" t="s">
        <v>1985</v>
      </c>
      <c r="M101" s="93">
        <v>45568</v>
      </c>
      <c r="N101" s="4"/>
      <c r="O101" s="4"/>
      <c r="P101" s="93"/>
      <c r="Q101" s="4"/>
      <c r="R101" s="4"/>
      <c r="S101" s="93"/>
      <c r="T101" s="4"/>
      <c r="U101" s="4"/>
      <c r="V101" s="93"/>
    </row>
    <row r="102" spans="1:22" x14ac:dyDescent="0.3">
      <c r="A102" s="4">
        <f>'ECN Master Project Tracker new'!A103</f>
        <v>2310035</v>
      </c>
      <c r="B102" s="108" t="str">
        <f>VLOOKUP(A:A,Table1[[#All],[Project No]:[Additional Remark]],2,FALSE)</f>
        <v>Advantic Nutraceuticals</v>
      </c>
      <c r="C102" s="4">
        <f>VLOOKUP(A:A,Table1[[Project No]:[Additional Remark]],19,FALSE)</f>
        <v>0</v>
      </c>
      <c r="D102" s="4">
        <f>VLOOKUP(A:A,Table1[[Project No]:[Additional Remark]],20,FALSE)</f>
        <v>0</v>
      </c>
      <c r="E102" s="4">
        <f>VLOOKUP(A:A,Table1[[Project No]:[Additional Remark]],21,FALSE)</f>
        <v>0</v>
      </c>
      <c r="F102" s="4">
        <f>VLOOKUP(A:A,Table1[[Project No]:[Additional Remark]],22,FALSE)</f>
        <v>0</v>
      </c>
      <c r="G102" s="55">
        <f>VLOOKUP(A:A,Table1[[Project No]:[Additional Remark]],11,FALSE)</f>
        <v>188000</v>
      </c>
      <c r="H102" s="4" t="str">
        <f>VLOOKUP(A:A,Table1[[Project No]:[Additional Remark]],5,FALSE)</f>
        <v>C&amp;I-PV</v>
      </c>
      <c r="I102" s="4">
        <f>VLOOKUP(A:A,Table1[[Project No]:[Additional Remark]],8,FALSE)</f>
        <v>87.84</v>
      </c>
      <c r="J102" s="4" t="str">
        <f>VLOOKUP(A:A,Table1[[Project No]:[Additional Remark]],23,FALSE)</f>
        <v>3 years</v>
      </c>
      <c r="K102" s="4"/>
      <c r="L102" s="4"/>
      <c r="M102" s="4"/>
      <c r="N102" s="4"/>
      <c r="O102" s="4"/>
      <c r="P102" s="4"/>
      <c r="Q102" s="4"/>
      <c r="R102" s="4"/>
      <c r="S102" s="4"/>
      <c r="T102" s="4"/>
      <c r="U102" s="4"/>
      <c r="V102" s="4"/>
    </row>
    <row r="103" spans="1:22" x14ac:dyDescent="0.3">
      <c r="A103" s="4">
        <f>'ECN Master Project Tracker new'!A104</f>
        <v>2403088</v>
      </c>
      <c r="B103" s="108" t="str">
        <f>VLOOKUP(A:A,Table1[[#All],[Project No]:[Additional Remark]],2,FALSE)</f>
        <v>Chua Tong Hin Hardware Sdn Bhd</v>
      </c>
      <c r="C103" s="4">
        <f>VLOOKUP(A:A,Table1[[Project No]:[Additional Remark]],19,FALSE)</f>
        <v>0</v>
      </c>
      <c r="D103" s="4" t="str">
        <f>VLOOKUP(A:A,Table1[[Project No]:[Additional Remark]],20,FALSE)</f>
        <v>Lot 37679, Jln 3/37A, Tmn Bukit Maluri Kepong, 52100 Kuala Lumpur</v>
      </c>
      <c r="E103" s="4">
        <f>VLOOKUP(A:A,Table1[[Project No]:[Additional Remark]],21,FALSE)</f>
        <v>0</v>
      </c>
      <c r="F103" s="4">
        <f>VLOOKUP(A:A,Table1[[Project No]:[Additional Remark]],22,FALSE)</f>
        <v>0</v>
      </c>
      <c r="G103" s="55">
        <f>VLOOKUP(A:A,Table1[[Project No]:[Additional Remark]],11,FALSE)</f>
        <v>98000</v>
      </c>
      <c r="H103" s="4" t="str">
        <f>VLOOKUP(A:A,Table1[[Project No]:[Additional Remark]],5,FALSE)</f>
        <v>C&amp;I-PV</v>
      </c>
      <c r="I103" s="4">
        <f>VLOOKUP(A:A,Table1[[Project No]:[Additional Remark]],8,FALSE)</f>
        <v>37.44</v>
      </c>
      <c r="J103" s="4" t="str">
        <f>VLOOKUP(A:A,Table1[[Project No]:[Additional Remark]],23,FALSE)</f>
        <v>3 years</v>
      </c>
      <c r="K103" s="4" t="s">
        <v>1912</v>
      </c>
      <c r="L103" s="4" t="s">
        <v>1986</v>
      </c>
      <c r="M103" s="93">
        <v>45890</v>
      </c>
      <c r="N103" s="4"/>
      <c r="O103" s="4"/>
      <c r="P103" s="4"/>
      <c r="Q103" s="4"/>
      <c r="R103" s="4"/>
      <c r="S103" s="4"/>
      <c r="T103" s="4"/>
      <c r="U103" s="4"/>
      <c r="V103" s="4"/>
    </row>
    <row r="104" spans="1:22" x14ac:dyDescent="0.3">
      <c r="A104" s="4">
        <f>'ECN Master Project Tracker new'!A105</f>
        <v>2407157</v>
      </c>
      <c r="B104" s="108" t="str">
        <f>VLOOKUP(A:A,Table1[[#All],[Project No]:[Additional Remark]],2,FALSE)</f>
        <v>NMSY Capital Sdn Bhd (Mohd Nasir)</v>
      </c>
      <c r="C104" s="4">
        <f>VLOOKUP(A:A,Table1[[Project No]:[Additional Remark]],19,FALSE)</f>
        <v>0</v>
      </c>
      <c r="D104" s="4" t="str">
        <f>VLOOKUP(A:A,Table1[[Project No]:[Additional Remark]],20,FALSE)</f>
        <v>N-1332, G Floor, Jln Tg Lumpur, 26060 Kuantan, Pahang</v>
      </c>
      <c r="E104" s="4">
        <f>VLOOKUP(A:A,Table1[[Project No]:[Additional Remark]],21,FALSE)</f>
        <v>0</v>
      </c>
      <c r="F104" s="4">
        <f>VLOOKUP(A:A,Table1[[Project No]:[Additional Remark]],22,FALSE)</f>
        <v>0</v>
      </c>
      <c r="G104" s="55">
        <f>VLOOKUP(A:A,Table1[[Project No]:[Additional Remark]],11,FALSE)</f>
        <v>52000</v>
      </c>
      <c r="H104" s="4" t="str">
        <f>VLOOKUP(A:A,Table1[[Project No]:[Additional Remark]],5,FALSE)</f>
        <v>C&amp;I-PV</v>
      </c>
      <c r="I104" s="4">
        <f>VLOOKUP(A:A,Table1[[Project No]:[Additional Remark]],8,FALSE)</f>
        <v>18.72</v>
      </c>
      <c r="J104" s="4" t="str">
        <f>VLOOKUP(A:A,Table1[[Project No]:[Additional Remark]],23,FALSE)</f>
        <v>N/A</v>
      </c>
      <c r="K104" s="163" t="s">
        <v>109</v>
      </c>
      <c r="L104" s="164" t="s">
        <v>109</v>
      </c>
      <c r="M104" s="165"/>
      <c r="N104" s="163" t="s">
        <v>109</v>
      </c>
      <c r="O104" s="164" t="s">
        <v>109</v>
      </c>
      <c r="P104" s="165"/>
      <c r="Q104" s="163" t="s">
        <v>109</v>
      </c>
      <c r="R104" s="164" t="s">
        <v>109</v>
      </c>
      <c r="S104" s="165"/>
      <c r="T104" s="163" t="s">
        <v>109</v>
      </c>
      <c r="U104" s="164" t="s">
        <v>109</v>
      </c>
      <c r="V104" s="165"/>
    </row>
    <row r="105" spans="1:22" x14ac:dyDescent="0.3">
      <c r="A105" s="4">
        <f>'ECN Master Project Tracker new'!A106</f>
        <v>2312116</v>
      </c>
      <c r="B105" s="108" t="str">
        <f>VLOOKUP(A:A,Table1[[#All],[Project No]:[Additional Remark]],2,FALSE)</f>
        <v>Chua Ling Ling</v>
      </c>
      <c r="C105" s="4" t="str">
        <f>VLOOKUP(A:A,Table1[[Project No]:[Additional Remark]],19,FALSE)</f>
        <v>760115-14-5448</v>
      </c>
      <c r="D105" s="4" t="str">
        <f>VLOOKUP(A:A,Table1[[Project No]:[Additional Remark]],20,FALSE)</f>
        <v>132A, Jln Desa Residen, Desa Parkcity, 52200 Kuala Lumpur, WP Kuala Lumpur</v>
      </c>
      <c r="E105" s="4" t="str">
        <f>VLOOKUP(A:A,Table1[[Project No]:[Additional Remark]],21,FALSE)</f>
        <v>011-11428999</v>
      </c>
      <c r="F105" s="4" t="str">
        <f>VLOOKUP(A:A,Table1[[Project No]:[Additional Remark]],22,FALSE)</f>
        <v>llchua00@hotmail.com</v>
      </c>
      <c r="G105" s="55">
        <f>VLOOKUP(A:A,Table1[[Project No]:[Additional Remark]],11,FALSE)</f>
        <v>32540</v>
      </c>
      <c r="H105" s="4" t="str">
        <f>VLOOKUP(A:A,Table1[[Project No]:[Additional Remark]],5,FALSE)</f>
        <v>R-PV</v>
      </c>
      <c r="I105" s="4">
        <f>VLOOKUP(A:A,Table1[[Project No]:[Additional Remark]],8,FALSE)</f>
        <v>11.7</v>
      </c>
      <c r="J105" s="4" t="str">
        <f>VLOOKUP(A:A,Table1[[Project No]:[Additional Remark]],23,FALSE)</f>
        <v>1 year</v>
      </c>
      <c r="K105" s="4" t="s">
        <v>1902</v>
      </c>
      <c r="L105" s="4" t="s">
        <v>1987</v>
      </c>
      <c r="M105" s="93">
        <v>45750</v>
      </c>
      <c r="N105" s="4"/>
      <c r="O105" s="4"/>
      <c r="P105" s="4"/>
      <c r="Q105" s="4"/>
      <c r="R105" s="4"/>
      <c r="S105" s="4"/>
      <c r="T105" s="4"/>
      <c r="U105" s="4"/>
      <c r="V105" s="4"/>
    </row>
    <row r="106" spans="1:22" x14ac:dyDescent="0.3">
      <c r="A106" s="4">
        <f>'ECN Master Project Tracker new'!A107</f>
        <v>2407388</v>
      </c>
      <c r="B106" s="108" t="str">
        <f>VLOOKUP(A:A,Table1[[#All],[Project No]:[Additional Remark]],2,FALSE)</f>
        <v>Yeo Chen Kok</v>
      </c>
      <c r="C106" s="4" t="str">
        <f>VLOOKUP(A:A,Table1[[Project No]:[Additional Remark]],19,FALSE)</f>
        <v>830625-07-5049</v>
      </c>
      <c r="D106" s="4" t="str">
        <f>VLOOKUP(A:A,Table1[[Project No]:[Additional Remark]],20,FALSE)</f>
        <v>10, Jln Hujan Emas 11, Overseas Union Garden, 58200 Kuala Lumpur, WP Kuala Lumpur</v>
      </c>
      <c r="E106" s="4" t="str">
        <f>VLOOKUP(A:A,Table1[[Project No]:[Additional Remark]],21,FALSE)</f>
        <v>012-9283828</v>
      </c>
      <c r="F106" s="4" t="str">
        <f>VLOOKUP(A:A,Table1[[Project No]:[Additional Remark]],22,FALSE)</f>
        <v>yeochenkok@gmail.com</v>
      </c>
      <c r="G106" s="55">
        <f>VLOOKUP(A:A,Table1[[Project No]:[Additional Remark]],11,FALSE)</f>
        <v>34600</v>
      </c>
      <c r="H106" s="4" t="str">
        <f>VLOOKUP(A:A,Table1[[Project No]:[Additional Remark]],5,FALSE)</f>
        <v>R-PV</v>
      </c>
      <c r="I106" s="4">
        <f>VLOOKUP(A:A,Table1[[Project No]:[Additional Remark]],8,FALSE)</f>
        <v>12.285</v>
      </c>
      <c r="J106" s="4" t="str">
        <f>VLOOKUP(A:A,Table1[[Project No]:[Additional Remark]],23,FALSE)</f>
        <v>3 years</v>
      </c>
      <c r="K106" s="4" t="s">
        <v>1902</v>
      </c>
      <c r="L106" s="4" t="s">
        <v>1988</v>
      </c>
      <c r="M106" s="93">
        <v>45750</v>
      </c>
      <c r="N106" s="4"/>
      <c r="O106" s="4"/>
      <c r="P106" s="4"/>
      <c r="Q106" s="4"/>
      <c r="R106" s="4"/>
      <c r="S106" s="4"/>
      <c r="T106" s="4"/>
      <c r="U106" s="4"/>
      <c r="V106" s="4"/>
    </row>
    <row r="107" spans="1:22" x14ac:dyDescent="0.3">
      <c r="A107" s="4">
        <f>'ECN Master Project Tracker new'!A108</f>
        <v>2407386</v>
      </c>
      <c r="B107" s="108" t="str">
        <f>VLOOKUP(A:A,Table1[[#All],[Project No]:[Additional Remark]],2,FALSE)</f>
        <v>Amirluddin bin Awang</v>
      </c>
      <c r="C107" s="4" t="str">
        <f>VLOOKUP(A:A,Table1[[Project No]:[Additional Remark]],19,FALSE)</f>
        <v>671111-11-5079</v>
      </c>
      <c r="D107" s="4" t="str">
        <f>VLOOKUP(A:A,Table1[[Project No]:[Additional Remark]],20,FALSE)</f>
        <v>No 8, Lorong Im 11/10, Mahkota Heights, 25200 Kuantan, Pahang Darul Makmur</v>
      </c>
      <c r="E107" s="4" t="str">
        <f>VLOOKUP(A:A,Table1[[Project No]:[Additional Remark]],21,FALSE)</f>
        <v>012-7992686</v>
      </c>
      <c r="F107" s="4" t="str">
        <f>VLOOKUP(A:A,Table1[[Project No]:[Additional Remark]],22,FALSE)</f>
        <v>tidzariah@gmail.com</v>
      </c>
      <c r="G107" s="55">
        <f>VLOOKUP(A:A,Table1[[Project No]:[Additional Remark]],11,FALSE)</f>
        <v>38000</v>
      </c>
      <c r="H107" s="4" t="str">
        <f>VLOOKUP(A:A,Table1[[Project No]:[Additional Remark]],5,FALSE)</f>
        <v>R-PV</v>
      </c>
      <c r="I107" s="4">
        <f>VLOOKUP(A:A,Table1[[Project No]:[Additional Remark]],8,FALSE)</f>
        <v>12.285</v>
      </c>
      <c r="J107" s="4" t="str">
        <f>VLOOKUP(A:A,Table1[[Project No]:[Additional Remark]],23,FALSE)</f>
        <v>N/A</v>
      </c>
      <c r="K107" s="163" t="s">
        <v>109</v>
      </c>
      <c r="L107" s="164" t="s">
        <v>109</v>
      </c>
      <c r="M107" s="165"/>
      <c r="N107" s="163" t="s">
        <v>109</v>
      </c>
      <c r="O107" s="164" t="s">
        <v>109</v>
      </c>
      <c r="P107" s="165"/>
      <c r="Q107" s="163" t="s">
        <v>109</v>
      </c>
      <c r="R107" s="164" t="s">
        <v>109</v>
      </c>
      <c r="S107" s="165"/>
      <c r="T107" s="163" t="s">
        <v>109</v>
      </c>
      <c r="U107" s="164" t="s">
        <v>109</v>
      </c>
      <c r="V107" s="165"/>
    </row>
    <row r="108" spans="1:22" x14ac:dyDescent="0.3">
      <c r="A108" s="4">
        <f>'ECN Master Project Tracker new'!A109</f>
        <v>2403158</v>
      </c>
      <c r="B108" s="108" t="str">
        <f>VLOOKUP(A:A,Table1[[#All],[Project No]:[Additional Remark]],2,FALSE)</f>
        <v>Ong Gin Chin</v>
      </c>
      <c r="C108" s="4" t="str">
        <f>VLOOKUP(A:A,Table1[[Project No]:[Additional Remark]],19,FALSE)</f>
        <v>600218-01-5432</v>
      </c>
      <c r="D108" s="4" t="str">
        <f>VLOOKUP(A:A,Table1[[Project No]:[Additional Remark]],20,FALSE)</f>
        <v>9, Jalan Anggerik Liparis 31/152, Kota Kemuning, 40460 Shah Alam, Selangor Darul Ehsan</v>
      </c>
      <c r="E108" s="4" t="str">
        <f>VLOOKUP(A:A,Table1[[Project No]:[Additional Remark]],21,FALSE)</f>
        <v>016-2792625</v>
      </c>
      <c r="F108" s="4" t="str">
        <f>VLOOKUP(A:A,Table1[[Project No]:[Additional Remark]],22,FALSE)</f>
        <v>cyschin@hotmail.com</v>
      </c>
      <c r="G108" s="55">
        <f>VLOOKUP(A:A,Table1[[Project No]:[Additional Remark]],11,FALSE)</f>
        <v>23500</v>
      </c>
      <c r="H108" s="4" t="str">
        <f>VLOOKUP(A:A,Table1[[Project No]:[Additional Remark]],5,FALSE)</f>
        <v>R-PV</v>
      </c>
      <c r="I108" s="4">
        <f>VLOOKUP(A:A,Table1[[Project No]:[Additional Remark]],8,FALSE)</f>
        <v>7.02</v>
      </c>
      <c r="J108" s="4" t="str">
        <f>VLOOKUP(A:A,Table1[[Project No]:[Additional Remark]],23,FALSE)</f>
        <v>3 years</v>
      </c>
      <c r="K108" s="4" t="s">
        <v>1902</v>
      </c>
      <c r="L108" s="4" t="s">
        <v>1989</v>
      </c>
      <c r="M108" s="93">
        <v>45750</v>
      </c>
      <c r="N108" s="4"/>
      <c r="O108" s="4"/>
      <c r="P108" s="4"/>
      <c r="Q108" s="4"/>
      <c r="R108" s="4"/>
      <c r="S108" s="4"/>
      <c r="T108" s="4"/>
      <c r="U108" s="4"/>
      <c r="V108" s="4"/>
    </row>
    <row r="109" spans="1:22" x14ac:dyDescent="0.3">
      <c r="A109" s="4">
        <f>'ECN Master Project Tracker new'!A110</f>
        <v>2404220</v>
      </c>
      <c r="B109" s="108" t="str">
        <f>VLOOKUP(A:A,Table1[[#All],[Project No]:[Additional Remark]],2,FALSE)</f>
        <v>Ng Seow Fong</v>
      </c>
      <c r="C109" s="4" t="str">
        <f>VLOOKUP(A:A,Table1[[Project No]:[Additional Remark]],19,FALSE)</f>
        <v>790812-14-5854</v>
      </c>
      <c r="D109" s="4" t="str">
        <f>VLOOKUP(A:A,Table1[[Project No]:[Additional Remark]],20,FALSE)</f>
        <v>21, Jalan Suria 6, Taman Suria, 43000 Kajang, Selangor Darul Ehsan</v>
      </c>
      <c r="E109" s="4" t="str">
        <f>VLOOKUP(A:A,Table1[[Project No]:[Additional Remark]],21,FALSE)</f>
        <v>012-2624548</v>
      </c>
      <c r="F109" s="4" t="str">
        <f>VLOOKUP(A:A,Table1[[Project No]:[Additional Remark]],22,FALSE)</f>
        <v>esther@unitrade.com.my</v>
      </c>
      <c r="G109" s="55">
        <f>VLOOKUP(A:A,Table1[[Project No]:[Additional Remark]],11,FALSE)</f>
        <v>23500</v>
      </c>
      <c r="H109" s="4" t="str">
        <f>VLOOKUP(A:A,Table1[[Project No]:[Additional Remark]],5,FALSE)</f>
        <v>R-PV</v>
      </c>
      <c r="I109" s="4">
        <f>VLOOKUP(A:A,Table1[[Project No]:[Additional Remark]],8,FALSE)</f>
        <v>7.02</v>
      </c>
      <c r="J109" s="4" t="str">
        <f>VLOOKUP(A:A,Table1[[Project No]:[Additional Remark]],23,FALSE)</f>
        <v>3 years</v>
      </c>
      <c r="K109" s="4" t="s">
        <v>1902</v>
      </c>
      <c r="L109" s="4" t="s">
        <v>1990</v>
      </c>
      <c r="M109" s="93">
        <v>45750</v>
      </c>
      <c r="N109" s="4"/>
      <c r="O109" s="4"/>
      <c r="P109" s="4"/>
      <c r="Q109" s="4"/>
      <c r="R109" s="4"/>
      <c r="S109" s="4"/>
      <c r="T109" s="4"/>
      <c r="U109" s="4"/>
      <c r="V109" s="4"/>
    </row>
    <row r="110" spans="1:22" x14ac:dyDescent="0.3">
      <c r="A110" s="4">
        <f>'ECN Master Project Tracker new'!A111</f>
        <v>2403202</v>
      </c>
      <c r="B110" s="108" t="str">
        <f>VLOOKUP(A:A,Table1[[#All],[Project No]:[Additional Remark]],2,FALSE)</f>
        <v>Chuah Teah Soo</v>
      </c>
      <c r="C110" s="4" t="str">
        <f>VLOOKUP(A:A,Table1[[Project No]:[Additional Remark]],19,FALSE)</f>
        <v>500224-08-5017</v>
      </c>
      <c r="D110" s="4" t="str">
        <f>VLOOKUP(A:A,Table1[[Project No]:[Additional Remark]],20,FALSE)</f>
        <v>No 11, PT 28561, Jalan Bukit Indah, Taman Bukit Indah, 27600 Raub, Pahang Darul Makmur</v>
      </c>
      <c r="E110" s="4" t="str">
        <f>VLOOKUP(A:A,Table1[[Project No]:[Additional Remark]],21,FALSE)</f>
        <v>019-9867505</v>
      </c>
      <c r="F110" s="4" t="str">
        <f>VLOOKUP(A:A,Table1[[Project No]:[Additional Remark]],22,FALSE)</f>
        <v>sykt_pern_chuah@yahoo.com.my</v>
      </c>
      <c r="G110" s="55">
        <f>VLOOKUP(A:A,Table1[[Project No]:[Additional Remark]],11,FALSE)</f>
        <v>31000</v>
      </c>
      <c r="H110" s="4" t="str">
        <f>VLOOKUP(A:A,Table1[[Project No]:[Additional Remark]],5,FALSE)</f>
        <v>R-PV</v>
      </c>
      <c r="I110" s="4">
        <f>VLOOKUP(A:A,Table1[[Project No]:[Additional Remark]],8,FALSE)</f>
        <v>10.53</v>
      </c>
      <c r="J110" s="4" t="str">
        <f>VLOOKUP(A:A,Table1[[Project No]:[Additional Remark]],23,FALSE)</f>
        <v>3 years</v>
      </c>
      <c r="K110" s="4" t="s">
        <v>1902</v>
      </c>
      <c r="L110" s="4" t="s">
        <v>1991</v>
      </c>
      <c r="M110" s="93">
        <v>45568</v>
      </c>
      <c r="N110" s="4"/>
      <c r="O110" s="4"/>
      <c r="P110" s="93"/>
      <c r="Q110" s="4"/>
      <c r="R110" s="4"/>
      <c r="S110" s="93"/>
      <c r="T110" s="4"/>
      <c r="U110" s="4"/>
      <c r="V110" s="93"/>
    </row>
    <row r="111" spans="1:22" x14ac:dyDescent="0.3">
      <c r="A111" s="4">
        <f>'ECN Master Project Tracker new'!A112</f>
        <v>2407392</v>
      </c>
      <c r="B111" s="108" t="str">
        <f>VLOOKUP(A:A,Table1[[#All],[Project No]:[Additional Remark]],2,FALSE)</f>
        <v>Ecila Sim Ju-Inn</v>
      </c>
      <c r="C111" s="4" t="str">
        <f>VLOOKUP(A:A,Table1[[Project No]:[Additional Remark]],19,FALSE)</f>
        <v>781228-14-5762</v>
      </c>
      <c r="D111" s="4" t="str">
        <f>VLOOKUP(A:A,Table1[[Project No]:[Additional Remark]],20,FALSE)</f>
        <v>49, Jalan Duta Villa 1, Setia Alam, 40170 Shah Alam, Selangor Darul Ehsan</v>
      </c>
      <c r="E111" s="4" t="str">
        <f>VLOOKUP(A:A,Table1[[Project No]:[Additional Remark]],21,FALSE)</f>
        <v>019-6668520</v>
      </c>
      <c r="F111" s="4" t="str">
        <f>VLOOKUP(A:A,Table1[[Project No]:[Additional Remark]],22,FALSE)</f>
        <v>juinn@unitrade.com.my</v>
      </c>
      <c r="G111" s="55">
        <f>VLOOKUP(A:A,Table1[[Project No]:[Additional Remark]],11,FALSE)</f>
        <v>36680</v>
      </c>
      <c r="H111" s="4" t="str">
        <f>VLOOKUP(A:A,Table1[[Project No]:[Additional Remark]],5,FALSE)</f>
        <v>R-PV</v>
      </c>
      <c r="I111" s="4">
        <f>VLOOKUP(A:A,Table1[[Project No]:[Additional Remark]],8,FALSE)</f>
        <v>11.7</v>
      </c>
      <c r="J111" s="4" t="str">
        <f>VLOOKUP(A:A,Table1[[Project No]:[Additional Remark]],23,FALSE)</f>
        <v>3 years</v>
      </c>
      <c r="K111" s="4" t="s">
        <v>1902</v>
      </c>
      <c r="L111" s="4" t="s">
        <v>1992</v>
      </c>
      <c r="M111" s="93">
        <v>45750</v>
      </c>
      <c r="N111" s="4"/>
      <c r="O111" s="4"/>
      <c r="P111" s="4"/>
      <c r="Q111" s="4"/>
      <c r="R111" s="4"/>
      <c r="S111" s="4"/>
      <c r="T111" s="4"/>
      <c r="U111" s="4"/>
      <c r="V111" s="4"/>
    </row>
    <row r="112" spans="1:22" x14ac:dyDescent="0.3">
      <c r="A112" s="4">
        <f>'ECN Master Project Tracker new'!A113</f>
        <v>2404232</v>
      </c>
      <c r="B112" s="108" t="str">
        <f>VLOOKUP(A:A,Table1[[#All],[Project No]:[Additional Remark]],2,FALSE)</f>
        <v>Wong Yoke Chon</v>
      </c>
      <c r="C112" s="4" t="str">
        <f>VLOOKUP(A:A,Table1[[Project No]:[Additional Remark]],19,FALSE)</f>
        <v>740422-08-5002</v>
      </c>
      <c r="D112" s="4" t="str">
        <f>VLOOKUP(A:A,Table1[[Project No]:[Additional Remark]],20,FALSE)</f>
        <v>368, Jalan Tasek Permai, Kampung Tasek Permai, 68000 Ampang, Selangor Darul Ehsan</v>
      </c>
      <c r="E112" s="4" t="str">
        <f>VLOOKUP(A:A,Table1[[Project No]:[Additional Remark]],21,FALSE)</f>
        <v>016-2081788</v>
      </c>
      <c r="F112" s="4" t="str">
        <f>VLOOKUP(A:A,Table1[[Project No]:[Additional Remark]],22,FALSE)</f>
        <v>traceywong92@gmail.com</v>
      </c>
      <c r="G112" s="55">
        <f>VLOOKUP(A:A,Table1[[Project No]:[Additional Remark]],11,FALSE)</f>
        <v>25000</v>
      </c>
      <c r="H112" s="4" t="str">
        <f>VLOOKUP(A:A,Table1[[Project No]:[Additional Remark]],5,FALSE)</f>
        <v>R-PV</v>
      </c>
      <c r="I112" s="4">
        <f>VLOOKUP(A:A,Table1[[Project No]:[Additional Remark]],8,FALSE)</f>
        <v>7.02</v>
      </c>
      <c r="J112" s="4" t="str">
        <f>VLOOKUP(A:A,Table1[[Project No]:[Additional Remark]],23,FALSE)</f>
        <v>3 years</v>
      </c>
      <c r="K112" s="4" t="s">
        <v>1902</v>
      </c>
      <c r="L112" s="4" t="s">
        <v>1993</v>
      </c>
      <c r="M112" s="93">
        <v>45750</v>
      </c>
      <c r="N112" s="4"/>
      <c r="O112" s="4"/>
      <c r="P112" s="4"/>
      <c r="Q112" s="4"/>
      <c r="R112" s="4"/>
      <c r="S112" s="4"/>
      <c r="T112" s="4"/>
      <c r="U112" s="4"/>
      <c r="V112" s="4"/>
    </row>
    <row r="113" spans="1:22" x14ac:dyDescent="0.3">
      <c r="A113" s="4">
        <f>'ECN Master Project Tracker new'!A114</f>
        <v>2407397</v>
      </c>
      <c r="B113" s="108" t="str">
        <f>VLOOKUP(A:A,Table1[[#All],[Project No]:[Additional Remark]],2,FALSE)</f>
        <v>Foo Su Hoong</v>
      </c>
      <c r="C113" s="4" t="str">
        <f>VLOOKUP(A:A,Table1[[Project No]:[Additional Remark]],19,FALSE)</f>
        <v>640115-10-5474</v>
      </c>
      <c r="D113" s="4" t="str">
        <f>VLOOKUP(A:A,Table1[[Project No]:[Additional Remark]],20,FALSE)</f>
        <v>3, Jln Kenyalang 11/15D, Seksyen 11, Kota Damansara, 47810 Petaling Jaya, Selangor Darul Ehsan</v>
      </c>
      <c r="E113" s="4" t="str">
        <f>VLOOKUP(A:A,Table1[[Project No]:[Additional Remark]],21,FALSE)</f>
        <v>012-3739780</v>
      </c>
      <c r="F113" s="4" t="str">
        <f>VLOOKUP(A:A,Table1[[Project No]:[Additional Remark]],22,FALSE)</f>
        <v>suhoongfoo@gmail.com</v>
      </c>
      <c r="G113" s="55">
        <f>VLOOKUP(A:A,Table1[[Project No]:[Additional Remark]],11,FALSE)</f>
        <v>39600</v>
      </c>
      <c r="H113" s="4" t="str">
        <f>VLOOKUP(A:A,Table1[[Project No]:[Additional Remark]],5,FALSE)</f>
        <v>R-PV</v>
      </c>
      <c r="I113" s="4">
        <f>VLOOKUP(A:A,Table1[[Project No]:[Additional Remark]],8,FALSE)</f>
        <v>15.21</v>
      </c>
      <c r="J113" s="4" t="str">
        <f>VLOOKUP(A:A,Table1[[Project No]:[Additional Remark]],23,FALSE)</f>
        <v>3 years</v>
      </c>
      <c r="K113" s="4" t="s">
        <v>1902</v>
      </c>
      <c r="L113" s="4" t="s">
        <v>1994</v>
      </c>
      <c r="M113" s="93">
        <v>45750</v>
      </c>
      <c r="N113" s="4"/>
      <c r="O113" s="4"/>
      <c r="P113" s="4"/>
      <c r="Q113" s="4"/>
      <c r="R113" s="4"/>
      <c r="S113" s="4"/>
      <c r="T113" s="4"/>
      <c r="U113" s="4"/>
      <c r="V113" s="4"/>
    </row>
    <row r="114" spans="1:22" x14ac:dyDescent="0.3">
      <c r="A114" s="4">
        <f>'ECN Master Project Tracker new'!A115</f>
        <v>2404250</v>
      </c>
      <c r="B114" s="108" t="str">
        <f>VLOOKUP(A:A,Table1[[#All],[Project No]:[Additional Remark]],2,FALSE)</f>
        <v>Wan Johan Bin Rahim</v>
      </c>
      <c r="C114" s="4" t="str">
        <f>VLOOKUP(A:A,Table1[[Project No]:[Additional Remark]],19,FALSE)</f>
        <v>860724-43-6847</v>
      </c>
      <c r="D114" s="4" t="str">
        <f>VLOOKUP(A:A,Table1[[Project No]:[Additional Remark]],20,FALSE)</f>
        <v>12A, Jalan Setia Tropika U13/20B, Setia Alam, 40170 Shah Alam, Selangor Darul Ehsan</v>
      </c>
      <c r="E114" s="4" t="str">
        <f>VLOOKUP(A:A,Table1[[Project No]:[Additional Remark]],21,FALSE)</f>
        <v>012-3906522</v>
      </c>
      <c r="F114" s="4" t="str">
        <f>VLOOKUP(A:A,Table1[[Project No]:[Additional Remark]],22,FALSE)</f>
        <v>aminrahim@msn.com</v>
      </c>
      <c r="G114" s="55">
        <f>VLOOKUP(A:A,Table1[[Project No]:[Additional Remark]],11,FALSE)</f>
        <v>50320</v>
      </c>
      <c r="H114" s="4" t="str">
        <f>VLOOKUP(A:A,Table1[[Project No]:[Additional Remark]],5,FALSE)</f>
        <v>R-PV</v>
      </c>
      <c r="I114" s="4">
        <f>VLOOKUP(A:A,Table1[[Project No]:[Additional Remark]],8,FALSE)</f>
        <v>17.55</v>
      </c>
      <c r="J114" s="4" t="str">
        <f>VLOOKUP(A:A,Table1[[Project No]:[Additional Remark]],23,FALSE)</f>
        <v>3 years</v>
      </c>
      <c r="K114" s="4" t="s">
        <v>1902</v>
      </c>
      <c r="L114" s="4" t="s">
        <v>1995</v>
      </c>
      <c r="M114" s="93">
        <v>45750</v>
      </c>
      <c r="N114" s="4"/>
      <c r="O114" s="4"/>
      <c r="P114" s="4"/>
      <c r="Q114" s="4"/>
      <c r="R114" s="4"/>
      <c r="S114" s="4"/>
      <c r="T114" s="4"/>
      <c r="U114" s="4"/>
      <c r="V114" s="4"/>
    </row>
    <row r="115" spans="1:22" x14ac:dyDescent="0.3">
      <c r="A115" s="4">
        <f>'ECN Master Project Tracker new'!A116</f>
        <v>2407399</v>
      </c>
      <c r="B115" s="108" t="str">
        <f>VLOOKUP(A:A,Table1[[#All],[Project No]:[Additional Remark]],2,FALSE)</f>
        <v>Koo Woon Kee</v>
      </c>
      <c r="C115" s="4" t="str">
        <f>VLOOKUP(A:A,Table1[[Project No]:[Additional Remark]],19,FALSE)</f>
        <v>540804-10-6087</v>
      </c>
      <c r="D115" s="4" t="str">
        <f>VLOOKUP(A:A,Table1[[Project No]:[Additional Remark]],20,FALSE)</f>
        <v>50B, Jln Merah Mawar Tujuh U9/6G, Cahaya SPK, Sek U9, 40150 Shah Alam, Selangor Darul Ehsan</v>
      </c>
      <c r="E115" s="4" t="str">
        <f>VLOOKUP(A:A,Table1[[Project No]:[Additional Remark]],21,FALSE)</f>
        <v>012-2426698</v>
      </c>
      <c r="F115" s="4" t="str">
        <f>VLOOKUP(A:A,Table1[[Project No]:[Additional Remark]],22,FALSE)</f>
        <v>koowoonkee@gmail.com</v>
      </c>
      <c r="G115" s="55">
        <f>VLOOKUP(A:A,Table1[[Project No]:[Additional Remark]],11,FALSE)</f>
        <v>31000</v>
      </c>
      <c r="H115" s="4" t="str">
        <f>VLOOKUP(A:A,Table1[[Project No]:[Additional Remark]],5,FALSE)</f>
        <v>R-PV</v>
      </c>
      <c r="I115" s="4">
        <f>VLOOKUP(A:A,Table1[[Project No]:[Additional Remark]],8,FALSE)</f>
        <v>10.53</v>
      </c>
      <c r="J115" s="4" t="str">
        <f>VLOOKUP(A:A,Table1[[Project No]:[Additional Remark]],23,FALSE)</f>
        <v>3 years</v>
      </c>
      <c r="K115" s="4" t="s">
        <v>1902</v>
      </c>
      <c r="L115" s="4" t="s">
        <v>1996</v>
      </c>
      <c r="M115" s="93">
        <v>45750</v>
      </c>
      <c r="N115" s="4"/>
      <c r="O115" s="4"/>
      <c r="P115" s="4"/>
      <c r="Q115" s="4"/>
      <c r="R115" s="4"/>
      <c r="S115" s="4"/>
      <c r="T115" s="4"/>
      <c r="U115" s="4"/>
      <c r="V115" s="4"/>
    </row>
    <row r="116" spans="1:22" x14ac:dyDescent="0.3">
      <c r="A116" s="4">
        <f>'ECN Master Project Tracker new'!A117</f>
        <v>2407394</v>
      </c>
      <c r="B116" s="108" t="str">
        <f>VLOOKUP(A:A,Table1[[#All],[Project No]:[Additional Remark]],2,FALSE)</f>
        <v>Nor Aini binti Mat Saman (Nazrul Latif)</v>
      </c>
      <c r="C116" s="4" t="str">
        <f>VLOOKUP(A:A,Table1[[Project No]:[Additional Remark]],19,FALSE)</f>
        <v>760923-08-6124</v>
      </c>
      <c r="D116" s="4" t="str">
        <f>VLOOKUP(A:A,Table1[[Project No]:[Additional Remark]],20,FALSE)</f>
        <v>No 49, Lorong Pinggiran Putra 3/122, Pinggiran Putra 3, 26060 Kuantan, Pahang</v>
      </c>
      <c r="E116" s="4" t="str">
        <f>VLOOKUP(A:A,Table1[[Project No]:[Additional Remark]],21,FALSE)</f>
        <v>019-9598431</v>
      </c>
      <c r="F116" s="4">
        <f>VLOOKUP(A:A,Table1[[Project No]:[Additional Remark]],22,FALSE)</f>
        <v>0</v>
      </c>
      <c r="G116" s="55">
        <f>VLOOKUP(A:A,Table1[[Project No]:[Additional Remark]],11,FALSE)</f>
        <v>24100</v>
      </c>
      <c r="H116" s="4" t="str">
        <f>VLOOKUP(A:A,Table1[[Project No]:[Additional Remark]],5,FALSE)</f>
        <v>R-PV</v>
      </c>
      <c r="I116" s="4">
        <f>VLOOKUP(A:A,Table1[[Project No]:[Additional Remark]],8,FALSE)</f>
        <v>7.02</v>
      </c>
      <c r="J116" s="4" t="str">
        <f>VLOOKUP(A:A,Table1[[Project No]:[Additional Remark]],23,FALSE)</f>
        <v>3 years</v>
      </c>
      <c r="K116" s="4" t="s">
        <v>1902</v>
      </c>
      <c r="L116" s="4" t="s">
        <v>1997</v>
      </c>
      <c r="M116" s="93">
        <v>45568</v>
      </c>
      <c r="N116" s="4"/>
      <c r="O116" s="4"/>
      <c r="P116" s="93"/>
      <c r="Q116" s="4"/>
      <c r="R116" s="4"/>
      <c r="S116" s="93"/>
      <c r="T116" s="4"/>
      <c r="U116" s="4"/>
      <c r="V116" s="93"/>
    </row>
    <row r="117" spans="1:22" x14ac:dyDescent="0.3">
      <c r="A117" s="4" t="str">
        <f>'ECN Master Project Tracker new'!A118</f>
        <v>2407397-1</v>
      </c>
      <c r="B117" s="108" t="str">
        <f>VLOOKUP(A:A,Table1[[#All],[Project No]:[Additional Remark]],2,FALSE)</f>
        <v>Teo Kai Yun</v>
      </c>
      <c r="C117" s="4" t="str">
        <f>VLOOKUP(A:A,Table1[[Project No]:[Additional Remark]],19,FALSE)</f>
        <v>950515-05-5334</v>
      </c>
      <c r="D117" s="4" t="str">
        <f>VLOOKUP(A:A,Table1[[Project No]:[Additional Remark]],20,FALSE)</f>
        <v>138, Lorong Warisan Villa 2/3, Taman Warisan Villa, 71800 Nilai, Negeri Sembilan Darul Khusus</v>
      </c>
      <c r="E117" s="4" t="str">
        <f>VLOOKUP(A:A,Table1[[Project No]:[Additional Remark]],21,FALSE)</f>
        <v>012-2531773</v>
      </c>
      <c r="F117" s="4" t="str">
        <f>VLOOKUP(A:A,Table1[[Project No]:[Additional Remark]],22,FALSE)</f>
        <v>allyssa_pinky@hotmail.com</v>
      </c>
      <c r="G117" s="55">
        <f>VLOOKUP(A:A,Table1[[Project No]:[Additional Remark]],11,FALSE)</f>
        <v>39600</v>
      </c>
      <c r="H117" s="4" t="str">
        <f>VLOOKUP(A:A,Table1[[Project No]:[Additional Remark]],5,FALSE)</f>
        <v>R-PV</v>
      </c>
      <c r="I117" s="4">
        <f>VLOOKUP(A:A,Table1[[Project No]:[Additional Remark]],8,FALSE)</f>
        <v>15.21</v>
      </c>
      <c r="J117" s="4" t="str">
        <f>VLOOKUP(A:A,Table1[[Project No]:[Additional Remark]],23,FALSE)</f>
        <v>3 years</v>
      </c>
      <c r="K117" s="4" t="s">
        <v>1902</v>
      </c>
      <c r="L117" s="4" t="s">
        <v>1998</v>
      </c>
      <c r="M117" s="93">
        <v>45750</v>
      </c>
      <c r="N117" s="4"/>
      <c r="O117" s="4"/>
      <c r="P117" s="4"/>
      <c r="Q117" s="4"/>
      <c r="R117" s="4"/>
      <c r="S117" s="4"/>
      <c r="T117" s="4"/>
      <c r="U117" s="4"/>
      <c r="V117" s="4"/>
    </row>
    <row r="118" spans="1:22" x14ac:dyDescent="0.3">
      <c r="A118" s="4">
        <f>'ECN Master Project Tracker new'!A119</f>
        <v>2312114</v>
      </c>
      <c r="B118" s="108" t="str">
        <f>VLOOKUP(A:A,Table1[[#All],[Project No]:[Additional Remark]],2,FALSE)</f>
        <v>Chua Teng Teng</v>
      </c>
      <c r="C118" s="4" t="str">
        <f>VLOOKUP(A:A,Table1[[Project No]:[Additional Remark]],19,FALSE)</f>
        <v>771115-14-5820</v>
      </c>
      <c r="D118" s="4" t="str">
        <f>VLOOKUP(A:A,Table1[[Project No]:[Additional Remark]],20,FALSE)</f>
        <v>130, Jln Desa Residen, Desa Parkcity, 52200 Kuala Lumpur, WP Kuala Lumpur</v>
      </c>
      <c r="E118" s="4" t="str">
        <f>VLOOKUP(A:A,Table1[[Project No]:[Additional Remark]],21,FALSE)</f>
        <v>012-3354488</v>
      </c>
      <c r="F118" s="4" t="str">
        <f>VLOOKUP(A:A,Table1[[Project No]:[Additional Remark]],22,FALSE)</f>
        <v>ttchua77@hotmail.com</v>
      </c>
      <c r="G118" s="55">
        <f>VLOOKUP(A:A,Table1[[Project No]:[Additional Remark]],11,FALSE)</f>
        <v>31000</v>
      </c>
      <c r="H118" s="4" t="str">
        <f>VLOOKUP(A:A,Table1[[Project No]:[Additional Remark]],5,FALSE)</f>
        <v>R-PV</v>
      </c>
      <c r="I118" s="4">
        <f>VLOOKUP(A:A,Table1[[Project No]:[Additional Remark]],8,FALSE)</f>
        <v>11.7</v>
      </c>
      <c r="J118" s="4" t="str">
        <f>VLOOKUP(A:A,Table1[[Project No]:[Additional Remark]],23,FALSE)</f>
        <v>1 year</v>
      </c>
      <c r="K118" s="4" t="s">
        <v>1902</v>
      </c>
      <c r="L118" s="4" t="s">
        <v>1999</v>
      </c>
      <c r="M118" s="93">
        <v>45568</v>
      </c>
      <c r="N118" s="163" t="s">
        <v>109</v>
      </c>
      <c r="O118" s="164" t="s">
        <v>109</v>
      </c>
      <c r="P118" s="165"/>
      <c r="Q118" s="163" t="s">
        <v>109</v>
      </c>
      <c r="R118" s="164"/>
      <c r="S118" s="165"/>
      <c r="T118" s="163" t="s">
        <v>109</v>
      </c>
      <c r="U118" s="164"/>
      <c r="V118" s="165"/>
    </row>
    <row r="119" spans="1:22" x14ac:dyDescent="0.3">
      <c r="A119" s="4">
        <f>'ECN Master Project Tracker new'!A120</f>
        <v>2401123</v>
      </c>
      <c r="B119" s="108" t="str">
        <f>VLOOKUP(A:A,Table1[[#All],[Project No]:[Additional Remark]],2,FALSE)</f>
        <v>Lee Yoon Huat</v>
      </c>
      <c r="C119" s="4" t="str">
        <f>VLOOKUP(A:A,Table1[[Project No]:[Additional Remark]],19,FALSE)</f>
        <v>780620-05-5273</v>
      </c>
      <c r="D119" s="4" t="str">
        <f>VLOOKUP(A:A,Table1[[Project No]:[Additional Remark]],20,FALSE)</f>
        <v>No 18, Jln Jalil Perkasa 19, Tmn Esplanad, 57100 Bukit Jalil, WP Kuala Lumpur</v>
      </c>
      <c r="E119" s="4" t="str">
        <f>VLOOKUP(A:A,Table1[[Project No]:[Additional Remark]],21,FALSE)</f>
        <v>016-2226469</v>
      </c>
      <c r="F119" s="4" t="str">
        <f>VLOOKUP(A:A,Table1[[Project No]:[Additional Remark]],22,FALSE)</f>
        <v>thomas119@hotmail.com</v>
      </c>
      <c r="G119" s="55">
        <f>VLOOKUP(A:A,Table1[[Project No]:[Additional Remark]],11,FALSE)</f>
        <v>36500</v>
      </c>
      <c r="H119" s="4" t="str">
        <f>VLOOKUP(A:A,Table1[[Project No]:[Additional Remark]],5,FALSE)</f>
        <v>R-PV</v>
      </c>
      <c r="I119" s="4">
        <f>VLOOKUP(A:A,Table1[[Project No]:[Additional Remark]],8,FALSE)</f>
        <v>12.285</v>
      </c>
      <c r="J119" s="4" t="str">
        <f>VLOOKUP(A:A,Table1[[Project No]:[Additional Remark]],23,FALSE)</f>
        <v>3 years</v>
      </c>
      <c r="K119" s="4" t="s">
        <v>1902</v>
      </c>
      <c r="L119" s="4" t="s">
        <v>2000</v>
      </c>
      <c r="M119" s="93">
        <v>45750</v>
      </c>
      <c r="N119" s="4"/>
      <c r="O119" s="4"/>
      <c r="P119" s="4"/>
      <c r="Q119" s="4"/>
      <c r="R119" s="4"/>
      <c r="S119" s="4"/>
      <c r="T119" s="4"/>
      <c r="U119" s="4"/>
      <c r="V119" s="4"/>
    </row>
    <row r="120" spans="1:22" x14ac:dyDescent="0.3">
      <c r="A120" s="4">
        <f>'ECN Master Project Tracker new'!A121</f>
        <v>2404207</v>
      </c>
      <c r="B120" s="108" t="str">
        <f>VLOOKUP(A:A,Table1[[#All],[Project No]:[Additional Remark]],2,FALSE)</f>
        <v>Tan Boon Siang (Han Father)</v>
      </c>
      <c r="C120" s="4" t="str">
        <f>VLOOKUP(A:A,Table1[[Project No]:[Additional Remark]],19,FALSE)</f>
        <v>610216-02-5417</v>
      </c>
      <c r="D120" s="4" t="str">
        <f>VLOOKUP(A:A,Table1[[Project No]:[Additional Remark]],20,FALSE)</f>
        <v>360, Tmn Saga Jln Alor Mengkudu, 05400 Alor Setar, Kedah Darul Aman</v>
      </c>
      <c r="E120" s="4" t="str">
        <f>VLOOKUP(A:A,Table1[[Project No]:[Additional Remark]],21,FALSE)</f>
        <v>017-4732831</v>
      </c>
      <c r="F120" s="4" t="str">
        <f>VLOOKUP(A:A,Table1[[Project No]:[Additional Remark]],22,FALSE)</f>
        <v>boon.siang@hotmail.com</v>
      </c>
      <c r="G120" s="55">
        <f>VLOOKUP(A:A,Table1[[Project No]:[Additional Remark]],11,FALSE)</f>
        <v>26240</v>
      </c>
      <c r="H120" s="4" t="str">
        <f>VLOOKUP(A:A,Table1[[Project No]:[Additional Remark]],5,FALSE)</f>
        <v>R-PV</v>
      </c>
      <c r="I120" s="4">
        <f>VLOOKUP(A:A,Table1[[Project No]:[Additional Remark]],8,FALSE)</f>
        <v>7.02</v>
      </c>
      <c r="J120" s="4" t="str">
        <f>VLOOKUP(A:A,Table1[[Project No]:[Additional Remark]],23,FALSE)</f>
        <v>3 years</v>
      </c>
      <c r="K120" s="4" t="s">
        <v>1902</v>
      </c>
      <c r="L120" s="4" t="s">
        <v>2001</v>
      </c>
      <c r="M120" s="93">
        <v>45568</v>
      </c>
      <c r="N120" s="4"/>
      <c r="O120" s="4"/>
      <c r="P120" s="93"/>
      <c r="Q120" s="4"/>
      <c r="R120" s="4"/>
      <c r="S120" s="93"/>
      <c r="T120" s="4"/>
      <c r="U120" s="4"/>
      <c r="V120" s="93"/>
    </row>
    <row r="121" spans="1:22" x14ac:dyDescent="0.3">
      <c r="A121" s="4">
        <f>'ECN Master Project Tracker new'!A122</f>
        <v>2408402</v>
      </c>
      <c r="B121" s="108" t="str">
        <f>VLOOKUP(A:A,Table1[[#All],[Project No]:[Additional Remark]],2,FALSE)</f>
        <v>Tee Cheong Tuan</v>
      </c>
      <c r="C121" s="4" t="str">
        <f>VLOOKUP(A:A,Table1[[Project No]:[Additional Remark]],19,FALSE)</f>
        <v>621029-06-5273</v>
      </c>
      <c r="D121" s="4" t="str">
        <f>VLOOKUP(A:A,Table1[[Project No]:[Additional Remark]],20,FALSE)</f>
        <v>No 3, Jln BK 6A/2A, Bandar Kinrara, 47100 Puchong, Selangor</v>
      </c>
      <c r="E121" s="4" t="str">
        <f>VLOOKUP(A:A,Table1[[Project No]:[Additional Remark]],21,FALSE)</f>
        <v>012-3290810</v>
      </c>
      <c r="F121" s="4" t="str">
        <f>VLOOKUP(A:A,Table1[[Project No]:[Additional Remark]],22,FALSE)</f>
        <v>tuantee2010@gmail.com</v>
      </c>
      <c r="G121" s="55">
        <f>VLOOKUP(A:A,Table1[[Project No]:[Additional Remark]],11,FALSE)</f>
        <v>43000</v>
      </c>
      <c r="H121" s="4" t="str">
        <f>VLOOKUP(A:A,Table1[[Project No]:[Additional Remark]],5,FALSE)</f>
        <v>R-PV</v>
      </c>
      <c r="I121" s="4">
        <f>VLOOKUP(A:A,Table1[[Project No]:[Additional Remark]],8,FALSE)</f>
        <v>12.87</v>
      </c>
      <c r="J121" s="4" t="str">
        <f>VLOOKUP(A:A,Table1[[Project No]:[Additional Remark]],23,FALSE)</f>
        <v>3 years</v>
      </c>
      <c r="K121" s="4" t="s">
        <v>1902</v>
      </c>
      <c r="L121" s="4" t="s">
        <v>2002</v>
      </c>
      <c r="M121" s="93">
        <v>45750</v>
      </c>
      <c r="N121" s="4"/>
      <c r="O121" s="4"/>
      <c r="P121" s="4"/>
      <c r="Q121" s="4"/>
      <c r="R121" s="4"/>
      <c r="S121" s="4"/>
      <c r="T121" s="4"/>
      <c r="U121" s="4"/>
      <c r="V121" s="4"/>
    </row>
    <row r="122" spans="1:22" x14ac:dyDescent="0.3">
      <c r="A122" s="4">
        <f>'ECN Master Project Tracker new'!A123</f>
        <v>2407372</v>
      </c>
      <c r="B122" s="108" t="str">
        <f>VLOOKUP(A:A,Table1[[#All],[Project No]:[Additional Remark]],2,FALSE)</f>
        <v>Dato Tay Tong Ben</v>
      </c>
      <c r="C122" s="4" t="str">
        <f>VLOOKUP(A:A,Table1[[Project No]:[Additional Remark]],19,FALSE)</f>
        <v>900522-01-5829</v>
      </c>
      <c r="D122" s="4" t="str">
        <f>VLOOKUP(A:A,Table1[[Project No]:[Additional Remark]],20,FALSE)</f>
        <v>15, PTD207737, Jalan Danga Sutera 12/3, Taman Danga Sutera, 81300 Johor Bahru, Johor Darul Takzim</v>
      </c>
      <c r="E122" s="4" t="str">
        <f>VLOOKUP(A:A,Table1[[Project No]:[Additional Remark]],21,FALSE)</f>
        <v>016-7132622</v>
      </c>
      <c r="F122" s="4" t="str">
        <f>VLOOKUP(A:A,Table1[[Project No]:[Additional Remark]],22,FALSE)</f>
        <v>legendtay@hotmail.com</v>
      </c>
      <c r="G122" s="55">
        <f>VLOOKUP(A:A,Table1[[Project No]:[Additional Remark]],11,FALSE)</f>
        <v>37600</v>
      </c>
      <c r="H122" s="4" t="str">
        <f>VLOOKUP(A:A,Table1[[Project No]:[Additional Remark]],5,FALSE)</f>
        <v>R-PV</v>
      </c>
      <c r="I122" s="4">
        <f>VLOOKUP(A:A,Table1[[Project No]:[Additional Remark]],8,FALSE)</f>
        <v>14.04</v>
      </c>
      <c r="J122" s="4" t="str">
        <f>VLOOKUP(A:A,Table1[[Project No]:[Additional Remark]],23,FALSE)</f>
        <v>3 years</v>
      </c>
      <c r="K122" s="4" t="s">
        <v>1902</v>
      </c>
      <c r="L122" s="4" t="s">
        <v>2003</v>
      </c>
      <c r="M122" s="93">
        <v>45750</v>
      </c>
      <c r="N122" s="4"/>
      <c r="O122" s="4"/>
      <c r="P122" s="4"/>
      <c r="Q122" s="4"/>
      <c r="R122" s="4"/>
      <c r="S122" s="4"/>
      <c r="T122" s="4"/>
      <c r="U122" s="4"/>
      <c r="V122" s="4"/>
    </row>
    <row r="123" spans="1:22" x14ac:dyDescent="0.3">
      <c r="A123" s="4">
        <f>'ECN Master Project Tracker new'!A124</f>
        <v>2405298</v>
      </c>
      <c r="B123" s="108" t="str">
        <f>VLOOKUP(A:A,Table1[[#All],[Project No]:[Additional Remark]],2,FALSE)</f>
        <v>Lim Choon Huat</v>
      </c>
      <c r="C123" s="4" t="str">
        <f>VLOOKUP(A:A,Table1[[Project No]:[Additional Remark]],19,FALSE)</f>
        <v>820818-01-6265</v>
      </c>
      <c r="D123" s="4" t="str">
        <f>VLOOKUP(A:A,Table1[[Project No]:[Additional Remark]],20,FALSE)</f>
        <v>64, Jalan Eko Botani 1/9, Taman Eko Botani, 79100 Iskandar Puteri, Johor Darul Takzim</v>
      </c>
      <c r="E123" s="4" t="str">
        <f>VLOOKUP(A:A,Table1[[Project No]:[Additional Remark]],21,FALSE)</f>
        <v>012-7731700</v>
      </c>
      <c r="F123" s="4" t="str">
        <f>VLOOKUP(A:A,Table1[[Project No]:[Additional Remark]],22,FALSE)</f>
        <v>otakibc@gmail.com</v>
      </c>
      <c r="G123" s="55">
        <f>VLOOKUP(A:A,Table1[[Project No]:[Additional Remark]],11,FALSE)</f>
        <v>35960</v>
      </c>
      <c r="H123" s="4" t="str">
        <f>VLOOKUP(A:A,Table1[[Project No]:[Additional Remark]],5,FALSE)</f>
        <v>R-PV</v>
      </c>
      <c r="I123" s="4">
        <f>VLOOKUP(A:A,Table1[[Project No]:[Additional Remark]],8,FALSE)</f>
        <v>11.7</v>
      </c>
      <c r="J123" s="4" t="str">
        <f>VLOOKUP(A:A,Table1[[Project No]:[Additional Remark]],23,FALSE)</f>
        <v>3 years</v>
      </c>
      <c r="K123" s="4" t="s">
        <v>1902</v>
      </c>
      <c r="L123" s="4" t="s">
        <v>2004</v>
      </c>
      <c r="M123" s="93">
        <v>45750</v>
      </c>
      <c r="N123" s="4"/>
      <c r="O123" s="4"/>
      <c r="P123" s="4"/>
      <c r="Q123" s="4"/>
      <c r="R123" s="4"/>
      <c r="S123" s="4"/>
      <c r="T123" s="4"/>
      <c r="U123" s="4"/>
      <c r="V123" s="4"/>
    </row>
    <row r="124" spans="1:22" x14ac:dyDescent="0.3">
      <c r="A124" s="4">
        <f>'ECN Master Project Tracker new'!A125</f>
        <v>2408404</v>
      </c>
      <c r="B124" s="108" t="str">
        <f>VLOOKUP(A:A,Table1[[#All],[Project No]:[Additional Remark]],2,FALSE)</f>
        <v>Ong Ling Gee</v>
      </c>
      <c r="C124" s="4" t="str">
        <f>VLOOKUP(A:A,Table1[[Project No]:[Additional Remark]],19,FALSE)</f>
        <v>690508-01-5643</v>
      </c>
      <c r="D124" s="4" t="str">
        <f>VLOOKUP(A:A,Table1[[Project No]:[Additional Remark]],20,FALSE)</f>
        <v>57, Jln Melawati Tmn Melawati, 83700 Yong Peng, Johor Darul Takzim</v>
      </c>
      <c r="E124" s="4" t="str">
        <f>VLOOKUP(A:A,Table1[[Project No]:[Additional Remark]],21,FALSE)</f>
        <v>013-7448833</v>
      </c>
      <c r="F124" s="4" t="str">
        <f>VLOOKUP(A:A,Table1[[Project No]:[Additional Remark]],22,FALSE)</f>
        <v>onglinggee@yahoo.com</v>
      </c>
      <c r="G124" s="55">
        <f>VLOOKUP(A:A,Table1[[Project No]:[Additional Remark]],11,FALSE)</f>
        <v>24680</v>
      </c>
      <c r="H124" s="4" t="str">
        <f>VLOOKUP(A:A,Table1[[Project No]:[Additional Remark]],5,FALSE)</f>
        <v>R-PV</v>
      </c>
      <c r="I124" s="4">
        <f>VLOOKUP(A:A,Table1[[Project No]:[Additional Remark]],8,FALSE)</f>
        <v>7.02</v>
      </c>
      <c r="J124" s="4" t="str">
        <f>VLOOKUP(A:A,Table1[[Project No]:[Additional Remark]],23,FALSE)</f>
        <v>3 years</v>
      </c>
      <c r="K124" s="4" t="s">
        <v>1902</v>
      </c>
      <c r="L124" s="4" t="s">
        <v>2005</v>
      </c>
      <c r="M124" s="93">
        <v>45750</v>
      </c>
      <c r="N124" s="4"/>
      <c r="O124" s="4"/>
      <c r="P124" s="4"/>
      <c r="Q124" s="4"/>
      <c r="R124" s="4"/>
      <c r="S124" s="4"/>
      <c r="T124" s="4"/>
      <c r="U124" s="4"/>
      <c r="V124" s="4"/>
    </row>
    <row r="125" spans="1:22" x14ac:dyDescent="0.3">
      <c r="A125" s="4">
        <f>'ECN Master Project Tracker new'!A126</f>
        <v>2408401</v>
      </c>
      <c r="B125" s="108" t="str">
        <f>VLOOKUP(A:A,Table1[[#All],[Project No]:[Additional Remark]],2,FALSE)</f>
        <v>Kuek Soon Yeam</v>
      </c>
      <c r="C125" s="4" t="str">
        <f>VLOOKUP(A:A,Table1[[Project No]:[Additional Remark]],19,FALSE)</f>
        <v>560722-10-6137</v>
      </c>
      <c r="D125" s="4" t="str">
        <f>VLOOKUP(A:A,Table1[[Project No]:[Additional Remark]],20,FALSE)</f>
        <v>No 95, Jln Hujan Bubuk, Overseas Union Garden, 58200 Kuala Lumpur, WP Kuala Lumpur</v>
      </c>
      <c r="E125" s="4" t="str">
        <f>VLOOKUP(A:A,Table1[[Project No]:[Additional Remark]],21,FALSE)</f>
        <v>012-3107766</v>
      </c>
      <c r="F125" s="4" t="str">
        <f>VLOOKUP(A:A,Table1[[Project No]:[Additional Remark]],22,FALSE)</f>
        <v>danielkuek56@hotmail.com</v>
      </c>
      <c r="G125" s="55">
        <f>VLOOKUP(A:A,Table1[[Project No]:[Additional Remark]],11,FALSE)</f>
        <v>22500</v>
      </c>
      <c r="H125" s="4" t="str">
        <f>VLOOKUP(A:A,Table1[[Project No]:[Additional Remark]],5,FALSE)</f>
        <v>R-PV</v>
      </c>
      <c r="I125" s="4">
        <f>VLOOKUP(A:A,Table1[[Project No]:[Additional Remark]],8,FALSE)</f>
        <v>7.02</v>
      </c>
      <c r="J125" s="4" t="str">
        <f>VLOOKUP(A:A,Table1[[Project No]:[Additional Remark]],23,FALSE)</f>
        <v>3 years</v>
      </c>
      <c r="K125" s="4" t="s">
        <v>1902</v>
      </c>
      <c r="L125" s="4" t="s">
        <v>2006</v>
      </c>
      <c r="M125" s="93">
        <v>45750</v>
      </c>
      <c r="N125" s="4"/>
      <c r="O125" s="4"/>
      <c r="P125" s="4"/>
      <c r="Q125" s="4"/>
      <c r="R125" s="4"/>
      <c r="S125" s="4"/>
      <c r="T125" s="4"/>
      <c r="U125" s="4"/>
      <c r="V125" s="4"/>
    </row>
    <row r="126" spans="1:22" x14ac:dyDescent="0.3">
      <c r="A126" s="4">
        <f>'ECN Master Project Tracker new'!A127</f>
        <v>2408398</v>
      </c>
      <c r="B126" s="108" t="str">
        <f>VLOOKUP(A:A,Table1[[#All],[Project No]:[Additional Remark]],2,FALSE)</f>
        <v>Yap Siok Ching</v>
      </c>
      <c r="C126" s="4" t="str">
        <f>VLOOKUP(A:A,Table1[[Project No]:[Additional Remark]],19,FALSE)</f>
        <v>620404-10-6408</v>
      </c>
      <c r="D126" s="4" t="str">
        <f>VLOOKUP(A:A,Table1[[Project No]:[Additional Remark]],20,FALSE)</f>
        <v>No 33, Lrg Burhanuddin Helmi 1, Tmn Tun Dr Ismail, 60000 Kuala Lumpur, WP Kuala Lumpur</v>
      </c>
      <c r="E126" s="4" t="str">
        <f>VLOOKUP(A:A,Table1[[Project No]:[Additional Remark]],21,FALSE)</f>
        <v>017-2783248</v>
      </c>
      <c r="F126" s="4" t="str">
        <f>VLOOKUP(A:A,Table1[[Project No]:[Additional Remark]],22,FALSE)</f>
        <v>ginayap@gmail.com</v>
      </c>
      <c r="G126" s="55">
        <f>VLOOKUP(A:A,Table1[[Project No]:[Additional Remark]],11,FALSE)</f>
        <v>36680</v>
      </c>
      <c r="H126" s="4" t="str">
        <f>VLOOKUP(A:A,Table1[[Project No]:[Additional Remark]],5,FALSE)</f>
        <v>R-PV</v>
      </c>
      <c r="I126" s="4">
        <f>VLOOKUP(A:A,Table1[[Project No]:[Additional Remark]],8,FALSE)</f>
        <v>11.7</v>
      </c>
      <c r="J126" s="4" t="str">
        <f>VLOOKUP(A:A,Table1[[Project No]:[Additional Remark]],23,FALSE)</f>
        <v>3 years</v>
      </c>
      <c r="K126" s="4" t="s">
        <v>1902</v>
      </c>
      <c r="L126" s="4" t="s">
        <v>2007</v>
      </c>
      <c r="M126" s="93">
        <v>45750</v>
      </c>
      <c r="N126" s="4"/>
      <c r="O126" s="4"/>
      <c r="P126" s="4"/>
      <c r="Q126" s="4"/>
      <c r="R126" s="4"/>
      <c r="S126" s="4"/>
      <c r="T126" s="4"/>
      <c r="U126" s="4"/>
      <c r="V126" s="4"/>
    </row>
    <row r="127" spans="1:22" x14ac:dyDescent="0.3">
      <c r="A127" s="4">
        <f>'ECN Master Project Tracker new'!A128</f>
        <v>2408415</v>
      </c>
      <c r="B127" s="108" t="str">
        <f>VLOOKUP(A:A,Table1[[#All],[Project No]:[Additional Remark]],2,FALSE)</f>
        <v>Shahrin Merican</v>
      </c>
      <c r="C127" s="4" t="str">
        <f>VLOOKUP(A:A,Table1[[Project No]:[Additional Remark]],19,FALSE)</f>
        <v>610228-71-5001</v>
      </c>
      <c r="D127" s="4" t="str">
        <f>VLOOKUP(A:A,Table1[[Project No]:[Additional Remark]],20,FALSE)</f>
        <v>36, Jalan Lanai Kiara, Taman Sri Hartamas, 50480 Kuala Lumpur</v>
      </c>
      <c r="E127" s="4" t="str">
        <f>VLOOKUP(A:A,Table1[[Project No]:[Additional Remark]],21,FALSE)</f>
        <v>012-2967681</v>
      </c>
      <c r="F127" s="4" t="str">
        <f>VLOOKUP(A:A,Table1[[Project No]:[Additional Remark]],22,FALSE)</f>
        <v>sitiomar19@yahoo.com</v>
      </c>
      <c r="G127" s="55">
        <f>VLOOKUP(A:A,Table1[[Project No]:[Additional Remark]],11,FALSE)</f>
        <v>45600</v>
      </c>
      <c r="H127" s="4" t="str">
        <f>VLOOKUP(A:A,Table1[[Project No]:[Additional Remark]],5,FALSE)</f>
        <v>R-PV</v>
      </c>
      <c r="I127" s="4">
        <f>VLOOKUP(A:A,Table1[[Project No]:[Additional Remark]],8,FALSE)</f>
        <v>17.55</v>
      </c>
      <c r="J127" s="4" t="str">
        <f>VLOOKUP(A:A,Table1[[Project No]:[Additional Remark]],23,FALSE)</f>
        <v>3 years</v>
      </c>
      <c r="K127" s="4" t="s">
        <v>1902</v>
      </c>
      <c r="L127" s="4" t="s">
        <v>2008</v>
      </c>
      <c r="M127" s="93">
        <v>45750</v>
      </c>
      <c r="N127" s="4"/>
      <c r="O127" s="4"/>
      <c r="P127" s="4"/>
      <c r="Q127" s="4"/>
      <c r="R127" s="4"/>
      <c r="S127" s="4"/>
      <c r="T127" s="4"/>
      <c r="U127" s="4"/>
      <c r="V127" s="4"/>
    </row>
    <row r="128" spans="1:22" x14ac:dyDescent="0.3">
      <c r="A128" s="4">
        <f>'ECN Master Project Tracker new'!A129</f>
        <v>2408425</v>
      </c>
      <c r="B128" s="108" t="str">
        <f>VLOOKUP(A:A,Table1[[#All],[Project No]:[Additional Remark]],2,FALSE)</f>
        <v>Chua Shen Huat</v>
      </c>
      <c r="C128" s="4" t="str">
        <f>VLOOKUP(A:A,Table1[[Project No]:[Additional Remark]],19,FALSE)</f>
        <v>600508-11-5247</v>
      </c>
      <c r="D128" s="4" t="str">
        <f>VLOOKUP(A:A,Table1[[Project No]:[Additional Remark]],20,FALSE)</f>
        <v>PT PT 26137, Jln USJ 3D/6, USJ Avenue, 47500 Subang Jaya, Selangor</v>
      </c>
      <c r="E128" s="4" t="str">
        <f>VLOOKUP(A:A,Table1[[Project No]:[Additional Remark]],21,FALSE)</f>
        <v>013-2767764</v>
      </c>
      <c r="F128" s="4" t="str">
        <f>VLOOKUP(A:A,Table1[[Project No]:[Additional Remark]],22,FALSE)</f>
        <v>shchua60@hotmail.com</v>
      </c>
      <c r="G128" s="55">
        <f>VLOOKUP(A:A,Table1[[Project No]:[Additional Remark]],11,FALSE)</f>
        <v>43100</v>
      </c>
      <c r="H128" s="4" t="str">
        <f>VLOOKUP(A:A,Table1[[Project No]:[Additional Remark]],5,FALSE)</f>
        <v>R-PV</v>
      </c>
      <c r="I128" s="4">
        <f>VLOOKUP(A:A,Table1[[Project No]:[Additional Remark]],8,FALSE)</f>
        <v>14.04</v>
      </c>
      <c r="J128" s="4" t="str">
        <f>VLOOKUP(A:A,Table1[[Project No]:[Additional Remark]],23,FALSE)</f>
        <v>3 years</v>
      </c>
      <c r="K128" s="4" t="s">
        <v>1902</v>
      </c>
      <c r="L128" s="4" t="s">
        <v>2009</v>
      </c>
      <c r="M128" s="93">
        <v>45750</v>
      </c>
      <c r="N128" s="4"/>
      <c r="O128" s="4"/>
      <c r="P128" s="4"/>
      <c r="Q128" s="4"/>
      <c r="R128" s="4"/>
      <c r="S128" s="4"/>
      <c r="T128" s="4"/>
      <c r="U128" s="4"/>
      <c r="V128" s="4"/>
    </row>
    <row r="129" spans="1:22" x14ac:dyDescent="0.3">
      <c r="A129" s="4">
        <f>'ECN Master Project Tracker new'!A130</f>
        <v>2406334</v>
      </c>
      <c r="B129" s="108" t="str">
        <f>VLOOKUP(A:A,Table1[[#All],[Project No]:[Additional Remark]],2,FALSE)</f>
        <v>Yap Kee Leong</v>
      </c>
      <c r="C129" s="4" t="str">
        <f>VLOOKUP(A:A,Table1[[Project No]:[Additional Remark]],19,FALSE)</f>
        <v>640318-10-6143</v>
      </c>
      <c r="D129" s="4" t="str">
        <f>VLOOKUP(A:A,Table1[[Project No]:[Additional Remark]],20,FALSE)</f>
        <v>Jalan Klang Batu 16, Kampung Tambak Jawa, 45800 Jeram, Selangor</v>
      </c>
      <c r="E129" s="4" t="str">
        <f>VLOOKUP(A:A,Table1[[Project No]:[Additional Remark]],21,FALSE)</f>
        <v>019-6642542</v>
      </c>
      <c r="F129" s="4" t="str">
        <f>VLOOKUP(A:A,Table1[[Project No]:[Additional Remark]],22,FALSE)</f>
        <v>klyap1964@hotmail.com</v>
      </c>
      <c r="G129" s="55">
        <f>VLOOKUP(A:A,Table1[[Project No]:[Additional Remark]],11,FALSE)</f>
        <v>37600</v>
      </c>
      <c r="H129" s="4" t="str">
        <f>VLOOKUP(A:A,Table1[[Project No]:[Additional Remark]],5,FALSE)</f>
        <v>R-PV</v>
      </c>
      <c r="I129" s="4">
        <f>VLOOKUP(A:A,Table1[[Project No]:[Additional Remark]],8,FALSE)</f>
        <v>14.04</v>
      </c>
      <c r="J129" s="4" t="str">
        <f>VLOOKUP(A:A,Table1[[Project No]:[Additional Remark]],23,FALSE)</f>
        <v>3 years</v>
      </c>
      <c r="K129" s="4" t="s">
        <v>1902</v>
      </c>
      <c r="L129" s="4" t="s">
        <v>2010</v>
      </c>
      <c r="M129" s="93">
        <v>45750</v>
      </c>
      <c r="N129" s="4"/>
      <c r="O129" s="4"/>
      <c r="P129" s="4"/>
      <c r="Q129" s="4"/>
      <c r="R129" s="4"/>
      <c r="S129" s="4"/>
      <c r="T129" s="4"/>
      <c r="U129" s="4"/>
      <c r="V129" s="4"/>
    </row>
    <row r="130" spans="1:22" x14ac:dyDescent="0.3">
      <c r="A130" s="4">
        <f>'ECN Master Project Tracker new'!A131</f>
        <v>2407371</v>
      </c>
      <c r="B130" s="108" t="str">
        <f>VLOOKUP(A:A,Table1[[#All],[Project No]:[Additional Remark]],2,FALSE)</f>
        <v>Tiong Nguong Kiong</v>
      </c>
      <c r="C130" s="4" t="str">
        <f>VLOOKUP(A:A,Table1[[Project No]:[Additional Remark]],19,FALSE)</f>
        <v>560304-01-5435</v>
      </c>
      <c r="D130" s="4" t="str">
        <f>VLOOKUP(A:A,Table1[[Project No]:[Additional Remark]],20,FALSE)</f>
        <v>No 8, Jln Mawar 6, Tmn Mawar, 28300 Triang, Pahang</v>
      </c>
      <c r="E130" s="4" t="str">
        <f>VLOOKUP(A:A,Table1[[Project No]:[Additional Remark]],21,FALSE)</f>
        <v>012-6628908</v>
      </c>
      <c r="F130" s="4" t="str">
        <f>VLOOKUP(A:A,Table1[[Project No]:[Additional Remark]],22,FALSE)</f>
        <v>meeting1210@gmail.com</v>
      </c>
      <c r="G130" s="55">
        <f>VLOOKUP(A:A,Table1[[Project No]:[Additional Remark]],11,FALSE)</f>
        <v>32800</v>
      </c>
      <c r="H130" s="4" t="str">
        <f>VLOOKUP(A:A,Table1[[Project No]:[Additional Remark]],5,FALSE)</f>
        <v>R-PV</v>
      </c>
      <c r="I130" s="4">
        <f>VLOOKUP(A:A,Table1[[Project No]:[Additional Remark]],8,FALSE)</f>
        <v>10.53</v>
      </c>
      <c r="J130" s="4" t="str">
        <f>VLOOKUP(A:A,Table1[[Project No]:[Additional Remark]],23,FALSE)</f>
        <v>5 years</v>
      </c>
      <c r="K130" s="4" t="s">
        <v>1902</v>
      </c>
      <c r="L130" s="4" t="s">
        <v>2011</v>
      </c>
      <c r="M130" s="93">
        <v>45750</v>
      </c>
      <c r="N130" s="4"/>
      <c r="O130" s="4"/>
      <c r="P130" s="4"/>
      <c r="Q130" s="4"/>
      <c r="R130" s="4"/>
      <c r="S130" s="4"/>
      <c r="T130" s="4"/>
      <c r="U130" s="4"/>
      <c r="V130" s="4"/>
    </row>
    <row r="131" spans="1:22" x14ac:dyDescent="0.3">
      <c r="A131" s="4">
        <f>'ECN Master Project Tracker new'!A132</f>
        <v>2408409</v>
      </c>
      <c r="B131" s="108" t="str">
        <f>VLOOKUP(A:A,Table1[[#All],[Project No]:[Additional Remark]],2,FALSE)</f>
        <v>Lua Peck Lay</v>
      </c>
      <c r="C131" s="4" t="str">
        <f>VLOOKUP(A:A,Table1[[Project No]:[Additional Remark]],19,FALSE)</f>
        <v>680419-11-5184</v>
      </c>
      <c r="D131" s="4" t="str">
        <f>VLOOKUP(A:A,Table1[[Project No]:[Additional Remark]],20,FALSE)</f>
        <v>No 25, Lrg Kubang Buaya 78, 25050 Kuantan, Pahang</v>
      </c>
      <c r="E131" s="4" t="str">
        <f>VLOOKUP(A:A,Table1[[Project No]:[Additional Remark]],21,FALSE)</f>
        <v>012-9218033</v>
      </c>
      <c r="F131" s="4" t="str">
        <f>VLOOKUP(A:A,Table1[[Project No]:[Additional Remark]],22,FALSE)</f>
        <v>luapecklay@yahoo.com</v>
      </c>
      <c r="G131" s="55">
        <f>VLOOKUP(A:A,Table1[[Project No]:[Additional Remark]],11,FALSE)</f>
        <v>27700</v>
      </c>
      <c r="H131" s="4" t="str">
        <f>VLOOKUP(A:A,Table1[[Project No]:[Additional Remark]],5,FALSE)</f>
        <v>R-PV</v>
      </c>
      <c r="I131" s="4">
        <f>VLOOKUP(A:A,Table1[[Project No]:[Additional Remark]],8,FALSE)</f>
        <v>9.9450000000000003</v>
      </c>
      <c r="J131" s="4" t="str">
        <f>VLOOKUP(A:A,Table1[[Project No]:[Additional Remark]],23,FALSE)</f>
        <v>N/A</v>
      </c>
      <c r="K131" s="163" t="s">
        <v>109</v>
      </c>
      <c r="L131" s="164" t="s">
        <v>109</v>
      </c>
      <c r="M131" s="165"/>
      <c r="N131" s="163" t="s">
        <v>109</v>
      </c>
      <c r="O131" s="164" t="s">
        <v>109</v>
      </c>
      <c r="P131" s="165"/>
      <c r="Q131" s="163" t="s">
        <v>109</v>
      </c>
      <c r="R131" s="164" t="s">
        <v>109</v>
      </c>
      <c r="S131" s="165"/>
      <c r="T131" s="163" t="s">
        <v>109</v>
      </c>
      <c r="U131" s="164" t="s">
        <v>109</v>
      </c>
      <c r="V131" s="165"/>
    </row>
    <row r="132" spans="1:22" x14ac:dyDescent="0.3">
      <c r="A132" s="4">
        <f>'ECN Master Project Tracker new'!A133</f>
        <v>2408411</v>
      </c>
      <c r="B132" s="108" t="str">
        <f>VLOOKUP(A:A,Table1[[#All],[Project No]:[Additional Remark]],2,FALSE)</f>
        <v>Akhman Aidi Putra</v>
      </c>
      <c r="C132" s="4" t="str">
        <f>VLOOKUP(A:A,Table1[[Project No]:[Additional Remark]],19,FALSE)</f>
        <v>850804-06-5063</v>
      </c>
      <c r="D132" s="4" t="str">
        <f>VLOOKUP(A:A,Table1[[Project No]:[Additional Remark]],20,FALSE)</f>
        <v>No 7, Lrg Seberang Balok Aman 22, Kg Seberang Balok, 26100 Kuantan, Pahang</v>
      </c>
      <c r="E132" s="4" t="str">
        <f>VLOOKUP(A:A,Table1[[Project No]:[Additional Remark]],21,FALSE)</f>
        <v>017-3054551</v>
      </c>
      <c r="F132" s="4" t="str">
        <f>VLOOKUP(A:A,Table1[[Project No]:[Additional Remark]],22,FALSE)</f>
        <v xml:space="preserve">mr_akhman85@yahoo.com </v>
      </c>
      <c r="G132" s="55">
        <f>VLOOKUP(A:A,Table1[[Project No]:[Additional Remark]],11,FALSE)</f>
        <v>24100</v>
      </c>
      <c r="H132" s="4" t="str">
        <f>VLOOKUP(A:A,Table1[[Project No]:[Additional Remark]],5,FALSE)</f>
        <v>R-PV</v>
      </c>
      <c r="I132" s="4">
        <f>VLOOKUP(A:A,Table1[[Project No]:[Additional Remark]],8,FALSE)</f>
        <v>7.02</v>
      </c>
      <c r="J132" s="4" t="str">
        <f>VLOOKUP(A:A,Table1[[Project No]:[Additional Remark]],23,FALSE)</f>
        <v>3 years</v>
      </c>
      <c r="K132" s="4" t="s">
        <v>1902</v>
      </c>
      <c r="L132" s="4" t="s">
        <v>2012</v>
      </c>
      <c r="M132" s="93">
        <v>45750</v>
      </c>
      <c r="N132" s="4"/>
      <c r="O132" s="4"/>
      <c r="P132" s="4"/>
      <c r="Q132" s="4"/>
      <c r="R132" s="4"/>
      <c r="S132" s="4"/>
      <c r="T132" s="4"/>
      <c r="U132" s="4"/>
      <c r="V132" s="4"/>
    </row>
    <row r="133" spans="1:22" x14ac:dyDescent="0.3">
      <c r="A133" s="4">
        <f>'ECN Master Project Tracker new'!A134</f>
        <v>2408408</v>
      </c>
      <c r="B133" s="108" t="str">
        <f>VLOOKUP(A:A,Table1[[#All],[Project No]:[Additional Remark]],2,FALSE)</f>
        <v>Chiang Yoke Har</v>
      </c>
      <c r="C133" s="4" t="str">
        <f>VLOOKUP(A:A,Table1[[Project No]:[Additional Remark]],19,FALSE)</f>
        <v>620610-06-5002</v>
      </c>
      <c r="D133" s="4" t="str">
        <f>VLOOKUP(A:A,Table1[[Project No]:[Additional Remark]],20,FALSE)</f>
        <v>2, Lrg Bukit Setongkol 45, Tmn Cenderawasih Indah, 25200 Kuantan, Pahang</v>
      </c>
      <c r="E133" s="4" t="str">
        <f>VLOOKUP(A:A,Table1[[Project No]:[Additional Remark]],21,FALSE)</f>
        <v>019-9896028</v>
      </c>
      <c r="F133" s="4" t="str">
        <f>VLOOKUP(A:A,Table1[[Project No]:[Additional Remark]],22,FALSE)</f>
        <v>yhchiang62@gmail.com</v>
      </c>
      <c r="G133" s="55">
        <f>VLOOKUP(A:A,Table1[[Project No]:[Additional Remark]],11,FALSE)</f>
        <v>50600</v>
      </c>
      <c r="H133" s="4" t="str">
        <f>VLOOKUP(A:A,Table1[[Project No]:[Additional Remark]],5,FALSE)</f>
        <v>R-PV</v>
      </c>
      <c r="I133" s="4">
        <f>VLOOKUP(A:A,Table1[[Project No]:[Additional Remark]],8,FALSE)</f>
        <v>17.55</v>
      </c>
      <c r="J133" s="4" t="str">
        <f>VLOOKUP(A:A,Table1[[Project No]:[Additional Remark]],23,FALSE)</f>
        <v>3 years</v>
      </c>
      <c r="K133" s="4" t="s">
        <v>1902</v>
      </c>
      <c r="L133" s="4" t="s">
        <v>2013</v>
      </c>
      <c r="M133" s="93">
        <v>45750</v>
      </c>
      <c r="N133" s="4"/>
      <c r="O133" s="4"/>
      <c r="P133" s="4"/>
      <c r="Q133" s="4"/>
      <c r="R133" s="4"/>
      <c r="S133" s="4"/>
      <c r="T133" s="4"/>
      <c r="U133" s="4"/>
      <c r="V133" s="4"/>
    </row>
    <row r="134" spans="1:22" x14ac:dyDescent="0.3">
      <c r="A134" s="4">
        <f>'ECN Master Project Tracker new'!A135</f>
        <v>2408025</v>
      </c>
      <c r="B134" s="108" t="str">
        <f>VLOOKUP(A:A,Table1[[#All],[Project No]:[Additional Remark]],2,FALSE)</f>
        <v>Handal Green Mobility Sdn Bhd (ICE Gallery @ Pantai Sentral)</v>
      </c>
      <c r="C134" s="4" t="str">
        <f>VLOOKUP(A:A,Table1[[Project No]:[Additional Remark]],19,FALSE)</f>
        <v>-</v>
      </c>
      <c r="D134" s="4" t="str">
        <f>VLOOKUP(A:A,Table1[[Project No]:[Additional Remark]],20,FALSE)</f>
        <v>No 2, Jalan Pantai Sentral 1, Pantai Sentral, 59200 Kuala Lumpur</v>
      </c>
      <c r="E134" s="4" t="str">
        <f>VLOOKUP(A:A,Table1[[Project No]:[Additional Remark]],21,FALSE)</f>
        <v>-</v>
      </c>
      <c r="F134" s="4" t="str">
        <f>VLOOKUP(A:A,Table1[[Project No]:[Additional Remark]],22,FALSE)</f>
        <v>-</v>
      </c>
      <c r="G134" s="55">
        <f>VLOOKUP(A:A,Table1[[Project No]:[Additional Remark]],11,FALSE)</f>
        <v>55300</v>
      </c>
      <c r="H134" s="4" t="str">
        <f>VLOOKUP(A:A,Table1[[Project No]:[Additional Remark]],5,FALSE)</f>
        <v>EV Charger</v>
      </c>
      <c r="I134" s="4">
        <f>VLOOKUP(A:A,Table1[[Project No]:[Additional Remark]],8,FALSE)</f>
        <v>0</v>
      </c>
      <c r="J134" s="4" t="str">
        <f>VLOOKUP(A:A,Table1[[Project No]:[Additional Remark]],23,FALSE)</f>
        <v>N/A</v>
      </c>
      <c r="K134" s="163" t="s">
        <v>109</v>
      </c>
      <c r="L134" s="164" t="s">
        <v>109</v>
      </c>
      <c r="M134" s="165"/>
      <c r="N134" s="163" t="s">
        <v>109</v>
      </c>
      <c r="O134" s="164" t="s">
        <v>109</v>
      </c>
      <c r="P134" s="165"/>
      <c r="Q134" s="163" t="s">
        <v>109</v>
      </c>
      <c r="R134" s="164" t="s">
        <v>109</v>
      </c>
      <c r="S134" s="165"/>
      <c r="T134" s="163" t="s">
        <v>109</v>
      </c>
      <c r="U134" s="164" t="s">
        <v>109</v>
      </c>
      <c r="V134" s="165"/>
    </row>
    <row r="135" spans="1:22" x14ac:dyDescent="0.3">
      <c r="A135" s="4">
        <f>'ECN Master Project Tracker new'!A136</f>
        <v>2408431</v>
      </c>
      <c r="B135" s="108" t="str">
        <f>VLOOKUP(A:A,Table1[[#All],[Project No]:[Additional Remark]],2,FALSE)</f>
        <v>Lor Yean Yean</v>
      </c>
      <c r="C135" s="4" t="str">
        <f>VLOOKUP(A:A,Table1[[Project No]:[Additional Remark]],19,FALSE)</f>
        <v>600919-03-5372</v>
      </c>
      <c r="D135" s="4" t="str">
        <f>VLOOKUP(A:A,Table1[[Project No]:[Additional Remark]],20,FALSE)</f>
        <v>Lot 2206, Jln Bkt Losong Kg Losong Atap Zin, 21000 Kuala Terengganu</v>
      </c>
      <c r="E135" s="4" t="str">
        <f>VLOOKUP(A:A,Table1[[Project No]:[Additional Remark]],21,FALSE)</f>
        <v>012-9873293</v>
      </c>
      <c r="F135" s="4" t="str">
        <f>VLOOKUP(A:A,Table1[[Project No]:[Additional Remark]],22,FALSE)</f>
        <v>keemajujaya@gmail.com</v>
      </c>
      <c r="G135" s="55">
        <f>VLOOKUP(A:A,Table1[[Project No]:[Additional Remark]],11,FALSE)</f>
        <v>30000</v>
      </c>
      <c r="H135" s="4" t="str">
        <f>VLOOKUP(A:A,Table1[[Project No]:[Additional Remark]],5,FALSE)</f>
        <v>R-PV</v>
      </c>
      <c r="I135" s="4">
        <f>VLOOKUP(A:A,Table1[[Project No]:[Additional Remark]],8,FALSE)</f>
        <v>9.36</v>
      </c>
      <c r="J135" s="4" t="str">
        <f>VLOOKUP(A:A,Table1[[Project No]:[Additional Remark]],23,FALSE)</f>
        <v>3 years</v>
      </c>
      <c r="K135" s="4" t="s">
        <v>1902</v>
      </c>
      <c r="L135" s="4" t="s">
        <v>2014</v>
      </c>
      <c r="M135" s="93">
        <v>45750</v>
      </c>
      <c r="N135" s="4"/>
      <c r="O135" s="4"/>
      <c r="P135" s="4"/>
      <c r="Q135" s="4"/>
      <c r="R135" s="4"/>
      <c r="S135" s="4"/>
      <c r="T135" s="4"/>
      <c r="U135" s="4"/>
      <c r="V135" s="4"/>
    </row>
    <row r="136" spans="1:22" x14ac:dyDescent="0.3">
      <c r="A136" s="4">
        <f>'ECN Master Project Tracker new'!A137</f>
        <v>2408432</v>
      </c>
      <c r="B136" s="108" t="str">
        <f>VLOOKUP(A:A,Table1[[#All],[Project No]:[Additional Remark]],2,FALSE)</f>
        <v>Lin Mok Kwai Yin</v>
      </c>
      <c r="C136" s="4" t="str">
        <f>VLOOKUP(A:A,Table1[[Project No]:[Additional Remark]],19,FALSE)</f>
        <v>521023-06-5194</v>
      </c>
      <c r="D136" s="4" t="str">
        <f>VLOOKUP(A:A,Table1[[Project No]:[Additional Remark]],20,FALSE)</f>
        <v>24, Lrg Seri Setali 17, Taman Tunas Baru, 25300 Kuantan, Pahang</v>
      </c>
      <c r="E136" s="4" t="str">
        <f>VLOOKUP(A:A,Table1[[Project No]:[Additional Remark]],21,FALSE)</f>
        <v>013-9310848</v>
      </c>
      <c r="F136" s="4" t="str">
        <f>VLOOKUP(A:A,Table1[[Project No]:[Additional Remark]],22,FALSE)</f>
        <v>datoedd@gmail.com</v>
      </c>
      <c r="G136" s="55">
        <f>VLOOKUP(A:A,Table1[[Project No]:[Additional Remark]],11,FALSE)</f>
        <v>23800</v>
      </c>
      <c r="H136" s="4" t="str">
        <f>VLOOKUP(A:A,Table1[[Project No]:[Additional Remark]],5,FALSE)</f>
        <v>R-PV</v>
      </c>
      <c r="I136" s="4">
        <f>VLOOKUP(A:A,Table1[[Project No]:[Additional Remark]],8,FALSE)</f>
        <v>8.19</v>
      </c>
      <c r="J136" s="4" t="str">
        <f>VLOOKUP(A:A,Table1[[Project No]:[Additional Remark]],23,FALSE)</f>
        <v>N/A</v>
      </c>
      <c r="K136" s="163" t="s">
        <v>109</v>
      </c>
      <c r="L136" s="164" t="s">
        <v>109</v>
      </c>
      <c r="M136" s="165"/>
      <c r="N136" s="163" t="s">
        <v>109</v>
      </c>
      <c r="O136" s="164" t="s">
        <v>109</v>
      </c>
      <c r="P136" s="165"/>
      <c r="Q136" s="163" t="s">
        <v>109</v>
      </c>
      <c r="R136" s="164" t="s">
        <v>109</v>
      </c>
      <c r="S136" s="165"/>
      <c r="T136" s="163" t="s">
        <v>109</v>
      </c>
      <c r="U136" s="164" t="s">
        <v>109</v>
      </c>
      <c r="V136" s="165"/>
    </row>
    <row r="137" spans="1:22" x14ac:dyDescent="0.3">
      <c r="A137" s="4">
        <f>'ECN Master Project Tracker new'!A138</f>
        <v>2408407</v>
      </c>
      <c r="B137" s="108" t="str">
        <f>VLOOKUP(A:A,Table1[[#All],[Project No]:[Additional Remark]],2,FALSE)</f>
        <v>Kwong Wui Ee</v>
      </c>
      <c r="C137" s="4" t="str">
        <f>VLOOKUP(A:A,Table1[[Project No]:[Additional Remark]],19,FALSE)</f>
        <v>760907-06-5366</v>
      </c>
      <c r="D137" s="4" t="str">
        <f>VLOOKUP(A:A,Table1[[Project No]:[Additional Remark]],20,FALSE)</f>
        <v>No. 8, Lorong Bukit Setongkol Perdana 10, Perumahan Bukit Setongkol Perdana, 25200 Kuantan, Pahang</v>
      </c>
      <c r="E137" s="4" t="str">
        <f>VLOOKUP(A:A,Table1[[Project No]:[Additional Remark]],21,FALSE)</f>
        <v>012-9500330</v>
      </c>
      <c r="F137" s="4" t="str">
        <f>VLOOKUP(A:A,Table1[[Project No]:[Additional Remark]],22,FALSE)</f>
        <v>wuiee@hotmail.com</v>
      </c>
      <c r="G137" s="55">
        <f>VLOOKUP(A:A,Table1[[Project No]:[Additional Remark]],11,FALSE)</f>
        <v>29700</v>
      </c>
      <c r="H137" s="4" t="str">
        <f>VLOOKUP(A:A,Table1[[Project No]:[Additional Remark]],5,FALSE)</f>
        <v>R-PV</v>
      </c>
      <c r="I137" s="4">
        <f>VLOOKUP(A:A,Table1[[Project No]:[Additional Remark]],8,FALSE)</f>
        <v>9.36</v>
      </c>
      <c r="J137" s="4" t="str">
        <f>VLOOKUP(A:A,Table1[[Project No]:[Additional Remark]],23,FALSE)</f>
        <v>N/A</v>
      </c>
      <c r="K137" s="163" t="s">
        <v>109</v>
      </c>
      <c r="L137" s="164" t="s">
        <v>109</v>
      </c>
      <c r="M137" s="165"/>
      <c r="N137" s="163" t="s">
        <v>109</v>
      </c>
      <c r="O137" s="164" t="s">
        <v>109</v>
      </c>
      <c r="P137" s="165"/>
      <c r="Q137" s="163" t="s">
        <v>109</v>
      </c>
      <c r="R137" s="164" t="s">
        <v>109</v>
      </c>
      <c r="S137" s="165"/>
      <c r="T137" s="163" t="s">
        <v>109</v>
      </c>
      <c r="U137" s="164" t="s">
        <v>109</v>
      </c>
      <c r="V137" s="165"/>
    </row>
    <row r="138" spans="1:22" x14ac:dyDescent="0.3">
      <c r="A138" s="4">
        <f>'ECN Master Project Tracker new'!A139</f>
        <v>2409441</v>
      </c>
      <c r="B138" s="108" t="str">
        <f>VLOOKUP(A:A,Table1[[#All],[Project No]:[Additional Remark]],2,FALSE)</f>
        <v>Cheu Chow Sew @ Chew Chow Sew</v>
      </c>
      <c r="C138" s="4" t="str">
        <f>VLOOKUP(A:A,Table1[[Project No]:[Additional Remark]],19,FALSE)</f>
        <v>550726-06-5257</v>
      </c>
      <c r="D138" s="4" t="str">
        <f>VLOOKUP(A:A,Table1[[Project No]:[Additional Remark]],20,FALSE)</f>
        <v>Lot 690-B PPRT, Jln Paka, Kg Batu 50, 23000 Dungun Terengganu</v>
      </c>
      <c r="E138" s="4" t="str">
        <f>VLOOKUP(A:A,Table1[[Project No]:[Additional Remark]],21,FALSE)</f>
        <v>019-982 4668</v>
      </c>
      <c r="F138" s="4" t="str">
        <f>VLOOKUP(A:A,Table1[[Project No]:[Additional Remark]],22,FALSE)</f>
        <v>pnhuphin@gmail.com</v>
      </c>
      <c r="G138" s="55">
        <f>VLOOKUP(A:A,Table1[[Project No]:[Additional Remark]],11,FALSE)</f>
        <v>38000</v>
      </c>
      <c r="H138" s="4" t="str">
        <f>VLOOKUP(A:A,Table1[[Project No]:[Additional Remark]],5,FALSE)</f>
        <v>R-PV</v>
      </c>
      <c r="I138" s="4">
        <f>VLOOKUP(A:A,Table1[[Project No]:[Additional Remark]],8,FALSE)</f>
        <v>12.87</v>
      </c>
      <c r="J138" s="4" t="str">
        <f>VLOOKUP(A:A,Table1[[Project No]:[Additional Remark]],23,FALSE)</f>
        <v>3 years</v>
      </c>
      <c r="K138" s="4" t="s">
        <v>1902</v>
      </c>
      <c r="L138" s="4" t="s">
        <v>2015</v>
      </c>
      <c r="M138" s="93">
        <v>45750</v>
      </c>
      <c r="N138" s="4"/>
      <c r="O138" s="4"/>
      <c r="P138" s="4"/>
      <c r="Q138" s="4"/>
      <c r="R138" s="4"/>
      <c r="S138" s="4"/>
      <c r="T138" s="4"/>
      <c r="U138" s="4"/>
      <c r="V138" s="4"/>
    </row>
    <row r="139" spans="1:22" x14ac:dyDescent="0.3">
      <c r="A139" s="4">
        <f>'ECN Master Project Tracker new'!A140</f>
        <v>2408433</v>
      </c>
      <c r="B139" s="108" t="str">
        <f>VLOOKUP(A:A,Table1[[#All],[Project No]:[Additional Remark]],2,FALSE)</f>
        <v>Ng Ek Hoo</v>
      </c>
      <c r="C139" s="4" t="str">
        <f>VLOOKUP(A:A,Table1[[Project No]:[Additional Remark]],19,FALSE)</f>
        <v>500712-06-5197</v>
      </c>
      <c r="D139" s="4" t="str">
        <f>VLOOKUP(A:A,Table1[[Project No]:[Additional Remark]],20,FALSE)</f>
        <v>41, Lrg Sekilau 64, Jalan Hj Ahmad, 25300 Kuantan</v>
      </c>
      <c r="E139" s="4" t="str">
        <f>VLOOKUP(A:A,Table1[[Project No]:[Additional Remark]],21,FALSE)</f>
        <v>010-2198138</v>
      </c>
      <c r="F139" s="4" t="str">
        <f>VLOOKUP(A:A,Table1[[Project No]:[Additional Remark]],22,FALSE)</f>
        <v>sping26@hotmail.com</v>
      </c>
      <c r="G139" s="55">
        <f>VLOOKUP(A:A,Table1[[Project No]:[Additional Remark]],11,FALSE)</f>
        <v>24000</v>
      </c>
      <c r="H139" s="4" t="str">
        <f>VLOOKUP(A:A,Table1[[Project No]:[Additional Remark]],5,FALSE)</f>
        <v>R-PV</v>
      </c>
      <c r="I139" s="4">
        <f>VLOOKUP(A:A,Table1[[Project No]:[Additional Remark]],8,FALSE)</f>
        <v>5.85</v>
      </c>
      <c r="J139" s="4" t="str">
        <f>VLOOKUP(A:A,Table1[[Project No]:[Additional Remark]],23,FALSE)</f>
        <v>3 years</v>
      </c>
      <c r="K139" s="4" t="s">
        <v>1902</v>
      </c>
      <c r="L139" s="4" t="s">
        <v>2016</v>
      </c>
      <c r="M139" s="93">
        <v>45750</v>
      </c>
      <c r="N139" s="4"/>
      <c r="O139" s="4"/>
      <c r="P139" s="4"/>
      <c r="Q139" s="4"/>
      <c r="R139" s="4"/>
      <c r="S139" s="4"/>
      <c r="T139" s="4"/>
      <c r="U139" s="4"/>
      <c r="V139" s="4"/>
    </row>
    <row r="140" spans="1:22" x14ac:dyDescent="0.3">
      <c r="A140" s="4">
        <f>'ECN Master Project Tracker new'!A141</f>
        <v>2409445</v>
      </c>
      <c r="B140" s="108" t="str">
        <f>VLOOKUP(A:A,Table1[[#All],[Project No]:[Additional Remark]],2,FALSE)</f>
        <v>Phang Kar Teck</v>
      </c>
      <c r="C140" s="4" t="str">
        <f>VLOOKUP(A:A,Table1[[Project No]:[Additional Remark]],19,FALSE)</f>
        <v>560510-01-6383</v>
      </c>
      <c r="D140" s="4" t="str">
        <f>VLOOKUP(A:A,Table1[[Project No]:[Additional Remark]],20,FALSE)</f>
        <v>B4308, Jln Hj Ahmad, Tmn Rasa Sayang, 25300 Kuantan, Pahang</v>
      </c>
      <c r="E140" s="4" t="str">
        <f>VLOOKUP(A:A,Table1[[Project No]:[Additional Remark]],21,FALSE)</f>
        <v>019-9862354</v>
      </c>
      <c r="F140" s="4" t="str">
        <f>VLOOKUP(A:A,Table1[[Project No]:[Additional Remark]],22,FALSE)</f>
        <v>centralphang@gmail.com</v>
      </c>
      <c r="G140" s="55">
        <f>VLOOKUP(A:A,Table1[[Project No]:[Additional Remark]],11,FALSE)</f>
        <v>22500</v>
      </c>
      <c r="H140" s="4" t="str">
        <f>VLOOKUP(A:A,Table1[[Project No]:[Additional Remark]],5,FALSE)</f>
        <v>R-PV</v>
      </c>
      <c r="I140" s="4">
        <f>VLOOKUP(A:A,Table1[[Project No]:[Additional Remark]],8,FALSE)</f>
        <v>7.02</v>
      </c>
      <c r="J140" s="4" t="str">
        <f>VLOOKUP(A:A,Table1[[Project No]:[Additional Remark]],23,FALSE)</f>
        <v>N/A</v>
      </c>
      <c r="K140" s="163" t="s">
        <v>109</v>
      </c>
      <c r="L140" s="164" t="s">
        <v>109</v>
      </c>
      <c r="M140" s="165"/>
      <c r="N140" s="163" t="s">
        <v>109</v>
      </c>
      <c r="O140" s="164" t="s">
        <v>109</v>
      </c>
      <c r="P140" s="165"/>
      <c r="Q140" s="163" t="s">
        <v>109</v>
      </c>
      <c r="R140" s="164" t="s">
        <v>109</v>
      </c>
      <c r="S140" s="165"/>
      <c r="T140" s="163" t="s">
        <v>109</v>
      </c>
      <c r="U140" s="164" t="s">
        <v>109</v>
      </c>
      <c r="V140" s="165"/>
    </row>
    <row r="141" spans="1:22" x14ac:dyDescent="0.3">
      <c r="A141" s="4">
        <f>'ECN Master Project Tracker new'!A142</f>
        <v>2408434</v>
      </c>
      <c r="B141" s="108" t="str">
        <f>VLOOKUP(A:A,Table1[[#All],[Project No]:[Additional Remark]],2,FALSE)</f>
        <v>Lim Ye Soon</v>
      </c>
      <c r="C141" s="4" t="str">
        <f>VLOOKUP(A:A,Table1[[Project No]:[Additional Remark]],19,FALSE)</f>
        <v>870920-06-5675</v>
      </c>
      <c r="D141" s="4" t="str">
        <f>VLOOKUP(A:A,Table1[[Project No]:[Additional Remark]],20,FALSE)</f>
        <v>Lot 7822, Lrg SJ 6-3, Tmn Emas - Sri Jaya, 26500 Maran, Pahang</v>
      </c>
      <c r="E141" s="4" t="str">
        <f>VLOOKUP(A:A,Table1[[Project No]:[Additional Remark]],21,FALSE)</f>
        <v>017-2152133</v>
      </c>
      <c r="F141" s="4" t="str">
        <f>VLOOKUP(A:A,Table1[[Project No]:[Additional Remark]],22,FALSE)</f>
        <v>limyesoon@gmail.com</v>
      </c>
      <c r="G141" s="55">
        <f>VLOOKUP(A:A,Table1[[Project No]:[Additional Remark]],11,FALSE)</f>
        <v>38600</v>
      </c>
      <c r="H141" s="4" t="str">
        <f>VLOOKUP(A:A,Table1[[Project No]:[Additional Remark]],5,FALSE)</f>
        <v>R-PV</v>
      </c>
      <c r="I141" s="4">
        <f>VLOOKUP(A:A,Table1[[Project No]:[Additional Remark]],8,FALSE)</f>
        <v>14.04</v>
      </c>
      <c r="J141" s="4" t="str">
        <f>VLOOKUP(A:A,Table1[[Project No]:[Additional Remark]],23,FALSE)</f>
        <v>3 years</v>
      </c>
      <c r="K141" s="4" t="s">
        <v>1902</v>
      </c>
      <c r="L141" s="4" t="s">
        <v>2017</v>
      </c>
      <c r="M141" s="93">
        <v>45750</v>
      </c>
      <c r="N141" s="4"/>
      <c r="O141" s="4"/>
      <c r="P141" s="4"/>
      <c r="Q141" s="4"/>
      <c r="R141" s="4"/>
      <c r="S141" s="4"/>
      <c r="T141" s="4"/>
      <c r="U141" s="4"/>
      <c r="V141" s="4"/>
    </row>
    <row r="142" spans="1:22" x14ac:dyDescent="0.3">
      <c r="A142" s="4">
        <f>'ECN Master Project Tracker new'!A143</f>
        <v>2409442</v>
      </c>
      <c r="B142" s="108" t="str">
        <f>VLOOKUP(A:A,Table1[[#All],[Project No]:[Additional Remark]],2,FALSE)</f>
        <v>Lee Chiou Horng</v>
      </c>
      <c r="C142" s="4" t="str">
        <f>VLOOKUP(A:A,Table1[[Project No]:[Additional Remark]],19,FALSE)</f>
        <v>820611-07-5743</v>
      </c>
      <c r="D142" s="4" t="str">
        <f>VLOOKUP(A:A,Table1[[Project No]:[Additional Remark]],20,FALSE)</f>
        <v xml:space="preserve">38, Jalan Udang Gantung, Taman Cuepacs, Segambut, 52000 Kuala Lumpur, </v>
      </c>
      <c r="E142" s="4" t="str">
        <f>VLOOKUP(A:A,Table1[[Project No]:[Additional Remark]],21,FALSE)</f>
        <v>016-2030140</v>
      </c>
      <c r="F142" s="4" t="str">
        <f>VLOOKUP(A:A,Table1[[Project No]:[Additional Remark]],22,FALSE)</f>
        <v>alch51@yahoo.com</v>
      </c>
      <c r="G142" s="55">
        <f>VLOOKUP(A:A,Table1[[Project No]:[Additional Remark]],11,FALSE)</f>
        <v>33000</v>
      </c>
      <c r="H142" s="4" t="str">
        <f>VLOOKUP(A:A,Table1[[Project No]:[Additional Remark]],5,FALSE)</f>
        <v>R-PV</v>
      </c>
      <c r="I142" s="4">
        <f>VLOOKUP(A:A,Table1[[Project No]:[Additional Remark]],8,FALSE)</f>
        <v>9.44</v>
      </c>
      <c r="J142" s="4" t="str">
        <f>VLOOKUP(A:A,Table1[[Project No]:[Additional Remark]],23,FALSE)</f>
        <v>3 years</v>
      </c>
      <c r="K142" s="4" t="s">
        <v>1902</v>
      </c>
      <c r="L142" s="4" t="s">
        <v>2018</v>
      </c>
      <c r="M142" s="93">
        <v>45806</v>
      </c>
      <c r="N142" s="4"/>
      <c r="O142" s="4"/>
      <c r="P142" s="4"/>
      <c r="Q142" s="4"/>
      <c r="R142" s="4"/>
      <c r="S142" s="4"/>
      <c r="T142" s="4"/>
      <c r="U142" s="4"/>
      <c r="V142" s="4"/>
    </row>
    <row r="143" spans="1:22" x14ac:dyDescent="0.3">
      <c r="A143" s="4">
        <f>'ECN Master Project Tracker new'!A144</f>
        <v>2409443</v>
      </c>
      <c r="B143" s="108" t="str">
        <f>VLOOKUP(A:A,Table1[[#All],[Project No]:[Additional Remark]],2,FALSE)</f>
        <v>Dato Lim Zhen Peng</v>
      </c>
      <c r="C143" s="4" t="str">
        <f>VLOOKUP(A:A,Table1[[Project No]:[Additional Remark]],19,FALSE)</f>
        <v>910607-01-5085</v>
      </c>
      <c r="D143" s="4" t="str">
        <f>VLOOKUP(A:A,Table1[[Project No]:[Additional Remark]],20,FALSE)</f>
        <v>15, Jalan Sentral 23/2, Taman Nusa Sentral, 79100 Iskandar Puteri, Johor</v>
      </c>
      <c r="E143" s="4" t="str">
        <f>VLOOKUP(A:A,Table1[[Project No]:[Additional Remark]],21,FALSE)</f>
        <v>017-6885686</v>
      </c>
      <c r="F143" s="4" t="str">
        <f>VLOOKUP(A:A,Table1[[Project No]:[Additional Remark]],22,FALSE)</f>
        <v>lindasushen@gmail.com</v>
      </c>
      <c r="G143" s="55">
        <f>VLOOKUP(A:A,Table1[[Project No]:[Additional Remark]],11,FALSE)</f>
        <v>47360</v>
      </c>
      <c r="H143" s="4" t="str">
        <f>VLOOKUP(A:A,Table1[[Project No]:[Additional Remark]],5,FALSE)</f>
        <v>R-PV</v>
      </c>
      <c r="I143" s="4">
        <f>VLOOKUP(A:A,Table1[[Project No]:[Additional Remark]],8,FALSE)</f>
        <v>17.55</v>
      </c>
      <c r="J143" s="4" t="str">
        <f>VLOOKUP(A:A,Table1[[Project No]:[Additional Remark]],23,FALSE)</f>
        <v>3 years</v>
      </c>
      <c r="K143" s="4" t="s">
        <v>1902</v>
      </c>
      <c r="L143" s="4" t="s">
        <v>2019</v>
      </c>
      <c r="M143" s="93">
        <v>45750</v>
      </c>
      <c r="N143" s="4"/>
      <c r="O143" s="4"/>
      <c r="P143" s="4"/>
      <c r="Q143" s="4"/>
      <c r="R143" s="4"/>
      <c r="S143" s="4"/>
      <c r="T143" s="4"/>
      <c r="U143" s="4"/>
      <c r="V143" s="4"/>
    </row>
    <row r="144" spans="1:22" x14ac:dyDescent="0.3">
      <c r="A144" s="4">
        <f>'ECN Master Project Tracker new'!A145</f>
        <v>2408417</v>
      </c>
      <c r="B144" s="114" t="str">
        <f>VLOOKUP(A:A,Table1[[#All],[Project No]:[Additional Remark]],2,FALSE)</f>
        <v>Mohmad Nazeri bin Abdul Wahab</v>
      </c>
      <c r="C144" s="4" t="str">
        <f>VLOOKUP(A:A,Table1[[Project No]:[Additional Remark]],19,FALSE)</f>
        <v>670812-10-6015</v>
      </c>
      <c r="D144" s="4" t="str">
        <f>VLOOKUP(A:A,Table1[[Project No]:[Additional Remark]],20,FALSE)</f>
        <v>2, Jalan Merbuk 7/23, Taman Bentara, 42500 Telok Panglima Garang, Selangor</v>
      </c>
      <c r="E144" s="4" t="str">
        <f>VLOOKUP(A:A,Table1[[Project No]:[Additional Remark]],21,FALSE)</f>
        <v>017-2051100</v>
      </c>
      <c r="F144" s="4">
        <f>VLOOKUP(A:A,Table1[[Project No]:[Additional Remark]],22,FALSE)</f>
        <v>0</v>
      </c>
      <c r="G144" s="55">
        <f>VLOOKUP(A:A,Table1[[Project No]:[Additional Remark]],11,FALSE)</f>
        <v>36500</v>
      </c>
      <c r="H144" s="4" t="str">
        <f>VLOOKUP(A:A,Table1[[Project No]:[Additional Remark]],5,FALSE)</f>
        <v>R-PV</v>
      </c>
      <c r="I144" s="4">
        <f>VLOOKUP(A:A,Table1[[Project No]:[Additional Remark]],8,FALSE)</f>
        <v>17.55</v>
      </c>
      <c r="J144" s="4" t="str">
        <f>VLOOKUP(A:A,Table1[[Project No]:[Additional Remark]],23,FALSE)</f>
        <v>3 years</v>
      </c>
      <c r="K144" s="4"/>
      <c r="L144" s="4"/>
      <c r="M144" s="4"/>
      <c r="N144" s="4"/>
      <c r="O144" s="4"/>
      <c r="P144" s="4"/>
      <c r="Q144" s="4"/>
      <c r="R144" s="4"/>
      <c r="S144" s="4"/>
      <c r="T144" s="4"/>
      <c r="U144" s="4"/>
      <c r="V144" s="4"/>
    </row>
    <row r="145" spans="1:22" x14ac:dyDescent="0.3">
      <c r="A145" s="4">
        <f>'ECN Master Project Tracker new'!A146</f>
        <v>2409440</v>
      </c>
      <c r="B145" s="108" t="str">
        <f>VLOOKUP(A:A,Table1[[#All],[Project No]:[Additional Remark]],2,FALSE)</f>
        <v>Tan Say Kheng</v>
      </c>
      <c r="C145" s="4" t="str">
        <f>VLOOKUP(A:A,Table1[[Project No]:[Additional Remark]],19,FALSE)</f>
        <v>810115-10-5115</v>
      </c>
      <c r="D145" s="4" t="str">
        <f>VLOOKUP(A:A,Table1[[Project No]:[Additional Remark]],20,FALSE)</f>
        <v>22, Jalan Jelok Impian 4, Taman Jelok Impian, 43000 Kajang, Selangor</v>
      </c>
      <c r="E145" s="4" t="str">
        <f>VLOOKUP(A:A,Table1[[Project No]:[Additional Remark]],21,FALSE)</f>
        <v>012-3850884</v>
      </c>
      <c r="F145" s="4" t="str">
        <f>VLOOKUP(A:A,Table1[[Project No]:[Additional Remark]],22,FALSE)</f>
        <v>tansaykheng@hotmail.com</v>
      </c>
      <c r="G145" s="55">
        <f>VLOOKUP(A:A,Table1[[Project No]:[Additional Remark]],11,FALSE)</f>
        <v>25520</v>
      </c>
      <c r="H145" s="4" t="str">
        <f>VLOOKUP(A:A,Table1[[Project No]:[Additional Remark]],5,FALSE)</f>
        <v>R-PV</v>
      </c>
      <c r="I145" s="4">
        <f>VLOOKUP(A:A,Table1[[Project No]:[Additional Remark]],8,FALSE)</f>
        <v>7.02</v>
      </c>
      <c r="J145" s="4" t="str">
        <f>VLOOKUP(A:A,Table1[[Project No]:[Additional Remark]],23,FALSE)</f>
        <v>3 years</v>
      </c>
      <c r="K145" s="4" t="s">
        <v>1902</v>
      </c>
      <c r="L145" s="4" t="s">
        <v>2020</v>
      </c>
      <c r="M145" s="93">
        <v>45750</v>
      </c>
      <c r="N145" s="4"/>
      <c r="O145" s="4"/>
      <c r="P145" s="4"/>
      <c r="Q145" s="4"/>
      <c r="R145" s="4"/>
      <c r="S145" s="4"/>
      <c r="T145" s="4"/>
      <c r="U145" s="4"/>
      <c r="V145" s="4"/>
    </row>
    <row r="146" spans="1:22" x14ac:dyDescent="0.3">
      <c r="A146" s="4">
        <f>'ECN Master Project Tracker new'!A147</f>
        <v>2405273</v>
      </c>
      <c r="B146" s="108" t="str">
        <f>VLOOKUP(A:A,Table1[[#All],[Project No]:[Additional Remark]],2,FALSE)</f>
        <v>Leong Ah Seng</v>
      </c>
      <c r="C146" s="4" t="str">
        <f>VLOOKUP(A:A,Table1[[Project No]:[Additional Remark]],19,FALSE)</f>
        <v>570405-71-5931</v>
      </c>
      <c r="D146" s="4" t="str">
        <f>VLOOKUP(A:A,Table1[[Project No]:[Additional Remark]],20,FALSE)</f>
        <v>22A, Jln PJU 3/12, Tropicana Indah, 47410 Petaling Jaya, Selangor</v>
      </c>
      <c r="E146" s="4" t="str">
        <f>VLOOKUP(A:A,Table1[[Project No]:[Additional Remark]],21,FALSE)</f>
        <v>012-2809511</v>
      </c>
      <c r="F146" s="4" t="str">
        <f>VLOOKUP(A:A,Table1[[Project No]:[Additional Remark]],22,FALSE)</f>
        <v>alicia@rossi.com.my</v>
      </c>
      <c r="G146" s="55">
        <f>VLOOKUP(A:A,Table1[[Project No]:[Additional Remark]],11,FALSE)</f>
        <v>44600</v>
      </c>
      <c r="H146" s="4" t="str">
        <f>VLOOKUP(A:A,Table1[[Project No]:[Additional Remark]],5,FALSE)</f>
        <v>R-PV</v>
      </c>
      <c r="I146" s="4">
        <f>VLOOKUP(A:A,Table1[[Project No]:[Additional Remark]],8,FALSE)</f>
        <v>17.55</v>
      </c>
      <c r="J146" s="4" t="str">
        <f>VLOOKUP(A:A,Table1[[Project No]:[Additional Remark]],23,FALSE)</f>
        <v>3 years</v>
      </c>
      <c r="K146" s="4" t="s">
        <v>1902</v>
      </c>
      <c r="L146" s="4" t="s">
        <v>2021</v>
      </c>
      <c r="M146" s="93">
        <v>45750</v>
      </c>
      <c r="N146" s="4"/>
      <c r="O146" s="4"/>
      <c r="P146" s="4"/>
      <c r="Q146" s="4"/>
      <c r="R146" s="4"/>
      <c r="S146" s="4"/>
      <c r="T146" s="4"/>
      <c r="U146" s="4"/>
      <c r="V146" s="4"/>
    </row>
    <row r="147" spans="1:22" x14ac:dyDescent="0.3">
      <c r="A147" s="4">
        <f>'ECN Master Project Tracker new'!A148</f>
        <v>2308064</v>
      </c>
      <c r="B147" s="108" t="str">
        <f>VLOOKUP(A:A,Table1[[#All],[Project No]:[Additional Remark]],2,FALSE)</f>
        <v>Low Yin Jun</v>
      </c>
      <c r="C147" s="4" t="str">
        <f>VLOOKUP(A:A,Table1[[Project No]:[Additional Remark]],19,FALSE)</f>
        <v>910313-07-5138</v>
      </c>
      <c r="D147" s="4" t="str">
        <f>VLOOKUP(A:A,Table1[[Project No]:[Additional Remark]],20,FALSE)</f>
        <v>16, Jalan CV 4B/1, Selangor Cyber Valley, 63300 Cyberjaya. Selangor Darul Ehsan</v>
      </c>
      <c r="E147" s="4" t="str">
        <f>VLOOKUP(A:A,Table1[[Project No]:[Additional Remark]],21,FALSE)</f>
        <v>019-3797922</v>
      </c>
      <c r="F147" s="4" t="str">
        <f>VLOOKUP(A:A,Table1[[Project No]:[Additional Remark]],22,FALSE)</f>
        <v>yinjunlow@gmail.com</v>
      </c>
      <c r="G147" s="55">
        <f>VLOOKUP(A:A,Table1[[Project No]:[Additional Remark]],11,FALSE)</f>
        <v>35000</v>
      </c>
      <c r="H147" s="4" t="str">
        <f>VLOOKUP(A:A,Table1[[Project No]:[Additional Remark]],5,FALSE)</f>
        <v>R-PV</v>
      </c>
      <c r="I147" s="4">
        <f>VLOOKUP(A:A,Table1[[Project No]:[Additional Remark]],8,FALSE)</f>
        <v>11.7</v>
      </c>
      <c r="J147" s="4" t="str">
        <f>VLOOKUP(A:A,Table1[[Project No]:[Additional Remark]],23,FALSE)</f>
        <v>3 years</v>
      </c>
      <c r="K147" s="4" t="s">
        <v>1902</v>
      </c>
      <c r="L147" s="4" t="s">
        <v>2022</v>
      </c>
      <c r="M147" s="93">
        <v>45806</v>
      </c>
      <c r="N147" s="4"/>
      <c r="O147" s="4"/>
      <c r="P147" s="4"/>
      <c r="Q147" s="4"/>
      <c r="R147" s="4"/>
      <c r="S147" s="4"/>
      <c r="T147" s="4"/>
      <c r="U147" s="4"/>
      <c r="V147" s="4"/>
    </row>
    <row r="148" spans="1:22" x14ac:dyDescent="0.3">
      <c r="A148" s="4">
        <f>'ECN Master Project Tracker new'!A149</f>
        <v>2409447</v>
      </c>
      <c r="B148" s="108" t="str">
        <f>VLOOKUP(A:A,Table1[[#All],[Project No]:[Additional Remark]],2,FALSE)</f>
        <v>Chan Chee Tuck</v>
      </c>
      <c r="C148" s="4" t="str">
        <f>VLOOKUP(A:A,Table1[[Project No]:[Additional Remark]],19,FALSE)</f>
        <v>830427-06-5499</v>
      </c>
      <c r="D148" s="4" t="str">
        <f>VLOOKUP(A:A,Table1[[Project No]:[Additional Remark]],20,FALSE)</f>
        <v>No 43, Lorong Sri Jaya 7/4, Taman Sri Jaya Indah, 26500 Maran, Pahang</v>
      </c>
      <c r="E148" s="4" t="str">
        <f>VLOOKUP(A:A,Table1[[Project No]:[Additional Remark]],21,FALSE)</f>
        <v>011-51393543</v>
      </c>
      <c r="F148" s="4" t="str">
        <f>VLOOKUP(A:A,Table1[[Project No]:[Additional Remark]],22,FALSE)</f>
        <v>xiaoying2501@gmail.com</v>
      </c>
      <c r="G148" s="55">
        <f>VLOOKUP(A:A,Table1[[Project No]:[Additional Remark]],11,FALSE)</f>
        <v>22200</v>
      </c>
      <c r="H148" s="4" t="str">
        <f>VLOOKUP(A:A,Table1[[Project No]:[Additional Remark]],5,FALSE)</f>
        <v>R-PV</v>
      </c>
      <c r="I148" s="4">
        <f>VLOOKUP(A:A,Table1[[Project No]:[Additional Remark]],8,FALSE)</f>
        <v>7.02</v>
      </c>
      <c r="J148" s="4" t="str">
        <f>VLOOKUP(A:A,Table1[[Project No]:[Additional Remark]],23,FALSE)</f>
        <v>N/A</v>
      </c>
      <c r="K148" s="163" t="s">
        <v>109</v>
      </c>
      <c r="L148" s="164" t="s">
        <v>109</v>
      </c>
      <c r="M148" s="165"/>
      <c r="N148" s="163" t="s">
        <v>109</v>
      </c>
      <c r="O148" s="164" t="s">
        <v>109</v>
      </c>
      <c r="P148" s="165"/>
      <c r="Q148" s="163" t="s">
        <v>109</v>
      </c>
      <c r="R148" s="164" t="s">
        <v>109</v>
      </c>
      <c r="S148" s="165"/>
      <c r="T148" s="163" t="s">
        <v>109</v>
      </c>
      <c r="U148" s="164" t="s">
        <v>109</v>
      </c>
      <c r="V148" s="165"/>
    </row>
    <row r="149" spans="1:22" x14ac:dyDescent="0.3">
      <c r="A149" s="4">
        <f>'ECN Master Project Tracker new'!A150</f>
        <v>2409444</v>
      </c>
      <c r="B149" s="108" t="str">
        <f>VLOOKUP(A:A,Table1[[#All],[Project No]:[Additional Remark]],2,FALSE)</f>
        <v>Tuan Noraizan Bt Tuan Long</v>
      </c>
      <c r="C149" s="4" t="str">
        <f>VLOOKUP(A:A,Table1[[Project No]:[Additional Remark]],19,FALSE)</f>
        <v>750714-11-5284</v>
      </c>
      <c r="D149" s="4" t="str">
        <f>VLOOKUP(A:A,Table1[[Project No]:[Additional Remark]],20,FALSE)</f>
        <v>Lot 339, Kg Raja Baran, Chendering, 21080 Kuala Terengganu, Terengganu</v>
      </c>
      <c r="E149" s="4" t="str">
        <f>VLOOKUP(A:A,Table1[[Project No]:[Additional Remark]],21,FALSE)</f>
        <v>019-4705537</v>
      </c>
      <c r="F149" s="4" t="str">
        <f>VLOOKUP(A:A,Table1[[Project No]:[Additional Remark]],22,FALSE)</f>
        <v>tuan_noraizan@arb.com.my</v>
      </c>
      <c r="G149" s="55">
        <f>VLOOKUP(A:A,Table1[[Project No]:[Additional Remark]],11,FALSE)</f>
        <v>28700</v>
      </c>
      <c r="H149" s="4" t="str">
        <f>VLOOKUP(A:A,Table1[[Project No]:[Additional Remark]],5,FALSE)</f>
        <v>R-PV</v>
      </c>
      <c r="I149" s="4">
        <f>VLOOKUP(A:A,Table1[[Project No]:[Additional Remark]],8,FALSE)</f>
        <v>9.36</v>
      </c>
      <c r="J149" s="4" t="str">
        <f>VLOOKUP(A:A,Table1[[Project No]:[Additional Remark]],23,FALSE)</f>
        <v>N/A</v>
      </c>
      <c r="K149" s="163" t="s">
        <v>109</v>
      </c>
      <c r="L149" s="164" t="s">
        <v>109</v>
      </c>
      <c r="M149" s="165"/>
      <c r="N149" s="163" t="s">
        <v>109</v>
      </c>
      <c r="O149" s="164" t="s">
        <v>109</v>
      </c>
      <c r="P149" s="165"/>
      <c r="Q149" s="163" t="s">
        <v>109</v>
      </c>
      <c r="R149" s="164" t="s">
        <v>109</v>
      </c>
      <c r="S149" s="165"/>
      <c r="T149" s="163" t="s">
        <v>109</v>
      </c>
      <c r="U149" s="164" t="s">
        <v>109</v>
      </c>
      <c r="V149" s="165"/>
    </row>
    <row r="150" spans="1:22" x14ac:dyDescent="0.3">
      <c r="A150" s="4">
        <f>'ECN Master Project Tracker new'!A151</f>
        <v>2407368</v>
      </c>
      <c r="B150" s="108" t="str">
        <f>VLOOKUP(A:A,Table1[[#All],[Project No]:[Additional Remark]],2,FALSE)</f>
        <v>Noor Izzah Akmal Bt Mohd Nordin</v>
      </c>
      <c r="C150" s="4" t="str">
        <f>VLOOKUP(A:A,Table1[[Project No]:[Additional Remark]],19,FALSE)</f>
        <v>871023-06-5530</v>
      </c>
      <c r="D150" s="4" t="str">
        <f>VLOOKUP(A:A,Table1[[Project No]:[Additional Remark]],20,FALSE)</f>
        <v>Lot 104149, Lrg Pak Mahat, Kg Kempadang, 26060 Kuantan. Pahang</v>
      </c>
      <c r="E150" s="4" t="str">
        <f>VLOOKUP(A:A,Table1[[Project No]:[Additional Remark]],21,FALSE)</f>
        <v>010-7058844</v>
      </c>
      <c r="F150" s="4" t="str">
        <f>VLOOKUP(A:A,Table1[[Project No]:[Additional Remark]],22,FALSE)</f>
        <v>izzahnordeen87@gmail.com</v>
      </c>
      <c r="G150" s="55">
        <f>VLOOKUP(A:A,Table1[[Project No]:[Additional Remark]],11,FALSE)</f>
        <v>38600</v>
      </c>
      <c r="H150" s="4" t="str">
        <f>VLOOKUP(A:A,Table1[[Project No]:[Additional Remark]],5,FALSE)</f>
        <v>R-PV</v>
      </c>
      <c r="I150" s="4">
        <f>VLOOKUP(A:A,Table1[[Project No]:[Additional Remark]],8,FALSE)</f>
        <v>12.87</v>
      </c>
      <c r="J150" s="4" t="str">
        <f>VLOOKUP(A:A,Table1[[Project No]:[Additional Remark]],23,FALSE)</f>
        <v>3 years</v>
      </c>
      <c r="K150" s="4" t="s">
        <v>1902</v>
      </c>
      <c r="L150" s="4" t="s">
        <v>2023</v>
      </c>
      <c r="M150" s="93">
        <v>45750</v>
      </c>
      <c r="N150" s="4"/>
      <c r="O150" s="4"/>
      <c r="P150" s="4"/>
      <c r="Q150" s="4"/>
      <c r="R150" s="4"/>
      <c r="S150" s="4"/>
      <c r="T150" s="4"/>
      <c r="U150" s="4"/>
      <c r="V150" s="4"/>
    </row>
    <row r="151" spans="1:22" x14ac:dyDescent="0.3">
      <c r="A151" s="4">
        <f>'ECN Master Project Tracker new'!A152</f>
        <v>2409446</v>
      </c>
      <c r="B151" s="108" t="str">
        <f>VLOOKUP(A:A,Table1[[#All],[Project No]:[Additional Remark]],2,FALSE)</f>
        <v>Guok Diong Chong</v>
      </c>
      <c r="C151" s="4" t="str">
        <f>VLOOKUP(A:A,Table1[[Project No]:[Additional Remark]],19,FALSE)</f>
        <v>640715-08-5235</v>
      </c>
      <c r="D151" s="4" t="str">
        <f>VLOOKUP(A:A,Table1[[Project No]:[Additional Remark]],20,FALSE)</f>
        <v>85, Jln BU 11/6, Bandar Utama, 47800 Petaling Jaya, Selangor</v>
      </c>
      <c r="E151" s="4" t="str">
        <f>VLOOKUP(A:A,Table1[[Project No]:[Additional Remark]],21,FALSE)</f>
        <v>012-2685691</v>
      </c>
      <c r="F151" s="4" t="str">
        <f>VLOOKUP(A:A,Table1[[Project No]:[Additional Remark]],22,FALSE)</f>
        <v>dc.guok@gmail.com</v>
      </c>
      <c r="G151" s="55">
        <f>VLOOKUP(A:A,Table1[[Project No]:[Additional Remark]],11,FALSE)</f>
        <v>28500</v>
      </c>
      <c r="H151" s="4" t="str">
        <f>VLOOKUP(A:A,Table1[[Project No]:[Additional Remark]],5,FALSE)</f>
        <v>R-PV</v>
      </c>
      <c r="I151" s="4">
        <f>VLOOKUP(A:A,Table1[[Project No]:[Additional Remark]],8,FALSE)</f>
        <v>9.36</v>
      </c>
      <c r="J151" s="4" t="str">
        <f>VLOOKUP(A:A,Table1[[Project No]:[Additional Remark]],23,FALSE)</f>
        <v>3 years</v>
      </c>
      <c r="K151" s="4" t="s">
        <v>1902</v>
      </c>
      <c r="L151" s="4" t="s">
        <v>2024</v>
      </c>
      <c r="M151" s="93">
        <v>45750</v>
      </c>
      <c r="N151" s="4"/>
      <c r="O151" s="4"/>
      <c r="P151" s="4"/>
      <c r="Q151" s="4"/>
      <c r="R151" s="4"/>
      <c r="S151" s="4"/>
      <c r="T151" s="4"/>
      <c r="U151" s="4"/>
      <c r="V151" s="4"/>
    </row>
    <row r="152" spans="1:22" x14ac:dyDescent="0.3">
      <c r="A152" s="4">
        <f>'ECN Master Project Tracker new'!A153</f>
        <v>2404249</v>
      </c>
      <c r="B152" s="114" t="str">
        <f>VLOOKUP(A:A,Table1[[#All],[Project No]:[Additional Remark]],2,FALSE)</f>
        <v>Tan Kheng Guan</v>
      </c>
      <c r="C152" s="4" t="str">
        <f>VLOOKUP(A:A,Table1[[Project No]:[Additional Remark]],19,FALSE)</f>
        <v>550603-11-5293</v>
      </c>
      <c r="D152" s="4" t="str">
        <f>VLOOKUP(A:A,Table1[[Project No]:[Additional Remark]],20,FALSE)</f>
        <v>PT 19441, Jln Jakar, 24000 Cukai, Terengganu</v>
      </c>
      <c r="E152" s="4" t="str">
        <f>VLOOKUP(A:A,Table1[[Project No]:[Additional Remark]],21,FALSE)</f>
        <v>017-9083355</v>
      </c>
      <c r="F152" s="4" t="str">
        <f>VLOOKUP(A:A,Table1[[Project No]:[Additional Remark]],22,FALSE)</f>
        <v>kianhui89@gmail.com</v>
      </c>
      <c r="G152" s="55">
        <f>VLOOKUP(A:A,Table1[[Project No]:[Additional Remark]],11,FALSE)</f>
        <v>47600</v>
      </c>
      <c r="H152" s="4" t="str">
        <f>VLOOKUP(A:A,Table1[[Project No]:[Additional Remark]],5,FALSE)</f>
        <v>R-PV</v>
      </c>
      <c r="I152" s="4">
        <f>VLOOKUP(A:A,Table1[[Project No]:[Additional Remark]],8,FALSE)</f>
        <v>17.55</v>
      </c>
      <c r="J152" s="4" t="str">
        <f>VLOOKUP(A:A,Table1[[Project No]:[Additional Remark]],23,FALSE)</f>
        <v>3 years</v>
      </c>
      <c r="K152" s="4"/>
      <c r="L152" s="4"/>
      <c r="M152" s="4"/>
      <c r="N152" s="4"/>
      <c r="O152" s="4"/>
      <c r="P152" s="4"/>
      <c r="Q152" s="4"/>
      <c r="R152" s="4"/>
      <c r="S152" s="4"/>
      <c r="T152" s="4"/>
      <c r="U152" s="4"/>
      <c r="V152" s="4"/>
    </row>
    <row r="153" spans="1:22" x14ac:dyDescent="0.3">
      <c r="A153" s="4" t="str">
        <f>'ECN Master Project Tracker new'!A154</f>
        <v>2408424-1</v>
      </c>
      <c r="B153" s="108" t="str">
        <f>VLOOKUP(A:A,Table1[[#All],[Project No]:[Additional Remark]],2,FALSE)</f>
        <v>Low Bok Tek</v>
      </c>
      <c r="C153" s="4" t="str">
        <f>VLOOKUP(A:A,Table1[[Project No]:[Additional Remark]],19,FALSE)</f>
        <v>580321-08-5097</v>
      </c>
      <c r="D153" s="4" t="str">
        <f>VLOOKUP(A:A,Table1[[Project No]:[Additional Remark]],20,FALSE)</f>
        <v>18, Lrg 20 Tmn Lake View, 34000 Taiping, Perak</v>
      </c>
      <c r="E153" s="4" t="str">
        <f>VLOOKUP(A:A,Table1[[Project No]:[Additional Remark]],21,FALSE)</f>
        <v>019-4799999</v>
      </c>
      <c r="F153" s="4" t="str">
        <f>VLOOKUP(A:A,Table1[[Project No]:[Additional Remark]],22,FALSE)</f>
        <v>btcap@hotmail.com</v>
      </c>
      <c r="G153" s="55">
        <f>VLOOKUP(A:A,Table1[[Project No]:[Additional Remark]],11,FALSE)</f>
        <v>46100</v>
      </c>
      <c r="H153" s="4" t="str">
        <f>VLOOKUP(A:A,Table1[[Project No]:[Additional Remark]],5,FALSE)</f>
        <v>R-PV</v>
      </c>
      <c r="I153" s="4">
        <f>VLOOKUP(A:A,Table1[[Project No]:[Additional Remark]],8,FALSE)</f>
        <v>17.55</v>
      </c>
      <c r="J153" s="4" t="str">
        <f>VLOOKUP(A:A,Table1[[Project No]:[Additional Remark]],23,FALSE)</f>
        <v>3 years</v>
      </c>
      <c r="K153" s="4" t="s">
        <v>1902</v>
      </c>
      <c r="L153" s="4" t="s">
        <v>2025</v>
      </c>
      <c r="M153" s="93">
        <v>45750</v>
      </c>
      <c r="N153" s="4"/>
      <c r="O153" s="4"/>
      <c r="P153" s="4"/>
      <c r="Q153" s="4"/>
      <c r="R153" s="4"/>
      <c r="S153" s="4"/>
      <c r="T153" s="4"/>
      <c r="U153" s="4"/>
      <c r="V153" s="4"/>
    </row>
    <row r="154" spans="1:22" x14ac:dyDescent="0.3">
      <c r="A154" s="4" t="str">
        <f>'ECN Master Project Tracker new'!A155</f>
        <v>2408424-2</v>
      </c>
      <c r="B154" s="108" t="str">
        <f>VLOOKUP(A:A,Table1[[#All],[Project No]:[Additional Remark]],2,FALSE)</f>
        <v>Low Bok Tek</v>
      </c>
      <c r="C154" s="4" t="str">
        <f>VLOOKUP(A:A,Table1[[Project No]:[Additional Remark]],19,FALSE)</f>
        <v>530321-08-5097</v>
      </c>
      <c r="D154" s="4" t="str">
        <f>VLOOKUP(A:A,Table1[[Project No]:[Additional Remark]],20,FALSE)</f>
        <v>18, Lrg 20 Tmn Lake View, 34000 Taiping, Perak</v>
      </c>
      <c r="E154" s="4" t="str">
        <f>VLOOKUP(A:A,Table1[[Project No]:[Additional Remark]],21,FALSE)</f>
        <v>019-4799999</v>
      </c>
      <c r="F154" s="4" t="str">
        <f>VLOOKUP(A:A,Table1[[Project No]:[Additional Remark]],22,FALSE)</f>
        <v>btcap@hotmail.com</v>
      </c>
      <c r="G154" s="55">
        <f>VLOOKUP(A:A,Table1[[Project No]:[Additional Remark]],11,FALSE)</f>
        <v>46100</v>
      </c>
      <c r="H154" s="4" t="str">
        <f>VLOOKUP(A:A,Table1[[Project No]:[Additional Remark]],5,FALSE)</f>
        <v>R-PV</v>
      </c>
      <c r="I154" s="4">
        <f>VLOOKUP(A:A,Table1[[Project No]:[Additional Remark]],8,FALSE)</f>
        <v>17.55</v>
      </c>
      <c r="J154" s="4" t="str">
        <f>VLOOKUP(A:A,Table1[[Project No]:[Additional Remark]],23,FALSE)</f>
        <v>3 years</v>
      </c>
      <c r="K154" s="4" t="s">
        <v>1902</v>
      </c>
      <c r="L154" s="4" t="s">
        <v>2026</v>
      </c>
      <c r="M154" s="93">
        <v>45750</v>
      </c>
      <c r="N154" s="4"/>
      <c r="O154" s="4"/>
      <c r="P154" s="4"/>
      <c r="Q154" s="4"/>
      <c r="R154" s="4"/>
      <c r="S154" s="4"/>
      <c r="T154" s="4"/>
      <c r="U154" s="4"/>
      <c r="V154" s="4"/>
    </row>
    <row r="155" spans="1:22" x14ac:dyDescent="0.3">
      <c r="A155" s="4">
        <f>'ECN Master Project Tracker new'!A156</f>
        <v>2405284</v>
      </c>
      <c r="B155" s="108" t="str">
        <f>VLOOKUP(A:A,Table1[[#All],[Project No]:[Additional Remark]],2,FALSE)</f>
        <v>Amirul Hakim bin Omar</v>
      </c>
      <c r="C155" s="4" t="str">
        <f>VLOOKUP(A:A,Table1[[Project No]:[Additional Remark]],19,FALSE)</f>
        <v>940311-10-5273</v>
      </c>
      <c r="D155" s="4" t="str">
        <f>VLOOKUP(A:A,Table1[[Project No]:[Additional Remark]],20,FALSE)</f>
        <v>1, Jalan Beting Dua 8/13B, Seksyen 8, 40000 Shah Alam, Selangor</v>
      </c>
      <c r="E155" s="4" t="str">
        <f>VLOOKUP(A:A,Table1[[Project No]:[Additional Remark]],21,FALSE)</f>
        <v>010-3825802</v>
      </c>
      <c r="F155" s="4" t="str">
        <f>VLOOKUP(A:A,Table1[[Project No]:[Additional Remark]],22,FALSE)</f>
        <v>akembsp5@gmail.com</v>
      </c>
      <c r="G155" s="55">
        <f>VLOOKUP(A:A,Table1[[Project No]:[Additional Remark]],11,FALSE)</f>
        <v>23500</v>
      </c>
      <c r="H155" s="4" t="str">
        <f>VLOOKUP(A:A,Table1[[Project No]:[Additional Remark]],5,FALSE)</f>
        <v>R-PV</v>
      </c>
      <c r="I155" s="4">
        <f>VLOOKUP(A:A,Table1[[Project No]:[Additional Remark]],8,FALSE)</f>
        <v>7.02</v>
      </c>
      <c r="J155" s="4" t="str">
        <f>VLOOKUP(A:A,Table1[[Project No]:[Additional Remark]],23,FALSE)</f>
        <v>3 years</v>
      </c>
      <c r="K155" s="4" t="s">
        <v>1902</v>
      </c>
      <c r="L155" s="4" t="s">
        <v>2027</v>
      </c>
      <c r="M155" s="93">
        <v>45750</v>
      </c>
      <c r="N155" s="4"/>
      <c r="O155" s="4"/>
      <c r="P155" s="4"/>
      <c r="Q155" s="4"/>
      <c r="R155" s="4"/>
      <c r="S155" s="4"/>
      <c r="T155" s="4"/>
      <c r="U155" s="4"/>
      <c r="V155" s="4"/>
    </row>
    <row r="156" spans="1:22" x14ac:dyDescent="0.3">
      <c r="A156" s="4">
        <f>'ECN Master Project Tracker new'!A157</f>
        <v>2409448</v>
      </c>
      <c r="B156" s="108" t="str">
        <f>VLOOKUP(A:A,Table1[[#All],[Project No]:[Additional Remark]],2,FALSE)</f>
        <v>Pang Chong Han</v>
      </c>
      <c r="C156" s="4" t="str">
        <f>VLOOKUP(A:A,Table1[[Project No]:[Additional Remark]],19,FALSE)</f>
        <v>860301-43-5893</v>
      </c>
      <c r="D156" s="4" t="str">
        <f>VLOOKUP(A:A,Table1[[Project No]:[Additional Remark]],20,FALSE)</f>
        <v>12, Jln Gamelan 1E, Bdr Bukit Raja, 41050 Klang, Selangor</v>
      </c>
      <c r="E156" s="4" t="str">
        <f>VLOOKUP(A:A,Table1[[Project No]:[Additional Remark]],21,FALSE)</f>
        <v>016-9704005</v>
      </c>
      <c r="F156" s="4" t="str">
        <f>VLOOKUP(A:A,Table1[[Project No]:[Additional Remark]],22,FALSE)</f>
        <v>chonghan1386@hotmail.com</v>
      </c>
      <c r="G156" s="55">
        <f>VLOOKUP(A:A,Table1[[Project No]:[Additional Remark]],11,FALSE)</f>
        <v>31622</v>
      </c>
      <c r="H156" s="4" t="str">
        <f>VLOOKUP(A:A,Table1[[Project No]:[Additional Remark]],5,FALSE)</f>
        <v>R-PV</v>
      </c>
      <c r="I156" s="4">
        <f>VLOOKUP(A:A,Table1[[Project No]:[Additional Remark]],8,FALSE)</f>
        <v>8.26</v>
      </c>
      <c r="J156" s="4" t="str">
        <f>VLOOKUP(A:A,Table1[[Project No]:[Additional Remark]],23,FALSE)</f>
        <v>3 years</v>
      </c>
      <c r="K156" s="4" t="s">
        <v>1902</v>
      </c>
      <c r="L156" s="4" t="s">
        <v>2028</v>
      </c>
      <c r="M156" s="93">
        <v>45750</v>
      </c>
      <c r="N156" s="4"/>
      <c r="O156" s="4"/>
      <c r="P156" s="4"/>
      <c r="Q156" s="4"/>
      <c r="R156" s="4"/>
      <c r="S156" s="4"/>
      <c r="T156" s="4"/>
      <c r="U156" s="4"/>
      <c r="V156" s="4"/>
    </row>
    <row r="157" spans="1:22" x14ac:dyDescent="0.3">
      <c r="A157" s="4">
        <f>'ECN Master Project Tracker new'!A158</f>
        <v>2408400</v>
      </c>
      <c r="B157" s="108" t="str">
        <f>VLOOKUP(A:A,Table1[[#All],[Project No]:[Additional Remark]],2,FALSE)</f>
        <v>Oh Chai Ean</v>
      </c>
      <c r="C157" s="4" t="str">
        <f>VLOOKUP(A:A,Table1[[Project No]:[Additional Remark]],19,FALSE)</f>
        <v>830417-08-5066</v>
      </c>
      <c r="D157" s="4" t="str">
        <f>VLOOKUP(A:A,Table1[[Project No]:[Additional Remark]],20,FALSE)</f>
        <v>A7468, Jln Galing  Kecil, 25250 Kuantan,Pahang</v>
      </c>
      <c r="E157" s="4" t="str">
        <f>VLOOKUP(A:A,Table1[[Project No]:[Additional Remark]],21,FALSE)</f>
        <v>019-9128777</v>
      </c>
      <c r="F157" s="4" t="str">
        <f>VLOOKUP(A:A,Table1[[Project No]:[Additional Remark]],22,FALSE)</f>
        <v>wcyyoong123@gmail.com</v>
      </c>
      <c r="G157" s="55">
        <f>VLOOKUP(A:A,Table1[[Project No]:[Additional Remark]],11,FALSE)</f>
        <v>43300</v>
      </c>
      <c r="H157" s="4" t="str">
        <f>VLOOKUP(A:A,Table1[[Project No]:[Additional Remark]],5,FALSE)</f>
        <v>R-PV</v>
      </c>
      <c r="I157" s="4">
        <f>VLOOKUP(A:A,Table1[[Project No]:[Additional Remark]],8,FALSE)</f>
        <v>17.55</v>
      </c>
      <c r="J157" s="4" t="str">
        <f>VLOOKUP(A:A,Table1[[Project No]:[Additional Remark]],23,FALSE)</f>
        <v>N/A</v>
      </c>
      <c r="K157" s="163" t="s">
        <v>109</v>
      </c>
      <c r="L157" s="164" t="s">
        <v>109</v>
      </c>
      <c r="M157" s="165"/>
      <c r="N157" s="163" t="s">
        <v>109</v>
      </c>
      <c r="O157" s="164" t="s">
        <v>109</v>
      </c>
      <c r="P157" s="165"/>
      <c r="Q157" s="163" t="s">
        <v>109</v>
      </c>
      <c r="R157" s="164" t="s">
        <v>109</v>
      </c>
      <c r="S157" s="165"/>
      <c r="T157" s="163" t="s">
        <v>109</v>
      </c>
      <c r="U157" s="164" t="s">
        <v>109</v>
      </c>
      <c r="V157" s="165"/>
    </row>
    <row r="158" spans="1:22" x14ac:dyDescent="0.3">
      <c r="A158" s="4" t="str">
        <f>'ECN Master Project Tracker new'!A159</f>
        <v>2409449-1</v>
      </c>
      <c r="B158" s="108" t="str">
        <f>VLOOKUP(A:A,Table1[[#All],[Project No]:[Additional Remark]],2,FALSE)</f>
        <v>Nurul Ain Binti Yahaya</v>
      </c>
      <c r="C158" s="4" t="str">
        <f>VLOOKUP(A:A,Table1[[Project No]:[Additional Remark]],19,FALSE)</f>
        <v>861226-23-5908</v>
      </c>
      <c r="D158" s="4" t="str">
        <f>VLOOKUP(A:A,Table1[[Project No]:[Additional Remark]],20,FALSE)</f>
        <v>No 24, Jalan KS 5/18, 25200 Kuantan, Pahang</v>
      </c>
      <c r="E158" s="4" t="str">
        <f>VLOOKUP(A:A,Table1[[Project No]:[Additional Remark]],21,FALSE)</f>
        <v>011-19423302</v>
      </c>
      <c r="F158" s="4" t="str">
        <f>VLOOKUP(A:A,Table1[[Project No]:[Additional Remark]],22,FALSE)</f>
        <v>nurulainyahaya@gmail.com</v>
      </c>
      <c r="G158" s="55">
        <f>VLOOKUP(A:A,Table1[[Project No]:[Additional Remark]],11,FALSE)</f>
        <v>30000</v>
      </c>
      <c r="H158" s="4" t="str">
        <f>VLOOKUP(A:A,Table1[[Project No]:[Additional Remark]],5,FALSE)</f>
        <v>R-PV</v>
      </c>
      <c r="I158" s="4">
        <f>VLOOKUP(A:A,Table1[[Project No]:[Additional Remark]],8,FALSE)</f>
        <v>9.36</v>
      </c>
      <c r="J158" s="4" t="str">
        <f>VLOOKUP(A:A,Table1[[Project No]:[Additional Remark]],23,FALSE)</f>
        <v>3 years</v>
      </c>
      <c r="K158" s="4" t="s">
        <v>1902</v>
      </c>
      <c r="L158" s="4" t="s">
        <v>2029</v>
      </c>
      <c r="M158" s="93">
        <v>45750</v>
      </c>
      <c r="N158" s="4"/>
      <c r="O158" s="4"/>
      <c r="P158" s="4"/>
      <c r="Q158" s="4"/>
      <c r="R158" s="4"/>
      <c r="S158" s="4"/>
      <c r="T158" s="4"/>
      <c r="U158" s="4"/>
      <c r="V158" s="4"/>
    </row>
    <row r="159" spans="1:22" x14ac:dyDescent="0.3">
      <c r="A159" s="4">
        <f>'ECN Master Project Tracker new'!A160</f>
        <v>2409452</v>
      </c>
      <c r="B159" s="108" t="str">
        <f>VLOOKUP(A:A,Table1[[#All],[Project No]:[Additional Remark]],2,FALSE)</f>
        <v>Yio Pee Ban</v>
      </c>
      <c r="C159" s="4" t="str">
        <f>VLOOKUP(A:A,Table1[[Project No]:[Additional Remark]],19,FALSE)</f>
        <v>810215-06-5157</v>
      </c>
      <c r="D159" s="4" t="str">
        <f>VLOOKUP(A:A,Table1[[Project No]:[Additional Remark]],20,FALSE)</f>
        <v>135, Jln Bkt Setongkol 3, Tmn Muhibah Fasa 2, Bukit Setongkol, 25200 Kuantan, Pahang</v>
      </c>
      <c r="E159" s="4" t="str">
        <f>VLOOKUP(A:A,Table1[[Project No]:[Additional Remark]],21,FALSE)</f>
        <v>019-9142311</v>
      </c>
      <c r="F159" s="4" t="str">
        <f>VLOOKUP(A:A,Table1[[Project No]:[Additional Remark]],22,FALSE)</f>
        <v>pee.banyio@yahoo.com</v>
      </c>
      <c r="G159" s="55">
        <f>VLOOKUP(A:A,Table1[[Project No]:[Additional Remark]],11,FALSE)</f>
        <v>29700</v>
      </c>
      <c r="H159" s="4" t="str">
        <f>VLOOKUP(A:A,Table1[[Project No]:[Additional Remark]],5,FALSE)</f>
        <v>R-PV</v>
      </c>
      <c r="I159" s="4">
        <f>VLOOKUP(A:A,Table1[[Project No]:[Additional Remark]],8,FALSE)</f>
        <v>10.53</v>
      </c>
      <c r="J159" s="4" t="str">
        <f>VLOOKUP(A:A,Table1[[Project No]:[Additional Remark]],23,FALSE)</f>
        <v>3 years</v>
      </c>
      <c r="K159" s="4" t="s">
        <v>1902</v>
      </c>
      <c r="L159" s="4" t="s">
        <v>2030</v>
      </c>
      <c r="M159" s="93">
        <v>45750</v>
      </c>
      <c r="N159" s="4"/>
      <c r="O159" s="4"/>
      <c r="P159" s="4"/>
      <c r="Q159" s="4"/>
      <c r="R159" s="4"/>
      <c r="S159" s="4"/>
      <c r="T159" s="4"/>
      <c r="U159" s="4"/>
      <c r="V159" s="4"/>
    </row>
    <row r="160" spans="1:22" x14ac:dyDescent="0.3">
      <c r="A160" s="4">
        <f>'ECN Master Project Tracker new'!A161</f>
        <v>2409449</v>
      </c>
      <c r="B160" s="108" t="str">
        <f>VLOOKUP(A:A,Table1[[#All],[Project No]:[Additional Remark]],2,FALSE)</f>
        <v>Tan Hock Seng</v>
      </c>
      <c r="C160" s="4" t="str">
        <f>VLOOKUP(A:A,Table1[[Project No]:[Additional Remark]],19,FALSE)</f>
        <v>700111-13-5045</v>
      </c>
      <c r="D160" s="4" t="str">
        <f>VLOOKUP(A:A,Table1[[Project No]:[Additional Remark]],20,FALSE)</f>
        <v>107, Jalan Udang Pasir 3, Taman Megah, Kepong, 52100 Kuala Lumpur</v>
      </c>
      <c r="E160" s="4" t="str">
        <f>VLOOKUP(A:A,Table1[[Project No]:[Additional Remark]],21,FALSE)</f>
        <v>012-2383954</v>
      </c>
      <c r="F160" s="4" t="str">
        <f>VLOOKUP(A:A,Table1[[Project No]:[Additional Remark]],22,FALSE)</f>
        <v>tan.hockseng111@gmail.com</v>
      </c>
      <c r="G160" s="55">
        <f>VLOOKUP(A:A,Table1[[Project No]:[Additional Remark]],11,FALSE)</f>
        <v>24908</v>
      </c>
      <c r="H160" s="4" t="str">
        <f>VLOOKUP(A:A,Table1[[Project No]:[Additional Remark]],5,FALSE)</f>
        <v>R-PV</v>
      </c>
      <c r="I160" s="4">
        <f>VLOOKUP(A:A,Table1[[Project No]:[Additional Remark]],8,FALSE)</f>
        <v>7.02</v>
      </c>
      <c r="J160" s="4" t="str">
        <f>VLOOKUP(A:A,Table1[[Project No]:[Additional Remark]],23,FALSE)</f>
        <v>3 years</v>
      </c>
      <c r="K160" s="4" t="s">
        <v>1902</v>
      </c>
      <c r="L160" s="4" t="s">
        <v>2031</v>
      </c>
      <c r="M160" s="93">
        <v>45750</v>
      </c>
      <c r="N160" s="4"/>
      <c r="O160" s="4"/>
      <c r="P160" s="4"/>
      <c r="Q160" s="4"/>
      <c r="R160" s="4"/>
      <c r="S160" s="4"/>
      <c r="T160" s="4"/>
      <c r="U160" s="4"/>
      <c r="V160" s="4"/>
    </row>
    <row r="161" spans="1:22" x14ac:dyDescent="0.3">
      <c r="A161" s="4" t="str">
        <f>'ECN Master Project Tracker new'!A162</f>
        <v>2409448-1</v>
      </c>
      <c r="B161" s="108" t="str">
        <f>VLOOKUP(A:A,Table1[[#All],[Project No]:[Additional Remark]],2,FALSE)</f>
        <v>Claris Lim Jink Niee (Lim Chin Horng)</v>
      </c>
      <c r="C161" s="4" t="str">
        <f>VLOOKUP(A:A,Table1[[Project No]:[Additional Remark]],19,FALSE)</f>
        <v>020529-10-1062</v>
      </c>
      <c r="D161" s="4" t="str">
        <f>VLOOKUP(A:A,Table1[[Project No]:[Additional Remark]],20,FALSE)</f>
        <v>No 16, Jln Setia Nusantara U13/22T, Bandar Eco Setia, Setia Alam, 40170 Shah Alam, Selangor</v>
      </c>
      <c r="E161" s="4" t="str">
        <f>VLOOKUP(A:A,Table1[[Project No]:[Additional Remark]],21,FALSE)</f>
        <v>016-2176116</v>
      </c>
      <c r="F161" s="4" t="str">
        <f>VLOOKUP(A:A,Table1[[Project No]:[Additional Remark]],22,FALSE)</f>
        <v>clarislim2002@hmail.com</v>
      </c>
      <c r="G161" s="55">
        <f>VLOOKUP(A:A,Table1[[Project No]:[Additional Remark]],11,FALSE)</f>
        <v>34600</v>
      </c>
      <c r="H161" s="4" t="str">
        <f>VLOOKUP(A:A,Table1[[Project No]:[Additional Remark]],5,FALSE)</f>
        <v>R-PV</v>
      </c>
      <c r="I161" s="4">
        <f>VLOOKUP(A:A,Table1[[Project No]:[Additional Remark]],8,FALSE)</f>
        <v>11.7</v>
      </c>
      <c r="J161" s="4" t="str">
        <f>VLOOKUP(A:A,Table1[[Project No]:[Additional Remark]],23,FALSE)</f>
        <v>3 years</v>
      </c>
      <c r="K161" s="4" t="s">
        <v>1902</v>
      </c>
      <c r="L161" s="4" t="s">
        <v>2032</v>
      </c>
      <c r="M161" s="93">
        <v>45750</v>
      </c>
      <c r="N161" s="4"/>
      <c r="O161" s="4"/>
      <c r="P161" s="4"/>
      <c r="Q161" s="4"/>
      <c r="R161" s="4"/>
      <c r="S161" s="4"/>
      <c r="T161" s="4"/>
      <c r="U161" s="4"/>
      <c r="V161" s="4"/>
    </row>
    <row r="162" spans="1:22" x14ac:dyDescent="0.3">
      <c r="A162" s="4">
        <f>'ECN Master Project Tracker new'!A163</f>
        <v>2406343</v>
      </c>
      <c r="B162" s="108" t="str">
        <f>VLOOKUP(A:A,Table1[[#All],[Project No]:[Additional Remark]],2,FALSE)</f>
        <v>Dato Sim Keng Piao</v>
      </c>
      <c r="C162" s="4" t="str">
        <f>VLOOKUP(A:A,Table1[[Project No]:[Additional Remark]],19,FALSE)</f>
        <v>810623-05-5361</v>
      </c>
      <c r="D162" s="4" t="str">
        <f>VLOOKUP(A:A,Table1[[Project No]:[Additional Remark]],20,FALSE)</f>
        <v>632, Jalan Sri Pulai 34, Taman Sri Pulai 3, 70400 Seremban, Negeri Sembilan</v>
      </c>
      <c r="E162" s="4" t="str">
        <f>VLOOKUP(A:A,Table1[[Project No]:[Additional Remark]],21,FALSE)</f>
        <v>012-3599293</v>
      </c>
      <c r="F162" s="4" t="str">
        <f>VLOOKUP(A:A,Table1[[Project No]:[Additional Remark]],22,FALSE)</f>
        <v>piew831@gmail.com</v>
      </c>
      <c r="G162" s="55">
        <f>VLOOKUP(A:A,Table1[[Project No]:[Additional Remark]],11,FALSE)</f>
        <v>30000</v>
      </c>
      <c r="H162" s="4" t="str">
        <f>VLOOKUP(A:A,Table1[[Project No]:[Additional Remark]],5,FALSE)</f>
        <v>R-PV</v>
      </c>
      <c r="I162" s="4">
        <f>VLOOKUP(A:A,Table1[[Project No]:[Additional Remark]],8,FALSE)</f>
        <v>9.36</v>
      </c>
      <c r="J162" s="4" t="str">
        <f>VLOOKUP(A:A,Table1[[Project No]:[Additional Remark]],23,FALSE)</f>
        <v>3 years</v>
      </c>
      <c r="K162" s="4" t="s">
        <v>1902</v>
      </c>
      <c r="L162" s="4" t="s">
        <v>2033</v>
      </c>
      <c r="M162" s="93">
        <v>45750</v>
      </c>
      <c r="N162" s="4"/>
      <c r="O162" s="4"/>
      <c r="P162" s="4"/>
      <c r="Q162" s="4"/>
      <c r="R162" s="4"/>
      <c r="S162" s="4"/>
      <c r="T162" s="4"/>
      <c r="U162" s="4"/>
      <c r="V162" s="4"/>
    </row>
    <row r="163" spans="1:22" x14ac:dyDescent="0.3">
      <c r="A163" s="4">
        <f>'ECN Master Project Tracker new'!A164</f>
        <v>2409455</v>
      </c>
      <c r="B163" s="108" t="str">
        <f>VLOOKUP(A:A,Table1[[#All],[Project No]:[Additional Remark]],2,FALSE)</f>
        <v>Muhamad Syamil bin Zulkafli</v>
      </c>
      <c r="C163" s="4" t="str">
        <f>VLOOKUP(A:A,Table1[[Project No]:[Additional Remark]],19,FALSE)</f>
        <v>850401-11-5337</v>
      </c>
      <c r="D163" s="4" t="str">
        <f>VLOOKUP(A:A,Table1[[Project No]:[Additional Remark]],20,FALSE)</f>
        <v>15, Lrg Im 6/6 Indera Kayangan, Indera Mahkota, 25200 Kuantan, Pahang</v>
      </c>
      <c r="E163" s="4" t="str">
        <f>VLOOKUP(A:A,Table1[[Project No]:[Additional Remark]],21,FALSE)</f>
        <v>013-7196919</v>
      </c>
      <c r="F163" s="4" t="str">
        <f>VLOOKUP(A:A,Table1[[Project No]:[Additional Remark]],22,FALSE)</f>
        <v>syamale1985@gmail.com</v>
      </c>
      <c r="G163" s="55">
        <f>VLOOKUP(A:A,Table1[[Project No]:[Additional Remark]],11,FALSE)</f>
        <v>22800</v>
      </c>
      <c r="H163" s="4" t="str">
        <f>VLOOKUP(A:A,Table1[[Project No]:[Additional Remark]],5,FALSE)</f>
        <v>R-PV</v>
      </c>
      <c r="I163" s="4">
        <f>VLOOKUP(A:A,Table1[[Project No]:[Additional Remark]],8,FALSE)</f>
        <v>7.02</v>
      </c>
      <c r="J163" s="4" t="str">
        <f>VLOOKUP(A:A,Table1[[Project No]:[Additional Remark]],23,FALSE)</f>
        <v>N/A</v>
      </c>
      <c r="K163" s="163" t="s">
        <v>109</v>
      </c>
      <c r="L163" s="164" t="s">
        <v>109</v>
      </c>
      <c r="M163" s="165"/>
      <c r="N163" s="163" t="s">
        <v>109</v>
      </c>
      <c r="O163" s="164" t="s">
        <v>109</v>
      </c>
      <c r="P163" s="165"/>
      <c r="Q163" s="163" t="s">
        <v>109</v>
      </c>
      <c r="R163" s="164" t="s">
        <v>109</v>
      </c>
      <c r="S163" s="165"/>
      <c r="T163" s="163" t="s">
        <v>109</v>
      </c>
      <c r="U163" s="164" t="s">
        <v>109</v>
      </c>
      <c r="V163" s="165"/>
    </row>
    <row r="164" spans="1:22" x14ac:dyDescent="0.3">
      <c r="A164" s="4">
        <f>'ECN Master Project Tracker new'!A165</f>
        <v>2410064</v>
      </c>
      <c r="B164" s="108" t="str">
        <f>VLOOKUP(A:A,Table1[[#All],[Project No]:[Additional Remark]],2,FALSE)</f>
        <v>Zarita binti Saliman</v>
      </c>
      <c r="C164" s="4" t="str">
        <f>VLOOKUP(A:A,Table1[[Project No]:[Additional Remark]],19,FALSE)</f>
        <v>720113-01-5002</v>
      </c>
      <c r="D164" s="4" t="str">
        <f>VLOOKUP(A:A,Table1[[Project No]:[Additional Remark]],20,FALSE)</f>
        <v>Lot 1183, Jalan Felcra, Kampung Batu 14, 43100 Hulu Langat, Selangor</v>
      </c>
      <c r="E164" s="4" t="str">
        <f>VLOOKUP(A:A,Table1[[Project No]:[Additional Remark]],21,FALSE)</f>
        <v>012-8888661</v>
      </c>
      <c r="F164" s="4" t="str">
        <f>VLOOKUP(A:A,Table1[[Project No]:[Additional Remark]],22,FALSE)</f>
        <v>capt.arifstephen@yahoo.com</v>
      </c>
      <c r="G164" s="55">
        <f>VLOOKUP(A:A,Table1[[Project No]:[Additional Remark]],11,FALSE)</f>
        <v>23940</v>
      </c>
      <c r="H164" s="4" t="str">
        <f>VLOOKUP(A:A,Table1[[Project No]:[Additional Remark]],5,FALSE)</f>
        <v>R-PV</v>
      </c>
      <c r="I164" s="4">
        <f>VLOOKUP(A:A,Table1[[Project No]:[Additional Remark]],8,FALSE)</f>
        <v>7.6050000000000004</v>
      </c>
      <c r="J164" s="4" t="str">
        <f>VLOOKUP(A:A,Table1[[Project No]:[Additional Remark]],23,FALSE)</f>
        <v>3 years</v>
      </c>
      <c r="K164" s="4" t="s">
        <v>1902</v>
      </c>
      <c r="L164" s="4" t="s">
        <v>2034</v>
      </c>
      <c r="M164" s="93">
        <v>45750</v>
      </c>
      <c r="N164" s="4"/>
      <c r="O164" s="4"/>
      <c r="P164" s="4"/>
      <c r="Q164" s="4"/>
      <c r="R164" s="4"/>
      <c r="S164" s="4"/>
      <c r="T164" s="4"/>
      <c r="U164" s="4"/>
      <c r="V164" s="4"/>
    </row>
    <row r="165" spans="1:22" x14ac:dyDescent="0.3">
      <c r="A165" s="4">
        <f>'ECN Master Project Tracker new'!A166</f>
        <v>2405305</v>
      </c>
      <c r="B165" s="108" t="str">
        <f>VLOOKUP(A:A,Table1[[#All],[Project No]:[Additional Remark]],2,FALSE)</f>
        <v>Chan Woei Jye</v>
      </c>
      <c r="C165" s="4" t="str">
        <f>VLOOKUP(A:A,Table1[[Project No]:[Additional Remark]],19,FALSE)</f>
        <v>750414-01-6647</v>
      </c>
      <c r="D165" s="4" t="str">
        <f>VLOOKUP(A:A,Table1[[Project No]:[Additional Remark]],20,FALSE)</f>
        <v>No 7, Jln Anggerik Eria Tujuh 31/109G, Kota Kemuning, Seksyen 31, 40460 Shah Alam, Selangor</v>
      </c>
      <c r="E165" s="4" t="str">
        <f>VLOOKUP(A:A,Table1[[Project No]:[Additional Remark]],21,FALSE)</f>
        <v>016-2100036</v>
      </c>
      <c r="F165" s="4" t="str">
        <f>VLOOKUP(A:A,Table1[[Project No]:[Additional Remark]],22,FALSE)</f>
        <v>cwoei_jye@hotmail.com</v>
      </c>
      <c r="G165" s="55">
        <f>VLOOKUP(A:A,Table1[[Project No]:[Additional Remark]],11,FALSE)</f>
        <v>32000</v>
      </c>
      <c r="H165" s="4" t="str">
        <f>VLOOKUP(A:A,Table1[[Project No]:[Additional Remark]],5,FALSE)</f>
        <v>R-PV</v>
      </c>
      <c r="I165" s="4">
        <f>VLOOKUP(A:A,Table1[[Project No]:[Additional Remark]],8,FALSE)</f>
        <v>10.53</v>
      </c>
      <c r="J165" s="4" t="str">
        <f>VLOOKUP(A:A,Table1[[Project No]:[Additional Remark]],23,FALSE)</f>
        <v>3 years</v>
      </c>
      <c r="K165" s="4" t="s">
        <v>1902</v>
      </c>
      <c r="L165" s="4" t="s">
        <v>2035</v>
      </c>
      <c r="M165" s="93">
        <v>45750</v>
      </c>
      <c r="N165" s="4"/>
      <c r="O165" s="4"/>
      <c r="P165" s="4"/>
      <c r="Q165" s="4"/>
      <c r="R165" s="4"/>
      <c r="S165" s="4"/>
      <c r="T165" s="4"/>
      <c r="U165" s="4"/>
      <c r="V165" s="4"/>
    </row>
    <row r="166" spans="1:22" x14ac:dyDescent="0.3">
      <c r="A166" s="4">
        <f>'ECN Master Project Tracker new'!A167</f>
        <v>2409456</v>
      </c>
      <c r="B166" s="108" t="str">
        <f>VLOOKUP(A:A,Table1[[#All],[Project No]:[Additional Remark]],2,FALSE)</f>
        <v>Low Hong Chin</v>
      </c>
      <c r="C166" s="4" t="str">
        <f>VLOOKUP(A:A,Table1[[Project No]:[Additional Remark]],19,FALSE)</f>
        <v>791203-01-5725</v>
      </c>
      <c r="D166" s="4" t="str">
        <f>VLOOKUP(A:A,Table1[[Project No]:[Additional Remark]],20,FALSE)</f>
        <v>9, Jalan Panorama 2, Taman Kota Panorama, 83700 Yong Peng</v>
      </c>
      <c r="E166" s="4" t="str">
        <f>VLOOKUP(A:A,Table1[[Project No]:[Additional Remark]],21,FALSE)</f>
        <v>013-3533328</v>
      </c>
      <c r="F166" s="4" t="str">
        <f>VLOOKUP(A:A,Table1[[Project No]:[Additional Remark]],22,FALSE)</f>
        <v>aiping8113@gmail.com</v>
      </c>
      <c r="G166" s="55">
        <f>VLOOKUP(A:A,Table1[[Project No]:[Additional Remark]],11,FALSE)</f>
        <v>30000</v>
      </c>
      <c r="H166" s="4" t="str">
        <f>VLOOKUP(A:A,Table1[[Project No]:[Additional Remark]],5,FALSE)</f>
        <v>R-PV</v>
      </c>
      <c r="I166" s="4">
        <f>VLOOKUP(A:A,Table1[[Project No]:[Additional Remark]],8,FALSE)</f>
        <v>11.115</v>
      </c>
      <c r="J166" s="4" t="str">
        <f>VLOOKUP(A:A,Table1[[Project No]:[Additional Remark]],23,FALSE)</f>
        <v>3 years</v>
      </c>
      <c r="K166" s="4" t="s">
        <v>1902</v>
      </c>
      <c r="L166" s="4" t="s">
        <v>2036</v>
      </c>
      <c r="M166" s="93">
        <v>45750</v>
      </c>
      <c r="N166" s="4"/>
      <c r="O166" s="4"/>
      <c r="P166" s="4"/>
      <c r="Q166" s="4"/>
      <c r="R166" s="4"/>
      <c r="S166" s="4"/>
      <c r="T166" s="4"/>
      <c r="U166" s="4"/>
      <c r="V166" s="4"/>
    </row>
    <row r="167" spans="1:22" x14ac:dyDescent="0.3">
      <c r="A167" s="4">
        <f>'ECN Master Project Tracker new'!A168</f>
        <v>2410461</v>
      </c>
      <c r="B167" s="108" t="str">
        <f>VLOOKUP(A:A,Table1[[#All],[Project No]:[Additional Remark]],2,FALSE)</f>
        <v>Low Hong Choon</v>
      </c>
      <c r="C167" s="4" t="str">
        <f>VLOOKUP(A:A,Table1[[Project No]:[Additional Remark]],19,FALSE)</f>
        <v>830209-01-6269</v>
      </c>
      <c r="D167" s="4" t="str">
        <f>VLOOKUP(A:A,Table1[[Project No]:[Additional Remark]],20,FALSE)</f>
        <v>No 21, Jln Bayu 8, Tmn Sri Bayu, 83700 Yong Peng, Johor</v>
      </c>
      <c r="E167" s="4" t="str">
        <f>VLOOKUP(A:A,Table1[[Project No]:[Additional Remark]],21,FALSE)</f>
        <v>012-5103669</v>
      </c>
      <c r="F167" s="4" t="str">
        <f>VLOOKUP(A:A,Table1[[Project No]:[Additional Remark]],22,FALSE)</f>
        <v>aiping8113@gmail.com</v>
      </c>
      <c r="G167" s="55">
        <f>VLOOKUP(A:A,Table1[[Project No]:[Additional Remark]],11,FALSE)</f>
        <v>23500</v>
      </c>
      <c r="H167" s="4" t="str">
        <f>VLOOKUP(A:A,Table1[[Project No]:[Additional Remark]],5,FALSE)</f>
        <v>R-PV</v>
      </c>
      <c r="I167" s="4">
        <f>VLOOKUP(A:A,Table1[[Project No]:[Additional Remark]],8,FALSE)</f>
        <v>7.02</v>
      </c>
      <c r="J167" s="4" t="str">
        <f>VLOOKUP(A:A,Table1[[Project No]:[Additional Remark]],23,FALSE)</f>
        <v>3 years</v>
      </c>
      <c r="K167" s="4" t="s">
        <v>1902</v>
      </c>
      <c r="L167" s="4" t="s">
        <v>2037</v>
      </c>
      <c r="M167" s="93">
        <v>45750</v>
      </c>
      <c r="N167" s="4"/>
      <c r="O167" s="4"/>
      <c r="P167" s="4"/>
      <c r="Q167" s="4"/>
      <c r="R167" s="4"/>
      <c r="S167" s="4"/>
      <c r="T167" s="4"/>
      <c r="U167" s="4"/>
      <c r="V167" s="4"/>
    </row>
    <row r="168" spans="1:22" x14ac:dyDescent="0.3">
      <c r="A168" s="4">
        <f>'ECN Master Project Tracker new'!A169</f>
        <v>2409029</v>
      </c>
      <c r="B168" s="108" t="str">
        <f>VLOOKUP(A:A,Table1[[#All],[Project No]:[Additional Remark]],2,FALSE)</f>
        <v>Handal Green Mobility Sdn Bhd (Mazda Kuantan Showroom)</v>
      </c>
      <c r="C168" s="4" t="str">
        <f>VLOOKUP(A:A,Table1[[Project No]:[Additional Remark]],19,FALSE)</f>
        <v>-</v>
      </c>
      <c r="D168" s="4" t="str">
        <f>VLOOKUP(A:A,Table1[[Project No]:[Additional Remark]],20,FALSE)</f>
        <v>A557, Jalan Padang lalang, Padang Lalang Industrial Area, Kuantan, Pahang</v>
      </c>
      <c r="E168" s="4" t="str">
        <f>VLOOKUP(A:A,Table1[[Project No]:[Additional Remark]],21,FALSE)</f>
        <v>-</v>
      </c>
      <c r="F168" s="4" t="str">
        <f>VLOOKUP(A:A,Table1[[Project No]:[Additional Remark]],22,FALSE)</f>
        <v>-</v>
      </c>
      <c r="G168" s="55">
        <f>VLOOKUP(A:A,Table1[[Project No]:[Additional Remark]],11,FALSE)</f>
        <v>2643</v>
      </c>
      <c r="H168" s="4" t="str">
        <f>VLOOKUP(A:A,Table1[[Project No]:[Additional Remark]],5,FALSE)</f>
        <v>EV Charger</v>
      </c>
      <c r="I168" s="4">
        <f>VLOOKUP(A:A,Table1[[Project No]:[Additional Remark]],8,FALSE)</f>
        <v>0</v>
      </c>
      <c r="J168" s="4" t="str">
        <f>VLOOKUP(A:A,Table1[[Project No]:[Additional Remark]],23,FALSE)</f>
        <v>N/A</v>
      </c>
      <c r="K168" s="163" t="s">
        <v>109</v>
      </c>
      <c r="L168" s="164" t="s">
        <v>109</v>
      </c>
      <c r="M168" s="165"/>
      <c r="N168" s="163" t="s">
        <v>109</v>
      </c>
      <c r="O168" s="164" t="s">
        <v>109</v>
      </c>
      <c r="P168" s="165"/>
      <c r="Q168" s="163" t="s">
        <v>109</v>
      </c>
      <c r="R168" s="164" t="s">
        <v>109</v>
      </c>
      <c r="S168" s="165"/>
      <c r="T168" s="163" t="s">
        <v>109</v>
      </c>
      <c r="U168" s="164" t="s">
        <v>109</v>
      </c>
      <c r="V168" s="165"/>
    </row>
    <row r="169" spans="1:22" x14ac:dyDescent="0.3">
      <c r="A169" s="4">
        <f>'ECN Master Project Tracker new'!A170</f>
        <v>2410032</v>
      </c>
      <c r="B169" s="108" t="str">
        <f>VLOOKUP(A:A,Table1[[#All],[Project No]:[Additional Remark]],2,FALSE)</f>
        <v>Handal Green Mobility Sdn Bhd (United Point Mall, Kuala Lumpur)</v>
      </c>
      <c r="C169" s="4" t="str">
        <f>VLOOKUP(A:A,Table1[[Project No]:[Additional Remark]],19,FALSE)</f>
        <v>-</v>
      </c>
      <c r="D169" s="4" t="str">
        <f>VLOOKUP(A:A,Table1[[Project No]:[Additional Remark]],20,FALSE)</f>
        <v>10, Jalan Lang Emas, Segambut, 51200 Kuala Lumpur</v>
      </c>
      <c r="E169" s="4" t="str">
        <f>VLOOKUP(A:A,Table1[[Project No]:[Additional Remark]],21,FALSE)</f>
        <v>-</v>
      </c>
      <c r="F169" s="4" t="str">
        <f>VLOOKUP(A:A,Table1[[Project No]:[Additional Remark]],22,FALSE)</f>
        <v>-</v>
      </c>
      <c r="G169" s="55">
        <f>VLOOKUP(A:A,Table1[[Project No]:[Additional Remark]],11,FALSE)</f>
        <v>38470</v>
      </c>
      <c r="H169" s="4" t="str">
        <f>VLOOKUP(A:A,Table1[[Project No]:[Additional Remark]],5,FALSE)</f>
        <v>EV Charger</v>
      </c>
      <c r="I169" s="4">
        <f>VLOOKUP(A:A,Table1[[Project No]:[Additional Remark]],8,FALSE)</f>
        <v>0</v>
      </c>
      <c r="J169" s="4" t="str">
        <f>VLOOKUP(A:A,Table1[[Project No]:[Additional Remark]],23,FALSE)</f>
        <v>N/A</v>
      </c>
      <c r="K169" s="163" t="s">
        <v>109</v>
      </c>
      <c r="L169" s="164" t="s">
        <v>109</v>
      </c>
      <c r="M169" s="165"/>
      <c r="N169" s="163" t="s">
        <v>109</v>
      </c>
      <c r="O169" s="164" t="s">
        <v>109</v>
      </c>
      <c r="P169" s="165"/>
      <c r="Q169" s="163" t="s">
        <v>109</v>
      </c>
      <c r="R169" s="164" t="s">
        <v>109</v>
      </c>
      <c r="S169" s="165"/>
      <c r="T169" s="163" t="s">
        <v>109</v>
      </c>
      <c r="U169" s="164" t="s">
        <v>109</v>
      </c>
      <c r="V169" s="165"/>
    </row>
    <row r="170" spans="1:22" x14ac:dyDescent="0.3">
      <c r="A170" s="4" t="str">
        <f>'ECN Master Project Tracker new'!A171</f>
        <v>2407167-1</v>
      </c>
      <c r="B170" s="108" t="str">
        <f>VLOOKUP(A:A,Table1[[#All],[Project No]:[Additional Remark]],2,FALSE)</f>
        <v>Econframe Marketing Sdn Bhd (Kilang 1 &amp; 3)</v>
      </c>
      <c r="C170" s="4" t="str">
        <f>VLOOKUP(A:A,Table1[[Project No]:[Additional Remark]],19,FALSE)</f>
        <v>-</v>
      </c>
      <c r="D170" s="4" t="str">
        <f>VLOOKUP(A:A,Table1[[Project No]:[Additional Remark]],20,FALSE)</f>
        <v>No 1, Jln Sg Rasa 27 A Off, Jln Dato Mohd Sidin, 41300 Klang, Selangor</v>
      </c>
      <c r="E170" s="4">
        <f>VLOOKUP(A:A,Table1[[Project No]:[Additional Remark]],21,FALSE)</f>
        <v>0</v>
      </c>
      <c r="F170" s="4">
        <f>VLOOKUP(A:A,Table1[[Project No]:[Additional Remark]],22,FALSE)</f>
        <v>0</v>
      </c>
      <c r="G170" s="55">
        <f>VLOOKUP(A:A,Table1[[Project No]:[Additional Remark]],11,FALSE)</f>
        <v>233000</v>
      </c>
      <c r="H170" s="4" t="str">
        <f>VLOOKUP(A:A,Table1[[Project No]:[Additional Remark]],5,FALSE)</f>
        <v>C&amp;I-PV</v>
      </c>
      <c r="I170" s="4">
        <f>VLOOKUP(A:A,Table1[[Project No]:[Additional Remark]],8,FALSE)</f>
        <v>109.395</v>
      </c>
      <c r="J170" s="4" t="str">
        <f>VLOOKUP(A:A,Table1[[Project No]:[Additional Remark]],23,FALSE)</f>
        <v>3 years</v>
      </c>
      <c r="K170" s="4" t="s">
        <v>1912</v>
      </c>
      <c r="L170" s="4" t="s">
        <v>2038</v>
      </c>
      <c r="M170" s="93">
        <v>45882</v>
      </c>
      <c r="N170" s="4"/>
      <c r="O170" s="4"/>
      <c r="P170" s="4"/>
      <c r="Q170" s="4"/>
      <c r="R170" s="4"/>
      <c r="S170" s="4"/>
      <c r="T170" s="4"/>
      <c r="U170" s="4"/>
      <c r="V170" s="4"/>
    </row>
    <row r="171" spans="1:22" x14ac:dyDescent="0.3">
      <c r="A171" s="4" t="str">
        <f>'ECN Master Project Tracker new'!A172</f>
        <v>2407167-2</v>
      </c>
      <c r="B171" s="108" t="str">
        <f>VLOOKUP(A:A,Table1[[#All],[Project No]:[Additional Remark]],2,FALSE)</f>
        <v>Econframe Marketing Sdn Bhd (Kilang 4)</v>
      </c>
      <c r="C171" s="4" t="str">
        <f>VLOOKUP(A:A,Table1[[Project No]:[Additional Remark]],19,FALSE)</f>
        <v>-</v>
      </c>
      <c r="D171" s="4" t="str">
        <f>VLOOKUP(A:A,Table1[[Project No]:[Additional Remark]],20,FALSE)</f>
        <v>Lot 4, Jln Sg Rasa 27 A Off, Jln Dato Mohd Sidin, 41300 Klang,Selangor</v>
      </c>
      <c r="E171" s="4">
        <f>VLOOKUP(A:A,Table1[[Project No]:[Additional Remark]],21,FALSE)</f>
        <v>0</v>
      </c>
      <c r="F171" s="4">
        <f>VLOOKUP(A:A,Table1[[Project No]:[Additional Remark]],22,FALSE)</f>
        <v>0</v>
      </c>
      <c r="G171" s="55">
        <f>VLOOKUP(A:A,Table1[[Project No]:[Additional Remark]],11,FALSE)</f>
        <v>71000</v>
      </c>
      <c r="H171" s="4" t="str">
        <f>VLOOKUP(A:A,Table1[[Project No]:[Additional Remark]],5,FALSE)</f>
        <v>C&amp;I-PV</v>
      </c>
      <c r="I171" s="4">
        <f>VLOOKUP(A:A,Table1[[Project No]:[Additional Remark]],8,FALSE)</f>
        <v>26.91</v>
      </c>
      <c r="J171" s="4" t="str">
        <f>VLOOKUP(A:A,Table1[[Project No]:[Additional Remark]],23,FALSE)</f>
        <v>3 years</v>
      </c>
      <c r="K171" s="4" t="s">
        <v>1912</v>
      </c>
      <c r="L171" s="4" t="s">
        <v>2039</v>
      </c>
      <c r="M171" s="93">
        <v>45882</v>
      </c>
      <c r="N171" s="4"/>
      <c r="O171" s="4"/>
      <c r="P171" s="4"/>
      <c r="Q171" s="4"/>
      <c r="R171" s="4"/>
      <c r="S171" s="4"/>
      <c r="T171" s="4"/>
      <c r="U171" s="4"/>
      <c r="V171" s="4"/>
    </row>
    <row r="172" spans="1:22" x14ac:dyDescent="0.3">
      <c r="A172" s="4" t="str">
        <f>'ECN Master Project Tracker new'!A173</f>
        <v>2407167-3</v>
      </c>
      <c r="B172" s="108" t="str">
        <f>VLOOKUP(A:A,Table1[[#All],[Project No]:[Additional Remark]],2,FALSE)</f>
        <v>Econframe Marketing Sdn Bhd (Kilang 20)</v>
      </c>
      <c r="C172" s="4" t="str">
        <f>VLOOKUP(A:A,Table1[[Project No]:[Additional Remark]],19,FALSE)</f>
        <v>-</v>
      </c>
      <c r="D172" s="4" t="str">
        <f>VLOOKUP(A:A,Table1[[Project No]:[Additional Remark]],20,FALSE)</f>
        <v>Lot 63272, Lrg Sg Rasau 27A, 41300 Klang, Selangor</v>
      </c>
      <c r="E172" s="4">
        <f>VLOOKUP(A:A,Table1[[Project No]:[Additional Remark]],21,FALSE)</f>
        <v>0</v>
      </c>
      <c r="F172" s="4">
        <f>VLOOKUP(A:A,Table1[[Project No]:[Additional Remark]],22,FALSE)</f>
        <v>0</v>
      </c>
      <c r="G172" s="55">
        <f>VLOOKUP(A:A,Table1[[Project No]:[Additional Remark]],11,FALSE)</f>
        <v>136000</v>
      </c>
      <c r="H172" s="4" t="str">
        <f>VLOOKUP(A:A,Table1[[Project No]:[Additional Remark]],5,FALSE)</f>
        <v>C&amp;I-PV</v>
      </c>
      <c r="I172" s="4">
        <f>VLOOKUP(A:A,Table1[[Project No]:[Additional Remark]],8,FALSE)</f>
        <v>67.275000000000006</v>
      </c>
      <c r="J172" s="4" t="str">
        <f>VLOOKUP(A:A,Table1[[Project No]:[Additional Remark]],23,FALSE)</f>
        <v>3 years</v>
      </c>
      <c r="K172" s="4" t="s">
        <v>1912</v>
      </c>
      <c r="L172" s="4" t="s">
        <v>2040</v>
      </c>
      <c r="M172" s="93">
        <v>45882</v>
      </c>
      <c r="N172" s="4"/>
      <c r="O172" s="4"/>
      <c r="P172" s="4"/>
      <c r="Q172" s="4"/>
      <c r="R172" s="4"/>
      <c r="S172" s="4"/>
      <c r="T172" s="4"/>
      <c r="U172" s="4"/>
      <c r="V172" s="4"/>
    </row>
    <row r="173" spans="1:22" x14ac:dyDescent="0.3">
      <c r="A173" s="4">
        <f>'ECN Master Project Tracker new'!A174</f>
        <v>2408174</v>
      </c>
      <c r="B173" s="108" t="str">
        <f>VLOOKUP(A:A,Table1[[#All],[Project No]:[Additional Remark]],2,FALSE)</f>
        <v>Zimandy Construction Sdn Bhd (Bandar Tenggara)</v>
      </c>
      <c r="C173" s="4" t="str">
        <f>VLOOKUP(A:A,Table1[[Project No]:[Additional Remark]],19,FALSE)</f>
        <v>-</v>
      </c>
      <c r="D173" s="4">
        <f>VLOOKUP(A:A,Table1[[Project No]:[Additional Remark]],20,FALSE)</f>
        <v>0</v>
      </c>
      <c r="E173" s="4">
        <f>VLOOKUP(A:A,Table1[[Project No]:[Additional Remark]],21,FALSE)</f>
        <v>0</v>
      </c>
      <c r="F173" s="4">
        <f>VLOOKUP(A:A,Table1[[Project No]:[Additional Remark]],22,FALSE)</f>
        <v>0</v>
      </c>
      <c r="G173" s="55">
        <f>VLOOKUP(A:A,Table1[[Project No]:[Additional Remark]],11,FALSE)</f>
        <v>269900</v>
      </c>
      <c r="H173" s="4" t="str">
        <f>VLOOKUP(A:A,Table1[[Project No]:[Additional Remark]],5,FALSE)</f>
        <v>C&amp;I-PV</v>
      </c>
      <c r="I173" s="4">
        <f>VLOOKUP(A:A,Table1[[Project No]:[Additional Remark]],8,FALSE)</f>
        <v>120.95</v>
      </c>
      <c r="J173" s="4" t="str">
        <f>VLOOKUP(A:A,Table1[[Project No]:[Additional Remark]],23,FALSE)</f>
        <v>3 years</v>
      </c>
      <c r="K173" s="4"/>
      <c r="L173" s="4"/>
      <c r="M173" s="4"/>
      <c r="N173" s="4"/>
      <c r="O173" s="4"/>
      <c r="P173" s="4"/>
      <c r="Q173" s="4"/>
      <c r="R173" s="4"/>
      <c r="S173" s="4"/>
      <c r="T173" s="4"/>
      <c r="U173" s="4"/>
      <c r="V173" s="4"/>
    </row>
    <row r="174" spans="1:22" x14ac:dyDescent="0.3">
      <c r="A174" s="4">
        <f>'ECN Master Project Tracker new'!A175</f>
        <v>2408179</v>
      </c>
      <c r="B174" s="108" t="str">
        <f>VLOOKUP(A:A,Table1[[#All],[Project No]:[Additional Remark]],2,FALSE)</f>
        <v>Pelita Hijrah Sdn Bhd</v>
      </c>
      <c r="C174" s="4" t="str">
        <f>VLOOKUP(A:A,Table1[[Project No]:[Additional Remark]],19,FALSE)</f>
        <v>-</v>
      </c>
      <c r="D174" s="4" t="str">
        <f>VLOOKUP(A:A,Table1[[Project No]:[Additional Remark]],20,FALSE)</f>
        <v>Lot 71104-A, Jln Teratai, Kg Paya Jaras Hilir, 40160 Sungai Buloh, Selangor</v>
      </c>
      <c r="E174" s="4">
        <f>VLOOKUP(A:A,Table1[[Project No]:[Additional Remark]],21,FALSE)</f>
        <v>0</v>
      </c>
      <c r="F174" s="4">
        <f>VLOOKUP(A:A,Table1[[Project No]:[Additional Remark]],22,FALSE)</f>
        <v>0</v>
      </c>
      <c r="G174" s="55">
        <f>VLOOKUP(A:A,Table1[[Project No]:[Additional Remark]],11,FALSE)</f>
        <v>320000</v>
      </c>
      <c r="H174" s="4" t="str">
        <f>VLOOKUP(A:A,Table1[[Project No]:[Additional Remark]],5,FALSE)</f>
        <v>C&amp;I-PV</v>
      </c>
      <c r="I174" s="4">
        <f>VLOOKUP(A:A,Table1[[Project No]:[Additional Remark]],8,FALSE)</f>
        <v>107.64</v>
      </c>
      <c r="J174" s="4" t="str">
        <f>VLOOKUP(A:A,Table1[[Project No]:[Additional Remark]],23,FALSE)</f>
        <v>3 years</v>
      </c>
      <c r="K174" s="4" t="s">
        <v>1912</v>
      </c>
      <c r="L174" s="4" t="s">
        <v>2041</v>
      </c>
      <c r="M174" s="93">
        <v>45890</v>
      </c>
      <c r="N174" s="4"/>
      <c r="O174" s="4"/>
      <c r="P174" s="4"/>
      <c r="Q174" s="4"/>
      <c r="R174" s="4"/>
      <c r="S174" s="4"/>
      <c r="T174" s="4"/>
      <c r="U174" s="4"/>
      <c r="V174" s="4"/>
    </row>
    <row r="175" spans="1:22" x14ac:dyDescent="0.3">
      <c r="A175" s="4">
        <f>'ECN Master Project Tracker new'!A176</f>
        <v>2409185</v>
      </c>
      <c r="B175" s="108" t="str">
        <f>VLOOKUP(A:A,Table1[[#All],[Project No]:[Additional Remark]],2,FALSE)</f>
        <v>Kim Chong Mechanical Services Sdn Bhd</v>
      </c>
      <c r="C175" s="4" t="str">
        <f>VLOOKUP(A:A,Table1[[Project No]:[Additional Remark]],19,FALSE)</f>
        <v>-</v>
      </c>
      <c r="D175" s="4" t="str">
        <f>VLOOKUP(A:A,Table1[[Project No]:[Additional Remark]],20,FALSE)</f>
        <v>3-KB 12, Jalan KPB 18. Kawasan Perindustrian Balakong, 43300 Seri Kembangan, Selangor</v>
      </c>
      <c r="E175" s="4">
        <f>VLOOKUP(A:A,Table1[[Project No]:[Additional Remark]],21,FALSE)</f>
        <v>0</v>
      </c>
      <c r="F175" s="4">
        <f>VLOOKUP(A:A,Table1[[Project No]:[Additional Remark]],22,FALSE)</f>
        <v>0</v>
      </c>
      <c r="G175" s="55">
        <f>VLOOKUP(A:A,Table1[[Project No]:[Additional Remark]],11,FALSE)</f>
        <v>73000</v>
      </c>
      <c r="H175" s="4" t="str">
        <f>VLOOKUP(A:A,Table1[[Project No]:[Additional Remark]],5,FALSE)</f>
        <v>C&amp;I-PV</v>
      </c>
      <c r="I175" s="4">
        <f>VLOOKUP(A:A,Table1[[Project No]:[Additional Remark]],8,FALSE)</f>
        <v>26.55</v>
      </c>
      <c r="J175" s="4" t="str">
        <f>VLOOKUP(A:A,Table1[[Project No]:[Additional Remark]],23,FALSE)</f>
        <v>3 years</v>
      </c>
      <c r="K175" s="4" t="s">
        <v>1912</v>
      </c>
      <c r="L175" s="4" t="s">
        <v>2042</v>
      </c>
      <c r="M175" s="93">
        <v>45890</v>
      </c>
      <c r="N175" s="4"/>
      <c r="O175" s="4"/>
      <c r="P175" s="4"/>
      <c r="Q175" s="4"/>
      <c r="R175" s="4"/>
      <c r="S175" s="4"/>
      <c r="T175" s="4"/>
      <c r="U175" s="4"/>
      <c r="V175" s="4"/>
    </row>
    <row r="176" spans="1:22" x14ac:dyDescent="0.3">
      <c r="A176" s="4">
        <f>'ECN Master Project Tracker new'!A177</f>
        <v>2410196</v>
      </c>
      <c r="B176" s="108" t="str">
        <f>VLOOKUP(A:A,Table1[[#All],[Project No]:[Additional Remark]],2,FALSE)</f>
        <v>Unilink Machinery Sdn Bhd</v>
      </c>
      <c r="C176" s="4">
        <f>VLOOKUP(A:A,Table1[[Project No]:[Additional Remark]],19,FALSE)</f>
        <v>0</v>
      </c>
      <c r="D176" s="4" t="str">
        <f>VLOOKUP(A:A,Table1[[Project No]:[Additional Remark]],20,FALSE)</f>
        <v>PT 85915, Jln KPG Tok Muda, Kapar, 42200 Klang. Selangor</v>
      </c>
      <c r="E176" s="4">
        <f>VLOOKUP(A:A,Table1[[Project No]:[Additional Remark]],21,FALSE)</f>
        <v>0</v>
      </c>
      <c r="F176" s="4">
        <f>VLOOKUP(A:A,Table1[[Project No]:[Additional Remark]],22,FALSE)</f>
        <v>0</v>
      </c>
      <c r="G176" s="55">
        <f>VLOOKUP(A:A,Table1[[Project No]:[Additional Remark]],11,FALSE)</f>
        <v>73000</v>
      </c>
      <c r="H176" s="4" t="str">
        <f>VLOOKUP(A:A,Table1[[Project No]:[Additional Remark]],5,FALSE)</f>
        <v>C&amp;I-PV</v>
      </c>
      <c r="I176" s="4">
        <f>VLOOKUP(A:A,Table1[[Project No]:[Additional Remark]],8,FALSE)</f>
        <v>26.55</v>
      </c>
      <c r="J176" s="4" t="str">
        <f>VLOOKUP(A:A,Table1[[Project No]:[Additional Remark]],23,FALSE)</f>
        <v>3 years</v>
      </c>
      <c r="K176" s="4" t="s">
        <v>1912</v>
      </c>
      <c r="L176" s="4" t="s">
        <v>2043</v>
      </c>
      <c r="M176" s="93">
        <v>45890</v>
      </c>
      <c r="N176" s="4"/>
      <c r="O176" s="4"/>
      <c r="P176" s="4"/>
      <c r="Q176" s="4"/>
      <c r="R176" s="4"/>
      <c r="S176" s="4"/>
      <c r="T176" s="4"/>
      <c r="U176" s="4"/>
      <c r="V176" s="4"/>
    </row>
    <row r="177" spans="1:22" x14ac:dyDescent="0.3">
      <c r="A177" s="4">
        <f>'ECN Master Project Tracker new'!A178</f>
        <v>2410474</v>
      </c>
      <c r="B177" s="108" t="str">
        <f>VLOOKUP(A:A,Table1[[#All],[Project No]:[Additional Remark]],2,FALSE)</f>
        <v>Koe Ban Seng</v>
      </c>
      <c r="C177" s="4" t="str">
        <f>VLOOKUP(A:A,Table1[[Project No]:[Additional Remark]],19,FALSE)</f>
        <v>621130-12-5429</v>
      </c>
      <c r="D177" s="4" t="str">
        <f>VLOOKUP(A:A,Table1[[Project No]:[Additional Remark]],20,FALSE)</f>
        <v>8, Jln Kenyalang 11/15C, Seksyen 11, Kota Damansara, 47810 Petaling Jaya, Selangor</v>
      </c>
      <c r="E177" s="4" t="str">
        <f>VLOOKUP(A:A,Table1[[Project No]:[Additional Remark]],21,FALSE)</f>
        <v>012-3983893</v>
      </c>
      <c r="F177" s="4" t="str">
        <f>VLOOKUP(A:A,Table1[[Project No]:[Additional Remark]],22,FALSE)</f>
        <v>koebanseng@yahoo.com</v>
      </c>
      <c r="G177" s="55">
        <f>VLOOKUP(A:A,Table1[[Project No]:[Additional Remark]],11,FALSE)</f>
        <v>37600</v>
      </c>
      <c r="H177" s="4" t="str">
        <f>VLOOKUP(A:A,Table1[[Project No]:[Additional Remark]],5,FALSE)</f>
        <v>R-PV</v>
      </c>
      <c r="I177" s="4">
        <f>VLOOKUP(A:A,Table1[[Project No]:[Additional Remark]],8,FALSE)</f>
        <v>14.04</v>
      </c>
      <c r="J177" s="4" t="str">
        <f>VLOOKUP(A:A,Table1[[Project No]:[Additional Remark]],23,FALSE)</f>
        <v>3 years</v>
      </c>
      <c r="K177" s="4" t="s">
        <v>1902</v>
      </c>
      <c r="L177" s="4" t="s">
        <v>2044</v>
      </c>
      <c r="M177" s="93">
        <v>45750</v>
      </c>
      <c r="N177" s="4"/>
      <c r="O177" s="4"/>
      <c r="P177" s="4"/>
      <c r="Q177" s="4"/>
      <c r="R177" s="4"/>
      <c r="S177" s="4"/>
      <c r="T177" s="4"/>
      <c r="U177" s="4"/>
      <c r="V177" s="4"/>
    </row>
    <row r="178" spans="1:22" x14ac:dyDescent="0.3">
      <c r="A178" s="4">
        <f>'ECN Master Project Tracker new'!A179</f>
        <v>2410468</v>
      </c>
      <c r="B178" s="114" t="str">
        <f>VLOOKUP(A:A,Table1[[#All],[Project No]:[Additional Remark]],2,FALSE)</f>
        <v>Teo Boon Ling</v>
      </c>
      <c r="C178" s="4" t="str">
        <f>VLOOKUP(A:A,Table1[[Project No]:[Additional Remark]],19,FALSE)</f>
        <v>760505-06-5312</v>
      </c>
      <c r="D178" s="4" t="str">
        <f>VLOOKUP(A:A,Table1[[Project No]:[Additional Remark]],20,FALSE)</f>
        <v>1, Jalan Daun Imai 10, Sunway SPK Damansara, 52200 Kuala Lumpur</v>
      </c>
      <c r="E178" s="4" t="str">
        <f>VLOOKUP(A:A,Table1[[Project No]:[Additional Remark]],21,FALSE)</f>
        <v>019-2221381</v>
      </c>
      <c r="F178" s="4" t="str">
        <f>VLOOKUP(A:A,Table1[[Project No]:[Additional Remark]],22,FALSE)</f>
        <v>boonlingteo@yahoo.com</v>
      </c>
      <c r="G178" s="55">
        <f>VLOOKUP(A:A,Table1[[Project No]:[Additional Remark]],11,FALSE)</f>
        <v>36600</v>
      </c>
      <c r="H178" s="4" t="str">
        <f>VLOOKUP(A:A,Table1[[Project No]:[Additional Remark]],5,FALSE)</f>
        <v>R-PV</v>
      </c>
      <c r="I178" s="4">
        <f>VLOOKUP(A:A,Table1[[Project No]:[Additional Remark]],8,FALSE)</f>
        <v>11.7</v>
      </c>
      <c r="J178" s="4" t="str">
        <f>VLOOKUP(A:A,Table1[[Project No]:[Additional Remark]],23,FALSE)</f>
        <v>3 years</v>
      </c>
      <c r="K178" s="4"/>
      <c r="L178" s="4"/>
      <c r="M178" s="4"/>
      <c r="N178" s="4"/>
      <c r="O178" s="4"/>
      <c r="P178" s="4"/>
      <c r="Q178" s="4"/>
      <c r="R178" s="4"/>
      <c r="S178" s="4"/>
      <c r="T178" s="4"/>
      <c r="U178" s="4"/>
      <c r="V178" s="4"/>
    </row>
    <row r="179" spans="1:22" x14ac:dyDescent="0.3">
      <c r="A179" s="4">
        <f>'ECN Master Project Tracker new'!A180</f>
        <v>2409450</v>
      </c>
      <c r="B179" s="108" t="str">
        <f>VLOOKUP(A:A,Table1[[#All],[Project No]:[Additional Remark]],2,FALSE)</f>
        <v>David Hie Wen Jian</v>
      </c>
      <c r="C179" s="4" t="str">
        <f>VLOOKUP(A:A,Table1[[Project No]:[Additional Remark]],19,FALSE)</f>
        <v>890928-10-5553</v>
      </c>
      <c r="D179" s="4" t="str">
        <f>VLOOKUP(A:A,Table1[[Project No]:[Additional Remark]],20,FALSE)</f>
        <v>52, Jln BU 1/9, Bandar Utama, 47800 Petaling Jaya, Selangor</v>
      </c>
      <c r="E179" s="4" t="str">
        <f>VLOOKUP(A:A,Table1[[Project No]:[Additional Remark]],21,FALSE)</f>
        <v>012-3756770</v>
      </c>
      <c r="F179" s="4" t="str">
        <f>VLOOKUP(A:A,Table1[[Project No]:[Additional Remark]],22,FALSE)</f>
        <v>hiedavid89@gmail.com</v>
      </c>
      <c r="G179" s="55">
        <f>VLOOKUP(A:A,Table1[[Project No]:[Additional Remark]],11,FALSE)</f>
        <v>23500</v>
      </c>
      <c r="H179" s="4" t="str">
        <f>VLOOKUP(A:A,Table1[[Project No]:[Additional Remark]],5,FALSE)</f>
        <v>R-PV</v>
      </c>
      <c r="I179" s="4">
        <f>VLOOKUP(A:A,Table1[[Project No]:[Additional Remark]],8,FALSE)</f>
        <v>7.02</v>
      </c>
      <c r="J179" s="4" t="str">
        <f>VLOOKUP(A:A,Table1[[Project No]:[Additional Remark]],23,FALSE)</f>
        <v>3 years</v>
      </c>
      <c r="K179" s="4" t="s">
        <v>1902</v>
      </c>
      <c r="L179" s="4" t="s">
        <v>2045</v>
      </c>
      <c r="M179" s="93">
        <v>45750</v>
      </c>
      <c r="N179" s="4"/>
      <c r="O179" s="4"/>
      <c r="P179" s="4"/>
      <c r="Q179" s="4"/>
      <c r="R179" s="4"/>
      <c r="S179" s="4"/>
      <c r="T179" s="4"/>
      <c r="U179" s="4"/>
      <c r="V179" s="4"/>
    </row>
    <row r="180" spans="1:22" x14ac:dyDescent="0.3">
      <c r="A180" s="4">
        <f>'ECN Master Project Tracker new'!A181</f>
        <v>2411488</v>
      </c>
      <c r="B180" s="108" t="str">
        <f>VLOOKUP(A:A,Table1[[#All],[Project No]:[Additional Remark]],2,FALSE)</f>
        <v>Tan Kong Ling</v>
      </c>
      <c r="C180" s="4" t="str">
        <f>VLOOKUP(A:A,Table1[[Project No]:[Additional Remark]],19,FALSE)</f>
        <v>661024-08-5861</v>
      </c>
      <c r="D180" s="4" t="str">
        <f>VLOOKUP(A:A,Table1[[Project No]:[Additional Remark]],20,FALSE)</f>
        <v>No 2, Lrg SJ 6-3, Tmn Emas-Sri Jaya, 26500 Maran, Selangor</v>
      </c>
      <c r="E180" s="4" t="str">
        <f>VLOOKUP(A:A,Table1[[Project No]:[Additional Remark]],21,FALSE)</f>
        <v>013-9365933</v>
      </c>
      <c r="F180" s="4" t="str">
        <f>VLOOKUP(A:A,Table1[[Project No]:[Additional Remark]],22,FALSE)</f>
        <v>ysy0723@hotmail.com</v>
      </c>
      <c r="G180" s="55">
        <f>VLOOKUP(A:A,Table1[[Project No]:[Additional Remark]],11,FALSE)</f>
        <v>32000</v>
      </c>
      <c r="H180" s="4" t="str">
        <f>VLOOKUP(A:A,Table1[[Project No]:[Additional Remark]],5,FALSE)</f>
        <v>R-PV</v>
      </c>
      <c r="I180" s="4">
        <f>VLOOKUP(A:A,Table1[[Project No]:[Additional Remark]],8,FALSE)</f>
        <v>10.53</v>
      </c>
      <c r="J180" s="4" t="str">
        <f>VLOOKUP(A:A,Table1[[Project No]:[Additional Remark]],23,FALSE)</f>
        <v>3 years</v>
      </c>
      <c r="K180" s="4" t="s">
        <v>1902</v>
      </c>
      <c r="L180" s="4" t="s">
        <v>2046</v>
      </c>
      <c r="M180" s="93">
        <v>45750</v>
      </c>
      <c r="N180" s="4"/>
      <c r="O180" s="4"/>
      <c r="P180" s="4"/>
      <c r="Q180" s="4"/>
      <c r="R180" s="4"/>
      <c r="S180" s="4"/>
      <c r="T180" s="4"/>
      <c r="U180" s="4"/>
      <c r="V180" s="4"/>
    </row>
    <row r="181" spans="1:22" x14ac:dyDescent="0.3">
      <c r="A181" s="4">
        <f>'ECN Master Project Tracker new'!A182</f>
        <v>2411487</v>
      </c>
      <c r="B181" s="108" t="str">
        <f>VLOOKUP(A:A,Table1[[#All],[Project No]:[Additional Remark]],2,FALSE)</f>
        <v>Lim Daw Woei</v>
      </c>
      <c r="C181" s="4" t="str">
        <f>VLOOKUP(A:A,Table1[[Project No]:[Additional Remark]],19,FALSE)</f>
        <v>660927-01-5907</v>
      </c>
      <c r="D181" s="4" t="str">
        <f>VLOOKUP(A:A,Table1[[Project No]:[Additional Remark]],20,FALSE)</f>
        <v>6, Jalan Kenyalang 11/15H, Seksyen 11, Kota Damansara, 47810 Petaling Jaya, Selangor</v>
      </c>
      <c r="E181" s="4" t="str">
        <f>VLOOKUP(A:A,Table1[[Project No]:[Additional Remark]],21,FALSE)</f>
        <v>012-3321852</v>
      </c>
      <c r="F181" s="4" t="str">
        <f>VLOOKUP(A:A,Table1[[Project No]:[Additional Remark]],22,FALSE)</f>
        <v>jolimdw@gmail.com</v>
      </c>
      <c r="G181" s="55">
        <f>VLOOKUP(A:A,Table1[[Project No]:[Additional Remark]],11,FALSE)</f>
        <v>42200</v>
      </c>
      <c r="H181" s="4" t="str">
        <f>VLOOKUP(A:A,Table1[[Project No]:[Additional Remark]],5,FALSE)</f>
        <v>R-PV</v>
      </c>
      <c r="I181" s="4">
        <f>VLOOKUP(A:A,Table1[[Project No]:[Additional Remark]],8,FALSE)</f>
        <v>15.21</v>
      </c>
      <c r="J181" s="4" t="str">
        <f>VLOOKUP(A:A,Table1[[Project No]:[Additional Remark]],23,FALSE)</f>
        <v>3 years</v>
      </c>
      <c r="K181" s="4" t="s">
        <v>1902</v>
      </c>
      <c r="L181" s="4" t="s">
        <v>2047</v>
      </c>
      <c r="M181" s="93">
        <v>45750</v>
      </c>
      <c r="N181" s="4"/>
      <c r="O181" s="4"/>
      <c r="P181" s="4"/>
      <c r="Q181" s="4"/>
      <c r="R181" s="4"/>
      <c r="S181" s="4"/>
      <c r="T181" s="4"/>
      <c r="U181" s="4"/>
      <c r="V181" s="4"/>
    </row>
    <row r="182" spans="1:22" x14ac:dyDescent="0.3">
      <c r="A182" s="4">
        <f>'ECN Master Project Tracker new'!A183</f>
        <v>2410476</v>
      </c>
      <c r="B182" s="108" t="str">
        <f>VLOOKUP(A:A,Table1[[#All],[Project No]:[Additional Remark]],2,FALSE)</f>
        <v>Choong Chin Fong</v>
      </c>
      <c r="C182" s="4" t="str">
        <f>VLOOKUP(A:A,Table1[[Project No]:[Additional Remark]],19,FALSE)</f>
        <v>801219-01-5419</v>
      </c>
      <c r="D182" s="4" t="str">
        <f>VLOOKUP(A:A,Table1[[Project No]:[Additional Remark]],20,FALSE)</f>
        <v>42, Jalan Setia 9/11, Taman Setia Indah, 81100 Johor Bahru</v>
      </c>
      <c r="E182" s="4" t="str">
        <f>VLOOKUP(A:A,Table1[[Project No]:[Additional Remark]],21,FALSE)</f>
        <v>013-7679113</v>
      </c>
      <c r="F182" s="4" t="str">
        <f>VLOOKUP(A:A,Table1[[Project No]:[Additional Remark]],22,FALSE)</f>
        <v>berny9113bc@gmail.com</v>
      </c>
      <c r="G182" s="55">
        <f>VLOOKUP(A:A,Table1[[Project No]:[Additional Remark]],11,FALSE)</f>
        <v>23500</v>
      </c>
      <c r="H182" s="4" t="str">
        <f>VLOOKUP(A:A,Table1[[Project No]:[Additional Remark]],5,FALSE)</f>
        <v>R-PV</v>
      </c>
      <c r="I182" s="4">
        <f>VLOOKUP(A:A,Table1[[Project No]:[Additional Remark]],8,FALSE)</f>
        <v>7.02</v>
      </c>
      <c r="J182" s="4" t="str">
        <f>VLOOKUP(A:A,Table1[[Project No]:[Additional Remark]],23,FALSE)</f>
        <v>3 years</v>
      </c>
      <c r="K182" s="4" t="s">
        <v>1902</v>
      </c>
      <c r="L182" s="4" t="s">
        <v>2048</v>
      </c>
      <c r="M182" s="93">
        <v>45750</v>
      </c>
      <c r="N182" s="4"/>
      <c r="O182" s="4"/>
      <c r="P182" s="4"/>
      <c r="Q182" s="4"/>
      <c r="R182" s="4"/>
      <c r="S182" s="4"/>
      <c r="T182" s="4"/>
      <c r="U182" s="4"/>
      <c r="V182" s="4"/>
    </row>
    <row r="183" spans="1:22" x14ac:dyDescent="0.3">
      <c r="A183" s="4">
        <f>'ECN Master Project Tracker new'!A184</f>
        <v>2407376</v>
      </c>
      <c r="B183" s="108" t="str">
        <f>VLOOKUP(A:A,Table1[[#All],[Project No]:[Additional Remark]],2,FALSE)</f>
        <v>Teoh Eng Siong</v>
      </c>
      <c r="C183" s="4" t="str">
        <f>VLOOKUP(A:A,Table1[[Project No]:[Additional Remark]],19,FALSE)</f>
        <v>801211-08-5615</v>
      </c>
      <c r="D183" s="4" t="str">
        <f>VLOOKUP(A:A,Table1[[Project No]:[Additional Remark]],20,FALSE)</f>
        <v>No 46, Lorong Sri Jaya 7/4, Taman Sri Jaya Indah, 26500 Maran, Pahang</v>
      </c>
      <c r="E183" s="4" t="str">
        <f>VLOOKUP(A:A,Table1[[Project No]:[Additional Remark]],21,FALSE)</f>
        <v>019-9153886</v>
      </c>
      <c r="F183" s="4" t="str">
        <f>VLOOKUP(A:A,Table1[[Project No]:[Additional Remark]],22,FALSE)</f>
        <v>teoh114@gmail.com</v>
      </c>
      <c r="G183" s="55">
        <f>VLOOKUP(A:A,Table1[[Project No]:[Additional Remark]],11,FALSE)</f>
        <v>37768</v>
      </c>
      <c r="H183" s="4" t="str">
        <f>VLOOKUP(A:A,Table1[[Project No]:[Additional Remark]],5,FALSE)</f>
        <v>R-PV</v>
      </c>
      <c r="I183" s="4">
        <f>VLOOKUP(A:A,Table1[[Project No]:[Additional Remark]],8,FALSE)</f>
        <v>10.53</v>
      </c>
      <c r="J183" s="4" t="str">
        <f>VLOOKUP(A:A,Table1[[Project No]:[Additional Remark]],23,FALSE)</f>
        <v>5 years</v>
      </c>
      <c r="K183" s="4" t="s">
        <v>1902</v>
      </c>
      <c r="L183" s="4" t="s">
        <v>2049</v>
      </c>
      <c r="M183" s="93">
        <v>45750</v>
      </c>
      <c r="N183" s="4"/>
      <c r="O183" s="4"/>
      <c r="P183" s="4"/>
      <c r="Q183" s="4"/>
      <c r="R183" s="4"/>
      <c r="S183" s="4"/>
      <c r="T183" s="4"/>
      <c r="U183" s="4"/>
      <c r="V183" s="4"/>
    </row>
    <row r="184" spans="1:22" x14ac:dyDescent="0.3">
      <c r="A184" s="4">
        <f>'ECN Master Project Tracker new'!A185</f>
        <v>2410482</v>
      </c>
      <c r="B184" s="108" t="str">
        <f>VLOOKUP(A:A,Table1[[#All],[Project No]:[Additional Remark]],2,FALSE)</f>
        <v>Teo Thian Keong</v>
      </c>
      <c r="C184" s="4" t="str">
        <f>VLOOKUP(A:A,Table1[[Project No]:[Additional Remark]],19,FALSE)</f>
        <v>870218-23-5523</v>
      </c>
      <c r="D184" s="4" t="str">
        <f>VLOOKUP(A:A,Table1[[Project No]:[Additional Remark]],20,FALSE)</f>
        <v>31, Jalan SS 22/30, Petaling, 47400 Petaling Jaya, Selangor</v>
      </c>
      <c r="E184" s="4" t="str">
        <f>VLOOKUP(A:A,Table1[[Project No]:[Additional Remark]],21,FALSE)</f>
        <v>017-7584843</v>
      </c>
      <c r="F184" s="4" t="str">
        <f>VLOOKUP(A:A,Table1[[Project No]:[Additional Remark]],22,FALSE)</f>
        <v>tianqiang87@gmail.com</v>
      </c>
      <c r="G184" s="55">
        <f>VLOOKUP(A:A,Table1[[Project No]:[Additional Remark]],11,FALSE)</f>
        <v>28500</v>
      </c>
      <c r="H184" s="4" t="str">
        <f>VLOOKUP(A:A,Table1[[Project No]:[Additional Remark]],5,FALSE)</f>
        <v>R-PV</v>
      </c>
      <c r="I184" s="4">
        <f>VLOOKUP(A:A,Table1[[Project No]:[Additional Remark]],8,FALSE)</f>
        <v>8.7750000000000004</v>
      </c>
      <c r="J184" s="4" t="str">
        <f>VLOOKUP(A:A,Table1[[Project No]:[Additional Remark]],23,FALSE)</f>
        <v>3 years</v>
      </c>
      <c r="K184" s="4" t="s">
        <v>1902</v>
      </c>
      <c r="L184" s="4" t="s">
        <v>2050</v>
      </c>
      <c r="M184" s="93">
        <v>45750</v>
      </c>
      <c r="N184" s="4"/>
      <c r="O184" s="4"/>
      <c r="P184" s="4"/>
      <c r="Q184" s="4"/>
      <c r="R184" s="4"/>
      <c r="S184" s="4"/>
      <c r="T184" s="4"/>
      <c r="U184" s="4"/>
      <c r="V184" s="4"/>
    </row>
    <row r="185" spans="1:22" x14ac:dyDescent="0.3">
      <c r="A185" s="4">
        <f>'ECN Master Project Tracker new'!A186</f>
        <v>2410471</v>
      </c>
      <c r="B185" s="114" t="str">
        <f>VLOOKUP(A:A,Table1[[#All],[Project No]:[Additional Remark]],2,FALSE)</f>
        <v>Chua Lu Chuan</v>
      </c>
      <c r="C185" s="4" t="str">
        <f>VLOOKUP(A:A,Table1[[Project No]:[Additional Remark]],19,FALSE)</f>
        <v>420804-10-5133</v>
      </c>
      <c r="D185" s="4" t="str">
        <f>VLOOKUP(A:A,Table1[[Project No]:[Additional Remark]],20,FALSE)</f>
        <v>No 1, Lrg Seri Kuantan 28/1, Kuantan Garden, 25300 Kuantan, Pahang</v>
      </c>
      <c r="E185" s="4" t="str">
        <f>VLOOKUP(A:A,Table1[[Project No]:[Additional Remark]],21,FALSE)</f>
        <v>010-3959313</v>
      </c>
      <c r="F185" s="4" t="str">
        <f>VLOOKUP(A:A,Table1[[Project No]:[Additional Remark]],22,FALSE)</f>
        <v>cboonhuang@gmail.com</v>
      </c>
      <c r="G185" s="55">
        <f>VLOOKUP(A:A,Table1[[Project No]:[Additional Remark]],11,FALSE)</f>
        <v>47600</v>
      </c>
      <c r="H185" s="4" t="str">
        <f>VLOOKUP(A:A,Table1[[Project No]:[Additional Remark]],5,FALSE)</f>
        <v>R-PV</v>
      </c>
      <c r="I185" s="4">
        <f>VLOOKUP(A:A,Table1[[Project No]:[Additional Remark]],8,FALSE)</f>
        <v>17.55</v>
      </c>
      <c r="J185" s="4" t="str">
        <f>VLOOKUP(A:A,Table1[[Project No]:[Additional Remark]],23,FALSE)</f>
        <v>3 years</v>
      </c>
      <c r="K185" s="4"/>
      <c r="L185" s="4"/>
      <c r="M185" s="4"/>
      <c r="N185" s="4"/>
      <c r="O185" s="4"/>
      <c r="P185" s="4"/>
      <c r="Q185" s="4"/>
      <c r="R185" s="4"/>
      <c r="S185" s="4"/>
      <c r="T185" s="4"/>
      <c r="U185" s="4"/>
      <c r="V185" s="4"/>
    </row>
    <row r="186" spans="1:22" x14ac:dyDescent="0.3">
      <c r="A186" s="4">
        <f>'ECN Master Project Tracker new'!A187</f>
        <v>2411489</v>
      </c>
      <c r="B186" s="108" t="str">
        <f>VLOOKUP(A:A,Table1[[#All],[Project No]:[Additional Remark]],2,FALSE)</f>
        <v>Quah Ewe Lee</v>
      </c>
      <c r="C186" s="4" t="str">
        <f>VLOOKUP(A:A,Table1[[Project No]:[Additional Remark]],19,FALSE)</f>
        <v>560319-07-5561</v>
      </c>
      <c r="D186" s="4" t="str">
        <f>VLOOKUP(A:A,Table1[[Project No]:[Additional Remark]],20,FALSE)</f>
        <v>11, Jalan Kenyalang 11/15F, Seksyen 11, Kota Damansara, 47810 Petaling Jaya, Selangor</v>
      </c>
      <c r="E186" s="4" t="str">
        <f>VLOOKUP(A:A,Table1[[Project No]:[Additional Remark]],21,FALSE)</f>
        <v>019-3126618</v>
      </c>
      <c r="F186" s="4" t="str">
        <f>VLOOKUP(A:A,Table1[[Project No]:[Additional Remark]],22,FALSE)</f>
        <v>qel1888@hotmail.com</v>
      </c>
      <c r="G186" s="55">
        <f>VLOOKUP(A:A,Table1[[Project No]:[Additional Remark]],11,FALSE)</f>
        <v>39980</v>
      </c>
      <c r="H186" s="4" t="str">
        <f>VLOOKUP(A:A,Table1[[Project No]:[Additional Remark]],5,FALSE)</f>
        <v>R-PV</v>
      </c>
      <c r="I186" s="4">
        <f>VLOOKUP(A:A,Table1[[Project No]:[Additional Remark]],8,FALSE)</f>
        <v>14.04</v>
      </c>
      <c r="J186" s="4" t="str">
        <f>VLOOKUP(A:A,Table1[[Project No]:[Additional Remark]],23,FALSE)</f>
        <v>3 years</v>
      </c>
      <c r="K186" s="4" t="s">
        <v>1902</v>
      </c>
      <c r="L186" s="4" t="s">
        <v>2051</v>
      </c>
      <c r="M186" s="93">
        <v>45750</v>
      </c>
      <c r="N186" s="4"/>
      <c r="O186" s="4"/>
      <c r="P186" s="4"/>
      <c r="Q186" s="4"/>
      <c r="R186" s="4"/>
      <c r="S186" s="4"/>
      <c r="T186" s="4"/>
      <c r="U186" s="4"/>
      <c r="V186" s="4"/>
    </row>
    <row r="187" spans="1:22" x14ac:dyDescent="0.3">
      <c r="A187" s="4">
        <f>'ECN Master Project Tracker new'!A188</f>
        <v>2411486</v>
      </c>
      <c r="B187" s="108" t="str">
        <f>VLOOKUP(A:A,Table1[[#All],[Project No]:[Additional Remark]],2,FALSE)</f>
        <v>Lim Chee Keong</v>
      </c>
      <c r="C187" s="4" t="str">
        <f>VLOOKUP(A:A,Table1[[Project No]:[Additional Remark]],19,FALSE)</f>
        <v>570825-10-5283</v>
      </c>
      <c r="D187" s="4" t="str">
        <f>VLOOKUP(A:A,Table1[[Project No]:[Additional Remark]],20,FALSE)</f>
        <v>5, SD 10/1E, Jln Margosa, Bdr Sri Damansara PJU 9, 52200 Kuala Lumpur, WP Kuala Lumpur</v>
      </c>
      <c r="E187" s="4" t="str">
        <f>VLOOKUP(A:A,Table1[[Project No]:[Additional Remark]],21,FALSE)</f>
        <v>018-7636292</v>
      </c>
      <c r="F187" s="4" t="str">
        <f>VLOOKUP(A:A,Table1[[Project No]:[Additional Remark]],22,FALSE)</f>
        <v>lim.jianwen0@gmail.com</v>
      </c>
      <c r="G187" s="55">
        <f>VLOOKUP(A:A,Table1[[Project No]:[Additional Remark]],11,FALSE)</f>
        <v>36600</v>
      </c>
      <c r="H187" s="4" t="str">
        <f>VLOOKUP(A:A,Table1[[Project No]:[Additional Remark]],5,FALSE)</f>
        <v>R-PV</v>
      </c>
      <c r="I187" s="4">
        <f>VLOOKUP(A:A,Table1[[Project No]:[Additional Remark]],8,FALSE)</f>
        <v>13.455</v>
      </c>
      <c r="J187" s="4" t="str">
        <f>VLOOKUP(A:A,Table1[[Project No]:[Additional Remark]],23,FALSE)</f>
        <v xml:space="preserve">3 years </v>
      </c>
      <c r="K187" s="4" t="s">
        <v>1902</v>
      </c>
      <c r="L187" s="4" t="s">
        <v>2052</v>
      </c>
      <c r="M187" s="93">
        <v>45750</v>
      </c>
      <c r="N187" s="4"/>
      <c r="O187" s="4"/>
      <c r="P187" s="4"/>
      <c r="Q187" s="4"/>
      <c r="R187" s="4"/>
      <c r="S187" s="4"/>
      <c r="T187" s="4"/>
      <c r="U187" s="4"/>
      <c r="V187" s="4"/>
    </row>
    <row r="188" spans="1:22" x14ac:dyDescent="0.3">
      <c r="A188" s="4">
        <f>'ECN Master Project Tracker new'!A189</f>
        <v>2411500</v>
      </c>
      <c r="B188" s="108" t="str">
        <f>VLOOKUP(A:A,Table1[[#All],[Project No]:[Additional Remark]],2,FALSE)</f>
        <v>Ho Maw Chun</v>
      </c>
      <c r="C188" s="4" t="str">
        <f>VLOOKUP(A:A,Table1[[Project No]:[Additional Remark]],19,FALSE)</f>
        <v>691208-08-5361</v>
      </c>
      <c r="D188" s="4" t="str">
        <f>VLOOKUP(A:A,Table1[[Project No]:[Additional Remark]],20,FALSE)</f>
        <v>16, Jalan Kantan 5/KS6, Bandar Botanic, 41200 Klang, Selangor</v>
      </c>
      <c r="E188" s="4" t="str">
        <f>VLOOKUP(A:A,Table1[[Project No]:[Additional Remark]],21,FALSE)</f>
        <v>012-3306639</v>
      </c>
      <c r="F188" s="4" t="str">
        <f>VLOOKUP(A:A,Table1[[Project No]:[Additional Remark]],22,FALSE)</f>
        <v>hmc8925@gmail.com</v>
      </c>
      <c r="G188" s="55">
        <f>VLOOKUP(A:A,Table1[[Project No]:[Additional Remark]],11,FALSE)</f>
        <v>37600</v>
      </c>
      <c r="H188" s="4" t="str">
        <f>VLOOKUP(A:A,Table1[[Project No]:[Additional Remark]],5,FALSE)</f>
        <v>R-PV</v>
      </c>
      <c r="I188" s="4">
        <f>VLOOKUP(A:A,Table1[[Project No]:[Additional Remark]],8,FALSE)</f>
        <v>14.16</v>
      </c>
      <c r="J188" s="4" t="str">
        <f>VLOOKUP(A:A,Table1[[Project No]:[Additional Remark]],23,FALSE)</f>
        <v xml:space="preserve">3 years </v>
      </c>
      <c r="K188" s="4" t="s">
        <v>1902</v>
      </c>
      <c r="L188" s="4" t="s">
        <v>2053</v>
      </c>
      <c r="M188" s="93">
        <v>45750</v>
      </c>
      <c r="N188" s="4"/>
      <c r="O188" s="4"/>
      <c r="P188" s="4"/>
      <c r="Q188" s="4"/>
      <c r="R188" s="4"/>
      <c r="S188" s="4"/>
      <c r="T188" s="4"/>
      <c r="U188" s="4"/>
      <c r="V188" s="4"/>
    </row>
    <row r="189" spans="1:22" x14ac:dyDescent="0.3">
      <c r="A189" s="4">
        <f>'ECN Master Project Tracker new'!A190</f>
        <v>2410034</v>
      </c>
      <c r="B189" s="108" t="str">
        <f>VLOOKUP(A:A,Table1[[#All],[Project No]:[Additional Remark]],2,FALSE)</f>
        <v>Handal Green Mobility Sdn Bhd (Pulse Grande Hotel)</v>
      </c>
      <c r="C189" s="4" t="str">
        <f>VLOOKUP(A:A,Table1[[Project No]:[Additional Remark]],19,FALSE)</f>
        <v>-</v>
      </c>
      <c r="D189" s="4" t="str">
        <f>VLOOKUP(A:A,Table1[[Project No]:[Additional Remark]],20,FALSE)</f>
        <v>Taman Putra perdana, Jalan Putra Perdana, Presint 1, 62000 Putrajaya</v>
      </c>
      <c r="E189" s="4" t="str">
        <f>VLOOKUP(A:A,Table1[[Project No]:[Additional Remark]],21,FALSE)</f>
        <v>-</v>
      </c>
      <c r="F189" s="4" t="str">
        <f>VLOOKUP(A:A,Table1[[Project No]:[Additional Remark]],22,FALSE)</f>
        <v>-</v>
      </c>
      <c r="G189" s="55">
        <f>VLOOKUP(A:A,Table1[[Project No]:[Additional Remark]],11,FALSE)</f>
        <v>4150</v>
      </c>
      <c r="H189" s="4" t="str">
        <f>VLOOKUP(A:A,Table1[[Project No]:[Additional Remark]],5,FALSE)</f>
        <v>EV Charger</v>
      </c>
      <c r="I189" s="4">
        <f>VLOOKUP(A:A,Table1[[Project No]:[Additional Remark]],8,FALSE)</f>
        <v>0</v>
      </c>
      <c r="J189" s="4" t="str">
        <f>VLOOKUP(A:A,Table1[[Project No]:[Additional Remark]],23,FALSE)</f>
        <v>N/A</v>
      </c>
      <c r="K189" s="163" t="s">
        <v>109</v>
      </c>
      <c r="L189" s="164" t="s">
        <v>109</v>
      </c>
      <c r="M189" s="165"/>
      <c r="N189" s="163" t="s">
        <v>109</v>
      </c>
      <c r="O189" s="164" t="s">
        <v>109</v>
      </c>
      <c r="P189" s="165"/>
      <c r="Q189" s="163" t="s">
        <v>109</v>
      </c>
      <c r="R189" s="164" t="s">
        <v>109</v>
      </c>
      <c r="S189" s="165"/>
      <c r="T189" s="163" t="s">
        <v>109</v>
      </c>
      <c r="U189" s="164" t="s">
        <v>109</v>
      </c>
      <c r="V189" s="165"/>
    </row>
    <row r="190" spans="1:22" x14ac:dyDescent="0.3">
      <c r="A190" s="4">
        <f>'ECN Master Project Tracker new'!A191</f>
        <v>2411494</v>
      </c>
      <c r="B190" s="108" t="str">
        <f>VLOOKUP(A:A,Table1[[#All],[Project No]:[Additional Remark]],2,FALSE)</f>
        <v>Pang Kim Soon</v>
      </c>
      <c r="C190" s="4" t="str">
        <f>VLOOKUP(A:A,Table1[[Project No]:[Additional Remark]],19,FALSE)</f>
        <v>770123-06-5463</v>
      </c>
      <c r="D190" s="4" t="str">
        <f>VLOOKUP(A:A,Table1[[Project No]:[Additional Remark]],20,FALSE)</f>
        <v>44, Jalan KS 5/5, Kota Sultan Ahmad Shah, 25200 Kuantan, Pahang</v>
      </c>
      <c r="E190" s="4" t="str">
        <f>VLOOKUP(A:A,Table1[[Project No]:[Additional Remark]],21,FALSE)</f>
        <v>012-9833998</v>
      </c>
      <c r="F190" s="4" t="str">
        <f>VLOOKUP(A:A,Table1[[Project No]:[Additional Remark]],22,FALSE)</f>
        <v>ks.kspang@gmail.com</v>
      </c>
      <c r="G190" s="55">
        <f>VLOOKUP(A:A,Table1[[Project No]:[Additional Remark]],11,FALSE)</f>
        <v>60000</v>
      </c>
      <c r="H190" s="4" t="str">
        <f>VLOOKUP(A:A,Table1[[Project No]:[Additional Remark]],5,FALSE)</f>
        <v>R-PV</v>
      </c>
      <c r="I190" s="4">
        <f>VLOOKUP(A:A,Table1[[Project No]:[Additional Remark]],8,FALSE)</f>
        <v>17.55</v>
      </c>
      <c r="J190" s="4" t="str">
        <f>VLOOKUP(A:A,Table1[[Project No]:[Additional Remark]],23,FALSE)</f>
        <v>N/A</v>
      </c>
      <c r="K190" s="163" t="s">
        <v>109</v>
      </c>
      <c r="L190" s="164" t="s">
        <v>109</v>
      </c>
      <c r="M190" s="165"/>
      <c r="N190" s="163" t="s">
        <v>109</v>
      </c>
      <c r="O190" s="164" t="s">
        <v>109</v>
      </c>
      <c r="P190" s="165"/>
      <c r="Q190" s="163" t="s">
        <v>109</v>
      </c>
      <c r="R190" s="164" t="s">
        <v>109</v>
      </c>
      <c r="S190" s="165"/>
      <c r="T190" s="163" t="s">
        <v>109</v>
      </c>
      <c r="U190" s="164" t="s">
        <v>109</v>
      </c>
      <c r="V190" s="165"/>
    </row>
    <row r="191" spans="1:22" x14ac:dyDescent="0.3">
      <c r="A191" s="4">
        <f>'ECN Master Project Tracker new'!A192</f>
        <v>2411496</v>
      </c>
      <c r="B191" s="108" t="str">
        <f>VLOOKUP(A:A,Table1[[#All],[Project No]:[Additional Remark]],2,FALSE)</f>
        <v>Teong Lian Aik</v>
      </c>
      <c r="C191" s="4" t="str">
        <f>VLOOKUP(A:A,Table1[[Project No]:[Additional Remark]],19,FALSE)</f>
        <v>550907-08-5791</v>
      </c>
      <c r="D191" s="4" t="str">
        <f>VLOOKUP(A:A,Table1[[Project No]:[Additional Remark]],20,FALSE)</f>
        <v>9(5), Regat Tasik Tmn Tasik Permai Fasa, 34000 Taiping, Perak</v>
      </c>
      <c r="E191" s="4" t="str">
        <f>VLOOKUP(A:A,Table1[[Project No]:[Additional Remark]],21,FALSE)</f>
        <v>012-5381739</v>
      </c>
      <c r="F191" s="4" t="str">
        <f>VLOOKUP(A:A,Table1[[Project No]:[Additional Remark]],22,FALSE)</f>
        <v>la_teong@yahoo.com</v>
      </c>
      <c r="G191" s="55">
        <f>VLOOKUP(A:A,Table1[[Project No]:[Additional Remark]],11,FALSE)</f>
        <v>29000</v>
      </c>
      <c r="H191" s="4" t="str">
        <f>VLOOKUP(A:A,Table1[[Project No]:[Additional Remark]],5,FALSE)</f>
        <v>R-PV</v>
      </c>
      <c r="I191" s="4">
        <f>VLOOKUP(A:A,Table1[[Project No]:[Additional Remark]],8,FALSE)</f>
        <v>9.36</v>
      </c>
      <c r="J191" s="4" t="str">
        <f>VLOOKUP(A:A,Table1[[Project No]:[Additional Remark]],23,FALSE)</f>
        <v xml:space="preserve">3 years </v>
      </c>
      <c r="K191" s="4" t="s">
        <v>1902</v>
      </c>
      <c r="L191" s="4" t="s">
        <v>2054</v>
      </c>
      <c r="M191" s="93">
        <v>45750</v>
      </c>
      <c r="N191" s="4"/>
      <c r="O191" s="4"/>
      <c r="P191" s="4"/>
      <c r="Q191" s="4"/>
      <c r="R191" s="4"/>
      <c r="S191" s="4"/>
      <c r="T191" s="4"/>
      <c r="U191" s="4"/>
      <c r="V191" s="4"/>
    </row>
    <row r="192" spans="1:22" x14ac:dyDescent="0.3">
      <c r="A192" s="4">
        <f>'ECN Master Project Tracker new'!A193</f>
        <v>2404224</v>
      </c>
      <c r="B192" s="108" t="str">
        <f>VLOOKUP(A:A,Table1[[#All],[Project No]:[Additional Remark]],2,FALSE)</f>
        <v>Vijayalakshmi a/p Krishnaswamy (Tan Sri Rama Iyer)</v>
      </c>
      <c r="C192" s="4" t="str">
        <f>VLOOKUP(A:A,Table1[[Project No]:[Additional Remark]],19,FALSE)</f>
        <v>450528-71-5062</v>
      </c>
      <c r="D192" s="4" t="str">
        <f>VLOOKUP(A:A,Table1[[Project No]:[Additional Remark]],20,FALSE)</f>
        <v>Lot 310, Jln 3, Tmn Ampang Utama, 68000 Ampang, Selangor</v>
      </c>
      <c r="E192" s="4" t="str">
        <f>VLOOKUP(A:A,Table1[[Project No]:[Additional Remark]],21,FALSE)</f>
        <v>012-3030154</v>
      </c>
      <c r="F192" s="4" t="str">
        <f>VLOOKUP(A:A,Table1[[Project No]:[Additional Remark]],22,FALSE)</f>
        <v xml:space="preserve"> ramavijayam10@gmail.com</v>
      </c>
      <c r="G192" s="55">
        <f>VLOOKUP(A:A,Table1[[Project No]:[Additional Remark]],11,FALSE)</f>
        <v>45600</v>
      </c>
      <c r="H192" s="4" t="str">
        <f>VLOOKUP(A:A,Table1[[Project No]:[Additional Remark]],5,FALSE)</f>
        <v>R-PV</v>
      </c>
      <c r="I192" s="4">
        <f>VLOOKUP(A:A,Table1[[Project No]:[Additional Remark]],8,FALSE)</f>
        <v>17.7</v>
      </c>
      <c r="J192" s="4" t="str">
        <f>VLOOKUP(A:A,Table1[[Project No]:[Additional Remark]],23,FALSE)</f>
        <v xml:space="preserve">3 years </v>
      </c>
      <c r="K192" s="4" t="s">
        <v>1902</v>
      </c>
      <c r="L192" s="4" t="s">
        <v>2055</v>
      </c>
      <c r="M192" s="93">
        <v>45750</v>
      </c>
      <c r="N192" s="4"/>
      <c r="O192" s="4"/>
      <c r="P192" s="4"/>
      <c r="Q192" s="4"/>
      <c r="R192" s="4"/>
      <c r="S192" s="4"/>
      <c r="T192" s="4"/>
      <c r="U192" s="4"/>
      <c r="V192" s="4"/>
    </row>
    <row r="193" spans="1:22" x14ac:dyDescent="0.3">
      <c r="A193" s="4">
        <f>'ECN Master Project Tracker new'!A194</f>
        <v>2411491</v>
      </c>
      <c r="B193" s="108" t="str">
        <f>VLOOKUP(A:A,Table1[[#All],[Project No]:[Additional Remark]],2,FALSE)</f>
        <v>Low Kim Keong</v>
      </c>
      <c r="C193" s="4" t="str">
        <f>VLOOKUP(A:A,Table1[[Project No]:[Additional Remark]],19,FALSE)</f>
        <v>821109-06-5309</v>
      </c>
      <c r="D193" s="4" t="str">
        <f>VLOOKUP(A:A,Table1[[Project No]:[Additional Remark]],20,FALSE)</f>
        <v>13, Lrg Seri Setali 11 Off Jln Galing Kem, Tmn Sri Galing, 25300 Kuantan, Pahang</v>
      </c>
      <c r="E193" s="4" t="str">
        <f>VLOOKUP(A:A,Table1[[Project No]:[Additional Remark]],21,FALSE)</f>
        <v>016-9210888</v>
      </c>
      <c r="F193" s="4" t="str">
        <f>VLOOKUP(A:A,Table1[[Project No]:[Additional Remark]],22,FALSE)</f>
        <v>adwardlow.co@gmail.com</v>
      </c>
      <c r="G193" s="55">
        <f>VLOOKUP(A:A,Table1[[Project No]:[Additional Remark]],11,FALSE)</f>
        <v>38420</v>
      </c>
      <c r="H193" s="4" t="str">
        <f>VLOOKUP(A:A,Table1[[Project No]:[Additional Remark]],5,FALSE)</f>
        <v>R-PV</v>
      </c>
      <c r="I193" s="4">
        <f>VLOOKUP(A:A,Table1[[Project No]:[Additional Remark]],8,FALSE)</f>
        <v>11.7</v>
      </c>
      <c r="J193" s="4" t="str">
        <f>VLOOKUP(A:A,Table1[[Project No]:[Additional Remark]],23,FALSE)</f>
        <v xml:space="preserve">3 years </v>
      </c>
      <c r="K193" s="4" t="s">
        <v>1902</v>
      </c>
      <c r="L193" s="4" t="s">
        <v>2056</v>
      </c>
      <c r="M193" s="93">
        <v>45750</v>
      </c>
      <c r="N193" s="4"/>
      <c r="O193" s="4"/>
      <c r="P193" s="4"/>
      <c r="Q193" s="4"/>
      <c r="R193" s="4"/>
      <c r="S193" s="4"/>
      <c r="T193" s="4"/>
      <c r="U193" s="4"/>
      <c r="V193" s="4"/>
    </row>
    <row r="194" spans="1:22" x14ac:dyDescent="0.3">
      <c r="A194" s="4">
        <f>'ECN Master Project Tracker new'!A195</f>
        <v>2411490</v>
      </c>
      <c r="B194" s="108" t="str">
        <f>VLOOKUP(A:A,Table1[[#All],[Project No]:[Additional Remark]],2,FALSE)</f>
        <v>Chear Eng Soon</v>
      </c>
      <c r="C194" s="4" t="str">
        <f>VLOOKUP(A:A,Table1[[Project No]:[Additional Remark]],19,FALSE)</f>
        <v>840409-01-5489</v>
      </c>
      <c r="D194" s="4" t="str">
        <f>VLOOKUP(A:A,Table1[[Project No]:[Additional Remark]],20,FALSE)</f>
        <v>PTD 144930, No 7, Jln Pinggiran 3/2, Horizon Hills, 79100 Nusajaya, Johor</v>
      </c>
      <c r="E194" s="4" t="str">
        <f>VLOOKUP(A:A,Table1[[Project No]:[Additional Remark]],21,FALSE)</f>
        <v>012-7840881</v>
      </c>
      <c r="F194" s="4" t="str">
        <f>VLOOKUP(A:A,Table1[[Project No]:[Additional Remark]],22,FALSE)</f>
        <v>nick.chear@gmail.com</v>
      </c>
      <c r="G194" s="55">
        <f>VLOOKUP(A:A,Table1[[Project No]:[Additional Remark]],11,FALSE)</f>
        <v>21500</v>
      </c>
      <c r="H194" s="4" t="str">
        <f>VLOOKUP(A:A,Table1[[Project No]:[Additional Remark]],5,FALSE)</f>
        <v>R-PV</v>
      </c>
      <c r="I194" s="4">
        <f>VLOOKUP(A:A,Table1[[Project No]:[Additional Remark]],8,FALSE)</f>
        <v>7.02</v>
      </c>
      <c r="J194" s="4" t="str">
        <f>VLOOKUP(A:A,Table1[[Project No]:[Additional Remark]],23,FALSE)</f>
        <v xml:space="preserve">3 years </v>
      </c>
      <c r="K194" s="4" t="s">
        <v>1902</v>
      </c>
      <c r="L194" s="4" t="s">
        <v>2057</v>
      </c>
      <c r="M194" s="93">
        <v>45750</v>
      </c>
      <c r="N194" s="4"/>
      <c r="O194" s="4"/>
      <c r="P194" s="4"/>
      <c r="Q194" s="4"/>
      <c r="R194" s="4"/>
      <c r="S194" s="4"/>
      <c r="T194" s="4"/>
      <c r="U194" s="4"/>
      <c r="V194" s="4"/>
    </row>
    <row r="195" spans="1:22" x14ac:dyDescent="0.3">
      <c r="A195" s="4">
        <f>'ECN Master Project Tracker new'!A196</f>
        <v>2412504</v>
      </c>
      <c r="B195" s="108" t="str">
        <f>VLOOKUP(A:A,Table1[[#All],[Project No]:[Additional Remark]],2,FALSE)</f>
        <v>Thiong Jeng Ell</v>
      </c>
      <c r="C195" s="4" t="str">
        <f>VLOOKUP(A:A,Table1[[Project No]:[Additional Remark]],19,FALSE)</f>
        <v>790424-06-5465</v>
      </c>
      <c r="D195" s="4" t="str">
        <f>VLOOKUP(A:A,Table1[[Project No]:[Additional Remark]],20,FALSE)</f>
        <v>Lot 7929, Jln Hock Bee Kg Sri Jaya, 26500 Sri Jaya, Pahang</v>
      </c>
      <c r="E195" s="4" t="str">
        <f>VLOOKUP(A:A,Table1[[Project No]:[Additional Remark]],21,FALSE)</f>
        <v>013-9355351</v>
      </c>
      <c r="F195" s="4" t="str">
        <f>VLOOKUP(A:A,Table1[[Project No]:[Additional Remark]],22,FALSE)</f>
        <v>jethiong@hotmail.com</v>
      </c>
      <c r="G195" s="55">
        <f>VLOOKUP(A:A,Table1[[Project No]:[Additional Remark]],11,FALSE)</f>
        <v>31616</v>
      </c>
      <c r="H195" s="4" t="str">
        <f>VLOOKUP(A:A,Table1[[Project No]:[Additional Remark]],5,FALSE)</f>
        <v>R-PV</v>
      </c>
      <c r="I195" s="4">
        <f>VLOOKUP(A:A,Table1[[Project No]:[Additional Remark]],8,FALSE)</f>
        <v>9.36</v>
      </c>
      <c r="J195" s="4" t="str">
        <f>VLOOKUP(A:A,Table1[[Project No]:[Additional Remark]],23,FALSE)</f>
        <v>5 years</v>
      </c>
      <c r="K195" s="4" t="s">
        <v>1902</v>
      </c>
      <c r="L195" s="4" t="s">
        <v>2058</v>
      </c>
      <c r="M195" s="93">
        <v>45750</v>
      </c>
      <c r="N195" s="4"/>
      <c r="O195" s="4"/>
      <c r="P195" s="4"/>
      <c r="Q195" s="4"/>
      <c r="R195" s="4"/>
      <c r="S195" s="4"/>
      <c r="T195" s="4"/>
      <c r="U195" s="4"/>
      <c r="V195" s="4"/>
    </row>
    <row r="196" spans="1:22" x14ac:dyDescent="0.3">
      <c r="A196" s="4">
        <f>'ECN Master Project Tracker new'!A197</f>
        <v>2412503</v>
      </c>
      <c r="B196" s="108" t="str">
        <f>VLOOKUP(A:A,Table1[[#All],[Project No]:[Additional Remark]],2,FALSE)</f>
        <v>Lian Hock Seng</v>
      </c>
      <c r="C196" s="4" t="str">
        <f>VLOOKUP(A:A,Table1[[Project No]:[Additional Remark]],19,FALSE)</f>
        <v>781225-06-5185</v>
      </c>
      <c r="D196" s="4" t="str">
        <f>VLOOKUP(A:A,Table1[[Project No]:[Additional Remark]],20,FALSE)</f>
        <v>70, Lrg SJ 4-4, Tmn Sri Jaya Indah, 26500 Maran, Pahang</v>
      </c>
      <c r="E196" s="4" t="str">
        <f>VLOOKUP(A:A,Table1[[Project No]:[Additional Remark]],21,FALSE)</f>
        <v>013-9933228</v>
      </c>
      <c r="F196" s="4" t="str">
        <f>VLOOKUP(A:A,Table1[[Project No]:[Additional Remark]],22,FALSE)</f>
        <v>hockseng8168@gmail.com</v>
      </c>
      <c r="G196" s="55">
        <f>VLOOKUP(A:A,Table1[[Project No]:[Additional Remark]],11,FALSE)</f>
        <v>38600</v>
      </c>
      <c r="H196" s="4" t="str">
        <f>VLOOKUP(A:A,Table1[[Project No]:[Additional Remark]],5,FALSE)</f>
        <v>R-PV</v>
      </c>
      <c r="I196" s="4">
        <f>VLOOKUP(A:A,Table1[[Project No]:[Additional Remark]],8,FALSE)</f>
        <v>14.04</v>
      </c>
      <c r="J196" s="4" t="str">
        <f>VLOOKUP(A:A,Table1[[Project No]:[Additional Remark]],23,FALSE)</f>
        <v>5 years</v>
      </c>
      <c r="K196" s="4" t="s">
        <v>1902</v>
      </c>
      <c r="L196" s="4" t="s">
        <v>2059</v>
      </c>
      <c r="M196" s="93">
        <v>45750</v>
      </c>
      <c r="N196" s="4"/>
      <c r="O196" s="4"/>
      <c r="P196" s="4"/>
      <c r="Q196" s="4"/>
      <c r="R196" s="4"/>
      <c r="S196" s="4"/>
      <c r="T196" s="4"/>
      <c r="U196" s="4"/>
      <c r="V196" s="4"/>
    </row>
    <row r="197" spans="1:22" x14ac:dyDescent="0.3">
      <c r="A197" s="4">
        <f>'ECN Master Project Tracker new'!A198</f>
        <v>2410033</v>
      </c>
      <c r="B197" s="108" t="str">
        <f>VLOOKUP(A:A,Table1[[#All],[Project No]:[Additional Remark]],2,FALSE)</f>
        <v>Handal Green Mobility Sdn Bhd (Kuantan City Mall)</v>
      </c>
      <c r="C197" s="4" t="str">
        <f>VLOOKUP(A:A,Table1[[Project No]:[Additional Remark]],19,FALSE)</f>
        <v>-</v>
      </c>
      <c r="D197" s="4" t="str">
        <f>VLOOKUP(A:A,Table1[[Project No]:[Additional Remark]],20,FALSE)</f>
        <v>Jalan Putra Square 6, Putra Square, 25300 Kuantan, Pahang</v>
      </c>
      <c r="E197" s="4" t="str">
        <f>VLOOKUP(A:A,Table1[[Project No]:[Additional Remark]],21,FALSE)</f>
        <v>-</v>
      </c>
      <c r="F197" s="4" t="str">
        <f>VLOOKUP(A:A,Table1[[Project No]:[Additional Remark]],22,FALSE)</f>
        <v>-</v>
      </c>
      <c r="G197" s="55">
        <f>VLOOKUP(A:A,Table1[[Project No]:[Additional Remark]],11,FALSE)</f>
        <v>55000</v>
      </c>
      <c r="H197" s="4" t="str">
        <f>VLOOKUP(A:A,Table1[[Project No]:[Additional Remark]],5,FALSE)</f>
        <v>EV Charger</v>
      </c>
      <c r="I197" s="4">
        <f>VLOOKUP(A:A,Table1[[Project No]:[Additional Remark]],8,FALSE)</f>
        <v>0</v>
      </c>
      <c r="J197" s="4" t="str">
        <f>VLOOKUP(A:A,Table1[[Project No]:[Additional Remark]],23,FALSE)</f>
        <v>N/A</v>
      </c>
      <c r="K197" s="163" t="s">
        <v>109</v>
      </c>
      <c r="L197" s="164" t="s">
        <v>109</v>
      </c>
      <c r="M197" s="165"/>
      <c r="N197" s="163" t="s">
        <v>109</v>
      </c>
      <c r="O197" s="164"/>
      <c r="P197" s="165"/>
      <c r="Q197" s="163" t="s">
        <v>109</v>
      </c>
      <c r="R197" s="164"/>
      <c r="S197" s="165"/>
      <c r="T197" s="163" t="s">
        <v>109</v>
      </c>
      <c r="U197" s="164"/>
      <c r="V197" s="165"/>
    </row>
    <row r="198" spans="1:22" x14ac:dyDescent="0.3">
      <c r="A198" s="4">
        <f>'ECN Master Project Tracker new'!A199</f>
        <v>2412505</v>
      </c>
      <c r="B198" s="108" t="str">
        <f>VLOOKUP(A:A,Table1[[#All],[Project No]:[Additional Remark]],2,FALSE)</f>
        <v>Dong Mee Hong</v>
      </c>
      <c r="C198" s="4" t="str">
        <f>VLOOKUP(A:A,Table1[[Project No]:[Additional Remark]],19,FALSE)</f>
        <v>511231-08-5676</v>
      </c>
      <c r="D198" s="4" t="str">
        <f>VLOOKUP(A:A,Table1[[Project No]:[Additional Remark]],20,FALSE)</f>
        <v>Lot 7824, Lrg Sj 6-3, Tmn Emas-Sri Jaya, 26500 Maran, Pahang</v>
      </c>
      <c r="E198" s="4" t="str">
        <f>VLOOKUP(A:A,Table1[[Project No]:[Additional Remark]],21,FALSE)</f>
        <v>012-9371615</v>
      </c>
      <c r="F198" s="4">
        <f>VLOOKUP(A:A,Table1[[Project No]:[Additional Remark]],22,FALSE)</f>
        <v>0</v>
      </c>
      <c r="G198" s="55">
        <f>VLOOKUP(A:A,Table1[[Project No]:[Additional Remark]],11,FALSE)</f>
        <v>42860</v>
      </c>
      <c r="H198" s="4" t="str">
        <f>VLOOKUP(A:A,Table1[[Project No]:[Additional Remark]],5,FALSE)</f>
        <v>R-PV</v>
      </c>
      <c r="I198" s="4">
        <f>VLOOKUP(A:A,Table1[[Project No]:[Additional Remark]],8,FALSE)</f>
        <v>14.04</v>
      </c>
      <c r="J198" s="4" t="str">
        <f>VLOOKUP(A:A,Table1[[Project No]:[Additional Remark]],23,FALSE)</f>
        <v>5 years</v>
      </c>
      <c r="K198" s="4" t="s">
        <v>1902</v>
      </c>
      <c r="L198" s="4" t="s">
        <v>2060</v>
      </c>
      <c r="M198" s="93">
        <v>45750</v>
      </c>
      <c r="N198" s="4"/>
      <c r="O198" s="4"/>
      <c r="P198" s="4"/>
      <c r="Q198" s="4"/>
      <c r="R198" s="4"/>
      <c r="S198" s="4"/>
      <c r="T198" s="4"/>
      <c r="U198" s="4"/>
      <c r="V198" s="4"/>
    </row>
    <row r="199" spans="1:22" x14ac:dyDescent="0.3">
      <c r="A199" s="4">
        <f>'ECN Master Project Tracker new'!A200</f>
        <v>2412509</v>
      </c>
      <c r="B199" s="108" t="str">
        <f>VLOOKUP(A:A,Table1[[#All],[Project No]:[Additional Remark]],2,FALSE)</f>
        <v>Muck Bei lee (Le Lodge Mansion)</v>
      </c>
      <c r="C199" s="4" t="str">
        <f>VLOOKUP(A:A,Table1[[Project No]:[Additional Remark]],19,FALSE)</f>
        <v>861105-33-5208</v>
      </c>
      <c r="D199" s="4" t="str">
        <f>VLOOKUP(A:A,Table1[[Project No]:[Additional Remark]],20,FALSE)</f>
        <v>No 2, Lrg Air Putih 97, Tmn Sri Air Putih, Air Putih, 25300 Kuantan, Pahang</v>
      </c>
      <c r="E199" s="4" t="str">
        <f>VLOOKUP(A:A,Table1[[Project No]:[Additional Remark]],21,FALSE)</f>
        <v>012-9533751</v>
      </c>
      <c r="F199" s="4" t="str">
        <f>VLOOKUP(A:A,Table1[[Project No]:[Additional Remark]],22,FALSE)</f>
        <v>beilee86@gmail.com</v>
      </c>
      <c r="G199" s="55">
        <f>VLOOKUP(A:A,Table1[[Project No]:[Additional Remark]],11,FALSE)</f>
        <v>50000</v>
      </c>
      <c r="H199" s="4" t="str">
        <f>VLOOKUP(A:A,Table1[[Project No]:[Additional Remark]],5,FALSE)</f>
        <v>R-PV</v>
      </c>
      <c r="I199" s="4">
        <f>VLOOKUP(A:A,Table1[[Project No]:[Additional Remark]],8,FALSE)</f>
        <v>17.7</v>
      </c>
      <c r="J199" s="4" t="str">
        <f>VLOOKUP(A:A,Table1[[Project No]:[Additional Remark]],23,FALSE)</f>
        <v>N/A</v>
      </c>
      <c r="K199" s="163" t="s">
        <v>109</v>
      </c>
      <c r="L199" s="164" t="s">
        <v>109</v>
      </c>
      <c r="M199" s="165"/>
      <c r="N199" s="163" t="s">
        <v>109</v>
      </c>
      <c r="O199" s="164"/>
      <c r="P199" s="165"/>
      <c r="Q199" s="163" t="s">
        <v>109</v>
      </c>
      <c r="R199" s="164"/>
      <c r="S199" s="165"/>
      <c r="T199" s="163" t="s">
        <v>109</v>
      </c>
      <c r="U199" s="164"/>
      <c r="V199" s="165"/>
    </row>
    <row r="200" spans="1:22" x14ac:dyDescent="0.3">
      <c r="A200" s="4">
        <f>'ECN Master Project Tracker new'!A201</f>
        <v>2412515</v>
      </c>
      <c r="B200" s="108" t="str">
        <f>VLOOKUP(A:A,Table1[[#All],[Project No]:[Additional Remark]],2,FALSE)</f>
        <v>Liew Mun Meng</v>
      </c>
      <c r="C200" s="4" t="str">
        <f>VLOOKUP(A:A,Table1[[Project No]:[Additional Remark]],19,FALSE)</f>
        <v>641211-08-6159</v>
      </c>
      <c r="D200" s="4" t="str">
        <f>VLOOKUP(A:A,Table1[[Project No]:[Additional Remark]],20,FALSE)</f>
        <v>77, Jalan Taming Indah 2, Taman Taming Indah 2, 43000 Kajang, Selangor</v>
      </c>
      <c r="E200" s="4" t="str">
        <f>VLOOKUP(A:A,Table1[[Project No]:[Additional Remark]],21,FALSE)</f>
        <v>010-5642088</v>
      </c>
      <c r="F200" s="4" t="str">
        <f>VLOOKUP(A:A,Table1[[Project No]:[Additional Remark]],22,FALSE)</f>
        <v>weinnyliew88@gmail.com</v>
      </c>
      <c r="G200" s="55">
        <f>VLOOKUP(A:A,Table1[[Project No]:[Additional Remark]],11,FALSE)</f>
        <v>44600</v>
      </c>
      <c r="H200" s="4" t="str">
        <f>VLOOKUP(A:A,Table1[[Project No]:[Additional Remark]],5,FALSE)</f>
        <v>R-PV</v>
      </c>
      <c r="I200" s="4">
        <f>VLOOKUP(A:A,Table1[[Project No]:[Additional Remark]],8,FALSE)</f>
        <v>17.55</v>
      </c>
      <c r="J200" s="4" t="str">
        <f>VLOOKUP(A:A,Table1[[Project No]:[Additional Remark]],23,FALSE)</f>
        <v xml:space="preserve">3 years </v>
      </c>
      <c r="K200" s="4" t="s">
        <v>1902</v>
      </c>
      <c r="L200" s="4" t="s">
        <v>2061</v>
      </c>
      <c r="M200" s="93">
        <v>45750</v>
      </c>
      <c r="N200" s="4"/>
      <c r="O200" s="4"/>
      <c r="P200" s="4"/>
      <c r="Q200" s="4"/>
      <c r="R200" s="4"/>
      <c r="S200" s="4"/>
      <c r="T200" s="4"/>
      <c r="U200" s="4"/>
      <c r="V200" s="4"/>
    </row>
    <row r="201" spans="1:22" x14ac:dyDescent="0.3">
      <c r="A201" s="4">
        <f>'ECN Master Project Tracker new'!A202</f>
        <v>2410462</v>
      </c>
      <c r="B201" s="108" t="str">
        <f>VLOOKUP(A:A,Table1[[#All],[Project No]:[Additional Remark]],2,FALSE)</f>
        <v>Yee Mei Ling</v>
      </c>
      <c r="C201" s="4" t="str">
        <f>VLOOKUP(A:A,Table1[[Project No]:[Additional Remark]],19,FALSE)</f>
        <v>680106-07-5302</v>
      </c>
      <c r="D201" s="4" t="str">
        <f>VLOOKUP(A:A,Table1[[Project No]:[Additional Remark]],20,FALSE)</f>
        <v>19, Jalan Mas 3/2, Taman Mas 3, 43200 Cheras, Selangor</v>
      </c>
      <c r="E201" s="4" t="str">
        <f>VLOOKUP(A:A,Table1[[Project No]:[Additional Remark]],21,FALSE)</f>
        <v>019-2233298</v>
      </c>
      <c r="F201" s="4" t="str">
        <f>VLOOKUP(A:A,Table1[[Project No]:[Additional Remark]],22,FALSE)</f>
        <v>pmcoatings2010@gmail.com</v>
      </c>
      <c r="G201" s="55">
        <f>VLOOKUP(A:A,Table1[[Project No]:[Additional Remark]],11,FALSE)</f>
        <v>23500</v>
      </c>
      <c r="H201" s="4" t="str">
        <f>VLOOKUP(A:A,Table1[[Project No]:[Additional Remark]],5,FALSE)</f>
        <v>R-PV</v>
      </c>
      <c r="I201" s="4">
        <f>VLOOKUP(A:A,Table1[[Project No]:[Additional Remark]],8,FALSE)</f>
        <v>7.02</v>
      </c>
      <c r="J201" s="4" t="str">
        <f>VLOOKUP(A:A,Table1[[Project No]:[Additional Remark]],23,FALSE)</f>
        <v xml:space="preserve">3 years </v>
      </c>
      <c r="K201" s="4" t="s">
        <v>1902</v>
      </c>
      <c r="L201" s="4" t="s">
        <v>2062</v>
      </c>
      <c r="M201" s="93">
        <v>45750</v>
      </c>
      <c r="N201" s="4"/>
      <c r="O201" s="4"/>
      <c r="P201" s="4"/>
      <c r="Q201" s="4"/>
      <c r="R201" s="4"/>
      <c r="S201" s="4"/>
      <c r="T201" s="4"/>
      <c r="U201" s="4"/>
      <c r="V201" s="4"/>
    </row>
    <row r="202" spans="1:22" x14ac:dyDescent="0.3">
      <c r="A202" s="4">
        <f>'ECN Master Project Tracker new'!A203</f>
        <v>2412516</v>
      </c>
      <c r="B202" s="108" t="str">
        <f>VLOOKUP(A:A,Table1[[#All],[Project No]:[Additional Remark]],2,FALSE)</f>
        <v>Chareon Phromsuwan</v>
      </c>
      <c r="C202" s="4" t="str">
        <f>VLOOKUP(A:A,Table1[[Project No]:[Additional Remark]],19,FALSE)</f>
        <v>680901-07-5379</v>
      </c>
      <c r="D202" s="4" t="str">
        <f>VLOOKUP(A:A,Table1[[Project No]:[Additional Remark]],20,FALSE)</f>
        <v>7, Jln Kenyalang 11/15C, Seksyen 11, Kota Damansara, 47810, Petaling Jaya, Selangor</v>
      </c>
      <c r="E202" s="4" t="str">
        <f>VLOOKUP(A:A,Table1[[Project No]:[Additional Remark]],21,FALSE)</f>
        <v>019-3102054</v>
      </c>
      <c r="F202" s="4" t="str">
        <f>VLOOKUP(A:A,Table1[[Project No]:[Additional Remark]],22,FALSE)</f>
        <v>chareonp@gmail.com</v>
      </c>
      <c r="G202" s="55">
        <f>VLOOKUP(A:A,Table1[[Project No]:[Additional Remark]],11,FALSE)</f>
        <v>37160</v>
      </c>
      <c r="H202" s="4" t="str">
        <f>VLOOKUP(A:A,Table1[[Project No]:[Additional Remark]],5,FALSE)</f>
        <v>R-PV</v>
      </c>
      <c r="I202" s="4">
        <f>VLOOKUP(A:A,Table1[[Project No]:[Additional Remark]],8,FALSE)</f>
        <v>12.98</v>
      </c>
      <c r="J202" s="4" t="str">
        <f>VLOOKUP(A:A,Table1[[Project No]:[Additional Remark]],23,FALSE)</f>
        <v xml:space="preserve">3 years </v>
      </c>
      <c r="K202" s="4" t="s">
        <v>1902</v>
      </c>
      <c r="L202" s="4" t="s">
        <v>2063</v>
      </c>
      <c r="M202" s="93">
        <v>45750</v>
      </c>
      <c r="N202" s="4"/>
      <c r="O202" s="4"/>
      <c r="P202" s="4"/>
      <c r="Q202" s="4"/>
      <c r="R202" s="4"/>
      <c r="S202" s="4"/>
      <c r="T202" s="4"/>
      <c r="U202" s="4"/>
      <c r="V202" s="4"/>
    </row>
    <row r="203" spans="1:22" x14ac:dyDescent="0.3">
      <c r="A203" s="4">
        <f>'ECN Master Project Tracker new'!A204</f>
        <v>2412521</v>
      </c>
      <c r="B203" s="108" t="str">
        <f>VLOOKUP(A:A,Table1[[#All],[Project No]:[Additional Remark]],2,FALSE)</f>
        <v>Christopher A De Souza</v>
      </c>
      <c r="C203" s="4" t="str">
        <f>VLOOKUP(A:A,Table1[[Project No]:[Additional Remark]],19,FALSE)</f>
        <v>600427-10-6373</v>
      </c>
      <c r="D203" s="4" t="str">
        <f>VLOOKUP(A:A,Table1[[Project No]:[Additional Remark]],20,FALSE)</f>
        <v xml:space="preserve">24, Jalan Kenyalang 11/15G, Seksyen 11, Kota Damansara, 47810 Petaling Jaya, Selangor </v>
      </c>
      <c r="E203" s="4" t="str">
        <f>VLOOKUP(A:A,Table1[[Project No]:[Additional Remark]],21,FALSE)</f>
        <v>012-3328366</v>
      </c>
      <c r="F203" s="4" t="str">
        <f>VLOOKUP(A:A,Table1[[Project No]:[Additional Remark]],22,FALSE)</f>
        <v>christophera.desouza@gmail.com</v>
      </c>
      <c r="G203" s="55">
        <f>VLOOKUP(A:A,Table1[[Project No]:[Additional Remark]],11,FALSE)</f>
        <v>39560</v>
      </c>
      <c r="H203" s="4" t="str">
        <f>VLOOKUP(A:A,Table1[[Project No]:[Additional Remark]],5,FALSE)</f>
        <v>R-PV</v>
      </c>
      <c r="I203" s="4">
        <f>VLOOKUP(A:A,Table1[[Project No]:[Additional Remark]],8,FALSE)</f>
        <v>15.34</v>
      </c>
      <c r="J203" s="4" t="str">
        <f>VLOOKUP(A:A,Table1[[Project No]:[Additional Remark]],23,FALSE)</f>
        <v xml:space="preserve">3 years </v>
      </c>
      <c r="K203" s="4" t="s">
        <v>1902</v>
      </c>
      <c r="L203" s="4" t="s">
        <v>2064</v>
      </c>
      <c r="M203" s="93">
        <v>45750</v>
      </c>
      <c r="N203" s="4"/>
      <c r="O203" s="4"/>
      <c r="P203" s="4"/>
      <c r="Q203" s="4"/>
      <c r="R203" s="4"/>
      <c r="S203" s="4"/>
      <c r="T203" s="4"/>
      <c r="U203" s="4"/>
      <c r="V203" s="4"/>
    </row>
    <row r="204" spans="1:22" x14ac:dyDescent="0.3">
      <c r="A204" s="4">
        <f>'ECN Master Project Tracker new'!A205</f>
        <v>2412524</v>
      </c>
      <c r="B204" s="108" t="str">
        <f>VLOOKUP(A:A,Table1[[#All],[Project No]:[Additional Remark]],2,FALSE)</f>
        <v>Teng Lee Xung</v>
      </c>
      <c r="C204" s="4" t="str">
        <f>VLOOKUP(A:A,Table1[[Project No]:[Additional Remark]],19,FALSE)</f>
        <v>850803-02-5617</v>
      </c>
      <c r="D204" s="4" t="str">
        <f>VLOOKUP(A:A,Table1[[Project No]:[Additional Remark]],20,FALSE)</f>
        <v>No 6, Lrg Seri Setali 119, Jln Air Putih, Tmn Semambu, 25350 Kuantan, Pahang</v>
      </c>
      <c r="E204" s="4" t="str">
        <f>VLOOKUP(A:A,Table1[[Project No]:[Additional Remark]],21,FALSE)</f>
        <v>012-8860611</v>
      </c>
      <c r="F204" s="4" t="str">
        <f>VLOOKUP(A:A,Table1[[Project No]:[Additional Remark]],22,FALSE)</f>
        <v>danileteng777@gmail.com</v>
      </c>
      <c r="G204" s="55">
        <f>VLOOKUP(A:A,Table1[[Project No]:[Additional Remark]],11,FALSE)</f>
        <v>34000</v>
      </c>
      <c r="H204" s="4" t="str">
        <f>VLOOKUP(A:A,Table1[[Project No]:[Additional Remark]],5,FALSE)</f>
        <v>R-PV</v>
      </c>
      <c r="I204" s="4">
        <f>VLOOKUP(A:A,Table1[[Project No]:[Additional Remark]],8,FALSE)</f>
        <v>14.16</v>
      </c>
      <c r="J204" s="4" t="str">
        <f>VLOOKUP(A:A,Table1[[Project No]:[Additional Remark]],23,FALSE)</f>
        <v>N/A</v>
      </c>
      <c r="K204" s="163" t="s">
        <v>109</v>
      </c>
      <c r="L204" s="164" t="s">
        <v>109</v>
      </c>
      <c r="M204" s="165"/>
      <c r="N204" s="163" t="s">
        <v>109</v>
      </c>
      <c r="O204" s="164"/>
      <c r="P204" s="165"/>
      <c r="Q204" s="163" t="s">
        <v>109</v>
      </c>
      <c r="R204" s="164"/>
      <c r="S204" s="165"/>
      <c r="T204" s="163" t="s">
        <v>109</v>
      </c>
      <c r="U204" s="164"/>
      <c r="V204" s="165"/>
    </row>
    <row r="205" spans="1:22" x14ac:dyDescent="0.3">
      <c r="A205" s="4">
        <f>'ECN Master Project Tracker new'!A206</f>
        <v>2412513</v>
      </c>
      <c r="B205" s="114" t="str">
        <f>VLOOKUP(A:A,Table1[[#All],[Project No]:[Additional Remark]],2,FALSE)</f>
        <v>Ganapathy Srihari a/l Rama Iyer</v>
      </c>
      <c r="C205" s="4" t="str">
        <f>VLOOKUP(A:A,Table1[[Project No]:[Additional Remark]],19,FALSE)</f>
        <v>720101-10-7073</v>
      </c>
      <c r="D205" s="4" t="str">
        <f>VLOOKUP(A:A,Table1[[Project No]:[Additional Remark]],20,FALSE)</f>
        <v>68, Jalan Athinahapan, Taman Tun Dr Ismail, 60000 Kuala Lumpur, WP Kuala Lumpur</v>
      </c>
      <c r="E205" s="4" t="str">
        <f>VLOOKUP(A:A,Table1[[Project No]:[Additional Remark]],21,FALSE)</f>
        <v>012-2000599</v>
      </c>
      <c r="F205" s="4" t="str">
        <f>VLOOKUP(A:A,Table1[[Project No]:[Additional Remark]],22,FALSE)</f>
        <v>srihari.iyer@gmail.com</v>
      </c>
      <c r="G205" s="55">
        <f>VLOOKUP(A:A,Table1[[Project No]:[Additional Remark]],11,FALSE)</f>
        <v>29000</v>
      </c>
      <c r="H205" s="4" t="str">
        <f>VLOOKUP(A:A,Table1[[Project No]:[Additional Remark]],5,FALSE)</f>
        <v>R-PV</v>
      </c>
      <c r="I205" s="4">
        <f>VLOOKUP(A:A,Table1[[Project No]:[Additional Remark]],8,FALSE)</f>
        <v>10.029999999999999</v>
      </c>
      <c r="J205" s="4" t="str">
        <f>VLOOKUP(A:A,Table1[[Project No]:[Additional Remark]],23,FALSE)</f>
        <v xml:space="preserve">3 years </v>
      </c>
      <c r="K205" s="4"/>
      <c r="L205" s="4"/>
      <c r="M205" s="4"/>
      <c r="N205" s="4"/>
      <c r="O205" s="4"/>
      <c r="P205" s="4"/>
      <c r="Q205" s="4"/>
      <c r="R205" s="4"/>
      <c r="S205" s="4"/>
      <c r="T205" s="4"/>
      <c r="U205" s="4"/>
      <c r="V205" s="4"/>
    </row>
    <row r="206" spans="1:22" x14ac:dyDescent="0.3">
      <c r="A206" s="4">
        <f>'ECN Master Project Tracker new'!A207</f>
        <v>2501038</v>
      </c>
      <c r="B206" s="108" t="str">
        <f>VLOOKUP(A:A,Table1[[#All],[Project No]:[Additional Remark]],2,FALSE)</f>
        <v>Florence Poon</v>
      </c>
      <c r="C206" s="4" t="str">
        <f>VLOOKUP(A:A,Table1[[Project No]:[Additional Remark]],19,FALSE)</f>
        <v>-</v>
      </c>
      <c r="D206" s="4" t="str">
        <f>VLOOKUP(A:A,Table1[[Project No]:[Additional Remark]],20,FALSE)</f>
        <v xml:space="preserve">8, Lorong PJU 3/28C, 28 Residency Sunway, Damansara, 47810 Petaling Jaya, Selangor </v>
      </c>
      <c r="E206" s="4" t="str">
        <f>VLOOKUP(A:A,Table1[[Project No]:[Additional Remark]],21,FALSE)</f>
        <v>-</v>
      </c>
      <c r="F206" s="4" t="str">
        <f>VLOOKUP(A:A,Table1[[Project No]:[Additional Remark]],22,FALSE)</f>
        <v>-</v>
      </c>
      <c r="G206" s="55">
        <f>VLOOKUP(A:A,Table1[[Project No]:[Additional Remark]],11,FALSE)</f>
        <v>2000</v>
      </c>
      <c r="H206" s="4" t="str">
        <f>VLOOKUP(A:A,Table1[[Project No]:[Additional Remark]],5,FALSE)</f>
        <v>EV Charger</v>
      </c>
      <c r="I206" s="4">
        <f>VLOOKUP(A:A,Table1[[Project No]:[Additional Remark]],8,FALSE)</f>
        <v>0</v>
      </c>
      <c r="J206" s="4" t="str">
        <f>VLOOKUP(A:A,Table1[[Project No]:[Additional Remark]],23,FALSE)</f>
        <v>N/A</v>
      </c>
      <c r="K206" s="163" t="s">
        <v>109</v>
      </c>
      <c r="L206" s="164" t="s">
        <v>109</v>
      </c>
      <c r="M206" s="165"/>
      <c r="N206" s="163" t="s">
        <v>109</v>
      </c>
      <c r="O206" s="164"/>
      <c r="P206" s="165"/>
      <c r="Q206" s="163" t="s">
        <v>109</v>
      </c>
      <c r="R206" s="164"/>
      <c r="S206" s="165"/>
      <c r="T206" s="163" t="s">
        <v>109</v>
      </c>
      <c r="U206" s="164"/>
      <c r="V206" s="165"/>
    </row>
    <row r="207" spans="1:22" x14ac:dyDescent="0.3">
      <c r="A207" s="4">
        <f>'ECN Master Project Tracker new'!A208</f>
        <v>2501532</v>
      </c>
      <c r="B207" s="108" t="str">
        <f>VLOOKUP(A:A,Table1[[#All],[Project No]:[Additional Remark]],2,FALSE)</f>
        <v>Prasert Phromsuwan</v>
      </c>
      <c r="C207" s="4" t="str">
        <f>VLOOKUP(A:A,Table1[[Project No]:[Additional Remark]],19,FALSE)</f>
        <v>650114-07-5321</v>
      </c>
      <c r="D207" s="4" t="str">
        <f>VLOOKUP(A:A,Table1[[Project No]:[Additional Remark]],20,FALSE)</f>
        <v>No 37, Jln Setia Damai U13/14E, Seksyen U 13, 40170 Shah Alam, Selangor</v>
      </c>
      <c r="E207" s="4" t="str">
        <f>VLOOKUP(A:A,Table1[[Project No]:[Additional Remark]],21,FALSE)</f>
        <v>019-2867788</v>
      </c>
      <c r="F207" s="4" t="str">
        <f>VLOOKUP(A:A,Table1[[Project No]:[Additional Remark]],22,FALSE)</f>
        <v>pphromsuwan@gmail.com</v>
      </c>
      <c r="G207" s="55">
        <f>VLOOKUP(A:A,Table1[[Project No]:[Additional Remark]],11,FALSE)</f>
        <v>27000</v>
      </c>
      <c r="H207" s="4" t="str">
        <f>VLOOKUP(A:A,Table1[[Project No]:[Additional Remark]],5,FALSE)</f>
        <v>R-PV</v>
      </c>
      <c r="I207" s="4">
        <f>VLOOKUP(A:A,Table1[[Project No]:[Additional Remark]],8,FALSE)</f>
        <v>9.44</v>
      </c>
      <c r="J207" s="4" t="str">
        <f>VLOOKUP(A:A,Table1[[Project No]:[Additional Remark]],23,FALSE)</f>
        <v xml:space="preserve">3 years </v>
      </c>
      <c r="K207" s="4" t="s">
        <v>1902</v>
      </c>
      <c r="L207" s="4" t="s">
        <v>2065</v>
      </c>
      <c r="M207" s="93">
        <v>45750</v>
      </c>
      <c r="N207" s="4"/>
      <c r="O207" s="4"/>
      <c r="P207" s="4"/>
      <c r="Q207" s="4"/>
      <c r="R207" s="4"/>
      <c r="S207" s="4"/>
      <c r="T207" s="4"/>
      <c r="U207" s="4"/>
      <c r="V207" s="4"/>
    </row>
    <row r="208" spans="1:22" x14ac:dyDescent="0.3">
      <c r="A208" s="4">
        <f>'ECN Master Project Tracker new'!A209</f>
        <v>2501544</v>
      </c>
      <c r="B208" s="108" t="str">
        <f>VLOOKUP(A:A,Table1[[#All],[Project No]:[Additional Remark]],2,FALSE)</f>
        <v>Gan Tek Chuan</v>
      </c>
      <c r="C208" s="4" t="str">
        <f>VLOOKUP(A:A,Table1[[Project No]:[Additional Remark]],19,FALSE)</f>
        <v>660508-10-5393</v>
      </c>
      <c r="D208" s="4" t="str">
        <f>VLOOKUP(A:A,Table1[[Project No]:[Additional Remark]],20,FALSE)</f>
        <v>Lot 11013, B26, Jln Hock Bee Kg Sri Jaya, 26500 Sri Jaya, Pahang</v>
      </c>
      <c r="E208" s="4" t="str">
        <f>VLOOKUP(A:A,Table1[[Project No]:[Additional Remark]],21,FALSE)</f>
        <v>011-53019513</v>
      </c>
      <c r="F208" s="4" t="str">
        <f>VLOOKUP(A:A,Table1[[Project No]:[Additional Remark]],22,FALSE)</f>
        <v>pekjin123@gmail.com</v>
      </c>
      <c r="G208" s="55">
        <f>VLOOKUP(A:A,Table1[[Project No]:[Additional Remark]],11,FALSE)</f>
        <v>44000</v>
      </c>
      <c r="H208" s="4" t="str">
        <f>VLOOKUP(A:A,Table1[[Project No]:[Additional Remark]],5,FALSE)</f>
        <v>R-PV</v>
      </c>
      <c r="I208" s="4">
        <f>VLOOKUP(A:A,Table1[[Project No]:[Additional Remark]],8,FALSE)</f>
        <v>17.7</v>
      </c>
      <c r="J208" s="4" t="str">
        <f>VLOOKUP(A:A,Table1[[Project No]:[Additional Remark]],23,FALSE)</f>
        <v xml:space="preserve">3 years </v>
      </c>
      <c r="K208" s="4" t="s">
        <v>1902</v>
      </c>
      <c r="L208" s="4" t="s">
        <v>2066</v>
      </c>
      <c r="M208" s="93">
        <v>45750</v>
      </c>
      <c r="N208" s="4"/>
      <c r="O208" s="4"/>
      <c r="P208" s="4"/>
      <c r="Q208" s="4"/>
      <c r="R208" s="4"/>
      <c r="S208" s="4"/>
      <c r="T208" s="4"/>
      <c r="U208" s="4"/>
      <c r="V208" s="4"/>
    </row>
    <row r="209" spans="1:22" x14ac:dyDescent="0.3">
      <c r="A209" s="4">
        <f>'ECN Master Project Tracker new'!A210</f>
        <v>2502548</v>
      </c>
      <c r="B209" s="108" t="str">
        <f>VLOOKUP(A:A,Table1[[#All],[Project No]:[Additional Remark]],2,FALSE)</f>
        <v>Wong Kok Wai</v>
      </c>
      <c r="C209" s="4" t="str">
        <f>VLOOKUP(A:A,Table1[[Project No]:[Additional Remark]],19,FALSE)</f>
        <v>910323-06-5427</v>
      </c>
      <c r="D209" s="4" t="str">
        <f>VLOOKUP(A:A,Table1[[Project No]:[Additional Remark]],20,FALSE)</f>
        <v>11, Lrg Sekilau 38, Tmn Sekilau Perdana, 25200 Kuantan, Pahang</v>
      </c>
      <c r="E209" s="4" t="str">
        <f>VLOOKUP(A:A,Table1[[Project No]:[Additional Remark]],21,FALSE)</f>
        <v>011-16233292</v>
      </c>
      <c r="F209" s="4" t="str">
        <f>VLOOKUP(A:A,Table1[[Project No]:[Additional Remark]],22,FALSE)</f>
        <v>rambowongkokwai@gmail.com</v>
      </c>
      <c r="G209" s="55">
        <f>VLOOKUP(A:A,Table1[[Project No]:[Additional Remark]],11,FALSE)</f>
        <v>42000</v>
      </c>
      <c r="H209" s="4" t="str">
        <f>VLOOKUP(A:A,Table1[[Project No]:[Additional Remark]],5,FALSE)</f>
        <v>R-PV</v>
      </c>
      <c r="I209" s="4">
        <f>VLOOKUP(A:A,Table1[[Project No]:[Additional Remark]],8,FALSE)</f>
        <v>17.7</v>
      </c>
      <c r="J209" s="4" t="str">
        <f>VLOOKUP(A:A,Table1[[Project No]:[Additional Remark]],23,FALSE)</f>
        <v xml:space="preserve">3 years </v>
      </c>
      <c r="K209" s="4" t="s">
        <v>1902</v>
      </c>
      <c r="L209" s="4" t="s">
        <v>2067</v>
      </c>
      <c r="M209" s="93">
        <v>45806</v>
      </c>
      <c r="N209" s="4"/>
      <c r="O209" s="4"/>
      <c r="P209" s="4"/>
      <c r="Q209" s="4"/>
      <c r="R209" s="4"/>
      <c r="S209" s="4"/>
      <c r="T209" s="4"/>
      <c r="U209" s="4"/>
      <c r="V209" s="4"/>
    </row>
    <row r="210" spans="1:22" x14ac:dyDescent="0.3">
      <c r="A210" s="4">
        <f>'ECN Master Project Tracker new'!A211</f>
        <v>2501545</v>
      </c>
      <c r="B210" s="108" t="str">
        <f>VLOOKUP(A:A,Table1[[#All],[Project No]:[Additional Remark]],2,FALSE)</f>
        <v>Lee Tian Look</v>
      </c>
      <c r="C210" s="4" t="str">
        <f>VLOOKUP(A:A,Table1[[Project No]:[Additional Remark]],19,FALSE)</f>
        <v>610115-06-5321</v>
      </c>
      <c r="D210" s="4" t="str">
        <f>VLOOKUP(A:A,Table1[[Project No]:[Additional Remark]],20,FALSE)</f>
        <v>53A Lrg Sj 6-3, Tmn Emas-Sri Jaya, 26500 Maran, Pahang Darul Makmur</v>
      </c>
      <c r="E210" s="4" t="str">
        <f>VLOOKUP(A:A,Table1[[Project No]:[Additional Remark]],21,FALSE)</f>
        <v>010-2109882</v>
      </c>
      <c r="F210" s="4" t="str">
        <f>VLOOKUP(A:A,Table1[[Project No]:[Additional Remark]],22,FALSE)</f>
        <v>leeweisen@gmail.com</v>
      </c>
      <c r="G210" s="55">
        <f>VLOOKUP(A:A,Table1[[Project No]:[Additional Remark]],11,FALSE)</f>
        <v>21800</v>
      </c>
      <c r="H210" s="4" t="str">
        <f>VLOOKUP(A:A,Table1[[Project No]:[Additional Remark]],5,FALSE)</f>
        <v>R-PV</v>
      </c>
      <c r="I210" s="4">
        <f>VLOOKUP(A:A,Table1[[Project No]:[Additional Remark]],8,FALSE)</f>
        <v>7.08</v>
      </c>
      <c r="J210" s="4" t="str">
        <f>VLOOKUP(A:A,Table1[[Project No]:[Additional Remark]],23,FALSE)</f>
        <v xml:space="preserve">3 years </v>
      </c>
      <c r="K210" s="4" t="s">
        <v>1902</v>
      </c>
      <c r="L210" s="4" t="s">
        <v>2068</v>
      </c>
      <c r="M210" s="93">
        <v>45806</v>
      </c>
      <c r="N210" s="4"/>
      <c r="O210" s="4"/>
      <c r="P210" s="4"/>
      <c r="Q210" s="4"/>
      <c r="R210" s="4"/>
      <c r="S210" s="4"/>
      <c r="T210" s="4"/>
      <c r="U210" s="4"/>
      <c r="V210" s="4"/>
    </row>
    <row r="211" spans="1:22" x14ac:dyDescent="0.3">
      <c r="A211" s="4">
        <f>'ECN Master Project Tracker new'!A212</f>
        <v>2311088</v>
      </c>
      <c r="B211" s="114" t="str">
        <f>VLOOKUP(A:A,Table1[[#All],[Project No]:[Additional Remark]],2,FALSE)</f>
        <v>Lee Chean Chung</v>
      </c>
      <c r="C211" s="4" t="str">
        <f>VLOOKUP(A:A,Table1[[Project No]:[Additional Remark]],19,FALSE)</f>
        <v>810411-06-5277</v>
      </c>
      <c r="D211" s="4" t="str">
        <f>VLOOKUP(A:A,Table1[[Project No]:[Additional Remark]],20,FALSE)</f>
        <v>5, Jalan 6/5, Seksyen 6. 46000 Petaling Jaya, Selangor</v>
      </c>
      <c r="E211" s="4" t="str">
        <f>VLOOKUP(A:A,Table1[[Project No]:[Additional Remark]],21,FALSE)</f>
        <v>012-9540498</v>
      </c>
      <c r="F211" s="4" t="str">
        <f>VLOOKUP(A:A,Table1[[Project No]:[Additional Remark]],22,FALSE)</f>
        <v>cheanchung@gmail.com</v>
      </c>
      <c r="G211" s="55">
        <f>VLOOKUP(A:A,Table1[[Project No]:[Additional Remark]],11,FALSE)</f>
        <v>27000</v>
      </c>
      <c r="H211" s="4" t="str">
        <f>VLOOKUP(A:A,Table1[[Project No]:[Additional Remark]],5,FALSE)</f>
        <v>R-PV</v>
      </c>
      <c r="I211" s="4">
        <f>VLOOKUP(A:A,Table1[[Project No]:[Additional Remark]],8,FALSE)</f>
        <v>10.62</v>
      </c>
      <c r="J211" s="4" t="str">
        <f>VLOOKUP(A:A,Table1[[Project No]:[Additional Remark]],23,FALSE)</f>
        <v xml:space="preserve">3 years </v>
      </c>
      <c r="K211" s="4"/>
      <c r="L211" s="4"/>
      <c r="M211" s="4"/>
      <c r="N211" s="4"/>
      <c r="O211" s="4"/>
      <c r="P211" s="4"/>
      <c r="Q211" s="4"/>
      <c r="R211" s="4"/>
      <c r="S211" s="4"/>
      <c r="T211" s="4"/>
      <c r="U211" s="4"/>
      <c r="V211" s="4"/>
    </row>
    <row r="212" spans="1:22" x14ac:dyDescent="0.3">
      <c r="A212" s="4">
        <f>'ECN Master Project Tracker new'!A213</f>
        <v>2502216</v>
      </c>
      <c r="B212" s="108" t="str">
        <f>VLOOKUP(A:A,Table1[[#All],[Project No]:[Additional Remark]],2,FALSE)</f>
        <v>Low Yi Chin</v>
      </c>
      <c r="C212" s="4" t="str">
        <f>VLOOKUP(A:A,Table1[[Project No]:[Additional Remark]],19,FALSE)</f>
        <v>730830-14-5255</v>
      </c>
      <c r="D212" s="4" t="str">
        <f>VLOOKUP(A:A,Table1[[Project No]:[Additional Remark]],20,FALSE)</f>
        <v>Lot 4358, Jln Kuantan Kg Sri Jaya, 26500 Sri Jaya, Pahang</v>
      </c>
      <c r="E212" s="4" t="str">
        <f>VLOOKUP(A:A,Table1[[Project No]:[Additional Remark]],21,FALSE)</f>
        <v>012-2529900</v>
      </c>
      <c r="F212" s="4" t="str">
        <f>VLOOKUP(A:A,Table1[[Project No]:[Additional Remark]],22,FALSE)</f>
        <v>chipseng.srijaya@yahoo.com.my</v>
      </c>
      <c r="G212" s="55">
        <f>VLOOKUP(A:A,Table1[[Project No]:[Additional Remark]],11,FALSE)</f>
        <v>37000</v>
      </c>
      <c r="H212" s="4" t="str">
        <f>VLOOKUP(A:A,Table1[[Project No]:[Additional Remark]],5,FALSE)</f>
        <v>C&amp;I-PV</v>
      </c>
      <c r="I212" s="4">
        <f>VLOOKUP(A:A,Table1[[Project No]:[Additional Remark]],8,FALSE)</f>
        <v>14.16</v>
      </c>
      <c r="J212" s="4" t="str">
        <f>VLOOKUP(A:A,Table1[[Project No]:[Additional Remark]],23,FALSE)</f>
        <v xml:space="preserve">3 years </v>
      </c>
      <c r="K212" s="4"/>
      <c r="L212" s="4"/>
      <c r="M212" s="4"/>
      <c r="N212" s="4"/>
      <c r="O212" s="4"/>
      <c r="P212" s="4"/>
      <c r="Q212" s="4"/>
      <c r="R212" s="4"/>
      <c r="S212" s="4"/>
      <c r="T212" s="4"/>
      <c r="U212" s="4"/>
      <c r="V212" s="4"/>
    </row>
    <row r="213" spans="1:22" x14ac:dyDescent="0.3">
      <c r="A213" s="4">
        <f>'ECN Master Project Tracker new'!A214</f>
        <v>2502553</v>
      </c>
      <c r="B213" s="108" t="str">
        <f>VLOOKUP(A:A,Table1[[#All],[Project No]:[Additional Remark]],2,FALSE)</f>
        <v>Salim Majid Zain Bin  Abdul Majid</v>
      </c>
      <c r="C213" s="4" t="str">
        <f>VLOOKUP(A:A,Table1[[Project No]:[Additional Remark]],19,FALSE)</f>
        <v>690717-10-5637</v>
      </c>
      <c r="D213" s="4" t="str">
        <f>VLOOKUP(A:A,Table1[[Project No]:[Additional Remark]],20,FALSE)</f>
        <v>48, Jalan Lanai Kiara, Taman Sri Haratamas, 50480 Kuala Lumpur, WP Kuala Lumpur</v>
      </c>
      <c r="E213" s="4" t="str">
        <f>VLOOKUP(A:A,Table1[[Project No]:[Additional Remark]],21,FALSE)</f>
        <v>019-2200333</v>
      </c>
      <c r="F213" s="4" t="str">
        <f>VLOOKUP(A:A,Table1[[Project No]:[Additional Remark]],22,FALSE)</f>
        <v>salimmaa@gmail.com</v>
      </c>
      <c r="G213" s="55">
        <f>VLOOKUP(A:A,Table1[[Project No]:[Additional Remark]],11,FALSE)</f>
        <v>42000</v>
      </c>
      <c r="H213" s="4" t="str">
        <f>VLOOKUP(A:A,Table1[[Project No]:[Additional Remark]],5,FALSE)</f>
        <v>R-PV</v>
      </c>
      <c r="I213" s="4">
        <f>VLOOKUP(A:A,Table1[[Project No]:[Additional Remark]],8,FALSE)</f>
        <v>17.7</v>
      </c>
      <c r="J213" s="4" t="str">
        <f>VLOOKUP(A:A,Table1[[Project No]:[Additional Remark]],23,FALSE)</f>
        <v xml:space="preserve">3 years </v>
      </c>
      <c r="K213" s="4" t="s">
        <v>1902</v>
      </c>
      <c r="L213" s="4" t="s">
        <v>2069</v>
      </c>
      <c r="M213" s="93">
        <v>45750</v>
      </c>
      <c r="N213" s="4"/>
      <c r="O213" s="4"/>
      <c r="P213" s="4"/>
      <c r="Q213" s="4"/>
      <c r="R213" s="4"/>
      <c r="S213" s="4"/>
      <c r="T213" s="4"/>
      <c r="U213" s="4"/>
      <c r="V213" s="4"/>
    </row>
    <row r="214" spans="1:22" x14ac:dyDescent="0.3">
      <c r="A214" s="4">
        <f>'ECN Master Project Tracker new'!A215</f>
        <v>2502552</v>
      </c>
      <c r="B214" s="108" t="str">
        <f>VLOOKUP(A:A,Table1[[#All],[Project No]:[Additional Remark]],2,FALSE)</f>
        <v>Anandan a/l Balakrishnan</v>
      </c>
      <c r="C214" s="4" t="str">
        <f>VLOOKUP(A:A,Table1[[Project No]:[Additional Remark]],19,FALSE)</f>
        <v>670720-05-5097</v>
      </c>
      <c r="D214" s="4" t="str">
        <f>VLOOKUP(A:A,Table1[[Project No]:[Additional Remark]],20,FALSE)</f>
        <v>79, Jalan SS 18/4, SS 18, 47500 Subang Jaya, Selangor</v>
      </c>
      <c r="E214" s="4" t="str">
        <f>VLOOKUP(A:A,Table1[[Project No]:[Additional Remark]],21,FALSE)</f>
        <v>012-2070181</v>
      </c>
      <c r="F214" s="4" t="str">
        <f>VLOOKUP(A:A,Table1[[Project No]:[Additional Remark]],22,FALSE)</f>
        <v>dan.anandan@yahoo.com</v>
      </c>
      <c r="G214" s="55">
        <f>VLOOKUP(A:A,Table1[[Project No]:[Additional Remark]],11,FALSE)</f>
        <v>31000</v>
      </c>
      <c r="H214" s="4" t="str">
        <f>VLOOKUP(A:A,Table1[[Project No]:[Additional Remark]],5,FALSE)</f>
        <v>R-PV</v>
      </c>
      <c r="I214" s="4">
        <f>VLOOKUP(A:A,Table1[[Project No]:[Additional Remark]],8,FALSE)</f>
        <v>11.8</v>
      </c>
      <c r="J214" s="4" t="str">
        <f>VLOOKUP(A:A,Table1[[Project No]:[Additional Remark]],23,FALSE)</f>
        <v xml:space="preserve">3 years </v>
      </c>
      <c r="K214" s="4" t="s">
        <v>1902</v>
      </c>
      <c r="L214" s="4" t="s">
        <v>2070</v>
      </c>
      <c r="M214" s="93">
        <v>45750</v>
      </c>
      <c r="N214" s="4"/>
      <c r="O214" s="4"/>
      <c r="P214" s="4"/>
      <c r="Q214" s="4"/>
      <c r="R214" s="4"/>
      <c r="S214" s="4"/>
      <c r="T214" s="4"/>
      <c r="U214" s="4"/>
      <c r="V214" s="4"/>
    </row>
    <row r="215" spans="1:22" x14ac:dyDescent="0.3">
      <c r="A215" s="4">
        <f>'ECN Master Project Tracker new'!A216</f>
        <v>2412519</v>
      </c>
      <c r="B215" s="108" t="str">
        <f>VLOOKUP(A:A,Table1[[#All],[Project No]:[Additional Remark]],2,FALSE)</f>
        <v>Liew Swee Fah</v>
      </c>
      <c r="C215" s="4" t="str">
        <f>VLOOKUP(A:A,Table1[[Project No]:[Additional Remark]],19,FALSE)</f>
        <v>700204-06-5293</v>
      </c>
      <c r="D215" s="4" t="str">
        <f>VLOOKUP(A:A,Table1[[Project No]:[Additional Remark]],20,FALSE)</f>
        <v>203, Kg Baru, Sungai Lui, 27600 Raub, Pahang</v>
      </c>
      <c r="E215" s="4" t="str">
        <f>VLOOKUP(A:A,Table1[[Project No]:[Additional Remark]],21,FALSE)</f>
        <v>011-37587569</v>
      </c>
      <c r="F215" s="4" t="str">
        <f>VLOOKUP(A:A,Table1[[Project No]:[Additional Remark]],22,FALSE)</f>
        <v>liewsweefah5379@gmail.com</v>
      </c>
      <c r="G215" s="55">
        <f>VLOOKUP(A:A,Table1[[Project No]:[Additional Remark]],11,FALSE)</f>
        <v>21500</v>
      </c>
      <c r="H215" s="4" t="str">
        <f>VLOOKUP(A:A,Table1[[Project No]:[Additional Remark]],5,FALSE)</f>
        <v>R-PV</v>
      </c>
      <c r="I215" s="4">
        <f>VLOOKUP(A:A,Table1[[Project No]:[Additional Remark]],8,FALSE)</f>
        <v>7.08</v>
      </c>
      <c r="J215" s="4" t="str">
        <f>VLOOKUP(A:A,Table1[[Project No]:[Additional Remark]],23,FALSE)</f>
        <v xml:space="preserve">3 years </v>
      </c>
      <c r="K215" s="4" t="s">
        <v>1902</v>
      </c>
      <c r="L215" s="4" t="s">
        <v>2071</v>
      </c>
      <c r="M215" s="93">
        <v>45806</v>
      </c>
      <c r="N215" s="4"/>
      <c r="O215" s="4"/>
      <c r="P215" s="4"/>
      <c r="Q215" s="4"/>
      <c r="R215" s="4"/>
      <c r="S215" s="4"/>
      <c r="T215" s="4"/>
      <c r="U215" s="4"/>
      <c r="V215" s="4"/>
    </row>
    <row r="216" spans="1:22" x14ac:dyDescent="0.3">
      <c r="A216" s="4">
        <f>'ECN Master Project Tracker new'!A217</f>
        <v>2502547</v>
      </c>
      <c r="B216" s="108" t="str">
        <f>VLOOKUP(A:A,Table1[[#All],[Project No]:[Additional Remark]],2,FALSE)</f>
        <v>Chong Chee Hoo</v>
      </c>
      <c r="C216" s="4" t="str">
        <f>VLOOKUP(A:A,Table1[[Project No]:[Additional Remark]],19,FALSE)</f>
        <v>860527-23-6635</v>
      </c>
      <c r="D216" s="4" t="str">
        <f>VLOOKUP(A:A,Table1[[Project No]:[Additional Remark]],20,FALSE)</f>
        <v>9, Jalan Eko Botani 1/7, Taman Eko Botani, 79100 Iskandar Puteri, Johor</v>
      </c>
      <c r="E216" s="4" t="str">
        <f>VLOOKUP(A:A,Table1[[Project No]:[Additional Remark]],21,FALSE)</f>
        <v>012-2556708</v>
      </c>
      <c r="F216" s="4" t="str">
        <f>VLOOKUP(A:A,Table1[[Project No]:[Additional Remark]],22,FALSE)</f>
        <v>cheehoo1450@gmail.com</v>
      </c>
      <c r="G216" s="55">
        <f>VLOOKUP(A:A,Table1[[Project No]:[Additional Remark]],11,FALSE)</f>
        <v>32840</v>
      </c>
      <c r="H216" s="4" t="str">
        <f>VLOOKUP(A:A,Table1[[Project No]:[Additional Remark]],5,FALSE)</f>
        <v>R-PV</v>
      </c>
      <c r="I216" s="4">
        <f>VLOOKUP(A:A,Table1[[Project No]:[Additional Remark]],8,FALSE)</f>
        <v>11.8</v>
      </c>
      <c r="J216" s="4" t="str">
        <f>VLOOKUP(A:A,Table1[[Project No]:[Additional Remark]],23,FALSE)</f>
        <v xml:space="preserve">3 years </v>
      </c>
      <c r="K216" s="4" t="s">
        <v>1902</v>
      </c>
      <c r="L216" s="4" t="s">
        <v>2072</v>
      </c>
      <c r="M216" s="93">
        <v>45750</v>
      </c>
      <c r="N216" s="4"/>
      <c r="O216" s="4"/>
      <c r="P216" s="4"/>
      <c r="Q216" s="4"/>
      <c r="R216" s="4"/>
      <c r="S216" s="4"/>
      <c r="T216" s="4"/>
      <c r="U216" s="4"/>
      <c r="V216" s="4"/>
    </row>
    <row r="217" spans="1:22" x14ac:dyDescent="0.3">
      <c r="A217" s="4">
        <f>'ECN Master Project Tracker new'!A218</f>
        <v>2502541</v>
      </c>
      <c r="B217" s="108" t="str">
        <f>VLOOKUP(A:A,Table1[[#All],[Project No]:[Additional Remark]],2,FALSE)</f>
        <v>Boo Kee Meng</v>
      </c>
      <c r="C217" s="4" t="str">
        <f>VLOOKUP(A:A,Table1[[Project No]:[Additional Remark]],19,FALSE)</f>
        <v>690901-01-5903</v>
      </c>
      <c r="D217" s="4" t="str">
        <f>VLOOKUP(A:A,Table1[[Project No]:[Additional Remark]],20,FALSE)</f>
        <v>6, Jalan Bertam 21, Taman Daya, 81100 Johor Bahru</v>
      </c>
      <c r="E217" s="4" t="str">
        <f>VLOOKUP(A:A,Table1[[Project No]:[Additional Remark]],21,FALSE)</f>
        <v>016-7255360</v>
      </c>
      <c r="F217" s="4" t="str">
        <f>VLOOKUP(A:A,Table1[[Project No]:[Additional Remark]],22,FALSE)</f>
        <v>lucasboo123@hotmail.com</v>
      </c>
      <c r="G217" s="55">
        <f>VLOOKUP(A:A,Table1[[Project No]:[Additional Remark]],11,FALSE)</f>
        <v>21500</v>
      </c>
      <c r="H217" s="4" t="str">
        <f>VLOOKUP(A:A,Table1[[Project No]:[Additional Remark]],5,FALSE)</f>
        <v>R-PV</v>
      </c>
      <c r="I217" s="4">
        <f>VLOOKUP(A:A,Table1[[Project No]:[Additional Remark]],8,FALSE)</f>
        <v>7.08</v>
      </c>
      <c r="J217" s="4" t="str">
        <f>VLOOKUP(A:A,Table1[[Project No]:[Additional Remark]],23,FALSE)</f>
        <v xml:space="preserve">3 years </v>
      </c>
      <c r="K217" s="4"/>
      <c r="L217" s="4"/>
      <c r="M217" s="4"/>
      <c r="N217" s="4"/>
      <c r="O217" s="4"/>
      <c r="P217" s="4"/>
      <c r="Q217" s="4"/>
      <c r="R217" s="4"/>
      <c r="S217" s="4"/>
      <c r="T217" s="4"/>
      <c r="U217" s="4"/>
      <c r="V217" s="4"/>
    </row>
    <row r="218" spans="1:22" x14ac:dyDescent="0.3">
      <c r="A218" s="4">
        <f>'ECN Master Project Tracker new'!A219</f>
        <v>2502556</v>
      </c>
      <c r="B218" s="108" t="str">
        <f>VLOOKUP(A:A,Table1[[#All],[Project No]:[Additional Remark]],2,FALSE)</f>
        <v>Gan Chong Sing</v>
      </c>
      <c r="C218" s="4" t="str">
        <f>VLOOKUP(A:A,Table1[[Project No]:[Additional Remark]],19,FALSE)</f>
        <v>900427-06-5131</v>
      </c>
      <c r="D218" s="4" t="str">
        <f>VLOOKUP(A:A,Table1[[Project No]:[Additional Remark]],20,FALSE)</f>
        <v>No A53, Jln Hock Bee Kg Sri Jaya, 26500 Sri Jaya, Pahang</v>
      </c>
      <c r="E218" s="4" t="str">
        <f>VLOOKUP(A:A,Table1[[Project No]:[Additional Remark]],21,FALSE)</f>
        <v>010-2399409</v>
      </c>
      <c r="F218" s="4" t="str">
        <f>VLOOKUP(A:A,Table1[[Project No]:[Additional Remark]],22,FALSE)</f>
        <v>chongsing90@hotmail.com</v>
      </c>
      <c r="G218" s="55">
        <f>VLOOKUP(A:A,Table1[[Project No]:[Additional Remark]],11,FALSE)</f>
        <v>22500</v>
      </c>
      <c r="H218" s="4" t="str">
        <f>VLOOKUP(A:A,Table1[[Project No]:[Additional Remark]],5,FALSE)</f>
        <v>R-PV</v>
      </c>
      <c r="I218" s="4">
        <f>VLOOKUP(A:A,Table1[[Project No]:[Additional Remark]],8,FALSE)</f>
        <v>7.08</v>
      </c>
      <c r="J218" s="4" t="str">
        <f>VLOOKUP(A:A,Table1[[Project No]:[Additional Remark]],23,FALSE)</f>
        <v xml:space="preserve">3 years </v>
      </c>
      <c r="K218" s="4" t="s">
        <v>1902</v>
      </c>
      <c r="L218" s="4" t="s">
        <v>2073</v>
      </c>
      <c r="M218" s="93">
        <v>45750</v>
      </c>
      <c r="N218" s="4"/>
      <c r="O218" s="4"/>
      <c r="P218" s="4"/>
      <c r="Q218" s="4"/>
      <c r="R218" s="4"/>
      <c r="S218" s="4"/>
      <c r="T218" s="4"/>
      <c r="U218" s="4"/>
      <c r="V218" s="4"/>
    </row>
    <row r="219" spans="1:22" x14ac:dyDescent="0.3">
      <c r="A219" s="4">
        <f>'ECN Master Project Tracker new'!A220</f>
        <v>2502551</v>
      </c>
      <c r="B219" s="108" t="str">
        <f>VLOOKUP(A:A,Table1[[#All],[Project No]:[Additional Remark]],2,FALSE)</f>
        <v>Tan Seng Shen</v>
      </c>
      <c r="C219" s="4" t="str">
        <f>VLOOKUP(A:A,Table1[[Project No]:[Additional Remark]],19,FALSE)</f>
        <v>680116-01-5493</v>
      </c>
      <c r="D219" s="4" t="str">
        <f>VLOOKUP(A:A,Table1[[Project No]:[Additional Remark]],20,FALSE)</f>
        <v>20, Jalan BK 6A/2G, Bandar Kinrara, 47180 Puchong, Selangor</v>
      </c>
      <c r="E219" s="4" t="str">
        <f>VLOOKUP(A:A,Table1[[Project No]:[Additional Remark]],21,FALSE)</f>
        <v>012-2329310</v>
      </c>
      <c r="F219" s="4" t="str">
        <f>VLOOKUP(A:A,Table1[[Project No]:[Additional Remark]],22,FALSE)</f>
        <v>samtan@insutex.my</v>
      </c>
      <c r="G219" s="55">
        <f>VLOOKUP(A:A,Table1[[Project No]:[Additional Remark]],11,FALSE)</f>
        <v>35000</v>
      </c>
      <c r="H219" s="4" t="str">
        <f>VLOOKUP(A:A,Table1[[Project No]:[Additional Remark]],5,FALSE)</f>
        <v>R-PV</v>
      </c>
      <c r="I219" s="4">
        <f>VLOOKUP(A:A,Table1[[Project No]:[Additional Remark]],8,FALSE)</f>
        <v>14.16</v>
      </c>
      <c r="J219" s="4" t="str">
        <f>VLOOKUP(A:A,Table1[[Project No]:[Additional Remark]],23,FALSE)</f>
        <v xml:space="preserve">3 years </v>
      </c>
      <c r="K219" s="4" t="s">
        <v>1902</v>
      </c>
      <c r="L219" s="4" t="s">
        <v>2074</v>
      </c>
      <c r="M219" s="93">
        <v>45806</v>
      </c>
      <c r="N219" s="4"/>
      <c r="O219" s="4"/>
      <c r="P219" s="4"/>
      <c r="Q219" s="4"/>
      <c r="R219" s="4"/>
      <c r="S219" s="4"/>
      <c r="T219" s="4"/>
      <c r="U219" s="4"/>
      <c r="V219" s="4"/>
    </row>
    <row r="220" spans="1:22" x14ac:dyDescent="0.3">
      <c r="A220" s="4">
        <f>'ECN Master Project Tracker new'!A221</f>
        <v>2502546</v>
      </c>
      <c r="B220" s="108" t="str">
        <f>VLOOKUP(A:A,Table1[[#All],[Project No]:[Additional Remark]],2,FALSE)</f>
        <v>Jordan Tan Heng Xiang</v>
      </c>
      <c r="C220" s="4" t="str">
        <f>VLOOKUP(A:A,Table1[[Project No]:[Additional Remark]],19,FALSE)</f>
        <v>920619-10-5001</v>
      </c>
      <c r="D220" s="4" t="str">
        <f>VLOOKUP(A:A,Table1[[Project No]:[Additional Remark]],20,FALSE)</f>
        <v>47, Jln Bungor 7, Bdr Botanic, 41200 Klang, Selangor</v>
      </c>
      <c r="E220" s="4" t="str">
        <f>VLOOKUP(A:A,Table1[[Project No]:[Additional Remark]],21,FALSE)</f>
        <v>016-3030529</v>
      </c>
      <c r="F220" s="4" t="str">
        <f>VLOOKUP(A:A,Table1[[Project No]:[Additional Remark]],22,FALSE)</f>
        <v>jordantan.1992@gmail.com</v>
      </c>
      <c r="G220" s="55">
        <f>VLOOKUP(A:A,Table1[[Project No]:[Additional Remark]],11,FALSE)</f>
        <v>22500</v>
      </c>
      <c r="H220" s="4" t="str">
        <f>VLOOKUP(A:A,Table1[[Project No]:[Additional Remark]],5,FALSE)</f>
        <v>R-PV</v>
      </c>
      <c r="I220" s="4">
        <f>VLOOKUP(A:A,Table1[[Project No]:[Additional Remark]],8,FALSE)</f>
        <v>7.08</v>
      </c>
      <c r="J220" s="4" t="str">
        <f>VLOOKUP(A:A,Table1[[Project No]:[Additional Remark]],23,FALSE)</f>
        <v xml:space="preserve">3 years </v>
      </c>
      <c r="K220" s="4" t="s">
        <v>1902</v>
      </c>
      <c r="L220" s="4" t="s">
        <v>2075</v>
      </c>
      <c r="M220" s="93">
        <v>45806</v>
      </c>
      <c r="N220" s="4"/>
      <c r="O220" s="4"/>
      <c r="P220" s="4"/>
      <c r="Q220" s="4"/>
      <c r="R220" s="4"/>
      <c r="S220" s="4"/>
      <c r="T220" s="4"/>
      <c r="U220" s="4"/>
      <c r="V220" s="4"/>
    </row>
    <row r="221" spans="1:22" x14ac:dyDescent="0.3">
      <c r="A221" s="4">
        <f>'ECN Master Project Tracker new'!A222</f>
        <v>2502559</v>
      </c>
      <c r="B221" s="108" t="str">
        <f>VLOOKUP(A:A,Table1[[#All],[Project No]:[Additional Remark]],2,FALSE)</f>
        <v>Wong Peng Soon</v>
      </c>
      <c r="C221" s="4" t="str">
        <f>VLOOKUP(A:A,Table1[[Project No]:[Additional Remark]],19,FALSE)</f>
        <v>570816-10-5679</v>
      </c>
      <c r="D221" s="4" t="str">
        <f>VLOOKUP(A:A,Table1[[Project No]:[Additional Remark]],20,FALSE)</f>
        <v>1, Lrg Im 13/7, Jln Sg Lembing (Astana Golf Resort), Indera Mahkota, 25200 Kuantan, Pahang</v>
      </c>
      <c r="E221" s="4" t="str">
        <f>VLOOKUP(A:A,Table1[[Project No]:[Additional Remark]],21,FALSE)</f>
        <v>012-9832681</v>
      </c>
      <c r="F221" s="4" t="str">
        <f>VLOOKUP(A:A,Table1[[Project No]:[Additional Remark]],22,FALSE)</f>
        <v>miaoshun@live.com.my</v>
      </c>
      <c r="G221" s="55">
        <f>VLOOKUP(A:A,Table1[[Project No]:[Additional Remark]],11,FALSE)</f>
        <v>28000</v>
      </c>
      <c r="H221" s="4" t="str">
        <f>VLOOKUP(A:A,Table1[[Project No]:[Additional Remark]],5,FALSE)</f>
        <v>R-PV</v>
      </c>
      <c r="I221" s="4">
        <f>VLOOKUP(A:A,Table1[[Project No]:[Additional Remark]],8,FALSE)</f>
        <v>9.44</v>
      </c>
      <c r="J221" s="4" t="str">
        <f>VLOOKUP(A:A,Table1[[Project No]:[Additional Remark]],23,FALSE)</f>
        <v xml:space="preserve">3 years </v>
      </c>
      <c r="K221" s="4" t="s">
        <v>1902</v>
      </c>
      <c r="L221" s="4" t="s">
        <v>2076</v>
      </c>
      <c r="M221" s="93">
        <v>45750</v>
      </c>
      <c r="N221" s="4"/>
      <c r="O221" s="4"/>
      <c r="P221" s="4"/>
      <c r="Q221" s="4"/>
      <c r="R221" s="4"/>
      <c r="S221" s="4"/>
      <c r="T221" s="4"/>
      <c r="U221" s="4"/>
      <c r="V221" s="4"/>
    </row>
    <row r="222" spans="1:22" x14ac:dyDescent="0.3">
      <c r="A222" s="4">
        <f>'ECN Master Project Tracker new'!A223</f>
        <v>2501537</v>
      </c>
      <c r="B222" s="108" t="str">
        <f>VLOOKUP(A:A,Table1[[#All],[Project No]:[Additional Remark]],2,FALSE)</f>
        <v>Chan My Ling</v>
      </c>
      <c r="C222" s="4" t="str">
        <f>VLOOKUP(A:A,Table1[[Project No]:[Additional Remark]],19,FALSE)</f>
        <v>651015-06-5528</v>
      </c>
      <c r="D222" s="4" t="str">
        <f>VLOOKUP(A:A,Table1[[Project No]:[Additional Remark]],20,FALSE)</f>
        <v>No 2, Jln Mandarina 2, Bkt Manda'rina, 56000 Cheras, WP Kuala Lumpur</v>
      </c>
      <c r="E222" s="4" t="str">
        <f>VLOOKUP(A:A,Table1[[Project No]:[Additional Remark]],21,FALSE)</f>
        <v>011-16262901</v>
      </c>
      <c r="F222" s="4" t="str">
        <f>VLOOKUP(A:A,Table1[[Project No]:[Additional Remark]],22,FALSE)</f>
        <v>irenechan2708@gmail.com</v>
      </c>
      <c r="G222" s="55">
        <f>VLOOKUP(A:A,Table1[[Project No]:[Additional Remark]],11,FALSE)</f>
        <v>33800</v>
      </c>
      <c r="H222" s="4" t="str">
        <f>VLOOKUP(A:A,Table1[[Project No]:[Additional Remark]],5,FALSE)</f>
        <v>R-PV</v>
      </c>
      <c r="I222" s="4">
        <f>VLOOKUP(A:A,Table1[[Project No]:[Additional Remark]],8,FALSE)</f>
        <v>12.39</v>
      </c>
      <c r="J222" s="4" t="str">
        <f>VLOOKUP(A:A,Table1[[Project No]:[Additional Remark]],23,FALSE)</f>
        <v xml:space="preserve">3 years </v>
      </c>
      <c r="K222" s="4" t="s">
        <v>1902</v>
      </c>
      <c r="L222" s="4" t="s">
        <v>2077</v>
      </c>
      <c r="M222" s="93">
        <v>45750</v>
      </c>
      <c r="N222" s="4"/>
      <c r="O222" s="4"/>
      <c r="P222" s="4"/>
      <c r="Q222" s="4"/>
      <c r="R222" s="4"/>
      <c r="S222" s="4"/>
      <c r="T222" s="4"/>
      <c r="U222" s="4"/>
      <c r="V222" s="4"/>
    </row>
    <row r="223" spans="1:22" x14ac:dyDescent="0.3">
      <c r="A223" s="4">
        <f>'ECN Master Project Tracker new'!A224</f>
        <v>2502550</v>
      </c>
      <c r="B223" s="114" t="str">
        <f>VLOOKUP(A:A,Table1[[#All],[Project No]:[Additional Remark]],2,FALSE)</f>
        <v>Ricky Goh Hoon Kan</v>
      </c>
      <c r="C223" s="4" t="str">
        <f>VLOOKUP(A:A,Table1[[Project No]:[Additional Remark]],19,FALSE)</f>
        <v>K2270382D</v>
      </c>
      <c r="D223" s="4" t="str">
        <f>VLOOKUP(A:A,Table1[[Project No]:[Additional Remark]],20,FALSE)</f>
        <v>5, Jln Pahang Tmn Canning, 31400 Ipoh, Perak</v>
      </c>
      <c r="E223" s="4" t="str">
        <f>VLOOKUP(A:A,Table1[[Project No]:[Additional Remark]],21,FALSE)</f>
        <v>017-4380711</v>
      </c>
      <c r="F223" s="4" t="str">
        <f>VLOOKUP(A:A,Table1[[Project No]:[Additional Remark]],22,FALSE)</f>
        <v>rickygohhk@yahoo.com</v>
      </c>
      <c r="G223" s="55">
        <f>VLOOKUP(A:A,Table1[[Project No]:[Additional Remark]],11,FALSE)</f>
        <v>37500</v>
      </c>
      <c r="H223" s="4" t="str">
        <f>VLOOKUP(A:A,Table1[[Project No]:[Additional Remark]],5,FALSE)</f>
        <v>R-PV</v>
      </c>
      <c r="I223" s="4">
        <f>VLOOKUP(A:A,Table1[[Project No]:[Additional Remark]],8,FALSE)</f>
        <v>14.75</v>
      </c>
      <c r="J223" s="4" t="str">
        <f>VLOOKUP(A:A,Table1[[Project No]:[Additional Remark]],23,FALSE)</f>
        <v>5 years</v>
      </c>
      <c r="K223" s="4"/>
      <c r="L223" s="4"/>
      <c r="M223" s="4"/>
      <c r="N223" s="4"/>
      <c r="O223" s="4"/>
      <c r="P223" s="4"/>
      <c r="Q223" s="4"/>
      <c r="R223" s="4"/>
      <c r="S223" s="4"/>
      <c r="T223" s="4"/>
      <c r="U223" s="4"/>
      <c r="V223" s="4"/>
    </row>
    <row r="224" spans="1:22" x14ac:dyDescent="0.3">
      <c r="A224" s="4">
        <f>'ECN Master Project Tracker new'!A225</f>
        <v>2502543</v>
      </c>
      <c r="B224" s="108" t="str">
        <f>VLOOKUP(A:A,Table1[[#All],[Project No]:[Additional Remark]],2,FALSE)</f>
        <v>Chow Leong Choon</v>
      </c>
      <c r="C224" s="4" t="str">
        <f>VLOOKUP(A:A,Table1[[Project No]:[Additional Remark]],19,FALSE)</f>
        <v>790829-14-5017</v>
      </c>
      <c r="D224" s="4" t="str">
        <f>VLOOKUP(A:A,Table1[[Project No]:[Additional Remark]],20,FALSE)</f>
        <v>41, Jln USJ 16/3, Mukim Damansara, 47630 Petaling Jaya, Selangor</v>
      </c>
      <c r="E224" s="4" t="str">
        <f>VLOOKUP(A:A,Table1[[Project No]:[Additional Remark]],21,FALSE)</f>
        <v>011-33111419</v>
      </c>
      <c r="F224" s="4" t="str">
        <f>VLOOKUP(A:A,Table1[[Project No]:[Additional Remark]],22,FALSE)</f>
        <v>lcchow2k@yahoo.com</v>
      </c>
      <c r="G224" s="55">
        <f>VLOOKUP(A:A,Table1[[Project No]:[Additional Remark]],11,FALSE)</f>
        <v>22000</v>
      </c>
      <c r="H224" s="4" t="str">
        <f>VLOOKUP(A:A,Table1[[Project No]:[Additional Remark]],5,FALSE)</f>
        <v>R-PV</v>
      </c>
      <c r="I224" s="4">
        <f>VLOOKUP(A:A,Table1[[Project No]:[Additional Remark]],8,FALSE)</f>
        <v>7.08</v>
      </c>
      <c r="J224" s="4" t="str">
        <f>VLOOKUP(A:A,Table1[[Project No]:[Additional Remark]],23,FALSE)</f>
        <v>N/A</v>
      </c>
      <c r="K224" s="163" t="s">
        <v>109</v>
      </c>
      <c r="L224" s="164" t="s">
        <v>109</v>
      </c>
      <c r="M224" s="165"/>
      <c r="N224" s="163" t="s">
        <v>109</v>
      </c>
      <c r="O224" s="164"/>
      <c r="P224" s="165"/>
      <c r="Q224" s="163" t="s">
        <v>109</v>
      </c>
      <c r="R224" s="164"/>
      <c r="S224" s="165"/>
      <c r="T224" s="163" t="s">
        <v>109</v>
      </c>
      <c r="U224" s="164"/>
      <c r="V224" s="165"/>
    </row>
    <row r="225" spans="1:22" x14ac:dyDescent="0.3">
      <c r="A225" s="4">
        <f>'ECN Master Project Tracker new'!A226</f>
        <v>2502560</v>
      </c>
      <c r="B225" s="108" t="str">
        <f>VLOOKUP(A:A,Table1[[#All],[Project No]:[Additional Remark]],2,FALSE)</f>
        <v>Lim Sooi Poh</v>
      </c>
      <c r="C225" s="4" t="str">
        <f>VLOOKUP(A:A,Table1[[Project No]:[Additional Remark]],19,FALSE)</f>
        <v>600828-01-5237</v>
      </c>
      <c r="D225" s="4" t="str">
        <f>VLOOKUP(A:A,Table1[[Project No]:[Additional Remark]],20,FALSE)</f>
        <v>17, Double Storey Semi-Detached, Jln Panorama 2, Tmn Kota Panorama, 83700 Yong Peng, Johor</v>
      </c>
      <c r="E225" s="4" t="str">
        <f>VLOOKUP(A:A,Table1[[Project No]:[Additional Remark]],21,FALSE)</f>
        <v>019-7137352</v>
      </c>
      <c r="F225" s="4" t="str">
        <f>VLOOKUP(A:A,Table1[[Project No]:[Additional Remark]],22,FALSE)</f>
        <v>c2pxian92@hotmail.com</v>
      </c>
      <c r="G225" s="55">
        <f>VLOOKUP(A:A,Table1[[Project No]:[Additional Remark]],11,FALSE)</f>
        <v>35000</v>
      </c>
      <c r="H225" s="4" t="str">
        <f>VLOOKUP(A:A,Table1[[Project No]:[Additional Remark]],5,FALSE)</f>
        <v>R-PV</v>
      </c>
      <c r="I225" s="4">
        <f>VLOOKUP(A:A,Table1[[Project No]:[Additional Remark]],8,FALSE)</f>
        <v>14.16</v>
      </c>
      <c r="J225" s="4" t="str">
        <f>VLOOKUP(A:A,Table1[[Project No]:[Additional Remark]],23,FALSE)</f>
        <v xml:space="preserve">3 years </v>
      </c>
      <c r="K225" s="4" t="s">
        <v>1902</v>
      </c>
      <c r="L225" s="4" t="s">
        <v>2078</v>
      </c>
      <c r="M225" s="93">
        <v>45806</v>
      </c>
      <c r="N225" s="4"/>
      <c r="O225" s="4"/>
      <c r="P225" s="4"/>
      <c r="Q225" s="4"/>
      <c r="R225" s="4"/>
      <c r="S225" s="4"/>
      <c r="T225" s="4"/>
      <c r="U225" s="4"/>
      <c r="V225" s="4"/>
    </row>
    <row r="226" spans="1:22" x14ac:dyDescent="0.3">
      <c r="A226" s="4" t="str">
        <f>'ECN Master Project Tracker new'!A227</f>
        <v>2408411-1</v>
      </c>
      <c r="B226" s="108" t="str">
        <f>VLOOKUP(A:A,Table1[[#All],[Project No]:[Additional Remark]],2,FALSE)</f>
        <v>Eng Khai Shu</v>
      </c>
      <c r="C226" s="4" t="str">
        <f>VLOOKUP(A:A,Table1[[Project No]:[Additional Remark]],19,FALSE)</f>
        <v>880903-14-5138</v>
      </c>
      <c r="D226" s="4" t="str">
        <f>VLOOKUP(A:A,Table1[[Project No]:[Additional Remark]],20,FALSE)</f>
        <v>72, WP Kuala Lumpur, Jalan Kasipillay, 51200 Kuala Lumpur, WP Kuala Lumpur</v>
      </c>
      <c r="E226" s="4" t="str">
        <f>VLOOKUP(A:A,Table1[[Project No]:[Additional Remark]],21,FALSE)</f>
        <v>012-5030513</v>
      </c>
      <c r="F226" s="4" t="str">
        <f>VLOOKUP(A:A,Table1[[Project No]:[Additional Remark]],22,FALSE)</f>
        <v>celinebellea0903@gmail.com</v>
      </c>
      <c r="G226" s="55">
        <f>VLOOKUP(A:A,Table1[[Project No]:[Additional Remark]],11,FALSE)</f>
        <v>43000</v>
      </c>
      <c r="H226" s="4" t="str">
        <f>VLOOKUP(A:A,Table1[[Project No]:[Additional Remark]],5,FALSE)</f>
        <v>R-PV</v>
      </c>
      <c r="I226" s="4">
        <f>VLOOKUP(A:A,Table1[[Project No]:[Additional Remark]],8,FALSE)</f>
        <v>17.7</v>
      </c>
      <c r="J226" s="4" t="str">
        <f>VLOOKUP(A:A,Table1[[Project No]:[Additional Remark]],23,FALSE)</f>
        <v xml:space="preserve">3 years </v>
      </c>
      <c r="K226" s="4" t="s">
        <v>1902</v>
      </c>
      <c r="L226" s="4" t="s">
        <v>2079</v>
      </c>
      <c r="M226" s="93">
        <v>45806</v>
      </c>
      <c r="N226" s="4"/>
      <c r="O226" s="4"/>
      <c r="P226" s="4"/>
      <c r="Q226" s="4"/>
      <c r="R226" s="4"/>
      <c r="S226" s="4"/>
      <c r="T226" s="4"/>
      <c r="U226" s="4"/>
      <c r="V226" s="4"/>
    </row>
    <row r="227" spans="1:22" x14ac:dyDescent="0.3">
      <c r="A227" s="4">
        <f>'ECN Master Project Tracker new'!A228</f>
        <v>2502569</v>
      </c>
      <c r="B227" s="108" t="str">
        <f>VLOOKUP(A:A,Table1[[#All],[Project No]:[Additional Remark]],2,FALSE)</f>
        <v>Chew Beng Hock</v>
      </c>
      <c r="C227" s="4" t="str">
        <f>VLOOKUP(A:A,Table1[[Project No]:[Additional Remark]],19,FALSE)</f>
        <v>670201-04-5153</v>
      </c>
      <c r="D227" s="4" t="str">
        <f>VLOOKUP(A:A,Table1[[Project No]:[Additional Remark]],20,FALSE)</f>
        <v>51, Jln USJ 11/1F, UEP Subang Jaya, 47600 Subang Jaya, Selangor</v>
      </c>
      <c r="E227" s="4" t="str">
        <f>VLOOKUP(A:A,Table1[[Project No]:[Additional Remark]],21,FALSE)</f>
        <v>017-8779033</v>
      </c>
      <c r="F227" s="4" t="str">
        <f>VLOOKUP(A:A,Table1[[Project No]:[Additional Remark]],22,FALSE)</f>
        <v>ameliachew76@yahoo.com</v>
      </c>
      <c r="G227" s="55">
        <f>VLOOKUP(A:A,Table1[[Project No]:[Additional Remark]],11,FALSE)</f>
        <v>29228</v>
      </c>
      <c r="H227" s="4" t="str">
        <f>VLOOKUP(A:A,Table1[[Project No]:[Additional Remark]],5,FALSE)</f>
        <v>R-PV</v>
      </c>
      <c r="I227" s="4">
        <f>VLOOKUP(A:A,Table1[[Project No]:[Additional Remark]],8,FALSE)</f>
        <v>8.85</v>
      </c>
      <c r="J227" s="4" t="str">
        <f>VLOOKUP(A:A,Table1[[Project No]:[Additional Remark]],23,FALSE)</f>
        <v xml:space="preserve">3 years </v>
      </c>
      <c r="K227" s="4" t="s">
        <v>1902</v>
      </c>
      <c r="L227" s="4" t="s">
        <v>2080</v>
      </c>
      <c r="M227" s="93">
        <v>45806</v>
      </c>
      <c r="N227" s="4"/>
      <c r="O227" s="4"/>
      <c r="P227" s="4"/>
      <c r="Q227" s="4"/>
      <c r="R227" s="4"/>
      <c r="S227" s="4"/>
      <c r="T227" s="4"/>
      <c r="U227" s="4"/>
      <c r="V227" s="4"/>
    </row>
    <row r="228" spans="1:22" x14ac:dyDescent="0.3">
      <c r="A228" s="4">
        <f>'ECN Master Project Tracker new'!A229</f>
        <v>2502565</v>
      </c>
      <c r="B228" s="114" t="str">
        <f>VLOOKUP(A:A,Table1[[#All],[Project No]:[Additional Remark]],2,FALSE)</f>
        <v>Yeo Shu Jin</v>
      </c>
      <c r="C228" s="4" t="str">
        <f>VLOOKUP(A:A,Table1[[Project No]:[Additional Remark]],19,FALSE)</f>
        <v>820817-10-5821</v>
      </c>
      <c r="D228" s="4" t="str">
        <f>VLOOKUP(A:A,Table1[[Project No]:[Additional Remark]],20,FALSE)</f>
        <v>8, Jalan Aman Perdana 8E/KU5, Taman Aman Perdana, 41050 Klang, Selangor</v>
      </c>
      <c r="E228" s="4" t="str">
        <f>VLOOKUP(A:A,Table1[[Project No]:[Additional Remark]],21,FALSE)</f>
        <v>012-2111891</v>
      </c>
      <c r="F228" s="4" t="str">
        <f>VLOOKUP(A:A,Table1[[Project No]:[Additional Remark]],22,FALSE)</f>
        <v>sjyeo82@yahoo.com</v>
      </c>
      <c r="G228" s="55">
        <f>VLOOKUP(A:A,Table1[[Project No]:[Additional Remark]],11,FALSE)</f>
        <v>21500</v>
      </c>
      <c r="H228" s="4" t="str">
        <f>VLOOKUP(A:A,Table1[[Project No]:[Additional Remark]],5,FALSE)</f>
        <v>R-PV</v>
      </c>
      <c r="I228" s="4">
        <f>VLOOKUP(A:A,Table1[[Project No]:[Additional Remark]],8,FALSE)</f>
        <v>7.67</v>
      </c>
      <c r="J228" s="4" t="str">
        <f>VLOOKUP(A:A,Table1[[Project No]:[Additional Remark]],23,FALSE)</f>
        <v xml:space="preserve">3 years </v>
      </c>
      <c r="K228" s="4"/>
      <c r="L228" s="4"/>
      <c r="M228" s="4"/>
      <c r="N228" s="4"/>
      <c r="O228" s="4"/>
      <c r="P228" s="4"/>
      <c r="Q228" s="4"/>
      <c r="R228" s="4"/>
      <c r="S228" s="4"/>
      <c r="T228" s="4"/>
      <c r="U228" s="4"/>
      <c r="V228" s="4"/>
    </row>
    <row r="229" spans="1:22" x14ac:dyDescent="0.3">
      <c r="A229" s="4">
        <f>'ECN Master Project Tracker new'!A230</f>
        <v>2502549</v>
      </c>
      <c r="B229" s="114" t="str">
        <f>VLOOKUP(A:A,Table1[[#All],[Project No]:[Additional Remark]],2,FALSE)</f>
        <v>Har Hock Lee</v>
      </c>
      <c r="C229" s="4" t="str">
        <f>VLOOKUP(A:A,Table1[[Project No]:[Additional Remark]],19,FALSE)</f>
        <v>650217-08-5143</v>
      </c>
      <c r="D229" s="4" t="str">
        <f>VLOOKUP(A:A,Table1[[Project No]:[Additional Remark]],20,FALSE)</f>
        <v>Lot 5361, Lrg SJ 6-3, Tmn Emas-Sri  Jaya, 26500 Maran, Pahang</v>
      </c>
      <c r="E229" s="4" t="str">
        <f>VLOOKUP(A:A,Table1[[Project No]:[Additional Remark]],21,FALSE)</f>
        <v>013-9304377</v>
      </c>
      <c r="F229" s="4" t="str">
        <f>VLOOKUP(A:A,Table1[[Project No]:[Additional Remark]],22,FALSE)</f>
        <v>harwanhong99@gmail.com</v>
      </c>
      <c r="G229" s="55">
        <f>VLOOKUP(A:A,Table1[[Project No]:[Additional Remark]],11,FALSE)</f>
        <v>35000</v>
      </c>
      <c r="H229" s="4" t="str">
        <f>VLOOKUP(A:A,Table1[[Project No]:[Additional Remark]],5,FALSE)</f>
        <v>R-PV</v>
      </c>
      <c r="I229" s="4">
        <f>VLOOKUP(A:A,Table1[[Project No]:[Additional Remark]],8,FALSE)</f>
        <v>14.16</v>
      </c>
      <c r="J229" s="4" t="str">
        <f>VLOOKUP(A:A,Table1[[Project No]:[Additional Remark]],23,FALSE)</f>
        <v xml:space="preserve">3 years </v>
      </c>
      <c r="K229" s="4"/>
      <c r="L229" s="4"/>
      <c r="M229" s="4"/>
      <c r="N229" s="4"/>
      <c r="O229" s="4"/>
      <c r="P229" s="4"/>
      <c r="Q229" s="4"/>
      <c r="R229" s="4"/>
      <c r="S229" s="4"/>
      <c r="T229" s="4"/>
      <c r="U229" s="4"/>
      <c r="V229" s="4"/>
    </row>
    <row r="230" spans="1:22" x14ac:dyDescent="0.3">
      <c r="A230" s="4">
        <f>'ECN Master Project Tracker new'!A231</f>
        <v>2405286</v>
      </c>
      <c r="B230" s="108" t="str">
        <f>VLOOKUP(A:A,Table1[[#All],[Project No]:[Additional Remark]],2,FALSE)</f>
        <v>Wong Wai Hung</v>
      </c>
      <c r="C230" s="4" t="str">
        <f>VLOOKUP(A:A,Table1[[Project No]:[Additional Remark]],19,FALSE)</f>
        <v>760329-14-5793</v>
      </c>
      <c r="D230" s="4" t="str">
        <f>VLOOKUP(A:A,Table1[[Project No]:[Additional Remark]],20,FALSE)</f>
        <v>25, Jalan SS 3/86, Taman Universiti, 47300 Petaling Jaya, Selangor</v>
      </c>
      <c r="E230" s="4" t="str">
        <f>VLOOKUP(A:A,Table1[[Project No]:[Additional Remark]],21,FALSE)</f>
        <v>019-2266120</v>
      </c>
      <c r="F230" s="4" t="str">
        <f>VLOOKUP(A:A,Table1[[Project No]:[Additional Remark]],22,FALSE)</f>
        <v>w.waihung@gmail.com</v>
      </c>
      <c r="G230" s="55">
        <f>VLOOKUP(A:A,Table1[[Project No]:[Additional Remark]],11,FALSE)</f>
        <v>41000</v>
      </c>
      <c r="H230" s="4" t="str">
        <f>VLOOKUP(A:A,Table1[[Project No]:[Additional Remark]],5,FALSE)</f>
        <v>R-PV</v>
      </c>
      <c r="I230" s="4">
        <f>VLOOKUP(A:A,Table1[[Project No]:[Additional Remark]],8,FALSE)</f>
        <v>17.7</v>
      </c>
      <c r="J230" s="4" t="str">
        <f>VLOOKUP(A:A,Table1[[Project No]:[Additional Remark]],23,FALSE)</f>
        <v xml:space="preserve">3 years </v>
      </c>
      <c r="K230" s="4" t="s">
        <v>1902</v>
      </c>
      <c r="L230" s="4" t="s">
        <v>2081</v>
      </c>
      <c r="M230" s="93">
        <v>45806</v>
      </c>
      <c r="N230" s="4"/>
      <c r="O230" s="4"/>
      <c r="P230" s="4"/>
      <c r="Q230" s="4"/>
      <c r="R230" s="4"/>
      <c r="S230" s="4"/>
      <c r="T230" s="4"/>
      <c r="U230" s="4"/>
      <c r="V230" s="4"/>
    </row>
    <row r="231" spans="1:22" x14ac:dyDescent="0.3">
      <c r="A231" s="4">
        <f>'ECN Master Project Tracker new'!A232</f>
        <v>2501527</v>
      </c>
      <c r="B231" s="108" t="str">
        <f>VLOOKUP(A:A,Table1[[#All],[Project No]:[Additional Remark]],2,FALSE)</f>
        <v>Kuan Guan Chong</v>
      </c>
      <c r="C231" s="4" t="str">
        <f>VLOOKUP(A:A,Table1[[Project No]:[Additional Remark]],19,FALSE)</f>
        <v>551212-03-5215</v>
      </c>
      <c r="D231" s="4" t="str">
        <f>VLOOKUP(A:A,Table1[[Project No]:[Additional Remark]],20,FALSE)</f>
        <v>7, Jln Impian 1, Tmn Impian Villa, 27600 Raub, Pahang</v>
      </c>
      <c r="E231" s="4" t="str">
        <f>VLOOKUP(A:A,Table1[[Project No]:[Additional Remark]],21,FALSE)</f>
        <v>017-9331115</v>
      </c>
      <c r="F231" s="4" t="str">
        <f>VLOOKUP(A:A,Table1[[Project No]:[Additional Remark]],22,FALSE)</f>
        <v>kuankianyang@hotmail.com</v>
      </c>
      <c r="G231" s="55">
        <f>VLOOKUP(A:A,Table1[[Project No]:[Additional Remark]],11,FALSE)</f>
        <v>31000</v>
      </c>
      <c r="H231" s="4" t="str">
        <f>VLOOKUP(A:A,Table1[[Project No]:[Additional Remark]],5,FALSE)</f>
        <v>R-PV</v>
      </c>
      <c r="I231" s="4">
        <f>VLOOKUP(A:A,Table1[[Project No]:[Additional Remark]],8,FALSE)</f>
        <v>11.8</v>
      </c>
      <c r="J231" s="4" t="str">
        <f>VLOOKUP(A:A,Table1[[Project No]:[Additional Remark]],23,FALSE)</f>
        <v xml:space="preserve">3 years </v>
      </c>
      <c r="K231" s="4" t="s">
        <v>1902</v>
      </c>
      <c r="L231" s="4" t="s">
        <v>2082</v>
      </c>
      <c r="M231" s="93">
        <v>45806</v>
      </c>
      <c r="N231" s="4"/>
      <c r="O231" s="4"/>
      <c r="P231" s="4"/>
      <c r="Q231" s="4"/>
      <c r="R231" s="4"/>
      <c r="S231" s="4"/>
      <c r="T231" s="4"/>
      <c r="U231" s="4"/>
      <c r="V231" s="4"/>
    </row>
    <row r="232" spans="1:22" x14ac:dyDescent="0.3">
      <c r="A232" s="4">
        <f>'ECN Master Project Tracker new'!A233</f>
        <v>2501529</v>
      </c>
      <c r="B232" s="108" t="str">
        <f>VLOOKUP(A:A,Table1[[#All],[Project No]:[Additional Remark]],2,FALSE)</f>
        <v>Kuan Kian Yang</v>
      </c>
      <c r="C232" s="4" t="str">
        <f>VLOOKUP(A:A,Table1[[Project No]:[Additional Remark]],19,FALSE)</f>
        <v>831207-03-5225</v>
      </c>
      <c r="D232" s="4" t="str">
        <f>VLOOKUP(A:A,Table1[[Project No]:[Additional Remark]],20,FALSE)</f>
        <v>No 93, Jalan Impian 4, Taman Impian Villa, 27600 Raub Pahang</v>
      </c>
      <c r="E232" s="4" t="str">
        <f>VLOOKUP(A:A,Table1[[Project No]:[Additional Remark]],21,FALSE)</f>
        <v>017-9331115</v>
      </c>
      <c r="F232" s="4" t="str">
        <f>VLOOKUP(A:A,Table1[[Project No]:[Additional Remark]],22,FALSE)</f>
        <v>kuankianyang@hotmail.com</v>
      </c>
      <c r="G232" s="55">
        <f>VLOOKUP(A:A,Table1[[Project No]:[Additional Remark]],11,FALSE)</f>
        <v>29000</v>
      </c>
      <c r="H232" s="4" t="str">
        <f>VLOOKUP(A:A,Table1[[Project No]:[Additional Remark]],5,FALSE)</f>
        <v>R-PV</v>
      </c>
      <c r="I232" s="4">
        <f>VLOOKUP(A:A,Table1[[Project No]:[Additional Remark]],8,FALSE)</f>
        <v>10.62</v>
      </c>
      <c r="J232" s="4" t="str">
        <f>VLOOKUP(A:A,Table1[[Project No]:[Additional Remark]],23,FALSE)</f>
        <v xml:space="preserve">3 years </v>
      </c>
      <c r="K232" s="4" t="s">
        <v>1902</v>
      </c>
      <c r="L232" s="4" t="s">
        <v>2083</v>
      </c>
      <c r="M232" s="93">
        <v>45806</v>
      </c>
      <c r="N232" s="4"/>
      <c r="O232" s="4"/>
      <c r="P232" s="4"/>
      <c r="Q232" s="4"/>
      <c r="R232" s="4"/>
      <c r="S232" s="4"/>
      <c r="T232" s="4"/>
      <c r="U232" s="4"/>
      <c r="V232" s="4"/>
    </row>
    <row r="233" spans="1:22" x14ac:dyDescent="0.3">
      <c r="A233" s="4">
        <f>'ECN Master Project Tracker new'!A234</f>
        <v>2502581</v>
      </c>
      <c r="B233" s="108" t="str">
        <f>VLOOKUP(A:A,Table1[[#All],[Project No]:[Additional Remark]],2,FALSE)</f>
        <v>Loh Chee Kuan</v>
      </c>
      <c r="C233" s="4" t="str">
        <f>VLOOKUP(A:A,Table1[[Project No]:[Additional Remark]],19,FALSE)</f>
        <v>810227-14-5381</v>
      </c>
      <c r="D233" s="4" t="str">
        <f>VLOOKUP(A:A,Table1[[Project No]:[Additional Remark]],20,FALSE)</f>
        <v>No 12, Jln Megah 11A, Tmn Megah, 43200 Batu 11 Cheras, Selangor</v>
      </c>
      <c r="E233" s="4" t="str">
        <f>VLOOKUP(A:A,Table1[[Project No]:[Additional Remark]],21,FALSE)</f>
        <v>012-6269463</v>
      </c>
      <c r="F233" s="4" t="str">
        <f>VLOOKUP(A:A,Table1[[Project No]:[Additional Remark]],22,FALSE)</f>
        <v>stanleyloh33@gmail.com</v>
      </c>
      <c r="G233" s="55">
        <f>VLOOKUP(A:A,Table1[[Project No]:[Additional Remark]],11,FALSE)</f>
        <v>22340</v>
      </c>
      <c r="H233" s="4" t="str">
        <f>VLOOKUP(A:A,Table1[[Project No]:[Additional Remark]],5,FALSE)</f>
        <v>R-PV</v>
      </c>
      <c r="I233" s="4">
        <f>VLOOKUP(A:A,Table1[[Project No]:[Additional Remark]],8,FALSE)</f>
        <v>7.08</v>
      </c>
      <c r="J233" s="4" t="str">
        <f>VLOOKUP(A:A,Table1[[Project No]:[Additional Remark]],23,FALSE)</f>
        <v xml:space="preserve">3 years </v>
      </c>
      <c r="K233" s="4" t="s">
        <v>1902</v>
      </c>
      <c r="L233" s="4" t="s">
        <v>2084</v>
      </c>
      <c r="M233" s="93">
        <v>45806</v>
      </c>
      <c r="N233" s="4"/>
      <c r="O233" s="4"/>
      <c r="P233" s="4"/>
      <c r="Q233" s="4"/>
      <c r="R233" s="4"/>
      <c r="S233" s="4"/>
      <c r="T233" s="4"/>
      <c r="U233" s="4"/>
      <c r="V233" s="4"/>
    </row>
    <row r="234" spans="1:22" x14ac:dyDescent="0.3">
      <c r="A234" s="4">
        <f>'ECN Master Project Tracker new'!A235</f>
        <v>2501540</v>
      </c>
      <c r="B234" s="108" t="str">
        <f>VLOOKUP(A:A,Table1[[#All],[Project No]:[Additional Remark]],2,FALSE)</f>
        <v>Mohd Rushdi Bin Haji Abu Bakar</v>
      </c>
      <c r="C234" s="4" t="str">
        <f>VLOOKUP(A:A,Table1[[Project No]:[Additional Remark]],19,FALSE)</f>
        <v>730408-06-5049</v>
      </c>
      <c r="D234" s="4" t="str">
        <f>VLOOKUP(A:A,Table1[[Project No]:[Additional Remark]],20,FALSE)</f>
        <v>No 59, Lrg Seri Damai Aman 52, Jln Gambang, Tmn Seri Damai Aman, 25150 Kuantan, Pahang</v>
      </c>
      <c r="E234" s="4" t="str">
        <f>VLOOKUP(A:A,Table1[[Project No]:[Additional Remark]],21,FALSE)</f>
        <v>010-5767058</v>
      </c>
      <c r="F234" s="4" t="str">
        <f>VLOOKUP(A:A,Table1[[Project No]:[Additional Remark]],22,FALSE)</f>
        <v>mohd.rushdi.abu.bakar@gmail.com</v>
      </c>
      <c r="G234" s="55">
        <f>VLOOKUP(A:A,Table1[[Project No]:[Additional Remark]],11,FALSE)</f>
        <v>23429</v>
      </c>
      <c r="H234" s="4" t="str">
        <f>VLOOKUP(A:A,Table1[[Project No]:[Additional Remark]],5,FALSE)</f>
        <v>R-PV</v>
      </c>
      <c r="I234" s="4">
        <f>VLOOKUP(A:A,Table1[[Project No]:[Additional Remark]],8,FALSE)</f>
        <v>7.08</v>
      </c>
      <c r="J234" s="4" t="str">
        <f>VLOOKUP(A:A,Table1[[Project No]:[Additional Remark]],23,FALSE)</f>
        <v xml:space="preserve">3 years </v>
      </c>
      <c r="K234" s="4" t="s">
        <v>1902</v>
      </c>
      <c r="L234" s="4" t="s">
        <v>2085</v>
      </c>
      <c r="M234" s="93">
        <v>45806</v>
      </c>
      <c r="N234" s="4"/>
      <c r="O234" s="4"/>
      <c r="P234" s="4"/>
      <c r="Q234" s="4"/>
      <c r="R234" s="4"/>
      <c r="S234" s="4"/>
      <c r="T234" s="4"/>
      <c r="U234" s="4"/>
      <c r="V234" s="4"/>
    </row>
    <row r="235" spans="1:22" x14ac:dyDescent="0.3">
      <c r="A235" s="4">
        <f>'ECN Master Project Tracker new'!A236</f>
        <v>2502571</v>
      </c>
      <c r="B235" s="108" t="str">
        <f>VLOOKUP(A:A,Table1[[#All],[Project No]:[Additional Remark]],2,FALSE)</f>
        <v>Ting Kam Peng</v>
      </c>
      <c r="C235" s="4" t="str">
        <f>VLOOKUP(A:A,Table1[[Project No]:[Additional Remark]],19,FALSE)</f>
        <v>500414-08-5173</v>
      </c>
      <c r="D235" s="4" t="str">
        <f>VLOOKUP(A:A,Table1[[Project No]:[Additional Remark]],20,FALSE)</f>
        <v>13, Jln 13 Jln Klang Lama Bt 5, Tmn Lee Yan Lian, 58200 WP Kuala Lumpur</v>
      </c>
      <c r="E235" s="4" t="str">
        <f>VLOOKUP(A:A,Table1[[Project No]:[Additional Remark]],21,FALSE)</f>
        <v>019-3211233</v>
      </c>
      <c r="F235" s="4" t="str">
        <f>VLOOKUP(A:A,Table1[[Project No]:[Additional Remark]],22,FALSE)</f>
        <v>tingkampeng@gmail.com</v>
      </c>
      <c r="G235" s="55">
        <f>VLOOKUP(A:A,Table1[[Project No]:[Additional Remark]],11,FALSE)</f>
        <v>32840</v>
      </c>
      <c r="H235" s="4" t="str">
        <f>VLOOKUP(A:A,Table1[[Project No]:[Additional Remark]],5,FALSE)</f>
        <v>R-PV</v>
      </c>
      <c r="I235" s="4">
        <f>VLOOKUP(A:A,Table1[[Project No]:[Additional Remark]],8,FALSE)</f>
        <v>11.8</v>
      </c>
      <c r="J235" s="4" t="str">
        <f>VLOOKUP(A:A,Table1[[Project No]:[Additional Remark]],23,FALSE)</f>
        <v xml:space="preserve">3 years </v>
      </c>
      <c r="K235" s="4" t="s">
        <v>1902</v>
      </c>
      <c r="L235" s="4" t="s">
        <v>2086</v>
      </c>
      <c r="M235" s="93">
        <v>45750</v>
      </c>
      <c r="N235" s="4"/>
      <c r="O235" s="4"/>
      <c r="P235" s="4"/>
      <c r="Q235" s="4"/>
      <c r="R235" s="4"/>
      <c r="S235" s="4"/>
      <c r="T235" s="4"/>
      <c r="U235" s="4"/>
      <c r="V235" s="4"/>
    </row>
    <row r="236" spans="1:22" x14ac:dyDescent="0.3">
      <c r="A236" s="4">
        <f>'ECN Master Project Tracker new'!A237</f>
        <v>2502568</v>
      </c>
      <c r="B236" s="114" t="str">
        <f>VLOOKUP(A:A,Table1[[#All],[Project No]:[Additional Remark]],2,FALSE)</f>
        <v>Lim See Peng</v>
      </c>
      <c r="C236" s="4" t="str">
        <f>VLOOKUP(A:A,Table1[[Project No]:[Additional Remark]],19,FALSE)</f>
        <v>300102-10-5815</v>
      </c>
      <c r="D236" s="4" t="str">
        <f>VLOOKUP(A:A,Table1[[Project No]:[Additional Remark]],20,FALSE)</f>
        <v>16, Jln Kemuning Indah 32/142, Kemuning Utama, Seksyen 32, 40460 Shah Alam, Selangor</v>
      </c>
      <c r="E236" s="4" t="str">
        <f>VLOOKUP(A:A,Table1[[Project No]:[Additional Remark]],21,FALSE)</f>
        <v>012-3178932</v>
      </c>
      <c r="F236" s="4" t="str">
        <f>VLOOKUP(A:A,Table1[[Project No]:[Additional Remark]],22,FALSE)</f>
        <v>seepeng.lim@gmail.com</v>
      </c>
      <c r="G236" s="55">
        <f>VLOOKUP(A:A,Table1[[Project No]:[Additional Remark]],11,FALSE)</f>
        <v>25280</v>
      </c>
      <c r="H236" s="4" t="str">
        <f>VLOOKUP(A:A,Table1[[Project No]:[Additional Remark]],5,FALSE)</f>
        <v>R-PV</v>
      </c>
      <c r="I236" s="4">
        <f>VLOOKUP(A:A,Table1[[Project No]:[Additional Remark]],8,FALSE)</f>
        <v>7.08</v>
      </c>
      <c r="J236" s="4" t="str">
        <f>VLOOKUP(A:A,Table1[[Project No]:[Additional Remark]],23,FALSE)</f>
        <v xml:space="preserve">3 years </v>
      </c>
      <c r="K236" s="4"/>
      <c r="L236" s="4"/>
      <c r="M236" s="4"/>
      <c r="N236" s="4"/>
      <c r="O236" s="4"/>
      <c r="P236" s="4"/>
      <c r="Q236" s="4"/>
      <c r="R236" s="4"/>
      <c r="S236" s="4"/>
      <c r="T236" s="4"/>
      <c r="U236" s="4"/>
      <c r="V236" s="4"/>
    </row>
    <row r="237" spans="1:22" x14ac:dyDescent="0.3">
      <c r="A237" s="4">
        <f>'ECN Master Project Tracker new'!A238</f>
        <v>2404258</v>
      </c>
      <c r="B237" s="108" t="str">
        <f>VLOOKUP(A:A,Table1[[#All],[Project No]:[Additional Remark]],2,FALSE)</f>
        <v>Chan Yee  Wan</v>
      </c>
      <c r="C237" s="4" t="str">
        <f>VLOOKUP(A:A,Table1[[Project No]:[Additional Remark]],19,FALSE)</f>
        <v>801016-14-6283</v>
      </c>
      <c r="D237" s="4" t="str">
        <f>VLOOKUP(A:A,Table1[[Project No]:[Additional Remark]],20,FALSE)</f>
        <v>52A, Jalan Aman Arahsia 2, Bandar Tropicana Aman, 42500 Telok Panglima Garang, Selangor</v>
      </c>
      <c r="E237" s="4" t="str">
        <f>VLOOKUP(A:A,Table1[[Project No]:[Additional Remark]],21,FALSE)</f>
        <v>012-2912577</v>
      </c>
      <c r="F237" s="4" t="str">
        <f>VLOOKUP(A:A,Table1[[Project No]:[Additional Remark]],22,FALSE)</f>
        <v>jason_dasb@hotmail.com</v>
      </c>
      <c r="G237" s="55">
        <f>VLOOKUP(A:A,Table1[[Project No]:[Additional Remark]],11,FALSE)</f>
        <v>27000</v>
      </c>
      <c r="H237" s="4" t="str">
        <f>VLOOKUP(A:A,Table1[[Project No]:[Additional Remark]],5,FALSE)</f>
        <v>R-PV</v>
      </c>
      <c r="I237" s="4">
        <f>VLOOKUP(A:A,Table1[[Project No]:[Additional Remark]],8,FALSE)</f>
        <v>9.44</v>
      </c>
      <c r="J237" s="4" t="str">
        <f>VLOOKUP(A:A,Table1[[Project No]:[Additional Remark]],23,FALSE)</f>
        <v xml:space="preserve">3 years </v>
      </c>
      <c r="K237" s="4" t="s">
        <v>1902</v>
      </c>
      <c r="L237" s="4" t="s">
        <v>2087</v>
      </c>
      <c r="M237" s="93">
        <v>45806</v>
      </c>
      <c r="N237" s="4"/>
      <c r="O237" s="4"/>
      <c r="P237" s="4"/>
      <c r="Q237" s="4"/>
      <c r="R237" s="4"/>
      <c r="S237" s="4"/>
      <c r="T237" s="4"/>
      <c r="U237" s="4"/>
      <c r="V237" s="4"/>
    </row>
    <row r="238" spans="1:22" x14ac:dyDescent="0.3">
      <c r="A238" s="4">
        <f>'ECN Master Project Tracker new'!A239</f>
        <v>2503588</v>
      </c>
      <c r="B238" s="108" t="str">
        <f>VLOOKUP(A:A,Table1[[#All],[Project No]:[Additional Remark]],2,FALSE)</f>
        <v>Lee Xue Cheng</v>
      </c>
      <c r="C238" s="4" t="str">
        <f>VLOOKUP(A:A,Table1[[Project No]:[Additional Remark]],19,FALSE)</f>
        <v>051028-01-1415</v>
      </c>
      <c r="D238" s="4" t="str">
        <f>VLOOKUP(A:A,Table1[[Project No]:[Additional Remark]],20,FALSE)</f>
        <v>No 70, Jln Bestari 3/1, Tmn Nusa Bestari, 79150 Johor Bahru, Johor</v>
      </c>
      <c r="E238" s="4" t="str">
        <f>VLOOKUP(A:A,Table1[[Project No]:[Additional Remark]],21,FALSE)</f>
        <v>017-7857783</v>
      </c>
      <c r="F238" s="4" t="str">
        <f>VLOOKUP(A:A,Table1[[Project No]:[Additional Remark]],22,FALSE)</f>
        <v>xuechenglee1028@gmail.com</v>
      </c>
      <c r="G238" s="55">
        <f>VLOOKUP(A:A,Table1[[Project No]:[Additional Remark]],11,FALSE)</f>
        <v>22500</v>
      </c>
      <c r="H238" s="4" t="str">
        <f>VLOOKUP(A:A,Table1[[Project No]:[Additional Remark]],5,FALSE)</f>
        <v>R-PV</v>
      </c>
      <c r="I238" s="4">
        <f>VLOOKUP(A:A,Table1[[Project No]:[Additional Remark]],8,FALSE)</f>
        <v>7.08</v>
      </c>
      <c r="J238" s="4" t="str">
        <f>VLOOKUP(A:A,Table1[[Project No]:[Additional Remark]],23,FALSE)</f>
        <v xml:space="preserve">3 years </v>
      </c>
      <c r="K238" s="4" t="s">
        <v>1902</v>
      </c>
      <c r="L238" s="4" t="s">
        <v>2088</v>
      </c>
      <c r="M238" s="93">
        <v>45806</v>
      </c>
      <c r="N238" s="4"/>
      <c r="O238" s="4"/>
      <c r="P238" s="4"/>
      <c r="Q238" s="4"/>
      <c r="R238" s="4"/>
      <c r="S238" s="4"/>
      <c r="T238" s="4"/>
      <c r="U238" s="4"/>
      <c r="V238" s="4"/>
    </row>
    <row r="239" spans="1:22" x14ac:dyDescent="0.3">
      <c r="A239" s="4">
        <f>'ECN Master Project Tracker new'!A240</f>
        <v>2502561</v>
      </c>
      <c r="B239" s="108" t="str">
        <f>VLOOKUP(A:A,Table1[[#All],[Project No]:[Additional Remark]],2,FALSE)</f>
        <v>Dennis Lee Jia Seng</v>
      </c>
      <c r="C239" s="4" t="str">
        <f>VLOOKUP(A:A,Table1[[Project No]:[Additional Remark]],19,FALSE)</f>
        <v>970507-01-6675</v>
      </c>
      <c r="D239" s="4" t="str">
        <f>VLOOKUP(A:A,Table1[[Project No]:[Additional Remark]],20,FALSE)</f>
        <v>No 6, Jln Panorama 7, Tmn Kota Panorama, 83700 Yong Peng, Johor</v>
      </c>
      <c r="E239" s="4" t="str">
        <f>VLOOKUP(A:A,Table1[[Project No]:[Additional Remark]],21,FALSE)</f>
        <v>016-7139920</v>
      </c>
      <c r="F239" s="4" t="str">
        <f>VLOOKUP(A:A,Table1[[Project No]:[Additional Remark]],22,FALSE)</f>
        <v>leedennis507@gmail.com</v>
      </c>
      <c r="G239" s="55">
        <f>VLOOKUP(A:A,Table1[[Project No]:[Additional Remark]],11,FALSE)</f>
        <v>38000</v>
      </c>
      <c r="H239" s="4" t="str">
        <f>VLOOKUP(A:A,Table1[[Project No]:[Additional Remark]],5,FALSE)</f>
        <v>R-PV</v>
      </c>
      <c r="I239" s="4">
        <f>VLOOKUP(A:A,Table1[[Project No]:[Additional Remark]],8,FALSE)</f>
        <v>15.93</v>
      </c>
      <c r="J239" s="4" t="str">
        <f>VLOOKUP(A:A,Table1[[Project No]:[Additional Remark]],23,FALSE)</f>
        <v xml:space="preserve">3 years </v>
      </c>
      <c r="K239" s="4" t="s">
        <v>1902</v>
      </c>
      <c r="L239" s="4" t="s">
        <v>2089</v>
      </c>
      <c r="M239" s="93">
        <v>45806</v>
      </c>
      <c r="N239" s="4"/>
      <c r="O239" s="4"/>
      <c r="P239" s="4"/>
      <c r="Q239" s="4"/>
      <c r="R239" s="4"/>
      <c r="S239" s="4"/>
      <c r="T239" s="4"/>
      <c r="U239" s="4"/>
      <c r="V239" s="4"/>
    </row>
    <row r="240" spans="1:22" x14ac:dyDescent="0.3">
      <c r="A240" s="4">
        <f>'ECN Master Project Tracker new'!A241</f>
        <v>2503590</v>
      </c>
      <c r="B240" s="108" t="str">
        <f>VLOOKUP(A:A,Table1[[#All],[Project No]:[Additional Remark]],2,FALSE)</f>
        <v>Teh Wee Loon</v>
      </c>
      <c r="C240" s="4" t="str">
        <f>VLOOKUP(A:A,Table1[[Project No]:[Additional Remark]],19,FALSE)</f>
        <v>830510-10-5973</v>
      </c>
      <c r="D240" s="4" t="str">
        <f>VLOOKUP(A:A,Table1[[Project No]:[Additional Remark]],20,FALSE)</f>
        <v>1, Jalan Aman Perdana 11K/KU5, Taman Aman Perdana, 41050 Klang, Selangor</v>
      </c>
      <c r="E240" s="4" t="str">
        <f>VLOOKUP(A:A,Table1[[Project No]:[Additional Remark]],21,FALSE)</f>
        <v>019-6483333</v>
      </c>
      <c r="F240" s="4" t="str">
        <f>VLOOKUP(A:A,Table1[[Project No]:[Additional Remark]],22,FALSE)</f>
        <v>tehweeloon@gmail.com</v>
      </c>
      <c r="G240" s="55">
        <f>VLOOKUP(A:A,Table1[[Project No]:[Additional Remark]],11,FALSE)</f>
        <v>39680</v>
      </c>
      <c r="H240" s="4" t="str">
        <f>VLOOKUP(A:A,Table1[[Project No]:[Additional Remark]],5,FALSE)</f>
        <v>R-PV</v>
      </c>
      <c r="I240" s="4">
        <f>VLOOKUP(A:A,Table1[[Project No]:[Additional Remark]],8,FALSE)</f>
        <v>14.16</v>
      </c>
      <c r="J240" s="4" t="str">
        <f>VLOOKUP(A:A,Table1[[Project No]:[Additional Remark]],23,FALSE)</f>
        <v xml:space="preserve">3 years </v>
      </c>
      <c r="K240" s="4" t="s">
        <v>1902</v>
      </c>
      <c r="L240" s="4" t="s">
        <v>2090</v>
      </c>
      <c r="M240" s="93">
        <v>45806</v>
      </c>
      <c r="N240" s="4"/>
      <c r="O240" s="4"/>
      <c r="P240" s="4"/>
      <c r="Q240" s="4"/>
      <c r="R240" s="4"/>
      <c r="S240" s="4"/>
      <c r="T240" s="4"/>
      <c r="U240" s="4"/>
      <c r="V240" s="4"/>
    </row>
    <row r="241" spans="1:22" x14ac:dyDescent="0.3">
      <c r="A241" s="4">
        <f>'ECN Master Project Tracker new'!A242</f>
        <v>2502570</v>
      </c>
      <c r="B241" s="114" t="str">
        <f>VLOOKUP(A:A,Table1[[#All],[Project No]:[Additional Remark]],2,FALSE)</f>
        <v>Tang Wei Keong</v>
      </c>
      <c r="C241" s="4" t="str">
        <f>VLOOKUP(A:A,Table1[[Project No]:[Additional Remark]],19,FALSE)</f>
        <v>780524-14-5949</v>
      </c>
      <c r="D241" s="4" t="str">
        <f>VLOOKUP(A:A,Table1[[Project No]:[Additional Remark]],20,FALSE)</f>
        <v>No 5, Jln Kemuning Damai 32/147D, Kemuning Utama, Seksyen 32, 40460 Shah Alam, Selangor</v>
      </c>
      <c r="E241" s="4" t="str">
        <f>VLOOKUP(A:A,Table1[[Project No]:[Additional Remark]],21,FALSE)</f>
        <v>012-2398993</v>
      </c>
      <c r="F241" s="4" t="str">
        <f>VLOOKUP(A:A,Table1[[Project No]:[Additional Remark]],22,FALSE)</f>
        <v>wktang@synteq.com.my</v>
      </c>
      <c r="G241" s="55">
        <f>VLOOKUP(A:A,Table1[[Project No]:[Additional Remark]],11,FALSE)</f>
        <v>27000</v>
      </c>
      <c r="H241" s="4" t="str">
        <f>VLOOKUP(A:A,Table1[[Project No]:[Additional Remark]],5,FALSE)</f>
        <v>R-PV</v>
      </c>
      <c r="I241" s="4">
        <f>VLOOKUP(A:A,Table1[[Project No]:[Additional Remark]],8,FALSE)</f>
        <v>9.44</v>
      </c>
      <c r="J241" s="4" t="str">
        <f>VLOOKUP(A:A,Table1[[Project No]:[Additional Remark]],23,FALSE)</f>
        <v xml:space="preserve">3 years </v>
      </c>
      <c r="K241" s="4"/>
      <c r="L241" s="4"/>
      <c r="M241" s="4"/>
      <c r="N241" s="4"/>
      <c r="O241" s="4"/>
      <c r="P241" s="4"/>
      <c r="Q241" s="4"/>
      <c r="R241" s="4"/>
      <c r="S241" s="4"/>
      <c r="T241" s="4"/>
      <c r="U241" s="4"/>
      <c r="V241" s="4"/>
    </row>
    <row r="242" spans="1:22" x14ac:dyDescent="0.3">
      <c r="A242" s="4">
        <f>'ECN Master Project Tracker new'!A243</f>
        <v>2502573</v>
      </c>
      <c r="B242" s="108" t="str">
        <f>VLOOKUP(A:A,Table1[[#All],[Project No]:[Additional Remark]],2,FALSE)</f>
        <v>Wong Jun Kit</v>
      </c>
      <c r="C242" s="4" t="str">
        <f>VLOOKUP(A:A,Table1[[Project No]:[Additional Remark]],19,FALSE)</f>
        <v>801127-10-2417</v>
      </c>
      <c r="D242" s="4" t="str">
        <f>VLOOKUP(A:A,Table1[[Project No]:[Additional Remark]],20,FALSE)</f>
        <v>No 1, Lrg Mohd Tahir 14A/KS2, Tmn Saujana, Kg Jawa, 41000 Klang, Selangor</v>
      </c>
      <c r="E242" s="4" t="str">
        <f>VLOOKUP(A:A,Table1[[Project No]:[Additional Remark]],21,FALSE)</f>
        <v>019-3840060</v>
      </c>
      <c r="F242" s="4" t="str">
        <f>VLOOKUP(A:A,Table1[[Project No]:[Additional Remark]],22,FALSE)</f>
        <v>junkit143@yahoo.com.sg</v>
      </c>
      <c r="G242" s="55">
        <f>VLOOKUP(A:A,Table1[[Project No]:[Additional Remark]],11,FALSE)</f>
        <v>26000</v>
      </c>
      <c r="H242" s="4" t="str">
        <f>VLOOKUP(A:A,Table1[[Project No]:[Additional Remark]],5,FALSE)</f>
        <v>R-PV</v>
      </c>
      <c r="I242" s="4">
        <f>VLOOKUP(A:A,Table1[[Project No]:[Additional Remark]],8,FALSE)</f>
        <v>6.49</v>
      </c>
      <c r="J242" s="4" t="str">
        <f>VLOOKUP(A:A,Table1[[Project No]:[Additional Remark]],23,FALSE)</f>
        <v xml:space="preserve">3 years </v>
      </c>
      <c r="K242" s="4" t="s">
        <v>1902</v>
      </c>
      <c r="L242" s="4" t="s">
        <v>2091</v>
      </c>
      <c r="M242" s="93">
        <v>45806</v>
      </c>
      <c r="N242" s="4"/>
      <c r="O242" s="4"/>
      <c r="P242" s="4"/>
      <c r="Q242" s="4"/>
      <c r="R242" s="4"/>
      <c r="S242" s="4"/>
      <c r="T242" s="4"/>
      <c r="U242" s="4"/>
      <c r="V242" s="4"/>
    </row>
    <row r="243" spans="1:22" x14ac:dyDescent="0.3">
      <c r="A243" s="4">
        <f>'ECN Master Project Tracker new'!A244</f>
        <v>2503593</v>
      </c>
      <c r="B243" s="108" t="str">
        <f>VLOOKUP(A:A,Table1[[#All],[Project No]:[Additional Remark]],2,FALSE)</f>
        <v>Rashid Bin Darlan</v>
      </c>
      <c r="C243" s="4" t="str">
        <f>VLOOKUP(A:A,Table1[[Project No]:[Additional Remark]],19,FALSE)</f>
        <v>680415-01-5223</v>
      </c>
      <c r="D243" s="4" t="str">
        <f>VLOOKUP(A:A,Table1[[Project No]:[Additional Remark]],20,FALSE)</f>
        <v>No 6, Jalan Sungai Soi Jaya 3, Perumahan Sungai Soi Jaya 2, 26060 Kuantan Pahang</v>
      </c>
      <c r="E243" s="4" t="str">
        <f>VLOOKUP(A:A,Table1[[Project No]:[Additional Remark]],21,FALSE)</f>
        <v>012-4424191</v>
      </c>
      <c r="F243" s="4" t="str">
        <f>VLOOKUP(A:A,Table1[[Project No]:[Additional Remark]],22,FALSE)</f>
        <v>rash.darl@gmail.com</v>
      </c>
      <c r="G243" s="55">
        <f>VLOOKUP(A:A,Table1[[Project No]:[Additional Remark]],11,FALSE)</f>
        <v>24548</v>
      </c>
      <c r="H243" s="4" t="str">
        <f>VLOOKUP(A:A,Table1[[Project No]:[Additional Remark]],5,FALSE)</f>
        <v>R-PV</v>
      </c>
      <c r="I243" s="4">
        <f>VLOOKUP(A:A,Table1[[Project No]:[Additional Remark]],8,FALSE)</f>
        <v>7.08</v>
      </c>
      <c r="J243" s="4" t="str">
        <f>VLOOKUP(A:A,Table1[[Project No]:[Additional Remark]],23,FALSE)</f>
        <v xml:space="preserve">3 years </v>
      </c>
      <c r="K243" s="4" t="s">
        <v>1902</v>
      </c>
      <c r="L243" s="4" t="s">
        <v>2092</v>
      </c>
      <c r="M243" s="93">
        <v>45806</v>
      </c>
      <c r="N243" s="4"/>
      <c r="O243" s="4"/>
      <c r="P243" s="4"/>
      <c r="Q243" s="4"/>
      <c r="R243" s="4"/>
      <c r="S243" s="4"/>
      <c r="T243" s="4"/>
      <c r="U243" s="4"/>
      <c r="V243" s="4"/>
    </row>
    <row r="244" spans="1:22" x14ac:dyDescent="0.3">
      <c r="A244" s="4">
        <f>'ECN Master Project Tracker new'!A245</f>
        <v>2501211</v>
      </c>
      <c r="B244" s="108" t="str">
        <f>VLOOKUP(A:A,Table1[[#All],[Project No]:[Additional Remark]],2,FALSE)</f>
        <v>Great Beauty Furniture Sdn Bhd</v>
      </c>
      <c r="C244" s="4">
        <f>VLOOKUP(A:A,Table1[[Project No]:[Additional Remark]],19,FALSE)</f>
        <v>0</v>
      </c>
      <c r="D244" s="4" t="str">
        <f>VLOOKUP(A:A,Table1[[Project No]:[Additional Remark]],20,FALSE)</f>
        <v>A 483, Jalan Beserah, Taman Sri Pelindung Satu, 25300 Kuantan, Pahang</v>
      </c>
      <c r="E244" s="4">
        <f>VLOOKUP(A:A,Table1[[Project No]:[Additional Remark]],21,FALSE)</f>
        <v>0</v>
      </c>
      <c r="F244" s="4">
        <f>VLOOKUP(A:A,Table1[[Project No]:[Additional Remark]],22,FALSE)</f>
        <v>0</v>
      </c>
      <c r="G244" s="55">
        <f>VLOOKUP(A:A,Table1[[Project No]:[Additional Remark]],11,FALSE)</f>
        <v>54000</v>
      </c>
      <c r="H244" s="4" t="str">
        <f>VLOOKUP(A:A,Table1[[Project No]:[Additional Remark]],5,FALSE)</f>
        <v>C&amp;I-PV</v>
      </c>
      <c r="I244" s="4">
        <f>VLOOKUP(A:A,Table1[[Project No]:[Additional Remark]],8,FALSE)</f>
        <v>26.55</v>
      </c>
      <c r="J244" s="4" t="str">
        <f>VLOOKUP(A:A,Table1[[Project No]:[Additional Remark]],23,FALSE)</f>
        <v xml:space="preserve">3 years </v>
      </c>
      <c r="K244" s="4"/>
      <c r="L244" s="4"/>
      <c r="M244" s="4"/>
      <c r="N244" s="4"/>
      <c r="O244" s="4"/>
      <c r="P244" s="4"/>
      <c r="Q244" s="4"/>
      <c r="R244" s="4"/>
      <c r="S244" s="4"/>
      <c r="T244" s="4"/>
      <c r="U244" s="4"/>
      <c r="V244" s="4"/>
    </row>
    <row r="245" spans="1:22" x14ac:dyDescent="0.3">
      <c r="A245" s="4">
        <f>'ECN Master Project Tracker new'!A246</f>
        <v>2502589</v>
      </c>
      <c r="B245" s="108" t="str">
        <f>VLOOKUP(A:A,Table1[[#All],[Project No]:[Additional Remark]],2,FALSE)</f>
        <v>Chin Kok Leng</v>
      </c>
      <c r="C245" s="4" t="str">
        <f>VLOOKUP(A:A,Table1[[Project No]:[Additional Remark]],19,FALSE)</f>
        <v>761030-06-5371</v>
      </c>
      <c r="D245" s="4" t="str">
        <f>VLOOKUP(A:A,Table1[[Project No]:[Additional Remark]],20,FALSE)</f>
        <v>11, Lrg Sekilau 42, Jln Hj Ahmad, Tmn Sekilau Perdana, 25200 Kuantan, Pahang</v>
      </c>
      <c r="E245" s="4" t="str">
        <f>VLOOKUP(A:A,Table1[[Project No]:[Additional Remark]],21,FALSE)</f>
        <v>016-9221033</v>
      </c>
      <c r="F245" s="4" t="str">
        <f>VLOOKUP(A:A,Table1[[Project No]:[Additional Remark]],22,FALSE)</f>
        <v>cherryq16@gmail.com</v>
      </c>
      <c r="G245" s="55">
        <f>VLOOKUP(A:A,Table1[[Project No]:[Additional Remark]],11,FALSE)</f>
        <v>26000</v>
      </c>
      <c r="H245" s="4" t="str">
        <f>VLOOKUP(A:A,Table1[[Project No]:[Additional Remark]],5,FALSE)</f>
        <v>R-PV</v>
      </c>
      <c r="I245" s="4">
        <f>VLOOKUP(A:A,Table1[[Project No]:[Additional Remark]],8,FALSE)</f>
        <v>8.85</v>
      </c>
      <c r="J245" s="4" t="str">
        <f>VLOOKUP(A:A,Table1[[Project No]:[Additional Remark]],23,FALSE)</f>
        <v xml:space="preserve">3 years </v>
      </c>
      <c r="K245" s="4" t="s">
        <v>1902</v>
      </c>
      <c r="L245" s="4" t="s">
        <v>2093</v>
      </c>
      <c r="M245" s="93">
        <v>45750</v>
      </c>
      <c r="N245" s="4"/>
      <c r="O245" s="4"/>
      <c r="P245" s="4"/>
      <c r="Q245" s="4"/>
      <c r="R245" s="4"/>
      <c r="S245" s="4"/>
      <c r="T245" s="4"/>
      <c r="U245" s="4"/>
      <c r="V245" s="4"/>
    </row>
    <row r="246" spans="1:22" x14ac:dyDescent="0.3">
      <c r="A246" s="4">
        <f>'ECN Master Project Tracker new'!A247</f>
        <v>2403090</v>
      </c>
      <c r="B246" s="108" t="str">
        <f>VLOOKUP(A:A,Table1[[#All],[Project No]:[Additional Remark]],2,FALSE)</f>
        <v>Mei Shun Fang Manufacturing Sdn Bhd</v>
      </c>
      <c r="C246" s="4">
        <f>VLOOKUP(A:A,Table1[[Project No]:[Additional Remark]],19,FALSE)</f>
        <v>0</v>
      </c>
      <c r="D246" s="4">
        <f>VLOOKUP(A:A,Table1[[Project No]:[Additional Remark]],20,FALSE)</f>
        <v>0</v>
      </c>
      <c r="E246" s="4">
        <f>VLOOKUP(A:A,Table1[[Project No]:[Additional Remark]],21,FALSE)</f>
        <v>0</v>
      </c>
      <c r="F246" s="4">
        <f>VLOOKUP(A:A,Table1[[Project No]:[Additional Remark]],22,FALSE)</f>
        <v>0</v>
      </c>
      <c r="G246" s="55">
        <f>VLOOKUP(A:A,Table1[[Project No]:[Additional Remark]],11,FALSE)</f>
        <v>898000</v>
      </c>
      <c r="H246" s="4" t="str">
        <f>VLOOKUP(A:A,Table1[[Project No]:[Additional Remark]],5,FALSE)</f>
        <v>C&amp;I-PV</v>
      </c>
      <c r="I246" s="4">
        <f>VLOOKUP(A:A,Table1[[Project No]:[Additional Remark]],8,FALSE)</f>
        <v>476.13</v>
      </c>
      <c r="J246" s="4" t="str">
        <f>VLOOKUP(A:A,Table1[[Project No]:[Additional Remark]],23,FALSE)</f>
        <v xml:space="preserve">3 years </v>
      </c>
      <c r="K246" s="4"/>
      <c r="L246" s="4"/>
      <c r="M246" s="4"/>
      <c r="N246" s="4"/>
      <c r="O246" s="4"/>
      <c r="P246" s="4"/>
      <c r="Q246" s="4"/>
      <c r="R246" s="4"/>
      <c r="S246" s="4"/>
      <c r="T246" s="4"/>
      <c r="U246" s="4"/>
      <c r="V246" s="4"/>
    </row>
    <row r="247" spans="1:22" x14ac:dyDescent="0.3">
      <c r="A247" s="4">
        <f>'ECN Master Project Tracker new'!A248</f>
        <v>2502557</v>
      </c>
      <c r="B247" s="108" t="str">
        <f>VLOOKUP(A:A,Table1[[#All],[Project No]:[Additional Remark]],2,FALSE)</f>
        <v>Chin Yee Fa</v>
      </c>
      <c r="C247" s="4" t="str">
        <f>VLOOKUP(A:A,Table1[[Project No]:[Additional Remark]],19,FALSE)</f>
        <v>570406-06-5491</v>
      </c>
      <c r="D247" s="4" t="str">
        <f>VLOOKUP(A:A,Table1[[Project No]:[Additional Remark]],20,FALSE)</f>
        <v>No 19, Lrg Im 11/6, Mahkota Heights, 25200 Kuantan, Pahang</v>
      </c>
      <c r="E247" s="4" t="str">
        <f>VLOOKUP(A:A,Table1[[Project No]:[Additional Remark]],21,FALSE)</f>
        <v>019-9160668</v>
      </c>
      <c r="F247" s="4" t="str">
        <f>VLOOKUP(A:A,Table1[[Project No]:[Additional Remark]],22,FALSE)</f>
        <v>cjhao8855@gmail.com</v>
      </c>
      <c r="G247" s="55">
        <f>VLOOKUP(A:A,Table1[[Project No]:[Additional Remark]],11,FALSE)</f>
        <v>28000</v>
      </c>
      <c r="H247" s="4" t="str">
        <f>VLOOKUP(A:A,Table1[[Project No]:[Additional Remark]],5,FALSE)</f>
        <v>R-PV</v>
      </c>
      <c r="I247" s="4">
        <f>VLOOKUP(A:A,Table1[[Project No]:[Additional Remark]],8,FALSE)</f>
        <v>9.44</v>
      </c>
      <c r="J247" s="4" t="str">
        <f>VLOOKUP(A:A,Table1[[Project No]:[Additional Remark]],23,FALSE)</f>
        <v xml:space="preserve">3 years </v>
      </c>
      <c r="K247" s="4" t="s">
        <v>1902</v>
      </c>
      <c r="L247" s="4" t="s">
        <v>2094</v>
      </c>
      <c r="M247" s="93">
        <v>45806</v>
      </c>
      <c r="N247" s="4"/>
      <c r="O247" s="4"/>
      <c r="P247" s="4"/>
      <c r="Q247" s="4"/>
      <c r="R247" s="4"/>
      <c r="S247" s="4"/>
      <c r="T247" s="4"/>
      <c r="U247" s="4"/>
      <c r="V247" s="4"/>
    </row>
    <row r="248" spans="1:22" x14ac:dyDescent="0.3">
      <c r="A248" s="4">
        <f>'ECN Master Project Tracker new'!A249</f>
        <v>2503594</v>
      </c>
      <c r="B248" s="108" t="str">
        <f>VLOOKUP(A:A,Table1[[#All],[Project No]:[Additional Remark]],2,FALSE)</f>
        <v>Wong Teck Keng</v>
      </c>
      <c r="C248" s="4" t="str">
        <f>VLOOKUP(A:A,Table1[[Project No]:[Additional Remark]],19,FALSE)</f>
        <v>770530-14-5591</v>
      </c>
      <c r="D248" s="4" t="str">
        <f>VLOOKUP(A:A,Table1[[Project No]:[Additional Remark]],20,FALSE)</f>
        <v>161, Jln USJ 9/1, UEP Subang Jaya, 47630 Subang Jaya, Selangor</v>
      </c>
      <c r="E248" s="4" t="str">
        <f>VLOOKUP(A:A,Table1[[Project No]:[Additional Remark]],21,FALSE)</f>
        <v>012-3153960</v>
      </c>
      <c r="F248" s="4" t="str">
        <f>VLOOKUP(A:A,Table1[[Project No]:[Additional Remark]],22,FALSE)</f>
        <v>teckkeng@gmail.com</v>
      </c>
      <c r="G248" s="55">
        <f>VLOOKUP(A:A,Table1[[Project No]:[Additional Remark]],11,FALSE)</f>
        <v>22500</v>
      </c>
      <c r="H248" s="4" t="str">
        <f>VLOOKUP(A:A,Table1[[Project No]:[Additional Remark]],5,FALSE)</f>
        <v>R-PV</v>
      </c>
      <c r="I248" s="4">
        <f>VLOOKUP(A:A,Table1[[Project No]:[Additional Remark]],8,FALSE)</f>
        <v>7.08</v>
      </c>
      <c r="J248" s="4" t="str">
        <f>VLOOKUP(A:A,Table1[[Project No]:[Additional Remark]],23,FALSE)</f>
        <v xml:space="preserve">3 years </v>
      </c>
      <c r="K248" s="4" t="s">
        <v>1902</v>
      </c>
      <c r="L248" s="4" t="s">
        <v>2095</v>
      </c>
      <c r="M248" s="93">
        <v>45806</v>
      </c>
      <c r="N248" s="4"/>
      <c r="O248" s="4"/>
      <c r="P248" s="4"/>
      <c r="Q248" s="4"/>
      <c r="R248" s="4"/>
      <c r="S248" s="4"/>
      <c r="T248" s="4"/>
      <c r="U248" s="4"/>
      <c r="V248" s="4"/>
    </row>
    <row r="249" spans="1:22" x14ac:dyDescent="0.3">
      <c r="A249" s="4">
        <f>'ECN Master Project Tracker new'!A250</f>
        <v>2503597</v>
      </c>
      <c r="B249" s="108" t="str">
        <f>VLOOKUP(A:A,Table1[[#All],[Project No]:[Additional Remark]],2,FALSE)</f>
        <v>Bhajan Singh a/l S Bachan Singh</v>
      </c>
      <c r="C249" s="4" t="str">
        <f>VLOOKUP(A:A,Table1[[Project No]:[Additional Remark]],19,FALSE)</f>
        <v>520529-01-5595</v>
      </c>
      <c r="D249" s="4" t="str">
        <f>VLOOKUP(A:A,Table1[[Project No]:[Additional Remark]],20,FALSE)</f>
        <v>1, Lrg Kubang Buaya 7, 25250 Kuantan, Pahang</v>
      </c>
      <c r="E249" s="4" t="str">
        <f>VLOOKUP(A:A,Table1[[Project No]:[Additional Remark]],21,FALSE)</f>
        <v>013-9276292</v>
      </c>
      <c r="F249" s="4" t="str">
        <f>VLOOKUP(A:A,Table1[[Project No]:[Additional Remark]],22,FALSE)</f>
        <v>bhajan1952@gmail.com</v>
      </c>
      <c r="G249" s="55">
        <f>VLOOKUP(A:A,Table1[[Project No]:[Additional Remark]],11,FALSE)</f>
        <v>31000</v>
      </c>
      <c r="H249" s="4" t="str">
        <f>VLOOKUP(A:A,Table1[[Project No]:[Additional Remark]],5,FALSE)</f>
        <v>R-PV</v>
      </c>
      <c r="I249" s="4">
        <f>VLOOKUP(A:A,Table1[[Project No]:[Additional Remark]],8,FALSE)</f>
        <v>10.62</v>
      </c>
      <c r="J249" s="4" t="str">
        <f>VLOOKUP(A:A,Table1[[Project No]:[Additional Remark]],23,FALSE)</f>
        <v xml:space="preserve">3 years </v>
      </c>
      <c r="K249" s="4" t="s">
        <v>1902</v>
      </c>
      <c r="L249" s="4" t="s">
        <v>2096</v>
      </c>
      <c r="M249" s="93">
        <v>45806</v>
      </c>
      <c r="N249" s="4"/>
      <c r="O249" s="4"/>
      <c r="P249" s="4"/>
      <c r="Q249" s="4"/>
      <c r="R249" s="4"/>
      <c r="S249" s="4"/>
      <c r="T249" s="4"/>
      <c r="U249" s="4"/>
      <c r="V249" s="4"/>
    </row>
    <row r="250" spans="1:22" x14ac:dyDescent="0.3">
      <c r="A250" s="4">
        <f>'ECN Master Project Tracker new'!A251</f>
        <v>2502588</v>
      </c>
      <c r="B250" s="108" t="str">
        <f>VLOOKUP(A:A,Table1[[#All],[Project No]:[Additional Remark]],2,FALSE)</f>
        <v>Khadillah binti Hassan</v>
      </c>
      <c r="C250" s="4" t="str">
        <f>VLOOKUP(A:A,Table1[[Project No]:[Additional Remark]],19,FALSE)</f>
        <v>680623-06-5006</v>
      </c>
      <c r="D250" s="4" t="str">
        <f>VLOOKUP(A:A,Table1[[Project No]:[Additional Remark]],20,FALSE)</f>
        <v>D367, Jln Bukit Setongkol, Pkg Cenderawasih, 25200 Kuantan, Pahang</v>
      </c>
      <c r="E250" s="4" t="str">
        <f>VLOOKUP(A:A,Table1[[Project No]:[Additional Remark]],21,FALSE)</f>
        <v>012-9222442</v>
      </c>
      <c r="F250" s="4" t="str">
        <f>VLOOKUP(A:A,Table1[[Project No]:[Additional Remark]],22,FALSE)</f>
        <v>fenthagrow@gmail.com</v>
      </c>
      <c r="G250" s="55">
        <f>VLOOKUP(A:A,Table1[[Project No]:[Additional Remark]],11,FALSE)</f>
        <v>26600</v>
      </c>
      <c r="H250" s="4" t="str">
        <f>VLOOKUP(A:A,Table1[[Project No]:[Additional Remark]],5,FALSE)</f>
        <v>R-PV</v>
      </c>
      <c r="I250" s="4">
        <f>VLOOKUP(A:A,Table1[[Project No]:[Additional Remark]],8,FALSE)</f>
        <v>8.85</v>
      </c>
      <c r="J250" s="4" t="str">
        <f>VLOOKUP(A:A,Table1[[Project No]:[Additional Remark]],23,FALSE)</f>
        <v xml:space="preserve">3 years </v>
      </c>
      <c r="K250" s="4" t="s">
        <v>1902</v>
      </c>
      <c r="L250" s="4" t="s">
        <v>2097</v>
      </c>
      <c r="M250" s="93">
        <v>45806</v>
      </c>
      <c r="N250" s="4"/>
      <c r="O250" s="4"/>
      <c r="P250" s="4"/>
      <c r="Q250" s="4"/>
      <c r="R250" s="4"/>
      <c r="S250" s="4"/>
      <c r="T250" s="4"/>
      <c r="U250" s="4"/>
      <c r="V250" s="4"/>
    </row>
    <row r="251" spans="1:22" x14ac:dyDescent="0.3">
      <c r="A251" s="4">
        <f>'ECN Master Project Tracker new'!A252</f>
        <v>2502040</v>
      </c>
      <c r="B251" s="114" t="str">
        <f>VLOOKUP(A:A,Table1[[#All],[Project No]:[Additional Remark]],2,FALSE)</f>
        <v>ST Rosyam Mall (Plus Xnergy Services Sdn Bhd)</v>
      </c>
      <c r="C251" s="4">
        <f>VLOOKUP(A:A,Table1[[Project No]:[Additional Remark]],19,FALSE)</f>
        <v>0</v>
      </c>
      <c r="D251" s="4">
        <f>VLOOKUP(A:A,Table1[[Project No]:[Additional Remark]],20,FALSE)</f>
        <v>0</v>
      </c>
      <c r="E251" s="4">
        <f>VLOOKUP(A:A,Table1[[Project No]:[Additional Remark]],21,FALSE)</f>
        <v>0</v>
      </c>
      <c r="F251" s="4">
        <f>VLOOKUP(A:A,Table1[[Project No]:[Additional Remark]],22,FALSE)</f>
        <v>0</v>
      </c>
      <c r="G251" s="55">
        <f>VLOOKUP(A:A,Table1[[Project No]:[Additional Remark]],11,FALSE)</f>
        <v>92000</v>
      </c>
      <c r="H251" s="4" t="str">
        <f>VLOOKUP(A:A,Table1[[Project No]:[Additional Remark]],5,FALSE)</f>
        <v>EV Charger</v>
      </c>
      <c r="I251" s="4">
        <f>VLOOKUP(A:A,Table1[[Project No]:[Additional Remark]],8,FALSE)</f>
        <v>0</v>
      </c>
      <c r="J251" s="4" t="str">
        <f>VLOOKUP(A:A,Table1[[Project No]:[Additional Remark]],23,FALSE)</f>
        <v>N/A</v>
      </c>
      <c r="K251" s="163" t="s">
        <v>109</v>
      </c>
      <c r="L251" s="164" t="s">
        <v>109</v>
      </c>
      <c r="M251" s="165"/>
      <c r="N251" s="163" t="s">
        <v>109</v>
      </c>
      <c r="O251" s="164"/>
      <c r="P251" s="165"/>
      <c r="Q251" s="163" t="s">
        <v>109</v>
      </c>
      <c r="R251" s="164"/>
      <c r="S251" s="165"/>
      <c r="T251" s="163" t="s">
        <v>109</v>
      </c>
      <c r="U251" s="164"/>
      <c r="V251" s="165"/>
    </row>
    <row r="252" spans="1:22" x14ac:dyDescent="0.3">
      <c r="A252" s="4">
        <f>'ECN Master Project Tracker new'!A253</f>
        <v>2503595</v>
      </c>
      <c r="B252" s="108" t="str">
        <f>VLOOKUP(A:A,Table1[[#All],[Project No]:[Additional Remark]],2,FALSE)</f>
        <v>Lim Zhi Jie</v>
      </c>
      <c r="C252" s="4" t="str">
        <f>VLOOKUP(A:A,Table1[[Project No]:[Additional Remark]],19,FALSE)</f>
        <v>991018-01-5615</v>
      </c>
      <c r="D252" s="4" t="str">
        <f>VLOOKUP(A:A,Table1[[Project No]:[Additional Remark]],20,FALSE)</f>
        <v>19, Jalan Panoram 2, Taman Kota Panorama, 83700 Yong Peng, Johor</v>
      </c>
      <c r="E252" s="4" t="str">
        <f>VLOOKUP(A:A,Table1[[Project No]:[Additional Remark]],21,FALSE)</f>
        <v>011-33112738</v>
      </c>
      <c r="F252" s="4" t="str">
        <f>VLOOKUP(A:A,Table1[[Project No]:[Additional Remark]],22,FALSE)</f>
        <v>Jie_008@hotmail.com</v>
      </c>
      <c r="G252" s="55">
        <f>VLOOKUP(A:A,Table1[[Project No]:[Additional Remark]],11,FALSE)</f>
        <v>35000</v>
      </c>
      <c r="H252" s="4" t="str">
        <f>VLOOKUP(A:A,Table1[[Project No]:[Additional Remark]],5,FALSE)</f>
        <v>R-PV</v>
      </c>
      <c r="I252" s="4">
        <f>VLOOKUP(A:A,Table1[[Project No]:[Additional Remark]],8,FALSE)</f>
        <v>14.16</v>
      </c>
      <c r="J252" s="4" t="str">
        <f>VLOOKUP(A:A,Table1[[Project No]:[Additional Remark]],23,FALSE)</f>
        <v xml:space="preserve">3 years </v>
      </c>
      <c r="K252" s="4" t="s">
        <v>1902</v>
      </c>
      <c r="L252" s="4" t="s">
        <v>2098</v>
      </c>
      <c r="M252" s="93">
        <v>45806</v>
      </c>
      <c r="N252" s="4"/>
      <c r="O252" s="4"/>
      <c r="P252" s="4"/>
      <c r="Q252" s="4"/>
      <c r="R252" s="4"/>
      <c r="S252" s="4"/>
      <c r="T252" s="4"/>
      <c r="U252" s="4"/>
      <c r="V252" s="4"/>
    </row>
    <row r="253" spans="1:22" x14ac:dyDescent="0.3">
      <c r="A253" s="4">
        <f>'ECN Master Project Tracker new'!A254</f>
        <v>2503586</v>
      </c>
      <c r="B253" s="108" t="str">
        <f>VLOOKUP(A:A,Table1[[#All],[Project No]:[Additional Remark]],2,FALSE)</f>
        <v>Safinaz Binti Mohd Sharif</v>
      </c>
      <c r="C253" s="4" t="str">
        <f>VLOOKUP(A:A,Table1[[Project No]:[Additional Remark]],19,FALSE)</f>
        <v>670915-01-5984</v>
      </c>
      <c r="D253" s="4" t="str">
        <f>VLOOKUP(A:A,Table1[[Project No]:[Additional Remark]],20,FALSE)</f>
        <v>Lot 2298, Jalan Sg. Soi, Kg. Sepat, 25150 Penor, Pahang.</v>
      </c>
      <c r="E253" s="4" t="str">
        <f>VLOOKUP(A:A,Table1[[Project No]:[Additional Remark]],21,FALSE)</f>
        <v>012-9818637</v>
      </c>
      <c r="F253" s="4" t="str">
        <f>VLOOKUP(A:A,Table1[[Project No]:[Additional Remark]],22,FALSE)</f>
        <v>safinazsharif67@gmail.com</v>
      </c>
      <c r="G253" s="55">
        <f>VLOOKUP(A:A,Table1[[Project No]:[Additional Remark]],11,FALSE)</f>
        <v>21500</v>
      </c>
      <c r="H253" s="4" t="str">
        <f>VLOOKUP(A:A,Table1[[Project No]:[Additional Remark]],5,FALSE)</f>
        <v>R-PV</v>
      </c>
      <c r="I253" s="4">
        <f>VLOOKUP(A:A,Table1[[Project No]:[Additional Remark]],8,FALSE)</f>
        <v>6.49</v>
      </c>
      <c r="J253" s="4" t="str">
        <f>VLOOKUP(A:A,Table1[[Project No]:[Additional Remark]],23,FALSE)</f>
        <v xml:space="preserve">3 years </v>
      </c>
      <c r="K253" s="4"/>
      <c r="L253" s="4"/>
      <c r="M253" s="4"/>
      <c r="N253" s="4"/>
      <c r="O253" s="4"/>
      <c r="P253" s="4"/>
      <c r="Q253" s="4"/>
      <c r="R253" s="4"/>
      <c r="S253" s="4"/>
      <c r="T253" s="4"/>
      <c r="U253" s="4"/>
      <c r="V253" s="4"/>
    </row>
    <row r="254" spans="1:22" x14ac:dyDescent="0.3">
      <c r="A254" s="4">
        <f>'ECN Master Project Tracker new'!A255</f>
        <v>2503604</v>
      </c>
      <c r="B254" s="108" t="str">
        <f>VLOOKUP(A:A,Table1[[#All],[Project No]:[Additional Remark]],2,FALSE)</f>
        <v>Kong Chun Seng</v>
      </c>
      <c r="C254" s="4" t="str">
        <f>VLOOKUP(A:A,Table1[[Project No]:[Additional Remark]],19,FALSE)</f>
        <v>950316-14-6321</v>
      </c>
      <c r="D254" s="4" t="str">
        <f>VLOOKUP(A:A,Table1[[Project No]:[Additional Remark]],20,FALSE)</f>
        <v>No 200, Jalan Colonial 6, Taman Colonial, 27600 Raub, Pahang</v>
      </c>
      <c r="E254" s="4" t="str">
        <f>VLOOKUP(A:A,Table1[[Project No]:[Additional Remark]],21,FALSE)</f>
        <v>019-9804663</v>
      </c>
      <c r="F254" s="4" t="str">
        <f>VLOOKUP(A:A,Table1[[Project No]:[Additional Remark]],22,FALSE)</f>
        <v>Chunseng950316@icloud.com</v>
      </c>
      <c r="G254" s="55">
        <f>VLOOKUP(A:A,Table1[[Project No]:[Additional Remark]],11,FALSE)</f>
        <v>27000</v>
      </c>
      <c r="H254" s="4" t="str">
        <f>VLOOKUP(A:A,Table1[[Project No]:[Additional Remark]],5,FALSE)</f>
        <v>R-PV</v>
      </c>
      <c r="I254" s="4">
        <f>VLOOKUP(A:A,Table1[[Project No]:[Additional Remark]],8,FALSE)</f>
        <v>9.44</v>
      </c>
      <c r="J254" s="4" t="str">
        <f>VLOOKUP(A:A,Table1[[Project No]:[Additional Remark]],23,FALSE)</f>
        <v xml:space="preserve">3 years </v>
      </c>
      <c r="K254" s="4" t="s">
        <v>1902</v>
      </c>
      <c r="L254" s="4" t="s">
        <v>2099</v>
      </c>
      <c r="M254" s="93">
        <v>45806</v>
      </c>
      <c r="N254" s="4"/>
      <c r="O254" s="4"/>
      <c r="P254" s="4"/>
      <c r="Q254" s="4"/>
      <c r="R254" s="4"/>
      <c r="S254" s="4"/>
      <c r="T254" s="4"/>
      <c r="U254" s="4"/>
      <c r="V254" s="4"/>
    </row>
    <row r="255" spans="1:22" x14ac:dyDescent="0.3">
      <c r="A255" s="4">
        <f>'ECN Master Project Tracker new'!A256</f>
        <v>2503598</v>
      </c>
      <c r="B255" s="108" t="str">
        <f>VLOOKUP(A:A,Table1[[#All],[Project No]:[Additional Remark]],2,FALSE)</f>
        <v>Lew Yuen Tang</v>
      </c>
      <c r="C255" s="4" t="str">
        <f>VLOOKUP(A:A,Table1[[Project No]:[Additional Remark]],19,FALSE)</f>
        <v>560915-10-5405</v>
      </c>
      <c r="D255" s="4" t="str">
        <f>VLOOKUP(A:A,Table1[[Project No]:[Additional Remark]],20,FALSE)</f>
        <v>5, Jalan SS 22A/6, Damansara Jaya, 47400 Petaling Jaya, Selangor</v>
      </c>
      <c r="E255" s="4" t="str">
        <f>VLOOKUP(A:A,Table1[[Project No]:[Additional Remark]],21,FALSE)</f>
        <v>012-3309688</v>
      </c>
      <c r="F255" s="4" t="str">
        <f>VLOOKUP(A:A,Table1[[Project No]:[Additional Remark]],22,FALSE)</f>
        <v>pavirelew3@gmail.com</v>
      </c>
      <c r="G255" s="55">
        <f>VLOOKUP(A:A,Table1[[Project No]:[Additional Remark]],11,FALSE)</f>
        <v>27000</v>
      </c>
      <c r="H255" s="4" t="str">
        <f>VLOOKUP(A:A,Table1[[Project No]:[Additional Remark]],5,FALSE)</f>
        <v>R-PV</v>
      </c>
      <c r="I255" s="4">
        <f>VLOOKUP(A:A,Table1[[Project No]:[Additional Remark]],8,FALSE)</f>
        <v>9.44</v>
      </c>
      <c r="J255" s="4" t="str">
        <f>VLOOKUP(A:A,Table1[[Project No]:[Additional Remark]],23,FALSE)</f>
        <v xml:space="preserve">3 years </v>
      </c>
      <c r="K255" s="4" t="s">
        <v>1902</v>
      </c>
      <c r="L255" s="4" t="s">
        <v>2100</v>
      </c>
      <c r="M255" s="93">
        <v>45806</v>
      </c>
      <c r="N255" s="4"/>
      <c r="O255" s="4"/>
      <c r="P255" s="4"/>
      <c r="Q255" s="4"/>
      <c r="R255" s="4"/>
      <c r="S255" s="4"/>
      <c r="T255" s="4"/>
      <c r="U255" s="4"/>
      <c r="V255" s="4"/>
    </row>
    <row r="256" spans="1:22" x14ac:dyDescent="0.3">
      <c r="A256" s="4">
        <f>'ECN Master Project Tracker new'!A257</f>
        <v>2503609</v>
      </c>
      <c r="B256" s="108" t="str">
        <f>VLOOKUP(A:A,Table1[[#All],[Project No]:[Additional Remark]],2,FALSE)</f>
        <v>Yau Hwee Tien</v>
      </c>
      <c r="C256" s="4" t="str">
        <f>VLOOKUP(A:A,Table1[[Project No]:[Additional Remark]],19,FALSE)</f>
        <v>811024-01-5944</v>
      </c>
      <c r="D256" s="4" t="str">
        <f>VLOOKUP(A:A,Table1[[Project No]:[Additional Remark]],20,FALSE)</f>
        <v>70, Jalan Kota Impian 2, Taman Kota Impian, 83700 Yong Peng, Johor</v>
      </c>
      <c r="E256" s="4" t="str">
        <f>VLOOKUP(A:A,Table1[[Project No]:[Additional Remark]],21,FALSE)</f>
        <v>016-7601468</v>
      </c>
      <c r="F256" s="4" t="str">
        <f>VLOOKUP(A:A,Table1[[Project No]:[Additional Remark]],22,FALSE)</f>
        <v>hweetien@hotmail.com</v>
      </c>
      <c r="G256" s="55">
        <f>VLOOKUP(A:A,Table1[[Project No]:[Additional Remark]],11,FALSE)</f>
        <v>35000</v>
      </c>
      <c r="H256" s="4" t="str">
        <f>VLOOKUP(A:A,Table1[[Project No]:[Additional Remark]],5,FALSE)</f>
        <v>R-PV</v>
      </c>
      <c r="I256" s="4">
        <f>VLOOKUP(A:A,Table1[[Project No]:[Additional Remark]],8,FALSE)</f>
        <v>14.16</v>
      </c>
      <c r="J256" s="4" t="str">
        <f>VLOOKUP(A:A,Table1[[Project No]:[Additional Remark]],23,FALSE)</f>
        <v xml:space="preserve">3 years </v>
      </c>
      <c r="K256" s="4" t="s">
        <v>1902</v>
      </c>
      <c r="L256" s="4" t="s">
        <v>2101</v>
      </c>
      <c r="M256" s="93">
        <v>45806</v>
      </c>
      <c r="N256" s="4"/>
      <c r="O256" s="4"/>
      <c r="P256" s="4"/>
      <c r="Q256" s="4"/>
      <c r="R256" s="4"/>
      <c r="S256" s="4"/>
      <c r="T256" s="4"/>
      <c r="U256" s="4"/>
      <c r="V256" s="4"/>
    </row>
    <row r="257" spans="1:22" x14ac:dyDescent="0.3">
      <c r="A257" s="4">
        <f>'ECN Master Project Tracker new'!A258</f>
        <v>2503610</v>
      </c>
      <c r="B257" s="108" t="str">
        <f>VLOOKUP(A:A,Table1[[#All],[Project No]:[Additional Remark]],2,FALSE)</f>
        <v>Datuk Abdul Rani</v>
      </c>
      <c r="C257" s="4" t="str">
        <f>VLOOKUP(A:A,Table1[[Project No]:[Additional Remark]],19,FALSE)</f>
        <v>730517-08-5321</v>
      </c>
      <c r="D257" s="4" t="str">
        <f>VLOOKUP(A:A,Table1[[Project No]:[Additional Remark]],20,FALSE)</f>
        <v>No 41, Jalan Frekuensi U16/118, Elmina East, 40160 Shah Alam, Selangor</v>
      </c>
      <c r="E257" s="4" t="str">
        <f>VLOOKUP(A:A,Table1[[Project No]:[Additional Remark]],21,FALSE)</f>
        <v>017-3777902</v>
      </c>
      <c r="F257" s="4" t="str">
        <f>VLOOKUP(A:A,Table1[[Project No]:[Additional Remark]],22,FALSE)</f>
        <v>iyadnifaelio@gmail.com</v>
      </c>
      <c r="G257" s="55">
        <f>VLOOKUP(A:A,Table1[[Project No]:[Additional Remark]],11,FALSE)</f>
        <v>43000</v>
      </c>
      <c r="H257" s="4" t="str">
        <f>VLOOKUP(A:A,Table1[[Project No]:[Additional Remark]],5,FALSE)</f>
        <v>R-PV</v>
      </c>
      <c r="I257" s="4">
        <f>VLOOKUP(A:A,Table1[[Project No]:[Additional Remark]],8,FALSE)</f>
        <v>17.7</v>
      </c>
      <c r="J257" s="4" t="str">
        <f>VLOOKUP(A:A,Table1[[Project No]:[Additional Remark]],23,FALSE)</f>
        <v xml:space="preserve">3 years </v>
      </c>
      <c r="K257" s="4" t="s">
        <v>1902</v>
      </c>
      <c r="L257" s="4" t="s">
        <v>2102</v>
      </c>
      <c r="M257" s="93">
        <v>45806</v>
      </c>
      <c r="N257" s="4"/>
      <c r="O257" s="4"/>
      <c r="P257" s="4"/>
      <c r="Q257" s="4"/>
      <c r="R257" s="4"/>
      <c r="S257" s="4"/>
      <c r="T257" s="4"/>
      <c r="U257" s="4"/>
      <c r="V257" s="4"/>
    </row>
    <row r="258" spans="1:22" x14ac:dyDescent="0.3">
      <c r="A258" s="4">
        <f>'ECN Master Project Tracker new'!A259</f>
        <v>2503611</v>
      </c>
      <c r="B258" s="108" t="str">
        <f>VLOOKUP(A:A,Table1[[#All],[Project No]:[Additional Remark]],2,FALSE)</f>
        <v>Augustine Kok Hwai Nam</v>
      </c>
      <c r="C258" s="4" t="str">
        <f>VLOOKUP(A:A,Table1[[Project No]:[Additional Remark]],19,FALSE)</f>
        <v>640823-07-5309</v>
      </c>
      <c r="D258" s="4" t="str">
        <f>VLOOKUP(A:A,Table1[[Project No]:[Additional Remark]],20,FALSE)</f>
        <v>68, Jln BU 12/6, Bandar Utama, 47800 Petaling Jaya, Selangor</v>
      </c>
      <c r="E258" s="4" t="str">
        <f>VLOOKUP(A:A,Table1[[Project No]:[Additional Remark]],21,FALSE)</f>
        <v>012-5017002</v>
      </c>
      <c r="F258" s="4" t="str">
        <f>VLOOKUP(A:A,Table1[[Project No]:[Additional Remark]],22,FALSE)</f>
        <v>augkok@gmail.com</v>
      </c>
      <c r="G258" s="55">
        <f>VLOOKUP(A:A,Table1[[Project No]:[Additional Remark]],11,FALSE)</f>
        <v>23500</v>
      </c>
      <c r="H258" s="4" t="str">
        <f>VLOOKUP(A:A,Table1[[Project No]:[Additional Remark]],5,FALSE)</f>
        <v>R-PV</v>
      </c>
      <c r="I258" s="4">
        <f>VLOOKUP(A:A,Table1[[Project No]:[Additional Remark]],8,FALSE)</f>
        <v>7.67</v>
      </c>
      <c r="J258" s="4" t="str">
        <f>VLOOKUP(A:A,Table1[[Project No]:[Additional Remark]],23,FALSE)</f>
        <v xml:space="preserve">3 years </v>
      </c>
      <c r="K258" s="4" t="s">
        <v>1902</v>
      </c>
      <c r="L258" s="4" t="s">
        <v>2103</v>
      </c>
      <c r="M258" s="93">
        <v>45806</v>
      </c>
      <c r="N258" s="4"/>
      <c r="O258" s="4"/>
      <c r="P258" s="4"/>
      <c r="Q258" s="4"/>
      <c r="R258" s="4"/>
      <c r="S258" s="4"/>
      <c r="T258" s="4"/>
      <c r="U258" s="4"/>
      <c r="V258" s="4"/>
    </row>
    <row r="259" spans="1:22" x14ac:dyDescent="0.3">
      <c r="A259" s="4">
        <f>'ECN Master Project Tracker new'!A260</f>
        <v>2501524</v>
      </c>
      <c r="B259" s="108" t="str">
        <f>VLOOKUP(A:A,Table1[[#All],[Project No]:[Additional Remark]],2,FALSE)</f>
        <v>Jeremy Koo Wui Ken</v>
      </c>
      <c r="C259" s="4" t="str">
        <f>VLOOKUP(A:A,Table1[[Project No]:[Additional Remark]],19,FALSE)</f>
        <v>810525-14-6833</v>
      </c>
      <c r="D259" s="4" t="str">
        <f>VLOOKUP(A:A,Table1[[Project No]:[Additional Remark]],20,FALSE)</f>
        <v>17, Jln BU 11/6, Bandar Utama, 47800 Petaling Jaya, Selangor</v>
      </c>
      <c r="E259" s="4" t="str">
        <f>VLOOKUP(A:A,Table1[[Project No]:[Additional Remark]],21,FALSE)</f>
        <v>852-52392544</v>
      </c>
      <c r="F259" s="4" t="str">
        <f>VLOOKUP(A:A,Table1[[Project No]:[Additional Remark]],22,FALSE)</f>
        <v>jeremy6833@gmail.com</v>
      </c>
      <c r="G259" s="55">
        <f>VLOOKUP(A:A,Table1[[Project No]:[Additional Remark]],11,FALSE)</f>
        <v>27000</v>
      </c>
      <c r="H259" s="4" t="str">
        <f>VLOOKUP(A:A,Table1[[Project No]:[Additional Remark]],5,FALSE)</f>
        <v>R-PV</v>
      </c>
      <c r="I259" s="4">
        <f>VLOOKUP(A:A,Table1[[Project No]:[Additional Remark]],8,FALSE)</f>
        <v>9.44</v>
      </c>
      <c r="J259" s="4" t="str">
        <f>VLOOKUP(A:A,Table1[[Project No]:[Additional Remark]],23,FALSE)</f>
        <v xml:space="preserve">3 years </v>
      </c>
      <c r="K259" s="4" t="s">
        <v>1902</v>
      </c>
      <c r="L259" s="4" t="s">
        <v>2104</v>
      </c>
      <c r="M259" s="93">
        <v>45806</v>
      </c>
      <c r="N259" s="4"/>
      <c r="O259" s="4"/>
      <c r="P259" s="4"/>
      <c r="Q259" s="4"/>
      <c r="R259" s="4"/>
      <c r="S259" s="4"/>
      <c r="T259" s="4"/>
      <c r="U259" s="4"/>
      <c r="V259" s="4"/>
    </row>
    <row r="260" spans="1:22" x14ac:dyDescent="0.3">
      <c r="A260" s="4">
        <f>'ECN Master Project Tracker new'!A261</f>
        <v>2503617</v>
      </c>
      <c r="B260" s="108" t="str">
        <f>VLOOKUP(A:A,Table1[[#All],[Project No]:[Additional Remark]],2,FALSE)</f>
        <v>Vinny Len Siew Meng</v>
      </c>
      <c r="C260" s="4" t="str">
        <f>VLOOKUP(A:A,Table1[[Project No]:[Additional Remark]],19,FALSE)</f>
        <v>870530-06-5450</v>
      </c>
      <c r="D260" s="4" t="str">
        <f>VLOOKUP(A:A,Table1[[Project No]:[Additional Remark]],20,FALSE)</f>
        <v>No 19, Jalan Rinba Jaya 3, Taman Rimba Jaya, 28400 Mentakab, Pahang</v>
      </c>
      <c r="E260" s="4" t="str">
        <f>VLOOKUP(A:A,Table1[[Project No]:[Additional Remark]],21,FALSE)</f>
        <v>012-2352813</v>
      </c>
      <c r="F260" s="4" t="str">
        <f>VLOOKUP(A:A,Table1[[Project No]:[Additional Remark]],22,FALSE)</f>
        <v>vinnylen@gmail.com</v>
      </c>
      <c r="G260" s="55">
        <f>VLOOKUP(A:A,Table1[[Project No]:[Additional Remark]],11,FALSE)</f>
        <v>41000</v>
      </c>
      <c r="H260" s="4" t="str">
        <f>VLOOKUP(A:A,Table1[[Project No]:[Additional Remark]],5,FALSE)</f>
        <v>R-PV</v>
      </c>
      <c r="I260" s="4">
        <f>VLOOKUP(A:A,Table1[[Project No]:[Additional Remark]],8,FALSE)</f>
        <v>17.7</v>
      </c>
      <c r="J260" s="4" t="str">
        <f>VLOOKUP(A:A,Table1[[Project No]:[Additional Remark]],23,FALSE)</f>
        <v xml:space="preserve">3 years </v>
      </c>
      <c r="K260" s="4" t="s">
        <v>1902</v>
      </c>
      <c r="L260" s="4" t="s">
        <v>2105</v>
      </c>
      <c r="M260" s="93">
        <v>45806</v>
      </c>
      <c r="N260" s="4"/>
      <c r="O260" s="4"/>
      <c r="P260" s="4"/>
      <c r="Q260" s="4"/>
      <c r="R260" s="4"/>
      <c r="S260" s="4"/>
      <c r="T260" s="4"/>
      <c r="U260" s="4"/>
      <c r="V260" s="4"/>
    </row>
    <row r="261" spans="1:22" x14ac:dyDescent="0.3">
      <c r="A261" s="4">
        <f>'ECN Master Project Tracker new'!A262</f>
        <v>2503601</v>
      </c>
      <c r="B261" s="108" t="str">
        <f>VLOOKUP(A:A,Table1[[#All],[Project No]:[Additional Remark]],2,FALSE)</f>
        <v>William Song Jian Tat</v>
      </c>
      <c r="C261" s="4">
        <f>VLOOKUP(A:A,Table1[[Project No]:[Additional Remark]],19,FALSE)</f>
        <v>0</v>
      </c>
      <c r="D261" s="4">
        <f>VLOOKUP(A:A,Table1[[Project No]:[Additional Remark]],20,FALSE)</f>
        <v>0</v>
      </c>
      <c r="E261" s="4">
        <f>VLOOKUP(A:A,Table1[[Project No]:[Additional Remark]],21,FALSE)</f>
        <v>0</v>
      </c>
      <c r="F261" s="4">
        <f>VLOOKUP(A:A,Table1[[Project No]:[Additional Remark]],22,FALSE)</f>
        <v>0</v>
      </c>
      <c r="G261" s="55">
        <f>VLOOKUP(A:A,Table1[[Project No]:[Additional Remark]],11,FALSE)</f>
        <v>29000</v>
      </c>
      <c r="H261" s="4" t="str">
        <f>VLOOKUP(A:A,Table1[[Project No]:[Additional Remark]],5,FALSE)</f>
        <v>R-PV</v>
      </c>
      <c r="I261" s="4">
        <f>VLOOKUP(A:A,Table1[[Project No]:[Additional Remark]],8,FALSE)</f>
        <v>9.44</v>
      </c>
      <c r="J261" s="4" t="str">
        <f>VLOOKUP(A:A,Table1[[Project No]:[Additional Remark]],23,FALSE)</f>
        <v xml:space="preserve">3 years </v>
      </c>
      <c r="K261" s="4"/>
      <c r="L261" s="4"/>
      <c r="M261" s="4"/>
      <c r="N261" s="4"/>
      <c r="O261" s="4"/>
      <c r="P261" s="4"/>
      <c r="Q261" s="4"/>
      <c r="R261" s="4"/>
      <c r="S261" s="4"/>
      <c r="T261" s="4"/>
      <c r="U261" s="4"/>
      <c r="V261" s="4"/>
    </row>
    <row r="262" spans="1:22" s="123" customFormat="1" x14ac:dyDescent="0.3">
      <c r="A262" s="116">
        <f>'ECN Master Project Tracker new'!A263</f>
        <v>2503619</v>
      </c>
      <c r="B262" s="144" t="str">
        <f>VLOOKUP(A:A,Table1[[#All],[Project No]:[Additional Remark]],2,FALSE)</f>
        <v>Haslina binti Othman</v>
      </c>
      <c r="C262" s="116" t="str">
        <f>VLOOKUP(A:A,Table1[[Project No]:[Additional Remark]],19,FALSE)</f>
        <v>670604-11-5048</v>
      </c>
      <c r="D262" s="116" t="str">
        <f>VLOOKUP(A:A,Table1[[Project No]:[Additional Remark]],20,FALSE)</f>
        <v>Lot 367, Jln Tg Lumpur, Kg Peramu, 26060 Kuantan, Pahang</v>
      </c>
      <c r="E262" s="116" t="str">
        <f>VLOOKUP(A:A,Table1[[Project No]:[Additional Remark]],21,FALSE)</f>
        <v>013-9480768</v>
      </c>
      <c r="F262" s="116" t="str">
        <f>VLOOKUP(A:A,Table1[[Project No]:[Additional Remark]],22,FALSE)</f>
        <v>ahbagency67@gmail.com</v>
      </c>
      <c r="G262" s="117">
        <f>VLOOKUP(A:A,Table1[[Project No]:[Additional Remark]],11,FALSE)</f>
        <v>21500</v>
      </c>
      <c r="H262" s="116">
        <f>VLOOKUP(A:A,Table1[[Project No]:[Additional Remark]],5,FALSE)</f>
        <v>0</v>
      </c>
      <c r="I262" s="116">
        <f>VLOOKUP(A:A,Table1[[Project No]:[Additional Remark]],8,FALSE)</f>
        <v>7.08</v>
      </c>
      <c r="J262" s="116" t="str">
        <f>VLOOKUP(A:A,Table1[[Project No]:[Additional Remark]],23,FALSE)</f>
        <v xml:space="preserve">3 years </v>
      </c>
      <c r="K262" s="167" t="s">
        <v>1925</v>
      </c>
      <c r="L262" s="168"/>
      <c r="M262" s="168"/>
      <c r="N262" s="168"/>
      <c r="O262" s="168"/>
      <c r="P262" s="168"/>
      <c r="Q262" s="168"/>
      <c r="R262" s="168"/>
      <c r="S262" s="168"/>
      <c r="T262" s="168"/>
      <c r="U262" s="168"/>
      <c r="V262" s="169"/>
    </row>
    <row r="263" spans="1:22" x14ac:dyDescent="0.3">
      <c r="A263" s="4">
        <f>'ECN Master Project Tracker new'!A264</f>
        <v>2504623</v>
      </c>
      <c r="B263" s="108" t="str">
        <f>VLOOKUP(A:A,Table1[[#All],[Project No]:[Additional Remark]],2,FALSE)</f>
        <v>Choy Poh Chu</v>
      </c>
      <c r="C263" s="4" t="str">
        <f>VLOOKUP(A:A,Table1[[Project No]:[Additional Remark]],19,FALSE)</f>
        <v>751103-06-5104</v>
      </c>
      <c r="D263" s="4" t="str">
        <f>VLOOKUP(A:A,Table1[[Project No]:[Additional Remark]],20,FALSE)</f>
        <v>No 42, Lrg Im 1/34, Bdr Indera Mahkota, 25200 Kuantan, Pahang</v>
      </c>
      <c r="E263" s="4" t="str">
        <f>VLOOKUP(A:A,Table1[[Project No]:[Additional Remark]],21,FALSE)</f>
        <v>017-8815769</v>
      </c>
      <c r="F263" s="4" t="str">
        <f>VLOOKUP(A:A,Table1[[Project No]:[Additional Remark]],22,FALSE)</f>
        <v>pohchuchoy@gmail.com</v>
      </c>
      <c r="G263" s="55">
        <f>VLOOKUP(A:A,Table1[[Project No]:[Additional Remark]],11,FALSE)</f>
        <v>21500</v>
      </c>
      <c r="H263" s="4" t="str">
        <f>VLOOKUP(A:A,Table1[[Project No]:[Additional Remark]],5,FALSE)</f>
        <v>R-PV</v>
      </c>
      <c r="I263" s="4">
        <f>VLOOKUP(A:A,Table1[[Project No]:[Additional Remark]],8,FALSE)</f>
        <v>7.08</v>
      </c>
      <c r="J263" s="4" t="str">
        <f>VLOOKUP(A:A,Table1[[Project No]:[Additional Remark]],23,FALSE)</f>
        <v xml:space="preserve">3 years </v>
      </c>
      <c r="K263" s="4" t="s">
        <v>1902</v>
      </c>
      <c r="L263" s="4" t="s">
        <v>2106</v>
      </c>
      <c r="M263" s="93">
        <v>45806</v>
      </c>
      <c r="N263" s="4"/>
      <c r="O263" s="4"/>
      <c r="P263" s="4"/>
      <c r="Q263" s="4"/>
      <c r="R263" s="4"/>
      <c r="S263" s="4"/>
      <c r="T263" s="4"/>
      <c r="U263" s="4"/>
      <c r="V263" s="4"/>
    </row>
    <row r="264" spans="1:22" x14ac:dyDescent="0.3">
      <c r="A264" s="4">
        <f>'ECN Master Project Tracker new'!A265</f>
        <v>2503589</v>
      </c>
      <c r="B264" s="108" t="str">
        <f>VLOOKUP(A:A,Table1[[#All],[Project No]:[Additional Remark]],2,FALSE)</f>
        <v>Chong Shiuh Dyi</v>
      </c>
      <c r="C264" s="4" t="str">
        <f>VLOOKUP(A:A,Table1[[Project No]:[Additional Remark]],19,FALSE)</f>
        <v>830419-14-5229</v>
      </c>
      <c r="D264" s="4" t="str">
        <f>VLOOKUP(A:A,Table1[[Project No]:[Additional Remark]],20,FALSE)</f>
        <v>No 143, Jln Bidara 1, Tmn Bidara, 68100 Batu Caves, Selangor</v>
      </c>
      <c r="E264" s="4" t="str">
        <f>VLOOKUP(A:A,Table1[[Project No]:[Additional Remark]],21,FALSE)</f>
        <v>010-4698765</v>
      </c>
      <c r="F264" s="4" t="str">
        <f>VLOOKUP(A:A,Table1[[Project No]:[Additional Remark]],22,FALSE)</f>
        <v>wanderingvirocana@gmail.com</v>
      </c>
      <c r="G264" s="55">
        <f>VLOOKUP(A:A,Table1[[Project No]:[Additional Remark]],11,FALSE)</f>
        <v>21500</v>
      </c>
      <c r="H264" s="4" t="str">
        <f>VLOOKUP(A:A,Table1[[Project No]:[Additional Remark]],5,FALSE)</f>
        <v>R-PV</v>
      </c>
      <c r="I264" s="4">
        <f>VLOOKUP(A:A,Table1[[Project No]:[Additional Remark]],8,FALSE)</f>
        <v>7.08</v>
      </c>
      <c r="J264" s="4" t="str">
        <f>VLOOKUP(A:A,Table1[[Project No]:[Additional Remark]],23,FALSE)</f>
        <v xml:space="preserve">3 years </v>
      </c>
      <c r="K264" s="4" t="s">
        <v>1902</v>
      </c>
      <c r="L264" s="4" t="s">
        <v>2107</v>
      </c>
      <c r="M264" s="93">
        <v>45806</v>
      </c>
      <c r="N264" s="4"/>
      <c r="O264" s="4"/>
      <c r="P264" s="4"/>
      <c r="Q264" s="4"/>
      <c r="R264" s="4"/>
      <c r="S264" s="4"/>
      <c r="T264" s="4"/>
      <c r="U264" s="4"/>
      <c r="V264" s="4"/>
    </row>
    <row r="265" spans="1:22" x14ac:dyDescent="0.3">
      <c r="A265" s="4">
        <f>'ECN Master Project Tracker new'!A266</f>
        <v>2504633</v>
      </c>
      <c r="B265" s="108" t="str">
        <f>VLOOKUP(A:A,Table1[[#All],[Project No]:[Additional Remark]],2,FALSE)</f>
        <v>Yong Chee Seng</v>
      </c>
      <c r="C265" s="4" t="str">
        <f>VLOOKUP(A:A,Table1[[Project No]:[Additional Remark]],19,FALSE)</f>
        <v>751025-04-5019</v>
      </c>
      <c r="D265" s="4" t="str">
        <f>VLOOKUP(A:A,Table1[[Project No]:[Additional Remark]],20,FALSE)</f>
        <v>41, Jalan Aman Perdana 11K/KU5, Taman Aman Perdana, 41050 Klang, Selangor</v>
      </c>
      <c r="E265" s="4" t="str">
        <f>VLOOKUP(A:A,Table1[[Project No]:[Additional Remark]],21,FALSE)</f>
        <v>012-3888517</v>
      </c>
      <c r="F265" s="4" t="str">
        <f>VLOOKUP(A:A,Table1[[Project No]:[Additional Remark]],22,FALSE)</f>
        <v>hoongthyeengineering@gmail.com</v>
      </c>
      <c r="G265" s="55">
        <f>VLOOKUP(A:A,Table1[[Project No]:[Additional Remark]],11,FALSE)</f>
        <v>21500</v>
      </c>
      <c r="H265" s="4" t="str">
        <f>VLOOKUP(A:A,Table1[[Project No]:[Additional Remark]],5,FALSE)</f>
        <v>R-PV</v>
      </c>
      <c r="I265" s="4">
        <f>VLOOKUP(A:A,Table1[[Project No]:[Additional Remark]],8,FALSE)</f>
        <v>7.08</v>
      </c>
      <c r="J265" s="4" t="str">
        <f>VLOOKUP(A:A,Table1[[Project No]:[Additional Remark]],23,FALSE)</f>
        <v xml:space="preserve">3 years </v>
      </c>
      <c r="K265" s="4"/>
      <c r="L265" s="4"/>
      <c r="M265" s="4"/>
      <c r="N265" s="4"/>
      <c r="O265" s="4"/>
      <c r="P265" s="4"/>
      <c r="Q265" s="4"/>
      <c r="R265" s="4"/>
      <c r="S265" s="4"/>
      <c r="T265" s="4"/>
      <c r="U265" s="4"/>
      <c r="V265" s="4"/>
    </row>
    <row r="266" spans="1:22" x14ac:dyDescent="0.3">
      <c r="A266" s="4">
        <f>'ECN Master Project Tracker new'!A267</f>
        <v>2504636</v>
      </c>
      <c r="B266" s="108" t="str">
        <f>VLOOKUP(A:A,Table1[[#All],[Project No]:[Additional Remark]],2,FALSE)</f>
        <v>Nur Salinahany binti Hanafiah</v>
      </c>
      <c r="C266" s="4" t="str">
        <f>VLOOKUP(A:A,Table1[[Project No]:[Additional Remark]],19,FALSE)</f>
        <v>771124-02-6014</v>
      </c>
      <c r="D266" s="4" t="str">
        <f>VLOOKUP(A:A,Table1[[Project No]:[Additional Remark]],20,FALSE)</f>
        <v>36645, Rumah Lot, Jln Lapangan Terbang, 26070 Kuantan</v>
      </c>
      <c r="E266" s="4" t="str">
        <f>VLOOKUP(A:A,Table1[[Project No]:[Additional Remark]],21,FALSE)</f>
        <v>010-4060484</v>
      </c>
      <c r="F266" s="4" t="str">
        <f>VLOOKUP(A:A,Table1[[Project No]:[Additional Remark]],22,FALSE)</f>
        <v>hanynajib7577@gmail.com</v>
      </c>
      <c r="G266" s="55">
        <f>VLOOKUP(A:A,Table1[[Project No]:[Additional Remark]],11,FALSE)</f>
        <v>41000</v>
      </c>
      <c r="H266" s="4" t="str">
        <f>VLOOKUP(A:A,Table1[[Project No]:[Additional Remark]],5,FALSE)</f>
        <v>R-PV</v>
      </c>
      <c r="I266" s="4">
        <f>VLOOKUP(A:A,Table1[[Project No]:[Additional Remark]],8,FALSE)</f>
        <v>17.7</v>
      </c>
      <c r="J266" s="4" t="str">
        <f>VLOOKUP(A:A,Table1[[Project No]:[Additional Remark]],23,FALSE)</f>
        <v xml:space="preserve">3 years </v>
      </c>
      <c r="K266" s="4" t="s">
        <v>1902</v>
      </c>
      <c r="L266" s="4" t="s">
        <v>2108</v>
      </c>
      <c r="M266" s="93">
        <v>45806</v>
      </c>
      <c r="N266" s="4"/>
      <c r="O266" s="4"/>
      <c r="P266" s="4"/>
      <c r="Q266" s="4"/>
      <c r="R266" s="4"/>
      <c r="S266" s="4"/>
      <c r="T266" s="4"/>
      <c r="U266" s="4"/>
      <c r="V266" s="4"/>
    </row>
    <row r="267" spans="1:22" x14ac:dyDescent="0.3">
      <c r="A267" s="4">
        <f>'ECN Master Project Tracker new'!A268</f>
        <v>2406152</v>
      </c>
      <c r="B267" s="108" t="str">
        <f>VLOOKUP(A:A,Table1[[#All],[Project No]:[Additional Remark]],2,FALSE)</f>
        <v>Chara Sdn Bhd</v>
      </c>
      <c r="C267" s="4">
        <f>VLOOKUP(A:A,Table1[[Project No]:[Additional Remark]],19,FALSE)</f>
        <v>0</v>
      </c>
      <c r="D267" s="4" t="str">
        <f>VLOOKUP(A:A,Table1[[Project No]:[Additional Remark]],20,FALSE)</f>
        <v>3, Jalan Majistret U1/26, Hicom Glenmarie Industrial Park, 40150 Shah Alam, Selangor</v>
      </c>
      <c r="E267" s="4">
        <f>VLOOKUP(A:A,Table1[[Project No]:[Additional Remark]],21,FALSE)</f>
        <v>0</v>
      </c>
      <c r="F267" s="4">
        <f>VLOOKUP(A:A,Table1[[Project No]:[Additional Remark]],22,FALSE)</f>
        <v>0</v>
      </c>
      <c r="G267" s="55">
        <f>VLOOKUP(A:A,Table1[[Project No]:[Additional Remark]],11,FALSE)</f>
        <v>155000</v>
      </c>
      <c r="H267" s="4" t="str">
        <f>VLOOKUP(A:A,Table1[[Project No]:[Additional Remark]],5,FALSE)</f>
        <v>C&amp;I-PV</v>
      </c>
      <c r="I267" s="4">
        <f>VLOOKUP(A:A,Table1[[Project No]:[Additional Remark]],8,FALSE)</f>
        <v>93.17</v>
      </c>
      <c r="J267" s="4" t="str">
        <f>VLOOKUP(A:A,Table1[[Project No]:[Additional Remark]],23,FALSE)</f>
        <v>N/A</v>
      </c>
      <c r="K267" s="163" t="s">
        <v>109</v>
      </c>
      <c r="L267" s="164" t="s">
        <v>109</v>
      </c>
      <c r="M267" s="165"/>
      <c r="N267" s="163" t="s">
        <v>109</v>
      </c>
      <c r="O267" s="164" t="s">
        <v>109</v>
      </c>
      <c r="P267" s="165"/>
      <c r="Q267" s="163" t="s">
        <v>109</v>
      </c>
      <c r="R267" s="164" t="s">
        <v>109</v>
      </c>
      <c r="S267" s="165"/>
      <c r="T267" s="163" t="s">
        <v>109</v>
      </c>
      <c r="U267" s="164" t="s">
        <v>109</v>
      </c>
      <c r="V267" s="165"/>
    </row>
    <row r="268" spans="1:22" x14ac:dyDescent="0.3">
      <c r="A268" s="4">
        <f>'ECN Master Project Tracker new'!A269</f>
        <v>2504640</v>
      </c>
      <c r="B268" s="108" t="str">
        <f>VLOOKUP(A:A,Table1[[#All],[Project No]:[Additional Remark]],2,FALSE)</f>
        <v>Ng Mong Ping</v>
      </c>
      <c r="C268" s="4" t="str">
        <f>VLOOKUP(A:A,Table1[[Project No]:[Additional Remark]],19,FALSE)</f>
        <v>730122-01-5257</v>
      </c>
      <c r="D268" s="4" t="str">
        <f>VLOOKUP(A:A,Table1[[Project No]:[Additional Remark]],20,FALSE)</f>
        <v>25, Jalan Panorama 7, Taman Kota Panorama, 83700 Yong Peng, Johor</v>
      </c>
      <c r="E268" s="4" t="str">
        <f>VLOOKUP(A:A,Table1[[Project No]:[Additional Remark]],21,FALSE)</f>
        <v>65-91388191</v>
      </c>
      <c r="F268" s="4" t="str">
        <f>VLOOKUP(A:A,Table1[[Project No]:[Additional Remark]],22,FALSE)</f>
        <v>mongping.ng@gmail.com</v>
      </c>
      <c r="G268" s="55">
        <f>VLOOKUP(A:A,Table1[[Project No]:[Additional Remark]],11,FALSE)</f>
        <v>26000</v>
      </c>
      <c r="H268" s="4" t="str">
        <f>VLOOKUP(A:A,Table1[[Project No]:[Additional Remark]],5,FALSE)</f>
        <v>R-PV</v>
      </c>
      <c r="I268" s="4">
        <f>VLOOKUP(A:A,Table1[[Project No]:[Additional Remark]],8,FALSE)</f>
        <v>9.44</v>
      </c>
      <c r="J268" s="4" t="str">
        <f>VLOOKUP(A:A,Table1[[Project No]:[Additional Remark]],23,FALSE)</f>
        <v xml:space="preserve">3 years </v>
      </c>
      <c r="K268" s="4"/>
      <c r="L268" s="4"/>
      <c r="M268" s="4"/>
      <c r="N268" s="4"/>
      <c r="O268" s="4"/>
      <c r="P268" s="4"/>
      <c r="Q268" s="4"/>
      <c r="R268" s="4"/>
      <c r="S268" s="4"/>
      <c r="T268" s="4"/>
      <c r="U268" s="4"/>
      <c r="V268" s="4"/>
    </row>
    <row r="269" spans="1:22" x14ac:dyDescent="0.3">
      <c r="A269" s="4">
        <f>'ECN Master Project Tracker new'!A270</f>
        <v>2504638</v>
      </c>
      <c r="B269" s="108" t="str">
        <f>VLOOKUP(A:A,Table1[[#All],[Project No]:[Additional Remark]],2,FALSE)</f>
        <v>Lai Boon Liong</v>
      </c>
      <c r="C269" s="4" t="str">
        <f>VLOOKUP(A:A,Table1[[Project No]:[Additional Remark]],19,FALSE)</f>
        <v>791205-01-5083</v>
      </c>
      <c r="D269" s="4" t="str">
        <f>VLOOKUP(A:A,Table1[[Project No]:[Additional Remark]],20,FALSE)</f>
        <v>1, Jalan Bayu 8, Taman Sri Bayu, 83700 Yong Peng, Johor</v>
      </c>
      <c r="E269" s="4" t="str">
        <f>VLOOKUP(A:A,Table1[[Project No]:[Additional Remark]],21,FALSE)</f>
        <v>012-4743089</v>
      </c>
      <c r="F269" s="4" t="str">
        <f>VLOOKUP(A:A,Table1[[Project No]:[Additional Remark]],22,FALSE)</f>
        <v>yap.sk@hotmail.com</v>
      </c>
      <c r="G269" s="55">
        <f>VLOOKUP(A:A,Table1[[Project No]:[Additional Remark]],11,FALSE)</f>
        <v>27000</v>
      </c>
      <c r="H269" s="4" t="str">
        <f>VLOOKUP(A:A,Table1[[Project No]:[Additional Remark]],5,FALSE)</f>
        <v>R-PV</v>
      </c>
      <c r="I269" s="4">
        <f>VLOOKUP(A:A,Table1[[Project No]:[Additional Remark]],8,FALSE)</f>
        <v>9.44</v>
      </c>
      <c r="J269" s="4" t="str">
        <f>VLOOKUP(A:A,Table1[[Project No]:[Additional Remark]],23,FALSE)</f>
        <v xml:space="preserve">3 years </v>
      </c>
      <c r="K269" s="4" t="s">
        <v>1902</v>
      </c>
      <c r="L269" s="4" t="s">
        <v>2109</v>
      </c>
      <c r="M269" s="93">
        <v>45806</v>
      </c>
      <c r="N269" s="4"/>
      <c r="O269" s="4"/>
      <c r="P269" s="4"/>
      <c r="Q269" s="4"/>
      <c r="R269" s="4"/>
      <c r="S269" s="4"/>
      <c r="T269" s="4"/>
      <c r="U269" s="4"/>
      <c r="V269" s="4"/>
    </row>
    <row r="270" spans="1:22" x14ac:dyDescent="0.3">
      <c r="A270" s="4">
        <f>'ECN Master Project Tracker new'!A271</f>
        <v>2504652</v>
      </c>
      <c r="B270" s="108" t="str">
        <f>VLOOKUP(A:A,Table1[[#All],[Project No]:[Additional Remark]],2,FALSE)</f>
        <v>Khairul Hisham Bin Mohamed</v>
      </c>
      <c r="C270" s="4" t="str">
        <f>VLOOKUP(A:A,Table1[[Project No]:[Additional Remark]],19,FALSE)</f>
        <v>850301-06-5635</v>
      </c>
      <c r="D270" s="4" t="str">
        <f>VLOOKUP(A:A,Table1[[Project No]:[Additional Remark]],20,FALSE)</f>
        <v>50, Taman PSJ, Lrg Sg Karang Darat 12, PKGN Sg Karang Darat, 26100 Kuantan, Pahang</v>
      </c>
      <c r="E270" s="4" t="str">
        <f>VLOOKUP(A:A,Table1[[Project No]:[Additional Remark]],21,FALSE)</f>
        <v>019-9709798</v>
      </c>
      <c r="F270" s="4" t="str">
        <f>VLOOKUP(A:A,Table1[[Project No]:[Additional Remark]],22,FALSE)</f>
        <v>khaimoha3720@gmail.com</v>
      </c>
      <c r="G270" s="55">
        <f>VLOOKUP(A:A,Table1[[Project No]:[Additional Remark]],11,FALSE)</f>
        <v>27500</v>
      </c>
      <c r="H270" s="4" t="str">
        <f>VLOOKUP(A:A,Table1[[Project No]:[Additional Remark]],5,FALSE)</f>
        <v>R-PV</v>
      </c>
      <c r="I270" s="4">
        <f>VLOOKUP(A:A,Table1[[Project No]:[Additional Remark]],8,FALSE)</f>
        <v>9.44</v>
      </c>
      <c r="J270" s="4" t="str">
        <f>VLOOKUP(A:A,Table1[[Project No]:[Additional Remark]],23,FALSE)</f>
        <v xml:space="preserve">3 years </v>
      </c>
      <c r="K270" s="4" t="s">
        <v>1902</v>
      </c>
      <c r="L270" s="4" t="s">
        <v>2110</v>
      </c>
      <c r="M270" s="93">
        <v>45806</v>
      </c>
      <c r="N270" s="4"/>
      <c r="O270" s="4"/>
      <c r="P270" s="4"/>
      <c r="Q270" s="4"/>
      <c r="R270" s="4"/>
      <c r="S270" s="4"/>
      <c r="T270" s="4"/>
      <c r="U270" s="4"/>
      <c r="V270" s="4"/>
    </row>
    <row r="271" spans="1:22" x14ac:dyDescent="0.3">
      <c r="A271" s="4">
        <f>'ECN Master Project Tracker new'!A272</f>
        <v>2504647</v>
      </c>
      <c r="B271" s="108" t="str">
        <f>VLOOKUP(A:A,Table1[[#All],[Project No]:[Additional Remark]],2,FALSE)</f>
        <v>Tan Hock Cheng</v>
      </c>
      <c r="C271" s="4" t="str">
        <f>VLOOKUP(A:A,Table1[[Project No]:[Additional Remark]],19,FALSE)</f>
        <v>700325-01-5145</v>
      </c>
      <c r="D271" s="4" t="str">
        <f>VLOOKUP(A:A,Table1[[Project No]:[Additional Remark]],20,FALSE)</f>
        <v>No 20, Lrg Air Putih 102, Tmn Air Putih, Air Putih, 25300 Kuantan, Pahang</v>
      </c>
      <c r="E271" s="4" t="str">
        <f>VLOOKUP(A:A,Table1[[Project No]:[Additional Remark]],21,FALSE)</f>
        <v>019-9310567</v>
      </c>
      <c r="F271" s="4" t="str">
        <f>VLOOKUP(A:A,Table1[[Project No]:[Additional Remark]],22,FALSE)</f>
        <v>hvacrtan@gmail.com</v>
      </c>
      <c r="G271" s="55">
        <f>VLOOKUP(A:A,Table1[[Project No]:[Additional Remark]],11,FALSE)</f>
        <v>21500</v>
      </c>
      <c r="H271" s="4" t="str">
        <f>VLOOKUP(A:A,Table1[[Project No]:[Additional Remark]],5,FALSE)</f>
        <v>R-PV</v>
      </c>
      <c r="I271" s="4">
        <f>VLOOKUP(A:A,Table1[[Project No]:[Additional Remark]],8,FALSE)</f>
        <v>7.08</v>
      </c>
      <c r="J271" s="4" t="str">
        <f>VLOOKUP(A:A,Table1[[Project No]:[Additional Remark]],23,FALSE)</f>
        <v xml:space="preserve">3 years </v>
      </c>
      <c r="K271" s="4"/>
      <c r="L271" s="4"/>
      <c r="M271" s="4"/>
      <c r="N271" s="4"/>
      <c r="O271" s="4"/>
      <c r="P271" s="4"/>
      <c r="Q271" s="4"/>
      <c r="R271" s="4"/>
      <c r="S271" s="4"/>
      <c r="T271" s="4"/>
      <c r="U271" s="4"/>
      <c r="V271" s="4"/>
    </row>
    <row r="272" spans="1:22" x14ac:dyDescent="0.3">
      <c r="A272" s="4">
        <f>'ECN Master Project Tracker new'!A273</f>
        <v>2504658</v>
      </c>
      <c r="B272" s="108" t="str">
        <f>VLOOKUP(A:A,Table1[[#All],[Project No]:[Additional Remark]],2,FALSE)</f>
        <v>Phang Yeong Chin</v>
      </c>
      <c r="C272" s="4" t="str">
        <f>VLOOKUP(A:A,Table1[[Project No]:[Additional Remark]],19,FALSE)</f>
        <v>780919-07-5404</v>
      </c>
      <c r="D272" s="4" t="str">
        <f>VLOOKUP(A:A,Table1[[Project No]:[Additional Remark]],20,FALSE)</f>
        <v>62A, Jln USJ 12/1, UEP Subang Jaya, 47630 Subang Jaya, Selangor</v>
      </c>
      <c r="E272" s="4" t="str">
        <f>VLOOKUP(A:A,Table1[[Project No]:[Additional Remark]],21,FALSE)</f>
        <v>012-2965565</v>
      </c>
      <c r="F272" s="4" t="str">
        <f>VLOOKUP(A:A,Table1[[Project No]:[Additional Remark]],22,FALSE)</f>
        <v>phang_sk13@yahoo.com</v>
      </c>
      <c r="G272" s="55">
        <f>VLOOKUP(A:A,Table1[[Project No]:[Additional Remark]],11,FALSE)</f>
        <v>22500</v>
      </c>
      <c r="H272" s="4" t="str">
        <f>VLOOKUP(A:A,Table1[[Project No]:[Additional Remark]],5,FALSE)</f>
        <v>R-PV</v>
      </c>
      <c r="I272" s="4">
        <f>VLOOKUP(A:A,Table1[[Project No]:[Additional Remark]],8,FALSE)</f>
        <v>7.08</v>
      </c>
      <c r="J272" s="4" t="str">
        <f>VLOOKUP(A:A,Table1[[Project No]:[Additional Remark]],23,FALSE)</f>
        <v xml:space="preserve">3 years </v>
      </c>
      <c r="K272" s="4"/>
      <c r="L272" s="4"/>
      <c r="M272" s="4"/>
      <c r="N272" s="4"/>
      <c r="O272" s="4"/>
      <c r="P272" s="4"/>
      <c r="Q272" s="4"/>
      <c r="R272" s="4"/>
      <c r="S272" s="4"/>
      <c r="T272" s="4"/>
      <c r="U272" s="4"/>
      <c r="V272" s="4"/>
    </row>
    <row r="273" spans="1:22" x14ac:dyDescent="0.3">
      <c r="A273" s="4">
        <f>'ECN Master Project Tracker new'!A274</f>
        <v>2503614</v>
      </c>
      <c r="B273" s="108" t="str">
        <f>VLOOKUP(A:A,Table1[[#All],[Project No]:[Additional Remark]],2,FALSE)</f>
        <v>Yap Weoi Kee</v>
      </c>
      <c r="C273" s="4" t="str">
        <f>VLOOKUP(A:A,Table1[[Project No]:[Additional Remark]],19,FALSE)</f>
        <v>670103-10-6653</v>
      </c>
      <c r="D273" s="4" t="str">
        <f>VLOOKUP(A:A,Table1[[Project No]:[Additional Remark]],20,FALSE)</f>
        <v>52, Jalan SL 4/2, Bandar Sungai Long, 43000 Kajang, Selangor</v>
      </c>
      <c r="E273" s="4" t="str">
        <f>VLOOKUP(A:A,Table1[[Project No]:[Additional Remark]],21,FALSE)</f>
        <v>019-3100965</v>
      </c>
      <c r="F273" s="4" t="str">
        <f>VLOOKUP(A:A,Table1[[Project No]:[Additional Remark]],22,FALSE)</f>
        <v>yapweoikee@gmail.com</v>
      </c>
      <c r="G273" s="55">
        <f>VLOOKUP(A:A,Table1[[Project No]:[Additional Remark]],11,FALSE)</f>
        <v>0</v>
      </c>
      <c r="H273" s="4">
        <f>VLOOKUP(A:A,Table1[[Project No]:[Additional Remark]],5,FALSE)</f>
        <v>0</v>
      </c>
      <c r="I273" s="4">
        <f>VLOOKUP(A:A,Table1[[Project No]:[Additional Remark]],8,FALSE)</f>
        <v>0</v>
      </c>
      <c r="J273" s="4" t="str">
        <f>VLOOKUP(A:A,Table1[[Project No]:[Additional Remark]],23,FALSE)</f>
        <v>N/A</v>
      </c>
      <c r="K273" s="163" t="s">
        <v>109</v>
      </c>
      <c r="L273" s="164" t="s">
        <v>109</v>
      </c>
      <c r="M273" s="165"/>
      <c r="N273" s="163" t="s">
        <v>109</v>
      </c>
      <c r="O273" s="164"/>
      <c r="P273" s="165"/>
      <c r="Q273" s="163" t="s">
        <v>109</v>
      </c>
      <c r="R273" s="164"/>
      <c r="S273" s="165"/>
      <c r="T273" s="163" t="s">
        <v>109</v>
      </c>
      <c r="U273" s="164"/>
      <c r="V273" s="165"/>
    </row>
    <row r="274" spans="1:22" x14ac:dyDescent="0.3">
      <c r="A274" s="4">
        <f>'ECN Master Project Tracker new'!A275</f>
        <v>2504643</v>
      </c>
      <c r="B274" s="108" t="str">
        <f>VLOOKUP(A:A,Table1[[#All],[Project No]:[Additional Remark]],2,FALSE)</f>
        <v>Lee Sui Lian</v>
      </c>
      <c r="C274" s="4" t="str">
        <f>VLOOKUP(A:A,Table1[[Project No]:[Additional Remark]],19,FALSE)</f>
        <v>550331-04-5091</v>
      </c>
      <c r="D274" s="4" t="str">
        <f>VLOOKUP(A:A,Table1[[Project No]:[Additional Remark]],20,FALSE)</f>
        <v>E2010, Jln Mat Kilau, 25100 Kuantan, Pahang</v>
      </c>
      <c r="E274" s="4" t="str">
        <f>VLOOKUP(A:A,Table1[[Project No]:[Additional Remark]],21,FALSE)</f>
        <v>011-35339431</v>
      </c>
      <c r="F274" s="4" t="str">
        <f>VLOOKUP(A:A,Table1[[Project No]:[Additional Remark]],22,FALSE)</f>
        <v>kcwlcy0912@gmail.com</v>
      </c>
      <c r="G274" s="55">
        <f>VLOOKUP(A:A,Table1[[Project No]:[Additional Remark]],11,FALSE)</f>
        <v>46700</v>
      </c>
      <c r="H274" s="4" t="str">
        <f>VLOOKUP(A:A,Table1[[Project No]:[Additional Remark]],5,FALSE)</f>
        <v>R-PV</v>
      </c>
      <c r="I274" s="4">
        <f>VLOOKUP(A:A,Table1[[Project No]:[Additional Remark]],8,FALSE)</f>
        <v>17.7</v>
      </c>
      <c r="J274" s="4" t="str">
        <f>VLOOKUP(A:A,Table1[[Project No]:[Additional Remark]],23,FALSE)</f>
        <v xml:space="preserve">3 years </v>
      </c>
      <c r="K274" s="4"/>
      <c r="L274" s="4"/>
      <c r="M274" s="4"/>
      <c r="N274" s="4"/>
      <c r="O274" s="4"/>
      <c r="P274" s="4"/>
      <c r="Q274" s="4"/>
      <c r="R274" s="4"/>
      <c r="S274" s="4"/>
      <c r="T274" s="4"/>
      <c r="U274" s="4"/>
      <c r="V274" s="4"/>
    </row>
    <row r="275" spans="1:22" x14ac:dyDescent="0.3">
      <c r="A275" s="4">
        <f>'ECN Master Project Tracker new'!A276</f>
        <v>2504663</v>
      </c>
      <c r="B275" s="108" t="str">
        <f>VLOOKUP(A:A,Table1[[#All],[Project No]:[Additional Remark]],2,FALSE)</f>
        <v>Too Seng Eng</v>
      </c>
      <c r="C275" s="4" t="str">
        <f>VLOOKUP(A:A,Table1[[Project No]:[Additional Remark]],19,FALSE)</f>
        <v>690211-06-5017</v>
      </c>
      <c r="D275" s="4" t="str">
        <f>VLOOKUP(A:A,Table1[[Project No]:[Additional Remark]],20,FALSE)</f>
        <v>No 18, Lrg GE 2 Tmn Gemilang Emas-Sg Jan, 27000 Jeratut Pahang</v>
      </c>
      <c r="E275" s="4" t="str">
        <f>VLOOKUP(A:A,Table1[[Project No]:[Additional Remark]],21,FALSE)</f>
        <v>013-9816863</v>
      </c>
      <c r="F275" s="4" t="str">
        <f>VLOOKUP(A:A,Table1[[Project No]:[Additional Remark]],22,FALSE)</f>
        <v>kaixuantoo@gmail.com</v>
      </c>
      <c r="G275" s="55">
        <f>VLOOKUP(A:A,Table1[[Project No]:[Additional Remark]],11,FALSE)</f>
        <v>22500</v>
      </c>
      <c r="H275" s="4" t="str">
        <f>VLOOKUP(A:A,Table1[[Project No]:[Additional Remark]],5,FALSE)</f>
        <v>R-PV</v>
      </c>
      <c r="I275" s="4">
        <f>VLOOKUP(A:A,Table1[[Project No]:[Additional Remark]],8,FALSE)</f>
        <v>7.08</v>
      </c>
      <c r="J275" s="4" t="str">
        <f>VLOOKUP(A:A,Table1[[Project No]:[Additional Remark]],23,FALSE)</f>
        <v xml:space="preserve">3 years </v>
      </c>
      <c r="K275" s="4"/>
      <c r="L275" s="4"/>
      <c r="M275" s="4"/>
      <c r="N275" s="4"/>
      <c r="O275" s="4"/>
      <c r="P275" s="4"/>
      <c r="Q275" s="4"/>
      <c r="R275" s="4"/>
      <c r="S275" s="4"/>
      <c r="T275" s="4"/>
      <c r="U275" s="4"/>
      <c r="V275" s="4"/>
    </row>
    <row r="276" spans="1:22" x14ac:dyDescent="0.3">
      <c r="A276" s="4">
        <f>'ECN Master Project Tracker new'!A277</f>
        <v>2504671</v>
      </c>
      <c r="B276" s="108" t="str">
        <f>VLOOKUP(A:A,Table1[[#All],[Project No]:[Additional Remark]],2,FALSE)</f>
        <v>Anthony Phua Kin Loong</v>
      </c>
      <c r="C276" s="4" t="str">
        <f>VLOOKUP(A:A,Table1[[Project No]:[Additional Remark]],19,FALSE)</f>
        <v>860406-33-5573</v>
      </c>
      <c r="D276" s="4" t="str">
        <f>VLOOKUP(A:A,Table1[[Project No]:[Additional Remark]],20,FALSE)</f>
        <v>No 14, Jalan KS 12/8, Kota Sultan Ahmad Shah, 25200 Kuantan, Pahang</v>
      </c>
      <c r="E276" s="4" t="str">
        <f>VLOOKUP(A:A,Table1[[Project No]:[Additional Remark]],21,FALSE)</f>
        <v>016-9514838</v>
      </c>
      <c r="F276" s="4" t="str">
        <f>VLOOKUP(A:A,Table1[[Project No]:[Additional Remark]],22,FALSE)</f>
        <v>Anthony.phua.kl@gmail.com</v>
      </c>
      <c r="G276" s="55">
        <f>VLOOKUP(A:A,Table1[[Project No]:[Additional Remark]],11,FALSE)</f>
        <v>41000</v>
      </c>
      <c r="H276" s="4" t="str">
        <f>VLOOKUP(A:A,Table1[[Project No]:[Additional Remark]],5,FALSE)</f>
        <v>R-PV</v>
      </c>
      <c r="I276" s="4">
        <f>VLOOKUP(A:A,Table1[[Project No]:[Additional Remark]],8,FALSE)</f>
        <v>17.7</v>
      </c>
      <c r="J276" s="4" t="str">
        <f>VLOOKUP(A:A,Table1[[Project No]:[Additional Remark]],23,FALSE)</f>
        <v xml:space="preserve">3 years </v>
      </c>
      <c r="K276" s="4"/>
      <c r="L276" s="4"/>
      <c r="M276" s="4"/>
      <c r="N276" s="4"/>
      <c r="O276" s="4"/>
      <c r="P276" s="4"/>
      <c r="Q276" s="4"/>
      <c r="R276" s="4"/>
      <c r="S276" s="4"/>
      <c r="T276" s="4"/>
      <c r="U276" s="4"/>
      <c r="V276" s="4"/>
    </row>
    <row r="277" spans="1:22" x14ac:dyDescent="0.3">
      <c r="A277" s="4">
        <f>'ECN Master Project Tracker new'!A278</f>
        <v>2506644</v>
      </c>
      <c r="B277" s="108" t="str">
        <f>VLOOKUP(A:A,Table1[[#All],[Project No]:[Additional Remark]],2,FALSE)</f>
        <v>Chang Kok Sang (Chang Vun Yu)</v>
      </c>
      <c r="C277" s="4" t="str">
        <f>VLOOKUP(A:A,Table1[[Project No]:[Additional Remark]],19,FALSE)</f>
        <v>510630-12-5175</v>
      </c>
      <c r="D277" s="4" t="str">
        <f>VLOOKUP(A:A,Table1[[Project No]:[Additional Remark]],20,FALSE)</f>
        <v>43, Jln USJ 9/3P, UEP Subang Jaya, 47500 Subang Jaya, Selangor</v>
      </c>
      <c r="E277" s="4" t="str">
        <f>VLOOKUP(A:A,Table1[[Project No]:[Additional Remark]],21,FALSE)</f>
        <v>019-8606262</v>
      </c>
      <c r="F277" s="4" t="str">
        <f>VLOOKUP(A:A,Table1[[Project No]:[Additional Remark]],22,FALSE)</f>
        <v>clementchang@harrisons.com.my</v>
      </c>
      <c r="G277" s="55">
        <f>VLOOKUP(A:A,Table1[[Project No]:[Additional Remark]],11,FALSE)</f>
        <v>21000</v>
      </c>
      <c r="H277" s="4" t="str">
        <f>VLOOKUP(A:A,Table1[[Project No]:[Additional Remark]],5,FALSE)</f>
        <v>R-PV</v>
      </c>
      <c r="I277" s="4">
        <f>VLOOKUP(A:A,Table1[[Project No]:[Additional Remark]],8,FALSE)</f>
        <v>7.08</v>
      </c>
      <c r="J277" s="4" t="str">
        <f>VLOOKUP(A:A,Table1[[Project No]:[Additional Remark]],23,FALSE)</f>
        <v xml:space="preserve">3 years </v>
      </c>
      <c r="K277" s="4"/>
      <c r="L277" s="4"/>
      <c r="M277" s="4"/>
      <c r="N277" s="4"/>
      <c r="O277" s="4"/>
      <c r="P277" s="4"/>
      <c r="Q277" s="4"/>
      <c r="R277" s="4"/>
      <c r="S277" s="4"/>
      <c r="T277" s="4"/>
      <c r="U277" s="4"/>
      <c r="V277" s="4"/>
    </row>
    <row r="278" spans="1:22" x14ac:dyDescent="0.3">
      <c r="A278" s="4">
        <f>'ECN Master Project Tracker new'!A279</f>
        <v>2505675</v>
      </c>
      <c r="B278" s="108" t="str">
        <f>VLOOKUP(A:A,Table1[[#All],[Project No]:[Additional Remark]],2,FALSE)</f>
        <v>Tee Hup Soon</v>
      </c>
      <c r="C278" s="4" t="str">
        <f>VLOOKUP(A:A,Table1[[Project No]:[Additional Remark]],19,FALSE)</f>
        <v>970830-56-5439</v>
      </c>
      <c r="D278" s="4" t="str">
        <f>VLOOKUP(A:A,Table1[[Project No]:[Additional Remark]],20,FALSE)</f>
        <v>No 2, Lorong Bukit Setongkol Baru 9, Perumahan Bukit Setongkol Baru, 25200 Kuantan, Pahang</v>
      </c>
      <c r="E278" s="4" t="str">
        <f>VLOOKUP(A:A,Table1[[Project No]:[Additional Remark]],21,FALSE)</f>
        <v>013-8040830</v>
      </c>
      <c r="F278" s="4" t="str">
        <f>VLOOKUP(A:A,Table1[[Project No]:[Additional Remark]],22,FALSE)</f>
        <v>thssoon@gmail.com</v>
      </c>
      <c r="G278" s="55">
        <f>VLOOKUP(A:A,Table1[[Project No]:[Additional Remark]],11,FALSE)</f>
        <v>42170</v>
      </c>
      <c r="H278" s="4" t="str">
        <f>VLOOKUP(A:A,Table1[[Project No]:[Additional Remark]],5,FALSE)</f>
        <v>R-PV</v>
      </c>
      <c r="I278" s="4">
        <f>VLOOKUP(A:A,Table1[[Project No]:[Additional Remark]],8,FALSE)</f>
        <v>15.34</v>
      </c>
      <c r="J278" s="4" t="str">
        <f>VLOOKUP(A:A,Table1[[Project No]:[Additional Remark]],23,FALSE)</f>
        <v xml:space="preserve">3 years </v>
      </c>
      <c r="K278" s="4"/>
      <c r="L278" s="4"/>
      <c r="M278" s="4"/>
      <c r="N278" s="4"/>
      <c r="O278" s="4"/>
      <c r="P278" s="4"/>
      <c r="Q278" s="4"/>
      <c r="R278" s="4"/>
      <c r="S278" s="4"/>
      <c r="T278" s="4"/>
      <c r="U278" s="4"/>
      <c r="V278" s="4"/>
    </row>
    <row r="279" spans="1:22" x14ac:dyDescent="0.3">
      <c r="A279" s="4">
        <f>'ECN Master Project Tracker new'!A280</f>
        <v>2502564</v>
      </c>
      <c r="B279" s="108" t="str">
        <f>VLOOKUP(A:A,Table1[[#All],[Project No]:[Additional Remark]],2,FALSE)</f>
        <v>Muhammad Arif Stephen bin Abddullah</v>
      </c>
      <c r="C279" s="4" t="str">
        <f>VLOOKUP(A:A,Table1[[Project No]:[Additional Remark]],19,FALSE)</f>
        <v>621102-10-7661</v>
      </c>
      <c r="D279" s="4" t="str">
        <f>VLOOKUP(A:A,Table1[[Project No]:[Additional Remark]],20,FALSE)</f>
        <v>Lot-1183A, Jalan Felcra, Kampung Batu 14, 43100 Hulu Langat, Selangor</v>
      </c>
      <c r="E279" s="4" t="str">
        <f>VLOOKUP(A:A,Table1[[Project No]:[Additional Remark]],21,FALSE)</f>
        <v>012-8888661</v>
      </c>
      <c r="F279" s="4" t="str">
        <f>VLOOKUP(A:A,Table1[[Project No]:[Additional Remark]],22,FALSE)</f>
        <v>capt.arifstephen@yahoo.com</v>
      </c>
      <c r="G279" s="55">
        <f>VLOOKUP(A:A,Table1[[Project No]:[Additional Remark]],11,FALSE)</f>
        <v>43000</v>
      </c>
      <c r="H279" s="4" t="str">
        <f>VLOOKUP(A:A,Table1[[Project No]:[Additional Remark]],5,FALSE)</f>
        <v>R-PV</v>
      </c>
      <c r="I279" s="4">
        <f>VLOOKUP(A:A,Table1[[Project No]:[Additional Remark]],8,FALSE)</f>
        <v>17.7</v>
      </c>
      <c r="J279" s="4" t="str">
        <f>VLOOKUP(A:A,Table1[[Project No]:[Additional Remark]],23,FALSE)</f>
        <v xml:space="preserve">3 years </v>
      </c>
      <c r="K279" s="4" t="s">
        <v>1902</v>
      </c>
      <c r="L279" s="4" t="s">
        <v>2111</v>
      </c>
      <c r="M279" s="93">
        <v>45806</v>
      </c>
      <c r="N279" s="4"/>
      <c r="O279" s="4"/>
      <c r="P279" s="4"/>
      <c r="Q279" s="4"/>
      <c r="R279" s="4"/>
      <c r="S279" s="4"/>
      <c r="T279" s="4"/>
      <c r="U279" s="4"/>
      <c r="V279" s="4"/>
    </row>
    <row r="280" spans="1:22" x14ac:dyDescent="0.3">
      <c r="A280" s="4">
        <f>'ECN Master Project Tracker new'!A281</f>
        <v>2504664</v>
      </c>
      <c r="B280" s="108" t="str">
        <f>VLOOKUP(A:A,Table1[[#All],[Project No]:[Additional Remark]],2,FALSE)</f>
        <v>Law Meng Siong</v>
      </c>
      <c r="C280" s="4" t="str">
        <f>VLOOKUP(A:A,Table1[[Project No]:[Additional Remark]],19,FALSE)</f>
        <v>680623-06-5049</v>
      </c>
      <c r="D280" s="4" t="str">
        <f>VLOOKUP(A:A,Table1[[Project No]:[Additional Remark]],20,FALSE)</f>
        <v>Lot 13347, Bt 2 1-2 Jln Triang, 28200 Triang, Pahang</v>
      </c>
      <c r="E280" s="4" t="str">
        <f>VLOOKUP(A:A,Table1[[Project No]:[Additional Remark]],21,FALSE)</f>
        <v>019-9558682</v>
      </c>
      <c r="F280" s="4" t="str">
        <f>VLOOKUP(A:A,Table1[[Project No]:[Additional Remark]],22,FALSE)</f>
        <v>tskiansiong@gmail.com</v>
      </c>
      <c r="G280" s="55">
        <f>VLOOKUP(A:A,Table1[[Project No]:[Additional Remark]],11,FALSE)</f>
        <v>41000</v>
      </c>
      <c r="H280" s="4" t="str">
        <f>VLOOKUP(A:A,Table1[[Project No]:[Additional Remark]],5,FALSE)</f>
        <v>R-PV</v>
      </c>
      <c r="I280" s="4">
        <f>VLOOKUP(A:A,Table1[[Project No]:[Additional Remark]],8,FALSE)</f>
        <v>17.7</v>
      </c>
      <c r="J280" s="4" t="str">
        <f>VLOOKUP(A:A,Table1[[Project No]:[Additional Remark]],23,FALSE)</f>
        <v xml:space="preserve">3 years </v>
      </c>
      <c r="K280" s="4"/>
      <c r="L280" s="4"/>
      <c r="M280" s="4"/>
      <c r="N280" s="4"/>
      <c r="O280" s="4"/>
      <c r="P280" s="4"/>
      <c r="Q280" s="4"/>
      <c r="R280" s="4"/>
      <c r="S280" s="4"/>
      <c r="T280" s="4"/>
      <c r="U280" s="4"/>
      <c r="V280" s="4"/>
    </row>
    <row r="281" spans="1:22" x14ac:dyDescent="0.3">
      <c r="A281" s="4">
        <f>'ECN Master Project Tracker new'!A282</f>
        <v>2504651</v>
      </c>
      <c r="B281" s="108" t="str">
        <f>VLOOKUP(A:A,Table1[[#All],[Project No]:[Additional Remark]],2,FALSE)</f>
        <v>Teh Bat Kuan (Teh Eng Lim)</v>
      </c>
      <c r="C281" s="4" t="str">
        <f>VLOOKUP(A:A,Table1[[Project No]:[Additional Remark]],19,FALSE)</f>
        <v>580406-08-5985</v>
      </c>
      <c r="D281" s="4" t="str">
        <f>VLOOKUP(A:A,Table1[[Project No]:[Additional Remark]],20,FALSE)</f>
        <v>PT 1467, Regat Th 2, Taman Taiping Harmoni, 34000 Taiping, Perak</v>
      </c>
      <c r="E281" s="4" t="str">
        <f>VLOOKUP(A:A,Table1[[Project No]:[Additional Remark]],21,FALSE)</f>
        <v>012-52211111</v>
      </c>
      <c r="F281" s="4" t="str">
        <f>VLOOKUP(A:A,Table1[[Project No]:[Additional Remark]],22,FALSE)</f>
        <v>office.tehtehdev@gmail.com</v>
      </c>
      <c r="G281" s="55">
        <f>VLOOKUP(A:A,Table1[[Project No]:[Additional Remark]],11,FALSE)</f>
        <v>35000</v>
      </c>
      <c r="H281" s="4" t="str">
        <f>VLOOKUP(A:A,Table1[[Project No]:[Additional Remark]],5,FALSE)</f>
        <v>R-PV</v>
      </c>
      <c r="I281" s="4">
        <f>VLOOKUP(A:A,Table1[[Project No]:[Additional Remark]],8,FALSE)</f>
        <v>14.16</v>
      </c>
      <c r="J281" s="4" t="str">
        <f>VLOOKUP(A:A,Table1[[Project No]:[Additional Remark]],23,FALSE)</f>
        <v xml:space="preserve">3 years </v>
      </c>
      <c r="K281" s="4"/>
      <c r="L281" s="4"/>
      <c r="M281" s="4"/>
      <c r="N281" s="4"/>
      <c r="O281" s="4"/>
      <c r="P281" s="4"/>
      <c r="Q281" s="4"/>
      <c r="R281" s="4"/>
      <c r="S281" s="4"/>
      <c r="T281" s="4"/>
      <c r="U281" s="4"/>
      <c r="V281" s="4"/>
    </row>
    <row r="282" spans="1:22" x14ac:dyDescent="0.3">
      <c r="A282" s="4">
        <f>'ECN Master Project Tracker new'!A283</f>
        <v>2504049</v>
      </c>
      <c r="B282" s="108" t="str">
        <f>VLOOKUP(A:A,Table1[[#All],[Project No]:[Additional Remark]],2,FALSE)</f>
        <v>Ayer Keroh R&amp;R (Southbound) - Green EV Charge Sdn Bhd</v>
      </c>
      <c r="C282" s="4">
        <f>VLOOKUP(A:A,Table1[[Project No]:[Additional Remark]],19,FALSE)</f>
        <v>0</v>
      </c>
      <c r="D282" s="4">
        <f>VLOOKUP(A:A,Table1[[Project No]:[Additional Remark]],20,FALSE)</f>
        <v>0</v>
      </c>
      <c r="E282" s="4">
        <f>VLOOKUP(A:A,Table1[[Project No]:[Additional Remark]],21,FALSE)</f>
        <v>0</v>
      </c>
      <c r="F282" s="4">
        <f>VLOOKUP(A:A,Table1[[Project No]:[Additional Remark]],22,FALSE)</f>
        <v>0</v>
      </c>
      <c r="G282" s="55">
        <f>VLOOKUP(A:A,Table1[[Project No]:[Additional Remark]],11,FALSE)</f>
        <v>45015</v>
      </c>
      <c r="H282" s="4" t="str">
        <f>VLOOKUP(A:A,Table1[[Project No]:[Additional Remark]],5,FALSE)</f>
        <v>EV Charger</v>
      </c>
      <c r="I282" s="4">
        <f>VLOOKUP(A:A,Table1[[Project No]:[Additional Remark]],8,FALSE)</f>
        <v>0</v>
      </c>
      <c r="J282" s="4">
        <f>VLOOKUP(A:A,Table1[[Project No]:[Additional Remark]],23,FALSE)</f>
        <v>0</v>
      </c>
      <c r="K282" s="4"/>
      <c r="L282" s="4"/>
      <c r="M282" s="4"/>
      <c r="N282" s="4"/>
      <c r="O282" s="4"/>
      <c r="P282" s="4"/>
      <c r="Q282" s="4"/>
      <c r="R282" s="4"/>
      <c r="S282" s="4"/>
      <c r="T282" s="4"/>
      <c r="U282" s="4"/>
      <c r="V282" s="4"/>
    </row>
    <row r="283" spans="1:22" x14ac:dyDescent="0.3">
      <c r="A283" s="4">
        <f>'ECN Master Project Tracker new'!A284</f>
        <v>2505686</v>
      </c>
      <c r="B283" s="108" t="str">
        <f>VLOOKUP(A:A,Table1[[#All],[Project No]:[Additional Remark]],2,FALSE)</f>
        <v>Lai Kwee Far</v>
      </c>
      <c r="C283" s="4" t="str">
        <f>VLOOKUP(A:A,Table1[[Project No]:[Additional Remark]],19,FALSE)</f>
        <v>631106-05-5079</v>
      </c>
      <c r="D283" s="4" t="str">
        <f>VLOOKUP(A:A,Table1[[Project No]:[Additional Remark]],20,FALSE)</f>
        <v>20, Lrg Kurnia Jaya 3, Pkg Kurnia Jaya 1, 25150 Kuantan, Pahang</v>
      </c>
      <c r="E283" s="4" t="str">
        <f>VLOOKUP(A:A,Table1[[Project No]:[Additional Remark]],21,FALSE)</f>
        <v>010-9831963</v>
      </c>
      <c r="F283" s="4" t="str">
        <f>VLOOKUP(A:A,Table1[[Project No]:[Additional Remark]],22,FALSE)</f>
        <v>liewbonnie67@gmail.com</v>
      </c>
      <c r="G283" s="55">
        <f>VLOOKUP(A:A,Table1[[Project No]:[Additional Remark]],11,FALSE)</f>
        <v>21500</v>
      </c>
      <c r="H283" s="4" t="str">
        <f>VLOOKUP(A:A,Table1[[Project No]:[Additional Remark]],5,FALSE)</f>
        <v>R-PV</v>
      </c>
      <c r="I283" s="4">
        <f>VLOOKUP(A:A,Table1[[Project No]:[Additional Remark]],8,FALSE)</f>
        <v>7.08</v>
      </c>
      <c r="J283" s="4" t="str">
        <f>VLOOKUP(A:A,Table1[[Project No]:[Additional Remark]],23,FALSE)</f>
        <v xml:space="preserve">3 years </v>
      </c>
      <c r="K283" s="4"/>
      <c r="L283" s="4"/>
      <c r="M283" s="4"/>
      <c r="N283" s="4"/>
      <c r="O283" s="4"/>
      <c r="P283" s="4"/>
      <c r="Q283" s="4"/>
      <c r="R283" s="4"/>
      <c r="S283" s="4"/>
      <c r="T283" s="4"/>
      <c r="U283" s="4"/>
      <c r="V283" s="4"/>
    </row>
    <row r="284" spans="1:22" x14ac:dyDescent="0.3">
      <c r="A284" s="4">
        <f>'ECN Master Project Tracker new'!A285</f>
        <v>2503603</v>
      </c>
      <c r="B284" s="108" t="str">
        <f>VLOOKUP(A:A,Table1[[#All],[Project No]:[Additional Remark]],2,FALSE)</f>
        <v>Dr Balbinder Singh a/l Gurbaksh Singh</v>
      </c>
      <c r="C284" s="4" t="str">
        <f>VLOOKUP(A:A,Table1[[Project No]:[Additional Remark]],19,FALSE)</f>
        <v>680315-07-5317</v>
      </c>
      <c r="D284" s="4" t="str">
        <f>VLOOKUP(A:A,Table1[[Project No]:[Additional Remark]],20,FALSE)</f>
        <v>41, Jalan Tempinis 1, Taman Lucky, Bangsar, 59100 Kuala Lumpur, WP Kuala Lumpur</v>
      </c>
      <c r="E284" s="4" t="str">
        <f>VLOOKUP(A:A,Table1[[Project No]:[Additional Remark]],21,FALSE)</f>
        <v>012-2134001</v>
      </c>
      <c r="F284" s="4" t="str">
        <f>VLOOKUP(A:A,Table1[[Project No]:[Additional Remark]],22,FALSE)</f>
        <v>kgbill15@yahoo.com</v>
      </c>
      <c r="G284" s="55">
        <f>VLOOKUP(A:A,Table1[[Project No]:[Additional Remark]],11,FALSE)</f>
        <v>43400</v>
      </c>
      <c r="H284" s="4" t="str">
        <f>VLOOKUP(A:A,Table1[[Project No]:[Additional Remark]],5,FALSE)</f>
        <v>R-PV</v>
      </c>
      <c r="I284" s="4">
        <f>VLOOKUP(A:A,Table1[[Project No]:[Additional Remark]],8,FALSE)</f>
        <v>17.7</v>
      </c>
      <c r="J284" s="4" t="str">
        <f>VLOOKUP(A:A,Table1[[Project No]:[Additional Remark]],23,FALSE)</f>
        <v xml:space="preserve">3 years </v>
      </c>
      <c r="K284" s="4"/>
      <c r="L284" s="4"/>
      <c r="M284" s="4"/>
      <c r="N284" s="4"/>
      <c r="O284" s="4"/>
      <c r="P284" s="4"/>
      <c r="Q284" s="4"/>
      <c r="R284" s="4"/>
      <c r="S284" s="4"/>
      <c r="T284" s="4"/>
      <c r="U284" s="4"/>
      <c r="V284" s="4"/>
    </row>
    <row r="285" spans="1:22" x14ac:dyDescent="0.3">
      <c r="A285" s="4">
        <f>'ECN Master Project Tracker new'!A286</f>
        <v>2302004</v>
      </c>
      <c r="B285" s="108" t="str">
        <f>VLOOKUP(A:A,Table1[[#All],[Project No]:[Additional Remark]],2,FALSE)</f>
        <v>Ong Ah Chai</v>
      </c>
      <c r="C285" s="4">
        <f>VLOOKUP(A:A,Table1[[Project No]:[Additional Remark]],19,FALSE)</f>
        <v>0</v>
      </c>
      <c r="D285" s="4" t="str">
        <f>VLOOKUP(A:A,Table1[[Project No]:[Additional Remark]],20,FALSE)</f>
        <v>1, Lrg Galing 18, 25300 Kuantan, Pahang</v>
      </c>
      <c r="E285" s="4">
        <f>VLOOKUP(A:A,Table1[[Project No]:[Additional Remark]],21,FALSE)</f>
        <v>0</v>
      </c>
      <c r="F285" s="4">
        <f>VLOOKUP(A:A,Table1[[Project No]:[Additional Remark]],22,FALSE)</f>
        <v>0</v>
      </c>
      <c r="G285" s="55">
        <f>VLOOKUP(A:A,Table1[[Project No]:[Additional Remark]],11,FALSE)</f>
        <v>27500</v>
      </c>
      <c r="H285" s="4" t="str">
        <f>VLOOKUP(A:A,Table1[[Project No]:[Additional Remark]],5,FALSE)</f>
        <v>R-PV</v>
      </c>
      <c r="I285" s="4">
        <f>VLOOKUP(A:A,Table1[[Project No]:[Additional Remark]],8,FALSE)</f>
        <v>8.85</v>
      </c>
      <c r="J285" s="4" t="str">
        <f>VLOOKUP(A:A,Table1[[Project No]:[Additional Remark]],23,FALSE)</f>
        <v>N/A</v>
      </c>
      <c r="K285" s="163" t="s">
        <v>109</v>
      </c>
      <c r="L285" s="164" t="s">
        <v>109</v>
      </c>
      <c r="M285" s="165"/>
      <c r="N285" s="163" t="s">
        <v>109</v>
      </c>
      <c r="O285" s="164"/>
      <c r="P285" s="165"/>
      <c r="Q285" s="163" t="s">
        <v>109</v>
      </c>
      <c r="R285" s="164"/>
      <c r="S285" s="165"/>
      <c r="T285" s="163" t="s">
        <v>109</v>
      </c>
      <c r="U285" s="164"/>
      <c r="V285" s="165"/>
    </row>
    <row r="286" spans="1:22" x14ac:dyDescent="0.3">
      <c r="A286" s="4">
        <f>'ECN Master Project Tracker new'!A287</f>
        <v>2503225</v>
      </c>
      <c r="B286" s="108" t="str">
        <f>VLOOKUP(A:A,Table1[[#All],[Project No]:[Additional Remark]],2,FALSE)</f>
        <v>Weller Air-Cond Parts Enterprise Sdn Bhd</v>
      </c>
      <c r="C286" s="4">
        <f>VLOOKUP(A:A,Table1[[Project No]:[Additional Remark]],19,FALSE)</f>
        <v>0</v>
      </c>
      <c r="D286" s="4">
        <f>VLOOKUP(A:A,Table1[[Project No]:[Additional Remark]],20,FALSE)</f>
        <v>0</v>
      </c>
      <c r="E286" s="4">
        <f>VLOOKUP(A:A,Table1[[Project No]:[Additional Remark]],21,FALSE)</f>
        <v>0</v>
      </c>
      <c r="F286" s="4">
        <f>VLOOKUP(A:A,Table1[[Project No]:[Additional Remark]],22,FALSE)</f>
        <v>0</v>
      </c>
      <c r="G286" s="55">
        <f>VLOOKUP(A:A,Table1[[Project No]:[Additional Remark]],11,FALSE)</f>
        <v>198800</v>
      </c>
      <c r="H286" s="4" t="str">
        <f>VLOOKUP(A:A,Table1[[Project No]:[Additional Remark]],5,FALSE)</f>
        <v>C&amp;I-PV</v>
      </c>
      <c r="I286" s="4">
        <f>VLOOKUP(A:A,Table1[[Project No]:[Additional Remark]],8,FALSE)</f>
        <v>97.6</v>
      </c>
      <c r="J286" s="4" t="str">
        <f>VLOOKUP(A:A,Table1[[Project No]:[Additional Remark]],23,FALSE)</f>
        <v xml:space="preserve">3 years </v>
      </c>
      <c r="K286" s="4"/>
      <c r="L286" s="4"/>
      <c r="M286" s="4"/>
      <c r="N286" s="4"/>
      <c r="O286" s="4"/>
      <c r="P286" s="4"/>
      <c r="Q286" s="4"/>
      <c r="R286" s="4"/>
      <c r="S286" s="4"/>
      <c r="T286" s="4"/>
      <c r="U286" s="4"/>
      <c r="V286" s="4"/>
    </row>
    <row r="287" spans="1:22" x14ac:dyDescent="0.3">
      <c r="A287" s="4">
        <f>'ECN Master Project Tracker new'!A288</f>
        <v>2403185</v>
      </c>
      <c r="B287" s="108" t="str">
        <f>VLOOKUP(A:A,Table1[[#All],[Project No]:[Additional Remark]],2,FALSE)</f>
        <v>Wan Kong Wing</v>
      </c>
      <c r="C287" s="4" t="str">
        <f>VLOOKUP(A:A,Table1[[Project No]:[Additional Remark]],19,FALSE)</f>
        <v>640707-08-5227</v>
      </c>
      <c r="D287" s="4" t="str">
        <f>VLOOKUP(A:A,Table1[[Project No]:[Additional Remark]],20,FALSE)</f>
        <v>21, JLN UNGU U9/29A, CAHAYA SPK, SEK U9, 40150 SHAH ALAM, SELANGOR</v>
      </c>
      <c r="E287" s="4" t="str">
        <f>VLOOKUP(A:A,Table1[[Project No]:[Additional Remark]],21,FALSE)</f>
        <v>012-3788234</v>
      </c>
      <c r="F287" s="4" t="str">
        <f>VLOOKUP(A:A,Table1[[Project No]:[Additional Remark]],22,FALSE)</f>
        <v>kwwan07@yahoo.com</v>
      </c>
      <c r="G287" s="55">
        <f>VLOOKUP(A:A,Table1[[Project No]:[Additional Remark]],11,FALSE)</f>
        <v>21500</v>
      </c>
      <c r="H287" s="4" t="str">
        <f>VLOOKUP(A:A,Table1[[Project No]:[Additional Remark]],5,FALSE)</f>
        <v>R-PV</v>
      </c>
      <c r="I287" s="4">
        <f>VLOOKUP(A:A,Table1[[Project No]:[Additional Remark]],8,FALSE)</f>
        <v>7.08</v>
      </c>
      <c r="J287" s="4" t="str">
        <f>VLOOKUP(A:A,Table1[[Project No]:[Additional Remark]],23,FALSE)</f>
        <v xml:space="preserve">3 years </v>
      </c>
      <c r="K287" s="4"/>
      <c r="L287" s="4"/>
      <c r="M287" s="4"/>
      <c r="N287" s="4"/>
      <c r="O287" s="4"/>
      <c r="P287" s="4"/>
      <c r="Q287" s="4"/>
      <c r="R287" s="4"/>
      <c r="S287" s="4"/>
      <c r="T287" s="4"/>
      <c r="U287" s="4"/>
      <c r="V287" s="4"/>
    </row>
    <row r="288" spans="1:22" x14ac:dyDescent="0.3">
      <c r="A288" s="4">
        <f>'ECN Master Project Tracker new'!A289</f>
        <v>2410194</v>
      </c>
      <c r="B288" s="108" t="str">
        <f>VLOOKUP(A:A,Table1[[#All],[Project No]:[Additional Remark]],2,FALSE)</f>
        <v>Berjayapak Sdn Bhd</v>
      </c>
      <c r="C288" s="4">
        <f>VLOOKUP(A:A,Table1[[Project No]:[Additional Remark]],19,FALSE)</f>
        <v>0</v>
      </c>
      <c r="D288" s="4">
        <f>VLOOKUP(A:A,Table1[[Project No]:[Additional Remark]],20,FALSE)</f>
        <v>0</v>
      </c>
      <c r="E288" s="4">
        <f>VLOOKUP(A:A,Table1[[Project No]:[Additional Remark]],21,FALSE)</f>
        <v>0</v>
      </c>
      <c r="F288" s="4">
        <f>VLOOKUP(A:A,Table1[[Project No]:[Additional Remark]],22,FALSE)</f>
        <v>0</v>
      </c>
      <c r="G288" s="55">
        <f>VLOOKUP(A:A,Table1[[Project No]:[Additional Remark]],11,FALSE)</f>
        <v>395000</v>
      </c>
      <c r="H288" s="4" t="str">
        <f>VLOOKUP(A:A,Table1[[Project No]:[Additional Remark]],5,FALSE)</f>
        <v>C&amp;I-PV</v>
      </c>
      <c r="I288" s="4">
        <f>VLOOKUP(A:A,Table1[[Project No]:[Additional Remark]],8,FALSE)</f>
        <v>207.08</v>
      </c>
      <c r="J288" s="4">
        <f>VLOOKUP(A:A,Table1[[Project No]:[Additional Remark]],23,FALSE)</f>
        <v>0</v>
      </c>
      <c r="K288" s="4"/>
      <c r="L288" s="4"/>
      <c r="M288" s="4"/>
      <c r="N288" s="4"/>
      <c r="O288" s="4"/>
      <c r="P288" s="4"/>
      <c r="Q288" s="4"/>
      <c r="R288" s="4"/>
      <c r="S288" s="4"/>
      <c r="T288" s="4"/>
      <c r="U288" s="4"/>
      <c r="V288" s="4"/>
    </row>
    <row r="289" spans="1:22" x14ac:dyDescent="0.3">
      <c r="A289" s="4">
        <f>'ECN Master Project Tracker new'!A290</f>
        <v>2504669</v>
      </c>
      <c r="B289" s="108" t="str">
        <f>VLOOKUP(A:A,Table1[[#All],[Project No]:[Additional Remark]],2,FALSE)</f>
        <v>Zohairen Bin Mhamad Sori</v>
      </c>
      <c r="C289" s="4" t="str">
        <f>VLOOKUP(A:A,Table1[[Project No]:[Additional Remark]],19,FALSE)</f>
        <v>691107-04-5475</v>
      </c>
      <c r="D289" s="4" t="str">
        <f>VLOOKUP(A:A,Table1[[Project No]:[Additional Remark]],20,FALSE)</f>
        <v>59, JLN KELAB UKAY, TMN KELAB UKAY, BKT ANTARABANGSA, 68000 AMPANG, SELANGOR</v>
      </c>
      <c r="E289" s="4" t="str">
        <f>VLOOKUP(A:A,Table1[[Project No]:[Additional Remark]],21,FALSE)</f>
        <v>014-6269711</v>
      </c>
      <c r="F289" s="4" t="str">
        <f>VLOOKUP(A:A,Table1[[Project No]:[Additional Remark]],22,FALSE)</f>
        <v>zohairen@gmail.com</v>
      </c>
      <c r="G289" s="55">
        <f>VLOOKUP(A:A,Table1[[Project No]:[Additional Remark]],11,FALSE)</f>
        <v>29000</v>
      </c>
      <c r="H289" s="4" t="str">
        <f>VLOOKUP(A:A,Table1[[Project No]:[Additional Remark]],5,FALSE)</f>
        <v>R-PV</v>
      </c>
      <c r="I289" s="4">
        <f>VLOOKUP(A:A,Table1[[Project No]:[Additional Remark]],8,FALSE)</f>
        <v>10.62</v>
      </c>
      <c r="J289" s="4" t="str">
        <f>VLOOKUP(A:A,Table1[[Project No]:[Additional Remark]],23,FALSE)</f>
        <v xml:space="preserve">3 years </v>
      </c>
      <c r="K289" s="4"/>
      <c r="L289" s="4"/>
      <c r="M289" s="4"/>
      <c r="N289" s="4"/>
      <c r="O289" s="4"/>
      <c r="P289" s="4"/>
      <c r="Q289" s="4"/>
      <c r="R289" s="4"/>
      <c r="S289" s="4"/>
      <c r="T289" s="4"/>
      <c r="U289" s="4"/>
      <c r="V289" s="4"/>
    </row>
    <row r="290" spans="1:22" x14ac:dyDescent="0.3">
      <c r="A290" s="4">
        <f>'ECN Master Project Tracker new'!A291</f>
        <v>2504660</v>
      </c>
      <c r="B290" s="108" t="str">
        <f>VLOOKUP(A:A,Table1[[#All],[Project No]:[Additional Remark]],2,FALSE)</f>
        <v>Roshahni Binti Mhammad</v>
      </c>
      <c r="C290" s="4" t="str">
        <f>VLOOKUP(A:A,Table1[[Project No]:[Additional Remark]],19,FALSE)</f>
        <v>670308-03-5318</v>
      </c>
      <c r="D290" s="4" t="str">
        <f>VLOOKUP(A:A,Table1[[Project No]:[Additional Remark]],20,FALSE)</f>
        <v>6, Lrg Galing 28, 25300 Kuantan, Pahang</v>
      </c>
      <c r="E290" s="4" t="str">
        <f>VLOOKUP(A:A,Table1[[Project No]:[Additional Remark]],21,FALSE)</f>
        <v>011-55032998</v>
      </c>
      <c r="F290" s="4" t="str">
        <f>VLOOKUP(A:A,Table1[[Project No]:[Additional Remark]],22,FALSE)</f>
        <v>nanimuhammad67@gmail.com</v>
      </c>
      <c r="G290" s="55">
        <f>VLOOKUP(A:A,Table1[[Project No]:[Additional Remark]],11,FALSE)</f>
        <v>34000</v>
      </c>
      <c r="H290" s="4" t="str">
        <f>VLOOKUP(A:A,Table1[[Project No]:[Additional Remark]],5,FALSE)</f>
        <v>R-PV</v>
      </c>
      <c r="I290" s="4">
        <f>VLOOKUP(A:A,Table1[[Project No]:[Additional Remark]],8,FALSE)</f>
        <v>14.75</v>
      </c>
      <c r="J290" s="4" t="str">
        <f>VLOOKUP(A:A,Table1[[Project No]:[Additional Remark]],23,FALSE)</f>
        <v>N/A</v>
      </c>
      <c r="K290" s="163" t="s">
        <v>109</v>
      </c>
      <c r="L290" s="164" t="s">
        <v>109</v>
      </c>
      <c r="M290" s="165"/>
      <c r="N290" s="163" t="s">
        <v>109</v>
      </c>
      <c r="O290" s="164"/>
      <c r="P290" s="165"/>
      <c r="Q290" s="163" t="s">
        <v>109</v>
      </c>
      <c r="R290" s="164"/>
      <c r="S290" s="165"/>
      <c r="T290" s="163" t="s">
        <v>109</v>
      </c>
      <c r="U290" s="164"/>
      <c r="V290" s="165"/>
    </row>
    <row r="291" spans="1:22" x14ac:dyDescent="0.3">
      <c r="A291" s="4">
        <f>'ECN Master Project Tracker new'!A292</f>
        <v>2410191</v>
      </c>
      <c r="B291" s="108" t="str">
        <f>VLOOKUP(A:A,Table1[[#All],[Project No]:[Additional Remark]],2,FALSE)</f>
        <v>Jowee Trading Sdn Bhd</v>
      </c>
      <c r="C291" s="4">
        <f>VLOOKUP(A:A,Table1[[Project No]:[Additional Remark]],19,FALSE)</f>
        <v>0</v>
      </c>
      <c r="D291" s="4">
        <f>VLOOKUP(A:A,Table1[[Project No]:[Additional Remark]],20,FALSE)</f>
        <v>0</v>
      </c>
      <c r="E291" s="4">
        <f>VLOOKUP(A:A,Table1[[Project No]:[Additional Remark]],21,FALSE)</f>
        <v>0</v>
      </c>
      <c r="F291" s="4">
        <f>VLOOKUP(A:A,Table1[[Project No]:[Additional Remark]],22,FALSE)</f>
        <v>0</v>
      </c>
      <c r="G291" s="55">
        <f>VLOOKUP(A:A,Table1[[Project No]:[Additional Remark]],11,FALSE)</f>
        <v>150000</v>
      </c>
      <c r="H291" s="4" t="str">
        <f>VLOOKUP(A:A,Table1[[Project No]:[Additional Remark]],5,FALSE)</f>
        <v>C&amp;I-PV</v>
      </c>
      <c r="I291" s="4">
        <f>VLOOKUP(A:A,Table1[[Project No]:[Additional Remark]],8,FALSE)</f>
        <v>53.68</v>
      </c>
      <c r="J291" s="4" t="str">
        <f>VLOOKUP(A:A,Table1[[Project No]:[Additional Remark]],23,FALSE)</f>
        <v xml:space="preserve">3 years </v>
      </c>
      <c r="K291" s="4"/>
      <c r="L291" s="4"/>
      <c r="M291" s="4"/>
      <c r="N291" s="4"/>
      <c r="O291" s="4"/>
      <c r="P291" s="4"/>
      <c r="Q291" s="4"/>
      <c r="R291" s="4"/>
      <c r="S291" s="4"/>
      <c r="T291" s="4"/>
      <c r="U291" s="4"/>
      <c r="V291" s="4"/>
    </row>
    <row r="292" spans="1:22" x14ac:dyDescent="0.3">
      <c r="A292" s="4">
        <f>'ECN Master Project Tracker new'!A293</f>
        <v>2505695</v>
      </c>
      <c r="B292" s="108" t="str">
        <f>VLOOKUP(A:A,Table1[[#All],[Project No]:[Additional Remark]],2,FALSE)</f>
        <v>Nur Salwahani Bt Muhammad</v>
      </c>
      <c r="C292" s="4" t="str">
        <f>VLOOKUP(A:A,Table1[[Project No]:[Additional Remark]],19,FALSE)</f>
        <v>780205-11-5670</v>
      </c>
      <c r="D292" s="4" t="str">
        <f>VLOOKUP(A:A,Table1[[Project No]:[Additional Remark]],20,FALSE)</f>
        <v>No 15, Lrg Im 15/7, Tmn Astana View, 25300 Kuantan,  Pahang</v>
      </c>
      <c r="E292" s="4" t="str">
        <f>VLOOKUP(A:A,Table1[[Project No]:[Additional Remark]],21,FALSE)</f>
        <v>013-9082165</v>
      </c>
      <c r="F292" s="4" t="str">
        <f>VLOOKUP(A:A,Table1[[Project No]:[Additional Remark]],22,FALSE)</f>
        <v>norsalwahanimuhammad2003@gmail.com</v>
      </c>
      <c r="G292" s="55">
        <f>VLOOKUP(A:A,Table1[[Project No]:[Additional Remark]],11,FALSE)</f>
        <v>27000</v>
      </c>
      <c r="H292" s="4" t="str">
        <f>VLOOKUP(A:A,Table1[[Project No]:[Additional Remark]],5,FALSE)</f>
        <v>R-PV</v>
      </c>
      <c r="I292" s="4">
        <f>VLOOKUP(A:A,Table1[[Project No]:[Additional Remark]],8,FALSE)</f>
        <v>9.44</v>
      </c>
      <c r="J292" s="4" t="str">
        <f>VLOOKUP(A:A,Table1[[Project No]:[Additional Remark]],23,FALSE)</f>
        <v xml:space="preserve">3 years </v>
      </c>
      <c r="K292" s="4"/>
      <c r="L292" s="4"/>
      <c r="M292" s="4"/>
      <c r="N292" s="4"/>
      <c r="O292" s="4"/>
      <c r="P292" s="4"/>
      <c r="Q292" s="4"/>
      <c r="R292" s="4"/>
      <c r="S292" s="4"/>
      <c r="T292" s="4"/>
      <c r="U292" s="4"/>
      <c r="V292" s="4"/>
    </row>
    <row r="293" spans="1:22" x14ac:dyDescent="0.3">
      <c r="A293" s="4">
        <f>'ECN Master Project Tracker new'!A294</f>
        <v>2505672</v>
      </c>
      <c r="B293" s="108" t="str">
        <f>VLOOKUP(A:A,Table1[[#All],[Project No]:[Additional Remark]],2,FALSE)</f>
        <v xml:space="preserve">Tham Wai Hong </v>
      </c>
      <c r="C293" s="4" t="str">
        <f>VLOOKUP(A:A,Table1[[Project No]:[Additional Remark]],19,FALSE)</f>
        <v>730725-06-5069</v>
      </c>
      <c r="D293" s="4" t="str">
        <f>VLOOKUP(A:A,Table1[[Project No]:[Additional Remark]],20,FALSE)</f>
        <v>7, Lrg Air Putih 51, 25300 Kuantan, Pahang</v>
      </c>
      <c r="E293" s="4" t="str">
        <f>VLOOKUP(A:A,Table1[[Project No]:[Additional Remark]],21,FALSE)</f>
        <v>012-3666363</v>
      </c>
      <c r="F293" s="4" t="str">
        <f>VLOOKUP(A:A,Table1[[Project No]:[Additional Remark]],22,FALSE)</f>
        <v>mysamwht@gmail.com</v>
      </c>
      <c r="G293" s="55">
        <f>VLOOKUP(A:A,Table1[[Project No]:[Additional Remark]],11,FALSE)</f>
        <v>27000</v>
      </c>
      <c r="H293" s="4" t="str">
        <f>VLOOKUP(A:A,Table1[[Project No]:[Additional Remark]],5,FALSE)</f>
        <v>R-PV</v>
      </c>
      <c r="I293" s="4">
        <f>VLOOKUP(A:A,Table1[[Project No]:[Additional Remark]],8,FALSE)</f>
        <v>8.85</v>
      </c>
      <c r="J293" s="4" t="str">
        <f>VLOOKUP(A:A,Table1[[Project No]:[Additional Remark]],23,FALSE)</f>
        <v xml:space="preserve">3 years </v>
      </c>
      <c r="K293" s="4"/>
      <c r="L293" s="4"/>
      <c r="M293" s="4"/>
      <c r="N293" s="4"/>
      <c r="O293" s="4"/>
      <c r="P293" s="4"/>
      <c r="Q293" s="4"/>
      <c r="R293" s="4"/>
      <c r="S293" s="4"/>
      <c r="T293" s="4"/>
      <c r="U293" s="4"/>
      <c r="V293" s="4"/>
    </row>
    <row r="294" spans="1:22" x14ac:dyDescent="0.3">
      <c r="A294" s="4">
        <f>'ECN Master Project Tracker new'!A295</f>
        <v>2505684</v>
      </c>
      <c r="B294" s="108" t="str">
        <f>VLOOKUP(A:A,Table1[[#All],[Project No]:[Additional Remark]],2,FALSE)</f>
        <v>Ng Heng Hock</v>
      </c>
      <c r="C294" s="4" t="str">
        <f>VLOOKUP(A:A,Table1[[Project No]:[Additional Remark]],19,FALSE)</f>
        <v>771118-02-5875</v>
      </c>
      <c r="D294" s="4" t="str">
        <f>VLOOKUP(A:A,Table1[[Project No]:[Additional Remark]],20,FALSE)</f>
        <v>1884, Lrg Alor Akar 46, Tmn Impiana, 25300 Kuantan, Pahang</v>
      </c>
      <c r="E294" s="4" t="str">
        <f>VLOOKUP(A:A,Table1[[Project No]:[Additional Remark]],21,FALSE)</f>
        <v>019-9523822</v>
      </c>
      <c r="F294" s="4" t="str">
        <f>VLOOKUP(A:A,Table1[[Project No]:[Additional Remark]],22,FALSE)</f>
        <v>xingen150305@gmail.com</v>
      </c>
      <c r="G294" s="55">
        <f>VLOOKUP(A:A,Table1[[Project No]:[Additional Remark]],11,FALSE)</f>
        <v>30000</v>
      </c>
      <c r="H294" s="4" t="str">
        <f>VLOOKUP(A:A,Table1[[Project No]:[Additional Remark]],5,FALSE)</f>
        <v>R-PV</v>
      </c>
      <c r="I294" s="4">
        <f>VLOOKUP(A:A,Table1[[Project No]:[Additional Remark]],8,FALSE)</f>
        <v>11.21</v>
      </c>
      <c r="J294" s="4" t="str">
        <f>VLOOKUP(A:A,Table1[[Project No]:[Additional Remark]],23,FALSE)</f>
        <v xml:space="preserve">3 years </v>
      </c>
      <c r="K294" s="4"/>
      <c r="L294" s="4"/>
      <c r="M294" s="4"/>
      <c r="N294" s="4"/>
      <c r="O294" s="4"/>
      <c r="P294" s="4"/>
      <c r="Q294" s="4"/>
      <c r="R294" s="4"/>
      <c r="S294" s="4"/>
      <c r="T294" s="4"/>
      <c r="U294" s="4"/>
      <c r="V294" s="4"/>
    </row>
    <row r="295" spans="1:22" x14ac:dyDescent="0.3">
      <c r="A295" s="4">
        <f>'ECN Master Project Tracker new'!A296</f>
        <v>2505697</v>
      </c>
      <c r="B295" s="108" t="str">
        <f>VLOOKUP(A:A,Table1[[#All],[Project No]:[Additional Remark]],2,FALSE)</f>
        <v xml:space="preserve">Chong Yee Sam </v>
      </c>
      <c r="C295" s="4" t="str">
        <f>VLOOKUP(A:A,Table1[[Project No]:[Additional Remark]],19,FALSE)</f>
        <v>870913-38-5355</v>
      </c>
      <c r="D295" s="4" t="str">
        <f>VLOOKUP(A:A,Table1[[Project No]:[Additional Remark]],20,FALSE)</f>
        <v>B3394, Lrg Galing 143, Air Putih, 25020 Kuantan, Pahang</v>
      </c>
      <c r="E295" s="4" t="str">
        <f>VLOOKUP(A:A,Table1[[Project No]:[Additional Remark]],21,FALSE)</f>
        <v>010-4080727</v>
      </c>
      <c r="F295" s="4" t="str">
        <f>VLOOKUP(A:A,Table1[[Project No]:[Additional Remark]],22,FALSE)</f>
        <v>sam2chong@gmail.com</v>
      </c>
      <c r="G295" s="55">
        <f>VLOOKUP(A:A,Table1[[Project No]:[Additional Remark]],11,FALSE)</f>
        <v>21500</v>
      </c>
      <c r="H295" s="4" t="str">
        <f>VLOOKUP(A:A,Table1[[Project No]:[Additional Remark]],5,FALSE)</f>
        <v>R-PV</v>
      </c>
      <c r="I295" s="4">
        <f>VLOOKUP(A:A,Table1[[Project No]:[Additional Remark]],8,FALSE)</f>
        <v>7.08</v>
      </c>
      <c r="J295" s="4" t="str">
        <f>VLOOKUP(A:A,Table1[[Project No]:[Additional Remark]],23,FALSE)</f>
        <v xml:space="preserve">3 years </v>
      </c>
      <c r="K295" s="4"/>
      <c r="L295" s="4"/>
      <c r="M295" s="4"/>
      <c r="N295" s="4"/>
      <c r="O295" s="4"/>
      <c r="P295" s="4"/>
      <c r="Q295" s="4"/>
      <c r="R295" s="4"/>
      <c r="S295" s="4"/>
      <c r="T295" s="4"/>
      <c r="U295" s="4"/>
      <c r="V295" s="4"/>
    </row>
    <row r="296" spans="1:22" x14ac:dyDescent="0.3">
      <c r="A296" s="4">
        <f>'ECN Master Project Tracker new'!A297</f>
        <v>2505688</v>
      </c>
      <c r="B296" s="108" t="str">
        <f>VLOOKUP(A:A,Table1[[#All],[Project No]:[Additional Remark]],2,FALSE)</f>
        <v>Heng Mooi Sing</v>
      </c>
      <c r="C296" s="4" t="str">
        <f>VLOOKUP(A:A,Table1[[Project No]:[Additional Remark]],19,FALSE)</f>
        <v>771008-08-7020</v>
      </c>
      <c r="D296" s="4" t="str">
        <f>VLOOKUP(A:A,Table1[[Project No]:[Additional Remark]],20,FALSE)</f>
        <v>33, Garden Manor, Sierramas, 47000 Sungai Buloh, Selangor</v>
      </c>
      <c r="E296" s="4" t="str">
        <f>VLOOKUP(A:A,Table1[[Project No]:[Additional Remark]],21,FALSE)</f>
        <v>012-6510878</v>
      </c>
      <c r="F296" s="4" t="str">
        <f>VLOOKUP(A:A,Table1[[Project No]:[Additional Remark]],22,FALSE)</f>
        <v>asam1008@hotmail.com</v>
      </c>
      <c r="G296" s="55">
        <f>VLOOKUP(A:A,Table1[[Project No]:[Additional Remark]],11,FALSE)</f>
        <v>40000</v>
      </c>
      <c r="H296" s="4" t="str">
        <f>VLOOKUP(A:A,Table1[[Project No]:[Additional Remark]],5,FALSE)</f>
        <v>R-PV</v>
      </c>
      <c r="I296" s="4">
        <f>VLOOKUP(A:A,Table1[[Project No]:[Additional Remark]],8,FALSE)</f>
        <v>16.52</v>
      </c>
      <c r="J296" s="4" t="str">
        <f>VLOOKUP(A:A,Table1[[Project No]:[Additional Remark]],23,FALSE)</f>
        <v xml:space="preserve">3 years </v>
      </c>
      <c r="K296" s="4"/>
      <c r="L296" s="4"/>
      <c r="M296" s="4"/>
      <c r="N296" s="4"/>
      <c r="O296" s="4"/>
      <c r="P296" s="4"/>
      <c r="Q296" s="4"/>
      <c r="R296" s="4"/>
      <c r="S296" s="4"/>
      <c r="T296" s="4"/>
      <c r="U296" s="4"/>
      <c r="V296" s="4"/>
    </row>
    <row r="297" spans="1:22" x14ac:dyDescent="0.3">
      <c r="A297" s="4">
        <f>'ECN Master Project Tracker new'!A298</f>
        <v>2505682</v>
      </c>
      <c r="B297" s="108" t="str">
        <f>VLOOKUP(A:A,Table1[[#All],[Project No]:[Additional Remark]],2,FALSE)</f>
        <v>Lee Soo Kean</v>
      </c>
      <c r="C297" s="4" t="str">
        <f>VLOOKUP(A:A,Table1[[Project No]:[Additional Remark]],19,FALSE)</f>
        <v>650615-07-5151</v>
      </c>
      <c r="D297" s="4" t="str">
        <f>VLOOKUP(A:A,Table1[[Project No]:[Additional Remark]],20,FALSE)</f>
        <v>No 1, Lrg Im 1/61, Tmn Mahkota Ceria, 25200 Kuantan Pahang</v>
      </c>
      <c r="E297" s="4" t="str">
        <f>VLOOKUP(A:A,Table1[[Project No]:[Additional Remark]],21,FALSE)</f>
        <v>013-9377981</v>
      </c>
      <c r="F297" s="4" t="str">
        <f>VLOOKUP(A:A,Table1[[Project No]:[Additional Remark]],22,FALSE)</f>
        <v>sklee0665@gmail.com</v>
      </c>
      <c r="G297" s="55">
        <f>VLOOKUP(A:A,Table1[[Project No]:[Additional Remark]],11,FALSE)</f>
        <v>36620</v>
      </c>
      <c r="H297" s="4" t="str">
        <f>VLOOKUP(A:A,Table1[[Project No]:[Additional Remark]],5,FALSE)</f>
        <v>R-PV</v>
      </c>
      <c r="I297" s="4">
        <f>VLOOKUP(A:A,Table1[[Project No]:[Additional Remark]],8,FALSE)</f>
        <v>13.42</v>
      </c>
      <c r="J297" s="4" t="str">
        <f>VLOOKUP(A:A,Table1[[Project No]:[Additional Remark]],23,FALSE)</f>
        <v>5 years</v>
      </c>
      <c r="K297" s="4"/>
      <c r="L297" s="4"/>
      <c r="M297" s="4"/>
      <c r="N297" s="4"/>
      <c r="O297" s="4"/>
      <c r="P297" s="4"/>
      <c r="Q297" s="4"/>
      <c r="R297" s="4"/>
      <c r="S297" s="4"/>
      <c r="T297" s="4"/>
      <c r="U297" s="4"/>
      <c r="V297" s="4"/>
    </row>
    <row r="298" spans="1:22" x14ac:dyDescent="0.3">
      <c r="A298" s="4">
        <f>'ECN Master Project Tracker new'!A299</f>
        <v>2505699</v>
      </c>
      <c r="B298" s="108" t="str">
        <f>VLOOKUP(A:A,Table1[[#All],[Project No]:[Additional Remark]],2,FALSE)</f>
        <v>Kiren Kaur A/P Bhajan Singh</v>
      </c>
      <c r="C298" s="4" t="str">
        <f>VLOOKUP(A:A,Table1[[Project No]:[Additional Remark]],19,FALSE)</f>
        <v>820207-08-5886</v>
      </c>
      <c r="D298" s="4" t="str">
        <f>VLOOKUP(A:A,Table1[[Project No]:[Additional Remark]],20,FALSE)</f>
        <v>No 11, Lrg Kubang Buaya 7, 25250 Kuantan, Pahang</v>
      </c>
      <c r="E298" s="4" t="str">
        <f>VLOOKUP(A:A,Table1[[Project No]:[Additional Remark]],21,FALSE)</f>
        <v>012-4056292</v>
      </c>
      <c r="F298" s="4" t="str">
        <f>VLOOKUP(A:A,Table1[[Project No]:[Additional Remark]],22,FALSE)</f>
        <v>kirenkaurbraich@gmail.com</v>
      </c>
      <c r="G298" s="55">
        <f>VLOOKUP(A:A,Table1[[Project No]:[Additional Remark]],11,FALSE)</f>
        <v>33000</v>
      </c>
      <c r="H298" s="4" t="str">
        <f>VLOOKUP(A:A,Table1[[Project No]:[Additional Remark]],5,FALSE)</f>
        <v>R-PV</v>
      </c>
      <c r="I298" s="4">
        <f>VLOOKUP(A:A,Table1[[Project No]:[Additional Remark]],8,FALSE)</f>
        <v>11.8</v>
      </c>
      <c r="J298" s="4">
        <f>VLOOKUP(A:A,Table1[[Project No]:[Additional Remark]],23,FALSE)</f>
        <v>0</v>
      </c>
      <c r="K298" s="4"/>
      <c r="L298" s="4"/>
      <c r="M298" s="4"/>
      <c r="N298" s="4"/>
      <c r="O298" s="4"/>
      <c r="P298" s="4"/>
      <c r="Q298" s="4"/>
      <c r="R298" s="4"/>
      <c r="S298" s="4"/>
      <c r="T298" s="4"/>
      <c r="U298" s="4"/>
      <c r="V298" s="4"/>
    </row>
    <row r="299" spans="1:22" x14ac:dyDescent="0.3">
      <c r="A299" s="4">
        <f>'ECN Master Project Tracker new'!A300</f>
        <v>2503612</v>
      </c>
      <c r="B299" s="108" t="str">
        <f>VLOOKUP(A:A,Table1[[#All],[Project No]:[Additional Remark]],2,FALSE)</f>
        <v>Low Bok Tek</v>
      </c>
      <c r="C299" s="4" t="str">
        <f>VLOOKUP(A:A,Table1[[Project No]:[Additional Remark]],19,FALSE)</f>
        <v>580321-08-5097</v>
      </c>
      <c r="D299" s="4" t="str">
        <f>VLOOKUP(A:A,Table1[[Project No]:[Additional Remark]],20,FALSE)</f>
        <v>39, Bayu Utara Seri Pilmoor, Jln PJU 1A/20, 43701 Petaling Jaya, Selangor</v>
      </c>
      <c r="E299" s="4" t="str">
        <f>VLOOKUP(A:A,Table1[[Project No]:[Additional Remark]],21,FALSE)</f>
        <v>019-4799999</v>
      </c>
      <c r="F299" s="4" t="str">
        <f>VLOOKUP(A:A,Table1[[Project No]:[Additional Remark]],22,FALSE)</f>
        <v>btcap@hotmail.com</v>
      </c>
      <c r="G299" s="55">
        <f>VLOOKUP(A:A,Table1[[Project No]:[Additional Remark]],11,FALSE)</f>
        <v>0</v>
      </c>
      <c r="H299" s="4" t="str">
        <f>VLOOKUP(A:A,Table1[[Project No]:[Additional Remark]],5,FALSE)</f>
        <v>R-PV</v>
      </c>
      <c r="I299" s="4">
        <f>VLOOKUP(A:A,Table1[[Project No]:[Additional Remark]],8,FALSE)</f>
        <v>17.7</v>
      </c>
      <c r="J299" s="4">
        <f>VLOOKUP(A:A,Table1[[Project No]:[Additional Remark]],23,FALSE)</f>
        <v>0</v>
      </c>
      <c r="K299" s="4"/>
      <c r="L299" s="4"/>
      <c r="M299" s="4"/>
      <c r="N299" s="4"/>
      <c r="O299" s="4"/>
      <c r="P299" s="4"/>
      <c r="Q299" s="4"/>
      <c r="R299" s="4"/>
      <c r="S299" s="4"/>
      <c r="T299" s="4"/>
      <c r="U299" s="4"/>
      <c r="V299" s="4"/>
    </row>
    <row r="300" spans="1:22" x14ac:dyDescent="0.3">
      <c r="A300" s="4">
        <f>'ECN Master Project Tracker new'!A301</f>
        <v>2505680</v>
      </c>
      <c r="B300" s="108" t="str">
        <f>VLOOKUP(A:A,Table1[[#All],[Project No]:[Additional Remark]],2,FALSE)</f>
        <v>Chiang Hock Chiong</v>
      </c>
      <c r="C300" s="4" t="str">
        <f>VLOOKUP(A:A,Table1[[Project No]:[Additional Remark]],19,FALSE)</f>
        <v>680101-03-8297</v>
      </c>
      <c r="D300" s="4" t="str">
        <f>VLOOKUP(A:A,Table1[[Project No]:[Additional Remark]],20,FALSE)</f>
        <v>15, Lorong Pelindung 3, Persisiran Residences Bukit Pelindung, 25050 Kuantan, {ahang</v>
      </c>
      <c r="E300" s="4" t="str">
        <f>VLOOKUP(A:A,Table1[[Project No]:[Additional Remark]],21,FALSE)</f>
        <v>012-9085551</v>
      </c>
      <c r="F300" s="4" t="str">
        <f>VLOOKUP(A:A,Table1[[Project No]:[Additional Remark]],22,FALSE)</f>
        <v>isaaczack@yahoo.com</v>
      </c>
      <c r="G300" s="55">
        <f>VLOOKUP(A:A,Table1[[Project No]:[Additional Remark]],11,FALSE)</f>
        <v>41000</v>
      </c>
      <c r="H300" s="4" t="str">
        <f>VLOOKUP(A:A,Table1[[Project No]:[Additional Remark]],5,FALSE)</f>
        <v>R-PV</v>
      </c>
      <c r="I300" s="4">
        <f>VLOOKUP(A:A,Table1[[Project No]:[Additional Remark]],8,FALSE)</f>
        <v>17.7</v>
      </c>
      <c r="J300" s="4">
        <f>VLOOKUP(A:A,Table1[[Project No]:[Additional Remark]],23,FALSE)</f>
        <v>0</v>
      </c>
      <c r="K300" s="4"/>
      <c r="L300" s="4"/>
      <c r="M300" s="4"/>
      <c r="N300" s="4"/>
      <c r="O300" s="4"/>
      <c r="P300" s="4"/>
      <c r="Q300" s="4"/>
      <c r="R300" s="4"/>
      <c r="S300" s="4"/>
      <c r="T300" s="4"/>
      <c r="U300" s="4"/>
      <c r="V300" s="4"/>
    </row>
    <row r="301" spans="1:22" x14ac:dyDescent="0.3">
      <c r="A301" s="4">
        <f>'ECN Master Project Tracker new'!A302</f>
        <v>2503607</v>
      </c>
      <c r="B301" s="108" t="str">
        <f>VLOOKUP(A:A,Table1[[#All],[Project No]:[Additional Remark]],2,FALSE)</f>
        <v>Goh Boon Leng</v>
      </c>
      <c r="C301" s="4" t="str">
        <f>VLOOKUP(A:A,Table1[[Project No]:[Additional Remark]],19,FALSE)</f>
        <v>791028-01-5655</v>
      </c>
      <c r="D301" s="4" t="str">
        <f>VLOOKUP(A:A,Table1[[Project No]:[Additional Remark]],20,FALSE)</f>
        <v>116, Jalan 20/7, Taman Paramount, 46300 Petaling Jaya, Selangor</v>
      </c>
      <c r="E301" s="4" t="str">
        <f>VLOOKUP(A:A,Table1[[Project No]:[Additional Remark]],21,FALSE)</f>
        <v>016-6629044</v>
      </c>
      <c r="F301" s="4" t="str">
        <f>VLOOKUP(A:A,Table1[[Project No]:[Additional Remark]],22,FALSE)</f>
        <v>boonlg@gmail.com</v>
      </c>
      <c r="G301" s="55">
        <f>VLOOKUP(A:A,Table1[[Project No]:[Additional Remark]],11,FALSE)</f>
        <v>29000</v>
      </c>
      <c r="H301" s="4" t="str">
        <f>VLOOKUP(A:A,Table1[[Project No]:[Additional Remark]],5,FALSE)</f>
        <v>R-PV</v>
      </c>
      <c r="I301" s="4">
        <f>VLOOKUP(A:A,Table1[[Project No]:[Additional Remark]],8,FALSE)</f>
        <v>10.62</v>
      </c>
      <c r="J301" s="4" t="str">
        <f>VLOOKUP(A:A,Table1[[Project No]:[Additional Remark]],23,FALSE)</f>
        <v xml:space="preserve">3 years </v>
      </c>
      <c r="K301" s="4"/>
      <c r="L301" s="4"/>
      <c r="M301" s="4"/>
      <c r="N301" s="4"/>
      <c r="O301" s="4"/>
      <c r="P301" s="4"/>
      <c r="Q301" s="4"/>
      <c r="R301" s="4"/>
      <c r="S301" s="4"/>
      <c r="T301" s="4"/>
      <c r="U301" s="4"/>
      <c r="V301" s="4"/>
    </row>
    <row r="302" spans="1:22" x14ac:dyDescent="0.3">
      <c r="A302" s="4">
        <f>'ECN Master Project Tracker new'!A303</f>
        <v>2505711</v>
      </c>
      <c r="B302" s="108" t="str">
        <f>VLOOKUP(A:A,Table1[[#All],[Project No]:[Additional Remark]],2,FALSE)</f>
        <v>Lee Len Foong</v>
      </c>
      <c r="C302" s="4" t="str">
        <f>VLOOKUP(A:A,Table1[[Project No]:[Additional Remark]],19,FALSE)</f>
        <v>631030-06-5122</v>
      </c>
      <c r="D302" s="4" t="str">
        <f>VLOOKUP(A:A,Table1[[Project No]:[Additional Remark]],20,FALSE)</f>
        <v>No 16, Lrg Bukit Setongkol 171, 25200 Kuantan, Pahang</v>
      </c>
      <c r="E302" s="4" t="str">
        <f>VLOOKUP(A:A,Table1[[Project No]:[Additional Remark]],21,FALSE)</f>
        <v>016-5299174</v>
      </c>
      <c r="F302" s="4" t="str">
        <f>VLOOKUP(A:A,Table1[[Project No]:[Additional Remark]],22,FALSE)</f>
        <v>EEKIENLOONG96@GMAIL.COM</v>
      </c>
      <c r="G302" s="55">
        <f>VLOOKUP(A:A,Table1[[Project No]:[Additional Remark]],11,FALSE)</f>
        <v>25500</v>
      </c>
      <c r="H302" s="4" t="str">
        <f>VLOOKUP(A:A,Table1[[Project No]:[Additional Remark]],5,FALSE)</f>
        <v>R-PV</v>
      </c>
      <c r="I302" s="4">
        <f>VLOOKUP(A:A,Table1[[Project No]:[Additional Remark]],8,FALSE)</f>
        <v>8.26</v>
      </c>
      <c r="J302" s="4" t="str">
        <f>VLOOKUP(A:A,Table1[[Project No]:[Additional Remark]],23,FALSE)</f>
        <v xml:space="preserve">3 years </v>
      </c>
      <c r="K302" s="4"/>
      <c r="L302" s="4"/>
      <c r="M302" s="4"/>
      <c r="N302" s="4"/>
      <c r="O302" s="4"/>
      <c r="P302" s="4"/>
      <c r="Q302" s="4"/>
      <c r="R302" s="4"/>
      <c r="S302" s="4"/>
      <c r="T302" s="4"/>
      <c r="U302" s="4"/>
      <c r="V302" s="4"/>
    </row>
    <row r="303" spans="1:22" x14ac:dyDescent="0.3">
      <c r="A303" s="4">
        <f>'ECN Master Project Tracker new'!A304</f>
        <v>2505713</v>
      </c>
      <c r="B303" s="108" t="str">
        <f>VLOOKUP(A:A,Table1[[#All],[Project No]:[Additional Remark]],2,FALSE)</f>
        <v>Yap Swee Piau</v>
      </c>
      <c r="C303" s="4" t="str">
        <f>VLOOKUP(A:A,Table1[[Project No]:[Additional Remark]],19,FALSE)</f>
        <v>890301-14-6351</v>
      </c>
      <c r="D303" s="4" t="str">
        <f>VLOOKUP(A:A,Table1[[Project No]:[Additional Remark]],20,FALSE)</f>
        <v xml:space="preserve">No. 9, Jalan KS 12/8, Kota Sultan Ahmad Shah, 25200 Kuantan, Pahang </v>
      </c>
      <c r="E303" s="4" t="str">
        <f>VLOOKUP(A:A,Table1[[Project No]:[Additional Remark]],21,FALSE)</f>
        <v>016-6905690</v>
      </c>
      <c r="F303" s="4" t="str">
        <f>VLOOKUP(A:A,Table1[[Project No]:[Additional Remark]],22,FALSE)</f>
        <v>darickyap@gmail.com</v>
      </c>
      <c r="G303" s="55">
        <f>VLOOKUP(A:A,Table1[[Project No]:[Additional Remark]],11,FALSE)</f>
        <v>41000</v>
      </c>
      <c r="H303" s="4" t="str">
        <f>VLOOKUP(A:A,Table1[[Project No]:[Additional Remark]],5,FALSE)</f>
        <v>R-PV</v>
      </c>
      <c r="I303" s="4">
        <f>VLOOKUP(A:A,Table1[[Project No]:[Additional Remark]],8,FALSE)</f>
        <v>17.7</v>
      </c>
      <c r="J303" s="4" t="str">
        <f>VLOOKUP(A:A,Table1[[Project No]:[Additional Remark]],23,FALSE)</f>
        <v xml:space="preserve">3 years </v>
      </c>
      <c r="K303" s="4"/>
      <c r="L303" s="4"/>
      <c r="M303" s="4"/>
      <c r="N303" s="4"/>
      <c r="O303" s="4"/>
      <c r="P303" s="4"/>
      <c r="Q303" s="4"/>
      <c r="R303" s="4"/>
      <c r="S303" s="4"/>
      <c r="T303" s="4"/>
      <c r="U303" s="4"/>
      <c r="V303" s="4"/>
    </row>
    <row r="304" spans="1:22" x14ac:dyDescent="0.3">
      <c r="A304" s="4">
        <f>'ECN Master Project Tracker new'!A305</f>
        <v>2505714</v>
      </c>
      <c r="B304" s="108" t="str">
        <f>VLOOKUP(A:A,Table1[[#All],[Project No]:[Additional Remark]],2,FALSE)</f>
        <v>Kong King Wai</v>
      </c>
      <c r="C304" s="4" t="str">
        <f>VLOOKUP(A:A,Table1[[Project No]:[Additional Remark]],19,FALSE)</f>
        <v>811005-08-5461</v>
      </c>
      <c r="D304" s="4" t="str">
        <f>VLOOKUP(A:A,Table1[[Project No]:[Additional Remark]],20,FALSE)</f>
        <v>22A, Jln Segar Perdana 4/7, Tmn Segar Perdana, 43200 Batu 11 Cheras, Selangor</v>
      </c>
      <c r="E304" s="4" t="str">
        <f>VLOOKUP(A:A,Table1[[Project No]:[Additional Remark]],21,FALSE)</f>
        <v>017-8775160</v>
      </c>
      <c r="F304" s="4" t="str">
        <f>VLOOKUP(A:A,Table1[[Project No]:[Additional Remark]],22,FALSE)</f>
        <v>kwkong555@gmail.com</v>
      </c>
      <c r="G304" s="55">
        <f>VLOOKUP(A:A,Table1[[Project No]:[Additional Remark]],11,FALSE)</f>
        <v>22500</v>
      </c>
      <c r="H304" s="4" t="str">
        <f>VLOOKUP(A:A,Table1[[Project No]:[Additional Remark]],5,FALSE)</f>
        <v>R-PV</v>
      </c>
      <c r="I304" s="4">
        <f>VLOOKUP(A:A,Table1[[Project No]:[Additional Remark]],8,FALSE)</f>
        <v>7.08</v>
      </c>
      <c r="J304" s="4" t="str">
        <f>VLOOKUP(A:A,Table1[[Project No]:[Additional Remark]],23,FALSE)</f>
        <v xml:space="preserve">3 years </v>
      </c>
      <c r="K304" s="4"/>
      <c r="L304" s="4"/>
      <c r="M304" s="4"/>
      <c r="N304" s="4"/>
      <c r="O304" s="4"/>
      <c r="P304" s="4"/>
      <c r="Q304" s="4"/>
      <c r="R304" s="4"/>
      <c r="S304" s="4"/>
      <c r="T304" s="4"/>
      <c r="U304" s="4"/>
      <c r="V304" s="4"/>
    </row>
    <row r="305" spans="1:22" x14ac:dyDescent="0.3">
      <c r="A305" s="4">
        <f>'ECN Master Project Tracker new'!A306</f>
        <v>2405306</v>
      </c>
      <c r="B305" s="108" t="str">
        <f>VLOOKUP(A:A,Table1[[#All],[Project No]:[Additional Remark]],2,FALSE)</f>
        <v>Leong Ah Seng</v>
      </c>
      <c r="C305" s="4" t="str">
        <f>VLOOKUP(A:A,Table1[[Project No]:[Additional Remark]],19,FALSE)</f>
        <v>570405-71-5931</v>
      </c>
      <c r="D305" s="4" t="str">
        <f>VLOOKUP(A:A,Table1[[Project No]:[Additional Remark]],20,FALSE)</f>
        <v>22, Jln PJU 3/12, Tropicana Indah, 47410 Petaling Jaya, Selangor</v>
      </c>
      <c r="E305" s="4" t="str">
        <f>VLOOKUP(A:A,Table1[[Project No]:[Additional Remark]],21,FALSE)</f>
        <v>012-2809511</v>
      </c>
      <c r="F305" s="4" t="str">
        <f>VLOOKUP(A:A,Table1[[Project No]:[Additional Remark]],22,FALSE)</f>
        <v>alicia@rossi.com.my</v>
      </c>
      <c r="G305" s="55">
        <f>VLOOKUP(A:A,Table1[[Project No]:[Additional Remark]],11,FALSE)</f>
        <v>43000</v>
      </c>
      <c r="H305" s="4" t="str">
        <f>VLOOKUP(A:A,Table1[[Project No]:[Additional Remark]],5,FALSE)</f>
        <v>R-PV</v>
      </c>
      <c r="I305" s="4">
        <f>VLOOKUP(A:A,Table1[[Project No]:[Additional Remark]],8,FALSE)</f>
        <v>17.7</v>
      </c>
      <c r="J305" s="4" t="str">
        <f>VLOOKUP(A:A,Table1[[Project No]:[Additional Remark]],23,FALSE)</f>
        <v xml:space="preserve">3 years </v>
      </c>
      <c r="K305" s="4"/>
      <c r="L305" s="4"/>
      <c r="M305" s="4"/>
      <c r="N305" s="4"/>
      <c r="O305" s="4"/>
      <c r="P305" s="4"/>
      <c r="Q305" s="4"/>
      <c r="R305" s="4"/>
      <c r="S305" s="4"/>
      <c r="T305" s="4"/>
      <c r="U305" s="4"/>
      <c r="V305" s="4"/>
    </row>
    <row r="306" spans="1:22" x14ac:dyDescent="0.3">
      <c r="A306" s="4">
        <f>'ECN Master Project Tracker new'!A307</f>
        <v>2505705</v>
      </c>
      <c r="B306" s="108" t="str">
        <f>VLOOKUP(A:A,Table1[[#All],[Project No]:[Additional Remark]],2,FALSE)</f>
        <v>Lee Kee Chew</v>
      </c>
      <c r="C306" s="4" t="str">
        <f>VLOOKUP(A:A,Table1[[Project No]:[Additional Remark]],19,FALSE)</f>
        <v>570906-08-6555</v>
      </c>
      <c r="D306" s="4" t="str">
        <f>VLOOKUP(A:A,Table1[[Project No]:[Additional Remark]],20,FALSE)</f>
        <v>18, Jalan SS 22/28, Damansara Jaya, 47400 Petaling Jaya, Selangor</v>
      </c>
      <c r="E306" s="4" t="str">
        <f>VLOOKUP(A:A,Table1[[Project No]:[Additional Remark]],21,FALSE)</f>
        <v>019-3111662</v>
      </c>
      <c r="F306" s="4" t="str">
        <f>VLOOKUP(A:A,Table1[[Project No]:[Additional Remark]],22,FALSE)</f>
        <v>simonlee1@yahoo.com</v>
      </c>
      <c r="G306" s="55">
        <f>VLOOKUP(A:A,Table1[[Project No]:[Additional Remark]],11,FALSE)</f>
        <v>21500</v>
      </c>
      <c r="H306" s="4" t="str">
        <f>VLOOKUP(A:A,Table1[[Project No]:[Additional Remark]],5,FALSE)</f>
        <v>R-PV</v>
      </c>
      <c r="I306" s="4">
        <f>VLOOKUP(A:A,Table1[[Project No]:[Additional Remark]],8,FALSE)</f>
        <v>7.08</v>
      </c>
      <c r="J306" s="4" t="str">
        <f>VLOOKUP(A:A,Table1[[Project No]:[Additional Remark]],23,FALSE)</f>
        <v xml:space="preserve">3 years </v>
      </c>
      <c r="K306" s="4"/>
      <c r="L306" s="4"/>
      <c r="M306" s="4"/>
      <c r="N306" s="4"/>
      <c r="O306" s="4"/>
      <c r="P306" s="4"/>
      <c r="Q306" s="4"/>
      <c r="R306" s="4"/>
      <c r="S306" s="4"/>
      <c r="T306" s="4"/>
      <c r="U306" s="4"/>
      <c r="V306" s="4"/>
    </row>
    <row r="307" spans="1:22" x14ac:dyDescent="0.3">
      <c r="A307" s="4">
        <f>'ECN Master Project Tracker new'!A308</f>
        <v>2505717</v>
      </c>
      <c r="B307" s="108" t="str">
        <f>VLOOKUP(A:A,Table1[[#All],[Project No]:[Additional Remark]],2,FALSE)</f>
        <v>Sia Wee Leng</v>
      </c>
      <c r="C307" s="4" t="str">
        <f>VLOOKUP(A:A,Table1[[Project No]:[Additional Remark]],19,FALSE)</f>
        <v>700101-10-7323</v>
      </c>
      <c r="D307" s="4" t="str">
        <f>VLOOKUP(A:A,Table1[[Project No]:[Additional Remark]],20,FALSE)</f>
        <v>No 3, Jln Rimbunan Melor 9, Laman Rimbunan Kepong, 52100 Kuala Lumpur, WP Kuala Lumpur</v>
      </c>
      <c r="E307" s="4" t="str">
        <f>VLOOKUP(A:A,Table1[[Project No]:[Additional Remark]],21,FALSE)</f>
        <v>012-3862832</v>
      </c>
      <c r="F307" s="4" t="str">
        <f>VLOOKUP(A:A,Table1[[Project No]:[Additional Remark]],22,FALSE)</f>
        <v>lgfswl@gmail.com</v>
      </c>
      <c r="G307" s="55">
        <f>VLOOKUP(A:A,Table1[[Project No]:[Additional Remark]],11,FALSE)</f>
        <v>42000</v>
      </c>
      <c r="H307" s="4" t="str">
        <f>VLOOKUP(A:A,Table1[[Project No]:[Additional Remark]],5,FALSE)</f>
        <v>R-PV</v>
      </c>
      <c r="I307" s="4">
        <f>VLOOKUP(A:A,Table1[[Project No]:[Additional Remark]],8,FALSE)</f>
        <v>16.52</v>
      </c>
      <c r="J307" s="4" t="str">
        <f>VLOOKUP(A:A,Table1[[Project No]:[Additional Remark]],23,FALSE)</f>
        <v xml:space="preserve">3 years </v>
      </c>
      <c r="K307" s="4"/>
      <c r="L307" s="4"/>
      <c r="M307" s="4"/>
      <c r="N307" s="4"/>
      <c r="O307" s="4"/>
      <c r="P307" s="4"/>
      <c r="Q307" s="4"/>
      <c r="R307" s="4"/>
      <c r="S307" s="4"/>
      <c r="T307" s="4"/>
      <c r="U307" s="4"/>
      <c r="V307" s="4"/>
    </row>
    <row r="308" spans="1:22" x14ac:dyDescent="0.3">
      <c r="A308" s="4" t="str">
        <f>'ECN Master Project Tracker new'!A309</f>
        <v>2505699-1</v>
      </c>
      <c r="B308" s="108" t="str">
        <f>VLOOKUP(A:A,Table1[[#All],[Project No]:[Additional Remark]],2,FALSE)</f>
        <v>Leong Wai Wung</v>
      </c>
      <c r="C308" s="4">
        <f>VLOOKUP(A:A,Table1[[Project No]:[Additional Remark]],19,FALSE)</f>
        <v>0</v>
      </c>
      <c r="D308" s="4">
        <f>VLOOKUP(A:A,Table1[[Project No]:[Additional Remark]],20,FALSE)</f>
        <v>0</v>
      </c>
      <c r="E308" s="4">
        <f>VLOOKUP(A:A,Table1[[Project No]:[Additional Remark]],21,FALSE)</f>
        <v>0</v>
      </c>
      <c r="F308" s="4">
        <f>VLOOKUP(A:A,Table1[[Project No]:[Additional Remark]],22,FALSE)</f>
        <v>0</v>
      </c>
      <c r="G308" s="55">
        <f>VLOOKUP(A:A,Table1[[Project No]:[Additional Remark]],11,FALSE)</f>
        <v>32000</v>
      </c>
      <c r="H308" s="4" t="str">
        <f>VLOOKUP(A:A,Table1[[Project No]:[Additional Remark]],5,FALSE)</f>
        <v>R-PV</v>
      </c>
      <c r="I308" s="4">
        <f>VLOOKUP(A:A,Table1[[Project No]:[Additional Remark]],8,FALSE)</f>
        <v>11.8</v>
      </c>
      <c r="J308" s="4">
        <f>VLOOKUP(A:A,Table1[[Project No]:[Additional Remark]],23,FALSE)</f>
        <v>0</v>
      </c>
      <c r="K308" s="4"/>
      <c r="L308" s="4"/>
      <c r="M308" s="4"/>
      <c r="N308" s="4"/>
      <c r="O308" s="4"/>
      <c r="P308" s="4"/>
      <c r="Q308" s="4"/>
      <c r="R308" s="4"/>
      <c r="S308" s="4"/>
      <c r="T308" s="4"/>
      <c r="U308" s="4"/>
      <c r="V308" s="4"/>
    </row>
    <row r="309" spans="1:22" x14ac:dyDescent="0.3">
      <c r="A309" s="4">
        <f>'ECN Master Project Tracker new'!A310</f>
        <v>2505719</v>
      </c>
      <c r="B309" s="108" t="str">
        <f>VLOOKUP(A:A,Table1[[#All],[Project No]:[Additional Remark]],2,FALSE)</f>
        <v>Lim Jun Hong</v>
      </c>
      <c r="C309" s="4" t="str">
        <f>VLOOKUP(A:A,Table1[[Project No]:[Additional Remark]],19,FALSE)</f>
        <v>940611-08-5059</v>
      </c>
      <c r="D309" s="4" t="str">
        <f>VLOOKUP(A:A,Table1[[Project No]:[Additional Remark]],20,FALSE)</f>
        <v>No 7, Jln USJ 3A/8, 47680 Subang Jaya, Selangor</v>
      </c>
      <c r="E309" s="4" t="str">
        <f>VLOOKUP(A:A,Table1[[Project No]:[Additional Remark]],21,FALSE)</f>
        <v>016-6679002</v>
      </c>
      <c r="F309" s="4" t="str">
        <f>VLOOKUP(A:A,Table1[[Project No]:[Additional Remark]],22,FALSE)</f>
        <v>limjh.611@gmail.com</v>
      </c>
      <c r="G309" s="55">
        <f>VLOOKUP(A:A,Table1[[Project No]:[Additional Remark]],11,FALSE)</f>
        <v>27000</v>
      </c>
      <c r="H309" s="4" t="str">
        <f>VLOOKUP(A:A,Table1[[Project No]:[Additional Remark]],5,FALSE)</f>
        <v>R-PV</v>
      </c>
      <c r="I309" s="4">
        <f>VLOOKUP(A:A,Table1[[Project No]:[Additional Remark]],8,FALSE)</f>
        <v>11.78</v>
      </c>
      <c r="J309" s="4" t="str">
        <f>VLOOKUP(A:A,Table1[[Project No]:[Additional Remark]],23,FALSE)</f>
        <v>N/A</v>
      </c>
      <c r="K309" s="163" t="s">
        <v>109</v>
      </c>
      <c r="L309" s="164" t="s">
        <v>109</v>
      </c>
      <c r="M309" s="165"/>
      <c r="N309" s="163" t="s">
        <v>109</v>
      </c>
      <c r="O309" s="164"/>
      <c r="P309" s="165"/>
      <c r="Q309" s="163" t="s">
        <v>109</v>
      </c>
      <c r="R309" s="164"/>
      <c r="S309" s="165"/>
      <c r="T309" s="163" t="s">
        <v>109</v>
      </c>
      <c r="U309" s="164"/>
      <c r="V309" s="165"/>
    </row>
    <row r="310" spans="1:22" ht="15.6" customHeight="1" x14ac:dyDescent="0.3">
      <c r="A310" s="4">
        <f>'ECN Master Project Tracker new'!A311</f>
        <v>2505687</v>
      </c>
      <c r="B310" s="108" t="str">
        <f>VLOOKUP(A:A,Table1[[#All],[Project No]:[Additional Remark]],2,FALSE)</f>
        <v>Thayananthan A/L Lokanatan</v>
      </c>
      <c r="C310" s="4" t="str">
        <f>VLOOKUP(A:A,Table1[[Project No]:[Additional Remark]],19,FALSE)</f>
        <v>880603-06-5259</v>
      </c>
      <c r="D310" s="4" t="str">
        <f>VLOOKUP(A:A,Table1[[Project No]:[Additional Remark]],20,FALSE)</f>
        <v>No 3, Lrg Im 21/4, Perumahan Taman Indera Mahkota 21, 25200 Kuantan, Pahang</v>
      </c>
      <c r="E310" s="4" t="str">
        <f>VLOOKUP(A:A,Table1[[Project No]:[Additional Remark]],21,FALSE)</f>
        <v>016-7252108</v>
      </c>
      <c r="F310" s="4" t="str">
        <f>VLOOKUP(A:A,Table1[[Project No]:[Additional Remark]],22,FALSE)</f>
        <v>avith2309@gmail.com</v>
      </c>
      <c r="G310" s="55">
        <f>VLOOKUP(A:A,Table1[[Project No]:[Additional Remark]],11,FALSE)</f>
        <v>30000</v>
      </c>
      <c r="H310" s="4" t="str">
        <f>VLOOKUP(A:A,Table1[[Project No]:[Additional Remark]],5,FALSE)</f>
        <v>R-PV</v>
      </c>
      <c r="I310" s="4">
        <f>VLOOKUP(A:A,Table1[[Project No]:[Additional Remark]],8,FALSE)</f>
        <v>10.029999999999999</v>
      </c>
      <c r="J310" s="4" t="str">
        <f>VLOOKUP(A:A,Table1[[Project No]:[Additional Remark]],23,FALSE)</f>
        <v>N/A</v>
      </c>
      <c r="K310" s="163" t="s">
        <v>109</v>
      </c>
      <c r="L310" s="164" t="s">
        <v>109</v>
      </c>
      <c r="M310" s="165"/>
      <c r="N310" s="163" t="s">
        <v>109</v>
      </c>
      <c r="O310" s="164"/>
      <c r="P310" s="165"/>
      <c r="Q310" s="163" t="s">
        <v>109</v>
      </c>
      <c r="R310" s="164"/>
      <c r="S310" s="165"/>
      <c r="T310" s="163" t="s">
        <v>109</v>
      </c>
      <c r="U310" s="164"/>
      <c r="V310" s="165"/>
    </row>
    <row r="311" spans="1:22" x14ac:dyDescent="0.3">
      <c r="A311" s="4">
        <f>'ECN Master Project Tracker new'!A312</f>
        <v>2505718</v>
      </c>
      <c r="B311" s="108" t="str">
        <f>VLOOKUP(A:A,Table1[[#All],[Project No]:[Additional Remark]],2,FALSE)</f>
        <v>Koh Kheat Kian</v>
      </c>
      <c r="C311" s="4" t="str">
        <f>VLOOKUP(A:A,Table1[[Project No]:[Additional Remark]],19,FALSE)</f>
        <v>800626-06-5187</v>
      </c>
      <c r="D311" s="4" t="str">
        <f>VLOOKUP(A:A,Table1[[Project No]:[Additional Remark]],20,FALSE)</f>
        <v>51, Jln Bkt Setongkol 3, Tmn Muhibah Fasa 2, Bukit Setongkol, 25200 Kuantan, Pahang</v>
      </c>
      <c r="E311" s="4" t="str">
        <f>VLOOKUP(A:A,Table1[[Project No]:[Additional Remark]],21,FALSE)</f>
        <v>012-9502255</v>
      </c>
      <c r="F311" s="4" t="str">
        <f>VLOOKUP(A:A,Table1[[Project No]:[Additional Remark]],22,FALSE)</f>
        <v>kk5k@yahoo.com</v>
      </c>
      <c r="G311" s="55">
        <f>VLOOKUP(A:A,Table1[[Project No]:[Additional Remark]],11,FALSE)</f>
        <v>23500</v>
      </c>
      <c r="H311" s="4" t="str">
        <f>VLOOKUP(A:A,Table1[[Project No]:[Additional Remark]],5,FALSE)</f>
        <v>R-PV</v>
      </c>
      <c r="I311" s="4">
        <f>VLOOKUP(A:A,Table1[[Project No]:[Additional Remark]],8,FALSE)</f>
        <v>7.44</v>
      </c>
      <c r="J311" s="4" t="str">
        <f>VLOOKUP(A:A,Table1[[Project No]:[Additional Remark]],23,FALSE)</f>
        <v xml:space="preserve">3 years </v>
      </c>
      <c r="K311" s="4"/>
      <c r="L311" s="4"/>
      <c r="M311" s="4"/>
      <c r="N311" s="4"/>
      <c r="O311" s="4"/>
      <c r="P311" s="4"/>
      <c r="Q311" s="4"/>
      <c r="R311" s="4"/>
      <c r="S311" s="4"/>
      <c r="T311" s="4"/>
      <c r="U311" s="4"/>
      <c r="V311" s="4"/>
    </row>
    <row r="312" spans="1:22" x14ac:dyDescent="0.3">
      <c r="A312" s="4">
        <f>'ECN Master Project Tracker new'!A313</f>
        <v>2506726</v>
      </c>
      <c r="B312" s="108" t="str">
        <f>VLOOKUP(A:A,Table1[[#All],[Project No]:[Additional Remark]],2,FALSE)</f>
        <v>Poh Pun Hong</v>
      </c>
      <c r="C312" s="4" t="str">
        <f>VLOOKUP(A:A,Table1[[Project No]:[Additional Remark]],19,FALSE)</f>
        <v>651214-10-6548</v>
      </c>
      <c r="D312" s="4" t="str">
        <f>VLOOKUP(A:A,Table1[[Project No]:[Additional Remark]],20,FALSE)</f>
        <v>11, Jalan Sg 1/14, Taman Sri Gombak, 68100 Batu Caves. Selangor</v>
      </c>
      <c r="E312" s="4" t="str">
        <f>VLOOKUP(A:A,Table1[[Project No]:[Additional Remark]],21,FALSE)</f>
        <v>012-8856276</v>
      </c>
      <c r="F312" s="4" t="str">
        <f>VLOOKUP(A:A,Table1[[Project No]:[Additional Remark]],22,FALSE)</f>
        <v>briancmf940921@gmail.com</v>
      </c>
      <c r="G312" s="55">
        <f>VLOOKUP(A:A,Table1[[Project No]:[Additional Remark]],11,FALSE)</f>
        <v>22000</v>
      </c>
      <c r="H312" s="4" t="str">
        <f>VLOOKUP(A:A,Table1[[Project No]:[Additional Remark]],5,FALSE)</f>
        <v>R-PV</v>
      </c>
      <c r="I312" s="4">
        <f>VLOOKUP(A:A,Table1[[Project No]:[Additional Remark]],8,FALSE)</f>
        <v>7.44</v>
      </c>
      <c r="J312" s="4" t="str">
        <f>VLOOKUP(A:A,Table1[[Project No]:[Additional Remark]],23,FALSE)</f>
        <v xml:space="preserve">3 years </v>
      </c>
      <c r="K312" s="4"/>
      <c r="L312" s="4"/>
      <c r="M312" s="4"/>
      <c r="N312" s="4"/>
      <c r="O312" s="4"/>
      <c r="P312" s="4"/>
      <c r="Q312" s="4"/>
      <c r="R312" s="4"/>
      <c r="S312" s="4"/>
      <c r="T312" s="4"/>
      <c r="U312" s="4"/>
      <c r="V312" s="4"/>
    </row>
    <row r="313" spans="1:22" x14ac:dyDescent="0.3">
      <c r="A313" s="4">
        <f>'ECN Master Project Tracker new'!A314</f>
        <v>2506735</v>
      </c>
      <c r="B313" s="108" t="str">
        <f>VLOOKUP(A:A,Table1[[#All],[Project No]:[Additional Remark]],2,FALSE)</f>
        <v>Lee Meng Fui</v>
      </c>
      <c r="C313" s="4" t="str">
        <f>VLOOKUP(A:A,Table1[[Project No]:[Additional Remark]],19,FALSE)</f>
        <v>770221-06-5395</v>
      </c>
      <c r="D313" s="4" t="str">
        <f>VLOOKUP(A:A,Table1[[Project No]:[Additional Remark]],20,FALSE)</f>
        <v>32, Lrg Tiram Aman 3, Perumahan Tiram Aman. 25200 Kuantan, Pahang</v>
      </c>
      <c r="E313" s="4" t="str">
        <f>VLOOKUP(A:A,Table1[[Project No]:[Additional Remark]],21,FALSE)</f>
        <v>012-9589956</v>
      </c>
      <c r="F313" s="4" t="str">
        <f>VLOOKUP(A:A,Table1[[Project No]:[Additional Remark]],22,FALSE)</f>
        <v>calvinleemf@gmail.com</v>
      </c>
      <c r="G313" s="55">
        <f>VLOOKUP(A:A,Table1[[Project No]:[Additional Remark]],11,FALSE)</f>
        <v>19000</v>
      </c>
      <c r="H313" s="4" t="str">
        <f>VLOOKUP(A:A,Table1[[Project No]:[Additional Remark]],5,FALSE)</f>
        <v>R-PV</v>
      </c>
      <c r="I313" s="4">
        <f>VLOOKUP(A:A,Table1[[Project No]:[Additional Remark]],8,FALSE)</f>
        <v>7.44</v>
      </c>
      <c r="J313" s="4" t="str">
        <f>VLOOKUP(A:A,Table1[[Project No]:[Additional Remark]],23,FALSE)</f>
        <v>N/A</v>
      </c>
      <c r="K313" s="163" t="s">
        <v>109</v>
      </c>
      <c r="L313" s="164" t="s">
        <v>109</v>
      </c>
      <c r="M313" s="165"/>
      <c r="N313" s="163" t="s">
        <v>109</v>
      </c>
      <c r="O313" s="164"/>
      <c r="P313" s="165"/>
      <c r="Q313" s="163" t="s">
        <v>109</v>
      </c>
      <c r="R313" s="164"/>
      <c r="S313" s="165"/>
      <c r="T313" s="163" t="s">
        <v>109</v>
      </c>
      <c r="U313" s="164"/>
      <c r="V313" s="165"/>
    </row>
    <row r="314" spans="1:22" x14ac:dyDescent="0.3">
      <c r="A314" s="4">
        <f>'ECN Master Project Tracker new'!A315</f>
        <v>2506734</v>
      </c>
      <c r="B314" s="108" t="str">
        <f>VLOOKUP(A:A,Table1[[#All],[Project No]:[Additional Remark]],2,FALSE)</f>
        <v>Leow Siew Lian (Tee Hong Yee)</v>
      </c>
      <c r="C314" s="4" t="str">
        <f>VLOOKUP(A:A,Table1[[Project No]:[Additional Remark]],19,FALSE)</f>
        <v>670130-06-5156</v>
      </c>
      <c r="D314" s="4" t="str">
        <f>VLOOKUP(A:A,Table1[[Project No]:[Additional Remark]],20,FALSE)</f>
        <v>No 7, Lrg Pelindung Pantai 11 Kg Pelindu, Tmn Pantai Pelindung 26100 Berserah, Pahang</v>
      </c>
      <c r="E314" s="4" t="str">
        <f>VLOOKUP(A:A,Table1[[Project No]:[Additional Remark]],21,FALSE)</f>
        <v>017-8911268</v>
      </c>
      <c r="F314" s="4" t="str">
        <f>VLOOKUP(A:A,Table1[[Project No]:[Additional Remark]],22,FALSE)</f>
        <v>zhixuanx23@gmail.com</v>
      </c>
      <c r="G314" s="55">
        <f>VLOOKUP(A:A,Table1[[Project No]:[Additional Remark]],11,FALSE)</f>
        <v>25500</v>
      </c>
      <c r="H314" s="4" t="str">
        <f>VLOOKUP(A:A,Table1[[Project No]:[Additional Remark]],5,FALSE)</f>
        <v>R-PV</v>
      </c>
      <c r="I314" s="4">
        <f>VLOOKUP(A:A,Table1[[Project No]:[Additional Remark]],8,FALSE)</f>
        <v>11.16</v>
      </c>
      <c r="J314" s="4" t="str">
        <f>VLOOKUP(A:A,Table1[[Project No]:[Additional Remark]],23,FALSE)</f>
        <v>N/A</v>
      </c>
      <c r="K314" s="163" t="s">
        <v>109</v>
      </c>
      <c r="L314" s="164" t="s">
        <v>109</v>
      </c>
      <c r="M314" s="165"/>
      <c r="N314" s="163" t="s">
        <v>109</v>
      </c>
      <c r="O314" s="164"/>
      <c r="P314" s="165"/>
      <c r="Q314" s="163" t="s">
        <v>109</v>
      </c>
      <c r="R314" s="164"/>
      <c r="S314" s="165"/>
      <c r="T314" s="163" t="s">
        <v>109</v>
      </c>
      <c r="U314" s="164"/>
      <c r="V314" s="165"/>
    </row>
    <row r="315" spans="1:22" x14ac:dyDescent="0.3">
      <c r="A315" s="4">
        <f>'ECN Master Project Tracker new'!A316</f>
        <v>2505708</v>
      </c>
      <c r="B315" s="108" t="str">
        <f>VLOOKUP(A:A,Table1[[#All],[Project No]:[Additional Remark]],2,FALSE)</f>
        <v xml:space="preserve">Mohd Shariff </v>
      </c>
      <c r="C315" s="4">
        <f>VLOOKUP(A:A,Table1[[Project No]:[Additional Remark]],19,FALSE)</f>
        <v>0</v>
      </c>
      <c r="D315" s="4">
        <f>VLOOKUP(A:A,Table1[[Project No]:[Additional Remark]],20,FALSE)</f>
        <v>0</v>
      </c>
      <c r="E315" s="4">
        <f>VLOOKUP(A:A,Table1[[Project No]:[Additional Remark]],21,FALSE)</f>
        <v>0</v>
      </c>
      <c r="F315" s="4">
        <f>VLOOKUP(A:A,Table1[[Project No]:[Additional Remark]],22,FALSE)</f>
        <v>0</v>
      </c>
      <c r="G315" s="55">
        <f>VLOOKUP(A:A,Table1[[Project No]:[Additional Remark]],11,FALSE)</f>
        <v>20500</v>
      </c>
      <c r="H315" s="4" t="str">
        <f>VLOOKUP(A:A,Table1[[Project No]:[Additional Remark]],5,FALSE)</f>
        <v>R-PV</v>
      </c>
      <c r="I315" s="4">
        <f>VLOOKUP(A:A,Table1[[Project No]:[Additional Remark]],8,FALSE)</f>
        <v>7.44</v>
      </c>
      <c r="J315" s="4">
        <f>VLOOKUP(A:A,Table1[[Project No]:[Additional Remark]],23,FALSE)</f>
        <v>0</v>
      </c>
      <c r="K315" s="4"/>
      <c r="L315" s="4"/>
      <c r="M315" s="4"/>
      <c r="N315" s="4"/>
      <c r="O315" s="4"/>
      <c r="P315" s="4"/>
      <c r="Q315" s="4"/>
      <c r="R315" s="4"/>
      <c r="S315" s="4"/>
      <c r="T315" s="4"/>
      <c r="U315" s="4"/>
      <c r="V315" s="4"/>
    </row>
    <row r="316" spans="1:22" x14ac:dyDescent="0.3">
      <c r="A316" s="4">
        <f>'ECN Master Project Tracker new'!A317</f>
        <v>2506744</v>
      </c>
      <c r="B316" s="108" t="str">
        <f>VLOOKUP(A:A,Table1[[#All],[Project No]:[Additional Remark]],2,FALSE)</f>
        <v>Gan Chin Sam</v>
      </c>
      <c r="C316" s="4" t="str">
        <f>VLOOKUP(A:A,Table1[[Project No]:[Additional Remark]],19,FALSE)</f>
        <v>580625-05-5241</v>
      </c>
      <c r="D316" s="4" t="str">
        <f>VLOOKUP(A:A,Table1[[Project No]:[Additional Remark]],20,FALSE)</f>
        <v>67, Jalan PJU 1A/36, Ara Damansara, 47301 Petaling Jaya, Selangor</v>
      </c>
      <c r="E316" s="4" t="str">
        <f>VLOOKUP(A:A,Table1[[Project No]:[Additional Remark]],21,FALSE)</f>
        <v>019-3344789</v>
      </c>
      <c r="F316" s="4" t="str">
        <f>VLOOKUP(A:A,Table1[[Project No]:[Additional Remark]],22,FALSE)</f>
        <v>csamgan@gmail.com</v>
      </c>
      <c r="G316" s="55">
        <f>VLOOKUP(A:A,Table1[[Project No]:[Additional Remark]],11,FALSE)</f>
        <v>32500</v>
      </c>
      <c r="H316" s="4" t="str">
        <f>VLOOKUP(A:A,Table1[[Project No]:[Additional Remark]],5,FALSE)</f>
        <v>R-PV</v>
      </c>
      <c r="I316" s="4">
        <f>VLOOKUP(A:A,Table1[[Project No]:[Additional Remark]],8,FALSE)</f>
        <v>14.88</v>
      </c>
      <c r="J316" s="4" t="str">
        <f>VLOOKUP(A:A,Table1[[Project No]:[Additional Remark]],23,FALSE)</f>
        <v xml:space="preserve">3 years </v>
      </c>
      <c r="K316" s="4"/>
      <c r="L316" s="4"/>
      <c r="M316" s="4"/>
      <c r="N316" s="4"/>
      <c r="O316" s="4"/>
      <c r="P316" s="4"/>
      <c r="Q316" s="4"/>
      <c r="R316" s="4"/>
      <c r="S316" s="4"/>
      <c r="T316" s="4"/>
      <c r="U316" s="4"/>
      <c r="V316" s="4"/>
    </row>
    <row r="317" spans="1:22" x14ac:dyDescent="0.3">
      <c r="A317" s="4">
        <f>'ECN Master Project Tracker new'!A318</f>
        <v>2506727</v>
      </c>
      <c r="B317" s="108" t="str">
        <f>VLOOKUP(A:A,Table1[[#All],[Project No]:[Additional Remark]],2,FALSE)</f>
        <v>Tan Lee Khing</v>
      </c>
      <c r="C317" s="4" t="str">
        <f>VLOOKUP(A:A,Table1[[Project No]:[Additional Remark]],19,FALSE)</f>
        <v>790523-10-5186</v>
      </c>
      <c r="D317" s="4" t="str">
        <f>VLOOKUP(A:A,Table1[[Project No]:[Additional Remark]],20,FALSE)</f>
        <v>2, Lorong Bukit Setongkol Baru 10, Perumahan Bukit Setongkol Baru, 25200 Kuantan, Pahang</v>
      </c>
      <c r="E317" s="4" t="str">
        <f>VLOOKUP(A:A,Table1[[Project No]:[Additional Remark]],21,FALSE)</f>
        <v>012-2280130</v>
      </c>
      <c r="F317" s="4" t="str">
        <f>VLOOKUP(A:A,Table1[[Project No]:[Additional Remark]],22,FALSE)</f>
        <v>lee_khing@yahoo.com</v>
      </c>
      <c r="G317" s="55">
        <f>VLOOKUP(A:A,Table1[[Project No]:[Additional Remark]],11,FALSE)</f>
        <v>28300</v>
      </c>
      <c r="H317" s="4" t="str">
        <f>VLOOKUP(A:A,Table1[[Project No]:[Additional Remark]],5,FALSE)</f>
        <v>R-PV</v>
      </c>
      <c r="I317" s="4">
        <f>VLOOKUP(A:A,Table1[[Project No]:[Additional Remark]],8,FALSE)</f>
        <v>12.4</v>
      </c>
      <c r="J317" s="4" t="str">
        <f>VLOOKUP(A:A,Table1[[Project No]:[Additional Remark]],23,FALSE)</f>
        <v>N/A</v>
      </c>
      <c r="K317" s="163" t="s">
        <v>109</v>
      </c>
      <c r="L317" s="164" t="s">
        <v>109</v>
      </c>
      <c r="M317" s="165"/>
      <c r="N317" s="163" t="s">
        <v>109</v>
      </c>
      <c r="O317" s="164"/>
      <c r="P317" s="165"/>
      <c r="Q317" s="163" t="s">
        <v>109</v>
      </c>
      <c r="R317" s="164"/>
      <c r="S317" s="165"/>
      <c r="T317" s="163" t="s">
        <v>109</v>
      </c>
      <c r="U317" s="164"/>
      <c r="V317" s="165"/>
    </row>
    <row r="318" spans="1:22" x14ac:dyDescent="0.3">
      <c r="A318" s="4">
        <f>'ECN Master Project Tracker new'!A319</f>
        <v>2505054</v>
      </c>
      <c r="B318" s="108" t="str">
        <f>VLOOKUP(A:A,Table1[[#All],[Project No]:[Additional Remark]],2,FALSE)</f>
        <v>DK Senza Residence</v>
      </c>
      <c r="C318" s="4">
        <f>VLOOKUP(A:A,Table1[[Project No]:[Additional Remark]],19,FALSE)</f>
        <v>0</v>
      </c>
      <c r="D318" s="4">
        <f>VLOOKUP(A:A,Table1[[Project No]:[Additional Remark]],20,FALSE)</f>
        <v>0</v>
      </c>
      <c r="E318" s="4">
        <f>VLOOKUP(A:A,Table1[[Project No]:[Additional Remark]],21,FALSE)</f>
        <v>0</v>
      </c>
      <c r="F318" s="4">
        <f>VLOOKUP(A:A,Table1[[Project No]:[Additional Remark]],22,FALSE)</f>
        <v>0</v>
      </c>
      <c r="G318" s="55">
        <f>VLOOKUP(A:A,Table1[[Project No]:[Additional Remark]],11,FALSE)</f>
        <v>59345</v>
      </c>
      <c r="H318" s="4" t="str">
        <f>VLOOKUP(A:A,Table1[[Project No]:[Additional Remark]],5,FALSE)</f>
        <v>EV Charger</v>
      </c>
      <c r="I318" s="4">
        <f>VLOOKUP(A:A,Table1[[Project No]:[Additional Remark]],8,FALSE)</f>
        <v>0</v>
      </c>
      <c r="J318" s="4" t="str">
        <f>VLOOKUP(A:A,Table1[[Project No]:[Additional Remark]],23,FALSE)</f>
        <v>N/A</v>
      </c>
      <c r="K318" s="163" t="s">
        <v>109</v>
      </c>
      <c r="L318" s="164" t="s">
        <v>109</v>
      </c>
      <c r="M318" s="165"/>
      <c r="N318" s="163" t="s">
        <v>109</v>
      </c>
      <c r="O318" s="164"/>
      <c r="P318" s="165"/>
      <c r="Q318" s="163" t="s">
        <v>109</v>
      </c>
      <c r="R318" s="164"/>
      <c r="S318" s="165"/>
      <c r="T318" s="163" t="s">
        <v>109</v>
      </c>
      <c r="U318" s="164"/>
      <c r="V318" s="165"/>
    </row>
    <row r="319" spans="1:22" x14ac:dyDescent="0.3">
      <c r="A319" s="4">
        <f>'ECN Master Project Tracker new'!A320</f>
        <v>2506752</v>
      </c>
      <c r="B319" s="108" t="str">
        <f>VLOOKUP(A:A,Table1[[#All],[Project No]:[Additional Remark]],2,FALSE)</f>
        <v>Ng Cheng Hoe</v>
      </c>
      <c r="C319" s="4" t="str">
        <f>VLOOKUP(A:A,Table1[[Project No]:[Additional Remark]],19,FALSE)</f>
        <v>881016-43-5205</v>
      </c>
      <c r="D319" s="4" t="str">
        <f>VLOOKUP(A:A,Table1[[Project No]:[Additional Remark]],20,FALSE)</f>
        <v>No. 5, Jalan Setia Utama U13/39D, Setia Alam, Seksyen U13, 40170 Shah Alam, Selangor</v>
      </c>
      <c r="E319" s="4" t="str">
        <f>VLOOKUP(A:A,Table1[[Project No]:[Additional Remark]],21,FALSE)</f>
        <v>013-7882286</v>
      </c>
      <c r="F319" s="4" t="str">
        <f>VLOOKUP(A:A,Table1[[Project No]:[Additional Remark]],22,FALSE)</f>
        <v>nevets8816@gmail.com</v>
      </c>
      <c r="G319" s="55">
        <f>VLOOKUP(A:A,Table1[[Project No]:[Additional Remark]],11,FALSE)</f>
        <v>22500</v>
      </c>
      <c r="H319" s="4" t="str">
        <f>VLOOKUP(A:A,Table1[[Project No]:[Additional Remark]],5,FALSE)</f>
        <v>R-PV</v>
      </c>
      <c r="I319" s="4">
        <f>VLOOKUP(A:A,Table1[[Project No]:[Additional Remark]],8,FALSE)</f>
        <v>7.44</v>
      </c>
      <c r="J319" s="4" t="str">
        <f>VLOOKUP(A:A,Table1[[Project No]:[Additional Remark]],23,FALSE)</f>
        <v xml:space="preserve">3 years </v>
      </c>
      <c r="K319" s="4"/>
      <c r="L319" s="4"/>
      <c r="M319" s="4"/>
      <c r="N319" s="4"/>
      <c r="O319" s="4"/>
      <c r="P319" s="4"/>
      <c r="Q319" s="4"/>
      <c r="R319" s="4"/>
      <c r="S319" s="4"/>
      <c r="T319" s="4"/>
      <c r="U319" s="4"/>
      <c r="V319" s="4"/>
    </row>
    <row r="320" spans="1:22" x14ac:dyDescent="0.3">
      <c r="A320" s="4">
        <f>'ECN Master Project Tracker new'!A321</f>
        <v>2501523</v>
      </c>
      <c r="B320" s="108" t="str">
        <f>VLOOKUP(A:A,Table1[[#All],[Project No]:[Additional Remark]],2,FALSE)</f>
        <v>Chen Kim Hock</v>
      </c>
      <c r="C320" s="4" t="str">
        <f>VLOOKUP(A:A,Table1[[Project No]:[Additional Remark]],19,FALSE)</f>
        <v>601117-02-5513</v>
      </c>
      <c r="D320" s="4" t="str">
        <f>VLOOKUP(A:A,Table1[[Project No]:[Additional Remark]],20,FALSE)</f>
        <v>37A, Jln Jingga 4, Tmn Pelangi, 80400 Johor Bahru, Johor</v>
      </c>
      <c r="E320" s="4" t="str">
        <f>VLOOKUP(A:A,Table1[[Project No]:[Additional Remark]],21,FALSE)</f>
        <v>014-7774333</v>
      </c>
      <c r="F320" s="4" t="str">
        <f>VLOOKUP(A:A,Table1[[Project No]:[Additional Remark]],22,FALSE)</f>
        <v>chenyeonhao@gmail.com</v>
      </c>
      <c r="G320" s="55">
        <f>VLOOKUP(A:A,Table1[[Project No]:[Additional Remark]],11,FALSE)</f>
        <v>44880</v>
      </c>
      <c r="H320" s="4" t="str">
        <f>VLOOKUP(A:A,Table1[[Project No]:[Additional Remark]],5,FALSE)</f>
        <v>R-PV</v>
      </c>
      <c r="I320" s="4">
        <f>VLOOKUP(A:A,Table1[[Project No]:[Additional Remark]],8,FALSE)</f>
        <v>17.7</v>
      </c>
      <c r="J320" s="4" t="str">
        <f>VLOOKUP(A:A,Table1[[Project No]:[Additional Remark]],23,FALSE)</f>
        <v xml:space="preserve">3 years </v>
      </c>
      <c r="K320" s="4"/>
      <c r="L320" s="4"/>
      <c r="M320" s="4"/>
      <c r="N320" s="4"/>
      <c r="O320" s="4"/>
      <c r="P320" s="4"/>
      <c r="Q320" s="4"/>
      <c r="R320" s="4"/>
      <c r="S320" s="4"/>
      <c r="T320" s="4"/>
      <c r="U320" s="4"/>
      <c r="V320" s="4"/>
    </row>
    <row r="321" spans="1:22" x14ac:dyDescent="0.3">
      <c r="A321" s="4">
        <f>'ECN Master Project Tracker new'!A322</f>
        <v>2506748</v>
      </c>
      <c r="B321" s="108" t="str">
        <f>VLOOKUP(A:A,Table1[[#All],[Project No]:[Additional Remark]],2,FALSE)</f>
        <v>Teh Foo Hock</v>
      </c>
      <c r="C321" s="4" t="str">
        <f>VLOOKUP(A:A,Table1[[Project No]:[Additional Remark]],19,FALSE)</f>
        <v>650714-06-5055</v>
      </c>
      <c r="D321" s="4" t="str">
        <f>VLOOKUP(A:A,Table1[[Project No]:[Additional Remark]],20,FALSE)</f>
        <v>B3410, Lrg Galing 143, Air Putih, 25020 Kuantan, Pahang</v>
      </c>
      <c r="E321" s="4" t="str">
        <f>VLOOKUP(A:A,Table1[[Project No]:[Additional Remark]],21,FALSE)</f>
        <v>012-9839222</v>
      </c>
      <c r="F321" s="4">
        <f>VLOOKUP(A:A,Table1[[Project No]:[Additional Remark]],22,FALSE)</f>
        <v>0</v>
      </c>
      <c r="G321" s="55">
        <f>VLOOKUP(A:A,Table1[[Project No]:[Additional Remark]],11,FALSE)</f>
        <v>22500</v>
      </c>
      <c r="H321" s="4" t="str">
        <f>VLOOKUP(A:A,Table1[[Project No]:[Additional Remark]],5,FALSE)</f>
        <v>R-PV</v>
      </c>
      <c r="I321" s="4">
        <f>VLOOKUP(A:A,Table1[[Project No]:[Additional Remark]],8,FALSE)</f>
        <v>8.68</v>
      </c>
      <c r="J321" s="4" t="str">
        <f>VLOOKUP(A:A,Table1[[Project No]:[Additional Remark]],23,FALSE)</f>
        <v>N/A</v>
      </c>
      <c r="K321" s="163" t="s">
        <v>109</v>
      </c>
      <c r="L321" s="164" t="s">
        <v>109</v>
      </c>
      <c r="M321" s="165"/>
      <c r="N321" s="163" t="s">
        <v>109</v>
      </c>
      <c r="O321" s="164"/>
      <c r="P321" s="165"/>
      <c r="Q321" s="163" t="s">
        <v>109</v>
      </c>
      <c r="R321" s="164"/>
      <c r="S321" s="165"/>
      <c r="T321" s="163" t="s">
        <v>109</v>
      </c>
      <c r="U321" s="164"/>
      <c r="V321" s="165"/>
    </row>
    <row r="322" spans="1:22" x14ac:dyDescent="0.3">
      <c r="A322" s="4">
        <f>'ECN Master Project Tracker new'!A323</f>
        <v>2505709</v>
      </c>
      <c r="B322" s="108" t="str">
        <f>VLOOKUP(A:A,Table1[[#All],[Project No]:[Additional Remark]],2,FALSE)</f>
        <v>Tan Heng Lian</v>
      </c>
      <c r="C322" s="4" t="str">
        <f>VLOOKUP(A:A,Table1[[Project No]:[Additional Remark]],19,FALSE)</f>
        <v>780921-06-5117</v>
      </c>
      <c r="D322" s="4" t="str">
        <f>VLOOKUP(A:A,Table1[[Project No]:[Additional Remark]],20,FALSE)</f>
        <v>31, Lrg Sri Kuantan 63, Taman Sri Kuantan, 25250 Kuantan, Pahang</v>
      </c>
      <c r="E322" s="4" t="str">
        <f>VLOOKUP(A:A,Table1[[Project No]:[Additional Remark]],21,FALSE)</f>
        <v>016-9619998</v>
      </c>
      <c r="F322" s="4" t="str">
        <f>VLOOKUP(A:A,Table1[[Project No]:[Additional Remark]],22,FALSE)</f>
        <v>Kuzo836@gmail</v>
      </c>
      <c r="G322" s="55">
        <f>VLOOKUP(A:A,Table1[[Project No]:[Additional Remark]],11,FALSE)</f>
        <v>39000.400000000001</v>
      </c>
      <c r="H322" s="4" t="str">
        <f>VLOOKUP(A:A,Table1[[Project No]:[Additional Remark]],5,FALSE)</f>
        <v>R-PV</v>
      </c>
      <c r="I322" s="4">
        <f>VLOOKUP(A:A,Table1[[Project No]:[Additional Remark]],8,FALSE)</f>
        <v>17.98</v>
      </c>
      <c r="J322" s="4" t="str">
        <f>VLOOKUP(A:A,Table1[[Project No]:[Additional Remark]],23,FALSE)</f>
        <v xml:space="preserve">3 years </v>
      </c>
      <c r="K322" s="4"/>
      <c r="L322" s="4"/>
      <c r="M322" s="4"/>
      <c r="N322" s="4"/>
      <c r="O322" s="4"/>
      <c r="P322" s="4"/>
      <c r="Q322" s="4"/>
      <c r="R322" s="4"/>
      <c r="S322" s="4"/>
      <c r="T322" s="4"/>
      <c r="U322" s="4"/>
      <c r="V322" s="4"/>
    </row>
    <row r="323" spans="1:22" x14ac:dyDescent="0.3">
      <c r="A323" s="4">
        <f>'ECN Master Project Tracker new'!A324</f>
        <v>2501531</v>
      </c>
      <c r="B323" s="108" t="str">
        <f>VLOOKUP(A:A,Table1[[#All],[Project No]:[Additional Remark]],2,FALSE)</f>
        <v>Mohamad Hafizi Bin Abdul Rahman</v>
      </c>
      <c r="C323" s="4" t="str">
        <f>VLOOKUP(A:A,Table1[[Project No]:[Additional Remark]],19,FALSE)</f>
        <v>741213-08-6337</v>
      </c>
      <c r="D323" s="4" t="str">
        <f>VLOOKUP(A:A,Table1[[Project No]:[Additional Remark]],20,FALSE)</f>
        <v>No 25, Lrg Bandar Damansara Kuantan 1/17, Bdr Damansara Kuantan, 26100 Kuantan, Pahang</v>
      </c>
      <c r="E323" s="4" t="str">
        <f>VLOOKUP(A:A,Table1[[Project No]:[Additional Remark]],21,FALSE)</f>
        <v>019-9569774</v>
      </c>
      <c r="F323" s="4" t="str">
        <f>VLOOKUP(A:A,Table1[[Project No]:[Additional Remark]],22,FALSE)</f>
        <v>datobulat@gmail.com</v>
      </c>
      <c r="G323" s="55">
        <f>VLOOKUP(A:A,Table1[[Project No]:[Additional Remark]],11,FALSE)</f>
        <v>30500</v>
      </c>
      <c r="H323" s="4" t="str">
        <f>VLOOKUP(A:A,Table1[[Project No]:[Additional Remark]],5,FALSE)</f>
        <v>R-PV</v>
      </c>
      <c r="I323" s="4">
        <f>VLOOKUP(A:A,Table1[[Project No]:[Additional Remark]],8,FALSE)</f>
        <v>13.64</v>
      </c>
      <c r="J323" s="4" t="str">
        <f>VLOOKUP(A:A,Table1[[Project No]:[Additional Remark]],23,FALSE)</f>
        <v>5 years</v>
      </c>
      <c r="K323" s="4"/>
      <c r="L323" s="4"/>
      <c r="M323" s="4"/>
      <c r="N323" s="4"/>
      <c r="O323" s="4"/>
      <c r="P323" s="4"/>
      <c r="Q323" s="4"/>
      <c r="R323" s="4"/>
      <c r="S323" s="4"/>
      <c r="T323" s="4"/>
      <c r="U323" s="4"/>
      <c r="V323" s="4"/>
    </row>
    <row r="324" spans="1:22" x14ac:dyDescent="0.3">
      <c r="A324" s="4">
        <f>'ECN Master Project Tracker new'!A325</f>
        <v>2506757</v>
      </c>
      <c r="B324" s="108" t="str">
        <f>VLOOKUP(A:A,Table1[[#All],[Project No]:[Additional Remark]],2,FALSE)</f>
        <v>Chai Cheong Sing</v>
      </c>
      <c r="C324" s="4" t="str">
        <f>VLOOKUP(A:A,Table1[[Project No]:[Additional Remark]],19,FALSE)</f>
        <v>720125-01-5261</v>
      </c>
      <c r="D324" s="4" t="str">
        <f>VLOOKUP(A:A,Table1[[Project No]:[Additional Remark]],20,FALSE)</f>
        <v>13, Lrg Seri Setali 10 Off, Jln Galing Ke, Tmn Sri Galing, 25300 Kuantan, Pahang</v>
      </c>
      <c r="E324" s="4" t="str">
        <f>VLOOKUP(A:A,Table1[[Project No]:[Additional Remark]],21,FALSE)</f>
        <v>012-7223686</v>
      </c>
      <c r="F324" s="4" t="str">
        <f>VLOOKUP(A:A,Table1[[Project No]:[Additional Remark]],22,FALSE)</f>
        <v>johnchai72@yahoo.com</v>
      </c>
      <c r="G324" s="55">
        <f>VLOOKUP(A:A,Table1[[Project No]:[Additional Remark]],11,FALSE)</f>
        <v>21500</v>
      </c>
      <c r="H324" s="4" t="str">
        <f>VLOOKUP(A:A,Table1[[Project No]:[Additional Remark]],5,FALSE)</f>
        <v>R-PV</v>
      </c>
      <c r="I324" s="4">
        <f>VLOOKUP(A:A,Table1[[Project No]:[Additional Remark]],8,FALSE)</f>
        <v>7.44</v>
      </c>
      <c r="J324" s="4" t="str">
        <f>VLOOKUP(A:A,Table1[[Project No]:[Additional Remark]],23,FALSE)</f>
        <v xml:space="preserve">3 years </v>
      </c>
      <c r="K324" s="4"/>
      <c r="L324" s="4"/>
      <c r="M324" s="4"/>
      <c r="N324" s="4"/>
      <c r="O324" s="4"/>
      <c r="P324" s="4"/>
      <c r="Q324" s="4"/>
      <c r="R324" s="4"/>
      <c r="S324" s="4"/>
      <c r="T324" s="4"/>
      <c r="U324" s="4"/>
      <c r="V324" s="4"/>
    </row>
    <row r="325" spans="1:22" x14ac:dyDescent="0.3">
      <c r="A325" s="4">
        <f>'ECN Master Project Tracker new'!A326</f>
        <v>2505259</v>
      </c>
      <c r="B325" s="108" t="str">
        <f>VLOOKUP(A:A,Table1[[#All],[Project No]:[Additional Remark]],2,FALSE)</f>
        <v>Liew Wen Qi</v>
      </c>
      <c r="C325" s="4">
        <f>VLOOKUP(A:A,Table1[[Project No]:[Additional Remark]],19,FALSE)</f>
        <v>0</v>
      </c>
      <c r="D325" s="4" t="str">
        <f>VLOOKUP(A:A,Table1[[Project No]:[Additional Remark]],20,FALSE)</f>
        <v>A65 Bwh, Jln Seri Setali 2 Off Jln Air Putih, 25300 Kuantan, Pahang</v>
      </c>
      <c r="E325" s="4" t="str">
        <f>VLOOKUP(A:A,Table1[[Project No]:[Additional Remark]],21,FALSE)</f>
        <v>012-2691162</v>
      </c>
      <c r="F325" s="4" t="str">
        <f>VLOOKUP(A:A,Table1[[Project No]:[Additional Remark]],22,FALSE)</f>
        <v>wenqi_liew@hotmail.com</v>
      </c>
      <c r="G325" s="55">
        <f>VLOOKUP(A:A,Table1[[Project No]:[Additional Remark]],11,FALSE)</f>
        <v>45000</v>
      </c>
      <c r="H325" s="4" t="str">
        <f>VLOOKUP(A:A,Table1[[Project No]:[Additional Remark]],5,FALSE)</f>
        <v>C&amp;I-PV</v>
      </c>
      <c r="I325" s="4">
        <f>VLOOKUP(A:A,Table1[[Project No]:[Additional Remark]],8,FALSE)</f>
        <v>19.52</v>
      </c>
      <c r="J325" s="4" t="str">
        <f>VLOOKUP(A:A,Table1[[Project No]:[Additional Remark]],23,FALSE)</f>
        <v>N/A</v>
      </c>
      <c r="K325" s="163" t="s">
        <v>109</v>
      </c>
      <c r="L325" s="164" t="s">
        <v>109</v>
      </c>
      <c r="M325" s="165"/>
      <c r="N325" s="163" t="s">
        <v>109</v>
      </c>
      <c r="O325" s="164"/>
      <c r="P325" s="165"/>
      <c r="Q325" s="163" t="s">
        <v>109</v>
      </c>
      <c r="R325" s="164"/>
      <c r="S325" s="165"/>
      <c r="T325" s="163" t="s">
        <v>109</v>
      </c>
      <c r="U325" s="164"/>
      <c r="V325" s="165"/>
    </row>
    <row r="326" spans="1:22" x14ac:dyDescent="0.3">
      <c r="A326" s="4">
        <f>'ECN Master Project Tracker new'!A327</f>
        <v>2506758</v>
      </c>
      <c r="B326" s="108" t="str">
        <f>VLOOKUP(A:A,Table1[[#All],[Project No]:[Additional Remark]],2,FALSE)</f>
        <v>Goh Boon Meng</v>
      </c>
      <c r="C326" s="4" t="str">
        <f>VLOOKUP(A:A,Table1[[Project No]:[Additional Remark]],19,FALSE)</f>
        <v>681204-06-5137</v>
      </c>
      <c r="D326" s="4" t="str">
        <f>VLOOKUP(A:A,Table1[[Project No]:[Additional Remark]],20,FALSE)</f>
        <v>No 6, Jln Mawar 6, Tmn Mawar, 28300 Triang, Pahang</v>
      </c>
      <c r="E326" s="4" t="str">
        <f>VLOOKUP(A:A,Table1[[Project No]:[Additional Remark]],21,FALSE)</f>
        <v>012-2429688</v>
      </c>
      <c r="F326" s="4" t="str">
        <f>VLOOKUP(A:A,Table1[[Project No]:[Additional Remark]],22,FALSE)</f>
        <v>gbm8869@gmail.com</v>
      </c>
      <c r="G326" s="55">
        <f>VLOOKUP(A:A,Table1[[Project No]:[Additional Remark]],11,FALSE)</f>
        <v>39500</v>
      </c>
      <c r="H326" s="4" t="str">
        <f>VLOOKUP(A:A,Table1[[Project No]:[Additional Remark]],5,FALSE)</f>
        <v>R-PV</v>
      </c>
      <c r="I326" s="4">
        <f>VLOOKUP(A:A,Table1[[Project No]:[Additional Remark]],8,FALSE)</f>
        <v>17.98</v>
      </c>
      <c r="J326" s="4" t="str">
        <f>VLOOKUP(A:A,Table1[[Project No]:[Additional Remark]],23,FALSE)</f>
        <v xml:space="preserve">3 years </v>
      </c>
      <c r="K326" s="4"/>
      <c r="L326" s="4"/>
      <c r="M326" s="4"/>
      <c r="N326" s="4"/>
      <c r="O326" s="4"/>
      <c r="P326" s="4"/>
      <c r="Q326" s="4"/>
      <c r="R326" s="4"/>
      <c r="S326" s="4"/>
      <c r="T326" s="4"/>
      <c r="U326" s="4"/>
      <c r="V326" s="4"/>
    </row>
    <row r="327" spans="1:22" x14ac:dyDescent="0.3">
      <c r="A327" s="4">
        <f>'ECN Master Project Tracker new'!A328</f>
        <v>2506762</v>
      </c>
      <c r="B327" s="108" t="str">
        <f>VLOOKUP(A:A,Table1[[#All],[Project No]:[Additional Remark]],2,FALSE)</f>
        <v>Megat Mohd Nashrul Bin Ahmad Zulkepli</v>
      </c>
      <c r="C327" s="4" t="str">
        <f>VLOOKUP(A:A,Table1[[Project No]:[Additional Remark]],19,FALSE)</f>
        <v>851019-01-6703</v>
      </c>
      <c r="D327" s="4" t="str">
        <f>VLOOKUP(A:A,Table1[[Project No]:[Additional Remark]],20,FALSE)</f>
        <v>No 11, Lrg Im 8/24, Bandar Indera Mahkota, Indera Mahkota, 25200 Kuantan, Pahang</v>
      </c>
      <c r="E327" s="4" t="str">
        <f>VLOOKUP(A:A,Table1[[Project No]:[Additional Remark]],21,FALSE)</f>
        <v>013-6803366</v>
      </c>
      <c r="F327" s="4" t="str">
        <f>VLOOKUP(A:A,Table1[[Project No]:[Additional Remark]],22,FALSE)</f>
        <v>megat@nexgentechaus.com</v>
      </c>
      <c r="G327" s="55">
        <f>VLOOKUP(A:A,Table1[[Project No]:[Additional Remark]],11,FALSE)</f>
        <v>32500</v>
      </c>
      <c r="H327" s="4" t="str">
        <f>VLOOKUP(A:A,Table1[[Project No]:[Additional Remark]],5,FALSE)</f>
        <v>R-PV</v>
      </c>
      <c r="I327" s="4">
        <f>VLOOKUP(A:A,Table1[[Project No]:[Additional Remark]],8,FALSE)</f>
        <v>12.4</v>
      </c>
      <c r="J327" s="4" t="str">
        <f>VLOOKUP(A:A,Table1[[Project No]:[Additional Remark]],23,FALSE)</f>
        <v xml:space="preserve">3 years </v>
      </c>
      <c r="K327" s="4"/>
      <c r="L327" s="4"/>
      <c r="M327" s="4"/>
      <c r="N327" s="4"/>
      <c r="O327" s="4"/>
      <c r="P327" s="4"/>
      <c r="Q327" s="4"/>
      <c r="R327" s="4"/>
      <c r="S327" s="4"/>
      <c r="T327" s="4"/>
      <c r="U327" s="4"/>
      <c r="V327" s="4"/>
    </row>
    <row r="328" spans="1:22" x14ac:dyDescent="0.3">
      <c r="A328" s="4">
        <f>'ECN Master Project Tracker new'!A329</f>
        <v>2506753</v>
      </c>
      <c r="B328" s="108" t="str">
        <f>VLOOKUP(A:A,Table1[[#All],[Project No]:[Additional Remark]],2,FALSE)</f>
        <v>Lim Geok Suan</v>
      </c>
      <c r="C328" s="4" t="str">
        <f>VLOOKUP(A:A,Table1[[Project No]:[Additional Remark]],19,FALSE)</f>
        <v>560421-07-5234</v>
      </c>
      <c r="D328" s="4" t="str">
        <f>VLOOKUP(A:A,Table1[[Project No]:[Additional Remark]],20,FALSE)</f>
        <v>No 65 A, Lrg Sekilau 22, Bkt Sekilau, 25200 Kuantan, Pahang</v>
      </c>
      <c r="E328" s="4" t="str">
        <f>VLOOKUP(A:A,Table1[[Project No]:[Additional Remark]],21,FALSE)</f>
        <v>012-9093055</v>
      </c>
      <c r="F328" s="4" t="str">
        <f>VLOOKUP(A:A,Table1[[Project No]:[Additional Remark]],22,FALSE)</f>
        <v>dinamikbudimas@gmail.com</v>
      </c>
      <c r="G328" s="55">
        <f>VLOOKUP(A:A,Table1[[Project No]:[Additional Remark]],11,FALSE)</f>
        <v>27500</v>
      </c>
      <c r="H328" s="4" t="str">
        <f>VLOOKUP(A:A,Table1[[Project No]:[Additional Remark]],5,FALSE)</f>
        <v>R-PV</v>
      </c>
      <c r="I328" s="4">
        <f>VLOOKUP(A:A,Table1[[Project No]:[Additional Remark]],8,FALSE)</f>
        <v>11.78</v>
      </c>
      <c r="J328" s="4" t="str">
        <f>VLOOKUP(A:A,Table1[[Project No]:[Additional Remark]],23,FALSE)</f>
        <v xml:space="preserve">3 years </v>
      </c>
      <c r="K328" s="4"/>
      <c r="L328" s="4"/>
      <c r="M328" s="4"/>
      <c r="N328" s="4"/>
      <c r="O328" s="4"/>
      <c r="P328" s="4"/>
      <c r="Q328" s="4"/>
      <c r="R328" s="4"/>
      <c r="S328" s="4"/>
      <c r="T328" s="4"/>
      <c r="U328" s="4"/>
      <c r="V328" s="4"/>
    </row>
    <row r="329" spans="1:22" x14ac:dyDescent="0.3">
      <c r="A329" s="4">
        <f>'ECN Master Project Tracker new'!A330</f>
        <v>2506768</v>
      </c>
      <c r="B329" s="108" t="str">
        <f>VLOOKUP(A:A,Table1[[#All],[Project No]:[Additional Remark]],2,FALSE)</f>
        <v>Yap Lee Yan</v>
      </c>
      <c r="C329" s="4" t="str">
        <f>VLOOKUP(A:A,Table1[[Project No]:[Additional Remark]],19,FALSE)</f>
        <v>830913-06-5080</v>
      </c>
      <c r="D329" s="4" t="str">
        <f>VLOOKUP(A:A,Table1[[Project No]:[Additional Remark]],20,FALSE)</f>
        <v>No 12, Lrg Bukit Ubi 59, Perumahan Galing, 25200 Kuantan, Pahang</v>
      </c>
      <c r="E329" s="4" t="str">
        <f>VLOOKUP(A:A,Table1[[Project No]:[Additional Remark]],21,FALSE)</f>
        <v>017-9898860</v>
      </c>
      <c r="F329" s="4" t="str">
        <f>VLOOKUP(A:A,Table1[[Project No]:[Additional Remark]],22,FALSE)</f>
        <v>yenyen6513@gmail.com</v>
      </c>
      <c r="G329" s="55">
        <f>VLOOKUP(A:A,Table1[[Project No]:[Additional Remark]],11,FALSE)</f>
        <v>27000</v>
      </c>
      <c r="H329" s="4" t="str">
        <f>VLOOKUP(A:A,Table1[[Project No]:[Additional Remark]],5,FALSE)</f>
        <v>R-PV</v>
      </c>
      <c r="I329" s="4">
        <f>VLOOKUP(A:A,Table1[[Project No]:[Additional Remark]],8,FALSE)</f>
        <v>11.16</v>
      </c>
      <c r="J329" s="4" t="str">
        <f>VLOOKUP(A:A,Table1[[Project No]:[Additional Remark]],23,FALSE)</f>
        <v xml:space="preserve">3 years </v>
      </c>
      <c r="K329" s="4"/>
      <c r="L329" s="4"/>
      <c r="M329" s="4"/>
      <c r="N329" s="4"/>
      <c r="O329" s="4"/>
      <c r="P329" s="4"/>
      <c r="Q329" s="4"/>
      <c r="R329" s="4"/>
      <c r="S329" s="4"/>
      <c r="T329" s="4"/>
      <c r="U329" s="4"/>
      <c r="V329" s="4"/>
    </row>
    <row r="330" spans="1:22" x14ac:dyDescent="0.3">
      <c r="A330" s="4">
        <f>'ECN Master Project Tracker new'!A331</f>
        <v>2506761</v>
      </c>
      <c r="B330" s="108" t="str">
        <f>VLOOKUP(A:A,Table1[[#All],[Project No]:[Additional Remark]],2,FALSE)</f>
        <v>Lee Swee Li</v>
      </c>
      <c r="C330" s="4" t="str">
        <f>VLOOKUP(A:A,Table1[[Project No]:[Additional Remark]],19,FALSE)</f>
        <v>730801-05-5074</v>
      </c>
      <c r="D330" s="4" t="str">
        <f>VLOOKUP(A:A,Table1[[Project No]:[Additional Remark]],20,FALSE)</f>
        <v>B913, Lrg Air Putih 25, Tmn Sentosa, 25350 Kuantan, Pahang</v>
      </c>
      <c r="E330" s="4" t="str">
        <f>VLOOKUP(A:A,Table1[[Project No]:[Additional Remark]],21,FALSE)</f>
        <v>012-9882982</v>
      </c>
      <c r="F330" s="4" t="str">
        <f>VLOOKUP(A:A,Table1[[Project No]:[Additional Remark]],22,FALSE)</f>
        <v>jennylee3668@gmail.com</v>
      </c>
      <c r="G330" s="55">
        <f>VLOOKUP(A:A,Table1[[Project No]:[Additional Remark]],11,FALSE)</f>
        <v>34000</v>
      </c>
      <c r="H330" s="4" t="str">
        <f>VLOOKUP(A:A,Table1[[Project No]:[Additional Remark]],5,FALSE)</f>
        <v>R-PV</v>
      </c>
      <c r="I330" s="4">
        <f>VLOOKUP(A:A,Table1[[Project No]:[Additional Remark]],8,FALSE)</f>
        <v>13.64</v>
      </c>
      <c r="J330" s="4" t="str">
        <f>VLOOKUP(A:A,Table1[[Project No]:[Additional Remark]],23,FALSE)</f>
        <v xml:space="preserve">3 years </v>
      </c>
      <c r="K330" s="4"/>
      <c r="L330" s="4"/>
      <c r="M330" s="4"/>
      <c r="N330" s="4"/>
      <c r="O330" s="4"/>
      <c r="P330" s="4"/>
      <c r="Q330" s="4"/>
      <c r="R330" s="4"/>
      <c r="S330" s="4"/>
      <c r="T330" s="4"/>
      <c r="U330" s="4"/>
      <c r="V330" s="4"/>
    </row>
    <row r="331" spans="1:22" x14ac:dyDescent="0.3">
      <c r="A331" s="4">
        <f>'ECN Master Project Tracker new'!A332</f>
        <v>2506779</v>
      </c>
      <c r="B331" s="108" t="str">
        <f>VLOOKUP(A:A,Table1[[#All],[Project No]:[Additional Remark]],2,FALSE)</f>
        <v>Koo Hing Yew</v>
      </c>
      <c r="C331" s="4" t="str">
        <f>VLOOKUP(A:A,Table1[[Project No]:[Additional Remark]],19,FALSE)</f>
        <v>600610-06-5215</v>
      </c>
      <c r="D331" s="4" t="str">
        <f>VLOOKUP(A:A,Table1[[Project No]:[Additional Remark]],20,FALSE)</f>
        <v>No. 9, Lorong Im 21/12, Perumahan Taman Indera Mahkota 21, 25200 Kuantan, Pahang</v>
      </c>
      <c r="E331" s="4" t="str">
        <f>VLOOKUP(A:A,Table1[[Project No]:[Additional Remark]],21,FALSE)</f>
        <v>017-3311266</v>
      </c>
      <c r="F331" s="4" t="str">
        <f>VLOOKUP(A:A,Table1[[Project No]:[Additional Remark]],22,FALSE)</f>
        <v>koojayaenterprise@gmail.com</v>
      </c>
      <c r="G331" s="55">
        <f>VLOOKUP(A:A,Table1[[Project No]:[Additional Remark]],11,FALSE)</f>
        <v>20500</v>
      </c>
      <c r="H331" s="4" t="str">
        <f>VLOOKUP(A:A,Table1[[Project No]:[Additional Remark]],5,FALSE)</f>
        <v>R-PV</v>
      </c>
      <c r="I331" s="4">
        <f>VLOOKUP(A:A,Table1[[Project No]:[Additional Remark]],8,FALSE)</f>
        <v>7.44</v>
      </c>
      <c r="J331" s="4" t="str">
        <f>VLOOKUP(A:A,Table1[[Project No]:[Additional Remark]],23,FALSE)</f>
        <v xml:space="preserve">3 years </v>
      </c>
      <c r="K331" s="4"/>
      <c r="L331" s="4"/>
      <c r="M331" s="4"/>
      <c r="N331" s="4"/>
      <c r="O331" s="4"/>
      <c r="P331" s="4"/>
      <c r="Q331" s="4"/>
      <c r="R331" s="4"/>
      <c r="S331" s="4"/>
      <c r="T331" s="4"/>
      <c r="U331" s="4"/>
      <c r="V331" s="4"/>
    </row>
    <row r="332" spans="1:22" x14ac:dyDescent="0.3">
      <c r="A332" s="4">
        <f>'ECN Master Project Tracker new'!A333</f>
        <v>2506781</v>
      </c>
      <c r="B332" s="108" t="str">
        <f>VLOOKUP(A:A,Table1[[#All],[Project No]:[Additional Remark]],2,FALSE)</f>
        <v>Teng Lily</v>
      </c>
      <c r="C332" s="4" t="str">
        <f>VLOOKUP(A:A,Table1[[Project No]:[Additional Remark]],19,FALSE)</f>
        <v>901117-06-5050</v>
      </c>
      <c r="D332" s="4" t="str">
        <f>VLOOKUP(A:A,Table1[[Project No]:[Additional Remark]],20,FALSE)</f>
        <v>31, Jln Bkt Setongkol 3, Tmn Muhibah Fasa, Bukit Setongkol 25200 Kuantan,Pahang</v>
      </c>
      <c r="E332" s="4" t="str">
        <f>VLOOKUP(A:A,Table1[[Project No]:[Additional Remark]],21,FALSE)</f>
        <v>012 - 7887991</v>
      </c>
      <c r="F332" s="4" t="str">
        <f>VLOOKUP(A:A,Table1[[Project No]:[Additional Remark]],22,FALSE)</f>
        <v>lilyteng_5050@hotmail.com</v>
      </c>
      <c r="G332" s="55">
        <f>VLOOKUP(A:A,Table1[[Project No]:[Additional Remark]],11,FALSE)</f>
        <v>22000</v>
      </c>
      <c r="H332" s="4" t="str">
        <f>VLOOKUP(A:A,Table1[[Project No]:[Additional Remark]],5,FALSE)</f>
        <v>R-PV</v>
      </c>
      <c r="I332" s="4">
        <f>VLOOKUP(A:A,Table1[[Project No]:[Additional Remark]],8,FALSE)</f>
        <v>7.44</v>
      </c>
      <c r="J332" s="4" t="str">
        <f>VLOOKUP(A:A,Table1[[Project No]:[Additional Remark]],23,FALSE)</f>
        <v xml:space="preserve">3 years </v>
      </c>
      <c r="K332" s="4"/>
      <c r="L332" s="4"/>
      <c r="M332" s="4"/>
      <c r="N332" s="4"/>
      <c r="O332" s="4"/>
      <c r="P332" s="4"/>
      <c r="Q332" s="4"/>
      <c r="R332" s="4"/>
      <c r="S332" s="4"/>
      <c r="T332" s="4"/>
      <c r="U332" s="4"/>
      <c r="V332" s="4"/>
    </row>
    <row r="333" spans="1:22" x14ac:dyDescent="0.3">
      <c r="A333" s="4">
        <f>'ECN Master Project Tracker new'!A334</f>
        <v>2506782</v>
      </c>
      <c r="B333" s="108" t="str">
        <f>VLOOKUP(A:A,Table1[[#All],[Project No]:[Additional Remark]],2,FALSE)</f>
        <v>Tan Shu Huat</v>
      </c>
      <c r="C333" s="4" t="str">
        <f>VLOOKUP(A:A,Table1[[Project No]:[Additional Remark]],19,FALSE)</f>
        <v>760905-06-5397</v>
      </c>
      <c r="D333" s="4" t="str">
        <f>VLOOKUP(A:A,Table1[[Project No]:[Additional Remark]],20,FALSE)</f>
        <v>137, Lrg Bkt Setongkol Perdana 52, Tmn Fairmont Jaya, 25200 Kuantan, Pahang</v>
      </c>
      <c r="E333" s="4" t="str">
        <f>VLOOKUP(A:A,Table1[[Project No]:[Additional Remark]],21,FALSE)</f>
        <v>016-9223663</v>
      </c>
      <c r="F333" s="4" t="str">
        <f>VLOOKUP(A:A,Table1[[Project No]:[Additional Remark]],22,FALSE)</f>
        <v>singhuatmotortrd@gmail.com</v>
      </c>
      <c r="G333" s="55">
        <f>VLOOKUP(A:A,Table1[[Project No]:[Additional Remark]],11,FALSE)</f>
        <v>36100</v>
      </c>
      <c r="H333" s="4" t="str">
        <f>VLOOKUP(A:A,Table1[[Project No]:[Additional Remark]],5,FALSE)</f>
        <v>R-PV</v>
      </c>
      <c r="I333" s="4">
        <f>VLOOKUP(A:A,Table1[[Project No]:[Additional Remark]],8,FALSE)</f>
        <v>14.88</v>
      </c>
      <c r="J333" s="4" t="str">
        <f>VLOOKUP(A:A,Table1[[Project No]:[Additional Remark]],23,FALSE)</f>
        <v xml:space="preserve">3 years </v>
      </c>
      <c r="K333" s="4"/>
      <c r="L333" s="4"/>
      <c r="M333" s="4"/>
      <c r="N333" s="4"/>
      <c r="O333" s="4"/>
      <c r="P333" s="4"/>
      <c r="Q333" s="4"/>
      <c r="R333" s="4"/>
      <c r="S333" s="4"/>
      <c r="T333" s="4"/>
      <c r="U333" s="4"/>
      <c r="V333" s="4"/>
    </row>
    <row r="334" spans="1:22" x14ac:dyDescent="0.3">
      <c r="A334" s="4">
        <f>'ECN Master Project Tracker new'!A335</f>
        <v>2506746</v>
      </c>
      <c r="B334" s="108" t="str">
        <f>VLOOKUP(A:A,Table1[[#All],[Project No]:[Additional Remark]],2,FALSE)</f>
        <v>Tan Wan Ngee</v>
      </c>
      <c r="C334" s="4" t="str">
        <f>VLOOKUP(A:A,Table1[[Project No]:[Additional Remark]],19,FALSE)</f>
        <v>760607-06-5364</v>
      </c>
      <c r="D334" s="4" t="str">
        <f>VLOOKUP(A:A,Table1[[Project No]:[Additional Remark]],20,FALSE)</f>
        <v>No 6, Lorong Pelindung 2, Persisiran Residences Bukit Pelindung, 25050 Kuantan, Pahang</v>
      </c>
      <c r="E334" s="4" t="str">
        <f>VLOOKUP(A:A,Table1[[Project No]:[Additional Remark]],21,FALSE)</f>
        <v>016 - 9222888</v>
      </c>
      <c r="F334" s="4">
        <f>VLOOKUP(A:A,Table1[[Project No]:[Additional Remark]],22,FALSE)</f>
        <v>0</v>
      </c>
      <c r="G334" s="55">
        <f>VLOOKUP(A:A,Table1[[Project No]:[Additional Remark]],11,FALSE)</f>
        <v>24000</v>
      </c>
      <c r="H334" s="4" t="str">
        <f>VLOOKUP(A:A,Table1[[Project No]:[Additional Remark]],5,FALSE)</f>
        <v>R-PV</v>
      </c>
      <c r="I334" s="4">
        <f>VLOOKUP(A:A,Table1[[Project No]:[Additional Remark]],8,FALSE)</f>
        <v>9.92</v>
      </c>
      <c r="J334" s="4" t="str">
        <f>VLOOKUP(A:A,Table1[[Project No]:[Additional Remark]],23,FALSE)</f>
        <v>N/A</v>
      </c>
      <c r="K334" s="163" t="s">
        <v>109</v>
      </c>
      <c r="L334" s="164" t="s">
        <v>109</v>
      </c>
      <c r="M334" s="165"/>
      <c r="N334" s="163" t="s">
        <v>109</v>
      </c>
      <c r="O334" s="164"/>
      <c r="P334" s="165"/>
      <c r="Q334" s="163" t="s">
        <v>109</v>
      </c>
      <c r="R334" s="164"/>
      <c r="S334" s="165"/>
      <c r="T334" s="163" t="s">
        <v>109</v>
      </c>
      <c r="U334" s="164"/>
      <c r="V334" s="165"/>
    </row>
    <row r="335" spans="1:22" x14ac:dyDescent="0.3">
      <c r="A335" s="4">
        <f>'ECN Master Project Tracker new'!A336</f>
        <v>2506780</v>
      </c>
      <c r="B335" s="108" t="str">
        <f>VLOOKUP(A:A,Table1[[#All],[Project No]:[Additional Remark]],2,FALSE)</f>
        <v>Yeo Khai Boon</v>
      </c>
      <c r="C335" s="4" t="str">
        <f>VLOOKUP(A:A,Table1[[Project No]:[Additional Remark]],19,FALSE)</f>
        <v>000207-06-0319</v>
      </c>
      <c r="D335" s="4" t="str">
        <f>VLOOKUP(A:A,Table1[[Project No]:[Additional Remark]],20,FALSE)</f>
        <v>No 9, Jalan KS 5/14, Evergreen III @ Presint 5, Kotasas, 25200 Kuantan, Pahang</v>
      </c>
      <c r="E335" s="4" t="str">
        <f>VLOOKUP(A:A,Table1[[Project No]:[Additional Remark]],21,FALSE)</f>
        <v>019-7046189</v>
      </c>
      <c r="F335" s="4" t="str">
        <f>VLOOKUP(A:A,Table1[[Project No]:[Additional Remark]],22,FALSE)</f>
        <v>ahwen000207@hotmail.com</v>
      </c>
      <c r="G335" s="55">
        <f>VLOOKUP(A:A,Table1[[Project No]:[Additional Remark]],11,FALSE)</f>
        <v>23800</v>
      </c>
      <c r="H335" s="4" t="str">
        <f>VLOOKUP(A:A,Table1[[Project No]:[Additional Remark]],5,FALSE)</f>
        <v>R-PV</v>
      </c>
      <c r="I335" s="4">
        <f>VLOOKUP(A:A,Table1[[Project No]:[Additional Remark]],8,FALSE)</f>
        <v>9.92</v>
      </c>
      <c r="J335" s="4" t="str">
        <f>VLOOKUP(A:A,Table1[[Project No]:[Additional Remark]],23,FALSE)</f>
        <v>N/A</v>
      </c>
      <c r="K335" s="163" t="s">
        <v>109</v>
      </c>
      <c r="L335" s="164" t="s">
        <v>109</v>
      </c>
      <c r="M335" s="165"/>
      <c r="N335" s="163" t="s">
        <v>109</v>
      </c>
      <c r="O335" s="164"/>
      <c r="P335" s="165"/>
      <c r="Q335" s="163" t="s">
        <v>109</v>
      </c>
      <c r="R335" s="164"/>
      <c r="S335" s="165"/>
      <c r="T335" s="163" t="s">
        <v>109</v>
      </c>
      <c r="U335" s="164"/>
      <c r="V335" s="165"/>
    </row>
    <row r="336" spans="1:22" x14ac:dyDescent="0.3">
      <c r="A336" s="4">
        <f>'ECN Master Project Tracker new'!A337</f>
        <v>2506778</v>
      </c>
      <c r="B336" s="108" t="str">
        <f>VLOOKUP(A:A,Table1[[#All],[Project No]:[Additional Remark]],2,FALSE)</f>
        <v>Teo Lun Wei</v>
      </c>
      <c r="C336" s="4" t="str">
        <f>VLOOKUP(A:A,Table1[[Project No]:[Additional Remark]],19,FALSE)</f>
        <v>940421-06-5073</v>
      </c>
      <c r="D336" s="4" t="str">
        <f>VLOOKUP(A:A,Table1[[Project No]:[Additional Remark]],20,FALSE)</f>
        <v>No 26, Lorong Tas Perdana 3, Perumahan Tas Perdana, 25150 Kuantan Pahang</v>
      </c>
      <c r="E336" s="4" t="str">
        <f>VLOOKUP(A:A,Table1[[Project No]:[Additional Remark]],21,FALSE)</f>
        <v>010 - 7696618</v>
      </c>
      <c r="F336" s="4">
        <f>VLOOKUP(A:A,Table1[[Project No]:[Additional Remark]],22,FALSE)</f>
        <v>0</v>
      </c>
      <c r="G336" s="55">
        <f>VLOOKUP(A:A,Table1[[Project No]:[Additional Remark]],11,FALSE)</f>
        <v>20500</v>
      </c>
      <c r="H336" s="4" t="str">
        <f>VLOOKUP(A:A,Table1[[Project No]:[Additional Remark]],5,FALSE)</f>
        <v>R-PV</v>
      </c>
      <c r="I336" s="4">
        <f>VLOOKUP(A:A,Table1[[Project No]:[Additional Remark]],8,FALSE)</f>
        <v>7.44</v>
      </c>
      <c r="J336" s="4" t="str">
        <f>VLOOKUP(A:A,Table1[[Project No]:[Additional Remark]],23,FALSE)</f>
        <v xml:space="preserve">3 years </v>
      </c>
      <c r="K336" s="4"/>
      <c r="L336" s="4"/>
      <c r="M336" s="4"/>
      <c r="N336" s="4"/>
      <c r="O336" s="4"/>
      <c r="P336" s="4"/>
      <c r="Q336" s="4"/>
      <c r="R336" s="4"/>
      <c r="S336" s="4"/>
      <c r="T336" s="4"/>
      <c r="U336" s="4"/>
      <c r="V336" s="4"/>
    </row>
    <row r="337" spans="1:22" x14ac:dyDescent="0.3">
      <c r="A337" s="4">
        <f>'ECN Master Project Tracker new'!A338</f>
        <v>2506745</v>
      </c>
      <c r="B337" s="108" t="str">
        <f>VLOOKUP(A:A,Table1[[#All],[Project No]:[Additional Remark]],2,FALSE)</f>
        <v>Lee Ban Hong</v>
      </c>
      <c r="C337" s="4" t="str">
        <f>VLOOKUP(A:A,Table1[[Project No]:[Additional Remark]],19,FALSE)</f>
        <v>860910-56-6071</v>
      </c>
      <c r="D337" s="4" t="str">
        <f>VLOOKUP(A:A,Table1[[Project No]:[Additional Remark]],20,FALSE)</f>
        <v>67, Jalan 2/C, Taman Jati, 48000 Rawang, Selangor</v>
      </c>
      <c r="E337" s="4" t="str">
        <f>VLOOKUP(A:A,Table1[[Project No]:[Additional Remark]],21,FALSE)</f>
        <v>018-2526174</v>
      </c>
      <c r="F337" s="4" t="str">
        <f>VLOOKUP(A:A,Table1[[Project No]:[Additional Remark]],22,FALSE)</f>
        <v>hueiya-lee97@hotmail.com</v>
      </c>
      <c r="G337" s="55">
        <f>VLOOKUP(A:A,Table1[[Project No]:[Additional Remark]],11,FALSE)</f>
        <v>32500</v>
      </c>
      <c r="H337" s="4" t="str">
        <f>VLOOKUP(A:A,Table1[[Project No]:[Additional Remark]],5,FALSE)</f>
        <v>R-PV</v>
      </c>
      <c r="I337" s="4">
        <f>VLOOKUP(A:A,Table1[[Project No]:[Additional Remark]],8,FALSE)</f>
        <v>14.88</v>
      </c>
      <c r="J337" s="4" t="str">
        <f>VLOOKUP(A:A,Table1[[Project No]:[Additional Remark]],23,FALSE)</f>
        <v xml:space="preserve">3 years </v>
      </c>
      <c r="K337" s="4"/>
      <c r="L337" s="4"/>
      <c r="M337" s="4"/>
      <c r="N337" s="4"/>
      <c r="O337" s="4"/>
      <c r="P337" s="4"/>
      <c r="Q337" s="4"/>
      <c r="R337" s="4"/>
      <c r="S337" s="4"/>
      <c r="T337" s="4"/>
      <c r="U337" s="4"/>
      <c r="V337" s="4"/>
    </row>
    <row r="338" spans="1:22" x14ac:dyDescent="0.3">
      <c r="A338" s="4">
        <f>'ECN Master Project Tracker new'!A339</f>
        <v>2506789</v>
      </c>
      <c r="B338" s="108" t="str">
        <f>VLOOKUP(A:A,Table1[[#All],[Project No]:[Additional Remark]],2,FALSE)</f>
        <v>Wu Sio Yunn</v>
      </c>
      <c r="C338" s="4" t="str">
        <f>VLOOKUP(A:A,Table1[[Project No]:[Additional Remark]],19,FALSE)</f>
        <v>680925-06-5044</v>
      </c>
      <c r="D338" s="4" t="str">
        <f>VLOOKUP(A:A,Table1[[Project No]:[Additional Remark]],20,FALSE)</f>
        <v>D-278, Lrg Bukit Setongkol 211, Tmn Bukit Setongkol, 25200 Kuantan, Pahang</v>
      </c>
      <c r="E338" s="4" t="str">
        <f>VLOOKUP(A:A,Table1[[Project No]:[Additional Remark]],21,FALSE)</f>
        <v>013-9848650</v>
      </c>
      <c r="F338" s="4" t="str">
        <f>VLOOKUP(A:A,Table1[[Project No]:[Additional Remark]],22,FALSE)</f>
        <v>irenewsy@hotmail.com</v>
      </c>
      <c r="G338" s="55">
        <f>VLOOKUP(A:A,Table1[[Project No]:[Additional Remark]],11,FALSE)</f>
        <v>27130</v>
      </c>
      <c r="H338" s="4" t="str">
        <f>VLOOKUP(A:A,Table1[[Project No]:[Additional Remark]],5,FALSE)</f>
        <v>R-PV</v>
      </c>
      <c r="I338" s="4">
        <f>VLOOKUP(A:A,Table1[[Project No]:[Additional Remark]],8,FALSE)</f>
        <v>9.92</v>
      </c>
      <c r="J338" s="4" t="str">
        <f>VLOOKUP(A:A,Table1[[Project No]:[Additional Remark]],23,FALSE)</f>
        <v xml:space="preserve">3 years </v>
      </c>
      <c r="K338" s="4"/>
      <c r="L338" s="4"/>
      <c r="M338" s="4"/>
      <c r="N338" s="4"/>
      <c r="O338" s="4"/>
      <c r="P338" s="4"/>
      <c r="Q338" s="4"/>
      <c r="R338" s="4"/>
      <c r="S338" s="4"/>
      <c r="T338" s="4"/>
      <c r="U338" s="4"/>
      <c r="V338" s="4"/>
    </row>
    <row r="339" spans="1:22" x14ac:dyDescent="0.3">
      <c r="A339" s="4">
        <f>'ECN Master Project Tracker new'!A340</f>
        <v>2404254</v>
      </c>
      <c r="B339" s="108" t="str">
        <f>VLOOKUP(A:A,Table1[[#All],[Project No]:[Additional Remark]],2,FALSE)</f>
        <v>Meor Farizal Bin Ramli</v>
      </c>
      <c r="C339" s="4" t="str">
        <f>VLOOKUP(A:A,Table1[[Project No]:[Additional Remark]],19,FALSE)</f>
        <v>810605-10-6153</v>
      </c>
      <c r="D339" s="4" t="str">
        <f>VLOOKUP(A:A,Table1[[Project No]:[Additional Remark]],20,FALSE)</f>
        <v>Lot 1433, Jln Merpati Kg Dato Ahmad Said, 30020 Ipoh, Perak</v>
      </c>
      <c r="E339" s="4" t="str">
        <f>VLOOKUP(A:A,Table1[[Project No]:[Additional Remark]],21,FALSE)</f>
        <v>012-5098235</v>
      </c>
      <c r="F339" s="4" t="str">
        <f>VLOOKUP(A:A,Table1[[Project No]:[Additional Remark]],22,FALSE)</f>
        <v>wan_8807@yahoo.com.my</v>
      </c>
      <c r="G339" s="55">
        <f>VLOOKUP(A:A,Table1[[Project No]:[Additional Remark]],11,FALSE)</f>
        <v>19500</v>
      </c>
      <c r="H339" s="4" t="str">
        <f>VLOOKUP(A:A,Table1[[Project No]:[Additional Remark]],5,FALSE)</f>
        <v>R-PV</v>
      </c>
      <c r="I339" s="4">
        <f>VLOOKUP(A:A,Table1[[Project No]:[Additional Remark]],8,FALSE)</f>
        <v>5.58</v>
      </c>
      <c r="J339" s="4" t="str">
        <f>VLOOKUP(A:A,Table1[[Project No]:[Additional Remark]],23,FALSE)</f>
        <v xml:space="preserve">3 years </v>
      </c>
      <c r="K339" s="4"/>
      <c r="L339" s="4"/>
      <c r="M339" s="4"/>
      <c r="N339" s="4"/>
      <c r="O339" s="4"/>
      <c r="P339" s="4"/>
      <c r="Q339" s="4"/>
      <c r="R339" s="4"/>
      <c r="S339" s="4"/>
      <c r="T339" s="4"/>
      <c r="U339" s="4"/>
      <c r="V339" s="4"/>
    </row>
    <row r="340" spans="1:22" x14ac:dyDescent="0.3">
      <c r="A340" s="4">
        <f>'ECN Master Project Tracker new'!A341</f>
        <v>2506732</v>
      </c>
      <c r="B340" s="108" t="str">
        <f>VLOOKUP(A:A,Table1[[#All],[Project No]:[Additional Remark]],2,FALSE)</f>
        <v>Chai Shwu Yi (Tan Lewin)</v>
      </c>
      <c r="C340" s="4" t="str">
        <f>VLOOKUP(A:A,Table1[[Project No]:[Additional Remark]],19,FALSE)</f>
        <v>860913-43-6870</v>
      </c>
      <c r="D340" s="4" t="str">
        <f>VLOOKUP(A:A,Table1[[Project No]:[Additional Remark]],20,FALSE)</f>
        <v>3, Jalan Mahligai 2A, Bandar Bukit Raja, 41050 Klang, Selangor</v>
      </c>
      <c r="E340" s="4" t="str">
        <f>VLOOKUP(A:A,Table1[[Project No]:[Additional Remark]],21,FALSE)</f>
        <v>012-2431712</v>
      </c>
      <c r="F340" s="4" t="str">
        <f>VLOOKUP(A:A,Table1[[Project No]:[Additional Remark]],22,FALSE)</f>
        <v>c.shwu.yi@gmail.com</v>
      </c>
      <c r="G340" s="55">
        <f>VLOOKUP(A:A,Table1[[Project No]:[Additional Remark]],11,FALSE)</f>
        <v>20500</v>
      </c>
      <c r="H340" s="4" t="str">
        <f>VLOOKUP(A:A,Table1[[Project No]:[Additional Remark]],5,FALSE)</f>
        <v>R-PV</v>
      </c>
      <c r="I340" s="4">
        <f>VLOOKUP(A:A,Table1[[Project No]:[Additional Remark]],8,FALSE)</f>
        <v>7.44</v>
      </c>
      <c r="J340" s="4" t="str">
        <f>VLOOKUP(A:A,Table1[[Project No]:[Additional Remark]],23,FALSE)</f>
        <v xml:space="preserve">3 years </v>
      </c>
      <c r="K340" s="4"/>
      <c r="L340" s="4"/>
      <c r="M340" s="4"/>
      <c r="N340" s="4"/>
      <c r="O340" s="4"/>
      <c r="P340" s="4"/>
      <c r="Q340" s="4"/>
      <c r="R340" s="4"/>
      <c r="S340" s="4"/>
      <c r="T340" s="4"/>
      <c r="U340" s="4"/>
      <c r="V340" s="4"/>
    </row>
    <row r="341" spans="1:22" x14ac:dyDescent="0.3">
      <c r="A341" s="4">
        <f>'ECN Master Project Tracker new'!A342</f>
        <v>2506767</v>
      </c>
      <c r="B341" s="108" t="str">
        <f>VLOOKUP(A:A,Table1[[#All],[Project No]:[Additional Remark]],2,FALSE)</f>
        <v>Lee Lee Tan @ Tan Lee Lee</v>
      </c>
      <c r="C341" s="4" t="str">
        <f>VLOOKUP(A:A,Table1[[Project No]:[Additional Remark]],19,FALSE)</f>
        <v>681204-10-6242</v>
      </c>
      <c r="D341" s="4" t="str">
        <f>VLOOKUP(A:A,Table1[[Project No]:[Additional Remark]],20,FALSE)</f>
        <v>32, Jalan SL 13/3, Bandar Sungai Long, 43000 Kajang Selangor</v>
      </c>
      <c r="E341" s="4" t="str">
        <f>VLOOKUP(A:A,Table1[[Project No]:[Additional Remark]],21,FALSE)</f>
        <v>012-2293778</v>
      </c>
      <c r="F341" s="4" t="str">
        <f>VLOOKUP(A:A,Table1[[Project No]:[Additional Remark]],22,FALSE)</f>
        <v>lilyt8793@gmail.com</v>
      </c>
      <c r="G341" s="55">
        <f>VLOOKUP(A:A,Table1[[Project No]:[Additional Remark]],11,FALSE)</f>
        <v>20500</v>
      </c>
      <c r="H341" s="4" t="str">
        <f>VLOOKUP(A:A,Table1[[Project No]:[Additional Remark]],5,FALSE)</f>
        <v>R-PV</v>
      </c>
      <c r="I341" s="4">
        <f>VLOOKUP(A:A,Table1[[Project No]:[Additional Remark]],8,FALSE)</f>
        <v>7.44</v>
      </c>
      <c r="J341" s="4" t="str">
        <f>VLOOKUP(A:A,Table1[[Project No]:[Additional Remark]],23,FALSE)</f>
        <v xml:space="preserve">3 years </v>
      </c>
      <c r="K341" s="4"/>
      <c r="L341" s="4"/>
      <c r="M341" s="4"/>
      <c r="N341" s="4"/>
      <c r="O341" s="4"/>
      <c r="P341" s="4"/>
      <c r="Q341" s="4"/>
      <c r="R341" s="4"/>
      <c r="S341" s="4"/>
      <c r="T341" s="4"/>
      <c r="U341" s="4"/>
      <c r="V341" s="4"/>
    </row>
    <row r="342" spans="1:22" x14ac:dyDescent="0.3">
      <c r="A342" s="4">
        <f>'ECN Master Project Tracker new'!A343</f>
        <v>2506759</v>
      </c>
      <c r="B342" s="108" t="str">
        <f>VLOOKUP(A:A,Table1[[#All],[Project No]:[Additional Remark]],2,FALSE)</f>
        <v>Yim Kai Mun</v>
      </c>
      <c r="C342" s="4" t="str">
        <f>VLOOKUP(A:A,Table1[[Project No]:[Additional Remark]],19,FALSE)</f>
        <v>531231-05-5387</v>
      </c>
      <c r="D342" s="4" t="str">
        <f>VLOOKUP(A:A,Table1[[Project No]:[Additional Remark]],20,FALSE)</f>
        <v>4, Lrg Pelindung 32, Tmn Pelindung, 25250 Kuantan, Pahang</v>
      </c>
      <c r="E342" s="4" t="str">
        <f>VLOOKUP(A:A,Table1[[Project No]:[Additional Remark]],21,FALSE)</f>
        <v>019 - 9518264</v>
      </c>
      <c r="F342" s="4" t="str">
        <f>VLOOKUP(A:A,Table1[[Project No]:[Additional Remark]],22,FALSE)</f>
        <v>johnnie.why@gmail.com</v>
      </c>
      <c r="G342" s="55">
        <f>VLOOKUP(A:A,Table1[[Project No]:[Additional Remark]],11,FALSE)</f>
        <v>27000</v>
      </c>
      <c r="H342" s="4" t="str">
        <f>VLOOKUP(A:A,Table1[[Project No]:[Additional Remark]],5,FALSE)</f>
        <v>R-PV</v>
      </c>
      <c r="I342" s="4">
        <f>VLOOKUP(A:A,Table1[[Project No]:[Additional Remark]],8,FALSE)</f>
        <v>10.54</v>
      </c>
      <c r="J342" s="4" t="str">
        <f>VLOOKUP(A:A,Table1[[Project No]:[Additional Remark]],23,FALSE)</f>
        <v xml:space="preserve">3 years </v>
      </c>
      <c r="K342" s="4"/>
      <c r="L342" s="4"/>
      <c r="M342" s="4"/>
      <c r="N342" s="4"/>
      <c r="O342" s="4"/>
      <c r="P342" s="4"/>
      <c r="Q342" s="4"/>
      <c r="R342" s="4"/>
      <c r="S342" s="4"/>
      <c r="T342" s="4"/>
      <c r="U342" s="4"/>
      <c r="V342" s="4"/>
    </row>
    <row r="343" spans="1:22" x14ac:dyDescent="0.3">
      <c r="A343" s="4">
        <f>'ECN Master Project Tracker new'!A344</f>
        <v>2506794</v>
      </c>
      <c r="B343" s="108" t="str">
        <f>VLOOKUP(A:A,Table1[[#All],[Project No]:[Additional Remark]],2,FALSE)</f>
        <v>Ahmad Fadhil Bin Alias</v>
      </c>
      <c r="C343" s="4" t="str">
        <f>VLOOKUP(A:A,Table1[[Project No]:[Additional Remark]],19,FALSE)</f>
        <v>790130-11-5113</v>
      </c>
      <c r="D343" s="4" t="str">
        <f>VLOOKUP(A:A,Table1[[Project No]:[Additional Remark]],20,FALSE)</f>
        <v>No 16, Lrg Pelindung Damai 26 Villa, Pelindung Indah, Beserah, 26100 Kuantan, Pahang</v>
      </c>
      <c r="E343" s="4" t="str">
        <f>VLOOKUP(A:A,Table1[[Project No]:[Additional Remark]],21,FALSE)</f>
        <v>014-5301886</v>
      </c>
      <c r="F343" s="4">
        <f>VLOOKUP(A:A,Table1[[Project No]:[Additional Remark]],22,FALSE)</f>
        <v>0</v>
      </c>
      <c r="G343" s="55">
        <f>VLOOKUP(A:A,Table1[[Project No]:[Additional Remark]],11,FALSE)</f>
        <v>25000</v>
      </c>
      <c r="H343" s="4" t="str">
        <f>VLOOKUP(A:A,Table1[[Project No]:[Additional Remark]],5,FALSE)</f>
        <v>R-PV</v>
      </c>
      <c r="I343" s="4">
        <f>VLOOKUP(A:A,Table1[[Project No]:[Additional Remark]],8,FALSE)</f>
        <v>9.92</v>
      </c>
      <c r="J343" s="4" t="str">
        <f>VLOOKUP(A:A,Table1[[Project No]:[Additional Remark]],23,FALSE)</f>
        <v xml:space="preserve">3 years </v>
      </c>
      <c r="K343" s="4"/>
      <c r="L343" s="4"/>
      <c r="M343" s="4"/>
      <c r="N343" s="4"/>
      <c r="O343" s="4"/>
      <c r="P343" s="4"/>
      <c r="Q343" s="4"/>
      <c r="R343" s="4"/>
      <c r="S343" s="4"/>
      <c r="T343" s="4"/>
      <c r="U343" s="4"/>
      <c r="V343" s="4"/>
    </row>
    <row r="344" spans="1:22" x14ac:dyDescent="0.3">
      <c r="A344" s="4">
        <f>'ECN Master Project Tracker new'!A345</f>
        <v>2506798</v>
      </c>
      <c r="B344" s="108" t="str">
        <f>VLOOKUP(A:A,Table1[[#All],[Project No]:[Additional Remark]],2,FALSE)</f>
        <v>Lew Sieow Shih</v>
      </c>
      <c r="C344" s="4" t="str">
        <f>VLOOKUP(A:A,Table1[[Project No]:[Additional Remark]],19,FALSE)</f>
        <v>780528-06-5196</v>
      </c>
      <c r="D344" s="4" t="str">
        <f>VLOOKUP(A:A,Table1[[Project No]:[Additional Remark]],20,FALSE)</f>
        <v>D975, Jln Kg Jawa, Tmn Sri Berlian, 25200 Kuantan, Pahang</v>
      </c>
      <c r="E344" s="4" t="str">
        <f>VLOOKUP(A:A,Table1[[Project No]:[Additional Remark]],21,FALSE)</f>
        <v>012 - 9554526</v>
      </c>
      <c r="F344" s="4">
        <f>VLOOKUP(A:A,Table1[[Project No]:[Additional Remark]],22,FALSE)</f>
        <v>0</v>
      </c>
      <c r="G344" s="55">
        <f>VLOOKUP(A:A,Table1[[Project No]:[Additional Remark]],11,FALSE)</f>
        <v>20500</v>
      </c>
      <c r="H344" s="4" t="str">
        <f>VLOOKUP(A:A,Table1[[Project No]:[Additional Remark]],5,FALSE)</f>
        <v>R-PV</v>
      </c>
      <c r="I344" s="4">
        <f>VLOOKUP(A:A,Table1[[Project No]:[Additional Remark]],8,FALSE)</f>
        <v>7.44</v>
      </c>
      <c r="J344" s="4" t="str">
        <f>VLOOKUP(A:A,Table1[[Project No]:[Additional Remark]],23,FALSE)</f>
        <v xml:space="preserve">3 years </v>
      </c>
      <c r="K344" s="4"/>
      <c r="L344" s="4"/>
      <c r="M344" s="4"/>
      <c r="N344" s="4"/>
      <c r="O344" s="4"/>
      <c r="P344" s="4"/>
      <c r="Q344" s="4"/>
      <c r="R344" s="4"/>
      <c r="S344" s="4"/>
      <c r="T344" s="4"/>
      <c r="U344" s="4"/>
      <c r="V344" s="4"/>
    </row>
    <row r="345" spans="1:22" x14ac:dyDescent="0.3">
      <c r="A345" s="4">
        <f>'ECN Master Project Tracker new'!A346</f>
        <v>2506773</v>
      </c>
      <c r="B345" s="108" t="str">
        <f>VLOOKUP(A:A,Table1[[#All],[Project No]:[Additional Remark]],2,FALSE)</f>
        <v>Leiw Chew Choi</v>
      </c>
      <c r="C345" s="4" t="str">
        <f>VLOOKUP(A:A,Table1[[Project No]:[Additional Remark]],19,FALSE)</f>
        <v>641010-06-5028</v>
      </c>
      <c r="D345" s="4" t="str">
        <f>VLOOKUP(A:A,Table1[[Project No]:[Additional Remark]],20,FALSE)</f>
        <v>No 18, Lorong Pelindung 2, Persisiran Residences Bukit Pelindung, 25050 Kuantan, Pahang</v>
      </c>
      <c r="E345" s="4" t="str">
        <f>VLOOKUP(A:A,Table1[[Project No]:[Additional Remark]],21,FALSE)</f>
        <v>012 - 9856616</v>
      </c>
      <c r="F345" s="4">
        <f>VLOOKUP(A:A,Table1[[Project No]:[Additional Remark]],22,FALSE)</f>
        <v>0</v>
      </c>
      <c r="G345" s="55">
        <f>VLOOKUP(A:A,Table1[[Project No]:[Additional Remark]],11,FALSE)</f>
        <v>32500</v>
      </c>
      <c r="H345" s="4" t="str">
        <f>VLOOKUP(A:A,Table1[[Project No]:[Additional Remark]],5,FALSE)</f>
        <v>R-PV</v>
      </c>
      <c r="I345" s="4">
        <f>VLOOKUP(A:A,Table1[[Project No]:[Additional Remark]],8,FALSE)</f>
        <v>14.88</v>
      </c>
      <c r="J345" s="4" t="str">
        <f>VLOOKUP(A:A,Table1[[Project No]:[Additional Remark]],23,FALSE)</f>
        <v xml:space="preserve">3 years </v>
      </c>
      <c r="K345" s="4"/>
      <c r="L345" s="4"/>
      <c r="M345" s="4"/>
      <c r="N345" s="4"/>
      <c r="O345" s="4"/>
      <c r="P345" s="4"/>
      <c r="Q345" s="4"/>
      <c r="R345" s="4"/>
      <c r="S345" s="4"/>
      <c r="T345" s="4"/>
      <c r="U345" s="4"/>
      <c r="V345" s="4"/>
    </row>
    <row r="346" spans="1:22" x14ac:dyDescent="0.3">
      <c r="A346" s="4" t="str">
        <f>'ECN Master Project Tracker new'!A347</f>
        <v>2506789-1</v>
      </c>
      <c r="B346" s="108" t="str">
        <f>VLOOKUP(A:A,Table1[[#All],[Project No]:[Additional Remark]],2,FALSE)</f>
        <v>Lim Kim Kiew</v>
      </c>
      <c r="C346" s="4" t="str">
        <f>VLOOKUP(A:A,Table1[[Project No]:[Additional Remark]],19,FALSE)</f>
        <v>620525-11-5212</v>
      </c>
      <c r="D346" s="4" t="str">
        <f>VLOOKUP(A:A,Table1[[Project No]:[Additional Remark]],20,FALSE)</f>
        <v>48, Lrg Air Putih 3 Jln Air Puith, Tmn Seri Maju, 25300 Kuantan, Pahang</v>
      </c>
      <c r="E346" s="4" t="str">
        <f>VLOOKUP(A:A,Table1[[Project No]:[Additional Remark]],21,FALSE)</f>
        <v>019-9629183</v>
      </c>
      <c r="F346" s="4" t="str">
        <f>VLOOKUP(A:A,Table1[[Project No]:[Additional Remark]],22,FALSE)</f>
        <v>lucaslim930@gmail.com</v>
      </c>
      <c r="G346" s="55">
        <f>VLOOKUP(A:A,Table1[[Project No]:[Additional Remark]],11,FALSE)</f>
        <v>20500</v>
      </c>
      <c r="H346" s="4" t="str">
        <f>VLOOKUP(A:A,Table1[[Project No]:[Additional Remark]],5,FALSE)</f>
        <v>R-PV</v>
      </c>
      <c r="I346" s="4">
        <f>VLOOKUP(A:A,Table1[[Project No]:[Additional Remark]],8,FALSE)</f>
        <v>7.44</v>
      </c>
      <c r="J346" s="4" t="str">
        <f>VLOOKUP(A:A,Table1[[Project No]:[Additional Remark]],23,FALSE)</f>
        <v xml:space="preserve">3 years </v>
      </c>
      <c r="K346" s="4"/>
      <c r="L346" s="4"/>
      <c r="M346" s="4"/>
      <c r="N346" s="4"/>
      <c r="O346" s="4"/>
      <c r="P346" s="4"/>
      <c r="Q346" s="4"/>
      <c r="R346" s="4"/>
      <c r="S346" s="4"/>
      <c r="T346" s="4"/>
      <c r="U346" s="4"/>
      <c r="V346" s="4"/>
    </row>
    <row r="347" spans="1:22" x14ac:dyDescent="0.3">
      <c r="A347" s="4">
        <f>'ECN Master Project Tracker new'!A348</f>
        <v>2506786</v>
      </c>
      <c r="B347" s="108" t="str">
        <f>VLOOKUP(A:A,Table1[[#All],[Project No]:[Additional Remark]],2,FALSE)</f>
        <v>Lim Chee Seng</v>
      </c>
      <c r="C347" s="4" t="str">
        <f>VLOOKUP(A:A,Table1[[Project No]:[Additional Remark]],19,FALSE)</f>
        <v>721110-14-5287</v>
      </c>
      <c r="D347" s="4" t="str">
        <f>VLOOKUP(A:A,Table1[[Project No]:[Additional Remark]],20,FALSE)</f>
        <v>NO DST11, JLN JEREJAK, TMN SETAPAK, 53000 WP KUALA LUMPUR</v>
      </c>
      <c r="E347" s="4" t="str">
        <f>VLOOKUP(A:A,Table1[[Project No]:[Additional Remark]],21,FALSE)</f>
        <v>019-2235411</v>
      </c>
      <c r="F347" s="4" t="str">
        <f>VLOOKUP(A:A,Table1[[Project No]:[Additional Remark]],22,FALSE)</f>
        <v>vincent7283@gmail.com</v>
      </c>
      <c r="G347" s="55">
        <f>VLOOKUP(A:A,Table1[[Project No]:[Additional Remark]],11,FALSE)</f>
        <v>30500</v>
      </c>
      <c r="H347" s="4" t="str">
        <f>VLOOKUP(A:A,Table1[[Project No]:[Additional Remark]],5,FALSE)</f>
        <v>R-PV</v>
      </c>
      <c r="I347" s="4">
        <f>VLOOKUP(A:A,Table1[[Project No]:[Additional Remark]],8,FALSE)</f>
        <v>13.64</v>
      </c>
      <c r="J347" s="4" t="str">
        <f>VLOOKUP(A:A,Table1[[Project No]:[Additional Remark]],23,FALSE)</f>
        <v xml:space="preserve">3 years </v>
      </c>
      <c r="K347" s="4"/>
      <c r="L347" s="4"/>
      <c r="M347" s="4"/>
      <c r="N347" s="4"/>
      <c r="O347" s="4"/>
      <c r="P347" s="4"/>
      <c r="Q347" s="4"/>
      <c r="R347" s="4"/>
      <c r="S347" s="4"/>
      <c r="T347" s="4"/>
      <c r="U347" s="4"/>
      <c r="V347" s="4"/>
    </row>
    <row r="348" spans="1:22" x14ac:dyDescent="0.3">
      <c r="A348" s="4">
        <f>'ECN Master Project Tracker new'!A349</f>
        <v>2505260</v>
      </c>
      <c r="B348" s="108" t="str">
        <f>VLOOKUP(A:A,Table1[[#All],[Project No]:[Additional Remark]],2,FALSE)</f>
        <v>Canning Garden Baptist Church</v>
      </c>
      <c r="C348" s="4" t="str">
        <f>VLOOKUP(A:A,Table1[[Project No]:[Additional Remark]],19,FALSE)</f>
        <v>-</v>
      </c>
      <c r="D348" s="4" t="str">
        <f>VLOOKUP(A:A,Table1[[Project No]:[Additional Remark]],20,FALSE)</f>
        <v>3, Lal Lee Kwee Foh, Tmn Canning, 31400 Ipoh, Perak</v>
      </c>
      <c r="E348" s="4" t="str">
        <f>VLOOKUP(A:A,Table1[[Project No]:[Additional Remark]],21,FALSE)</f>
        <v>05-5468480</v>
      </c>
      <c r="F348" s="4" t="str">
        <f>VLOOKUP(A:A,Table1[[Project No]:[Additional Remark]],22,FALSE)</f>
        <v>cgbc.ipoh@gmail.com</v>
      </c>
      <c r="G348" s="55">
        <f>VLOOKUP(A:A,Table1[[Project No]:[Additional Remark]],11,FALSE)</f>
        <v>95000</v>
      </c>
      <c r="H348" s="4" t="str">
        <f>VLOOKUP(A:A,Table1[[Project No]:[Additional Remark]],5,FALSE)</f>
        <v>C&amp;I-PV</v>
      </c>
      <c r="I348" s="4">
        <f>VLOOKUP(A:A,Table1[[Project No]:[Additional Remark]],8,FALSE)</f>
        <v>48.36</v>
      </c>
      <c r="J348" s="4" t="str">
        <f>VLOOKUP(A:A,Table1[[Project No]:[Additional Remark]],23,FALSE)</f>
        <v xml:space="preserve">3 years </v>
      </c>
      <c r="K348" s="4"/>
      <c r="L348" s="4"/>
      <c r="M348" s="4"/>
      <c r="N348" s="4"/>
      <c r="O348" s="4"/>
      <c r="P348" s="4"/>
      <c r="Q348" s="4"/>
      <c r="R348" s="4"/>
      <c r="S348" s="4"/>
      <c r="T348" s="4"/>
      <c r="U348" s="4"/>
      <c r="V348" s="4"/>
    </row>
    <row r="349" spans="1:22" x14ac:dyDescent="0.3">
      <c r="A349" s="4">
        <f>'ECN Master Project Tracker new'!A350</f>
        <v>2506799</v>
      </c>
      <c r="B349" s="108" t="str">
        <f>VLOOKUP(A:A,Table1[[#All],[Project No]:[Additional Remark]],2,FALSE)</f>
        <v>Lee Cheow Ban</v>
      </c>
      <c r="C349" s="4" t="str">
        <f>VLOOKUP(A:A,Table1[[Project No]:[Additional Remark]],19,FALSE)</f>
        <v>690614-06-5011</v>
      </c>
      <c r="D349" s="4" t="str">
        <f>VLOOKUP(A:A,Table1[[Project No]:[Additional Remark]],20,FALSE)</f>
        <v>No E  1111, Jln Darat Makbar, 25100 Kuantan</v>
      </c>
      <c r="E349" s="4" t="str">
        <f>VLOOKUP(A:A,Table1[[Project No]:[Additional Remark]],21,FALSE)</f>
        <v>017 - 9353338</v>
      </c>
      <c r="F349" s="4">
        <f>VLOOKUP(A:A,Table1[[Project No]:[Additional Remark]],22,FALSE)</f>
        <v>0</v>
      </c>
      <c r="G349" s="55">
        <f>VLOOKUP(A:A,Table1[[Project No]:[Additional Remark]],11,FALSE)</f>
        <v>30500</v>
      </c>
      <c r="H349" s="4" t="str">
        <f>VLOOKUP(A:A,Table1[[Project No]:[Additional Remark]],5,FALSE)</f>
        <v>R-PV</v>
      </c>
      <c r="I349" s="4">
        <f>VLOOKUP(A:A,Table1[[Project No]:[Additional Remark]],8,FALSE)</f>
        <v>13.64</v>
      </c>
      <c r="J349" s="4" t="str">
        <f>VLOOKUP(A:A,Table1[[Project No]:[Additional Remark]],23,FALSE)</f>
        <v xml:space="preserve">3 years </v>
      </c>
      <c r="K349" s="4"/>
      <c r="L349" s="4"/>
      <c r="M349" s="4"/>
      <c r="N349" s="4"/>
      <c r="O349" s="4"/>
      <c r="P349" s="4"/>
      <c r="Q349" s="4"/>
      <c r="R349" s="4"/>
      <c r="S349" s="4"/>
      <c r="T349" s="4"/>
      <c r="U349" s="4"/>
      <c r="V349" s="4"/>
    </row>
    <row r="350" spans="1:22" x14ac:dyDescent="0.3">
      <c r="A350" s="4">
        <f>'ECN Master Project Tracker new'!A351</f>
        <v>2506276</v>
      </c>
      <c r="B350" s="108" t="str">
        <f>VLOOKUP(A:A,Table1[[#All],[Project No]:[Additional Remark]],2,FALSE)</f>
        <v>Tew Ah Sing @ Teo Ah Sing</v>
      </c>
      <c r="C350" s="4">
        <f>VLOOKUP(A:A,Table1[[Project No]:[Additional Remark]],19,FALSE)</f>
        <v>0</v>
      </c>
      <c r="D350" s="4">
        <f>VLOOKUP(A:A,Table1[[Project No]:[Additional Remark]],20,FALSE)</f>
        <v>0</v>
      </c>
      <c r="E350" s="4">
        <f>VLOOKUP(A:A,Table1[[Project No]:[Additional Remark]],21,FALSE)</f>
        <v>0</v>
      </c>
      <c r="F350" s="4">
        <f>VLOOKUP(A:A,Table1[[Project No]:[Additional Remark]],22,FALSE)</f>
        <v>0</v>
      </c>
      <c r="G350" s="55">
        <f>VLOOKUP(A:A,Table1[[Project No]:[Additional Remark]],11,FALSE)</f>
        <v>40000</v>
      </c>
      <c r="H350" s="4" t="str">
        <f>VLOOKUP(A:A,Table1[[Project No]:[Additional Remark]],5,FALSE)</f>
        <v>R-PV</v>
      </c>
      <c r="I350" s="4">
        <f>VLOOKUP(A:A,Table1[[Project No]:[Additional Remark]],8,FALSE)</f>
        <v>19.84</v>
      </c>
      <c r="J350" s="4">
        <f>VLOOKUP(A:A,Table1[[Project No]:[Additional Remark]],23,FALSE)</f>
        <v>0</v>
      </c>
      <c r="K350" s="4"/>
      <c r="L350" s="4"/>
      <c r="M350" s="4"/>
      <c r="N350" s="4"/>
      <c r="O350" s="4"/>
      <c r="P350" s="4"/>
      <c r="Q350" s="4"/>
      <c r="R350" s="4"/>
      <c r="S350" s="4"/>
      <c r="T350" s="4"/>
      <c r="U350" s="4"/>
      <c r="V350" s="4"/>
    </row>
    <row r="351" spans="1:22" x14ac:dyDescent="0.3">
      <c r="A351" s="4">
        <f>'ECN Master Project Tracker new'!A352</f>
        <v>2506785</v>
      </c>
      <c r="B351" s="108" t="str">
        <f>VLOOKUP(A:A,Table1[[#All],[Project No]:[Additional Remark]],2,FALSE)</f>
        <v>Mohd Nurazuwan Bin Radzi</v>
      </c>
      <c r="C351" s="4" t="str">
        <f>VLOOKUP(A:A,Table1[[Project No]:[Additional Remark]],19,FALSE)</f>
        <v>860517-23-6463</v>
      </c>
      <c r="D351" s="4" t="str">
        <f>VLOOKUP(A:A,Table1[[Project No]:[Additional Remark]],20,FALSE)</f>
        <v>No 3, Lrg Tmn Beserah 28, Tmn Beserah, 26100 Kuantan, Pahang</v>
      </c>
      <c r="E351" s="4" t="str">
        <f>VLOOKUP(A:A,Table1[[Project No]:[Additional Remark]],21,FALSE)</f>
        <v>016-7794494</v>
      </c>
      <c r="F351" s="4" t="str">
        <f>VLOOKUP(A:A,Table1[[Project No]:[Additional Remark]],22,FALSE)</f>
        <v>nurazuwan.petrofarm@gmail.com</v>
      </c>
      <c r="G351" s="55">
        <f>VLOOKUP(A:A,Table1[[Project No]:[Additional Remark]],11,FALSE)</f>
        <v>34500</v>
      </c>
      <c r="H351" s="4" t="str">
        <f>VLOOKUP(A:A,Table1[[Project No]:[Additional Remark]],5,FALSE)</f>
        <v>R-PV</v>
      </c>
      <c r="I351" s="4">
        <f>VLOOKUP(A:A,Table1[[Project No]:[Additional Remark]],8,FALSE)</f>
        <v>13.64</v>
      </c>
      <c r="J351" s="4" t="str">
        <f>VLOOKUP(A:A,Table1[[Project No]:[Additional Remark]],23,FALSE)</f>
        <v xml:space="preserve">3 years </v>
      </c>
      <c r="K351" s="4"/>
      <c r="L351" s="4"/>
      <c r="M351" s="4"/>
      <c r="N351" s="4"/>
      <c r="O351" s="4"/>
      <c r="P351" s="4"/>
      <c r="Q351" s="4"/>
      <c r="R351" s="4"/>
      <c r="S351" s="4"/>
      <c r="T351" s="4"/>
      <c r="U351" s="4"/>
      <c r="V351" s="4"/>
    </row>
    <row r="352" spans="1:22" x14ac:dyDescent="0.3">
      <c r="A352" s="4">
        <f>'ECN Master Project Tracker new'!A353</f>
        <v>2506801</v>
      </c>
      <c r="B352" s="108" t="str">
        <f>VLOOKUP(A:A,Table1[[#All],[Project No]:[Additional Remark]],2,FALSE)</f>
        <v>Lim Joo Eng</v>
      </c>
      <c r="C352" s="4" t="str">
        <f>VLOOKUP(A:A,Table1[[Project No]:[Additional Remark]],19,FALSE)</f>
        <v>520920-10-5796</v>
      </c>
      <c r="D352" s="4" t="str">
        <f>VLOOKUP(A:A,Table1[[Project No]:[Additional Remark]],20,FALSE)</f>
        <v>6, Lrg Seri Teruntum 134 Jln Wong Ah Jan, 25100 Kuantan, Pahang</v>
      </c>
      <c r="E352" s="4" t="str">
        <f>VLOOKUP(A:A,Table1[[Project No]:[Additional Remark]],21,FALSE)</f>
        <v>012-9392331</v>
      </c>
      <c r="F352" s="4" t="str">
        <f>VLOOKUP(A:A,Table1[[Project No]:[Additional Remark]],22,FALSE)</f>
        <v>gigityng85@yahoo.com</v>
      </c>
      <c r="G352" s="55">
        <f>VLOOKUP(A:A,Table1[[Project No]:[Additional Remark]],11,FALSE)</f>
        <v>39500</v>
      </c>
      <c r="H352" s="4" t="str">
        <f>VLOOKUP(A:A,Table1[[Project No]:[Additional Remark]],5,FALSE)</f>
        <v>R-PV</v>
      </c>
      <c r="I352" s="4">
        <f>VLOOKUP(A:A,Table1[[Project No]:[Additional Remark]],8,FALSE)</f>
        <v>17.98</v>
      </c>
      <c r="J352" s="4" t="str">
        <f>VLOOKUP(A:A,Table1[[Project No]:[Additional Remark]],23,FALSE)</f>
        <v xml:space="preserve">3 years </v>
      </c>
      <c r="K352" s="4"/>
      <c r="L352" s="4"/>
      <c r="M352" s="4"/>
      <c r="N352" s="4"/>
      <c r="O352" s="4"/>
      <c r="P352" s="4"/>
      <c r="Q352" s="4"/>
      <c r="R352" s="4"/>
      <c r="S352" s="4"/>
      <c r="T352" s="4"/>
      <c r="U352" s="4"/>
      <c r="V352" s="4"/>
    </row>
    <row r="353" spans="1:22" x14ac:dyDescent="0.3">
      <c r="A353" s="4">
        <f>'ECN Master Project Tracker new'!A354</f>
        <v>2503223</v>
      </c>
      <c r="B353" s="108" t="str">
        <f>VLOOKUP(A:A,Table1[[#All],[Project No]:[Additional Remark]],2,FALSE)</f>
        <v>Insultec Duragate Sdn Bhd</v>
      </c>
      <c r="C353" s="4">
        <f>VLOOKUP(A:A,Table1[[Project No]:[Additional Remark]],19,FALSE)</f>
        <v>0</v>
      </c>
      <c r="D353" s="4">
        <f>VLOOKUP(A:A,Table1[[Project No]:[Additional Remark]],20,FALSE)</f>
        <v>0</v>
      </c>
      <c r="E353" s="4">
        <f>VLOOKUP(A:A,Table1[[Project No]:[Additional Remark]],21,FALSE)</f>
        <v>0</v>
      </c>
      <c r="F353" s="4">
        <f>VLOOKUP(A:A,Table1[[Project No]:[Additional Remark]],22,FALSE)</f>
        <v>0</v>
      </c>
      <c r="G353" s="55">
        <f>VLOOKUP(A:A,Table1[[Project No]:[Additional Remark]],11,FALSE)</f>
        <v>117500</v>
      </c>
      <c r="H353" s="4" t="str">
        <f>VLOOKUP(A:A,Table1[[Project No]:[Additional Remark]],5,FALSE)</f>
        <v>C&amp;I-PV</v>
      </c>
      <c r="I353" s="4">
        <f>VLOOKUP(A:A,Table1[[Project No]:[Additional Remark]],8,FALSE)</f>
        <v>58.9</v>
      </c>
      <c r="J353" s="4" t="str">
        <f>VLOOKUP(A:A,Table1[[Project No]:[Additional Remark]],23,FALSE)</f>
        <v xml:space="preserve">3 years </v>
      </c>
      <c r="K353" s="4"/>
      <c r="L353" s="4"/>
      <c r="M353" s="4"/>
      <c r="N353" s="4"/>
      <c r="O353" s="4"/>
      <c r="P353" s="4"/>
      <c r="Q353" s="4"/>
      <c r="R353" s="4"/>
      <c r="S353" s="4"/>
      <c r="T353" s="4"/>
      <c r="U353" s="4"/>
      <c r="V353" s="4"/>
    </row>
    <row r="354" spans="1:22" x14ac:dyDescent="0.3">
      <c r="A354" s="4">
        <f>'ECN Master Project Tracker new'!A355</f>
        <v>2506802</v>
      </c>
      <c r="B354" s="108" t="str">
        <f>VLOOKUP(A:A,Table1[[#All],[Project No]:[Additional Remark]],2,FALSE)</f>
        <v>Hung Wen Hao</v>
      </c>
      <c r="C354" s="4" t="str">
        <f>VLOOKUP(A:A,Table1[[Project No]:[Additional Remark]],19,FALSE)</f>
        <v>980309-10-6169</v>
      </c>
      <c r="D354" s="4" t="str">
        <f>VLOOKUP(A:A,Table1[[Project No]:[Additional Remark]],20,FALSE)</f>
        <v>No 21, Lorong Sekilau 1/1, Perumahan Bukit Sekilau 1, 25200 Kuantan, Pahang</v>
      </c>
      <c r="E354" s="4" t="str">
        <f>VLOOKUP(A:A,Table1[[Project No]:[Additional Remark]],21,FALSE)</f>
        <v>011-1166669</v>
      </c>
      <c r="F354" s="4">
        <f>VLOOKUP(A:A,Table1[[Project No]:[Additional Remark]],22,FALSE)</f>
        <v>0</v>
      </c>
      <c r="G354" s="55">
        <f>VLOOKUP(A:A,Table1[[Project No]:[Additional Remark]],11,FALSE)</f>
        <v>31500</v>
      </c>
      <c r="H354" s="4" t="str">
        <f>VLOOKUP(A:A,Table1[[Project No]:[Additional Remark]],5,FALSE)</f>
        <v>R-PV</v>
      </c>
      <c r="I354" s="4">
        <f>VLOOKUP(A:A,Table1[[Project No]:[Additional Remark]],8,FALSE)</f>
        <v>13.64</v>
      </c>
      <c r="J354" s="4" t="str">
        <f>VLOOKUP(A:A,Table1[[Project No]:[Additional Remark]],23,FALSE)</f>
        <v xml:space="preserve">3 years </v>
      </c>
      <c r="K354" s="4"/>
      <c r="L354" s="4"/>
      <c r="M354" s="4"/>
      <c r="N354" s="4"/>
      <c r="O354" s="4"/>
      <c r="P354" s="4"/>
      <c r="Q354" s="4"/>
      <c r="R354" s="4"/>
      <c r="S354" s="4"/>
      <c r="T354" s="4"/>
      <c r="U354" s="4"/>
      <c r="V354" s="4"/>
    </row>
    <row r="355" spans="1:22" x14ac:dyDescent="0.3">
      <c r="A355" s="4">
        <f>'ECN Master Project Tracker new'!A356</f>
        <v>2412510</v>
      </c>
      <c r="B355" s="108" t="str">
        <f>VLOOKUP(A:A,Table1[[#All],[Project No]:[Additional Remark]],2,FALSE)</f>
        <v>How Toon Huah</v>
      </c>
      <c r="C355" s="4" t="str">
        <f>VLOOKUP(A:A,Table1[[Project No]:[Additional Remark]],19,FALSE)</f>
        <v>560127-06-5094</v>
      </c>
      <c r="D355" s="4" t="str">
        <f>VLOOKUP(A:A,Table1[[Project No]:[Additional Remark]],20,FALSE)</f>
        <v xml:space="preserve">Lot 10991, Lrg Kubang Buaya 77, 25050 Kuantan, Pahang </v>
      </c>
      <c r="E355" s="4" t="str">
        <f>VLOOKUP(A:A,Table1[[Project No]:[Additional Remark]],21,FALSE)</f>
        <v>012-9883639</v>
      </c>
      <c r="F355" s="4" t="str">
        <f>VLOOKUP(A:A,Table1[[Project No]:[Additional Remark]],22,FALSE)</f>
        <v>hsmei30@yahoo.com</v>
      </c>
      <c r="G355" s="55">
        <f>VLOOKUP(A:A,Table1[[Project No]:[Additional Remark]],11,FALSE)</f>
        <v>34000</v>
      </c>
      <c r="H355" s="4" t="str">
        <f>VLOOKUP(A:A,Table1[[Project No]:[Additional Remark]],5,FALSE)</f>
        <v>R-PV</v>
      </c>
      <c r="I355" s="4">
        <f>VLOOKUP(A:A,Table1[[Project No]:[Additional Remark]],8,FALSE)</f>
        <v>14.88</v>
      </c>
      <c r="J355" s="4" t="str">
        <f>VLOOKUP(A:A,Table1[[Project No]:[Additional Remark]],23,FALSE)</f>
        <v xml:space="preserve">3 years </v>
      </c>
      <c r="K355" s="4"/>
      <c r="L355" s="4"/>
      <c r="M355" s="4"/>
      <c r="N355" s="4"/>
      <c r="O355" s="4"/>
      <c r="P355" s="4"/>
      <c r="Q355" s="4"/>
      <c r="R355" s="4"/>
      <c r="S355" s="4"/>
      <c r="T355" s="4"/>
      <c r="U355" s="4"/>
      <c r="V355" s="4"/>
    </row>
    <row r="356" spans="1:22" x14ac:dyDescent="0.3">
      <c r="A356" s="4">
        <f>'ECN Master Project Tracker new'!A357</f>
        <v>2504051</v>
      </c>
      <c r="B356" s="108" t="str">
        <f>VLOOKUP(A:A,Table1[[#All],[Project No]:[Additional Remark]],2,FALSE)</f>
        <v>G. Semanggol R&amp;R (Northbound) - Green EV Charge Sdn Bhd</v>
      </c>
      <c r="C356" s="4">
        <f>VLOOKUP(A:A,Table1[[Project No]:[Additional Remark]],19,FALSE)</f>
        <v>0</v>
      </c>
      <c r="D356" s="4">
        <f>VLOOKUP(A:A,Table1[[Project No]:[Additional Remark]],20,FALSE)</f>
        <v>0</v>
      </c>
      <c r="E356" s="4">
        <f>VLOOKUP(A:A,Table1[[Project No]:[Additional Remark]],21,FALSE)</f>
        <v>0</v>
      </c>
      <c r="F356" s="4">
        <f>VLOOKUP(A:A,Table1[[Project No]:[Additional Remark]],22,FALSE)</f>
        <v>0</v>
      </c>
      <c r="G356" s="55">
        <f>VLOOKUP(A:A,Table1[[Project No]:[Additional Remark]],11,FALSE)</f>
        <v>250000</v>
      </c>
      <c r="H356" s="4" t="str">
        <f>VLOOKUP(A:A,Table1[[Project No]:[Additional Remark]],5,FALSE)</f>
        <v>EV Charger</v>
      </c>
      <c r="I356" s="4">
        <f>VLOOKUP(A:A,Table1[[Project No]:[Additional Remark]],8,FALSE)</f>
        <v>0</v>
      </c>
      <c r="J356" s="4" t="str">
        <f>VLOOKUP(A:A,Table1[[Project No]:[Additional Remark]],23,FALSE)</f>
        <v>N/A</v>
      </c>
      <c r="K356" s="4"/>
      <c r="L356" s="4"/>
      <c r="M356" s="4"/>
      <c r="N356" s="4"/>
      <c r="O356" s="4"/>
      <c r="P356" s="4"/>
      <c r="Q356" s="4"/>
      <c r="R356" s="4"/>
      <c r="S356" s="4"/>
      <c r="T356" s="4"/>
      <c r="U356" s="4"/>
      <c r="V356" s="4"/>
    </row>
    <row r="357" spans="1:22" x14ac:dyDescent="0.3">
      <c r="A357" s="4">
        <f>'ECN Master Project Tracker new'!A358</f>
        <v>2505056</v>
      </c>
      <c r="B357" s="108" t="str">
        <f>VLOOKUP(A:A,Table1[[#All],[Project No]:[Additional Remark]],2,FALSE)</f>
        <v>TMG Mall Tanjung Lumpur (Handal Green Mobility)</v>
      </c>
      <c r="C357" s="4">
        <f>VLOOKUP(A:A,Table1[[Project No]:[Additional Remark]],19,FALSE)</f>
        <v>0</v>
      </c>
      <c r="D357" s="4">
        <f>VLOOKUP(A:A,Table1[[Project No]:[Additional Remark]],20,FALSE)</f>
        <v>0</v>
      </c>
      <c r="E357" s="4">
        <f>VLOOKUP(A:A,Table1[[Project No]:[Additional Remark]],21,FALSE)</f>
        <v>0</v>
      </c>
      <c r="F357" s="4">
        <f>VLOOKUP(A:A,Table1[[Project No]:[Additional Remark]],22,FALSE)</f>
        <v>0</v>
      </c>
      <c r="G357" s="55">
        <f>VLOOKUP(A:A,Table1[[Project No]:[Additional Remark]],11,FALSE)</f>
        <v>43000</v>
      </c>
      <c r="H357" s="4" t="str">
        <f>VLOOKUP(A:A,Table1[[Project No]:[Additional Remark]],5,FALSE)</f>
        <v>EV Charger</v>
      </c>
      <c r="I357" s="4">
        <f>VLOOKUP(A:A,Table1[[Project No]:[Additional Remark]],8,FALSE)</f>
        <v>0</v>
      </c>
      <c r="J357" s="4" t="str">
        <f>VLOOKUP(A:A,Table1[[Project No]:[Additional Remark]],23,FALSE)</f>
        <v>N/A</v>
      </c>
      <c r="K357" s="4"/>
      <c r="L357" s="4"/>
      <c r="M357" s="4"/>
      <c r="N357" s="4"/>
      <c r="O357" s="4"/>
      <c r="P357" s="4"/>
      <c r="Q357" s="4"/>
      <c r="R357" s="4"/>
      <c r="S357" s="4"/>
      <c r="T357" s="4"/>
      <c r="U357" s="4"/>
      <c r="V357" s="4"/>
    </row>
    <row r="358" spans="1:22" x14ac:dyDescent="0.3">
      <c r="A358" s="4">
        <f>'ECN Master Project Tracker new'!A359</f>
        <v>2507833</v>
      </c>
      <c r="B358" s="108" t="str">
        <f>VLOOKUP(A:A,Table1[[#All],[Project No]:[Additional Remark]],2,FALSE)</f>
        <v>Yee Main Way</v>
      </c>
      <c r="C358" s="4" t="str">
        <f>VLOOKUP(A:A,Table1[[Project No]:[Additional Remark]],19,FALSE)</f>
        <v>700220-05-5423</v>
      </c>
      <c r="D358" s="4" t="str">
        <f>VLOOKUP(A:A,Table1[[Project No]:[Additional Remark]],20,FALSE)</f>
        <v>No 19 B, Lrg Galing 23 Off, Jln Hj Ahmad,Tmn Hj Ahmad Mewah, 25300 Kuantan Town, Pahang</v>
      </c>
      <c r="E358" s="4" t="str">
        <f>VLOOKUP(A:A,Table1[[Project No]:[Additional Remark]],21,FALSE)</f>
        <v>017-9866683</v>
      </c>
      <c r="F358" s="4">
        <f>VLOOKUP(A:A,Table1[[Project No]:[Additional Remark]],22,FALSE)</f>
        <v>0</v>
      </c>
      <c r="G358" s="55">
        <f>VLOOKUP(A:A,Table1[[Project No]:[Additional Remark]],11,FALSE)</f>
        <v>46000</v>
      </c>
      <c r="H358" s="4" t="str">
        <f>VLOOKUP(A:A,Table1[[Project No]:[Additional Remark]],5,FALSE)</f>
        <v>R-PV</v>
      </c>
      <c r="I358" s="4">
        <f>VLOOKUP(A:A,Table1[[Project No]:[Additional Remark]],8,FALSE)</f>
        <v>12.4</v>
      </c>
      <c r="J358" s="4" t="str">
        <f>VLOOKUP(A:A,Table1[[Project No]:[Additional Remark]],23,FALSE)</f>
        <v>N/A</v>
      </c>
      <c r="K358" s="163" t="s">
        <v>109</v>
      </c>
      <c r="L358" s="164" t="s">
        <v>109</v>
      </c>
      <c r="M358" s="165"/>
      <c r="N358" s="163" t="s">
        <v>109</v>
      </c>
      <c r="O358" s="164"/>
      <c r="P358" s="165"/>
      <c r="Q358" s="163" t="s">
        <v>109</v>
      </c>
      <c r="R358" s="164"/>
      <c r="S358" s="165"/>
      <c r="T358" s="163" t="s">
        <v>109</v>
      </c>
      <c r="U358" s="164"/>
      <c r="V358" s="165"/>
    </row>
    <row r="359" spans="1:22" x14ac:dyDescent="0.3">
      <c r="A359" s="4">
        <f>'ECN Master Project Tracker new'!A360</f>
        <v>2409030</v>
      </c>
      <c r="B359" s="108" t="str">
        <f>VLOOKUP(A:A,Table1[[#All],[Project No]:[Additional Remark]],2,FALSE)</f>
        <v>TMG Mall Bandar Indera Mahkota (Handal Green Mobility)</v>
      </c>
      <c r="C359" s="4">
        <f>VLOOKUP(A:A,Table1[[Project No]:[Additional Remark]],19,FALSE)</f>
        <v>0</v>
      </c>
      <c r="D359" s="4">
        <f>VLOOKUP(A:A,Table1[[Project No]:[Additional Remark]],20,FALSE)</f>
        <v>0</v>
      </c>
      <c r="E359" s="4">
        <f>VLOOKUP(A:A,Table1[[Project No]:[Additional Remark]],21,FALSE)</f>
        <v>0</v>
      </c>
      <c r="F359" s="4">
        <f>VLOOKUP(A:A,Table1[[Project No]:[Additional Remark]],22,FALSE)</f>
        <v>0</v>
      </c>
      <c r="G359" s="55">
        <f>VLOOKUP(A:A,Table1[[Project No]:[Additional Remark]],11,FALSE)</f>
        <v>58000</v>
      </c>
      <c r="H359" s="4" t="str">
        <f>VLOOKUP(A:A,Table1[[Project No]:[Additional Remark]],5,FALSE)</f>
        <v>EV Charger</v>
      </c>
      <c r="I359" s="4">
        <f>VLOOKUP(A:A,Table1[[Project No]:[Additional Remark]],8,FALSE)</f>
        <v>0</v>
      </c>
      <c r="J359" s="4" t="str">
        <f>VLOOKUP(A:A,Table1[[Project No]:[Additional Remark]],23,FALSE)</f>
        <v>N/A</v>
      </c>
      <c r="K359" s="4"/>
      <c r="L359" s="4"/>
      <c r="M359" s="4"/>
      <c r="N359" s="4"/>
      <c r="O359" s="4"/>
      <c r="P359" s="4"/>
      <c r="Q359" s="4"/>
      <c r="R359" s="4"/>
      <c r="S359" s="4"/>
      <c r="T359" s="4"/>
      <c r="U359" s="4"/>
      <c r="V359" s="4"/>
    </row>
    <row r="360" spans="1:22" x14ac:dyDescent="0.3">
      <c r="A360" s="4">
        <f>'ECN Master Project Tracker new'!A361</f>
        <v>2507059</v>
      </c>
      <c r="B360" s="108" t="str">
        <f>VLOOKUP(A:A,Table1[[#All],[Project No]:[Additional Remark]],2,FALSE)</f>
        <v>TMG Mall IM16 (Handal Green Mobility)</v>
      </c>
      <c r="C360" s="4">
        <f>VLOOKUP(A:A,Table1[[Project No]:[Additional Remark]],19,FALSE)</f>
        <v>0</v>
      </c>
      <c r="D360" s="4">
        <f>VLOOKUP(A:A,Table1[[Project No]:[Additional Remark]],20,FALSE)</f>
        <v>0</v>
      </c>
      <c r="E360" s="4">
        <f>VLOOKUP(A:A,Table1[[Project No]:[Additional Remark]],21,FALSE)</f>
        <v>0</v>
      </c>
      <c r="F360" s="4">
        <f>VLOOKUP(A:A,Table1[[Project No]:[Additional Remark]],22,FALSE)</f>
        <v>0</v>
      </c>
      <c r="G360" s="55">
        <f>VLOOKUP(A:A,Table1[[Project No]:[Additional Remark]],11,FALSE)</f>
        <v>53000</v>
      </c>
      <c r="H360" s="4" t="str">
        <f>VLOOKUP(A:A,Table1[[Project No]:[Additional Remark]],5,FALSE)</f>
        <v>EV Charger</v>
      </c>
      <c r="I360" s="4">
        <f>VLOOKUP(A:A,Table1[[Project No]:[Additional Remark]],8,FALSE)</f>
        <v>0</v>
      </c>
      <c r="J360" s="4" t="str">
        <f>VLOOKUP(A:A,Table1[[Project No]:[Additional Remark]],23,FALSE)</f>
        <v>N/A</v>
      </c>
      <c r="K360" s="4"/>
      <c r="L360" s="4"/>
      <c r="M360" s="4"/>
      <c r="N360" s="4"/>
      <c r="O360" s="4"/>
      <c r="P360" s="4"/>
      <c r="Q360" s="4"/>
      <c r="R360" s="4"/>
      <c r="S360" s="4"/>
      <c r="T360" s="4"/>
      <c r="U360" s="4"/>
      <c r="V360" s="4"/>
    </row>
    <row r="361" spans="1:22" x14ac:dyDescent="0.3">
      <c r="A361" s="4">
        <f>'ECN Master Project Tracker new'!A362</f>
        <v>2507060</v>
      </c>
      <c r="B361" s="108" t="str">
        <f>VLOOKUP(A:A,Table1[[#All],[Project No]:[Additional Remark]],2,FALSE)</f>
        <v>TMG Mall Temerloh (Handal Green Mobility)</v>
      </c>
      <c r="C361" s="4">
        <f>VLOOKUP(A:A,Table1[[Project No]:[Additional Remark]],19,FALSE)</f>
        <v>0</v>
      </c>
      <c r="D361" s="4">
        <f>VLOOKUP(A:A,Table1[[Project No]:[Additional Remark]],20,FALSE)</f>
        <v>0</v>
      </c>
      <c r="E361" s="4">
        <f>VLOOKUP(A:A,Table1[[Project No]:[Additional Remark]],21,FALSE)</f>
        <v>0</v>
      </c>
      <c r="F361" s="4">
        <f>VLOOKUP(A:A,Table1[[Project No]:[Additional Remark]],22,FALSE)</f>
        <v>0</v>
      </c>
      <c r="G361" s="55">
        <f>VLOOKUP(A:A,Table1[[Project No]:[Additional Remark]],11,FALSE)</f>
        <v>55500</v>
      </c>
      <c r="H361" s="4" t="str">
        <f>VLOOKUP(A:A,Table1[[Project No]:[Additional Remark]],5,FALSE)</f>
        <v>EV Charger</v>
      </c>
      <c r="I361" s="4">
        <f>VLOOKUP(A:A,Table1[[Project No]:[Additional Remark]],8,FALSE)</f>
        <v>0</v>
      </c>
      <c r="J361" s="4" t="str">
        <f>VLOOKUP(A:A,Table1[[Project No]:[Additional Remark]],23,FALSE)</f>
        <v>N/A</v>
      </c>
      <c r="K361" s="4"/>
      <c r="L361" s="4"/>
      <c r="M361" s="4"/>
      <c r="N361" s="4"/>
      <c r="O361" s="4"/>
      <c r="P361" s="4"/>
      <c r="Q361" s="4"/>
      <c r="R361" s="4"/>
      <c r="S361" s="4"/>
      <c r="T361" s="4"/>
      <c r="U361" s="4"/>
      <c r="V361" s="4"/>
    </row>
    <row r="362" spans="1:22" x14ac:dyDescent="0.3">
      <c r="A362" s="4">
        <f>'ECN Master Project Tracker new'!A363</f>
        <v>2508858</v>
      </c>
      <c r="B362" s="108" t="str">
        <f>VLOOKUP(A:A,Table1[[#All],[Project No]:[Additional Remark]],2,FALSE)</f>
        <v>Chan Weng Leong</v>
      </c>
      <c r="C362" s="4" t="str">
        <f>VLOOKUP(A:A,Table1[[Project No]:[Additional Remark]],19,FALSE)</f>
        <v>810123-10-6089</v>
      </c>
      <c r="D362" s="4" t="str">
        <f>VLOOKUP(A:A,Table1[[Project No]:[Additional Remark]],20,FALSE)</f>
        <v>37, Jalan Mulia 9, Taman Mulia, 42700 Banting, Selangor</v>
      </c>
      <c r="E362" s="4" t="str">
        <f>VLOOKUP(A:A,Table1[[Project No]:[Additional Remark]],21,FALSE)</f>
        <v>016-9689365</v>
      </c>
      <c r="F362" s="4">
        <f>VLOOKUP(A:A,Table1[[Project No]:[Additional Remark]],22,FALSE)</f>
        <v>0</v>
      </c>
      <c r="G362" s="55">
        <f>VLOOKUP(A:A,Table1[[Project No]:[Additional Remark]],11,FALSE)</f>
        <v>49000</v>
      </c>
      <c r="H362" s="4" t="str">
        <f>VLOOKUP(A:A,Table1[[Project No]:[Additional Remark]],5,FALSE)</f>
        <v>R-PV</v>
      </c>
      <c r="I362" s="4">
        <f>VLOOKUP(A:A,Table1[[Project No]:[Additional Remark]],8,FALSE)</f>
        <v>16.12</v>
      </c>
      <c r="J362" s="4" t="str">
        <f>VLOOKUP(A:A,Table1[[Project No]:[Additional Remark]],23,FALSE)</f>
        <v xml:space="preserve">3 years </v>
      </c>
      <c r="K362" s="4"/>
      <c r="L362" s="4"/>
      <c r="M362" s="4"/>
      <c r="N362" s="4"/>
      <c r="O362" s="4"/>
      <c r="P362" s="4"/>
      <c r="Q362" s="4"/>
      <c r="R362" s="4"/>
      <c r="S362" s="4"/>
      <c r="T362" s="4"/>
      <c r="U362" s="4"/>
      <c r="V362" s="4"/>
    </row>
    <row r="363" spans="1:22" x14ac:dyDescent="0.3">
      <c r="A363" s="4">
        <f>'ECN Master Project Tracker new'!A364</f>
        <v>2507062</v>
      </c>
      <c r="B363" s="108" t="str">
        <f>VLOOKUP(A:A,Table1[[#All],[Project No]:[Additional Remark]],2,FALSE)</f>
        <v>Tapah R&amp;R (Southbound) - Green EV Charge Sdn Bhd</v>
      </c>
      <c r="C363" s="4">
        <f>VLOOKUP(A:A,Table1[[Project No]:[Additional Remark]],19,FALSE)</f>
        <v>0</v>
      </c>
      <c r="D363" s="4">
        <f>VLOOKUP(A:A,Table1[[Project No]:[Additional Remark]],20,FALSE)</f>
        <v>0</v>
      </c>
      <c r="E363" s="4">
        <f>VLOOKUP(A:A,Table1[[Project No]:[Additional Remark]],21,FALSE)</f>
        <v>0</v>
      </c>
      <c r="F363" s="4">
        <f>VLOOKUP(A:A,Table1[[Project No]:[Additional Remark]],22,FALSE)</f>
        <v>0</v>
      </c>
      <c r="G363" s="55">
        <f>VLOOKUP(A:A,Table1[[Project No]:[Additional Remark]],11,FALSE)</f>
        <v>324360</v>
      </c>
      <c r="H363" s="4" t="str">
        <f>VLOOKUP(A:A,Table1[[Project No]:[Additional Remark]],5,FALSE)</f>
        <v>EV Charger</v>
      </c>
      <c r="I363" s="4">
        <f>VLOOKUP(A:A,Table1[[Project No]:[Additional Remark]],8,FALSE)</f>
        <v>0</v>
      </c>
      <c r="J363" s="4" t="str">
        <f>VLOOKUP(A:A,Table1[[Project No]:[Additional Remark]],23,FALSE)</f>
        <v>N/A</v>
      </c>
      <c r="K363" s="4"/>
      <c r="L363" s="4"/>
      <c r="M363" s="4"/>
      <c r="N363" s="4"/>
      <c r="O363" s="4"/>
      <c r="P363" s="4"/>
      <c r="Q363" s="4"/>
      <c r="R363" s="4"/>
      <c r="S363" s="4"/>
      <c r="T363" s="4"/>
      <c r="U363" s="4"/>
      <c r="V363" s="4"/>
    </row>
    <row r="364" spans="1:22" x14ac:dyDescent="0.3">
      <c r="A364" s="4">
        <f>'ECN Master Project Tracker new'!A365</f>
        <v>2509863</v>
      </c>
      <c r="B364" s="108" t="str">
        <f>VLOOKUP(A:A,Table1[[#All],[Project No]:[Additional Remark]],2,FALSE)</f>
        <v>Goh Soon Teck</v>
      </c>
      <c r="C364" s="4" t="str">
        <f>VLOOKUP(A:A,Table1[[Project No]:[Additional Remark]],19,FALSE)</f>
        <v>640915-06-5415</v>
      </c>
      <c r="D364" s="4" t="str">
        <f>VLOOKUP(A:A,Table1[[Project No]:[Additional Remark]],20,FALSE)</f>
        <v>No 51, Jln Bkt Setongkol 8, Tmn Sri Setongkol, 25200 Kuantan, Pahang</v>
      </c>
      <c r="E364" s="4" t="str">
        <f>VLOOKUP(A:A,Table1[[Project No]:[Additional Remark]],21,FALSE)</f>
        <v>016-9231811</v>
      </c>
      <c r="F364" s="4">
        <f>VLOOKUP(A:A,Table1[[Project No]:[Additional Remark]],22,FALSE)</f>
        <v>0</v>
      </c>
      <c r="G364" s="55">
        <f>VLOOKUP(A:A,Table1[[Project No]:[Additional Remark]],11,FALSE)</f>
        <v>27000</v>
      </c>
      <c r="H364" s="4" t="str">
        <f>VLOOKUP(A:A,Table1[[Project No]:[Additional Remark]],5,FALSE)</f>
        <v>R-PV</v>
      </c>
      <c r="I364" s="4">
        <f>VLOOKUP(A:A,Table1[[Project No]:[Additional Remark]],8,FALSE)</f>
        <v>9.92</v>
      </c>
      <c r="J364" s="4" t="str">
        <f>VLOOKUP(A:A,Table1[[Project No]:[Additional Remark]],23,FALSE)</f>
        <v>N/A</v>
      </c>
      <c r="K364" s="4"/>
      <c r="L364" s="4"/>
      <c r="M364" s="4"/>
      <c r="N364" s="4"/>
      <c r="O364" s="4"/>
      <c r="P364" s="4"/>
      <c r="Q364" s="4"/>
      <c r="R364" s="4"/>
      <c r="S364" s="4"/>
      <c r="T364" s="4"/>
      <c r="U364" s="4"/>
      <c r="V364" s="4"/>
    </row>
    <row r="365" spans="1:22" x14ac:dyDescent="0.3">
      <c r="A365" s="4">
        <f>'ECN Master Project Tracker new'!A366</f>
        <v>2507840</v>
      </c>
      <c r="B365" s="108" t="str">
        <f>VLOOKUP(A:A,Table1[[#All],[Project No]:[Additional Remark]],2,FALSE)</f>
        <v>Chew Kok leong</v>
      </c>
      <c r="C365" s="4">
        <f>VLOOKUP(A:A,Table1[[Project No]:[Additional Remark]],19,FALSE)</f>
        <v>0</v>
      </c>
      <c r="D365" s="4" t="str">
        <f>VLOOKUP(A:A,Table1[[Project No]:[Additional Remark]],20,FALSE)</f>
        <v>376, Jalan Kg. Kolong Pahat, Kg. Kolong Pahat, 26200 Sg. Lembing, Pahang</v>
      </c>
      <c r="E365" s="4">
        <f>VLOOKUP(A:A,Table1[[Project No]:[Additional Remark]],21,FALSE)</f>
        <v>0</v>
      </c>
      <c r="F365" s="4">
        <f>VLOOKUP(A:A,Table1[[Project No]:[Additional Remark]],22,FALSE)</f>
        <v>0</v>
      </c>
      <c r="G365" s="55">
        <f>VLOOKUP(A:A,Table1[[Project No]:[Additional Remark]],11,FALSE)</f>
        <v>63000</v>
      </c>
      <c r="H365" s="4" t="str">
        <f>VLOOKUP(A:A,Table1[[Project No]:[Additional Remark]],5,FALSE)</f>
        <v>R-PV</v>
      </c>
      <c r="I365" s="4">
        <f>VLOOKUP(A:A,Table1[[Project No]:[Additional Remark]],8,FALSE)</f>
        <v>15.5</v>
      </c>
      <c r="J365" s="4" t="str">
        <f>VLOOKUP(A:A,Table1[[Project No]:[Additional Remark]],23,FALSE)</f>
        <v>N/A</v>
      </c>
      <c r="K365" s="4"/>
      <c r="L365" s="4"/>
      <c r="M365" s="4"/>
      <c r="N365" s="4"/>
      <c r="O365" s="4"/>
      <c r="P365" s="4"/>
      <c r="Q365" s="4"/>
      <c r="R365" s="4"/>
      <c r="S365" s="4"/>
      <c r="T365" s="4"/>
      <c r="U365" s="4"/>
      <c r="V365" s="4"/>
    </row>
    <row r="366" spans="1:22" x14ac:dyDescent="0.3">
      <c r="A366" s="4">
        <f>'ECN Master Project Tracker new'!A367</f>
        <v>2508857</v>
      </c>
      <c r="B366" s="108" t="str">
        <f>VLOOKUP(A:A,Table1[[#All],[Project No]:[Additional Remark]],2,FALSE)</f>
        <v>Chong Horng Tat</v>
      </c>
      <c r="C366" s="4" t="str">
        <f>VLOOKUP(A:A,Table1[[Project No]:[Additional Remark]],19,FALSE)</f>
        <v xml:space="preserve"> 851029-14-6341</v>
      </c>
      <c r="D366" s="4" t="str">
        <f>VLOOKUP(A:A,Table1[[Project No]:[Additional Remark]],20,FALSE)</f>
        <v>No 92, Mutiara Villa, Jalan Mutiara 6, Mutiara Heights, 43000 Kajang, Selangor</v>
      </c>
      <c r="E366" s="4" t="str">
        <f>VLOOKUP(A:A,Table1[[Project No]:[Additional Remark]],21,FALSE)</f>
        <v>016-2427853</v>
      </c>
      <c r="F366" s="4">
        <f>VLOOKUP(A:A,Table1[[Project No]:[Additional Remark]],22,FALSE)</f>
        <v>0</v>
      </c>
      <c r="G366" s="55">
        <f>VLOOKUP(A:A,Table1[[Project No]:[Additional Remark]],11,FALSE)</f>
        <v>49800</v>
      </c>
      <c r="H366" s="4" t="str">
        <f>VLOOKUP(A:A,Table1[[Project No]:[Additional Remark]],5,FALSE)</f>
        <v>R-PV</v>
      </c>
      <c r="I366" s="4">
        <f>VLOOKUP(A:A,Table1[[Project No]:[Additional Remark]],8,FALSE)</f>
        <v>8.68</v>
      </c>
      <c r="J366" s="4" t="str">
        <f>VLOOKUP(A:A,Table1[[Project No]:[Additional Remark]],23,FALSE)</f>
        <v>N/A</v>
      </c>
      <c r="K366" s="4"/>
      <c r="L366" s="4"/>
      <c r="M366" s="4"/>
      <c r="N366" s="4"/>
      <c r="O366" s="4"/>
      <c r="P366" s="4"/>
      <c r="Q366" s="4"/>
      <c r="R366" s="4"/>
      <c r="S366" s="4"/>
      <c r="T366" s="4"/>
      <c r="U366" s="4"/>
      <c r="V366" s="4"/>
    </row>
    <row r="367" spans="1:22" x14ac:dyDescent="0.3">
      <c r="A367" s="4">
        <f>'ECN Master Project Tracker new'!A368</f>
        <v>2305008</v>
      </c>
      <c r="B367" s="108" t="str">
        <f>VLOOKUP(A:A,Table1[[#All],[Project No]:[Additional Remark]],2,FALSE)</f>
        <v>Yeap Chooi Hock</v>
      </c>
      <c r="C367" s="4" t="str">
        <f>VLOOKUP(A:A,Table1[[Project No]:[Additional Remark]],19,FALSE)</f>
        <v>621017-08-6085</v>
      </c>
      <c r="D367" s="4" t="str">
        <f>VLOOKUP(A:A,Table1[[Project No]:[Additional Remark]],20,FALSE)</f>
        <v>No 65, Jalan Sri Jaya 5-1, Taman Bukit SR, 26500 Maran, Pahang</v>
      </c>
      <c r="E367" s="4">
        <f>VLOOKUP(A:A,Table1[[Project No]:[Additional Remark]],21,FALSE)</f>
        <v>0</v>
      </c>
      <c r="F367" s="4">
        <f>VLOOKUP(A:A,Table1[[Project No]:[Additional Remark]],22,FALSE)</f>
        <v>0</v>
      </c>
      <c r="G367" s="55">
        <f>VLOOKUP(A:A,Table1[[Project No]:[Additional Remark]],11,FALSE)</f>
        <v>63773.58</v>
      </c>
      <c r="H367" s="4" t="str">
        <f>VLOOKUP(A:A,Table1[[Project No]:[Additional Remark]],5,FALSE)</f>
        <v>C&amp;I-PV</v>
      </c>
      <c r="I367" s="4">
        <f>VLOOKUP(A:A,Table1[[Project No]:[Additional Remark]],8,FALSE)</f>
        <v>17.98</v>
      </c>
      <c r="J367" s="4" t="str">
        <f>VLOOKUP(A:A,Table1[[Project No]:[Additional Remark]],23,FALSE)</f>
        <v>N/A</v>
      </c>
      <c r="K367" s="4"/>
      <c r="L367" s="4"/>
      <c r="M367" s="4"/>
      <c r="N367" s="4"/>
      <c r="O367" s="4"/>
      <c r="P367" s="4"/>
      <c r="Q367" s="4"/>
      <c r="R367" s="4"/>
      <c r="S367" s="4"/>
      <c r="T367" s="4"/>
      <c r="U367" s="4"/>
      <c r="V367" s="4"/>
    </row>
    <row r="368" spans="1:22" x14ac:dyDescent="0.3">
      <c r="A368" s="4">
        <f>'ECN Master Project Tracker new'!A369</f>
        <v>2508856</v>
      </c>
      <c r="B368" s="108" t="str">
        <f>VLOOKUP(A:A,Table1[[#All],[Project No]:[Additional Remark]],2,FALSE)</f>
        <v>Eddie Leong Kai Sheng</v>
      </c>
      <c r="C368" s="4" t="str">
        <f>VLOOKUP(A:A,Table1[[Project No]:[Additional Remark]],19,FALSE)</f>
        <v>K5404484K</v>
      </c>
      <c r="D368" s="4" t="str">
        <f>VLOOKUP(A:A,Table1[[Project No]:[Additional Remark]],20,FALSE)</f>
        <v>No 22, Jalan KS 7/1, Kota Sultan Ahmad Shah 7, 25200 Kuantan, Pahang</v>
      </c>
      <c r="E368" s="4" t="str">
        <f>VLOOKUP(A:A,Table1[[Project No]:[Additional Remark]],21,FALSE)</f>
        <v>+65 90629902</v>
      </c>
      <c r="F368" s="4">
        <f>VLOOKUP(A:A,Table1[[Project No]:[Additional Remark]],22,FALSE)</f>
        <v>0</v>
      </c>
      <c r="G368" s="55">
        <f>VLOOKUP(A:A,Table1[[Project No]:[Additional Remark]],11,FALSE)</f>
        <v>73500</v>
      </c>
      <c r="H368" s="4" t="str">
        <f>VLOOKUP(A:A,Table1[[Project No]:[Additional Remark]],5,FALSE)</f>
        <v>R-PV</v>
      </c>
      <c r="I368" s="4">
        <f>VLOOKUP(A:A,Table1[[Project No]:[Additional Remark]],8,FALSE)</f>
        <v>18.600000000000001</v>
      </c>
      <c r="J368" s="4" t="str">
        <f>VLOOKUP(A:A,Table1[[Project No]:[Additional Remark]],23,FALSE)</f>
        <v>N/A</v>
      </c>
      <c r="K368" s="4"/>
      <c r="L368" s="4"/>
      <c r="M368" s="4"/>
      <c r="N368" s="4"/>
      <c r="O368" s="4"/>
      <c r="P368" s="4"/>
      <c r="Q368" s="4"/>
      <c r="R368" s="4"/>
      <c r="S368" s="4"/>
      <c r="T368" s="4"/>
      <c r="U368" s="4"/>
      <c r="V368" s="4"/>
    </row>
    <row r="369" spans="1:22" x14ac:dyDescent="0.3">
      <c r="A369" s="4">
        <f>'ECN Master Project Tracker new'!A370</f>
        <v>2510877</v>
      </c>
      <c r="B369" s="108" t="str">
        <f>VLOOKUP(A:A,Table1[[#All],[Project No]:[Additional Remark]],2,FALSE)</f>
        <v>Wang Pay Chen</v>
      </c>
      <c r="C369" s="4" t="str">
        <f>VLOOKUP(A:A,Table1[[Project No]:[Additional Remark]],19,FALSE)</f>
        <v>790603-11-5042</v>
      </c>
      <c r="D369" s="4" t="str">
        <f>VLOOKUP(A:A,Table1[[Project No]:[Additional Remark]],20,FALSE)</f>
        <v>PT3665, Jalan Apps 1/5, Taman Alam Perdana, 24000 Kemaman, Terengganu</v>
      </c>
      <c r="E369" s="4" t="str">
        <f>VLOOKUP(A:A,Table1[[Project No]:[Additional Remark]],21,FALSE)</f>
        <v>017-9869863</v>
      </c>
      <c r="F369" s="4">
        <f>VLOOKUP(A:A,Table1[[Project No]:[Additional Remark]],22,FALSE)</f>
        <v>0</v>
      </c>
      <c r="G369" s="55">
        <f>VLOOKUP(A:A,Table1[[Project No]:[Additional Remark]],11,FALSE)</f>
        <v>28500</v>
      </c>
      <c r="H369" s="4" t="str">
        <f>VLOOKUP(A:A,Table1[[Project No]:[Additional Remark]],5,FALSE)</f>
        <v>R-PV</v>
      </c>
      <c r="I369" s="4">
        <f>VLOOKUP(A:A,Table1[[Project No]:[Additional Remark]],8,FALSE)</f>
        <v>9.92</v>
      </c>
      <c r="J369" s="4" t="str">
        <f>VLOOKUP(A:A,Table1[[Project No]:[Additional Remark]],23,FALSE)</f>
        <v>N/A</v>
      </c>
      <c r="K369" s="4"/>
      <c r="L369" s="4"/>
      <c r="M369" s="4"/>
      <c r="N369" s="4"/>
      <c r="O369" s="4"/>
      <c r="P369" s="4"/>
      <c r="Q369" s="4"/>
      <c r="R369" s="4"/>
      <c r="S369" s="4"/>
      <c r="T369" s="4"/>
      <c r="U369" s="4"/>
      <c r="V369" s="4"/>
    </row>
    <row r="370" spans="1:22" x14ac:dyDescent="0.3">
      <c r="A370" s="4">
        <f>'ECN Master Project Tracker new'!A371</f>
        <v>2511887</v>
      </c>
      <c r="B370" s="108" t="str">
        <f>VLOOKUP(A:A,Table1[[#All],[Project No]:[Additional Remark]],2,FALSE)</f>
        <v>Lee Hang Meng</v>
      </c>
      <c r="C370" s="4" t="str">
        <f>VLOOKUP(A:A,Table1[[Project No]:[Additional Remark]],19,FALSE)</f>
        <v>700815-06-5057</v>
      </c>
      <c r="D370" s="4" t="str">
        <f>VLOOKUP(A:A,Table1[[Project No]:[Additional Remark]],20,FALSE)</f>
        <v xml:space="preserve">No 23, Lrg Galing 27, Tmn Sri Tahan, 25300 Kuantan, Pahang </v>
      </c>
      <c r="E370" s="4" t="str">
        <f>VLOOKUP(A:A,Table1[[Project No]:[Additional Remark]],21,FALSE)</f>
        <v>012-9873327</v>
      </c>
      <c r="F370" s="4">
        <f>VLOOKUP(A:A,Table1[[Project No]:[Additional Remark]],22,FALSE)</f>
        <v>0</v>
      </c>
      <c r="G370" s="55">
        <f>VLOOKUP(A:A,Table1[[Project No]:[Additional Remark]],11,FALSE)</f>
        <v>29000</v>
      </c>
      <c r="H370" s="4" t="str">
        <f>VLOOKUP(A:A,Table1[[Project No]:[Additional Remark]],5,FALSE)</f>
        <v>R-PV</v>
      </c>
      <c r="I370" s="4">
        <f>VLOOKUP(A:A,Table1[[Project No]:[Additional Remark]],8,FALSE)</f>
        <v>12.4</v>
      </c>
      <c r="J370" s="4" t="str">
        <f>VLOOKUP(A:A,Table1[[Project No]:[Additional Remark]],23,FALSE)</f>
        <v>N/A</v>
      </c>
      <c r="K370" s="4"/>
      <c r="L370" s="4"/>
      <c r="M370" s="4"/>
      <c r="N370" s="4"/>
      <c r="O370" s="4"/>
      <c r="P370" s="4"/>
      <c r="Q370" s="4"/>
      <c r="R370" s="4"/>
      <c r="S370" s="4"/>
      <c r="T370" s="4"/>
      <c r="U370" s="4"/>
      <c r="V370" s="4"/>
    </row>
    <row r="371" spans="1:22" x14ac:dyDescent="0.3">
      <c r="A371" s="4">
        <f>'ECN Master Project Tracker new'!A372</f>
        <v>2305019</v>
      </c>
      <c r="B371" s="108" t="str">
        <f>VLOOKUP(A:A,Table1[[#All],[Project No]:[Additional Remark]],2,FALSE)</f>
        <v>Soe Yew Seng</v>
      </c>
      <c r="C371" s="4" t="str">
        <f>VLOOKUP(A:A,Table1[[Project No]:[Additional Remark]],19,FALSE)</f>
        <v>680303-10-5531</v>
      </c>
      <c r="D371" s="4" t="str">
        <f>VLOOKUP(A:A,Table1[[Project No]:[Additional Remark]],20,FALSE)</f>
        <v>No 117, Lebuh Berangan, 42000 Klang, Selangor</v>
      </c>
      <c r="E371" s="4" t="str">
        <f>VLOOKUP(A:A,Table1[[Project No]:[Additional Remark]],21,FALSE)</f>
        <v>017-3035058</v>
      </c>
      <c r="F371" s="4">
        <f>VLOOKUP(A:A,Table1[[Project No]:[Additional Remark]],22,FALSE)</f>
        <v>0</v>
      </c>
      <c r="G371" s="55">
        <f>VLOOKUP(A:A,Table1[[Project No]:[Additional Remark]],11,FALSE)</f>
        <v>60000</v>
      </c>
      <c r="H371" s="4" t="str">
        <f>VLOOKUP(A:A,Table1[[Project No]:[Additional Remark]],5,FALSE)</f>
        <v>R-PV</v>
      </c>
      <c r="I371" s="4">
        <f>VLOOKUP(A:A,Table1[[Project No]:[Additional Remark]],8,FALSE)</f>
        <v>15.5</v>
      </c>
      <c r="J371" s="4" t="str">
        <f>VLOOKUP(A:A,Table1[[Project No]:[Additional Remark]],23,FALSE)</f>
        <v>N/A</v>
      </c>
      <c r="K371" s="4"/>
      <c r="L371" s="4"/>
      <c r="M371" s="4"/>
      <c r="N371" s="4"/>
      <c r="O371" s="4"/>
      <c r="P371" s="4"/>
      <c r="Q371" s="4"/>
      <c r="R371" s="4"/>
      <c r="S371" s="4"/>
      <c r="T371" s="4"/>
      <c r="U371" s="4"/>
      <c r="V371" s="4"/>
    </row>
    <row r="372" spans="1:22" x14ac:dyDescent="0.3">
      <c r="A372" s="4" t="e">
        <f>'ECN Master Project Tracker new'!#REF!</f>
        <v>#REF!</v>
      </c>
      <c r="B372" s="108" t="e">
        <f>VLOOKUP(A:A,Table1[[#All],[Project No]:[Additional Remark]],2,FALSE)</f>
        <v>#REF!</v>
      </c>
      <c r="C372" s="4" t="e">
        <f>VLOOKUP(A:A,Table1[[Project No]:[Additional Remark]],19,FALSE)</f>
        <v>#REF!</v>
      </c>
      <c r="D372" s="4" t="e">
        <f>VLOOKUP(A:A,Table1[[Project No]:[Additional Remark]],20,FALSE)</f>
        <v>#REF!</v>
      </c>
      <c r="E372" s="4" t="e">
        <f>VLOOKUP(A:A,Table1[[Project No]:[Additional Remark]],21,FALSE)</f>
        <v>#REF!</v>
      </c>
      <c r="F372" s="4" t="e">
        <f>VLOOKUP(A:A,Table1[[Project No]:[Additional Remark]],22,FALSE)</f>
        <v>#REF!</v>
      </c>
      <c r="G372" s="55" t="e">
        <f>VLOOKUP(A:A,Table1[[Project No]:[Additional Remark]],11,FALSE)</f>
        <v>#REF!</v>
      </c>
      <c r="H372" s="4" t="e">
        <f>VLOOKUP(A:A,Table1[[Project No]:[Additional Remark]],5,FALSE)</f>
        <v>#REF!</v>
      </c>
      <c r="I372" s="4" t="e">
        <f>VLOOKUP(A:A,Table1[[Project No]:[Additional Remark]],8,FALSE)</f>
        <v>#REF!</v>
      </c>
      <c r="J372" s="4" t="e">
        <f>VLOOKUP(A:A,Table1[[Project No]:[Additional Remark]],23,FALSE)</f>
        <v>#REF!</v>
      </c>
      <c r="K372" s="4"/>
      <c r="L372" s="4"/>
      <c r="M372" s="4"/>
      <c r="N372" s="4"/>
      <c r="O372" s="4"/>
      <c r="P372" s="4"/>
      <c r="Q372" s="4"/>
      <c r="R372" s="4"/>
      <c r="S372" s="4"/>
      <c r="T372" s="4"/>
      <c r="U372" s="4"/>
      <c r="V372" s="4"/>
    </row>
    <row r="373" spans="1:22" x14ac:dyDescent="0.3">
      <c r="A373" s="4" t="e">
        <f>'ECN Master Project Tracker new'!#REF!</f>
        <v>#REF!</v>
      </c>
      <c r="B373" s="108" t="e">
        <f>VLOOKUP(A:A,Table1[[#All],[Project No]:[Additional Remark]],2,FALSE)</f>
        <v>#REF!</v>
      </c>
      <c r="C373" s="4" t="e">
        <f>VLOOKUP(A:A,Table1[[Project No]:[Additional Remark]],19,FALSE)</f>
        <v>#REF!</v>
      </c>
      <c r="D373" s="4" t="e">
        <f>VLOOKUP(A:A,Table1[[Project No]:[Additional Remark]],20,FALSE)</f>
        <v>#REF!</v>
      </c>
      <c r="E373" s="4" t="e">
        <f>VLOOKUP(A:A,Table1[[Project No]:[Additional Remark]],21,FALSE)</f>
        <v>#REF!</v>
      </c>
      <c r="F373" s="4" t="e">
        <f>VLOOKUP(A:A,Table1[[Project No]:[Additional Remark]],22,FALSE)</f>
        <v>#REF!</v>
      </c>
      <c r="G373" s="55" t="e">
        <f>VLOOKUP(A:A,Table1[[Project No]:[Additional Remark]],11,FALSE)</f>
        <v>#REF!</v>
      </c>
      <c r="H373" s="4" t="e">
        <f>VLOOKUP(A:A,Table1[[Project No]:[Additional Remark]],5,FALSE)</f>
        <v>#REF!</v>
      </c>
      <c r="I373" s="4" t="e">
        <f>VLOOKUP(A:A,Table1[[Project No]:[Additional Remark]],8,FALSE)</f>
        <v>#REF!</v>
      </c>
      <c r="J373" s="4" t="e">
        <f>VLOOKUP(A:A,Table1[[Project No]:[Additional Remark]],23,FALSE)</f>
        <v>#REF!</v>
      </c>
      <c r="K373" s="4"/>
      <c r="L373" s="4"/>
      <c r="M373" s="4"/>
      <c r="N373" s="4"/>
      <c r="O373" s="4"/>
      <c r="P373" s="4"/>
      <c r="Q373" s="4"/>
      <c r="R373" s="4"/>
      <c r="S373" s="4"/>
      <c r="T373" s="4"/>
      <c r="U373" s="4"/>
      <c r="V373" s="4"/>
    </row>
    <row r="374" spans="1:22" x14ac:dyDescent="0.3">
      <c r="A374" s="4" t="e">
        <f>'ECN Master Project Tracker new'!#REF!</f>
        <v>#REF!</v>
      </c>
      <c r="B374" s="108" t="e">
        <f>VLOOKUP(A:A,Table1[[#All],[Project No]:[Additional Remark]],2,FALSE)</f>
        <v>#REF!</v>
      </c>
      <c r="C374" s="4" t="e">
        <f>VLOOKUP(A:A,Table1[[Project No]:[Additional Remark]],19,FALSE)</f>
        <v>#REF!</v>
      </c>
      <c r="D374" s="4" t="e">
        <f>VLOOKUP(A:A,Table1[[Project No]:[Additional Remark]],20,FALSE)</f>
        <v>#REF!</v>
      </c>
      <c r="E374" s="4" t="e">
        <f>VLOOKUP(A:A,Table1[[Project No]:[Additional Remark]],21,FALSE)</f>
        <v>#REF!</v>
      </c>
      <c r="F374" s="4" t="e">
        <f>VLOOKUP(A:A,Table1[[Project No]:[Additional Remark]],22,FALSE)</f>
        <v>#REF!</v>
      </c>
      <c r="G374" s="55" t="e">
        <f>VLOOKUP(A:A,Table1[[Project No]:[Additional Remark]],11,FALSE)</f>
        <v>#REF!</v>
      </c>
      <c r="H374" s="4" t="e">
        <f>VLOOKUP(A:A,Table1[[Project No]:[Additional Remark]],5,FALSE)</f>
        <v>#REF!</v>
      </c>
      <c r="I374" s="4" t="e">
        <f>VLOOKUP(A:A,Table1[[Project No]:[Additional Remark]],8,FALSE)</f>
        <v>#REF!</v>
      </c>
      <c r="J374" s="4" t="e">
        <f>VLOOKUP(A:A,Table1[[Project No]:[Additional Remark]],23,FALSE)</f>
        <v>#REF!</v>
      </c>
      <c r="K374" s="4"/>
      <c r="L374" s="4"/>
      <c r="M374" s="4"/>
      <c r="N374" s="4"/>
      <c r="O374" s="4"/>
      <c r="P374" s="4"/>
      <c r="Q374" s="4"/>
      <c r="R374" s="4"/>
      <c r="S374" s="4"/>
      <c r="T374" s="4"/>
      <c r="U374" s="4"/>
      <c r="V374" s="4"/>
    </row>
    <row r="375" spans="1:22" x14ac:dyDescent="0.3">
      <c r="A375" s="4" t="e">
        <f>'ECN Master Project Tracker new'!#REF!</f>
        <v>#REF!</v>
      </c>
      <c r="B375" s="108" t="e">
        <f>VLOOKUP(A:A,Table1[[#All],[Project No]:[Additional Remark]],2,FALSE)</f>
        <v>#REF!</v>
      </c>
      <c r="C375" s="4" t="e">
        <f>VLOOKUP(A:A,Table1[[Project No]:[Additional Remark]],19,FALSE)</f>
        <v>#REF!</v>
      </c>
      <c r="D375" s="4" t="e">
        <f>VLOOKUP(A:A,Table1[[Project No]:[Additional Remark]],20,FALSE)</f>
        <v>#REF!</v>
      </c>
      <c r="E375" s="4" t="e">
        <f>VLOOKUP(A:A,Table1[[Project No]:[Additional Remark]],21,FALSE)</f>
        <v>#REF!</v>
      </c>
      <c r="F375" s="4" t="e">
        <f>VLOOKUP(A:A,Table1[[Project No]:[Additional Remark]],22,FALSE)</f>
        <v>#REF!</v>
      </c>
      <c r="G375" s="55" t="e">
        <f>VLOOKUP(A:A,Table1[[Project No]:[Additional Remark]],11,FALSE)</f>
        <v>#REF!</v>
      </c>
      <c r="H375" s="4" t="e">
        <f>VLOOKUP(A:A,Table1[[Project No]:[Additional Remark]],5,FALSE)</f>
        <v>#REF!</v>
      </c>
      <c r="I375" s="4" t="e">
        <f>VLOOKUP(A:A,Table1[[Project No]:[Additional Remark]],8,FALSE)</f>
        <v>#REF!</v>
      </c>
      <c r="J375" s="4" t="e">
        <f>VLOOKUP(A:A,Table1[[Project No]:[Additional Remark]],23,FALSE)</f>
        <v>#REF!</v>
      </c>
      <c r="K375" s="4"/>
      <c r="L375" s="4"/>
      <c r="M375" s="4"/>
      <c r="N375" s="4"/>
      <c r="O375" s="4"/>
      <c r="P375" s="4"/>
      <c r="Q375" s="4"/>
      <c r="R375" s="4"/>
      <c r="S375" s="4"/>
      <c r="T375" s="4"/>
      <c r="U375" s="4"/>
      <c r="V375" s="4"/>
    </row>
    <row r="376" spans="1:22" x14ac:dyDescent="0.3">
      <c r="A376" s="4" t="e">
        <f>'ECN Master Project Tracker new'!#REF!</f>
        <v>#REF!</v>
      </c>
      <c r="B376" s="108" t="e">
        <f>VLOOKUP(A:A,Table1[[#All],[Project No]:[Additional Remark]],2,FALSE)</f>
        <v>#REF!</v>
      </c>
      <c r="C376" s="4" t="e">
        <f>VLOOKUP(A:A,Table1[[Project No]:[Additional Remark]],19,FALSE)</f>
        <v>#REF!</v>
      </c>
      <c r="D376" s="4" t="e">
        <f>VLOOKUP(A:A,Table1[[Project No]:[Additional Remark]],20,FALSE)</f>
        <v>#REF!</v>
      </c>
      <c r="E376" s="4" t="e">
        <f>VLOOKUP(A:A,Table1[[Project No]:[Additional Remark]],21,FALSE)</f>
        <v>#REF!</v>
      </c>
      <c r="F376" s="4" t="e">
        <f>VLOOKUP(A:A,Table1[[Project No]:[Additional Remark]],22,FALSE)</f>
        <v>#REF!</v>
      </c>
      <c r="G376" s="55" t="e">
        <f>VLOOKUP(A:A,Table1[[Project No]:[Additional Remark]],11,FALSE)</f>
        <v>#REF!</v>
      </c>
      <c r="H376" s="4" t="e">
        <f>VLOOKUP(A:A,Table1[[Project No]:[Additional Remark]],5,FALSE)</f>
        <v>#REF!</v>
      </c>
      <c r="I376" s="4" t="e">
        <f>VLOOKUP(A:A,Table1[[Project No]:[Additional Remark]],8,FALSE)</f>
        <v>#REF!</v>
      </c>
      <c r="J376" s="4" t="e">
        <f>VLOOKUP(A:A,Table1[[Project No]:[Additional Remark]],23,FALSE)</f>
        <v>#REF!</v>
      </c>
      <c r="K376" s="4"/>
      <c r="L376" s="4"/>
      <c r="M376" s="4"/>
      <c r="N376" s="4"/>
      <c r="O376" s="4"/>
      <c r="P376" s="4"/>
      <c r="Q376" s="4"/>
      <c r="R376" s="4"/>
      <c r="S376" s="4"/>
      <c r="T376" s="4"/>
      <c r="U376" s="4"/>
      <c r="V376" s="4"/>
    </row>
    <row r="377" spans="1:22" x14ac:dyDescent="0.3">
      <c r="A377" s="4" t="e">
        <f>'ECN Master Project Tracker new'!#REF!</f>
        <v>#REF!</v>
      </c>
      <c r="B377" s="108" t="e">
        <f>VLOOKUP(A:A,Table1[[#All],[Project No]:[Additional Remark]],2,FALSE)</f>
        <v>#REF!</v>
      </c>
      <c r="C377" s="4" t="e">
        <f>VLOOKUP(A:A,Table1[[Project No]:[Additional Remark]],19,FALSE)</f>
        <v>#REF!</v>
      </c>
      <c r="D377" s="4" t="e">
        <f>VLOOKUP(A:A,Table1[[Project No]:[Additional Remark]],20,FALSE)</f>
        <v>#REF!</v>
      </c>
      <c r="E377" s="4" t="e">
        <f>VLOOKUP(A:A,Table1[[Project No]:[Additional Remark]],21,FALSE)</f>
        <v>#REF!</v>
      </c>
      <c r="F377" s="4" t="e">
        <f>VLOOKUP(A:A,Table1[[Project No]:[Additional Remark]],22,FALSE)</f>
        <v>#REF!</v>
      </c>
      <c r="G377" s="55" t="e">
        <f>VLOOKUP(A:A,Table1[[Project No]:[Additional Remark]],11,FALSE)</f>
        <v>#REF!</v>
      </c>
      <c r="H377" s="4" t="e">
        <f>VLOOKUP(A:A,Table1[[Project No]:[Additional Remark]],5,FALSE)</f>
        <v>#REF!</v>
      </c>
      <c r="I377" s="4" t="e">
        <f>VLOOKUP(A:A,Table1[[Project No]:[Additional Remark]],8,FALSE)</f>
        <v>#REF!</v>
      </c>
      <c r="J377" s="4" t="e">
        <f>VLOOKUP(A:A,Table1[[Project No]:[Additional Remark]],23,FALSE)</f>
        <v>#REF!</v>
      </c>
      <c r="K377" s="4"/>
      <c r="L377" s="4"/>
      <c r="M377" s="4"/>
      <c r="N377" s="4"/>
      <c r="O377" s="4"/>
      <c r="P377" s="4"/>
      <c r="Q377" s="4"/>
      <c r="R377" s="4"/>
      <c r="S377" s="4"/>
      <c r="T377" s="4"/>
      <c r="U377" s="4"/>
      <c r="V377" s="4"/>
    </row>
    <row r="378" spans="1:22" x14ac:dyDescent="0.3">
      <c r="A378" s="4" t="e">
        <f>'ECN Master Project Tracker new'!#REF!</f>
        <v>#REF!</v>
      </c>
      <c r="B378" s="108" t="e">
        <f>VLOOKUP(A:A,Table1[[#All],[Project No]:[Additional Remark]],2,FALSE)</f>
        <v>#REF!</v>
      </c>
      <c r="C378" s="4" t="e">
        <f>VLOOKUP(A:A,Table1[[Project No]:[Additional Remark]],19,FALSE)</f>
        <v>#REF!</v>
      </c>
      <c r="D378" s="4" t="e">
        <f>VLOOKUP(A:A,Table1[[Project No]:[Additional Remark]],20,FALSE)</f>
        <v>#REF!</v>
      </c>
      <c r="E378" s="4" t="e">
        <f>VLOOKUP(A:A,Table1[[Project No]:[Additional Remark]],21,FALSE)</f>
        <v>#REF!</v>
      </c>
      <c r="F378" s="4" t="e">
        <f>VLOOKUP(A:A,Table1[[Project No]:[Additional Remark]],22,FALSE)</f>
        <v>#REF!</v>
      </c>
      <c r="G378" s="55" t="e">
        <f>VLOOKUP(A:A,Table1[[Project No]:[Additional Remark]],11,FALSE)</f>
        <v>#REF!</v>
      </c>
      <c r="H378" s="4" t="e">
        <f>VLOOKUP(A:A,Table1[[Project No]:[Additional Remark]],5,FALSE)</f>
        <v>#REF!</v>
      </c>
      <c r="I378" s="4" t="e">
        <f>VLOOKUP(A:A,Table1[[Project No]:[Additional Remark]],8,FALSE)</f>
        <v>#REF!</v>
      </c>
      <c r="J378" s="4" t="e">
        <f>VLOOKUP(A:A,Table1[[Project No]:[Additional Remark]],23,FALSE)</f>
        <v>#REF!</v>
      </c>
      <c r="K378" s="4"/>
      <c r="L378" s="4"/>
      <c r="M378" s="4"/>
      <c r="N378" s="4"/>
      <c r="O378" s="4"/>
      <c r="P378" s="4"/>
      <c r="Q378" s="4"/>
      <c r="R378" s="4"/>
      <c r="S378" s="4"/>
      <c r="T378" s="4"/>
      <c r="U378" s="4"/>
      <c r="V378" s="4"/>
    </row>
    <row r="379" spans="1:22" x14ac:dyDescent="0.3">
      <c r="A379" s="4" t="e">
        <f>'ECN Master Project Tracker new'!#REF!</f>
        <v>#REF!</v>
      </c>
      <c r="B379" s="108" t="e">
        <f>VLOOKUP(A:A,Table1[[#All],[Project No]:[Additional Remark]],2,FALSE)</f>
        <v>#REF!</v>
      </c>
      <c r="C379" s="4" t="e">
        <f>VLOOKUP(A:A,Table1[[Project No]:[Additional Remark]],19,FALSE)</f>
        <v>#REF!</v>
      </c>
      <c r="D379" s="4" t="e">
        <f>VLOOKUP(A:A,Table1[[Project No]:[Additional Remark]],20,FALSE)</f>
        <v>#REF!</v>
      </c>
      <c r="E379" s="4" t="e">
        <f>VLOOKUP(A:A,Table1[[Project No]:[Additional Remark]],21,FALSE)</f>
        <v>#REF!</v>
      </c>
      <c r="F379" s="4" t="e">
        <f>VLOOKUP(A:A,Table1[[Project No]:[Additional Remark]],22,FALSE)</f>
        <v>#REF!</v>
      </c>
      <c r="G379" s="55" t="e">
        <f>VLOOKUP(A:A,Table1[[Project No]:[Additional Remark]],11,FALSE)</f>
        <v>#REF!</v>
      </c>
      <c r="H379" s="4" t="e">
        <f>VLOOKUP(A:A,Table1[[Project No]:[Additional Remark]],5,FALSE)</f>
        <v>#REF!</v>
      </c>
      <c r="I379" s="4" t="e">
        <f>VLOOKUP(A:A,Table1[[Project No]:[Additional Remark]],8,FALSE)</f>
        <v>#REF!</v>
      </c>
      <c r="J379" s="4" t="e">
        <f>VLOOKUP(A:A,Table1[[Project No]:[Additional Remark]],23,FALSE)</f>
        <v>#REF!</v>
      </c>
      <c r="K379" s="4"/>
      <c r="L379" s="4"/>
      <c r="M379" s="4"/>
      <c r="N379" s="4"/>
      <c r="O379" s="4"/>
      <c r="P379" s="4"/>
      <c r="Q379" s="4"/>
      <c r="R379" s="4"/>
      <c r="S379" s="4"/>
      <c r="T379" s="4"/>
      <c r="U379" s="4"/>
      <c r="V379" s="4"/>
    </row>
    <row r="380" spans="1:22" x14ac:dyDescent="0.3">
      <c r="A380" s="4" t="e">
        <f>'ECN Master Project Tracker new'!#REF!</f>
        <v>#REF!</v>
      </c>
      <c r="B380" s="108" t="e">
        <f>VLOOKUP(A:A,Table1[[#All],[Project No]:[Additional Remark]],2,FALSE)</f>
        <v>#REF!</v>
      </c>
      <c r="C380" s="4" t="e">
        <f>VLOOKUP(A:A,Table1[[Project No]:[Additional Remark]],19,FALSE)</f>
        <v>#REF!</v>
      </c>
      <c r="D380" s="4" t="e">
        <f>VLOOKUP(A:A,Table1[[Project No]:[Additional Remark]],20,FALSE)</f>
        <v>#REF!</v>
      </c>
      <c r="E380" s="4" t="e">
        <f>VLOOKUP(A:A,Table1[[Project No]:[Additional Remark]],21,FALSE)</f>
        <v>#REF!</v>
      </c>
      <c r="F380" s="4" t="e">
        <f>VLOOKUP(A:A,Table1[[Project No]:[Additional Remark]],22,FALSE)</f>
        <v>#REF!</v>
      </c>
      <c r="G380" s="55" t="e">
        <f>VLOOKUP(A:A,Table1[[Project No]:[Additional Remark]],11,FALSE)</f>
        <v>#REF!</v>
      </c>
      <c r="H380" s="4" t="e">
        <f>VLOOKUP(A:A,Table1[[Project No]:[Additional Remark]],5,FALSE)</f>
        <v>#REF!</v>
      </c>
      <c r="I380" s="4" t="e">
        <f>VLOOKUP(A:A,Table1[[Project No]:[Additional Remark]],8,FALSE)</f>
        <v>#REF!</v>
      </c>
      <c r="J380" s="4" t="e">
        <f>VLOOKUP(A:A,Table1[[Project No]:[Additional Remark]],23,FALSE)</f>
        <v>#REF!</v>
      </c>
      <c r="K380" s="4"/>
      <c r="L380" s="4"/>
      <c r="M380" s="4"/>
      <c r="N380" s="4"/>
      <c r="O380" s="4"/>
      <c r="P380" s="4"/>
      <c r="Q380" s="4"/>
      <c r="R380" s="4"/>
      <c r="S380" s="4"/>
      <c r="T380" s="4"/>
      <c r="U380" s="4"/>
      <c r="V380" s="4"/>
    </row>
    <row r="381" spans="1:22" x14ac:dyDescent="0.3">
      <c r="A381" s="4" t="e">
        <f>'ECN Master Project Tracker new'!#REF!</f>
        <v>#REF!</v>
      </c>
      <c r="B381" s="108" t="e">
        <f>VLOOKUP(A:A,Table1[[#All],[Project No]:[Additional Remark]],2,FALSE)</f>
        <v>#REF!</v>
      </c>
      <c r="C381" s="4" t="e">
        <f>VLOOKUP(A:A,Table1[[Project No]:[Additional Remark]],19,FALSE)</f>
        <v>#REF!</v>
      </c>
      <c r="D381" s="4" t="e">
        <f>VLOOKUP(A:A,Table1[[Project No]:[Additional Remark]],20,FALSE)</f>
        <v>#REF!</v>
      </c>
      <c r="E381" s="4" t="e">
        <f>VLOOKUP(A:A,Table1[[Project No]:[Additional Remark]],21,FALSE)</f>
        <v>#REF!</v>
      </c>
      <c r="F381" s="4" t="e">
        <f>VLOOKUP(A:A,Table1[[Project No]:[Additional Remark]],22,FALSE)</f>
        <v>#REF!</v>
      </c>
      <c r="G381" s="55" t="e">
        <f>VLOOKUP(A:A,Table1[[Project No]:[Additional Remark]],11,FALSE)</f>
        <v>#REF!</v>
      </c>
      <c r="H381" s="4" t="e">
        <f>VLOOKUP(A:A,Table1[[Project No]:[Additional Remark]],5,FALSE)</f>
        <v>#REF!</v>
      </c>
      <c r="I381" s="4" t="e">
        <f>VLOOKUP(A:A,Table1[[Project No]:[Additional Remark]],8,FALSE)</f>
        <v>#REF!</v>
      </c>
      <c r="J381" s="4" t="e">
        <f>VLOOKUP(A:A,Table1[[Project No]:[Additional Remark]],23,FALSE)</f>
        <v>#REF!</v>
      </c>
      <c r="K381" s="4"/>
      <c r="L381" s="4"/>
      <c r="M381" s="4"/>
      <c r="N381" s="4"/>
      <c r="O381" s="4"/>
      <c r="P381" s="4"/>
      <c r="Q381" s="4"/>
      <c r="R381" s="4"/>
      <c r="S381" s="4"/>
      <c r="T381" s="4"/>
      <c r="U381" s="4"/>
      <c r="V381" s="4"/>
    </row>
    <row r="382" spans="1:22" x14ac:dyDescent="0.3">
      <c r="A382" s="4" t="e">
        <f>'ECN Master Project Tracker new'!#REF!</f>
        <v>#REF!</v>
      </c>
      <c r="B382" s="108" t="e">
        <f>VLOOKUP(A:A,Table1[[#All],[Project No]:[Additional Remark]],2,FALSE)</f>
        <v>#REF!</v>
      </c>
      <c r="C382" s="4" t="e">
        <f>VLOOKUP(A:A,Table1[[Project No]:[Additional Remark]],19,FALSE)</f>
        <v>#REF!</v>
      </c>
      <c r="D382" s="4" t="e">
        <f>VLOOKUP(A:A,Table1[[Project No]:[Additional Remark]],20,FALSE)</f>
        <v>#REF!</v>
      </c>
      <c r="E382" s="4" t="e">
        <f>VLOOKUP(A:A,Table1[[Project No]:[Additional Remark]],21,FALSE)</f>
        <v>#REF!</v>
      </c>
      <c r="F382" s="4" t="e">
        <f>VLOOKUP(A:A,Table1[[Project No]:[Additional Remark]],22,FALSE)</f>
        <v>#REF!</v>
      </c>
      <c r="G382" s="55" t="e">
        <f>VLOOKUP(A:A,Table1[[Project No]:[Additional Remark]],11,FALSE)</f>
        <v>#REF!</v>
      </c>
      <c r="H382" s="4" t="e">
        <f>VLOOKUP(A:A,Table1[[Project No]:[Additional Remark]],5,FALSE)</f>
        <v>#REF!</v>
      </c>
      <c r="I382" s="4" t="e">
        <f>VLOOKUP(A:A,Table1[[Project No]:[Additional Remark]],8,FALSE)</f>
        <v>#REF!</v>
      </c>
      <c r="J382" s="4" t="e">
        <f>VLOOKUP(A:A,Table1[[Project No]:[Additional Remark]],23,FALSE)</f>
        <v>#REF!</v>
      </c>
      <c r="K382" s="4"/>
      <c r="L382" s="4"/>
      <c r="M382" s="4"/>
      <c r="N382" s="4"/>
      <c r="O382" s="4"/>
      <c r="P382" s="4"/>
      <c r="Q382" s="4"/>
      <c r="R382" s="4"/>
      <c r="S382" s="4"/>
      <c r="T382" s="4"/>
      <c r="U382" s="4"/>
      <c r="V382" s="4"/>
    </row>
    <row r="383" spans="1:22" x14ac:dyDescent="0.3">
      <c r="A383" s="4" t="e">
        <f>'ECN Master Project Tracker new'!#REF!</f>
        <v>#REF!</v>
      </c>
      <c r="B383" s="108" t="e">
        <f>VLOOKUP(A:A,Table1[[#All],[Project No]:[Additional Remark]],2,FALSE)</f>
        <v>#REF!</v>
      </c>
      <c r="C383" s="4" t="e">
        <f>VLOOKUP(A:A,Table1[[Project No]:[Additional Remark]],19,FALSE)</f>
        <v>#REF!</v>
      </c>
      <c r="D383" s="4" t="e">
        <f>VLOOKUP(A:A,Table1[[Project No]:[Additional Remark]],20,FALSE)</f>
        <v>#REF!</v>
      </c>
      <c r="E383" s="4" t="e">
        <f>VLOOKUP(A:A,Table1[[Project No]:[Additional Remark]],21,FALSE)</f>
        <v>#REF!</v>
      </c>
      <c r="F383" s="4" t="e">
        <f>VLOOKUP(A:A,Table1[[Project No]:[Additional Remark]],22,FALSE)</f>
        <v>#REF!</v>
      </c>
      <c r="G383" s="55" t="e">
        <f>VLOOKUP(A:A,Table1[[Project No]:[Additional Remark]],11,FALSE)</f>
        <v>#REF!</v>
      </c>
      <c r="H383" s="4" t="e">
        <f>VLOOKUP(A:A,Table1[[Project No]:[Additional Remark]],5,FALSE)</f>
        <v>#REF!</v>
      </c>
      <c r="I383" s="4" t="e">
        <f>VLOOKUP(A:A,Table1[[Project No]:[Additional Remark]],8,FALSE)</f>
        <v>#REF!</v>
      </c>
      <c r="J383" s="4" t="e">
        <f>VLOOKUP(A:A,Table1[[Project No]:[Additional Remark]],23,FALSE)</f>
        <v>#REF!</v>
      </c>
      <c r="K383" s="4"/>
      <c r="L383" s="4"/>
      <c r="M383" s="4"/>
      <c r="N383" s="4"/>
      <c r="O383" s="4"/>
      <c r="P383" s="4"/>
      <c r="Q383" s="4"/>
      <c r="R383" s="4"/>
      <c r="S383" s="4"/>
      <c r="T383" s="4"/>
      <c r="U383" s="4"/>
      <c r="V383" s="4"/>
    </row>
    <row r="384" spans="1:22" x14ac:dyDescent="0.3">
      <c r="A384" s="4" t="e">
        <f>'ECN Master Project Tracker new'!#REF!</f>
        <v>#REF!</v>
      </c>
      <c r="B384" s="108" t="e">
        <f>VLOOKUP(A:A,Table1[[#All],[Project No]:[Additional Remark]],2,FALSE)</f>
        <v>#REF!</v>
      </c>
      <c r="C384" s="4" t="e">
        <f>VLOOKUP(A:A,Table1[[Project No]:[Additional Remark]],19,FALSE)</f>
        <v>#REF!</v>
      </c>
      <c r="D384" s="4" t="e">
        <f>VLOOKUP(A:A,Table1[[Project No]:[Additional Remark]],20,FALSE)</f>
        <v>#REF!</v>
      </c>
      <c r="E384" s="4" t="e">
        <f>VLOOKUP(A:A,Table1[[Project No]:[Additional Remark]],21,FALSE)</f>
        <v>#REF!</v>
      </c>
      <c r="F384" s="4" t="e">
        <f>VLOOKUP(A:A,Table1[[Project No]:[Additional Remark]],22,FALSE)</f>
        <v>#REF!</v>
      </c>
      <c r="G384" s="55" t="e">
        <f>VLOOKUP(A:A,Table1[[Project No]:[Additional Remark]],11,FALSE)</f>
        <v>#REF!</v>
      </c>
      <c r="H384" s="4" t="e">
        <f>VLOOKUP(A:A,Table1[[Project No]:[Additional Remark]],5,FALSE)</f>
        <v>#REF!</v>
      </c>
      <c r="I384" s="4" t="e">
        <f>VLOOKUP(A:A,Table1[[Project No]:[Additional Remark]],8,FALSE)</f>
        <v>#REF!</v>
      </c>
      <c r="J384" s="4" t="e">
        <f>VLOOKUP(A:A,Table1[[Project No]:[Additional Remark]],23,FALSE)</f>
        <v>#REF!</v>
      </c>
      <c r="K384" s="4"/>
      <c r="L384" s="4"/>
      <c r="M384" s="4"/>
      <c r="N384" s="4"/>
      <c r="O384" s="4"/>
      <c r="P384" s="4"/>
      <c r="Q384" s="4"/>
      <c r="R384" s="4"/>
      <c r="S384" s="4"/>
      <c r="T384" s="4"/>
      <c r="U384" s="4"/>
      <c r="V384" s="4"/>
    </row>
    <row r="385" spans="1:22" x14ac:dyDescent="0.3">
      <c r="A385" s="4" t="e">
        <f>'ECN Master Project Tracker new'!#REF!</f>
        <v>#REF!</v>
      </c>
      <c r="B385" s="108" t="e">
        <f>VLOOKUP(A:A,Table1[[#All],[Project No]:[Additional Remark]],2,FALSE)</f>
        <v>#REF!</v>
      </c>
      <c r="C385" s="4" t="e">
        <f>VLOOKUP(A:A,Table1[[Project No]:[Additional Remark]],19,FALSE)</f>
        <v>#REF!</v>
      </c>
      <c r="D385" s="4" t="e">
        <f>VLOOKUP(A:A,Table1[[Project No]:[Additional Remark]],20,FALSE)</f>
        <v>#REF!</v>
      </c>
      <c r="E385" s="4" t="e">
        <f>VLOOKUP(A:A,Table1[[Project No]:[Additional Remark]],21,FALSE)</f>
        <v>#REF!</v>
      </c>
      <c r="F385" s="4" t="e">
        <f>VLOOKUP(A:A,Table1[[Project No]:[Additional Remark]],22,FALSE)</f>
        <v>#REF!</v>
      </c>
      <c r="G385" s="55" t="e">
        <f>VLOOKUP(A:A,Table1[[Project No]:[Additional Remark]],11,FALSE)</f>
        <v>#REF!</v>
      </c>
      <c r="H385" s="4" t="e">
        <f>VLOOKUP(A:A,Table1[[Project No]:[Additional Remark]],5,FALSE)</f>
        <v>#REF!</v>
      </c>
      <c r="I385" s="4" t="e">
        <f>VLOOKUP(A:A,Table1[[Project No]:[Additional Remark]],8,FALSE)</f>
        <v>#REF!</v>
      </c>
      <c r="J385" s="4" t="e">
        <f>VLOOKUP(A:A,Table1[[Project No]:[Additional Remark]],23,FALSE)</f>
        <v>#REF!</v>
      </c>
      <c r="K385" s="4"/>
      <c r="L385" s="4"/>
      <c r="M385" s="4"/>
      <c r="N385" s="4"/>
      <c r="O385" s="4"/>
      <c r="P385" s="4"/>
      <c r="Q385" s="4"/>
      <c r="R385" s="4"/>
      <c r="S385" s="4"/>
      <c r="T385" s="4"/>
      <c r="U385" s="4"/>
      <c r="V385" s="4"/>
    </row>
    <row r="386" spans="1:22" x14ac:dyDescent="0.3">
      <c r="A386" s="4" t="e">
        <f>'ECN Master Project Tracker new'!#REF!</f>
        <v>#REF!</v>
      </c>
      <c r="B386" s="108" t="e">
        <f>VLOOKUP(A:A,Table1[[#All],[Project No]:[Additional Remark]],2,FALSE)</f>
        <v>#REF!</v>
      </c>
      <c r="C386" s="4" t="e">
        <f>VLOOKUP(A:A,Table1[[Project No]:[Additional Remark]],19,FALSE)</f>
        <v>#REF!</v>
      </c>
      <c r="D386" s="4" t="e">
        <f>VLOOKUP(A:A,Table1[[Project No]:[Additional Remark]],20,FALSE)</f>
        <v>#REF!</v>
      </c>
      <c r="E386" s="4" t="e">
        <f>VLOOKUP(A:A,Table1[[Project No]:[Additional Remark]],21,FALSE)</f>
        <v>#REF!</v>
      </c>
      <c r="F386" s="4" t="e">
        <f>VLOOKUP(A:A,Table1[[Project No]:[Additional Remark]],22,FALSE)</f>
        <v>#REF!</v>
      </c>
      <c r="G386" s="55" t="e">
        <f>VLOOKUP(A:A,Table1[[Project No]:[Additional Remark]],11,FALSE)</f>
        <v>#REF!</v>
      </c>
      <c r="H386" s="4" t="e">
        <f>VLOOKUP(A:A,Table1[[Project No]:[Additional Remark]],5,FALSE)</f>
        <v>#REF!</v>
      </c>
      <c r="I386" s="4" t="e">
        <f>VLOOKUP(A:A,Table1[[Project No]:[Additional Remark]],8,FALSE)</f>
        <v>#REF!</v>
      </c>
      <c r="J386" s="4" t="e">
        <f>VLOOKUP(A:A,Table1[[Project No]:[Additional Remark]],23,FALSE)</f>
        <v>#REF!</v>
      </c>
      <c r="K386" s="4"/>
      <c r="L386" s="4"/>
      <c r="M386" s="4"/>
      <c r="N386" s="4"/>
      <c r="O386" s="4"/>
      <c r="P386" s="4"/>
      <c r="Q386" s="4"/>
      <c r="R386" s="4"/>
      <c r="S386" s="4"/>
      <c r="T386" s="4"/>
      <c r="U386" s="4"/>
      <c r="V386" s="4"/>
    </row>
    <row r="387" spans="1:22" x14ac:dyDescent="0.3">
      <c r="A387" s="4" t="e">
        <f>'ECN Master Project Tracker new'!#REF!</f>
        <v>#REF!</v>
      </c>
      <c r="B387" s="108" t="e">
        <f>VLOOKUP(A:A,Table1[[#All],[Project No]:[Additional Remark]],2,FALSE)</f>
        <v>#REF!</v>
      </c>
      <c r="C387" s="4" t="e">
        <f>VLOOKUP(A:A,Table1[[Project No]:[Additional Remark]],19,FALSE)</f>
        <v>#REF!</v>
      </c>
      <c r="D387" s="4" t="e">
        <f>VLOOKUP(A:A,Table1[[Project No]:[Additional Remark]],20,FALSE)</f>
        <v>#REF!</v>
      </c>
      <c r="E387" s="4" t="e">
        <f>VLOOKUP(A:A,Table1[[Project No]:[Additional Remark]],21,FALSE)</f>
        <v>#REF!</v>
      </c>
      <c r="F387" s="4" t="e">
        <f>VLOOKUP(A:A,Table1[[Project No]:[Additional Remark]],22,FALSE)</f>
        <v>#REF!</v>
      </c>
      <c r="G387" s="55" t="e">
        <f>VLOOKUP(A:A,Table1[[Project No]:[Additional Remark]],11,FALSE)</f>
        <v>#REF!</v>
      </c>
      <c r="H387" s="4" t="e">
        <f>VLOOKUP(A:A,Table1[[Project No]:[Additional Remark]],5,FALSE)</f>
        <v>#REF!</v>
      </c>
      <c r="I387" s="4" t="e">
        <f>VLOOKUP(A:A,Table1[[Project No]:[Additional Remark]],8,FALSE)</f>
        <v>#REF!</v>
      </c>
      <c r="J387" s="4" t="e">
        <f>VLOOKUP(A:A,Table1[[Project No]:[Additional Remark]],23,FALSE)</f>
        <v>#REF!</v>
      </c>
      <c r="K387" s="4"/>
      <c r="L387" s="4"/>
      <c r="M387" s="4"/>
      <c r="N387" s="4"/>
      <c r="O387" s="4"/>
      <c r="P387" s="4"/>
      <c r="Q387" s="4"/>
      <c r="R387" s="4"/>
      <c r="S387" s="4"/>
      <c r="T387" s="4"/>
      <c r="U387" s="4"/>
      <c r="V387" s="4"/>
    </row>
    <row r="388" spans="1:22" x14ac:dyDescent="0.3">
      <c r="A388" s="4" t="e">
        <f>'ECN Master Project Tracker new'!#REF!</f>
        <v>#REF!</v>
      </c>
      <c r="B388" s="108" t="e">
        <f>VLOOKUP(A:A,Table1[[#All],[Project No]:[Additional Remark]],2,FALSE)</f>
        <v>#REF!</v>
      </c>
      <c r="C388" s="4" t="e">
        <f>VLOOKUP(A:A,Table1[[Project No]:[Additional Remark]],19,FALSE)</f>
        <v>#REF!</v>
      </c>
      <c r="D388" s="4" t="e">
        <f>VLOOKUP(A:A,Table1[[Project No]:[Additional Remark]],20,FALSE)</f>
        <v>#REF!</v>
      </c>
      <c r="E388" s="4" t="e">
        <f>VLOOKUP(A:A,Table1[[Project No]:[Additional Remark]],21,FALSE)</f>
        <v>#REF!</v>
      </c>
      <c r="F388" s="4" t="e">
        <f>VLOOKUP(A:A,Table1[[Project No]:[Additional Remark]],22,FALSE)</f>
        <v>#REF!</v>
      </c>
      <c r="G388" s="55" t="e">
        <f>VLOOKUP(A:A,Table1[[Project No]:[Additional Remark]],11,FALSE)</f>
        <v>#REF!</v>
      </c>
      <c r="H388" s="4" t="e">
        <f>VLOOKUP(A:A,Table1[[Project No]:[Additional Remark]],5,FALSE)</f>
        <v>#REF!</v>
      </c>
      <c r="I388" s="4" t="e">
        <f>VLOOKUP(A:A,Table1[[Project No]:[Additional Remark]],8,FALSE)</f>
        <v>#REF!</v>
      </c>
      <c r="J388" s="4" t="e">
        <f>VLOOKUP(A:A,Table1[[Project No]:[Additional Remark]],23,FALSE)</f>
        <v>#REF!</v>
      </c>
      <c r="K388" s="4"/>
      <c r="L388" s="4"/>
      <c r="M388" s="4"/>
      <c r="N388" s="4"/>
      <c r="O388" s="4"/>
      <c r="P388" s="4"/>
      <c r="Q388" s="4"/>
      <c r="R388" s="4"/>
      <c r="S388" s="4"/>
      <c r="T388" s="4"/>
      <c r="U388" s="4"/>
      <c r="V388" s="4"/>
    </row>
    <row r="389" spans="1:22" x14ac:dyDescent="0.3">
      <c r="A389" s="4" t="e">
        <f>'ECN Master Project Tracker new'!#REF!</f>
        <v>#REF!</v>
      </c>
      <c r="B389" s="108" t="e">
        <f>VLOOKUP(A:A,Table1[[#All],[Project No]:[Additional Remark]],2,FALSE)</f>
        <v>#REF!</v>
      </c>
      <c r="C389" s="4" t="e">
        <f>VLOOKUP(A:A,Table1[[Project No]:[Additional Remark]],19,FALSE)</f>
        <v>#REF!</v>
      </c>
      <c r="D389" s="4" t="e">
        <f>VLOOKUP(A:A,Table1[[Project No]:[Additional Remark]],20,FALSE)</f>
        <v>#REF!</v>
      </c>
      <c r="E389" s="4" t="e">
        <f>VLOOKUP(A:A,Table1[[Project No]:[Additional Remark]],21,FALSE)</f>
        <v>#REF!</v>
      </c>
      <c r="F389" s="4" t="e">
        <f>VLOOKUP(A:A,Table1[[Project No]:[Additional Remark]],22,FALSE)</f>
        <v>#REF!</v>
      </c>
      <c r="G389" s="55" t="e">
        <f>VLOOKUP(A:A,Table1[[Project No]:[Additional Remark]],11,FALSE)</f>
        <v>#REF!</v>
      </c>
      <c r="H389" s="4" t="e">
        <f>VLOOKUP(A:A,Table1[[Project No]:[Additional Remark]],5,FALSE)</f>
        <v>#REF!</v>
      </c>
      <c r="I389" s="4" t="e">
        <f>VLOOKUP(A:A,Table1[[Project No]:[Additional Remark]],8,FALSE)</f>
        <v>#REF!</v>
      </c>
      <c r="J389" s="4" t="e">
        <f>VLOOKUP(A:A,Table1[[Project No]:[Additional Remark]],23,FALSE)</f>
        <v>#REF!</v>
      </c>
      <c r="K389" s="4"/>
      <c r="L389" s="4"/>
      <c r="M389" s="4"/>
      <c r="N389" s="4"/>
      <c r="O389" s="4"/>
      <c r="P389" s="4"/>
      <c r="Q389" s="4"/>
      <c r="R389" s="4"/>
      <c r="S389" s="4"/>
      <c r="T389" s="4"/>
      <c r="U389" s="4"/>
      <c r="V389" s="4"/>
    </row>
    <row r="390" spans="1:22" x14ac:dyDescent="0.3">
      <c r="A390" s="4" t="e">
        <f>'ECN Master Project Tracker new'!#REF!</f>
        <v>#REF!</v>
      </c>
      <c r="B390" s="108" t="e">
        <f>VLOOKUP(A:A,Table1[[#All],[Project No]:[Additional Remark]],2,FALSE)</f>
        <v>#REF!</v>
      </c>
      <c r="C390" s="4" t="e">
        <f>VLOOKUP(A:A,Table1[[Project No]:[Additional Remark]],19,FALSE)</f>
        <v>#REF!</v>
      </c>
      <c r="D390" s="4" t="e">
        <f>VLOOKUP(A:A,Table1[[Project No]:[Additional Remark]],20,FALSE)</f>
        <v>#REF!</v>
      </c>
      <c r="E390" s="4" t="e">
        <f>VLOOKUP(A:A,Table1[[Project No]:[Additional Remark]],21,FALSE)</f>
        <v>#REF!</v>
      </c>
      <c r="F390" s="4" t="e">
        <f>VLOOKUP(A:A,Table1[[Project No]:[Additional Remark]],22,FALSE)</f>
        <v>#REF!</v>
      </c>
      <c r="G390" s="55" t="e">
        <f>VLOOKUP(A:A,Table1[[Project No]:[Additional Remark]],11,FALSE)</f>
        <v>#REF!</v>
      </c>
      <c r="H390" s="4" t="e">
        <f>VLOOKUP(A:A,Table1[[Project No]:[Additional Remark]],5,FALSE)</f>
        <v>#REF!</v>
      </c>
      <c r="I390" s="4" t="e">
        <f>VLOOKUP(A:A,Table1[[Project No]:[Additional Remark]],8,FALSE)</f>
        <v>#REF!</v>
      </c>
      <c r="J390" s="4" t="e">
        <f>VLOOKUP(A:A,Table1[[Project No]:[Additional Remark]],23,FALSE)</f>
        <v>#REF!</v>
      </c>
      <c r="K390" s="4"/>
      <c r="L390" s="4"/>
      <c r="M390" s="4"/>
      <c r="N390" s="4"/>
      <c r="O390" s="4"/>
      <c r="P390" s="4"/>
      <c r="Q390" s="4"/>
      <c r="R390" s="4"/>
      <c r="S390" s="4"/>
      <c r="T390" s="4"/>
      <c r="U390" s="4"/>
      <c r="V390" s="4"/>
    </row>
    <row r="391" spans="1:22" x14ac:dyDescent="0.3">
      <c r="A391" s="4" t="e">
        <f>'ECN Master Project Tracker new'!#REF!</f>
        <v>#REF!</v>
      </c>
      <c r="B391" s="108" t="e">
        <f>VLOOKUP(A:A,Table1[[#All],[Project No]:[Additional Remark]],2,FALSE)</f>
        <v>#REF!</v>
      </c>
      <c r="C391" s="4" t="e">
        <f>VLOOKUP(A:A,Table1[[Project No]:[Additional Remark]],19,FALSE)</f>
        <v>#REF!</v>
      </c>
      <c r="D391" s="4" t="e">
        <f>VLOOKUP(A:A,Table1[[Project No]:[Additional Remark]],20,FALSE)</f>
        <v>#REF!</v>
      </c>
      <c r="E391" s="4" t="e">
        <f>VLOOKUP(A:A,Table1[[Project No]:[Additional Remark]],21,FALSE)</f>
        <v>#REF!</v>
      </c>
      <c r="F391" s="4" t="e">
        <f>VLOOKUP(A:A,Table1[[Project No]:[Additional Remark]],22,FALSE)</f>
        <v>#REF!</v>
      </c>
      <c r="G391" s="55" t="e">
        <f>VLOOKUP(A:A,Table1[[Project No]:[Additional Remark]],11,FALSE)</f>
        <v>#REF!</v>
      </c>
      <c r="H391" s="4" t="e">
        <f>VLOOKUP(A:A,Table1[[Project No]:[Additional Remark]],5,FALSE)</f>
        <v>#REF!</v>
      </c>
      <c r="I391" s="4" t="e">
        <f>VLOOKUP(A:A,Table1[[Project No]:[Additional Remark]],8,FALSE)</f>
        <v>#REF!</v>
      </c>
      <c r="J391" s="4" t="e">
        <f>VLOOKUP(A:A,Table1[[Project No]:[Additional Remark]],23,FALSE)</f>
        <v>#REF!</v>
      </c>
      <c r="K391" s="4"/>
      <c r="L391" s="4"/>
      <c r="M391" s="4"/>
      <c r="N391" s="4"/>
      <c r="O391" s="4"/>
      <c r="P391" s="4"/>
      <c r="Q391" s="4"/>
      <c r="R391" s="4"/>
      <c r="S391" s="4"/>
      <c r="T391" s="4"/>
      <c r="U391" s="4"/>
      <c r="V391" s="4"/>
    </row>
    <row r="392" spans="1:22" x14ac:dyDescent="0.3">
      <c r="A392" s="4" t="e">
        <f>'ECN Master Project Tracker new'!#REF!</f>
        <v>#REF!</v>
      </c>
      <c r="B392" s="108" t="e">
        <f>VLOOKUP(A:A,Table1[[#All],[Project No]:[Additional Remark]],2,FALSE)</f>
        <v>#REF!</v>
      </c>
      <c r="C392" s="4" t="e">
        <f>VLOOKUP(A:A,Table1[[Project No]:[Additional Remark]],19,FALSE)</f>
        <v>#REF!</v>
      </c>
      <c r="D392" s="4" t="e">
        <f>VLOOKUP(A:A,Table1[[Project No]:[Additional Remark]],20,FALSE)</f>
        <v>#REF!</v>
      </c>
      <c r="E392" s="4" t="e">
        <f>VLOOKUP(A:A,Table1[[Project No]:[Additional Remark]],21,FALSE)</f>
        <v>#REF!</v>
      </c>
      <c r="F392" s="4" t="e">
        <f>VLOOKUP(A:A,Table1[[Project No]:[Additional Remark]],22,FALSE)</f>
        <v>#REF!</v>
      </c>
      <c r="G392" s="55" t="e">
        <f>VLOOKUP(A:A,Table1[[Project No]:[Additional Remark]],11,FALSE)</f>
        <v>#REF!</v>
      </c>
      <c r="H392" s="4" t="e">
        <f>VLOOKUP(A:A,Table1[[Project No]:[Additional Remark]],5,FALSE)</f>
        <v>#REF!</v>
      </c>
      <c r="I392" s="4" t="e">
        <f>VLOOKUP(A:A,Table1[[Project No]:[Additional Remark]],8,FALSE)</f>
        <v>#REF!</v>
      </c>
      <c r="J392" s="4" t="e">
        <f>VLOOKUP(A:A,Table1[[Project No]:[Additional Remark]],23,FALSE)</f>
        <v>#REF!</v>
      </c>
      <c r="K392" s="4"/>
      <c r="L392" s="4"/>
      <c r="M392" s="4"/>
      <c r="N392" s="4"/>
      <c r="O392" s="4"/>
      <c r="P392" s="4"/>
      <c r="Q392" s="4"/>
      <c r="R392" s="4"/>
      <c r="S392" s="4"/>
      <c r="T392" s="4"/>
      <c r="U392" s="4"/>
      <c r="V392" s="4"/>
    </row>
    <row r="393" spans="1:22" x14ac:dyDescent="0.3">
      <c r="A393" s="4" t="e">
        <f>'ECN Master Project Tracker new'!#REF!</f>
        <v>#REF!</v>
      </c>
      <c r="B393" s="108" t="e">
        <f>VLOOKUP(A:A,Table1[[#All],[Project No]:[Additional Remark]],2,FALSE)</f>
        <v>#REF!</v>
      </c>
      <c r="C393" s="4" t="e">
        <f>VLOOKUP(A:A,Table1[[Project No]:[Additional Remark]],19,FALSE)</f>
        <v>#REF!</v>
      </c>
      <c r="D393" s="4" t="e">
        <f>VLOOKUP(A:A,Table1[[Project No]:[Additional Remark]],20,FALSE)</f>
        <v>#REF!</v>
      </c>
      <c r="E393" s="4" t="e">
        <f>VLOOKUP(A:A,Table1[[Project No]:[Additional Remark]],21,FALSE)</f>
        <v>#REF!</v>
      </c>
      <c r="F393" s="4" t="e">
        <f>VLOOKUP(A:A,Table1[[Project No]:[Additional Remark]],22,FALSE)</f>
        <v>#REF!</v>
      </c>
      <c r="G393" s="55" t="e">
        <f>VLOOKUP(A:A,Table1[[Project No]:[Additional Remark]],11,FALSE)</f>
        <v>#REF!</v>
      </c>
      <c r="H393" s="4" t="e">
        <f>VLOOKUP(A:A,Table1[[Project No]:[Additional Remark]],5,FALSE)</f>
        <v>#REF!</v>
      </c>
      <c r="I393" s="4" t="e">
        <f>VLOOKUP(A:A,Table1[[Project No]:[Additional Remark]],8,FALSE)</f>
        <v>#REF!</v>
      </c>
      <c r="J393" s="4" t="e">
        <f>VLOOKUP(A:A,Table1[[Project No]:[Additional Remark]],23,FALSE)</f>
        <v>#REF!</v>
      </c>
      <c r="K393" s="4"/>
      <c r="L393" s="4"/>
      <c r="M393" s="4"/>
      <c r="N393" s="4"/>
      <c r="O393" s="4"/>
      <c r="P393" s="4"/>
      <c r="Q393" s="4"/>
      <c r="R393" s="4"/>
      <c r="S393" s="4"/>
      <c r="T393" s="4"/>
      <c r="U393" s="4"/>
      <c r="V393" s="4"/>
    </row>
    <row r="394" spans="1:22" x14ac:dyDescent="0.3">
      <c r="A394" s="4" t="e">
        <f>'ECN Master Project Tracker new'!#REF!</f>
        <v>#REF!</v>
      </c>
      <c r="B394" s="108" t="e">
        <f>VLOOKUP(A:A,Table1[[#All],[Project No]:[Additional Remark]],2,FALSE)</f>
        <v>#REF!</v>
      </c>
      <c r="C394" s="4" t="e">
        <f>VLOOKUP(A:A,Table1[[Project No]:[Additional Remark]],19,FALSE)</f>
        <v>#REF!</v>
      </c>
      <c r="D394" s="4" t="e">
        <f>VLOOKUP(A:A,Table1[[Project No]:[Additional Remark]],20,FALSE)</f>
        <v>#REF!</v>
      </c>
      <c r="E394" s="4" t="e">
        <f>VLOOKUP(A:A,Table1[[Project No]:[Additional Remark]],21,FALSE)</f>
        <v>#REF!</v>
      </c>
      <c r="F394" s="4" t="e">
        <f>VLOOKUP(A:A,Table1[[Project No]:[Additional Remark]],22,FALSE)</f>
        <v>#REF!</v>
      </c>
      <c r="G394" s="55" t="e">
        <f>VLOOKUP(A:A,Table1[[Project No]:[Additional Remark]],11,FALSE)</f>
        <v>#REF!</v>
      </c>
      <c r="H394" s="4" t="e">
        <f>VLOOKUP(A:A,Table1[[Project No]:[Additional Remark]],5,FALSE)</f>
        <v>#REF!</v>
      </c>
      <c r="I394" s="4" t="e">
        <f>VLOOKUP(A:A,Table1[[Project No]:[Additional Remark]],8,FALSE)</f>
        <v>#REF!</v>
      </c>
      <c r="J394" s="4" t="e">
        <f>VLOOKUP(A:A,Table1[[Project No]:[Additional Remark]],23,FALSE)</f>
        <v>#REF!</v>
      </c>
      <c r="K394" s="4"/>
      <c r="L394" s="4"/>
      <c r="M394" s="4"/>
      <c r="N394" s="4"/>
      <c r="O394" s="4"/>
      <c r="P394" s="4"/>
      <c r="Q394" s="4"/>
      <c r="R394" s="4"/>
      <c r="S394" s="4"/>
      <c r="T394" s="4"/>
      <c r="U394" s="4"/>
      <c r="V394" s="4"/>
    </row>
    <row r="395" spans="1:22" x14ac:dyDescent="0.3">
      <c r="A395" s="4" t="e">
        <f>'ECN Master Project Tracker new'!#REF!</f>
        <v>#REF!</v>
      </c>
      <c r="B395" s="108" t="e">
        <f>VLOOKUP(A:A,Table1[[#All],[Project No]:[Additional Remark]],2,FALSE)</f>
        <v>#REF!</v>
      </c>
      <c r="C395" s="4" t="e">
        <f>VLOOKUP(A:A,Table1[[Project No]:[Additional Remark]],19,FALSE)</f>
        <v>#REF!</v>
      </c>
      <c r="D395" s="4" t="e">
        <f>VLOOKUP(A:A,Table1[[Project No]:[Additional Remark]],20,FALSE)</f>
        <v>#REF!</v>
      </c>
      <c r="E395" s="4" t="e">
        <f>VLOOKUP(A:A,Table1[[Project No]:[Additional Remark]],21,FALSE)</f>
        <v>#REF!</v>
      </c>
      <c r="F395" s="4" t="e">
        <f>VLOOKUP(A:A,Table1[[Project No]:[Additional Remark]],22,FALSE)</f>
        <v>#REF!</v>
      </c>
      <c r="G395" s="55" t="e">
        <f>VLOOKUP(A:A,Table1[[Project No]:[Additional Remark]],11,FALSE)</f>
        <v>#REF!</v>
      </c>
      <c r="H395" s="4" t="e">
        <f>VLOOKUP(A:A,Table1[[Project No]:[Additional Remark]],5,FALSE)</f>
        <v>#REF!</v>
      </c>
      <c r="I395" s="4" t="e">
        <f>VLOOKUP(A:A,Table1[[Project No]:[Additional Remark]],8,FALSE)</f>
        <v>#REF!</v>
      </c>
      <c r="J395" s="4" t="e">
        <f>VLOOKUP(A:A,Table1[[Project No]:[Additional Remark]],23,FALSE)</f>
        <v>#REF!</v>
      </c>
      <c r="K395" s="4"/>
      <c r="L395" s="4"/>
      <c r="M395" s="4"/>
      <c r="N395" s="4"/>
      <c r="O395" s="4"/>
      <c r="P395" s="4"/>
      <c r="Q395" s="4"/>
      <c r="R395" s="4"/>
      <c r="S395" s="4"/>
      <c r="T395" s="4"/>
      <c r="U395" s="4"/>
      <c r="V395" s="4"/>
    </row>
    <row r="396" spans="1:22" x14ac:dyDescent="0.3">
      <c r="A396" s="4" t="e">
        <f>'ECN Master Project Tracker new'!#REF!</f>
        <v>#REF!</v>
      </c>
      <c r="B396" s="108" t="e">
        <f>VLOOKUP(A:A,Table1[[#All],[Project No]:[Additional Remark]],2,FALSE)</f>
        <v>#REF!</v>
      </c>
      <c r="C396" s="4" t="e">
        <f>VLOOKUP(A:A,Table1[[Project No]:[Additional Remark]],19,FALSE)</f>
        <v>#REF!</v>
      </c>
      <c r="D396" s="4" t="e">
        <f>VLOOKUP(A:A,Table1[[Project No]:[Additional Remark]],20,FALSE)</f>
        <v>#REF!</v>
      </c>
      <c r="E396" s="4" t="e">
        <f>VLOOKUP(A:A,Table1[[Project No]:[Additional Remark]],21,FALSE)</f>
        <v>#REF!</v>
      </c>
      <c r="F396" s="4" t="e">
        <f>VLOOKUP(A:A,Table1[[Project No]:[Additional Remark]],22,FALSE)</f>
        <v>#REF!</v>
      </c>
      <c r="G396" s="55" t="e">
        <f>VLOOKUP(A:A,Table1[[Project No]:[Additional Remark]],11,FALSE)</f>
        <v>#REF!</v>
      </c>
      <c r="H396" s="4" t="e">
        <f>VLOOKUP(A:A,Table1[[Project No]:[Additional Remark]],5,FALSE)</f>
        <v>#REF!</v>
      </c>
      <c r="I396" s="4" t="e">
        <f>VLOOKUP(A:A,Table1[[Project No]:[Additional Remark]],8,FALSE)</f>
        <v>#REF!</v>
      </c>
      <c r="J396" s="4" t="e">
        <f>VLOOKUP(A:A,Table1[[Project No]:[Additional Remark]],23,FALSE)</f>
        <v>#REF!</v>
      </c>
      <c r="K396" s="4"/>
      <c r="L396" s="4"/>
      <c r="M396" s="4"/>
      <c r="N396" s="4"/>
      <c r="O396" s="4"/>
      <c r="P396" s="4"/>
      <c r="Q396" s="4"/>
      <c r="R396" s="4"/>
      <c r="S396" s="4"/>
      <c r="T396" s="4"/>
      <c r="U396" s="4"/>
      <c r="V396" s="4"/>
    </row>
    <row r="397" spans="1:22" x14ac:dyDescent="0.3">
      <c r="A397" s="4" t="e">
        <f>'ECN Master Project Tracker new'!#REF!</f>
        <v>#REF!</v>
      </c>
      <c r="B397" s="108" t="e">
        <f>VLOOKUP(A:A,Table1[[#All],[Project No]:[Additional Remark]],2,FALSE)</f>
        <v>#REF!</v>
      </c>
      <c r="C397" s="4" t="e">
        <f>VLOOKUP(A:A,Table1[[Project No]:[Additional Remark]],19,FALSE)</f>
        <v>#REF!</v>
      </c>
      <c r="D397" s="4" t="e">
        <f>VLOOKUP(A:A,Table1[[Project No]:[Additional Remark]],20,FALSE)</f>
        <v>#REF!</v>
      </c>
      <c r="E397" s="4" t="e">
        <f>VLOOKUP(A:A,Table1[[Project No]:[Additional Remark]],21,FALSE)</f>
        <v>#REF!</v>
      </c>
      <c r="F397" s="4" t="e">
        <f>VLOOKUP(A:A,Table1[[Project No]:[Additional Remark]],22,FALSE)</f>
        <v>#REF!</v>
      </c>
      <c r="G397" s="55" t="e">
        <f>VLOOKUP(A:A,Table1[[Project No]:[Additional Remark]],11,FALSE)</f>
        <v>#REF!</v>
      </c>
      <c r="H397" s="4" t="e">
        <f>VLOOKUP(A:A,Table1[[Project No]:[Additional Remark]],5,FALSE)</f>
        <v>#REF!</v>
      </c>
      <c r="I397" s="4" t="e">
        <f>VLOOKUP(A:A,Table1[[Project No]:[Additional Remark]],8,FALSE)</f>
        <v>#REF!</v>
      </c>
      <c r="J397" s="4" t="e">
        <f>VLOOKUP(A:A,Table1[[Project No]:[Additional Remark]],23,FALSE)</f>
        <v>#REF!</v>
      </c>
      <c r="K397" s="4"/>
      <c r="L397" s="4"/>
      <c r="M397" s="4"/>
      <c r="N397" s="4"/>
      <c r="O397" s="4"/>
      <c r="P397" s="4"/>
      <c r="Q397" s="4"/>
      <c r="R397" s="4"/>
      <c r="S397" s="4"/>
      <c r="T397" s="4"/>
      <c r="U397" s="4"/>
      <c r="V397" s="4"/>
    </row>
    <row r="398" spans="1:22" x14ac:dyDescent="0.3">
      <c r="A398" s="4" t="e">
        <f>'ECN Master Project Tracker new'!#REF!</f>
        <v>#REF!</v>
      </c>
      <c r="B398" s="108" t="e">
        <f>VLOOKUP(A:A,Table1[[#All],[Project No]:[Additional Remark]],2,FALSE)</f>
        <v>#REF!</v>
      </c>
      <c r="C398" s="4" t="e">
        <f>VLOOKUP(A:A,Table1[[Project No]:[Additional Remark]],19,FALSE)</f>
        <v>#REF!</v>
      </c>
      <c r="D398" s="4" t="e">
        <f>VLOOKUP(A:A,Table1[[Project No]:[Additional Remark]],20,FALSE)</f>
        <v>#REF!</v>
      </c>
      <c r="E398" s="4" t="e">
        <f>VLOOKUP(A:A,Table1[[Project No]:[Additional Remark]],21,FALSE)</f>
        <v>#REF!</v>
      </c>
      <c r="F398" s="4" t="e">
        <f>VLOOKUP(A:A,Table1[[Project No]:[Additional Remark]],22,FALSE)</f>
        <v>#REF!</v>
      </c>
      <c r="G398" s="55" t="e">
        <f>VLOOKUP(A:A,Table1[[Project No]:[Additional Remark]],11,FALSE)</f>
        <v>#REF!</v>
      </c>
      <c r="H398" s="4" t="e">
        <f>VLOOKUP(A:A,Table1[[Project No]:[Additional Remark]],5,FALSE)</f>
        <v>#REF!</v>
      </c>
      <c r="I398" s="4" t="e">
        <f>VLOOKUP(A:A,Table1[[Project No]:[Additional Remark]],8,FALSE)</f>
        <v>#REF!</v>
      </c>
      <c r="J398" s="4" t="e">
        <f>VLOOKUP(A:A,Table1[[Project No]:[Additional Remark]],23,FALSE)</f>
        <v>#REF!</v>
      </c>
      <c r="K398" s="4"/>
      <c r="L398" s="4"/>
      <c r="M398" s="4"/>
      <c r="N398" s="4"/>
      <c r="O398" s="4"/>
      <c r="P398" s="4"/>
      <c r="Q398" s="4"/>
      <c r="R398" s="4"/>
      <c r="S398" s="4"/>
      <c r="T398" s="4"/>
      <c r="U398" s="4"/>
      <c r="V398" s="4"/>
    </row>
    <row r="399" spans="1:22" x14ac:dyDescent="0.3">
      <c r="A399" s="4" t="e">
        <f>'ECN Master Project Tracker new'!#REF!</f>
        <v>#REF!</v>
      </c>
      <c r="B399" s="108" t="e">
        <f>VLOOKUP(A:A,Table1[[#All],[Project No]:[Additional Remark]],2,FALSE)</f>
        <v>#REF!</v>
      </c>
      <c r="C399" s="4" t="e">
        <f>VLOOKUP(A:A,Table1[[Project No]:[Additional Remark]],19,FALSE)</f>
        <v>#REF!</v>
      </c>
      <c r="D399" s="4" t="e">
        <f>VLOOKUP(A:A,Table1[[Project No]:[Additional Remark]],20,FALSE)</f>
        <v>#REF!</v>
      </c>
      <c r="E399" s="4" t="e">
        <f>VLOOKUP(A:A,Table1[[Project No]:[Additional Remark]],21,FALSE)</f>
        <v>#REF!</v>
      </c>
      <c r="F399" s="4" t="e">
        <f>VLOOKUP(A:A,Table1[[Project No]:[Additional Remark]],22,FALSE)</f>
        <v>#REF!</v>
      </c>
      <c r="G399" s="55" t="e">
        <f>VLOOKUP(A:A,Table1[[Project No]:[Additional Remark]],11,FALSE)</f>
        <v>#REF!</v>
      </c>
      <c r="H399" s="4" t="e">
        <f>VLOOKUP(A:A,Table1[[Project No]:[Additional Remark]],5,FALSE)</f>
        <v>#REF!</v>
      </c>
      <c r="I399" s="4" t="e">
        <f>VLOOKUP(A:A,Table1[[Project No]:[Additional Remark]],8,FALSE)</f>
        <v>#REF!</v>
      </c>
      <c r="J399" s="4" t="e">
        <f>VLOOKUP(A:A,Table1[[Project No]:[Additional Remark]],23,FALSE)</f>
        <v>#REF!</v>
      </c>
      <c r="K399" s="4"/>
      <c r="L399" s="4"/>
      <c r="M399" s="4"/>
      <c r="N399" s="4"/>
      <c r="O399" s="4"/>
      <c r="P399" s="4"/>
      <c r="Q399" s="4"/>
      <c r="R399" s="4"/>
      <c r="S399" s="4"/>
      <c r="T399" s="4"/>
      <c r="U399" s="4"/>
      <c r="V399" s="4"/>
    </row>
    <row r="400" spans="1:22" x14ac:dyDescent="0.3">
      <c r="A400" s="4" t="e">
        <f>'ECN Master Project Tracker new'!#REF!</f>
        <v>#REF!</v>
      </c>
      <c r="B400" s="108" t="e">
        <f>VLOOKUP(A:A,Table1[[#All],[Project No]:[Additional Remark]],2,FALSE)</f>
        <v>#REF!</v>
      </c>
      <c r="C400" s="4" t="e">
        <f>VLOOKUP(A:A,Table1[[Project No]:[Additional Remark]],19,FALSE)</f>
        <v>#REF!</v>
      </c>
      <c r="D400" s="4" t="e">
        <f>VLOOKUP(A:A,Table1[[Project No]:[Additional Remark]],20,FALSE)</f>
        <v>#REF!</v>
      </c>
      <c r="E400" s="4" t="e">
        <f>VLOOKUP(A:A,Table1[[Project No]:[Additional Remark]],21,FALSE)</f>
        <v>#REF!</v>
      </c>
      <c r="F400" s="4" t="e">
        <f>VLOOKUP(A:A,Table1[[Project No]:[Additional Remark]],22,FALSE)</f>
        <v>#REF!</v>
      </c>
      <c r="G400" s="55" t="e">
        <f>VLOOKUP(A:A,Table1[[Project No]:[Additional Remark]],11,FALSE)</f>
        <v>#REF!</v>
      </c>
      <c r="H400" s="4" t="e">
        <f>VLOOKUP(A:A,Table1[[Project No]:[Additional Remark]],5,FALSE)</f>
        <v>#REF!</v>
      </c>
      <c r="I400" s="4" t="e">
        <f>VLOOKUP(A:A,Table1[[Project No]:[Additional Remark]],8,FALSE)</f>
        <v>#REF!</v>
      </c>
      <c r="J400" s="4" t="e">
        <f>VLOOKUP(A:A,Table1[[Project No]:[Additional Remark]],23,FALSE)</f>
        <v>#REF!</v>
      </c>
      <c r="K400" s="4"/>
      <c r="L400" s="4"/>
      <c r="M400" s="4"/>
      <c r="N400" s="4"/>
      <c r="O400" s="4"/>
      <c r="P400" s="4"/>
      <c r="Q400" s="4"/>
      <c r="R400" s="4"/>
      <c r="S400" s="4"/>
      <c r="T400" s="4"/>
      <c r="U400" s="4"/>
      <c r="V400" s="4"/>
    </row>
    <row r="401" spans="1:22" x14ac:dyDescent="0.3">
      <c r="A401" s="4" t="e">
        <f>'ECN Master Project Tracker new'!#REF!</f>
        <v>#REF!</v>
      </c>
      <c r="B401" s="108" t="e">
        <f>VLOOKUP(A:A,Table1[[#All],[Project No]:[Additional Remark]],2,FALSE)</f>
        <v>#REF!</v>
      </c>
      <c r="C401" s="4" t="e">
        <f>VLOOKUP(A:A,Table1[[Project No]:[Additional Remark]],19,FALSE)</f>
        <v>#REF!</v>
      </c>
      <c r="D401" s="4" t="e">
        <f>VLOOKUP(A:A,Table1[[Project No]:[Additional Remark]],20,FALSE)</f>
        <v>#REF!</v>
      </c>
      <c r="E401" s="4" t="e">
        <f>VLOOKUP(A:A,Table1[[Project No]:[Additional Remark]],21,FALSE)</f>
        <v>#REF!</v>
      </c>
      <c r="F401" s="4" t="e">
        <f>VLOOKUP(A:A,Table1[[Project No]:[Additional Remark]],22,FALSE)</f>
        <v>#REF!</v>
      </c>
      <c r="G401" s="55" t="e">
        <f>VLOOKUP(A:A,Table1[[Project No]:[Additional Remark]],11,FALSE)</f>
        <v>#REF!</v>
      </c>
      <c r="H401" s="4" t="e">
        <f>VLOOKUP(A:A,Table1[[Project No]:[Additional Remark]],5,FALSE)</f>
        <v>#REF!</v>
      </c>
      <c r="I401" s="4" t="e">
        <f>VLOOKUP(A:A,Table1[[Project No]:[Additional Remark]],8,FALSE)</f>
        <v>#REF!</v>
      </c>
      <c r="J401" s="4" t="e">
        <f>VLOOKUP(A:A,Table1[[Project No]:[Additional Remark]],23,FALSE)</f>
        <v>#REF!</v>
      </c>
      <c r="K401" s="4"/>
      <c r="L401" s="4"/>
      <c r="M401" s="4"/>
      <c r="N401" s="4"/>
      <c r="O401" s="4"/>
      <c r="P401" s="4"/>
      <c r="Q401" s="4"/>
      <c r="R401" s="4"/>
      <c r="S401" s="4"/>
      <c r="T401" s="4"/>
      <c r="U401" s="4"/>
      <c r="V401" s="4"/>
    </row>
    <row r="402" spans="1:22" x14ac:dyDescent="0.3">
      <c r="A402" s="4" t="e">
        <f>'ECN Master Project Tracker new'!#REF!</f>
        <v>#REF!</v>
      </c>
      <c r="B402" s="108" t="e">
        <f>VLOOKUP(A:A,Table1[[#All],[Project No]:[Additional Remark]],2,FALSE)</f>
        <v>#REF!</v>
      </c>
      <c r="C402" s="4" t="e">
        <f>VLOOKUP(A:A,Table1[[Project No]:[Additional Remark]],19,FALSE)</f>
        <v>#REF!</v>
      </c>
      <c r="D402" s="4" t="e">
        <f>VLOOKUP(A:A,Table1[[Project No]:[Additional Remark]],20,FALSE)</f>
        <v>#REF!</v>
      </c>
      <c r="E402" s="4" t="e">
        <f>VLOOKUP(A:A,Table1[[Project No]:[Additional Remark]],21,FALSE)</f>
        <v>#REF!</v>
      </c>
      <c r="F402" s="4" t="e">
        <f>VLOOKUP(A:A,Table1[[Project No]:[Additional Remark]],22,FALSE)</f>
        <v>#REF!</v>
      </c>
      <c r="G402" s="55" t="e">
        <f>VLOOKUP(A:A,Table1[[Project No]:[Additional Remark]],11,FALSE)</f>
        <v>#REF!</v>
      </c>
      <c r="H402" s="4" t="e">
        <f>VLOOKUP(A:A,Table1[[Project No]:[Additional Remark]],5,FALSE)</f>
        <v>#REF!</v>
      </c>
      <c r="I402" s="4" t="e">
        <f>VLOOKUP(A:A,Table1[[Project No]:[Additional Remark]],8,FALSE)</f>
        <v>#REF!</v>
      </c>
      <c r="J402" s="4" t="e">
        <f>VLOOKUP(A:A,Table1[[Project No]:[Additional Remark]],23,FALSE)</f>
        <v>#REF!</v>
      </c>
      <c r="K402" s="4"/>
      <c r="L402" s="4"/>
      <c r="M402" s="4"/>
      <c r="N402" s="4"/>
      <c r="O402" s="4"/>
      <c r="P402" s="4"/>
      <c r="Q402" s="4"/>
      <c r="R402" s="4"/>
      <c r="S402" s="4"/>
      <c r="T402" s="4"/>
      <c r="U402" s="4"/>
      <c r="V402" s="4"/>
    </row>
    <row r="403" spans="1:22" x14ac:dyDescent="0.3">
      <c r="A403" s="4" t="e">
        <f>'ECN Master Project Tracker new'!#REF!</f>
        <v>#REF!</v>
      </c>
      <c r="B403" s="108" t="e">
        <f>VLOOKUP(A:A,Table1[[#All],[Project No]:[Additional Remark]],2,FALSE)</f>
        <v>#REF!</v>
      </c>
      <c r="C403" s="4" t="e">
        <f>VLOOKUP(A:A,Table1[[Project No]:[Additional Remark]],19,FALSE)</f>
        <v>#REF!</v>
      </c>
      <c r="D403" s="4" t="e">
        <f>VLOOKUP(A:A,Table1[[Project No]:[Additional Remark]],20,FALSE)</f>
        <v>#REF!</v>
      </c>
      <c r="E403" s="4" t="e">
        <f>VLOOKUP(A:A,Table1[[Project No]:[Additional Remark]],21,FALSE)</f>
        <v>#REF!</v>
      </c>
      <c r="F403" s="4" t="e">
        <f>VLOOKUP(A:A,Table1[[Project No]:[Additional Remark]],22,FALSE)</f>
        <v>#REF!</v>
      </c>
      <c r="G403" s="55" t="e">
        <f>VLOOKUP(A:A,Table1[[Project No]:[Additional Remark]],11,FALSE)</f>
        <v>#REF!</v>
      </c>
      <c r="H403" s="4" t="e">
        <f>VLOOKUP(A:A,Table1[[Project No]:[Additional Remark]],5,FALSE)</f>
        <v>#REF!</v>
      </c>
      <c r="I403" s="4" t="e">
        <f>VLOOKUP(A:A,Table1[[Project No]:[Additional Remark]],8,FALSE)</f>
        <v>#REF!</v>
      </c>
      <c r="J403" s="4" t="e">
        <f>VLOOKUP(A:A,Table1[[Project No]:[Additional Remark]],23,FALSE)</f>
        <v>#REF!</v>
      </c>
      <c r="K403" s="4"/>
      <c r="L403" s="4"/>
      <c r="M403" s="4"/>
      <c r="N403" s="4"/>
      <c r="O403" s="4"/>
      <c r="P403" s="4"/>
      <c r="Q403" s="4"/>
      <c r="R403" s="4"/>
      <c r="S403" s="4"/>
      <c r="T403" s="4"/>
      <c r="U403" s="4"/>
      <c r="V403" s="4"/>
    </row>
    <row r="404" spans="1:22" x14ac:dyDescent="0.3">
      <c r="A404" s="4" t="e">
        <f>'ECN Master Project Tracker new'!#REF!</f>
        <v>#REF!</v>
      </c>
      <c r="B404" s="108" t="e">
        <f>VLOOKUP(A:A,Table1[[#All],[Project No]:[Additional Remark]],2,FALSE)</f>
        <v>#REF!</v>
      </c>
      <c r="C404" s="4" t="e">
        <f>VLOOKUP(A:A,Table1[[Project No]:[Additional Remark]],19,FALSE)</f>
        <v>#REF!</v>
      </c>
      <c r="D404" s="4" t="e">
        <f>VLOOKUP(A:A,Table1[[Project No]:[Additional Remark]],20,FALSE)</f>
        <v>#REF!</v>
      </c>
      <c r="E404" s="4" t="e">
        <f>VLOOKUP(A:A,Table1[[Project No]:[Additional Remark]],21,FALSE)</f>
        <v>#REF!</v>
      </c>
      <c r="F404" s="4" t="e">
        <f>VLOOKUP(A:A,Table1[[Project No]:[Additional Remark]],22,FALSE)</f>
        <v>#REF!</v>
      </c>
      <c r="G404" s="55" t="e">
        <f>VLOOKUP(A:A,Table1[[Project No]:[Additional Remark]],11,FALSE)</f>
        <v>#REF!</v>
      </c>
      <c r="H404" s="4" t="e">
        <f>VLOOKUP(A:A,Table1[[Project No]:[Additional Remark]],5,FALSE)</f>
        <v>#REF!</v>
      </c>
      <c r="I404" s="4" t="e">
        <f>VLOOKUP(A:A,Table1[[Project No]:[Additional Remark]],8,FALSE)</f>
        <v>#REF!</v>
      </c>
      <c r="J404" s="4" t="e">
        <f>VLOOKUP(A:A,Table1[[Project No]:[Additional Remark]],23,FALSE)</f>
        <v>#REF!</v>
      </c>
      <c r="K404" s="4"/>
      <c r="L404" s="4"/>
      <c r="M404" s="4"/>
      <c r="N404" s="4"/>
      <c r="O404" s="4"/>
      <c r="P404" s="4"/>
      <c r="Q404" s="4"/>
      <c r="R404" s="4"/>
      <c r="S404" s="4"/>
      <c r="T404" s="4"/>
      <c r="U404" s="4"/>
      <c r="V404" s="4"/>
    </row>
    <row r="405" spans="1:22" x14ac:dyDescent="0.3">
      <c r="A405" s="4" t="e">
        <f>'ECN Master Project Tracker new'!#REF!</f>
        <v>#REF!</v>
      </c>
      <c r="B405" s="108" t="e">
        <f>VLOOKUP(A:A,Table1[[#All],[Project No]:[Additional Remark]],2,FALSE)</f>
        <v>#REF!</v>
      </c>
      <c r="C405" s="4" t="e">
        <f>VLOOKUP(A:A,Table1[[Project No]:[Additional Remark]],19,FALSE)</f>
        <v>#REF!</v>
      </c>
      <c r="D405" s="4" t="e">
        <f>VLOOKUP(A:A,Table1[[Project No]:[Additional Remark]],20,FALSE)</f>
        <v>#REF!</v>
      </c>
      <c r="E405" s="4" t="e">
        <f>VLOOKUP(A:A,Table1[[Project No]:[Additional Remark]],21,FALSE)</f>
        <v>#REF!</v>
      </c>
      <c r="F405" s="4" t="e">
        <f>VLOOKUP(A:A,Table1[[Project No]:[Additional Remark]],22,FALSE)</f>
        <v>#REF!</v>
      </c>
      <c r="G405" s="55" t="e">
        <f>VLOOKUP(A:A,Table1[[Project No]:[Additional Remark]],11,FALSE)</f>
        <v>#REF!</v>
      </c>
      <c r="H405" s="4" t="e">
        <f>VLOOKUP(A:A,Table1[[Project No]:[Additional Remark]],5,FALSE)</f>
        <v>#REF!</v>
      </c>
      <c r="I405" s="4" t="e">
        <f>VLOOKUP(A:A,Table1[[Project No]:[Additional Remark]],8,FALSE)</f>
        <v>#REF!</v>
      </c>
      <c r="J405" s="4" t="e">
        <f>VLOOKUP(A:A,Table1[[Project No]:[Additional Remark]],23,FALSE)</f>
        <v>#REF!</v>
      </c>
      <c r="K405" s="4"/>
      <c r="L405" s="4"/>
      <c r="M405" s="4"/>
      <c r="N405" s="4"/>
      <c r="O405" s="4"/>
      <c r="P405" s="4"/>
      <c r="Q405" s="4"/>
      <c r="R405" s="4"/>
      <c r="S405" s="4"/>
      <c r="T405" s="4"/>
      <c r="U405" s="4"/>
      <c r="V405" s="4"/>
    </row>
    <row r="406" spans="1:22" x14ac:dyDescent="0.3">
      <c r="A406" s="4" t="e">
        <f>'ECN Master Project Tracker new'!#REF!</f>
        <v>#REF!</v>
      </c>
      <c r="B406" s="108" t="e">
        <f>VLOOKUP(A:A,Table1[[#All],[Project No]:[Additional Remark]],2,FALSE)</f>
        <v>#REF!</v>
      </c>
      <c r="C406" s="4" t="e">
        <f>VLOOKUP(A:A,Table1[[Project No]:[Additional Remark]],19,FALSE)</f>
        <v>#REF!</v>
      </c>
      <c r="D406" s="4" t="e">
        <f>VLOOKUP(A:A,Table1[[Project No]:[Additional Remark]],20,FALSE)</f>
        <v>#REF!</v>
      </c>
      <c r="E406" s="4" t="e">
        <f>VLOOKUP(A:A,Table1[[Project No]:[Additional Remark]],21,FALSE)</f>
        <v>#REF!</v>
      </c>
      <c r="F406" s="4" t="e">
        <f>VLOOKUP(A:A,Table1[[Project No]:[Additional Remark]],22,FALSE)</f>
        <v>#REF!</v>
      </c>
      <c r="G406" s="55" t="e">
        <f>VLOOKUP(A:A,Table1[[Project No]:[Additional Remark]],11,FALSE)</f>
        <v>#REF!</v>
      </c>
      <c r="H406" s="4" t="e">
        <f>VLOOKUP(A:A,Table1[[Project No]:[Additional Remark]],5,FALSE)</f>
        <v>#REF!</v>
      </c>
      <c r="I406" s="4" t="e">
        <f>VLOOKUP(A:A,Table1[[Project No]:[Additional Remark]],8,FALSE)</f>
        <v>#REF!</v>
      </c>
      <c r="J406" s="4" t="e">
        <f>VLOOKUP(A:A,Table1[[Project No]:[Additional Remark]],23,FALSE)</f>
        <v>#REF!</v>
      </c>
      <c r="K406" s="4"/>
      <c r="L406" s="4"/>
      <c r="M406" s="4"/>
      <c r="N406" s="4"/>
      <c r="O406" s="4"/>
      <c r="P406" s="4"/>
      <c r="Q406" s="4"/>
      <c r="R406" s="4"/>
      <c r="S406" s="4"/>
      <c r="T406" s="4"/>
      <c r="U406" s="4"/>
      <c r="V406" s="4"/>
    </row>
    <row r="407" spans="1:22" x14ac:dyDescent="0.3">
      <c r="A407" s="4" t="e">
        <f>'ECN Master Project Tracker new'!#REF!</f>
        <v>#REF!</v>
      </c>
      <c r="B407" s="108" t="e">
        <f>VLOOKUP(A:A,Table1[[#All],[Project No]:[Additional Remark]],2,FALSE)</f>
        <v>#REF!</v>
      </c>
      <c r="C407" s="4" t="e">
        <f>VLOOKUP(A:A,Table1[[Project No]:[Additional Remark]],19,FALSE)</f>
        <v>#REF!</v>
      </c>
      <c r="D407" s="4" t="e">
        <f>VLOOKUP(A:A,Table1[[Project No]:[Additional Remark]],20,FALSE)</f>
        <v>#REF!</v>
      </c>
      <c r="E407" s="4" t="e">
        <f>VLOOKUP(A:A,Table1[[Project No]:[Additional Remark]],21,FALSE)</f>
        <v>#REF!</v>
      </c>
      <c r="F407" s="4" t="e">
        <f>VLOOKUP(A:A,Table1[[Project No]:[Additional Remark]],22,FALSE)</f>
        <v>#REF!</v>
      </c>
      <c r="G407" s="55" t="e">
        <f>VLOOKUP(A:A,Table1[[Project No]:[Additional Remark]],11,FALSE)</f>
        <v>#REF!</v>
      </c>
      <c r="H407" s="4" t="e">
        <f>VLOOKUP(A:A,Table1[[Project No]:[Additional Remark]],5,FALSE)</f>
        <v>#REF!</v>
      </c>
      <c r="I407" s="4" t="e">
        <f>VLOOKUP(A:A,Table1[[Project No]:[Additional Remark]],8,FALSE)</f>
        <v>#REF!</v>
      </c>
      <c r="J407" s="4" t="e">
        <f>VLOOKUP(A:A,Table1[[Project No]:[Additional Remark]],23,FALSE)</f>
        <v>#REF!</v>
      </c>
      <c r="K407" s="4"/>
      <c r="L407" s="4"/>
      <c r="M407" s="4"/>
      <c r="N407" s="4"/>
      <c r="O407" s="4"/>
      <c r="P407" s="4"/>
      <c r="Q407" s="4"/>
      <c r="R407" s="4"/>
      <c r="S407" s="4"/>
      <c r="T407" s="4"/>
      <c r="U407" s="4"/>
      <c r="V407" s="4"/>
    </row>
    <row r="408" spans="1:22" x14ac:dyDescent="0.3">
      <c r="A408" s="4" t="e">
        <f>'ECN Master Project Tracker new'!#REF!</f>
        <v>#REF!</v>
      </c>
      <c r="B408" s="108" t="e">
        <f>VLOOKUP(A:A,Table1[[#All],[Project No]:[Additional Remark]],2,FALSE)</f>
        <v>#REF!</v>
      </c>
      <c r="C408" s="4" t="e">
        <f>VLOOKUP(A:A,Table1[[Project No]:[Additional Remark]],19,FALSE)</f>
        <v>#REF!</v>
      </c>
      <c r="D408" s="4" t="e">
        <f>VLOOKUP(A:A,Table1[[Project No]:[Additional Remark]],20,FALSE)</f>
        <v>#REF!</v>
      </c>
      <c r="E408" s="4" t="e">
        <f>VLOOKUP(A:A,Table1[[Project No]:[Additional Remark]],21,FALSE)</f>
        <v>#REF!</v>
      </c>
      <c r="F408" s="4" t="e">
        <f>VLOOKUP(A:A,Table1[[Project No]:[Additional Remark]],22,FALSE)</f>
        <v>#REF!</v>
      </c>
      <c r="G408" s="55" t="e">
        <f>VLOOKUP(A:A,Table1[[Project No]:[Additional Remark]],11,FALSE)</f>
        <v>#REF!</v>
      </c>
      <c r="H408" s="4" t="e">
        <f>VLOOKUP(A:A,Table1[[Project No]:[Additional Remark]],5,FALSE)</f>
        <v>#REF!</v>
      </c>
      <c r="I408" s="4" t="e">
        <f>VLOOKUP(A:A,Table1[[Project No]:[Additional Remark]],8,FALSE)</f>
        <v>#REF!</v>
      </c>
      <c r="J408" s="4" t="e">
        <f>VLOOKUP(A:A,Table1[[Project No]:[Additional Remark]],23,FALSE)</f>
        <v>#REF!</v>
      </c>
      <c r="K408" s="4"/>
      <c r="L408" s="4"/>
      <c r="M408" s="4"/>
      <c r="N408" s="4"/>
      <c r="O408" s="4"/>
      <c r="P408" s="4"/>
      <c r="Q408" s="4"/>
      <c r="R408" s="4"/>
      <c r="S408" s="4"/>
      <c r="T408" s="4"/>
      <c r="U408" s="4"/>
      <c r="V408" s="4"/>
    </row>
    <row r="409" spans="1:22" x14ac:dyDescent="0.3">
      <c r="A409" s="4" t="e">
        <f>'ECN Master Project Tracker new'!#REF!</f>
        <v>#REF!</v>
      </c>
      <c r="B409" s="108" t="e">
        <f>VLOOKUP(A:A,Table1[[#All],[Project No]:[Additional Remark]],2,FALSE)</f>
        <v>#REF!</v>
      </c>
      <c r="C409" s="4" t="e">
        <f>VLOOKUP(A:A,Table1[[Project No]:[Additional Remark]],19,FALSE)</f>
        <v>#REF!</v>
      </c>
      <c r="D409" s="4" t="e">
        <f>VLOOKUP(A:A,Table1[[Project No]:[Additional Remark]],20,FALSE)</f>
        <v>#REF!</v>
      </c>
      <c r="E409" s="4" t="e">
        <f>VLOOKUP(A:A,Table1[[Project No]:[Additional Remark]],21,FALSE)</f>
        <v>#REF!</v>
      </c>
      <c r="F409" s="4" t="e">
        <f>VLOOKUP(A:A,Table1[[Project No]:[Additional Remark]],22,FALSE)</f>
        <v>#REF!</v>
      </c>
      <c r="G409" s="55" t="e">
        <f>VLOOKUP(A:A,Table1[[Project No]:[Additional Remark]],11,FALSE)</f>
        <v>#REF!</v>
      </c>
      <c r="H409" s="4" t="e">
        <f>VLOOKUP(A:A,Table1[[Project No]:[Additional Remark]],5,FALSE)</f>
        <v>#REF!</v>
      </c>
      <c r="I409" s="4" t="e">
        <f>VLOOKUP(A:A,Table1[[Project No]:[Additional Remark]],8,FALSE)</f>
        <v>#REF!</v>
      </c>
      <c r="J409" s="4" t="e">
        <f>VLOOKUP(A:A,Table1[[Project No]:[Additional Remark]],23,FALSE)</f>
        <v>#REF!</v>
      </c>
      <c r="K409" s="4"/>
      <c r="L409" s="4"/>
      <c r="M409" s="4"/>
      <c r="N409" s="4"/>
      <c r="O409" s="4"/>
      <c r="P409" s="4"/>
      <c r="Q409" s="4"/>
      <c r="R409" s="4"/>
      <c r="S409" s="4"/>
      <c r="T409" s="4"/>
      <c r="U409" s="4"/>
      <c r="V409" s="4"/>
    </row>
    <row r="410" spans="1:22" x14ac:dyDescent="0.3">
      <c r="A410" s="4" t="e">
        <f>'ECN Master Project Tracker new'!#REF!</f>
        <v>#REF!</v>
      </c>
      <c r="B410" s="108" t="e">
        <f>VLOOKUP(A:A,Table1[[#All],[Project No]:[Additional Remark]],2,FALSE)</f>
        <v>#REF!</v>
      </c>
      <c r="C410" s="4" t="e">
        <f>VLOOKUP(A:A,Table1[[Project No]:[Additional Remark]],19,FALSE)</f>
        <v>#REF!</v>
      </c>
      <c r="D410" s="4" t="e">
        <f>VLOOKUP(A:A,Table1[[Project No]:[Additional Remark]],20,FALSE)</f>
        <v>#REF!</v>
      </c>
      <c r="E410" s="4" t="e">
        <f>VLOOKUP(A:A,Table1[[Project No]:[Additional Remark]],21,FALSE)</f>
        <v>#REF!</v>
      </c>
      <c r="F410" s="4" t="e">
        <f>VLOOKUP(A:A,Table1[[Project No]:[Additional Remark]],22,FALSE)</f>
        <v>#REF!</v>
      </c>
      <c r="G410" s="55" t="e">
        <f>VLOOKUP(A:A,Table1[[Project No]:[Additional Remark]],11,FALSE)</f>
        <v>#REF!</v>
      </c>
      <c r="H410" s="4" t="e">
        <f>VLOOKUP(A:A,Table1[[Project No]:[Additional Remark]],5,FALSE)</f>
        <v>#REF!</v>
      </c>
      <c r="I410" s="4" t="e">
        <f>VLOOKUP(A:A,Table1[[Project No]:[Additional Remark]],8,FALSE)</f>
        <v>#REF!</v>
      </c>
      <c r="J410" s="4" t="e">
        <f>VLOOKUP(A:A,Table1[[Project No]:[Additional Remark]],23,FALSE)</f>
        <v>#REF!</v>
      </c>
      <c r="K410" s="4"/>
      <c r="L410" s="4"/>
      <c r="M410" s="4"/>
      <c r="N410" s="4"/>
      <c r="O410" s="4"/>
      <c r="P410" s="4"/>
      <c r="Q410" s="4"/>
      <c r="R410" s="4"/>
      <c r="S410" s="4"/>
      <c r="T410" s="4"/>
      <c r="U410" s="4"/>
      <c r="V410" s="4"/>
    </row>
    <row r="411" spans="1:22" x14ac:dyDescent="0.3">
      <c r="A411" s="4" t="e">
        <f>'ECN Master Project Tracker new'!#REF!</f>
        <v>#REF!</v>
      </c>
      <c r="B411" s="108" t="e">
        <f>VLOOKUP(A:A,Table1[[#All],[Project No]:[Additional Remark]],2,FALSE)</f>
        <v>#REF!</v>
      </c>
      <c r="C411" s="4" t="e">
        <f>VLOOKUP(A:A,Table1[[Project No]:[Additional Remark]],19,FALSE)</f>
        <v>#REF!</v>
      </c>
      <c r="D411" s="4" t="e">
        <f>VLOOKUP(A:A,Table1[[Project No]:[Additional Remark]],20,FALSE)</f>
        <v>#REF!</v>
      </c>
      <c r="E411" s="4" t="e">
        <f>VLOOKUP(A:A,Table1[[Project No]:[Additional Remark]],21,FALSE)</f>
        <v>#REF!</v>
      </c>
      <c r="F411" s="4" t="e">
        <f>VLOOKUP(A:A,Table1[[Project No]:[Additional Remark]],22,FALSE)</f>
        <v>#REF!</v>
      </c>
      <c r="G411" s="55" t="e">
        <f>VLOOKUP(A:A,Table1[[Project No]:[Additional Remark]],11,FALSE)</f>
        <v>#REF!</v>
      </c>
      <c r="H411" s="4" t="e">
        <f>VLOOKUP(A:A,Table1[[Project No]:[Additional Remark]],5,FALSE)</f>
        <v>#REF!</v>
      </c>
      <c r="I411" s="4" t="e">
        <f>VLOOKUP(A:A,Table1[[Project No]:[Additional Remark]],8,FALSE)</f>
        <v>#REF!</v>
      </c>
      <c r="J411" s="4" t="e">
        <f>VLOOKUP(A:A,Table1[[Project No]:[Additional Remark]],23,FALSE)</f>
        <v>#REF!</v>
      </c>
      <c r="K411" s="4"/>
      <c r="L411" s="4"/>
      <c r="M411" s="4"/>
      <c r="N411" s="4"/>
      <c r="O411" s="4"/>
      <c r="P411" s="4"/>
      <c r="Q411" s="4"/>
      <c r="R411" s="4"/>
      <c r="S411" s="4"/>
      <c r="T411" s="4"/>
      <c r="U411" s="4"/>
      <c r="V411" s="4"/>
    </row>
    <row r="412" spans="1:22" x14ac:dyDescent="0.3">
      <c r="A412" s="4" t="e">
        <f>'ECN Master Project Tracker new'!#REF!</f>
        <v>#REF!</v>
      </c>
      <c r="B412" s="108" t="e">
        <f>VLOOKUP(A:A,Table1[[#All],[Project No]:[Additional Remark]],2,FALSE)</f>
        <v>#REF!</v>
      </c>
      <c r="C412" s="4" t="e">
        <f>VLOOKUP(A:A,Table1[[Project No]:[Additional Remark]],19,FALSE)</f>
        <v>#REF!</v>
      </c>
      <c r="D412" s="4" t="e">
        <f>VLOOKUP(A:A,Table1[[Project No]:[Additional Remark]],20,FALSE)</f>
        <v>#REF!</v>
      </c>
      <c r="E412" s="4" t="e">
        <f>VLOOKUP(A:A,Table1[[Project No]:[Additional Remark]],21,FALSE)</f>
        <v>#REF!</v>
      </c>
      <c r="F412" s="4" t="e">
        <f>VLOOKUP(A:A,Table1[[Project No]:[Additional Remark]],22,FALSE)</f>
        <v>#REF!</v>
      </c>
      <c r="G412" s="55" t="e">
        <f>VLOOKUP(A:A,Table1[[Project No]:[Additional Remark]],11,FALSE)</f>
        <v>#REF!</v>
      </c>
      <c r="H412" s="4" t="e">
        <f>VLOOKUP(A:A,Table1[[Project No]:[Additional Remark]],5,FALSE)</f>
        <v>#REF!</v>
      </c>
      <c r="I412" s="4" t="e">
        <f>VLOOKUP(A:A,Table1[[Project No]:[Additional Remark]],8,FALSE)</f>
        <v>#REF!</v>
      </c>
      <c r="J412" s="4" t="e">
        <f>VLOOKUP(A:A,Table1[[Project No]:[Additional Remark]],23,FALSE)</f>
        <v>#REF!</v>
      </c>
      <c r="K412" s="4"/>
      <c r="L412" s="4"/>
      <c r="M412" s="4"/>
      <c r="N412" s="4"/>
      <c r="O412" s="4"/>
      <c r="P412" s="4"/>
      <c r="Q412" s="4"/>
      <c r="R412" s="4"/>
      <c r="S412" s="4"/>
      <c r="T412" s="4"/>
      <c r="U412" s="4"/>
      <c r="V412" s="4"/>
    </row>
    <row r="413" spans="1:22" x14ac:dyDescent="0.3">
      <c r="A413" s="4" t="e">
        <f>'ECN Master Project Tracker new'!#REF!</f>
        <v>#REF!</v>
      </c>
      <c r="B413" s="108" t="e">
        <f>VLOOKUP(A:A,Table1[[#All],[Project No]:[Additional Remark]],2,FALSE)</f>
        <v>#REF!</v>
      </c>
      <c r="C413" s="4" t="e">
        <f>VLOOKUP(A:A,Table1[[Project No]:[Additional Remark]],19,FALSE)</f>
        <v>#REF!</v>
      </c>
      <c r="D413" s="4" t="e">
        <f>VLOOKUP(A:A,Table1[[Project No]:[Additional Remark]],20,FALSE)</f>
        <v>#REF!</v>
      </c>
      <c r="E413" s="4" t="e">
        <f>VLOOKUP(A:A,Table1[[Project No]:[Additional Remark]],21,FALSE)</f>
        <v>#REF!</v>
      </c>
      <c r="F413" s="4" t="e">
        <f>VLOOKUP(A:A,Table1[[Project No]:[Additional Remark]],22,FALSE)</f>
        <v>#REF!</v>
      </c>
      <c r="G413" s="55" t="e">
        <f>VLOOKUP(A:A,Table1[[Project No]:[Additional Remark]],11,FALSE)</f>
        <v>#REF!</v>
      </c>
      <c r="H413" s="4" t="e">
        <f>VLOOKUP(A:A,Table1[[Project No]:[Additional Remark]],5,FALSE)</f>
        <v>#REF!</v>
      </c>
      <c r="I413" s="4" t="e">
        <f>VLOOKUP(A:A,Table1[[Project No]:[Additional Remark]],8,FALSE)</f>
        <v>#REF!</v>
      </c>
      <c r="J413" s="4" t="e">
        <f>VLOOKUP(A:A,Table1[[Project No]:[Additional Remark]],23,FALSE)</f>
        <v>#REF!</v>
      </c>
      <c r="K413" s="4"/>
      <c r="L413" s="4"/>
      <c r="M413" s="4"/>
      <c r="N413" s="4"/>
      <c r="O413" s="4"/>
      <c r="P413" s="4"/>
      <c r="Q413" s="4"/>
      <c r="R413" s="4"/>
      <c r="S413" s="4"/>
      <c r="T413" s="4"/>
      <c r="U413" s="4"/>
      <c r="V413" s="4"/>
    </row>
    <row r="414" spans="1:22" x14ac:dyDescent="0.3">
      <c r="A414" s="4" t="e">
        <f>'ECN Master Project Tracker new'!#REF!</f>
        <v>#REF!</v>
      </c>
      <c r="B414" s="108" t="e">
        <f>VLOOKUP(A:A,Table1[[#All],[Project No]:[Additional Remark]],2,FALSE)</f>
        <v>#REF!</v>
      </c>
      <c r="C414" s="4" t="e">
        <f>VLOOKUP(A:A,Table1[[Project No]:[Additional Remark]],19,FALSE)</f>
        <v>#REF!</v>
      </c>
      <c r="D414" s="4" t="e">
        <f>VLOOKUP(A:A,Table1[[Project No]:[Additional Remark]],20,FALSE)</f>
        <v>#REF!</v>
      </c>
      <c r="E414" s="4" t="e">
        <f>VLOOKUP(A:A,Table1[[Project No]:[Additional Remark]],21,FALSE)</f>
        <v>#REF!</v>
      </c>
      <c r="F414" s="4" t="e">
        <f>VLOOKUP(A:A,Table1[[Project No]:[Additional Remark]],22,FALSE)</f>
        <v>#REF!</v>
      </c>
      <c r="G414" s="55" t="e">
        <f>VLOOKUP(A:A,Table1[[Project No]:[Additional Remark]],11,FALSE)</f>
        <v>#REF!</v>
      </c>
      <c r="H414" s="4" t="e">
        <f>VLOOKUP(A:A,Table1[[Project No]:[Additional Remark]],5,FALSE)</f>
        <v>#REF!</v>
      </c>
      <c r="I414" s="4" t="e">
        <f>VLOOKUP(A:A,Table1[[Project No]:[Additional Remark]],8,FALSE)</f>
        <v>#REF!</v>
      </c>
      <c r="J414" s="4" t="e">
        <f>VLOOKUP(A:A,Table1[[Project No]:[Additional Remark]],23,FALSE)</f>
        <v>#REF!</v>
      </c>
      <c r="K414" s="4"/>
      <c r="L414" s="4"/>
      <c r="M414" s="4"/>
      <c r="N414" s="4"/>
      <c r="O414" s="4"/>
      <c r="P414" s="4"/>
      <c r="Q414" s="4"/>
      <c r="R414" s="4"/>
      <c r="S414" s="4"/>
      <c r="T414" s="4"/>
      <c r="U414" s="4"/>
      <c r="V414" s="4"/>
    </row>
    <row r="415" spans="1:22" x14ac:dyDescent="0.3">
      <c r="A415" s="4" t="e">
        <f>'ECN Master Project Tracker new'!#REF!</f>
        <v>#REF!</v>
      </c>
      <c r="B415" s="108" t="e">
        <f>VLOOKUP(A:A,Table1[[#All],[Project No]:[Additional Remark]],2,FALSE)</f>
        <v>#REF!</v>
      </c>
      <c r="C415" s="4" t="e">
        <f>VLOOKUP(A:A,Table1[[Project No]:[Additional Remark]],19,FALSE)</f>
        <v>#REF!</v>
      </c>
      <c r="D415" s="4" t="e">
        <f>VLOOKUP(A:A,Table1[[Project No]:[Additional Remark]],20,FALSE)</f>
        <v>#REF!</v>
      </c>
      <c r="E415" s="4" t="e">
        <f>VLOOKUP(A:A,Table1[[Project No]:[Additional Remark]],21,FALSE)</f>
        <v>#REF!</v>
      </c>
      <c r="F415" s="4" t="e">
        <f>VLOOKUP(A:A,Table1[[Project No]:[Additional Remark]],22,FALSE)</f>
        <v>#REF!</v>
      </c>
      <c r="G415" s="55" t="e">
        <f>VLOOKUP(A:A,Table1[[Project No]:[Additional Remark]],11,FALSE)</f>
        <v>#REF!</v>
      </c>
      <c r="H415" s="4" t="e">
        <f>VLOOKUP(A:A,Table1[[Project No]:[Additional Remark]],5,FALSE)</f>
        <v>#REF!</v>
      </c>
      <c r="I415" s="4" t="e">
        <f>VLOOKUP(A:A,Table1[[Project No]:[Additional Remark]],8,FALSE)</f>
        <v>#REF!</v>
      </c>
      <c r="J415" s="4" t="e">
        <f>VLOOKUP(A:A,Table1[[Project No]:[Additional Remark]],23,FALSE)</f>
        <v>#REF!</v>
      </c>
      <c r="K415" s="4"/>
      <c r="L415" s="4"/>
      <c r="M415" s="4"/>
      <c r="N415" s="4"/>
      <c r="O415" s="4"/>
      <c r="P415" s="4"/>
      <c r="Q415" s="4"/>
      <c r="R415" s="4"/>
      <c r="S415" s="4"/>
      <c r="T415" s="4"/>
      <c r="U415" s="4"/>
      <c r="V415" s="4"/>
    </row>
    <row r="416" spans="1:22" x14ac:dyDescent="0.3">
      <c r="A416" s="4" t="e">
        <f>'ECN Master Project Tracker new'!#REF!</f>
        <v>#REF!</v>
      </c>
      <c r="B416" s="108" t="e">
        <f>VLOOKUP(A:A,Table1[[#All],[Project No]:[Additional Remark]],2,FALSE)</f>
        <v>#REF!</v>
      </c>
      <c r="C416" s="4" t="e">
        <f>VLOOKUP(A:A,Table1[[Project No]:[Additional Remark]],19,FALSE)</f>
        <v>#REF!</v>
      </c>
      <c r="D416" s="4" t="e">
        <f>VLOOKUP(A:A,Table1[[Project No]:[Additional Remark]],20,FALSE)</f>
        <v>#REF!</v>
      </c>
      <c r="E416" s="4" t="e">
        <f>VLOOKUP(A:A,Table1[[Project No]:[Additional Remark]],21,FALSE)</f>
        <v>#REF!</v>
      </c>
      <c r="F416" s="4" t="e">
        <f>VLOOKUP(A:A,Table1[[Project No]:[Additional Remark]],22,FALSE)</f>
        <v>#REF!</v>
      </c>
      <c r="G416" s="55" t="e">
        <f>VLOOKUP(A:A,Table1[[Project No]:[Additional Remark]],11,FALSE)</f>
        <v>#REF!</v>
      </c>
      <c r="H416" s="4" t="e">
        <f>VLOOKUP(A:A,Table1[[Project No]:[Additional Remark]],5,FALSE)</f>
        <v>#REF!</v>
      </c>
      <c r="I416" s="4" t="e">
        <f>VLOOKUP(A:A,Table1[[Project No]:[Additional Remark]],8,FALSE)</f>
        <v>#REF!</v>
      </c>
      <c r="J416" s="4" t="e">
        <f>VLOOKUP(A:A,Table1[[Project No]:[Additional Remark]],23,FALSE)</f>
        <v>#REF!</v>
      </c>
      <c r="K416" s="4"/>
      <c r="L416" s="4"/>
      <c r="M416" s="4"/>
      <c r="N416" s="4"/>
      <c r="O416" s="4"/>
      <c r="P416" s="4"/>
      <c r="Q416" s="4"/>
      <c r="R416" s="4"/>
      <c r="S416" s="4"/>
      <c r="T416" s="4"/>
      <c r="U416" s="4"/>
      <c r="V416" s="4"/>
    </row>
    <row r="417" spans="1:22" x14ac:dyDescent="0.3">
      <c r="A417" s="4" t="e">
        <f>'ECN Master Project Tracker new'!#REF!</f>
        <v>#REF!</v>
      </c>
      <c r="B417" s="108" t="e">
        <f>VLOOKUP(A:A,Table1[[#All],[Project No]:[Additional Remark]],2,FALSE)</f>
        <v>#REF!</v>
      </c>
      <c r="C417" s="4" t="e">
        <f>VLOOKUP(A:A,Table1[[Project No]:[Additional Remark]],19,FALSE)</f>
        <v>#REF!</v>
      </c>
      <c r="D417" s="4" t="e">
        <f>VLOOKUP(A:A,Table1[[Project No]:[Additional Remark]],20,FALSE)</f>
        <v>#REF!</v>
      </c>
      <c r="E417" s="4" t="e">
        <f>VLOOKUP(A:A,Table1[[Project No]:[Additional Remark]],21,FALSE)</f>
        <v>#REF!</v>
      </c>
      <c r="F417" s="4" t="e">
        <f>VLOOKUP(A:A,Table1[[Project No]:[Additional Remark]],22,FALSE)</f>
        <v>#REF!</v>
      </c>
      <c r="G417" s="55" t="e">
        <f>VLOOKUP(A:A,Table1[[Project No]:[Additional Remark]],11,FALSE)</f>
        <v>#REF!</v>
      </c>
      <c r="H417" s="4" t="e">
        <f>VLOOKUP(A:A,Table1[[Project No]:[Additional Remark]],5,FALSE)</f>
        <v>#REF!</v>
      </c>
      <c r="I417" s="4" t="e">
        <f>VLOOKUP(A:A,Table1[[Project No]:[Additional Remark]],8,FALSE)</f>
        <v>#REF!</v>
      </c>
      <c r="J417" s="4" t="e">
        <f>VLOOKUP(A:A,Table1[[Project No]:[Additional Remark]],23,FALSE)</f>
        <v>#REF!</v>
      </c>
      <c r="K417" s="4"/>
      <c r="L417" s="4"/>
      <c r="M417" s="4"/>
      <c r="N417" s="4"/>
      <c r="O417" s="4"/>
      <c r="P417" s="4"/>
      <c r="Q417" s="4"/>
      <c r="R417" s="4"/>
      <c r="S417" s="4"/>
      <c r="T417" s="4"/>
      <c r="U417" s="4"/>
      <c r="V417" s="4"/>
    </row>
    <row r="418" spans="1:22" x14ac:dyDescent="0.3">
      <c r="A418" s="4" t="e">
        <f>'ECN Master Project Tracker new'!#REF!</f>
        <v>#REF!</v>
      </c>
      <c r="B418" s="108" t="e">
        <f>VLOOKUP(A:A,Table1[[#All],[Project No]:[Additional Remark]],2,FALSE)</f>
        <v>#REF!</v>
      </c>
      <c r="C418" s="4" t="e">
        <f>VLOOKUP(A:A,Table1[[Project No]:[Additional Remark]],19,FALSE)</f>
        <v>#REF!</v>
      </c>
      <c r="D418" s="4" t="e">
        <f>VLOOKUP(A:A,Table1[[Project No]:[Additional Remark]],20,FALSE)</f>
        <v>#REF!</v>
      </c>
      <c r="E418" s="4" t="e">
        <f>VLOOKUP(A:A,Table1[[Project No]:[Additional Remark]],21,FALSE)</f>
        <v>#REF!</v>
      </c>
      <c r="F418" s="4" t="e">
        <f>VLOOKUP(A:A,Table1[[Project No]:[Additional Remark]],22,FALSE)</f>
        <v>#REF!</v>
      </c>
      <c r="G418" s="55" t="e">
        <f>VLOOKUP(A:A,Table1[[Project No]:[Additional Remark]],11,FALSE)</f>
        <v>#REF!</v>
      </c>
      <c r="H418" s="4" t="e">
        <f>VLOOKUP(A:A,Table1[[Project No]:[Additional Remark]],5,FALSE)</f>
        <v>#REF!</v>
      </c>
      <c r="I418" s="4" t="e">
        <f>VLOOKUP(A:A,Table1[[Project No]:[Additional Remark]],8,FALSE)</f>
        <v>#REF!</v>
      </c>
      <c r="J418" s="4" t="e">
        <f>VLOOKUP(A:A,Table1[[Project No]:[Additional Remark]],23,FALSE)</f>
        <v>#REF!</v>
      </c>
      <c r="K418" s="4"/>
      <c r="L418" s="4"/>
      <c r="M418" s="4"/>
      <c r="N418" s="4"/>
      <c r="O418" s="4"/>
      <c r="P418" s="4"/>
      <c r="Q418" s="4"/>
      <c r="R418" s="4"/>
      <c r="S418" s="4"/>
      <c r="T418" s="4"/>
      <c r="U418" s="4"/>
      <c r="V418" s="4"/>
    </row>
    <row r="419" spans="1:22" x14ac:dyDescent="0.3">
      <c r="A419" s="4" t="e">
        <f>'ECN Master Project Tracker new'!#REF!</f>
        <v>#REF!</v>
      </c>
      <c r="B419" s="108" t="e">
        <f>VLOOKUP(A:A,Table1[[#All],[Project No]:[Additional Remark]],2,FALSE)</f>
        <v>#REF!</v>
      </c>
      <c r="C419" s="4" t="e">
        <f>VLOOKUP(A:A,Table1[[Project No]:[Additional Remark]],19,FALSE)</f>
        <v>#REF!</v>
      </c>
      <c r="D419" s="4" t="e">
        <f>VLOOKUP(A:A,Table1[[Project No]:[Additional Remark]],20,FALSE)</f>
        <v>#REF!</v>
      </c>
      <c r="E419" s="4" t="e">
        <f>VLOOKUP(A:A,Table1[[Project No]:[Additional Remark]],21,FALSE)</f>
        <v>#REF!</v>
      </c>
      <c r="F419" s="4" t="e">
        <f>VLOOKUP(A:A,Table1[[Project No]:[Additional Remark]],22,FALSE)</f>
        <v>#REF!</v>
      </c>
      <c r="G419" s="55" t="e">
        <f>VLOOKUP(A:A,Table1[[Project No]:[Additional Remark]],11,FALSE)</f>
        <v>#REF!</v>
      </c>
      <c r="H419" s="4" t="e">
        <f>VLOOKUP(A:A,Table1[[Project No]:[Additional Remark]],5,FALSE)</f>
        <v>#REF!</v>
      </c>
      <c r="I419" s="4" t="e">
        <f>VLOOKUP(A:A,Table1[[Project No]:[Additional Remark]],8,FALSE)</f>
        <v>#REF!</v>
      </c>
      <c r="J419" s="4" t="e">
        <f>VLOOKUP(A:A,Table1[[Project No]:[Additional Remark]],23,FALSE)</f>
        <v>#REF!</v>
      </c>
      <c r="K419" s="4"/>
      <c r="L419" s="4"/>
      <c r="M419" s="4"/>
      <c r="N419" s="4"/>
      <c r="O419" s="4"/>
      <c r="P419" s="4"/>
      <c r="Q419" s="4"/>
      <c r="R419" s="4"/>
      <c r="S419" s="4"/>
      <c r="T419" s="4"/>
      <c r="U419" s="4"/>
      <c r="V419" s="4"/>
    </row>
    <row r="420" spans="1:22" x14ac:dyDescent="0.3">
      <c r="A420" s="4" t="e">
        <f>'ECN Master Project Tracker new'!#REF!</f>
        <v>#REF!</v>
      </c>
      <c r="B420" s="108" t="e">
        <f>VLOOKUP(A:A,Table1[[#All],[Project No]:[Additional Remark]],2,FALSE)</f>
        <v>#REF!</v>
      </c>
      <c r="C420" s="4" t="e">
        <f>VLOOKUP(A:A,Table1[[Project No]:[Additional Remark]],19,FALSE)</f>
        <v>#REF!</v>
      </c>
      <c r="D420" s="4" t="e">
        <f>VLOOKUP(A:A,Table1[[Project No]:[Additional Remark]],20,FALSE)</f>
        <v>#REF!</v>
      </c>
      <c r="E420" s="4" t="e">
        <f>VLOOKUP(A:A,Table1[[Project No]:[Additional Remark]],21,FALSE)</f>
        <v>#REF!</v>
      </c>
      <c r="F420" s="4" t="e">
        <f>VLOOKUP(A:A,Table1[[Project No]:[Additional Remark]],22,FALSE)</f>
        <v>#REF!</v>
      </c>
      <c r="G420" s="55" t="e">
        <f>VLOOKUP(A:A,Table1[[Project No]:[Additional Remark]],11,FALSE)</f>
        <v>#REF!</v>
      </c>
      <c r="H420" s="4" t="e">
        <f>VLOOKUP(A:A,Table1[[Project No]:[Additional Remark]],5,FALSE)</f>
        <v>#REF!</v>
      </c>
      <c r="I420" s="4" t="e">
        <f>VLOOKUP(A:A,Table1[[Project No]:[Additional Remark]],8,FALSE)</f>
        <v>#REF!</v>
      </c>
      <c r="J420" s="4" t="e">
        <f>VLOOKUP(A:A,Table1[[Project No]:[Additional Remark]],23,FALSE)</f>
        <v>#REF!</v>
      </c>
      <c r="K420" s="4"/>
      <c r="L420" s="4"/>
      <c r="M420" s="4"/>
      <c r="N420" s="4"/>
      <c r="O420" s="4"/>
      <c r="P420" s="4"/>
      <c r="Q420" s="4"/>
      <c r="R420" s="4"/>
      <c r="S420" s="4"/>
      <c r="T420" s="4"/>
      <c r="U420" s="4"/>
      <c r="V420" s="4"/>
    </row>
    <row r="421" spans="1:22" x14ac:dyDescent="0.3">
      <c r="A421" s="4" t="e">
        <f>'ECN Master Project Tracker new'!#REF!</f>
        <v>#REF!</v>
      </c>
      <c r="B421" s="108" t="e">
        <f>VLOOKUP(A:A,Table1[[#All],[Project No]:[Additional Remark]],2,FALSE)</f>
        <v>#REF!</v>
      </c>
      <c r="C421" s="4" t="e">
        <f>VLOOKUP(A:A,Table1[[Project No]:[Additional Remark]],19,FALSE)</f>
        <v>#REF!</v>
      </c>
      <c r="D421" s="4" t="e">
        <f>VLOOKUP(A:A,Table1[[Project No]:[Additional Remark]],20,FALSE)</f>
        <v>#REF!</v>
      </c>
      <c r="E421" s="4" t="e">
        <f>VLOOKUP(A:A,Table1[[Project No]:[Additional Remark]],21,FALSE)</f>
        <v>#REF!</v>
      </c>
      <c r="F421" s="4" t="e">
        <f>VLOOKUP(A:A,Table1[[Project No]:[Additional Remark]],22,FALSE)</f>
        <v>#REF!</v>
      </c>
      <c r="G421" s="55" t="e">
        <f>VLOOKUP(A:A,Table1[[Project No]:[Additional Remark]],11,FALSE)</f>
        <v>#REF!</v>
      </c>
      <c r="H421" s="4" t="e">
        <f>VLOOKUP(A:A,Table1[[Project No]:[Additional Remark]],5,FALSE)</f>
        <v>#REF!</v>
      </c>
      <c r="I421" s="4" t="e">
        <f>VLOOKUP(A:A,Table1[[Project No]:[Additional Remark]],8,FALSE)</f>
        <v>#REF!</v>
      </c>
      <c r="J421" s="4" t="e">
        <f>VLOOKUP(A:A,Table1[[Project No]:[Additional Remark]],23,FALSE)</f>
        <v>#REF!</v>
      </c>
      <c r="K421" s="4"/>
      <c r="L421" s="4"/>
      <c r="M421" s="4"/>
      <c r="N421" s="4"/>
      <c r="O421" s="4"/>
      <c r="P421" s="4"/>
      <c r="Q421" s="4"/>
      <c r="R421" s="4"/>
      <c r="S421" s="4"/>
      <c r="T421" s="4"/>
      <c r="U421" s="4"/>
      <c r="V421" s="4"/>
    </row>
    <row r="422" spans="1:22" x14ac:dyDescent="0.3">
      <c r="A422" s="4" t="e">
        <f>'ECN Master Project Tracker new'!#REF!</f>
        <v>#REF!</v>
      </c>
      <c r="B422" s="108" t="e">
        <f>VLOOKUP(A:A,Table1[[#All],[Project No]:[Additional Remark]],2,FALSE)</f>
        <v>#REF!</v>
      </c>
      <c r="C422" s="4" t="e">
        <f>VLOOKUP(A:A,Table1[[Project No]:[Additional Remark]],19,FALSE)</f>
        <v>#REF!</v>
      </c>
      <c r="D422" s="4" t="e">
        <f>VLOOKUP(A:A,Table1[[Project No]:[Additional Remark]],20,FALSE)</f>
        <v>#REF!</v>
      </c>
      <c r="E422" s="4" t="e">
        <f>VLOOKUP(A:A,Table1[[Project No]:[Additional Remark]],21,FALSE)</f>
        <v>#REF!</v>
      </c>
      <c r="F422" s="4" t="e">
        <f>VLOOKUP(A:A,Table1[[Project No]:[Additional Remark]],22,FALSE)</f>
        <v>#REF!</v>
      </c>
      <c r="G422" s="55" t="e">
        <f>VLOOKUP(A:A,Table1[[Project No]:[Additional Remark]],11,FALSE)</f>
        <v>#REF!</v>
      </c>
      <c r="H422" s="4" t="e">
        <f>VLOOKUP(A:A,Table1[[Project No]:[Additional Remark]],5,FALSE)</f>
        <v>#REF!</v>
      </c>
      <c r="I422" s="4" t="e">
        <f>VLOOKUP(A:A,Table1[[Project No]:[Additional Remark]],8,FALSE)</f>
        <v>#REF!</v>
      </c>
      <c r="J422" s="4" t="e">
        <f>VLOOKUP(A:A,Table1[[Project No]:[Additional Remark]],23,FALSE)</f>
        <v>#REF!</v>
      </c>
      <c r="K422" s="4"/>
      <c r="L422" s="4"/>
      <c r="M422" s="4"/>
      <c r="N422" s="4"/>
      <c r="O422" s="4"/>
      <c r="P422" s="4"/>
      <c r="Q422" s="4"/>
      <c r="R422" s="4"/>
      <c r="S422" s="4"/>
      <c r="T422" s="4"/>
      <c r="U422" s="4"/>
      <c r="V422" s="4"/>
    </row>
    <row r="423" spans="1:22" x14ac:dyDescent="0.3">
      <c r="A423" s="4" t="e">
        <f>'ECN Master Project Tracker new'!#REF!</f>
        <v>#REF!</v>
      </c>
      <c r="B423" s="108" t="e">
        <f>VLOOKUP(A:A,Table1[[#All],[Project No]:[Additional Remark]],2,FALSE)</f>
        <v>#REF!</v>
      </c>
      <c r="C423" s="4" t="e">
        <f>VLOOKUP(A:A,Table1[[Project No]:[Additional Remark]],19,FALSE)</f>
        <v>#REF!</v>
      </c>
      <c r="D423" s="4" t="e">
        <f>VLOOKUP(A:A,Table1[[Project No]:[Additional Remark]],20,FALSE)</f>
        <v>#REF!</v>
      </c>
      <c r="E423" s="4" t="e">
        <f>VLOOKUP(A:A,Table1[[Project No]:[Additional Remark]],21,FALSE)</f>
        <v>#REF!</v>
      </c>
      <c r="F423" s="4" t="e">
        <f>VLOOKUP(A:A,Table1[[Project No]:[Additional Remark]],22,FALSE)</f>
        <v>#REF!</v>
      </c>
      <c r="G423" s="55" t="e">
        <f>VLOOKUP(A:A,Table1[[Project No]:[Additional Remark]],11,FALSE)</f>
        <v>#REF!</v>
      </c>
      <c r="H423" s="4" t="e">
        <f>VLOOKUP(A:A,Table1[[Project No]:[Additional Remark]],5,FALSE)</f>
        <v>#REF!</v>
      </c>
      <c r="I423" s="4" t="e">
        <f>VLOOKUP(A:A,Table1[[Project No]:[Additional Remark]],8,FALSE)</f>
        <v>#REF!</v>
      </c>
      <c r="J423" s="4" t="e">
        <f>VLOOKUP(A:A,Table1[[Project No]:[Additional Remark]],23,FALSE)</f>
        <v>#REF!</v>
      </c>
      <c r="K423" s="4"/>
      <c r="L423" s="4"/>
      <c r="M423" s="4"/>
      <c r="N423" s="4"/>
      <c r="O423" s="4"/>
      <c r="P423" s="4"/>
      <c r="Q423" s="4"/>
      <c r="R423" s="4"/>
      <c r="S423" s="4"/>
      <c r="T423" s="4"/>
      <c r="U423" s="4"/>
      <c r="V423" s="4"/>
    </row>
    <row r="424" spans="1:22" x14ac:dyDescent="0.3">
      <c r="A424" s="4" t="e">
        <f>'ECN Master Project Tracker new'!#REF!</f>
        <v>#REF!</v>
      </c>
      <c r="B424" s="108" t="e">
        <f>VLOOKUP(A:A,Table1[[#All],[Project No]:[Additional Remark]],2,FALSE)</f>
        <v>#REF!</v>
      </c>
      <c r="C424" s="4" t="e">
        <f>VLOOKUP(A:A,Table1[[Project No]:[Additional Remark]],19,FALSE)</f>
        <v>#REF!</v>
      </c>
      <c r="D424" s="4" t="e">
        <f>VLOOKUP(A:A,Table1[[Project No]:[Additional Remark]],20,FALSE)</f>
        <v>#REF!</v>
      </c>
      <c r="E424" s="4" t="e">
        <f>VLOOKUP(A:A,Table1[[Project No]:[Additional Remark]],21,FALSE)</f>
        <v>#REF!</v>
      </c>
      <c r="F424" s="4" t="e">
        <f>VLOOKUP(A:A,Table1[[Project No]:[Additional Remark]],22,FALSE)</f>
        <v>#REF!</v>
      </c>
      <c r="G424" s="55" t="e">
        <f>VLOOKUP(A:A,Table1[[Project No]:[Additional Remark]],11,FALSE)</f>
        <v>#REF!</v>
      </c>
      <c r="H424" s="4" t="e">
        <f>VLOOKUP(A:A,Table1[[Project No]:[Additional Remark]],5,FALSE)</f>
        <v>#REF!</v>
      </c>
      <c r="I424" s="4" t="e">
        <f>VLOOKUP(A:A,Table1[[Project No]:[Additional Remark]],8,FALSE)</f>
        <v>#REF!</v>
      </c>
      <c r="J424" s="4" t="e">
        <f>VLOOKUP(A:A,Table1[[Project No]:[Additional Remark]],23,FALSE)</f>
        <v>#REF!</v>
      </c>
      <c r="K424" s="4"/>
      <c r="L424" s="4"/>
      <c r="M424" s="4"/>
      <c r="N424" s="4"/>
      <c r="O424" s="4"/>
      <c r="P424" s="4"/>
      <c r="Q424" s="4"/>
      <c r="R424" s="4"/>
      <c r="S424" s="4"/>
      <c r="T424" s="4"/>
      <c r="U424" s="4"/>
      <c r="V424" s="4"/>
    </row>
    <row r="425" spans="1:22" x14ac:dyDescent="0.3">
      <c r="A425" s="4" t="e">
        <f>'ECN Master Project Tracker new'!#REF!</f>
        <v>#REF!</v>
      </c>
      <c r="B425" s="108" t="e">
        <f>VLOOKUP(A:A,Table1[[#All],[Project No]:[Additional Remark]],2,FALSE)</f>
        <v>#REF!</v>
      </c>
      <c r="C425" s="4" t="e">
        <f>VLOOKUP(A:A,Table1[[Project No]:[Additional Remark]],19,FALSE)</f>
        <v>#REF!</v>
      </c>
      <c r="D425" s="4" t="e">
        <f>VLOOKUP(A:A,Table1[[Project No]:[Additional Remark]],20,FALSE)</f>
        <v>#REF!</v>
      </c>
      <c r="E425" s="4" t="e">
        <f>VLOOKUP(A:A,Table1[[Project No]:[Additional Remark]],21,FALSE)</f>
        <v>#REF!</v>
      </c>
      <c r="F425" s="4" t="e">
        <f>VLOOKUP(A:A,Table1[[Project No]:[Additional Remark]],22,FALSE)</f>
        <v>#REF!</v>
      </c>
      <c r="G425" s="55" t="e">
        <f>VLOOKUP(A:A,Table1[[Project No]:[Additional Remark]],11,FALSE)</f>
        <v>#REF!</v>
      </c>
      <c r="H425" s="4" t="e">
        <f>VLOOKUP(A:A,Table1[[Project No]:[Additional Remark]],5,FALSE)</f>
        <v>#REF!</v>
      </c>
      <c r="I425" s="4" t="e">
        <f>VLOOKUP(A:A,Table1[[Project No]:[Additional Remark]],8,FALSE)</f>
        <v>#REF!</v>
      </c>
      <c r="J425" s="4" t="e">
        <f>VLOOKUP(A:A,Table1[[Project No]:[Additional Remark]],23,FALSE)</f>
        <v>#REF!</v>
      </c>
      <c r="K425" s="4"/>
      <c r="L425" s="4"/>
      <c r="M425" s="4"/>
      <c r="N425" s="4"/>
      <c r="O425" s="4"/>
      <c r="P425" s="4"/>
      <c r="Q425" s="4"/>
      <c r="R425" s="4"/>
      <c r="S425" s="4"/>
      <c r="T425" s="4"/>
      <c r="U425" s="4"/>
      <c r="V425" s="4"/>
    </row>
    <row r="426" spans="1:22" x14ac:dyDescent="0.3">
      <c r="A426" s="4" t="e">
        <f>'ECN Master Project Tracker new'!#REF!</f>
        <v>#REF!</v>
      </c>
      <c r="B426" s="108" t="e">
        <f>VLOOKUP(A:A,Table1[[#All],[Project No]:[Additional Remark]],2,FALSE)</f>
        <v>#REF!</v>
      </c>
      <c r="C426" s="4" t="e">
        <f>VLOOKUP(A:A,Table1[[Project No]:[Additional Remark]],19,FALSE)</f>
        <v>#REF!</v>
      </c>
      <c r="D426" s="4" t="e">
        <f>VLOOKUP(A:A,Table1[[Project No]:[Additional Remark]],20,FALSE)</f>
        <v>#REF!</v>
      </c>
      <c r="E426" s="4" t="e">
        <f>VLOOKUP(A:A,Table1[[Project No]:[Additional Remark]],21,FALSE)</f>
        <v>#REF!</v>
      </c>
      <c r="F426" s="4" t="e">
        <f>VLOOKUP(A:A,Table1[[Project No]:[Additional Remark]],22,FALSE)</f>
        <v>#REF!</v>
      </c>
      <c r="G426" s="55" t="e">
        <f>VLOOKUP(A:A,Table1[[Project No]:[Additional Remark]],11,FALSE)</f>
        <v>#REF!</v>
      </c>
      <c r="H426" s="4" t="e">
        <f>VLOOKUP(A:A,Table1[[Project No]:[Additional Remark]],5,FALSE)</f>
        <v>#REF!</v>
      </c>
      <c r="I426" s="4" t="e">
        <f>VLOOKUP(A:A,Table1[[Project No]:[Additional Remark]],8,FALSE)</f>
        <v>#REF!</v>
      </c>
      <c r="J426" s="4" t="e">
        <f>VLOOKUP(A:A,Table1[[Project No]:[Additional Remark]],23,FALSE)</f>
        <v>#REF!</v>
      </c>
      <c r="K426" s="4"/>
      <c r="L426" s="4"/>
      <c r="M426" s="4"/>
      <c r="N426" s="4"/>
      <c r="O426" s="4"/>
      <c r="P426" s="4"/>
      <c r="Q426" s="4"/>
      <c r="R426" s="4"/>
      <c r="S426" s="4"/>
      <c r="T426" s="4"/>
      <c r="U426" s="4"/>
      <c r="V426" s="4"/>
    </row>
    <row r="427" spans="1:22" x14ac:dyDescent="0.3">
      <c r="A427" s="4" t="e">
        <f>'ECN Master Project Tracker new'!#REF!</f>
        <v>#REF!</v>
      </c>
      <c r="B427" s="108" t="e">
        <f>VLOOKUP(A:A,Table1[[#All],[Project No]:[Additional Remark]],2,FALSE)</f>
        <v>#REF!</v>
      </c>
      <c r="C427" s="4" t="e">
        <f>VLOOKUP(A:A,Table1[[Project No]:[Additional Remark]],19,FALSE)</f>
        <v>#REF!</v>
      </c>
      <c r="D427" s="4" t="e">
        <f>VLOOKUP(A:A,Table1[[Project No]:[Additional Remark]],20,FALSE)</f>
        <v>#REF!</v>
      </c>
      <c r="E427" s="4" t="e">
        <f>VLOOKUP(A:A,Table1[[Project No]:[Additional Remark]],21,FALSE)</f>
        <v>#REF!</v>
      </c>
      <c r="F427" s="4" t="e">
        <f>VLOOKUP(A:A,Table1[[Project No]:[Additional Remark]],22,FALSE)</f>
        <v>#REF!</v>
      </c>
      <c r="G427" s="55" t="e">
        <f>VLOOKUP(A:A,Table1[[Project No]:[Additional Remark]],11,FALSE)</f>
        <v>#REF!</v>
      </c>
      <c r="H427" s="4" t="e">
        <f>VLOOKUP(A:A,Table1[[Project No]:[Additional Remark]],5,FALSE)</f>
        <v>#REF!</v>
      </c>
      <c r="I427" s="4" t="e">
        <f>VLOOKUP(A:A,Table1[[Project No]:[Additional Remark]],8,FALSE)</f>
        <v>#REF!</v>
      </c>
      <c r="J427" s="4" t="e">
        <f>VLOOKUP(A:A,Table1[[Project No]:[Additional Remark]],23,FALSE)</f>
        <v>#REF!</v>
      </c>
      <c r="K427" s="4"/>
      <c r="L427" s="4"/>
      <c r="M427" s="4"/>
      <c r="N427" s="4"/>
      <c r="O427" s="4"/>
      <c r="P427" s="4"/>
      <c r="Q427" s="4"/>
      <c r="R427" s="4"/>
      <c r="S427" s="4"/>
      <c r="T427" s="4"/>
      <c r="U427" s="4"/>
      <c r="V427" s="4"/>
    </row>
    <row r="428" spans="1:22" x14ac:dyDescent="0.3">
      <c r="A428" s="4" t="e">
        <f>'ECN Master Project Tracker new'!#REF!</f>
        <v>#REF!</v>
      </c>
      <c r="B428" s="108" t="e">
        <f>VLOOKUP(A:A,Table1[[#All],[Project No]:[Additional Remark]],2,FALSE)</f>
        <v>#REF!</v>
      </c>
      <c r="C428" s="4" t="e">
        <f>VLOOKUP(A:A,Table1[[Project No]:[Additional Remark]],19,FALSE)</f>
        <v>#REF!</v>
      </c>
      <c r="D428" s="4" t="e">
        <f>VLOOKUP(A:A,Table1[[Project No]:[Additional Remark]],20,FALSE)</f>
        <v>#REF!</v>
      </c>
      <c r="E428" s="4" t="e">
        <f>VLOOKUP(A:A,Table1[[Project No]:[Additional Remark]],21,FALSE)</f>
        <v>#REF!</v>
      </c>
      <c r="F428" s="4" t="e">
        <f>VLOOKUP(A:A,Table1[[Project No]:[Additional Remark]],22,FALSE)</f>
        <v>#REF!</v>
      </c>
      <c r="G428" s="55" t="e">
        <f>VLOOKUP(A:A,Table1[[Project No]:[Additional Remark]],11,FALSE)</f>
        <v>#REF!</v>
      </c>
      <c r="H428" s="4" t="e">
        <f>VLOOKUP(A:A,Table1[[Project No]:[Additional Remark]],5,FALSE)</f>
        <v>#REF!</v>
      </c>
      <c r="I428" s="4" t="e">
        <f>VLOOKUP(A:A,Table1[[Project No]:[Additional Remark]],8,FALSE)</f>
        <v>#REF!</v>
      </c>
      <c r="J428" s="4" t="e">
        <f>VLOOKUP(A:A,Table1[[Project No]:[Additional Remark]],23,FALSE)</f>
        <v>#REF!</v>
      </c>
      <c r="K428" s="4"/>
      <c r="L428" s="4"/>
      <c r="M428" s="4"/>
      <c r="N428" s="4"/>
      <c r="O428" s="4"/>
      <c r="P428" s="4"/>
      <c r="Q428" s="4"/>
      <c r="R428" s="4"/>
      <c r="S428" s="4"/>
      <c r="T428" s="4"/>
      <c r="U428" s="4"/>
      <c r="V428" s="4"/>
    </row>
    <row r="429" spans="1:22" x14ac:dyDescent="0.3">
      <c r="A429" s="4" t="e">
        <f>'ECN Master Project Tracker new'!#REF!</f>
        <v>#REF!</v>
      </c>
      <c r="B429" s="108" t="e">
        <f>VLOOKUP(A:A,Table1[[#All],[Project No]:[Additional Remark]],2,FALSE)</f>
        <v>#REF!</v>
      </c>
      <c r="C429" s="4" t="e">
        <f>VLOOKUP(A:A,Table1[[Project No]:[Additional Remark]],19,FALSE)</f>
        <v>#REF!</v>
      </c>
      <c r="D429" s="4" t="e">
        <f>VLOOKUP(A:A,Table1[[Project No]:[Additional Remark]],20,FALSE)</f>
        <v>#REF!</v>
      </c>
      <c r="E429" s="4" t="e">
        <f>VLOOKUP(A:A,Table1[[Project No]:[Additional Remark]],21,FALSE)</f>
        <v>#REF!</v>
      </c>
      <c r="F429" s="4" t="e">
        <f>VLOOKUP(A:A,Table1[[Project No]:[Additional Remark]],22,FALSE)</f>
        <v>#REF!</v>
      </c>
      <c r="G429" s="55" t="e">
        <f>VLOOKUP(A:A,Table1[[Project No]:[Additional Remark]],11,FALSE)</f>
        <v>#REF!</v>
      </c>
      <c r="H429" s="4" t="e">
        <f>VLOOKUP(A:A,Table1[[Project No]:[Additional Remark]],5,FALSE)</f>
        <v>#REF!</v>
      </c>
      <c r="I429" s="4" t="e">
        <f>VLOOKUP(A:A,Table1[[Project No]:[Additional Remark]],8,FALSE)</f>
        <v>#REF!</v>
      </c>
      <c r="J429" s="4" t="e">
        <f>VLOOKUP(A:A,Table1[[Project No]:[Additional Remark]],23,FALSE)</f>
        <v>#REF!</v>
      </c>
      <c r="K429" s="4"/>
      <c r="L429" s="4"/>
      <c r="M429" s="4"/>
      <c r="N429" s="4"/>
      <c r="O429" s="4"/>
      <c r="P429" s="4"/>
      <c r="Q429" s="4"/>
      <c r="R429" s="4"/>
      <c r="S429" s="4"/>
      <c r="T429" s="4"/>
      <c r="U429" s="4"/>
      <c r="V429" s="4"/>
    </row>
    <row r="430" spans="1:22" x14ac:dyDescent="0.3">
      <c r="A430" s="4" t="e">
        <f>'ECN Master Project Tracker new'!#REF!</f>
        <v>#REF!</v>
      </c>
      <c r="B430" s="108" t="e">
        <f>VLOOKUP(A:A,Table1[[#All],[Project No]:[Additional Remark]],2,FALSE)</f>
        <v>#REF!</v>
      </c>
      <c r="C430" s="4" t="e">
        <f>VLOOKUP(A:A,Table1[[Project No]:[Additional Remark]],19,FALSE)</f>
        <v>#REF!</v>
      </c>
      <c r="D430" s="4" t="e">
        <f>VLOOKUP(A:A,Table1[[Project No]:[Additional Remark]],20,FALSE)</f>
        <v>#REF!</v>
      </c>
      <c r="E430" s="4" t="e">
        <f>VLOOKUP(A:A,Table1[[Project No]:[Additional Remark]],21,FALSE)</f>
        <v>#REF!</v>
      </c>
      <c r="F430" s="4" t="e">
        <f>VLOOKUP(A:A,Table1[[Project No]:[Additional Remark]],22,FALSE)</f>
        <v>#REF!</v>
      </c>
      <c r="G430" s="55" t="e">
        <f>VLOOKUP(A:A,Table1[[Project No]:[Additional Remark]],11,FALSE)</f>
        <v>#REF!</v>
      </c>
      <c r="H430" s="4" t="e">
        <f>VLOOKUP(A:A,Table1[[Project No]:[Additional Remark]],5,FALSE)</f>
        <v>#REF!</v>
      </c>
      <c r="I430" s="4" t="e">
        <f>VLOOKUP(A:A,Table1[[Project No]:[Additional Remark]],8,FALSE)</f>
        <v>#REF!</v>
      </c>
      <c r="J430" s="4" t="e">
        <f>VLOOKUP(A:A,Table1[[Project No]:[Additional Remark]],23,FALSE)</f>
        <v>#REF!</v>
      </c>
      <c r="K430" s="4"/>
      <c r="L430" s="4"/>
      <c r="M430" s="4"/>
      <c r="N430" s="4"/>
      <c r="O430" s="4"/>
      <c r="P430" s="4"/>
      <c r="Q430" s="4"/>
      <c r="R430" s="4"/>
      <c r="S430" s="4"/>
      <c r="T430" s="4"/>
      <c r="U430" s="4"/>
      <c r="V430" s="4"/>
    </row>
    <row r="431" spans="1:22" x14ac:dyDescent="0.3">
      <c r="A431" s="4" t="e">
        <f>'ECN Master Project Tracker new'!#REF!</f>
        <v>#REF!</v>
      </c>
      <c r="B431" s="108" t="e">
        <f>VLOOKUP(A:A,Table1[[#All],[Project No]:[Additional Remark]],2,FALSE)</f>
        <v>#REF!</v>
      </c>
      <c r="C431" s="4" t="e">
        <f>VLOOKUP(A:A,Table1[[Project No]:[Additional Remark]],19,FALSE)</f>
        <v>#REF!</v>
      </c>
      <c r="D431" s="4" t="e">
        <f>VLOOKUP(A:A,Table1[[Project No]:[Additional Remark]],20,FALSE)</f>
        <v>#REF!</v>
      </c>
      <c r="E431" s="4" t="e">
        <f>VLOOKUP(A:A,Table1[[Project No]:[Additional Remark]],21,FALSE)</f>
        <v>#REF!</v>
      </c>
      <c r="F431" s="4" t="e">
        <f>VLOOKUP(A:A,Table1[[Project No]:[Additional Remark]],22,FALSE)</f>
        <v>#REF!</v>
      </c>
      <c r="G431" s="55" t="e">
        <f>VLOOKUP(A:A,Table1[[Project No]:[Additional Remark]],11,FALSE)</f>
        <v>#REF!</v>
      </c>
      <c r="H431" s="4" t="e">
        <f>VLOOKUP(A:A,Table1[[Project No]:[Additional Remark]],5,FALSE)</f>
        <v>#REF!</v>
      </c>
      <c r="I431" s="4" t="e">
        <f>VLOOKUP(A:A,Table1[[Project No]:[Additional Remark]],8,FALSE)</f>
        <v>#REF!</v>
      </c>
      <c r="J431" s="4" t="e">
        <f>VLOOKUP(A:A,Table1[[Project No]:[Additional Remark]],23,FALSE)</f>
        <v>#REF!</v>
      </c>
      <c r="K431" s="4"/>
      <c r="L431" s="4"/>
      <c r="M431" s="4"/>
      <c r="N431" s="4"/>
      <c r="O431" s="4"/>
      <c r="P431" s="4"/>
      <c r="Q431" s="4"/>
      <c r="R431" s="4"/>
      <c r="S431" s="4"/>
      <c r="T431" s="4"/>
      <c r="U431" s="4"/>
      <c r="V431" s="4"/>
    </row>
    <row r="432" spans="1:22" x14ac:dyDescent="0.3">
      <c r="A432" s="4" t="e">
        <f>'ECN Master Project Tracker new'!#REF!</f>
        <v>#REF!</v>
      </c>
      <c r="B432" s="108" t="e">
        <f>VLOOKUP(A:A,Table1[[#All],[Project No]:[Additional Remark]],2,FALSE)</f>
        <v>#REF!</v>
      </c>
      <c r="C432" s="4" t="e">
        <f>VLOOKUP(A:A,Table1[[Project No]:[Additional Remark]],19,FALSE)</f>
        <v>#REF!</v>
      </c>
      <c r="D432" s="4" t="e">
        <f>VLOOKUP(A:A,Table1[[Project No]:[Additional Remark]],20,FALSE)</f>
        <v>#REF!</v>
      </c>
      <c r="E432" s="4" t="e">
        <f>VLOOKUP(A:A,Table1[[Project No]:[Additional Remark]],21,FALSE)</f>
        <v>#REF!</v>
      </c>
      <c r="F432" s="4" t="e">
        <f>VLOOKUP(A:A,Table1[[Project No]:[Additional Remark]],22,FALSE)</f>
        <v>#REF!</v>
      </c>
      <c r="G432" s="55" t="e">
        <f>VLOOKUP(A:A,Table1[[Project No]:[Additional Remark]],11,FALSE)</f>
        <v>#REF!</v>
      </c>
      <c r="H432" s="4" t="e">
        <f>VLOOKUP(A:A,Table1[[Project No]:[Additional Remark]],5,FALSE)</f>
        <v>#REF!</v>
      </c>
      <c r="I432" s="4" t="e">
        <f>VLOOKUP(A:A,Table1[[Project No]:[Additional Remark]],8,FALSE)</f>
        <v>#REF!</v>
      </c>
      <c r="J432" s="4" t="e">
        <f>VLOOKUP(A:A,Table1[[Project No]:[Additional Remark]],23,FALSE)</f>
        <v>#REF!</v>
      </c>
      <c r="K432" s="4"/>
      <c r="L432" s="4"/>
      <c r="M432" s="4"/>
      <c r="N432" s="4"/>
      <c r="O432" s="4"/>
      <c r="P432" s="4"/>
      <c r="Q432" s="4"/>
      <c r="R432" s="4"/>
      <c r="S432" s="4"/>
      <c r="T432" s="4"/>
      <c r="U432" s="4"/>
      <c r="V432" s="4"/>
    </row>
    <row r="433" spans="1:22" x14ac:dyDescent="0.3">
      <c r="A433" s="4" t="e">
        <f>'ECN Master Project Tracker new'!#REF!</f>
        <v>#REF!</v>
      </c>
      <c r="B433" s="108" t="e">
        <f>VLOOKUP(A:A,Table1[[#All],[Project No]:[Additional Remark]],2,FALSE)</f>
        <v>#REF!</v>
      </c>
      <c r="C433" s="4" t="e">
        <f>VLOOKUP(A:A,Table1[[Project No]:[Additional Remark]],19,FALSE)</f>
        <v>#REF!</v>
      </c>
      <c r="D433" s="4" t="e">
        <f>VLOOKUP(A:A,Table1[[Project No]:[Additional Remark]],20,FALSE)</f>
        <v>#REF!</v>
      </c>
      <c r="E433" s="4" t="e">
        <f>VLOOKUP(A:A,Table1[[Project No]:[Additional Remark]],21,FALSE)</f>
        <v>#REF!</v>
      </c>
      <c r="F433" s="4" t="e">
        <f>VLOOKUP(A:A,Table1[[Project No]:[Additional Remark]],22,FALSE)</f>
        <v>#REF!</v>
      </c>
      <c r="G433" s="55" t="e">
        <f>VLOOKUP(A:A,Table1[[Project No]:[Additional Remark]],11,FALSE)</f>
        <v>#REF!</v>
      </c>
      <c r="H433" s="4" t="e">
        <f>VLOOKUP(A:A,Table1[[Project No]:[Additional Remark]],5,FALSE)</f>
        <v>#REF!</v>
      </c>
      <c r="I433" s="4" t="e">
        <f>VLOOKUP(A:A,Table1[[Project No]:[Additional Remark]],8,FALSE)</f>
        <v>#REF!</v>
      </c>
      <c r="J433" s="4" t="e">
        <f>VLOOKUP(A:A,Table1[[Project No]:[Additional Remark]],23,FALSE)</f>
        <v>#REF!</v>
      </c>
      <c r="K433" s="4"/>
      <c r="L433" s="4"/>
      <c r="M433" s="4"/>
      <c r="N433" s="4"/>
      <c r="O433" s="4"/>
      <c r="P433" s="4"/>
      <c r="Q433" s="4"/>
      <c r="R433" s="4"/>
      <c r="S433" s="4"/>
      <c r="T433" s="4"/>
      <c r="U433" s="4"/>
      <c r="V433" s="4"/>
    </row>
    <row r="434" spans="1:22" x14ac:dyDescent="0.3">
      <c r="A434" s="4" t="e">
        <f>'ECN Master Project Tracker new'!#REF!</f>
        <v>#REF!</v>
      </c>
      <c r="B434" s="108" t="e">
        <f>VLOOKUP(A:A,Table1[[#All],[Project No]:[Additional Remark]],2,FALSE)</f>
        <v>#REF!</v>
      </c>
      <c r="C434" s="4" t="e">
        <f>VLOOKUP(A:A,Table1[[Project No]:[Additional Remark]],19,FALSE)</f>
        <v>#REF!</v>
      </c>
      <c r="D434" s="4" t="e">
        <f>VLOOKUP(A:A,Table1[[Project No]:[Additional Remark]],20,FALSE)</f>
        <v>#REF!</v>
      </c>
      <c r="E434" s="4" t="e">
        <f>VLOOKUP(A:A,Table1[[Project No]:[Additional Remark]],21,FALSE)</f>
        <v>#REF!</v>
      </c>
      <c r="F434" s="4" t="e">
        <f>VLOOKUP(A:A,Table1[[Project No]:[Additional Remark]],22,FALSE)</f>
        <v>#REF!</v>
      </c>
      <c r="G434" s="55" t="e">
        <f>VLOOKUP(A:A,Table1[[Project No]:[Additional Remark]],11,FALSE)</f>
        <v>#REF!</v>
      </c>
      <c r="H434" s="4" t="e">
        <f>VLOOKUP(A:A,Table1[[Project No]:[Additional Remark]],5,FALSE)</f>
        <v>#REF!</v>
      </c>
      <c r="I434" s="4" t="e">
        <f>VLOOKUP(A:A,Table1[[Project No]:[Additional Remark]],8,FALSE)</f>
        <v>#REF!</v>
      </c>
      <c r="J434" s="4" t="e">
        <f>VLOOKUP(A:A,Table1[[Project No]:[Additional Remark]],23,FALSE)</f>
        <v>#REF!</v>
      </c>
      <c r="K434" s="4"/>
      <c r="L434" s="4"/>
      <c r="M434" s="4"/>
      <c r="N434" s="4"/>
      <c r="O434" s="4"/>
      <c r="P434" s="4"/>
      <c r="Q434" s="4"/>
      <c r="R434" s="4"/>
      <c r="S434" s="4"/>
      <c r="T434" s="4"/>
      <c r="U434" s="4"/>
      <c r="V434" s="4"/>
    </row>
    <row r="435" spans="1:22" x14ac:dyDescent="0.3">
      <c r="A435" s="4" t="e">
        <f>'ECN Master Project Tracker new'!#REF!</f>
        <v>#REF!</v>
      </c>
      <c r="B435" s="108" t="e">
        <f>VLOOKUP(A:A,Table1[[#All],[Project No]:[Additional Remark]],2,FALSE)</f>
        <v>#REF!</v>
      </c>
      <c r="C435" s="4" t="e">
        <f>VLOOKUP(A:A,Table1[[Project No]:[Additional Remark]],19,FALSE)</f>
        <v>#REF!</v>
      </c>
      <c r="D435" s="4" t="e">
        <f>VLOOKUP(A:A,Table1[[Project No]:[Additional Remark]],20,FALSE)</f>
        <v>#REF!</v>
      </c>
      <c r="E435" s="4" t="e">
        <f>VLOOKUP(A:A,Table1[[Project No]:[Additional Remark]],21,FALSE)</f>
        <v>#REF!</v>
      </c>
      <c r="F435" s="4" t="e">
        <f>VLOOKUP(A:A,Table1[[Project No]:[Additional Remark]],22,FALSE)</f>
        <v>#REF!</v>
      </c>
      <c r="G435" s="55" t="e">
        <f>VLOOKUP(A:A,Table1[[Project No]:[Additional Remark]],11,FALSE)</f>
        <v>#REF!</v>
      </c>
      <c r="H435" s="4" t="e">
        <f>VLOOKUP(A:A,Table1[[Project No]:[Additional Remark]],5,FALSE)</f>
        <v>#REF!</v>
      </c>
      <c r="I435" s="4" t="e">
        <f>VLOOKUP(A:A,Table1[[Project No]:[Additional Remark]],8,FALSE)</f>
        <v>#REF!</v>
      </c>
      <c r="J435" s="4" t="e">
        <f>VLOOKUP(A:A,Table1[[Project No]:[Additional Remark]],23,FALSE)</f>
        <v>#REF!</v>
      </c>
      <c r="K435" s="4"/>
      <c r="L435" s="4"/>
      <c r="M435" s="4"/>
      <c r="N435" s="4"/>
      <c r="O435" s="4"/>
      <c r="P435" s="4"/>
      <c r="Q435" s="4"/>
      <c r="R435" s="4"/>
      <c r="S435" s="4"/>
      <c r="T435" s="4"/>
      <c r="U435" s="4"/>
      <c r="V435" s="4"/>
    </row>
    <row r="436" spans="1:22" x14ac:dyDescent="0.3">
      <c r="A436" s="4" t="e">
        <f>'ECN Master Project Tracker new'!#REF!</f>
        <v>#REF!</v>
      </c>
      <c r="B436" s="108" t="e">
        <f>VLOOKUP(A:A,Table1[[#All],[Project No]:[Additional Remark]],2,FALSE)</f>
        <v>#REF!</v>
      </c>
      <c r="C436" s="4" t="e">
        <f>VLOOKUP(A:A,Table1[[Project No]:[Additional Remark]],19,FALSE)</f>
        <v>#REF!</v>
      </c>
      <c r="D436" s="4" t="e">
        <f>VLOOKUP(A:A,Table1[[Project No]:[Additional Remark]],20,FALSE)</f>
        <v>#REF!</v>
      </c>
      <c r="E436" s="4" t="e">
        <f>VLOOKUP(A:A,Table1[[Project No]:[Additional Remark]],21,FALSE)</f>
        <v>#REF!</v>
      </c>
      <c r="F436" s="4" t="e">
        <f>VLOOKUP(A:A,Table1[[Project No]:[Additional Remark]],22,FALSE)</f>
        <v>#REF!</v>
      </c>
      <c r="G436" s="55" t="e">
        <f>VLOOKUP(A:A,Table1[[Project No]:[Additional Remark]],11,FALSE)</f>
        <v>#REF!</v>
      </c>
      <c r="H436" s="4" t="e">
        <f>VLOOKUP(A:A,Table1[[Project No]:[Additional Remark]],5,FALSE)</f>
        <v>#REF!</v>
      </c>
      <c r="I436" s="4" t="e">
        <f>VLOOKUP(A:A,Table1[[Project No]:[Additional Remark]],8,FALSE)</f>
        <v>#REF!</v>
      </c>
      <c r="J436" s="4" t="e">
        <f>VLOOKUP(A:A,Table1[[Project No]:[Additional Remark]],23,FALSE)</f>
        <v>#REF!</v>
      </c>
      <c r="K436" s="4"/>
      <c r="L436" s="4"/>
      <c r="M436" s="4"/>
      <c r="N436" s="4"/>
      <c r="O436" s="4"/>
      <c r="P436" s="4"/>
      <c r="Q436" s="4"/>
      <c r="R436" s="4"/>
      <c r="S436" s="4"/>
      <c r="T436" s="4"/>
      <c r="U436" s="4"/>
      <c r="V436" s="4"/>
    </row>
    <row r="437" spans="1:22" x14ac:dyDescent="0.3">
      <c r="A437" s="4" t="e">
        <f>'ECN Master Project Tracker new'!#REF!</f>
        <v>#REF!</v>
      </c>
      <c r="B437" s="108" t="e">
        <f>VLOOKUP(A:A,Table1[[#All],[Project No]:[Additional Remark]],2,FALSE)</f>
        <v>#REF!</v>
      </c>
      <c r="C437" s="4" t="e">
        <f>VLOOKUP(A:A,Table1[[Project No]:[Additional Remark]],19,FALSE)</f>
        <v>#REF!</v>
      </c>
      <c r="D437" s="4" t="e">
        <f>VLOOKUP(A:A,Table1[[Project No]:[Additional Remark]],20,FALSE)</f>
        <v>#REF!</v>
      </c>
      <c r="E437" s="4" t="e">
        <f>VLOOKUP(A:A,Table1[[Project No]:[Additional Remark]],21,FALSE)</f>
        <v>#REF!</v>
      </c>
      <c r="F437" s="4" t="e">
        <f>VLOOKUP(A:A,Table1[[Project No]:[Additional Remark]],22,FALSE)</f>
        <v>#REF!</v>
      </c>
      <c r="G437" s="55" t="e">
        <f>VLOOKUP(A:A,Table1[[Project No]:[Additional Remark]],11,FALSE)</f>
        <v>#REF!</v>
      </c>
      <c r="H437" s="4" t="e">
        <f>VLOOKUP(A:A,Table1[[Project No]:[Additional Remark]],5,FALSE)</f>
        <v>#REF!</v>
      </c>
      <c r="I437" s="4" t="e">
        <f>VLOOKUP(A:A,Table1[[Project No]:[Additional Remark]],8,FALSE)</f>
        <v>#REF!</v>
      </c>
      <c r="J437" s="4" t="e">
        <f>VLOOKUP(A:A,Table1[[Project No]:[Additional Remark]],23,FALSE)</f>
        <v>#REF!</v>
      </c>
      <c r="K437" s="4"/>
      <c r="L437" s="4"/>
      <c r="M437" s="4"/>
      <c r="N437" s="4"/>
      <c r="O437" s="4"/>
      <c r="P437" s="4"/>
      <c r="Q437" s="4"/>
      <c r="R437" s="4"/>
      <c r="S437" s="4"/>
      <c r="T437" s="4"/>
      <c r="U437" s="4"/>
      <c r="V437" s="4"/>
    </row>
    <row r="438" spans="1:22" x14ac:dyDescent="0.3">
      <c r="A438" s="4" t="e">
        <f>'ECN Master Project Tracker new'!#REF!</f>
        <v>#REF!</v>
      </c>
      <c r="B438" s="108" t="e">
        <f>VLOOKUP(A:A,Table1[[#All],[Project No]:[Additional Remark]],2,FALSE)</f>
        <v>#REF!</v>
      </c>
      <c r="C438" s="4" t="e">
        <f>VLOOKUP(A:A,Table1[[Project No]:[Additional Remark]],19,FALSE)</f>
        <v>#REF!</v>
      </c>
      <c r="D438" s="4" t="e">
        <f>VLOOKUP(A:A,Table1[[Project No]:[Additional Remark]],20,FALSE)</f>
        <v>#REF!</v>
      </c>
      <c r="E438" s="4" t="e">
        <f>VLOOKUP(A:A,Table1[[Project No]:[Additional Remark]],21,FALSE)</f>
        <v>#REF!</v>
      </c>
      <c r="F438" s="4" t="e">
        <f>VLOOKUP(A:A,Table1[[Project No]:[Additional Remark]],22,FALSE)</f>
        <v>#REF!</v>
      </c>
      <c r="G438" s="55" t="e">
        <f>VLOOKUP(A:A,Table1[[Project No]:[Additional Remark]],11,FALSE)</f>
        <v>#REF!</v>
      </c>
      <c r="H438" s="4" t="e">
        <f>VLOOKUP(A:A,Table1[[Project No]:[Additional Remark]],5,FALSE)</f>
        <v>#REF!</v>
      </c>
      <c r="I438" s="4" t="e">
        <f>VLOOKUP(A:A,Table1[[Project No]:[Additional Remark]],8,FALSE)</f>
        <v>#REF!</v>
      </c>
      <c r="J438" s="4" t="e">
        <f>VLOOKUP(A:A,Table1[[Project No]:[Additional Remark]],23,FALSE)</f>
        <v>#REF!</v>
      </c>
      <c r="K438" s="4"/>
      <c r="L438" s="4"/>
      <c r="M438" s="4"/>
      <c r="N438" s="4"/>
      <c r="O438" s="4"/>
      <c r="P438" s="4"/>
      <c r="Q438" s="4"/>
      <c r="R438" s="4"/>
      <c r="S438" s="4"/>
      <c r="T438" s="4"/>
      <c r="U438" s="4"/>
      <c r="V438" s="4"/>
    </row>
    <row r="439" spans="1:22" x14ac:dyDescent="0.3">
      <c r="A439" s="4" t="e">
        <f>'ECN Master Project Tracker new'!#REF!</f>
        <v>#REF!</v>
      </c>
      <c r="B439" s="108" t="e">
        <f>VLOOKUP(A:A,Table1[[#All],[Project No]:[Additional Remark]],2,FALSE)</f>
        <v>#REF!</v>
      </c>
      <c r="C439" s="4" t="e">
        <f>VLOOKUP(A:A,Table1[[Project No]:[Additional Remark]],19,FALSE)</f>
        <v>#REF!</v>
      </c>
      <c r="D439" s="4" t="e">
        <f>VLOOKUP(A:A,Table1[[Project No]:[Additional Remark]],20,FALSE)</f>
        <v>#REF!</v>
      </c>
      <c r="E439" s="4" t="e">
        <f>VLOOKUP(A:A,Table1[[Project No]:[Additional Remark]],21,FALSE)</f>
        <v>#REF!</v>
      </c>
      <c r="F439" s="4" t="e">
        <f>VLOOKUP(A:A,Table1[[Project No]:[Additional Remark]],22,FALSE)</f>
        <v>#REF!</v>
      </c>
      <c r="G439" s="55" t="e">
        <f>VLOOKUP(A:A,Table1[[Project No]:[Additional Remark]],11,FALSE)</f>
        <v>#REF!</v>
      </c>
      <c r="H439" s="4" t="e">
        <f>VLOOKUP(A:A,Table1[[Project No]:[Additional Remark]],5,FALSE)</f>
        <v>#REF!</v>
      </c>
      <c r="I439" s="4" t="e">
        <f>VLOOKUP(A:A,Table1[[Project No]:[Additional Remark]],8,FALSE)</f>
        <v>#REF!</v>
      </c>
      <c r="J439" s="4" t="e">
        <f>VLOOKUP(A:A,Table1[[Project No]:[Additional Remark]],23,FALSE)</f>
        <v>#REF!</v>
      </c>
      <c r="K439" s="4"/>
      <c r="L439" s="4"/>
      <c r="M439" s="4"/>
      <c r="N439" s="4"/>
      <c r="O439" s="4"/>
      <c r="P439" s="4"/>
      <c r="Q439" s="4"/>
      <c r="R439" s="4"/>
      <c r="S439" s="4"/>
      <c r="T439" s="4"/>
      <c r="U439" s="4"/>
      <c r="V439" s="4"/>
    </row>
    <row r="440" spans="1:22" x14ac:dyDescent="0.3">
      <c r="A440" s="4" t="e">
        <f>'ECN Master Project Tracker new'!#REF!</f>
        <v>#REF!</v>
      </c>
      <c r="B440" s="108" t="e">
        <f>VLOOKUP(A:A,Table1[[#All],[Project No]:[Additional Remark]],2,FALSE)</f>
        <v>#REF!</v>
      </c>
      <c r="C440" s="4" t="e">
        <f>VLOOKUP(A:A,Table1[[Project No]:[Additional Remark]],19,FALSE)</f>
        <v>#REF!</v>
      </c>
      <c r="D440" s="4" t="e">
        <f>VLOOKUP(A:A,Table1[[Project No]:[Additional Remark]],20,FALSE)</f>
        <v>#REF!</v>
      </c>
      <c r="E440" s="4" t="e">
        <f>VLOOKUP(A:A,Table1[[Project No]:[Additional Remark]],21,FALSE)</f>
        <v>#REF!</v>
      </c>
      <c r="F440" s="4" t="e">
        <f>VLOOKUP(A:A,Table1[[Project No]:[Additional Remark]],22,FALSE)</f>
        <v>#REF!</v>
      </c>
      <c r="G440" s="55" t="e">
        <f>VLOOKUP(A:A,Table1[[Project No]:[Additional Remark]],11,FALSE)</f>
        <v>#REF!</v>
      </c>
      <c r="H440" s="4" t="e">
        <f>VLOOKUP(A:A,Table1[[Project No]:[Additional Remark]],5,FALSE)</f>
        <v>#REF!</v>
      </c>
      <c r="I440" s="4" t="e">
        <f>VLOOKUP(A:A,Table1[[Project No]:[Additional Remark]],8,FALSE)</f>
        <v>#REF!</v>
      </c>
      <c r="J440" s="4" t="e">
        <f>VLOOKUP(A:A,Table1[[Project No]:[Additional Remark]],23,FALSE)</f>
        <v>#REF!</v>
      </c>
      <c r="K440" s="4"/>
      <c r="L440" s="4"/>
      <c r="M440" s="4"/>
      <c r="N440" s="4"/>
      <c r="O440" s="4"/>
      <c r="P440" s="4"/>
      <c r="Q440" s="4"/>
      <c r="R440" s="4"/>
      <c r="S440" s="4"/>
      <c r="T440" s="4"/>
      <c r="U440" s="4"/>
      <c r="V440" s="4"/>
    </row>
    <row r="441" spans="1:22" x14ac:dyDescent="0.3">
      <c r="A441" s="4" t="e">
        <f>'ECN Master Project Tracker new'!#REF!</f>
        <v>#REF!</v>
      </c>
      <c r="B441" s="108" t="e">
        <f>VLOOKUP(A:A,Table1[[#All],[Project No]:[Additional Remark]],2,FALSE)</f>
        <v>#REF!</v>
      </c>
      <c r="C441" s="4" t="e">
        <f>VLOOKUP(A:A,Table1[[Project No]:[Additional Remark]],19,FALSE)</f>
        <v>#REF!</v>
      </c>
      <c r="D441" s="4" t="e">
        <f>VLOOKUP(A:A,Table1[[Project No]:[Additional Remark]],20,FALSE)</f>
        <v>#REF!</v>
      </c>
      <c r="E441" s="4" t="e">
        <f>VLOOKUP(A:A,Table1[[Project No]:[Additional Remark]],21,FALSE)</f>
        <v>#REF!</v>
      </c>
      <c r="F441" s="4" t="e">
        <f>VLOOKUP(A:A,Table1[[Project No]:[Additional Remark]],22,FALSE)</f>
        <v>#REF!</v>
      </c>
      <c r="G441" s="55" t="e">
        <f>VLOOKUP(A:A,Table1[[Project No]:[Additional Remark]],11,FALSE)</f>
        <v>#REF!</v>
      </c>
      <c r="H441" s="4" t="e">
        <f>VLOOKUP(A:A,Table1[[Project No]:[Additional Remark]],5,FALSE)</f>
        <v>#REF!</v>
      </c>
      <c r="I441" s="4" t="e">
        <f>VLOOKUP(A:A,Table1[[Project No]:[Additional Remark]],8,FALSE)</f>
        <v>#REF!</v>
      </c>
      <c r="J441" s="4" t="e">
        <f>VLOOKUP(A:A,Table1[[Project No]:[Additional Remark]],23,FALSE)</f>
        <v>#REF!</v>
      </c>
      <c r="K441" s="4"/>
      <c r="L441" s="4"/>
      <c r="M441" s="4"/>
      <c r="N441" s="4"/>
      <c r="O441" s="4"/>
      <c r="P441" s="4"/>
      <c r="Q441" s="4"/>
      <c r="R441" s="4"/>
      <c r="S441" s="4"/>
      <c r="T441" s="4"/>
      <c r="U441" s="4"/>
      <c r="V441" s="4"/>
    </row>
    <row r="442" spans="1:22" x14ac:dyDescent="0.3">
      <c r="A442" s="4" t="e">
        <f>'ECN Master Project Tracker new'!#REF!</f>
        <v>#REF!</v>
      </c>
      <c r="B442" s="108" t="e">
        <f>VLOOKUP(A:A,Table1[[#All],[Project No]:[Additional Remark]],2,FALSE)</f>
        <v>#REF!</v>
      </c>
      <c r="C442" s="4" t="e">
        <f>VLOOKUP(A:A,Table1[[Project No]:[Additional Remark]],19,FALSE)</f>
        <v>#REF!</v>
      </c>
      <c r="D442" s="4" t="e">
        <f>VLOOKUP(A:A,Table1[[Project No]:[Additional Remark]],20,FALSE)</f>
        <v>#REF!</v>
      </c>
      <c r="E442" s="4" t="e">
        <f>VLOOKUP(A:A,Table1[[Project No]:[Additional Remark]],21,FALSE)</f>
        <v>#REF!</v>
      </c>
      <c r="F442" s="4" t="e">
        <f>VLOOKUP(A:A,Table1[[Project No]:[Additional Remark]],22,FALSE)</f>
        <v>#REF!</v>
      </c>
      <c r="G442" s="55" t="e">
        <f>VLOOKUP(A:A,Table1[[Project No]:[Additional Remark]],11,FALSE)</f>
        <v>#REF!</v>
      </c>
      <c r="H442" s="4" t="e">
        <f>VLOOKUP(A:A,Table1[[Project No]:[Additional Remark]],5,FALSE)</f>
        <v>#REF!</v>
      </c>
      <c r="I442" s="4" t="e">
        <f>VLOOKUP(A:A,Table1[[Project No]:[Additional Remark]],8,FALSE)</f>
        <v>#REF!</v>
      </c>
      <c r="J442" s="4" t="e">
        <f>VLOOKUP(A:A,Table1[[Project No]:[Additional Remark]],23,FALSE)</f>
        <v>#REF!</v>
      </c>
      <c r="K442" s="4"/>
      <c r="L442" s="4"/>
      <c r="M442" s="4"/>
      <c r="N442" s="4"/>
      <c r="O442" s="4"/>
      <c r="P442" s="4"/>
      <c r="Q442" s="4"/>
      <c r="R442" s="4"/>
      <c r="S442" s="4"/>
      <c r="T442" s="4"/>
      <c r="U442" s="4"/>
      <c r="V442" s="4"/>
    </row>
    <row r="443" spans="1:22" x14ac:dyDescent="0.3">
      <c r="A443" s="4" t="e">
        <f>'ECN Master Project Tracker new'!#REF!</f>
        <v>#REF!</v>
      </c>
      <c r="B443" s="108" t="e">
        <f>VLOOKUP(A:A,Table1[[#All],[Project No]:[Additional Remark]],2,FALSE)</f>
        <v>#REF!</v>
      </c>
      <c r="C443" s="4" t="e">
        <f>VLOOKUP(A:A,Table1[[Project No]:[Additional Remark]],19,FALSE)</f>
        <v>#REF!</v>
      </c>
      <c r="D443" s="4" t="e">
        <f>VLOOKUP(A:A,Table1[[Project No]:[Additional Remark]],20,FALSE)</f>
        <v>#REF!</v>
      </c>
      <c r="E443" s="4" t="e">
        <f>VLOOKUP(A:A,Table1[[Project No]:[Additional Remark]],21,FALSE)</f>
        <v>#REF!</v>
      </c>
      <c r="F443" s="4" t="e">
        <f>VLOOKUP(A:A,Table1[[Project No]:[Additional Remark]],22,FALSE)</f>
        <v>#REF!</v>
      </c>
      <c r="G443" s="55" t="e">
        <f>VLOOKUP(A:A,Table1[[Project No]:[Additional Remark]],11,FALSE)</f>
        <v>#REF!</v>
      </c>
      <c r="H443" s="4" t="e">
        <f>VLOOKUP(A:A,Table1[[Project No]:[Additional Remark]],5,FALSE)</f>
        <v>#REF!</v>
      </c>
      <c r="I443" s="4" t="e">
        <f>VLOOKUP(A:A,Table1[[Project No]:[Additional Remark]],8,FALSE)</f>
        <v>#REF!</v>
      </c>
      <c r="J443" s="4" t="e">
        <f>VLOOKUP(A:A,Table1[[Project No]:[Additional Remark]],23,FALSE)</f>
        <v>#REF!</v>
      </c>
      <c r="K443" s="4"/>
      <c r="L443" s="4"/>
      <c r="M443" s="4"/>
      <c r="N443" s="4"/>
      <c r="O443" s="4"/>
      <c r="P443" s="4"/>
      <c r="Q443" s="4"/>
      <c r="R443" s="4"/>
      <c r="S443" s="4"/>
      <c r="T443" s="4"/>
      <c r="U443" s="4"/>
      <c r="V443" s="4"/>
    </row>
    <row r="444" spans="1:22" x14ac:dyDescent="0.3">
      <c r="A444" s="4" t="e">
        <f>'ECN Master Project Tracker new'!#REF!</f>
        <v>#REF!</v>
      </c>
      <c r="B444" s="108" t="e">
        <f>VLOOKUP(A:A,Table1[[#All],[Project No]:[Additional Remark]],2,FALSE)</f>
        <v>#REF!</v>
      </c>
      <c r="C444" s="4" t="e">
        <f>VLOOKUP(A:A,Table1[[Project No]:[Additional Remark]],19,FALSE)</f>
        <v>#REF!</v>
      </c>
      <c r="D444" s="4" t="e">
        <f>VLOOKUP(A:A,Table1[[Project No]:[Additional Remark]],20,FALSE)</f>
        <v>#REF!</v>
      </c>
      <c r="E444" s="4" t="e">
        <f>VLOOKUP(A:A,Table1[[Project No]:[Additional Remark]],21,FALSE)</f>
        <v>#REF!</v>
      </c>
      <c r="F444" s="4" t="e">
        <f>VLOOKUP(A:A,Table1[[Project No]:[Additional Remark]],22,FALSE)</f>
        <v>#REF!</v>
      </c>
      <c r="G444" s="55" t="e">
        <f>VLOOKUP(A:A,Table1[[Project No]:[Additional Remark]],11,FALSE)</f>
        <v>#REF!</v>
      </c>
      <c r="H444" s="4" t="e">
        <f>VLOOKUP(A:A,Table1[[Project No]:[Additional Remark]],5,FALSE)</f>
        <v>#REF!</v>
      </c>
      <c r="I444" s="4" t="e">
        <f>VLOOKUP(A:A,Table1[[Project No]:[Additional Remark]],8,FALSE)</f>
        <v>#REF!</v>
      </c>
      <c r="J444" s="4" t="e">
        <f>VLOOKUP(A:A,Table1[[Project No]:[Additional Remark]],23,FALSE)</f>
        <v>#REF!</v>
      </c>
      <c r="K444" s="4"/>
      <c r="L444" s="4"/>
      <c r="M444" s="4"/>
      <c r="N444" s="4"/>
      <c r="O444" s="4"/>
      <c r="P444" s="4"/>
      <c r="Q444" s="4"/>
      <c r="R444" s="4"/>
      <c r="S444" s="4"/>
      <c r="T444" s="4"/>
      <c r="U444" s="4"/>
      <c r="V444" s="4"/>
    </row>
    <row r="445" spans="1:22" x14ac:dyDescent="0.3">
      <c r="A445" s="4" t="e">
        <f>'ECN Master Project Tracker new'!#REF!</f>
        <v>#REF!</v>
      </c>
      <c r="B445" s="108" t="e">
        <f>VLOOKUP(A:A,Table1[[#All],[Project No]:[Additional Remark]],2,FALSE)</f>
        <v>#REF!</v>
      </c>
      <c r="C445" s="4" t="e">
        <f>VLOOKUP(A:A,Table1[[Project No]:[Additional Remark]],19,FALSE)</f>
        <v>#REF!</v>
      </c>
      <c r="D445" s="4" t="e">
        <f>VLOOKUP(A:A,Table1[[Project No]:[Additional Remark]],20,FALSE)</f>
        <v>#REF!</v>
      </c>
      <c r="E445" s="4" t="e">
        <f>VLOOKUP(A:A,Table1[[Project No]:[Additional Remark]],21,FALSE)</f>
        <v>#REF!</v>
      </c>
      <c r="F445" s="4" t="e">
        <f>VLOOKUP(A:A,Table1[[Project No]:[Additional Remark]],22,FALSE)</f>
        <v>#REF!</v>
      </c>
      <c r="G445" s="55" t="e">
        <f>VLOOKUP(A:A,Table1[[Project No]:[Additional Remark]],11,FALSE)</f>
        <v>#REF!</v>
      </c>
      <c r="H445" s="4" t="e">
        <f>VLOOKUP(A:A,Table1[[Project No]:[Additional Remark]],5,FALSE)</f>
        <v>#REF!</v>
      </c>
      <c r="I445" s="4" t="e">
        <f>VLOOKUP(A:A,Table1[[Project No]:[Additional Remark]],8,FALSE)</f>
        <v>#REF!</v>
      </c>
      <c r="J445" s="4" t="e">
        <f>VLOOKUP(A:A,Table1[[Project No]:[Additional Remark]],23,FALSE)</f>
        <v>#REF!</v>
      </c>
      <c r="K445" s="4"/>
      <c r="L445" s="4"/>
      <c r="M445" s="4"/>
      <c r="N445" s="4"/>
      <c r="O445" s="4"/>
      <c r="P445" s="4"/>
      <c r="Q445" s="4"/>
      <c r="R445" s="4"/>
      <c r="S445" s="4"/>
      <c r="T445" s="4"/>
      <c r="U445" s="4"/>
      <c r="V445" s="4"/>
    </row>
    <row r="446" spans="1:22" x14ac:dyDescent="0.3">
      <c r="A446" s="4" t="e">
        <f>'ECN Master Project Tracker new'!#REF!</f>
        <v>#REF!</v>
      </c>
      <c r="B446" s="108" t="e">
        <f>VLOOKUP(A:A,Table1[[#All],[Project No]:[Additional Remark]],2,FALSE)</f>
        <v>#REF!</v>
      </c>
      <c r="C446" s="4" t="e">
        <f>VLOOKUP(A:A,Table1[[Project No]:[Additional Remark]],19,FALSE)</f>
        <v>#REF!</v>
      </c>
      <c r="D446" s="4" t="e">
        <f>VLOOKUP(A:A,Table1[[Project No]:[Additional Remark]],20,FALSE)</f>
        <v>#REF!</v>
      </c>
      <c r="E446" s="4" t="e">
        <f>VLOOKUP(A:A,Table1[[Project No]:[Additional Remark]],21,FALSE)</f>
        <v>#REF!</v>
      </c>
      <c r="F446" s="4" t="e">
        <f>VLOOKUP(A:A,Table1[[Project No]:[Additional Remark]],22,FALSE)</f>
        <v>#REF!</v>
      </c>
      <c r="G446" s="55" t="e">
        <f>VLOOKUP(A:A,Table1[[Project No]:[Additional Remark]],11,FALSE)</f>
        <v>#REF!</v>
      </c>
      <c r="H446" s="4" t="e">
        <f>VLOOKUP(A:A,Table1[[Project No]:[Additional Remark]],5,FALSE)</f>
        <v>#REF!</v>
      </c>
      <c r="I446" s="4" t="e">
        <f>VLOOKUP(A:A,Table1[[Project No]:[Additional Remark]],8,FALSE)</f>
        <v>#REF!</v>
      </c>
      <c r="J446" s="4" t="e">
        <f>VLOOKUP(A:A,Table1[[Project No]:[Additional Remark]],23,FALSE)</f>
        <v>#REF!</v>
      </c>
      <c r="K446" s="4"/>
      <c r="L446" s="4"/>
      <c r="M446" s="4"/>
      <c r="N446" s="4"/>
      <c r="O446" s="4"/>
      <c r="P446" s="4"/>
      <c r="Q446" s="4"/>
      <c r="R446" s="4"/>
      <c r="S446" s="4"/>
      <c r="T446" s="4"/>
      <c r="U446" s="4"/>
      <c r="V446" s="4"/>
    </row>
    <row r="447" spans="1:22" x14ac:dyDescent="0.3">
      <c r="A447" s="4" t="e">
        <f>'ECN Master Project Tracker new'!#REF!</f>
        <v>#REF!</v>
      </c>
      <c r="B447" s="108" t="e">
        <f>VLOOKUP(A:A,Table1[[#All],[Project No]:[Additional Remark]],2,FALSE)</f>
        <v>#REF!</v>
      </c>
      <c r="C447" s="4" t="e">
        <f>VLOOKUP(A:A,Table1[[Project No]:[Additional Remark]],19,FALSE)</f>
        <v>#REF!</v>
      </c>
      <c r="D447" s="4" t="e">
        <f>VLOOKUP(A:A,Table1[[Project No]:[Additional Remark]],20,FALSE)</f>
        <v>#REF!</v>
      </c>
      <c r="E447" s="4" t="e">
        <f>VLOOKUP(A:A,Table1[[Project No]:[Additional Remark]],21,FALSE)</f>
        <v>#REF!</v>
      </c>
      <c r="F447" s="4" t="e">
        <f>VLOOKUP(A:A,Table1[[Project No]:[Additional Remark]],22,FALSE)</f>
        <v>#REF!</v>
      </c>
      <c r="G447" s="55" t="e">
        <f>VLOOKUP(A:A,Table1[[Project No]:[Additional Remark]],11,FALSE)</f>
        <v>#REF!</v>
      </c>
      <c r="H447" s="4" t="e">
        <f>VLOOKUP(A:A,Table1[[Project No]:[Additional Remark]],5,FALSE)</f>
        <v>#REF!</v>
      </c>
      <c r="I447" s="4" t="e">
        <f>VLOOKUP(A:A,Table1[[Project No]:[Additional Remark]],8,FALSE)</f>
        <v>#REF!</v>
      </c>
      <c r="J447" s="4" t="e">
        <f>VLOOKUP(A:A,Table1[[Project No]:[Additional Remark]],23,FALSE)</f>
        <v>#REF!</v>
      </c>
      <c r="K447" s="4"/>
      <c r="L447" s="4"/>
      <c r="M447" s="4"/>
      <c r="N447" s="4"/>
      <c r="O447" s="4"/>
      <c r="P447" s="4"/>
      <c r="Q447" s="4"/>
      <c r="R447" s="4"/>
      <c r="S447" s="4"/>
      <c r="T447" s="4"/>
      <c r="U447" s="4"/>
      <c r="V447" s="4"/>
    </row>
    <row r="448" spans="1:22" x14ac:dyDescent="0.3">
      <c r="A448" s="4" t="e">
        <f>'ECN Master Project Tracker new'!#REF!</f>
        <v>#REF!</v>
      </c>
      <c r="B448" s="108" t="e">
        <f>VLOOKUP(A:A,Table1[[#All],[Project No]:[Additional Remark]],2,FALSE)</f>
        <v>#REF!</v>
      </c>
      <c r="C448" s="4" t="e">
        <f>VLOOKUP(A:A,Table1[[Project No]:[Additional Remark]],19,FALSE)</f>
        <v>#REF!</v>
      </c>
      <c r="D448" s="4" t="e">
        <f>VLOOKUP(A:A,Table1[[Project No]:[Additional Remark]],20,FALSE)</f>
        <v>#REF!</v>
      </c>
      <c r="E448" s="4" t="e">
        <f>VLOOKUP(A:A,Table1[[Project No]:[Additional Remark]],21,FALSE)</f>
        <v>#REF!</v>
      </c>
      <c r="F448" s="4" t="e">
        <f>VLOOKUP(A:A,Table1[[Project No]:[Additional Remark]],22,FALSE)</f>
        <v>#REF!</v>
      </c>
      <c r="G448" s="55" t="e">
        <f>VLOOKUP(A:A,Table1[[Project No]:[Additional Remark]],11,FALSE)</f>
        <v>#REF!</v>
      </c>
      <c r="H448" s="4" t="e">
        <f>VLOOKUP(A:A,Table1[[Project No]:[Additional Remark]],5,FALSE)</f>
        <v>#REF!</v>
      </c>
      <c r="I448" s="4" t="e">
        <f>VLOOKUP(A:A,Table1[[Project No]:[Additional Remark]],8,FALSE)</f>
        <v>#REF!</v>
      </c>
      <c r="J448" s="4" t="e">
        <f>VLOOKUP(A:A,Table1[[Project No]:[Additional Remark]],23,FALSE)</f>
        <v>#REF!</v>
      </c>
      <c r="K448" s="4"/>
      <c r="L448" s="4"/>
      <c r="M448" s="4"/>
      <c r="N448" s="4"/>
      <c r="O448" s="4"/>
      <c r="P448" s="4"/>
      <c r="Q448" s="4"/>
      <c r="R448" s="4"/>
      <c r="S448" s="4"/>
      <c r="T448" s="4"/>
      <c r="U448" s="4"/>
      <c r="V448" s="4"/>
    </row>
    <row r="449" spans="1:22" x14ac:dyDescent="0.3">
      <c r="A449" s="4" t="e">
        <f>'ECN Master Project Tracker new'!#REF!</f>
        <v>#REF!</v>
      </c>
      <c r="B449" s="108" t="e">
        <f>VLOOKUP(A:A,Table1[[#All],[Project No]:[Additional Remark]],2,FALSE)</f>
        <v>#REF!</v>
      </c>
      <c r="C449" s="4" t="e">
        <f>VLOOKUP(A:A,Table1[[Project No]:[Additional Remark]],19,FALSE)</f>
        <v>#REF!</v>
      </c>
      <c r="D449" s="4" t="e">
        <f>VLOOKUP(A:A,Table1[[Project No]:[Additional Remark]],20,FALSE)</f>
        <v>#REF!</v>
      </c>
      <c r="E449" s="4" t="e">
        <f>VLOOKUP(A:A,Table1[[Project No]:[Additional Remark]],21,FALSE)</f>
        <v>#REF!</v>
      </c>
      <c r="F449" s="4" t="e">
        <f>VLOOKUP(A:A,Table1[[Project No]:[Additional Remark]],22,FALSE)</f>
        <v>#REF!</v>
      </c>
      <c r="G449" s="55" t="e">
        <f>VLOOKUP(A:A,Table1[[Project No]:[Additional Remark]],11,FALSE)</f>
        <v>#REF!</v>
      </c>
      <c r="H449" s="4" t="e">
        <f>VLOOKUP(A:A,Table1[[Project No]:[Additional Remark]],5,FALSE)</f>
        <v>#REF!</v>
      </c>
      <c r="I449" s="4" t="e">
        <f>VLOOKUP(A:A,Table1[[Project No]:[Additional Remark]],8,FALSE)</f>
        <v>#REF!</v>
      </c>
      <c r="J449" s="4" t="e">
        <f>VLOOKUP(A:A,Table1[[Project No]:[Additional Remark]],23,FALSE)</f>
        <v>#REF!</v>
      </c>
      <c r="K449" s="4"/>
      <c r="L449" s="4"/>
      <c r="M449" s="4"/>
      <c r="N449" s="4"/>
      <c r="O449" s="4"/>
      <c r="P449" s="4"/>
      <c r="Q449" s="4"/>
      <c r="R449" s="4"/>
      <c r="S449" s="4"/>
      <c r="T449" s="4"/>
      <c r="U449" s="4"/>
      <c r="V449" s="4"/>
    </row>
    <row r="450" spans="1:22" x14ac:dyDescent="0.3">
      <c r="A450" s="4" t="e">
        <f>'ECN Master Project Tracker new'!#REF!</f>
        <v>#REF!</v>
      </c>
      <c r="B450" s="108" t="e">
        <f>VLOOKUP(A:A,Table1[[#All],[Project No]:[Additional Remark]],2,FALSE)</f>
        <v>#REF!</v>
      </c>
      <c r="C450" s="4" t="e">
        <f>VLOOKUP(A:A,Table1[[Project No]:[Additional Remark]],19,FALSE)</f>
        <v>#REF!</v>
      </c>
      <c r="D450" s="4" t="e">
        <f>VLOOKUP(A:A,Table1[[Project No]:[Additional Remark]],20,FALSE)</f>
        <v>#REF!</v>
      </c>
      <c r="E450" s="4" t="e">
        <f>VLOOKUP(A:A,Table1[[Project No]:[Additional Remark]],21,FALSE)</f>
        <v>#REF!</v>
      </c>
      <c r="F450" s="4" t="e">
        <f>VLOOKUP(A:A,Table1[[Project No]:[Additional Remark]],22,FALSE)</f>
        <v>#REF!</v>
      </c>
      <c r="G450" s="55" t="e">
        <f>VLOOKUP(A:A,Table1[[Project No]:[Additional Remark]],11,FALSE)</f>
        <v>#REF!</v>
      </c>
      <c r="H450" s="4" t="e">
        <f>VLOOKUP(A:A,Table1[[Project No]:[Additional Remark]],5,FALSE)</f>
        <v>#REF!</v>
      </c>
      <c r="I450" s="4" t="e">
        <f>VLOOKUP(A:A,Table1[[Project No]:[Additional Remark]],8,FALSE)</f>
        <v>#REF!</v>
      </c>
      <c r="J450" s="4" t="e">
        <f>VLOOKUP(A:A,Table1[[Project No]:[Additional Remark]],23,FALSE)</f>
        <v>#REF!</v>
      </c>
      <c r="K450" s="4"/>
      <c r="L450" s="4"/>
      <c r="M450" s="4"/>
      <c r="N450" s="4"/>
      <c r="O450" s="4"/>
      <c r="P450" s="4"/>
      <c r="Q450" s="4"/>
      <c r="R450" s="4"/>
      <c r="S450" s="4"/>
      <c r="T450" s="4"/>
      <c r="U450" s="4"/>
      <c r="V450" s="4"/>
    </row>
    <row r="451" spans="1:22" x14ac:dyDescent="0.3">
      <c r="A451" s="4" t="e">
        <f>'ECN Master Project Tracker new'!#REF!</f>
        <v>#REF!</v>
      </c>
      <c r="B451" s="108" t="e">
        <f>VLOOKUP(A:A,Table1[[#All],[Project No]:[Additional Remark]],2,FALSE)</f>
        <v>#REF!</v>
      </c>
      <c r="C451" s="4" t="e">
        <f>VLOOKUP(A:A,Table1[[Project No]:[Additional Remark]],19,FALSE)</f>
        <v>#REF!</v>
      </c>
      <c r="D451" s="4" t="e">
        <f>VLOOKUP(A:A,Table1[[Project No]:[Additional Remark]],20,FALSE)</f>
        <v>#REF!</v>
      </c>
      <c r="E451" s="4" t="e">
        <f>VLOOKUP(A:A,Table1[[Project No]:[Additional Remark]],21,FALSE)</f>
        <v>#REF!</v>
      </c>
      <c r="F451" s="4" t="e">
        <f>VLOOKUP(A:A,Table1[[Project No]:[Additional Remark]],22,FALSE)</f>
        <v>#REF!</v>
      </c>
      <c r="G451" s="55" t="e">
        <f>VLOOKUP(A:A,Table1[[Project No]:[Additional Remark]],11,FALSE)</f>
        <v>#REF!</v>
      </c>
      <c r="H451" s="4" t="e">
        <f>VLOOKUP(A:A,Table1[[Project No]:[Additional Remark]],5,FALSE)</f>
        <v>#REF!</v>
      </c>
      <c r="I451" s="4" t="e">
        <f>VLOOKUP(A:A,Table1[[Project No]:[Additional Remark]],8,FALSE)</f>
        <v>#REF!</v>
      </c>
      <c r="J451" s="4" t="e">
        <f>VLOOKUP(A:A,Table1[[Project No]:[Additional Remark]],23,FALSE)</f>
        <v>#REF!</v>
      </c>
      <c r="K451" s="4"/>
      <c r="L451" s="4"/>
      <c r="M451" s="4"/>
      <c r="N451" s="4"/>
      <c r="O451" s="4"/>
      <c r="P451" s="4"/>
      <c r="Q451" s="4"/>
      <c r="R451" s="4"/>
      <c r="S451" s="4"/>
      <c r="T451" s="4"/>
      <c r="U451" s="4"/>
      <c r="V451" s="4"/>
    </row>
    <row r="452" spans="1:22" x14ac:dyDescent="0.3">
      <c r="A452" s="4" t="e">
        <f>'ECN Master Project Tracker new'!#REF!</f>
        <v>#REF!</v>
      </c>
      <c r="B452" s="108" t="e">
        <f>VLOOKUP(A:A,Table1[[#All],[Project No]:[Additional Remark]],2,FALSE)</f>
        <v>#REF!</v>
      </c>
      <c r="C452" s="4" t="e">
        <f>VLOOKUP(A:A,Table1[[Project No]:[Additional Remark]],19,FALSE)</f>
        <v>#REF!</v>
      </c>
      <c r="D452" s="4" t="e">
        <f>VLOOKUP(A:A,Table1[[Project No]:[Additional Remark]],20,FALSE)</f>
        <v>#REF!</v>
      </c>
      <c r="E452" s="4" t="e">
        <f>VLOOKUP(A:A,Table1[[Project No]:[Additional Remark]],21,FALSE)</f>
        <v>#REF!</v>
      </c>
      <c r="F452" s="4" t="e">
        <f>VLOOKUP(A:A,Table1[[Project No]:[Additional Remark]],22,FALSE)</f>
        <v>#REF!</v>
      </c>
      <c r="G452" s="55" t="e">
        <f>VLOOKUP(A:A,Table1[[Project No]:[Additional Remark]],11,FALSE)</f>
        <v>#REF!</v>
      </c>
      <c r="H452" s="4" t="e">
        <f>VLOOKUP(A:A,Table1[[Project No]:[Additional Remark]],5,FALSE)</f>
        <v>#REF!</v>
      </c>
      <c r="I452" s="4" t="e">
        <f>VLOOKUP(A:A,Table1[[Project No]:[Additional Remark]],8,FALSE)</f>
        <v>#REF!</v>
      </c>
      <c r="J452" s="4" t="e">
        <f>VLOOKUP(A:A,Table1[[Project No]:[Additional Remark]],23,FALSE)</f>
        <v>#REF!</v>
      </c>
      <c r="K452" s="4"/>
      <c r="L452" s="4"/>
      <c r="M452" s="4"/>
      <c r="N452" s="4"/>
      <c r="O452" s="4"/>
      <c r="P452" s="4"/>
      <c r="Q452" s="4"/>
      <c r="R452" s="4"/>
      <c r="S452" s="4"/>
      <c r="T452" s="4"/>
      <c r="U452" s="4"/>
      <c r="V452" s="4"/>
    </row>
    <row r="453" spans="1:22" x14ac:dyDescent="0.3">
      <c r="A453" s="4" t="e">
        <f>'ECN Master Project Tracker new'!#REF!</f>
        <v>#REF!</v>
      </c>
      <c r="B453" s="108" t="e">
        <f>VLOOKUP(A:A,Table1[[#All],[Project No]:[Additional Remark]],2,FALSE)</f>
        <v>#REF!</v>
      </c>
      <c r="C453" s="4" t="e">
        <f>VLOOKUP(A:A,Table1[[Project No]:[Additional Remark]],19,FALSE)</f>
        <v>#REF!</v>
      </c>
      <c r="D453" s="4" t="e">
        <f>VLOOKUP(A:A,Table1[[Project No]:[Additional Remark]],20,FALSE)</f>
        <v>#REF!</v>
      </c>
      <c r="E453" s="4" t="e">
        <f>VLOOKUP(A:A,Table1[[Project No]:[Additional Remark]],21,FALSE)</f>
        <v>#REF!</v>
      </c>
      <c r="F453" s="4" t="e">
        <f>VLOOKUP(A:A,Table1[[Project No]:[Additional Remark]],22,FALSE)</f>
        <v>#REF!</v>
      </c>
      <c r="G453" s="55" t="e">
        <f>VLOOKUP(A:A,Table1[[Project No]:[Additional Remark]],11,FALSE)</f>
        <v>#REF!</v>
      </c>
      <c r="H453" s="4" t="e">
        <f>VLOOKUP(A:A,Table1[[Project No]:[Additional Remark]],5,FALSE)</f>
        <v>#REF!</v>
      </c>
      <c r="I453" s="4" t="e">
        <f>VLOOKUP(A:A,Table1[[Project No]:[Additional Remark]],8,FALSE)</f>
        <v>#REF!</v>
      </c>
      <c r="J453" s="4" t="e">
        <f>VLOOKUP(A:A,Table1[[Project No]:[Additional Remark]],23,FALSE)</f>
        <v>#REF!</v>
      </c>
      <c r="K453" s="4"/>
      <c r="L453" s="4"/>
      <c r="M453" s="4"/>
      <c r="N453" s="4"/>
      <c r="O453" s="4"/>
      <c r="P453" s="4"/>
      <c r="Q453" s="4"/>
      <c r="R453" s="4"/>
      <c r="S453" s="4"/>
      <c r="T453" s="4"/>
      <c r="U453" s="4"/>
      <c r="V453" s="4"/>
    </row>
    <row r="454" spans="1:22" x14ac:dyDescent="0.3">
      <c r="A454" s="4" t="e">
        <f>'ECN Master Project Tracker new'!#REF!</f>
        <v>#REF!</v>
      </c>
      <c r="B454" s="108" t="e">
        <f>VLOOKUP(A:A,Table1[[#All],[Project No]:[Additional Remark]],2,FALSE)</f>
        <v>#REF!</v>
      </c>
      <c r="C454" s="4" t="e">
        <f>VLOOKUP(A:A,Table1[[Project No]:[Additional Remark]],19,FALSE)</f>
        <v>#REF!</v>
      </c>
      <c r="D454" s="4" t="e">
        <f>VLOOKUP(A:A,Table1[[Project No]:[Additional Remark]],20,FALSE)</f>
        <v>#REF!</v>
      </c>
      <c r="E454" s="4" t="e">
        <f>VLOOKUP(A:A,Table1[[Project No]:[Additional Remark]],21,FALSE)</f>
        <v>#REF!</v>
      </c>
      <c r="F454" s="4" t="e">
        <f>VLOOKUP(A:A,Table1[[Project No]:[Additional Remark]],22,FALSE)</f>
        <v>#REF!</v>
      </c>
      <c r="G454" s="55" t="e">
        <f>VLOOKUP(A:A,Table1[[Project No]:[Additional Remark]],11,FALSE)</f>
        <v>#REF!</v>
      </c>
      <c r="H454" s="4" t="e">
        <f>VLOOKUP(A:A,Table1[[Project No]:[Additional Remark]],5,FALSE)</f>
        <v>#REF!</v>
      </c>
      <c r="I454" s="4" t="e">
        <f>VLOOKUP(A:A,Table1[[Project No]:[Additional Remark]],8,FALSE)</f>
        <v>#REF!</v>
      </c>
      <c r="J454" s="4" t="e">
        <f>VLOOKUP(A:A,Table1[[Project No]:[Additional Remark]],23,FALSE)</f>
        <v>#REF!</v>
      </c>
      <c r="K454" s="4"/>
      <c r="L454" s="4"/>
      <c r="M454" s="4"/>
      <c r="N454" s="4"/>
      <c r="O454" s="4"/>
      <c r="P454" s="4"/>
      <c r="Q454" s="4"/>
      <c r="R454" s="4"/>
      <c r="S454" s="4"/>
      <c r="T454" s="4"/>
      <c r="U454" s="4"/>
      <c r="V454" s="4"/>
    </row>
    <row r="455" spans="1:22" x14ac:dyDescent="0.3">
      <c r="A455" s="4" t="e">
        <f>'ECN Master Project Tracker new'!#REF!</f>
        <v>#REF!</v>
      </c>
      <c r="B455" s="108" t="e">
        <f>VLOOKUP(A:A,Table1[[#All],[Project No]:[Additional Remark]],2,FALSE)</f>
        <v>#REF!</v>
      </c>
      <c r="C455" s="4" t="e">
        <f>VLOOKUP(A:A,Table1[[Project No]:[Additional Remark]],19,FALSE)</f>
        <v>#REF!</v>
      </c>
      <c r="D455" s="4" t="e">
        <f>VLOOKUP(A:A,Table1[[Project No]:[Additional Remark]],20,FALSE)</f>
        <v>#REF!</v>
      </c>
      <c r="E455" s="4" t="e">
        <f>VLOOKUP(A:A,Table1[[Project No]:[Additional Remark]],21,FALSE)</f>
        <v>#REF!</v>
      </c>
      <c r="F455" s="4" t="e">
        <f>VLOOKUP(A:A,Table1[[Project No]:[Additional Remark]],22,FALSE)</f>
        <v>#REF!</v>
      </c>
      <c r="G455" s="55" t="e">
        <f>VLOOKUP(A:A,Table1[[Project No]:[Additional Remark]],11,FALSE)</f>
        <v>#REF!</v>
      </c>
      <c r="H455" s="4" t="e">
        <f>VLOOKUP(A:A,Table1[[Project No]:[Additional Remark]],5,FALSE)</f>
        <v>#REF!</v>
      </c>
      <c r="I455" s="4" t="e">
        <f>VLOOKUP(A:A,Table1[[Project No]:[Additional Remark]],8,FALSE)</f>
        <v>#REF!</v>
      </c>
      <c r="J455" s="4" t="e">
        <f>VLOOKUP(A:A,Table1[[Project No]:[Additional Remark]],23,FALSE)</f>
        <v>#REF!</v>
      </c>
      <c r="K455" s="4"/>
      <c r="L455" s="4"/>
      <c r="M455" s="4"/>
      <c r="N455" s="4"/>
      <c r="O455" s="4"/>
      <c r="P455" s="4"/>
      <c r="Q455" s="4"/>
      <c r="R455" s="4"/>
      <c r="S455" s="4"/>
      <c r="T455" s="4"/>
      <c r="U455" s="4"/>
      <c r="V455" s="4"/>
    </row>
    <row r="456" spans="1:22" x14ac:dyDescent="0.3">
      <c r="A456" s="4" t="e">
        <f>'ECN Master Project Tracker new'!#REF!</f>
        <v>#REF!</v>
      </c>
      <c r="B456" s="108" t="e">
        <f>VLOOKUP(A:A,Table1[[#All],[Project No]:[Additional Remark]],2,FALSE)</f>
        <v>#REF!</v>
      </c>
      <c r="C456" s="4" t="e">
        <f>VLOOKUP(A:A,Table1[[Project No]:[Additional Remark]],19,FALSE)</f>
        <v>#REF!</v>
      </c>
      <c r="D456" s="4" t="e">
        <f>VLOOKUP(A:A,Table1[[Project No]:[Additional Remark]],20,FALSE)</f>
        <v>#REF!</v>
      </c>
      <c r="E456" s="4" t="e">
        <f>VLOOKUP(A:A,Table1[[Project No]:[Additional Remark]],21,FALSE)</f>
        <v>#REF!</v>
      </c>
      <c r="F456" s="4" t="e">
        <f>VLOOKUP(A:A,Table1[[Project No]:[Additional Remark]],22,FALSE)</f>
        <v>#REF!</v>
      </c>
      <c r="G456" s="55" t="e">
        <f>VLOOKUP(A:A,Table1[[Project No]:[Additional Remark]],11,FALSE)</f>
        <v>#REF!</v>
      </c>
      <c r="H456" s="4" t="e">
        <f>VLOOKUP(A:A,Table1[[Project No]:[Additional Remark]],5,FALSE)</f>
        <v>#REF!</v>
      </c>
      <c r="I456" s="4" t="e">
        <f>VLOOKUP(A:A,Table1[[Project No]:[Additional Remark]],8,FALSE)</f>
        <v>#REF!</v>
      </c>
      <c r="J456" s="4" t="e">
        <f>VLOOKUP(A:A,Table1[[Project No]:[Additional Remark]],23,FALSE)</f>
        <v>#REF!</v>
      </c>
      <c r="K456" s="4"/>
      <c r="L456" s="4"/>
      <c r="M456" s="4"/>
      <c r="N456" s="4"/>
      <c r="O456" s="4"/>
      <c r="P456" s="4"/>
      <c r="Q456" s="4"/>
      <c r="R456" s="4"/>
      <c r="S456" s="4"/>
      <c r="T456" s="4"/>
      <c r="U456" s="4"/>
      <c r="V456" s="4"/>
    </row>
    <row r="457" spans="1:22" x14ac:dyDescent="0.3">
      <c r="A457" s="4" t="e">
        <f>'ECN Master Project Tracker new'!#REF!</f>
        <v>#REF!</v>
      </c>
      <c r="B457" s="108" t="e">
        <f>VLOOKUP(A:A,Table1[[#All],[Project No]:[Additional Remark]],2,FALSE)</f>
        <v>#REF!</v>
      </c>
      <c r="C457" s="4" t="e">
        <f>VLOOKUP(A:A,Table1[[Project No]:[Additional Remark]],19,FALSE)</f>
        <v>#REF!</v>
      </c>
      <c r="D457" s="4" t="e">
        <f>VLOOKUP(A:A,Table1[[Project No]:[Additional Remark]],20,FALSE)</f>
        <v>#REF!</v>
      </c>
      <c r="E457" s="4" t="e">
        <f>VLOOKUP(A:A,Table1[[Project No]:[Additional Remark]],21,FALSE)</f>
        <v>#REF!</v>
      </c>
      <c r="F457" s="4" t="e">
        <f>VLOOKUP(A:A,Table1[[Project No]:[Additional Remark]],22,FALSE)</f>
        <v>#REF!</v>
      </c>
      <c r="G457" s="55" t="e">
        <f>VLOOKUP(A:A,Table1[[Project No]:[Additional Remark]],11,FALSE)</f>
        <v>#REF!</v>
      </c>
      <c r="H457" s="4" t="e">
        <f>VLOOKUP(A:A,Table1[[Project No]:[Additional Remark]],5,FALSE)</f>
        <v>#REF!</v>
      </c>
      <c r="I457" s="4" t="e">
        <f>VLOOKUP(A:A,Table1[[Project No]:[Additional Remark]],8,FALSE)</f>
        <v>#REF!</v>
      </c>
      <c r="J457" s="4" t="e">
        <f>VLOOKUP(A:A,Table1[[Project No]:[Additional Remark]],23,FALSE)</f>
        <v>#REF!</v>
      </c>
      <c r="K457" s="4"/>
      <c r="L457" s="4"/>
      <c r="M457" s="4"/>
      <c r="N457" s="4"/>
      <c r="O457" s="4"/>
      <c r="P457" s="4"/>
      <c r="Q457" s="4"/>
      <c r="R457" s="4"/>
      <c r="S457" s="4"/>
      <c r="T457" s="4"/>
      <c r="U457" s="4"/>
      <c r="V457" s="4"/>
    </row>
    <row r="458" spans="1:22" x14ac:dyDescent="0.3">
      <c r="A458" s="4" t="e">
        <f>'ECN Master Project Tracker new'!#REF!</f>
        <v>#REF!</v>
      </c>
      <c r="B458" s="108" t="e">
        <f>VLOOKUP(A:A,Table1[[#All],[Project No]:[Additional Remark]],2,FALSE)</f>
        <v>#REF!</v>
      </c>
      <c r="C458" s="4" t="e">
        <f>VLOOKUP(A:A,Table1[[Project No]:[Additional Remark]],19,FALSE)</f>
        <v>#REF!</v>
      </c>
      <c r="D458" s="4" t="e">
        <f>VLOOKUP(A:A,Table1[[Project No]:[Additional Remark]],20,FALSE)</f>
        <v>#REF!</v>
      </c>
      <c r="E458" s="4" t="e">
        <f>VLOOKUP(A:A,Table1[[Project No]:[Additional Remark]],21,FALSE)</f>
        <v>#REF!</v>
      </c>
      <c r="F458" s="4" t="e">
        <f>VLOOKUP(A:A,Table1[[Project No]:[Additional Remark]],22,FALSE)</f>
        <v>#REF!</v>
      </c>
      <c r="G458" s="55" t="e">
        <f>VLOOKUP(A:A,Table1[[Project No]:[Additional Remark]],11,FALSE)</f>
        <v>#REF!</v>
      </c>
      <c r="H458" s="4" t="e">
        <f>VLOOKUP(A:A,Table1[[Project No]:[Additional Remark]],5,FALSE)</f>
        <v>#REF!</v>
      </c>
      <c r="I458" s="4" t="e">
        <f>VLOOKUP(A:A,Table1[[Project No]:[Additional Remark]],8,FALSE)</f>
        <v>#REF!</v>
      </c>
      <c r="J458" s="4" t="e">
        <f>VLOOKUP(A:A,Table1[[Project No]:[Additional Remark]],23,FALSE)</f>
        <v>#REF!</v>
      </c>
      <c r="K458" s="4"/>
      <c r="L458" s="4"/>
      <c r="M458" s="4"/>
      <c r="N458" s="4"/>
      <c r="O458" s="4"/>
      <c r="P458" s="4"/>
      <c r="Q458" s="4"/>
      <c r="R458" s="4"/>
      <c r="S458" s="4"/>
      <c r="T458" s="4"/>
      <c r="U458" s="4"/>
      <c r="V458" s="4"/>
    </row>
    <row r="459" spans="1:22" x14ac:dyDescent="0.3">
      <c r="A459" s="4" t="e">
        <f>'ECN Master Project Tracker new'!#REF!</f>
        <v>#REF!</v>
      </c>
      <c r="B459" s="108" t="e">
        <f>VLOOKUP(A:A,Table1[[#All],[Project No]:[Additional Remark]],2,FALSE)</f>
        <v>#REF!</v>
      </c>
      <c r="C459" s="4" t="e">
        <f>VLOOKUP(A:A,Table1[[Project No]:[Additional Remark]],19,FALSE)</f>
        <v>#REF!</v>
      </c>
      <c r="D459" s="4" t="e">
        <f>VLOOKUP(A:A,Table1[[Project No]:[Additional Remark]],20,FALSE)</f>
        <v>#REF!</v>
      </c>
      <c r="E459" s="4" t="e">
        <f>VLOOKUP(A:A,Table1[[Project No]:[Additional Remark]],21,FALSE)</f>
        <v>#REF!</v>
      </c>
      <c r="F459" s="4" t="e">
        <f>VLOOKUP(A:A,Table1[[Project No]:[Additional Remark]],22,FALSE)</f>
        <v>#REF!</v>
      </c>
      <c r="G459" s="55" t="e">
        <f>VLOOKUP(A:A,Table1[[Project No]:[Additional Remark]],11,FALSE)</f>
        <v>#REF!</v>
      </c>
      <c r="H459" s="4" t="e">
        <f>VLOOKUP(A:A,Table1[[Project No]:[Additional Remark]],5,FALSE)</f>
        <v>#REF!</v>
      </c>
      <c r="I459" s="4" t="e">
        <f>VLOOKUP(A:A,Table1[[Project No]:[Additional Remark]],8,FALSE)</f>
        <v>#REF!</v>
      </c>
      <c r="J459" s="4" t="e">
        <f>VLOOKUP(A:A,Table1[[Project No]:[Additional Remark]],23,FALSE)</f>
        <v>#REF!</v>
      </c>
      <c r="K459" s="4"/>
      <c r="L459" s="4"/>
      <c r="M459" s="4"/>
      <c r="N459" s="4"/>
      <c r="O459" s="4"/>
      <c r="P459" s="4"/>
      <c r="Q459" s="4"/>
      <c r="R459" s="4"/>
      <c r="S459" s="4"/>
      <c r="T459" s="4"/>
      <c r="U459" s="4"/>
      <c r="V459" s="4"/>
    </row>
    <row r="460" spans="1:22" x14ac:dyDescent="0.3">
      <c r="A460" s="4" t="e">
        <f>'ECN Master Project Tracker new'!#REF!</f>
        <v>#REF!</v>
      </c>
      <c r="B460" s="108" t="e">
        <f>VLOOKUP(A:A,Table1[[#All],[Project No]:[Additional Remark]],2,FALSE)</f>
        <v>#REF!</v>
      </c>
      <c r="C460" s="4" t="e">
        <f>VLOOKUP(A:A,Table1[[Project No]:[Additional Remark]],19,FALSE)</f>
        <v>#REF!</v>
      </c>
      <c r="D460" s="4" t="e">
        <f>VLOOKUP(A:A,Table1[[Project No]:[Additional Remark]],20,FALSE)</f>
        <v>#REF!</v>
      </c>
      <c r="E460" s="4" t="e">
        <f>VLOOKUP(A:A,Table1[[Project No]:[Additional Remark]],21,FALSE)</f>
        <v>#REF!</v>
      </c>
      <c r="F460" s="4" t="e">
        <f>VLOOKUP(A:A,Table1[[Project No]:[Additional Remark]],22,FALSE)</f>
        <v>#REF!</v>
      </c>
      <c r="G460" s="55" t="e">
        <f>VLOOKUP(A:A,Table1[[Project No]:[Additional Remark]],11,FALSE)</f>
        <v>#REF!</v>
      </c>
      <c r="H460" s="4" t="e">
        <f>VLOOKUP(A:A,Table1[[Project No]:[Additional Remark]],5,FALSE)</f>
        <v>#REF!</v>
      </c>
      <c r="I460" s="4" t="e">
        <f>VLOOKUP(A:A,Table1[[Project No]:[Additional Remark]],8,FALSE)</f>
        <v>#REF!</v>
      </c>
      <c r="J460" s="4" t="e">
        <f>VLOOKUP(A:A,Table1[[Project No]:[Additional Remark]],23,FALSE)</f>
        <v>#REF!</v>
      </c>
      <c r="K460" s="4"/>
      <c r="L460" s="4"/>
      <c r="M460" s="4"/>
      <c r="N460" s="4"/>
      <c r="O460" s="4"/>
      <c r="P460" s="4"/>
      <c r="Q460" s="4"/>
      <c r="R460" s="4"/>
      <c r="S460" s="4"/>
      <c r="T460" s="4"/>
      <c r="U460" s="4"/>
      <c r="V460" s="4"/>
    </row>
    <row r="461" spans="1:22" x14ac:dyDescent="0.3">
      <c r="A461" s="4" t="e">
        <f>'ECN Master Project Tracker new'!#REF!</f>
        <v>#REF!</v>
      </c>
      <c r="B461" s="108" t="e">
        <f>VLOOKUP(A:A,Table1[[#All],[Project No]:[Additional Remark]],2,FALSE)</f>
        <v>#REF!</v>
      </c>
      <c r="C461" s="4" t="e">
        <f>VLOOKUP(A:A,Table1[[Project No]:[Additional Remark]],19,FALSE)</f>
        <v>#REF!</v>
      </c>
      <c r="D461" s="4" t="e">
        <f>VLOOKUP(A:A,Table1[[Project No]:[Additional Remark]],20,FALSE)</f>
        <v>#REF!</v>
      </c>
      <c r="E461" s="4" t="e">
        <f>VLOOKUP(A:A,Table1[[Project No]:[Additional Remark]],21,FALSE)</f>
        <v>#REF!</v>
      </c>
      <c r="F461" s="4" t="e">
        <f>VLOOKUP(A:A,Table1[[Project No]:[Additional Remark]],22,FALSE)</f>
        <v>#REF!</v>
      </c>
      <c r="G461" s="55" t="e">
        <f>VLOOKUP(A:A,Table1[[Project No]:[Additional Remark]],11,FALSE)</f>
        <v>#REF!</v>
      </c>
      <c r="H461" s="4" t="e">
        <f>VLOOKUP(A:A,Table1[[Project No]:[Additional Remark]],5,FALSE)</f>
        <v>#REF!</v>
      </c>
      <c r="I461" s="4" t="e">
        <f>VLOOKUP(A:A,Table1[[Project No]:[Additional Remark]],8,FALSE)</f>
        <v>#REF!</v>
      </c>
      <c r="J461" s="4" t="e">
        <f>VLOOKUP(A:A,Table1[[Project No]:[Additional Remark]],23,FALSE)</f>
        <v>#REF!</v>
      </c>
      <c r="K461" s="4"/>
      <c r="L461" s="4"/>
      <c r="M461" s="4"/>
      <c r="N461" s="4"/>
      <c r="O461" s="4"/>
      <c r="P461" s="4"/>
      <c r="Q461" s="4"/>
      <c r="R461" s="4"/>
      <c r="S461" s="4"/>
      <c r="T461" s="4"/>
      <c r="U461" s="4"/>
      <c r="V461" s="4"/>
    </row>
    <row r="462" spans="1:22" x14ac:dyDescent="0.3">
      <c r="A462" s="4" t="e">
        <f>'ECN Master Project Tracker new'!#REF!</f>
        <v>#REF!</v>
      </c>
      <c r="B462" s="108" t="e">
        <f>VLOOKUP(A:A,Table1[[#All],[Project No]:[Additional Remark]],2,FALSE)</f>
        <v>#REF!</v>
      </c>
      <c r="C462" s="4" t="e">
        <f>VLOOKUP(A:A,Table1[[Project No]:[Additional Remark]],19,FALSE)</f>
        <v>#REF!</v>
      </c>
      <c r="D462" s="4" t="e">
        <f>VLOOKUP(A:A,Table1[[Project No]:[Additional Remark]],20,FALSE)</f>
        <v>#REF!</v>
      </c>
      <c r="E462" s="4" t="e">
        <f>VLOOKUP(A:A,Table1[[Project No]:[Additional Remark]],21,FALSE)</f>
        <v>#REF!</v>
      </c>
      <c r="F462" s="4" t="e">
        <f>VLOOKUP(A:A,Table1[[Project No]:[Additional Remark]],22,FALSE)</f>
        <v>#REF!</v>
      </c>
      <c r="G462" s="55" t="e">
        <f>VLOOKUP(A:A,Table1[[Project No]:[Additional Remark]],11,FALSE)</f>
        <v>#REF!</v>
      </c>
      <c r="H462" s="4" t="e">
        <f>VLOOKUP(A:A,Table1[[Project No]:[Additional Remark]],5,FALSE)</f>
        <v>#REF!</v>
      </c>
      <c r="I462" s="4" t="e">
        <f>VLOOKUP(A:A,Table1[[Project No]:[Additional Remark]],8,FALSE)</f>
        <v>#REF!</v>
      </c>
      <c r="J462" s="4" t="e">
        <f>VLOOKUP(A:A,Table1[[Project No]:[Additional Remark]],23,FALSE)</f>
        <v>#REF!</v>
      </c>
      <c r="K462" s="4"/>
      <c r="L462" s="4"/>
      <c r="M462" s="4"/>
      <c r="N462" s="4"/>
      <c r="O462" s="4"/>
      <c r="P462" s="4"/>
      <c r="Q462" s="4"/>
      <c r="R462" s="4"/>
      <c r="S462" s="4"/>
      <c r="T462" s="4"/>
      <c r="U462" s="4"/>
      <c r="V462" s="4"/>
    </row>
    <row r="463" spans="1:22" x14ac:dyDescent="0.3">
      <c r="A463" s="4" t="e">
        <f>'ECN Master Project Tracker new'!#REF!</f>
        <v>#REF!</v>
      </c>
      <c r="B463" s="108" t="e">
        <f>VLOOKUP(A:A,Table1[[#All],[Project No]:[Additional Remark]],2,FALSE)</f>
        <v>#REF!</v>
      </c>
      <c r="C463" s="4" t="e">
        <f>VLOOKUP(A:A,Table1[[Project No]:[Additional Remark]],19,FALSE)</f>
        <v>#REF!</v>
      </c>
      <c r="D463" s="4" t="e">
        <f>VLOOKUP(A:A,Table1[[Project No]:[Additional Remark]],20,FALSE)</f>
        <v>#REF!</v>
      </c>
      <c r="E463" s="4" t="e">
        <f>VLOOKUP(A:A,Table1[[Project No]:[Additional Remark]],21,FALSE)</f>
        <v>#REF!</v>
      </c>
      <c r="F463" s="4" t="e">
        <f>VLOOKUP(A:A,Table1[[Project No]:[Additional Remark]],22,FALSE)</f>
        <v>#REF!</v>
      </c>
      <c r="G463" s="55" t="e">
        <f>VLOOKUP(A:A,Table1[[Project No]:[Additional Remark]],11,FALSE)</f>
        <v>#REF!</v>
      </c>
      <c r="H463" s="4" t="e">
        <f>VLOOKUP(A:A,Table1[[Project No]:[Additional Remark]],5,FALSE)</f>
        <v>#REF!</v>
      </c>
      <c r="I463" s="4" t="e">
        <f>VLOOKUP(A:A,Table1[[Project No]:[Additional Remark]],8,FALSE)</f>
        <v>#REF!</v>
      </c>
      <c r="J463" s="4" t="e">
        <f>VLOOKUP(A:A,Table1[[Project No]:[Additional Remark]],23,FALSE)</f>
        <v>#REF!</v>
      </c>
      <c r="K463" s="4"/>
      <c r="L463" s="4"/>
      <c r="M463" s="4"/>
      <c r="N463" s="4"/>
      <c r="O463" s="4"/>
      <c r="P463" s="4"/>
      <c r="Q463" s="4"/>
      <c r="R463" s="4"/>
      <c r="S463" s="4"/>
      <c r="T463" s="4"/>
      <c r="U463" s="4"/>
      <c r="V463" s="4"/>
    </row>
    <row r="464" spans="1:22" x14ac:dyDescent="0.3">
      <c r="A464" s="4" t="e">
        <f>'ECN Master Project Tracker new'!#REF!</f>
        <v>#REF!</v>
      </c>
      <c r="B464" s="108" t="e">
        <f>VLOOKUP(A:A,Table1[[#All],[Project No]:[Additional Remark]],2,FALSE)</f>
        <v>#REF!</v>
      </c>
      <c r="C464" s="4" t="e">
        <f>VLOOKUP(A:A,Table1[[Project No]:[Additional Remark]],19,FALSE)</f>
        <v>#REF!</v>
      </c>
      <c r="D464" s="4" t="e">
        <f>VLOOKUP(A:A,Table1[[Project No]:[Additional Remark]],20,FALSE)</f>
        <v>#REF!</v>
      </c>
      <c r="E464" s="4" t="e">
        <f>VLOOKUP(A:A,Table1[[Project No]:[Additional Remark]],21,FALSE)</f>
        <v>#REF!</v>
      </c>
      <c r="F464" s="4" t="e">
        <f>VLOOKUP(A:A,Table1[[Project No]:[Additional Remark]],22,FALSE)</f>
        <v>#REF!</v>
      </c>
      <c r="G464" s="55" t="e">
        <f>VLOOKUP(A:A,Table1[[Project No]:[Additional Remark]],11,FALSE)</f>
        <v>#REF!</v>
      </c>
      <c r="H464" s="4" t="e">
        <f>VLOOKUP(A:A,Table1[[Project No]:[Additional Remark]],5,FALSE)</f>
        <v>#REF!</v>
      </c>
      <c r="I464" s="4" t="e">
        <f>VLOOKUP(A:A,Table1[[Project No]:[Additional Remark]],8,FALSE)</f>
        <v>#REF!</v>
      </c>
      <c r="J464" s="4" t="e">
        <f>VLOOKUP(A:A,Table1[[Project No]:[Additional Remark]],23,FALSE)</f>
        <v>#REF!</v>
      </c>
      <c r="K464" s="4"/>
      <c r="L464" s="4"/>
      <c r="M464" s="4"/>
      <c r="N464" s="4"/>
      <c r="O464" s="4"/>
      <c r="P464" s="4"/>
      <c r="Q464" s="4"/>
      <c r="R464" s="4"/>
      <c r="S464" s="4"/>
      <c r="T464" s="4"/>
      <c r="U464" s="4"/>
      <c r="V464" s="4"/>
    </row>
    <row r="465" spans="1:22" x14ac:dyDescent="0.3">
      <c r="A465" s="4" t="e">
        <f>'ECN Master Project Tracker new'!#REF!</f>
        <v>#REF!</v>
      </c>
      <c r="B465" s="108" t="e">
        <f>VLOOKUP(A:A,Table1[[#All],[Project No]:[Additional Remark]],2,FALSE)</f>
        <v>#REF!</v>
      </c>
      <c r="C465" s="4" t="e">
        <f>VLOOKUP(A:A,Table1[[Project No]:[Additional Remark]],19,FALSE)</f>
        <v>#REF!</v>
      </c>
      <c r="D465" s="4" t="e">
        <f>VLOOKUP(A:A,Table1[[Project No]:[Additional Remark]],20,FALSE)</f>
        <v>#REF!</v>
      </c>
      <c r="E465" s="4" t="e">
        <f>VLOOKUP(A:A,Table1[[Project No]:[Additional Remark]],21,FALSE)</f>
        <v>#REF!</v>
      </c>
      <c r="F465" s="4" t="e">
        <f>VLOOKUP(A:A,Table1[[Project No]:[Additional Remark]],22,FALSE)</f>
        <v>#REF!</v>
      </c>
      <c r="G465" s="55" t="e">
        <f>VLOOKUP(A:A,Table1[[Project No]:[Additional Remark]],11,FALSE)</f>
        <v>#REF!</v>
      </c>
      <c r="H465" s="4" t="e">
        <f>VLOOKUP(A:A,Table1[[Project No]:[Additional Remark]],5,FALSE)</f>
        <v>#REF!</v>
      </c>
      <c r="I465" s="4" t="e">
        <f>VLOOKUP(A:A,Table1[[Project No]:[Additional Remark]],8,FALSE)</f>
        <v>#REF!</v>
      </c>
      <c r="J465" s="4" t="e">
        <f>VLOOKUP(A:A,Table1[[Project No]:[Additional Remark]],23,FALSE)</f>
        <v>#REF!</v>
      </c>
      <c r="K465" s="4"/>
      <c r="L465" s="4"/>
      <c r="M465" s="4"/>
      <c r="N465" s="4"/>
      <c r="O465" s="4"/>
      <c r="P465" s="4"/>
      <c r="Q465" s="4"/>
      <c r="R465" s="4"/>
      <c r="S465" s="4"/>
      <c r="T465" s="4"/>
      <c r="U465" s="4"/>
      <c r="V465" s="4"/>
    </row>
    <row r="466" spans="1:22" x14ac:dyDescent="0.3">
      <c r="A466" s="4" t="e">
        <f>'ECN Master Project Tracker new'!#REF!</f>
        <v>#REF!</v>
      </c>
      <c r="B466" s="108" t="e">
        <f>VLOOKUP(A:A,Table1[[#All],[Project No]:[Additional Remark]],2,FALSE)</f>
        <v>#REF!</v>
      </c>
      <c r="C466" s="4" t="e">
        <f>VLOOKUP(A:A,Table1[[Project No]:[Additional Remark]],19,FALSE)</f>
        <v>#REF!</v>
      </c>
      <c r="D466" s="4" t="e">
        <f>VLOOKUP(A:A,Table1[[Project No]:[Additional Remark]],20,FALSE)</f>
        <v>#REF!</v>
      </c>
      <c r="E466" s="4" t="e">
        <f>VLOOKUP(A:A,Table1[[Project No]:[Additional Remark]],21,FALSE)</f>
        <v>#REF!</v>
      </c>
      <c r="F466" s="4" t="e">
        <f>VLOOKUP(A:A,Table1[[Project No]:[Additional Remark]],22,FALSE)</f>
        <v>#REF!</v>
      </c>
      <c r="G466" s="55" t="e">
        <f>VLOOKUP(A:A,Table1[[Project No]:[Additional Remark]],11,FALSE)</f>
        <v>#REF!</v>
      </c>
      <c r="H466" s="4" t="e">
        <f>VLOOKUP(A:A,Table1[[Project No]:[Additional Remark]],5,FALSE)</f>
        <v>#REF!</v>
      </c>
      <c r="I466" s="4" t="e">
        <f>VLOOKUP(A:A,Table1[[Project No]:[Additional Remark]],8,FALSE)</f>
        <v>#REF!</v>
      </c>
      <c r="J466" s="4" t="e">
        <f>VLOOKUP(A:A,Table1[[Project No]:[Additional Remark]],23,FALSE)</f>
        <v>#REF!</v>
      </c>
      <c r="K466" s="4"/>
      <c r="L466" s="4"/>
      <c r="M466" s="4"/>
      <c r="N466" s="4"/>
      <c r="O466" s="4"/>
      <c r="P466" s="4"/>
      <c r="Q466" s="4"/>
      <c r="R466" s="4"/>
      <c r="S466" s="4"/>
      <c r="T466" s="4"/>
      <c r="U466" s="4"/>
      <c r="V466" s="4"/>
    </row>
    <row r="467" spans="1:22" x14ac:dyDescent="0.3">
      <c r="A467" s="4" t="e">
        <f>'ECN Master Project Tracker new'!#REF!</f>
        <v>#REF!</v>
      </c>
      <c r="B467" s="108" t="e">
        <f>VLOOKUP(A:A,Table1[[#All],[Project No]:[Additional Remark]],2,FALSE)</f>
        <v>#REF!</v>
      </c>
      <c r="C467" s="4" t="e">
        <f>VLOOKUP(A:A,Table1[[Project No]:[Additional Remark]],19,FALSE)</f>
        <v>#REF!</v>
      </c>
      <c r="D467" s="4" t="e">
        <f>VLOOKUP(A:A,Table1[[Project No]:[Additional Remark]],20,FALSE)</f>
        <v>#REF!</v>
      </c>
      <c r="E467" s="4" t="e">
        <f>VLOOKUP(A:A,Table1[[Project No]:[Additional Remark]],21,FALSE)</f>
        <v>#REF!</v>
      </c>
      <c r="F467" s="4" t="e">
        <f>VLOOKUP(A:A,Table1[[Project No]:[Additional Remark]],22,FALSE)</f>
        <v>#REF!</v>
      </c>
      <c r="G467" s="55" t="e">
        <f>VLOOKUP(A:A,Table1[[Project No]:[Additional Remark]],11,FALSE)</f>
        <v>#REF!</v>
      </c>
      <c r="H467" s="4" t="e">
        <f>VLOOKUP(A:A,Table1[[Project No]:[Additional Remark]],5,FALSE)</f>
        <v>#REF!</v>
      </c>
      <c r="I467" s="4" t="e">
        <f>VLOOKUP(A:A,Table1[[Project No]:[Additional Remark]],8,FALSE)</f>
        <v>#REF!</v>
      </c>
      <c r="J467" s="4" t="e">
        <f>VLOOKUP(A:A,Table1[[Project No]:[Additional Remark]],23,FALSE)</f>
        <v>#REF!</v>
      </c>
      <c r="K467" s="4"/>
      <c r="L467" s="4"/>
      <c r="M467" s="4"/>
      <c r="N467" s="4"/>
      <c r="O467" s="4"/>
      <c r="P467" s="4"/>
      <c r="Q467" s="4"/>
      <c r="R467" s="4"/>
      <c r="S467" s="4"/>
      <c r="T467" s="4"/>
      <c r="U467" s="4"/>
      <c r="V467" s="4"/>
    </row>
    <row r="468" spans="1:22" x14ac:dyDescent="0.3">
      <c r="A468" s="4" t="e">
        <f>'ECN Master Project Tracker new'!#REF!</f>
        <v>#REF!</v>
      </c>
      <c r="B468" s="108" t="e">
        <f>VLOOKUP(A:A,Table1[[#All],[Project No]:[Additional Remark]],2,FALSE)</f>
        <v>#REF!</v>
      </c>
      <c r="C468" s="4" t="e">
        <f>VLOOKUP(A:A,Table1[[Project No]:[Additional Remark]],19,FALSE)</f>
        <v>#REF!</v>
      </c>
      <c r="D468" s="4" t="e">
        <f>VLOOKUP(A:A,Table1[[Project No]:[Additional Remark]],20,FALSE)</f>
        <v>#REF!</v>
      </c>
      <c r="E468" s="4" t="e">
        <f>VLOOKUP(A:A,Table1[[Project No]:[Additional Remark]],21,FALSE)</f>
        <v>#REF!</v>
      </c>
      <c r="F468" s="4" t="e">
        <f>VLOOKUP(A:A,Table1[[Project No]:[Additional Remark]],22,FALSE)</f>
        <v>#REF!</v>
      </c>
      <c r="G468" s="55" t="e">
        <f>VLOOKUP(A:A,Table1[[Project No]:[Additional Remark]],11,FALSE)</f>
        <v>#REF!</v>
      </c>
      <c r="H468" s="4" t="e">
        <f>VLOOKUP(A:A,Table1[[Project No]:[Additional Remark]],5,FALSE)</f>
        <v>#REF!</v>
      </c>
      <c r="I468" s="4" t="e">
        <f>VLOOKUP(A:A,Table1[[Project No]:[Additional Remark]],8,FALSE)</f>
        <v>#REF!</v>
      </c>
      <c r="J468" s="4" t="e">
        <f>VLOOKUP(A:A,Table1[[Project No]:[Additional Remark]],23,FALSE)</f>
        <v>#REF!</v>
      </c>
      <c r="K468" s="4"/>
      <c r="L468" s="4"/>
      <c r="M468" s="4"/>
      <c r="N468" s="4"/>
      <c r="O468" s="4"/>
      <c r="P468" s="4"/>
      <c r="Q468" s="4"/>
      <c r="R468" s="4"/>
      <c r="S468" s="4"/>
      <c r="T468" s="4"/>
      <c r="U468" s="4"/>
      <c r="V468" s="4"/>
    </row>
    <row r="469" spans="1:22" x14ac:dyDescent="0.3">
      <c r="A469" s="4" t="e">
        <f>'ECN Master Project Tracker new'!#REF!</f>
        <v>#REF!</v>
      </c>
      <c r="B469" s="108" t="e">
        <f>VLOOKUP(A:A,Table1[[#All],[Project No]:[Additional Remark]],2,FALSE)</f>
        <v>#REF!</v>
      </c>
      <c r="C469" s="4" t="e">
        <f>VLOOKUP(A:A,Table1[[Project No]:[Additional Remark]],19,FALSE)</f>
        <v>#REF!</v>
      </c>
      <c r="D469" s="4" t="e">
        <f>VLOOKUP(A:A,Table1[[Project No]:[Additional Remark]],20,FALSE)</f>
        <v>#REF!</v>
      </c>
      <c r="E469" s="4" t="e">
        <f>VLOOKUP(A:A,Table1[[Project No]:[Additional Remark]],21,FALSE)</f>
        <v>#REF!</v>
      </c>
      <c r="F469" s="4" t="e">
        <f>VLOOKUP(A:A,Table1[[Project No]:[Additional Remark]],22,FALSE)</f>
        <v>#REF!</v>
      </c>
      <c r="G469" s="55" t="e">
        <f>VLOOKUP(A:A,Table1[[Project No]:[Additional Remark]],11,FALSE)</f>
        <v>#REF!</v>
      </c>
      <c r="H469" s="4" t="e">
        <f>VLOOKUP(A:A,Table1[[Project No]:[Additional Remark]],5,FALSE)</f>
        <v>#REF!</v>
      </c>
      <c r="I469" s="4" t="e">
        <f>VLOOKUP(A:A,Table1[[Project No]:[Additional Remark]],8,FALSE)</f>
        <v>#REF!</v>
      </c>
      <c r="J469" s="4" t="e">
        <f>VLOOKUP(A:A,Table1[[Project No]:[Additional Remark]],23,FALSE)</f>
        <v>#REF!</v>
      </c>
      <c r="K469" s="4"/>
      <c r="L469" s="4"/>
      <c r="M469" s="4"/>
      <c r="N469" s="4"/>
      <c r="O469" s="4"/>
      <c r="P469" s="4"/>
      <c r="Q469" s="4"/>
      <c r="R469" s="4"/>
      <c r="S469" s="4"/>
      <c r="T469" s="4"/>
      <c r="U469" s="4"/>
      <c r="V469" s="4"/>
    </row>
    <row r="470" spans="1:22" x14ac:dyDescent="0.3">
      <c r="A470" s="4" t="e">
        <f>'ECN Master Project Tracker new'!#REF!</f>
        <v>#REF!</v>
      </c>
      <c r="B470" s="108" t="e">
        <f>VLOOKUP(A:A,Table1[[#All],[Project No]:[Additional Remark]],2,FALSE)</f>
        <v>#REF!</v>
      </c>
      <c r="C470" s="4" t="e">
        <f>VLOOKUP(A:A,Table1[[Project No]:[Additional Remark]],19,FALSE)</f>
        <v>#REF!</v>
      </c>
      <c r="D470" s="4" t="e">
        <f>VLOOKUP(A:A,Table1[[Project No]:[Additional Remark]],20,FALSE)</f>
        <v>#REF!</v>
      </c>
      <c r="E470" s="4" t="e">
        <f>VLOOKUP(A:A,Table1[[Project No]:[Additional Remark]],21,FALSE)</f>
        <v>#REF!</v>
      </c>
      <c r="F470" s="4" t="e">
        <f>VLOOKUP(A:A,Table1[[Project No]:[Additional Remark]],22,FALSE)</f>
        <v>#REF!</v>
      </c>
      <c r="G470" s="55" t="e">
        <f>VLOOKUP(A:A,Table1[[Project No]:[Additional Remark]],11,FALSE)</f>
        <v>#REF!</v>
      </c>
      <c r="H470" s="4" t="e">
        <f>VLOOKUP(A:A,Table1[[Project No]:[Additional Remark]],5,FALSE)</f>
        <v>#REF!</v>
      </c>
      <c r="I470" s="4" t="e">
        <f>VLOOKUP(A:A,Table1[[Project No]:[Additional Remark]],8,FALSE)</f>
        <v>#REF!</v>
      </c>
      <c r="J470" s="4" t="e">
        <f>VLOOKUP(A:A,Table1[[Project No]:[Additional Remark]],23,FALSE)</f>
        <v>#REF!</v>
      </c>
      <c r="K470" s="4"/>
      <c r="L470" s="4"/>
      <c r="M470" s="4"/>
      <c r="N470" s="4"/>
      <c r="O470" s="4"/>
      <c r="P470" s="4"/>
      <c r="Q470" s="4"/>
      <c r="R470" s="4"/>
      <c r="S470" s="4"/>
      <c r="T470" s="4"/>
      <c r="U470" s="4"/>
      <c r="V470" s="4"/>
    </row>
    <row r="471" spans="1:22" x14ac:dyDescent="0.3">
      <c r="A471" s="4" t="e">
        <f>'ECN Master Project Tracker new'!#REF!</f>
        <v>#REF!</v>
      </c>
      <c r="B471" s="108" t="e">
        <f>VLOOKUP(A:A,Table1[[#All],[Project No]:[Additional Remark]],2,FALSE)</f>
        <v>#REF!</v>
      </c>
      <c r="C471" s="4" t="e">
        <f>VLOOKUP(A:A,Table1[[Project No]:[Additional Remark]],19,FALSE)</f>
        <v>#REF!</v>
      </c>
      <c r="D471" s="4" t="e">
        <f>VLOOKUP(A:A,Table1[[Project No]:[Additional Remark]],20,FALSE)</f>
        <v>#REF!</v>
      </c>
      <c r="E471" s="4" t="e">
        <f>VLOOKUP(A:A,Table1[[Project No]:[Additional Remark]],21,FALSE)</f>
        <v>#REF!</v>
      </c>
      <c r="F471" s="4" t="e">
        <f>VLOOKUP(A:A,Table1[[Project No]:[Additional Remark]],22,FALSE)</f>
        <v>#REF!</v>
      </c>
      <c r="G471" s="55" t="e">
        <f>VLOOKUP(A:A,Table1[[Project No]:[Additional Remark]],11,FALSE)</f>
        <v>#REF!</v>
      </c>
      <c r="H471" s="4" t="e">
        <f>VLOOKUP(A:A,Table1[[Project No]:[Additional Remark]],5,FALSE)</f>
        <v>#REF!</v>
      </c>
      <c r="I471" s="4" t="e">
        <f>VLOOKUP(A:A,Table1[[Project No]:[Additional Remark]],8,FALSE)</f>
        <v>#REF!</v>
      </c>
      <c r="J471" s="4" t="e">
        <f>VLOOKUP(A:A,Table1[[Project No]:[Additional Remark]],23,FALSE)</f>
        <v>#REF!</v>
      </c>
      <c r="K471" s="4"/>
      <c r="L471" s="4"/>
      <c r="M471" s="4"/>
      <c r="N471" s="4"/>
      <c r="O471" s="4"/>
      <c r="P471" s="4"/>
      <c r="Q471" s="4"/>
      <c r="R471" s="4"/>
      <c r="S471" s="4"/>
      <c r="T471" s="4"/>
      <c r="U471" s="4"/>
      <c r="V471" s="4"/>
    </row>
    <row r="472" spans="1:22" x14ac:dyDescent="0.3">
      <c r="A472" s="4" t="e">
        <f>'ECN Master Project Tracker new'!#REF!</f>
        <v>#REF!</v>
      </c>
      <c r="B472" s="108" t="e">
        <f>VLOOKUP(A:A,Table1[[#All],[Project No]:[Additional Remark]],2,FALSE)</f>
        <v>#REF!</v>
      </c>
      <c r="C472" s="4" t="e">
        <f>VLOOKUP(A:A,Table1[[Project No]:[Additional Remark]],19,FALSE)</f>
        <v>#REF!</v>
      </c>
      <c r="D472" s="4" t="e">
        <f>VLOOKUP(A:A,Table1[[Project No]:[Additional Remark]],20,FALSE)</f>
        <v>#REF!</v>
      </c>
      <c r="E472" s="4" t="e">
        <f>VLOOKUP(A:A,Table1[[Project No]:[Additional Remark]],21,FALSE)</f>
        <v>#REF!</v>
      </c>
      <c r="F472" s="4" t="e">
        <f>VLOOKUP(A:A,Table1[[Project No]:[Additional Remark]],22,FALSE)</f>
        <v>#REF!</v>
      </c>
      <c r="G472" s="55" t="e">
        <f>VLOOKUP(A:A,Table1[[Project No]:[Additional Remark]],11,FALSE)</f>
        <v>#REF!</v>
      </c>
      <c r="H472" s="4" t="e">
        <f>VLOOKUP(A:A,Table1[[Project No]:[Additional Remark]],5,FALSE)</f>
        <v>#REF!</v>
      </c>
      <c r="I472" s="4" t="e">
        <f>VLOOKUP(A:A,Table1[[Project No]:[Additional Remark]],8,FALSE)</f>
        <v>#REF!</v>
      </c>
      <c r="J472" s="4" t="e">
        <f>VLOOKUP(A:A,Table1[[Project No]:[Additional Remark]],23,FALSE)</f>
        <v>#REF!</v>
      </c>
      <c r="K472" s="4"/>
      <c r="L472" s="4"/>
      <c r="M472" s="4"/>
      <c r="N472" s="4"/>
      <c r="O472" s="4"/>
      <c r="P472" s="4"/>
      <c r="Q472" s="4"/>
      <c r="R472" s="4"/>
      <c r="S472" s="4"/>
      <c r="T472" s="4"/>
      <c r="U472" s="4"/>
      <c r="V472" s="4"/>
    </row>
    <row r="473" spans="1:22" x14ac:dyDescent="0.3">
      <c r="A473" s="4" t="e">
        <f>'ECN Master Project Tracker new'!#REF!</f>
        <v>#REF!</v>
      </c>
      <c r="B473" s="108" t="e">
        <f>VLOOKUP(A:A,Table1[[#All],[Project No]:[Additional Remark]],2,FALSE)</f>
        <v>#REF!</v>
      </c>
      <c r="C473" s="4" t="e">
        <f>VLOOKUP(A:A,Table1[[Project No]:[Additional Remark]],19,FALSE)</f>
        <v>#REF!</v>
      </c>
      <c r="D473" s="4" t="e">
        <f>VLOOKUP(A:A,Table1[[Project No]:[Additional Remark]],20,FALSE)</f>
        <v>#REF!</v>
      </c>
      <c r="E473" s="4" t="e">
        <f>VLOOKUP(A:A,Table1[[Project No]:[Additional Remark]],21,FALSE)</f>
        <v>#REF!</v>
      </c>
      <c r="F473" s="4" t="e">
        <f>VLOOKUP(A:A,Table1[[Project No]:[Additional Remark]],22,FALSE)</f>
        <v>#REF!</v>
      </c>
      <c r="G473" s="55" t="e">
        <f>VLOOKUP(A:A,Table1[[Project No]:[Additional Remark]],11,FALSE)</f>
        <v>#REF!</v>
      </c>
      <c r="H473" s="4" t="e">
        <f>VLOOKUP(A:A,Table1[[Project No]:[Additional Remark]],5,FALSE)</f>
        <v>#REF!</v>
      </c>
      <c r="I473" s="4" t="e">
        <f>VLOOKUP(A:A,Table1[[Project No]:[Additional Remark]],8,FALSE)</f>
        <v>#REF!</v>
      </c>
      <c r="J473" s="4" t="e">
        <f>VLOOKUP(A:A,Table1[[Project No]:[Additional Remark]],23,FALSE)</f>
        <v>#REF!</v>
      </c>
      <c r="K473" s="4"/>
      <c r="L473" s="4"/>
      <c r="M473" s="4"/>
      <c r="N473" s="4"/>
      <c r="O473" s="4"/>
      <c r="P473" s="4"/>
      <c r="Q473" s="4"/>
      <c r="R473" s="4"/>
      <c r="S473" s="4"/>
      <c r="T473" s="4"/>
      <c r="U473" s="4"/>
      <c r="V473" s="4"/>
    </row>
    <row r="474" spans="1:22" x14ac:dyDescent="0.3">
      <c r="A474" s="4" t="e">
        <f>'ECN Master Project Tracker new'!#REF!</f>
        <v>#REF!</v>
      </c>
      <c r="B474" s="108" t="e">
        <f>VLOOKUP(A:A,Table1[[#All],[Project No]:[Additional Remark]],2,FALSE)</f>
        <v>#REF!</v>
      </c>
      <c r="C474" s="4" t="e">
        <f>VLOOKUP(A:A,Table1[[Project No]:[Additional Remark]],19,FALSE)</f>
        <v>#REF!</v>
      </c>
      <c r="D474" s="4" t="e">
        <f>VLOOKUP(A:A,Table1[[Project No]:[Additional Remark]],20,FALSE)</f>
        <v>#REF!</v>
      </c>
      <c r="E474" s="4" t="e">
        <f>VLOOKUP(A:A,Table1[[Project No]:[Additional Remark]],21,FALSE)</f>
        <v>#REF!</v>
      </c>
      <c r="F474" s="4" t="e">
        <f>VLOOKUP(A:A,Table1[[Project No]:[Additional Remark]],22,FALSE)</f>
        <v>#REF!</v>
      </c>
      <c r="G474" s="55" t="e">
        <f>VLOOKUP(A:A,Table1[[Project No]:[Additional Remark]],11,FALSE)</f>
        <v>#REF!</v>
      </c>
      <c r="H474" s="4" t="e">
        <f>VLOOKUP(A:A,Table1[[Project No]:[Additional Remark]],5,FALSE)</f>
        <v>#REF!</v>
      </c>
      <c r="I474" s="4" t="e">
        <f>VLOOKUP(A:A,Table1[[Project No]:[Additional Remark]],8,FALSE)</f>
        <v>#REF!</v>
      </c>
      <c r="J474" s="4" t="e">
        <f>VLOOKUP(A:A,Table1[[Project No]:[Additional Remark]],23,FALSE)</f>
        <v>#REF!</v>
      </c>
      <c r="K474" s="4"/>
      <c r="L474" s="4"/>
      <c r="M474" s="4"/>
      <c r="N474" s="4"/>
      <c r="O474" s="4"/>
      <c r="P474" s="4"/>
      <c r="Q474" s="4"/>
      <c r="R474" s="4"/>
      <c r="S474" s="4"/>
      <c r="T474" s="4"/>
      <c r="U474" s="4"/>
      <c r="V474" s="4"/>
    </row>
    <row r="475" spans="1:22" x14ac:dyDescent="0.3">
      <c r="A475" s="4" t="e">
        <f>'ECN Master Project Tracker new'!#REF!</f>
        <v>#REF!</v>
      </c>
      <c r="B475" s="108" t="e">
        <f>VLOOKUP(A:A,Table1[[#All],[Project No]:[Additional Remark]],2,FALSE)</f>
        <v>#REF!</v>
      </c>
      <c r="C475" s="4" t="e">
        <f>VLOOKUP(A:A,Table1[[Project No]:[Additional Remark]],19,FALSE)</f>
        <v>#REF!</v>
      </c>
      <c r="D475" s="4" t="e">
        <f>VLOOKUP(A:A,Table1[[Project No]:[Additional Remark]],20,FALSE)</f>
        <v>#REF!</v>
      </c>
      <c r="E475" s="4" t="e">
        <f>VLOOKUP(A:A,Table1[[Project No]:[Additional Remark]],21,FALSE)</f>
        <v>#REF!</v>
      </c>
      <c r="F475" s="4" t="e">
        <f>VLOOKUP(A:A,Table1[[Project No]:[Additional Remark]],22,FALSE)</f>
        <v>#REF!</v>
      </c>
      <c r="G475" s="55" t="e">
        <f>VLOOKUP(A:A,Table1[[Project No]:[Additional Remark]],11,FALSE)</f>
        <v>#REF!</v>
      </c>
      <c r="H475" s="4" t="e">
        <f>VLOOKUP(A:A,Table1[[Project No]:[Additional Remark]],5,FALSE)</f>
        <v>#REF!</v>
      </c>
      <c r="I475" s="4" t="e">
        <f>VLOOKUP(A:A,Table1[[Project No]:[Additional Remark]],8,FALSE)</f>
        <v>#REF!</v>
      </c>
      <c r="J475" s="4" t="e">
        <f>VLOOKUP(A:A,Table1[[Project No]:[Additional Remark]],23,FALSE)</f>
        <v>#REF!</v>
      </c>
      <c r="K475" s="4"/>
      <c r="L475" s="4"/>
      <c r="M475" s="4"/>
      <c r="N475" s="4"/>
      <c r="O475" s="4"/>
      <c r="P475" s="4"/>
      <c r="Q475" s="4"/>
      <c r="R475" s="4"/>
      <c r="S475" s="4"/>
      <c r="T475" s="4"/>
      <c r="U475" s="4"/>
      <c r="V475" s="4"/>
    </row>
    <row r="476" spans="1:22" x14ac:dyDescent="0.3">
      <c r="A476" s="4" t="e">
        <f>'ECN Master Project Tracker new'!#REF!</f>
        <v>#REF!</v>
      </c>
      <c r="B476" s="108" t="e">
        <f>VLOOKUP(A:A,Table1[[#All],[Project No]:[Additional Remark]],2,FALSE)</f>
        <v>#REF!</v>
      </c>
      <c r="C476" s="4" t="e">
        <f>VLOOKUP(A:A,Table1[[Project No]:[Additional Remark]],19,FALSE)</f>
        <v>#REF!</v>
      </c>
      <c r="D476" s="4" t="e">
        <f>VLOOKUP(A:A,Table1[[Project No]:[Additional Remark]],20,FALSE)</f>
        <v>#REF!</v>
      </c>
      <c r="E476" s="4" t="e">
        <f>VLOOKUP(A:A,Table1[[Project No]:[Additional Remark]],21,FALSE)</f>
        <v>#REF!</v>
      </c>
      <c r="F476" s="4" t="e">
        <f>VLOOKUP(A:A,Table1[[Project No]:[Additional Remark]],22,FALSE)</f>
        <v>#REF!</v>
      </c>
      <c r="G476" s="55" t="e">
        <f>VLOOKUP(A:A,Table1[[Project No]:[Additional Remark]],11,FALSE)</f>
        <v>#REF!</v>
      </c>
      <c r="H476" s="4" t="e">
        <f>VLOOKUP(A:A,Table1[[Project No]:[Additional Remark]],5,FALSE)</f>
        <v>#REF!</v>
      </c>
      <c r="I476" s="4" t="e">
        <f>VLOOKUP(A:A,Table1[[Project No]:[Additional Remark]],8,FALSE)</f>
        <v>#REF!</v>
      </c>
      <c r="J476" s="4" t="e">
        <f>VLOOKUP(A:A,Table1[[Project No]:[Additional Remark]],23,FALSE)</f>
        <v>#REF!</v>
      </c>
      <c r="K476" s="4"/>
      <c r="L476" s="4"/>
      <c r="M476" s="4"/>
      <c r="N476" s="4"/>
      <c r="O476" s="4"/>
      <c r="P476" s="4"/>
      <c r="Q476" s="4"/>
      <c r="R476" s="4"/>
      <c r="S476" s="4"/>
      <c r="T476" s="4"/>
      <c r="U476" s="4"/>
      <c r="V476" s="4"/>
    </row>
    <row r="477" spans="1:22" x14ac:dyDescent="0.3">
      <c r="A477" s="4" t="e">
        <f>'ECN Master Project Tracker new'!#REF!</f>
        <v>#REF!</v>
      </c>
      <c r="B477" s="108" t="e">
        <f>VLOOKUP(A:A,Table1[[#All],[Project No]:[Additional Remark]],2,FALSE)</f>
        <v>#REF!</v>
      </c>
      <c r="C477" s="4" t="e">
        <f>VLOOKUP(A:A,Table1[[Project No]:[Additional Remark]],19,FALSE)</f>
        <v>#REF!</v>
      </c>
      <c r="D477" s="4" t="e">
        <f>VLOOKUP(A:A,Table1[[Project No]:[Additional Remark]],20,FALSE)</f>
        <v>#REF!</v>
      </c>
      <c r="E477" s="4" t="e">
        <f>VLOOKUP(A:A,Table1[[Project No]:[Additional Remark]],21,FALSE)</f>
        <v>#REF!</v>
      </c>
      <c r="F477" s="4" t="e">
        <f>VLOOKUP(A:A,Table1[[Project No]:[Additional Remark]],22,FALSE)</f>
        <v>#REF!</v>
      </c>
      <c r="G477" s="55" t="e">
        <f>VLOOKUP(A:A,Table1[[Project No]:[Additional Remark]],11,FALSE)</f>
        <v>#REF!</v>
      </c>
      <c r="H477" s="4" t="e">
        <f>VLOOKUP(A:A,Table1[[Project No]:[Additional Remark]],5,FALSE)</f>
        <v>#REF!</v>
      </c>
      <c r="I477" s="4" t="e">
        <f>VLOOKUP(A:A,Table1[[Project No]:[Additional Remark]],8,FALSE)</f>
        <v>#REF!</v>
      </c>
      <c r="J477" s="4" t="e">
        <f>VLOOKUP(A:A,Table1[[Project No]:[Additional Remark]],23,FALSE)</f>
        <v>#REF!</v>
      </c>
      <c r="K477" s="4"/>
      <c r="L477" s="4"/>
      <c r="M477" s="4"/>
      <c r="N477" s="4"/>
      <c r="O477" s="4"/>
      <c r="P477" s="4"/>
      <c r="Q477" s="4"/>
      <c r="R477" s="4"/>
      <c r="S477" s="4"/>
      <c r="T477" s="4"/>
      <c r="U477" s="4"/>
      <c r="V477" s="4"/>
    </row>
    <row r="478" spans="1:22" x14ac:dyDescent="0.3">
      <c r="A478" s="4" t="e">
        <f>'ECN Master Project Tracker new'!#REF!</f>
        <v>#REF!</v>
      </c>
      <c r="B478" s="108" t="e">
        <f>VLOOKUP(A:A,Table1[[#All],[Project No]:[Additional Remark]],2,FALSE)</f>
        <v>#REF!</v>
      </c>
      <c r="C478" s="4" t="e">
        <f>VLOOKUP(A:A,Table1[[Project No]:[Additional Remark]],19,FALSE)</f>
        <v>#REF!</v>
      </c>
      <c r="D478" s="4" t="e">
        <f>VLOOKUP(A:A,Table1[[Project No]:[Additional Remark]],20,FALSE)</f>
        <v>#REF!</v>
      </c>
      <c r="E478" s="4" t="e">
        <f>VLOOKUP(A:A,Table1[[Project No]:[Additional Remark]],21,FALSE)</f>
        <v>#REF!</v>
      </c>
      <c r="F478" s="4" t="e">
        <f>VLOOKUP(A:A,Table1[[Project No]:[Additional Remark]],22,FALSE)</f>
        <v>#REF!</v>
      </c>
      <c r="G478" s="55" t="e">
        <f>VLOOKUP(A:A,Table1[[Project No]:[Additional Remark]],11,FALSE)</f>
        <v>#REF!</v>
      </c>
      <c r="H478" s="4" t="e">
        <f>VLOOKUP(A:A,Table1[[Project No]:[Additional Remark]],5,FALSE)</f>
        <v>#REF!</v>
      </c>
      <c r="I478" s="4" t="e">
        <f>VLOOKUP(A:A,Table1[[Project No]:[Additional Remark]],8,FALSE)</f>
        <v>#REF!</v>
      </c>
      <c r="J478" s="4" t="e">
        <f>VLOOKUP(A:A,Table1[[Project No]:[Additional Remark]],23,FALSE)</f>
        <v>#REF!</v>
      </c>
      <c r="K478" s="4"/>
      <c r="L478" s="4"/>
      <c r="M478" s="4"/>
      <c r="N478" s="4"/>
      <c r="O478" s="4"/>
      <c r="P478" s="4"/>
      <c r="Q478" s="4"/>
      <c r="R478" s="4"/>
      <c r="S478" s="4"/>
      <c r="T478" s="4"/>
      <c r="U478" s="4"/>
      <c r="V478" s="4"/>
    </row>
    <row r="479" spans="1:22" x14ac:dyDescent="0.3">
      <c r="A479" s="4">
        <f>'ECN Master Project Tracker new'!A373</f>
        <v>0</v>
      </c>
      <c r="B479" s="108" t="e">
        <f>VLOOKUP(A:A,Table1[[#All],[Project No]:[Additional Remark]],2,FALSE)</f>
        <v>#N/A</v>
      </c>
      <c r="C479" s="4" t="e">
        <f>VLOOKUP(A:A,Table1[[Project No]:[Additional Remark]],19,FALSE)</f>
        <v>#N/A</v>
      </c>
      <c r="D479" s="4" t="e">
        <f>VLOOKUP(A:A,Table1[[Project No]:[Additional Remark]],20,FALSE)</f>
        <v>#N/A</v>
      </c>
      <c r="E479" s="4" t="e">
        <f>VLOOKUP(A:A,Table1[[Project No]:[Additional Remark]],21,FALSE)</f>
        <v>#N/A</v>
      </c>
      <c r="F479" s="4" t="e">
        <f>VLOOKUP(A:A,Table1[[Project No]:[Additional Remark]],22,FALSE)</f>
        <v>#N/A</v>
      </c>
      <c r="G479" s="55" t="e">
        <f>VLOOKUP(A:A,Table1[[Project No]:[Additional Remark]],11,FALSE)</f>
        <v>#N/A</v>
      </c>
      <c r="H479" s="4" t="e">
        <f>VLOOKUP(A:A,Table1[[Project No]:[Additional Remark]],5,FALSE)</f>
        <v>#N/A</v>
      </c>
      <c r="I479" s="4" t="e">
        <f>VLOOKUP(A:A,Table1[[Project No]:[Additional Remark]],8,FALSE)</f>
        <v>#N/A</v>
      </c>
      <c r="J479" s="4" t="e">
        <f>VLOOKUP(A:A,Table1[[Project No]:[Additional Remark]],23,FALSE)</f>
        <v>#N/A</v>
      </c>
      <c r="K479" s="4"/>
      <c r="L479" s="4"/>
      <c r="M479" s="4"/>
      <c r="N479" s="4"/>
      <c r="O479" s="4"/>
      <c r="P479" s="4"/>
      <c r="Q479" s="4"/>
      <c r="R479" s="4"/>
      <c r="S479" s="4"/>
      <c r="T479" s="4"/>
      <c r="U479" s="4"/>
      <c r="V479" s="4"/>
    </row>
    <row r="480" spans="1:22" x14ac:dyDescent="0.3">
      <c r="A480" s="4">
        <f>'ECN Master Project Tracker new'!A374</f>
        <v>0</v>
      </c>
      <c r="B480" s="108" t="e">
        <f>VLOOKUP(A:A,Table1[[#All],[Project No]:[Additional Remark]],2,FALSE)</f>
        <v>#N/A</v>
      </c>
      <c r="C480" s="4" t="e">
        <f>VLOOKUP(A:A,Table1[[Project No]:[Additional Remark]],19,FALSE)</f>
        <v>#N/A</v>
      </c>
      <c r="D480" s="4" t="e">
        <f>VLOOKUP(A:A,Table1[[Project No]:[Additional Remark]],20,FALSE)</f>
        <v>#N/A</v>
      </c>
      <c r="E480" s="4" t="e">
        <f>VLOOKUP(A:A,Table1[[Project No]:[Additional Remark]],21,FALSE)</f>
        <v>#N/A</v>
      </c>
      <c r="F480" s="4" t="e">
        <f>VLOOKUP(A:A,Table1[[Project No]:[Additional Remark]],22,FALSE)</f>
        <v>#N/A</v>
      </c>
      <c r="G480" s="55" t="e">
        <f>VLOOKUP(A:A,Table1[[Project No]:[Additional Remark]],11,FALSE)</f>
        <v>#N/A</v>
      </c>
      <c r="H480" s="4" t="e">
        <f>VLOOKUP(A:A,Table1[[Project No]:[Additional Remark]],5,FALSE)</f>
        <v>#N/A</v>
      </c>
      <c r="I480" s="4" t="e">
        <f>VLOOKUP(A:A,Table1[[Project No]:[Additional Remark]],8,FALSE)</f>
        <v>#N/A</v>
      </c>
      <c r="J480" s="4" t="e">
        <f>VLOOKUP(A:A,Table1[[Project No]:[Additional Remark]],23,FALSE)</f>
        <v>#N/A</v>
      </c>
      <c r="K480" s="4"/>
      <c r="L480" s="4"/>
      <c r="M480" s="4"/>
      <c r="N480" s="4"/>
      <c r="O480" s="4"/>
      <c r="P480" s="4"/>
      <c r="Q480" s="4"/>
      <c r="R480" s="4"/>
      <c r="S480" s="4"/>
      <c r="T480" s="4"/>
      <c r="U480" s="4"/>
      <c r="V480" s="4"/>
    </row>
    <row r="481" spans="1:22" x14ac:dyDescent="0.3">
      <c r="A481" s="4">
        <f>'ECN Master Project Tracker new'!A375</f>
        <v>0</v>
      </c>
      <c r="B481" s="108" t="e">
        <f>VLOOKUP(A:A,Table1[[#All],[Project No]:[Additional Remark]],2,FALSE)</f>
        <v>#N/A</v>
      </c>
      <c r="C481" s="4" t="e">
        <f>VLOOKUP(A:A,Table1[[Project No]:[Additional Remark]],19,FALSE)</f>
        <v>#N/A</v>
      </c>
      <c r="D481" s="4" t="e">
        <f>VLOOKUP(A:A,Table1[[Project No]:[Additional Remark]],20,FALSE)</f>
        <v>#N/A</v>
      </c>
      <c r="E481" s="4" t="e">
        <f>VLOOKUP(A:A,Table1[[Project No]:[Additional Remark]],21,FALSE)</f>
        <v>#N/A</v>
      </c>
      <c r="F481" s="4" t="e">
        <f>VLOOKUP(A:A,Table1[[Project No]:[Additional Remark]],22,FALSE)</f>
        <v>#N/A</v>
      </c>
      <c r="G481" s="55" t="e">
        <f>VLOOKUP(A:A,Table1[[Project No]:[Additional Remark]],11,FALSE)</f>
        <v>#N/A</v>
      </c>
      <c r="H481" s="4" t="e">
        <f>VLOOKUP(A:A,Table1[[Project No]:[Additional Remark]],5,FALSE)</f>
        <v>#N/A</v>
      </c>
      <c r="I481" s="4" t="e">
        <f>VLOOKUP(A:A,Table1[[Project No]:[Additional Remark]],8,FALSE)</f>
        <v>#N/A</v>
      </c>
      <c r="J481" s="4" t="e">
        <f>VLOOKUP(A:A,Table1[[Project No]:[Additional Remark]],23,FALSE)</f>
        <v>#N/A</v>
      </c>
      <c r="K481" s="4"/>
      <c r="L481" s="4"/>
      <c r="M481" s="4"/>
      <c r="N481" s="4"/>
      <c r="O481" s="4"/>
      <c r="P481" s="4"/>
      <c r="Q481" s="4"/>
      <c r="R481" s="4"/>
      <c r="S481" s="4"/>
      <c r="T481" s="4"/>
      <c r="U481" s="4"/>
      <c r="V481" s="4"/>
    </row>
    <row r="482" spans="1:22" x14ac:dyDescent="0.3">
      <c r="A482" s="4">
        <f>'ECN Master Project Tracker new'!A376</f>
        <v>0</v>
      </c>
      <c r="B482" s="108" t="e">
        <f>VLOOKUP(A:A,Table1[[#All],[Project No]:[Additional Remark]],2,FALSE)</f>
        <v>#N/A</v>
      </c>
      <c r="C482" s="4" t="e">
        <f>VLOOKUP(A:A,Table1[[Project No]:[Additional Remark]],19,FALSE)</f>
        <v>#N/A</v>
      </c>
      <c r="D482" s="4" t="e">
        <f>VLOOKUP(A:A,Table1[[Project No]:[Additional Remark]],20,FALSE)</f>
        <v>#N/A</v>
      </c>
      <c r="E482" s="4" t="e">
        <f>VLOOKUP(A:A,Table1[[Project No]:[Additional Remark]],21,FALSE)</f>
        <v>#N/A</v>
      </c>
      <c r="F482" s="4" t="e">
        <f>VLOOKUP(A:A,Table1[[Project No]:[Additional Remark]],22,FALSE)</f>
        <v>#N/A</v>
      </c>
      <c r="G482" s="55" t="e">
        <f>VLOOKUP(A:A,Table1[[Project No]:[Additional Remark]],11,FALSE)</f>
        <v>#N/A</v>
      </c>
      <c r="H482" s="4" t="e">
        <f>VLOOKUP(A:A,Table1[[Project No]:[Additional Remark]],5,FALSE)</f>
        <v>#N/A</v>
      </c>
      <c r="I482" s="4" t="e">
        <f>VLOOKUP(A:A,Table1[[Project No]:[Additional Remark]],8,FALSE)</f>
        <v>#N/A</v>
      </c>
      <c r="J482" s="4" t="e">
        <f>VLOOKUP(A:A,Table1[[Project No]:[Additional Remark]],23,FALSE)</f>
        <v>#N/A</v>
      </c>
      <c r="K482" s="4"/>
      <c r="L482" s="4"/>
      <c r="M482" s="4"/>
      <c r="N482" s="4"/>
      <c r="O482" s="4"/>
      <c r="P482" s="4"/>
      <c r="Q482" s="4"/>
      <c r="R482" s="4"/>
      <c r="S482" s="4"/>
      <c r="T482" s="4"/>
      <c r="U482" s="4"/>
      <c r="V482" s="4"/>
    </row>
    <row r="483" spans="1:22" x14ac:dyDescent="0.3">
      <c r="A483" s="4">
        <f>'ECN Master Project Tracker new'!A377</f>
        <v>0</v>
      </c>
      <c r="B483" s="108" t="e">
        <f>VLOOKUP(A:A,Table1[[#All],[Project No]:[Additional Remark]],2,FALSE)</f>
        <v>#N/A</v>
      </c>
      <c r="C483" s="4" t="e">
        <f>VLOOKUP(A:A,Table1[[Project No]:[Additional Remark]],19,FALSE)</f>
        <v>#N/A</v>
      </c>
      <c r="D483" s="4" t="e">
        <f>VLOOKUP(A:A,Table1[[Project No]:[Additional Remark]],20,FALSE)</f>
        <v>#N/A</v>
      </c>
      <c r="E483" s="4" t="e">
        <f>VLOOKUP(A:A,Table1[[Project No]:[Additional Remark]],21,FALSE)</f>
        <v>#N/A</v>
      </c>
      <c r="F483" s="4" t="e">
        <f>VLOOKUP(A:A,Table1[[Project No]:[Additional Remark]],22,FALSE)</f>
        <v>#N/A</v>
      </c>
      <c r="G483" s="55" t="e">
        <f>VLOOKUP(A:A,Table1[[Project No]:[Additional Remark]],11,FALSE)</f>
        <v>#N/A</v>
      </c>
      <c r="H483" s="4" t="e">
        <f>VLOOKUP(A:A,Table1[[Project No]:[Additional Remark]],5,FALSE)</f>
        <v>#N/A</v>
      </c>
      <c r="I483" s="4" t="e">
        <f>VLOOKUP(A:A,Table1[[Project No]:[Additional Remark]],8,FALSE)</f>
        <v>#N/A</v>
      </c>
      <c r="J483" s="4" t="e">
        <f>VLOOKUP(A:A,Table1[[Project No]:[Additional Remark]],23,FALSE)</f>
        <v>#N/A</v>
      </c>
      <c r="K483" s="4"/>
      <c r="L483" s="4"/>
      <c r="M483" s="4"/>
      <c r="N483" s="4"/>
      <c r="O483" s="4"/>
      <c r="P483" s="4"/>
      <c r="Q483" s="4"/>
      <c r="R483" s="4"/>
      <c r="S483" s="4"/>
      <c r="T483" s="4"/>
      <c r="U483" s="4"/>
      <c r="V483" s="4"/>
    </row>
    <row r="484" spans="1:22" x14ac:dyDescent="0.3">
      <c r="A484" s="4">
        <f>'ECN Master Project Tracker new'!A378</f>
        <v>0</v>
      </c>
      <c r="B484" s="108" t="e">
        <f>VLOOKUP(A:A,Table1[[#All],[Project No]:[Additional Remark]],2,FALSE)</f>
        <v>#N/A</v>
      </c>
      <c r="C484" s="4" t="e">
        <f>VLOOKUP(A:A,Table1[[Project No]:[Additional Remark]],19,FALSE)</f>
        <v>#N/A</v>
      </c>
      <c r="D484" s="4" t="e">
        <f>VLOOKUP(A:A,Table1[[Project No]:[Additional Remark]],20,FALSE)</f>
        <v>#N/A</v>
      </c>
      <c r="E484" s="4" t="e">
        <f>VLOOKUP(A:A,Table1[[Project No]:[Additional Remark]],21,FALSE)</f>
        <v>#N/A</v>
      </c>
      <c r="F484" s="4" t="e">
        <f>VLOOKUP(A:A,Table1[[Project No]:[Additional Remark]],22,FALSE)</f>
        <v>#N/A</v>
      </c>
      <c r="G484" s="55" t="e">
        <f>VLOOKUP(A:A,Table1[[Project No]:[Additional Remark]],11,FALSE)</f>
        <v>#N/A</v>
      </c>
      <c r="H484" s="4" t="e">
        <f>VLOOKUP(A:A,Table1[[Project No]:[Additional Remark]],5,FALSE)</f>
        <v>#N/A</v>
      </c>
      <c r="I484" s="4" t="e">
        <f>VLOOKUP(A:A,Table1[[Project No]:[Additional Remark]],8,FALSE)</f>
        <v>#N/A</v>
      </c>
      <c r="J484" s="4" t="e">
        <f>VLOOKUP(A:A,Table1[[Project No]:[Additional Remark]],23,FALSE)</f>
        <v>#N/A</v>
      </c>
      <c r="K484" s="4"/>
      <c r="L484" s="4"/>
      <c r="M484" s="4"/>
      <c r="N484" s="4"/>
      <c r="O484" s="4"/>
      <c r="P484" s="4"/>
      <c r="Q484" s="4"/>
      <c r="R484" s="4"/>
      <c r="S484" s="4"/>
      <c r="T484" s="4"/>
      <c r="U484" s="4"/>
      <c r="V484" s="4"/>
    </row>
    <row r="485" spans="1:22" x14ac:dyDescent="0.3">
      <c r="A485" s="4">
        <f>'ECN Master Project Tracker new'!A379</f>
        <v>0</v>
      </c>
      <c r="B485" s="108" t="e">
        <f>VLOOKUP(A:A,Table1[[#All],[Project No]:[Additional Remark]],2,FALSE)</f>
        <v>#N/A</v>
      </c>
      <c r="C485" s="4" t="e">
        <f>VLOOKUP(A:A,Table1[[Project No]:[Additional Remark]],19,FALSE)</f>
        <v>#N/A</v>
      </c>
      <c r="D485" s="4" t="e">
        <f>VLOOKUP(A:A,Table1[[Project No]:[Additional Remark]],20,FALSE)</f>
        <v>#N/A</v>
      </c>
      <c r="E485" s="4" t="e">
        <f>VLOOKUP(A:A,Table1[[Project No]:[Additional Remark]],21,FALSE)</f>
        <v>#N/A</v>
      </c>
      <c r="F485" s="4" t="e">
        <f>VLOOKUP(A:A,Table1[[Project No]:[Additional Remark]],22,FALSE)</f>
        <v>#N/A</v>
      </c>
      <c r="G485" s="55" t="e">
        <f>VLOOKUP(A:A,Table1[[Project No]:[Additional Remark]],11,FALSE)</f>
        <v>#N/A</v>
      </c>
      <c r="H485" s="4" t="e">
        <f>VLOOKUP(A:A,Table1[[Project No]:[Additional Remark]],5,FALSE)</f>
        <v>#N/A</v>
      </c>
      <c r="I485" s="4" t="e">
        <f>VLOOKUP(A:A,Table1[[Project No]:[Additional Remark]],8,FALSE)</f>
        <v>#N/A</v>
      </c>
      <c r="J485" s="4" t="e">
        <f>VLOOKUP(A:A,Table1[[Project No]:[Additional Remark]],23,FALSE)</f>
        <v>#N/A</v>
      </c>
      <c r="K485" s="4"/>
      <c r="L485" s="4"/>
      <c r="M485" s="4"/>
      <c r="N485" s="4"/>
      <c r="O485" s="4"/>
      <c r="P485" s="4"/>
      <c r="Q485" s="4"/>
      <c r="R485" s="4"/>
      <c r="S485" s="4"/>
      <c r="T485" s="4"/>
      <c r="U485" s="4"/>
      <c r="V485" s="4"/>
    </row>
    <row r="486" spans="1:22" x14ac:dyDescent="0.3">
      <c r="A486" s="4">
        <f>'ECN Master Project Tracker new'!A380</f>
        <v>0</v>
      </c>
      <c r="B486" s="108" t="e">
        <f>VLOOKUP(A:A,Table1[[#All],[Project No]:[Additional Remark]],2,FALSE)</f>
        <v>#N/A</v>
      </c>
      <c r="C486" s="4" t="e">
        <f>VLOOKUP(A:A,Table1[[Project No]:[Additional Remark]],19,FALSE)</f>
        <v>#N/A</v>
      </c>
      <c r="D486" s="4" t="e">
        <f>VLOOKUP(A:A,Table1[[Project No]:[Additional Remark]],20,FALSE)</f>
        <v>#N/A</v>
      </c>
      <c r="E486" s="4" t="e">
        <f>VLOOKUP(A:A,Table1[[Project No]:[Additional Remark]],21,FALSE)</f>
        <v>#N/A</v>
      </c>
      <c r="F486" s="4" t="e">
        <f>VLOOKUP(A:A,Table1[[Project No]:[Additional Remark]],22,FALSE)</f>
        <v>#N/A</v>
      </c>
      <c r="G486" s="55" t="e">
        <f>VLOOKUP(A:A,Table1[[Project No]:[Additional Remark]],11,FALSE)</f>
        <v>#N/A</v>
      </c>
      <c r="H486" s="4" t="e">
        <f>VLOOKUP(A:A,Table1[[Project No]:[Additional Remark]],5,FALSE)</f>
        <v>#N/A</v>
      </c>
      <c r="I486" s="4" t="e">
        <f>VLOOKUP(A:A,Table1[[Project No]:[Additional Remark]],8,FALSE)</f>
        <v>#N/A</v>
      </c>
      <c r="J486" s="4" t="e">
        <f>VLOOKUP(A:A,Table1[[Project No]:[Additional Remark]],23,FALSE)</f>
        <v>#N/A</v>
      </c>
      <c r="K486" s="4"/>
      <c r="L486" s="4"/>
      <c r="M486" s="4"/>
      <c r="N486" s="4"/>
      <c r="O486" s="4"/>
      <c r="P486" s="4"/>
      <c r="Q486" s="4"/>
      <c r="R486" s="4"/>
      <c r="S486" s="4"/>
      <c r="T486" s="4"/>
      <c r="U486" s="4"/>
      <c r="V486" s="4"/>
    </row>
    <row r="487" spans="1:22" x14ac:dyDescent="0.3">
      <c r="A487" s="4">
        <f>'ECN Master Project Tracker new'!A381</f>
        <v>0</v>
      </c>
      <c r="B487" s="108" t="e">
        <f>VLOOKUP(A:A,Table1[[#All],[Project No]:[Additional Remark]],2,FALSE)</f>
        <v>#N/A</v>
      </c>
      <c r="C487" s="4" t="e">
        <f>VLOOKUP(A:A,Table1[[Project No]:[Additional Remark]],19,FALSE)</f>
        <v>#N/A</v>
      </c>
      <c r="D487" s="4" t="e">
        <f>VLOOKUP(A:A,Table1[[Project No]:[Additional Remark]],20,FALSE)</f>
        <v>#N/A</v>
      </c>
      <c r="E487" s="4" t="e">
        <f>VLOOKUP(A:A,Table1[[Project No]:[Additional Remark]],21,FALSE)</f>
        <v>#N/A</v>
      </c>
      <c r="F487" s="4" t="e">
        <f>VLOOKUP(A:A,Table1[[Project No]:[Additional Remark]],22,FALSE)</f>
        <v>#N/A</v>
      </c>
      <c r="G487" s="55" t="e">
        <f>VLOOKUP(A:A,Table1[[Project No]:[Additional Remark]],11,FALSE)</f>
        <v>#N/A</v>
      </c>
      <c r="H487" s="4" t="e">
        <f>VLOOKUP(A:A,Table1[[Project No]:[Additional Remark]],5,FALSE)</f>
        <v>#N/A</v>
      </c>
      <c r="I487" s="4" t="e">
        <f>VLOOKUP(A:A,Table1[[Project No]:[Additional Remark]],8,FALSE)</f>
        <v>#N/A</v>
      </c>
      <c r="J487" s="4" t="e">
        <f>VLOOKUP(A:A,Table1[[Project No]:[Additional Remark]],23,FALSE)</f>
        <v>#N/A</v>
      </c>
      <c r="K487" s="4"/>
      <c r="L487" s="4"/>
      <c r="M487" s="4"/>
      <c r="N487" s="4"/>
      <c r="O487" s="4"/>
      <c r="P487" s="4"/>
      <c r="Q487" s="4"/>
      <c r="R487" s="4"/>
      <c r="S487" s="4"/>
      <c r="T487" s="4"/>
      <c r="U487" s="4"/>
      <c r="V487" s="4"/>
    </row>
    <row r="488" spans="1:22" x14ac:dyDescent="0.3">
      <c r="A488" s="4">
        <f>'ECN Master Project Tracker new'!A382</f>
        <v>0</v>
      </c>
      <c r="B488" s="108" t="e">
        <f>VLOOKUP(A:A,Table1[[#All],[Project No]:[Additional Remark]],2,FALSE)</f>
        <v>#N/A</v>
      </c>
      <c r="C488" s="4" t="e">
        <f>VLOOKUP(A:A,Table1[[Project No]:[Additional Remark]],19,FALSE)</f>
        <v>#N/A</v>
      </c>
      <c r="D488" s="4" t="e">
        <f>VLOOKUP(A:A,Table1[[Project No]:[Additional Remark]],20,FALSE)</f>
        <v>#N/A</v>
      </c>
      <c r="E488" s="4" t="e">
        <f>VLOOKUP(A:A,Table1[[Project No]:[Additional Remark]],21,FALSE)</f>
        <v>#N/A</v>
      </c>
      <c r="F488" s="4" t="e">
        <f>VLOOKUP(A:A,Table1[[Project No]:[Additional Remark]],22,FALSE)</f>
        <v>#N/A</v>
      </c>
      <c r="G488" s="55" t="e">
        <f>VLOOKUP(A:A,Table1[[Project No]:[Additional Remark]],11,FALSE)</f>
        <v>#N/A</v>
      </c>
      <c r="H488" s="4" t="e">
        <f>VLOOKUP(A:A,Table1[[Project No]:[Additional Remark]],5,FALSE)</f>
        <v>#N/A</v>
      </c>
      <c r="I488" s="4" t="e">
        <f>VLOOKUP(A:A,Table1[[Project No]:[Additional Remark]],8,FALSE)</f>
        <v>#N/A</v>
      </c>
      <c r="J488" s="4" t="e">
        <f>VLOOKUP(A:A,Table1[[Project No]:[Additional Remark]],23,FALSE)</f>
        <v>#N/A</v>
      </c>
      <c r="K488" s="4"/>
      <c r="L488" s="4"/>
      <c r="M488" s="4"/>
      <c r="N488" s="4"/>
      <c r="O488" s="4"/>
      <c r="P488" s="4"/>
      <c r="Q488" s="4"/>
      <c r="R488" s="4"/>
      <c r="S488" s="4"/>
      <c r="T488" s="4"/>
      <c r="U488" s="4"/>
      <c r="V488" s="4"/>
    </row>
    <row r="489" spans="1:22" x14ac:dyDescent="0.3">
      <c r="A489" s="4">
        <f>'ECN Master Project Tracker new'!A383</f>
        <v>0</v>
      </c>
      <c r="B489" s="108" t="e">
        <f>VLOOKUP(A:A,Table1[[#All],[Project No]:[Additional Remark]],2,FALSE)</f>
        <v>#N/A</v>
      </c>
      <c r="C489" s="4" t="e">
        <f>VLOOKUP(A:A,Table1[[Project No]:[Additional Remark]],19,FALSE)</f>
        <v>#N/A</v>
      </c>
      <c r="D489" s="4" t="e">
        <f>VLOOKUP(A:A,Table1[[Project No]:[Additional Remark]],20,FALSE)</f>
        <v>#N/A</v>
      </c>
      <c r="E489" s="4" t="e">
        <f>VLOOKUP(A:A,Table1[[Project No]:[Additional Remark]],21,FALSE)</f>
        <v>#N/A</v>
      </c>
      <c r="F489" s="4" t="e">
        <f>VLOOKUP(A:A,Table1[[Project No]:[Additional Remark]],22,FALSE)</f>
        <v>#N/A</v>
      </c>
      <c r="G489" s="55" t="e">
        <f>VLOOKUP(A:A,Table1[[Project No]:[Additional Remark]],11,FALSE)</f>
        <v>#N/A</v>
      </c>
      <c r="H489" s="4" t="e">
        <f>VLOOKUP(A:A,Table1[[Project No]:[Additional Remark]],5,FALSE)</f>
        <v>#N/A</v>
      </c>
      <c r="I489" s="4" t="e">
        <f>VLOOKUP(A:A,Table1[[Project No]:[Additional Remark]],8,FALSE)</f>
        <v>#N/A</v>
      </c>
      <c r="J489" s="4" t="e">
        <f>VLOOKUP(A:A,Table1[[Project No]:[Additional Remark]],23,FALSE)</f>
        <v>#N/A</v>
      </c>
      <c r="K489" s="4"/>
      <c r="L489" s="4"/>
      <c r="M489" s="4"/>
      <c r="N489" s="4"/>
      <c r="O489" s="4"/>
      <c r="P489" s="4"/>
      <c r="Q489" s="4"/>
      <c r="R489" s="4"/>
      <c r="S489" s="4"/>
      <c r="T489" s="4"/>
      <c r="U489" s="4"/>
      <c r="V489" s="4"/>
    </row>
    <row r="490" spans="1:22" x14ac:dyDescent="0.3">
      <c r="A490" s="4">
        <f>'ECN Master Project Tracker new'!A384</f>
        <v>0</v>
      </c>
      <c r="B490" s="108" t="e">
        <f>VLOOKUP(A:A,Table1[[#All],[Project No]:[Additional Remark]],2,FALSE)</f>
        <v>#N/A</v>
      </c>
      <c r="C490" s="4" t="e">
        <f>VLOOKUP(A:A,Table1[[Project No]:[Additional Remark]],19,FALSE)</f>
        <v>#N/A</v>
      </c>
      <c r="D490" s="4" t="e">
        <f>VLOOKUP(A:A,Table1[[Project No]:[Additional Remark]],20,FALSE)</f>
        <v>#N/A</v>
      </c>
      <c r="E490" s="4" t="e">
        <f>VLOOKUP(A:A,Table1[[Project No]:[Additional Remark]],21,FALSE)</f>
        <v>#N/A</v>
      </c>
      <c r="F490" s="4" t="e">
        <f>VLOOKUP(A:A,Table1[[Project No]:[Additional Remark]],22,FALSE)</f>
        <v>#N/A</v>
      </c>
      <c r="G490" s="55" t="e">
        <f>VLOOKUP(A:A,Table1[[Project No]:[Additional Remark]],11,FALSE)</f>
        <v>#N/A</v>
      </c>
      <c r="H490" s="4" t="e">
        <f>VLOOKUP(A:A,Table1[[Project No]:[Additional Remark]],5,FALSE)</f>
        <v>#N/A</v>
      </c>
      <c r="I490" s="4" t="e">
        <f>VLOOKUP(A:A,Table1[[Project No]:[Additional Remark]],8,FALSE)</f>
        <v>#N/A</v>
      </c>
      <c r="J490" s="4" t="e">
        <f>VLOOKUP(A:A,Table1[[Project No]:[Additional Remark]],23,FALSE)</f>
        <v>#N/A</v>
      </c>
      <c r="K490" s="4"/>
      <c r="L490" s="4"/>
      <c r="M490" s="4"/>
      <c r="N490" s="4"/>
      <c r="O490" s="4"/>
      <c r="P490" s="4"/>
      <c r="Q490" s="4"/>
      <c r="R490" s="4"/>
      <c r="S490" s="4"/>
      <c r="T490" s="4"/>
      <c r="U490" s="4"/>
      <c r="V490" s="4"/>
    </row>
    <row r="491" spans="1:22" x14ac:dyDescent="0.3">
      <c r="A491" s="4">
        <f>'ECN Master Project Tracker new'!A385</f>
        <v>0</v>
      </c>
      <c r="B491" s="108" t="e">
        <f>VLOOKUP(A:A,Table1[[#All],[Project No]:[Additional Remark]],2,FALSE)</f>
        <v>#N/A</v>
      </c>
      <c r="C491" s="4" t="e">
        <f>VLOOKUP(A:A,Table1[[Project No]:[Additional Remark]],19,FALSE)</f>
        <v>#N/A</v>
      </c>
      <c r="D491" s="4" t="e">
        <f>VLOOKUP(A:A,Table1[[Project No]:[Additional Remark]],20,FALSE)</f>
        <v>#N/A</v>
      </c>
      <c r="E491" s="4" t="e">
        <f>VLOOKUP(A:A,Table1[[Project No]:[Additional Remark]],21,FALSE)</f>
        <v>#N/A</v>
      </c>
      <c r="F491" s="4" t="e">
        <f>VLOOKUP(A:A,Table1[[Project No]:[Additional Remark]],22,FALSE)</f>
        <v>#N/A</v>
      </c>
      <c r="G491" s="55" t="e">
        <f>VLOOKUP(A:A,Table1[[Project No]:[Additional Remark]],11,FALSE)</f>
        <v>#N/A</v>
      </c>
      <c r="H491" s="4" t="e">
        <f>VLOOKUP(A:A,Table1[[Project No]:[Additional Remark]],5,FALSE)</f>
        <v>#N/A</v>
      </c>
      <c r="I491" s="4" t="e">
        <f>VLOOKUP(A:A,Table1[[Project No]:[Additional Remark]],8,FALSE)</f>
        <v>#N/A</v>
      </c>
      <c r="J491" s="4" t="e">
        <f>VLOOKUP(A:A,Table1[[Project No]:[Additional Remark]],23,FALSE)</f>
        <v>#N/A</v>
      </c>
      <c r="K491" s="4"/>
      <c r="L491" s="4"/>
      <c r="M491" s="4"/>
      <c r="N491" s="4"/>
      <c r="O491" s="4"/>
      <c r="P491" s="4"/>
      <c r="Q491" s="4"/>
      <c r="R491" s="4"/>
      <c r="S491" s="4"/>
      <c r="T491" s="4"/>
      <c r="U491" s="4"/>
      <c r="V491" s="4"/>
    </row>
    <row r="492" spans="1:22" x14ac:dyDescent="0.3">
      <c r="A492" s="4">
        <f>'ECN Master Project Tracker new'!A386</f>
        <v>0</v>
      </c>
      <c r="B492" s="108" t="e">
        <f>VLOOKUP(A:A,Table1[[#All],[Project No]:[Additional Remark]],2,FALSE)</f>
        <v>#N/A</v>
      </c>
      <c r="C492" s="4" t="e">
        <f>VLOOKUP(A:A,Table1[[Project No]:[Additional Remark]],19,FALSE)</f>
        <v>#N/A</v>
      </c>
      <c r="D492" s="4" t="e">
        <f>VLOOKUP(A:A,Table1[[Project No]:[Additional Remark]],20,FALSE)</f>
        <v>#N/A</v>
      </c>
      <c r="E492" s="4" t="e">
        <f>VLOOKUP(A:A,Table1[[Project No]:[Additional Remark]],21,FALSE)</f>
        <v>#N/A</v>
      </c>
      <c r="F492" s="4" t="e">
        <f>VLOOKUP(A:A,Table1[[Project No]:[Additional Remark]],22,FALSE)</f>
        <v>#N/A</v>
      </c>
      <c r="G492" s="55" t="e">
        <f>VLOOKUP(A:A,Table1[[Project No]:[Additional Remark]],11,FALSE)</f>
        <v>#N/A</v>
      </c>
      <c r="H492" s="4" t="e">
        <f>VLOOKUP(A:A,Table1[[Project No]:[Additional Remark]],5,FALSE)</f>
        <v>#N/A</v>
      </c>
      <c r="I492" s="4" t="e">
        <f>VLOOKUP(A:A,Table1[[Project No]:[Additional Remark]],8,FALSE)</f>
        <v>#N/A</v>
      </c>
      <c r="J492" s="4" t="e">
        <f>VLOOKUP(A:A,Table1[[Project No]:[Additional Remark]],23,FALSE)</f>
        <v>#N/A</v>
      </c>
      <c r="K492" s="4"/>
      <c r="L492" s="4"/>
      <c r="M492" s="4"/>
      <c r="N492" s="4"/>
      <c r="O492" s="4"/>
      <c r="P492" s="4"/>
      <c r="Q492" s="4"/>
      <c r="R492" s="4"/>
      <c r="S492" s="4"/>
      <c r="T492" s="4"/>
      <c r="U492" s="4"/>
      <c r="V492" s="4"/>
    </row>
    <row r="493" spans="1:22" x14ac:dyDescent="0.3">
      <c r="A493" s="4">
        <f>'ECN Master Project Tracker new'!A387</f>
        <v>0</v>
      </c>
      <c r="B493" s="108" t="e">
        <f>VLOOKUP(A:A,Table1[[#All],[Project No]:[Additional Remark]],2,FALSE)</f>
        <v>#N/A</v>
      </c>
      <c r="C493" s="4" t="e">
        <f>VLOOKUP(A:A,Table1[[Project No]:[Additional Remark]],19,FALSE)</f>
        <v>#N/A</v>
      </c>
      <c r="D493" s="4" t="e">
        <f>VLOOKUP(A:A,Table1[[Project No]:[Additional Remark]],20,FALSE)</f>
        <v>#N/A</v>
      </c>
      <c r="E493" s="4" t="e">
        <f>VLOOKUP(A:A,Table1[[Project No]:[Additional Remark]],21,FALSE)</f>
        <v>#N/A</v>
      </c>
      <c r="F493" s="4" t="e">
        <f>VLOOKUP(A:A,Table1[[Project No]:[Additional Remark]],22,FALSE)</f>
        <v>#N/A</v>
      </c>
      <c r="G493" s="55" t="e">
        <f>VLOOKUP(A:A,Table1[[Project No]:[Additional Remark]],11,FALSE)</f>
        <v>#N/A</v>
      </c>
      <c r="H493" s="4" t="e">
        <f>VLOOKUP(A:A,Table1[[Project No]:[Additional Remark]],5,FALSE)</f>
        <v>#N/A</v>
      </c>
      <c r="I493" s="4" t="e">
        <f>VLOOKUP(A:A,Table1[[Project No]:[Additional Remark]],8,FALSE)</f>
        <v>#N/A</v>
      </c>
      <c r="J493" s="4" t="e">
        <f>VLOOKUP(A:A,Table1[[Project No]:[Additional Remark]],23,FALSE)</f>
        <v>#N/A</v>
      </c>
      <c r="K493" s="4"/>
      <c r="L493" s="4"/>
      <c r="M493" s="4"/>
      <c r="N493" s="4"/>
      <c r="O493" s="4"/>
      <c r="P493" s="4"/>
      <c r="Q493" s="4"/>
      <c r="R493" s="4"/>
      <c r="S493" s="4"/>
      <c r="T493" s="4"/>
      <c r="U493" s="4"/>
      <c r="V493" s="4"/>
    </row>
    <row r="494" spans="1:22" x14ac:dyDescent="0.3">
      <c r="A494" s="4">
        <f>'ECN Master Project Tracker new'!A388</f>
        <v>0</v>
      </c>
      <c r="B494" s="108" t="e">
        <f>VLOOKUP(A:A,Table1[[#All],[Project No]:[Additional Remark]],2,FALSE)</f>
        <v>#N/A</v>
      </c>
      <c r="C494" s="4" t="e">
        <f>VLOOKUP(A:A,Table1[[Project No]:[Additional Remark]],19,FALSE)</f>
        <v>#N/A</v>
      </c>
      <c r="D494" s="4" t="e">
        <f>VLOOKUP(A:A,Table1[[Project No]:[Additional Remark]],20,FALSE)</f>
        <v>#N/A</v>
      </c>
      <c r="E494" s="4" t="e">
        <f>VLOOKUP(A:A,Table1[[Project No]:[Additional Remark]],21,FALSE)</f>
        <v>#N/A</v>
      </c>
      <c r="F494" s="4" t="e">
        <f>VLOOKUP(A:A,Table1[[Project No]:[Additional Remark]],22,FALSE)</f>
        <v>#N/A</v>
      </c>
      <c r="G494" s="55" t="e">
        <f>VLOOKUP(A:A,Table1[[Project No]:[Additional Remark]],11,FALSE)</f>
        <v>#N/A</v>
      </c>
      <c r="H494" s="4" t="e">
        <f>VLOOKUP(A:A,Table1[[Project No]:[Additional Remark]],5,FALSE)</f>
        <v>#N/A</v>
      </c>
      <c r="I494" s="4" t="e">
        <f>VLOOKUP(A:A,Table1[[Project No]:[Additional Remark]],8,FALSE)</f>
        <v>#N/A</v>
      </c>
      <c r="J494" s="4" t="e">
        <f>VLOOKUP(A:A,Table1[[Project No]:[Additional Remark]],23,FALSE)</f>
        <v>#N/A</v>
      </c>
      <c r="K494" s="4"/>
      <c r="L494" s="4"/>
      <c r="M494" s="4"/>
      <c r="N494" s="4"/>
      <c r="O494" s="4"/>
      <c r="P494" s="4"/>
      <c r="Q494" s="4"/>
      <c r="R494" s="4"/>
      <c r="S494" s="4"/>
      <c r="T494" s="4"/>
      <c r="U494" s="4"/>
      <c r="V494" s="4"/>
    </row>
    <row r="495" spans="1:22" x14ac:dyDescent="0.3">
      <c r="A495" s="4">
        <f>'ECN Master Project Tracker new'!A389</f>
        <v>0</v>
      </c>
      <c r="B495" s="108" t="e">
        <f>VLOOKUP(A:A,Table1[[#All],[Project No]:[Additional Remark]],2,FALSE)</f>
        <v>#N/A</v>
      </c>
      <c r="C495" s="4" t="e">
        <f>VLOOKUP(A:A,Table1[[Project No]:[Additional Remark]],19,FALSE)</f>
        <v>#N/A</v>
      </c>
      <c r="D495" s="4" t="e">
        <f>VLOOKUP(A:A,Table1[[Project No]:[Additional Remark]],20,FALSE)</f>
        <v>#N/A</v>
      </c>
      <c r="E495" s="4" t="e">
        <f>VLOOKUP(A:A,Table1[[Project No]:[Additional Remark]],21,FALSE)</f>
        <v>#N/A</v>
      </c>
      <c r="F495" s="4" t="e">
        <f>VLOOKUP(A:A,Table1[[Project No]:[Additional Remark]],22,FALSE)</f>
        <v>#N/A</v>
      </c>
      <c r="G495" s="55" t="e">
        <f>VLOOKUP(A:A,Table1[[Project No]:[Additional Remark]],11,FALSE)</f>
        <v>#N/A</v>
      </c>
      <c r="H495" s="4" t="e">
        <f>VLOOKUP(A:A,Table1[[Project No]:[Additional Remark]],5,FALSE)</f>
        <v>#N/A</v>
      </c>
      <c r="I495" s="4" t="e">
        <f>VLOOKUP(A:A,Table1[[Project No]:[Additional Remark]],8,FALSE)</f>
        <v>#N/A</v>
      </c>
      <c r="J495" s="4" t="e">
        <f>VLOOKUP(A:A,Table1[[Project No]:[Additional Remark]],23,FALSE)</f>
        <v>#N/A</v>
      </c>
      <c r="K495" s="4"/>
      <c r="L495" s="4"/>
      <c r="M495" s="4"/>
      <c r="N495" s="4"/>
      <c r="O495" s="4"/>
      <c r="P495" s="4"/>
      <c r="Q495" s="4"/>
      <c r="R495" s="4"/>
      <c r="S495" s="4"/>
      <c r="T495" s="4"/>
      <c r="U495" s="4"/>
      <c r="V495" s="4"/>
    </row>
    <row r="496" spans="1:22" x14ac:dyDescent="0.3">
      <c r="A496" s="4">
        <f>'ECN Master Project Tracker new'!A390</f>
        <v>0</v>
      </c>
      <c r="B496" s="108" t="e">
        <f>VLOOKUP(A:A,Table1[[#All],[Project No]:[Additional Remark]],2,FALSE)</f>
        <v>#N/A</v>
      </c>
      <c r="C496" s="4" t="e">
        <f>VLOOKUP(A:A,Table1[[Project No]:[Additional Remark]],19,FALSE)</f>
        <v>#N/A</v>
      </c>
      <c r="D496" s="4" t="e">
        <f>VLOOKUP(A:A,Table1[[Project No]:[Additional Remark]],20,FALSE)</f>
        <v>#N/A</v>
      </c>
      <c r="E496" s="4" t="e">
        <f>VLOOKUP(A:A,Table1[[Project No]:[Additional Remark]],21,FALSE)</f>
        <v>#N/A</v>
      </c>
      <c r="F496" s="4" t="e">
        <f>VLOOKUP(A:A,Table1[[Project No]:[Additional Remark]],22,FALSE)</f>
        <v>#N/A</v>
      </c>
      <c r="G496" s="55" t="e">
        <f>VLOOKUP(A:A,Table1[[Project No]:[Additional Remark]],11,FALSE)</f>
        <v>#N/A</v>
      </c>
      <c r="H496" s="4" t="e">
        <f>VLOOKUP(A:A,Table1[[Project No]:[Additional Remark]],5,FALSE)</f>
        <v>#N/A</v>
      </c>
      <c r="I496" s="4" t="e">
        <f>VLOOKUP(A:A,Table1[[Project No]:[Additional Remark]],8,FALSE)</f>
        <v>#N/A</v>
      </c>
      <c r="J496" s="4" t="e">
        <f>VLOOKUP(A:A,Table1[[Project No]:[Additional Remark]],23,FALSE)</f>
        <v>#N/A</v>
      </c>
      <c r="K496" s="4"/>
      <c r="L496" s="4"/>
      <c r="M496" s="4"/>
      <c r="N496" s="4"/>
      <c r="O496" s="4"/>
      <c r="P496" s="4"/>
      <c r="Q496" s="4"/>
      <c r="R496" s="4"/>
      <c r="S496" s="4"/>
      <c r="T496" s="4"/>
      <c r="U496" s="4"/>
      <c r="V496" s="4"/>
    </row>
    <row r="497" spans="1:22" x14ac:dyDescent="0.3">
      <c r="A497" s="4">
        <f>'ECN Master Project Tracker new'!A391</f>
        <v>0</v>
      </c>
      <c r="B497" s="108" t="e">
        <f>VLOOKUP(A:A,Table1[[#All],[Project No]:[Additional Remark]],2,FALSE)</f>
        <v>#N/A</v>
      </c>
      <c r="C497" s="4" t="e">
        <f>VLOOKUP(A:A,Table1[[Project No]:[Additional Remark]],19,FALSE)</f>
        <v>#N/A</v>
      </c>
      <c r="D497" s="4" t="e">
        <f>VLOOKUP(A:A,Table1[[Project No]:[Additional Remark]],20,FALSE)</f>
        <v>#N/A</v>
      </c>
      <c r="E497" s="4" t="e">
        <f>VLOOKUP(A:A,Table1[[Project No]:[Additional Remark]],21,FALSE)</f>
        <v>#N/A</v>
      </c>
      <c r="F497" s="4" t="e">
        <f>VLOOKUP(A:A,Table1[[Project No]:[Additional Remark]],22,FALSE)</f>
        <v>#N/A</v>
      </c>
      <c r="G497" s="55" t="e">
        <f>VLOOKUP(A:A,Table1[[Project No]:[Additional Remark]],11,FALSE)</f>
        <v>#N/A</v>
      </c>
      <c r="H497" s="4" t="e">
        <f>VLOOKUP(A:A,Table1[[Project No]:[Additional Remark]],5,FALSE)</f>
        <v>#N/A</v>
      </c>
      <c r="I497" s="4" t="e">
        <f>VLOOKUP(A:A,Table1[[Project No]:[Additional Remark]],8,FALSE)</f>
        <v>#N/A</v>
      </c>
      <c r="J497" s="4" t="e">
        <f>VLOOKUP(A:A,Table1[[Project No]:[Additional Remark]],23,FALSE)</f>
        <v>#N/A</v>
      </c>
      <c r="K497" s="4"/>
      <c r="L497" s="4"/>
      <c r="M497" s="4"/>
      <c r="N497" s="4"/>
      <c r="O497" s="4"/>
      <c r="P497" s="4"/>
      <c r="Q497" s="4"/>
      <c r="R497" s="4"/>
      <c r="S497" s="4"/>
      <c r="T497" s="4"/>
      <c r="U497" s="4"/>
      <c r="V497" s="4"/>
    </row>
    <row r="498" spans="1:22" x14ac:dyDescent="0.3">
      <c r="A498" s="4">
        <f>'ECN Master Project Tracker new'!A392</f>
        <v>0</v>
      </c>
      <c r="B498" s="108" t="e">
        <f>VLOOKUP(A:A,Table1[[#All],[Project No]:[Additional Remark]],2,FALSE)</f>
        <v>#N/A</v>
      </c>
      <c r="C498" s="4" t="e">
        <f>VLOOKUP(A:A,Table1[[Project No]:[Additional Remark]],19,FALSE)</f>
        <v>#N/A</v>
      </c>
      <c r="D498" s="4" t="e">
        <f>VLOOKUP(A:A,Table1[[Project No]:[Additional Remark]],20,FALSE)</f>
        <v>#N/A</v>
      </c>
      <c r="E498" s="4" t="e">
        <f>VLOOKUP(A:A,Table1[[Project No]:[Additional Remark]],21,FALSE)</f>
        <v>#N/A</v>
      </c>
      <c r="F498" s="4" t="e">
        <f>VLOOKUP(A:A,Table1[[Project No]:[Additional Remark]],22,FALSE)</f>
        <v>#N/A</v>
      </c>
      <c r="G498" s="55" t="e">
        <f>VLOOKUP(A:A,Table1[[Project No]:[Additional Remark]],11,FALSE)</f>
        <v>#N/A</v>
      </c>
      <c r="H498" s="4" t="e">
        <f>VLOOKUP(A:A,Table1[[Project No]:[Additional Remark]],5,FALSE)</f>
        <v>#N/A</v>
      </c>
      <c r="I498" s="4" t="e">
        <f>VLOOKUP(A:A,Table1[[Project No]:[Additional Remark]],8,FALSE)</f>
        <v>#N/A</v>
      </c>
      <c r="J498" s="4" t="e">
        <f>VLOOKUP(A:A,Table1[[Project No]:[Additional Remark]],23,FALSE)</f>
        <v>#N/A</v>
      </c>
      <c r="K498" s="4"/>
      <c r="L498" s="4"/>
      <c r="M498" s="4"/>
      <c r="N498" s="4"/>
      <c r="O498" s="4"/>
      <c r="P498" s="4"/>
      <c r="Q498" s="4"/>
      <c r="R498" s="4"/>
      <c r="S498" s="4"/>
      <c r="T498" s="4"/>
      <c r="U498" s="4"/>
      <c r="V498" s="4"/>
    </row>
    <row r="499" spans="1:22" x14ac:dyDescent="0.3">
      <c r="A499" s="4">
        <f>'ECN Master Project Tracker new'!A393</f>
        <v>0</v>
      </c>
      <c r="B499" s="108" t="e">
        <f>VLOOKUP(A:A,Table1[[#All],[Project No]:[Additional Remark]],2,FALSE)</f>
        <v>#N/A</v>
      </c>
      <c r="C499" s="4" t="e">
        <f>VLOOKUP(A:A,Table1[[Project No]:[Additional Remark]],19,FALSE)</f>
        <v>#N/A</v>
      </c>
      <c r="D499" s="4" t="e">
        <f>VLOOKUP(A:A,Table1[[Project No]:[Additional Remark]],20,FALSE)</f>
        <v>#N/A</v>
      </c>
      <c r="E499" s="4" t="e">
        <f>VLOOKUP(A:A,Table1[[Project No]:[Additional Remark]],21,FALSE)</f>
        <v>#N/A</v>
      </c>
      <c r="F499" s="4" t="e">
        <f>VLOOKUP(A:A,Table1[[Project No]:[Additional Remark]],22,FALSE)</f>
        <v>#N/A</v>
      </c>
      <c r="G499" s="55" t="e">
        <f>VLOOKUP(A:A,Table1[[Project No]:[Additional Remark]],11,FALSE)</f>
        <v>#N/A</v>
      </c>
      <c r="H499" s="4" t="e">
        <f>VLOOKUP(A:A,Table1[[Project No]:[Additional Remark]],5,FALSE)</f>
        <v>#N/A</v>
      </c>
      <c r="I499" s="4" t="e">
        <f>VLOOKUP(A:A,Table1[[Project No]:[Additional Remark]],8,FALSE)</f>
        <v>#N/A</v>
      </c>
      <c r="J499" s="4" t="e">
        <f>VLOOKUP(A:A,Table1[[Project No]:[Additional Remark]],23,FALSE)</f>
        <v>#N/A</v>
      </c>
      <c r="K499" s="4"/>
      <c r="L499" s="4"/>
      <c r="M499" s="4"/>
      <c r="N499" s="4"/>
      <c r="O499" s="4"/>
      <c r="P499" s="4"/>
      <c r="Q499" s="4"/>
      <c r="R499" s="4"/>
      <c r="S499" s="4"/>
      <c r="T499" s="4"/>
      <c r="U499" s="4"/>
      <c r="V499" s="4"/>
    </row>
    <row r="500" spans="1:22" x14ac:dyDescent="0.3">
      <c r="A500" s="4">
        <f>'ECN Master Project Tracker new'!A394</f>
        <v>0</v>
      </c>
      <c r="B500" s="108" t="e">
        <f>VLOOKUP(A:A,Table1[[#All],[Project No]:[Additional Remark]],2,FALSE)</f>
        <v>#N/A</v>
      </c>
      <c r="C500" s="4" t="e">
        <f>VLOOKUP(A:A,Table1[[Project No]:[Additional Remark]],19,FALSE)</f>
        <v>#N/A</v>
      </c>
      <c r="D500" s="4" t="e">
        <f>VLOOKUP(A:A,Table1[[Project No]:[Additional Remark]],20,FALSE)</f>
        <v>#N/A</v>
      </c>
      <c r="E500" s="4" t="e">
        <f>VLOOKUP(A:A,Table1[[Project No]:[Additional Remark]],21,FALSE)</f>
        <v>#N/A</v>
      </c>
      <c r="F500" s="4" t="e">
        <f>VLOOKUP(A:A,Table1[[Project No]:[Additional Remark]],22,FALSE)</f>
        <v>#N/A</v>
      </c>
      <c r="G500" s="55" t="e">
        <f>VLOOKUP(A:A,Table1[[Project No]:[Additional Remark]],11,FALSE)</f>
        <v>#N/A</v>
      </c>
      <c r="H500" s="4" t="e">
        <f>VLOOKUP(A:A,Table1[[Project No]:[Additional Remark]],5,FALSE)</f>
        <v>#N/A</v>
      </c>
      <c r="I500" s="4" t="e">
        <f>VLOOKUP(A:A,Table1[[Project No]:[Additional Remark]],8,FALSE)</f>
        <v>#N/A</v>
      </c>
      <c r="J500" s="4" t="e">
        <f>VLOOKUP(A:A,Table1[[Project No]:[Additional Remark]],23,FALSE)</f>
        <v>#N/A</v>
      </c>
      <c r="K500" s="4"/>
      <c r="L500" s="4"/>
      <c r="M500" s="4"/>
      <c r="N500" s="4"/>
      <c r="O500" s="4"/>
      <c r="P500" s="4"/>
      <c r="Q500" s="4"/>
      <c r="R500" s="4"/>
      <c r="S500" s="4"/>
      <c r="T500" s="4"/>
      <c r="U500" s="4"/>
      <c r="V500" s="4"/>
    </row>
    <row r="501" spans="1:22" x14ac:dyDescent="0.3">
      <c r="A501" s="4">
        <f>'ECN Master Project Tracker new'!A395</f>
        <v>0</v>
      </c>
      <c r="B501" s="108" t="e">
        <f>VLOOKUP(A:A,Table1[[#All],[Project No]:[Additional Remark]],2,FALSE)</f>
        <v>#N/A</v>
      </c>
      <c r="C501" s="4" t="e">
        <f>VLOOKUP(A:A,Table1[[Project No]:[Additional Remark]],19,FALSE)</f>
        <v>#N/A</v>
      </c>
      <c r="D501" s="4" t="e">
        <f>VLOOKUP(A:A,Table1[[Project No]:[Additional Remark]],20,FALSE)</f>
        <v>#N/A</v>
      </c>
      <c r="E501" s="4" t="e">
        <f>VLOOKUP(A:A,Table1[[Project No]:[Additional Remark]],21,FALSE)</f>
        <v>#N/A</v>
      </c>
      <c r="F501" s="4" t="e">
        <f>VLOOKUP(A:A,Table1[[Project No]:[Additional Remark]],22,FALSE)</f>
        <v>#N/A</v>
      </c>
      <c r="G501" s="55" t="e">
        <f>VLOOKUP(A:A,Table1[[Project No]:[Additional Remark]],11,FALSE)</f>
        <v>#N/A</v>
      </c>
      <c r="H501" s="4" t="e">
        <f>VLOOKUP(A:A,Table1[[Project No]:[Additional Remark]],5,FALSE)</f>
        <v>#N/A</v>
      </c>
      <c r="I501" s="4" t="e">
        <f>VLOOKUP(A:A,Table1[[Project No]:[Additional Remark]],8,FALSE)</f>
        <v>#N/A</v>
      </c>
      <c r="J501" s="4" t="e">
        <f>VLOOKUP(A:A,Table1[[Project No]:[Additional Remark]],23,FALSE)</f>
        <v>#N/A</v>
      </c>
      <c r="K501" s="4"/>
      <c r="L501" s="4"/>
      <c r="M501" s="4"/>
      <c r="N501" s="4"/>
      <c r="O501" s="4"/>
      <c r="P501" s="4"/>
      <c r="Q501" s="4"/>
      <c r="R501" s="4"/>
      <c r="S501" s="4"/>
      <c r="T501" s="4"/>
      <c r="U501" s="4"/>
      <c r="V501" s="4"/>
    </row>
    <row r="502" spans="1:22" x14ac:dyDescent="0.3">
      <c r="A502" s="4">
        <f>'ECN Master Project Tracker new'!A396</f>
        <v>0</v>
      </c>
      <c r="B502" s="108" t="e">
        <f>VLOOKUP(A:A,Table1[[#All],[Project No]:[Additional Remark]],2,FALSE)</f>
        <v>#N/A</v>
      </c>
      <c r="C502" s="4" t="e">
        <f>VLOOKUP(A:A,Table1[[Project No]:[Additional Remark]],19,FALSE)</f>
        <v>#N/A</v>
      </c>
      <c r="D502" s="4" t="e">
        <f>VLOOKUP(A:A,Table1[[Project No]:[Additional Remark]],20,FALSE)</f>
        <v>#N/A</v>
      </c>
      <c r="E502" s="4" t="e">
        <f>VLOOKUP(A:A,Table1[[Project No]:[Additional Remark]],21,FALSE)</f>
        <v>#N/A</v>
      </c>
      <c r="F502" s="4" t="e">
        <f>VLOOKUP(A:A,Table1[[Project No]:[Additional Remark]],22,FALSE)</f>
        <v>#N/A</v>
      </c>
      <c r="G502" s="55" t="e">
        <f>VLOOKUP(A:A,Table1[[Project No]:[Additional Remark]],11,FALSE)</f>
        <v>#N/A</v>
      </c>
      <c r="H502" s="4" t="e">
        <f>VLOOKUP(A:A,Table1[[Project No]:[Additional Remark]],5,FALSE)</f>
        <v>#N/A</v>
      </c>
      <c r="I502" s="4" t="e">
        <f>VLOOKUP(A:A,Table1[[Project No]:[Additional Remark]],8,FALSE)</f>
        <v>#N/A</v>
      </c>
      <c r="J502" s="4" t="e">
        <f>VLOOKUP(A:A,Table1[[Project No]:[Additional Remark]],23,FALSE)</f>
        <v>#N/A</v>
      </c>
      <c r="K502" s="4"/>
      <c r="L502" s="4"/>
      <c r="M502" s="4"/>
      <c r="N502" s="4"/>
      <c r="O502" s="4"/>
      <c r="P502" s="4"/>
      <c r="Q502" s="4"/>
      <c r="R502" s="4"/>
      <c r="S502" s="4"/>
      <c r="T502" s="4"/>
      <c r="U502" s="4"/>
      <c r="V502" s="4"/>
    </row>
    <row r="503" spans="1:22" x14ac:dyDescent="0.3">
      <c r="A503" s="4">
        <f>'ECN Master Project Tracker new'!A397</f>
        <v>0</v>
      </c>
      <c r="B503" s="108" t="e">
        <f>VLOOKUP(A:A,Table1[[#All],[Project No]:[Additional Remark]],2,FALSE)</f>
        <v>#N/A</v>
      </c>
      <c r="C503" s="4" t="e">
        <f>VLOOKUP(A:A,Table1[[Project No]:[Additional Remark]],19,FALSE)</f>
        <v>#N/A</v>
      </c>
      <c r="D503" s="4" t="e">
        <f>VLOOKUP(A:A,Table1[[Project No]:[Additional Remark]],20,FALSE)</f>
        <v>#N/A</v>
      </c>
      <c r="E503" s="4" t="e">
        <f>VLOOKUP(A:A,Table1[[Project No]:[Additional Remark]],21,FALSE)</f>
        <v>#N/A</v>
      </c>
      <c r="F503" s="4" t="e">
        <f>VLOOKUP(A:A,Table1[[Project No]:[Additional Remark]],22,FALSE)</f>
        <v>#N/A</v>
      </c>
      <c r="G503" s="55" t="e">
        <f>VLOOKUP(A:A,Table1[[Project No]:[Additional Remark]],11,FALSE)</f>
        <v>#N/A</v>
      </c>
      <c r="H503" s="4" t="e">
        <f>VLOOKUP(A:A,Table1[[Project No]:[Additional Remark]],5,FALSE)</f>
        <v>#N/A</v>
      </c>
      <c r="I503" s="4" t="e">
        <f>VLOOKUP(A:A,Table1[[Project No]:[Additional Remark]],8,FALSE)</f>
        <v>#N/A</v>
      </c>
      <c r="J503" s="4" t="e">
        <f>VLOOKUP(A:A,Table1[[Project No]:[Additional Remark]],23,FALSE)</f>
        <v>#N/A</v>
      </c>
      <c r="K503" s="4"/>
      <c r="L503" s="4"/>
      <c r="M503" s="4"/>
      <c r="N503" s="4"/>
      <c r="O503" s="4"/>
      <c r="P503" s="4"/>
      <c r="Q503" s="4"/>
      <c r="R503" s="4"/>
      <c r="S503" s="4"/>
      <c r="T503" s="4"/>
      <c r="U503" s="4"/>
      <c r="V503" s="4"/>
    </row>
    <row r="504" spans="1:22" x14ac:dyDescent="0.3">
      <c r="A504" s="4">
        <f>'ECN Master Project Tracker new'!A398</f>
        <v>0</v>
      </c>
      <c r="B504" s="108" t="e">
        <f>VLOOKUP(A:A,Table1[[#All],[Project No]:[Additional Remark]],2,FALSE)</f>
        <v>#N/A</v>
      </c>
      <c r="C504" s="4" t="e">
        <f>VLOOKUP(A:A,Table1[[Project No]:[Additional Remark]],19,FALSE)</f>
        <v>#N/A</v>
      </c>
      <c r="D504" s="4" t="e">
        <f>VLOOKUP(A:A,Table1[[Project No]:[Additional Remark]],20,FALSE)</f>
        <v>#N/A</v>
      </c>
      <c r="E504" s="4" t="e">
        <f>VLOOKUP(A:A,Table1[[Project No]:[Additional Remark]],21,FALSE)</f>
        <v>#N/A</v>
      </c>
      <c r="F504" s="4" t="e">
        <f>VLOOKUP(A:A,Table1[[Project No]:[Additional Remark]],22,FALSE)</f>
        <v>#N/A</v>
      </c>
      <c r="G504" s="55" t="e">
        <f>VLOOKUP(A:A,Table1[[Project No]:[Additional Remark]],11,FALSE)</f>
        <v>#N/A</v>
      </c>
      <c r="H504" s="4" t="e">
        <f>VLOOKUP(A:A,Table1[[Project No]:[Additional Remark]],5,FALSE)</f>
        <v>#N/A</v>
      </c>
      <c r="I504" s="4" t="e">
        <f>VLOOKUP(A:A,Table1[[Project No]:[Additional Remark]],8,FALSE)</f>
        <v>#N/A</v>
      </c>
      <c r="J504" s="4" t="e">
        <f>VLOOKUP(A:A,Table1[[Project No]:[Additional Remark]],23,FALSE)</f>
        <v>#N/A</v>
      </c>
      <c r="K504" s="4"/>
      <c r="L504" s="4"/>
      <c r="M504" s="4"/>
      <c r="N504" s="4"/>
      <c r="O504" s="4"/>
      <c r="P504" s="4"/>
      <c r="Q504" s="4"/>
      <c r="R504" s="4"/>
      <c r="S504" s="4"/>
      <c r="T504" s="4"/>
      <c r="U504" s="4"/>
      <c r="V504" s="4"/>
    </row>
    <row r="505" spans="1:22" x14ac:dyDescent="0.3">
      <c r="A505" s="4">
        <f>'ECN Master Project Tracker new'!A399</f>
        <v>0</v>
      </c>
      <c r="B505" s="108" t="e">
        <f>VLOOKUP(A:A,Table1[[#All],[Project No]:[Additional Remark]],2,FALSE)</f>
        <v>#N/A</v>
      </c>
      <c r="C505" s="4" t="e">
        <f>VLOOKUP(A:A,Table1[[Project No]:[Additional Remark]],19,FALSE)</f>
        <v>#N/A</v>
      </c>
      <c r="D505" s="4" t="e">
        <f>VLOOKUP(A:A,Table1[[Project No]:[Additional Remark]],20,FALSE)</f>
        <v>#N/A</v>
      </c>
      <c r="E505" s="4" t="e">
        <f>VLOOKUP(A:A,Table1[[Project No]:[Additional Remark]],21,FALSE)</f>
        <v>#N/A</v>
      </c>
      <c r="F505" s="4" t="e">
        <f>VLOOKUP(A:A,Table1[[Project No]:[Additional Remark]],22,FALSE)</f>
        <v>#N/A</v>
      </c>
      <c r="G505" s="55" t="e">
        <f>VLOOKUP(A:A,Table1[[Project No]:[Additional Remark]],11,FALSE)</f>
        <v>#N/A</v>
      </c>
      <c r="H505" s="4" t="e">
        <f>VLOOKUP(A:A,Table1[[Project No]:[Additional Remark]],5,FALSE)</f>
        <v>#N/A</v>
      </c>
      <c r="I505" s="4" t="e">
        <f>VLOOKUP(A:A,Table1[[Project No]:[Additional Remark]],8,FALSE)</f>
        <v>#N/A</v>
      </c>
      <c r="J505" s="4" t="e">
        <f>VLOOKUP(A:A,Table1[[Project No]:[Additional Remark]],23,FALSE)</f>
        <v>#N/A</v>
      </c>
      <c r="K505" s="4"/>
      <c r="L505" s="4"/>
      <c r="M505" s="4"/>
      <c r="N505" s="4"/>
      <c r="O505" s="4"/>
      <c r="P505" s="4"/>
      <c r="Q505" s="4"/>
      <c r="R505" s="4"/>
      <c r="S505" s="4"/>
      <c r="T505" s="4"/>
      <c r="U505" s="4"/>
      <c r="V505" s="4"/>
    </row>
    <row r="506" spans="1:22" x14ac:dyDescent="0.3">
      <c r="A506" s="4">
        <f>'ECN Master Project Tracker new'!A400</f>
        <v>0</v>
      </c>
      <c r="B506" s="108" t="e">
        <f>VLOOKUP(A:A,Table1[[#All],[Project No]:[Additional Remark]],2,FALSE)</f>
        <v>#N/A</v>
      </c>
      <c r="C506" s="4" t="e">
        <f>VLOOKUP(A:A,Table1[[Project No]:[Additional Remark]],19,FALSE)</f>
        <v>#N/A</v>
      </c>
      <c r="D506" s="4" t="e">
        <f>VLOOKUP(A:A,Table1[[Project No]:[Additional Remark]],20,FALSE)</f>
        <v>#N/A</v>
      </c>
      <c r="E506" s="4" t="e">
        <f>VLOOKUP(A:A,Table1[[Project No]:[Additional Remark]],21,FALSE)</f>
        <v>#N/A</v>
      </c>
      <c r="F506" s="4" t="e">
        <f>VLOOKUP(A:A,Table1[[Project No]:[Additional Remark]],22,FALSE)</f>
        <v>#N/A</v>
      </c>
      <c r="G506" s="55" t="e">
        <f>VLOOKUP(A:A,Table1[[Project No]:[Additional Remark]],11,FALSE)</f>
        <v>#N/A</v>
      </c>
      <c r="H506" s="4" t="e">
        <f>VLOOKUP(A:A,Table1[[Project No]:[Additional Remark]],5,FALSE)</f>
        <v>#N/A</v>
      </c>
      <c r="I506" s="4" t="e">
        <f>VLOOKUP(A:A,Table1[[Project No]:[Additional Remark]],8,FALSE)</f>
        <v>#N/A</v>
      </c>
      <c r="J506" s="4" t="e">
        <f>VLOOKUP(A:A,Table1[[Project No]:[Additional Remark]],23,FALSE)</f>
        <v>#N/A</v>
      </c>
      <c r="K506" s="4"/>
      <c r="L506" s="4"/>
      <c r="M506" s="4"/>
      <c r="N506" s="4"/>
      <c r="O506" s="4"/>
      <c r="P506" s="4"/>
      <c r="Q506" s="4"/>
      <c r="R506" s="4"/>
      <c r="S506" s="4"/>
      <c r="T506" s="4"/>
      <c r="U506" s="4"/>
      <c r="V506" s="4"/>
    </row>
    <row r="507" spans="1:22" x14ac:dyDescent="0.3">
      <c r="A507" s="4">
        <f>'ECN Master Project Tracker new'!A401</f>
        <v>0</v>
      </c>
      <c r="B507" s="108" t="e">
        <f>VLOOKUP(A:A,Table1[[#All],[Project No]:[Additional Remark]],2,FALSE)</f>
        <v>#N/A</v>
      </c>
      <c r="C507" s="4" t="e">
        <f>VLOOKUP(A:A,Table1[[Project No]:[Additional Remark]],19,FALSE)</f>
        <v>#N/A</v>
      </c>
      <c r="D507" s="4" t="e">
        <f>VLOOKUP(A:A,Table1[[Project No]:[Additional Remark]],20,FALSE)</f>
        <v>#N/A</v>
      </c>
      <c r="E507" s="4" t="e">
        <f>VLOOKUP(A:A,Table1[[Project No]:[Additional Remark]],21,FALSE)</f>
        <v>#N/A</v>
      </c>
      <c r="F507" s="4" t="e">
        <f>VLOOKUP(A:A,Table1[[Project No]:[Additional Remark]],22,FALSE)</f>
        <v>#N/A</v>
      </c>
      <c r="G507" s="55" t="e">
        <f>VLOOKUP(A:A,Table1[[Project No]:[Additional Remark]],11,FALSE)</f>
        <v>#N/A</v>
      </c>
      <c r="H507" s="4" t="e">
        <f>VLOOKUP(A:A,Table1[[Project No]:[Additional Remark]],5,FALSE)</f>
        <v>#N/A</v>
      </c>
      <c r="I507" s="4" t="e">
        <f>VLOOKUP(A:A,Table1[[Project No]:[Additional Remark]],8,FALSE)</f>
        <v>#N/A</v>
      </c>
      <c r="J507" s="4" t="e">
        <f>VLOOKUP(A:A,Table1[[Project No]:[Additional Remark]],23,FALSE)</f>
        <v>#N/A</v>
      </c>
      <c r="K507" s="4"/>
      <c r="L507" s="4"/>
      <c r="M507" s="4"/>
      <c r="N507" s="4"/>
      <c r="O507" s="4"/>
      <c r="P507" s="4"/>
      <c r="Q507" s="4"/>
      <c r="R507" s="4"/>
      <c r="S507" s="4"/>
      <c r="T507" s="4"/>
      <c r="U507" s="4"/>
      <c r="V507" s="4"/>
    </row>
    <row r="508" spans="1:22" x14ac:dyDescent="0.3">
      <c r="A508" s="4">
        <f>'ECN Master Project Tracker new'!A402</f>
        <v>0</v>
      </c>
      <c r="B508" s="108" t="e">
        <f>VLOOKUP(A:A,Table1[[#All],[Project No]:[Additional Remark]],2,FALSE)</f>
        <v>#N/A</v>
      </c>
      <c r="C508" s="4" t="e">
        <f>VLOOKUP(A:A,Table1[[Project No]:[Additional Remark]],19,FALSE)</f>
        <v>#N/A</v>
      </c>
      <c r="D508" s="4" t="e">
        <f>VLOOKUP(A:A,Table1[[Project No]:[Additional Remark]],20,FALSE)</f>
        <v>#N/A</v>
      </c>
      <c r="E508" s="4" t="e">
        <f>VLOOKUP(A:A,Table1[[Project No]:[Additional Remark]],21,FALSE)</f>
        <v>#N/A</v>
      </c>
      <c r="F508" s="4" t="e">
        <f>VLOOKUP(A:A,Table1[[Project No]:[Additional Remark]],22,FALSE)</f>
        <v>#N/A</v>
      </c>
      <c r="G508" s="55" t="e">
        <f>VLOOKUP(A:A,Table1[[Project No]:[Additional Remark]],11,FALSE)</f>
        <v>#N/A</v>
      </c>
      <c r="H508" s="4" t="e">
        <f>VLOOKUP(A:A,Table1[[Project No]:[Additional Remark]],5,FALSE)</f>
        <v>#N/A</v>
      </c>
      <c r="I508" s="4" t="e">
        <f>VLOOKUP(A:A,Table1[[Project No]:[Additional Remark]],8,FALSE)</f>
        <v>#N/A</v>
      </c>
      <c r="J508" s="4" t="e">
        <f>VLOOKUP(A:A,Table1[[Project No]:[Additional Remark]],23,FALSE)</f>
        <v>#N/A</v>
      </c>
      <c r="K508" s="4"/>
      <c r="L508" s="4"/>
      <c r="M508" s="4"/>
      <c r="N508" s="4"/>
      <c r="O508" s="4"/>
      <c r="P508" s="4"/>
      <c r="Q508" s="4"/>
      <c r="R508" s="4"/>
      <c r="S508" s="4"/>
      <c r="T508" s="4"/>
      <c r="U508" s="4"/>
      <c r="V508" s="4"/>
    </row>
    <row r="509" spans="1:22" x14ac:dyDescent="0.3">
      <c r="A509" s="4">
        <f>'ECN Master Project Tracker new'!A403</f>
        <v>0</v>
      </c>
      <c r="B509" s="108" t="e">
        <f>VLOOKUP(A:A,Table1[[#All],[Project No]:[Additional Remark]],2,FALSE)</f>
        <v>#N/A</v>
      </c>
      <c r="C509" s="4" t="e">
        <f>VLOOKUP(A:A,Table1[[Project No]:[Additional Remark]],19,FALSE)</f>
        <v>#N/A</v>
      </c>
      <c r="D509" s="4" t="e">
        <f>VLOOKUP(A:A,Table1[[Project No]:[Additional Remark]],20,FALSE)</f>
        <v>#N/A</v>
      </c>
      <c r="E509" s="4" t="e">
        <f>VLOOKUP(A:A,Table1[[Project No]:[Additional Remark]],21,FALSE)</f>
        <v>#N/A</v>
      </c>
      <c r="F509" s="4" t="e">
        <f>VLOOKUP(A:A,Table1[[Project No]:[Additional Remark]],22,FALSE)</f>
        <v>#N/A</v>
      </c>
      <c r="G509" s="55" t="e">
        <f>VLOOKUP(A:A,Table1[[Project No]:[Additional Remark]],11,FALSE)</f>
        <v>#N/A</v>
      </c>
      <c r="H509" s="4" t="e">
        <f>VLOOKUP(A:A,Table1[[Project No]:[Additional Remark]],5,FALSE)</f>
        <v>#N/A</v>
      </c>
      <c r="I509" s="4" t="e">
        <f>VLOOKUP(A:A,Table1[[Project No]:[Additional Remark]],8,FALSE)</f>
        <v>#N/A</v>
      </c>
      <c r="J509" s="4" t="e">
        <f>VLOOKUP(A:A,Table1[[Project No]:[Additional Remark]],23,FALSE)</f>
        <v>#N/A</v>
      </c>
      <c r="K509" s="4"/>
      <c r="L509" s="4"/>
      <c r="M509" s="4"/>
      <c r="N509" s="4"/>
      <c r="O509" s="4"/>
      <c r="P509" s="4"/>
      <c r="Q509" s="4"/>
      <c r="R509" s="4"/>
      <c r="S509" s="4"/>
      <c r="T509" s="4"/>
      <c r="U509" s="4"/>
      <c r="V509" s="4"/>
    </row>
    <row r="510" spans="1:22" x14ac:dyDescent="0.3">
      <c r="A510" s="4">
        <f>'ECN Master Project Tracker new'!A404</f>
        <v>0</v>
      </c>
      <c r="B510" s="108" t="e">
        <f>VLOOKUP(A:A,Table1[[#All],[Project No]:[Additional Remark]],2,FALSE)</f>
        <v>#N/A</v>
      </c>
      <c r="C510" s="4" t="e">
        <f>VLOOKUP(A:A,Table1[[Project No]:[Additional Remark]],19,FALSE)</f>
        <v>#N/A</v>
      </c>
      <c r="D510" s="4" t="e">
        <f>VLOOKUP(A:A,Table1[[Project No]:[Additional Remark]],20,FALSE)</f>
        <v>#N/A</v>
      </c>
      <c r="E510" s="4" t="e">
        <f>VLOOKUP(A:A,Table1[[Project No]:[Additional Remark]],21,FALSE)</f>
        <v>#N/A</v>
      </c>
      <c r="F510" s="4" t="e">
        <f>VLOOKUP(A:A,Table1[[Project No]:[Additional Remark]],22,FALSE)</f>
        <v>#N/A</v>
      </c>
      <c r="G510" s="55" t="e">
        <f>VLOOKUP(A:A,Table1[[Project No]:[Additional Remark]],11,FALSE)</f>
        <v>#N/A</v>
      </c>
      <c r="H510" s="4" t="e">
        <f>VLOOKUP(A:A,Table1[[Project No]:[Additional Remark]],5,FALSE)</f>
        <v>#N/A</v>
      </c>
      <c r="I510" s="4" t="e">
        <f>VLOOKUP(A:A,Table1[[Project No]:[Additional Remark]],8,FALSE)</f>
        <v>#N/A</v>
      </c>
      <c r="J510" s="4" t="e">
        <f>VLOOKUP(A:A,Table1[[Project No]:[Additional Remark]],23,FALSE)</f>
        <v>#N/A</v>
      </c>
      <c r="K510" s="4"/>
      <c r="L510" s="4"/>
      <c r="M510" s="4"/>
      <c r="N510" s="4"/>
      <c r="O510" s="4"/>
      <c r="P510" s="4"/>
      <c r="Q510" s="4"/>
      <c r="R510" s="4"/>
      <c r="S510" s="4"/>
      <c r="T510" s="4"/>
      <c r="U510" s="4"/>
      <c r="V510" s="4"/>
    </row>
    <row r="511" spans="1:22" x14ac:dyDescent="0.3">
      <c r="A511" s="4">
        <f>'ECN Master Project Tracker new'!A405</f>
        <v>0</v>
      </c>
      <c r="B511" s="108" t="e">
        <f>VLOOKUP(A:A,Table1[[#All],[Project No]:[Additional Remark]],2,FALSE)</f>
        <v>#N/A</v>
      </c>
      <c r="C511" s="4" t="e">
        <f>VLOOKUP(A:A,Table1[[Project No]:[Additional Remark]],19,FALSE)</f>
        <v>#N/A</v>
      </c>
      <c r="D511" s="4" t="e">
        <f>VLOOKUP(A:A,Table1[[Project No]:[Additional Remark]],20,FALSE)</f>
        <v>#N/A</v>
      </c>
      <c r="E511" s="4" t="e">
        <f>VLOOKUP(A:A,Table1[[Project No]:[Additional Remark]],21,FALSE)</f>
        <v>#N/A</v>
      </c>
      <c r="F511" s="4" t="e">
        <f>VLOOKUP(A:A,Table1[[Project No]:[Additional Remark]],22,FALSE)</f>
        <v>#N/A</v>
      </c>
      <c r="G511" s="55" t="e">
        <f>VLOOKUP(A:A,Table1[[Project No]:[Additional Remark]],11,FALSE)</f>
        <v>#N/A</v>
      </c>
      <c r="H511" s="4" t="e">
        <f>VLOOKUP(A:A,Table1[[Project No]:[Additional Remark]],5,FALSE)</f>
        <v>#N/A</v>
      </c>
      <c r="I511" s="4" t="e">
        <f>VLOOKUP(A:A,Table1[[Project No]:[Additional Remark]],8,FALSE)</f>
        <v>#N/A</v>
      </c>
      <c r="J511" s="4" t="e">
        <f>VLOOKUP(A:A,Table1[[Project No]:[Additional Remark]],23,FALSE)</f>
        <v>#N/A</v>
      </c>
      <c r="K511" s="4"/>
      <c r="L511" s="4"/>
      <c r="M511" s="4"/>
      <c r="N511" s="4"/>
      <c r="O511" s="4"/>
      <c r="P511" s="4"/>
      <c r="Q511" s="4"/>
      <c r="R511" s="4"/>
      <c r="S511" s="4"/>
      <c r="T511" s="4"/>
      <c r="U511" s="4"/>
      <c r="V511" s="4"/>
    </row>
    <row r="512" spans="1:22" x14ac:dyDescent="0.3">
      <c r="A512" s="4">
        <f>'ECN Master Project Tracker new'!A406</f>
        <v>0</v>
      </c>
      <c r="B512" s="108" t="e">
        <f>VLOOKUP(A:A,Table1[[#All],[Project No]:[Additional Remark]],2,FALSE)</f>
        <v>#N/A</v>
      </c>
      <c r="C512" s="4" t="e">
        <f>VLOOKUP(A:A,Table1[[Project No]:[Additional Remark]],19,FALSE)</f>
        <v>#N/A</v>
      </c>
      <c r="D512" s="4" t="e">
        <f>VLOOKUP(A:A,Table1[[Project No]:[Additional Remark]],20,FALSE)</f>
        <v>#N/A</v>
      </c>
      <c r="E512" s="4" t="e">
        <f>VLOOKUP(A:A,Table1[[Project No]:[Additional Remark]],21,FALSE)</f>
        <v>#N/A</v>
      </c>
      <c r="F512" s="4" t="e">
        <f>VLOOKUP(A:A,Table1[[Project No]:[Additional Remark]],22,FALSE)</f>
        <v>#N/A</v>
      </c>
      <c r="G512" s="55" t="e">
        <f>VLOOKUP(A:A,Table1[[Project No]:[Additional Remark]],11,FALSE)</f>
        <v>#N/A</v>
      </c>
      <c r="H512" s="4" t="e">
        <f>VLOOKUP(A:A,Table1[[Project No]:[Additional Remark]],5,FALSE)</f>
        <v>#N/A</v>
      </c>
      <c r="I512" s="4" t="e">
        <f>VLOOKUP(A:A,Table1[[Project No]:[Additional Remark]],8,FALSE)</f>
        <v>#N/A</v>
      </c>
      <c r="J512" s="4" t="e">
        <f>VLOOKUP(A:A,Table1[[Project No]:[Additional Remark]],23,FALSE)</f>
        <v>#N/A</v>
      </c>
      <c r="K512" s="4"/>
      <c r="L512" s="4"/>
      <c r="M512" s="4"/>
      <c r="N512" s="4"/>
      <c r="O512" s="4"/>
      <c r="P512" s="4"/>
      <c r="Q512" s="4"/>
      <c r="R512" s="4"/>
      <c r="S512" s="4"/>
      <c r="T512" s="4"/>
      <c r="U512" s="4"/>
      <c r="V512" s="4"/>
    </row>
    <row r="513" spans="1:22" x14ac:dyDescent="0.3">
      <c r="A513" s="4">
        <f>'ECN Master Project Tracker new'!A407</f>
        <v>0</v>
      </c>
      <c r="B513" s="108" t="e">
        <f>VLOOKUP(A:A,Table1[[#All],[Project No]:[Additional Remark]],2,FALSE)</f>
        <v>#N/A</v>
      </c>
      <c r="C513" s="4" t="e">
        <f>VLOOKUP(A:A,Table1[[Project No]:[Additional Remark]],19,FALSE)</f>
        <v>#N/A</v>
      </c>
      <c r="D513" s="4" t="e">
        <f>VLOOKUP(A:A,Table1[[Project No]:[Additional Remark]],20,FALSE)</f>
        <v>#N/A</v>
      </c>
      <c r="E513" s="4" t="e">
        <f>VLOOKUP(A:A,Table1[[Project No]:[Additional Remark]],21,FALSE)</f>
        <v>#N/A</v>
      </c>
      <c r="F513" s="4" t="e">
        <f>VLOOKUP(A:A,Table1[[Project No]:[Additional Remark]],22,FALSE)</f>
        <v>#N/A</v>
      </c>
      <c r="G513" s="55" t="e">
        <f>VLOOKUP(A:A,Table1[[Project No]:[Additional Remark]],11,FALSE)</f>
        <v>#N/A</v>
      </c>
      <c r="H513" s="4" t="e">
        <f>VLOOKUP(A:A,Table1[[Project No]:[Additional Remark]],5,FALSE)</f>
        <v>#N/A</v>
      </c>
      <c r="I513" s="4" t="e">
        <f>VLOOKUP(A:A,Table1[[Project No]:[Additional Remark]],8,FALSE)</f>
        <v>#N/A</v>
      </c>
      <c r="J513" s="4" t="e">
        <f>VLOOKUP(A:A,Table1[[Project No]:[Additional Remark]],23,FALSE)</f>
        <v>#N/A</v>
      </c>
      <c r="K513" s="4"/>
      <c r="L513" s="4"/>
      <c r="M513" s="4"/>
      <c r="N513" s="4"/>
      <c r="O513" s="4"/>
      <c r="P513" s="4"/>
      <c r="Q513" s="4"/>
      <c r="R513" s="4"/>
      <c r="S513" s="4"/>
      <c r="T513" s="4"/>
      <c r="U513" s="4"/>
      <c r="V513" s="4"/>
    </row>
    <row r="514" spans="1:22" x14ac:dyDescent="0.3">
      <c r="A514" s="4">
        <f>'ECN Master Project Tracker new'!A408</f>
        <v>0</v>
      </c>
      <c r="B514" s="108" t="e">
        <f>VLOOKUP(A:A,Table1[[#All],[Project No]:[Additional Remark]],2,FALSE)</f>
        <v>#N/A</v>
      </c>
      <c r="C514" s="4" t="e">
        <f>VLOOKUP(A:A,Table1[[Project No]:[Additional Remark]],19,FALSE)</f>
        <v>#N/A</v>
      </c>
      <c r="D514" s="4" t="e">
        <f>VLOOKUP(A:A,Table1[[Project No]:[Additional Remark]],20,FALSE)</f>
        <v>#N/A</v>
      </c>
      <c r="E514" s="4" t="e">
        <f>VLOOKUP(A:A,Table1[[Project No]:[Additional Remark]],21,FALSE)</f>
        <v>#N/A</v>
      </c>
      <c r="F514" s="4" t="e">
        <f>VLOOKUP(A:A,Table1[[Project No]:[Additional Remark]],22,FALSE)</f>
        <v>#N/A</v>
      </c>
      <c r="G514" s="55" t="e">
        <f>VLOOKUP(A:A,Table1[[Project No]:[Additional Remark]],11,FALSE)</f>
        <v>#N/A</v>
      </c>
      <c r="H514" s="4" t="e">
        <f>VLOOKUP(A:A,Table1[[Project No]:[Additional Remark]],5,FALSE)</f>
        <v>#N/A</v>
      </c>
      <c r="I514" s="4" t="e">
        <f>VLOOKUP(A:A,Table1[[Project No]:[Additional Remark]],8,FALSE)</f>
        <v>#N/A</v>
      </c>
      <c r="J514" s="4" t="e">
        <f>VLOOKUP(A:A,Table1[[Project No]:[Additional Remark]],23,FALSE)</f>
        <v>#N/A</v>
      </c>
      <c r="K514" s="4"/>
      <c r="L514" s="4"/>
      <c r="M514" s="4"/>
      <c r="N514" s="4"/>
      <c r="O514" s="4"/>
      <c r="P514" s="4"/>
      <c r="Q514" s="4"/>
      <c r="R514" s="4"/>
      <c r="S514" s="4"/>
      <c r="T514" s="4"/>
      <c r="U514" s="4"/>
      <c r="V514" s="4"/>
    </row>
    <row r="515" spans="1:22" x14ac:dyDescent="0.3">
      <c r="A515" s="4">
        <f>'ECN Master Project Tracker new'!A409</f>
        <v>0</v>
      </c>
      <c r="B515" s="108" t="e">
        <f>VLOOKUP(A:A,Table1[[#All],[Project No]:[Additional Remark]],2,FALSE)</f>
        <v>#N/A</v>
      </c>
      <c r="C515" s="4" t="e">
        <f>VLOOKUP(A:A,Table1[[Project No]:[Additional Remark]],19,FALSE)</f>
        <v>#N/A</v>
      </c>
      <c r="D515" s="4" t="e">
        <f>VLOOKUP(A:A,Table1[[Project No]:[Additional Remark]],20,FALSE)</f>
        <v>#N/A</v>
      </c>
      <c r="E515" s="4" t="e">
        <f>VLOOKUP(A:A,Table1[[Project No]:[Additional Remark]],21,FALSE)</f>
        <v>#N/A</v>
      </c>
      <c r="F515" s="4" t="e">
        <f>VLOOKUP(A:A,Table1[[Project No]:[Additional Remark]],22,FALSE)</f>
        <v>#N/A</v>
      </c>
      <c r="G515" s="55" t="e">
        <f>VLOOKUP(A:A,Table1[[Project No]:[Additional Remark]],11,FALSE)</f>
        <v>#N/A</v>
      </c>
      <c r="H515" s="4" t="e">
        <f>VLOOKUP(A:A,Table1[[Project No]:[Additional Remark]],5,FALSE)</f>
        <v>#N/A</v>
      </c>
      <c r="I515" s="4" t="e">
        <f>VLOOKUP(A:A,Table1[[Project No]:[Additional Remark]],8,FALSE)</f>
        <v>#N/A</v>
      </c>
      <c r="J515" s="4" t="e">
        <f>VLOOKUP(A:A,Table1[[Project No]:[Additional Remark]],23,FALSE)</f>
        <v>#N/A</v>
      </c>
      <c r="K515" s="4"/>
      <c r="L515" s="4"/>
      <c r="M515" s="4"/>
      <c r="N515" s="4"/>
      <c r="O515" s="4"/>
      <c r="P515" s="4"/>
      <c r="Q515" s="4"/>
      <c r="R515" s="4"/>
      <c r="S515" s="4"/>
      <c r="T515" s="4"/>
      <c r="U515" s="4"/>
      <c r="V515" s="4"/>
    </row>
    <row r="516" spans="1:22" x14ac:dyDescent="0.3">
      <c r="A516" s="4">
        <f>'ECN Master Project Tracker new'!A410</f>
        <v>0</v>
      </c>
      <c r="B516" s="108" t="e">
        <f>VLOOKUP(A:A,Table1[[#All],[Project No]:[Additional Remark]],2,FALSE)</f>
        <v>#N/A</v>
      </c>
      <c r="C516" s="4" t="e">
        <f>VLOOKUP(A:A,Table1[[Project No]:[Additional Remark]],19,FALSE)</f>
        <v>#N/A</v>
      </c>
      <c r="D516" s="4" t="e">
        <f>VLOOKUP(A:A,Table1[[Project No]:[Additional Remark]],20,FALSE)</f>
        <v>#N/A</v>
      </c>
      <c r="E516" s="4" t="e">
        <f>VLOOKUP(A:A,Table1[[Project No]:[Additional Remark]],21,FALSE)</f>
        <v>#N/A</v>
      </c>
      <c r="F516" s="4" t="e">
        <f>VLOOKUP(A:A,Table1[[Project No]:[Additional Remark]],22,FALSE)</f>
        <v>#N/A</v>
      </c>
      <c r="G516" s="55" t="e">
        <f>VLOOKUP(A:A,Table1[[Project No]:[Additional Remark]],11,FALSE)</f>
        <v>#N/A</v>
      </c>
      <c r="H516" s="4" t="e">
        <f>VLOOKUP(A:A,Table1[[Project No]:[Additional Remark]],5,FALSE)</f>
        <v>#N/A</v>
      </c>
      <c r="I516" s="4" t="e">
        <f>VLOOKUP(A:A,Table1[[Project No]:[Additional Remark]],8,FALSE)</f>
        <v>#N/A</v>
      </c>
      <c r="J516" s="4" t="e">
        <f>VLOOKUP(A:A,Table1[[Project No]:[Additional Remark]],23,FALSE)</f>
        <v>#N/A</v>
      </c>
      <c r="K516" s="4"/>
      <c r="L516" s="4"/>
      <c r="M516" s="4"/>
      <c r="N516" s="4"/>
      <c r="O516" s="4"/>
      <c r="P516" s="4"/>
      <c r="Q516" s="4"/>
      <c r="R516" s="4"/>
      <c r="S516" s="4"/>
      <c r="T516" s="4"/>
      <c r="U516" s="4"/>
      <c r="V516" s="4"/>
    </row>
    <row r="517" spans="1:22" x14ac:dyDescent="0.3">
      <c r="A517" s="4">
        <f>'ECN Master Project Tracker new'!A411</f>
        <v>0</v>
      </c>
      <c r="B517" s="108" t="e">
        <f>VLOOKUP(A:A,Table1[[#All],[Project No]:[Additional Remark]],2,FALSE)</f>
        <v>#N/A</v>
      </c>
      <c r="C517" s="4" t="e">
        <f>VLOOKUP(A:A,Table1[[Project No]:[Additional Remark]],19,FALSE)</f>
        <v>#N/A</v>
      </c>
      <c r="D517" s="4" t="e">
        <f>VLOOKUP(A:A,Table1[[Project No]:[Additional Remark]],20,FALSE)</f>
        <v>#N/A</v>
      </c>
      <c r="E517" s="4" t="e">
        <f>VLOOKUP(A:A,Table1[[Project No]:[Additional Remark]],21,FALSE)</f>
        <v>#N/A</v>
      </c>
      <c r="F517" s="4" t="e">
        <f>VLOOKUP(A:A,Table1[[Project No]:[Additional Remark]],22,FALSE)</f>
        <v>#N/A</v>
      </c>
      <c r="G517" s="55" t="e">
        <f>VLOOKUP(A:A,Table1[[Project No]:[Additional Remark]],11,FALSE)</f>
        <v>#N/A</v>
      </c>
      <c r="H517" s="4" t="e">
        <f>VLOOKUP(A:A,Table1[[Project No]:[Additional Remark]],5,FALSE)</f>
        <v>#N/A</v>
      </c>
      <c r="I517" s="4" t="e">
        <f>VLOOKUP(A:A,Table1[[Project No]:[Additional Remark]],8,FALSE)</f>
        <v>#N/A</v>
      </c>
      <c r="J517" s="4" t="e">
        <f>VLOOKUP(A:A,Table1[[Project No]:[Additional Remark]],23,FALSE)</f>
        <v>#N/A</v>
      </c>
      <c r="K517" s="4"/>
      <c r="L517" s="4"/>
      <c r="M517" s="4"/>
      <c r="N517" s="4"/>
      <c r="O517" s="4"/>
      <c r="P517" s="4"/>
      <c r="Q517" s="4"/>
      <c r="R517" s="4"/>
      <c r="S517" s="4"/>
      <c r="T517" s="4"/>
      <c r="U517" s="4"/>
      <c r="V517" s="4"/>
    </row>
    <row r="518" spans="1:22" x14ac:dyDescent="0.3">
      <c r="A518" s="4">
        <f>'ECN Master Project Tracker new'!A412</f>
        <v>0</v>
      </c>
      <c r="B518" s="108" t="e">
        <f>VLOOKUP(A:A,Table1[[#All],[Project No]:[Additional Remark]],2,FALSE)</f>
        <v>#N/A</v>
      </c>
      <c r="C518" s="4" t="e">
        <f>VLOOKUP(A:A,Table1[[Project No]:[Additional Remark]],19,FALSE)</f>
        <v>#N/A</v>
      </c>
      <c r="D518" s="4" t="e">
        <f>VLOOKUP(A:A,Table1[[Project No]:[Additional Remark]],20,FALSE)</f>
        <v>#N/A</v>
      </c>
      <c r="E518" s="4" t="e">
        <f>VLOOKUP(A:A,Table1[[Project No]:[Additional Remark]],21,FALSE)</f>
        <v>#N/A</v>
      </c>
      <c r="F518" s="4" t="e">
        <f>VLOOKUP(A:A,Table1[[Project No]:[Additional Remark]],22,FALSE)</f>
        <v>#N/A</v>
      </c>
      <c r="G518" s="55" t="e">
        <f>VLOOKUP(A:A,Table1[[Project No]:[Additional Remark]],11,FALSE)</f>
        <v>#N/A</v>
      </c>
      <c r="H518" s="4" t="e">
        <f>VLOOKUP(A:A,Table1[[Project No]:[Additional Remark]],5,FALSE)</f>
        <v>#N/A</v>
      </c>
      <c r="I518" s="4" t="e">
        <f>VLOOKUP(A:A,Table1[[Project No]:[Additional Remark]],8,FALSE)</f>
        <v>#N/A</v>
      </c>
      <c r="J518" s="4" t="e">
        <f>VLOOKUP(A:A,Table1[[Project No]:[Additional Remark]],23,FALSE)</f>
        <v>#N/A</v>
      </c>
      <c r="K518" s="4"/>
      <c r="L518" s="4"/>
      <c r="M518" s="4"/>
      <c r="N518" s="4"/>
      <c r="O518" s="4"/>
      <c r="P518" s="4"/>
      <c r="Q518" s="4"/>
      <c r="R518" s="4"/>
      <c r="S518" s="4"/>
      <c r="T518" s="4"/>
      <c r="U518" s="4"/>
      <c r="V518" s="4"/>
    </row>
    <row r="519" spans="1:22" x14ac:dyDescent="0.3">
      <c r="A519" s="4">
        <f>'ECN Master Project Tracker new'!A413</f>
        <v>0</v>
      </c>
      <c r="B519" s="108" t="e">
        <f>VLOOKUP(A:A,Table1[[#All],[Project No]:[Additional Remark]],2,FALSE)</f>
        <v>#N/A</v>
      </c>
      <c r="C519" s="4" t="e">
        <f>VLOOKUP(A:A,Table1[[Project No]:[Additional Remark]],19,FALSE)</f>
        <v>#N/A</v>
      </c>
      <c r="D519" s="4" t="e">
        <f>VLOOKUP(A:A,Table1[[Project No]:[Additional Remark]],20,FALSE)</f>
        <v>#N/A</v>
      </c>
      <c r="E519" s="4" t="e">
        <f>VLOOKUP(A:A,Table1[[Project No]:[Additional Remark]],21,FALSE)</f>
        <v>#N/A</v>
      </c>
      <c r="F519" s="4" t="e">
        <f>VLOOKUP(A:A,Table1[[Project No]:[Additional Remark]],22,FALSE)</f>
        <v>#N/A</v>
      </c>
      <c r="G519" s="55" t="e">
        <f>VLOOKUP(A:A,Table1[[Project No]:[Additional Remark]],11,FALSE)</f>
        <v>#N/A</v>
      </c>
      <c r="H519" s="4" t="e">
        <f>VLOOKUP(A:A,Table1[[Project No]:[Additional Remark]],5,FALSE)</f>
        <v>#N/A</v>
      </c>
      <c r="I519" s="4" t="e">
        <f>VLOOKUP(A:A,Table1[[Project No]:[Additional Remark]],8,FALSE)</f>
        <v>#N/A</v>
      </c>
      <c r="J519" s="4" t="e">
        <f>VLOOKUP(A:A,Table1[[Project No]:[Additional Remark]],23,FALSE)</f>
        <v>#N/A</v>
      </c>
      <c r="K519" s="4"/>
      <c r="L519" s="4"/>
      <c r="M519" s="4"/>
      <c r="N519" s="4"/>
      <c r="O519" s="4"/>
      <c r="P519" s="4"/>
      <c r="Q519" s="4"/>
      <c r="R519" s="4"/>
      <c r="S519" s="4"/>
      <c r="T519" s="4"/>
      <c r="U519" s="4"/>
      <c r="V519" s="4"/>
    </row>
    <row r="520" spans="1:22" x14ac:dyDescent="0.3">
      <c r="A520" s="4">
        <f>'ECN Master Project Tracker new'!A414</f>
        <v>0</v>
      </c>
      <c r="B520" s="108" t="e">
        <f>VLOOKUP(A:A,Table1[[#All],[Project No]:[Additional Remark]],2,FALSE)</f>
        <v>#N/A</v>
      </c>
      <c r="C520" s="4" t="e">
        <f>VLOOKUP(A:A,Table1[[Project No]:[Additional Remark]],19,FALSE)</f>
        <v>#N/A</v>
      </c>
      <c r="D520" s="4" t="e">
        <f>VLOOKUP(A:A,Table1[[Project No]:[Additional Remark]],20,FALSE)</f>
        <v>#N/A</v>
      </c>
      <c r="E520" s="4" t="e">
        <f>VLOOKUP(A:A,Table1[[Project No]:[Additional Remark]],21,FALSE)</f>
        <v>#N/A</v>
      </c>
      <c r="F520" s="4" t="e">
        <f>VLOOKUP(A:A,Table1[[Project No]:[Additional Remark]],22,FALSE)</f>
        <v>#N/A</v>
      </c>
      <c r="G520" s="55" t="e">
        <f>VLOOKUP(A:A,Table1[[Project No]:[Additional Remark]],11,FALSE)</f>
        <v>#N/A</v>
      </c>
      <c r="H520" s="4" t="e">
        <f>VLOOKUP(A:A,Table1[[Project No]:[Additional Remark]],5,FALSE)</f>
        <v>#N/A</v>
      </c>
      <c r="I520" s="4" t="e">
        <f>VLOOKUP(A:A,Table1[[Project No]:[Additional Remark]],8,FALSE)</f>
        <v>#N/A</v>
      </c>
      <c r="J520" s="4" t="e">
        <f>VLOOKUP(A:A,Table1[[Project No]:[Additional Remark]],23,FALSE)</f>
        <v>#N/A</v>
      </c>
      <c r="K520" s="4"/>
      <c r="L520" s="4"/>
      <c r="M520" s="4"/>
      <c r="N520" s="4"/>
      <c r="O520" s="4"/>
      <c r="P520" s="4"/>
      <c r="Q520" s="4"/>
      <c r="R520" s="4"/>
      <c r="S520" s="4"/>
      <c r="T520" s="4"/>
      <c r="U520" s="4"/>
      <c r="V520" s="4"/>
    </row>
    <row r="521" spans="1:22" x14ac:dyDescent="0.3">
      <c r="A521" s="4">
        <f>'ECN Master Project Tracker new'!A415</f>
        <v>0</v>
      </c>
      <c r="B521" s="108" t="e">
        <f>VLOOKUP(A:A,Table1[[#All],[Project No]:[Additional Remark]],2,FALSE)</f>
        <v>#N/A</v>
      </c>
      <c r="C521" s="4" t="e">
        <f>VLOOKUP(A:A,Table1[[Project No]:[Additional Remark]],19,FALSE)</f>
        <v>#N/A</v>
      </c>
      <c r="D521" s="4" t="e">
        <f>VLOOKUP(A:A,Table1[[Project No]:[Additional Remark]],20,FALSE)</f>
        <v>#N/A</v>
      </c>
      <c r="E521" s="4" t="e">
        <f>VLOOKUP(A:A,Table1[[Project No]:[Additional Remark]],21,FALSE)</f>
        <v>#N/A</v>
      </c>
      <c r="F521" s="4" t="e">
        <f>VLOOKUP(A:A,Table1[[Project No]:[Additional Remark]],22,FALSE)</f>
        <v>#N/A</v>
      </c>
      <c r="G521" s="55" t="e">
        <f>VLOOKUP(A:A,Table1[[Project No]:[Additional Remark]],11,FALSE)</f>
        <v>#N/A</v>
      </c>
      <c r="H521" s="4" t="e">
        <f>VLOOKUP(A:A,Table1[[Project No]:[Additional Remark]],5,FALSE)</f>
        <v>#N/A</v>
      </c>
      <c r="I521" s="4" t="e">
        <f>VLOOKUP(A:A,Table1[[Project No]:[Additional Remark]],8,FALSE)</f>
        <v>#N/A</v>
      </c>
      <c r="J521" s="4" t="e">
        <f>VLOOKUP(A:A,Table1[[Project No]:[Additional Remark]],23,FALSE)</f>
        <v>#N/A</v>
      </c>
      <c r="K521" s="4"/>
      <c r="L521" s="4"/>
      <c r="M521" s="4"/>
      <c r="N521" s="4"/>
      <c r="O521" s="4"/>
      <c r="P521" s="4"/>
      <c r="Q521" s="4"/>
      <c r="R521" s="4"/>
      <c r="S521" s="4"/>
      <c r="T521" s="4"/>
      <c r="U521" s="4"/>
      <c r="V521" s="4"/>
    </row>
    <row r="522" spans="1:22" x14ac:dyDescent="0.3">
      <c r="A522" s="4">
        <f>'ECN Master Project Tracker new'!A416</f>
        <v>0</v>
      </c>
      <c r="B522" s="108" t="e">
        <f>VLOOKUP(A:A,Table1[[#All],[Project No]:[Additional Remark]],2,FALSE)</f>
        <v>#N/A</v>
      </c>
      <c r="C522" s="4" t="e">
        <f>VLOOKUP(A:A,Table1[[Project No]:[Additional Remark]],19,FALSE)</f>
        <v>#N/A</v>
      </c>
      <c r="D522" s="4" t="e">
        <f>VLOOKUP(A:A,Table1[[Project No]:[Additional Remark]],20,FALSE)</f>
        <v>#N/A</v>
      </c>
      <c r="E522" s="4" t="e">
        <f>VLOOKUP(A:A,Table1[[Project No]:[Additional Remark]],21,FALSE)</f>
        <v>#N/A</v>
      </c>
      <c r="F522" s="4" t="e">
        <f>VLOOKUP(A:A,Table1[[Project No]:[Additional Remark]],22,FALSE)</f>
        <v>#N/A</v>
      </c>
      <c r="G522" s="55" t="e">
        <f>VLOOKUP(A:A,Table1[[Project No]:[Additional Remark]],11,FALSE)</f>
        <v>#N/A</v>
      </c>
      <c r="H522" s="4" t="e">
        <f>VLOOKUP(A:A,Table1[[Project No]:[Additional Remark]],5,FALSE)</f>
        <v>#N/A</v>
      </c>
      <c r="I522" s="4" t="e">
        <f>VLOOKUP(A:A,Table1[[Project No]:[Additional Remark]],8,FALSE)</f>
        <v>#N/A</v>
      </c>
      <c r="J522" s="4" t="e">
        <f>VLOOKUP(A:A,Table1[[Project No]:[Additional Remark]],23,FALSE)</f>
        <v>#N/A</v>
      </c>
      <c r="K522" s="4"/>
      <c r="L522" s="4"/>
      <c r="M522" s="4"/>
      <c r="N522" s="4"/>
      <c r="O522" s="4"/>
      <c r="P522" s="4"/>
      <c r="Q522" s="4"/>
      <c r="R522" s="4"/>
      <c r="S522" s="4"/>
      <c r="T522" s="4"/>
      <c r="U522" s="4"/>
      <c r="V522" s="4"/>
    </row>
    <row r="523" spans="1:22" x14ac:dyDescent="0.3">
      <c r="A523" s="4">
        <f>'ECN Master Project Tracker new'!A417</f>
        <v>0</v>
      </c>
      <c r="B523" s="108" t="e">
        <f>VLOOKUP(A:A,Table1[[#All],[Project No]:[Additional Remark]],2,FALSE)</f>
        <v>#N/A</v>
      </c>
      <c r="C523" s="4" t="e">
        <f>VLOOKUP(A:A,Table1[[Project No]:[Additional Remark]],19,FALSE)</f>
        <v>#N/A</v>
      </c>
      <c r="D523" s="4" t="e">
        <f>VLOOKUP(A:A,Table1[[Project No]:[Additional Remark]],20,FALSE)</f>
        <v>#N/A</v>
      </c>
      <c r="E523" s="4" t="e">
        <f>VLOOKUP(A:A,Table1[[Project No]:[Additional Remark]],21,FALSE)</f>
        <v>#N/A</v>
      </c>
      <c r="F523" s="4" t="e">
        <f>VLOOKUP(A:A,Table1[[Project No]:[Additional Remark]],22,FALSE)</f>
        <v>#N/A</v>
      </c>
      <c r="G523" s="55" t="e">
        <f>VLOOKUP(A:A,Table1[[Project No]:[Additional Remark]],11,FALSE)</f>
        <v>#N/A</v>
      </c>
      <c r="H523" s="4" t="e">
        <f>VLOOKUP(A:A,Table1[[Project No]:[Additional Remark]],5,FALSE)</f>
        <v>#N/A</v>
      </c>
      <c r="I523" s="4" t="e">
        <f>VLOOKUP(A:A,Table1[[Project No]:[Additional Remark]],8,FALSE)</f>
        <v>#N/A</v>
      </c>
      <c r="J523" s="4" t="e">
        <f>VLOOKUP(A:A,Table1[[Project No]:[Additional Remark]],23,FALSE)</f>
        <v>#N/A</v>
      </c>
      <c r="K523" s="4"/>
      <c r="L523" s="4"/>
      <c r="M523" s="4"/>
      <c r="N523" s="4"/>
      <c r="O523" s="4"/>
      <c r="P523" s="4"/>
      <c r="Q523" s="4"/>
      <c r="R523" s="4"/>
      <c r="S523" s="4"/>
      <c r="T523" s="4"/>
      <c r="U523" s="4"/>
      <c r="V523" s="4"/>
    </row>
    <row r="524" spans="1:22" x14ac:dyDescent="0.3">
      <c r="A524" s="4">
        <f>'ECN Master Project Tracker new'!A418</f>
        <v>0</v>
      </c>
      <c r="B524" s="108" t="e">
        <f>VLOOKUP(A:A,Table1[[#All],[Project No]:[Additional Remark]],2,FALSE)</f>
        <v>#N/A</v>
      </c>
      <c r="C524" s="4" t="e">
        <f>VLOOKUP(A:A,Table1[[Project No]:[Additional Remark]],19,FALSE)</f>
        <v>#N/A</v>
      </c>
      <c r="D524" s="4" t="e">
        <f>VLOOKUP(A:A,Table1[[Project No]:[Additional Remark]],20,FALSE)</f>
        <v>#N/A</v>
      </c>
      <c r="E524" s="4" t="e">
        <f>VLOOKUP(A:A,Table1[[Project No]:[Additional Remark]],21,FALSE)</f>
        <v>#N/A</v>
      </c>
      <c r="F524" s="4" t="e">
        <f>VLOOKUP(A:A,Table1[[Project No]:[Additional Remark]],22,FALSE)</f>
        <v>#N/A</v>
      </c>
      <c r="G524" s="55" t="e">
        <f>VLOOKUP(A:A,Table1[[Project No]:[Additional Remark]],11,FALSE)</f>
        <v>#N/A</v>
      </c>
      <c r="H524" s="4" t="e">
        <f>VLOOKUP(A:A,Table1[[Project No]:[Additional Remark]],5,FALSE)</f>
        <v>#N/A</v>
      </c>
      <c r="I524" s="4" t="e">
        <f>VLOOKUP(A:A,Table1[[Project No]:[Additional Remark]],8,FALSE)</f>
        <v>#N/A</v>
      </c>
      <c r="J524" s="4" t="e">
        <f>VLOOKUP(A:A,Table1[[Project No]:[Additional Remark]],23,FALSE)</f>
        <v>#N/A</v>
      </c>
      <c r="K524" s="4"/>
      <c r="L524" s="4"/>
      <c r="M524" s="4"/>
      <c r="N524" s="4"/>
      <c r="O524" s="4"/>
      <c r="P524" s="4"/>
      <c r="Q524" s="4"/>
      <c r="R524" s="4"/>
      <c r="S524" s="4"/>
      <c r="T524" s="4"/>
      <c r="U524" s="4"/>
      <c r="V524" s="4"/>
    </row>
    <row r="525" spans="1:22" x14ac:dyDescent="0.3">
      <c r="A525" s="4">
        <f>'ECN Master Project Tracker new'!A419</f>
        <v>0</v>
      </c>
      <c r="B525" s="108" t="e">
        <f>VLOOKUP(A:A,Table1[[#All],[Project No]:[Additional Remark]],2,FALSE)</f>
        <v>#N/A</v>
      </c>
      <c r="C525" s="4" t="e">
        <f>VLOOKUP(A:A,Table1[[Project No]:[Additional Remark]],19,FALSE)</f>
        <v>#N/A</v>
      </c>
      <c r="D525" s="4" t="e">
        <f>VLOOKUP(A:A,Table1[[Project No]:[Additional Remark]],20,FALSE)</f>
        <v>#N/A</v>
      </c>
      <c r="E525" s="4" t="e">
        <f>VLOOKUP(A:A,Table1[[Project No]:[Additional Remark]],21,FALSE)</f>
        <v>#N/A</v>
      </c>
      <c r="F525" s="4" t="e">
        <f>VLOOKUP(A:A,Table1[[Project No]:[Additional Remark]],22,FALSE)</f>
        <v>#N/A</v>
      </c>
      <c r="G525" s="55" t="e">
        <f>VLOOKUP(A:A,Table1[[Project No]:[Additional Remark]],11,FALSE)</f>
        <v>#N/A</v>
      </c>
      <c r="H525" s="4" t="e">
        <f>VLOOKUP(A:A,Table1[[Project No]:[Additional Remark]],5,FALSE)</f>
        <v>#N/A</v>
      </c>
      <c r="I525" s="4" t="e">
        <f>VLOOKUP(A:A,Table1[[Project No]:[Additional Remark]],8,FALSE)</f>
        <v>#N/A</v>
      </c>
      <c r="J525" s="4" t="e">
        <f>VLOOKUP(A:A,Table1[[Project No]:[Additional Remark]],23,FALSE)</f>
        <v>#N/A</v>
      </c>
      <c r="K525" s="4"/>
      <c r="L525" s="4"/>
      <c r="M525" s="4"/>
      <c r="N525" s="4"/>
      <c r="O525" s="4"/>
      <c r="P525" s="4"/>
      <c r="Q525" s="4"/>
      <c r="R525" s="4"/>
      <c r="S525" s="4"/>
      <c r="T525" s="4"/>
      <c r="U525" s="4"/>
      <c r="V525" s="4"/>
    </row>
    <row r="526" spans="1:22" x14ac:dyDescent="0.3">
      <c r="A526" s="4">
        <f>'ECN Master Project Tracker new'!A420</f>
        <v>0</v>
      </c>
      <c r="B526" s="108" t="e">
        <f>VLOOKUP(A:A,Table1[[#All],[Project No]:[Additional Remark]],2,FALSE)</f>
        <v>#N/A</v>
      </c>
      <c r="C526" s="4" t="e">
        <f>VLOOKUP(A:A,Table1[[Project No]:[Additional Remark]],19,FALSE)</f>
        <v>#N/A</v>
      </c>
      <c r="D526" s="4" t="e">
        <f>VLOOKUP(A:A,Table1[[Project No]:[Additional Remark]],20,FALSE)</f>
        <v>#N/A</v>
      </c>
      <c r="E526" s="4" t="e">
        <f>VLOOKUP(A:A,Table1[[Project No]:[Additional Remark]],21,FALSE)</f>
        <v>#N/A</v>
      </c>
      <c r="F526" s="4" t="e">
        <f>VLOOKUP(A:A,Table1[[Project No]:[Additional Remark]],22,FALSE)</f>
        <v>#N/A</v>
      </c>
      <c r="G526" s="55" t="e">
        <f>VLOOKUP(A:A,Table1[[Project No]:[Additional Remark]],11,FALSE)</f>
        <v>#N/A</v>
      </c>
      <c r="H526" s="4" t="e">
        <f>VLOOKUP(A:A,Table1[[Project No]:[Additional Remark]],5,FALSE)</f>
        <v>#N/A</v>
      </c>
      <c r="I526" s="4" t="e">
        <f>VLOOKUP(A:A,Table1[[Project No]:[Additional Remark]],8,FALSE)</f>
        <v>#N/A</v>
      </c>
      <c r="J526" s="4" t="e">
        <f>VLOOKUP(A:A,Table1[[Project No]:[Additional Remark]],23,FALSE)</f>
        <v>#N/A</v>
      </c>
      <c r="K526" s="4"/>
      <c r="L526" s="4"/>
      <c r="M526" s="4"/>
      <c r="N526" s="4"/>
      <c r="O526" s="4"/>
      <c r="P526" s="4"/>
      <c r="Q526" s="4"/>
      <c r="R526" s="4"/>
      <c r="S526" s="4"/>
      <c r="T526" s="4"/>
      <c r="U526" s="4"/>
      <c r="V526" s="4"/>
    </row>
    <row r="527" spans="1:22" x14ac:dyDescent="0.3">
      <c r="A527" s="4">
        <f>'ECN Master Project Tracker new'!A421</f>
        <v>0</v>
      </c>
      <c r="B527" s="108" t="e">
        <f>VLOOKUP(A:A,Table1[[#All],[Project No]:[Additional Remark]],2,FALSE)</f>
        <v>#N/A</v>
      </c>
      <c r="C527" s="4" t="e">
        <f>VLOOKUP(A:A,Table1[[Project No]:[Additional Remark]],19,FALSE)</f>
        <v>#N/A</v>
      </c>
      <c r="D527" s="4" t="e">
        <f>VLOOKUP(A:A,Table1[[Project No]:[Additional Remark]],20,FALSE)</f>
        <v>#N/A</v>
      </c>
      <c r="E527" s="4" t="e">
        <f>VLOOKUP(A:A,Table1[[Project No]:[Additional Remark]],21,FALSE)</f>
        <v>#N/A</v>
      </c>
      <c r="F527" s="4" t="e">
        <f>VLOOKUP(A:A,Table1[[Project No]:[Additional Remark]],22,FALSE)</f>
        <v>#N/A</v>
      </c>
      <c r="G527" s="55" t="e">
        <f>VLOOKUP(A:A,Table1[[Project No]:[Additional Remark]],11,FALSE)</f>
        <v>#N/A</v>
      </c>
      <c r="H527" s="4" t="e">
        <f>VLOOKUP(A:A,Table1[[Project No]:[Additional Remark]],5,FALSE)</f>
        <v>#N/A</v>
      </c>
      <c r="I527" s="4" t="e">
        <f>VLOOKUP(A:A,Table1[[Project No]:[Additional Remark]],8,FALSE)</f>
        <v>#N/A</v>
      </c>
      <c r="J527" s="4" t="e">
        <f>VLOOKUP(A:A,Table1[[Project No]:[Additional Remark]],23,FALSE)</f>
        <v>#N/A</v>
      </c>
      <c r="K527" s="4"/>
      <c r="L527" s="4"/>
      <c r="M527" s="4"/>
      <c r="N527" s="4"/>
      <c r="O527" s="4"/>
      <c r="P527" s="4"/>
      <c r="Q527" s="4"/>
      <c r="R527" s="4"/>
      <c r="S527" s="4"/>
      <c r="T527" s="4"/>
      <c r="U527" s="4"/>
      <c r="V527" s="4"/>
    </row>
    <row r="528" spans="1:22" x14ac:dyDescent="0.3">
      <c r="A528" s="4">
        <f>'ECN Master Project Tracker new'!A422</f>
        <v>0</v>
      </c>
      <c r="B528" s="108" t="e">
        <f>VLOOKUP(A:A,Table1[[#All],[Project No]:[Additional Remark]],2,FALSE)</f>
        <v>#N/A</v>
      </c>
      <c r="C528" s="4" t="e">
        <f>VLOOKUP(A:A,Table1[[Project No]:[Additional Remark]],19,FALSE)</f>
        <v>#N/A</v>
      </c>
      <c r="D528" s="4" t="e">
        <f>VLOOKUP(A:A,Table1[[Project No]:[Additional Remark]],20,FALSE)</f>
        <v>#N/A</v>
      </c>
      <c r="E528" s="4" t="e">
        <f>VLOOKUP(A:A,Table1[[Project No]:[Additional Remark]],21,FALSE)</f>
        <v>#N/A</v>
      </c>
      <c r="F528" s="4" t="e">
        <f>VLOOKUP(A:A,Table1[[Project No]:[Additional Remark]],22,FALSE)</f>
        <v>#N/A</v>
      </c>
      <c r="G528" s="55" t="e">
        <f>VLOOKUP(A:A,Table1[[Project No]:[Additional Remark]],11,FALSE)</f>
        <v>#N/A</v>
      </c>
      <c r="H528" s="4" t="e">
        <f>VLOOKUP(A:A,Table1[[Project No]:[Additional Remark]],5,FALSE)</f>
        <v>#N/A</v>
      </c>
      <c r="I528" s="4" t="e">
        <f>VLOOKUP(A:A,Table1[[Project No]:[Additional Remark]],8,FALSE)</f>
        <v>#N/A</v>
      </c>
      <c r="J528" s="4" t="e">
        <f>VLOOKUP(A:A,Table1[[Project No]:[Additional Remark]],23,FALSE)</f>
        <v>#N/A</v>
      </c>
      <c r="K528" s="4"/>
      <c r="L528" s="4"/>
      <c r="M528" s="4"/>
      <c r="N528" s="4"/>
      <c r="O528" s="4"/>
      <c r="P528" s="4"/>
      <c r="Q528" s="4"/>
      <c r="R528" s="4"/>
      <c r="S528" s="4"/>
      <c r="T528" s="4"/>
      <c r="U528" s="4"/>
      <c r="V528" s="4"/>
    </row>
    <row r="529" spans="1:22" x14ac:dyDescent="0.3">
      <c r="A529" s="4">
        <f>'ECN Master Project Tracker new'!A423</f>
        <v>0</v>
      </c>
      <c r="B529" s="108" t="e">
        <f>VLOOKUP(A:A,Table1[[#All],[Project No]:[Additional Remark]],2,FALSE)</f>
        <v>#N/A</v>
      </c>
      <c r="C529" s="4" t="e">
        <f>VLOOKUP(A:A,Table1[[Project No]:[Additional Remark]],19,FALSE)</f>
        <v>#N/A</v>
      </c>
      <c r="D529" s="4" t="e">
        <f>VLOOKUP(A:A,Table1[[Project No]:[Additional Remark]],20,FALSE)</f>
        <v>#N/A</v>
      </c>
      <c r="E529" s="4" t="e">
        <f>VLOOKUP(A:A,Table1[[Project No]:[Additional Remark]],21,FALSE)</f>
        <v>#N/A</v>
      </c>
      <c r="F529" s="4" t="e">
        <f>VLOOKUP(A:A,Table1[[Project No]:[Additional Remark]],22,FALSE)</f>
        <v>#N/A</v>
      </c>
      <c r="G529" s="55" t="e">
        <f>VLOOKUP(A:A,Table1[[Project No]:[Additional Remark]],11,FALSE)</f>
        <v>#N/A</v>
      </c>
      <c r="H529" s="4" t="e">
        <f>VLOOKUP(A:A,Table1[[Project No]:[Additional Remark]],5,FALSE)</f>
        <v>#N/A</v>
      </c>
      <c r="I529" s="4" t="e">
        <f>VLOOKUP(A:A,Table1[[Project No]:[Additional Remark]],8,FALSE)</f>
        <v>#N/A</v>
      </c>
      <c r="J529" s="4" t="e">
        <f>VLOOKUP(A:A,Table1[[Project No]:[Additional Remark]],23,FALSE)</f>
        <v>#N/A</v>
      </c>
      <c r="K529" s="4"/>
      <c r="L529" s="4"/>
      <c r="M529" s="4"/>
      <c r="N529" s="4"/>
      <c r="O529" s="4"/>
      <c r="P529" s="4"/>
      <c r="Q529" s="4"/>
      <c r="R529" s="4"/>
      <c r="S529" s="4"/>
      <c r="T529" s="4"/>
      <c r="U529" s="4"/>
      <c r="V529" s="4"/>
    </row>
    <row r="530" spans="1:22" x14ac:dyDescent="0.3">
      <c r="A530" s="4">
        <f>'ECN Master Project Tracker new'!A424</f>
        <v>0</v>
      </c>
      <c r="B530" s="108" t="e">
        <f>VLOOKUP(A:A,Table1[[#All],[Project No]:[Additional Remark]],2,FALSE)</f>
        <v>#N/A</v>
      </c>
      <c r="C530" s="4" t="e">
        <f>VLOOKUP(A:A,Table1[[Project No]:[Additional Remark]],19,FALSE)</f>
        <v>#N/A</v>
      </c>
      <c r="D530" s="4" t="e">
        <f>VLOOKUP(A:A,Table1[[Project No]:[Additional Remark]],20,FALSE)</f>
        <v>#N/A</v>
      </c>
      <c r="E530" s="4" t="e">
        <f>VLOOKUP(A:A,Table1[[Project No]:[Additional Remark]],21,FALSE)</f>
        <v>#N/A</v>
      </c>
      <c r="F530" s="4" t="e">
        <f>VLOOKUP(A:A,Table1[[Project No]:[Additional Remark]],22,FALSE)</f>
        <v>#N/A</v>
      </c>
      <c r="G530" s="55" t="e">
        <f>VLOOKUP(A:A,Table1[[Project No]:[Additional Remark]],11,FALSE)</f>
        <v>#N/A</v>
      </c>
      <c r="H530" s="4" t="e">
        <f>VLOOKUP(A:A,Table1[[Project No]:[Additional Remark]],5,FALSE)</f>
        <v>#N/A</v>
      </c>
      <c r="I530" s="4" t="e">
        <f>VLOOKUP(A:A,Table1[[Project No]:[Additional Remark]],8,FALSE)</f>
        <v>#N/A</v>
      </c>
      <c r="J530" s="4" t="e">
        <f>VLOOKUP(A:A,Table1[[Project No]:[Additional Remark]],23,FALSE)</f>
        <v>#N/A</v>
      </c>
      <c r="K530" s="4"/>
      <c r="L530" s="4"/>
      <c r="M530" s="4"/>
      <c r="N530" s="4"/>
      <c r="O530" s="4"/>
      <c r="P530" s="4"/>
      <c r="Q530" s="4"/>
      <c r="R530" s="4"/>
      <c r="S530" s="4"/>
      <c r="T530" s="4"/>
      <c r="U530" s="4"/>
      <c r="V530" s="4"/>
    </row>
    <row r="531" spans="1:22" x14ac:dyDescent="0.3">
      <c r="A531" s="4">
        <f>'ECN Master Project Tracker new'!A425</f>
        <v>0</v>
      </c>
      <c r="B531" s="108" t="e">
        <f>VLOOKUP(A:A,Table1[[#All],[Project No]:[Additional Remark]],2,FALSE)</f>
        <v>#N/A</v>
      </c>
      <c r="C531" s="4" t="e">
        <f>VLOOKUP(A:A,Table1[[Project No]:[Additional Remark]],19,FALSE)</f>
        <v>#N/A</v>
      </c>
      <c r="D531" s="4" t="e">
        <f>VLOOKUP(A:A,Table1[[Project No]:[Additional Remark]],20,FALSE)</f>
        <v>#N/A</v>
      </c>
      <c r="E531" s="4" t="e">
        <f>VLOOKUP(A:A,Table1[[Project No]:[Additional Remark]],21,FALSE)</f>
        <v>#N/A</v>
      </c>
      <c r="F531" s="4" t="e">
        <f>VLOOKUP(A:A,Table1[[Project No]:[Additional Remark]],22,FALSE)</f>
        <v>#N/A</v>
      </c>
      <c r="G531" s="55" t="e">
        <f>VLOOKUP(A:A,Table1[[Project No]:[Additional Remark]],11,FALSE)</f>
        <v>#N/A</v>
      </c>
      <c r="H531" s="4" t="e">
        <f>VLOOKUP(A:A,Table1[[Project No]:[Additional Remark]],5,FALSE)</f>
        <v>#N/A</v>
      </c>
      <c r="I531" s="4" t="e">
        <f>VLOOKUP(A:A,Table1[[Project No]:[Additional Remark]],8,FALSE)</f>
        <v>#N/A</v>
      </c>
      <c r="J531" s="4" t="e">
        <f>VLOOKUP(A:A,Table1[[Project No]:[Additional Remark]],23,FALSE)</f>
        <v>#N/A</v>
      </c>
      <c r="K531" s="4"/>
      <c r="L531" s="4"/>
      <c r="M531" s="4"/>
      <c r="N531" s="4"/>
      <c r="O531" s="4"/>
      <c r="P531" s="4"/>
      <c r="Q531" s="4"/>
      <c r="R531" s="4"/>
      <c r="S531" s="4"/>
      <c r="T531" s="4"/>
      <c r="U531" s="4"/>
      <c r="V531" s="4"/>
    </row>
    <row r="532" spans="1:22" x14ac:dyDescent="0.3">
      <c r="A532" s="4">
        <f>'ECN Master Project Tracker new'!A426</f>
        <v>0</v>
      </c>
      <c r="B532" s="108" t="e">
        <f>VLOOKUP(A:A,Table1[[#All],[Project No]:[Additional Remark]],2,FALSE)</f>
        <v>#N/A</v>
      </c>
      <c r="C532" s="4" t="e">
        <f>VLOOKUP(A:A,Table1[[Project No]:[Additional Remark]],19,FALSE)</f>
        <v>#N/A</v>
      </c>
      <c r="D532" s="4" t="e">
        <f>VLOOKUP(A:A,Table1[[Project No]:[Additional Remark]],20,FALSE)</f>
        <v>#N/A</v>
      </c>
      <c r="E532" s="4" t="e">
        <f>VLOOKUP(A:A,Table1[[Project No]:[Additional Remark]],21,FALSE)</f>
        <v>#N/A</v>
      </c>
      <c r="F532" s="4" t="e">
        <f>VLOOKUP(A:A,Table1[[Project No]:[Additional Remark]],22,FALSE)</f>
        <v>#N/A</v>
      </c>
      <c r="G532" s="55" t="e">
        <f>VLOOKUP(A:A,Table1[[Project No]:[Additional Remark]],11,FALSE)</f>
        <v>#N/A</v>
      </c>
      <c r="H532" s="4" t="e">
        <f>VLOOKUP(A:A,Table1[[Project No]:[Additional Remark]],5,FALSE)</f>
        <v>#N/A</v>
      </c>
      <c r="I532" s="4" t="e">
        <f>VLOOKUP(A:A,Table1[[Project No]:[Additional Remark]],8,FALSE)</f>
        <v>#N/A</v>
      </c>
      <c r="J532" s="4" t="e">
        <f>VLOOKUP(A:A,Table1[[Project No]:[Additional Remark]],23,FALSE)</f>
        <v>#N/A</v>
      </c>
      <c r="K532" s="4"/>
      <c r="L532" s="4"/>
      <c r="M532" s="4"/>
      <c r="N532" s="4"/>
      <c r="O532" s="4"/>
      <c r="P532" s="4"/>
      <c r="Q532" s="4"/>
      <c r="R532" s="4"/>
      <c r="S532" s="4"/>
      <c r="T532" s="4"/>
      <c r="U532" s="4"/>
      <c r="V532" s="4"/>
    </row>
    <row r="533" spans="1:22" x14ac:dyDescent="0.3">
      <c r="A533" s="4">
        <f>'ECN Master Project Tracker new'!A427</f>
        <v>0</v>
      </c>
      <c r="B533" s="108" t="e">
        <f>VLOOKUP(A:A,Table1[[#All],[Project No]:[Additional Remark]],2,FALSE)</f>
        <v>#N/A</v>
      </c>
      <c r="C533" s="4" t="e">
        <f>VLOOKUP(A:A,Table1[[Project No]:[Additional Remark]],19,FALSE)</f>
        <v>#N/A</v>
      </c>
      <c r="D533" s="4" t="e">
        <f>VLOOKUP(A:A,Table1[[Project No]:[Additional Remark]],20,FALSE)</f>
        <v>#N/A</v>
      </c>
      <c r="E533" s="4" t="e">
        <f>VLOOKUP(A:A,Table1[[Project No]:[Additional Remark]],21,FALSE)</f>
        <v>#N/A</v>
      </c>
      <c r="F533" s="4" t="e">
        <f>VLOOKUP(A:A,Table1[[Project No]:[Additional Remark]],22,FALSE)</f>
        <v>#N/A</v>
      </c>
      <c r="G533" s="55" t="e">
        <f>VLOOKUP(A:A,Table1[[Project No]:[Additional Remark]],11,FALSE)</f>
        <v>#N/A</v>
      </c>
      <c r="H533" s="4" t="e">
        <f>VLOOKUP(A:A,Table1[[Project No]:[Additional Remark]],5,FALSE)</f>
        <v>#N/A</v>
      </c>
      <c r="I533" s="4" t="e">
        <f>VLOOKUP(A:A,Table1[[Project No]:[Additional Remark]],8,FALSE)</f>
        <v>#N/A</v>
      </c>
      <c r="J533" s="4" t="e">
        <f>VLOOKUP(A:A,Table1[[Project No]:[Additional Remark]],23,FALSE)</f>
        <v>#N/A</v>
      </c>
      <c r="K533" s="4"/>
      <c r="L533" s="4"/>
      <c r="M533" s="4"/>
      <c r="N533" s="4"/>
      <c r="O533" s="4"/>
      <c r="P533" s="4"/>
      <c r="Q533" s="4"/>
      <c r="R533" s="4"/>
      <c r="S533" s="4"/>
      <c r="T533" s="4"/>
      <c r="U533" s="4"/>
      <c r="V533" s="4"/>
    </row>
    <row r="534" spans="1:22" x14ac:dyDescent="0.3">
      <c r="A534" s="4">
        <f>'ECN Master Project Tracker new'!A428</f>
        <v>0</v>
      </c>
      <c r="B534" s="108" t="e">
        <f>VLOOKUP(A:A,Table1[[#All],[Project No]:[Additional Remark]],2,FALSE)</f>
        <v>#N/A</v>
      </c>
      <c r="C534" s="4" t="e">
        <f>VLOOKUP(A:A,Table1[[Project No]:[Additional Remark]],19,FALSE)</f>
        <v>#N/A</v>
      </c>
      <c r="D534" s="4" t="e">
        <f>VLOOKUP(A:A,Table1[[Project No]:[Additional Remark]],20,FALSE)</f>
        <v>#N/A</v>
      </c>
      <c r="E534" s="4" t="e">
        <f>VLOOKUP(A:A,Table1[[Project No]:[Additional Remark]],21,FALSE)</f>
        <v>#N/A</v>
      </c>
      <c r="F534" s="4" t="e">
        <f>VLOOKUP(A:A,Table1[[Project No]:[Additional Remark]],22,FALSE)</f>
        <v>#N/A</v>
      </c>
      <c r="G534" s="55" t="e">
        <f>VLOOKUP(A:A,Table1[[Project No]:[Additional Remark]],11,FALSE)</f>
        <v>#N/A</v>
      </c>
      <c r="H534" s="4" t="e">
        <f>VLOOKUP(A:A,Table1[[Project No]:[Additional Remark]],5,FALSE)</f>
        <v>#N/A</v>
      </c>
      <c r="I534" s="4" t="e">
        <f>VLOOKUP(A:A,Table1[[Project No]:[Additional Remark]],8,FALSE)</f>
        <v>#N/A</v>
      </c>
      <c r="J534" s="4" t="e">
        <f>VLOOKUP(A:A,Table1[[Project No]:[Additional Remark]],23,FALSE)</f>
        <v>#N/A</v>
      </c>
      <c r="K534" s="4"/>
      <c r="L534" s="4"/>
      <c r="M534" s="4"/>
      <c r="N534" s="4"/>
      <c r="O534" s="4"/>
      <c r="P534" s="4"/>
      <c r="Q534" s="4"/>
      <c r="R534" s="4"/>
      <c r="S534" s="4"/>
      <c r="T534" s="4"/>
      <c r="U534" s="4"/>
      <c r="V534" s="4"/>
    </row>
    <row r="535" spans="1:22" x14ac:dyDescent="0.3">
      <c r="A535" s="4">
        <f>'ECN Master Project Tracker new'!A429</f>
        <v>0</v>
      </c>
      <c r="B535" s="108" t="e">
        <f>VLOOKUP(A:A,Table1[[#All],[Project No]:[Additional Remark]],2,FALSE)</f>
        <v>#N/A</v>
      </c>
      <c r="C535" s="4" t="e">
        <f>VLOOKUP(A:A,Table1[[Project No]:[Additional Remark]],19,FALSE)</f>
        <v>#N/A</v>
      </c>
      <c r="D535" s="4" t="e">
        <f>VLOOKUP(A:A,Table1[[Project No]:[Additional Remark]],20,FALSE)</f>
        <v>#N/A</v>
      </c>
      <c r="E535" s="4" t="e">
        <f>VLOOKUP(A:A,Table1[[Project No]:[Additional Remark]],21,FALSE)</f>
        <v>#N/A</v>
      </c>
      <c r="F535" s="4" t="e">
        <f>VLOOKUP(A:A,Table1[[Project No]:[Additional Remark]],22,FALSE)</f>
        <v>#N/A</v>
      </c>
      <c r="G535" s="55" t="e">
        <f>VLOOKUP(A:A,Table1[[Project No]:[Additional Remark]],11,FALSE)</f>
        <v>#N/A</v>
      </c>
      <c r="H535" s="4" t="e">
        <f>VLOOKUP(A:A,Table1[[Project No]:[Additional Remark]],5,FALSE)</f>
        <v>#N/A</v>
      </c>
      <c r="I535" s="4" t="e">
        <f>VLOOKUP(A:A,Table1[[Project No]:[Additional Remark]],8,FALSE)</f>
        <v>#N/A</v>
      </c>
      <c r="J535" s="4" t="e">
        <f>VLOOKUP(A:A,Table1[[Project No]:[Additional Remark]],23,FALSE)</f>
        <v>#N/A</v>
      </c>
      <c r="K535" s="4"/>
      <c r="L535" s="4"/>
      <c r="M535" s="4"/>
      <c r="N535" s="4"/>
      <c r="O535" s="4"/>
      <c r="P535" s="4"/>
      <c r="Q535" s="4"/>
      <c r="R535" s="4"/>
      <c r="S535" s="4"/>
      <c r="T535" s="4"/>
      <c r="U535" s="4"/>
      <c r="V535" s="4"/>
    </row>
    <row r="536" spans="1:22" x14ac:dyDescent="0.3">
      <c r="A536" s="4">
        <f>'ECN Master Project Tracker new'!A430</f>
        <v>0</v>
      </c>
      <c r="B536" s="108" t="e">
        <f>VLOOKUP(A:A,Table1[[#All],[Project No]:[Additional Remark]],2,FALSE)</f>
        <v>#N/A</v>
      </c>
      <c r="C536" s="4" t="e">
        <f>VLOOKUP(A:A,Table1[[Project No]:[Additional Remark]],19,FALSE)</f>
        <v>#N/A</v>
      </c>
      <c r="D536" s="4" t="e">
        <f>VLOOKUP(A:A,Table1[[Project No]:[Additional Remark]],20,FALSE)</f>
        <v>#N/A</v>
      </c>
      <c r="E536" s="4" t="e">
        <f>VLOOKUP(A:A,Table1[[Project No]:[Additional Remark]],21,FALSE)</f>
        <v>#N/A</v>
      </c>
      <c r="F536" s="4" t="e">
        <f>VLOOKUP(A:A,Table1[[Project No]:[Additional Remark]],22,FALSE)</f>
        <v>#N/A</v>
      </c>
      <c r="G536" s="55" t="e">
        <f>VLOOKUP(A:A,Table1[[Project No]:[Additional Remark]],11,FALSE)</f>
        <v>#N/A</v>
      </c>
      <c r="H536" s="4" t="e">
        <f>VLOOKUP(A:A,Table1[[Project No]:[Additional Remark]],5,FALSE)</f>
        <v>#N/A</v>
      </c>
      <c r="I536" s="4" t="e">
        <f>VLOOKUP(A:A,Table1[[Project No]:[Additional Remark]],8,FALSE)</f>
        <v>#N/A</v>
      </c>
      <c r="J536" s="4" t="e">
        <f>VLOOKUP(A:A,Table1[[Project No]:[Additional Remark]],23,FALSE)</f>
        <v>#N/A</v>
      </c>
      <c r="K536" s="4"/>
      <c r="L536" s="4"/>
      <c r="M536" s="4"/>
      <c r="N536" s="4"/>
      <c r="O536" s="4"/>
      <c r="P536" s="4"/>
      <c r="Q536" s="4"/>
      <c r="R536" s="4"/>
      <c r="S536" s="4"/>
      <c r="T536" s="4"/>
      <c r="U536" s="4"/>
      <c r="V536" s="4"/>
    </row>
    <row r="537" spans="1:22" x14ac:dyDescent="0.3">
      <c r="A537" s="4">
        <f>'ECN Master Project Tracker new'!A431</f>
        <v>0</v>
      </c>
      <c r="B537" s="108" t="e">
        <f>VLOOKUP(A:A,Table1[[#All],[Project No]:[Additional Remark]],2,FALSE)</f>
        <v>#N/A</v>
      </c>
      <c r="C537" s="4" t="e">
        <f>VLOOKUP(A:A,Table1[[Project No]:[Additional Remark]],19,FALSE)</f>
        <v>#N/A</v>
      </c>
      <c r="D537" s="4" t="e">
        <f>VLOOKUP(A:A,Table1[[Project No]:[Additional Remark]],20,FALSE)</f>
        <v>#N/A</v>
      </c>
      <c r="E537" s="4" t="e">
        <f>VLOOKUP(A:A,Table1[[Project No]:[Additional Remark]],21,FALSE)</f>
        <v>#N/A</v>
      </c>
      <c r="F537" s="4" t="e">
        <f>VLOOKUP(A:A,Table1[[Project No]:[Additional Remark]],22,FALSE)</f>
        <v>#N/A</v>
      </c>
      <c r="G537" s="55" t="e">
        <f>VLOOKUP(A:A,Table1[[Project No]:[Additional Remark]],11,FALSE)</f>
        <v>#N/A</v>
      </c>
      <c r="H537" s="4" t="e">
        <f>VLOOKUP(A:A,Table1[[Project No]:[Additional Remark]],5,FALSE)</f>
        <v>#N/A</v>
      </c>
      <c r="I537" s="4" t="e">
        <f>VLOOKUP(A:A,Table1[[Project No]:[Additional Remark]],8,FALSE)</f>
        <v>#N/A</v>
      </c>
      <c r="J537" s="4" t="e">
        <f>VLOOKUP(A:A,Table1[[Project No]:[Additional Remark]],23,FALSE)</f>
        <v>#N/A</v>
      </c>
      <c r="K537" s="4"/>
      <c r="L537" s="4"/>
      <c r="M537" s="4"/>
      <c r="N537" s="4"/>
      <c r="O537" s="4"/>
      <c r="P537" s="4"/>
      <c r="Q537" s="4"/>
      <c r="R537" s="4"/>
      <c r="S537" s="4"/>
      <c r="T537" s="4"/>
      <c r="U537" s="4"/>
      <c r="V537" s="4"/>
    </row>
    <row r="538" spans="1:22" x14ac:dyDescent="0.3">
      <c r="A538" s="4">
        <f>'ECN Master Project Tracker new'!A432</f>
        <v>0</v>
      </c>
      <c r="B538" s="108" t="e">
        <f>VLOOKUP(A:A,Table1[[#All],[Project No]:[Additional Remark]],2,FALSE)</f>
        <v>#N/A</v>
      </c>
      <c r="C538" s="4" t="e">
        <f>VLOOKUP(A:A,Table1[[Project No]:[Additional Remark]],19,FALSE)</f>
        <v>#N/A</v>
      </c>
      <c r="D538" s="4" t="e">
        <f>VLOOKUP(A:A,Table1[[Project No]:[Additional Remark]],20,FALSE)</f>
        <v>#N/A</v>
      </c>
      <c r="E538" s="4" t="e">
        <f>VLOOKUP(A:A,Table1[[Project No]:[Additional Remark]],21,FALSE)</f>
        <v>#N/A</v>
      </c>
      <c r="F538" s="4" t="e">
        <f>VLOOKUP(A:A,Table1[[Project No]:[Additional Remark]],22,FALSE)</f>
        <v>#N/A</v>
      </c>
      <c r="G538" s="55" t="e">
        <f>VLOOKUP(A:A,Table1[[Project No]:[Additional Remark]],11,FALSE)</f>
        <v>#N/A</v>
      </c>
      <c r="H538" s="4" t="e">
        <f>VLOOKUP(A:A,Table1[[Project No]:[Additional Remark]],5,FALSE)</f>
        <v>#N/A</v>
      </c>
      <c r="I538" s="4" t="e">
        <f>VLOOKUP(A:A,Table1[[Project No]:[Additional Remark]],8,FALSE)</f>
        <v>#N/A</v>
      </c>
      <c r="J538" s="4" t="e">
        <f>VLOOKUP(A:A,Table1[[Project No]:[Additional Remark]],23,FALSE)</f>
        <v>#N/A</v>
      </c>
      <c r="K538" s="4"/>
      <c r="L538" s="4"/>
      <c r="M538" s="4"/>
      <c r="N538" s="4"/>
      <c r="O538" s="4"/>
      <c r="P538" s="4"/>
      <c r="Q538" s="4"/>
      <c r="R538" s="4"/>
      <c r="S538" s="4"/>
      <c r="T538" s="4"/>
      <c r="U538" s="4"/>
      <c r="V538" s="4"/>
    </row>
    <row r="539" spans="1:22" x14ac:dyDescent="0.3">
      <c r="A539" s="4">
        <f>'ECN Master Project Tracker new'!A433</f>
        <v>0</v>
      </c>
      <c r="B539" s="108" t="e">
        <f>VLOOKUP(A:A,Table1[[#All],[Project No]:[Additional Remark]],2,FALSE)</f>
        <v>#N/A</v>
      </c>
      <c r="C539" s="4" t="e">
        <f>VLOOKUP(A:A,Table1[[Project No]:[Additional Remark]],19,FALSE)</f>
        <v>#N/A</v>
      </c>
      <c r="D539" s="4" t="e">
        <f>VLOOKUP(A:A,Table1[[Project No]:[Additional Remark]],20,FALSE)</f>
        <v>#N/A</v>
      </c>
      <c r="E539" s="4" t="e">
        <f>VLOOKUP(A:A,Table1[[Project No]:[Additional Remark]],21,FALSE)</f>
        <v>#N/A</v>
      </c>
      <c r="F539" s="4" t="e">
        <f>VLOOKUP(A:A,Table1[[Project No]:[Additional Remark]],22,FALSE)</f>
        <v>#N/A</v>
      </c>
      <c r="G539" s="55" t="e">
        <f>VLOOKUP(A:A,Table1[[Project No]:[Additional Remark]],11,FALSE)</f>
        <v>#N/A</v>
      </c>
      <c r="H539" s="4" t="e">
        <f>VLOOKUP(A:A,Table1[[Project No]:[Additional Remark]],5,FALSE)</f>
        <v>#N/A</v>
      </c>
      <c r="I539" s="4" t="e">
        <f>VLOOKUP(A:A,Table1[[Project No]:[Additional Remark]],8,FALSE)</f>
        <v>#N/A</v>
      </c>
      <c r="J539" s="4" t="e">
        <f>VLOOKUP(A:A,Table1[[Project No]:[Additional Remark]],23,FALSE)</f>
        <v>#N/A</v>
      </c>
      <c r="K539" s="4"/>
      <c r="L539" s="4"/>
      <c r="M539" s="4"/>
      <c r="N539" s="4"/>
      <c r="O539" s="4"/>
      <c r="P539" s="4"/>
      <c r="Q539" s="4"/>
      <c r="R539" s="4"/>
      <c r="S539" s="4"/>
      <c r="T539" s="4"/>
      <c r="U539" s="4"/>
      <c r="V539" s="4"/>
    </row>
    <row r="540" spans="1:22" x14ac:dyDescent="0.3">
      <c r="A540" s="4">
        <f>'ECN Master Project Tracker new'!A434</f>
        <v>0</v>
      </c>
      <c r="B540" s="108" t="e">
        <f>VLOOKUP(A:A,Table1[[#All],[Project No]:[Additional Remark]],2,FALSE)</f>
        <v>#N/A</v>
      </c>
      <c r="C540" s="4" t="e">
        <f>VLOOKUP(A:A,Table1[[Project No]:[Additional Remark]],19,FALSE)</f>
        <v>#N/A</v>
      </c>
      <c r="D540" s="4" t="e">
        <f>VLOOKUP(A:A,Table1[[Project No]:[Additional Remark]],20,FALSE)</f>
        <v>#N/A</v>
      </c>
      <c r="E540" s="4" t="e">
        <f>VLOOKUP(A:A,Table1[[Project No]:[Additional Remark]],21,FALSE)</f>
        <v>#N/A</v>
      </c>
      <c r="F540" s="4" t="e">
        <f>VLOOKUP(A:A,Table1[[Project No]:[Additional Remark]],22,FALSE)</f>
        <v>#N/A</v>
      </c>
      <c r="G540" s="55" t="e">
        <f>VLOOKUP(A:A,Table1[[Project No]:[Additional Remark]],11,FALSE)</f>
        <v>#N/A</v>
      </c>
      <c r="H540" s="4" t="e">
        <f>VLOOKUP(A:A,Table1[[Project No]:[Additional Remark]],5,FALSE)</f>
        <v>#N/A</v>
      </c>
      <c r="I540" s="4" t="e">
        <f>VLOOKUP(A:A,Table1[[Project No]:[Additional Remark]],8,FALSE)</f>
        <v>#N/A</v>
      </c>
      <c r="J540" s="4" t="e">
        <f>VLOOKUP(A:A,Table1[[Project No]:[Additional Remark]],23,FALSE)</f>
        <v>#N/A</v>
      </c>
      <c r="K540" s="4"/>
      <c r="L540" s="4"/>
      <c r="M540" s="4"/>
      <c r="N540" s="4"/>
      <c r="O540" s="4"/>
      <c r="P540" s="4"/>
      <c r="Q540" s="4"/>
      <c r="R540" s="4"/>
      <c r="S540" s="4"/>
      <c r="T540" s="4"/>
      <c r="U540" s="4"/>
      <c r="V540" s="4"/>
    </row>
    <row r="541" spans="1:22" x14ac:dyDescent="0.3">
      <c r="A541" s="4">
        <f>'ECN Master Project Tracker new'!A435</f>
        <v>0</v>
      </c>
      <c r="B541" s="108" t="e">
        <f>VLOOKUP(A:A,Table1[[#All],[Project No]:[Additional Remark]],2,FALSE)</f>
        <v>#N/A</v>
      </c>
      <c r="C541" s="4" t="e">
        <f>VLOOKUP(A:A,Table1[[Project No]:[Additional Remark]],19,FALSE)</f>
        <v>#N/A</v>
      </c>
      <c r="D541" s="4" t="e">
        <f>VLOOKUP(A:A,Table1[[Project No]:[Additional Remark]],20,FALSE)</f>
        <v>#N/A</v>
      </c>
      <c r="E541" s="4" t="e">
        <f>VLOOKUP(A:A,Table1[[Project No]:[Additional Remark]],21,FALSE)</f>
        <v>#N/A</v>
      </c>
      <c r="F541" s="4" t="e">
        <f>VLOOKUP(A:A,Table1[[Project No]:[Additional Remark]],22,FALSE)</f>
        <v>#N/A</v>
      </c>
      <c r="G541" s="55" t="e">
        <f>VLOOKUP(A:A,Table1[[Project No]:[Additional Remark]],11,FALSE)</f>
        <v>#N/A</v>
      </c>
      <c r="H541" s="4" t="e">
        <f>VLOOKUP(A:A,Table1[[Project No]:[Additional Remark]],5,FALSE)</f>
        <v>#N/A</v>
      </c>
      <c r="I541" s="4" t="e">
        <f>VLOOKUP(A:A,Table1[[Project No]:[Additional Remark]],8,FALSE)</f>
        <v>#N/A</v>
      </c>
      <c r="J541" s="4" t="e">
        <f>VLOOKUP(A:A,Table1[[Project No]:[Additional Remark]],23,FALSE)</f>
        <v>#N/A</v>
      </c>
      <c r="K541" s="4"/>
      <c r="L541" s="4"/>
      <c r="M541" s="4"/>
      <c r="N541" s="4"/>
      <c r="O541" s="4"/>
      <c r="P541" s="4"/>
      <c r="Q541" s="4"/>
      <c r="R541" s="4"/>
      <c r="S541" s="4"/>
      <c r="T541" s="4"/>
      <c r="U541" s="4"/>
      <c r="V541" s="4"/>
    </row>
    <row r="542" spans="1:22" x14ac:dyDescent="0.3">
      <c r="A542" s="4">
        <f>'ECN Master Project Tracker new'!A436</f>
        <v>0</v>
      </c>
      <c r="B542" s="108" t="e">
        <f>VLOOKUP(A:A,Table1[[#All],[Project No]:[Additional Remark]],2,FALSE)</f>
        <v>#N/A</v>
      </c>
      <c r="C542" s="4" t="e">
        <f>VLOOKUP(A:A,Table1[[Project No]:[Additional Remark]],19,FALSE)</f>
        <v>#N/A</v>
      </c>
      <c r="D542" s="4" t="e">
        <f>VLOOKUP(A:A,Table1[[Project No]:[Additional Remark]],20,FALSE)</f>
        <v>#N/A</v>
      </c>
      <c r="E542" s="4" t="e">
        <f>VLOOKUP(A:A,Table1[[Project No]:[Additional Remark]],21,FALSE)</f>
        <v>#N/A</v>
      </c>
      <c r="F542" s="4" t="e">
        <f>VLOOKUP(A:A,Table1[[Project No]:[Additional Remark]],22,FALSE)</f>
        <v>#N/A</v>
      </c>
      <c r="G542" s="55" t="e">
        <f>VLOOKUP(A:A,Table1[[Project No]:[Additional Remark]],11,FALSE)</f>
        <v>#N/A</v>
      </c>
      <c r="H542" s="4" t="e">
        <f>VLOOKUP(A:A,Table1[[Project No]:[Additional Remark]],5,FALSE)</f>
        <v>#N/A</v>
      </c>
      <c r="I542" s="4" t="e">
        <f>VLOOKUP(A:A,Table1[[Project No]:[Additional Remark]],8,FALSE)</f>
        <v>#N/A</v>
      </c>
      <c r="J542" s="4" t="e">
        <f>VLOOKUP(A:A,Table1[[Project No]:[Additional Remark]],23,FALSE)</f>
        <v>#N/A</v>
      </c>
      <c r="K542" s="4"/>
      <c r="L542" s="4"/>
      <c r="M542" s="4"/>
      <c r="N542" s="4"/>
      <c r="O542" s="4"/>
      <c r="P542" s="4"/>
      <c r="Q542" s="4"/>
      <c r="R542" s="4"/>
      <c r="S542" s="4"/>
      <c r="T542" s="4"/>
      <c r="U542" s="4"/>
      <c r="V542" s="4"/>
    </row>
    <row r="543" spans="1:22" x14ac:dyDescent="0.3">
      <c r="A543" s="4">
        <f>'ECN Master Project Tracker new'!A437</f>
        <v>0</v>
      </c>
      <c r="B543" s="108" t="e">
        <f>VLOOKUP(A:A,Table1[[#All],[Project No]:[Additional Remark]],2,FALSE)</f>
        <v>#N/A</v>
      </c>
      <c r="C543" s="4" t="e">
        <f>VLOOKUP(A:A,Table1[[Project No]:[Additional Remark]],19,FALSE)</f>
        <v>#N/A</v>
      </c>
      <c r="D543" s="4" t="e">
        <f>VLOOKUP(A:A,Table1[[Project No]:[Additional Remark]],20,FALSE)</f>
        <v>#N/A</v>
      </c>
      <c r="E543" s="4" t="e">
        <f>VLOOKUP(A:A,Table1[[Project No]:[Additional Remark]],21,FALSE)</f>
        <v>#N/A</v>
      </c>
      <c r="F543" s="4" t="e">
        <f>VLOOKUP(A:A,Table1[[Project No]:[Additional Remark]],22,FALSE)</f>
        <v>#N/A</v>
      </c>
      <c r="G543" s="55" t="e">
        <f>VLOOKUP(A:A,Table1[[Project No]:[Additional Remark]],11,FALSE)</f>
        <v>#N/A</v>
      </c>
      <c r="H543" s="4" t="e">
        <f>VLOOKUP(A:A,Table1[[Project No]:[Additional Remark]],5,FALSE)</f>
        <v>#N/A</v>
      </c>
      <c r="I543" s="4" t="e">
        <f>VLOOKUP(A:A,Table1[[Project No]:[Additional Remark]],8,FALSE)</f>
        <v>#N/A</v>
      </c>
      <c r="J543" s="4" t="e">
        <f>VLOOKUP(A:A,Table1[[Project No]:[Additional Remark]],23,FALSE)</f>
        <v>#N/A</v>
      </c>
      <c r="K543" s="4"/>
      <c r="L543" s="4"/>
      <c r="M543" s="4"/>
      <c r="N543" s="4"/>
      <c r="O543" s="4"/>
      <c r="P543" s="4"/>
      <c r="Q543" s="4"/>
      <c r="R543" s="4"/>
      <c r="S543" s="4"/>
      <c r="T543" s="4"/>
      <c r="U543" s="4"/>
      <c r="V543" s="4"/>
    </row>
    <row r="544" spans="1:22" x14ac:dyDescent="0.3">
      <c r="A544" s="4">
        <f>'ECN Master Project Tracker new'!A438</f>
        <v>0</v>
      </c>
      <c r="B544" s="108" t="e">
        <f>VLOOKUP(A:A,Table1[[#All],[Project No]:[Additional Remark]],2,FALSE)</f>
        <v>#N/A</v>
      </c>
      <c r="C544" s="4" t="e">
        <f>VLOOKUP(A:A,Table1[[Project No]:[Additional Remark]],19,FALSE)</f>
        <v>#N/A</v>
      </c>
      <c r="D544" s="4" t="e">
        <f>VLOOKUP(A:A,Table1[[Project No]:[Additional Remark]],20,FALSE)</f>
        <v>#N/A</v>
      </c>
      <c r="E544" s="4" t="e">
        <f>VLOOKUP(A:A,Table1[[Project No]:[Additional Remark]],21,FALSE)</f>
        <v>#N/A</v>
      </c>
      <c r="F544" s="4" t="e">
        <f>VLOOKUP(A:A,Table1[[Project No]:[Additional Remark]],22,FALSE)</f>
        <v>#N/A</v>
      </c>
      <c r="G544" s="55" t="e">
        <f>VLOOKUP(A:A,Table1[[Project No]:[Additional Remark]],11,FALSE)</f>
        <v>#N/A</v>
      </c>
      <c r="H544" s="4" t="e">
        <f>VLOOKUP(A:A,Table1[[Project No]:[Additional Remark]],5,FALSE)</f>
        <v>#N/A</v>
      </c>
      <c r="I544" s="4" t="e">
        <f>VLOOKUP(A:A,Table1[[Project No]:[Additional Remark]],8,FALSE)</f>
        <v>#N/A</v>
      </c>
      <c r="J544" s="4" t="e">
        <f>VLOOKUP(A:A,Table1[[Project No]:[Additional Remark]],23,FALSE)</f>
        <v>#N/A</v>
      </c>
      <c r="K544" s="4"/>
      <c r="L544" s="4"/>
      <c r="M544" s="4"/>
      <c r="N544" s="4"/>
      <c r="O544" s="4"/>
      <c r="P544" s="4"/>
      <c r="Q544" s="4"/>
      <c r="R544" s="4"/>
      <c r="S544" s="4"/>
      <c r="T544" s="4"/>
      <c r="U544" s="4"/>
      <c r="V544" s="4"/>
    </row>
    <row r="545" spans="1:22" x14ac:dyDescent="0.3">
      <c r="A545" s="4">
        <f>'ECN Master Project Tracker new'!A439</f>
        <v>0</v>
      </c>
      <c r="B545" s="108" t="e">
        <f>VLOOKUP(A:A,Table1[[#All],[Project No]:[Additional Remark]],2,FALSE)</f>
        <v>#N/A</v>
      </c>
      <c r="C545" s="4" t="e">
        <f>VLOOKUP(A:A,Table1[[Project No]:[Additional Remark]],19,FALSE)</f>
        <v>#N/A</v>
      </c>
      <c r="D545" s="4" t="e">
        <f>VLOOKUP(A:A,Table1[[Project No]:[Additional Remark]],20,FALSE)</f>
        <v>#N/A</v>
      </c>
      <c r="E545" s="4" t="e">
        <f>VLOOKUP(A:A,Table1[[Project No]:[Additional Remark]],21,FALSE)</f>
        <v>#N/A</v>
      </c>
      <c r="F545" s="4" t="e">
        <f>VLOOKUP(A:A,Table1[[Project No]:[Additional Remark]],22,FALSE)</f>
        <v>#N/A</v>
      </c>
      <c r="G545" s="55" t="e">
        <f>VLOOKUP(A:A,Table1[[Project No]:[Additional Remark]],11,FALSE)</f>
        <v>#N/A</v>
      </c>
      <c r="H545" s="4" t="e">
        <f>VLOOKUP(A:A,Table1[[Project No]:[Additional Remark]],5,FALSE)</f>
        <v>#N/A</v>
      </c>
      <c r="I545" s="4" t="e">
        <f>VLOOKUP(A:A,Table1[[Project No]:[Additional Remark]],8,FALSE)</f>
        <v>#N/A</v>
      </c>
      <c r="J545" s="4" t="e">
        <f>VLOOKUP(A:A,Table1[[Project No]:[Additional Remark]],23,FALSE)</f>
        <v>#N/A</v>
      </c>
      <c r="K545" s="4"/>
      <c r="L545" s="4"/>
      <c r="M545" s="4"/>
      <c r="N545" s="4"/>
      <c r="O545" s="4"/>
      <c r="P545" s="4"/>
      <c r="Q545" s="4"/>
      <c r="R545" s="4"/>
      <c r="S545" s="4"/>
      <c r="T545" s="4"/>
      <c r="U545" s="4"/>
      <c r="V545" s="4"/>
    </row>
    <row r="546" spans="1:22" x14ac:dyDescent="0.3">
      <c r="A546" s="4">
        <f>'ECN Master Project Tracker new'!A440</f>
        <v>0</v>
      </c>
      <c r="B546" s="108" t="e">
        <f>VLOOKUP(A:A,Table1[[#All],[Project No]:[Additional Remark]],2,FALSE)</f>
        <v>#N/A</v>
      </c>
      <c r="C546" s="4" t="e">
        <f>VLOOKUP(A:A,Table1[[Project No]:[Additional Remark]],19,FALSE)</f>
        <v>#N/A</v>
      </c>
      <c r="D546" s="4" t="e">
        <f>VLOOKUP(A:A,Table1[[Project No]:[Additional Remark]],20,FALSE)</f>
        <v>#N/A</v>
      </c>
      <c r="E546" s="4" t="e">
        <f>VLOOKUP(A:A,Table1[[Project No]:[Additional Remark]],21,FALSE)</f>
        <v>#N/A</v>
      </c>
      <c r="F546" s="4" t="e">
        <f>VLOOKUP(A:A,Table1[[Project No]:[Additional Remark]],22,FALSE)</f>
        <v>#N/A</v>
      </c>
      <c r="G546" s="55" t="e">
        <f>VLOOKUP(A:A,Table1[[Project No]:[Additional Remark]],11,FALSE)</f>
        <v>#N/A</v>
      </c>
      <c r="H546" s="4" t="e">
        <f>VLOOKUP(A:A,Table1[[Project No]:[Additional Remark]],5,FALSE)</f>
        <v>#N/A</v>
      </c>
      <c r="I546" s="4" t="e">
        <f>VLOOKUP(A:A,Table1[[Project No]:[Additional Remark]],8,FALSE)</f>
        <v>#N/A</v>
      </c>
      <c r="J546" s="4" t="e">
        <f>VLOOKUP(A:A,Table1[[Project No]:[Additional Remark]],23,FALSE)</f>
        <v>#N/A</v>
      </c>
      <c r="K546" s="4"/>
      <c r="L546" s="4"/>
      <c r="M546" s="4"/>
      <c r="N546" s="4"/>
      <c r="O546" s="4"/>
      <c r="P546" s="4"/>
      <c r="Q546" s="4"/>
      <c r="R546" s="4"/>
      <c r="S546" s="4"/>
      <c r="T546" s="4"/>
      <c r="U546" s="4"/>
      <c r="V546" s="4"/>
    </row>
    <row r="547" spans="1:22" x14ac:dyDescent="0.3">
      <c r="A547" s="4">
        <f>'ECN Master Project Tracker new'!A441</f>
        <v>0</v>
      </c>
      <c r="B547" s="108" t="e">
        <f>VLOOKUP(A:A,Table1[[#All],[Project No]:[Additional Remark]],2,FALSE)</f>
        <v>#N/A</v>
      </c>
      <c r="C547" s="4" t="e">
        <f>VLOOKUP(A:A,Table1[[Project No]:[Additional Remark]],19,FALSE)</f>
        <v>#N/A</v>
      </c>
      <c r="D547" s="4" t="e">
        <f>VLOOKUP(A:A,Table1[[Project No]:[Additional Remark]],20,FALSE)</f>
        <v>#N/A</v>
      </c>
      <c r="E547" s="4" t="e">
        <f>VLOOKUP(A:A,Table1[[Project No]:[Additional Remark]],21,FALSE)</f>
        <v>#N/A</v>
      </c>
      <c r="F547" s="4" t="e">
        <f>VLOOKUP(A:A,Table1[[Project No]:[Additional Remark]],22,FALSE)</f>
        <v>#N/A</v>
      </c>
      <c r="G547" s="55" t="e">
        <f>VLOOKUP(A:A,Table1[[Project No]:[Additional Remark]],11,FALSE)</f>
        <v>#N/A</v>
      </c>
      <c r="H547" s="4" t="e">
        <f>VLOOKUP(A:A,Table1[[Project No]:[Additional Remark]],5,FALSE)</f>
        <v>#N/A</v>
      </c>
      <c r="I547" s="4" t="e">
        <f>VLOOKUP(A:A,Table1[[Project No]:[Additional Remark]],8,FALSE)</f>
        <v>#N/A</v>
      </c>
      <c r="J547" s="4" t="e">
        <f>VLOOKUP(A:A,Table1[[Project No]:[Additional Remark]],23,FALSE)</f>
        <v>#N/A</v>
      </c>
      <c r="K547" s="4"/>
      <c r="L547" s="4"/>
      <c r="M547" s="4"/>
      <c r="N547" s="4"/>
      <c r="O547" s="4"/>
      <c r="P547" s="4"/>
      <c r="Q547" s="4"/>
      <c r="R547" s="4"/>
      <c r="S547" s="4"/>
      <c r="T547" s="4"/>
      <c r="U547" s="4"/>
      <c r="V547" s="4"/>
    </row>
    <row r="548" spans="1:22" x14ac:dyDescent="0.3">
      <c r="A548" s="4">
        <f>'ECN Master Project Tracker new'!A442</f>
        <v>0</v>
      </c>
      <c r="B548" s="108" t="e">
        <f>VLOOKUP(A:A,Table1[[#All],[Project No]:[Additional Remark]],2,FALSE)</f>
        <v>#N/A</v>
      </c>
      <c r="C548" s="4" t="e">
        <f>VLOOKUP(A:A,Table1[[Project No]:[Additional Remark]],19,FALSE)</f>
        <v>#N/A</v>
      </c>
      <c r="D548" s="4" t="e">
        <f>VLOOKUP(A:A,Table1[[Project No]:[Additional Remark]],20,FALSE)</f>
        <v>#N/A</v>
      </c>
      <c r="E548" s="4" t="e">
        <f>VLOOKUP(A:A,Table1[[Project No]:[Additional Remark]],21,FALSE)</f>
        <v>#N/A</v>
      </c>
      <c r="F548" s="4" t="e">
        <f>VLOOKUP(A:A,Table1[[Project No]:[Additional Remark]],22,FALSE)</f>
        <v>#N/A</v>
      </c>
      <c r="G548" s="55" t="e">
        <f>VLOOKUP(A:A,Table1[[Project No]:[Additional Remark]],11,FALSE)</f>
        <v>#N/A</v>
      </c>
      <c r="H548" s="4" t="e">
        <f>VLOOKUP(A:A,Table1[[Project No]:[Additional Remark]],5,FALSE)</f>
        <v>#N/A</v>
      </c>
      <c r="I548" s="4" t="e">
        <f>VLOOKUP(A:A,Table1[[Project No]:[Additional Remark]],8,FALSE)</f>
        <v>#N/A</v>
      </c>
      <c r="J548" s="4" t="e">
        <f>VLOOKUP(A:A,Table1[[Project No]:[Additional Remark]],23,FALSE)</f>
        <v>#N/A</v>
      </c>
      <c r="K548" s="4"/>
      <c r="L548" s="4"/>
      <c r="M548" s="4"/>
      <c r="N548" s="4"/>
      <c r="O548" s="4"/>
      <c r="P548" s="4"/>
      <c r="Q548" s="4"/>
      <c r="R548" s="4"/>
      <c r="S548" s="4"/>
      <c r="T548" s="4"/>
      <c r="U548" s="4"/>
      <c r="V548" s="4"/>
    </row>
    <row r="549" spans="1:22" x14ac:dyDescent="0.3">
      <c r="A549" s="4">
        <f>'ECN Master Project Tracker new'!A443</f>
        <v>0</v>
      </c>
      <c r="B549" s="108" t="e">
        <f>VLOOKUP(A:A,Table1[[#All],[Project No]:[Additional Remark]],2,FALSE)</f>
        <v>#N/A</v>
      </c>
      <c r="C549" s="4" t="e">
        <f>VLOOKUP(A:A,Table1[[Project No]:[Additional Remark]],19,FALSE)</f>
        <v>#N/A</v>
      </c>
      <c r="D549" s="4" t="e">
        <f>VLOOKUP(A:A,Table1[[Project No]:[Additional Remark]],20,FALSE)</f>
        <v>#N/A</v>
      </c>
      <c r="E549" s="4" t="e">
        <f>VLOOKUP(A:A,Table1[[Project No]:[Additional Remark]],21,FALSE)</f>
        <v>#N/A</v>
      </c>
      <c r="F549" s="4" t="e">
        <f>VLOOKUP(A:A,Table1[[Project No]:[Additional Remark]],22,FALSE)</f>
        <v>#N/A</v>
      </c>
      <c r="G549" s="55" t="e">
        <f>VLOOKUP(A:A,Table1[[Project No]:[Additional Remark]],11,FALSE)</f>
        <v>#N/A</v>
      </c>
      <c r="H549" s="4" t="e">
        <f>VLOOKUP(A:A,Table1[[Project No]:[Additional Remark]],5,FALSE)</f>
        <v>#N/A</v>
      </c>
      <c r="I549" s="4" t="e">
        <f>VLOOKUP(A:A,Table1[[Project No]:[Additional Remark]],8,FALSE)</f>
        <v>#N/A</v>
      </c>
      <c r="J549" s="4" t="e">
        <f>VLOOKUP(A:A,Table1[[Project No]:[Additional Remark]],23,FALSE)</f>
        <v>#N/A</v>
      </c>
      <c r="K549" s="4"/>
      <c r="L549" s="4"/>
      <c r="M549" s="4"/>
      <c r="N549" s="4"/>
      <c r="O549" s="4"/>
      <c r="P549" s="4"/>
      <c r="Q549" s="4"/>
      <c r="R549" s="4"/>
      <c r="S549" s="4"/>
      <c r="T549" s="4"/>
      <c r="U549" s="4"/>
      <c r="V549" s="4"/>
    </row>
    <row r="550" spans="1:22" x14ac:dyDescent="0.3">
      <c r="A550" s="4">
        <f>'ECN Master Project Tracker new'!A444</f>
        <v>0</v>
      </c>
      <c r="B550" s="108" t="e">
        <f>VLOOKUP(A:A,Table1[[#All],[Project No]:[Additional Remark]],2,FALSE)</f>
        <v>#N/A</v>
      </c>
      <c r="C550" s="4" t="e">
        <f>VLOOKUP(A:A,Table1[[Project No]:[Additional Remark]],19,FALSE)</f>
        <v>#N/A</v>
      </c>
      <c r="D550" s="4" t="e">
        <f>VLOOKUP(A:A,Table1[[Project No]:[Additional Remark]],20,FALSE)</f>
        <v>#N/A</v>
      </c>
      <c r="E550" s="4" t="e">
        <f>VLOOKUP(A:A,Table1[[Project No]:[Additional Remark]],21,FALSE)</f>
        <v>#N/A</v>
      </c>
      <c r="F550" s="4" t="e">
        <f>VLOOKUP(A:A,Table1[[Project No]:[Additional Remark]],22,FALSE)</f>
        <v>#N/A</v>
      </c>
      <c r="G550" s="55" t="e">
        <f>VLOOKUP(A:A,Table1[[Project No]:[Additional Remark]],11,FALSE)</f>
        <v>#N/A</v>
      </c>
      <c r="H550" s="4" t="e">
        <f>VLOOKUP(A:A,Table1[[Project No]:[Additional Remark]],5,FALSE)</f>
        <v>#N/A</v>
      </c>
      <c r="I550" s="4" t="e">
        <f>VLOOKUP(A:A,Table1[[Project No]:[Additional Remark]],8,FALSE)</f>
        <v>#N/A</v>
      </c>
      <c r="J550" s="4" t="e">
        <f>VLOOKUP(A:A,Table1[[Project No]:[Additional Remark]],23,FALSE)</f>
        <v>#N/A</v>
      </c>
      <c r="K550" s="4"/>
      <c r="L550" s="4"/>
      <c r="M550" s="4"/>
      <c r="N550" s="4"/>
      <c r="O550" s="4"/>
      <c r="P550" s="4"/>
      <c r="Q550" s="4"/>
      <c r="R550" s="4"/>
      <c r="S550" s="4"/>
      <c r="T550" s="4"/>
      <c r="U550" s="4"/>
      <c r="V550" s="4"/>
    </row>
    <row r="551" spans="1:22" x14ac:dyDescent="0.3">
      <c r="A551" s="4">
        <f>'ECN Master Project Tracker new'!A445</f>
        <v>0</v>
      </c>
      <c r="B551" s="108" t="e">
        <f>VLOOKUP(A:A,Table1[[#All],[Project No]:[Additional Remark]],2,FALSE)</f>
        <v>#N/A</v>
      </c>
      <c r="C551" s="4" t="e">
        <f>VLOOKUP(A:A,Table1[[Project No]:[Additional Remark]],19,FALSE)</f>
        <v>#N/A</v>
      </c>
      <c r="D551" s="4" t="e">
        <f>VLOOKUP(A:A,Table1[[Project No]:[Additional Remark]],20,FALSE)</f>
        <v>#N/A</v>
      </c>
      <c r="E551" s="4" t="e">
        <f>VLOOKUP(A:A,Table1[[Project No]:[Additional Remark]],21,FALSE)</f>
        <v>#N/A</v>
      </c>
      <c r="F551" s="4" t="e">
        <f>VLOOKUP(A:A,Table1[[Project No]:[Additional Remark]],22,FALSE)</f>
        <v>#N/A</v>
      </c>
      <c r="G551" s="55" t="e">
        <f>VLOOKUP(A:A,Table1[[Project No]:[Additional Remark]],11,FALSE)</f>
        <v>#N/A</v>
      </c>
      <c r="H551" s="4" t="e">
        <f>VLOOKUP(A:A,Table1[[Project No]:[Additional Remark]],5,FALSE)</f>
        <v>#N/A</v>
      </c>
      <c r="I551" s="4" t="e">
        <f>VLOOKUP(A:A,Table1[[Project No]:[Additional Remark]],8,FALSE)</f>
        <v>#N/A</v>
      </c>
      <c r="J551" s="4" t="e">
        <f>VLOOKUP(A:A,Table1[[Project No]:[Additional Remark]],23,FALSE)</f>
        <v>#N/A</v>
      </c>
      <c r="K551" s="4"/>
      <c r="L551" s="4"/>
      <c r="M551" s="4"/>
      <c r="N551" s="4"/>
      <c r="O551" s="4"/>
      <c r="P551" s="4"/>
      <c r="Q551" s="4"/>
      <c r="R551" s="4"/>
      <c r="S551" s="4"/>
      <c r="T551" s="4"/>
      <c r="U551" s="4"/>
      <c r="V551" s="4"/>
    </row>
    <row r="552" spans="1:22" x14ac:dyDescent="0.3">
      <c r="A552" s="4">
        <f>'ECN Master Project Tracker new'!A446</f>
        <v>0</v>
      </c>
      <c r="B552" s="108" t="e">
        <f>VLOOKUP(A:A,Table1[[#All],[Project No]:[Additional Remark]],2,FALSE)</f>
        <v>#N/A</v>
      </c>
      <c r="C552" s="4" t="e">
        <f>VLOOKUP(A:A,Table1[[Project No]:[Additional Remark]],19,FALSE)</f>
        <v>#N/A</v>
      </c>
      <c r="D552" s="4" t="e">
        <f>VLOOKUP(A:A,Table1[[Project No]:[Additional Remark]],20,FALSE)</f>
        <v>#N/A</v>
      </c>
      <c r="E552" s="4" t="e">
        <f>VLOOKUP(A:A,Table1[[Project No]:[Additional Remark]],21,FALSE)</f>
        <v>#N/A</v>
      </c>
      <c r="F552" s="4" t="e">
        <f>VLOOKUP(A:A,Table1[[Project No]:[Additional Remark]],22,FALSE)</f>
        <v>#N/A</v>
      </c>
      <c r="G552" s="55" t="e">
        <f>VLOOKUP(A:A,Table1[[Project No]:[Additional Remark]],11,FALSE)</f>
        <v>#N/A</v>
      </c>
      <c r="H552" s="4" t="e">
        <f>VLOOKUP(A:A,Table1[[Project No]:[Additional Remark]],5,FALSE)</f>
        <v>#N/A</v>
      </c>
      <c r="I552" s="4" t="e">
        <f>VLOOKUP(A:A,Table1[[Project No]:[Additional Remark]],8,FALSE)</f>
        <v>#N/A</v>
      </c>
      <c r="J552" s="4" t="e">
        <f>VLOOKUP(A:A,Table1[[Project No]:[Additional Remark]],23,FALSE)</f>
        <v>#N/A</v>
      </c>
      <c r="K552" s="4"/>
      <c r="L552" s="4"/>
      <c r="M552" s="4"/>
      <c r="N552" s="4"/>
      <c r="O552" s="4"/>
      <c r="P552" s="4"/>
      <c r="Q552" s="4"/>
      <c r="R552" s="4"/>
      <c r="S552" s="4"/>
      <c r="T552" s="4"/>
      <c r="U552" s="4"/>
      <c r="V552" s="4"/>
    </row>
    <row r="553" spans="1:22" x14ac:dyDescent="0.3">
      <c r="A553" s="4">
        <f>'ECN Master Project Tracker new'!A447</f>
        <v>0</v>
      </c>
      <c r="B553" s="108" t="e">
        <f>VLOOKUP(A:A,Table1[[#All],[Project No]:[Additional Remark]],2,FALSE)</f>
        <v>#N/A</v>
      </c>
      <c r="C553" s="4" t="e">
        <f>VLOOKUP(A:A,Table1[[Project No]:[Additional Remark]],19,FALSE)</f>
        <v>#N/A</v>
      </c>
      <c r="D553" s="4" t="e">
        <f>VLOOKUP(A:A,Table1[[Project No]:[Additional Remark]],20,FALSE)</f>
        <v>#N/A</v>
      </c>
      <c r="E553" s="4" t="e">
        <f>VLOOKUP(A:A,Table1[[Project No]:[Additional Remark]],21,FALSE)</f>
        <v>#N/A</v>
      </c>
      <c r="F553" s="4" t="e">
        <f>VLOOKUP(A:A,Table1[[Project No]:[Additional Remark]],22,FALSE)</f>
        <v>#N/A</v>
      </c>
      <c r="G553" s="55" t="e">
        <f>VLOOKUP(A:A,Table1[[Project No]:[Additional Remark]],11,FALSE)</f>
        <v>#N/A</v>
      </c>
      <c r="H553" s="4" t="e">
        <f>VLOOKUP(A:A,Table1[[Project No]:[Additional Remark]],5,FALSE)</f>
        <v>#N/A</v>
      </c>
      <c r="I553" s="4" t="e">
        <f>VLOOKUP(A:A,Table1[[Project No]:[Additional Remark]],8,FALSE)</f>
        <v>#N/A</v>
      </c>
      <c r="J553" s="4" t="e">
        <f>VLOOKUP(A:A,Table1[[Project No]:[Additional Remark]],23,FALSE)</f>
        <v>#N/A</v>
      </c>
      <c r="K553" s="4"/>
      <c r="L553" s="4"/>
      <c r="M553" s="4"/>
      <c r="N553" s="4"/>
      <c r="O553" s="4"/>
      <c r="P553" s="4"/>
      <c r="Q553" s="4"/>
      <c r="R553" s="4"/>
      <c r="S553" s="4"/>
      <c r="T553" s="4"/>
      <c r="U553" s="4"/>
      <c r="V553" s="4"/>
    </row>
    <row r="554" spans="1:22" x14ac:dyDescent="0.3">
      <c r="A554" s="4">
        <f>'ECN Master Project Tracker new'!A448</f>
        <v>0</v>
      </c>
      <c r="B554" s="108" t="e">
        <f>VLOOKUP(A:A,Table1[[#All],[Project No]:[Additional Remark]],2,FALSE)</f>
        <v>#N/A</v>
      </c>
      <c r="C554" s="4" t="e">
        <f>VLOOKUP(A:A,Table1[[Project No]:[Additional Remark]],19,FALSE)</f>
        <v>#N/A</v>
      </c>
      <c r="D554" s="4" t="e">
        <f>VLOOKUP(A:A,Table1[[Project No]:[Additional Remark]],20,FALSE)</f>
        <v>#N/A</v>
      </c>
      <c r="E554" s="4" t="e">
        <f>VLOOKUP(A:A,Table1[[Project No]:[Additional Remark]],21,FALSE)</f>
        <v>#N/A</v>
      </c>
      <c r="F554" s="4" t="e">
        <f>VLOOKUP(A:A,Table1[[Project No]:[Additional Remark]],22,FALSE)</f>
        <v>#N/A</v>
      </c>
      <c r="G554" s="55" t="e">
        <f>VLOOKUP(A:A,Table1[[Project No]:[Additional Remark]],11,FALSE)</f>
        <v>#N/A</v>
      </c>
      <c r="H554" s="4" t="e">
        <f>VLOOKUP(A:A,Table1[[Project No]:[Additional Remark]],5,FALSE)</f>
        <v>#N/A</v>
      </c>
      <c r="I554" s="4" t="e">
        <f>VLOOKUP(A:A,Table1[[Project No]:[Additional Remark]],8,FALSE)</f>
        <v>#N/A</v>
      </c>
      <c r="J554" s="4" t="e">
        <f>VLOOKUP(A:A,Table1[[Project No]:[Additional Remark]],23,FALSE)</f>
        <v>#N/A</v>
      </c>
      <c r="K554" s="4"/>
      <c r="L554" s="4"/>
      <c r="M554" s="4"/>
      <c r="N554" s="4"/>
      <c r="O554" s="4"/>
      <c r="P554" s="4"/>
      <c r="Q554" s="4"/>
      <c r="R554" s="4"/>
      <c r="S554" s="4"/>
      <c r="T554" s="4"/>
      <c r="U554" s="4"/>
      <c r="V554" s="4"/>
    </row>
    <row r="555" spans="1:22" x14ac:dyDescent="0.3">
      <c r="A555" s="4">
        <f>'ECN Master Project Tracker new'!A449</f>
        <v>0</v>
      </c>
      <c r="B555" s="108" t="e">
        <f>VLOOKUP(A:A,Table1[[#All],[Project No]:[Additional Remark]],2,FALSE)</f>
        <v>#N/A</v>
      </c>
      <c r="C555" s="4" t="e">
        <f>VLOOKUP(A:A,Table1[[Project No]:[Additional Remark]],19,FALSE)</f>
        <v>#N/A</v>
      </c>
      <c r="D555" s="4" t="e">
        <f>VLOOKUP(A:A,Table1[[Project No]:[Additional Remark]],20,FALSE)</f>
        <v>#N/A</v>
      </c>
      <c r="E555" s="4" t="e">
        <f>VLOOKUP(A:A,Table1[[Project No]:[Additional Remark]],21,FALSE)</f>
        <v>#N/A</v>
      </c>
      <c r="F555" s="4" t="e">
        <f>VLOOKUP(A:A,Table1[[Project No]:[Additional Remark]],22,FALSE)</f>
        <v>#N/A</v>
      </c>
      <c r="G555" s="55" t="e">
        <f>VLOOKUP(A:A,Table1[[Project No]:[Additional Remark]],11,FALSE)</f>
        <v>#N/A</v>
      </c>
      <c r="H555" s="4" t="e">
        <f>VLOOKUP(A:A,Table1[[Project No]:[Additional Remark]],5,FALSE)</f>
        <v>#N/A</v>
      </c>
      <c r="I555" s="4" t="e">
        <f>VLOOKUP(A:A,Table1[[Project No]:[Additional Remark]],8,FALSE)</f>
        <v>#N/A</v>
      </c>
      <c r="J555" s="4" t="e">
        <f>VLOOKUP(A:A,Table1[[Project No]:[Additional Remark]],23,FALSE)</f>
        <v>#N/A</v>
      </c>
      <c r="K555" s="4"/>
      <c r="L555" s="4"/>
      <c r="M555" s="4"/>
      <c r="N555" s="4"/>
      <c r="O555" s="4"/>
      <c r="P555" s="4"/>
      <c r="Q555" s="4"/>
      <c r="R555" s="4"/>
      <c r="S555" s="4"/>
      <c r="T555" s="4"/>
      <c r="U555" s="4"/>
      <c r="V555" s="4"/>
    </row>
    <row r="556" spans="1:22" x14ac:dyDescent="0.3">
      <c r="A556" s="4">
        <f>'ECN Master Project Tracker new'!A450</f>
        <v>0</v>
      </c>
      <c r="B556" s="108" t="e">
        <f>VLOOKUP(A:A,Table1[[#All],[Project No]:[Additional Remark]],2,FALSE)</f>
        <v>#N/A</v>
      </c>
      <c r="C556" s="4" t="e">
        <f>VLOOKUP(A:A,Table1[[Project No]:[Additional Remark]],19,FALSE)</f>
        <v>#N/A</v>
      </c>
      <c r="D556" s="4" t="e">
        <f>VLOOKUP(A:A,Table1[[Project No]:[Additional Remark]],20,FALSE)</f>
        <v>#N/A</v>
      </c>
      <c r="E556" s="4" t="e">
        <f>VLOOKUP(A:A,Table1[[Project No]:[Additional Remark]],21,FALSE)</f>
        <v>#N/A</v>
      </c>
      <c r="F556" s="4" t="e">
        <f>VLOOKUP(A:A,Table1[[Project No]:[Additional Remark]],22,FALSE)</f>
        <v>#N/A</v>
      </c>
      <c r="G556" s="55" t="e">
        <f>VLOOKUP(A:A,Table1[[Project No]:[Additional Remark]],11,FALSE)</f>
        <v>#N/A</v>
      </c>
      <c r="H556" s="4" t="e">
        <f>VLOOKUP(A:A,Table1[[Project No]:[Additional Remark]],5,FALSE)</f>
        <v>#N/A</v>
      </c>
      <c r="I556" s="4" t="e">
        <f>VLOOKUP(A:A,Table1[[Project No]:[Additional Remark]],8,FALSE)</f>
        <v>#N/A</v>
      </c>
      <c r="J556" s="4" t="e">
        <f>VLOOKUP(A:A,Table1[[Project No]:[Additional Remark]],23,FALSE)</f>
        <v>#N/A</v>
      </c>
      <c r="K556" s="4"/>
      <c r="L556" s="4"/>
      <c r="M556" s="4"/>
      <c r="N556" s="4"/>
      <c r="O556" s="4"/>
      <c r="P556" s="4"/>
      <c r="Q556" s="4"/>
      <c r="R556" s="4"/>
      <c r="S556" s="4"/>
      <c r="T556" s="4"/>
      <c r="U556" s="4"/>
      <c r="V556" s="4"/>
    </row>
    <row r="557" spans="1:22" x14ac:dyDescent="0.3">
      <c r="A557" s="4">
        <f>'ECN Master Project Tracker new'!A451</f>
        <v>0</v>
      </c>
      <c r="B557" s="108" t="e">
        <f>VLOOKUP(A:A,Table1[[#All],[Project No]:[Additional Remark]],2,FALSE)</f>
        <v>#N/A</v>
      </c>
      <c r="C557" s="4" t="e">
        <f>VLOOKUP(A:A,Table1[[Project No]:[Additional Remark]],19,FALSE)</f>
        <v>#N/A</v>
      </c>
      <c r="D557" s="4" t="e">
        <f>VLOOKUP(A:A,Table1[[Project No]:[Additional Remark]],20,FALSE)</f>
        <v>#N/A</v>
      </c>
      <c r="E557" s="4" t="e">
        <f>VLOOKUP(A:A,Table1[[Project No]:[Additional Remark]],21,FALSE)</f>
        <v>#N/A</v>
      </c>
      <c r="F557" s="4" t="e">
        <f>VLOOKUP(A:A,Table1[[Project No]:[Additional Remark]],22,FALSE)</f>
        <v>#N/A</v>
      </c>
      <c r="G557" s="55" t="e">
        <f>VLOOKUP(A:A,Table1[[Project No]:[Additional Remark]],11,FALSE)</f>
        <v>#N/A</v>
      </c>
      <c r="H557" s="4" t="e">
        <f>VLOOKUP(A:A,Table1[[Project No]:[Additional Remark]],5,FALSE)</f>
        <v>#N/A</v>
      </c>
      <c r="I557" s="4" t="e">
        <f>VLOOKUP(A:A,Table1[[Project No]:[Additional Remark]],8,FALSE)</f>
        <v>#N/A</v>
      </c>
      <c r="J557" s="4" t="e">
        <f>VLOOKUP(A:A,Table1[[Project No]:[Additional Remark]],23,FALSE)</f>
        <v>#N/A</v>
      </c>
      <c r="K557" s="4"/>
      <c r="L557" s="4"/>
      <c r="M557" s="4"/>
      <c r="N557" s="4"/>
      <c r="O557" s="4"/>
      <c r="P557" s="4"/>
      <c r="Q557" s="4"/>
      <c r="R557" s="4"/>
      <c r="S557" s="4"/>
      <c r="T557" s="4"/>
      <c r="U557" s="4"/>
      <c r="V557" s="4"/>
    </row>
    <row r="558" spans="1:22" x14ac:dyDescent="0.3">
      <c r="A558" s="4">
        <f>'ECN Master Project Tracker new'!A452</f>
        <v>0</v>
      </c>
      <c r="B558" s="108" t="e">
        <f>VLOOKUP(A:A,Table1[[#All],[Project No]:[Additional Remark]],2,FALSE)</f>
        <v>#N/A</v>
      </c>
      <c r="C558" s="4" t="e">
        <f>VLOOKUP(A:A,Table1[[Project No]:[Additional Remark]],19,FALSE)</f>
        <v>#N/A</v>
      </c>
      <c r="D558" s="4" t="e">
        <f>VLOOKUP(A:A,Table1[[Project No]:[Additional Remark]],20,FALSE)</f>
        <v>#N/A</v>
      </c>
      <c r="E558" s="4" t="e">
        <f>VLOOKUP(A:A,Table1[[Project No]:[Additional Remark]],21,FALSE)</f>
        <v>#N/A</v>
      </c>
      <c r="F558" s="4" t="e">
        <f>VLOOKUP(A:A,Table1[[Project No]:[Additional Remark]],22,FALSE)</f>
        <v>#N/A</v>
      </c>
      <c r="G558" s="55" t="e">
        <f>VLOOKUP(A:A,Table1[[Project No]:[Additional Remark]],11,FALSE)</f>
        <v>#N/A</v>
      </c>
      <c r="H558" s="4" t="e">
        <f>VLOOKUP(A:A,Table1[[Project No]:[Additional Remark]],5,FALSE)</f>
        <v>#N/A</v>
      </c>
      <c r="I558" s="4" t="e">
        <f>VLOOKUP(A:A,Table1[[Project No]:[Additional Remark]],8,FALSE)</f>
        <v>#N/A</v>
      </c>
      <c r="J558" s="4" t="e">
        <f>VLOOKUP(A:A,Table1[[Project No]:[Additional Remark]],23,FALSE)</f>
        <v>#N/A</v>
      </c>
      <c r="K558" s="4"/>
      <c r="L558" s="4"/>
      <c r="M558" s="4"/>
      <c r="N558" s="4"/>
      <c r="O558" s="4"/>
      <c r="P558" s="4"/>
      <c r="Q558" s="4"/>
      <c r="R558" s="4"/>
      <c r="S558" s="4"/>
      <c r="T558" s="4"/>
      <c r="U558" s="4"/>
      <c r="V558" s="4"/>
    </row>
    <row r="559" spans="1:22" x14ac:dyDescent="0.3">
      <c r="A559" s="4">
        <f>'ECN Master Project Tracker new'!A453</f>
        <v>0</v>
      </c>
      <c r="B559" s="108" t="e">
        <f>VLOOKUP(A:A,Table1[[#All],[Project No]:[Additional Remark]],2,FALSE)</f>
        <v>#N/A</v>
      </c>
      <c r="C559" s="4" t="e">
        <f>VLOOKUP(A:A,Table1[[Project No]:[Additional Remark]],19,FALSE)</f>
        <v>#N/A</v>
      </c>
      <c r="D559" s="4" t="e">
        <f>VLOOKUP(A:A,Table1[[Project No]:[Additional Remark]],20,FALSE)</f>
        <v>#N/A</v>
      </c>
      <c r="E559" s="4" t="e">
        <f>VLOOKUP(A:A,Table1[[Project No]:[Additional Remark]],21,FALSE)</f>
        <v>#N/A</v>
      </c>
      <c r="F559" s="4" t="e">
        <f>VLOOKUP(A:A,Table1[[Project No]:[Additional Remark]],22,FALSE)</f>
        <v>#N/A</v>
      </c>
      <c r="G559" s="55" t="e">
        <f>VLOOKUP(A:A,Table1[[Project No]:[Additional Remark]],11,FALSE)</f>
        <v>#N/A</v>
      </c>
      <c r="H559" s="4" t="e">
        <f>VLOOKUP(A:A,Table1[[Project No]:[Additional Remark]],5,FALSE)</f>
        <v>#N/A</v>
      </c>
      <c r="I559" s="4" t="e">
        <f>VLOOKUP(A:A,Table1[[Project No]:[Additional Remark]],8,FALSE)</f>
        <v>#N/A</v>
      </c>
      <c r="J559" s="4" t="e">
        <f>VLOOKUP(A:A,Table1[[Project No]:[Additional Remark]],23,FALSE)</f>
        <v>#N/A</v>
      </c>
      <c r="K559" s="4"/>
      <c r="L559" s="4"/>
      <c r="M559" s="4"/>
      <c r="N559" s="4"/>
      <c r="O559" s="4"/>
      <c r="P559" s="4"/>
      <c r="Q559" s="4"/>
      <c r="R559" s="4"/>
      <c r="S559" s="4"/>
      <c r="T559" s="4"/>
      <c r="U559" s="4"/>
      <c r="V559" s="4"/>
    </row>
    <row r="560" spans="1:22" x14ac:dyDescent="0.3">
      <c r="A560" s="4">
        <f>'ECN Master Project Tracker new'!A454</f>
        <v>0</v>
      </c>
      <c r="B560" s="108" t="e">
        <f>VLOOKUP(A:A,Table1[[#All],[Project No]:[Additional Remark]],2,FALSE)</f>
        <v>#N/A</v>
      </c>
      <c r="C560" s="4" t="e">
        <f>VLOOKUP(A:A,Table1[[Project No]:[Additional Remark]],19,FALSE)</f>
        <v>#N/A</v>
      </c>
      <c r="D560" s="4" t="e">
        <f>VLOOKUP(A:A,Table1[[Project No]:[Additional Remark]],20,FALSE)</f>
        <v>#N/A</v>
      </c>
      <c r="E560" s="4" t="e">
        <f>VLOOKUP(A:A,Table1[[Project No]:[Additional Remark]],21,FALSE)</f>
        <v>#N/A</v>
      </c>
      <c r="F560" s="4" t="e">
        <f>VLOOKUP(A:A,Table1[[Project No]:[Additional Remark]],22,FALSE)</f>
        <v>#N/A</v>
      </c>
      <c r="G560" s="55" t="e">
        <f>VLOOKUP(A:A,Table1[[Project No]:[Additional Remark]],11,FALSE)</f>
        <v>#N/A</v>
      </c>
      <c r="H560" s="4" t="e">
        <f>VLOOKUP(A:A,Table1[[Project No]:[Additional Remark]],5,FALSE)</f>
        <v>#N/A</v>
      </c>
      <c r="I560" s="4" t="e">
        <f>VLOOKUP(A:A,Table1[[Project No]:[Additional Remark]],8,FALSE)</f>
        <v>#N/A</v>
      </c>
      <c r="J560" s="4" t="e">
        <f>VLOOKUP(A:A,Table1[[Project No]:[Additional Remark]],23,FALSE)</f>
        <v>#N/A</v>
      </c>
      <c r="K560" s="4"/>
      <c r="L560" s="4"/>
      <c r="M560" s="4"/>
      <c r="N560" s="4"/>
      <c r="O560" s="4"/>
      <c r="P560" s="4"/>
      <c r="Q560" s="4"/>
      <c r="R560" s="4"/>
      <c r="S560" s="4"/>
      <c r="T560" s="4"/>
      <c r="U560" s="4"/>
      <c r="V560" s="4"/>
    </row>
    <row r="561" spans="1:22" x14ac:dyDescent="0.3">
      <c r="A561" s="4">
        <f>'ECN Master Project Tracker new'!A455</f>
        <v>0</v>
      </c>
      <c r="B561" s="108" t="e">
        <f>VLOOKUP(A:A,Table1[[#All],[Project No]:[Additional Remark]],2,FALSE)</f>
        <v>#N/A</v>
      </c>
      <c r="C561" s="4" t="e">
        <f>VLOOKUP(A:A,Table1[[Project No]:[Additional Remark]],19,FALSE)</f>
        <v>#N/A</v>
      </c>
      <c r="D561" s="4" t="e">
        <f>VLOOKUP(A:A,Table1[[Project No]:[Additional Remark]],20,FALSE)</f>
        <v>#N/A</v>
      </c>
      <c r="E561" s="4" t="e">
        <f>VLOOKUP(A:A,Table1[[Project No]:[Additional Remark]],21,FALSE)</f>
        <v>#N/A</v>
      </c>
      <c r="F561" s="4" t="e">
        <f>VLOOKUP(A:A,Table1[[Project No]:[Additional Remark]],22,FALSE)</f>
        <v>#N/A</v>
      </c>
      <c r="G561" s="55" t="e">
        <f>VLOOKUP(A:A,Table1[[Project No]:[Additional Remark]],11,FALSE)</f>
        <v>#N/A</v>
      </c>
      <c r="H561" s="4" t="e">
        <f>VLOOKUP(A:A,Table1[[Project No]:[Additional Remark]],5,FALSE)</f>
        <v>#N/A</v>
      </c>
      <c r="I561" s="4" t="e">
        <f>VLOOKUP(A:A,Table1[[Project No]:[Additional Remark]],8,FALSE)</f>
        <v>#N/A</v>
      </c>
      <c r="J561" s="4" t="e">
        <f>VLOOKUP(A:A,Table1[[Project No]:[Additional Remark]],23,FALSE)</f>
        <v>#N/A</v>
      </c>
      <c r="K561" s="4"/>
      <c r="L561" s="4"/>
      <c r="M561" s="4"/>
      <c r="N561" s="4"/>
      <c r="O561" s="4"/>
      <c r="P561" s="4"/>
      <c r="Q561" s="4"/>
      <c r="R561" s="4"/>
      <c r="S561" s="4"/>
      <c r="T561" s="4"/>
      <c r="U561" s="4"/>
      <c r="V561" s="4"/>
    </row>
    <row r="562" spans="1:22" x14ac:dyDescent="0.3">
      <c r="A562" s="4">
        <f>'ECN Master Project Tracker new'!A456</f>
        <v>0</v>
      </c>
      <c r="B562" s="108" t="e">
        <f>VLOOKUP(A:A,Table1[[#All],[Project No]:[Additional Remark]],2,FALSE)</f>
        <v>#N/A</v>
      </c>
      <c r="C562" s="4" t="e">
        <f>VLOOKUP(A:A,Table1[[Project No]:[Additional Remark]],19,FALSE)</f>
        <v>#N/A</v>
      </c>
      <c r="D562" s="4" t="e">
        <f>VLOOKUP(A:A,Table1[[Project No]:[Additional Remark]],20,FALSE)</f>
        <v>#N/A</v>
      </c>
      <c r="E562" s="4" t="e">
        <f>VLOOKUP(A:A,Table1[[Project No]:[Additional Remark]],21,FALSE)</f>
        <v>#N/A</v>
      </c>
      <c r="F562" s="4" t="e">
        <f>VLOOKUP(A:A,Table1[[Project No]:[Additional Remark]],22,FALSE)</f>
        <v>#N/A</v>
      </c>
      <c r="G562" s="55" t="e">
        <f>VLOOKUP(A:A,Table1[[Project No]:[Additional Remark]],11,FALSE)</f>
        <v>#N/A</v>
      </c>
      <c r="H562" s="4" t="e">
        <f>VLOOKUP(A:A,Table1[[Project No]:[Additional Remark]],5,FALSE)</f>
        <v>#N/A</v>
      </c>
      <c r="I562" s="4" t="e">
        <f>VLOOKUP(A:A,Table1[[Project No]:[Additional Remark]],8,FALSE)</f>
        <v>#N/A</v>
      </c>
      <c r="J562" s="4" t="e">
        <f>VLOOKUP(A:A,Table1[[Project No]:[Additional Remark]],23,FALSE)</f>
        <v>#N/A</v>
      </c>
      <c r="K562" s="4"/>
      <c r="L562" s="4"/>
      <c r="M562" s="4"/>
      <c r="N562" s="4"/>
      <c r="O562" s="4"/>
      <c r="P562" s="4"/>
      <c r="Q562" s="4"/>
      <c r="R562" s="4"/>
      <c r="S562" s="4"/>
      <c r="T562" s="4"/>
      <c r="U562" s="4"/>
      <c r="V562" s="4"/>
    </row>
    <row r="563" spans="1:22" x14ac:dyDescent="0.3">
      <c r="A563" s="4">
        <f>'ECN Master Project Tracker new'!A457</f>
        <v>0</v>
      </c>
      <c r="B563" s="108" t="e">
        <f>VLOOKUP(A:A,Table1[[#All],[Project No]:[Additional Remark]],2,FALSE)</f>
        <v>#N/A</v>
      </c>
      <c r="C563" s="4" t="e">
        <f>VLOOKUP(A:A,Table1[[Project No]:[Additional Remark]],19,FALSE)</f>
        <v>#N/A</v>
      </c>
      <c r="D563" s="4" t="e">
        <f>VLOOKUP(A:A,Table1[[Project No]:[Additional Remark]],20,FALSE)</f>
        <v>#N/A</v>
      </c>
      <c r="E563" s="4" t="e">
        <f>VLOOKUP(A:A,Table1[[Project No]:[Additional Remark]],21,FALSE)</f>
        <v>#N/A</v>
      </c>
      <c r="F563" s="4" t="e">
        <f>VLOOKUP(A:A,Table1[[Project No]:[Additional Remark]],22,FALSE)</f>
        <v>#N/A</v>
      </c>
      <c r="G563" s="55" t="e">
        <f>VLOOKUP(A:A,Table1[[Project No]:[Additional Remark]],11,FALSE)</f>
        <v>#N/A</v>
      </c>
      <c r="H563" s="4" t="e">
        <f>VLOOKUP(A:A,Table1[[Project No]:[Additional Remark]],5,FALSE)</f>
        <v>#N/A</v>
      </c>
      <c r="I563" s="4" t="e">
        <f>VLOOKUP(A:A,Table1[[Project No]:[Additional Remark]],8,FALSE)</f>
        <v>#N/A</v>
      </c>
      <c r="J563" s="4" t="e">
        <f>VLOOKUP(A:A,Table1[[Project No]:[Additional Remark]],23,FALSE)</f>
        <v>#N/A</v>
      </c>
      <c r="K563" s="4"/>
      <c r="L563" s="4"/>
      <c r="M563" s="4"/>
      <c r="N563" s="4"/>
      <c r="O563" s="4"/>
      <c r="P563" s="4"/>
      <c r="Q563" s="4"/>
      <c r="R563" s="4"/>
      <c r="S563" s="4"/>
      <c r="T563" s="4"/>
      <c r="U563" s="4"/>
      <c r="V563" s="4"/>
    </row>
    <row r="564" spans="1:22" x14ac:dyDescent="0.3">
      <c r="A564" s="4">
        <f>'ECN Master Project Tracker new'!A458</f>
        <v>0</v>
      </c>
      <c r="B564" s="108" t="e">
        <f>VLOOKUP(A:A,Table1[[#All],[Project No]:[Additional Remark]],2,FALSE)</f>
        <v>#N/A</v>
      </c>
      <c r="C564" s="4" t="e">
        <f>VLOOKUP(A:A,Table1[[Project No]:[Additional Remark]],19,FALSE)</f>
        <v>#N/A</v>
      </c>
      <c r="D564" s="4" t="e">
        <f>VLOOKUP(A:A,Table1[[Project No]:[Additional Remark]],20,FALSE)</f>
        <v>#N/A</v>
      </c>
      <c r="E564" s="4" t="e">
        <f>VLOOKUP(A:A,Table1[[Project No]:[Additional Remark]],21,FALSE)</f>
        <v>#N/A</v>
      </c>
      <c r="F564" s="4" t="e">
        <f>VLOOKUP(A:A,Table1[[Project No]:[Additional Remark]],22,FALSE)</f>
        <v>#N/A</v>
      </c>
      <c r="G564" s="55" t="e">
        <f>VLOOKUP(A:A,Table1[[Project No]:[Additional Remark]],11,FALSE)</f>
        <v>#N/A</v>
      </c>
      <c r="H564" s="4" t="e">
        <f>VLOOKUP(A:A,Table1[[Project No]:[Additional Remark]],5,FALSE)</f>
        <v>#N/A</v>
      </c>
      <c r="I564" s="4" t="e">
        <f>VLOOKUP(A:A,Table1[[Project No]:[Additional Remark]],8,FALSE)</f>
        <v>#N/A</v>
      </c>
      <c r="J564" s="4" t="e">
        <f>VLOOKUP(A:A,Table1[[Project No]:[Additional Remark]],23,FALSE)</f>
        <v>#N/A</v>
      </c>
      <c r="K564" s="4"/>
      <c r="L564" s="4"/>
      <c r="M564" s="4"/>
      <c r="N564" s="4"/>
      <c r="O564" s="4"/>
      <c r="P564" s="4"/>
      <c r="Q564" s="4"/>
      <c r="R564" s="4"/>
      <c r="S564" s="4"/>
      <c r="T564" s="4"/>
      <c r="U564" s="4"/>
      <c r="V564" s="4"/>
    </row>
    <row r="565" spans="1:22" x14ac:dyDescent="0.3">
      <c r="A565" s="4">
        <f>'ECN Master Project Tracker new'!A459</f>
        <v>0</v>
      </c>
      <c r="B565" s="108" t="e">
        <f>VLOOKUP(A:A,Table1[[#All],[Project No]:[Additional Remark]],2,FALSE)</f>
        <v>#N/A</v>
      </c>
      <c r="C565" s="4" t="e">
        <f>VLOOKUP(A:A,Table1[[Project No]:[Additional Remark]],19,FALSE)</f>
        <v>#N/A</v>
      </c>
      <c r="D565" s="4" t="e">
        <f>VLOOKUP(A:A,Table1[[Project No]:[Additional Remark]],20,FALSE)</f>
        <v>#N/A</v>
      </c>
      <c r="E565" s="4" t="e">
        <f>VLOOKUP(A:A,Table1[[Project No]:[Additional Remark]],21,FALSE)</f>
        <v>#N/A</v>
      </c>
      <c r="F565" s="4" t="e">
        <f>VLOOKUP(A:A,Table1[[Project No]:[Additional Remark]],22,FALSE)</f>
        <v>#N/A</v>
      </c>
      <c r="G565" s="55" t="e">
        <f>VLOOKUP(A:A,Table1[[Project No]:[Additional Remark]],11,FALSE)</f>
        <v>#N/A</v>
      </c>
      <c r="H565" s="4" t="e">
        <f>VLOOKUP(A:A,Table1[[Project No]:[Additional Remark]],5,FALSE)</f>
        <v>#N/A</v>
      </c>
      <c r="I565" s="4" t="e">
        <f>VLOOKUP(A:A,Table1[[Project No]:[Additional Remark]],8,FALSE)</f>
        <v>#N/A</v>
      </c>
      <c r="J565" s="4" t="e">
        <f>VLOOKUP(A:A,Table1[[Project No]:[Additional Remark]],23,FALSE)</f>
        <v>#N/A</v>
      </c>
      <c r="K565" s="4"/>
      <c r="L565" s="4"/>
      <c r="M565" s="4"/>
      <c r="N565" s="4"/>
      <c r="O565" s="4"/>
      <c r="P565" s="4"/>
      <c r="Q565" s="4"/>
      <c r="R565" s="4"/>
      <c r="S565" s="4"/>
      <c r="T565" s="4"/>
      <c r="U565" s="4"/>
      <c r="V565" s="4"/>
    </row>
    <row r="566" spans="1:22" x14ac:dyDescent="0.3">
      <c r="A566" s="4">
        <f>'ECN Master Project Tracker new'!A460</f>
        <v>0</v>
      </c>
      <c r="B566" s="108" t="e">
        <f>VLOOKUP(A:A,Table1[[#All],[Project No]:[Additional Remark]],2,FALSE)</f>
        <v>#N/A</v>
      </c>
      <c r="C566" s="4" t="e">
        <f>VLOOKUP(A:A,Table1[[Project No]:[Additional Remark]],19,FALSE)</f>
        <v>#N/A</v>
      </c>
      <c r="D566" s="4" t="e">
        <f>VLOOKUP(A:A,Table1[[Project No]:[Additional Remark]],20,FALSE)</f>
        <v>#N/A</v>
      </c>
      <c r="E566" s="4" t="e">
        <f>VLOOKUP(A:A,Table1[[Project No]:[Additional Remark]],21,FALSE)</f>
        <v>#N/A</v>
      </c>
      <c r="F566" s="4" t="e">
        <f>VLOOKUP(A:A,Table1[[Project No]:[Additional Remark]],22,FALSE)</f>
        <v>#N/A</v>
      </c>
      <c r="G566" s="55" t="e">
        <f>VLOOKUP(A:A,Table1[[Project No]:[Additional Remark]],11,FALSE)</f>
        <v>#N/A</v>
      </c>
      <c r="H566" s="4" t="e">
        <f>VLOOKUP(A:A,Table1[[Project No]:[Additional Remark]],5,FALSE)</f>
        <v>#N/A</v>
      </c>
      <c r="I566" s="4" t="e">
        <f>VLOOKUP(A:A,Table1[[Project No]:[Additional Remark]],8,FALSE)</f>
        <v>#N/A</v>
      </c>
      <c r="J566" s="4" t="e">
        <f>VLOOKUP(A:A,Table1[[Project No]:[Additional Remark]],23,FALSE)</f>
        <v>#N/A</v>
      </c>
      <c r="K566" s="4"/>
      <c r="L566" s="4"/>
      <c r="M566" s="4"/>
      <c r="N566" s="4"/>
      <c r="O566" s="4"/>
      <c r="P566" s="4"/>
      <c r="Q566" s="4"/>
      <c r="R566" s="4"/>
      <c r="S566" s="4"/>
      <c r="T566" s="4"/>
      <c r="U566" s="4"/>
      <c r="V566" s="4"/>
    </row>
    <row r="567" spans="1:22" x14ac:dyDescent="0.3">
      <c r="A567" s="4">
        <f>'ECN Master Project Tracker new'!A461</f>
        <v>0</v>
      </c>
      <c r="B567" s="108" t="e">
        <f>VLOOKUP(A:A,Table1[[#All],[Project No]:[Additional Remark]],2,FALSE)</f>
        <v>#N/A</v>
      </c>
      <c r="C567" s="4" t="e">
        <f>VLOOKUP(A:A,Table1[[Project No]:[Additional Remark]],19,FALSE)</f>
        <v>#N/A</v>
      </c>
      <c r="D567" s="4" t="e">
        <f>VLOOKUP(A:A,Table1[[Project No]:[Additional Remark]],20,FALSE)</f>
        <v>#N/A</v>
      </c>
      <c r="E567" s="4" t="e">
        <f>VLOOKUP(A:A,Table1[[Project No]:[Additional Remark]],21,FALSE)</f>
        <v>#N/A</v>
      </c>
      <c r="F567" s="4" t="e">
        <f>VLOOKUP(A:A,Table1[[Project No]:[Additional Remark]],22,FALSE)</f>
        <v>#N/A</v>
      </c>
      <c r="G567" s="55" t="e">
        <f>VLOOKUP(A:A,Table1[[Project No]:[Additional Remark]],11,FALSE)</f>
        <v>#N/A</v>
      </c>
      <c r="H567" s="4" t="e">
        <f>VLOOKUP(A:A,Table1[[Project No]:[Additional Remark]],5,FALSE)</f>
        <v>#N/A</v>
      </c>
      <c r="I567" s="4" t="e">
        <f>VLOOKUP(A:A,Table1[[Project No]:[Additional Remark]],8,FALSE)</f>
        <v>#N/A</v>
      </c>
      <c r="J567" s="4" t="e">
        <f>VLOOKUP(A:A,Table1[[Project No]:[Additional Remark]],23,FALSE)</f>
        <v>#N/A</v>
      </c>
      <c r="K567" s="4"/>
      <c r="L567" s="4"/>
      <c r="M567" s="4"/>
      <c r="N567" s="4"/>
      <c r="O567" s="4"/>
      <c r="P567" s="4"/>
      <c r="Q567" s="4"/>
      <c r="R567" s="4"/>
      <c r="S567" s="4"/>
      <c r="T567" s="4"/>
      <c r="U567" s="4"/>
      <c r="V567" s="4"/>
    </row>
    <row r="568" spans="1:22" x14ac:dyDescent="0.3">
      <c r="A568" s="4">
        <f>'ECN Master Project Tracker new'!A462</f>
        <v>0</v>
      </c>
      <c r="B568" s="108" t="e">
        <f>VLOOKUP(A:A,Table1[[#All],[Project No]:[Additional Remark]],2,FALSE)</f>
        <v>#N/A</v>
      </c>
      <c r="C568" s="4" t="e">
        <f>VLOOKUP(A:A,Table1[[Project No]:[Additional Remark]],19,FALSE)</f>
        <v>#N/A</v>
      </c>
      <c r="D568" s="4" t="e">
        <f>VLOOKUP(A:A,Table1[[Project No]:[Additional Remark]],20,FALSE)</f>
        <v>#N/A</v>
      </c>
      <c r="E568" s="4" t="e">
        <f>VLOOKUP(A:A,Table1[[Project No]:[Additional Remark]],21,FALSE)</f>
        <v>#N/A</v>
      </c>
      <c r="F568" s="4" t="e">
        <f>VLOOKUP(A:A,Table1[[Project No]:[Additional Remark]],22,FALSE)</f>
        <v>#N/A</v>
      </c>
      <c r="G568" s="55" t="e">
        <f>VLOOKUP(A:A,Table1[[Project No]:[Additional Remark]],11,FALSE)</f>
        <v>#N/A</v>
      </c>
      <c r="H568" s="4" t="e">
        <f>VLOOKUP(A:A,Table1[[Project No]:[Additional Remark]],5,FALSE)</f>
        <v>#N/A</v>
      </c>
      <c r="I568" s="4" t="e">
        <f>VLOOKUP(A:A,Table1[[Project No]:[Additional Remark]],8,FALSE)</f>
        <v>#N/A</v>
      </c>
      <c r="J568" s="4" t="e">
        <f>VLOOKUP(A:A,Table1[[Project No]:[Additional Remark]],23,FALSE)</f>
        <v>#N/A</v>
      </c>
      <c r="K568" s="4"/>
      <c r="L568" s="4"/>
      <c r="M568" s="4"/>
      <c r="N568" s="4"/>
      <c r="O568" s="4"/>
      <c r="P568" s="4"/>
      <c r="Q568" s="4"/>
      <c r="R568" s="4"/>
      <c r="S568" s="4"/>
      <c r="T568" s="4"/>
      <c r="U568" s="4"/>
      <c r="V568" s="4"/>
    </row>
    <row r="569" spans="1:22" x14ac:dyDescent="0.3">
      <c r="A569" s="4">
        <f>'ECN Master Project Tracker new'!A463</f>
        <v>0</v>
      </c>
      <c r="B569" s="108" t="e">
        <f>VLOOKUP(A:A,Table1[[#All],[Project No]:[Additional Remark]],2,FALSE)</f>
        <v>#N/A</v>
      </c>
      <c r="C569" s="4" t="e">
        <f>VLOOKUP(A:A,Table1[[Project No]:[Additional Remark]],19,FALSE)</f>
        <v>#N/A</v>
      </c>
      <c r="D569" s="4" t="e">
        <f>VLOOKUP(A:A,Table1[[Project No]:[Additional Remark]],20,FALSE)</f>
        <v>#N/A</v>
      </c>
      <c r="E569" s="4" t="e">
        <f>VLOOKUP(A:A,Table1[[Project No]:[Additional Remark]],21,FALSE)</f>
        <v>#N/A</v>
      </c>
      <c r="F569" s="4" t="e">
        <f>VLOOKUP(A:A,Table1[[Project No]:[Additional Remark]],22,FALSE)</f>
        <v>#N/A</v>
      </c>
      <c r="G569" s="55" t="e">
        <f>VLOOKUP(A:A,Table1[[Project No]:[Additional Remark]],11,FALSE)</f>
        <v>#N/A</v>
      </c>
      <c r="H569" s="4" t="e">
        <f>VLOOKUP(A:A,Table1[[Project No]:[Additional Remark]],5,FALSE)</f>
        <v>#N/A</v>
      </c>
      <c r="I569" s="4" t="e">
        <f>VLOOKUP(A:A,Table1[[Project No]:[Additional Remark]],8,FALSE)</f>
        <v>#N/A</v>
      </c>
      <c r="J569" s="4" t="e">
        <f>VLOOKUP(A:A,Table1[[Project No]:[Additional Remark]],23,FALSE)</f>
        <v>#N/A</v>
      </c>
      <c r="K569" s="4"/>
      <c r="L569" s="4"/>
      <c r="M569" s="4"/>
      <c r="N569" s="4"/>
      <c r="O569" s="4"/>
      <c r="P569" s="4"/>
      <c r="Q569" s="4"/>
      <c r="R569" s="4"/>
      <c r="S569" s="4"/>
      <c r="T569" s="4"/>
      <c r="U569" s="4"/>
      <c r="V569" s="4"/>
    </row>
    <row r="570" spans="1:22" x14ac:dyDescent="0.3">
      <c r="A570" s="4">
        <f>'ECN Master Project Tracker new'!A464</f>
        <v>0</v>
      </c>
      <c r="B570" s="108" t="e">
        <f>VLOOKUP(A:A,Table1[[#All],[Project No]:[Additional Remark]],2,FALSE)</f>
        <v>#N/A</v>
      </c>
      <c r="C570" s="4" t="e">
        <f>VLOOKUP(A:A,Table1[[Project No]:[Additional Remark]],19,FALSE)</f>
        <v>#N/A</v>
      </c>
      <c r="D570" s="4" t="e">
        <f>VLOOKUP(A:A,Table1[[Project No]:[Additional Remark]],20,FALSE)</f>
        <v>#N/A</v>
      </c>
      <c r="E570" s="4" t="e">
        <f>VLOOKUP(A:A,Table1[[Project No]:[Additional Remark]],21,FALSE)</f>
        <v>#N/A</v>
      </c>
      <c r="F570" s="4" t="e">
        <f>VLOOKUP(A:A,Table1[[Project No]:[Additional Remark]],22,FALSE)</f>
        <v>#N/A</v>
      </c>
      <c r="G570" s="55" t="e">
        <f>VLOOKUP(A:A,Table1[[Project No]:[Additional Remark]],11,FALSE)</f>
        <v>#N/A</v>
      </c>
      <c r="H570" s="4" t="e">
        <f>VLOOKUP(A:A,Table1[[Project No]:[Additional Remark]],5,FALSE)</f>
        <v>#N/A</v>
      </c>
      <c r="I570" s="4" t="e">
        <f>VLOOKUP(A:A,Table1[[Project No]:[Additional Remark]],8,FALSE)</f>
        <v>#N/A</v>
      </c>
      <c r="J570" s="4" t="e">
        <f>VLOOKUP(A:A,Table1[[Project No]:[Additional Remark]],23,FALSE)</f>
        <v>#N/A</v>
      </c>
      <c r="K570" s="4"/>
      <c r="L570" s="4"/>
      <c r="M570" s="4"/>
      <c r="N570" s="4"/>
      <c r="O570" s="4"/>
      <c r="P570" s="4"/>
      <c r="Q570" s="4"/>
      <c r="R570" s="4"/>
      <c r="S570" s="4"/>
      <c r="T570" s="4"/>
      <c r="U570" s="4"/>
      <c r="V570" s="4"/>
    </row>
    <row r="571" spans="1:22" x14ac:dyDescent="0.3">
      <c r="A571" s="4">
        <f>'ECN Master Project Tracker new'!A465</f>
        <v>0</v>
      </c>
      <c r="B571" s="108" t="e">
        <f>VLOOKUP(A:A,Table1[[#All],[Project No]:[Additional Remark]],2,FALSE)</f>
        <v>#N/A</v>
      </c>
      <c r="C571" s="4" t="e">
        <f>VLOOKUP(A:A,Table1[[Project No]:[Additional Remark]],19,FALSE)</f>
        <v>#N/A</v>
      </c>
      <c r="D571" s="4" t="e">
        <f>VLOOKUP(A:A,Table1[[Project No]:[Additional Remark]],20,FALSE)</f>
        <v>#N/A</v>
      </c>
      <c r="E571" s="4" t="e">
        <f>VLOOKUP(A:A,Table1[[Project No]:[Additional Remark]],21,FALSE)</f>
        <v>#N/A</v>
      </c>
      <c r="F571" s="4" t="e">
        <f>VLOOKUP(A:A,Table1[[Project No]:[Additional Remark]],22,FALSE)</f>
        <v>#N/A</v>
      </c>
      <c r="G571" s="55" t="e">
        <f>VLOOKUP(A:A,Table1[[Project No]:[Additional Remark]],11,FALSE)</f>
        <v>#N/A</v>
      </c>
      <c r="H571" s="4" t="e">
        <f>VLOOKUP(A:A,Table1[[Project No]:[Additional Remark]],5,FALSE)</f>
        <v>#N/A</v>
      </c>
      <c r="I571" s="4" t="e">
        <f>VLOOKUP(A:A,Table1[[Project No]:[Additional Remark]],8,FALSE)</f>
        <v>#N/A</v>
      </c>
      <c r="J571" s="4" t="e">
        <f>VLOOKUP(A:A,Table1[[Project No]:[Additional Remark]],23,FALSE)</f>
        <v>#N/A</v>
      </c>
      <c r="K571" s="4"/>
      <c r="L571" s="4"/>
      <c r="M571" s="4"/>
      <c r="N571" s="4"/>
      <c r="O571" s="4"/>
      <c r="P571" s="4"/>
      <c r="Q571" s="4"/>
      <c r="R571" s="4"/>
      <c r="S571" s="4"/>
      <c r="T571" s="4"/>
      <c r="U571" s="4"/>
      <c r="V571" s="4"/>
    </row>
    <row r="572" spans="1:22" x14ac:dyDescent="0.3">
      <c r="A572" s="4">
        <f>'ECN Master Project Tracker new'!A466</f>
        <v>0</v>
      </c>
      <c r="B572" s="108" t="e">
        <f>VLOOKUP(A:A,Table1[[#All],[Project No]:[Additional Remark]],2,FALSE)</f>
        <v>#N/A</v>
      </c>
      <c r="C572" s="4" t="e">
        <f>VLOOKUP(A:A,Table1[[Project No]:[Additional Remark]],19,FALSE)</f>
        <v>#N/A</v>
      </c>
      <c r="D572" s="4" t="e">
        <f>VLOOKUP(A:A,Table1[[Project No]:[Additional Remark]],20,FALSE)</f>
        <v>#N/A</v>
      </c>
      <c r="E572" s="4" t="e">
        <f>VLOOKUP(A:A,Table1[[Project No]:[Additional Remark]],21,FALSE)</f>
        <v>#N/A</v>
      </c>
      <c r="F572" s="4" t="e">
        <f>VLOOKUP(A:A,Table1[[Project No]:[Additional Remark]],22,FALSE)</f>
        <v>#N/A</v>
      </c>
      <c r="G572" s="55" t="e">
        <f>VLOOKUP(A:A,Table1[[Project No]:[Additional Remark]],11,FALSE)</f>
        <v>#N/A</v>
      </c>
      <c r="H572" s="4" t="e">
        <f>VLOOKUP(A:A,Table1[[Project No]:[Additional Remark]],5,FALSE)</f>
        <v>#N/A</v>
      </c>
      <c r="I572" s="4" t="e">
        <f>VLOOKUP(A:A,Table1[[Project No]:[Additional Remark]],8,FALSE)</f>
        <v>#N/A</v>
      </c>
      <c r="J572" s="4" t="e">
        <f>VLOOKUP(A:A,Table1[[Project No]:[Additional Remark]],23,FALSE)</f>
        <v>#N/A</v>
      </c>
      <c r="K572" s="4"/>
      <c r="L572" s="4"/>
      <c r="M572" s="4"/>
      <c r="N572" s="4"/>
      <c r="O572" s="4"/>
      <c r="P572" s="4"/>
      <c r="Q572" s="4"/>
      <c r="R572" s="4"/>
      <c r="S572" s="4"/>
      <c r="T572" s="4"/>
      <c r="U572" s="4"/>
      <c r="V572" s="4"/>
    </row>
    <row r="573" spans="1:22" x14ac:dyDescent="0.3">
      <c r="A573" s="4">
        <f>'ECN Master Project Tracker new'!A467</f>
        <v>0</v>
      </c>
      <c r="B573" s="108" t="e">
        <f>VLOOKUP(A:A,Table1[[#All],[Project No]:[Additional Remark]],2,FALSE)</f>
        <v>#N/A</v>
      </c>
      <c r="C573" s="4" t="e">
        <f>VLOOKUP(A:A,Table1[[Project No]:[Additional Remark]],19,FALSE)</f>
        <v>#N/A</v>
      </c>
      <c r="D573" s="4" t="e">
        <f>VLOOKUP(A:A,Table1[[Project No]:[Additional Remark]],20,FALSE)</f>
        <v>#N/A</v>
      </c>
      <c r="E573" s="4" t="e">
        <f>VLOOKUP(A:A,Table1[[Project No]:[Additional Remark]],21,FALSE)</f>
        <v>#N/A</v>
      </c>
      <c r="F573" s="4" t="e">
        <f>VLOOKUP(A:A,Table1[[Project No]:[Additional Remark]],22,FALSE)</f>
        <v>#N/A</v>
      </c>
      <c r="G573" s="55" t="e">
        <f>VLOOKUP(A:A,Table1[[Project No]:[Additional Remark]],11,FALSE)</f>
        <v>#N/A</v>
      </c>
      <c r="H573" s="4" t="e">
        <f>VLOOKUP(A:A,Table1[[Project No]:[Additional Remark]],5,FALSE)</f>
        <v>#N/A</v>
      </c>
      <c r="I573" s="4" t="e">
        <f>VLOOKUP(A:A,Table1[[Project No]:[Additional Remark]],8,FALSE)</f>
        <v>#N/A</v>
      </c>
      <c r="J573" s="4" t="e">
        <f>VLOOKUP(A:A,Table1[[Project No]:[Additional Remark]],23,FALSE)</f>
        <v>#N/A</v>
      </c>
      <c r="K573" s="4"/>
      <c r="L573" s="4"/>
      <c r="M573" s="4"/>
      <c r="N573" s="4"/>
      <c r="O573" s="4"/>
      <c r="P573" s="4"/>
      <c r="Q573" s="4"/>
      <c r="R573" s="4"/>
      <c r="S573" s="4"/>
      <c r="T573" s="4"/>
      <c r="U573" s="4"/>
      <c r="V573" s="4"/>
    </row>
    <row r="574" spans="1:22" x14ac:dyDescent="0.3">
      <c r="A574" s="4">
        <f>'ECN Master Project Tracker new'!A468</f>
        <v>0</v>
      </c>
      <c r="B574" s="108" t="e">
        <f>VLOOKUP(A:A,Table1[[#All],[Project No]:[Additional Remark]],2,FALSE)</f>
        <v>#N/A</v>
      </c>
      <c r="C574" s="4" t="e">
        <f>VLOOKUP(A:A,Table1[[Project No]:[Additional Remark]],19,FALSE)</f>
        <v>#N/A</v>
      </c>
      <c r="D574" s="4" t="e">
        <f>VLOOKUP(A:A,Table1[[Project No]:[Additional Remark]],20,FALSE)</f>
        <v>#N/A</v>
      </c>
      <c r="E574" s="4" t="e">
        <f>VLOOKUP(A:A,Table1[[Project No]:[Additional Remark]],21,FALSE)</f>
        <v>#N/A</v>
      </c>
      <c r="F574" s="4" t="e">
        <f>VLOOKUP(A:A,Table1[[Project No]:[Additional Remark]],22,FALSE)</f>
        <v>#N/A</v>
      </c>
      <c r="G574" s="55" t="e">
        <f>VLOOKUP(A:A,Table1[[Project No]:[Additional Remark]],11,FALSE)</f>
        <v>#N/A</v>
      </c>
      <c r="H574" s="4" t="e">
        <f>VLOOKUP(A:A,Table1[[Project No]:[Additional Remark]],5,FALSE)</f>
        <v>#N/A</v>
      </c>
      <c r="I574" s="4" t="e">
        <f>VLOOKUP(A:A,Table1[[Project No]:[Additional Remark]],8,FALSE)</f>
        <v>#N/A</v>
      </c>
      <c r="J574" s="4" t="e">
        <f>VLOOKUP(A:A,Table1[[Project No]:[Additional Remark]],23,FALSE)</f>
        <v>#N/A</v>
      </c>
      <c r="K574" s="4"/>
      <c r="L574" s="4"/>
      <c r="M574" s="4"/>
      <c r="N574" s="4"/>
      <c r="O574" s="4"/>
      <c r="P574" s="4"/>
      <c r="Q574" s="4"/>
      <c r="R574" s="4"/>
      <c r="S574" s="4"/>
      <c r="T574" s="4"/>
      <c r="U574" s="4"/>
      <c r="V574" s="4"/>
    </row>
    <row r="575" spans="1:22" x14ac:dyDescent="0.3">
      <c r="A575" s="4">
        <f>'ECN Master Project Tracker new'!A469</f>
        <v>0</v>
      </c>
      <c r="B575" s="108" t="e">
        <f>VLOOKUP(A:A,Table1[[#All],[Project No]:[Additional Remark]],2,FALSE)</f>
        <v>#N/A</v>
      </c>
      <c r="C575" s="4" t="e">
        <f>VLOOKUP(A:A,Table1[[Project No]:[Additional Remark]],19,FALSE)</f>
        <v>#N/A</v>
      </c>
      <c r="D575" s="4" t="e">
        <f>VLOOKUP(A:A,Table1[[Project No]:[Additional Remark]],20,FALSE)</f>
        <v>#N/A</v>
      </c>
      <c r="E575" s="4" t="e">
        <f>VLOOKUP(A:A,Table1[[Project No]:[Additional Remark]],21,FALSE)</f>
        <v>#N/A</v>
      </c>
      <c r="F575" s="4" t="e">
        <f>VLOOKUP(A:A,Table1[[Project No]:[Additional Remark]],22,FALSE)</f>
        <v>#N/A</v>
      </c>
      <c r="G575" s="55" t="e">
        <f>VLOOKUP(A:A,Table1[[Project No]:[Additional Remark]],11,FALSE)</f>
        <v>#N/A</v>
      </c>
      <c r="H575" s="4" t="e">
        <f>VLOOKUP(A:A,Table1[[Project No]:[Additional Remark]],5,FALSE)</f>
        <v>#N/A</v>
      </c>
      <c r="I575" s="4" t="e">
        <f>VLOOKUP(A:A,Table1[[Project No]:[Additional Remark]],8,FALSE)</f>
        <v>#N/A</v>
      </c>
      <c r="J575" s="4" t="e">
        <f>VLOOKUP(A:A,Table1[[Project No]:[Additional Remark]],23,FALSE)</f>
        <v>#N/A</v>
      </c>
      <c r="K575" s="4"/>
      <c r="L575" s="4"/>
      <c r="M575" s="4"/>
      <c r="N575" s="4"/>
      <c r="O575" s="4"/>
      <c r="P575" s="4"/>
      <c r="Q575" s="4"/>
      <c r="R575" s="4"/>
      <c r="S575" s="4"/>
      <c r="T575" s="4"/>
      <c r="U575" s="4"/>
      <c r="V575" s="4"/>
    </row>
    <row r="576" spans="1:22" x14ac:dyDescent="0.3">
      <c r="A576" s="4">
        <f>'ECN Master Project Tracker new'!A470</f>
        <v>0</v>
      </c>
      <c r="B576" s="108" t="e">
        <f>VLOOKUP(A:A,Table1[[#All],[Project No]:[Additional Remark]],2,FALSE)</f>
        <v>#N/A</v>
      </c>
      <c r="C576" s="4" t="e">
        <f>VLOOKUP(A:A,Table1[[Project No]:[Additional Remark]],19,FALSE)</f>
        <v>#N/A</v>
      </c>
      <c r="D576" s="4" t="e">
        <f>VLOOKUP(A:A,Table1[[Project No]:[Additional Remark]],20,FALSE)</f>
        <v>#N/A</v>
      </c>
      <c r="E576" s="4" t="e">
        <f>VLOOKUP(A:A,Table1[[Project No]:[Additional Remark]],21,FALSE)</f>
        <v>#N/A</v>
      </c>
      <c r="F576" s="4" t="e">
        <f>VLOOKUP(A:A,Table1[[Project No]:[Additional Remark]],22,FALSE)</f>
        <v>#N/A</v>
      </c>
      <c r="G576" s="55" t="e">
        <f>VLOOKUP(A:A,Table1[[Project No]:[Additional Remark]],11,FALSE)</f>
        <v>#N/A</v>
      </c>
      <c r="H576" s="4" t="e">
        <f>VLOOKUP(A:A,Table1[[Project No]:[Additional Remark]],5,FALSE)</f>
        <v>#N/A</v>
      </c>
      <c r="I576" s="4" t="e">
        <f>VLOOKUP(A:A,Table1[[Project No]:[Additional Remark]],8,FALSE)</f>
        <v>#N/A</v>
      </c>
      <c r="J576" s="4" t="e">
        <f>VLOOKUP(A:A,Table1[[Project No]:[Additional Remark]],23,FALSE)</f>
        <v>#N/A</v>
      </c>
      <c r="K576" s="4"/>
      <c r="L576" s="4"/>
      <c r="M576" s="4"/>
      <c r="N576" s="4"/>
      <c r="O576" s="4"/>
      <c r="P576" s="4"/>
      <c r="Q576" s="4"/>
      <c r="R576" s="4"/>
      <c r="S576" s="4"/>
      <c r="T576" s="4"/>
      <c r="U576" s="4"/>
      <c r="V576" s="4"/>
    </row>
    <row r="577" spans="1:22" x14ac:dyDescent="0.3">
      <c r="A577" s="4">
        <f>'ECN Master Project Tracker new'!A471</f>
        <v>0</v>
      </c>
      <c r="B577" s="108" t="e">
        <f>VLOOKUP(A:A,Table1[[#All],[Project No]:[Additional Remark]],2,FALSE)</f>
        <v>#N/A</v>
      </c>
      <c r="C577" s="4" t="e">
        <f>VLOOKUP(A:A,Table1[[Project No]:[Additional Remark]],19,FALSE)</f>
        <v>#N/A</v>
      </c>
      <c r="D577" s="4" t="e">
        <f>VLOOKUP(A:A,Table1[[Project No]:[Additional Remark]],20,FALSE)</f>
        <v>#N/A</v>
      </c>
      <c r="E577" s="4" t="e">
        <f>VLOOKUP(A:A,Table1[[Project No]:[Additional Remark]],21,FALSE)</f>
        <v>#N/A</v>
      </c>
      <c r="F577" s="4" t="e">
        <f>VLOOKUP(A:A,Table1[[Project No]:[Additional Remark]],22,FALSE)</f>
        <v>#N/A</v>
      </c>
      <c r="G577" s="55" t="e">
        <f>VLOOKUP(A:A,Table1[[Project No]:[Additional Remark]],11,FALSE)</f>
        <v>#N/A</v>
      </c>
      <c r="H577" s="4" t="e">
        <f>VLOOKUP(A:A,Table1[[Project No]:[Additional Remark]],5,FALSE)</f>
        <v>#N/A</v>
      </c>
      <c r="I577" s="4" t="e">
        <f>VLOOKUP(A:A,Table1[[Project No]:[Additional Remark]],8,FALSE)</f>
        <v>#N/A</v>
      </c>
      <c r="J577" s="4" t="e">
        <f>VLOOKUP(A:A,Table1[[Project No]:[Additional Remark]],23,FALSE)</f>
        <v>#N/A</v>
      </c>
      <c r="K577" s="4"/>
      <c r="L577" s="4"/>
      <c r="M577" s="4"/>
      <c r="N577" s="4"/>
      <c r="O577" s="4"/>
      <c r="P577" s="4"/>
      <c r="Q577" s="4"/>
      <c r="R577" s="4"/>
      <c r="S577" s="4"/>
      <c r="T577" s="4"/>
      <c r="U577" s="4"/>
      <c r="V577" s="4"/>
    </row>
    <row r="578" spans="1:22" x14ac:dyDescent="0.3">
      <c r="A578" s="4">
        <f>'ECN Master Project Tracker new'!A472</f>
        <v>0</v>
      </c>
      <c r="B578" s="108" t="e">
        <f>VLOOKUP(A:A,Table1[[#All],[Project No]:[Additional Remark]],2,FALSE)</f>
        <v>#N/A</v>
      </c>
      <c r="C578" s="4" t="e">
        <f>VLOOKUP(A:A,Table1[[Project No]:[Additional Remark]],19,FALSE)</f>
        <v>#N/A</v>
      </c>
      <c r="D578" s="4" t="e">
        <f>VLOOKUP(A:A,Table1[[Project No]:[Additional Remark]],20,FALSE)</f>
        <v>#N/A</v>
      </c>
      <c r="E578" s="4" t="e">
        <f>VLOOKUP(A:A,Table1[[Project No]:[Additional Remark]],21,FALSE)</f>
        <v>#N/A</v>
      </c>
      <c r="F578" s="4" t="e">
        <f>VLOOKUP(A:A,Table1[[Project No]:[Additional Remark]],22,FALSE)</f>
        <v>#N/A</v>
      </c>
      <c r="G578" s="55" t="e">
        <f>VLOOKUP(A:A,Table1[[Project No]:[Additional Remark]],11,FALSE)</f>
        <v>#N/A</v>
      </c>
      <c r="H578" s="4" t="e">
        <f>VLOOKUP(A:A,Table1[[Project No]:[Additional Remark]],5,FALSE)</f>
        <v>#N/A</v>
      </c>
      <c r="I578" s="4" t="e">
        <f>VLOOKUP(A:A,Table1[[Project No]:[Additional Remark]],8,FALSE)</f>
        <v>#N/A</v>
      </c>
      <c r="J578" s="4" t="e">
        <f>VLOOKUP(A:A,Table1[[Project No]:[Additional Remark]],23,FALSE)</f>
        <v>#N/A</v>
      </c>
      <c r="K578" s="4"/>
      <c r="L578" s="4"/>
      <c r="M578" s="4"/>
      <c r="N578" s="4"/>
      <c r="O578" s="4"/>
      <c r="P578" s="4"/>
      <c r="Q578" s="4"/>
      <c r="R578" s="4"/>
      <c r="S578" s="4"/>
      <c r="T578" s="4"/>
      <c r="U578" s="4"/>
      <c r="V578" s="4"/>
    </row>
    <row r="579" spans="1:22" x14ac:dyDescent="0.3">
      <c r="A579" s="4">
        <f>'ECN Master Project Tracker new'!A473</f>
        <v>0</v>
      </c>
      <c r="B579" s="108" t="e">
        <f>VLOOKUP(A:A,Table1[[#All],[Project No]:[Additional Remark]],2,FALSE)</f>
        <v>#N/A</v>
      </c>
      <c r="C579" s="4" t="e">
        <f>VLOOKUP(A:A,Table1[[Project No]:[Additional Remark]],19,FALSE)</f>
        <v>#N/A</v>
      </c>
      <c r="D579" s="4" t="e">
        <f>VLOOKUP(A:A,Table1[[Project No]:[Additional Remark]],20,FALSE)</f>
        <v>#N/A</v>
      </c>
      <c r="E579" s="4" t="e">
        <f>VLOOKUP(A:A,Table1[[Project No]:[Additional Remark]],21,FALSE)</f>
        <v>#N/A</v>
      </c>
      <c r="F579" s="4" t="e">
        <f>VLOOKUP(A:A,Table1[[Project No]:[Additional Remark]],22,FALSE)</f>
        <v>#N/A</v>
      </c>
      <c r="G579" s="55" t="e">
        <f>VLOOKUP(A:A,Table1[[Project No]:[Additional Remark]],11,FALSE)</f>
        <v>#N/A</v>
      </c>
      <c r="H579" s="4" t="e">
        <f>VLOOKUP(A:A,Table1[[Project No]:[Additional Remark]],5,FALSE)</f>
        <v>#N/A</v>
      </c>
      <c r="I579" s="4" t="e">
        <f>VLOOKUP(A:A,Table1[[Project No]:[Additional Remark]],8,FALSE)</f>
        <v>#N/A</v>
      </c>
      <c r="J579" s="4" t="e">
        <f>VLOOKUP(A:A,Table1[[Project No]:[Additional Remark]],23,FALSE)</f>
        <v>#N/A</v>
      </c>
      <c r="K579" s="4"/>
      <c r="L579" s="4"/>
      <c r="M579" s="4"/>
      <c r="N579" s="4"/>
      <c r="O579" s="4"/>
      <c r="P579" s="4"/>
      <c r="Q579" s="4"/>
      <c r="R579" s="4"/>
      <c r="S579" s="4"/>
      <c r="T579" s="4"/>
      <c r="U579" s="4"/>
      <c r="V579" s="4"/>
    </row>
    <row r="580" spans="1:22" x14ac:dyDescent="0.3">
      <c r="A580" s="4">
        <f>'ECN Master Project Tracker new'!A474</f>
        <v>0</v>
      </c>
      <c r="B580" s="108" t="e">
        <f>VLOOKUP(A:A,Table1[[#All],[Project No]:[Additional Remark]],2,FALSE)</f>
        <v>#N/A</v>
      </c>
      <c r="C580" s="4" t="e">
        <f>VLOOKUP(A:A,Table1[[Project No]:[Additional Remark]],19,FALSE)</f>
        <v>#N/A</v>
      </c>
      <c r="D580" s="4" t="e">
        <f>VLOOKUP(A:A,Table1[[Project No]:[Additional Remark]],20,FALSE)</f>
        <v>#N/A</v>
      </c>
      <c r="E580" s="4" t="e">
        <f>VLOOKUP(A:A,Table1[[Project No]:[Additional Remark]],21,FALSE)</f>
        <v>#N/A</v>
      </c>
      <c r="F580" s="4" t="e">
        <f>VLOOKUP(A:A,Table1[[Project No]:[Additional Remark]],22,FALSE)</f>
        <v>#N/A</v>
      </c>
      <c r="G580" s="55" t="e">
        <f>VLOOKUP(A:A,Table1[[Project No]:[Additional Remark]],11,FALSE)</f>
        <v>#N/A</v>
      </c>
      <c r="H580" s="4" t="e">
        <f>VLOOKUP(A:A,Table1[[Project No]:[Additional Remark]],5,FALSE)</f>
        <v>#N/A</v>
      </c>
      <c r="I580" s="4" t="e">
        <f>VLOOKUP(A:A,Table1[[Project No]:[Additional Remark]],8,FALSE)</f>
        <v>#N/A</v>
      </c>
      <c r="J580" s="4" t="e">
        <f>VLOOKUP(A:A,Table1[[Project No]:[Additional Remark]],23,FALSE)</f>
        <v>#N/A</v>
      </c>
      <c r="K580" s="4"/>
      <c r="L580" s="4"/>
      <c r="M580" s="4"/>
      <c r="N580" s="4"/>
      <c r="O580" s="4"/>
      <c r="P580" s="4"/>
      <c r="Q580" s="4"/>
      <c r="R580" s="4"/>
      <c r="S580" s="4"/>
      <c r="T580" s="4"/>
      <c r="U580" s="4"/>
      <c r="V580" s="4"/>
    </row>
    <row r="581" spans="1:22" x14ac:dyDescent="0.3">
      <c r="A581" s="4">
        <f>'ECN Master Project Tracker new'!A475</f>
        <v>0</v>
      </c>
      <c r="B581" s="108" t="e">
        <f>VLOOKUP(A:A,Table1[[#All],[Project No]:[Additional Remark]],2,FALSE)</f>
        <v>#N/A</v>
      </c>
      <c r="C581" s="4" t="e">
        <f>VLOOKUP(A:A,Table1[[Project No]:[Additional Remark]],19,FALSE)</f>
        <v>#N/A</v>
      </c>
      <c r="D581" s="4" t="e">
        <f>VLOOKUP(A:A,Table1[[Project No]:[Additional Remark]],20,FALSE)</f>
        <v>#N/A</v>
      </c>
      <c r="E581" s="4" t="e">
        <f>VLOOKUP(A:A,Table1[[Project No]:[Additional Remark]],21,FALSE)</f>
        <v>#N/A</v>
      </c>
      <c r="F581" s="4" t="e">
        <f>VLOOKUP(A:A,Table1[[Project No]:[Additional Remark]],22,FALSE)</f>
        <v>#N/A</v>
      </c>
      <c r="G581" s="55" t="e">
        <f>VLOOKUP(A:A,Table1[[Project No]:[Additional Remark]],11,FALSE)</f>
        <v>#N/A</v>
      </c>
      <c r="H581" s="4" t="e">
        <f>VLOOKUP(A:A,Table1[[Project No]:[Additional Remark]],5,FALSE)</f>
        <v>#N/A</v>
      </c>
      <c r="I581" s="4" t="e">
        <f>VLOOKUP(A:A,Table1[[Project No]:[Additional Remark]],8,FALSE)</f>
        <v>#N/A</v>
      </c>
      <c r="J581" s="4" t="e">
        <f>VLOOKUP(A:A,Table1[[Project No]:[Additional Remark]],23,FALSE)</f>
        <v>#N/A</v>
      </c>
      <c r="K581" s="4"/>
      <c r="L581" s="4"/>
      <c r="M581" s="4"/>
      <c r="N581" s="4"/>
      <c r="O581" s="4"/>
      <c r="P581" s="4"/>
      <c r="Q581" s="4"/>
      <c r="R581" s="4"/>
      <c r="S581" s="4"/>
      <c r="T581" s="4"/>
      <c r="U581" s="4"/>
      <c r="V581" s="4"/>
    </row>
    <row r="582" spans="1:22" x14ac:dyDescent="0.3">
      <c r="A582" s="4">
        <f>'ECN Master Project Tracker new'!A476</f>
        <v>0</v>
      </c>
      <c r="B582" s="108" t="e">
        <f>VLOOKUP(A:A,Table1[[#All],[Project No]:[Additional Remark]],2,FALSE)</f>
        <v>#N/A</v>
      </c>
      <c r="C582" s="4" t="e">
        <f>VLOOKUP(A:A,Table1[[Project No]:[Additional Remark]],19,FALSE)</f>
        <v>#N/A</v>
      </c>
      <c r="D582" s="4" t="e">
        <f>VLOOKUP(A:A,Table1[[Project No]:[Additional Remark]],20,FALSE)</f>
        <v>#N/A</v>
      </c>
      <c r="E582" s="4" t="e">
        <f>VLOOKUP(A:A,Table1[[Project No]:[Additional Remark]],21,FALSE)</f>
        <v>#N/A</v>
      </c>
      <c r="F582" s="4" t="e">
        <f>VLOOKUP(A:A,Table1[[Project No]:[Additional Remark]],22,FALSE)</f>
        <v>#N/A</v>
      </c>
      <c r="G582" s="55" t="e">
        <f>VLOOKUP(A:A,Table1[[Project No]:[Additional Remark]],11,FALSE)</f>
        <v>#N/A</v>
      </c>
      <c r="H582" s="4" t="e">
        <f>VLOOKUP(A:A,Table1[[Project No]:[Additional Remark]],5,FALSE)</f>
        <v>#N/A</v>
      </c>
      <c r="I582" s="4" t="e">
        <f>VLOOKUP(A:A,Table1[[Project No]:[Additional Remark]],8,FALSE)</f>
        <v>#N/A</v>
      </c>
      <c r="J582" s="4" t="e">
        <f>VLOOKUP(A:A,Table1[[Project No]:[Additional Remark]],23,FALSE)</f>
        <v>#N/A</v>
      </c>
      <c r="K582" s="4"/>
      <c r="L582" s="4"/>
      <c r="M582" s="4"/>
      <c r="N582" s="4"/>
      <c r="O582" s="4"/>
      <c r="P582" s="4"/>
      <c r="Q582" s="4"/>
      <c r="R582" s="4"/>
      <c r="S582" s="4"/>
      <c r="T582" s="4"/>
      <c r="U582" s="4"/>
      <c r="V582" s="4"/>
    </row>
    <row r="583" spans="1:22" x14ac:dyDescent="0.3">
      <c r="A583" s="4">
        <f>'ECN Master Project Tracker new'!A477</f>
        <v>0</v>
      </c>
      <c r="B583" s="108" t="e">
        <f>VLOOKUP(A:A,Table1[[#All],[Project No]:[Additional Remark]],2,FALSE)</f>
        <v>#N/A</v>
      </c>
      <c r="C583" s="4" t="e">
        <f>VLOOKUP(A:A,Table1[[Project No]:[Additional Remark]],19,FALSE)</f>
        <v>#N/A</v>
      </c>
      <c r="D583" s="4" t="e">
        <f>VLOOKUP(A:A,Table1[[Project No]:[Additional Remark]],20,FALSE)</f>
        <v>#N/A</v>
      </c>
      <c r="E583" s="4" t="e">
        <f>VLOOKUP(A:A,Table1[[Project No]:[Additional Remark]],21,FALSE)</f>
        <v>#N/A</v>
      </c>
      <c r="F583" s="4" t="e">
        <f>VLOOKUP(A:A,Table1[[Project No]:[Additional Remark]],22,FALSE)</f>
        <v>#N/A</v>
      </c>
      <c r="G583" s="55" t="e">
        <f>VLOOKUP(A:A,Table1[[Project No]:[Additional Remark]],11,FALSE)</f>
        <v>#N/A</v>
      </c>
      <c r="H583" s="4" t="e">
        <f>VLOOKUP(A:A,Table1[[Project No]:[Additional Remark]],5,FALSE)</f>
        <v>#N/A</v>
      </c>
      <c r="I583" s="4" t="e">
        <f>VLOOKUP(A:A,Table1[[Project No]:[Additional Remark]],8,FALSE)</f>
        <v>#N/A</v>
      </c>
      <c r="J583" s="4" t="e">
        <f>VLOOKUP(A:A,Table1[[Project No]:[Additional Remark]],23,FALSE)</f>
        <v>#N/A</v>
      </c>
      <c r="K583" s="4"/>
      <c r="L583" s="4"/>
      <c r="M583" s="4"/>
      <c r="N583" s="4"/>
      <c r="O583" s="4"/>
      <c r="P583" s="4"/>
      <c r="Q583" s="4"/>
      <c r="R583" s="4"/>
      <c r="S583" s="4"/>
      <c r="T583" s="4"/>
      <c r="U583" s="4"/>
      <c r="V583" s="4"/>
    </row>
    <row r="584" spans="1:22" x14ac:dyDescent="0.3">
      <c r="A584" s="4">
        <f>'ECN Master Project Tracker new'!A478</f>
        <v>0</v>
      </c>
      <c r="B584" s="108" t="e">
        <f>VLOOKUP(A:A,Table1[[#All],[Project No]:[Additional Remark]],2,FALSE)</f>
        <v>#N/A</v>
      </c>
      <c r="C584" s="4" t="e">
        <f>VLOOKUP(A:A,Table1[[Project No]:[Additional Remark]],19,FALSE)</f>
        <v>#N/A</v>
      </c>
      <c r="D584" s="4" t="e">
        <f>VLOOKUP(A:A,Table1[[Project No]:[Additional Remark]],20,FALSE)</f>
        <v>#N/A</v>
      </c>
      <c r="E584" s="4" t="e">
        <f>VLOOKUP(A:A,Table1[[Project No]:[Additional Remark]],21,FALSE)</f>
        <v>#N/A</v>
      </c>
      <c r="F584" s="4" t="e">
        <f>VLOOKUP(A:A,Table1[[Project No]:[Additional Remark]],22,FALSE)</f>
        <v>#N/A</v>
      </c>
      <c r="G584" s="55" t="e">
        <f>VLOOKUP(A:A,Table1[[Project No]:[Additional Remark]],11,FALSE)</f>
        <v>#N/A</v>
      </c>
      <c r="H584" s="4" t="e">
        <f>VLOOKUP(A:A,Table1[[Project No]:[Additional Remark]],5,FALSE)</f>
        <v>#N/A</v>
      </c>
      <c r="I584" s="4" t="e">
        <f>VLOOKUP(A:A,Table1[[Project No]:[Additional Remark]],8,FALSE)</f>
        <v>#N/A</v>
      </c>
      <c r="J584" s="4" t="e">
        <f>VLOOKUP(A:A,Table1[[Project No]:[Additional Remark]],23,FALSE)</f>
        <v>#N/A</v>
      </c>
      <c r="K584" s="4"/>
      <c r="L584" s="4"/>
      <c r="M584" s="4"/>
      <c r="N584" s="4"/>
      <c r="O584" s="4"/>
      <c r="P584" s="4"/>
      <c r="Q584" s="4"/>
      <c r="R584" s="4"/>
      <c r="S584" s="4"/>
      <c r="T584" s="4"/>
      <c r="U584" s="4"/>
      <c r="V584" s="4"/>
    </row>
    <row r="585" spans="1:22" x14ac:dyDescent="0.3">
      <c r="A585" s="4">
        <f>'ECN Master Project Tracker new'!A479</f>
        <v>0</v>
      </c>
      <c r="B585" s="108" t="e">
        <f>VLOOKUP(A:A,Table1[[#All],[Project No]:[Additional Remark]],2,FALSE)</f>
        <v>#N/A</v>
      </c>
      <c r="C585" s="4" t="e">
        <f>VLOOKUP(A:A,Table1[[Project No]:[Additional Remark]],19,FALSE)</f>
        <v>#N/A</v>
      </c>
      <c r="D585" s="4" t="e">
        <f>VLOOKUP(A:A,Table1[[Project No]:[Additional Remark]],20,FALSE)</f>
        <v>#N/A</v>
      </c>
      <c r="E585" s="4" t="e">
        <f>VLOOKUP(A:A,Table1[[Project No]:[Additional Remark]],21,FALSE)</f>
        <v>#N/A</v>
      </c>
      <c r="F585" s="4" t="e">
        <f>VLOOKUP(A:A,Table1[[Project No]:[Additional Remark]],22,FALSE)</f>
        <v>#N/A</v>
      </c>
      <c r="G585" s="55" t="e">
        <f>VLOOKUP(A:A,Table1[[Project No]:[Additional Remark]],11,FALSE)</f>
        <v>#N/A</v>
      </c>
      <c r="H585" s="4" t="e">
        <f>VLOOKUP(A:A,Table1[[Project No]:[Additional Remark]],5,FALSE)</f>
        <v>#N/A</v>
      </c>
      <c r="I585" s="4" t="e">
        <f>VLOOKUP(A:A,Table1[[Project No]:[Additional Remark]],8,FALSE)</f>
        <v>#N/A</v>
      </c>
      <c r="J585" s="4" t="e">
        <f>VLOOKUP(A:A,Table1[[Project No]:[Additional Remark]],23,FALSE)</f>
        <v>#N/A</v>
      </c>
      <c r="K585" s="4"/>
      <c r="L585" s="4"/>
      <c r="M585" s="4"/>
      <c r="N585" s="4"/>
      <c r="O585" s="4"/>
      <c r="P585" s="4"/>
      <c r="Q585" s="4"/>
      <c r="R585" s="4"/>
      <c r="S585" s="4"/>
      <c r="T585" s="4"/>
      <c r="U585" s="4"/>
      <c r="V585" s="4"/>
    </row>
    <row r="586" spans="1:22" x14ac:dyDescent="0.3">
      <c r="A586" s="4">
        <f>'ECN Master Project Tracker new'!A480</f>
        <v>0</v>
      </c>
      <c r="B586" s="108" t="e">
        <f>VLOOKUP(A:A,Table1[[#All],[Project No]:[Additional Remark]],2,FALSE)</f>
        <v>#N/A</v>
      </c>
      <c r="C586" s="4" t="e">
        <f>VLOOKUP(A:A,Table1[[Project No]:[Additional Remark]],19,FALSE)</f>
        <v>#N/A</v>
      </c>
      <c r="D586" s="4" t="e">
        <f>VLOOKUP(A:A,Table1[[Project No]:[Additional Remark]],20,FALSE)</f>
        <v>#N/A</v>
      </c>
      <c r="E586" s="4" t="e">
        <f>VLOOKUP(A:A,Table1[[Project No]:[Additional Remark]],21,FALSE)</f>
        <v>#N/A</v>
      </c>
      <c r="F586" s="4" t="e">
        <f>VLOOKUP(A:A,Table1[[Project No]:[Additional Remark]],22,FALSE)</f>
        <v>#N/A</v>
      </c>
      <c r="G586" s="55" t="e">
        <f>VLOOKUP(A:A,Table1[[Project No]:[Additional Remark]],11,FALSE)</f>
        <v>#N/A</v>
      </c>
      <c r="H586" s="4" t="e">
        <f>VLOOKUP(A:A,Table1[[Project No]:[Additional Remark]],5,FALSE)</f>
        <v>#N/A</v>
      </c>
      <c r="I586" s="4" t="e">
        <f>VLOOKUP(A:A,Table1[[Project No]:[Additional Remark]],8,FALSE)</f>
        <v>#N/A</v>
      </c>
      <c r="J586" s="4" t="e">
        <f>VLOOKUP(A:A,Table1[[Project No]:[Additional Remark]],23,FALSE)</f>
        <v>#N/A</v>
      </c>
      <c r="K586" s="4"/>
      <c r="L586" s="4"/>
      <c r="M586" s="4"/>
      <c r="N586" s="4"/>
      <c r="O586" s="4"/>
      <c r="P586" s="4"/>
      <c r="Q586" s="4"/>
      <c r="R586" s="4"/>
      <c r="S586" s="4"/>
      <c r="T586" s="4"/>
      <c r="U586" s="4"/>
      <c r="V586" s="4"/>
    </row>
    <row r="587" spans="1:22" x14ac:dyDescent="0.3">
      <c r="A587" s="4">
        <f>'ECN Master Project Tracker new'!A481</f>
        <v>0</v>
      </c>
      <c r="B587" s="108" t="e">
        <f>VLOOKUP(A:A,Table1[[#All],[Project No]:[Additional Remark]],2,FALSE)</f>
        <v>#N/A</v>
      </c>
      <c r="C587" s="4" t="e">
        <f>VLOOKUP(A:A,Table1[[Project No]:[Additional Remark]],19,FALSE)</f>
        <v>#N/A</v>
      </c>
      <c r="D587" s="4" t="e">
        <f>VLOOKUP(A:A,Table1[[Project No]:[Additional Remark]],20,FALSE)</f>
        <v>#N/A</v>
      </c>
      <c r="E587" s="4" t="e">
        <f>VLOOKUP(A:A,Table1[[Project No]:[Additional Remark]],21,FALSE)</f>
        <v>#N/A</v>
      </c>
      <c r="F587" s="4" t="e">
        <f>VLOOKUP(A:A,Table1[[Project No]:[Additional Remark]],22,FALSE)</f>
        <v>#N/A</v>
      </c>
      <c r="G587" s="55" t="e">
        <f>VLOOKUP(A:A,Table1[[Project No]:[Additional Remark]],11,FALSE)</f>
        <v>#N/A</v>
      </c>
      <c r="H587" s="4" t="e">
        <f>VLOOKUP(A:A,Table1[[Project No]:[Additional Remark]],5,FALSE)</f>
        <v>#N/A</v>
      </c>
      <c r="I587" s="4" t="e">
        <f>VLOOKUP(A:A,Table1[[Project No]:[Additional Remark]],8,FALSE)</f>
        <v>#N/A</v>
      </c>
      <c r="J587" s="4" t="e">
        <f>VLOOKUP(A:A,Table1[[Project No]:[Additional Remark]],23,FALSE)</f>
        <v>#N/A</v>
      </c>
      <c r="K587" s="4"/>
      <c r="L587" s="4"/>
      <c r="M587" s="4"/>
      <c r="N587" s="4"/>
      <c r="O587" s="4"/>
      <c r="P587" s="4"/>
      <c r="Q587" s="4"/>
      <c r="R587" s="4"/>
      <c r="S587" s="4"/>
      <c r="T587" s="4"/>
      <c r="U587" s="4"/>
      <c r="V587" s="4"/>
    </row>
    <row r="588" spans="1:22" x14ac:dyDescent="0.3">
      <c r="A588" s="4">
        <f>'ECN Master Project Tracker new'!A482</f>
        <v>0</v>
      </c>
      <c r="B588" s="108" t="e">
        <f>VLOOKUP(A:A,Table1[[#All],[Project No]:[Additional Remark]],2,FALSE)</f>
        <v>#N/A</v>
      </c>
      <c r="C588" s="4" t="e">
        <f>VLOOKUP(A:A,Table1[[Project No]:[Additional Remark]],19,FALSE)</f>
        <v>#N/A</v>
      </c>
      <c r="D588" s="4" t="e">
        <f>VLOOKUP(A:A,Table1[[Project No]:[Additional Remark]],20,FALSE)</f>
        <v>#N/A</v>
      </c>
      <c r="E588" s="4" t="e">
        <f>VLOOKUP(A:A,Table1[[Project No]:[Additional Remark]],21,FALSE)</f>
        <v>#N/A</v>
      </c>
      <c r="F588" s="4" t="e">
        <f>VLOOKUP(A:A,Table1[[Project No]:[Additional Remark]],22,FALSE)</f>
        <v>#N/A</v>
      </c>
      <c r="G588" s="55" t="e">
        <f>VLOOKUP(A:A,Table1[[Project No]:[Additional Remark]],11,FALSE)</f>
        <v>#N/A</v>
      </c>
      <c r="H588" s="4" t="e">
        <f>VLOOKUP(A:A,Table1[[Project No]:[Additional Remark]],5,FALSE)</f>
        <v>#N/A</v>
      </c>
      <c r="I588" s="4" t="e">
        <f>VLOOKUP(A:A,Table1[[Project No]:[Additional Remark]],8,FALSE)</f>
        <v>#N/A</v>
      </c>
      <c r="J588" s="4" t="e">
        <f>VLOOKUP(A:A,Table1[[Project No]:[Additional Remark]],23,FALSE)</f>
        <v>#N/A</v>
      </c>
      <c r="K588" s="4"/>
      <c r="L588" s="4"/>
      <c r="M588" s="4"/>
      <c r="N588" s="4"/>
      <c r="O588" s="4"/>
      <c r="P588" s="4"/>
      <c r="Q588" s="4"/>
      <c r="R588" s="4"/>
      <c r="S588" s="4"/>
      <c r="T588" s="4"/>
      <c r="U588" s="4"/>
      <c r="V588" s="4"/>
    </row>
    <row r="589" spans="1:22" x14ac:dyDescent="0.3">
      <c r="A589" s="4">
        <f>'ECN Master Project Tracker new'!A483</f>
        <v>0</v>
      </c>
      <c r="B589" s="108" t="e">
        <f>VLOOKUP(A:A,Table1[[#All],[Project No]:[Additional Remark]],2,FALSE)</f>
        <v>#N/A</v>
      </c>
      <c r="C589" s="4" t="e">
        <f>VLOOKUP(A:A,Table1[[Project No]:[Additional Remark]],19,FALSE)</f>
        <v>#N/A</v>
      </c>
      <c r="D589" s="4" t="e">
        <f>VLOOKUP(A:A,Table1[[Project No]:[Additional Remark]],20,FALSE)</f>
        <v>#N/A</v>
      </c>
      <c r="E589" s="4" t="e">
        <f>VLOOKUP(A:A,Table1[[Project No]:[Additional Remark]],21,FALSE)</f>
        <v>#N/A</v>
      </c>
      <c r="F589" s="4" t="e">
        <f>VLOOKUP(A:A,Table1[[Project No]:[Additional Remark]],22,FALSE)</f>
        <v>#N/A</v>
      </c>
      <c r="G589" s="55" t="e">
        <f>VLOOKUP(A:A,Table1[[Project No]:[Additional Remark]],11,FALSE)</f>
        <v>#N/A</v>
      </c>
      <c r="H589" s="4" t="e">
        <f>VLOOKUP(A:A,Table1[[Project No]:[Additional Remark]],5,FALSE)</f>
        <v>#N/A</v>
      </c>
      <c r="I589" s="4" t="e">
        <f>VLOOKUP(A:A,Table1[[Project No]:[Additional Remark]],8,FALSE)</f>
        <v>#N/A</v>
      </c>
      <c r="J589" s="4" t="e">
        <f>VLOOKUP(A:A,Table1[[Project No]:[Additional Remark]],23,FALSE)</f>
        <v>#N/A</v>
      </c>
      <c r="K589" s="4"/>
      <c r="L589" s="4"/>
      <c r="M589" s="4"/>
      <c r="N589" s="4"/>
      <c r="O589" s="4"/>
      <c r="P589" s="4"/>
      <c r="Q589" s="4"/>
      <c r="R589" s="4"/>
      <c r="S589" s="4"/>
      <c r="T589" s="4"/>
      <c r="U589" s="4"/>
      <c r="V589" s="4"/>
    </row>
    <row r="590" spans="1:22" x14ac:dyDescent="0.3">
      <c r="A590" s="4">
        <f>'ECN Master Project Tracker new'!A484</f>
        <v>0</v>
      </c>
      <c r="B590" s="108" t="e">
        <f>VLOOKUP(A:A,Table1[[#All],[Project No]:[Additional Remark]],2,FALSE)</f>
        <v>#N/A</v>
      </c>
      <c r="C590" s="4" t="e">
        <f>VLOOKUP(A:A,Table1[[Project No]:[Additional Remark]],19,FALSE)</f>
        <v>#N/A</v>
      </c>
      <c r="D590" s="4" t="e">
        <f>VLOOKUP(A:A,Table1[[Project No]:[Additional Remark]],20,FALSE)</f>
        <v>#N/A</v>
      </c>
      <c r="E590" s="4" t="e">
        <f>VLOOKUP(A:A,Table1[[Project No]:[Additional Remark]],21,FALSE)</f>
        <v>#N/A</v>
      </c>
      <c r="F590" s="4" t="e">
        <f>VLOOKUP(A:A,Table1[[Project No]:[Additional Remark]],22,FALSE)</f>
        <v>#N/A</v>
      </c>
      <c r="G590" s="55" t="e">
        <f>VLOOKUP(A:A,Table1[[Project No]:[Additional Remark]],11,FALSE)</f>
        <v>#N/A</v>
      </c>
      <c r="H590" s="4" t="e">
        <f>VLOOKUP(A:A,Table1[[Project No]:[Additional Remark]],5,FALSE)</f>
        <v>#N/A</v>
      </c>
      <c r="I590" s="4" t="e">
        <f>VLOOKUP(A:A,Table1[[Project No]:[Additional Remark]],8,FALSE)</f>
        <v>#N/A</v>
      </c>
      <c r="J590" s="4" t="e">
        <f>VLOOKUP(A:A,Table1[[Project No]:[Additional Remark]],23,FALSE)</f>
        <v>#N/A</v>
      </c>
      <c r="K590" s="4"/>
      <c r="L590" s="4"/>
      <c r="M590" s="4"/>
      <c r="N590" s="4"/>
      <c r="O590" s="4"/>
      <c r="P590" s="4"/>
      <c r="Q590" s="4"/>
      <c r="R590" s="4"/>
      <c r="S590" s="4"/>
      <c r="T590" s="4"/>
      <c r="U590" s="4"/>
      <c r="V590" s="4"/>
    </row>
    <row r="591" spans="1:22" x14ac:dyDescent="0.3">
      <c r="A591" s="4">
        <f>'ECN Master Project Tracker new'!A485</f>
        <v>0</v>
      </c>
      <c r="B591" s="108" t="e">
        <f>VLOOKUP(A:A,Table1[[#All],[Project No]:[Additional Remark]],2,FALSE)</f>
        <v>#N/A</v>
      </c>
      <c r="C591" s="4" t="e">
        <f>VLOOKUP(A:A,Table1[[Project No]:[Additional Remark]],19,FALSE)</f>
        <v>#N/A</v>
      </c>
      <c r="D591" s="4" t="e">
        <f>VLOOKUP(A:A,Table1[[Project No]:[Additional Remark]],20,FALSE)</f>
        <v>#N/A</v>
      </c>
      <c r="E591" s="4" t="e">
        <f>VLOOKUP(A:A,Table1[[Project No]:[Additional Remark]],21,FALSE)</f>
        <v>#N/A</v>
      </c>
      <c r="F591" s="4" t="e">
        <f>VLOOKUP(A:A,Table1[[Project No]:[Additional Remark]],22,FALSE)</f>
        <v>#N/A</v>
      </c>
      <c r="G591" s="55" t="e">
        <f>VLOOKUP(A:A,Table1[[Project No]:[Additional Remark]],11,FALSE)</f>
        <v>#N/A</v>
      </c>
      <c r="H591" s="4" t="e">
        <f>VLOOKUP(A:A,Table1[[Project No]:[Additional Remark]],5,FALSE)</f>
        <v>#N/A</v>
      </c>
      <c r="I591" s="4" t="e">
        <f>VLOOKUP(A:A,Table1[[Project No]:[Additional Remark]],8,FALSE)</f>
        <v>#N/A</v>
      </c>
      <c r="J591" s="4" t="e">
        <f>VLOOKUP(A:A,Table1[[Project No]:[Additional Remark]],23,FALSE)</f>
        <v>#N/A</v>
      </c>
      <c r="K591" s="4"/>
      <c r="L591" s="4"/>
      <c r="M591" s="4"/>
      <c r="N591" s="4"/>
      <c r="O591" s="4"/>
      <c r="P591" s="4"/>
      <c r="Q591" s="4"/>
      <c r="R591" s="4"/>
      <c r="S591" s="4"/>
      <c r="T591" s="4"/>
      <c r="U591" s="4"/>
      <c r="V591" s="4"/>
    </row>
    <row r="592" spans="1:22" x14ac:dyDescent="0.3">
      <c r="A592" s="4">
        <f>'ECN Master Project Tracker new'!A486</f>
        <v>0</v>
      </c>
      <c r="B592" s="108" t="e">
        <f>VLOOKUP(A:A,Table1[[#All],[Project No]:[Additional Remark]],2,FALSE)</f>
        <v>#N/A</v>
      </c>
      <c r="C592" s="4" t="e">
        <f>VLOOKUP(A:A,Table1[[Project No]:[Additional Remark]],19,FALSE)</f>
        <v>#N/A</v>
      </c>
      <c r="D592" s="4" t="e">
        <f>VLOOKUP(A:A,Table1[[Project No]:[Additional Remark]],20,FALSE)</f>
        <v>#N/A</v>
      </c>
      <c r="E592" s="4" t="e">
        <f>VLOOKUP(A:A,Table1[[Project No]:[Additional Remark]],21,FALSE)</f>
        <v>#N/A</v>
      </c>
      <c r="F592" s="4" t="e">
        <f>VLOOKUP(A:A,Table1[[Project No]:[Additional Remark]],22,FALSE)</f>
        <v>#N/A</v>
      </c>
      <c r="G592" s="55" t="e">
        <f>VLOOKUP(A:A,Table1[[Project No]:[Additional Remark]],11,FALSE)</f>
        <v>#N/A</v>
      </c>
      <c r="H592" s="4" t="e">
        <f>VLOOKUP(A:A,Table1[[Project No]:[Additional Remark]],5,FALSE)</f>
        <v>#N/A</v>
      </c>
      <c r="I592" s="4" t="e">
        <f>VLOOKUP(A:A,Table1[[Project No]:[Additional Remark]],8,FALSE)</f>
        <v>#N/A</v>
      </c>
      <c r="J592" s="4" t="e">
        <f>VLOOKUP(A:A,Table1[[Project No]:[Additional Remark]],23,FALSE)</f>
        <v>#N/A</v>
      </c>
      <c r="K592" s="4"/>
      <c r="L592" s="4"/>
      <c r="M592" s="4"/>
      <c r="N592" s="4"/>
      <c r="O592" s="4"/>
      <c r="P592" s="4"/>
      <c r="Q592" s="4"/>
      <c r="R592" s="4"/>
      <c r="S592" s="4"/>
      <c r="T592" s="4"/>
      <c r="U592" s="4"/>
      <c r="V592" s="4"/>
    </row>
    <row r="593" spans="1:22" x14ac:dyDescent="0.3">
      <c r="A593" s="4">
        <f>'ECN Master Project Tracker new'!A487</f>
        <v>0</v>
      </c>
      <c r="B593" s="108" t="e">
        <f>VLOOKUP(A:A,Table1[[#All],[Project No]:[Additional Remark]],2,FALSE)</f>
        <v>#N/A</v>
      </c>
      <c r="C593" s="4" t="e">
        <f>VLOOKUP(A:A,Table1[[Project No]:[Additional Remark]],19,FALSE)</f>
        <v>#N/A</v>
      </c>
      <c r="D593" s="4" t="e">
        <f>VLOOKUP(A:A,Table1[[Project No]:[Additional Remark]],20,FALSE)</f>
        <v>#N/A</v>
      </c>
      <c r="E593" s="4" t="e">
        <f>VLOOKUP(A:A,Table1[[Project No]:[Additional Remark]],21,FALSE)</f>
        <v>#N/A</v>
      </c>
      <c r="F593" s="4" t="e">
        <f>VLOOKUP(A:A,Table1[[Project No]:[Additional Remark]],22,FALSE)</f>
        <v>#N/A</v>
      </c>
      <c r="G593" s="55" t="e">
        <f>VLOOKUP(A:A,Table1[[Project No]:[Additional Remark]],11,FALSE)</f>
        <v>#N/A</v>
      </c>
      <c r="H593" s="4" t="e">
        <f>VLOOKUP(A:A,Table1[[Project No]:[Additional Remark]],5,FALSE)</f>
        <v>#N/A</v>
      </c>
      <c r="I593" s="4" t="e">
        <f>VLOOKUP(A:A,Table1[[Project No]:[Additional Remark]],8,FALSE)</f>
        <v>#N/A</v>
      </c>
      <c r="J593" s="4" t="e">
        <f>VLOOKUP(A:A,Table1[[Project No]:[Additional Remark]],23,FALSE)</f>
        <v>#N/A</v>
      </c>
      <c r="K593" s="4"/>
      <c r="L593" s="4"/>
      <c r="M593" s="4"/>
      <c r="N593" s="4"/>
      <c r="O593" s="4"/>
      <c r="P593" s="4"/>
      <c r="Q593" s="4"/>
      <c r="R593" s="4"/>
      <c r="S593" s="4"/>
      <c r="T593" s="4"/>
      <c r="U593" s="4"/>
      <c r="V593" s="4"/>
    </row>
    <row r="594" spans="1:22" x14ac:dyDescent="0.3">
      <c r="A594" s="4">
        <f>'ECN Master Project Tracker new'!A488</f>
        <v>0</v>
      </c>
      <c r="B594" s="108" t="e">
        <f>VLOOKUP(A:A,Table1[[#All],[Project No]:[Additional Remark]],2,FALSE)</f>
        <v>#N/A</v>
      </c>
      <c r="C594" s="4" t="e">
        <f>VLOOKUP(A:A,Table1[[Project No]:[Additional Remark]],19,FALSE)</f>
        <v>#N/A</v>
      </c>
      <c r="D594" s="4" t="e">
        <f>VLOOKUP(A:A,Table1[[Project No]:[Additional Remark]],20,FALSE)</f>
        <v>#N/A</v>
      </c>
      <c r="E594" s="4" t="e">
        <f>VLOOKUP(A:A,Table1[[Project No]:[Additional Remark]],21,FALSE)</f>
        <v>#N/A</v>
      </c>
      <c r="F594" s="4" t="e">
        <f>VLOOKUP(A:A,Table1[[Project No]:[Additional Remark]],22,FALSE)</f>
        <v>#N/A</v>
      </c>
      <c r="G594" s="55" t="e">
        <f>VLOOKUP(A:A,Table1[[Project No]:[Additional Remark]],11,FALSE)</f>
        <v>#N/A</v>
      </c>
      <c r="H594" s="4" t="e">
        <f>VLOOKUP(A:A,Table1[[Project No]:[Additional Remark]],5,FALSE)</f>
        <v>#N/A</v>
      </c>
      <c r="I594" s="4" t="e">
        <f>VLOOKUP(A:A,Table1[[Project No]:[Additional Remark]],8,FALSE)</f>
        <v>#N/A</v>
      </c>
      <c r="J594" s="4" t="e">
        <f>VLOOKUP(A:A,Table1[[Project No]:[Additional Remark]],23,FALSE)</f>
        <v>#N/A</v>
      </c>
      <c r="K594" s="4"/>
      <c r="L594" s="4"/>
      <c r="M594" s="4"/>
      <c r="N594" s="4"/>
      <c r="O594" s="4"/>
      <c r="P594" s="4"/>
      <c r="Q594" s="4"/>
      <c r="R594" s="4"/>
      <c r="S594" s="4"/>
      <c r="T594" s="4"/>
      <c r="U594" s="4"/>
      <c r="V594" s="4"/>
    </row>
    <row r="595" spans="1:22" x14ac:dyDescent="0.3">
      <c r="A595" s="4">
        <f>'ECN Master Project Tracker new'!A489</f>
        <v>0</v>
      </c>
      <c r="B595" s="108" t="e">
        <f>VLOOKUP(A:A,Table1[[#All],[Project No]:[Additional Remark]],2,FALSE)</f>
        <v>#N/A</v>
      </c>
      <c r="C595" s="4" t="e">
        <f>VLOOKUP(A:A,Table1[[Project No]:[Additional Remark]],19,FALSE)</f>
        <v>#N/A</v>
      </c>
      <c r="D595" s="4" t="e">
        <f>VLOOKUP(A:A,Table1[[Project No]:[Additional Remark]],20,FALSE)</f>
        <v>#N/A</v>
      </c>
      <c r="E595" s="4" t="e">
        <f>VLOOKUP(A:A,Table1[[Project No]:[Additional Remark]],21,FALSE)</f>
        <v>#N/A</v>
      </c>
      <c r="F595" s="4" t="e">
        <f>VLOOKUP(A:A,Table1[[Project No]:[Additional Remark]],22,FALSE)</f>
        <v>#N/A</v>
      </c>
      <c r="G595" s="55" t="e">
        <f>VLOOKUP(A:A,Table1[[Project No]:[Additional Remark]],11,FALSE)</f>
        <v>#N/A</v>
      </c>
      <c r="H595" s="4" t="e">
        <f>VLOOKUP(A:A,Table1[[Project No]:[Additional Remark]],5,FALSE)</f>
        <v>#N/A</v>
      </c>
      <c r="I595" s="4" t="e">
        <f>VLOOKUP(A:A,Table1[[Project No]:[Additional Remark]],8,FALSE)</f>
        <v>#N/A</v>
      </c>
      <c r="J595" s="4" t="e">
        <f>VLOOKUP(A:A,Table1[[Project No]:[Additional Remark]],23,FALSE)</f>
        <v>#N/A</v>
      </c>
      <c r="K595" s="4"/>
      <c r="L595" s="4"/>
      <c r="M595" s="4"/>
      <c r="N595" s="4"/>
      <c r="O595" s="4"/>
      <c r="P595" s="4"/>
      <c r="Q595" s="4"/>
      <c r="R595" s="4"/>
      <c r="S595" s="4"/>
      <c r="T595" s="4"/>
      <c r="U595" s="4"/>
      <c r="V595" s="4"/>
    </row>
    <row r="596" spans="1:22" x14ac:dyDescent="0.3">
      <c r="A596" s="4">
        <f>'ECN Master Project Tracker new'!A490</f>
        <v>0</v>
      </c>
      <c r="B596" s="108" t="e">
        <f>VLOOKUP(A:A,Table1[[#All],[Project No]:[Additional Remark]],2,FALSE)</f>
        <v>#N/A</v>
      </c>
      <c r="C596" s="4" t="e">
        <f>VLOOKUP(A:A,Table1[[Project No]:[Additional Remark]],19,FALSE)</f>
        <v>#N/A</v>
      </c>
      <c r="D596" s="4" t="e">
        <f>VLOOKUP(A:A,Table1[[Project No]:[Additional Remark]],20,FALSE)</f>
        <v>#N/A</v>
      </c>
      <c r="E596" s="4" t="e">
        <f>VLOOKUP(A:A,Table1[[Project No]:[Additional Remark]],21,FALSE)</f>
        <v>#N/A</v>
      </c>
      <c r="F596" s="4" t="e">
        <f>VLOOKUP(A:A,Table1[[Project No]:[Additional Remark]],22,FALSE)</f>
        <v>#N/A</v>
      </c>
      <c r="G596" s="55" t="e">
        <f>VLOOKUP(A:A,Table1[[Project No]:[Additional Remark]],11,FALSE)</f>
        <v>#N/A</v>
      </c>
      <c r="H596" s="4" t="e">
        <f>VLOOKUP(A:A,Table1[[Project No]:[Additional Remark]],5,FALSE)</f>
        <v>#N/A</v>
      </c>
      <c r="I596" s="4" t="e">
        <f>VLOOKUP(A:A,Table1[[Project No]:[Additional Remark]],8,FALSE)</f>
        <v>#N/A</v>
      </c>
      <c r="J596" s="4" t="e">
        <f>VLOOKUP(A:A,Table1[[Project No]:[Additional Remark]],23,FALSE)</f>
        <v>#N/A</v>
      </c>
      <c r="K596" s="4"/>
      <c r="L596" s="4"/>
      <c r="M596" s="4"/>
      <c r="N596" s="4"/>
      <c r="O596" s="4"/>
      <c r="P596" s="4"/>
      <c r="Q596" s="4"/>
      <c r="R596" s="4"/>
      <c r="S596" s="4"/>
      <c r="T596" s="4"/>
      <c r="U596" s="4"/>
      <c r="V596" s="4"/>
    </row>
    <row r="597" spans="1:22" x14ac:dyDescent="0.3">
      <c r="A597" s="4">
        <f>'ECN Master Project Tracker new'!A491</f>
        <v>0</v>
      </c>
      <c r="B597" s="108" t="e">
        <f>VLOOKUP(A:A,Table1[[#All],[Project No]:[Additional Remark]],2,FALSE)</f>
        <v>#N/A</v>
      </c>
      <c r="C597" s="4" t="e">
        <f>VLOOKUP(A:A,Table1[[Project No]:[Additional Remark]],19,FALSE)</f>
        <v>#N/A</v>
      </c>
      <c r="D597" s="4" t="e">
        <f>VLOOKUP(A:A,Table1[[Project No]:[Additional Remark]],20,FALSE)</f>
        <v>#N/A</v>
      </c>
      <c r="E597" s="4" t="e">
        <f>VLOOKUP(A:A,Table1[[Project No]:[Additional Remark]],21,FALSE)</f>
        <v>#N/A</v>
      </c>
      <c r="F597" s="4" t="e">
        <f>VLOOKUP(A:A,Table1[[Project No]:[Additional Remark]],22,FALSE)</f>
        <v>#N/A</v>
      </c>
      <c r="G597" s="55" t="e">
        <f>VLOOKUP(A:A,Table1[[Project No]:[Additional Remark]],11,FALSE)</f>
        <v>#N/A</v>
      </c>
      <c r="H597" s="4" t="e">
        <f>VLOOKUP(A:A,Table1[[Project No]:[Additional Remark]],5,FALSE)</f>
        <v>#N/A</v>
      </c>
      <c r="I597" s="4" t="e">
        <f>VLOOKUP(A:A,Table1[[Project No]:[Additional Remark]],8,FALSE)</f>
        <v>#N/A</v>
      </c>
      <c r="J597" s="4" t="e">
        <f>VLOOKUP(A:A,Table1[[Project No]:[Additional Remark]],23,FALSE)</f>
        <v>#N/A</v>
      </c>
      <c r="K597" s="4"/>
      <c r="L597" s="4"/>
      <c r="M597" s="4"/>
      <c r="N597" s="4"/>
      <c r="O597" s="4"/>
      <c r="P597" s="4"/>
      <c r="Q597" s="4"/>
      <c r="R597" s="4"/>
      <c r="S597" s="4"/>
      <c r="T597" s="4"/>
      <c r="U597" s="4"/>
      <c r="V597" s="4"/>
    </row>
    <row r="598" spans="1:22" x14ac:dyDescent="0.3">
      <c r="A598" s="4">
        <f>'ECN Master Project Tracker new'!A492</f>
        <v>0</v>
      </c>
      <c r="B598" s="108" t="e">
        <f>VLOOKUP(A:A,Table1[[#All],[Project No]:[Additional Remark]],2,FALSE)</f>
        <v>#N/A</v>
      </c>
      <c r="C598" s="4" t="e">
        <f>VLOOKUP(A:A,Table1[[Project No]:[Additional Remark]],19,FALSE)</f>
        <v>#N/A</v>
      </c>
      <c r="D598" s="4" t="e">
        <f>VLOOKUP(A:A,Table1[[Project No]:[Additional Remark]],20,FALSE)</f>
        <v>#N/A</v>
      </c>
      <c r="E598" s="4" t="e">
        <f>VLOOKUP(A:A,Table1[[Project No]:[Additional Remark]],21,FALSE)</f>
        <v>#N/A</v>
      </c>
      <c r="F598" s="4" t="e">
        <f>VLOOKUP(A:A,Table1[[Project No]:[Additional Remark]],22,FALSE)</f>
        <v>#N/A</v>
      </c>
      <c r="G598" s="55" t="e">
        <f>VLOOKUP(A:A,Table1[[Project No]:[Additional Remark]],11,FALSE)</f>
        <v>#N/A</v>
      </c>
      <c r="H598" s="4" t="e">
        <f>VLOOKUP(A:A,Table1[[Project No]:[Additional Remark]],5,FALSE)</f>
        <v>#N/A</v>
      </c>
      <c r="I598" s="4" t="e">
        <f>VLOOKUP(A:A,Table1[[Project No]:[Additional Remark]],8,FALSE)</f>
        <v>#N/A</v>
      </c>
      <c r="J598" s="4" t="e">
        <f>VLOOKUP(A:A,Table1[[Project No]:[Additional Remark]],23,FALSE)</f>
        <v>#N/A</v>
      </c>
      <c r="K598" s="4"/>
      <c r="L598" s="4"/>
      <c r="M598" s="4"/>
      <c r="N598" s="4"/>
      <c r="O598" s="4"/>
      <c r="P598" s="4"/>
      <c r="Q598" s="4"/>
      <c r="R598" s="4"/>
      <c r="S598" s="4"/>
      <c r="T598" s="4"/>
      <c r="U598" s="4"/>
      <c r="V598" s="4"/>
    </row>
    <row r="599" spans="1:22" x14ac:dyDescent="0.3">
      <c r="A599" s="4">
        <f>'ECN Master Project Tracker new'!A493</f>
        <v>0</v>
      </c>
      <c r="B599" s="108" t="e">
        <f>VLOOKUP(A:A,Table1[[#All],[Project No]:[Additional Remark]],2,FALSE)</f>
        <v>#N/A</v>
      </c>
      <c r="C599" s="4" t="e">
        <f>VLOOKUP(A:A,Table1[[Project No]:[Additional Remark]],19,FALSE)</f>
        <v>#N/A</v>
      </c>
      <c r="D599" s="4" t="e">
        <f>VLOOKUP(A:A,Table1[[Project No]:[Additional Remark]],20,FALSE)</f>
        <v>#N/A</v>
      </c>
      <c r="E599" s="4" t="e">
        <f>VLOOKUP(A:A,Table1[[Project No]:[Additional Remark]],21,FALSE)</f>
        <v>#N/A</v>
      </c>
      <c r="F599" s="4" t="e">
        <f>VLOOKUP(A:A,Table1[[Project No]:[Additional Remark]],22,FALSE)</f>
        <v>#N/A</v>
      </c>
      <c r="G599" s="55" t="e">
        <f>VLOOKUP(A:A,Table1[[Project No]:[Additional Remark]],11,FALSE)</f>
        <v>#N/A</v>
      </c>
      <c r="H599" s="4" t="e">
        <f>VLOOKUP(A:A,Table1[[Project No]:[Additional Remark]],5,FALSE)</f>
        <v>#N/A</v>
      </c>
      <c r="I599" s="4" t="e">
        <f>VLOOKUP(A:A,Table1[[Project No]:[Additional Remark]],8,FALSE)</f>
        <v>#N/A</v>
      </c>
      <c r="J599" s="4" t="e">
        <f>VLOOKUP(A:A,Table1[[Project No]:[Additional Remark]],23,FALSE)</f>
        <v>#N/A</v>
      </c>
      <c r="K599" s="4"/>
      <c r="L599" s="4"/>
      <c r="M599" s="4"/>
      <c r="N599" s="4"/>
      <c r="O599" s="4"/>
      <c r="P599" s="4"/>
      <c r="Q599" s="4"/>
      <c r="R599" s="4"/>
      <c r="S599" s="4"/>
      <c r="T599" s="4"/>
      <c r="U599" s="4"/>
      <c r="V599" s="4"/>
    </row>
    <row r="600" spans="1:22" x14ac:dyDescent="0.3">
      <c r="A600" s="4">
        <f>'ECN Master Project Tracker new'!A494</f>
        <v>0</v>
      </c>
      <c r="B600" s="108" t="e">
        <f>VLOOKUP(A:A,Table1[[#All],[Project No]:[Additional Remark]],2,FALSE)</f>
        <v>#N/A</v>
      </c>
      <c r="C600" s="4" t="e">
        <f>VLOOKUP(A:A,Table1[[Project No]:[Additional Remark]],19,FALSE)</f>
        <v>#N/A</v>
      </c>
      <c r="D600" s="4" t="e">
        <f>VLOOKUP(A:A,Table1[[Project No]:[Additional Remark]],20,FALSE)</f>
        <v>#N/A</v>
      </c>
      <c r="E600" s="4" t="e">
        <f>VLOOKUP(A:A,Table1[[Project No]:[Additional Remark]],21,FALSE)</f>
        <v>#N/A</v>
      </c>
      <c r="F600" s="4" t="e">
        <f>VLOOKUP(A:A,Table1[[Project No]:[Additional Remark]],22,FALSE)</f>
        <v>#N/A</v>
      </c>
      <c r="G600" s="55" t="e">
        <f>VLOOKUP(A:A,Table1[[Project No]:[Additional Remark]],11,FALSE)</f>
        <v>#N/A</v>
      </c>
      <c r="H600" s="4" t="e">
        <f>VLOOKUP(A:A,Table1[[Project No]:[Additional Remark]],5,FALSE)</f>
        <v>#N/A</v>
      </c>
      <c r="I600" s="4" t="e">
        <f>VLOOKUP(A:A,Table1[[Project No]:[Additional Remark]],8,FALSE)</f>
        <v>#N/A</v>
      </c>
      <c r="J600" s="4" t="e">
        <f>VLOOKUP(A:A,Table1[[Project No]:[Additional Remark]],23,FALSE)</f>
        <v>#N/A</v>
      </c>
      <c r="K600" s="4"/>
      <c r="L600" s="4"/>
      <c r="M600" s="4"/>
      <c r="N600" s="4"/>
      <c r="O600" s="4"/>
      <c r="P600" s="4"/>
      <c r="Q600" s="4"/>
      <c r="R600" s="4"/>
      <c r="S600" s="4"/>
      <c r="T600" s="4"/>
      <c r="U600" s="4"/>
      <c r="V600" s="4"/>
    </row>
    <row r="601" spans="1:22" x14ac:dyDescent="0.3">
      <c r="A601" s="4">
        <f>'ECN Master Project Tracker new'!A495</f>
        <v>0</v>
      </c>
      <c r="B601" s="108" t="e">
        <f>VLOOKUP(A:A,Table1[[#All],[Project No]:[Additional Remark]],2,FALSE)</f>
        <v>#N/A</v>
      </c>
      <c r="C601" s="4" t="e">
        <f>VLOOKUP(A:A,Table1[[Project No]:[Additional Remark]],19,FALSE)</f>
        <v>#N/A</v>
      </c>
      <c r="D601" s="4" t="e">
        <f>VLOOKUP(A:A,Table1[[Project No]:[Additional Remark]],20,FALSE)</f>
        <v>#N/A</v>
      </c>
      <c r="E601" s="4" t="e">
        <f>VLOOKUP(A:A,Table1[[Project No]:[Additional Remark]],21,FALSE)</f>
        <v>#N/A</v>
      </c>
      <c r="F601" s="4" t="e">
        <f>VLOOKUP(A:A,Table1[[Project No]:[Additional Remark]],22,FALSE)</f>
        <v>#N/A</v>
      </c>
      <c r="G601" s="55" t="e">
        <f>VLOOKUP(A:A,Table1[[Project No]:[Additional Remark]],11,FALSE)</f>
        <v>#N/A</v>
      </c>
      <c r="H601" s="4" t="e">
        <f>VLOOKUP(A:A,Table1[[Project No]:[Additional Remark]],5,FALSE)</f>
        <v>#N/A</v>
      </c>
      <c r="I601" s="4" t="e">
        <f>VLOOKUP(A:A,Table1[[Project No]:[Additional Remark]],8,FALSE)</f>
        <v>#N/A</v>
      </c>
      <c r="J601" s="4" t="e">
        <f>VLOOKUP(A:A,Table1[[Project No]:[Additional Remark]],23,FALSE)</f>
        <v>#N/A</v>
      </c>
      <c r="K601" s="4"/>
      <c r="L601" s="4"/>
      <c r="M601" s="4"/>
      <c r="N601" s="4"/>
      <c r="O601" s="4"/>
      <c r="P601" s="4"/>
      <c r="Q601" s="4"/>
      <c r="R601" s="4"/>
      <c r="S601" s="4"/>
      <c r="T601" s="4"/>
      <c r="U601" s="4"/>
      <c r="V601" s="4"/>
    </row>
    <row r="602" spans="1:22" x14ac:dyDescent="0.3">
      <c r="A602" s="4">
        <f>'ECN Master Project Tracker new'!A496</f>
        <v>0</v>
      </c>
      <c r="B602" s="108" t="e">
        <f>VLOOKUP(A:A,Table1[[#All],[Project No]:[Additional Remark]],2,FALSE)</f>
        <v>#N/A</v>
      </c>
      <c r="C602" s="4" t="e">
        <f>VLOOKUP(A:A,Table1[[Project No]:[Additional Remark]],19,FALSE)</f>
        <v>#N/A</v>
      </c>
      <c r="D602" s="4" t="e">
        <f>VLOOKUP(A:A,Table1[[Project No]:[Additional Remark]],20,FALSE)</f>
        <v>#N/A</v>
      </c>
      <c r="E602" s="4" t="e">
        <f>VLOOKUP(A:A,Table1[[Project No]:[Additional Remark]],21,FALSE)</f>
        <v>#N/A</v>
      </c>
      <c r="F602" s="4" t="e">
        <f>VLOOKUP(A:A,Table1[[Project No]:[Additional Remark]],22,FALSE)</f>
        <v>#N/A</v>
      </c>
      <c r="G602" s="55" t="e">
        <f>VLOOKUP(A:A,Table1[[Project No]:[Additional Remark]],11,FALSE)</f>
        <v>#N/A</v>
      </c>
      <c r="H602" s="4" t="e">
        <f>VLOOKUP(A:A,Table1[[Project No]:[Additional Remark]],5,FALSE)</f>
        <v>#N/A</v>
      </c>
      <c r="I602" s="4" t="e">
        <f>VLOOKUP(A:A,Table1[[Project No]:[Additional Remark]],8,FALSE)</f>
        <v>#N/A</v>
      </c>
      <c r="J602" s="4" t="e">
        <f>VLOOKUP(A:A,Table1[[Project No]:[Additional Remark]],23,FALSE)</f>
        <v>#N/A</v>
      </c>
      <c r="K602" s="4"/>
      <c r="L602" s="4"/>
      <c r="M602" s="4"/>
      <c r="N602" s="4"/>
      <c r="O602" s="4"/>
      <c r="P602" s="4"/>
      <c r="Q602" s="4"/>
      <c r="R602" s="4"/>
      <c r="S602" s="4"/>
      <c r="T602" s="4"/>
      <c r="U602" s="4"/>
      <c r="V602" s="4"/>
    </row>
    <row r="603" spans="1:22" x14ac:dyDescent="0.3">
      <c r="A603" s="4">
        <f>'ECN Master Project Tracker new'!A497</f>
        <v>0</v>
      </c>
      <c r="B603" s="108" t="e">
        <f>VLOOKUP(A:A,Table1[[#All],[Project No]:[Additional Remark]],2,FALSE)</f>
        <v>#N/A</v>
      </c>
      <c r="C603" s="4" t="e">
        <f>VLOOKUP(A:A,Table1[[Project No]:[Additional Remark]],19,FALSE)</f>
        <v>#N/A</v>
      </c>
      <c r="D603" s="4" t="e">
        <f>VLOOKUP(A:A,Table1[[Project No]:[Additional Remark]],20,FALSE)</f>
        <v>#N/A</v>
      </c>
      <c r="E603" s="4" t="e">
        <f>VLOOKUP(A:A,Table1[[Project No]:[Additional Remark]],21,FALSE)</f>
        <v>#N/A</v>
      </c>
      <c r="F603" s="4" t="e">
        <f>VLOOKUP(A:A,Table1[[Project No]:[Additional Remark]],22,FALSE)</f>
        <v>#N/A</v>
      </c>
      <c r="G603" s="55" t="e">
        <f>VLOOKUP(A:A,Table1[[Project No]:[Additional Remark]],11,FALSE)</f>
        <v>#N/A</v>
      </c>
      <c r="H603" s="4" t="e">
        <f>VLOOKUP(A:A,Table1[[Project No]:[Additional Remark]],5,FALSE)</f>
        <v>#N/A</v>
      </c>
      <c r="I603" s="4" t="e">
        <f>VLOOKUP(A:A,Table1[[Project No]:[Additional Remark]],8,FALSE)</f>
        <v>#N/A</v>
      </c>
      <c r="J603" s="4" t="e">
        <f>VLOOKUP(A:A,Table1[[Project No]:[Additional Remark]],23,FALSE)</f>
        <v>#N/A</v>
      </c>
      <c r="K603" s="4"/>
      <c r="L603" s="4"/>
      <c r="M603" s="4"/>
      <c r="N603" s="4"/>
      <c r="O603" s="4"/>
      <c r="P603" s="4"/>
      <c r="Q603" s="4"/>
      <c r="R603" s="4"/>
      <c r="S603" s="4"/>
      <c r="T603" s="4"/>
      <c r="U603" s="4"/>
      <c r="V603" s="4"/>
    </row>
    <row r="604" spans="1:22" x14ac:dyDescent="0.3">
      <c r="A604" s="4">
        <f>'ECN Master Project Tracker new'!A498</f>
        <v>0</v>
      </c>
      <c r="B604" s="108" t="e">
        <f>VLOOKUP(A:A,Table1[[#All],[Project No]:[Additional Remark]],2,FALSE)</f>
        <v>#N/A</v>
      </c>
      <c r="C604" s="4" t="e">
        <f>VLOOKUP(A:A,Table1[[Project No]:[Additional Remark]],19,FALSE)</f>
        <v>#N/A</v>
      </c>
      <c r="D604" s="4" t="e">
        <f>VLOOKUP(A:A,Table1[[Project No]:[Additional Remark]],20,FALSE)</f>
        <v>#N/A</v>
      </c>
      <c r="E604" s="4" t="e">
        <f>VLOOKUP(A:A,Table1[[Project No]:[Additional Remark]],21,FALSE)</f>
        <v>#N/A</v>
      </c>
      <c r="F604" s="4" t="e">
        <f>VLOOKUP(A:A,Table1[[Project No]:[Additional Remark]],22,FALSE)</f>
        <v>#N/A</v>
      </c>
      <c r="G604" s="55" t="e">
        <f>VLOOKUP(A:A,Table1[[Project No]:[Additional Remark]],11,FALSE)</f>
        <v>#N/A</v>
      </c>
      <c r="H604" s="4" t="e">
        <f>VLOOKUP(A:A,Table1[[Project No]:[Additional Remark]],5,FALSE)</f>
        <v>#N/A</v>
      </c>
      <c r="I604" s="4" t="e">
        <f>VLOOKUP(A:A,Table1[[Project No]:[Additional Remark]],8,FALSE)</f>
        <v>#N/A</v>
      </c>
      <c r="J604" s="4" t="e">
        <f>VLOOKUP(A:A,Table1[[Project No]:[Additional Remark]],23,FALSE)</f>
        <v>#N/A</v>
      </c>
      <c r="K604" s="4"/>
      <c r="L604" s="4"/>
      <c r="M604" s="4"/>
      <c r="N604" s="4"/>
      <c r="O604" s="4"/>
      <c r="P604" s="4"/>
      <c r="Q604" s="4"/>
      <c r="R604" s="4"/>
      <c r="S604" s="4"/>
      <c r="T604" s="4"/>
      <c r="U604" s="4"/>
      <c r="V604" s="4"/>
    </row>
    <row r="605" spans="1:22" x14ac:dyDescent="0.3">
      <c r="A605" s="4">
        <f>'ECN Master Project Tracker new'!A499</f>
        <v>0</v>
      </c>
      <c r="B605" s="108" t="e">
        <f>VLOOKUP(A:A,Table1[[#All],[Project No]:[Additional Remark]],2,FALSE)</f>
        <v>#N/A</v>
      </c>
      <c r="C605" s="4" t="e">
        <f>VLOOKUP(A:A,Table1[[Project No]:[Additional Remark]],19,FALSE)</f>
        <v>#N/A</v>
      </c>
      <c r="D605" s="4" t="e">
        <f>VLOOKUP(A:A,Table1[[Project No]:[Additional Remark]],20,FALSE)</f>
        <v>#N/A</v>
      </c>
      <c r="E605" s="4" t="e">
        <f>VLOOKUP(A:A,Table1[[Project No]:[Additional Remark]],21,FALSE)</f>
        <v>#N/A</v>
      </c>
      <c r="F605" s="4" t="e">
        <f>VLOOKUP(A:A,Table1[[Project No]:[Additional Remark]],22,FALSE)</f>
        <v>#N/A</v>
      </c>
      <c r="G605" s="55" t="e">
        <f>VLOOKUP(A:A,Table1[[Project No]:[Additional Remark]],11,FALSE)</f>
        <v>#N/A</v>
      </c>
      <c r="H605" s="4" t="e">
        <f>VLOOKUP(A:A,Table1[[Project No]:[Additional Remark]],5,FALSE)</f>
        <v>#N/A</v>
      </c>
      <c r="I605" s="4" t="e">
        <f>VLOOKUP(A:A,Table1[[Project No]:[Additional Remark]],8,FALSE)</f>
        <v>#N/A</v>
      </c>
      <c r="J605" s="4" t="e">
        <f>VLOOKUP(A:A,Table1[[Project No]:[Additional Remark]],23,FALSE)</f>
        <v>#N/A</v>
      </c>
      <c r="K605" s="4"/>
      <c r="L605" s="4"/>
      <c r="M605" s="4"/>
      <c r="N605" s="4"/>
      <c r="O605" s="4"/>
      <c r="P605" s="4"/>
      <c r="Q605" s="4"/>
      <c r="R605" s="4"/>
      <c r="S605" s="4"/>
      <c r="T605" s="4"/>
      <c r="U605" s="4"/>
      <c r="V605" s="4"/>
    </row>
    <row r="606" spans="1:22" x14ac:dyDescent="0.3">
      <c r="A606" s="4">
        <f>'ECN Master Project Tracker new'!A500</f>
        <v>0</v>
      </c>
      <c r="B606" s="108" t="e">
        <f>VLOOKUP(A:A,Table1[[#All],[Project No]:[Additional Remark]],2,FALSE)</f>
        <v>#N/A</v>
      </c>
      <c r="C606" s="4" t="e">
        <f>VLOOKUP(A:A,Table1[[Project No]:[Additional Remark]],19,FALSE)</f>
        <v>#N/A</v>
      </c>
      <c r="D606" s="4" t="e">
        <f>VLOOKUP(A:A,Table1[[Project No]:[Additional Remark]],20,FALSE)</f>
        <v>#N/A</v>
      </c>
      <c r="E606" s="4" t="e">
        <f>VLOOKUP(A:A,Table1[[Project No]:[Additional Remark]],21,FALSE)</f>
        <v>#N/A</v>
      </c>
      <c r="F606" s="4" t="e">
        <f>VLOOKUP(A:A,Table1[[Project No]:[Additional Remark]],22,FALSE)</f>
        <v>#N/A</v>
      </c>
      <c r="G606" s="55" t="e">
        <f>VLOOKUP(A:A,Table1[[Project No]:[Additional Remark]],11,FALSE)</f>
        <v>#N/A</v>
      </c>
      <c r="H606" s="4" t="e">
        <f>VLOOKUP(A:A,Table1[[Project No]:[Additional Remark]],5,FALSE)</f>
        <v>#N/A</v>
      </c>
      <c r="I606" s="4" t="e">
        <f>VLOOKUP(A:A,Table1[[Project No]:[Additional Remark]],8,FALSE)</f>
        <v>#N/A</v>
      </c>
      <c r="J606" s="4" t="e">
        <f>VLOOKUP(A:A,Table1[[Project No]:[Additional Remark]],23,FALSE)</f>
        <v>#N/A</v>
      </c>
      <c r="K606" s="4"/>
      <c r="L606" s="4"/>
      <c r="M606" s="4"/>
      <c r="N606" s="4"/>
      <c r="O606" s="4"/>
      <c r="P606" s="4"/>
      <c r="Q606" s="4"/>
      <c r="R606" s="4"/>
      <c r="S606" s="4"/>
      <c r="T606" s="4"/>
      <c r="U606" s="4"/>
      <c r="V606" s="4"/>
    </row>
    <row r="607" spans="1:22" x14ac:dyDescent="0.3">
      <c r="A607" s="4">
        <f>'ECN Master Project Tracker new'!A501</f>
        <v>0</v>
      </c>
      <c r="B607" s="108" t="e">
        <f>VLOOKUP(A:A,Table1[[#All],[Project No]:[Additional Remark]],2,FALSE)</f>
        <v>#N/A</v>
      </c>
      <c r="C607" s="4" t="e">
        <f>VLOOKUP(A:A,Table1[[Project No]:[Additional Remark]],19,FALSE)</f>
        <v>#N/A</v>
      </c>
      <c r="D607" s="4" t="e">
        <f>VLOOKUP(A:A,Table1[[Project No]:[Additional Remark]],20,FALSE)</f>
        <v>#N/A</v>
      </c>
      <c r="E607" s="4" t="e">
        <f>VLOOKUP(A:A,Table1[[Project No]:[Additional Remark]],21,FALSE)</f>
        <v>#N/A</v>
      </c>
      <c r="F607" s="4" t="e">
        <f>VLOOKUP(A:A,Table1[[Project No]:[Additional Remark]],22,FALSE)</f>
        <v>#N/A</v>
      </c>
      <c r="G607" s="55" t="e">
        <f>VLOOKUP(A:A,Table1[[Project No]:[Additional Remark]],11,FALSE)</f>
        <v>#N/A</v>
      </c>
      <c r="H607" s="4" t="e">
        <f>VLOOKUP(A:A,Table1[[Project No]:[Additional Remark]],5,FALSE)</f>
        <v>#N/A</v>
      </c>
      <c r="I607" s="4" t="e">
        <f>VLOOKUP(A:A,Table1[[Project No]:[Additional Remark]],8,FALSE)</f>
        <v>#N/A</v>
      </c>
      <c r="J607" s="4" t="e">
        <f>VLOOKUP(A:A,Table1[[Project No]:[Additional Remark]],23,FALSE)</f>
        <v>#N/A</v>
      </c>
      <c r="K607" s="4"/>
      <c r="L607" s="4"/>
      <c r="M607" s="4"/>
      <c r="N607" s="4"/>
      <c r="O607" s="4"/>
      <c r="P607" s="4"/>
      <c r="Q607" s="4"/>
      <c r="R607" s="4"/>
      <c r="S607" s="4"/>
      <c r="T607" s="4"/>
      <c r="U607" s="4"/>
      <c r="V607" s="4"/>
    </row>
    <row r="608" spans="1:22" x14ac:dyDescent="0.3">
      <c r="A608" s="4">
        <f>'ECN Master Project Tracker new'!A502</f>
        <v>0</v>
      </c>
      <c r="B608" s="108" t="e">
        <f>VLOOKUP(A:A,Table1[[#All],[Project No]:[Additional Remark]],2,FALSE)</f>
        <v>#N/A</v>
      </c>
      <c r="C608" s="4" t="e">
        <f>VLOOKUP(A:A,Table1[[Project No]:[Additional Remark]],19,FALSE)</f>
        <v>#N/A</v>
      </c>
      <c r="D608" s="4" t="e">
        <f>VLOOKUP(A:A,Table1[[Project No]:[Additional Remark]],20,FALSE)</f>
        <v>#N/A</v>
      </c>
      <c r="E608" s="4" t="e">
        <f>VLOOKUP(A:A,Table1[[Project No]:[Additional Remark]],21,FALSE)</f>
        <v>#N/A</v>
      </c>
      <c r="F608" s="4" t="e">
        <f>VLOOKUP(A:A,Table1[[Project No]:[Additional Remark]],22,FALSE)</f>
        <v>#N/A</v>
      </c>
      <c r="G608" s="55" t="e">
        <f>VLOOKUP(A:A,Table1[[Project No]:[Additional Remark]],11,FALSE)</f>
        <v>#N/A</v>
      </c>
      <c r="H608" s="4" t="e">
        <f>VLOOKUP(A:A,Table1[[Project No]:[Additional Remark]],5,FALSE)</f>
        <v>#N/A</v>
      </c>
      <c r="I608" s="4" t="e">
        <f>VLOOKUP(A:A,Table1[[Project No]:[Additional Remark]],8,FALSE)</f>
        <v>#N/A</v>
      </c>
      <c r="J608" s="4" t="e">
        <f>VLOOKUP(A:A,Table1[[Project No]:[Additional Remark]],23,FALSE)</f>
        <v>#N/A</v>
      </c>
      <c r="K608" s="4"/>
      <c r="L608" s="4"/>
      <c r="M608" s="4"/>
      <c r="N608" s="4"/>
      <c r="O608" s="4"/>
      <c r="P608" s="4"/>
      <c r="Q608" s="4"/>
      <c r="R608" s="4"/>
      <c r="S608" s="4"/>
      <c r="T608" s="4"/>
      <c r="U608" s="4"/>
      <c r="V608" s="4"/>
    </row>
    <row r="609" spans="1:22" x14ac:dyDescent="0.3">
      <c r="A609" s="4">
        <f>'ECN Master Project Tracker new'!A503</f>
        <v>0</v>
      </c>
      <c r="B609" s="108" t="e">
        <f>VLOOKUP(A:A,Table1[[#All],[Project No]:[Additional Remark]],2,FALSE)</f>
        <v>#N/A</v>
      </c>
      <c r="C609" s="4" t="e">
        <f>VLOOKUP(A:A,Table1[[Project No]:[Additional Remark]],19,FALSE)</f>
        <v>#N/A</v>
      </c>
      <c r="D609" s="4" t="e">
        <f>VLOOKUP(A:A,Table1[[Project No]:[Additional Remark]],20,FALSE)</f>
        <v>#N/A</v>
      </c>
      <c r="E609" s="4" t="e">
        <f>VLOOKUP(A:A,Table1[[Project No]:[Additional Remark]],21,FALSE)</f>
        <v>#N/A</v>
      </c>
      <c r="F609" s="4" t="e">
        <f>VLOOKUP(A:A,Table1[[Project No]:[Additional Remark]],22,FALSE)</f>
        <v>#N/A</v>
      </c>
      <c r="G609" s="55" t="e">
        <f>VLOOKUP(A:A,Table1[[Project No]:[Additional Remark]],11,FALSE)</f>
        <v>#N/A</v>
      </c>
      <c r="H609" s="4" t="e">
        <f>VLOOKUP(A:A,Table1[[Project No]:[Additional Remark]],5,FALSE)</f>
        <v>#N/A</v>
      </c>
      <c r="I609" s="4" t="e">
        <f>VLOOKUP(A:A,Table1[[Project No]:[Additional Remark]],8,FALSE)</f>
        <v>#N/A</v>
      </c>
      <c r="J609" s="4" t="e">
        <f>VLOOKUP(A:A,Table1[[Project No]:[Additional Remark]],23,FALSE)</f>
        <v>#N/A</v>
      </c>
      <c r="K609" s="4"/>
      <c r="L609" s="4"/>
      <c r="M609" s="4"/>
      <c r="N609" s="4"/>
      <c r="O609" s="4"/>
      <c r="P609" s="4"/>
      <c r="Q609" s="4"/>
      <c r="R609" s="4"/>
      <c r="S609" s="4"/>
      <c r="T609" s="4"/>
      <c r="U609" s="4"/>
      <c r="V609" s="4"/>
    </row>
    <row r="610" spans="1:22" x14ac:dyDescent="0.3">
      <c r="A610" s="4">
        <f>'ECN Master Project Tracker new'!A504</f>
        <v>0</v>
      </c>
      <c r="B610" s="108" t="e">
        <f>VLOOKUP(A:A,Table1[[#All],[Project No]:[Additional Remark]],2,FALSE)</f>
        <v>#N/A</v>
      </c>
      <c r="C610" s="4" t="e">
        <f>VLOOKUP(A:A,Table1[[Project No]:[Additional Remark]],19,FALSE)</f>
        <v>#N/A</v>
      </c>
      <c r="D610" s="4" t="e">
        <f>VLOOKUP(A:A,Table1[[Project No]:[Additional Remark]],20,FALSE)</f>
        <v>#N/A</v>
      </c>
      <c r="E610" s="4" t="e">
        <f>VLOOKUP(A:A,Table1[[Project No]:[Additional Remark]],21,FALSE)</f>
        <v>#N/A</v>
      </c>
      <c r="F610" s="4" t="e">
        <f>VLOOKUP(A:A,Table1[[Project No]:[Additional Remark]],22,FALSE)</f>
        <v>#N/A</v>
      </c>
      <c r="G610" s="55" t="e">
        <f>VLOOKUP(A:A,Table1[[Project No]:[Additional Remark]],11,FALSE)</f>
        <v>#N/A</v>
      </c>
      <c r="H610" s="4" t="e">
        <f>VLOOKUP(A:A,Table1[[Project No]:[Additional Remark]],5,FALSE)</f>
        <v>#N/A</v>
      </c>
      <c r="I610" s="4" t="e">
        <f>VLOOKUP(A:A,Table1[[Project No]:[Additional Remark]],8,FALSE)</f>
        <v>#N/A</v>
      </c>
      <c r="J610" s="4" t="e">
        <f>VLOOKUP(A:A,Table1[[Project No]:[Additional Remark]],23,FALSE)</f>
        <v>#N/A</v>
      </c>
      <c r="K610" s="4"/>
      <c r="L610" s="4"/>
      <c r="M610" s="4"/>
      <c r="N610" s="4"/>
      <c r="O610" s="4"/>
      <c r="P610" s="4"/>
      <c r="Q610" s="4"/>
      <c r="R610" s="4"/>
      <c r="S610" s="4"/>
      <c r="T610" s="4"/>
      <c r="U610" s="4"/>
      <c r="V610" s="4"/>
    </row>
    <row r="611" spans="1:22" x14ac:dyDescent="0.3">
      <c r="A611" s="4">
        <f>'ECN Master Project Tracker new'!A505</f>
        <v>0</v>
      </c>
      <c r="B611" s="108" t="e">
        <f>VLOOKUP(A:A,Table1[[#All],[Project No]:[Additional Remark]],2,FALSE)</f>
        <v>#N/A</v>
      </c>
      <c r="C611" s="4" t="e">
        <f>VLOOKUP(A:A,Table1[[Project No]:[Additional Remark]],19,FALSE)</f>
        <v>#N/A</v>
      </c>
      <c r="D611" s="4" t="e">
        <f>VLOOKUP(A:A,Table1[[Project No]:[Additional Remark]],20,FALSE)</f>
        <v>#N/A</v>
      </c>
      <c r="E611" s="4" t="e">
        <f>VLOOKUP(A:A,Table1[[Project No]:[Additional Remark]],21,FALSE)</f>
        <v>#N/A</v>
      </c>
      <c r="F611" s="4" t="e">
        <f>VLOOKUP(A:A,Table1[[Project No]:[Additional Remark]],22,FALSE)</f>
        <v>#N/A</v>
      </c>
      <c r="G611" s="55" t="e">
        <f>VLOOKUP(A:A,Table1[[Project No]:[Additional Remark]],11,FALSE)</f>
        <v>#N/A</v>
      </c>
      <c r="H611" s="4" t="e">
        <f>VLOOKUP(A:A,Table1[[Project No]:[Additional Remark]],5,FALSE)</f>
        <v>#N/A</v>
      </c>
      <c r="I611" s="4" t="e">
        <f>VLOOKUP(A:A,Table1[[Project No]:[Additional Remark]],8,FALSE)</f>
        <v>#N/A</v>
      </c>
      <c r="J611" s="4" t="e">
        <f>VLOOKUP(A:A,Table1[[Project No]:[Additional Remark]],23,FALSE)</f>
        <v>#N/A</v>
      </c>
      <c r="K611" s="4"/>
      <c r="L611" s="4"/>
      <c r="M611" s="4"/>
      <c r="N611" s="4"/>
      <c r="O611" s="4"/>
      <c r="P611" s="4"/>
      <c r="Q611" s="4"/>
      <c r="R611" s="4"/>
      <c r="S611" s="4"/>
      <c r="T611" s="4"/>
      <c r="U611" s="4"/>
      <c r="V611" s="4"/>
    </row>
    <row r="612" spans="1:22" x14ac:dyDescent="0.3">
      <c r="A612" s="4">
        <f>'ECN Master Project Tracker new'!A506</f>
        <v>0</v>
      </c>
      <c r="B612" s="108" t="e">
        <f>VLOOKUP(A:A,Table1[[#All],[Project No]:[Additional Remark]],2,FALSE)</f>
        <v>#N/A</v>
      </c>
      <c r="C612" s="4" t="e">
        <f>VLOOKUP(A:A,Table1[[Project No]:[Additional Remark]],19,FALSE)</f>
        <v>#N/A</v>
      </c>
      <c r="D612" s="4" t="e">
        <f>VLOOKUP(A:A,Table1[[Project No]:[Additional Remark]],20,FALSE)</f>
        <v>#N/A</v>
      </c>
      <c r="E612" s="4" t="e">
        <f>VLOOKUP(A:A,Table1[[Project No]:[Additional Remark]],21,FALSE)</f>
        <v>#N/A</v>
      </c>
      <c r="F612" s="4" t="e">
        <f>VLOOKUP(A:A,Table1[[Project No]:[Additional Remark]],22,FALSE)</f>
        <v>#N/A</v>
      </c>
      <c r="G612" s="55" t="e">
        <f>VLOOKUP(A:A,Table1[[Project No]:[Additional Remark]],11,FALSE)</f>
        <v>#N/A</v>
      </c>
      <c r="H612" s="4" t="e">
        <f>VLOOKUP(A:A,Table1[[Project No]:[Additional Remark]],5,FALSE)</f>
        <v>#N/A</v>
      </c>
      <c r="I612" s="4" t="e">
        <f>VLOOKUP(A:A,Table1[[Project No]:[Additional Remark]],8,FALSE)</f>
        <v>#N/A</v>
      </c>
      <c r="J612" s="4" t="e">
        <f>VLOOKUP(A:A,Table1[[Project No]:[Additional Remark]],23,FALSE)</f>
        <v>#N/A</v>
      </c>
      <c r="K612" s="4"/>
      <c r="L612" s="4"/>
      <c r="M612" s="4"/>
      <c r="N612" s="4"/>
      <c r="O612" s="4"/>
      <c r="P612" s="4"/>
      <c r="Q612" s="4"/>
      <c r="R612" s="4"/>
      <c r="S612" s="4"/>
      <c r="T612" s="4"/>
      <c r="U612" s="4"/>
      <c r="V612" s="4"/>
    </row>
    <row r="613" spans="1:22" x14ac:dyDescent="0.3">
      <c r="A613" s="4">
        <f>'ECN Master Project Tracker new'!A507</f>
        <v>0</v>
      </c>
      <c r="B613" s="108" t="e">
        <f>VLOOKUP(A:A,Table1[[#All],[Project No]:[Additional Remark]],2,FALSE)</f>
        <v>#N/A</v>
      </c>
      <c r="C613" s="4" t="e">
        <f>VLOOKUP(A:A,Table1[[Project No]:[Additional Remark]],19,FALSE)</f>
        <v>#N/A</v>
      </c>
      <c r="D613" s="4" t="e">
        <f>VLOOKUP(A:A,Table1[[Project No]:[Additional Remark]],20,FALSE)</f>
        <v>#N/A</v>
      </c>
      <c r="E613" s="4" t="e">
        <f>VLOOKUP(A:A,Table1[[Project No]:[Additional Remark]],21,FALSE)</f>
        <v>#N/A</v>
      </c>
      <c r="F613" s="4" t="e">
        <f>VLOOKUP(A:A,Table1[[Project No]:[Additional Remark]],22,FALSE)</f>
        <v>#N/A</v>
      </c>
      <c r="G613" s="55" t="e">
        <f>VLOOKUP(A:A,Table1[[Project No]:[Additional Remark]],11,FALSE)</f>
        <v>#N/A</v>
      </c>
      <c r="H613" s="4" t="e">
        <f>VLOOKUP(A:A,Table1[[Project No]:[Additional Remark]],5,FALSE)</f>
        <v>#N/A</v>
      </c>
      <c r="I613" s="4" t="e">
        <f>VLOOKUP(A:A,Table1[[Project No]:[Additional Remark]],8,FALSE)</f>
        <v>#N/A</v>
      </c>
      <c r="J613" s="4" t="e">
        <f>VLOOKUP(A:A,Table1[[Project No]:[Additional Remark]],23,FALSE)</f>
        <v>#N/A</v>
      </c>
      <c r="K613" s="4"/>
      <c r="L613" s="4"/>
      <c r="M613" s="4"/>
      <c r="N613" s="4"/>
      <c r="O613" s="4"/>
      <c r="P613" s="4"/>
      <c r="Q613" s="4"/>
      <c r="R613" s="4"/>
      <c r="S613" s="4"/>
      <c r="T613" s="4"/>
      <c r="U613" s="4"/>
      <c r="V613" s="4"/>
    </row>
    <row r="614" spans="1:22" x14ac:dyDescent="0.3">
      <c r="A614" s="4">
        <f>'ECN Master Project Tracker new'!A508</f>
        <v>0</v>
      </c>
      <c r="B614" s="108" t="e">
        <f>VLOOKUP(A:A,Table1[[#All],[Project No]:[Additional Remark]],2,FALSE)</f>
        <v>#N/A</v>
      </c>
      <c r="C614" s="4" t="e">
        <f>VLOOKUP(A:A,Table1[[Project No]:[Additional Remark]],19,FALSE)</f>
        <v>#N/A</v>
      </c>
      <c r="D614" s="4" t="e">
        <f>VLOOKUP(A:A,Table1[[Project No]:[Additional Remark]],20,FALSE)</f>
        <v>#N/A</v>
      </c>
      <c r="E614" s="4" t="e">
        <f>VLOOKUP(A:A,Table1[[Project No]:[Additional Remark]],21,FALSE)</f>
        <v>#N/A</v>
      </c>
      <c r="F614" s="4" t="e">
        <f>VLOOKUP(A:A,Table1[[Project No]:[Additional Remark]],22,FALSE)</f>
        <v>#N/A</v>
      </c>
      <c r="G614" s="55" t="e">
        <f>VLOOKUP(A:A,Table1[[Project No]:[Additional Remark]],11,FALSE)</f>
        <v>#N/A</v>
      </c>
      <c r="H614" s="4" t="e">
        <f>VLOOKUP(A:A,Table1[[Project No]:[Additional Remark]],5,FALSE)</f>
        <v>#N/A</v>
      </c>
      <c r="I614" s="4" t="e">
        <f>VLOOKUP(A:A,Table1[[Project No]:[Additional Remark]],8,FALSE)</f>
        <v>#N/A</v>
      </c>
      <c r="J614" s="4" t="e">
        <f>VLOOKUP(A:A,Table1[[Project No]:[Additional Remark]],23,FALSE)</f>
        <v>#N/A</v>
      </c>
      <c r="K614" s="4"/>
      <c r="L614" s="4"/>
      <c r="M614" s="4"/>
      <c r="N614" s="4"/>
      <c r="O614" s="4"/>
      <c r="P614" s="4"/>
      <c r="Q614" s="4"/>
      <c r="R614" s="4"/>
      <c r="S614" s="4"/>
      <c r="T614" s="4"/>
      <c r="U614" s="4"/>
      <c r="V614" s="4"/>
    </row>
    <row r="615" spans="1:22" x14ac:dyDescent="0.3">
      <c r="A615" s="4">
        <f>'ECN Master Project Tracker new'!A509</f>
        <v>0</v>
      </c>
      <c r="B615" s="108" t="e">
        <f>VLOOKUP(A:A,Table1[[#All],[Project No]:[Additional Remark]],2,FALSE)</f>
        <v>#N/A</v>
      </c>
      <c r="C615" s="4" t="e">
        <f>VLOOKUP(A:A,Table1[[Project No]:[Additional Remark]],19,FALSE)</f>
        <v>#N/A</v>
      </c>
      <c r="D615" s="4" t="e">
        <f>VLOOKUP(A:A,Table1[[Project No]:[Additional Remark]],20,FALSE)</f>
        <v>#N/A</v>
      </c>
      <c r="E615" s="4" t="e">
        <f>VLOOKUP(A:A,Table1[[Project No]:[Additional Remark]],21,FALSE)</f>
        <v>#N/A</v>
      </c>
      <c r="F615" s="4" t="e">
        <f>VLOOKUP(A:A,Table1[[Project No]:[Additional Remark]],22,FALSE)</f>
        <v>#N/A</v>
      </c>
      <c r="G615" s="55" t="e">
        <f>VLOOKUP(A:A,Table1[[Project No]:[Additional Remark]],11,FALSE)</f>
        <v>#N/A</v>
      </c>
      <c r="H615" s="4" t="e">
        <f>VLOOKUP(A:A,Table1[[Project No]:[Additional Remark]],5,FALSE)</f>
        <v>#N/A</v>
      </c>
      <c r="I615" s="4" t="e">
        <f>VLOOKUP(A:A,Table1[[Project No]:[Additional Remark]],8,FALSE)</f>
        <v>#N/A</v>
      </c>
      <c r="J615" s="4" t="e">
        <f>VLOOKUP(A:A,Table1[[Project No]:[Additional Remark]],23,FALSE)</f>
        <v>#N/A</v>
      </c>
      <c r="K615" s="4"/>
      <c r="L615" s="4"/>
      <c r="M615" s="4"/>
      <c r="N615" s="4"/>
      <c r="O615" s="4"/>
      <c r="P615" s="4"/>
      <c r="Q615" s="4"/>
      <c r="R615" s="4"/>
      <c r="S615" s="4"/>
      <c r="T615" s="4"/>
      <c r="U615" s="4"/>
      <c r="V615" s="4"/>
    </row>
    <row r="616" spans="1:22" x14ac:dyDescent="0.3">
      <c r="A616" s="4">
        <f>'ECN Master Project Tracker new'!A510</f>
        <v>0</v>
      </c>
      <c r="B616" s="108" t="e">
        <f>VLOOKUP(A:A,Table1[[#All],[Project No]:[Additional Remark]],2,FALSE)</f>
        <v>#N/A</v>
      </c>
      <c r="C616" s="4" t="e">
        <f>VLOOKUP(A:A,Table1[[Project No]:[Additional Remark]],19,FALSE)</f>
        <v>#N/A</v>
      </c>
      <c r="D616" s="4" t="e">
        <f>VLOOKUP(A:A,Table1[[Project No]:[Additional Remark]],20,FALSE)</f>
        <v>#N/A</v>
      </c>
      <c r="E616" s="4" t="e">
        <f>VLOOKUP(A:A,Table1[[Project No]:[Additional Remark]],21,FALSE)</f>
        <v>#N/A</v>
      </c>
      <c r="F616" s="4" t="e">
        <f>VLOOKUP(A:A,Table1[[Project No]:[Additional Remark]],22,FALSE)</f>
        <v>#N/A</v>
      </c>
      <c r="G616" s="55" t="e">
        <f>VLOOKUP(A:A,Table1[[Project No]:[Additional Remark]],11,FALSE)</f>
        <v>#N/A</v>
      </c>
      <c r="H616" s="4" t="e">
        <f>VLOOKUP(A:A,Table1[[Project No]:[Additional Remark]],5,FALSE)</f>
        <v>#N/A</v>
      </c>
      <c r="I616" s="4" t="e">
        <f>VLOOKUP(A:A,Table1[[Project No]:[Additional Remark]],8,FALSE)</f>
        <v>#N/A</v>
      </c>
      <c r="J616" s="4" t="e">
        <f>VLOOKUP(A:A,Table1[[Project No]:[Additional Remark]],23,FALSE)</f>
        <v>#N/A</v>
      </c>
      <c r="K616" s="4"/>
      <c r="L616" s="4"/>
      <c r="M616" s="4"/>
      <c r="N616" s="4"/>
      <c r="O616" s="4"/>
      <c r="P616" s="4"/>
      <c r="Q616" s="4"/>
      <c r="R616" s="4"/>
      <c r="S616" s="4"/>
      <c r="T616" s="4"/>
      <c r="U616" s="4"/>
      <c r="V616" s="4"/>
    </row>
    <row r="617" spans="1:22" x14ac:dyDescent="0.3">
      <c r="A617" s="4">
        <f>'ECN Master Project Tracker new'!A511</f>
        <v>0</v>
      </c>
      <c r="B617" s="108" t="e">
        <f>VLOOKUP(A:A,Table1[[#All],[Project No]:[Additional Remark]],2,FALSE)</f>
        <v>#N/A</v>
      </c>
      <c r="C617" s="4" t="e">
        <f>VLOOKUP(A:A,Table1[[Project No]:[Additional Remark]],19,FALSE)</f>
        <v>#N/A</v>
      </c>
      <c r="D617" s="4" t="e">
        <f>VLOOKUP(A:A,Table1[[Project No]:[Additional Remark]],20,FALSE)</f>
        <v>#N/A</v>
      </c>
      <c r="E617" s="4" t="e">
        <f>VLOOKUP(A:A,Table1[[Project No]:[Additional Remark]],21,FALSE)</f>
        <v>#N/A</v>
      </c>
      <c r="F617" s="4" t="e">
        <f>VLOOKUP(A:A,Table1[[Project No]:[Additional Remark]],22,FALSE)</f>
        <v>#N/A</v>
      </c>
      <c r="G617" s="55" t="e">
        <f>VLOOKUP(A:A,Table1[[Project No]:[Additional Remark]],11,FALSE)</f>
        <v>#N/A</v>
      </c>
      <c r="H617" s="4" t="e">
        <f>VLOOKUP(A:A,Table1[[Project No]:[Additional Remark]],5,FALSE)</f>
        <v>#N/A</v>
      </c>
      <c r="I617" s="4" t="e">
        <f>VLOOKUP(A:A,Table1[[Project No]:[Additional Remark]],8,FALSE)</f>
        <v>#N/A</v>
      </c>
      <c r="J617" s="4" t="e">
        <f>VLOOKUP(A:A,Table1[[Project No]:[Additional Remark]],23,FALSE)</f>
        <v>#N/A</v>
      </c>
      <c r="K617" s="4"/>
      <c r="L617" s="4"/>
      <c r="M617" s="4"/>
      <c r="N617" s="4"/>
      <c r="O617" s="4"/>
      <c r="P617" s="4"/>
      <c r="Q617" s="4"/>
      <c r="R617" s="4"/>
      <c r="S617" s="4"/>
      <c r="T617" s="4"/>
      <c r="U617" s="4"/>
      <c r="V617" s="4"/>
    </row>
    <row r="618" spans="1:22" x14ac:dyDescent="0.3">
      <c r="A618" s="4">
        <f>'ECN Master Project Tracker new'!A512</f>
        <v>0</v>
      </c>
      <c r="B618" s="108" t="e">
        <f>VLOOKUP(A:A,Table1[[#All],[Project No]:[Additional Remark]],2,FALSE)</f>
        <v>#N/A</v>
      </c>
      <c r="C618" s="4" t="e">
        <f>VLOOKUP(A:A,Table1[[Project No]:[Additional Remark]],19,FALSE)</f>
        <v>#N/A</v>
      </c>
      <c r="D618" s="4" t="e">
        <f>VLOOKUP(A:A,Table1[[Project No]:[Additional Remark]],20,FALSE)</f>
        <v>#N/A</v>
      </c>
      <c r="E618" s="4" t="e">
        <f>VLOOKUP(A:A,Table1[[Project No]:[Additional Remark]],21,FALSE)</f>
        <v>#N/A</v>
      </c>
      <c r="F618" s="4" t="e">
        <f>VLOOKUP(A:A,Table1[[Project No]:[Additional Remark]],22,FALSE)</f>
        <v>#N/A</v>
      </c>
      <c r="G618" s="55" t="e">
        <f>VLOOKUP(A:A,Table1[[Project No]:[Additional Remark]],11,FALSE)</f>
        <v>#N/A</v>
      </c>
      <c r="H618" s="4" t="e">
        <f>VLOOKUP(A:A,Table1[[Project No]:[Additional Remark]],5,FALSE)</f>
        <v>#N/A</v>
      </c>
      <c r="I618" s="4" t="e">
        <f>VLOOKUP(A:A,Table1[[Project No]:[Additional Remark]],8,FALSE)</f>
        <v>#N/A</v>
      </c>
      <c r="J618" s="4" t="e">
        <f>VLOOKUP(A:A,Table1[[Project No]:[Additional Remark]],23,FALSE)</f>
        <v>#N/A</v>
      </c>
      <c r="K618" s="4"/>
      <c r="L618" s="4"/>
      <c r="M618" s="4"/>
      <c r="N618" s="4"/>
      <c r="O618" s="4"/>
      <c r="P618" s="4"/>
      <c r="Q618" s="4"/>
      <c r="R618" s="4"/>
      <c r="S618" s="4"/>
      <c r="T618" s="4"/>
      <c r="U618" s="4"/>
      <c r="V618" s="4"/>
    </row>
    <row r="619" spans="1:22" x14ac:dyDescent="0.3">
      <c r="A619" s="4">
        <f>'ECN Master Project Tracker new'!A513</f>
        <v>0</v>
      </c>
      <c r="B619" s="108" t="e">
        <f>VLOOKUP(A:A,Table1[[#All],[Project No]:[Additional Remark]],2,FALSE)</f>
        <v>#N/A</v>
      </c>
      <c r="C619" s="4" t="e">
        <f>VLOOKUP(A:A,Table1[[Project No]:[Additional Remark]],19,FALSE)</f>
        <v>#N/A</v>
      </c>
      <c r="D619" s="4" t="e">
        <f>VLOOKUP(A:A,Table1[[Project No]:[Additional Remark]],20,FALSE)</f>
        <v>#N/A</v>
      </c>
      <c r="E619" s="4" t="e">
        <f>VLOOKUP(A:A,Table1[[Project No]:[Additional Remark]],21,FALSE)</f>
        <v>#N/A</v>
      </c>
      <c r="F619" s="4" t="e">
        <f>VLOOKUP(A:A,Table1[[Project No]:[Additional Remark]],22,FALSE)</f>
        <v>#N/A</v>
      </c>
      <c r="G619" s="55" t="e">
        <f>VLOOKUP(A:A,Table1[[Project No]:[Additional Remark]],11,FALSE)</f>
        <v>#N/A</v>
      </c>
      <c r="H619" s="4" t="e">
        <f>VLOOKUP(A:A,Table1[[Project No]:[Additional Remark]],5,FALSE)</f>
        <v>#N/A</v>
      </c>
      <c r="I619" s="4" t="e">
        <f>VLOOKUP(A:A,Table1[[Project No]:[Additional Remark]],8,FALSE)</f>
        <v>#N/A</v>
      </c>
      <c r="J619" s="4" t="e">
        <f>VLOOKUP(A:A,Table1[[Project No]:[Additional Remark]],23,FALSE)</f>
        <v>#N/A</v>
      </c>
      <c r="K619" s="4"/>
      <c r="L619" s="4"/>
      <c r="M619" s="4"/>
      <c r="N619" s="4"/>
      <c r="O619" s="4"/>
      <c r="P619" s="4"/>
      <c r="Q619" s="4"/>
      <c r="R619" s="4"/>
      <c r="S619" s="4"/>
      <c r="T619" s="4"/>
      <c r="U619" s="4"/>
      <c r="V619" s="4"/>
    </row>
    <row r="620" spans="1:22" x14ac:dyDescent="0.3">
      <c r="A620" s="4">
        <f>'ECN Master Project Tracker new'!A514</f>
        <v>0</v>
      </c>
      <c r="B620" s="108" t="e">
        <f>VLOOKUP(A:A,Table1[[#All],[Project No]:[Additional Remark]],2,FALSE)</f>
        <v>#N/A</v>
      </c>
      <c r="C620" s="4" t="e">
        <f>VLOOKUP(A:A,Table1[[Project No]:[Additional Remark]],19,FALSE)</f>
        <v>#N/A</v>
      </c>
      <c r="D620" s="4" t="e">
        <f>VLOOKUP(A:A,Table1[[Project No]:[Additional Remark]],20,FALSE)</f>
        <v>#N/A</v>
      </c>
      <c r="E620" s="4" t="e">
        <f>VLOOKUP(A:A,Table1[[Project No]:[Additional Remark]],21,FALSE)</f>
        <v>#N/A</v>
      </c>
      <c r="F620" s="4" t="e">
        <f>VLOOKUP(A:A,Table1[[Project No]:[Additional Remark]],22,FALSE)</f>
        <v>#N/A</v>
      </c>
      <c r="G620" s="55" t="e">
        <f>VLOOKUP(A:A,Table1[[Project No]:[Additional Remark]],11,FALSE)</f>
        <v>#N/A</v>
      </c>
      <c r="H620" s="4" t="e">
        <f>VLOOKUP(A:A,Table1[[Project No]:[Additional Remark]],5,FALSE)</f>
        <v>#N/A</v>
      </c>
      <c r="I620" s="4" t="e">
        <f>VLOOKUP(A:A,Table1[[Project No]:[Additional Remark]],8,FALSE)</f>
        <v>#N/A</v>
      </c>
      <c r="J620" s="4" t="e">
        <f>VLOOKUP(A:A,Table1[[Project No]:[Additional Remark]],23,FALSE)</f>
        <v>#N/A</v>
      </c>
      <c r="K620" s="4"/>
      <c r="L620" s="4"/>
      <c r="M620" s="4"/>
      <c r="N620" s="4"/>
      <c r="O620" s="4"/>
      <c r="P620" s="4"/>
      <c r="Q620" s="4"/>
      <c r="R620" s="4"/>
      <c r="S620" s="4"/>
      <c r="T620" s="4"/>
      <c r="U620" s="4"/>
      <c r="V620" s="4"/>
    </row>
    <row r="621" spans="1:22" x14ac:dyDescent="0.3">
      <c r="A621" s="4">
        <f>'ECN Master Project Tracker new'!A515</f>
        <v>0</v>
      </c>
      <c r="B621" s="108" t="e">
        <f>VLOOKUP(A:A,Table1[[#All],[Project No]:[Additional Remark]],2,FALSE)</f>
        <v>#N/A</v>
      </c>
      <c r="C621" s="4" t="e">
        <f>VLOOKUP(A:A,Table1[[Project No]:[Additional Remark]],19,FALSE)</f>
        <v>#N/A</v>
      </c>
      <c r="D621" s="4" t="e">
        <f>VLOOKUP(A:A,Table1[[Project No]:[Additional Remark]],20,FALSE)</f>
        <v>#N/A</v>
      </c>
      <c r="E621" s="4" t="e">
        <f>VLOOKUP(A:A,Table1[[Project No]:[Additional Remark]],21,FALSE)</f>
        <v>#N/A</v>
      </c>
      <c r="F621" s="4" t="e">
        <f>VLOOKUP(A:A,Table1[[Project No]:[Additional Remark]],22,FALSE)</f>
        <v>#N/A</v>
      </c>
      <c r="G621" s="55" t="e">
        <f>VLOOKUP(A:A,Table1[[Project No]:[Additional Remark]],11,FALSE)</f>
        <v>#N/A</v>
      </c>
      <c r="H621" s="4" t="e">
        <f>VLOOKUP(A:A,Table1[[Project No]:[Additional Remark]],5,FALSE)</f>
        <v>#N/A</v>
      </c>
      <c r="I621" s="4" t="e">
        <f>VLOOKUP(A:A,Table1[[Project No]:[Additional Remark]],8,FALSE)</f>
        <v>#N/A</v>
      </c>
      <c r="J621" s="4" t="e">
        <f>VLOOKUP(A:A,Table1[[Project No]:[Additional Remark]],23,FALSE)</f>
        <v>#N/A</v>
      </c>
      <c r="K621" s="4"/>
      <c r="L621" s="4"/>
      <c r="M621" s="4"/>
      <c r="N621" s="4"/>
      <c r="O621" s="4"/>
      <c r="P621" s="4"/>
      <c r="Q621" s="4"/>
      <c r="R621" s="4"/>
      <c r="S621" s="4"/>
      <c r="T621" s="4"/>
      <c r="U621" s="4"/>
      <c r="V621" s="4"/>
    </row>
    <row r="622" spans="1:22" x14ac:dyDescent="0.3">
      <c r="A622" s="4">
        <f>'ECN Master Project Tracker new'!A516</f>
        <v>0</v>
      </c>
      <c r="B622" s="108" t="e">
        <f>VLOOKUP(A:A,Table1[[#All],[Project No]:[Additional Remark]],2,FALSE)</f>
        <v>#N/A</v>
      </c>
      <c r="C622" s="4" t="e">
        <f>VLOOKUP(A:A,Table1[[Project No]:[Additional Remark]],19,FALSE)</f>
        <v>#N/A</v>
      </c>
      <c r="D622" s="4" t="e">
        <f>VLOOKUP(A:A,Table1[[Project No]:[Additional Remark]],20,FALSE)</f>
        <v>#N/A</v>
      </c>
      <c r="E622" s="4" t="e">
        <f>VLOOKUP(A:A,Table1[[Project No]:[Additional Remark]],21,FALSE)</f>
        <v>#N/A</v>
      </c>
      <c r="F622" s="4" t="e">
        <f>VLOOKUP(A:A,Table1[[Project No]:[Additional Remark]],22,FALSE)</f>
        <v>#N/A</v>
      </c>
      <c r="G622" s="55" t="e">
        <f>VLOOKUP(A:A,Table1[[Project No]:[Additional Remark]],11,FALSE)</f>
        <v>#N/A</v>
      </c>
      <c r="H622" s="4" t="e">
        <f>VLOOKUP(A:A,Table1[[Project No]:[Additional Remark]],5,FALSE)</f>
        <v>#N/A</v>
      </c>
      <c r="I622" s="4" t="e">
        <f>VLOOKUP(A:A,Table1[[Project No]:[Additional Remark]],8,FALSE)</f>
        <v>#N/A</v>
      </c>
      <c r="J622" s="4" t="e">
        <f>VLOOKUP(A:A,Table1[[Project No]:[Additional Remark]],23,FALSE)</f>
        <v>#N/A</v>
      </c>
      <c r="K622" s="4"/>
      <c r="L622" s="4"/>
      <c r="M622" s="4"/>
      <c r="N622" s="4"/>
      <c r="O622" s="4"/>
      <c r="P622" s="4"/>
      <c r="Q622" s="4"/>
      <c r="R622" s="4"/>
      <c r="S622" s="4"/>
      <c r="T622" s="4"/>
      <c r="U622" s="4"/>
      <c r="V622" s="4"/>
    </row>
    <row r="623" spans="1:22" x14ac:dyDescent="0.3">
      <c r="A623" s="4">
        <f>'ECN Master Project Tracker new'!A517</f>
        <v>0</v>
      </c>
      <c r="B623" s="108" t="e">
        <f>VLOOKUP(A:A,Table1[[#All],[Project No]:[Additional Remark]],2,FALSE)</f>
        <v>#N/A</v>
      </c>
      <c r="C623" s="4" t="e">
        <f>VLOOKUP(A:A,Table1[[Project No]:[Additional Remark]],19,FALSE)</f>
        <v>#N/A</v>
      </c>
      <c r="D623" s="4" t="e">
        <f>VLOOKUP(A:A,Table1[[Project No]:[Additional Remark]],20,FALSE)</f>
        <v>#N/A</v>
      </c>
      <c r="E623" s="4" t="e">
        <f>VLOOKUP(A:A,Table1[[Project No]:[Additional Remark]],21,FALSE)</f>
        <v>#N/A</v>
      </c>
      <c r="F623" s="4" t="e">
        <f>VLOOKUP(A:A,Table1[[Project No]:[Additional Remark]],22,FALSE)</f>
        <v>#N/A</v>
      </c>
      <c r="G623" s="55" t="e">
        <f>VLOOKUP(A:A,Table1[[Project No]:[Additional Remark]],11,FALSE)</f>
        <v>#N/A</v>
      </c>
      <c r="H623" s="4" t="e">
        <f>VLOOKUP(A:A,Table1[[Project No]:[Additional Remark]],5,FALSE)</f>
        <v>#N/A</v>
      </c>
      <c r="I623" s="4" t="e">
        <f>VLOOKUP(A:A,Table1[[Project No]:[Additional Remark]],8,FALSE)</f>
        <v>#N/A</v>
      </c>
      <c r="J623" s="4" t="e">
        <f>VLOOKUP(A:A,Table1[[Project No]:[Additional Remark]],23,FALSE)</f>
        <v>#N/A</v>
      </c>
      <c r="K623" s="4"/>
      <c r="L623" s="4"/>
      <c r="M623" s="4"/>
      <c r="N623" s="4"/>
      <c r="O623" s="4"/>
      <c r="P623" s="4"/>
      <c r="Q623" s="4"/>
      <c r="R623" s="4"/>
      <c r="S623" s="4"/>
      <c r="T623" s="4"/>
      <c r="U623" s="4"/>
      <c r="V623" s="4"/>
    </row>
    <row r="624" spans="1:22" x14ac:dyDescent="0.3">
      <c r="A624" s="4">
        <f>'ECN Master Project Tracker new'!A518</f>
        <v>0</v>
      </c>
      <c r="B624" s="108" t="e">
        <f>VLOOKUP(A:A,Table1[[#All],[Project No]:[Additional Remark]],2,FALSE)</f>
        <v>#N/A</v>
      </c>
      <c r="C624" s="4" t="e">
        <f>VLOOKUP(A:A,Table1[[Project No]:[Additional Remark]],19,FALSE)</f>
        <v>#N/A</v>
      </c>
      <c r="D624" s="4" t="e">
        <f>VLOOKUP(A:A,Table1[[Project No]:[Additional Remark]],20,FALSE)</f>
        <v>#N/A</v>
      </c>
      <c r="E624" s="4" t="e">
        <f>VLOOKUP(A:A,Table1[[Project No]:[Additional Remark]],21,FALSE)</f>
        <v>#N/A</v>
      </c>
      <c r="F624" s="4" t="e">
        <f>VLOOKUP(A:A,Table1[[Project No]:[Additional Remark]],22,FALSE)</f>
        <v>#N/A</v>
      </c>
      <c r="G624" s="55" t="e">
        <f>VLOOKUP(A:A,Table1[[Project No]:[Additional Remark]],11,FALSE)</f>
        <v>#N/A</v>
      </c>
      <c r="H624" s="4" t="e">
        <f>VLOOKUP(A:A,Table1[[Project No]:[Additional Remark]],5,FALSE)</f>
        <v>#N/A</v>
      </c>
      <c r="I624" s="4" t="e">
        <f>VLOOKUP(A:A,Table1[[Project No]:[Additional Remark]],8,FALSE)</f>
        <v>#N/A</v>
      </c>
      <c r="J624" s="4" t="e">
        <f>VLOOKUP(A:A,Table1[[Project No]:[Additional Remark]],23,FALSE)</f>
        <v>#N/A</v>
      </c>
      <c r="K624" s="4"/>
      <c r="L624" s="4"/>
      <c r="M624" s="4"/>
      <c r="N624" s="4"/>
      <c r="O624" s="4"/>
      <c r="P624" s="4"/>
      <c r="Q624" s="4"/>
      <c r="R624" s="4"/>
      <c r="S624" s="4"/>
      <c r="T624" s="4"/>
      <c r="U624" s="4"/>
      <c r="V624" s="4"/>
    </row>
    <row r="625" spans="1:22" x14ac:dyDescent="0.3">
      <c r="A625" s="4">
        <f>'ECN Master Project Tracker new'!A519</f>
        <v>0</v>
      </c>
      <c r="B625" s="108" t="e">
        <f>VLOOKUP(A:A,Table1[[#All],[Project No]:[Additional Remark]],2,FALSE)</f>
        <v>#N/A</v>
      </c>
      <c r="C625" s="4" t="e">
        <f>VLOOKUP(A:A,Table1[[Project No]:[Additional Remark]],19,FALSE)</f>
        <v>#N/A</v>
      </c>
      <c r="D625" s="4" t="e">
        <f>VLOOKUP(A:A,Table1[[Project No]:[Additional Remark]],20,FALSE)</f>
        <v>#N/A</v>
      </c>
      <c r="E625" s="4" t="e">
        <f>VLOOKUP(A:A,Table1[[Project No]:[Additional Remark]],21,FALSE)</f>
        <v>#N/A</v>
      </c>
      <c r="F625" s="4" t="e">
        <f>VLOOKUP(A:A,Table1[[Project No]:[Additional Remark]],22,FALSE)</f>
        <v>#N/A</v>
      </c>
      <c r="G625" s="55" t="e">
        <f>VLOOKUP(A:A,Table1[[Project No]:[Additional Remark]],11,FALSE)</f>
        <v>#N/A</v>
      </c>
      <c r="H625" s="4" t="e">
        <f>VLOOKUP(A:A,Table1[[Project No]:[Additional Remark]],5,FALSE)</f>
        <v>#N/A</v>
      </c>
      <c r="I625" s="4" t="e">
        <f>VLOOKUP(A:A,Table1[[Project No]:[Additional Remark]],8,FALSE)</f>
        <v>#N/A</v>
      </c>
      <c r="J625" s="4" t="e">
        <f>VLOOKUP(A:A,Table1[[Project No]:[Additional Remark]],23,FALSE)</f>
        <v>#N/A</v>
      </c>
      <c r="K625" s="4"/>
      <c r="L625" s="4"/>
      <c r="M625" s="4"/>
      <c r="N625" s="4"/>
      <c r="O625" s="4"/>
      <c r="P625" s="4"/>
      <c r="Q625" s="4"/>
      <c r="R625" s="4"/>
      <c r="S625" s="4"/>
      <c r="T625" s="4"/>
      <c r="U625" s="4"/>
      <c r="V625" s="4"/>
    </row>
    <row r="626" spans="1:22" x14ac:dyDescent="0.3">
      <c r="A626" s="4">
        <f>'ECN Master Project Tracker new'!A520</f>
        <v>0</v>
      </c>
      <c r="B626" s="108" t="e">
        <f>VLOOKUP(A:A,Table1[[#All],[Project No]:[Additional Remark]],2,FALSE)</f>
        <v>#N/A</v>
      </c>
      <c r="C626" s="4" t="e">
        <f>VLOOKUP(A:A,Table1[[Project No]:[Additional Remark]],19,FALSE)</f>
        <v>#N/A</v>
      </c>
      <c r="D626" s="4" t="e">
        <f>VLOOKUP(A:A,Table1[[Project No]:[Additional Remark]],20,FALSE)</f>
        <v>#N/A</v>
      </c>
      <c r="E626" s="4" t="e">
        <f>VLOOKUP(A:A,Table1[[Project No]:[Additional Remark]],21,FALSE)</f>
        <v>#N/A</v>
      </c>
      <c r="F626" s="4" t="e">
        <f>VLOOKUP(A:A,Table1[[Project No]:[Additional Remark]],22,FALSE)</f>
        <v>#N/A</v>
      </c>
      <c r="G626" s="55" t="e">
        <f>VLOOKUP(A:A,Table1[[Project No]:[Additional Remark]],11,FALSE)</f>
        <v>#N/A</v>
      </c>
      <c r="H626" s="4" t="e">
        <f>VLOOKUP(A:A,Table1[[Project No]:[Additional Remark]],5,FALSE)</f>
        <v>#N/A</v>
      </c>
      <c r="I626" s="4" t="e">
        <f>VLOOKUP(A:A,Table1[[Project No]:[Additional Remark]],8,FALSE)</f>
        <v>#N/A</v>
      </c>
      <c r="J626" s="4" t="e">
        <f>VLOOKUP(A:A,Table1[[Project No]:[Additional Remark]],23,FALSE)</f>
        <v>#N/A</v>
      </c>
      <c r="K626" s="4"/>
      <c r="L626" s="4"/>
      <c r="M626" s="4"/>
      <c r="N626" s="4"/>
      <c r="O626" s="4"/>
      <c r="P626" s="4"/>
      <c r="Q626" s="4"/>
      <c r="R626" s="4"/>
      <c r="S626" s="4"/>
      <c r="T626" s="4"/>
      <c r="U626" s="4"/>
      <c r="V626" s="4"/>
    </row>
    <row r="627" spans="1:22" x14ac:dyDescent="0.3">
      <c r="A627" s="4">
        <f>'ECN Master Project Tracker new'!A521</f>
        <v>0</v>
      </c>
      <c r="B627" s="108" t="e">
        <f>VLOOKUP(A:A,Table1[[#All],[Project No]:[Additional Remark]],2,FALSE)</f>
        <v>#N/A</v>
      </c>
      <c r="C627" s="4" t="e">
        <f>VLOOKUP(A:A,Table1[[Project No]:[Additional Remark]],19,FALSE)</f>
        <v>#N/A</v>
      </c>
      <c r="D627" s="4" t="e">
        <f>VLOOKUP(A:A,Table1[[Project No]:[Additional Remark]],20,FALSE)</f>
        <v>#N/A</v>
      </c>
      <c r="E627" s="4" t="e">
        <f>VLOOKUP(A:A,Table1[[Project No]:[Additional Remark]],21,FALSE)</f>
        <v>#N/A</v>
      </c>
      <c r="F627" s="4" t="e">
        <f>VLOOKUP(A:A,Table1[[Project No]:[Additional Remark]],22,FALSE)</f>
        <v>#N/A</v>
      </c>
      <c r="G627" s="55" t="e">
        <f>VLOOKUP(A:A,Table1[[Project No]:[Additional Remark]],11,FALSE)</f>
        <v>#N/A</v>
      </c>
      <c r="H627" s="4" t="e">
        <f>VLOOKUP(A:A,Table1[[Project No]:[Additional Remark]],5,FALSE)</f>
        <v>#N/A</v>
      </c>
      <c r="I627" s="4" t="e">
        <f>VLOOKUP(A:A,Table1[[Project No]:[Additional Remark]],8,FALSE)</f>
        <v>#N/A</v>
      </c>
      <c r="J627" s="4" t="e">
        <f>VLOOKUP(A:A,Table1[[Project No]:[Additional Remark]],23,FALSE)</f>
        <v>#N/A</v>
      </c>
      <c r="K627" s="4"/>
      <c r="L627" s="4"/>
      <c r="M627" s="4"/>
      <c r="N627" s="4"/>
      <c r="O627" s="4"/>
      <c r="P627" s="4"/>
      <c r="Q627" s="4"/>
      <c r="R627" s="4"/>
      <c r="S627" s="4"/>
      <c r="T627" s="4"/>
      <c r="U627" s="4"/>
      <c r="V627" s="4"/>
    </row>
    <row r="628" spans="1:22" x14ac:dyDescent="0.3">
      <c r="A628" s="4">
        <f>'ECN Master Project Tracker new'!A522</f>
        <v>0</v>
      </c>
      <c r="B628" s="108" t="e">
        <f>VLOOKUP(A:A,Table1[[#All],[Project No]:[Additional Remark]],2,FALSE)</f>
        <v>#N/A</v>
      </c>
      <c r="C628" s="4" t="e">
        <f>VLOOKUP(A:A,Table1[[Project No]:[Additional Remark]],19,FALSE)</f>
        <v>#N/A</v>
      </c>
      <c r="D628" s="4" t="e">
        <f>VLOOKUP(A:A,Table1[[Project No]:[Additional Remark]],20,FALSE)</f>
        <v>#N/A</v>
      </c>
      <c r="E628" s="4" t="e">
        <f>VLOOKUP(A:A,Table1[[Project No]:[Additional Remark]],21,FALSE)</f>
        <v>#N/A</v>
      </c>
      <c r="F628" s="4" t="e">
        <f>VLOOKUP(A:A,Table1[[Project No]:[Additional Remark]],22,FALSE)</f>
        <v>#N/A</v>
      </c>
      <c r="G628" s="55" t="e">
        <f>VLOOKUP(A:A,Table1[[Project No]:[Additional Remark]],11,FALSE)</f>
        <v>#N/A</v>
      </c>
      <c r="H628" s="4" t="e">
        <f>VLOOKUP(A:A,Table1[[Project No]:[Additional Remark]],5,FALSE)</f>
        <v>#N/A</v>
      </c>
      <c r="I628" s="4" t="e">
        <f>VLOOKUP(A:A,Table1[[Project No]:[Additional Remark]],8,FALSE)</f>
        <v>#N/A</v>
      </c>
      <c r="J628" s="4" t="e">
        <f>VLOOKUP(A:A,Table1[[Project No]:[Additional Remark]],23,FALSE)</f>
        <v>#N/A</v>
      </c>
      <c r="K628" s="4"/>
      <c r="L628" s="4"/>
      <c r="M628" s="4"/>
      <c r="N628" s="4"/>
      <c r="O628" s="4"/>
      <c r="P628" s="4"/>
      <c r="Q628" s="4"/>
      <c r="R628" s="4"/>
      <c r="S628" s="4"/>
      <c r="T628" s="4"/>
      <c r="U628" s="4"/>
      <c r="V628" s="4"/>
    </row>
    <row r="629" spans="1:22" x14ac:dyDescent="0.3">
      <c r="A629" s="4">
        <f>'ECN Master Project Tracker new'!A523</f>
        <v>0</v>
      </c>
      <c r="B629" s="108" t="e">
        <f>VLOOKUP(A:A,Table1[[#All],[Project No]:[Additional Remark]],2,FALSE)</f>
        <v>#N/A</v>
      </c>
      <c r="C629" s="4" t="e">
        <f>VLOOKUP(A:A,Table1[[Project No]:[Additional Remark]],19,FALSE)</f>
        <v>#N/A</v>
      </c>
      <c r="D629" s="4" t="e">
        <f>VLOOKUP(A:A,Table1[[Project No]:[Additional Remark]],20,FALSE)</f>
        <v>#N/A</v>
      </c>
      <c r="E629" s="4" t="e">
        <f>VLOOKUP(A:A,Table1[[Project No]:[Additional Remark]],21,FALSE)</f>
        <v>#N/A</v>
      </c>
      <c r="F629" s="4" t="e">
        <f>VLOOKUP(A:A,Table1[[Project No]:[Additional Remark]],22,FALSE)</f>
        <v>#N/A</v>
      </c>
      <c r="G629" s="55" t="e">
        <f>VLOOKUP(A:A,Table1[[Project No]:[Additional Remark]],11,FALSE)</f>
        <v>#N/A</v>
      </c>
      <c r="H629" s="4" t="e">
        <f>VLOOKUP(A:A,Table1[[Project No]:[Additional Remark]],5,FALSE)</f>
        <v>#N/A</v>
      </c>
      <c r="I629" s="4" t="e">
        <f>VLOOKUP(A:A,Table1[[Project No]:[Additional Remark]],8,FALSE)</f>
        <v>#N/A</v>
      </c>
      <c r="J629" s="4" t="e">
        <f>VLOOKUP(A:A,Table1[[Project No]:[Additional Remark]],23,FALSE)</f>
        <v>#N/A</v>
      </c>
      <c r="K629" s="4"/>
      <c r="L629" s="4"/>
      <c r="M629" s="4"/>
      <c r="N629" s="4"/>
      <c r="O629" s="4"/>
      <c r="P629" s="4"/>
      <c r="Q629" s="4"/>
      <c r="R629" s="4"/>
      <c r="S629" s="4"/>
      <c r="T629" s="4"/>
      <c r="U629" s="4"/>
      <c r="V629" s="4"/>
    </row>
    <row r="630" spans="1:22" x14ac:dyDescent="0.3">
      <c r="A630" s="4">
        <f>'ECN Master Project Tracker new'!A524</f>
        <v>0</v>
      </c>
      <c r="B630" s="108" t="e">
        <f>VLOOKUP(A:A,Table1[[#All],[Project No]:[Additional Remark]],2,FALSE)</f>
        <v>#N/A</v>
      </c>
      <c r="C630" s="4" t="e">
        <f>VLOOKUP(A:A,Table1[[Project No]:[Additional Remark]],19,FALSE)</f>
        <v>#N/A</v>
      </c>
      <c r="D630" s="4" t="e">
        <f>VLOOKUP(A:A,Table1[[Project No]:[Additional Remark]],20,FALSE)</f>
        <v>#N/A</v>
      </c>
      <c r="E630" s="4" t="e">
        <f>VLOOKUP(A:A,Table1[[Project No]:[Additional Remark]],21,FALSE)</f>
        <v>#N/A</v>
      </c>
      <c r="F630" s="4" t="e">
        <f>VLOOKUP(A:A,Table1[[Project No]:[Additional Remark]],22,FALSE)</f>
        <v>#N/A</v>
      </c>
      <c r="G630" s="55" t="e">
        <f>VLOOKUP(A:A,Table1[[Project No]:[Additional Remark]],11,FALSE)</f>
        <v>#N/A</v>
      </c>
      <c r="H630" s="4" t="e">
        <f>VLOOKUP(A:A,Table1[[Project No]:[Additional Remark]],5,FALSE)</f>
        <v>#N/A</v>
      </c>
      <c r="I630" s="4" t="e">
        <f>VLOOKUP(A:A,Table1[[Project No]:[Additional Remark]],8,FALSE)</f>
        <v>#N/A</v>
      </c>
      <c r="J630" s="4" t="e">
        <f>VLOOKUP(A:A,Table1[[Project No]:[Additional Remark]],23,FALSE)</f>
        <v>#N/A</v>
      </c>
      <c r="K630" s="4"/>
      <c r="L630" s="4"/>
      <c r="M630" s="4"/>
      <c r="N630" s="4"/>
      <c r="O630" s="4"/>
      <c r="P630" s="4"/>
      <c r="Q630" s="4"/>
      <c r="R630" s="4"/>
      <c r="S630" s="4"/>
      <c r="T630" s="4"/>
      <c r="U630" s="4"/>
      <c r="V630" s="4"/>
    </row>
    <row r="631" spans="1:22" x14ac:dyDescent="0.3">
      <c r="A631" s="4">
        <f>'ECN Master Project Tracker new'!A525</f>
        <v>0</v>
      </c>
      <c r="B631" s="108" t="e">
        <f>VLOOKUP(A:A,Table1[[#All],[Project No]:[Additional Remark]],2,FALSE)</f>
        <v>#N/A</v>
      </c>
      <c r="C631" s="4" t="e">
        <f>VLOOKUP(A:A,Table1[[Project No]:[Additional Remark]],19,FALSE)</f>
        <v>#N/A</v>
      </c>
      <c r="D631" s="4" t="e">
        <f>VLOOKUP(A:A,Table1[[Project No]:[Additional Remark]],20,FALSE)</f>
        <v>#N/A</v>
      </c>
      <c r="E631" s="4" t="e">
        <f>VLOOKUP(A:A,Table1[[Project No]:[Additional Remark]],21,FALSE)</f>
        <v>#N/A</v>
      </c>
      <c r="F631" s="4" t="e">
        <f>VLOOKUP(A:A,Table1[[Project No]:[Additional Remark]],22,FALSE)</f>
        <v>#N/A</v>
      </c>
      <c r="G631" s="55" t="e">
        <f>VLOOKUP(A:A,Table1[[Project No]:[Additional Remark]],11,FALSE)</f>
        <v>#N/A</v>
      </c>
      <c r="H631" s="4" t="e">
        <f>VLOOKUP(A:A,Table1[[Project No]:[Additional Remark]],5,FALSE)</f>
        <v>#N/A</v>
      </c>
      <c r="I631" s="4" t="e">
        <f>VLOOKUP(A:A,Table1[[Project No]:[Additional Remark]],8,FALSE)</f>
        <v>#N/A</v>
      </c>
      <c r="J631" s="4" t="e">
        <f>VLOOKUP(A:A,Table1[[Project No]:[Additional Remark]],23,FALSE)</f>
        <v>#N/A</v>
      </c>
      <c r="K631" s="4"/>
      <c r="L631" s="4"/>
      <c r="M631" s="4"/>
      <c r="N631" s="4"/>
      <c r="O631" s="4"/>
      <c r="P631" s="4"/>
      <c r="Q631" s="4"/>
      <c r="R631" s="4"/>
      <c r="S631" s="4"/>
      <c r="T631" s="4"/>
      <c r="U631" s="4"/>
      <c r="V631" s="4"/>
    </row>
    <row r="632" spans="1:22" x14ac:dyDescent="0.3">
      <c r="A632" s="4">
        <f>'ECN Master Project Tracker new'!A526</f>
        <v>0</v>
      </c>
      <c r="B632" s="108" t="e">
        <f>VLOOKUP(A:A,Table1[[#All],[Project No]:[Additional Remark]],2,FALSE)</f>
        <v>#N/A</v>
      </c>
      <c r="C632" s="4" t="e">
        <f>VLOOKUP(A:A,Table1[[Project No]:[Additional Remark]],19,FALSE)</f>
        <v>#N/A</v>
      </c>
      <c r="D632" s="4" t="e">
        <f>VLOOKUP(A:A,Table1[[Project No]:[Additional Remark]],20,FALSE)</f>
        <v>#N/A</v>
      </c>
      <c r="E632" s="4" t="e">
        <f>VLOOKUP(A:A,Table1[[Project No]:[Additional Remark]],21,FALSE)</f>
        <v>#N/A</v>
      </c>
      <c r="F632" s="4" t="e">
        <f>VLOOKUP(A:A,Table1[[Project No]:[Additional Remark]],22,FALSE)</f>
        <v>#N/A</v>
      </c>
      <c r="G632" s="55" t="e">
        <f>VLOOKUP(A:A,Table1[[Project No]:[Additional Remark]],11,FALSE)</f>
        <v>#N/A</v>
      </c>
      <c r="H632" s="4" t="e">
        <f>VLOOKUP(A:A,Table1[[Project No]:[Additional Remark]],5,FALSE)</f>
        <v>#N/A</v>
      </c>
      <c r="I632" s="4" t="e">
        <f>VLOOKUP(A:A,Table1[[Project No]:[Additional Remark]],8,FALSE)</f>
        <v>#N/A</v>
      </c>
      <c r="J632" s="4" t="e">
        <f>VLOOKUP(A:A,Table1[[Project No]:[Additional Remark]],23,FALSE)</f>
        <v>#N/A</v>
      </c>
      <c r="K632" s="4"/>
      <c r="L632" s="4"/>
      <c r="M632" s="4"/>
      <c r="N632" s="4"/>
      <c r="O632" s="4"/>
      <c r="P632" s="4"/>
      <c r="Q632" s="4"/>
      <c r="R632" s="4"/>
      <c r="S632" s="4"/>
      <c r="T632" s="4"/>
      <c r="U632" s="4"/>
      <c r="V632" s="4"/>
    </row>
    <row r="633" spans="1:22" x14ac:dyDescent="0.3">
      <c r="A633" s="4">
        <f>'ECN Master Project Tracker new'!A527</f>
        <v>0</v>
      </c>
      <c r="B633" s="108" t="e">
        <f>VLOOKUP(A:A,Table1[[#All],[Project No]:[Additional Remark]],2,FALSE)</f>
        <v>#N/A</v>
      </c>
      <c r="C633" s="4" t="e">
        <f>VLOOKUP(A:A,Table1[[Project No]:[Additional Remark]],19,FALSE)</f>
        <v>#N/A</v>
      </c>
      <c r="D633" s="4" t="e">
        <f>VLOOKUP(A:A,Table1[[Project No]:[Additional Remark]],20,FALSE)</f>
        <v>#N/A</v>
      </c>
      <c r="E633" s="4" t="e">
        <f>VLOOKUP(A:A,Table1[[Project No]:[Additional Remark]],21,FALSE)</f>
        <v>#N/A</v>
      </c>
      <c r="F633" s="4" t="e">
        <f>VLOOKUP(A:A,Table1[[Project No]:[Additional Remark]],22,FALSE)</f>
        <v>#N/A</v>
      </c>
      <c r="G633" s="55" t="e">
        <f>VLOOKUP(A:A,Table1[[Project No]:[Additional Remark]],11,FALSE)</f>
        <v>#N/A</v>
      </c>
      <c r="H633" s="4" t="e">
        <f>VLOOKUP(A:A,Table1[[Project No]:[Additional Remark]],5,FALSE)</f>
        <v>#N/A</v>
      </c>
      <c r="I633" s="4" t="e">
        <f>VLOOKUP(A:A,Table1[[Project No]:[Additional Remark]],8,FALSE)</f>
        <v>#N/A</v>
      </c>
      <c r="J633" s="4" t="e">
        <f>VLOOKUP(A:A,Table1[[Project No]:[Additional Remark]],23,FALSE)</f>
        <v>#N/A</v>
      </c>
      <c r="K633" s="4"/>
      <c r="L633" s="4"/>
      <c r="M633" s="4"/>
      <c r="N633" s="4"/>
      <c r="O633" s="4"/>
      <c r="P633" s="4"/>
      <c r="Q633" s="4"/>
      <c r="R633" s="4"/>
      <c r="S633" s="4"/>
      <c r="T633" s="4"/>
      <c r="U633" s="4"/>
      <c r="V633" s="4"/>
    </row>
    <row r="634" spans="1:22" x14ac:dyDescent="0.3">
      <c r="A634" s="4">
        <f>'ECN Master Project Tracker new'!A528</f>
        <v>0</v>
      </c>
      <c r="B634" s="108" t="e">
        <f>VLOOKUP(A:A,Table1[[#All],[Project No]:[Additional Remark]],2,FALSE)</f>
        <v>#N/A</v>
      </c>
      <c r="C634" s="4" t="e">
        <f>VLOOKUP(A:A,Table1[[Project No]:[Additional Remark]],19,FALSE)</f>
        <v>#N/A</v>
      </c>
      <c r="D634" s="4" t="e">
        <f>VLOOKUP(A:A,Table1[[Project No]:[Additional Remark]],20,FALSE)</f>
        <v>#N/A</v>
      </c>
      <c r="E634" s="4" t="e">
        <f>VLOOKUP(A:A,Table1[[Project No]:[Additional Remark]],21,FALSE)</f>
        <v>#N/A</v>
      </c>
      <c r="F634" s="4" t="e">
        <f>VLOOKUP(A:A,Table1[[Project No]:[Additional Remark]],22,FALSE)</f>
        <v>#N/A</v>
      </c>
      <c r="G634" s="55" t="e">
        <f>VLOOKUP(A:A,Table1[[Project No]:[Additional Remark]],11,FALSE)</f>
        <v>#N/A</v>
      </c>
      <c r="H634" s="4" t="e">
        <f>VLOOKUP(A:A,Table1[[Project No]:[Additional Remark]],5,FALSE)</f>
        <v>#N/A</v>
      </c>
      <c r="I634" s="4" t="e">
        <f>VLOOKUP(A:A,Table1[[Project No]:[Additional Remark]],8,FALSE)</f>
        <v>#N/A</v>
      </c>
      <c r="J634" s="4" t="e">
        <f>VLOOKUP(A:A,Table1[[Project No]:[Additional Remark]],23,FALSE)</f>
        <v>#N/A</v>
      </c>
      <c r="K634" s="4"/>
      <c r="L634" s="4"/>
      <c r="M634" s="4"/>
      <c r="N634" s="4"/>
      <c r="O634" s="4"/>
      <c r="P634" s="4"/>
      <c r="Q634" s="4"/>
      <c r="R634" s="4"/>
      <c r="S634" s="4"/>
      <c r="T634" s="4"/>
      <c r="U634" s="4"/>
      <c r="V634" s="4"/>
    </row>
    <row r="635" spans="1:22" x14ac:dyDescent="0.3">
      <c r="A635" s="4">
        <f>'ECN Master Project Tracker new'!A529</f>
        <v>0</v>
      </c>
      <c r="B635" s="108" t="e">
        <f>VLOOKUP(A:A,Table1[[#All],[Project No]:[Additional Remark]],2,FALSE)</f>
        <v>#N/A</v>
      </c>
      <c r="C635" s="4" t="e">
        <f>VLOOKUP(A:A,Table1[[Project No]:[Additional Remark]],19,FALSE)</f>
        <v>#N/A</v>
      </c>
      <c r="D635" s="4" t="e">
        <f>VLOOKUP(A:A,Table1[[Project No]:[Additional Remark]],20,FALSE)</f>
        <v>#N/A</v>
      </c>
      <c r="E635" s="4" t="e">
        <f>VLOOKUP(A:A,Table1[[Project No]:[Additional Remark]],21,FALSE)</f>
        <v>#N/A</v>
      </c>
      <c r="F635" s="4" t="e">
        <f>VLOOKUP(A:A,Table1[[Project No]:[Additional Remark]],22,FALSE)</f>
        <v>#N/A</v>
      </c>
      <c r="G635" s="55" t="e">
        <f>VLOOKUP(A:A,Table1[[Project No]:[Additional Remark]],11,FALSE)</f>
        <v>#N/A</v>
      </c>
      <c r="H635" s="4" t="e">
        <f>VLOOKUP(A:A,Table1[[Project No]:[Additional Remark]],5,FALSE)</f>
        <v>#N/A</v>
      </c>
      <c r="I635" s="4" t="e">
        <f>VLOOKUP(A:A,Table1[[Project No]:[Additional Remark]],8,FALSE)</f>
        <v>#N/A</v>
      </c>
      <c r="J635" s="4" t="e">
        <f>VLOOKUP(A:A,Table1[[Project No]:[Additional Remark]],23,FALSE)</f>
        <v>#N/A</v>
      </c>
      <c r="K635" s="4"/>
      <c r="L635" s="4"/>
      <c r="M635" s="4"/>
      <c r="N635" s="4"/>
      <c r="O635" s="4"/>
      <c r="P635" s="4"/>
      <c r="Q635" s="4"/>
      <c r="R635" s="4"/>
      <c r="S635" s="4"/>
      <c r="T635" s="4"/>
      <c r="U635" s="4"/>
      <c r="V635" s="4"/>
    </row>
    <row r="636" spans="1:22" x14ac:dyDescent="0.3">
      <c r="A636" s="4">
        <f>'ECN Master Project Tracker new'!A530</f>
        <v>0</v>
      </c>
      <c r="B636" s="108" t="e">
        <f>VLOOKUP(A:A,Table1[[#All],[Project No]:[Additional Remark]],2,FALSE)</f>
        <v>#N/A</v>
      </c>
      <c r="C636" s="4" t="e">
        <f>VLOOKUP(A:A,Table1[[Project No]:[Additional Remark]],19,FALSE)</f>
        <v>#N/A</v>
      </c>
      <c r="D636" s="4" t="e">
        <f>VLOOKUP(A:A,Table1[[Project No]:[Additional Remark]],20,FALSE)</f>
        <v>#N/A</v>
      </c>
      <c r="E636" s="4" t="e">
        <f>VLOOKUP(A:A,Table1[[Project No]:[Additional Remark]],21,FALSE)</f>
        <v>#N/A</v>
      </c>
      <c r="F636" s="4" t="e">
        <f>VLOOKUP(A:A,Table1[[Project No]:[Additional Remark]],22,FALSE)</f>
        <v>#N/A</v>
      </c>
      <c r="G636" s="55" t="e">
        <f>VLOOKUP(A:A,Table1[[Project No]:[Additional Remark]],11,FALSE)</f>
        <v>#N/A</v>
      </c>
      <c r="H636" s="4" t="e">
        <f>VLOOKUP(A:A,Table1[[Project No]:[Additional Remark]],5,FALSE)</f>
        <v>#N/A</v>
      </c>
      <c r="I636" s="4" t="e">
        <f>VLOOKUP(A:A,Table1[[Project No]:[Additional Remark]],8,FALSE)</f>
        <v>#N/A</v>
      </c>
      <c r="J636" s="4" t="e">
        <f>VLOOKUP(A:A,Table1[[Project No]:[Additional Remark]],23,FALSE)</f>
        <v>#N/A</v>
      </c>
      <c r="K636" s="4"/>
      <c r="L636" s="4"/>
      <c r="M636" s="4"/>
      <c r="N636" s="4"/>
      <c r="O636" s="4"/>
      <c r="P636" s="4"/>
      <c r="Q636" s="4"/>
      <c r="R636" s="4"/>
      <c r="S636" s="4"/>
      <c r="T636" s="4"/>
      <c r="U636" s="4"/>
      <c r="V636" s="4"/>
    </row>
    <row r="637" spans="1:22" x14ac:dyDescent="0.3">
      <c r="A637" s="4">
        <f>'ECN Master Project Tracker new'!A531</f>
        <v>0</v>
      </c>
      <c r="B637" s="108" t="e">
        <f>VLOOKUP(A:A,Table1[[#All],[Project No]:[Additional Remark]],2,FALSE)</f>
        <v>#N/A</v>
      </c>
      <c r="C637" s="4" t="e">
        <f>VLOOKUP(A:A,Table1[[Project No]:[Additional Remark]],19,FALSE)</f>
        <v>#N/A</v>
      </c>
      <c r="D637" s="4" t="e">
        <f>VLOOKUP(A:A,Table1[[Project No]:[Additional Remark]],20,FALSE)</f>
        <v>#N/A</v>
      </c>
      <c r="E637" s="4" t="e">
        <f>VLOOKUP(A:A,Table1[[Project No]:[Additional Remark]],21,FALSE)</f>
        <v>#N/A</v>
      </c>
      <c r="F637" s="4" t="e">
        <f>VLOOKUP(A:A,Table1[[Project No]:[Additional Remark]],22,FALSE)</f>
        <v>#N/A</v>
      </c>
      <c r="G637" s="55" t="e">
        <f>VLOOKUP(A:A,Table1[[Project No]:[Additional Remark]],11,FALSE)</f>
        <v>#N/A</v>
      </c>
      <c r="H637" s="4" t="e">
        <f>VLOOKUP(A:A,Table1[[Project No]:[Additional Remark]],5,FALSE)</f>
        <v>#N/A</v>
      </c>
      <c r="I637" s="4" t="e">
        <f>VLOOKUP(A:A,Table1[[Project No]:[Additional Remark]],8,FALSE)</f>
        <v>#N/A</v>
      </c>
      <c r="J637" s="4" t="e">
        <f>VLOOKUP(A:A,Table1[[Project No]:[Additional Remark]],23,FALSE)</f>
        <v>#N/A</v>
      </c>
      <c r="K637" s="4"/>
      <c r="L637" s="4"/>
      <c r="M637" s="4"/>
      <c r="N637" s="4"/>
      <c r="O637" s="4"/>
      <c r="P637" s="4"/>
      <c r="Q637" s="4"/>
      <c r="R637" s="4"/>
      <c r="S637" s="4"/>
      <c r="T637" s="4"/>
      <c r="U637" s="4"/>
      <c r="V637" s="4"/>
    </row>
    <row r="638" spans="1:22" x14ac:dyDescent="0.3">
      <c r="A638" s="4">
        <f>'ECN Master Project Tracker new'!A532</f>
        <v>0</v>
      </c>
      <c r="B638" s="108" t="e">
        <f>VLOOKUP(A:A,Table1[[#All],[Project No]:[Additional Remark]],2,FALSE)</f>
        <v>#N/A</v>
      </c>
      <c r="C638" s="4" t="e">
        <f>VLOOKUP(A:A,Table1[[Project No]:[Additional Remark]],19,FALSE)</f>
        <v>#N/A</v>
      </c>
      <c r="D638" s="4" t="e">
        <f>VLOOKUP(A:A,Table1[[Project No]:[Additional Remark]],20,FALSE)</f>
        <v>#N/A</v>
      </c>
      <c r="E638" s="4" t="e">
        <f>VLOOKUP(A:A,Table1[[Project No]:[Additional Remark]],21,FALSE)</f>
        <v>#N/A</v>
      </c>
      <c r="F638" s="4" t="e">
        <f>VLOOKUP(A:A,Table1[[Project No]:[Additional Remark]],22,FALSE)</f>
        <v>#N/A</v>
      </c>
      <c r="G638" s="55" t="e">
        <f>VLOOKUP(A:A,Table1[[Project No]:[Additional Remark]],11,FALSE)</f>
        <v>#N/A</v>
      </c>
      <c r="H638" s="4" t="e">
        <f>VLOOKUP(A:A,Table1[[Project No]:[Additional Remark]],5,FALSE)</f>
        <v>#N/A</v>
      </c>
      <c r="I638" s="4" t="e">
        <f>VLOOKUP(A:A,Table1[[Project No]:[Additional Remark]],8,FALSE)</f>
        <v>#N/A</v>
      </c>
      <c r="J638" s="4" t="e">
        <f>VLOOKUP(A:A,Table1[[Project No]:[Additional Remark]],23,FALSE)</f>
        <v>#N/A</v>
      </c>
      <c r="K638" s="4"/>
      <c r="L638" s="4"/>
      <c r="M638" s="4"/>
      <c r="N638" s="4"/>
      <c r="O638" s="4"/>
      <c r="P638" s="4"/>
      <c r="Q638" s="4"/>
      <c r="R638" s="4"/>
      <c r="S638" s="4"/>
      <c r="T638" s="4"/>
      <c r="U638" s="4"/>
      <c r="V638" s="4"/>
    </row>
    <row r="639" spans="1:22" x14ac:dyDescent="0.3">
      <c r="A639" s="4">
        <f>'ECN Master Project Tracker new'!A533</f>
        <v>0</v>
      </c>
      <c r="B639" s="108" t="e">
        <f>VLOOKUP(A:A,Table1[[#All],[Project No]:[Additional Remark]],2,FALSE)</f>
        <v>#N/A</v>
      </c>
      <c r="C639" s="4" t="e">
        <f>VLOOKUP(A:A,Table1[[Project No]:[Additional Remark]],19,FALSE)</f>
        <v>#N/A</v>
      </c>
      <c r="D639" s="4" t="e">
        <f>VLOOKUP(A:A,Table1[[Project No]:[Additional Remark]],20,FALSE)</f>
        <v>#N/A</v>
      </c>
      <c r="E639" s="4" t="e">
        <f>VLOOKUP(A:A,Table1[[Project No]:[Additional Remark]],21,FALSE)</f>
        <v>#N/A</v>
      </c>
      <c r="F639" s="4" t="e">
        <f>VLOOKUP(A:A,Table1[[Project No]:[Additional Remark]],22,FALSE)</f>
        <v>#N/A</v>
      </c>
      <c r="G639" s="55" t="e">
        <f>VLOOKUP(A:A,Table1[[Project No]:[Additional Remark]],11,FALSE)</f>
        <v>#N/A</v>
      </c>
      <c r="H639" s="4" t="e">
        <f>VLOOKUP(A:A,Table1[[Project No]:[Additional Remark]],5,FALSE)</f>
        <v>#N/A</v>
      </c>
      <c r="I639" s="4" t="e">
        <f>VLOOKUP(A:A,Table1[[Project No]:[Additional Remark]],8,FALSE)</f>
        <v>#N/A</v>
      </c>
      <c r="J639" s="4" t="e">
        <f>VLOOKUP(A:A,Table1[[Project No]:[Additional Remark]],23,FALSE)</f>
        <v>#N/A</v>
      </c>
      <c r="K639" s="4"/>
      <c r="L639" s="4"/>
      <c r="M639" s="4"/>
      <c r="N639" s="4"/>
      <c r="O639" s="4"/>
      <c r="P639" s="4"/>
      <c r="Q639" s="4"/>
      <c r="R639" s="4"/>
      <c r="S639" s="4"/>
      <c r="T639" s="4"/>
      <c r="U639" s="4"/>
      <c r="V639" s="4"/>
    </row>
    <row r="640" spans="1:22" x14ac:dyDescent="0.3">
      <c r="A640" s="4">
        <f>'ECN Master Project Tracker new'!A534</f>
        <v>0</v>
      </c>
      <c r="B640" s="108" t="e">
        <f>VLOOKUP(A:A,Table1[[#All],[Project No]:[Additional Remark]],2,FALSE)</f>
        <v>#N/A</v>
      </c>
      <c r="C640" s="4" t="e">
        <f>VLOOKUP(A:A,Table1[[Project No]:[Additional Remark]],19,FALSE)</f>
        <v>#N/A</v>
      </c>
      <c r="D640" s="4" t="e">
        <f>VLOOKUP(A:A,Table1[[Project No]:[Additional Remark]],20,FALSE)</f>
        <v>#N/A</v>
      </c>
      <c r="E640" s="4" t="e">
        <f>VLOOKUP(A:A,Table1[[Project No]:[Additional Remark]],21,FALSE)</f>
        <v>#N/A</v>
      </c>
      <c r="F640" s="4" t="e">
        <f>VLOOKUP(A:A,Table1[[Project No]:[Additional Remark]],22,FALSE)</f>
        <v>#N/A</v>
      </c>
      <c r="G640" s="55" t="e">
        <f>VLOOKUP(A:A,Table1[[Project No]:[Additional Remark]],11,FALSE)</f>
        <v>#N/A</v>
      </c>
      <c r="H640" s="4" t="e">
        <f>VLOOKUP(A:A,Table1[[Project No]:[Additional Remark]],5,FALSE)</f>
        <v>#N/A</v>
      </c>
      <c r="I640" s="4" t="e">
        <f>VLOOKUP(A:A,Table1[[Project No]:[Additional Remark]],8,FALSE)</f>
        <v>#N/A</v>
      </c>
      <c r="J640" s="4" t="e">
        <f>VLOOKUP(A:A,Table1[[Project No]:[Additional Remark]],23,FALSE)</f>
        <v>#N/A</v>
      </c>
      <c r="K640" s="4"/>
      <c r="L640" s="4"/>
      <c r="M640" s="4"/>
      <c r="N640" s="4"/>
      <c r="O640" s="4"/>
      <c r="P640" s="4"/>
      <c r="Q640" s="4"/>
      <c r="R640" s="4"/>
      <c r="S640" s="4"/>
      <c r="T640" s="4"/>
      <c r="U640" s="4"/>
      <c r="V640" s="4"/>
    </row>
    <row r="641" spans="1:22" x14ac:dyDescent="0.3">
      <c r="A641" s="4">
        <f>'ECN Master Project Tracker new'!A535</f>
        <v>0</v>
      </c>
      <c r="B641" s="108" t="e">
        <f>VLOOKUP(A:A,Table1[[#All],[Project No]:[Additional Remark]],2,FALSE)</f>
        <v>#N/A</v>
      </c>
      <c r="C641" s="4" t="e">
        <f>VLOOKUP(A:A,Table1[[Project No]:[Additional Remark]],19,FALSE)</f>
        <v>#N/A</v>
      </c>
      <c r="D641" s="4" t="e">
        <f>VLOOKUP(A:A,Table1[[Project No]:[Additional Remark]],20,FALSE)</f>
        <v>#N/A</v>
      </c>
      <c r="E641" s="4" t="e">
        <f>VLOOKUP(A:A,Table1[[Project No]:[Additional Remark]],21,FALSE)</f>
        <v>#N/A</v>
      </c>
      <c r="F641" s="4" t="e">
        <f>VLOOKUP(A:A,Table1[[Project No]:[Additional Remark]],22,FALSE)</f>
        <v>#N/A</v>
      </c>
      <c r="G641" s="55" t="e">
        <f>VLOOKUP(A:A,Table1[[Project No]:[Additional Remark]],11,FALSE)</f>
        <v>#N/A</v>
      </c>
      <c r="H641" s="4" t="e">
        <f>VLOOKUP(A:A,Table1[[Project No]:[Additional Remark]],5,FALSE)</f>
        <v>#N/A</v>
      </c>
      <c r="I641" s="4" t="e">
        <f>VLOOKUP(A:A,Table1[[Project No]:[Additional Remark]],8,FALSE)</f>
        <v>#N/A</v>
      </c>
      <c r="J641" s="4" t="e">
        <f>VLOOKUP(A:A,Table1[[Project No]:[Additional Remark]],23,FALSE)</f>
        <v>#N/A</v>
      </c>
      <c r="K641" s="4"/>
      <c r="L641" s="4"/>
      <c r="M641" s="4"/>
      <c r="N641" s="4"/>
      <c r="O641" s="4"/>
      <c r="P641" s="4"/>
      <c r="Q641" s="4"/>
      <c r="R641" s="4"/>
      <c r="S641" s="4"/>
      <c r="T641" s="4"/>
      <c r="U641" s="4"/>
      <c r="V641" s="4"/>
    </row>
    <row r="642" spans="1:22" x14ac:dyDescent="0.3">
      <c r="A642" s="4">
        <f>'ECN Master Project Tracker new'!A536</f>
        <v>0</v>
      </c>
      <c r="B642" s="108" t="e">
        <f>VLOOKUP(A:A,Table1[[#All],[Project No]:[Additional Remark]],2,FALSE)</f>
        <v>#N/A</v>
      </c>
      <c r="C642" s="4" t="e">
        <f>VLOOKUP(A:A,Table1[[Project No]:[Additional Remark]],19,FALSE)</f>
        <v>#N/A</v>
      </c>
      <c r="D642" s="4" t="e">
        <f>VLOOKUP(A:A,Table1[[Project No]:[Additional Remark]],20,FALSE)</f>
        <v>#N/A</v>
      </c>
      <c r="E642" s="4" t="e">
        <f>VLOOKUP(A:A,Table1[[Project No]:[Additional Remark]],21,FALSE)</f>
        <v>#N/A</v>
      </c>
      <c r="F642" s="4" t="e">
        <f>VLOOKUP(A:A,Table1[[Project No]:[Additional Remark]],22,FALSE)</f>
        <v>#N/A</v>
      </c>
      <c r="G642" s="55" t="e">
        <f>VLOOKUP(A:A,Table1[[Project No]:[Additional Remark]],11,FALSE)</f>
        <v>#N/A</v>
      </c>
      <c r="H642" s="4" t="e">
        <f>VLOOKUP(A:A,Table1[[Project No]:[Additional Remark]],5,FALSE)</f>
        <v>#N/A</v>
      </c>
      <c r="I642" s="4" t="e">
        <f>VLOOKUP(A:A,Table1[[Project No]:[Additional Remark]],8,FALSE)</f>
        <v>#N/A</v>
      </c>
      <c r="J642" s="4" t="e">
        <f>VLOOKUP(A:A,Table1[[Project No]:[Additional Remark]],23,FALSE)</f>
        <v>#N/A</v>
      </c>
      <c r="K642" s="4"/>
      <c r="L642" s="4"/>
      <c r="M642" s="4"/>
      <c r="N642" s="4"/>
      <c r="O642" s="4"/>
      <c r="P642" s="4"/>
      <c r="Q642" s="4"/>
      <c r="R642" s="4"/>
      <c r="S642" s="4"/>
      <c r="T642" s="4"/>
      <c r="U642" s="4"/>
      <c r="V642" s="4"/>
    </row>
    <row r="643" spans="1:22" x14ac:dyDescent="0.3">
      <c r="A643" s="4">
        <f>'ECN Master Project Tracker new'!A537</f>
        <v>0</v>
      </c>
      <c r="B643" s="108" t="e">
        <f>VLOOKUP(A:A,Table1[[#All],[Project No]:[Additional Remark]],2,FALSE)</f>
        <v>#N/A</v>
      </c>
      <c r="C643" s="4" t="e">
        <f>VLOOKUP(A:A,Table1[[Project No]:[Additional Remark]],19,FALSE)</f>
        <v>#N/A</v>
      </c>
      <c r="D643" s="4" t="e">
        <f>VLOOKUP(A:A,Table1[[Project No]:[Additional Remark]],20,FALSE)</f>
        <v>#N/A</v>
      </c>
      <c r="E643" s="4" t="e">
        <f>VLOOKUP(A:A,Table1[[Project No]:[Additional Remark]],21,FALSE)</f>
        <v>#N/A</v>
      </c>
      <c r="F643" s="4" t="e">
        <f>VLOOKUP(A:A,Table1[[Project No]:[Additional Remark]],22,FALSE)</f>
        <v>#N/A</v>
      </c>
      <c r="G643" s="55" t="e">
        <f>VLOOKUP(A:A,Table1[[Project No]:[Additional Remark]],11,FALSE)</f>
        <v>#N/A</v>
      </c>
      <c r="H643" s="4" t="e">
        <f>VLOOKUP(A:A,Table1[[Project No]:[Additional Remark]],5,FALSE)</f>
        <v>#N/A</v>
      </c>
      <c r="I643" s="4" t="e">
        <f>VLOOKUP(A:A,Table1[[Project No]:[Additional Remark]],8,FALSE)</f>
        <v>#N/A</v>
      </c>
      <c r="J643" s="4" t="e">
        <f>VLOOKUP(A:A,Table1[[Project No]:[Additional Remark]],23,FALSE)</f>
        <v>#N/A</v>
      </c>
      <c r="K643" s="4"/>
      <c r="L643" s="4"/>
      <c r="M643" s="4"/>
      <c r="N643" s="4"/>
      <c r="O643" s="4"/>
      <c r="P643" s="4"/>
      <c r="Q643" s="4"/>
      <c r="R643" s="4"/>
      <c r="S643" s="4"/>
      <c r="T643" s="4"/>
      <c r="U643" s="4"/>
      <c r="V643" s="4"/>
    </row>
    <row r="644" spans="1:22" x14ac:dyDescent="0.3">
      <c r="A644" s="4">
        <f>'ECN Master Project Tracker new'!A538</f>
        <v>0</v>
      </c>
      <c r="B644" s="108" t="e">
        <f>VLOOKUP(A:A,Table1[[#All],[Project No]:[Additional Remark]],2,FALSE)</f>
        <v>#N/A</v>
      </c>
      <c r="C644" s="4" t="e">
        <f>VLOOKUP(A:A,Table1[[Project No]:[Additional Remark]],19,FALSE)</f>
        <v>#N/A</v>
      </c>
      <c r="D644" s="4" t="e">
        <f>VLOOKUP(A:A,Table1[[Project No]:[Additional Remark]],20,FALSE)</f>
        <v>#N/A</v>
      </c>
      <c r="E644" s="4" t="e">
        <f>VLOOKUP(A:A,Table1[[Project No]:[Additional Remark]],21,FALSE)</f>
        <v>#N/A</v>
      </c>
      <c r="F644" s="4" t="e">
        <f>VLOOKUP(A:A,Table1[[Project No]:[Additional Remark]],22,FALSE)</f>
        <v>#N/A</v>
      </c>
      <c r="G644" s="55" t="e">
        <f>VLOOKUP(A:A,Table1[[Project No]:[Additional Remark]],11,FALSE)</f>
        <v>#N/A</v>
      </c>
      <c r="H644" s="4" t="e">
        <f>VLOOKUP(A:A,Table1[[Project No]:[Additional Remark]],5,FALSE)</f>
        <v>#N/A</v>
      </c>
      <c r="I644" s="4" t="e">
        <f>VLOOKUP(A:A,Table1[[Project No]:[Additional Remark]],8,FALSE)</f>
        <v>#N/A</v>
      </c>
      <c r="J644" s="4" t="e">
        <f>VLOOKUP(A:A,Table1[[Project No]:[Additional Remark]],23,FALSE)</f>
        <v>#N/A</v>
      </c>
      <c r="K644" s="4"/>
      <c r="L644" s="4"/>
      <c r="M644" s="4"/>
      <c r="N644" s="4"/>
      <c r="O644" s="4"/>
      <c r="P644" s="4"/>
      <c r="Q644" s="4"/>
      <c r="R644" s="4"/>
      <c r="S644" s="4"/>
      <c r="T644" s="4"/>
      <c r="U644" s="4"/>
      <c r="V644" s="4"/>
    </row>
    <row r="645" spans="1:22" x14ac:dyDescent="0.3">
      <c r="A645" s="4">
        <f>'ECN Master Project Tracker new'!A539</f>
        <v>0</v>
      </c>
      <c r="B645" s="108" t="e">
        <f>VLOOKUP(A:A,Table1[[#All],[Project No]:[Additional Remark]],2,FALSE)</f>
        <v>#N/A</v>
      </c>
      <c r="C645" s="4" t="e">
        <f>VLOOKUP(A:A,Table1[[Project No]:[Additional Remark]],19,FALSE)</f>
        <v>#N/A</v>
      </c>
      <c r="D645" s="4" t="e">
        <f>VLOOKUP(A:A,Table1[[Project No]:[Additional Remark]],20,FALSE)</f>
        <v>#N/A</v>
      </c>
      <c r="E645" s="4" t="e">
        <f>VLOOKUP(A:A,Table1[[Project No]:[Additional Remark]],21,FALSE)</f>
        <v>#N/A</v>
      </c>
      <c r="F645" s="4" t="e">
        <f>VLOOKUP(A:A,Table1[[Project No]:[Additional Remark]],22,FALSE)</f>
        <v>#N/A</v>
      </c>
      <c r="G645" s="55" t="e">
        <f>VLOOKUP(A:A,Table1[[Project No]:[Additional Remark]],11,FALSE)</f>
        <v>#N/A</v>
      </c>
      <c r="H645" s="4" t="e">
        <f>VLOOKUP(A:A,Table1[[Project No]:[Additional Remark]],5,FALSE)</f>
        <v>#N/A</v>
      </c>
      <c r="I645" s="4" t="e">
        <f>VLOOKUP(A:A,Table1[[Project No]:[Additional Remark]],8,FALSE)</f>
        <v>#N/A</v>
      </c>
      <c r="J645" s="4" t="e">
        <f>VLOOKUP(A:A,Table1[[Project No]:[Additional Remark]],23,FALSE)</f>
        <v>#N/A</v>
      </c>
      <c r="K645" s="4"/>
      <c r="L645" s="4"/>
      <c r="M645" s="4"/>
      <c r="N645" s="4"/>
      <c r="O645" s="4"/>
      <c r="P645" s="4"/>
      <c r="Q645" s="4"/>
      <c r="R645" s="4"/>
      <c r="S645" s="4"/>
      <c r="T645" s="4"/>
      <c r="U645" s="4"/>
      <c r="V645" s="4"/>
    </row>
    <row r="646" spans="1:22" x14ac:dyDescent="0.3">
      <c r="A646" s="4">
        <f>'ECN Master Project Tracker new'!A540</f>
        <v>0</v>
      </c>
      <c r="B646" s="108" t="e">
        <f>VLOOKUP(A:A,Table1[[#All],[Project No]:[Additional Remark]],2,FALSE)</f>
        <v>#N/A</v>
      </c>
      <c r="C646" s="4" t="e">
        <f>VLOOKUP(A:A,Table1[[Project No]:[Additional Remark]],19,FALSE)</f>
        <v>#N/A</v>
      </c>
      <c r="D646" s="4" t="e">
        <f>VLOOKUP(A:A,Table1[[Project No]:[Additional Remark]],20,FALSE)</f>
        <v>#N/A</v>
      </c>
      <c r="E646" s="4" t="e">
        <f>VLOOKUP(A:A,Table1[[Project No]:[Additional Remark]],21,FALSE)</f>
        <v>#N/A</v>
      </c>
      <c r="F646" s="4" t="e">
        <f>VLOOKUP(A:A,Table1[[Project No]:[Additional Remark]],22,FALSE)</f>
        <v>#N/A</v>
      </c>
      <c r="G646" s="55" t="e">
        <f>VLOOKUP(A:A,Table1[[Project No]:[Additional Remark]],11,FALSE)</f>
        <v>#N/A</v>
      </c>
      <c r="H646" s="4" t="e">
        <f>VLOOKUP(A:A,Table1[[Project No]:[Additional Remark]],5,FALSE)</f>
        <v>#N/A</v>
      </c>
      <c r="I646" s="4" t="e">
        <f>VLOOKUP(A:A,Table1[[Project No]:[Additional Remark]],8,FALSE)</f>
        <v>#N/A</v>
      </c>
      <c r="J646" s="4" t="e">
        <f>VLOOKUP(A:A,Table1[[Project No]:[Additional Remark]],23,FALSE)</f>
        <v>#N/A</v>
      </c>
      <c r="K646" s="4"/>
      <c r="L646" s="4"/>
      <c r="M646" s="4"/>
      <c r="N646" s="4"/>
      <c r="O646" s="4"/>
      <c r="P646" s="4"/>
      <c r="Q646" s="4"/>
      <c r="R646" s="4"/>
      <c r="S646" s="4"/>
      <c r="T646" s="4"/>
      <c r="U646" s="4"/>
      <c r="V646" s="4"/>
    </row>
    <row r="647" spans="1:22" x14ac:dyDescent="0.3">
      <c r="A647" s="4">
        <f>'ECN Master Project Tracker new'!A541</f>
        <v>0</v>
      </c>
      <c r="B647" s="108" t="e">
        <f>VLOOKUP(A:A,Table1[[#All],[Project No]:[Additional Remark]],2,FALSE)</f>
        <v>#N/A</v>
      </c>
      <c r="C647" s="4" t="e">
        <f>VLOOKUP(A:A,Table1[[Project No]:[Additional Remark]],19,FALSE)</f>
        <v>#N/A</v>
      </c>
      <c r="D647" s="4" t="e">
        <f>VLOOKUP(A:A,Table1[[Project No]:[Additional Remark]],20,FALSE)</f>
        <v>#N/A</v>
      </c>
      <c r="E647" s="4" t="e">
        <f>VLOOKUP(A:A,Table1[[Project No]:[Additional Remark]],21,FALSE)</f>
        <v>#N/A</v>
      </c>
      <c r="F647" s="4" t="e">
        <f>VLOOKUP(A:A,Table1[[Project No]:[Additional Remark]],22,FALSE)</f>
        <v>#N/A</v>
      </c>
      <c r="G647" s="55" t="e">
        <f>VLOOKUP(A:A,Table1[[Project No]:[Additional Remark]],11,FALSE)</f>
        <v>#N/A</v>
      </c>
      <c r="H647" s="4" t="e">
        <f>VLOOKUP(A:A,Table1[[Project No]:[Additional Remark]],5,FALSE)</f>
        <v>#N/A</v>
      </c>
      <c r="I647" s="4" t="e">
        <f>VLOOKUP(A:A,Table1[[Project No]:[Additional Remark]],8,FALSE)</f>
        <v>#N/A</v>
      </c>
      <c r="J647" s="4" t="e">
        <f>VLOOKUP(A:A,Table1[[Project No]:[Additional Remark]],23,FALSE)</f>
        <v>#N/A</v>
      </c>
      <c r="K647" s="4"/>
      <c r="L647" s="4"/>
      <c r="M647" s="4"/>
      <c r="N647" s="4"/>
      <c r="O647" s="4"/>
      <c r="P647" s="4"/>
      <c r="Q647" s="4"/>
      <c r="R647" s="4"/>
      <c r="S647" s="4"/>
      <c r="T647" s="4"/>
      <c r="U647" s="4"/>
      <c r="V647" s="4"/>
    </row>
    <row r="648" spans="1:22" x14ac:dyDescent="0.3">
      <c r="A648" s="4">
        <f>'ECN Master Project Tracker new'!A542</f>
        <v>0</v>
      </c>
      <c r="B648" s="108" t="e">
        <f>VLOOKUP(A:A,Table1[[#All],[Project No]:[Additional Remark]],2,FALSE)</f>
        <v>#N/A</v>
      </c>
      <c r="C648" s="4" t="e">
        <f>VLOOKUP(A:A,Table1[[Project No]:[Additional Remark]],19,FALSE)</f>
        <v>#N/A</v>
      </c>
      <c r="D648" s="4" t="e">
        <f>VLOOKUP(A:A,Table1[[Project No]:[Additional Remark]],20,FALSE)</f>
        <v>#N/A</v>
      </c>
      <c r="E648" s="4" t="e">
        <f>VLOOKUP(A:A,Table1[[Project No]:[Additional Remark]],21,FALSE)</f>
        <v>#N/A</v>
      </c>
      <c r="F648" s="4" t="e">
        <f>VLOOKUP(A:A,Table1[[Project No]:[Additional Remark]],22,FALSE)</f>
        <v>#N/A</v>
      </c>
      <c r="G648" s="55" t="e">
        <f>VLOOKUP(A:A,Table1[[Project No]:[Additional Remark]],11,FALSE)</f>
        <v>#N/A</v>
      </c>
      <c r="H648" s="4" t="e">
        <f>VLOOKUP(A:A,Table1[[Project No]:[Additional Remark]],5,FALSE)</f>
        <v>#N/A</v>
      </c>
      <c r="I648" s="4" t="e">
        <f>VLOOKUP(A:A,Table1[[Project No]:[Additional Remark]],8,FALSE)</f>
        <v>#N/A</v>
      </c>
      <c r="J648" s="4" t="e">
        <f>VLOOKUP(A:A,Table1[[Project No]:[Additional Remark]],23,FALSE)</f>
        <v>#N/A</v>
      </c>
      <c r="K648" s="4"/>
      <c r="L648" s="4"/>
      <c r="M648" s="4"/>
      <c r="N648" s="4"/>
      <c r="O648" s="4"/>
      <c r="P648" s="4"/>
      <c r="Q648" s="4"/>
      <c r="R648" s="4"/>
      <c r="S648" s="4"/>
      <c r="T648" s="4"/>
      <c r="U648" s="4"/>
      <c r="V648" s="4"/>
    </row>
    <row r="649" spans="1:22" x14ac:dyDescent="0.3">
      <c r="A649" s="4">
        <f>'ECN Master Project Tracker new'!A543</f>
        <v>0</v>
      </c>
      <c r="B649" s="108" t="e">
        <f>VLOOKUP(A:A,Table1[[#All],[Project No]:[Additional Remark]],2,FALSE)</f>
        <v>#N/A</v>
      </c>
      <c r="C649" s="4" t="e">
        <f>VLOOKUP(A:A,Table1[[Project No]:[Additional Remark]],19,FALSE)</f>
        <v>#N/A</v>
      </c>
      <c r="D649" s="4" t="e">
        <f>VLOOKUP(A:A,Table1[[Project No]:[Additional Remark]],20,FALSE)</f>
        <v>#N/A</v>
      </c>
      <c r="E649" s="4" t="e">
        <f>VLOOKUP(A:A,Table1[[Project No]:[Additional Remark]],21,FALSE)</f>
        <v>#N/A</v>
      </c>
      <c r="F649" s="4" t="e">
        <f>VLOOKUP(A:A,Table1[[Project No]:[Additional Remark]],22,FALSE)</f>
        <v>#N/A</v>
      </c>
      <c r="G649" s="55" t="e">
        <f>VLOOKUP(A:A,Table1[[Project No]:[Additional Remark]],11,FALSE)</f>
        <v>#N/A</v>
      </c>
      <c r="H649" s="4" t="e">
        <f>VLOOKUP(A:A,Table1[[Project No]:[Additional Remark]],5,FALSE)</f>
        <v>#N/A</v>
      </c>
      <c r="I649" s="4" t="e">
        <f>VLOOKUP(A:A,Table1[[Project No]:[Additional Remark]],8,FALSE)</f>
        <v>#N/A</v>
      </c>
      <c r="J649" s="4" t="e">
        <f>VLOOKUP(A:A,Table1[[Project No]:[Additional Remark]],23,FALSE)</f>
        <v>#N/A</v>
      </c>
      <c r="K649" s="4"/>
      <c r="L649" s="4"/>
      <c r="M649" s="4"/>
      <c r="N649" s="4"/>
      <c r="O649" s="4"/>
      <c r="P649" s="4"/>
      <c r="Q649" s="4"/>
      <c r="R649" s="4"/>
      <c r="S649" s="4"/>
      <c r="T649" s="4"/>
      <c r="U649" s="4"/>
      <c r="V649" s="4"/>
    </row>
    <row r="650" spans="1:22" x14ac:dyDescent="0.3">
      <c r="A650" s="4">
        <f>'ECN Master Project Tracker new'!A544</f>
        <v>0</v>
      </c>
      <c r="B650" s="108" t="e">
        <f>VLOOKUP(A:A,Table1[[#All],[Project No]:[Additional Remark]],2,FALSE)</f>
        <v>#N/A</v>
      </c>
      <c r="C650" s="4" t="e">
        <f>VLOOKUP(A:A,Table1[[Project No]:[Additional Remark]],19,FALSE)</f>
        <v>#N/A</v>
      </c>
      <c r="D650" s="4" t="e">
        <f>VLOOKUP(A:A,Table1[[Project No]:[Additional Remark]],20,FALSE)</f>
        <v>#N/A</v>
      </c>
      <c r="E650" s="4" t="e">
        <f>VLOOKUP(A:A,Table1[[Project No]:[Additional Remark]],21,FALSE)</f>
        <v>#N/A</v>
      </c>
      <c r="F650" s="4" t="e">
        <f>VLOOKUP(A:A,Table1[[Project No]:[Additional Remark]],22,FALSE)</f>
        <v>#N/A</v>
      </c>
      <c r="G650" s="55" t="e">
        <f>VLOOKUP(A:A,Table1[[Project No]:[Additional Remark]],11,FALSE)</f>
        <v>#N/A</v>
      </c>
      <c r="H650" s="4" t="e">
        <f>VLOOKUP(A:A,Table1[[Project No]:[Additional Remark]],5,FALSE)</f>
        <v>#N/A</v>
      </c>
      <c r="I650" s="4" t="e">
        <f>VLOOKUP(A:A,Table1[[Project No]:[Additional Remark]],8,FALSE)</f>
        <v>#N/A</v>
      </c>
      <c r="J650" s="4" t="e">
        <f>VLOOKUP(A:A,Table1[[Project No]:[Additional Remark]],23,FALSE)</f>
        <v>#N/A</v>
      </c>
      <c r="K650" s="4"/>
      <c r="L650" s="4"/>
      <c r="M650" s="4"/>
      <c r="N650" s="4"/>
      <c r="O650" s="4"/>
      <c r="P650" s="4"/>
      <c r="Q650" s="4"/>
      <c r="R650" s="4"/>
      <c r="S650" s="4"/>
      <c r="T650" s="4"/>
      <c r="U650" s="4"/>
      <c r="V650" s="4"/>
    </row>
    <row r="651" spans="1:22" x14ac:dyDescent="0.3">
      <c r="A651" s="4">
        <f>'ECN Master Project Tracker new'!A545</f>
        <v>0</v>
      </c>
      <c r="B651" s="108" t="e">
        <f>VLOOKUP(A:A,Table1[[#All],[Project No]:[Additional Remark]],2,FALSE)</f>
        <v>#N/A</v>
      </c>
      <c r="C651" s="4" t="e">
        <f>VLOOKUP(A:A,Table1[[Project No]:[Additional Remark]],19,FALSE)</f>
        <v>#N/A</v>
      </c>
      <c r="D651" s="4" t="e">
        <f>VLOOKUP(A:A,Table1[[Project No]:[Additional Remark]],20,FALSE)</f>
        <v>#N/A</v>
      </c>
      <c r="E651" s="4" t="e">
        <f>VLOOKUP(A:A,Table1[[Project No]:[Additional Remark]],21,FALSE)</f>
        <v>#N/A</v>
      </c>
      <c r="F651" s="4" t="e">
        <f>VLOOKUP(A:A,Table1[[Project No]:[Additional Remark]],22,FALSE)</f>
        <v>#N/A</v>
      </c>
      <c r="G651" s="55" t="e">
        <f>VLOOKUP(A:A,Table1[[Project No]:[Additional Remark]],11,FALSE)</f>
        <v>#N/A</v>
      </c>
      <c r="H651" s="4" t="e">
        <f>VLOOKUP(A:A,Table1[[Project No]:[Additional Remark]],5,FALSE)</f>
        <v>#N/A</v>
      </c>
      <c r="I651" s="4" t="e">
        <f>VLOOKUP(A:A,Table1[[Project No]:[Additional Remark]],8,FALSE)</f>
        <v>#N/A</v>
      </c>
      <c r="J651" s="4" t="e">
        <f>VLOOKUP(A:A,Table1[[Project No]:[Additional Remark]],23,FALSE)</f>
        <v>#N/A</v>
      </c>
      <c r="K651" s="4"/>
      <c r="L651" s="4"/>
      <c r="M651" s="4"/>
      <c r="N651" s="4"/>
      <c r="O651" s="4"/>
      <c r="P651" s="4"/>
      <c r="Q651" s="4"/>
      <c r="R651" s="4"/>
      <c r="S651" s="4"/>
      <c r="T651" s="4"/>
      <c r="U651" s="4"/>
      <c r="V651" s="4"/>
    </row>
    <row r="652" spans="1:22" x14ac:dyDescent="0.3">
      <c r="A652" s="4">
        <f>'ECN Master Project Tracker new'!A546</f>
        <v>0</v>
      </c>
      <c r="B652" s="108" t="e">
        <f>VLOOKUP(A:A,Table1[[#All],[Project No]:[Additional Remark]],2,FALSE)</f>
        <v>#N/A</v>
      </c>
      <c r="C652" s="4" t="e">
        <f>VLOOKUP(A:A,Table1[[Project No]:[Additional Remark]],19,FALSE)</f>
        <v>#N/A</v>
      </c>
      <c r="D652" s="4" t="e">
        <f>VLOOKUP(A:A,Table1[[Project No]:[Additional Remark]],20,FALSE)</f>
        <v>#N/A</v>
      </c>
      <c r="E652" s="4" t="e">
        <f>VLOOKUP(A:A,Table1[[Project No]:[Additional Remark]],21,FALSE)</f>
        <v>#N/A</v>
      </c>
      <c r="F652" s="4" t="e">
        <f>VLOOKUP(A:A,Table1[[Project No]:[Additional Remark]],22,FALSE)</f>
        <v>#N/A</v>
      </c>
      <c r="G652" s="55" t="e">
        <f>VLOOKUP(A:A,Table1[[Project No]:[Additional Remark]],11,FALSE)</f>
        <v>#N/A</v>
      </c>
      <c r="H652" s="4" t="e">
        <f>VLOOKUP(A:A,Table1[[Project No]:[Additional Remark]],5,FALSE)</f>
        <v>#N/A</v>
      </c>
      <c r="I652" s="4" t="e">
        <f>VLOOKUP(A:A,Table1[[Project No]:[Additional Remark]],8,FALSE)</f>
        <v>#N/A</v>
      </c>
      <c r="J652" s="4" t="e">
        <f>VLOOKUP(A:A,Table1[[Project No]:[Additional Remark]],23,FALSE)</f>
        <v>#N/A</v>
      </c>
      <c r="K652" s="4"/>
      <c r="L652" s="4"/>
      <c r="M652" s="4"/>
      <c r="N652" s="4"/>
      <c r="O652" s="4"/>
      <c r="P652" s="4"/>
      <c r="Q652" s="4"/>
      <c r="R652" s="4"/>
      <c r="S652" s="4"/>
      <c r="T652" s="4"/>
      <c r="U652" s="4"/>
      <c r="V652" s="4"/>
    </row>
    <row r="653" spans="1:22" x14ac:dyDescent="0.3">
      <c r="A653" s="4">
        <f>'ECN Master Project Tracker new'!A547</f>
        <v>0</v>
      </c>
      <c r="B653" s="108" t="e">
        <f>VLOOKUP(A:A,Table1[[#All],[Project No]:[Additional Remark]],2,FALSE)</f>
        <v>#N/A</v>
      </c>
      <c r="C653" s="4" t="e">
        <f>VLOOKUP(A:A,Table1[[Project No]:[Additional Remark]],19,FALSE)</f>
        <v>#N/A</v>
      </c>
      <c r="D653" s="4" t="e">
        <f>VLOOKUP(A:A,Table1[[Project No]:[Additional Remark]],20,FALSE)</f>
        <v>#N/A</v>
      </c>
      <c r="E653" s="4" t="e">
        <f>VLOOKUP(A:A,Table1[[Project No]:[Additional Remark]],21,FALSE)</f>
        <v>#N/A</v>
      </c>
      <c r="F653" s="4" t="e">
        <f>VLOOKUP(A:A,Table1[[Project No]:[Additional Remark]],22,FALSE)</f>
        <v>#N/A</v>
      </c>
      <c r="G653" s="55" t="e">
        <f>VLOOKUP(A:A,Table1[[Project No]:[Additional Remark]],11,FALSE)</f>
        <v>#N/A</v>
      </c>
      <c r="H653" s="4" t="e">
        <f>VLOOKUP(A:A,Table1[[Project No]:[Additional Remark]],5,FALSE)</f>
        <v>#N/A</v>
      </c>
      <c r="I653" s="4" t="e">
        <f>VLOOKUP(A:A,Table1[[Project No]:[Additional Remark]],8,FALSE)</f>
        <v>#N/A</v>
      </c>
      <c r="J653" s="4" t="e">
        <f>VLOOKUP(A:A,Table1[[Project No]:[Additional Remark]],23,FALSE)</f>
        <v>#N/A</v>
      </c>
      <c r="K653" s="4"/>
      <c r="L653" s="4"/>
      <c r="M653" s="4"/>
      <c r="N653" s="4"/>
      <c r="O653" s="4"/>
      <c r="P653" s="4"/>
      <c r="Q653" s="4"/>
      <c r="R653" s="4"/>
      <c r="S653" s="4"/>
      <c r="T653" s="4"/>
      <c r="U653" s="4"/>
      <c r="V653" s="4"/>
    </row>
    <row r="654" spans="1:22" x14ac:dyDescent="0.3">
      <c r="A654" s="4">
        <f>'ECN Master Project Tracker new'!A548</f>
        <v>0</v>
      </c>
      <c r="B654" s="108" t="e">
        <f>VLOOKUP(A:A,Table1[[#All],[Project No]:[Additional Remark]],2,FALSE)</f>
        <v>#N/A</v>
      </c>
      <c r="C654" s="4" t="e">
        <f>VLOOKUP(A:A,Table1[[Project No]:[Additional Remark]],19,FALSE)</f>
        <v>#N/A</v>
      </c>
      <c r="D654" s="4" t="e">
        <f>VLOOKUP(A:A,Table1[[Project No]:[Additional Remark]],20,FALSE)</f>
        <v>#N/A</v>
      </c>
      <c r="E654" s="4" t="e">
        <f>VLOOKUP(A:A,Table1[[Project No]:[Additional Remark]],21,FALSE)</f>
        <v>#N/A</v>
      </c>
      <c r="F654" s="4" t="e">
        <f>VLOOKUP(A:A,Table1[[Project No]:[Additional Remark]],22,FALSE)</f>
        <v>#N/A</v>
      </c>
      <c r="G654" s="55" t="e">
        <f>VLOOKUP(A:A,Table1[[Project No]:[Additional Remark]],11,FALSE)</f>
        <v>#N/A</v>
      </c>
      <c r="H654" s="4" t="e">
        <f>VLOOKUP(A:A,Table1[[Project No]:[Additional Remark]],5,FALSE)</f>
        <v>#N/A</v>
      </c>
      <c r="I654" s="4" t="e">
        <f>VLOOKUP(A:A,Table1[[Project No]:[Additional Remark]],8,FALSE)</f>
        <v>#N/A</v>
      </c>
      <c r="J654" s="4" t="e">
        <f>VLOOKUP(A:A,Table1[[Project No]:[Additional Remark]],23,FALSE)</f>
        <v>#N/A</v>
      </c>
      <c r="K654" s="4"/>
      <c r="L654" s="4"/>
      <c r="M654" s="4"/>
      <c r="N654" s="4"/>
      <c r="O654" s="4"/>
      <c r="P654" s="4"/>
      <c r="Q654" s="4"/>
      <c r="R654" s="4"/>
      <c r="S654" s="4"/>
      <c r="T654" s="4"/>
      <c r="U654" s="4"/>
      <c r="V654" s="4"/>
    </row>
    <row r="655" spans="1:22" x14ac:dyDescent="0.3">
      <c r="A655" s="4">
        <f>'ECN Master Project Tracker new'!A549</f>
        <v>0</v>
      </c>
      <c r="B655" s="108" t="e">
        <f>VLOOKUP(A:A,Table1[[#All],[Project No]:[Additional Remark]],2,FALSE)</f>
        <v>#N/A</v>
      </c>
      <c r="C655" s="4" t="e">
        <f>VLOOKUP(A:A,Table1[[Project No]:[Additional Remark]],19,FALSE)</f>
        <v>#N/A</v>
      </c>
      <c r="D655" s="4" t="e">
        <f>VLOOKUP(A:A,Table1[[Project No]:[Additional Remark]],20,FALSE)</f>
        <v>#N/A</v>
      </c>
      <c r="E655" s="4" t="e">
        <f>VLOOKUP(A:A,Table1[[Project No]:[Additional Remark]],21,FALSE)</f>
        <v>#N/A</v>
      </c>
      <c r="F655" s="4" t="e">
        <f>VLOOKUP(A:A,Table1[[Project No]:[Additional Remark]],22,FALSE)</f>
        <v>#N/A</v>
      </c>
      <c r="G655" s="55" t="e">
        <f>VLOOKUP(A:A,Table1[[Project No]:[Additional Remark]],11,FALSE)</f>
        <v>#N/A</v>
      </c>
      <c r="H655" s="4" t="e">
        <f>VLOOKUP(A:A,Table1[[Project No]:[Additional Remark]],5,FALSE)</f>
        <v>#N/A</v>
      </c>
      <c r="I655" s="4" t="e">
        <f>VLOOKUP(A:A,Table1[[Project No]:[Additional Remark]],8,FALSE)</f>
        <v>#N/A</v>
      </c>
      <c r="J655" s="4" t="e">
        <f>VLOOKUP(A:A,Table1[[Project No]:[Additional Remark]],23,FALSE)</f>
        <v>#N/A</v>
      </c>
      <c r="K655" s="4"/>
      <c r="L655" s="4"/>
      <c r="M655" s="4"/>
      <c r="N655" s="4"/>
      <c r="O655" s="4"/>
      <c r="P655" s="4"/>
      <c r="Q655" s="4"/>
      <c r="R655" s="4"/>
      <c r="S655" s="4"/>
      <c r="T655" s="4"/>
      <c r="U655" s="4"/>
      <c r="V655" s="4"/>
    </row>
    <row r="656" spans="1:22" x14ac:dyDescent="0.3">
      <c r="A656" s="4">
        <f>'ECN Master Project Tracker new'!A550</f>
        <v>0</v>
      </c>
      <c r="B656" s="108" t="e">
        <f>VLOOKUP(A:A,Table1[[#All],[Project No]:[Additional Remark]],2,FALSE)</f>
        <v>#N/A</v>
      </c>
      <c r="C656" s="4" t="e">
        <f>VLOOKUP(A:A,Table1[[Project No]:[Additional Remark]],19,FALSE)</f>
        <v>#N/A</v>
      </c>
      <c r="D656" s="4" t="e">
        <f>VLOOKUP(A:A,Table1[[Project No]:[Additional Remark]],20,FALSE)</f>
        <v>#N/A</v>
      </c>
      <c r="E656" s="4" t="e">
        <f>VLOOKUP(A:A,Table1[[Project No]:[Additional Remark]],21,FALSE)</f>
        <v>#N/A</v>
      </c>
      <c r="F656" s="4" t="e">
        <f>VLOOKUP(A:A,Table1[[Project No]:[Additional Remark]],22,FALSE)</f>
        <v>#N/A</v>
      </c>
      <c r="G656" s="55" t="e">
        <f>VLOOKUP(A:A,Table1[[Project No]:[Additional Remark]],11,FALSE)</f>
        <v>#N/A</v>
      </c>
      <c r="H656" s="4" t="e">
        <f>VLOOKUP(A:A,Table1[[Project No]:[Additional Remark]],5,FALSE)</f>
        <v>#N/A</v>
      </c>
      <c r="I656" s="4" t="e">
        <f>VLOOKUP(A:A,Table1[[Project No]:[Additional Remark]],8,FALSE)</f>
        <v>#N/A</v>
      </c>
      <c r="J656" s="4" t="e">
        <f>VLOOKUP(A:A,Table1[[Project No]:[Additional Remark]],23,FALSE)</f>
        <v>#N/A</v>
      </c>
      <c r="K656" s="4"/>
      <c r="L656" s="4"/>
      <c r="M656" s="4"/>
      <c r="N656" s="4"/>
      <c r="O656" s="4"/>
      <c r="P656" s="4"/>
      <c r="Q656" s="4"/>
      <c r="R656" s="4"/>
      <c r="S656" s="4"/>
      <c r="T656" s="4"/>
      <c r="U656" s="4"/>
      <c r="V656" s="4"/>
    </row>
    <row r="657" spans="1:22" x14ac:dyDescent="0.3">
      <c r="A657" s="4">
        <f>'ECN Master Project Tracker new'!A551</f>
        <v>0</v>
      </c>
      <c r="B657" s="108" t="e">
        <f>VLOOKUP(A:A,Table1[[#All],[Project No]:[Additional Remark]],2,FALSE)</f>
        <v>#N/A</v>
      </c>
      <c r="C657" s="4" t="e">
        <f>VLOOKUP(A:A,Table1[[Project No]:[Additional Remark]],19,FALSE)</f>
        <v>#N/A</v>
      </c>
      <c r="D657" s="4" t="e">
        <f>VLOOKUP(A:A,Table1[[Project No]:[Additional Remark]],20,FALSE)</f>
        <v>#N/A</v>
      </c>
      <c r="E657" s="4" t="e">
        <f>VLOOKUP(A:A,Table1[[Project No]:[Additional Remark]],21,FALSE)</f>
        <v>#N/A</v>
      </c>
      <c r="F657" s="4" t="e">
        <f>VLOOKUP(A:A,Table1[[Project No]:[Additional Remark]],22,FALSE)</f>
        <v>#N/A</v>
      </c>
      <c r="G657" s="55" t="e">
        <f>VLOOKUP(A:A,Table1[[Project No]:[Additional Remark]],11,FALSE)</f>
        <v>#N/A</v>
      </c>
      <c r="H657" s="4" t="e">
        <f>VLOOKUP(A:A,Table1[[Project No]:[Additional Remark]],5,FALSE)</f>
        <v>#N/A</v>
      </c>
      <c r="I657" s="4" t="e">
        <f>VLOOKUP(A:A,Table1[[Project No]:[Additional Remark]],8,FALSE)</f>
        <v>#N/A</v>
      </c>
      <c r="J657" s="4" t="e">
        <f>VLOOKUP(A:A,Table1[[Project No]:[Additional Remark]],23,FALSE)</f>
        <v>#N/A</v>
      </c>
      <c r="K657" s="4"/>
      <c r="L657" s="4"/>
      <c r="M657" s="4"/>
      <c r="N657" s="4"/>
      <c r="O657" s="4"/>
      <c r="P657" s="4"/>
      <c r="Q657" s="4"/>
      <c r="R657" s="4"/>
      <c r="S657" s="4"/>
      <c r="T657" s="4"/>
      <c r="U657" s="4"/>
      <c r="V657" s="4"/>
    </row>
    <row r="658" spans="1:22" x14ac:dyDescent="0.3">
      <c r="A658" s="4">
        <f>'ECN Master Project Tracker new'!A552</f>
        <v>0</v>
      </c>
      <c r="B658" s="108" t="e">
        <f>VLOOKUP(A:A,Table1[[#All],[Project No]:[Additional Remark]],2,FALSE)</f>
        <v>#N/A</v>
      </c>
      <c r="C658" s="4" t="e">
        <f>VLOOKUP(A:A,Table1[[Project No]:[Additional Remark]],19,FALSE)</f>
        <v>#N/A</v>
      </c>
      <c r="D658" s="4" t="e">
        <f>VLOOKUP(A:A,Table1[[Project No]:[Additional Remark]],20,FALSE)</f>
        <v>#N/A</v>
      </c>
      <c r="E658" s="4" t="e">
        <f>VLOOKUP(A:A,Table1[[Project No]:[Additional Remark]],21,FALSE)</f>
        <v>#N/A</v>
      </c>
      <c r="F658" s="4" t="e">
        <f>VLOOKUP(A:A,Table1[[Project No]:[Additional Remark]],22,FALSE)</f>
        <v>#N/A</v>
      </c>
      <c r="G658" s="55" t="e">
        <f>VLOOKUP(A:A,Table1[[Project No]:[Additional Remark]],11,FALSE)</f>
        <v>#N/A</v>
      </c>
      <c r="H658" s="4" t="e">
        <f>VLOOKUP(A:A,Table1[[Project No]:[Additional Remark]],5,FALSE)</f>
        <v>#N/A</v>
      </c>
      <c r="I658" s="4" t="e">
        <f>VLOOKUP(A:A,Table1[[Project No]:[Additional Remark]],8,FALSE)</f>
        <v>#N/A</v>
      </c>
      <c r="J658" s="4" t="e">
        <f>VLOOKUP(A:A,Table1[[Project No]:[Additional Remark]],23,FALSE)</f>
        <v>#N/A</v>
      </c>
      <c r="K658" s="4"/>
      <c r="L658" s="4"/>
      <c r="M658" s="4"/>
      <c r="N658" s="4"/>
      <c r="O658" s="4"/>
      <c r="P658" s="4"/>
      <c r="Q658" s="4"/>
      <c r="R658" s="4"/>
      <c r="S658" s="4"/>
      <c r="T658" s="4"/>
      <c r="U658" s="4"/>
      <c r="V658" s="4"/>
    </row>
    <row r="659" spans="1:22" x14ac:dyDescent="0.3">
      <c r="A659" s="4">
        <f>'ECN Master Project Tracker new'!A553</f>
        <v>0</v>
      </c>
      <c r="B659" s="108" t="e">
        <f>VLOOKUP(A:A,Table1[[#All],[Project No]:[Additional Remark]],2,FALSE)</f>
        <v>#N/A</v>
      </c>
      <c r="C659" s="4" t="e">
        <f>VLOOKUP(A:A,Table1[[Project No]:[Additional Remark]],19,FALSE)</f>
        <v>#N/A</v>
      </c>
      <c r="D659" s="4" t="e">
        <f>VLOOKUP(A:A,Table1[[Project No]:[Additional Remark]],20,FALSE)</f>
        <v>#N/A</v>
      </c>
      <c r="E659" s="4" t="e">
        <f>VLOOKUP(A:A,Table1[[Project No]:[Additional Remark]],21,FALSE)</f>
        <v>#N/A</v>
      </c>
      <c r="F659" s="4" t="e">
        <f>VLOOKUP(A:A,Table1[[Project No]:[Additional Remark]],22,FALSE)</f>
        <v>#N/A</v>
      </c>
      <c r="G659" s="55" t="e">
        <f>VLOOKUP(A:A,Table1[[Project No]:[Additional Remark]],11,FALSE)</f>
        <v>#N/A</v>
      </c>
      <c r="H659" s="4" t="e">
        <f>VLOOKUP(A:A,Table1[[Project No]:[Additional Remark]],5,FALSE)</f>
        <v>#N/A</v>
      </c>
      <c r="I659" s="4" t="e">
        <f>VLOOKUP(A:A,Table1[[Project No]:[Additional Remark]],8,FALSE)</f>
        <v>#N/A</v>
      </c>
      <c r="J659" s="4" t="e">
        <f>VLOOKUP(A:A,Table1[[Project No]:[Additional Remark]],23,FALSE)</f>
        <v>#N/A</v>
      </c>
      <c r="K659" s="4"/>
      <c r="L659" s="4"/>
      <c r="M659" s="4"/>
      <c r="N659" s="4"/>
      <c r="O659" s="4"/>
      <c r="P659" s="4"/>
      <c r="Q659" s="4"/>
      <c r="R659" s="4"/>
      <c r="S659" s="4"/>
      <c r="T659" s="4"/>
      <c r="U659" s="4"/>
      <c r="V659" s="4"/>
    </row>
    <row r="660" spans="1:22" x14ac:dyDescent="0.3">
      <c r="A660" s="4">
        <f>'ECN Master Project Tracker new'!A554</f>
        <v>0</v>
      </c>
      <c r="B660" s="108" t="e">
        <f>VLOOKUP(A:A,Table1[[#All],[Project No]:[Additional Remark]],2,FALSE)</f>
        <v>#N/A</v>
      </c>
      <c r="C660" s="4" t="e">
        <f>VLOOKUP(A:A,Table1[[Project No]:[Additional Remark]],19,FALSE)</f>
        <v>#N/A</v>
      </c>
      <c r="D660" s="4" t="e">
        <f>VLOOKUP(A:A,Table1[[Project No]:[Additional Remark]],20,FALSE)</f>
        <v>#N/A</v>
      </c>
      <c r="E660" s="4" t="e">
        <f>VLOOKUP(A:A,Table1[[Project No]:[Additional Remark]],21,FALSE)</f>
        <v>#N/A</v>
      </c>
      <c r="F660" s="4" t="e">
        <f>VLOOKUP(A:A,Table1[[Project No]:[Additional Remark]],22,FALSE)</f>
        <v>#N/A</v>
      </c>
      <c r="G660" s="55" t="e">
        <f>VLOOKUP(A:A,Table1[[Project No]:[Additional Remark]],11,FALSE)</f>
        <v>#N/A</v>
      </c>
      <c r="H660" s="4" t="e">
        <f>VLOOKUP(A:A,Table1[[Project No]:[Additional Remark]],5,FALSE)</f>
        <v>#N/A</v>
      </c>
      <c r="I660" s="4" t="e">
        <f>VLOOKUP(A:A,Table1[[Project No]:[Additional Remark]],8,FALSE)</f>
        <v>#N/A</v>
      </c>
      <c r="J660" s="4" t="e">
        <f>VLOOKUP(A:A,Table1[[Project No]:[Additional Remark]],23,FALSE)</f>
        <v>#N/A</v>
      </c>
      <c r="K660" s="4"/>
      <c r="L660" s="4"/>
      <c r="M660" s="4"/>
      <c r="N660" s="4"/>
      <c r="O660" s="4"/>
      <c r="P660" s="4"/>
      <c r="Q660" s="4"/>
      <c r="R660" s="4"/>
      <c r="S660" s="4"/>
      <c r="T660" s="4"/>
      <c r="U660" s="4"/>
      <c r="V660" s="4"/>
    </row>
    <row r="661" spans="1:22" x14ac:dyDescent="0.3">
      <c r="A661" s="4">
        <f>'ECN Master Project Tracker new'!A555</f>
        <v>0</v>
      </c>
      <c r="B661" s="108" t="e">
        <f>VLOOKUP(A:A,Table1[[#All],[Project No]:[Additional Remark]],2,FALSE)</f>
        <v>#N/A</v>
      </c>
      <c r="C661" s="4" t="e">
        <f>VLOOKUP(A:A,Table1[[Project No]:[Additional Remark]],19,FALSE)</f>
        <v>#N/A</v>
      </c>
      <c r="D661" s="4" t="e">
        <f>VLOOKUP(A:A,Table1[[Project No]:[Additional Remark]],20,FALSE)</f>
        <v>#N/A</v>
      </c>
      <c r="E661" s="4" t="e">
        <f>VLOOKUP(A:A,Table1[[Project No]:[Additional Remark]],21,FALSE)</f>
        <v>#N/A</v>
      </c>
      <c r="F661" s="4" t="e">
        <f>VLOOKUP(A:A,Table1[[Project No]:[Additional Remark]],22,FALSE)</f>
        <v>#N/A</v>
      </c>
      <c r="G661" s="55" t="e">
        <f>VLOOKUP(A:A,Table1[[Project No]:[Additional Remark]],11,FALSE)</f>
        <v>#N/A</v>
      </c>
      <c r="H661" s="4" t="e">
        <f>VLOOKUP(A:A,Table1[[Project No]:[Additional Remark]],5,FALSE)</f>
        <v>#N/A</v>
      </c>
      <c r="I661" s="4" t="e">
        <f>VLOOKUP(A:A,Table1[[Project No]:[Additional Remark]],8,FALSE)</f>
        <v>#N/A</v>
      </c>
      <c r="J661" s="4" t="e">
        <f>VLOOKUP(A:A,Table1[[Project No]:[Additional Remark]],23,FALSE)</f>
        <v>#N/A</v>
      </c>
      <c r="K661" s="4"/>
      <c r="L661" s="4"/>
      <c r="M661" s="4"/>
      <c r="N661" s="4"/>
      <c r="O661" s="4"/>
      <c r="P661" s="4"/>
      <c r="Q661" s="4"/>
      <c r="R661" s="4"/>
      <c r="S661" s="4"/>
      <c r="T661" s="4"/>
      <c r="U661" s="4"/>
      <c r="V661" s="4"/>
    </row>
  </sheetData>
  <autoFilter ref="A3:P661" xr:uid="{56FEE818-40AC-4F81-B6C4-8FDA893247D8}"/>
  <mergeCells count="229">
    <mergeCell ref="K334:M334"/>
    <mergeCell ref="K335:M335"/>
    <mergeCell ref="K358:M358"/>
    <mergeCell ref="K313:M313"/>
    <mergeCell ref="K314:M314"/>
    <mergeCell ref="K317:M317"/>
    <mergeCell ref="K321:M321"/>
    <mergeCell ref="K325:M325"/>
    <mergeCell ref="K318:M318"/>
    <mergeCell ref="K148:M148"/>
    <mergeCell ref="K149:M149"/>
    <mergeCell ref="K95:M95"/>
    <mergeCell ref="K104:M104"/>
    <mergeCell ref="K107:M107"/>
    <mergeCell ref="K131:M131"/>
    <mergeCell ref="K134:M134"/>
    <mergeCell ref="K206:M206"/>
    <mergeCell ref="K157:M157"/>
    <mergeCell ref="K190:M190"/>
    <mergeCell ref="K169:M169"/>
    <mergeCell ref="K189:M189"/>
    <mergeCell ref="K136:M136"/>
    <mergeCell ref="K137:M137"/>
    <mergeCell ref="K140:M140"/>
    <mergeCell ref="K163:M163"/>
    <mergeCell ref="K168:M168"/>
    <mergeCell ref="K197:M197"/>
    <mergeCell ref="K199:M199"/>
    <mergeCell ref="K204:M204"/>
    <mergeCell ref="K9:M9"/>
    <mergeCell ref="K10:M10"/>
    <mergeCell ref="K12:M12"/>
    <mergeCell ref="N9:P9"/>
    <mergeCell ref="N10:P10"/>
    <mergeCell ref="N12:P12"/>
    <mergeCell ref="K22:V22"/>
    <mergeCell ref="K25:M25"/>
    <mergeCell ref="N25:P25"/>
    <mergeCell ref="Q25:S25"/>
    <mergeCell ref="T25:V25"/>
    <mergeCell ref="K23:M23"/>
    <mergeCell ref="N23:P23"/>
    <mergeCell ref="Q23:S23"/>
    <mergeCell ref="T23:V23"/>
    <mergeCell ref="Q2:S2"/>
    <mergeCell ref="T2:V2"/>
    <mergeCell ref="Q8:S8"/>
    <mergeCell ref="T8:V8"/>
    <mergeCell ref="Q9:S9"/>
    <mergeCell ref="T9:V9"/>
    <mergeCell ref="N118:P118"/>
    <mergeCell ref="N86:P86"/>
    <mergeCell ref="N79:P79"/>
    <mergeCell ref="N104:P104"/>
    <mergeCell ref="N90:P90"/>
    <mergeCell ref="N93:P93"/>
    <mergeCell ref="N70:P70"/>
    <mergeCell ref="Q10:S10"/>
    <mergeCell ref="T10:V10"/>
    <mergeCell ref="Q12:S12"/>
    <mergeCell ref="T12:V12"/>
    <mergeCell ref="Q79:S79"/>
    <mergeCell ref="Q70:S70"/>
    <mergeCell ref="Q31:S31"/>
    <mergeCell ref="N95:P95"/>
    <mergeCell ref="Q95:S95"/>
    <mergeCell ref="T95:V95"/>
    <mergeCell ref="Q90:S90"/>
    <mergeCell ref="K2:M2"/>
    <mergeCell ref="N2:P2"/>
    <mergeCell ref="N8:P8"/>
    <mergeCell ref="T70:V70"/>
    <mergeCell ref="Q28:S28"/>
    <mergeCell ref="T28:V28"/>
    <mergeCell ref="K36:V36"/>
    <mergeCell ref="N290:P290"/>
    <mergeCell ref="Q290:S290"/>
    <mergeCell ref="T290:V290"/>
    <mergeCell ref="Q86:S86"/>
    <mergeCell ref="T86:V86"/>
    <mergeCell ref="Q118:S118"/>
    <mergeCell ref="T118:V118"/>
    <mergeCell ref="N273:P273"/>
    <mergeCell ref="Q273:S273"/>
    <mergeCell ref="T273:V273"/>
    <mergeCell ref="K262:V262"/>
    <mergeCell ref="N251:P251"/>
    <mergeCell ref="Q251:S251"/>
    <mergeCell ref="T251:V251"/>
    <mergeCell ref="N224:P224"/>
    <mergeCell ref="Q224:S224"/>
    <mergeCell ref="N168:P168"/>
    <mergeCell ref="T309:V309"/>
    <mergeCell ref="N310:P310"/>
    <mergeCell ref="Q310:S310"/>
    <mergeCell ref="T310:V310"/>
    <mergeCell ref="N285:P285"/>
    <mergeCell ref="Q285:S285"/>
    <mergeCell ref="T285:V285"/>
    <mergeCell ref="K273:M273"/>
    <mergeCell ref="K285:M285"/>
    <mergeCell ref="K290:M290"/>
    <mergeCell ref="K310:M310"/>
    <mergeCell ref="K267:M267"/>
    <mergeCell ref="N267:P267"/>
    <mergeCell ref="Q267:S267"/>
    <mergeCell ref="T267:V267"/>
    <mergeCell ref="K224:M224"/>
    <mergeCell ref="K251:M251"/>
    <mergeCell ref="N309:P309"/>
    <mergeCell ref="K309:M309"/>
    <mergeCell ref="Q149:S149"/>
    <mergeCell ref="T149:V149"/>
    <mergeCell ref="Q163:S163"/>
    <mergeCell ref="T163:V163"/>
    <mergeCell ref="N199:P199"/>
    <mergeCell ref="Q199:S199"/>
    <mergeCell ref="T199:V199"/>
    <mergeCell ref="Q206:S206"/>
    <mergeCell ref="N197:P197"/>
    <mergeCell ref="Q204:S204"/>
    <mergeCell ref="T204:V204"/>
    <mergeCell ref="N149:P149"/>
    <mergeCell ref="N157:P157"/>
    <mergeCell ref="Q157:S157"/>
    <mergeCell ref="T157:V157"/>
    <mergeCell ref="N163:P163"/>
    <mergeCell ref="N358:P358"/>
    <mergeCell ref="Q358:S358"/>
    <mergeCell ref="T358:V358"/>
    <mergeCell ref="T317:V317"/>
    <mergeCell ref="T325:V325"/>
    <mergeCell ref="T321:V321"/>
    <mergeCell ref="N334:P334"/>
    <mergeCell ref="Q334:S334"/>
    <mergeCell ref="T334:V334"/>
    <mergeCell ref="N317:P317"/>
    <mergeCell ref="Q317:S317"/>
    <mergeCell ref="N321:P321"/>
    <mergeCell ref="Q321:S321"/>
    <mergeCell ref="N325:P325"/>
    <mergeCell ref="Q325:S325"/>
    <mergeCell ref="N335:P335"/>
    <mergeCell ref="Q335:S335"/>
    <mergeCell ref="T335:V335"/>
    <mergeCell ref="N318:P318"/>
    <mergeCell ref="Q318:S318"/>
    <mergeCell ref="T318:V318"/>
    <mergeCell ref="N313:P313"/>
    <mergeCell ref="Q313:S313"/>
    <mergeCell ref="T313:V313"/>
    <mergeCell ref="N314:P314"/>
    <mergeCell ref="Q314:S314"/>
    <mergeCell ref="T314:V314"/>
    <mergeCell ref="T224:V224"/>
    <mergeCell ref="N206:P206"/>
    <mergeCell ref="Q168:S168"/>
    <mergeCell ref="T168:V168"/>
    <mergeCell ref="N169:P169"/>
    <mergeCell ref="Q169:S169"/>
    <mergeCell ref="T169:V169"/>
    <mergeCell ref="Q197:S197"/>
    <mergeCell ref="T197:V197"/>
    <mergeCell ref="N189:P189"/>
    <mergeCell ref="Q189:S189"/>
    <mergeCell ref="T189:V189"/>
    <mergeCell ref="N190:P190"/>
    <mergeCell ref="Q190:S190"/>
    <mergeCell ref="T190:V190"/>
    <mergeCell ref="T206:V206"/>
    <mergeCell ref="N204:P204"/>
    <mergeCell ref="Q309:S309"/>
    <mergeCell ref="T140:V140"/>
    <mergeCell ref="N136:P136"/>
    <mergeCell ref="Q136:S136"/>
    <mergeCell ref="T136:V136"/>
    <mergeCell ref="N137:P137"/>
    <mergeCell ref="Q137:S137"/>
    <mergeCell ref="T137:V137"/>
    <mergeCell ref="N140:P140"/>
    <mergeCell ref="N134:P134"/>
    <mergeCell ref="N148:P148"/>
    <mergeCell ref="Q148:S148"/>
    <mergeCell ref="T148:V148"/>
    <mergeCell ref="K70:M70"/>
    <mergeCell ref="K71:M71"/>
    <mergeCell ref="K26:M26"/>
    <mergeCell ref="K27:M27"/>
    <mergeCell ref="K28:M28"/>
    <mergeCell ref="K31:M31"/>
    <mergeCell ref="K32:M32"/>
    <mergeCell ref="N31:P31"/>
    <mergeCell ref="N28:P28"/>
    <mergeCell ref="K51:V51"/>
    <mergeCell ref="T31:V31"/>
    <mergeCell ref="N32:P32"/>
    <mergeCell ref="Q32:S32"/>
    <mergeCell ref="T32:V32"/>
    <mergeCell ref="N27:P27"/>
    <mergeCell ref="Q27:S27"/>
    <mergeCell ref="T27:V27"/>
    <mergeCell ref="N26:P26"/>
    <mergeCell ref="Q26:S26"/>
    <mergeCell ref="T26:V26"/>
    <mergeCell ref="Q140:S140"/>
    <mergeCell ref="Q71:S71"/>
    <mergeCell ref="T71:V71"/>
    <mergeCell ref="Q104:S104"/>
    <mergeCell ref="T104:V104"/>
    <mergeCell ref="N107:P107"/>
    <mergeCell ref="Q107:S107"/>
    <mergeCell ref="T107:V107"/>
    <mergeCell ref="Q134:S134"/>
    <mergeCell ref="T134:V134"/>
    <mergeCell ref="N131:P131"/>
    <mergeCell ref="Q131:S131"/>
    <mergeCell ref="T131:V131"/>
    <mergeCell ref="T79:V79"/>
    <mergeCell ref="K77:V77"/>
    <mergeCell ref="N71:P71"/>
    <mergeCell ref="K88:M88"/>
    <mergeCell ref="K90:M90"/>
    <mergeCell ref="K93:M93"/>
    <mergeCell ref="Q93:S93"/>
    <mergeCell ref="T93:V93"/>
    <mergeCell ref="T90:V90"/>
    <mergeCell ref="N88:P88"/>
    <mergeCell ref="Q88:S88"/>
    <mergeCell ref="T88:V8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F263-AF23-4457-B52E-C94F5949F3EC}">
  <sheetPr codeName="Sheet4"/>
  <dimension ref="A1:T106"/>
  <sheetViews>
    <sheetView zoomScale="85" zoomScaleNormal="85" workbookViewId="0">
      <selection activeCell="B13" sqref="B13"/>
    </sheetView>
  </sheetViews>
  <sheetFormatPr defaultRowHeight="14.4" x14ac:dyDescent="0.3"/>
  <cols>
    <col min="1" max="1" width="25" customWidth="1"/>
    <col min="2" max="2" width="19.44140625" style="5" customWidth="1"/>
    <col min="3" max="4" width="15.44140625" customWidth="1"/>
    <col min="5" max="5" width="14.44140625" customWidth="1"/>
    <col min="6" max="12" width="13.5546875" customWidth="1"/>
    <col min="13" max="13" width="12.5546875" bestFit="1" customWidth="1"/>
    <col min="14" max="16" width="14.44140625" customWidth="1"/>
    <col min="17" max="17" width="15.44140625" customWidth="1"/>
    <col min="18" max="18" width="20.5546875" customWidth="1"/>
  </cols>
  <sheetData>
    <row r="1" spans="1:11" x14ac:dyDescent="0.3">
      <c r="A1" t="s">
        <v>44</v>
      </c>
      <c r="B1" s="5" t="s">
        <v>2112</v>
      </c>
      <c r="J1" t="s">
        <v>0</v>
      </c>
      <c r="K1" t="s">
        <v>2113</v>
      </c>
    </row>
    <row r="2" spans="1:11" x14ac:dyDescent="0.3">
      <c r="A2" t="s">
        <v>47</v>
      </c>
      <c r="B2" s="5" t="s">
        <v>1</v>
      </c>
      <c r="J2" t="s">
        <v>1</v>
      </c>
      <c r="K2" t="s">
        <v>2114</v>
      </c>
    </row>
    <row r="3" spans="1:11" x14ac:dyDescent="0.3">
      <c r="A3" t="s">
        <v>2113</v>
      </c>
      <c r="B3" s="5" t="s">
        <v>2115</v>
      </c>
      <c r="K3" t="s">
        <v>2116</v>
      </c>
    </row>
    <row r="4" spans="1:11" x14ac:dyDescent="0.3">
      <c r="K4" t="s">
        <v>2115</v>
      </c>
    </row>
    <row r="5" spans="1:11" x14ac:dyDescent="0.3">
      <c r="K5" t="s">
        <v>2117</v>
      </c>
    </row>
    <row r="6" spans="1:11" x14ac:dyDescent="0.3">
      <c r="A6" t="s">
        <v>2118</v>
      </c>
      <c r="B6" s="5" cm="1">
        <f t="array" ref="B6">_xlfn.IFS(AND($B$2="Residential",$B$3="Tiles Roof"),$I$40,AND($B$2="C&amp;I",$B$3="Tiles Roof"),$I$106,Roof_Type&lt;&gt;"Tiles Roof",0)</f>
        <v>0</v>
      </c>
    </row>
    <row r="7" spans="1:11" x14ac:dyDescent="0.3">
      <c r="A7" t="s">
        <v>2119</v>
      </c>
      <c r="B7" s="5" cm="1">
        <f t="array" ref="B7">_xlfn.IFS(AND($B$2="Residential",OR($B$3="Metal Deck", $B$3="RC Roof")),$I$40,AND($B$2="C&amp;I",OR($B$3="Metal Deck", $B$3="RC Roof")),$I$106,Roof_Type&lt;&gt;"Metal Deck",0)</f>
        <v>0</v>
      </c>
    </row>
    <row r="8" spans="1:11" x14ac:dyDescent="0.3">
      <c r="A8" t="s">
        <v>2120</v>
      </c>
      <c r="B8" s="5" cm="1">
        <f t="array" ref="B8">_xlfn.IFS(AND($B$2="Residential",$B$3="Klip Lok Roof"),$J$40,AND($B$2="C&amp;I",$B$3="Klip Lok Roof"),$J$106,Roof_Type&lt;&gt;"Klip Lok Roof",0)</f>
        <v>1796</v>
      </c>
    </row>
    <row r="9" spans="1:11" x14ac:dyDescent="0.3">
      <c r="A9" t="s">
        <v>2121</v>
      </c>
      <c r="B9" s="5" cm="1">
        <f t="array" ref="B9">_xlfn.IFS($B$2="Residential",K40,$B$2="C&amp;I",N106)</f>
        <v>116</v>
      </c>
    </row>
    <row r="10" spans="1:11" x14ac:dyDescent="0.3">
      <c r="A10" t="s">
        <v>2122</v>
      </c>
      <c r="B10" s="5">
        <f>IF($B$2="Residential",0,IF($B$2="C&amp;I",K106,0))</f>
        <v>104</v>
      </c>
    </row>
    <row r="11" spans="1:11" x14ac:dyDescent="0.3">
      <c r="A11" t="s">
        <v>2123</v>
      </c>
      <c r="B11" s="5" cm="1">
        <f t="array" ref="B11">_xlfn.IFS($B$2="Residential",0,$B$2="C&amp;I",L106)</f>
        <v>232</v>
      </c>
    </row>
    <row r="12" spans="1:11" x14ac:dyDescent="0.3">
      <c r="A12" t="s">
        <v>2124</v>
      </c>
      <c r="B12" s="5" cm="1">
        <f t="array" ref="B12">_xlfn.IFS($B$2="Residential",0,$B$2="C&amp;I",M106)</f>
        <v>0</v>
      </c>
    </row>
    <row r="13" spans="1:11" x14ac:dyDescent="0.3">
      <c r="A13" t="s">
        <v>2125</v>
      </c>
      <c r="B13" s="5" cm="1">
        <f t="array" ref="B13">_xlfn.IFS($B$2="Residential",G40,$B$2="C&amp;I",G106)</f>
        <v>284</v>
      </c>
    </row>
    <row r="14" spans="1:11" x14ac:dyDescent="0.3">
      <c r="A14" t="s">
        <v>2126</v>
      </c>
      <c r="B14" s="5" cm="1">
        <f t="array" ref="B14">_xlfn.IFS($B$2="Residential",E40,$B$2="C&amp;I",E106)</f>
        <v>1460</v>
      </c>
    </row>
    <row r="15" spans="1:11" x14ac:dyDescent="0.3">
      <c r="A15" t="s">
        <v>2127</v>
      </c>
      <c r="B15" s="5" cm="1">
        <f t="array" ref="B15">_xlfn.IFS($B$2="Residential",F40,$B$2="C&amp;I",F106)</f>
        <v>336</v>
      </c>
    </row>
    <row r="16" spans="1:11" x14ac:dyDescent="0.3">
      <c r="A16" t="s">
        <v>2128</v>
      </c>
      <c r="B16" s="5" cm="1">
        <f t="array" ref="B16">_xlfn.IFS($B$2="Residential",H40,$B$2="C&amp;I",H106)</f>
        <v>840</v>
      </c>
    </row>
    <row r="17" spans="1:16" x14ac:dyDescent="0.3">
      <c r="A17" t="s">
        <v>2129</v>
      </c>
      <c r="B17" s="5" cm="1">
        <f t="array" ref="B17">_xlfn.IFS($B$2="Residential",D40,$B$2="C&amp;I",D106)</f>
        <v>84</v>
      </c>
      <c r="C17" s="6"/>
      <c r="D17" s="6"/>
      <c r="E17" s="6"/>
      <c r="F17" s="6"/>
      <c r="G17" s="6"/>
      <c r="H17" s="6"/>
      <c r="I17" s="6"/>
      <c r="J17" s="6"/>
      <c r="K17" s="6"/>
      <c r="L17" s="6"/>
      <c r="M17" s="6"/>
      <c r="N17" s="6"/>
      <c r="O17" s="6"/>
      <c r="P17" s="6"/>
    </row>
    <row r="18" spans="1:16" x14ac:dyDescent="0.3">
      <c r="A18" t="s">
        <v>2130</v>
      </c>
      <c r="B18" s="5" cm="1">
        <f t="array" ref="B18">_xlfn.IFS(AND($B$2="Residential",$B$3="RC Roof"),$B$26*6,AND($B$2="C&amp;I",$B$3="RC Roof"),$B$51*6,Roof_Type&lt;&gt;"RC Roof",0)</f>
        <v>0</v>
      </c>
      <c r="C18" s="6"/>
      <c r="D18" s="6"/>
      <c r="E18" s="6"/>
      <c r="F18" s="6"/>
      <c r="G18" s="6"/>
      <c r="H18" s="6"/>
      <c r="I18" s="6"/>
      <c r="J18" s="6"/>
      <c r="K18" s="6"/>
      <c r="L18" s="6"/>
      <c r="M18" s="6"/>
      <c r="N18" s="6"/>
      <c r="O18" s="6"/>
      <c r="P18" s="6"/>
    </row>
    <row r="19" spans="1:16" x14ac:dyDescent="0.3">
      <c r="C19" s="6"/>
      <c r="D19" s="6"/>
      <c r="E19" s="6"/>
      <c r="F19" s="6"/>
      <c r="G19" s="6"/>
      <c r="H19" s="6"/>
      <c r="I19" s="6"/>
      <c r="J19" s="6"/>
      <c r="K19" s="6"/>
      <c r="L19" s="6"/>
      <c r="M19" s="6"/>
      <c r="N19" s="6"/>
      <c r="O19" s="6"/>
      <c r="P19" s="6"/>
    </row>
    <row r="20" spans="1:16" x14ac:dyDescent="0.3">
      <c r="C20" s="6"/>
      <c r="D20" s="6"/>
      <c r="E20" s="6"/>
      <c r="F20" s="6"/>
      <c r="G20" s="6"/>
      <c r="H20" s="6"/>
      <c r="I20" s="6"/>
      <c r="J20" s="6"/>
      <c r="K20" s="6"/>
      <c r="L20" s="6"/>
      <c r="M20" s="6"/>
      <c r="N20" s="6"/>
      <c r="O20" s="6"/>
      <c r="P20" s="6"/>
    </row>
    <row r="21" spans="1:16" s="28" customFormat="1" ht="18" x14ac:dyDescent="0.35">
      <c r="A21" s="28" t="s">
        <v>0</v>
      </c>
      <c r="B21" s="29"/>
    </row>
    <row r="22" spans="1:16" x14ac:dyDescent="0.3">
      <c r="C22" s="6"/>
      <c r="D22" s="6"/>
      <c r="E22" s="6"/>
      <c r="F22" s="6"/>
      <c r="G22" s="6"/>
      <c r="H22" s="6"/>
      <c r="I22" s="6"/>
      <c r="J22" s="6"/>
      <c r="K22" s="6"/>
      <c r="L22" s="6"/>
      <c r="M22" s="6"/>
      <c r="N22" s="6"/>
      <c r="O22" s="6"/>
      <c r="P22" s="6"/>
    </row>
    <row r="23" spans="1:16" x14ac:dyDescent="0.3">
      <c r="A23" s="7" t="s">
        <v>2131</v>
      </c>
      <c r="B23" s="10">
        <v>1.1339999999999999</v>
      </c>
      <c r="C23" s="6" t="s">
        <v>2132</v>
      </c>
      <c r="D23" s="7" t="s">
        <v>2133</v>
      </c>
      <c r="E23" s="5">
        <v>2.278</v>
      </c>
      <c r="F23" s="5"/>
      <c r="G23" s="5"/>
      <c r="H23" s="6"/>
      <c r="I23" s="6"/>
      <c r="J23" s="6"/>
      <c r="K23" s="6"/>
      <c r="L23" s="7"/>
      <c r="M23" s="6"/>
    </row>
    <row r="24" spans="1:16" x14ac:dyDescent="0.3">
      <c r="A24" s="7" t="s">
        <v>2134</v>
      </c>
      <c r="B24" s="10">
        <v>1.1000000000000001</v>
      </c>
      <c r="C24" s="6" t="s">
        <v>2132</v>
      </c>
      <c r="D24" s="7"/>
      <c r="E24" s="5"/>
      <c r="F24" s="5"/>
      <c r="G24" s="5"/>
      <c r="H24" s="6"/>
      <c r="I24" s="6"/>
      <c r="J24" s="6"/>
      <c r="K24" s="6"/>
      <c r="L24" s="7"/>
      <c r="M24" s="6"/>
    </row>
    <row r="25" spans="1:16" x14ac:dyDescent="0.3">
      <c r="A25" s="7" t="s">
        <v>2135</v>
      </c>
      <c r="B25" s="5">
        <v>2.6</v>
      </c>
      <c r="C25" s="6" t="s">
        <v>2132</v>
      </c>
      <c r="D25" s="7"/>
      <c r="E25" s="5"/>
      <c r="F25" s="5"/>
      <c r="G25" s="5"/>
      <c r="H25" s="6"/>
      <c r="I25" s="6"/>
      <c r="J25" s="6"/>
      <c r="K25" s="6"/>
      <c r="L25" s="7"/>
      <c r="M25" s="6"/>
    </row>
    <row r="26" spans="1:16" x14ac:dyDescent="0.3">
      <c r="A26" s="7" t="s">
        <v>2136</v>
      </c>
      <c r="B26" s="5">
        <f>C40</f>
        <v>0</v>
      </c>
      <c r="M26" s="6"/>
    </row>
    <row r="27" spans="1:16" ht="14.85" customHeight="1" x14ac:dyDescent="0.3">
      <c r="L27" s="6"/>
      <c r="M27" s="6"/>
    </row>
    <row r="28" spans="1:16" ht="32.85" customHeight="1" x14ac:dyDescent="0.3">
      <c r="A28" s="1" t="s">
        <v>2137</v>
      </c>
      <c r="B28" s="9" t="s">
        <v>2138</v>
      </c>
      <c r="C28" s="1" t="s">
        <v>2139</v>
      </c>
      <c r="D28" s="1" t="s">
        <v>2129</v>
      </c>
      <c r="E28" s="1" t="s">
        <v>2140</v>
      </c>
      <c r="F28" s="1" t="s">
        <v>2141</v>
      </c>
      <c r="G28" s="1" t="s">
        <v>2142</v>
      </c>
      <c r="H28" s="1" t="s">
        <v>2128</v>
      </c>
      <c r="I28" s="1" t="s">
        <v>2143</v>
      </c>
      <c r="J28" s="1" t="s">
        <v>2144</v>
      </c>
      <c r="K28" s="1" t="s">
        <v>2145</v>
      </c>
      <c r="L28" s="2" t="s">
        <v>2146</v>
      </c>
      <c r="M28" s="8"/>
    </row>
    <row r="29" spans="1:16" ht="15.6" x14ac:dyDescent="0.3">
      <c r="A29" s="170" t="s">
        <v>2147</v>
      </c>
      <c r="B29" s="171"/>
      <c r="C29" s="171"/>
      <c r="D29" s="171"/>
      <c r="E29" s="171"/>
      <c r="F29" s="171"/>
      <c r="G29" s="171"/>
      <c r="H29" s="171"/>
      <c r="I29" s="171"/>
      <c r="J29" s="171"/>
      <c r="K29" s="171"/>
      <c r="L29" s="172"/>
      <c r="M29" s="8"/>
    </row>
    <row r="30" spans="1:16" x14ac:dyDescent="0.3">
      <c r="A30" s="30"/>
      <c r="B30" s="30"/>
      <c r="C30" s="4">
        <f>A30*B30</f>
        <v>0</v>
      </c>
      <c r="D30" s="4">
        <f>B30*1</f>
        <v>0</v>
      </c>
      <c r="E30" s="4">
        <f>(A30-1)*B30*2</f>
        <v>0</v>
      </c>
      <c r="F30" s="4">
        <f>4*B30</f>
        <v>0</v>
      </c>
      <c r="G30" s="4">
        <f>(K30-1)*B30*2</f>
        <v>0</v>
      </c>
      <c r="H30" s="4">
        <f>ROUNDUP(A30/2,0)*2*B30</f>
        <v>0</v>
      </c>
      <c r="I30" s="4">
        <f>ROUNDUP(L30/$B$24,0)*B30*2</f>
        <v>0</v>
      </c>
      <c r="J30" s="4">
        <f>SUM(E30:F30)</f>
        <v>0</v>
      </c>
      <c r="K30" s="4">
        <f>ROUNDUP((A30*$B$23)/$B$25,0)</f>
        <v>0</v>
      </c>
      <c r="L30" s="3">
        <f>K30*$B$25</f>
        <v>0</v>
      </c>
      <c r="M30" s="6"/>
    </row>
    <row r="31" spans="1:16" x14ac:dyDescent="0.3">
      <c r="A31" s="30"/>
      <c r="B31" s="30"/>
      <c r="C31" s="4">
        <f t="shared" ref="C31:C39" si="0">A31*B31</f>
        <v>0</v>
      </c>
      <c r="D31" s="4">
        <f t="shared" ref="D31:D39" si="1">B31*1</f>
        <v>0</v>
      </c>
      <c r="E31" s="4">
        <f t="shared" ref="E31:E39" si="2">(A31-1)*B31*2</f>
        <v>0</v>
      </c>
      <c r="F31" s="4">
        <f t="shared" ref="F31:F39" si="3">4*B31</f>
        <v>0</v>
      </c>
      <c r="G31" s="4">
        <f t="shared" ref="G31:G39" si="4">(K31-1)*B31*2</f>
        <v>0</v>
      </c>
      <c r="H31" s="4">
        <f t="shared" ref="H31:H39" si="5">ROUNDUP(A31/2,0)*2*B31</f>
        <v>0</v>
      </c>
      <c r="I31" s="4">
        <f t="shared" ref="I31:I39" si="6">ROUNDUP(L31/$B$24,0)*B31*2</f>
        <v>0</v>
      </c>
      <c r="J31" s="4">
        <f t="shared" ref="J31:J39" si="7">SUM(E31:F31)</f>
        <v>0</v>
      </c>
      <c r="K31" s="4">
        <f>ROUNDUP((A31*$B$23)/$B$25,0)</f>
        <v>0</v>
      </c>
      <c r="L31" s="3">
        <f t="shared" ref="L31:L39" si="8">K31*$B$25</f>
        <v>0</v>
      </c>
      <c r="M31" s="6"/>
    </row>
    <row r="32" spans="1:16" x14ac:dyDescent="0.3">
      <c r="A32" s="30"/>
      <c r="B32" s="30"/>
      <c r="C32" s="4">
        <f t="shared" si="0"/>
        <v>0</v>
      </c>
      <c r="D32" s="4">
        <f t="shared" si="1"/>
        <v>0</v>
      </c>
      <c r="E32" s="4">
        <f t="shared" si="2"/>
        <v>0</v>
      </c>
      <c r="F32" s="4">
        <f t="shared" si="3"/>
        <v>0</v>
      </c>
      <c r="G32" s="4">
        <f t="shared" si="4"/>
        <v>0</v>
      </c>
      <c r="H32" s="4">
        <f t="shared" si="5"/>
        <v>0</v>
      </c>
      <c r="I32" s="4">
        <f t="shared" si="6"/>
        <v>0</v>
      </c>
      <c r="J32" s="4">
        <f t="shared" si="7"/>
        <v>0</v>
      </c>
      <c r="K32" s="4">
        <f>ROUNDUP((A32*$B$23)/$B$25,0)</f>
        <v>0</v>
      </c>
      <c r="L32" s="3">
        <f t="shared" si="8"/>
        <v>0</v>
      </c>
      <c r="M32" s="6"/>
    </row>
    <row r="33" spans="1:20" x14ac:dyDescent="0.3">
      <c r="A33" s="30"/>
      <c r="B33" s="30"/>
      <c r="C33" s="4">
        <f t="shared" si="0"/>
        <v>0</v>
      </c>
      <c r="D33" s="4">
        <f t="shared" si="1"/>
        <v>0</v>
      </c>
      <c r="E33" s="4">
        <f t="shared" si="2"/>
        <v>0</v>
      </c>
      <c r="F33" s="4">
        <f t="shared" si="3"/>
        <v>0</v>
      </c>
      <c r="G33" s="4">
        <f t="shared" si="4"/>
        <v>0</v>
      </c>
      <c r="H33" s="4">
        <f t="shared" si="5"/>
        <v>0</v>
      </c>
      <c r="I33" s="4">
        <f t="shared" si="6"/>
        <v>0</v>
      </c>
      <c r="J33" s="4">
        <f t="shared" si="7"/>
        <v>0</v>
      </c>
      <c r="K33" s="4">
        <f>ROUNDUP((A33*$B$23)/$B$25,0)</f>
        <v>0</v>
      </c>
      <c r="L33" s="3">
        <f t="shared" si="8"/>
        <v>0</v>
      </c>
      <c r="M33" s="6"/>
    </row>
    <row r="34" spans="1:20" ht="15.6" x14ac:dyDescent="0.3">
      <c r="A34" s="170" t="s">
        <v>2148</v>
      </c>
      <c r="B34" s="171"/>
      <c r="C34" s="171"/>
      <c r="D34" s="171"/>
      <c r="E34" s="171"/>
      <c r="F34" s="171"/>
      <c r="G34" s="171"/>
      <c r="H34" s="171"/>
      <c r="I34" s="171"/>
      <c r="J34" s="171"/>
      <c r="K34" s="171"/>
      <c r="L34" s="172"/>
      <c r="M34" s="6"/>
    </row>
    <row r="35" spans="1:20" x14ac:dyDescent="0.3">
      <c r="A35" s="30"/>
      <c r="B35" s="30"/>
      <c r="C35" s="4">
        <f t="shared" si="0"/>
        <v>0</v>
      </c>
      <c r="D35" s="4">
        <f t="shared" si="1"/>
        <v>0</v>
      </c>
      <c r="E35" s="4">
        <f t="shared" si="2"/>
        <v>0</v>
      </c>
      <c r="F35" s="4">
        <f t="shared" si="3"/>
        <v>0</v>
      </c>
      <c r="G35" s="4">
        <f t="shared" si="4"/>
        <v>0</v>
      </c>
      <c r="H35" s="4">
        <f t="shared" si="5"/>
        <v>0</v>
      </c>
      <c r="I35" s="4">
        <f t="shared" si="6"/>
        <v>0</v>
      </c>
      <c r="J35" s="4">
        <f t="shared" si="7"/>
        <v>0</v>
      </c>
      <c r="K35" s="4">
        <f>ROUNDUP((A35*$E$23)/$B$25,0)</f>
        <v>0</v>
      </c>
      <c r="L35" s="3">
        <f>K35*$B$25</f>
        <v>0</v>
      </c>
      <c r="M35" s="6"/>
    </row>
    <row r="36" spans="1:20" x14ac:dyDescent="0.3">
      <c r="A36" s="30"/>
      <c r="B36" s="30"/>
      <c r="C36" s="4">
        <f t="shared" si="0"/>
        <v>0</v>
      </c>
      <c r="D36" s="4">
        <f t="shared" si="1"/>
        <v>0</v>
      </c>
      <c r="E36" s="4">
        <f t="shared" si="2"/>
        <v>0</v>
      </c>
      <c r="F36" s="4">
        <f t="shared" si="3"/>
        <v>0</v>
      </c>
      <c r="G36" s="4">
        <f t="shared" si="4"/>
        <v>0</v>
      </c>
      <c r="H36" s="4">
        <f t="shared" si="5"/>
        <v>0</v>
      </c>
      <c r="I36" s="4">
        <f t="shared" si="6"/>
        <v>0</v>
      </c>
      <c r="J36" s="4">
        <f t="shared" si="7"/>
        <v>0</v>
      </c>
      <c r="K36" s="4">
        <f>ROUNDUP((A36*$E$23)/$B$25,0)</f>
        <v>0</v>
      </c>
      <c r="L36" s="3">
        <f t="shared" si="8"/>
        <v>0</v>
      </c>
      <c r="M36" s="6"/>
    </row>
    <row r="37" spans="1:20" x14ac:dyDescent="0.3">
      <c r="A37" s="30"/>
      <c r="B37" s="30"/>
      <c r="C37" s="4">
        <f t="shared" si="0"/>
        <v>0</v>
      </c>
      <c r="D37" s="4">
        <f t="shared" si="1"/>
        <v>0</v>
      </c>
      <c r="E37" s="4">
        <f t="shared" si="2"/>
        <v>0</v>
      </c>
      <c r="F37" s="4">
        <f t="shared" si="3"/>
        <v>0</v>
      </c>
      <c r="G37" s="4">
        <f t="shared" si="4"/>
        <v>0</v>
      </c>
      <c r="H37" s="4">
        <f t="shared" si="5"/>
        <v>0</v>
      </c>
      <c r="I37" s="4">
        <f t="shared" si="6"/>
        <v>0</v>
      </c>
      <c r="J37" s="4">
        <f t="shared" si="7"/>
        <v>0</v>
      </c>
      <c r="K37" s="4">
        <f>ROUNDUP((A37*$E$23)/$B$25,0)</f>
        <v>0</v>
      </c>
      <c r="L37" s="3">
        <f t="shared" si="8"/>
        <v>0</v>
      </c>
      <c r="M37" s="6"/>
    </row>
    <row r="38" spans="1:20" x14ac:dyDescent="0.3">
      <c r="A38" s="30"/>
      <c r="B38" s="30"/>
      <c r="C38" s="4">
        <f>A38*B38</f>
        <v>0</v>
      </c>
      <c r="D38" s="4">
        <f>B38*1</f>
        <v>0</v>
      </c>
      <c r="E38" s="4">
        <f>(A38-1)*B38*2</f>
        <v>0</v>
      </c>
      <c r="F38" s="4">
        <f>4*B38</f>
        <v>0</v>
      </c>
      <c r="G38" s="4">
        <f>(K38-1)*B38*2</f>
        <v>0</v>
      </c>
      <c r="H38" s="4">
        <f>ROUNDUP(A38/2,0)*2*B38</f>
        <v>0</v>
      </c>
      <c r="I38" s="4">
        <f>ROUNDUP(L38/$B$24,0)*B38*2</f>
        <v>0</v>
      </c>
      <c r="J38" s="4">
        <f>SUM(E38:F38)</f>
        <v>0</v>
      </c>
      <c r="K38" s="4">
        <f>ROUNDUP((A38*$E$23)/$B$25,0)</f>
        <v>0</v>
      </c>
      <c r="L38" s="3">
        <f>K38*$B$25</f>
        <v>0</v>
      </c>
      <c r="M38" s="6"/>
    </row>
    <row r="39" spans="1:20" ht="15" thickBot="1" x14ac:dyDescent="0.35">
      <c r="A39" s="30"/>
      <c r="B39" s="30"/>
      <c r="C39" s="4">
        <f t="shared" si="0"/>
        <v>0</v>
      </c>
      <c r="D39" s="4">
        <f t="shared" si="1"/>
        <v>0</v>
      </c>
      <c r="E39" s="4">
        <f t="shared" si="2"/>
        <v>0</v>
      </c>
      <c r="F39" s="4">
        <f t="shared" si="3"/>
        <v>0</v>
      </c>
      <c r="G39" s="4">
        <f t="shared" si="4"/>
        <v>0</v>
      </c>
      <c r="H39" s="4">
        <f t="shared" si="5"/>
        <v>0</v>
      </c>
      <c r="I39" s="4">
        <f t="shared" si="6"/>
        <v>0</v>
      </c>
      <c r="J39" s="4">
        <f t="shared" si="7"/>
        <v>0</v>
      </c>
      <c r="K39" s="4">
        <f>ROUNDUP((A39*$E$23)/$B$25,0)</f>
        <v>0</v>
      </c>
      <c r="L39" s="3">
        <f t="shared" si="8"/>
        <v>0</v>
      </c>
      <c r="M39" s="6"/>
    </row>
    <row r="40" spans="1:20" ht="15" thickBot="1" x14ac:dyDescent="0.35">
      <c r="C40" s="37">
        <f t="shared" ref="C40:J40" si="9">SUM(C30:C39)</f>
        <v>0</v>
      </c>
      <c r="D40" s="36">
        <f t="shared" si="9"/>
        <v>0</v>
      </c>
      <c r="E40" s="36">
        <f t="shared" si="9"/>
        <v>0</v>
      </c>
      <c r="F40" s="36">
        <f t="shared" si="9"/>
        <v>0</v>
      </c>
      <c r="G40" s="36">
        <f t="shared" si="9"/>
        <v>0</v>
      </c>
      <c r="H40" s="36">
        <f t="shared" si="9"/>
        <v>0</v>
      </c>
      <c r="I40" s="36">
        <f t="shared" si="9"/>
        <v>0</v>
      </c>
      <c r="J40" s="36">
        <f t="shared" si="9"/>
        <v>0</v>
      </c>
      <c r="K40" s="36">
        <f>SUMPRODUCT(K30:K39, $B30:$B39)*2</f>
        <v>0</v>
      </c>
      <c r="L40" s="36"/>
      <c r="M40" s="6"/>
    </row>
    <row r="41" spans="1:20" x14ac:dyDescent="0.3">
      <c r="A41" s="6"/>
      <c r="B41" s="10"/>
      <c r="C41" s="6"/>
      <c r="D41" s="6"/>
      <c r="E41" s="6"/>
      <c r="F41" s="6"/>
      <c r="G41" s="6"/>
      <c r="H41" s="6"/>
      <c r="I41" s="6"/>
      <c r="J41" s="6"/>
      <c r="K41" s="6"/>
      <c r="L41" s="6"/>
      <c r="M41" s="6"/>
    </row>
    <row r="43" spans="1:20" s="28" customFormat="1" ht="18" x14ac:dyDescent="0.35">
      <c r="A43"/>
      <c r="B43" s="5"/>
      <c r="C43"/>
      <c r="D43"/>
      <c r="E43"/>
      <c r="F43"/>
      <c r="G43"/>
      <c r="H43"/>
      <c r="I43"/>
      <c r="J43"/>
      <c r="K43"/>
      <c r="L43"/>
      <c r="M43"/>
      <c r="N43"/>
      <c r="O43"/>
      <c r="P43"/>
      <c r="Q43"/>
      <c r="R43"/>
      <c r="S43"/>
      <c r="T43"/>
    </row>
    <row r="44" spans="1:20" ht="18" x14ac:dyDescent="0.35">
      <c r="A44" s="28" t="s">
        <v>1</v>
      </c>
      <c r="B44" s="29"/>
      <c r="C44" s="28"/>
      <c r="D44" s="28"/>
      <c r="E44" s="28"/>
      <c r="F44" s="28"/>
      <c r="G44" s="28"/>
      <c r="H44" s="28"/>
      <c r="I44" s="28"/>
      <c r="J44" s="28"/>
      <c r="K44" s="28"/>
      <c r="L44" s="28"/>
      <c r="M44" s="28"/>
      <c r="N44" s="28"/>
      <c r="O44" s="28"/>
      <c r="P44" s="28"/>
      <c r="Q44" s="28"/>
      <c r="R44" s="28"/>
      <c r="S44" s="28"/>
      <c r="T44" s="28"/>
    </row>
    <row r="48" spans="1:20" x14ac:dyDescent="0.3">
      <c r="A48" s="7" t="s">
        <v>2131</v>
      </c>
      <c r="B48" s="128">
        <v>1.1339999999999999</v>
      </c>
      <c r="C48" s="6" t="s">
        <v>2132</v>
      </c>
      <c r="D48" s="7" t="s">
        <v>2133</v>
      </c>
      <c r="E48" s="129">
        <v>2.3820000000000001</v>
      </c>
      <c r="F48" s="5"/>
      <c r="G48" s="5"/>
      <c r="H48" s="6"/>
      <c r="I48" s="6"/>
      <c r="J48" s="6"/>
      <c r="K48" s="6"/>
      <c r="L48" s="7"/>
    </row>
    <row r="49" spans="1:18" x14ac:dyDescent="0.3">
      <c r="A49" s="7" t="s">
        <v>2134</v>
      </c>
      <c r="B49" s="128">
        <v>1.1000000000000001</v>
      </c>
      <c r="C49" s="6" t="s">
        <v>2132</v>
      </c>
      <c r="D49" s="7"/>
      <c r="E49" s="5"/>
      <c r="F49" s="5"/>
      <c r="G49" s="5"/>
      <c r="H49" s="6"/>
      <c r="I49" s="6"/>
      <c r="J49" s="6"/>
      <c r="K49" s="6"/>
      <c r="L49" s="7"/>
    </row>
    <row r="50" spans="1:18" x14ac:dyDescent="0.3">
      <c r="A50" s="7" t="s">
        <v>2135</v>
      </c>
      <c r="B50" s="129">
        <v>0</v>
      </c>
      <c r="C50" s="6" t="s">
        <v>2132</v>
      </c>
      <c r="D50" s="7"/>
      <c r="E50" s="5"/>
      <c r="F50" s="5"/>
      <c r="G50" s="5"/>
      <c r="H50" s="6"/>
      <c r="I50" s="6"/>
      <c r="J50" s="6"/>
      <c r="K50" s="6"/>
      <c r="L50" s="7"/>
    </row>
    <row r="51" spans="1:18" x14ac:dyDescent="0.3">
      <c r="A51" s="7" t="s">
        <v>2136</v>
      </c>
      <c r="B51" s="5">
        <f>C106</f>
        <v>814</v>
      </c>
    </row>
    <row r="52" spans="1:18" x14ac:dyDescent="0.3">
      <c r="L52" s="6"/>
    </row>
    <row r="53" spans="1:18" ht="28.8" x14ac:dyDescent="0.3">
      <c r="A53" s="31" t="s">
        <v>2137</v>
      </c>
      <c r="B53" s="32" t="s">
        <v>2138</v>
      </c>
      <c r="C53" s="31" t="s">
        <v>2139</v>
      </c>
      <c r="D53" s="31" t="s">
        <v>2129</v>
      </c>
      <c r="E53" s="31" t="s">
        <v>2140</v>
      </c>
      <c r="F53" s="31" t="s">
        <v>2141</v>
      </c>
      <c r="G53" s="31" t="s">
        <v>2142</v>
      </c>
      <c r="H53" s="31" t="s">
        <v>2128</v>
      </c>
      <c r="I53" s="31" t="s">
        <v>2143</v>
      </c>
      <c r="J53" s="31" t="s">
        <v>2144</v>
      </c>
      <c r="K53" s="31">
        <v>5.3</v>
      </c>
      <c r="L53" s="31">
        <v>4.7</v>
      </c>
      <c r="M53" s="31">
        <v>3.6</v>
      </c>
      <c r="N53" s="31">
        <v>2.6</v>
      </c>
      <c r="O53" s="31" t="s">
        <v>2145</v>
      </c>
      <c r="P53" s="31" t="s">
        <v>2149</v>
      </c>
      <c r="Q53" s="33" t="s">
        <v>2146</v>
      </c>
      <c r="R53" s="33" t="s">
        <v>2150</v>
      </c>
    </row>
    <row r="54" spans="1:18" ht="15.6" x14ac:dyDescent="0.3">
      <c r="A54" s="130" t="s">
        <v>2147</v>
      </c>
      <c r="B54" s="131"/>
      <c r="C54" s="131"/>
      <c r="D54" s="131"/>
      <c r="E54" s="131"/>
      <c r="F54" s="131"/>
      <c r="G54" s="131"/>
      <c r="H54" s="131"/>
      <c r="I54" s="131"/>
      <c r="J54" s="131"/>
      <c r="K54" s="131"/>
      <c r="L54" s="131"/>
      <c r="M54" s="131"/>
      <c r="N54" s="131"/>
      <c r="O54" s="131"/>
      <c r="P54" s="131"/>
      <c r="Q54" s="131"/>
      <c r="R54" s="132"/>
    </row>
    <row r="55" spans="1:18" x14ac:dyDescent="0.3">
      <c r="A55" s="30"/>
      <c r="B55" s="30"/>
      <c r="C55" s="4">
        <f t="shared" ref="C55:C62" si="10">A55*B55</f>
        <v>0</v>
      </c>
      <c r="D55" s="4">
        <f t="shared" ref="D55:D62" si="11">B55*1</f>
        <v>0</v>
      </c>
      <c r="E55" s="4">
        <f t="shared" ref="E55:E62" si="12">(A55-1)*B55*2</f>
        <v>0</v>
      </c>
      <c r="F55" s="4">
        <f t="shared" ref="F55:F62" si="13">4*B55</f>
        <v>0</v>
      </c>
      <c r="G55" s="4">
        <f t="shared" ref="G55:G62" si="14">(O55-1)*B55*2</f>
        <v>0</v>
      </c>
      <c r="H55" s="4">
        <f t="shared" ref="H55:H62" si="15">ROUNDUP(A55/2,0)*2*B55</f>
        <v>0</v>
      </c>
      <c r="I55" s="4">
        <f>ROUNDUP(Q55/$B$49,0)*B55*2</f>
        <v>0</v>
      </c>
      <c r="J55" s="4">
        <f t="shared" ref="J55:J62" si="16">SUM(E55:F55)</f>
        <v>0</v>
      </c>
      <c r="K55" s="30"/>
      <c r="L55" s="30"/>
      <c r="M55" s="30"/>
      <c r="N55" s="30"/>
      <c r="O55" s="4">
        <f t="shared" ref="O55:O62" si="17">SUM(K54:N54)</f>
        <v>0</v>
      </c>
      <c r="P55" s="4">
        <f t="shared" ref="P55:P62" si="18">A55*$B$48+(A55-1)*0.02</f>
        <v>-0.02</v>
      </c>
      <c r="Q55" s="3">
        <f>SUMPRODUCT($K$53:$N$53,K55:N55)</f>
        <v>0</v>
      </c>
      <c r="R55" s="3">
        <f>((Q55-P55)/2)*1000</f>
        <v>10</v>
      </c>
    </row>
    <row r="56" spans="1:18" x14ac:dyDescent="0.3">
      <c r="A56" s="30"/>
      <c r="B56" s="30"/>
      <c r="C56" s="4">
        <f t="shared" si="10"/>
        <v>0</v>
      </c>
      <c r="D56" s="4">
        <f t="shared" si="11"/>
        <v>0</v>
      </c>
      <c r="E56" s="4">
        <f t="shared" si="12"/>
        <v>0</v>
      </c>
      <c r="F56" s="4">
        <f t="shared" si="13"/>
        <v>0</v>
      </c>
      <c r="G56" s="4">
        <f t="shared" si="14"/>
        <v>0</v>
      </c>
      <c r="H56" s="4">
        <f t="shared" si="15"/>
        <v>0</v>
      </c>
      <c r="I56" s="4">
        <f t="shared" ref="I56:I62" si="19">ROUNDUP(Q56/$B$49,0)*B56*2</f>
        <v>0</v>
      </c>
      <c r="J56" s="4">
        <f t="shared" si="16"/>
        <v>0</v>
      </c>
      <c r="K56" s="30"/>
      <c r="L56" s="30"/>
      <c r="M56" s="30"/>
      <c r="N56" s="30"/>
      <c r="O56" s="4">
        <f t="shared" si="17"/>
        <v>0</v>
      </c>
      <c r="P56" s="4">
        <f t="shared" si="18"/>
        <v>-0.02</v>
      </c>
      <c r="Q56" s="3">
        <f t="shared" ref="Q56:Q62" si="20">SUMPRODUCT($K$53:$N$53,K56:N56)</f>
        <v>0</v>
      </c>
      <c r="R56" s="3">
        <f t="shared" ref="R56:R64" si="21">((Q56-P56)/2)*1000</f>
        <v>10</v>
      </c>
    </row>
    <row r="57" spans="1:18" x14ac:dyDescent="0.3">
      <c r="A57" s="30"/>
      <c r="B57" s="30"/>
      <c r="C57" s="4">
        <f t="shared" si="10"/>
        <v>0</v>
      </c>
      <c r="D57" s="4">
        <f t="shared" si="11"/>
        <v>0</v>
      </c>
      <c r="E57" s="4">
        <f t="shared" si="12"/>
        <v>0</v>
      </c>
      <c r="F57" s="4">
        <f t="shared" si="13"/>
        <v>0</v>
      </c>
      <c r="G57" s="4">
        <f t="shared" si="14"/>
        <v>0</v>
      </c>
      <c r="H57" s="4">
        <f t="shared" si="15"/>
        <v>0</v>
      </c>
      <c r="I57" s="4">
        <f t="shared" si="19"/>
        <v>0</v>
      </c>
      <c r="J57" s="4">
        <f t="shared" si="16"/>
        <v>0</v>
      </c>
      <c r="K57" s="30"/>
      <c r="L57" s="30"/>
      <c r="M57" s="30"/>
      <c r="N57" s="30"/>
      <c r="O57" s="4">
        <f t="shared" si="17"/>
        <v>0</v>
      </c>
      <c r="P57" s="4">
        <f t="shared" si="18"/>
        <v>-0.02</v>
      </c>
      <c r="Q57" s="3">
        <f t="shared" si="20"/>
        <v>0</v>
      </c>
      <c r="R57" s="3">
        <f t="shared" si="21"/>
        <v>10</v>
      </c>
    </row>
    <row r="58" spans="1:18" x14ac:dyDescent="0.3">
      <c r="A58" s="30"/>
      <c r="B58" s="30"/>
      <c r="C58" s="4">
        <f t="shared" si="10"/>
        <v>0</v>
      </c>
      <c r="D58" s="4">
        <f t="shared" si="11"/>
        <v>0</v>
      </c>
      <c r="E58" s="4">
        <f t="shared" si="12"/>
        <v>0</v>
      </c>
      <c r="F58" s="4">
        <f t="shared" si="13"/>
        <v>0</v>
      </c>
      <c r="G58" s="4">
        <f t="shared" si="14"/>
        <v>0</v>
      </c>
      <c r="H58" s="4">
        <f t="shared" si="15"/>
        <v>0</v>
      </c>
      <c r="I58" s="4">
        <f t="shared" si="19"/>
        <v>0</v>
      </c>
      <c r="J58" s="4">
        <f t="shared" si="16"/>
        <v>0</v>
      </c>
      <c r="K58" s="30"/>
      <c r="L58" s="30"/>
      <c r="M58" s="30"/>
      <c r="N58" s="30"/>
      <c r="O58" s="4">
        <f t="shared" si="17"/>
        <v>0</v>
      </c>
      <c r="P58" s="4">
        <f t="shared" si="18"/>
        <v>-0.02</v>
      </c>
      <c r="Q58" s="3">
        <f t="shared" si="20"/>
        <v>0</v>
      </c>
      <c r="R58" s="3">
        <f t="shared" si="21"/>
        <v>10</v>
      </c>
    </row>
    <row r="59" spans="1:18" x14ac:dyDescent="0.3">
      <c r="A59" s="30"/>
      <c r="B59" s="30"/>
      <c r="C59" s="4">
        <f t="shared" si="10"/>
        <v>0</v>
      </c>
      <c r="D59" s="4">
        <f t="shared" si="11"/>
        <v>0</v>
      </c>
      <c r="E59" s="4">
        <f t="shared" si="12"/>
        <v>0</v>
      </c>
      <c r="F59" s="4">
        <f t="shared" si="13"/>
        <v>0</v>
      </c>
      <c r="G59" s="4">
        <f t="shared" si="14"/>
        <v>0</v>
      </c>
      <c r="H59" s="4">
        <f t="shared" si="15"/>
        <v>0</v>
      </c>
      <c r="I59" s="4">
        <f t="shared" si="19"/>
        <v>0</v>
      </c>
      <c r="J59" s="4">
        <f t="shared" si="16"/>
        <v>0</v>
      </c>
      <c r="K59" s="30"/>
      <c r="L59" s="30"/>
      <c r="M59" s="30"/>
      <c r="N59" s="30"/>
      <c r="O59" s="4">
        <f t="shared" si="17"/>
        <v>0</v>
      </c>
      <c r="P59" s="4">
        <f t="shared" si="18"/>
        <v>-0.02</v>
      </c>
      <c r="Q59" s="3">
        <f t="shared" si="20"/>
        <v>0</v>
      </c>
      <c r="R59" s="3">
        <f>((Q59-P59)/2)*1000</f>
        <v>10</v>
      </c>
    </row>
    <row r="60" spans="1:18" x14ac:dyDescent="0.3">
      <c r="A60" s="30"/>
      <c r="B60" s="30"/>
      <c r="C60" s="4">
        <f t="shared" si="10"/>
        <v>0</v>
      </c>
      <c r="D60" s="4">
        <f t="shared" si="11"/>
        <v>0</v>
      </c>
      <c r="E60" s="4">
        <f t="shared" si="12"/>
        <v>0</v>
      </c>
      <c r="F60" s="4">
        <f t="shared" si="13"/>
        <v>0</v>
      </c>
      <c r="G60" s="4">
        <f t="shared" si="14"/>
        <v>0</v>
      </c>
      <c r="H60" s="4">
        <f t="shared" si="15"/>
        <v>0</v>
      </c>
      <c r="I60" s="4">
        <f t="shared" si="19"/>
        <v>0</v>
      </c>
      <c r="J60" s="4">
        <f t="shared" si="16"/>
        <v>0</v>
      </c>
      <c r="K60" s="30"/>
      <c r="L60" s="30"/>
      <c r="M60" s="30"/>
      <c r="N60" s="30"/>
      <c r="O60" s="4">
        <f t="shared" si="17"/>
        <v>0</v>
      </c>
      <c r="P60" s="4">
        <f t="shared" si="18"/>
        <v>-0.02</v>
      </c>
      <c r="Q60" s="3">
        <f t="shared" si="20"/>
        <v>0</v>
      </c>
      <c r="R60" s="3">
        <f>((Q60-P60)/2)*1000</f>
        <v>10</v>
      </c>
    </row>
    <row r="61" spans="1:18" x14ac:dyDescent="0.3">
      <c r="A61" s="30"/>
      <c r="B61" s="30"/>
      <c r="C61" s="4">
        <f t="shared" si="10"/>
        <v>0</v>
      </c>
      <c r="D61" s="4">
        <f t="shared" si="11"/>
        <v>0</v>
      </c>
      <c r="E61" s="4">
        <f t="shared" si="12"/>
        <v>0</v>
      </c>
      <c r="F61" s="4">
        <f t="shared" si="13"/>
        <v>0</v>
      </c>
      <c r="G61" s="4">
        <f t="shared" si="14"/>
        <v>0</v>
      </c>
      <c r="H61" s="4">
        <f t="shared" si="15"/>
        <v>0</v>
      </c>
      <c r="I61" s="4">
        <f t="shared" si="19"/>
        <v>0</v>
      </c>
      <c r="J61" s="4">
        <f t="shared" si="16"/>
        <v>0</v>
      </c>
      <c r="K61" s="30"/>
      <c r="L61" s="30"/>
      <c r="M61" s="30"/>
      <c r="N61" s="30"/>
      <c r="O61" s="4">
        <f t="shared" si="17"/>
        <v>0</v>
      </c>
      <c r="P61" s="4">
        <f t="shared" si="18"/>
        <v>-0.02</v>
      </c>
      <c r="Q61" s="3">
        <f t="shared" si="20"/>
        <v>0</v>
      </c>
      <c r="R61" s="3">
        <f>((Q61-P61)/2)*1000</f>
        <v>10</v>
      </c>
    </row>
    <row r="62" spans="1:18" x14ac:dyDescent="0.3">
      <c r="A62" s="30"/>
      <c r="B62" s="30"/>
      <c r="C62" s="4">
        <f t="shared" si="10"/>
        <v>0</v>
      </c>
      <c r="D62" s="4">
        <f t="shared" si="11"/>
        <v>0</v>
      </c>
      <c r="E62" s="4">
        <f t="shared" si="12"/>
        <v>0</v>
      </c>
      <c r="F62" s="4">
        <f t="shared" si="13"/>
        <v>0</v>
      </c>
      <c r="G62" s="4">
        <f t="shared" si="14"/>
        <v>0</v>
      </c>
      <c r="H62" s="4">
        <f t="shared" si="15"/>
        <v>0</v>
      </c>
      <c r="I62" s="4">
        <f t="shared" si="19"/>
        <v>0</v>
      </c>
      <c r="J62" s="4">
        <f t="shared" si="16"/>
        <v>0</v>
      </c>
      <c r="K62" s="30"/>
      <c r="L62" s="30"/>
      <c r="M62" s="30"/>
      <c r="N62" s="30"/>
      <c r="O62" s="4">
        <f t="shared" si="17"/>
        <v>0</v>
      </c>
      <c r="P62" s="4">
        <f t="shared" si="18"/>
        <v>-0.02</v>
      </c>
      <c r="Q62" s="3">
        <f t="shared" si="20"/>
        <v>0</v>
      </c>
      <c r="R62" s="3">
        <f>((Q62-P62)/2)*1000</f>
        <v>10</v>
      </c>
    </row>
    <row r="63" spans="1:18" ht="15.6" x14ac:dyDescent="0.3">
      <c r="A63" s="130" t="s">
        <v>2148</v>
      </c>
      <c r="B63" s="131"/>
      <c r="C63" s="131"/>
      <c r="D63" s="131"/>
      <c r="E63" s="131"/>
      <c r="F63" s="131"/>
      <c r="G63" s="131"/>
      <c r="H63" s="131"/>
      <c r="I63" s="131"/>
      <c r="J63" s="131"/>
      <c r="K63" s="131"/>
      <c r="L63" s="131"/>
      <c r="M63" s="131"/>
      <c r="N63" s="131"/>
      <c r="O63" s="131"/>
      <c r="P63" s="131"/>
      <c r="Q63" s="131"/>
      <c r="R63" s="132"/>
    </row>
    <row r="64" spans="1:18" x14ac:dyDescent="0.3">
      <c r="A64" s="30">
        <v>9</v>
      </c>
      <c r="B64" s="30">
        <v>2</v>
      </c>
      <c r="C64" s="4">
        <f t="shared" ref="C64:C86" si="22">A64*B64</f>
        <v>18</v>
      </c>
      <c r="D64" s="4">
        <f t="shared" ref="D64:D86" si="23">B64*1</f>
        <v>2</v>
      </c>
      <c r="E64" s="4">
        <f t="shared" ref="E64:E86" si="24">(A64-1)*B64*2</f>
        <v>32</v>
      </c>
      <c r="F64" s="4">
        <f t="shared" ref="F64:F86" si="25">4*B64</f>
        <v>8</v>
      </c>
      <c r="G64" s="4">
        <f>(O64-1)*B64*2</f>
        <v>4</v>
      </c>
      <c r="H64" s="4">
        <f t="shared" ref="H64:H86" si="26">ROUNDUP(A64/2,0)*2*B64</f>
        <v>20</v>
      </c>
      <c r="I64" s="4">
        <f>ROUNDUP(Q64/$B$49,0)*B64*2</f>
        <v>40</v>
      </c>
      <c r="J64" s="4">
        <f t="shared" ref="J64:J86" si="27">SUM(E64:F64)</f>
        <v>40</v>
      </c>
      <c r="K64" s="30">
        <v>2</v>
      </c>
      <c r="L64" s="30"/>
      <c r="M64" s="30"/>
      <c r="N64" s="30"/>
      <c r="O64" s="4">
        <f t="shared" ref="O64:O86" si="28">SUM(K64:N64)</f>
        <v>2</v>
      </c>
      <c r="P64" s="4">
        <f>A64*$B$48+(A64-1)*0.02</f>
        <v>10.366</v>
      </c>
      <c r="Q64" s="3">
        <f>SUMPRODUCT($K$53:$N$53,K64:N64)</f>
        <v>10.6</v>
      </c>
      <c r="R64" s="3">
        <f t="shared" si="21"/>
        <v>117</v>
      </c>
    </row>
    <row r="65" spans="1:18" hidden="1" x14ac:dyDescent="0.3">
      <c r="A65" s="30">
        <v>9</v>
      </c>
      <c r="B65" s="30">
        <v>2</v>
      </c>
      <c r="C65" s="4">
        <f t="shared" si="22"/>
        <v>18</v>
      </c>
      <c r="D65" s="4">
        <f t="shared" si="23"/>
        <v>2</v>
      </c>
      <c r="E65" s="4">
        <f t="shared" si="24"/>
        <v>32</v>
      </c>
      <c r="F65" s="4">
        <f t="shared" si="25"/>
        <v>8</v>
      </c>
      <c r="G65" s="4">
        <f t="shared" ref="G65:G86" si="29">(O65-1)*B65*2</f>
        <v>4</v>
      </c>
      <c r="H65" s="4">
        <f t="shared" si="26"/>
        <v>20</v>
      </c>
      <c r="I65" s="4">
        <f t="shared" ref="I65:I86" si="30">ROUNDUP(Q65/$B$49,0)*B65*2</f>
        <v>40</v>
      </c>
      <c r="J65" s="4">
        <f t="shared" si="27"/>
        <v>40</v>
      </c>
      <c r="K65" s="30">
        <v>2</v>
      </c>
      <c r="L65" s="30"/>
      <c r="M65" s="30"/>
      <c r="N65" s="30"/>
      <c r="O65" s="4">
        <f t="shared" si="28"/>
        <v>2</v>
      </c>
      <c r="P65" s="4">
        <f t="shared" ref="P65:P86" si="31">A65*$B$48+(A65-1)*0.02</f>
        <v>10.366</v>
      </c>
      <c r="Q65" s="3">
        <f t="shared" ref="Q65:Q86" si="32">SUMPRODUCT($K$53:$N$53,K65:N65)</f>
        <v>10.6</v>
      </c>
      <c r="R65" s="3">
        <f t="shared" ref="R65:R86" si="33">((Q65-P65)/2)*1000</f>
        <v>117</v>
      </c>
    </row>
    <row r="66" spans="1:18" hidden="1" x14ac:dyDescent="0.3">
      <c r="A66" s="30">
        <v>9</v>
      </c>
      <c r="B66" s="30">
        <v>2</v>
      </c>
      <c r="C66" s="4">
        <f t="shared" si="22"/>
        <v>18</v>
      </c>
      <c r="D66" s="4">
        <f t="shared" si="23"/>
        <v>2</v>
      </c>
      <c r="E66" s="4">
        <f t="shared" si="24"/>
        <v>32</v>
      </c>
      <c r="F66" s="4">
        <f t="shared" si="25"/>
        <v>8</v>
      </c>
      <c r="G66" s="4">
        <f t="shared" si="29"/>
        <v>4</v>
      </c>
      <c r="H66" s="4">
        <f t="shared" si="26"/>
        <v>20</v>
      </c>
      <c r="I66" s="4">
        <f t="shared" si="30"/>
        <v>40</v>
      </c>
      <c r="J66" s="4">
        <f t="shared" si="27"/>
        <v>40</v>
      </c>
      <c r="K66" s="30">
        <v>2</v>
      </c>
      <c r="L66" s="30"/>
      <c r="M66" s="30"/>
      <c r="N66" s="30"/>
      <c r="O66" s="4">
        <f t="shared" si="28"/>
        <v>2</v>
      </c>
      <c r="P66" s="4">
        <f t="shared" si="31"/>
        <v>10.366</v>
      </c>
      <c r="Q66" s="3">
        <f t="shared" si="32"/>
        <v>10.6</v>
      </c>
      <c r="R66" s="3">
        <f t="shared" si="33"/>
        <v>117</v>
      </c>
    </row>
    <row r="67" spans="1:18" hidden="1" x14ac:dyDescent="0.3">
      <c r="A67" s="30">
        <v>9</v>
      </c>
      <c r="B67" s="30">
        <v>2</v>
      </c>
      <c r="C67" s="4">
        <f t="shared" si="22"/>
        <v>18</v>
      </c>
      <c r="D67" s="4">
        <f t="shared" si="23"/>
        <v>2</v>
      </c>
      <c r="E67" s="4">
        <f t="shared" si="24"/>
        <v>32</v>
      </c>
      <c r="F67" s="4">
        <f t="shared" si="25"/>
        <v>8</v>
      </c>
      <c r="G67" s="4">
        <f t="shared" si="29"/>
        <v>4</v>
      </c>
      <c r="H67" s="4">
        <f t="shared" si="26"/>
        <v>20</v>
      </c>
      <c r="I67" s="4">
        <f t="shared" si="30"/>
        <v>40</v>
      </c>
      <c r="J67" s="4">
        <f t="shared" si="27"/>
        <v>40</v>
      </c>
      <c r="K67" s="30">
        <v>2</v>
      </c>
      <c r="L67" s="30"/>
      <c r="M67" s="30"/>
      <c r="N67" s="30"/>
      <c r="O67" s="4">
        <f t="shared" si="28"/>
        <v>2</v>
      </c>
      <c r="P67" s="4">
        <f t="shared" si="31"/>
        <v>10.366</v>
      </c>
      <c r="Q67" s="3">
        <f t="shared" si="32"/>
        <v>10.6</v>
      </c>
      <c r="R67" s="3">
        <f t="shared" si="33"/>
        <v>117</v>
      </c>
    </row>
    <row r="68" spans="1:18" hidden="1" x14ac:dyDescent="0.3">
      <c r="A68" s="30">
        <v>9</v>
      </c>
      <c r="B68" s="30">
        <v>2</v>
      </c>
      <c r="C68" s="4">
        <f t="shared" si="22"/>
        <v>18</v>
      </c>
      <c r="D68" s="4">
        <f t="shared" si="23"/>
        <v>2</v>
      </c>
      <c r="E68" s="4">
        <f t="shared" si="24"/>
        <v>32</v>
      </c>
      <c r="F68" s="4">
        <f t="shared" si="25"/>
        <v>8</v>
      </c>
      <c r="G68" s="4">
        <f t="shared" si="29"/>
        <v>4</v>
      </c>
      <c r="H68" s="4">
        <f t="shared" si="26"/>
        <v>20</v>
      </c>
      <c r="I68" s="4">
        <f t="shared" si="30"/>
        <v>40</v>
      </c>
      <c r="J68" s="4">
        <f t="shared" si="27"/>
        <v>40</v>
      </c>
      <c r="K68" s="30">
        <v>2</v>
      </c>
      <c r="L68" s="30"/>
      <c r="M68" s="30"/>
      <c r="N68" s="30"/>
      <c r="O68" s="4">
        <f t="shared" si="28"/>
        <v>2</v>
      </c>
      <c r="P68" s="4">
        <f t="shared" si="31"/>
        <v>10.366</v>
      </c>
      <c r="Q68" s="3">
        <f t="shared" si="32"/>
        <v>10.6</v>
      </c>
      <c r="R68" s="3">
        <f t="shared" si="33"/>
        <v>117</v>
      </c>
    </row>
    <row r="69" spans="1:18" hidden="1" x14ac:dyDescent="0.3">
      <c r="A69" s="30">
        <v>9</v>
      </c>
      <c r="B69" s="30">
        <v>2</v>
      </c>
      <c r="C69" s="4">
        <f t="shared" si="22"/>
        <v>18</v>
      </c>
      <c r="D69" s="4">
        <f t="shared" si="23"/>
        <v>2</v>
      </c>
      <c r="E69" s="4">
        <f t="shared" si="24"/>
        <v>32</v>
      </c>
      <c r="F69" s="4">
        <f t="shared" si="25"/>
        <v>8</v>
      </c>
      <c r="G69" s="4">
        <f t="shared" si="29"/>
        <v>4</v>
      </c>
      <c r="H69" s="4">
        <f t="shared" si="26"/>
        <v>20</v>
      </c>
      <c r="I69" s="4">
        <f t="shared" si="30"/>
        <v>40</v>
      </c>
      <c r="J69" s="4">
        <f t="shared" si="27"/>
        <v>40</v>
      </c>
      <c r="K69" s="30">
        <v>2</v>
      </c>
      <c r="L69" s="30"/>
      <c r="M69" s="30"/>
      <c r="N69" s="30"/>
      <c r="O69" s="4">
        <f t="shared" si="28"/>
        <v>2</v>
      </c>
      <c r="P69" s="4">
        <f t="shared" si="31"/>
        <v>10.366</v>
      </c>
      <c r="Q69" s="3">
        <f t="shared" si="32"/>
        <v>10.6</v>
      </c>
      <c r="R69" s="3">
        <f t="shared" si="33"/>
        <v>117</v>
      </c>
    </row>
    <row r="70" spans="1:18" hidden="1" x14ac:dyDescent="0.3">
      <c r="A70" s="30">
        <v>9</v>
      </c>
      <c r="B70" s="30">
        <v>2</v>
      </c>
      <c r="C70" s="4">
        <f t="shared" si="22"/>
        <v>18</v>
      </c>
      <c r="D70" s="4">
        <f t="shared" si="23"/>
        <v>2</v>
      </c>
      <c r="E70" s="4">
        <f t="shared" si="24"/>
        <v>32</v>
      </c>
      <c r="F70" s="4">
        <f t="shared" si="25"/>
        <v>8</v>
      </c>
      <c r="G70" s="4">
        <f t="shared" si="29"/>
        <v>4</v>
      </c>
      <c r="H70" s="4">
        <f t="shared" si="26"/>
        <v>20</v>
      </c>
      <c r="I70" s="4">
        <f t="shared" si="30"/>
        <v>40</v>
      </c>
      <c r="J70" s="4">
        <f t="shared" si="27"/>
        <v>40</v>
      </c>
      <c r="K70" s="30">
        <v>2</v>
      </c>
      <c r="L70" s="30"/>
      <c r="M70" s="30"/>
      <c r="N70" s="30"/>
      <c r="O70" s="4">
        <f t="shared" si="28"/>
        <v>2</v>
      </c>
      <c r="P70" s="4">
        <f t="shared" si="31"/>
        <v>10.366</v>
      </c>
      <c r="Q70" s="3">
        <f t="shared" si="32"/>
        <v>10.6</v>
      </c>
      <c r="R70" s="3">
        <f t="shared" si="33"/>
        <v>117</v>
      </c>
    </row>
    <row r="71" spans="1:18" hidden="1" x14ac:dyDescent="0.3">
      <c r="A71" s="30">
        <v>10</v>
      </c>
      <c r="B71" s="30">
        <v>2</v>
      </c>
      <c r="C71" s="4">
        <f t="shared" si="22"/>
        <v>20</v>
      </c>
      <c r="D71" s="4">
        <f t="shared" si="23"/>
        <v>2</v>
      </c>
      <c r="E71" s="4">
        <f t="shared" si="24"/>
        <v>36</v>
      </c>
      <c r="F71" s="4">
        <f t="shared" si="25"/>
        <v>8</v>
      </c>
      <c r="G71" s="4">
        <f t="shared" si="29"/>
        <v>8</v>
      </c>
      <c r="H71" s="4">
        <f t="shared" si="26"/>
        <v>20</v>
      </c>
      <c r="I71" s="4">
        <f t="shared" si="30"/>
        <v>44</v>
      </c>
      <c r="J71" s="4">
        <f t="shared" si="27"/>
        <v>44</v>
      </c>
      <c r="K71" s="30"/>
      <c r="L71" s="30">
        <v>2</v>
      </c>
      <c r="M71" s="30"/>
      <c r="N71" s="30">
        <v>1</v>
      </c>
      <c r="O71" s="4">
        <f t="shared" si="28"/>
        <v>3</v>
      </c>
      <c r="P71" s="4">
        <f t="shared" si="31"/>
        <v>11.52</v>
      </c>
      <c r="Q71" s="3">
        <f t="shared" si="32"/>
        <v>12</v>
      </c>
      <c r="R71" s="3">
        <f t="shared" si="33"/>
        <v>240.00000000000023</v>
      </c>
    </row>
    <row r="72" spans="1:18" hidden="1" x14ac:dyDescent="0.3">
      <c r="A72" s="30">
        <v>10</v>
      </c>
      <c r="B72" s="30">
        <v>2</v>
      </c>
      <c r="C72" s="4">
        <f t="shared" si="22"/>
        <v>20</v>
      </c>
      <c r="D72" s="4">
        <f t="shared" si="23"/>
        <v>2</v>
      </c>
      <c r="E72" s="4">
        <f t="shared" si="24"/>
        <v>36</v>
      </c>
      <c r="F72" s="4">
        <f t="shared" si="25"/>
        <v>8</v>
      </c>
      <c r="G72" s="4">
        <f t="shared" si="29"/>
        <v>8</v>
      </c>
      <c r="H72" s="4">
        <f t="shared" si="26"/>
        <v>20</v>
      </c>
      <c r="I72" s="4">
        <f t="shared" si="30"/>
        <v>44</v>
      </c>
      <c r="J72" s="4">
        <f t="shared" si="27"/>
        <v>44</v>
      </c>
      <c r="K72" s="30"/>
      <c r="L72" s="30">
        <v>2</v>
      </c>
      <c r="M72" s="30"/>
      <c r="N72" s="30">
        <v>1</v>
      </c>
      <c r="O72" s="4">
        <f t="shared" si="28"/>
        <v>3</v>
      </c>
      <c r="P72" s="4">
        <f t="shared" si="31"/>
        <v>11.52</v>
      </c>
      <c r="Q72" s="3">
        <f t="shared" si="32"/>
        <v>12</v>
      </c>
      <c r="R72" s="3">
        <f t="shared" si="33"/>
        <v>240.00000000000023</v>
      </c>
    </row>
    <row r="73" spans="1:18" hidden="1" x14ac:dyDescent="0.3">
      <c r="A73" s="30">
        <v>10</v>
      </c>
      <c r="B73" s="30">
        <v>2</v>
      </c>
      <c r="C73" s="4">
        <f t="shared" si="22"/>
        <v>20</v>
      </c>
      <c r="D73" s="4">
        <f t="shared" si="23"/>
        <v>2</v>
      </c>
      <c r="E73" s="4">
        <f t="shared" si="24"/>
        <v>36</v>
      </c>
      <c r="F73" s="4">
        <f t="shared" si="25"/>
        <v>8</v>
      </c>
      <c r="G73" s="4">
        <f t="shared" si="29"/>
        <v>8</v>
      </c>
      <c r="H73" s="4">
        <f t="shared" si="26"/>
        <v>20</v>
      </c>
      <c r="I73" s="4">
        <f t="shared" si="30"/>
        <v>44</v>
      </c>
      <c r="J73" s="4">
        <f t="shared" si="27"/>
        <v>44</v>
      </c>
      <c r="K73" s="30"/>
      <c r="L73" s="30">
        <v>2</v>
      </c>
      <c r="M73" s="30"/>
      <c r="N73" s="30">
        <v>1</v>
      </c>
      <c r="O73" s="4">
        <f t="shared" si="28"/>
        <v>3</v>
      </c>
      <c r="P73" s="4">
        <f t="shared" si="31"/>
        <v>11.52</v>
      </c>
      <c r="Q73" s="3">
        <f t="shared" si="32"/>
        <v>12</v>
      </c>
      <c r="R73" s="3">
        <f t="shared" si="33"/>
        <v>240.00000000000023</v>
      </c>
    </row>
    <row r="74" spans="1:18" hidden="1" x14ac:dyDescent="0.3">
      <c r="A74" s="30">
        <v>10</v>
      </c>
      <c r="B74" s="30">
        <v>2</v>
      </c>
      <c r="C74" s="4">
        <f t="shared" si="22"/>
        <v>20</v>
      </c>
      <c r="D74" s="4">
        <f t="shared" si="23"/>
        <v>2</v>
      </c>
      <c r="E74" s="4">
        <f t="shared" si="24"/>
        <v>36</v>
      </c>
      <c r="F74" s="4">
        <f t="shared" si="25"/>
        <v>8</v>
      </c>
      <c r="G74" s="4">
        <f t="shared" si="29"/>
        <v>8</v>
      </c>
      <c r="H74" s="4">
        <f t="shared" si="26"/>
        <v>20</v>
      </c>
      <c r="I74" s="4">
        <f t="shared" si="30"/>
        <v>44</v>
      </c>
      <c r="J74" s="4">
        <f t="shared" si="27"/>
        <v>44</v>
      </c>
      <c r="K74" s="30"/>
      <c r="L74" s="30">
        <v>2</v>
      </c>
      <c r="M74" s="30"/>
      <c r="N74" s="30">
        <v>1</v>
      </c>
      <c r="O74" s="4">
        <f t="shared" si="28"/>
        <v>3</v>
      </c>
      <c r="P74" s="4">
        <f t="shared" si="31"/>
        <v>11.52</v>
      </c>
      <c r="Q74" s="3">
        <f t="shared" si="32"/>
        <v>12</v>
      </c>
      <c r="R74" s="3">
        <f t="shared" si="33"/>
        <v>240.00000000000023</v>
      </c>
    </row>
    <row r="75" spans="1:18" hidden="1" x14ac:dyDescent="0.3">
      <c r="A75" s="30">
        <v>10</v>
      </c>
      <c r="B75" s="30">
        <v>2</v>
      </c>
      <c r="C75" s="4">
        <f t="shared" si="22"/>
        <v>20</v>
      </c>
      <c r="D75" s="4">
        <f t="shared" si="23"/>
        <v>2</v>
      </c>
      <c r="E75" s="4">
        <f t="shared" si="24"/>
        <v>36</v>
      </c>
      <c r="F75" s="4">
        <f t="shared" si="25"/>
        <v>8</v>
      </c>
      <c r="G75" s="4">
        <f t="shared" si="29"/>
        <v>8</v>
      </c>
      <c r="H75" s="4">
        <f t="shared" si="26"/>
        <v>20</v>
      </c>
      <c r="I75" s="4">
        <f t="shared" si="30"/>
        <v>44</v>
      </c>
      <c r="J75" s="4">
        <f t="shared" si="27"/>
        <v>44</v>
      </c>
      <c r="K75" s="30"/>
      <c r="L75" s="30">
        <v>2</v>
      </c>
      <c r="M75" s="30"/>
      <c r="N75" s="30">
        <v>1</v>
      </c>
      <c r="O75" s="4">
        <f t="shared" si="28"/>
        <v>3</v>
      </c>
      <c r="P75" s="4">
        <f t="shared" si="31"/>
        <v>11.52</v>
      </c>
      <c r="Q75" s="3">
        <f t="shared" si="32"/>
        <v>12</v>
      </c>
      <c r="R75" s="3">
        <f t="shared" si="33"/>
        <v>240.00000000000023</v>
      </c>
    </row>
    <row r="76" spans="1:18" hidden="1" x14ac:dyDescent="0.3">
      <c r="A76" s="30">
        <v>10</v>
      </c>
      <c r="B76" s="30">
        <v>2</v>
      </c>
      <c r="C76" s="4">
        <f t="shared" si="22"/>
        <v>20</v>
      </c>
      <c r="D76" s="4">
        <f t="shared" si="23"/>
        <v>2</v>
      </c>
      <c r="E76" s="4">
        <f t="shared" si="24"/>
        <v>36</v>
      </c>
      <c r="F76" s="4">
        <f t="shared" si="25"/>
        <v>8</v>
      </c>
      <c r="G76" s="4">
        <f t="shared" si="29"/>
        <v>8</v>
      </c>
      <c r="H76" s="4">
        <f t="shared" si="26"/>
        <v>20</v>
      </c>
      <c r="I76" s="4">
        <f t="shared" si="30"/>
        <v>44</v>
      </c>
      <c r="J76" s="4">
        <f t="shared" si="27"/>
        <v>44</v>
      </c>
      <c r="K76" s="30"/>
      <c r="L76" s="30">
        <v>2</v>
      </c>
      <c r="M76" s="30"/>
      <c r="N76" s="30">
        <v>1</v>
      </c>
      <c r="O76" s="4">
        <f t="shared" si="28"/>
        <v>3</v>
      </c>
      <c r="P76" s="4">
        <f t="shared" si="31"/>
        <v>11.52</v>
      </c>
      <c r="Q76" s="3">
        <f t="shared" si="32"/>
        <v>12</v>
      </c>
      <c r="R76" s="3">
        <f t="shared" si="33"/>
        <v>240.00000000000023</v>
      </c>
    </row>
    <row r="77" spans="1:18" hidden="1" x14ac:dyDescent="0.3">
      <c r="A77" s="30">
        <v>10</v>
      </c>
      <c r="B77" s="30">
        <v>2</v>
      </c>
      <c r="C77" s="4">
        <f t="shared" si="22"/>
        <v>20</v>
      </c>
      <c r="D77" s="4">
        <f t="shared" si="23"/>
        <v>2</v>
      </c>
      <c r="E77" s="4">
        <f t="shared" si="24"/>
        <v>36</v>
      </c>
      <c r="F77" s="4">
        <f t="shared" si="25"/>
        <v>8</v>
      </c>
      <c r="G77" s="4">
        <f t="shared" si="29"/>
        <v>8</v>
      </c>
      <c r="H77" s="4">
        <f t="shared" si="26"/>
        <v>20</v>
      </c>
      <c r="I77" s="4">
        <f t="shared" si="30"/>
        <v>44</v>
      </c>
      <c r="J77" s="4">
        <f t="shared" si="27"/>
        <v>44</v>
      </c>
      <c r="K77" s="30"/>
      <c r="L77" s="30">
        <v>2</v>
      </c>
      <c r="M77" s="30"/>
      <c r="N77" s="30">
        <v>1</v>
      </c>
      <c r="O77" s="4">
        <f t="shared" si="28"/>
        <v>3</v>
      </c>
      <c r="P77" s="4">
        <f t="shared" si="31"/>
        <v>11.52</v>
      </c>
      <c r="Q77" s="3">
        <f t="shared" si="32"/>
        <v>12</v>
      </c>
      <c r="R77" s="3">
        <f t="shared" si="33"/>
        <v>240.00000000000023</v>
      </c>
    </row>
    <row r="78" spans="1:18" hidden="1" x14ac:dyDescent="0.3">
      <c r="A78" s="30">
        <v>10</v>
      </c>
      <c r="B78" s="30">
        <v>2</v>
      </c>
      <c r="C78" s="4">
        <f t="shared" si="22"/>
        <v>20</v>
      </c>
      <c r="D78" s="4">
        <f t="shared" si="23"/>
        <v>2</v>
      </c>
      <c r="E78" s="4">
        <f t="shared" si="24"/>
        <v>36</v>
      </c>
      <c r="F78" s="4">
        <f t="shared" si="25"/>
        <v>8</v>
      </c>
      <c r="G78" s="4">
        <f t="shared" si="29"/>
        <v>8</v>
      </c>
      <c r="H78" s="4">
        <f t="shared" si="26"/>
        <v>20</v>
      </c>
      <c r="I78" s="4">
        <f t="shared" si="30"/>
        <v>44</v>
      </c>
      <c r="J78" s="4">
        <f t="shared" si="27"/>
        <v>44</v>
      </c>
      <c r="K78" s="30"/>
      <c r="L78" s="30">
        <v>2</v>
      </c>
      <c r="M78" s="30"/>
      <c r="N78" s="30">
        <v>1</v>
      </c>
      <c r="O78" s="4">
        <f t="shared" si="28"/>
        <v>3</v>
      </c>
      <c r="P78" s="4">
        <f t="shared" si="31"/>
        <v>11.52</v>
      </c>
      <c r="Q78" s="3">
        <f t="shared" si="32"/>
        <v>12</v>
      </c>
      <c r="R78" s="3">
        <f t="shared" si="33"/>
        <v>240.00000000000023</v>
      </c>
    </row>
    <row r="79" spans="1:18" hidden="1" x14ac:dyDescent="0.3">
      <c r="A79" s="30">
        <v>10</v>
      </c>
      <c r="B79" s="30">
        <v>2</v>
      </c>
      <c r="C79" s="4">
        <f t="shared" si="22"/>
        <v>20</v>
      </c>
      <c r="D79" s="4">
        <f t="shared" si="23"/>
        <v>2</v>
      </c>
      <c r="E79" s="4">
        <f t="shared" si="24"/>
        <v>36</v>
      </c>
      <c r="F79" s="4">
        <f t="shared" si="25"/>
        <v>8</v>
      </c>
      <c r="G79" s="4">
        <f t="shared" si="29"/>
        <v>8</v>
      </c>
      <c r="H79" s="4">
        <f t="shared" si="26"/>
        <v>20</v>
      </c>
      <c r="I79" s="4">
        <f t="shared" si="30"/>
        <v>44</v>
      </c>
      <c r="J79" s="4">
        <f t="shared" si="27"/>
        <v>44</v>
      </c>
      <c r="K79" s="30"/>
      <c r="L79" s="30">
        <v>2</v>
      </c>
      <c r="M79" s="30"/>
      <c r="N79" s="30">
        <v>1</v>
      </c>
      <c r="O79" s="4">
        <f t="shared" si="28"/>
        <v>3</v>
      </c>
      <c r="P79" s="4">
        <f t="shared" si="31"/>
        <v>11.52</v>
      </c>
      <c r="Q79" s="3">
        <f t="shared" si="32"/>
        <v>12</v>
      </c>
      <c r="R79" s="3">
        <f t="shared" si="33"/>
        <v>240.00000000000023</v>
      </c>
    </row>
    <row r="80" spans="1:18" hidden="1" x14ac:dyDescent="0.3">
      <c r="A80" s="30">
        <v>10</v>
      </c>
      <c r="B80" s="30">
        <v>2</v>
      </c>
      <c r="C80" s="4">
        <f t="shared" si="22"/>
        <v>20</v>
      </c>
      <c r="D80" s="4">
        <f t="shared" si="23"/>
        <v>2</v>
      </c>
      <c r="E80" s="4">
        <f t="shared" si="24"/>
        <v>36</v>
      </c>
      <c r="F80" s="4">
        <f t="shared" si="25"/>
        <v>8</v>
      </c>
      <c r="G80" s="4">
        <f t="shared" si="29"/>
        <v>8</v>
      </c>
      <c r="H80" s="4">
        <f t="shared" si="26"/>
        <v>20</v>
      </c>
      <c r="I80" s="4">
        <f t="shared" si="30"/>
        <v>44</v>
      </c>
      <c r="J80" s="4">
        <f t="shared" si="27"/>
        <v>44</v>
      </c>
      <c r="K80" s="30"/>
      <c r="L80" s="30">
        <v>2</v>
      </c>
      <c r="M80" s="30"/>
      <c r="N80" s="30">
        <v>1</v>
      </c>
      <c r="O80" s="4">
        <f t="shared" si="28"/>
        <v>3</v>
      </c>
      <c r="P80" s="4">
        <f t="shared" si="31"/>
        <v>11.52</v>
      </c>
      <c r="Q80" s="3">
        <f t="shared" si="32"/>
        <v>12</v>
      </c>
      <c r="R80" s="3">
        <f t="shared" si="33"/>
        <v>240.00000000000023</v>
      </c>
    </row>
    <row r="81" spans="1:18" hidden="1" x14ac:dyDescent="0.3">
      <c r="A81" s="30">
        <v>10</v>
      </c>
      <c r="B81" s="30">
        <v>2</v>
      </c>
      <c r="C81" s="4">
        <f t="shared" si="22"/>
        <v>20</v>
      </c>
      <c r="D81" s="4">
        <f t="shared" si="23"/>
        <v>2</v>
      </c>
      <c r="E81" s="4">
        <f t="shared" si="24"/>
        <v>36</v>
      </c>
      <c r="F81" s="4">
        <f t="shared" si="25"/>
        <v>8</v>
      </c>
      <c r="G81" s="4">
        <f t="shared" si="29"/>
        <v>8</v>
      </c>
      <c r="H81" s="4">
        <f t="shared" si="26"/>
        <v>20</v>
      </c>
      <c r="I81" s="4">
        <f t="shared" si="30"/>
        <v>44</v>
      </c>
      <c r="J81" s="4">
        <f t="shared" si="27"/>
        <v>44</v>
      </c>
      <c r="K81" s="30"/>
      <c r="L81" s="30">
        <v>2</v>
      </c>
      <c r="M81" s="30"/>
      <c r="N81" s="30">
        <v>1</v>
      </c>
      <c r="O81" s="4">
        <f t="shared" si="28"/>
        <v>3</v>
      </c>
      <c r="P81" s="4">
        <f t="shared" si="31"/>
        <v>11.52</v>
      </c>
      <c r="Q81" s="3">
        <f t="shared" si="32"/>
        <v>12</v>
      </c>
      <c r="R81" s="3">
        <f t="shared" si="33"/>
        <v>240.00000000000023</v>
      </c>
    </row>
    <row r="82" spans="1:18" hidden="1" x14ac:dyDescent="0.3">
      <c r="A82" s="30">
        <v>10</v>
      </c>
      <c r="B82" s="30">
        <v>2</v>
      </c>
      <c r="C82" s="4">
        <f t="shared" si="22"/>
        <v>20</v>
      </c>
      <c r="D82" s="4">
        <f t="shared" si="23"/>
        <v>2</v>
      </c>
      <c r="E82" s="4">
        <f t="shared" si="24"/>
        <v>36</v>
      </c>
      <c r="F82" s="4">
        <f t="shared" si="25"/>
        <v>8</v>
      </c>
      <c r="G82" s="4">
        <f t="shared" si="29"/>
        <v>8</v>
      </c>
      <c r="H82" s="4">
        <f t="shared" si="26"/>
        <v>20</v>
      </c>
      <c r="I82" s="4">
        <f t="shared" si="30"/>
        <v>44</v>
      </c>
      <c r="J82" s="4">
        <f t="shared" si="27"/>
        <v>44</v>
      </c>
      <c r="K82" s="30"/>
      <c r="L82" s="30">
        <v>2</v>
      </c>
      <c r="M82" s="30"/>
      <c r="N82" s="30">
        <v>1</v>
      </c>
      <c r="O82" s="4">
        <f t="shared" si="28"/>
        <v>3</v>
      </c>
      <c r="P82" s="4">
        <f t="shared" si="31"/>
        <v>11.52</v>
      </c>
      <c r="Q82" s="3">
        <f t="shared" si="32"/>
        <v>12</v>
      </c>
      <c r="R82" s="3">
        <f t="shared" si="33"/>
        <v>240.00000000000023</v>
      </c>
    </row>
    <row r="83" spans="1:18" hidden="1" x14ac:dyDescent="0.3">
      <c r="A83" s="30">
        <v>10</v>
      </c>
      <c r="B83" s="30">
        <v>2</v>
      </c>
      <c r="C83" s="4">
        <f t="shared" si="22"/>
        <v>20</v>
      </c>
      <c r="D83" s="4">
        <f t="shared" si="23"/>
        <v>2</v>
      </c>
      <c r="E83" s="4">
        <f t="shared" si="24"/>
        <v>36</v>
      </c>
      <c r="F83" s="4">
        <f t="shared" si="25"/>
        <v>8</v>
      </c>
      <c r="G83" s="4">
        <f t="shared" si="29"/>
        <v>8</v>
      </c>
      <c r="H83" s="4">
        <f t="shared" si="26"/>
        <v>20</v>
      </c>
      <c r="I83" s="4">
        <f t="shared" si="30"/>
        <v>44</v>
      </c>
      <c r="J83" s="4">
        <f t="shared" si="27"/>
        <v>44</v>
      </c>
      <c r="K83" s="30"/>
      <c r="L83" s="30">
        <v>2</v>
      </c>
      <c r="M83" s="30"/>
      <c r="N83" s="30">
        <v>1</v>
      </c>
      <c r="O83" s="4">
        <f t="shared" si="28"/>
        <v>3</v>
      </c>
      <c r="P83" s="4">
        <f t="shared" si="31"/>
        <v>11.52</v>
      </c>
      <c r="Q83" s="3">
        <f t="shared" si="32"/>
        <v>12</v>
      </c>
      <c r="R83" s="3">
        <f t="shared" si="33"/>
        <v>240.00000000000023</v>
      </c>
    </row>
    <row r="84" spans="1:18" hidden="1" x14ac:dyDescent="0.3">
      <c r="A84" s="30">
        <v>10</v>
      </c>
      <c r="B84" s="30">
        <v>2</v>
      </c>
      <c r="C84" s="4">
        <f t="shared" si="22"/>
        <v>20</v>
      </c>
      <c r="D84" s="4">
        <f t="shared" si="23"/>
        <v>2</v>
      </c>
      <c r="E84" s="4">
        <f t="shared" si="24"/>
        <v>36</v>
      </c>
      <c r="F84" s="4">
        <f t="shared" si="25"/>
        <v>8</v>
      </c>
      <c r="G84" s="4">
        <f t="shared" si="29"/>
        <v>8</v>
      </c>
      <c r="H84" s="4">
        <f t="shared" si="26"/>
        <v>20</v>
      </c>
      <c r="I84" s="4">
        <f t="shared" si="30"/>
        <v>44</v>
      </c>
      <c r="J84" s="4">
        <f t="shared" si="27"/>
        <v>44</v>
      </c>
      <c r="K84" s="30"/>
      <c r="L84" s="30">
        <v>2</v>
      </c>
      <c r="M84" s="30"/>
      <c r="N84" s="30">
        <v>1</v>
      </c>
      <c r="O84" s="4">
        <f t="shared" si="28"/>
        <v>3</v>
      </c>
      <c r="P84" s="4">
        <f t="shared" si="31"/>
        <v>11.52</v>
      </c>
      <c r="Q84" s="3">
        <f t="shared" si="32"/>
        <v>12</v>
      </c>
      <c r="R84" s="3">
        <f t="shared" si="33"/>
        <v>240.00000000000023</v>
      </c>
    </row>
    <row r="85" spans="1:18" hidden="1" x14ac:dyDescent="0.3">
      <c r="A85" s="30">
        <v>9</v>
      </c>
      <c r="B85" s="30">
        <v>2</v>
      </c>
      <c r="C85" s="4">
        <f t="shared" si="22"/>
        <v>18</v>
      </c>
      <c r="D85" s="4">
        <f t="shared" si="23"/>
        <v>2</v>
      </c>
      <c r="E85" s="4">
        <f t="shared" si="24"/>
        <v>32</v>
      </c>
      <c r="F85" s="4">
        <f t="shared" si="25"/>
        <v>8</v>
      </c>
      <c r="G85" s="4">
        <f t="shared" si="29"/>
        <v>4</v>
      </c>
      <c r="H85" s="4">
        <f t="shared" si="26"/>
        <v>20</v>
      </c>
      <c r="I85" s="4">
        <f t="shared" si="30"/>
        <v>40</v>
      </c>
      <c r="J85" s="4">
        <f t="shared" si="27"/>
        <v>40</v>
      </c>
      <c r="K85" s="30">
        <v>2</v>
      </c>
      <c r="L85" s="30"/>
      <c r="M85" s="30"/>
      <c r="N85" s="30"/>
      <c r="O85" s="4">
        <f t="shared" si="28"/>
        <v>2</v>
      </c>
      <c r="P85" s="4">
        <f t="shared" si="31"/>
        <v>10.366</v>
      </c>
      <c r="Q85" s="3">
        <f t="shared" si="32"/>
        <v>10.6</v>
      </c>
      <c r="R85" s="3">
        <f t="shared" si="33"/>
        <v>117</v>
      </c>
    </row>
    <row r="86" spans="1:18" hidden="1" x14ac:dyDescent="0.3">
      <c r="A86" s="30">
        <v>9</v>
      </c>
      <c r="B86" s="30">
        <v>2</v>
      </c>
      <c r="C86" s="4">
        <f t="shared" si="22"/>
        <v>18</v>
      </c>
      <c r="D86" s="4">
        <f t="shared" si="23"/>
        <v>2</v>
      </c>
      <c r="E86" s="4">
        <f t="shared" si="24"/>
        <v>32</v>
      </c>
      <c r="F86" s="4">
        <f t="shared" si="25"/>
        <v>8</v>
      </c>
      <c r="G86" s="4">
        <f t="shared" si="29"/>
        <v>4</v>
      </c>
      <c r="H86" s="4">
        <f t="shared" si="26"/>
        <v>20</v>
      </c>
      <c r="I86" s="4">
        <f t="shared" si="30"/>
        <v>40</v>
      </c>
      <c r="J86" s="4">
        <f t="shared" si="27"/>
        <v>40</v>
      </c>
      <c r="K86" s="30">
        <v>2</v>
      </c>
      <c r="L86" s="30"/>
      <c r="M86" s="30"/>
      <c r="N86" s="30"/>
      <c r="O86" s="4">
        <f t="shared" si="28"/>
        <v>2</v>
      </c>
      <c r="P86" s="4">
        <f t="shared" si="31"/>
        <v>10.366</v>
      </c>
      <c r="Q86" s="3">
        <f t="shared" si="32"/>
        <v>10.6</v>
      </c>
      <c r="R86" s="3">
        <f t="shared" si="33"/>
        <v>117</v>
      </c>
    </row>
    <row r="87" spans="1:18" hidden="1" x14ac:dyDescent="0.3">
      <c r="A87" s="30">
        <v>9</v>
      </c>
      <c r="B87" s="30">
        <v>2</v>
      </c>
      <c r="C87" s="4">
        <f t="shared" ref="C87:C105" si="34">A87*B87</f>
        <v>18</v>
      </c>
      <c r="D87" s="4">
        <f t="shared" ref="D87:D105" si="35">B87*1</f>
        <v>2</v>
      </c>
      <c r="E87" s="4">
        <f t="shared" ref="E87:E105" si="36">(A87-1)*B87*2</f>
        <v>32</v>
      </c>
      <c r="F87" s="4">
        <f t="shared" ref="F87:F105" si="37">4*B87</f>
        <v>8</v>
      </c>
      <c r="G87" s="4">
        <f t="shared" ref="G87:G105" si="38">(O87-1)*B87*2</f>
        <v>4</v>
      </c>
      <c r="H87" s="4">
        <f t="shared" ref="H87:H105" si="39">ROUNDUP(A87/2,0)*2*B87</f>
        <v>20</v>
      </c>
      <c r="I87" s="4">
        <f t="shared" ref="I87:I105" si="40">ROUNDUP(Q87/$B$49,0)*B87*2</f>
        <v>40</v>
      </c>
      <c r="J87" s="4">
        <f t="shared" ref="J87:J105" si="41">SUM(E87:F87)</f>
        <v>40</v>
      </c>
      <c r="K87" s="30">
        <v>2</v>
      </c>
      <c r="L87" s="30"/>
      <c r="M87" s="30"/>
      <c r="N87" s="30"/>
      <c r="O87" s="4">
        <f t="shared" ref="O87:O105" si="42">SUM(K87:N87)</f>
        <v>2</v>
      </c>
      <c r="P87" s="4">
        <f t="shared" ref="P87:P105" si="43">A87*$B$48+(A87-1)*0.02</f>
        <v>10.366</v>
      </c>
      <c r="Q87" s="3">
        <f t="shared" ref="Q87:Q105" si="44">SUMPRODUCT($K$53:$N$53,K87:N87)</f>
        <v>10.6</v>
      </c>
      <c r="R87" s="3">
        <f t="shared" ref="R87:R105" si="45">((Q87-P87)/2)*1000</f>
        <v>117</v>
      </c>
    </row>
    <row r="88" spans="1:18" hidden="1" x14ac:dyDescent="0.3">
      <c r="A88" s="30">
        <v>9</v>
      </c>
      <c r="B88" s="30">
        <v>2</v>
      </c>
      <c r="C88" s="4">
        <f t="shared" si="34"/>
        <v>18</v>
      </c>
      <c r="D88" s="4">
        <f t="shared" si="35"/>
        <v>2</v>
      </c>
      <c r="E88" s="4">
        <f t="shared" si="36"/>
        <v>32</v>
      </c>
      <c r="F88" s="4">
        <f t="shared" si="37"/>
        <v>8</v>
      </c>
      <c r="G88" s="4">
        <f t="shared" si="38"/>
        <v>4</v>
      </c>
      <c r="H88" s="4">
        <f t="shared" si="39"/>
        <v>20</v>
      </c>
      <c r="I88" s="4">
        <f t="shared" si="40"/>
        <v>40</v>
      </c>
      <c r="J88" s="4">
        <f t="shared" si="41"/>
        <v>40</v>
      </c>
      <c r="K88" s="30">
        <v>2</v>
      </c>
      <c r="L88" s="30"/>
      <c r="M88" s="30"/>
      <c r="N88" s="30"/>
      <c r="O88" s="4">
        <f t="shared" si="42"/>
        <v>2</v>
      </c>
      <c r="P88" s="4">
        <f t="shared" si="43"/>
        <v>10.366</v>
      </c>
      <c r="Q88" s="3">
        <f t="shared" si="44"/>
        <v>10.6</v>
      </c>
      <c r="R88" s="3">
        <f t="shared" si="45"/>
        <v>117</v>
      </c>
    </row>
    <row r="89" spans="1:18" hidden="1" x14ac:dyDescent="0.3">
      <c r="A89" s="30">
        <v>9</v>
      </c>
      <c r="B89" s="30">
        <v>2</v>
      </c>
      <c r="C89" s="4">
        <f t="shared" si="34"/>
        <v>18</v>
      </c>
      <c r="D89" s="4">
        <f t="shared" si="35"/>
        <v>2</v>
      </c>
      <c r="E89" s="4">
        <f t="shared" si="36"/>
        <v>32</v>
      </c>
      <c r="F89" s="4">
        <f t="shared" si="37"/>
        <v>8</v>
      </c>
      <c r="G89" s="4">
        <f t="shared" si="38"/>
        <v>4</v>
      </c>
      <c r="H89" s="4">
        <f t="shared" si="39"/>
        <v>20</v>
      </c>
      <c r="I89" s="4">
        <f t="shared" si="40"/>
        <v>40</v>
      </c>
      <c r="J89" s="4">
        <f t="shared" si="41"/>
        <v>40</v>
      </c>
      <c r="K89" s="30">
        <v>2</v>
      </c>
      <c r="L89" s="30"/>
      <c r="M89" s="30"/>
      <c r="N89" s="30"/>
      <c r="O89" s="4">
        <f t="shared" si="42"/>
        <v>2</v>
      </c>
      <c r="P89" s="4">
        <f t="shared" si="43"/>
        <v>10.366</v>
      </c>
      <c r="Q89" s="3">
        <f t="shared" si="44"/>
        <v>10.6</v>
      </c>
      <c r="R89" s="3">
        <f t="shared" si="45"/>
        <v>117</v>
      </c>
    </row>
    <row r="90" spans="1:18" hidden="1" x14ac:dyDescent="0.3">
      <c r="A90" s="30">
        <v>9</v>
      </c>
      <c r="B90" s="30">
        <v>2</v>
      </c>
      <c r="C90" s="4">
        <f t="shared" si="34"/>
        <v>18</v>
      </c>
      <c r="D90" s="4">
        <f t="shared" si="35"/>
        <v>2</v>
      </c>
      <c r="E90" s="4">
        <f t="shared" si="36"/>
        <v>32</v>
      </c>
      <c r="F90" s="4">
        <f t="shared" si="37"/>
        <v>8</v>
      </c>
      <c r="G90" s="4">
        <f t="shared" si="38"/>
        <v>4</v>
      </c>
      <c r="H90" s="4">
        <f t="shared" si="39"/>
        <v>20</v>
      </c>
      <c r="I90" s="4">
        <f t="shared" si="40"/>
        <v>40</v>
      </c>
      <c r="J90" s="4">
        <f t="shared" si="41"/>
        <v>40</v>
      </c>
      <c r="K90" s="30">
        <v>2</v>
      </c>
      <c r="L90" s="30"/>
      <c r="M90" s="30"/>
      <c r="N90" s="30"/>
      <c r="O90" s="4">
        <f t="shared" si="42"/>
        <v>2</v>
      </c>
      <c r="P90" s="4">
        <f t="shared" si="43"/>
        <v>10.366</v>
      </c>
      <c r="Q90" s="3">
        <f t="shared" si="44"/>
        <v>10.6</v>
      </c>
      <c r="R90" s="3">
        <f t="shared" si="45"/>
        <v>117</v>
      </c>
    </row>
    <row r="91" spans="1:18" hidden="1" x14ac:dyDescent="0.3">
      <c r="A91" s="30">
        <v>10</v>
      </c>
      <c r="B91" s="30">
        <v>2</v>
      </c>
      <c r="C91" s="4">
        <f t="shared" si="34"/>
        <v>20</v>
      </c>
      <c r="D91" s="4">
        <f t="shared" si="35"/>
        <v>2</v>
      </c>
      <c r="E91" s="4">
        <f t="shared" si="36"/>
        <v>36</v>
      </c>
      <c r="F91" s="4">
        <f t="shared" si="37"/>
        <v>8</v>
      </c>
      <c r="G91" s="4">
        <f t="shared" si="38"/>
        <v>8</v>
      </c>
      <c r="H91" s="4">
        <f t="shared" si="39"/>
        <v>20</v>
      </c>
      <c r="I91" s="4">
        <f t="shared" si="40"/>
        <v>44</v>
      </c>
      <c r="J91" s="4">
        <f t="shared" si="41"/>
        <v>44</v>
      </c>
      <c r="K91" s="30"/>
      <c r="L91" s="30">
        <v>2</v>
      </c>
      <c r="M91" s="30"/>
      <c r="N91" s="30">
        <v>1</v>
      </c>
      <c r="O91" s="4">
        <f t="shared" si="42"/>
        <v>3</v>
      </c>
      <c r="P91" s="4">
        <f t="shared" si="43"/>
        <v>11.52</v>
      </c>
      <c r="Q91" s="3">
        <f t="shared" si="44"/>
        <v>12</v>
      </c>
      <c r="R91" s="3">
        <f t="shared" si="45"/>
        <v>240.00000000000023</v>
      </c>
    </row>
    <row r="92" spans="1:18" hidden="1" x14ac:dyDescent="0.3">
      <c r="A92" s="30">
        <v>10</v>
      </c>
      <c r="B92" s="30">
        <v>2</v>
      </c>
      <c r="C92" s="4">
        <f t="shared" si="34"/>
        <v>20</v>
      </c>
      <c r="D92" s="4">
        <f t="shared" si="35"/>
        <v>2</v>
      </c>
      <c r="E92" s="4">
        <f t="shared" si="36"/>
        <v>36</v>
      </c>
      <c r="F92" s="4">
        <f t="shared" si="37"/>
        <v>8</v>
      </c>
      <c r="G92" s="4">
        <f t="shared" si="38"/>
        <v>8</v>
      </c>
      <c r="H92" s="4">
        <f t="shared" si="39"/>
        <v>20</v>
      </c>
      <c r="I92" s="4">
        <f t="shared" si="40"/>
        <v>44</v>
      </c>
      <c r="J92" s="4">
        <f t="shared" si="41"/>
        <v>44</v>
      </c>
      <c r="K92" s="30"/>
      <c r="L92" s="30">
        <v>2</v>
      </c>
      <c r="M92" s="30"/>
      <c r="N92" s="30">
        <v>1</v>
      </c>
      <c r="O92" s="4">
        <f t="shared" si="42"/>
        <v>3</v>
      </c>
      <c r="P92" s="4">
        <f t="shared" si="43"/>
        <v>11.52</v>
      </c>
      <c r="Q92" s="3">
        <f t="shared" si="44"/>
        <v>12</v>
      </c>
      <c r="R92" s="3">
        <f t="shared" si="45"/>
        <v>240.00000000000023</v>
      </c>
    </row>
    <row r="93" spans="1:18" hidden="1" x14ac:dyDescent="0.3">
      <c r="A93" s="30">
        <v>10</v>
      </c>
      <c r="B93" s="30">
        <v>2</v>
      </c>
      <c r="C93" s="4">
        <f t="shared" si="34"/>
        <v>20</v>
      </c>
      <c r="D93" s="4">
        <f t="shared" si="35"/>
        <v>2</v>
      </c>
      <c r="E93" s="4">
        <f t="shared" si="36"/>
        <v>36</v>
      </c>
      <c r="F93" s="4">
        <f t="shared" si="37"/>
        <v>8</v>
      </c>
      <c r="G93" s="4">
        <f t="shared" si="38"/>
        <v>8</v>
      </c>
      <c r="H93" s="4">
        <f t="shared" si="39"/>
        <v>20</v>
      </c>
      <c r="I93" s="4">
        <f t="shared" si="40"/>
        <v>44</v>
      </c>
      <c r="J93" s="4">
        <f t="shared" si="41"/>
        <v>44</v>
      </c>
      <c r="K93" s="30"/>
      <c r="L93" s="30">
        <v>2</v>
      </c>
      <c r="M93" s="30"/>
      <c r="N93" s="30">
        <v>1</v>
      </c>
      <c r="O93" s="4">
        <f t="shared" si="42"/>
        <v>3</v>
      </c>
      <c r="P93" s="4">
        <f t="shared" si="43"/>
        <v>11.52</v>
      </c>
      <c r="Q93" s="3">
        <f t="shared" si="44"/>
        <v>12</v>
      </c>
      <c r="R93" s="3">
        <f t="shared" si="45"/>
        <v>240.00000000000023</v>
      </c>
    </row>
    <row r="94" spans="1:18" hidden="1" x14ac:dyDescent="0.3">
      <c r="A94" s="30">
        <v>10</v>
      </c>
      <c r="B94" s="30">
        <v>2</v>
      </c>
      <c r="C94" s="4">
        <f t="shared" si="34"/>
        <v>20</v>
      </c>
      <c r="D94" s="4">
        <f t="shared" si="35"/>
        <v>2</v>
      </c>
      <c r="E94" s="4">
        <f t="shared" si="36"/>
        <v>36</v>
      </c>
      <c r="F94" s="4">
        <f t="shared" si="37"/>
        <v>8</v>
      </c>
      <c r="G94" s="4">
        <f t="shared" si="38"/>
        <v>8</v>
      </c>
      <c r="H94" s="4">
        <f t="shared" si="39"/>
        <v>20</v>
      </c>
      <c r="I94" s="4">
        <f t="shared" si="40"/>
        <v>44</v>
      </c>
      <c r="J94" s="4">
        <f t="shared" si="41"/>
        <v>44</v>
      </c>
      <c r="K94" s="30"/>
      <c r="L94" s="30">
        <v>2</v>
      </c>
      <c r="M94" s="30"/>
      <c r="N94" s="30">
        <v>1</v>
      </c>
      <c r="O94" s="4">
        <f t="shared" si="42"/>
        <v>3</v>
      </c>
      <c r="P94" s="4">
        <f t="shared" si="43"/>
        <v>11.52</v>
      </c>
      <c r="Q94" s="3">
        <f t="shared" si="44"/>
        <v>12</v>
      </c>
      <c r="R94" s="3">
        <f t="shared" si="45"/>
        <v>240.00000000000023</v>
      </c>
    </row>
    <row r="95" spans="1:18" hidden="1" x14ac:dyDescent="0.3">
      <c r="A95" s="30">
        <v>10</v>
      </c>
      <c r="B95" s="30">
        <v>2</v>
      </c>
      <c r="C95" s="4">
        <f t="shared" si="34"/>
        <v>20</v>
      </c>
      <c r="D95" s="4">
        <f t="shared" si="35"/>
        <v>2</v>
      </c>
      <c r="E95" s="4">
        <f t="shared" si="36"/>
        <v>36</v>
      </c>
      <c r="F95" s="4">
        <f t="shared" si="37"/>
        <v>8</v>
      </c>
      <c r="G95" s="4">
        <f t="shared" si="38"/>
        <v>8</v>
      </c>
      <c r="H95" s="4">
        <f t="shared" si="39"/>
        <v>20</v>
      </c>
      <c r="I95" s="4">
        <f t="shared" si="40"/>
        <v>44</v>
      </c>
      <c r="J95" s="4">
        <f t="shared" si="41"/>
        <v>44</v>
      </c>
      <c r="K95" s="30"/>
      <c r="L95" s="30">
        <v>2</v>
      </c>
      <c r="M95" s="30"/>
      <c r="N95" s="30">
        <v>1</v>
      </c>
      <c r="O95" s="4">
        <f t="shared" si="42"/>
        <v>3</v>
      </c>
      <c r="P95" s="4">
        <f t="shared" si="43"/>
        <v>11.52</v>
      </c>
      <c r="Q95" s="3">
        <f t="shared" si="44"/>
        <v>12</v>
      </c>
      <c r="R95" s="3">
        <f t="shared" si="45"/>
        <v>240.00000000000023</v>
      </c>
    </row>
    <row r="96" spans="1:18" hidden="1" x14ac:dyDescent="0.3">
      <c r="A96" s="30">
        <v>10</v>
      </c>
      <c r="B96" s="30">
        <v>2</v>
      </c>
      <c r="C96" s="4">
        <f t="shared" si="34"/>
        <v>20</v>
      </c>
      <c r="D96" s="4">
        <f t="shared" si="35"/>
        <v>2</v>
      </c>
      <c r="E96" s="4">
        <f t="shared" si="36"/>
        <v>36</v>
      </c>
      <c r="F96" s="4">
        <f t="shared" si="37"/>
        <v>8</v>
      </c>
      <c r="G96" s="4">
        <f t="shared" si="38"/>
        <v>8</v>
      </c>
      <c r="H96" s="4">
        <f t="shared" si="39"/>
        <v>20</v>
      </c>
      <c r="I96" s="4">
        <f t="shared" si="40"/>
        <v>44</v>
      </c>
      <c r="J96" s="4">
        <f t="shared" si="41"/>
        <v>44</v>
      </c>
      <c r="K96" s="30"/>
      <c r="L96" s="30">
        <v>2</v>
      </c>
      <c r="M96" s="30"/>
      <c r="N96" s="30">
        <v>1</v>
      </c>
      <c r="O96" s="4">
        <f t="shared" si="42"/>
        <v>3</v>
      </c>
      <c r="P96" s="4">
        <f t="shared" si="43"/>
        <v>11.52</v>
      </c>
      <c r="Q96" s="3">
        <f t="shared" si="44"/>
        <v>12</v>
      </c>
      <c r="R96" s="3">
        <f t="shared" si="45"/>
        <v>240.00000000000023</v>
      </c>
    </row>
    <row r="97" spans="1:18" hidden="1" x14ac:dyDescent="0.3">
      <c r="A97" s="30">
        <v>10</v>
      </c>
      <c r="B97" s="30">
        <v>2</v>
      </c>
      <c r="C97" s="4">
        <f t="shared" si="34"/>
        <v>20</v>
      </c>
      <c r="D97" s="4">
        <f t="shared" si="35"/>
        <v>2</v>
      </c>
      <c r="E97" s="4">
        <f t="shared" si="36"/>
        <v>36</v>
      </c>
      <c r="F97" s="4">
        <f t="shared" si="37"/>
        <v>8</v>
      </c>
      <c r="G97" s="4">
        <f t="shared" si="38"/>
        <v>8</v>
      </c>
      <c r="H97" s="4">
        <f t="shared" si="39"/>
        <v>20</v>
      </c>
      <c r="I97" s="4">
        <f t="shared" si="40"/>
        <v>44</v>
      </c>
      <c r="J97" s="4">
        <f t="shared" si="41"/>
        <v>44</v>
      </c>
      <c r="K97" s="30"/>
      <c r="L97" s="30">
        <v>2</v>
      </c>
      <c r="M97" s="30"/>
      <c r="N97" s="30">
        <v>1</v>
      </c>
      <c r="O97" s="4">
        <f t="shared" si="42"/>
        <v>3</v>
      </c>
      <c r="P97" s="4">
        <f t="shared" si="43"/>
        <v>11.52</v>
      </c>
      <c r="Q97" s="3">
        <f t="shared" si="44"/>
        <v>12</v>
      </c>
      <c r="R97" s="3">
        <f t="shared" si="45"/>
        <v>240.00000000000023</v>
      </c>
    </row>
    <row r="98" spans="1:18" hidden="1" x14ac:dyDescent="0.3">
      <c r="A98" s="30">
        <v>10</v>
      </c>
      <c r="B98" s="30">
        <v>2</v>
      </c>
      <c r="C98" s="4">
        <f t="shared" si="34"/>
        <v>20</v>
      </c>
      <c r="D98" s="4">
        <f t="shared" si="35"/>
        <v>2</v>
      </c>
      <c r="E98" s="4">
        <f t="shared" si="36"/>
        <v>36</v>
      </c>
      <c r="F98" s="4">
        <f t="shared" si="37"/>
        <v>8</v>
      </c>
      <c r="G98" s="4">
        <f t="shared" si="38"/>
        <v>8</v>
      </c>
      <c r="H98" s="4">
        <f t="shared" si="39"/>
        <v>20</v>
      </c>
      <c r="I98" s="4">
        <f t="shared" si="40"/>
        <v>44</v>
      </c>
      <c r="J98" s="4">
        <f t="shared" si="41"/>
        <v>44</v>
      </c>
      <c r="K98" s="30"/>
      <c r="L98" s="30">
        <v>2</v>
      </c>
      <c r="M98" s="30"/>
      <c r="N98" s="30">
        <v>1</v>
      </c>
      <c r="O98" s="4">
        <f t="shared" si="42"/>
        <v>3</v>
      </c>
      <c r="P98" s="4">
        <f t="shared" si="43"/>
        <v>11.52</v>
      </c>
      <c r="Q98" s="3">
        <f t="shared" si="44"/>
        <v>12</v>
      </c>
      <c r="R98" s="3">
        <f t="shared" si="45"/>
        <v>240.00000000000023</v>
      </c>
    </row>
    <row r="99" spans="1:18" hidden="1" x14ac:dyDescent="0.3">
      <c r="A99" s="30">
        <v>10</v>
      </c>
      <c r="B99" s="30">
        <v>2</v>
      </c>
      <c r="C99" s="4">
        <f t="shared" si="34"/>
        <v>20</v>
      </c>
      <c r="D99" s="4">
        <f t="shared" si="35"/>
        <v>2</v>
      </c>
      <c r="E99" s="4">
        <f t="shared" si="36"/>
        <v>36</v>
      </c>
      <c r="F99" s="4">
        <f t="shared" si="37"/>
        <v>8</v>
      </c>
      <c r="G99" s="4">
        <f t="shared" si="38"/>
        <v>8</v>
      </c>
      <c r="H99" s="4">
        <f t="shared" si="39"/>
        <v>20</v>
      </c>
      <c r="I99" s="4">
        <f t="shared" si="40"/>
        <v>44</v>
      </c>
      <c r="J99" s="4">
        <f t="shared" si="41"/>
        <v>44</v>
      </c>
      <c r="K99" s="30"/>
      <c r="L99" s="30">
        <v>2</v>
      </c>
      <c r="M99" s="30"/>
      <c r="N99" s="30">
        <v>1</v>
      </c>
      <c r="O99" s="4">
        <f t="shared" si="42"/>
        <v>3</v>
      </c>
      <c r="P99" s="4">
        <f t="shared" si="43"/>
        <v>11.52</v>
      </c>
      <c r="Q99" s="3">
        <f t="shared" si="44"/>
        <v>12</v>
      </c>
      <c r="R99" s="3">
        <f t="shared" si="45"/>
        <v>240.00000000000023</v>
      </c>
    </row>
    <row r="100" spans="1:18" hidden="1" x14ac:dyDescent="0.3">
      <c r="A100" s="30">
        <v>10</v>
      </c>
      <c r="B100" s="30">
        <v>2</v>
      </c>
      <c r="C100" s="4">
        <f t="shared" si="34"/>
        <v>20</v>
      </c>
      <c r="D100" s="4">
        <f t="shared" si="35"/>
        <v>2</v>
      </c>
      <c r="E100" s="4">
        <f t="shared" si="36"/>
        <v>36</v>
      </c>
      <c r="F100" s="4">
        <f t="shared" si="37"/>
        <v>8</v>
      </c>
      <c r="G100" s="4">
        <f t="shared" si="38"/>
        <v>8</v>
      </c>
      <c r="H100" s="4">
        <f t="shared" si="39"/>
        <v>20</v>
      </c>
      <c r="I100" s="4">
        <f t="shared" si="40"/>
        <v>44</v>
      </c>
      <c r="J100" s="4">
        <f t="shared" si="41"/>
        <v>44</v>
      </c>
      <c r="K100" s="30"/>
      <c r="L100" s="30">
        <v>2</v>
      </c>
      <c r="M100" s="30"/>
      <c r="N100" s="30">
        <v>1</v>
      </c>
      <c r="O100" s="4">
        <f t="shared" si="42"/>
        <v>3</v>
      </c>
      <c r="P100" s="4">
        <f t="shared" si="43"/>
        <v>11.52</v>
      </c>
      <c r="Q100" s="3">
        <f t="shared" si="44"/>
        <v>12</v>
      </c>
      <c r="R100" s="3">
        <f t="shared" si="45"/>
        <v>240.00000000000023</v>
      </c>
    </row>
    <row r="101" spans="1:18" hidden="1" x14ac:dyDescent="0.3">
      <c r="A101" s="30">
        <v>10</v>
      </c>
      <c r="B101" s="30">
        <v>2</v>
      </c>
      <c r="C101" s="4">
        <f t="shared" si="34"/>
        <v>20</v>
      </c>
      <c r="D101" s="4">
        <f t="shared" si="35"/>
        <v>2</v>
      </c>
      <c r="E101" s="4">
        <f t="shared" si="36"/>
        <v>36</v>
      </c>
      <c r="F101" s="4">
        <f t="shared" si="37"/>
        <v>8</v>
      </c>
      <c r="G101" s="4">
        <f t="shared" si="38"/>
        <v>8</v>
      </c>
      <c r="H101" s="4">
        <f t="shared" si="39"/>
        <v>20</v>
      </c>
      <c r="I101" s="4">
        <f t="shared" si="40"/>
        <v>44</v>
      </c>
      <c r="J101" s="4">
        <f t="shared" si="41"/>
        <v>44</v>
      </c>
      <c r="K101" s="30"/>
      <c r="L101" s="30">
        <v>2</v>
      </c>
      <c r="M101" s="30"/>
      <c r="N101" s="30">
        <v>1</v>
      </c>
      <c r="O101" s="4">
        <f t="shared" si="42"/>
        <v>3</v>
      </c>
      <c r="P101" s="4">
        <f t="shared" si="43"/>
        <v>11.52</v>
      </c>
      <c r="Q101" s="3">
        <f t="shared" si="44"/>
        <v>12</v>
      </c>
      <c r="R101" s="3">
        <f t="shared" si="45"/>
        <v>240.00000000000023</v>
      </c>
    </row>
    <row r="102" spans="1:18" hidden="1" x14ac:dyDescent="0.3">
      <c r="A102" s="30">
        <v>10</v>
      </c>
      <c r="B102" s="30">
        <v>2</v>
      </c>
      <c r="C102" s="4">
        <f t="shared" si="34"/>
        <v>20</v>
      </c>
      <c r="D102" s="4">
        <f t="shared" si="35"/>
        <v>2</v>
      </c>
      <c r="E102" s="4">
        <f t="shared" si="36"/>
        <v>36</v>
      </c>
      <c r="F102" s="4">
        <f t="shared" si="37"/>
        <v>8</v>
      </c>
      <c r="G102" s="4">
        <f t="shared" si="38"/>
        <v>8</v>
      </c>
      <c r="H102" s="4">
        <f t="shared" si="39"/>
        <v>20</v>
      </c>
      <c r="I102" s="4">
        <f t="shared" si="40"/>
        <v>44</v>
      </c>
      <c r="J102" s="4">
        <f t="shared" si="41"/>
        <v>44</v>
      </c>
      <c r="K102" s="30"/>
      <c r="L102" s="30">
        <v>2</v>
      </c>
      <c r="M102" s="30"/>
      <c r="N102" s="30">
        <v>1</v>
      </c>
      <c r="O102" s="4">
        <f t="shared" si="42"/>
        <v>3</v>
      </c>
      <c r="P102" s="4">
        <f t="shared" si="43"/>
        <v>11.52</v>
      </c>
      <c r="Q102" s="3">
        <f t="shared" si="44"/>
        <v>12</v>
      </c>
      <c r="R102" s="3">
        <f t="shared" si="45"/>
        <v>240.00000000000023</v>
      </c>
    </row>
    <row r="103" spans="1:18" hidden="1" x14ac:dyDescent="0.3">
      <c r="A103" s="30">
        <v>10</v>
      </c>
      <c r="B103" s="30">
        <v>2</v>
      </c>
      <c r="C103" s="4">
        <f t="shared" si="34"/>
        <v>20</v>
      </c>
      <c r="D103" s="4">
        <f t="shared" si="35"/>
        <v>2</v>
      </c>
      <c r="E103" s="4">
        <f t="shared" si="36"/>
        <v>36</v>
      </c>
      <c r="F103" s="4">
        <f t="shared" si="37"/>
        <v>8</v>
      </c>
      <c r="G103" s="4">
        <f t="shared" si="38"/>
        <v>8</v>
      </c>
      <c r="H103" s="4">
        <f t="shared" si="39"/>
        <v>20</v>
      </c>
      <c r="I103" s="4">
        <f t="shared" si="40"/>
        <v>44</v>
      </c>
      <c r="J103" s="4">
        <f t="shared" si="41"/>
        <v>44</v>
      </c>
      <c r="K103" s="30"/>
      <c r="L103" s="30">
        <v>2</v>
      </c>
      <c r="M103" s="30"/>
      <c r="N103" s="30">
        <v>1</v>
      </c>
      <c r="O103" s="4">
        <f t="shared" si="42"/>
        <v>3</v>
      </c>
      <c r="P103" s="4">
        <f t="shared" si="43"/>
        <v>11.52</v>
      </c>
      <c r="Q103" s="3">
        <f t="shared" si="44"/>
        <v>12</v>
      </c>
      <c r="R103" s="3">
        <f t="shared" si="45"/>
        <v>240.00000000000023</v>
      </c>
    </row>
    <row r="104" spans="1:18" x14ac:dyDescent="0.3">
      <c r="A104" s="30">
        <v>10</v>
      </c>
      <c r="B104" s="30">
        <v>2</v>
      </c>
      <c r="C104" s="4">
        <f t="shared" si="34"/>
        <v>20</v>
      </c>
      <c r="D104" s="4">
        <f t="shared" si="35"/>
        <v>2</v>
      </c>
      <c r="E104" s="4">
        <f t="shared" si="36"/>
        <v>36</v>
      </c>
      <c r="F104" s="4">
        <f t="shared" si="37"/>
        <v>8</v>
      </c>
      <c r="G104" s="4">
        <f t="shared" si="38"/>
        <v>8</v>
      </c>
      <c r="H104" s="4">
        <f t="shared" si="39"/>
        <v>20</v>
      </c>
      <c r="I104" s="4">
        <f t="shared" si="40"/>
        <v>44</v>
      </c>
      <c r="J104" s="4">
        <f t="shared" si="41"/>
        <v>44</v>
      </c>
      <c r="K104" s="30"/>
      <c r="L104" s="30">
        <v>2</v>
      </c>
      <c r="M104" s="30"/>
      <c r="N104" s="30">
        <v>1</v>
      </c>
      <c r="O104" s="4">
        <f t="shared" si="42"/>
        <v>3</v>
      </c>
      <c r="P104" s="4">
        <f t="shared" si="43"/>
        <v>11.52</v>
      </c>
      <c r="Q104" s="3">
        <f t="shared" si="44"/>
        <v>12</v>
      </c>
      <c r="R104" s="3">
        <f t="shared" si="45"/>
        <v>240.00000000000023</v>
      </c>
    </row>
    <row r="105" spans="1:18" ht="15" thickBot="1" x14ac:dyDescent="0.35">
      <c r="A105" s="30">
        <v>10</v>
      </c>
      <c r="B105" s="30">
        <v>2</v>
      </c>
      <c r="C105" s="4">
        <f t="shared" si="34"/>
        <v>20</v>
      </c>
      <c r="D105" s="4">
        <f t="shared" si="35"/>
        <v>2</v>
      </c>
      <c r="E105" s="4">
        <f t="shared" si="36"/>
        <v>36</v>
      </c>
      <c r="F105" s="4">
        <f t="shared" si="37"/>
        <v>8</v>
      </c>
      <c r="G105" s="4">
        <f t="shared" si="38"/>
        <v>8</v>
      </c>
      <c r="H105" s="4">
        <f t="shared" si="39"/>
        <v>20</v>
      </c>
      <c r="I105" s="4">
        <f t="shared" si="40"/>
        <v>44</v>
      </c>
      <c r="J105" s="4">
        <f t="shared" si="41"/>
        <v>44</v>
      </c>
      <c r="K105" s="30"/>
      <c r="L105" s="30">
        <v>2</v>
      </c>
      <c r="M105" s="30"/>
      <c r="N105" s="30">
        <v>1</v>
      </c>
      <c r="O105" s="4">
        <f t="shared" si="42"/>
        <v>3</v>
      </c>
      <c r="P105" s="4">
        <f t="shared" si="43"/>
        <v>11.52</v>
      </c>
      <c r="Q105" s="3">
        <f t="shared" si="44"/>
        <v>12</v>
      </c>
      <c r="R105" s="3">
        <f t="shared" si="45"/>
        <v>240.00000000000023</v>
      </c>
    </row>
    <row r="106" spans="1:18" ht="15" thickBot="1" x14ac:dyDescent="0.35">
      <c r="C106" s="34">
        <f t="shared" ref="C106:J106" si="46">SUM(C55:C105)</f>
        <v>814</v>
      </c>
      <c r="D106" s="35">
        <f t="shared" si="46"/>
        <v>84</v>
      </c>
      <c r="E106" s="35">
        <f t="shared" si="46"/>
        <v>1460</v>
      </c>
      <c r="F106" s="35">
        <f t="shared" si="46"/>
        <v>336</v>
      </c>
      <c r="G106" s="35">
        <f t="shared" si="46"/>
        <v>284</v>
      </c>
      <c r="H106" s="35">
        <f t="shared" si="46"/>
        <v>840</v>
      </c>
      <c r="I106" s="35">
        <f t="shared" si="46"/>
        <v>1796</v>
      </c>
      <c r="J106" s="35">
        <f t="shared" si="46"/>
        <v>1796</v>
      </c>
      <c r="K106" s="35">
        <f>SUMPRODUCT(K55:K105,$B$55:$B$105)*2</f>
        <v>104</v>
      </c>
      <c r="L106" s="35">
        <f>SUMPRODUCT(L55:L105,$B$55:$B$105)*2</f>
        <v>232</v>
      </c>
      <c r="M106" s="35">
        <f>SUMPRODUCT(M55:M105,$B$55:$B$105)*2</f>
        <v>0</v>
      </c>
      <c r="N106" s="35">
        <f>SUMPRODUCT(N55:N105,$B$55:$B$105)*2</f>
        <v>116</v>
      </c>
      <c r="O106" s="35">
        <f>SUMPRODUCT(O55:O86, $B55:$B86)*2</f>
        <v>240</v>
      </c>
      <c r="P106" s="35"/>
      <c r="Q106" s="36"/>
      <c r="R106" s="36"/>
    </row>
  </sheetData>
  <mergeCells count="2">
    <mergeCell ref="A29:L29"/>
    <mergeCell ref="A34:L34"/>
  </mergeCells>
  <dataValidations count="2">
    <dataValidation type="list" allowBlank="1" showInputMessage="1" showErrorMessage="1" sqref="B3" xr:uid="{20D60310-FA34-4D70-8E3D-F4D89D082DB5}">
      <formula1>$K$2:$K$7</formula1>
    </dataValidation>
    <dataValidation type="list" allowBlank="1" showInputMessage="1" showErrorMessage="1" sqref="B2" xr:uid="{2CD2D15E-9730-4909-A5B6-2F3BE315459D}">
      <formula1>$J$1:$J$3</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89DD-2BDB-4A2D-BB95-824CEF48D97A}">
  <sheetPr codeName="Sheet8"/>
  <dimension ref="A1:T92"/>
  <sheetViews>
    <sheetView zoomScale="80" zoomScaleNormal="80" workbookViewId="0">
      <selection activeCell="B3" sqref="B3"/>
    </sheetView>
  </sheetViews>
  <sheetFormatPr defaultRowHeight="14.4" x14ac:dyDescent="0.3"/>
  <cols>
    <col min="1" max="1" width="25" customWidth="1"/>
    <col min="2" max="2" width="19.44140625" style="5" customWidth="1"/>
    <col min="3" max="4" width="15.44140625" customWidth="1"/>
    <col min="5" max="5" width="14.44140625" customWidth="1"/>
    <col min="6" max="12" width="13.5546875" customWidth="1"/>
    <col min="13" max="13" width="12.5546875" bestFit="1" customWidth="1"/>
    <col min="14" max="16" width="14.44140625" customWidth="1"/>
    <col min="17" max="17" width="15.44140625" customWidth="1"/>
    <col min="18" max="18" width="20.5546875" customWidth="1"/>
  </cols>
  <sheetData>
    <row r="1" spans="1:11" x14ac:dyDescent="0.3">
      <c r="A1" t="s">
        <v>44</v>
      </c>
      <c r="B1" s="5" t="s">
        <v>2112</v>
      </c>
      <c r="J1" t="s">
        <v>0</v>
      </c>
      <c r="K1" t="s">
        <v>2113</v>
      </c>
    </row>
    <row r="2" spans="1:11" x14ac:dyDescent="0.3">
      <c r="A2" t="s">
        <v>47</v>
      </c>
      <c r="B2" s="5" t="s">
        <v>1</v>
      </c>
      <c r="J2" t="s">
        <v>1</v>
      </c>
      <c r="K2" t="s">
        <v>2114</v>
      </c>
    </row>
    <row r="3" spans="1:11" x14ac:dyDescent="0.3">
      <c r="A3" t="s">
        <v>2113</v>
      </c>
      <c r="B3" s="5" t="s">
        <v>2116</v>
      </c>
      <c r="K3" t="s">
        <v>2116</v>
      </c>
    </row>
    <row r="4" spans="1:11" x14ac:dyDescent="0.3">
      <c r="K4" t="s">
        <v>2115</v>
      </c>
    </row>
    <row r="5" spans="1:11" x14ac:dyDescent="0.3">
      <c r="K5" t="s">
        <v>2117</v>
      </c>
    </row>
    <row r="6" spans="1:11" x14ac:dyDescent="0.3">
      <c r="A6" t="s">
        <v>2118</v>
      </c>
      <c r="B6" s="5" cm="1">
        <f t="array" ref="B6">_xlfn.IFS(AND($B$2="Residential",$B$3="Tiles Roof"),$I$40,AND($B$2="C&amp;I",$B$3="Tiles Roof"),$I$92,Roof_Type&lt;&gt;"Tiles Roof",0)</f>
        <v>0</v>
      </c>
    </row>
    <row r="7" spans="1:11" x14ac:dyDescent="0.3">
      <c r="A7" t="s">
        <v>2119</v>
      </c>
      <c r="B7" s="5" cm="1">
        <f t="array" ref="B7">_xlfn.IFS(AND($B$2="Residential",OR($B$3="Metal Deck", $B$3="RC Roof")),$I$40,AND($B$2="C&amp;I",OR($B$3="Metal Deck", $B$3="RC Roof")),$I$92,Roof_Type&lt;&gt;"Metal Deck",0)</f>
        <v>0</v>
      </c>
    </row>
    <row r="8" spans="1:11" x14ac:dyDescent="0.3">
      <c r="A8" t="s">
        <v>2120</v>
      </c>
      <c r="B8" s="5" cm="1">
        <f t="array" ref="B8">_xlfn.IFS(AND($B$2="Residential",$B$3="Klip Lok Roof"),$J$40,AND($B$2="C&amp;I",$B$3="Klip Lok Roof"),$J$92,Roof_Type&lt;&gt;"Klip Lok Roof",0)</f>
        <v>0</v>
      </c>
    </row>
    <row r="9" spans="1:11" x14ac:dyDescent="0.3">
      <c r="A9" t="s">
        <v>2121</v>
      </c>
      <c r="B9" s="5" cm="1">
        <f t="array" ref="B9">_xlfn.IFS($B$2="Residential",K40,$B$2="C&amp;I",P92)</f>
        <v>0</v>
      </c>
    </row>
    <row r="10" spans="1:11" x14ac:dyDescent="0.3">
      <c r="A10" t="s">
        <v>2122</v>
      </c>
      <c r="B10" s="5">
        <f>IF($B$2="Residential",0,IF($B$2="C&amp;I",K92,0))</f>
        <v>0</v>
      </c>
    </row>
    <row r="11" spans="1:11" x14ac:dyDescent="0.3">
      <c r="A11" t="s">
        <v>2123</v>
      </c>
      <c r="B11" s="5" cm="1">
        <f t="array" ref="B11">_xlfn.IFS($B$2="Residential",0,$B$2="C&amp;I",L92)</f>
        <v>0</v>
      </c>
    </row>
    <row r="12" spans="1:11" x14ac:dyDescent="0.3">
      <c r="A12" t="s">
        <v>2124</v>
      </c>
      <c r="B12" s="5" cm="1">
        <f t="array" ref="B12">_xlfn.IFS($B$2="Residential",0,$B$2="C&amp;I",O92)</f>
        <v>0</v>
      </c>
    </row>
    <row r="13" spans="1:11" x14ac:dyDescent="0.3">
      <c r="A13" t="s">
        <v>2125</v>
      </c>
      <c r="B13" s="5" cm="1">
        <f t="array" ref="B13">_xlfn.IFS($B$2="Residential",G40,$B$2="C&amp;I",G92)</f>
        <v>-80</v>
      </c>
    </row>
    <row r="14" spans="1:11" x14ac:dyDescent="0.3">
      <c r="A14" t="s">
        <v>2126</v>
      </c>
      <c r="B14" s="5" cm="1">
        <f t="array" ref="B14">_xlfn.IFS($B$2="Residential",E40,$B$2="C&amp;I",E92)</f>
        <v>828</v>
      </c>
    </row>
    <row r="15" spans="1:11" x14ac:dyDescent="0.3">
      <c r="A15" t="s">
        <v>2127</v>
      </c>
      <c r="B15" s="5" cm="1">
        <f t="array" ref="B15">_xlfn.IFS($B$2="Residential",F40,$B$2="C&amp;I",F92)</f>
        <v>160</v>
      </c>
    </row>
    <row r="16" spans="1:11" x14ac:dyDescent="0.3">
      <c r="A16" t="s">
        <v>2128</v>
      </c>
      <c r="B16" s="5" cm="1">
        <f t="array" ref="B16">_xlfn.IFS($B$2="Residential",H40,$B$2="C&amp;I",H92)</f>
        <v>464</v>
      </c>
    </row>
    <row r="17" spans="1:13" x14ac:dyDescent="0.3">
      <c r="A17" t="s">
        <v>2129</v>
      </c>
      <c r="B17" s="5" cm="1">
        <f t="array" ref="B17">_xlfn.IFS($B$2="Residential",D40,$B$2="C&amp;I",D92)</f>
        <v>40</v>
      </c>
    </row>
    <row r="18" spans="1:13" x14ac:dyDescent="0.3">
      <c r="A18" t="s">
        <v>2130</v>
      </c>
      <c r="B18" s="5" cm="1">
        <f t="array" ref="B18">_xlfn.IFS(AND($B$2="Residential",$B$3="RC Roof"),$B$26*6,AND($B$2="C&amp;I",$B$3="RC Roof"),$B$51*6,Roof_Type&lt;&gt;"RC Roof",0)</f>
        <v>0</v>
      </c>
    </row>
    <row r="21" spans="1:13" s="28" customFormat="1" ht="18" x14ac:dyDescent="0.35">
      <c r="A21" s="28" t="s">
        <v>0</v>
      </c>
      <c r="B21" s="29"/>
    </row>
    <row r="23" spans="1:13" x14ac:dyDescent="0.3">
      <c r="A23" s="7" t="s">
        <v>2131</v>
      </c>
      <c r="B23" s="5">
        <v>1.1339999999999999</v>
      </c>
      <c r="C23" t="s">
        <v>2132</v>
      </c>
      <c r="D23" s="7" t="s">
        <v>2133</v>
      </c>
      <c r="E23" s="5">
        <v>2.278</v>
      </c>
      <c r="F23" s="5"/>
      <c r="G23" s="5"/>
      <c r="L23" s="7"/>
    </row>
    <row r="24" spans="1:13" x14ac:dyDescent="0.3">
      <c r="A24" s="7" t="s">
        <v>2134</v>
      </c>
      <c r="B24" s="5">
        <v>1.1000000000000001</v>
      </c>
      <c r="C24" t="s">
        <v>2132</v>
      </c>
      <c r="D24" s="7"/>
      <c r="E24" s="5"/>
      <c r="F24" s="5"/>
      <c r="G24" s="5"/>
      <c r="L24" s="7"/>
    </row>
    <row r="25" spans="1:13" x14ac:dyDescent="0.3">
      <c r="A25" s="7" t="s">
        <v>2135</v>
      </c>
      <c r="B25" s="5">
        <v>2.6</v>
      </c>
      <c r="C25" t="s">
        <v>2132</v>
      </c>
      <c r="D25" s="7"/>
      <c r="E25" s="5"/>
      <c r="F25" s="5"/>
      <c r="G25" s="5"/>
      <c r="L25" s="7"/>
    </row>
    <row r="26" spans="1:13" x14ac:dyDescent="0.3">
      <c r="A26" s="7" t="s">
        <v>2136</v>
      </c>
      <c r="B26" s="5">
        <f>C40</f>
        <v>0</v>
      </c>
    </row>
    <row r="27" spans="1:13" ht="14.85" customHeight="1" x14ac:dyDescent="0.3"/>
    <row r="28" spans="1:13" ht="32.85" customHeight="1" x14ac:dyDescent="0.3">
      <c r="A28" s="1" t="s">
        <v>2137</v>
      </c>
      <c r="B28" s="9" t="s">
        <v>2138</v>
      </c>
      <c r="C28" s="1" t="s">
        <v>2139</v>
      </c>
      <c r="D28" s="1" t="s">
        <v>2129</v>
      </c>
      <c r="E28" s="1" t="s">
        <v>2140</v>
      </c>
      <c r="F28" s="1" t="s">
        <v>2141</v>
      </c>
      <c r="G28" s="1" t="s">
        <v>2142</v>
      </c>
      <c r="H28" s="1" t="s">
        <v>2128</v>
      </c>
      <c r="I28" s="1" t="s">
        <v>2143</v>
      </c>
      <c r="J28" s="1" t="s">
        <v>2144</v>
      </c>
      <c r="K28" s="1" t="s">
        <v>2145</v>
      </c>
      <c r="L28" s="2" t="s">
        <v>2146</v>
      </c>
      <c r="M28" s="138"/>
    </row>
    <row r="29" spans="1:13" ht="15.6" x14ac:dyDescent="0.3">
      <c r="A29" s="170" t="s">
        <v>2147</v>
      </c>
      <c r="B29" s="171"/>
      <c r="C29" s="171"/>
      <c r="D29" s="171"/>
      <c r="E29" s="171"/>
      <c r="F29" s="171"/>
      <c r="G29" s="171"/>
      <c r="H29" s="171"/>
      <c r="I29" s="171"/>
      <c r="J29" s="171"/>
      <c r="K29" s="171"/>
      <c r="L29" s="172"/>
      <c r="M29" s="138"/>
    </row>
    <row r="30" spans="1:13" x14ac:dyDescent="0.3">
      <c r="A30" s="30"/>
      <c r="B30" s="30"/>
      <c r="C30" s="4">
        <f>A30*B30</f>
        <v>0</v>
      </c>
      <c r="D30" s="4">
        <f>B30*1</f>
        <v>0</v>
      </c>
      <c r="E30" s="4">
        <f>(A30-1)*B30*2</f>
        <v>0</v>
      </c>
      <c r="F30" s="4">
        <f>4*B30</f>
        <v>0</v>
      </c>
      <c r="G30" s="4">
        <f>(K30-1)*B30*2</f>
        <v>0</v>
      </c>
      <c r="H30" s="4">
        <f>ROUNDUP(A30/2,0)*2*B30</f>
        <v>0</v>
      </c>
      <c r="I30" s="4">
        <f>ROUNDUP(L30/$B$24,0)*B30*2</f>
        <v>0</v>
      </c>
      <c r="J30" s="4">
        <f>SUM(E30:F30)</f>
        <v>0</v>
      </c>
      <c r="K30" s="4">
        <f>ROUNDUP((A30*$B$23)/$B$25,0)</f>
        <v>0</v>
      </c>
      <c r="L30" s="3">
        <f>K30*$B$25</f>
        <v>0</v>
      </c>
    </row>
    <row r="31" spans="1:13" x14ac:dyDescent="0.3">
      <c r="A31" s="30"/>
      <c r="B31" s="30"/>
      <c r="C31" s="4">
        <f>A31*B31</f>
        <v>0</v>
      </c>
      <c r="D31" s="4">
        <f>B31*1</f>
        <v>0</v>
      </c>
      <c r="E31" s="4">
        <f>(A31-1)*B31*2</f>
        <v>0</v>
      </c>
      <c r="F31" s="4">
        <f>4*B31</f>
        <v>0</v>
      </c>
      <c r="G31" s="4">
        <f>(K31-1)*B31*2</f>
        <v>0</v>
      </c>
      <c r="H31" s="4">
        <f>ROUNDUP(A31/2,0)*2*B31</f>
        <v>0</v>
      </c>
      <c r="I31" s="4">
        <f>ROUNDUP(L31/$B$24,0)*B31*2</f>
        <v>0</v>
      </c>
      <c r="J31" s="4">
        <f>SUM(E31:F31)</f>
        <v>0</v>
      </c>
      <c r="K31" s="4">
        <f>ROUNDUP((A31*$B$23)/$B$25,0)</f>
        <v>0</v>
      </c>
      <c r="L31" s="3">
        <f>K31*$B$25</f>
        <v>0</v>
      </c>
    </row>
    <row r="32" spans="1:13" x14ac:dyDescent="0.3">
      <c r="A32" s="30"/>
      <c r="B32" s="30"/>
      <c r="C32" s="4">
        <f>A32*B32</f>
        <v>0</v>
      </c>
      <c r="D32" s="4">
        <f>B32*1</f>
        <v>0</v>
      </c>
      <c r="E32" s="4">
        <f>(A32-1)*B32*2</f>
        <v>0</v>
      </c>
      <c r="F32" s="4">
        <f>4*B32</f>
        <v>0</v>
      </c>
      <c r="G32" s="4">
        <f>(K32-1)*B32*2</f>
        <v>0</v>
      </c>
      <c r="H32" s="4">
        <f>ROUNDUP(A32/2,0)*2*B32</f>
        <v>0</v>
      </c>
      <c r="I32" s="4">
        <f>ROUNDUP(L32/$B$24,0)*B32*2</f>
        <v>0</v>
      </c>
      <c r="J32" s="4">
        <f>SUM(E32:F32)</f>
        <v>0</v>
      </c>
      <c r="K32" s="4">
        <f>ROUNDUP((A32*$B$23)/$B$25,0)</f>
        <v>0</v>
      </c>
      <c r="L32" s="3">
        <f>K32*$B$25</f>
        <v>0</v>
      </c>
    </row>
    <row r="33" spans="1:20" x14ac:dyDescent="0.3">
      <c r="A33" s="30"/>
      <c r="B33" s="30"/>
      <c r="C33" s="4">
        <f>A33*B33</f>
        <v>0</v>
      </c>
      <c r="D33" s="4">
        <f>B33*1</f>
        <v>0</v>
      </c>
      <c r="E33" s="4">
        <f>(A33-1)*B33*2</f>
        <v>0</v>
      </c>
      <c r="F33" s="4">
        <f>4*B33</f>
        <v>0</v>
      </c>
      <c r="G33" s="4">
        <f>(K33-1)*B33*2</f>
        <v>0</v>
      </c>
      <c r="H33" s="4">
        <f>ROUNDUP(A33/2,0)*2*B33</f>
        <v>0</v>
      </c>
      <c r="I33" s="4">
        <f>ROUNDUP(L33/$B$24,0)*B33*2</f>
        <v>0</v>
      </c>
      <c r="J33" s="4">
        <f>SUM(E33:F33)</f>
        <v>0</v>
      </c>
      <c r="K33" s="4">
        <f>ROUNDUP((A33*$B$23)/$B$25,0)</f>
        <v>0</v>
      </c>
      <c r="L33" s="3">
        <f>K33*$B$25</f>
        <v>0</v>
      </c>
    </row>
    <row r="34" spans="1:20" ht="15.6" x14ac:dyDescent="0.3">
      <c r="A34" s="170" t="s">
        <v>2148</v>
      </c>
      <c r="B34" s="171"/>
      <c r="C34" s="171"/>
      <c r="D34" s="171"/>
      <c r="E34" s="171"/>
      <c r="F34" s="171"/>
      <c r="G34" s="171"/>
      <c r="H34" s="171"/>
      <c r="I34" s="171"/>
      <c r="J34" s="171"/>
      <c r="K34" s="171"/>
      <c r="L34" s="172"/>
    </row>
    <row r="35" spans="1:20" x14ac:dyDescent="0.3">
      <c r="A35" s="30"/>
      <c r="B35" s="30"/>
      <c r="C35" s="4">
        <f>A35*B35</f>
        <v>0</v>
      </c>
      <c r="D35" s="4">
        <f>B35*1</f>
        <v>0</v>
      </c>
      <c r="E35" s="4">
        <f>(A35-1)*B35*2</f>
        <v>0</v>
      </c>
      <c r="F35" s="4">
        <f>4*B35</f>
        <v>0</v>
      </c>
      <c r="G35" s="4">
        <f>(K35-1)*B35*2</f>
        <v>0</v>
      </c>
      <c r="H35" s="4">
        <f>ROUNDUP(A35/2,0)*2*B35</f>
        <v>0</v>
      </c>
      <c r="I35" s="4">
        <f>ROUNDUP(L35/$B$24,0)*B35*2</f>
        <v>0</v>
      </c>
      <c r="J35" s="4">
        <f>SUM(E35:F35)</f>
        <v>0</v>
      </c>
      <c r="K35" s="4">
        <f>ROUNDUP((A35*$E$23)/$B$25,0)</f>
        <v>0</v>
      </c>
      <c r="L35" s="3">
        <f>K35*$B$25</f>
        <v>0</v>
      </c>
    </row>
    <row r="36" spans="1:20" x14ac:dyDescent="0.3">
      <c r="A36" s="30"/>
      <c r="B36" s="30"/>
      <c r="C36" s="4">
        <f>A36*B36</f>
        <v>0</v>
      </c>
      <c r="D36" s="4">
        <f>B36*1</f>
        <v>0</v>
      </c>
      <c r="E36" s="4">
        <f>(A36-1)*B36*2</f>
        <v>0</v>
      </c>
      <c r="F36" s="4">
        <f>4*B36</f>
        <v>0</v>
      </c>
      <c r="G36" s="4">
        <f>(K36-1)*B36*2</f>
        <v>0</v>
      </c>
      <c r="H36" s="4">
        <f>ROUNDUP(A36/2,0)*2*B36</f>
        <v>0</v>
      </c>
      <c r="I36" s="4">
        <f>ROUNDUP(L36/$B$24,0)*B36*2</f>
        <v>0</v>
      </c>
      <c r="J36" s="4">
        <f>SUM(E36:F36)</f>
        <v>0</v>
      </c>
      <c r="K36" s="4">
        <f>ROUNDUP((A36*$E$23)/$B$25,0)</f>
        <v>0</v>
      </c>
      <c r="L36" s="3">
        <f>K36*$B$25</f>
        <v>0</v>
      </c>
    </row>
    <row r="37" spans="1:20" x14ac:dyDescent="0.3">
      <c r="A37" s="30"/>
      <c r="B37" s="30"/>
      <c r="C37" s="4">
        <f>A37*B37</f>
        <v>0</v>
      </c>
      <c r="D37" s="4">
        <f>B37*1</f>
        <v>0</v>
      </c>
      <c r="E37" s="4">
        <f>(A37-1)*B37*2</f>
        <v>0</v>
      </c>
      <c r="F37" s="4">
        <f>4*B37</f>
        <v>0</v>
      </c>
      <c r="G37" s="4">
        <f>(K37-1)*B37*2</f>
        <v>0</v>
      </c>
      <c r="H37" s="4">
        <f>ROUNDUP(A37/2,0)*2*B37</f>
        <v>0</v>
      </c>
      <c r="I37" s="4">
        <f>ROUNDUP(L37/$B$24,0)*B37*2</f>
        <v>0</v>
      </c>
      <c r="J37" s="4">
        <f>SUM(E37:F37)</f>
        <v>0</v>
      </c>
      <c r="K37" s="4">
        <f>ROUNDUP((A37*$E$23)/$B$25,0)</f>
        <v>0</v>
      </c>
      <c r="L37" s="3">
        <f>K37*$B$25</f>
        <v>0</v>
      </c>
    </row>
    <row r="38" spans="1:20" x14ac:dyDescent="0.3">
      <c r="A38" s="30"/>
      <c r="B38" s="30"/>
      <c r="C38" s="4">
        <f>A38*B38</f>
        <v>0</v>
      </c>
      <c r="D38" s="4">
        <f>B38*1</f>
        <v>0</v>
      </c>
      <c r="E38" s="4">
        <f>(A38-1)*B38*2</f>
        <v>0</v>
      </c>
      <c r="F38" s="4">
        <f>4*B38</f>
        <v>0</v>
      </c>
      <c r="G38" s="4">
        <f>(K38-1)*B38*2</f>
        <v>0</v>
      </c>
      <c r="H38" s="4">
        <f>ROUNDUP(A38/2,0)*2*B38</f>
        <v>0</v>
      </c>
      <c r="I38" s="4">
        <f>ROUNDUP(L38/$B$24,0)*B38*2</f>
        <v>0</v>
      </c>
      <c r="J38" s="4">
        <f>SUM(E38:F38)</f>
        <v>0</v>
      </c>
      <c r="K38" s="4">
        <f>ROUNDUP((A38*$E$23)/$B$25,0)</f>
        <v>0</v>
      </c>
      <c r="L38" s="3">
        <f>K38*$B$25</f>
        <v>0</v>
      </c>
    </row>
    <row r="39" spans="1:20" ht="15" thickBot="1" x14ac:dyDescent="0.35">
      <c r="A39" s="30"/>
      <c r="B39" s="30"/>
      <c r="C39" s="4">
        <f>A39*B39</f>
        <v>0</v>
      </c>
      <c r="D39" s="4">
        <f>B39*1</f>
        <v>0</v>
      </c>
      <c r="E39" s="4">
        <f>(A39-1)*B39*2</f>
        <v>0</v>
      </c>
      <c r="F39" s="4">
        <f>4*B39</f>
        <v>0</v>
      </c>
      <c r="G39" s="4">
        <f>(K39-1)*B39*2</f>
        <v>0</v>
      </c>
      <c r="H39" s="4">
        <f>ROUNDUP(A39/2,0)*2*B39</f>
        <v>0</v>
      </c>
      <c r="I39" s="4">
        <f>ROUNDUP(L39/$B$24,0)*B39*2</f>
        <v>0</v>
      </c>
      <c r="J39" s="4">
        <f>SUM(E39:F39)</f>
        <v>0</v>
      </c>
      <c r="K39" s="4">
        <f>ROUNDUP((A39*$E$23)/$B$25,0)</f>
        <v>0</v>
      </c>
      <c r="L39" s="3">
        <f>K39*$B$25</f>
        <v>0</v>
      </c>
    </row>
    <row r="40" spans="1:20" ht="15" thickBot="1" x14ac:dyDescent="0.35">
      <c r="C40" s="37">
        <f t="shared" ref="C40:J40" si="0">SUM(C30:C39)</f>
        <v>0</v>
      </c>
      <c r="D40" s="36">
        <f t="shared" si="0"/>
        <v>0</v>
      </c>
      <c r="E40" s="36">
        <f t="shared" si="0"/>
        <v>0</v>
      </c>
      <c r="F40" s="36">
        <f t="shared" si="0"/>
        <v>0</v>
      </c>
      <c r="G40" s="36">
        <f t="shared" si="0"/>
        <v>0</v>
      </c>
      <c r="H40" s="36">
        <f t="shared" si="0"/>
        <v>0</v>
      </c>
      <c r="I40" s="36">
        <f t="shared" si="0"/>
        <v>0</v>
      </c>
      <c r="J40" s="36">
        <f t="shared" si="0"/>
        <v>0</v>
      </c>
      <c r="K40" s="36">
        <f>SUMPRODUCT(K30:K39, $B30:$B39)*2</f>
        <v>0</v>
      </c>
      <c r="L40" s="36"/>
    </row>
    <row r="43" spans="1:20" s="28" customFormat="1" ht="18" x14ac:dyDescent="0.35">
      <c r="A43"/>
      <c r="B43" s="5"/>
      <c r="C43"/>
      <c r="D43"/>
      <c r="E43"/>
      <c r="F43"/>
      <c r="G43"/>
      <c r="H43"/>
      <c r="I43"/>
      <c r="J43"/>
      <c r="K43"/>
      <c r="L43"/>
      <c r="M43"/>
      <c r="N43"/>
      <c r="O43"/>
      <c r="P43"/>
      <c r="Q43"/>
      <c r="R43"/>
      <c r="S43"/>
      <c r="T43"/>
    </row>
    <row r="44" spans="1:20" ht="18" x14ac:dyDescent="0.35">
      <c r="A44" s="28" t="s">
        <v>1</v>
      </c>
      <c r="B44" s="29"/>
      <c r="C44" s="28"/>
      <c r="D44" s="28"/>
      <c r="E44" s="28"/>
      <c r="F44" s="28"/>
      <c r="G44" s="28"/>
      <c r="H44" s="28"/>
      <c r="I44" s="28"/>
      <c r="J44" s="28"/>
      <c r="K44" s="28"/>
      <c r="L44" s="28"/>
      <c r="M44" s="28"/>
      <c r="N44" s="28"/>
      <c r="O44" s="28"/>
      <c r="P44" s="28"/>
      <c r="Q44" s="28"/>
      <c r="R44" s="28"/>
      <c r="S44" s="28"/>
      <c r="T44" s="28"/>
    </row>
    <row r="48" spans="1:20" x14ac:dyDescent="0.3">
      <c r="A48" s="7" t="s">
        <v>2131</v>
      </c>
      <c r="B48" s="129">
        <v>1.1339999999999999</v>
      </c>
      <c r="C48" t="s">
        <v>2132</v>
      </c>
      <c r="D48" s="7" t="s">
        <v>2133</v>
      </c>
      <c r="E48" s="129">
        <v>2.3820000000000001</v>
      </c>
      <c r="F48" s="5"/>
      <c r="G48" s="5"/>
      <c r="L48" s="7"/>
      <c r="M48" s="7"/>
      <c r="N48" s="7"/>
    </row>
    <row r="49" spans="1:20" x14ac:dyDescent="0.3">
      <c r="A49" s="7" t="s">
        <v>2134</v>
      </c>
      <c r="B49" s="129">
        <v>1.1000000000000001</v>
      </c>
      <c r="C49" t="s">
        <v>2132</v>
      </c>
      <c r="D49" s="7"/>
      <c r="E49" s="5"/>
      <c r="F49" s="5"/>
      <c r="G49" s="5"/>
      <c r="L49" s="7"/>
      <c r="M49" s="7"/>
      <c r="N49" s="7"/>
    </row>
    <row r="50" spans="1:20" x14ac:dyDescent="0.3">
      <c r="A50" s="7" t="s">
        <v>2135</v>
      </c>
      <c r="B50" s="129">
        <v>0</v>
      </c>
      <c r="C50" t="s">
        <v>2132</v>
      </c>
      <c r="D50" s="7"/>
      <c r="E50" s="5"/>
      <c r="F50" s="5"/>
      <c r="G50" s="5"/>
      <c r="L50" s="7"/>
      <c r="M50" s="7"/>
      <c r="N50" s="7"/>
    </row>
    <row r="51" spans="1:20" x14ac:dyDescent="0.3">
      <c r="A51" s="7" t="s">
        <v>2136</v>
      </c>
      <c r="B51" s="5">
        <f>C92</f>
        <v>454</v>
      </c>
    </row>
    <row r="53" spans="1:20" ht="57.6" x14ac:dyDescent="0.3">
      <c r="A53" s="31" t="s">
        <v>2137</v>
      </c>
      <c r="B53" s="32" t="s">
        <v>2138</v>
      </c>
      <c r="C53" s="31" t="s">
        <v>2139</v>
      </c>
      <c r="D53" s="31" t="s">
        <v>2129</v>
      </c>
      <c r="E53" s="31" t="s">
        <v>2140</v>
      </c>
      <c r="F53" s="31" t="s">
        <v>2141</v>
      </c>
      <c r="G53" s="31" t="s">
        <v>2142</v>
      </c>
      <c r="H53" s="31" t="s">
        <v>2128</v>
      </c>
      <c r="I53" s="31" t="s">
        <v>2143</v>
      </c>
      <c r="J53" s="31" t="s">
        <v>2144</v>
      </c>
      <c r="K53" s="31">
        <v>5.3</v>
      </c>
      <c r="L53" s="31">
        <v>4.7</v>
      </c>
      <c r="M53" s="31">
        <v>3.6</v>
      </c>
      <c r="N53" s="31">
        <v>1.8</v>
      </c>
      <c r="O53" s="31">
        <v>2.6</v>
      </c>
      <c r="P53" s="31">
        <v>1.3</v>
      </c>
      <c r="Q53" s="31" t="s">
        <v>2145</v>
      </c>
      <c r="R53" s="31" t="s">
        <v>2149</v>
      </c>
      <c r="S53" s="33" t="s">
        <v>2146</v>
      </c>
      <c r="T53" s="33" t="s">
        <v>2150</v>
      </c>
    </row>
    <row r="54" spans="1:20" ht="15.6" x14ac:dyDescent="0.3">
      <c r="A54" s="130" t="s">
        <v>2147</v>
      </c>
      <c r="B54" s="131"/>
      <c r="C54" s="131"/>
      <c r="D54" s="131"/>
      <c r="E54" s="131"/>
      <c r="F54" s="131"/>
      <c r="G54" s="131"/>
      <c r="H54" s="131"/>
      <c r="I54" s="131"/>
      <c r="J54" s="131"/>
      <c r="K54" s="131"/>
      <c r="L54" s="131"/>
      <c r="M54" s="131"/>
      <c r="N54" s="131"/>
      <c r="O54" s="131"/>
      <c r="P54" s="131"/>
      <c r="Q54" s="131"/>
      <c r="R54" s="131"/>
      <c r="S54" s="131"/>
      <c r="T54" s="132"/>
    </row>
    <row r="55" spans="1:20" x14ac:dyDescent="0.3">
      <c r="A55" s="30"/>
      <c r="B55" s="30"/>
      <c r="C55" s="4">
        <f t="shared" ref="C55:C62" si="1">A55*B55</f>
        <v>0</v>
      </c>
      <c r="D55" s="4">
        <f t="shared" ref="D55:D62" si="2">B55*1</f>
        <v>0</v>
      </c>
      <c r="E55" s="4">
        <f t="shared" ref="E55:E62" si="3">(A55-1)*B55*2</f>
        <v>0</v>
      </c>
      <c r="F55" s="4">
        <f t="shared" ref="F55:F62" si="4">4*B55</f>
        <v>0</v>
      </c>
      <c r="G55" s="4">
        <f t="shared" ref="G55:G62" si="5">(Q55-1)*B55*2</f>
        <v>0</v>
      </c>
      <c r="H55" s="4">
        <f t="shared" ref="H55:H62" si="6">ROUNDUP(A55/2,0)*2*B55</f>
        <v>0</v>
      </c>
      <c r="I55" s="4">
        <f t="shared" ref="I55:I62" si="7">ROUNDUP(S55/$B$49,0)*B55*2</f>
        <v>0</v>
      </c>
      <c r="J55" s="4">
        <f t="shared" ref="J55:J62" si="8">SUM(E55:F55)</f>
        <v>0</v>
      </c>
      <c r="K55" s="30"/>
      <c r="L55" s="30"/>
      <c r="M55" s="30"/>
      <c r="N55" s="30"/>
      <c r="O55" s="30"/>
      <c r="P55" s="30"/>
      <c r="Q55" s="4">
        <f t="shared" ref="Q55:Q62" si="9">SUM(K54:P54)</f>
        <v>0</v>
      </c>
      <c r="R55" s="4">
        <f t="shared" ref="R55:R62" si="10">A55*$B$48+(A55-1)*0.02</f>
        <v>-0.02</v>
      </c>
      <c r="S55" s="3">
        <f t="shared" ref="S55:S62" si="11">SUMPRODUCT($K$53:$P$53,K55:P55)</f>
        <v>0</v>
      </c>
      <c r="T55" s="3">
        <f t="shared" ref="T55:T62" si="12">((S55-R55)/2)*1000</f>
        <v>10</v>
      </c>
    </row>
    <row r="56" spans="1:20" x14ac:dyDescent="0.3">
      <c r="A56" s="30"/>
      <c r="B56" s="30"/>
      <c r="C56" s="4">
        <f t="shared" si="1"/>
        <v>0</v>
      </c>
      <c r="D56" s="4">
        <f t="shared" si="2"/>
        <v>0</v>
      </c>
      <c r="E56" s="4">
        <f t="shared" si="3"/>
        <v>0</v>
      </c>
      <c r="F56" s="4">
        <f t="shared" si="4"/>
        <v>0</v>
      </c>
      <c r="G56" s="4">
        <f t="shared" si="5"/>
        <v>0</v>
      </c>
      <c r="H56" s="4">
        <f t="shared" si="6"/>
        <v>0</v>
      </c>
      <c r="I56" s="4">
        <f t="shared" si="7"/>
        <v>0</v>
      </c>
      <c r="J56" s="4">
        <f t="shared" si="8"/>
        <v>0</v>
      </c>
      <c r="K56" s="30"/>
      <c r="L56" s="30"/>
      <c r="M56" s="30"/>
      <c r="N56" s="30"/>
      <c r="O56" s="30"/>
      <c r="P56" s="30"/>
      <c r="Q56" s="4">
        <f t="shared" si="9"/>
        <v>0</v>
      </c>
      <c r="R56" s="4">
        <f t="shared" si="10"/>
        <v>-0.02</v>
      </c>
      <c r="S56" s="3">
        <f t="shared" si="11"/>
        <v>0</v>
      </c>
      <c r="T56" s="3">
        <f t="shared" si="12"/>
        <v>10</v>
      </c>
    </row>
    <row r="57" spans="1:20" x14ac:dyDescent="0.3">
      <c r="A57" s="30"/>
      <c r="B57" s="30"/>
      <c r="C57" s="4">
        <f t="shared" si="1"/>
        <v>0</v>
      </c>
      <c r="D57" s="4">
        <f t="shared" si="2"/>
        <v>0</v>
      </c>
      <c r="E57" s="4">
        <f t="shared" si="3"/>
        <v>0</v>
      </c>
      <c r="F57" s="4">
        <f t="shared" si="4"/>
        <v>0</v>
      </c>
      <c r="G57" s="4">
        <f t="shared" si="5"/>
        <v>0</v>
      </c>
      <c r="H57" s="4">
        <f t="shared" si="6"/>
        <v>0</v>
      </c>
      <c r="I57" s="4">
        <f t="shared" si="7"/>
        <v>0</v>
      </c>
      <c r="J57" s="4">
        <f t="shared" si="8"/>
        <v>0</v>
      </c>
      <c r="K57" s="30"/>
      <c r="L57" s="30"/>
      <c r="M57" s="30"/>
      <c r="N57" s="30"/>
      <c r="O57" s="30"/>
      <c r="P57" s="30"/>
      <c r="Q57" s="4">
        <f t="shared" si="9"/>
        <v>0</v>
      </c>
      <c r="R57" s="4">
        <f t="shared" si="10"/>
        <v>-0.02</v>
      </c>
      <c r="S57" s="3">
        <f t="shared" si="11"/>
        <v>0</v>
      </c>
      <c r="T57" s="3">
        <f t="shared" si="12"/>
        <v>10</v>
      </c>
    </row>
    <row r="58" spans="1:20" x14ac:dyDescent="0.3">
      <c r="A58" s="30"/>
      <c r="B58" s="30"/>
      <c r="C58" s="4">
        <f t="shared" si="1"/>
        <v>0</v>
      </c>
      <c r="D58" s="4">
        <f t="shared" si="2"/>
        <v>0</v>
      </c>
      <c r="E58" s="4">
        <f t="shared" si="3"/>
        <v>0</v>
      </c>
      <c r="F58" s="4">
        <f t="shared" si="4"/>
        <v>0</v>
      </c>
      <c r="G58" s="4">
        <f t="shared" si="5"/>
        <v>0</v>
      </c>
      <c r="H58" s="4">
        <f t="shared" si="6"/>
        <v>0</v>
      </c>
      <c r="I58" s="4">
        <f t="shared" si="7"/>
        <v>0</v>
      </c>
      <c r="J58" s="4">
        <f t="shared" si="8"/>
        <v>0</v>
      </c>
      <c r="K58" s="30"/>
      <c r="L58" s="30"/>
      <c r="M58" s="30"/>
      <c r="N58" s="30"/>
      <c r="O58" s="30"/>
      <c r="P58" s="30"/>
      <c r="Q58" s="4">
        <f t="shared" si="9"/>
        <v>0</v>
      </c>
      <c r="R58" s="4">
        <f t="shared" si="10"/>
        <v>-0.02</v>
      </c>
      <c r="S58" s="3">
        <f t="shared" si="11"/>
        <v>0</v>
      </c>
      <c r="T58" s="3">
        <f t="shared" si="12"/>
        <v>10</v>
      </c>
    </row>
    <row r="59" spans="1:20" x14ac:dyDescent="0.3">
      <c r="A59" s="30"/>
      <c r="B59" s="30"/>
      <c r="C59" s="4">
        <f t="shared" si="1"/>
        <v>0</v>
      </c>
      <c r="D59" s="4">
        <f t="shared" si="2"/>
        <v>0</v>
      </c>
      <c r="E59" s="4">
        <f t="shared" si="3"/>
        <v>0</v>
      </c>
      <c r="F59" s="4">
        <f t="shared" si="4"/>
        <v>0</v>
      </c>
      <c r="G59" s="4">
        <f t="shared" si="5"/>
        <v>0</v>
      </c>
      <c r="H59" s="4">
        <f t="shared" si="6"/>
        <v>0</v>
      </c>
      <c r="I59" s="4">
        <f t="shared" si="7"/>
        <v>0</v>
      </c>
      <c r="J59" s="4">
        <f t="shared" si="8"/>
        <v>0</v>
      </c>
      <c r="K59" s="30"/>
      <c r="L59" s="30"/>
      <c r="M59" s="30"/>
      <c r="N59" s="30"/>
      <c r="O59" s="30"/>
      <c r="P59" s="30"/>
      <c r="Q59" s="4">
        <f t="shared" si="9"/>
        <v>0</v>
      </c>
      <c r="R59" s="4">
        <f t="shared" si="10"/>
        <v>-0.02</v>
      </c>
      <c r="S59" s="3">
        <f t="shared" si="11"/>
        <v>0</v>
      </c>
      <c r="T59" s="3">
        <f t="shared" si="12"/>
        <v>10</v>
      </c>
    </row>
    <row r="60" spans="1:20" x14ac:dyDescent="0.3">
      <c r="A60" s="30"/>
      <c r="B60" s="30"/>
      <c r="C60" s="4">
        <f t="shared" si="1"/>
        <v>0</v>
      </c>
      <c r="D60" s="4">
        <f t="shared" si="2"/>
        <v>0</v>
      </c>
      <c r="E60" s="4">
        <f t="shared" si="3"/>
        <v>0</v>
      </c>
      <c r="F60" s="4">
        <f t="shared" si="4"/>
        <v>0</v>
      </c>
      <c r="G60" s="4">
        <f t="shared" si="5"/>
        <v>0</v>
      </c>
      <c r="H60" s="4">
        <f t="shared" si="6"/>
        <v>0</v>
      </c>
      <c r="I60" s="4">
        <f t="shared" si="7"/>
        <v>0</v>
      </c>
      <c r="J60" s="4">
        <f t="shared" si="8"/>
        <v>0</v>
      </c>
      <c r="K60" s="30"/>
      <c r="L60" s="30"/>
      <c r="M60" s="30"/>
      <c r="N60" s="30"/>
      <c r="O60" s="30"/>
      <c r="P60" s="30"/>
      <c r="Q60" s="4">
        <f t="shared" si="9"/>
        <v>0</v>
      </c>
      <c r="R60" s="4">
        <f t="shared" si="10"/>
        <v>-0.02</v>
      </c>
      <c r="S60" s="3">
        <f t="shared" si="11"/>
        <v>0</v>
      </c>
      <c r="T60" s="3">
        <f t="shared" si="12"/>
        <v>10</v>
      </c>
    </row>
    <row r="61" spans="1:20" x14ac:dyDescent="0.3">
      <c r="A61" s="30"/>
      <c r="B61" s="30"/>
      <c r="C61" s="4">
        <f t="shared" si="1"/>
        <v>0</v>
      </c>
      <c r="D61" s="4">
        <f t="shared" si="2"/>
        <v>0</v>
      </c>
      <c r="E61" s="4">
        <f t="shared" si="3"/>
        <v>0</v>
      </c>
      <c r="F61" s="4">
        <f t="shared" si="4"/>
        <v>0</v>
      </c>
      <c r="G61" s="4">
        <f t="shared" si="5"/>
        <v>0</v>
      </c>
      <c r="H61" s="4">
        <f t="shared" si="6"/>
        <v>0</v>
      </c>
      <c r="I61" s="4">
        <f t="shared" si="7"/>
        <v>0</v>
      </c>
      <c r="J61" s="4">
        <f t="shared" si="8"/>
        <v>0</v>
      </c>
      <c r="K61" s="30"/>
      <c r="L61" s="30"/>
      <c r="M61" s="30"/>
      <c r="N61" s="30"/>
      <c r="O61" s="30"/>
      <c r="P61" s="30"/>
      <c r="Q61" s="4">
        <f t="shared" si="9"/>
        <v>0</v>
      </c>
      <c r="R61" s="4">
        <f t="shared" si="10"/>
        <v>-0.02</v>
      </c>
      <c r="S61" s="3">
        <f t="shared" si="11"/>
        <v>0</v>
      </c>
      <c r="T61" s="3">
        <f t="shared" si="12"/>
        <v>10</v>
      </c>
    </row>
    <row r="62" spans="1:20" x14ac:dyDescent="0.3">
      <c r="A62" s="30"/>
      <c r="B62" s="30"/>
      <c r="C62" s="4">
        <f t="shared" si="1"/>
        <v>0</v>
      </c>
      <c r="D62" s="4">
        <f t="shared" si="2"/>
        <v>0</v>
      </c>
      <c r="E62" s="4">
        <f t="shared" si="3"/>
        <v>0</v>
      </c>
      <c r="F62" s="4">
        <f t="shared" si="4"/>
        <v>0</v>
      </c>
      <c r="G62" s="4">
        <f t="shared" si="5"/>
        <v>0</v>
      </c>
      <c r="H62" s="4">
        <f t="shared" si="6"/>
        <v>0</v>
      </c>
      <c r="I62" s="4">
        <f t="shared" si="7"/>
        <v>0</v>
      </c>
      <c r="J62" s="4">
        <f t="shared" si="8"/>
        <v>0</v>
      </c>
      <c r="K62" s="30"/>
      <c r="L62" s="30"/>
      <c r="M62" s="30"/>
      <c r="N62" s="30"/>
      <c r="O62" s="30"/>
      <c r="P62" s="30"/>
      <c r="Q62" s="4">
        <f t="shared" si="9"/>
        <v>0</v>
      </c>
      <c r="R62" s="4">
        <f t="shared" si="10"/>
        <v>-0.02</v>
      </c>
      <c r="S62" s="3">
        <f t="shared" si="11"/>
        <v>0</v>
      </c>
      <c r="T62" s="3">
        <f t="shared" si="12"/>
        <v>10</v>
      </c>
    </row>
    <row r="63" spans="1:20" ht="15.6" x14ac:dyDescent="0.3">
      <c r="A63" s="130" t="s">
        <v>2148</v>
      </c>
      <c r="B63" s="131"/>
      <c r="C63" s="131"/>
      <c r="D63" s="131"/>
      <c r="E63" s="131"/>
      <c r="F63" s="131"/>
      <c r="G63" s="131"/>
      <c r="H63" s="131"/>
      <c r="I63" s="131"/>
      <c r="J63" s="131"/>
      <c r="K63" s="131"/>
      <c r="L63" s="131"/>
      <c r="M63" s="131"/>
      <c r="N63" s="131"/>
      <c r="O63" s="131"/>
      <c r="P63" s="131"/>
      <c r="Q63" s="131"/>
      <c r="R63" s="131"/>
      <c r="S63" s="131"/>
      <c r="T63" s="132"/>
    </row>
    <row r="64" spans="1:20" x14ac:dyDescent="0.3">
      <c r="A64" s="30">
        <v>12</v>
      </c>
      <c r="B64" s="30">
        <v>3</v>
      </c>
      <c r="C64" s="4">
        <f t="shared" ref="C64:C91" si="13">A64*B64</f>
        <v>36</v>
      </c>
      <c r="D64" s="4">
        <f t="shared" ref="D64:D91" si="14">B64*1</f>
        <v>3</v>
      </c>
      <c r="E64" s="4">
        <f t="shared" ref="E64:E91" si="15">(A64-1)*B64*2</f>
        <v>66</v>
      </c>
      <c r="F64" s="4">
        <f t="shared" ref="F64:F91" si="16">4*B64</f>
        <v>12</v>
      </c>
      <c r="G64" s="4">
        <f t="shared" ref="G64:G91" si="17">(Q64-1)*B64*2</f>
        <v>-6</v>
      </c>
      <c r="H64" s="4">
        <f t="shared" ref="H64:H91" si="18">ROUNDUP(A64/2,0)*2*B64</f>
        <v>36</v>
      </c>
      <c r="I64" s="4">
        <f t="shared" ref="I64:I91" si="19">ROUNDUP(S64/$B$49,0)*B64*2</f>
        <v>0</v>
      </c>
      <c r="J64" s="4">
        <f t="shared" ref="J64:J91" si="20">SUM(E64:F64)</f>
        <v>78</v>
      </c>
      <c r="K64" s="30"/>
      <c r="L64" s="30"/>
      <c r="M64" s="30"/>
      <c r="N64" s="30"/>
      <c r="O64" s="30"/>
      <c r="P64" s="30"/>
      <c r="Q64" s="4">
        <f t="shared" ref="Q64:Q91" si="21">SUM(K64:P64)</f>
        <v>0</v>
      </c>
      <c r="R64" s="4">
        <f t="shared" ref="R64:R91" si="22">A64*$B$48+(A64-1)*0.02</f>
        <v>13.827999999999999</v>
      </c>
      <c r="S64" s="3">
        <f t="shared" ref="S64:S91" si="23">SUMPRODUCT($K$53:$P$53,K64:P64)</f>
        <v>0</v>
      </c>
      <c r="T64" s="3">
        <f t="shared" ref="T64:T91" si="24">((S64-R64)/2)*1000</f>
        <v>-6914</v>
      </c>
    </row>
    <row r="65" spans="1:20" x14ac:dyDescent="0.3">
      <c r="A65" s="30">
        <v>12</v>
      </c>
      <c r="B65" s="30">
        <v>3</v>
      </c>
      <c r="C65" s="4">
        <f t="shared" ref="C65:C69" si="25">A65*B65</f>
        <v>36</v>
      </c>
      <c r="D65" s="4">
        <f t="shared" ref="D65:D69" si="26">B65*1</f>
        <v>3</v>
      </c>
      <c r="E65" s="4">
        <f t="shared" ref="E65:E69" si="27">(A65-1)*B65*2</f>
        <v>66</v>
      </c>
      <c r="F65" s="4">
        <f t="shared" ref="F65:F69" si="28">4*B65</f>
        <v>12</v>
      </c>
      <c r="G65" s="4">
        <f t="shared" ref="G65:G69" si="29">(Q65-1)*B65*2</f>
        <v>-6</v>
      </c>
      <c r="H65" s="4">
        <f t="shared" ref="H65:H69" si="30">ROUNDUP(A65/2,0)*2*B65</f>
        <v>36</v>
      </c>
      <c r="I65" s="4">
        <f t="shared" ref="I65:I69" si="31">ROUNDUP(S65/$B$49,0)*B65*2</f>
        <v>0</v>
      </c>
      <c r="J65" s="4">
        <f t="shared" ref="J65:J69" si="32">SUM(E65:F65)</f>
        <v>78</v>
      </c>
      <c r="K65" s="30"/>
      <c r="L65" s="30"/>
      <c r="M65" s="30"/>
      <c r="N65" s="30"/>
      <c r="O65" s="30"/>
      <c r="P65" s="30"/>
      <c r="Q65" s="4">
        <f t="shared" ref="Q65:Q69" si="33">SUM(K65:P65)</f>
        <v>0</v>
      </c>
      <c r="R65" s="4">
        <f t="shared" ref="R65:R69" si="34">A65*$B$48+(A65-1)*0.02</f>
        <v>13.827999999999999</v>
      </c>
      <c r="S65" s="3">
        <f t="shared" ref="S65:S69" si="35">SUMPRODUCT($K$53:$P$53,K65:P65)</f>
        <v>0</v>
      </c>
      <c r="T65" s="3">
        <f t="shared" ref="T65:T69" si="36">((S65-R65)/2)*1000</f>
        <v>-6914</v>
      </c>
    </row>
    <row r="66" spans="1:20" x14ac:dyDescent="0.3">
      <c r="A66" s="30">
        <v>12</v>
      </c>
      <c r="B66" s="30">
        <v>3</v>
      </c>
      <c r="C66" s="4">
        <f t="shared" si="25"/>
        <v>36</v>
      </c>
      <c r="D66" s="4">
        <f t="shared" si="26"/>
        <v>3</v>
      </c>
      <c r="E66" s="4">
        <f t="shared" si="27"/>
        <v>66</v>
      </c>
      <c r="F66" s="4">
        <f t="shared" si="28"/>
        <v>12</v>
      </c>
      <c r="G66" s="4">
        <f t="shared" si="29"/>
        <v>-6</v>
      </c>
      <c r="H66" s="4">
        <f t="shared" si="30"/>
        <v>36</v>
      </c>
      <c r="I66" s="4">
        <f t="shared" si="31"/>
        <v>0</v>
      </c>
      <c r="J66" s="4">
        <f t="shared" si="32"/>
        <v>78</v>
      </c>
      <c r="K66" s="30"/>
      <c r="L66" s="30"/>
      <c r="M66" s="30"/>
      <c r="N66" s="30"/>
      <c r="O66" s="30"/>
      <c r="P66" s="30"/>
      <c r="Q66" s="4">
        <f t="shared" si="33"/>
        <v>0</v>
      </c>
      <c r="R66" s="4">
        <f t="shared" si="34"/>
        <v>13.827999999999999</v>
      </c>
      <c r="S66" s="3">
        <f t="shared" si="35"/>
        <v>0</v>
      </c>
      <c r="T66" s="3">
        <f t="shared" si="36"/>
        <v>-6914</v>
      </c>
    </row>
    <row r="67" spans="1:20" x14ac:dyDescent="0.3">
      <c r="A67" s="30">
        <v>12</v>
      </c>
      <c r="B67" s="30">
        <v>3</v>
      </c>
      <c r="C67" s="4">
        <f t="shared" si="25"/>
        <v>36</v>
      </c>
      <c r="D67" s="4">
        <f t="shared" si="26"/>
        <v>3</v>
      </c>
      <c r="E67" s="4">
        <f t="shared" si="27"/>
        <v>66</v>
      </c>
      <c r="F67" s="4">
        <f t="shared" si="28"/>
        <v>12</v>
      </c>
      <c r="G67" s="4">
        <f t="shared" si="29"/>
        <v>-6</v>
      </c>
      <c r="H67" s="4">
        <f t="shared" si="30"/>
        <v>36</v>
      </c>
      <c r="I67" s="4">
        <f t="shared" si="31"/>
        <v>0</v>
      </c>
      <c r="J67" s="4">
        <f t="shared" si="32"/>
        <v>78</v>
      </c>
      <c r="K67" s="30"/>
      <c r="L67" s="30"/>
      <c r="M67" s="30"/>
      <c r="N67" s="30"/>
      <c r="O67" s="30"/>
      <c r="P67" s="30"/>
      <c r="Q67" s="4">
        <f t="shared" si="33"/>
        <v>0</v>
      </c>
      <c r="R67" s="4">
        <f t="shared" si="34"/>
        <v>13.827999999999999</v>
      </c>
      <c r="S67" s="3">
        <f t="shared" si="35"/>
        <v>0</v>
      </c>
      <c r="T67" s="3">
        <f t="shared" si="36"/>
        <v>-6914</v>
      </c>
    </row>
    <row r="68" spans="1:20" x14ac:dyDescent="0.3">
      <c r="A68" s="30">
        <v>12</v>
      </c>
      <c r="B68" s="30">
        <v>3</v>
      </c>
      <c r="C68" s="4">
        <f t="shared" si="25"/>
        <v>36</v>
      </c>
      <c r="D68" s="4">
        <f t="shared" si="26"/>
        <v>3</v>
      </c>
      <c r="E68" s="4">
        <f t="shared" si="27"/>
        <v>66</v>
      </c>
      <c r="F68" s="4">
        <f t="shared" si="28"/>
        <v>12</v>
      </c>
      <c r="G68" s="4">
        <f t="shared" si="29"/>
        <v>-6</v>
      </c>
      <c r="H68" s="4">
        <f t="shared" si="30"/>
        <v>36</v>
      </c>
      <c r="I68" s="4">
        <f t="shared" si="31"/>
        <v>0</v>
      </c>
      <c r="J68" s="4">
        <f t="shared" si="32"/>
        <v>78</v>
      </c>
      <c r="K68" s="30"/>
      <c r="L68" s="30"/>
      <c r="M68" s="30"/>
      <c r="N68" s="30"/>
      <c r="O68" s="30"/>
      <c r="P68" s="30"/>
      <c r="Q68" s="4">
        <f t="shared" si="33"/>
        <v>0</v>
      </c>
      <c r="R68" s="4">
        <f t="shared" si="34"/>
        <v>13.827999999999999</v>
      </c>
      <c r="S68" s="3">
        <f t="shared" si="35"/>
        <v>0</v>
      </c>
      <c r="T68" s="3">
        <f t="shared" si="36"/>
        <v>-6914</v>
      </c>
    </row>
    <row r="69" spans="1:20" x14ac:dyDescent="0.3">
      <c r="A69" s="30">
        <v>12</v>
      </c>
      <c r="B69" s="30">
        <v>3</v>
      </c>
      <c r="C69" s="4">
        <f t="shared" si="25"/>
        <v>36</v>
      </c>
      <c r="D69" s="4">
        <f t="shared" si="26"/>
        <v>3</v>
      </c>
      <c r="E69" s="4">
        <f t="shared" si="27"/>
        <v>66</v>
      </c>
      <c r="F69" s="4">
        <f t="shared" si="28"/>
        <v>12</v>
      </c>
      <c r="G69" s="4">
        <f t="shared" si="29"/>
        <v>-6</v>
      </c>
      <c r="H69" s="4">
        <f t="shared" si="30"/>
        <v>36</v>
      </c>
      <c r="I69" s="4">
        <f t="shared" si="31"/>
        <v>0</v>
      </c>
      <c r="J69" s="4">
        <f t="shared" si="32"/>
        <v>78</v>
      </c>
      <c r="K69" s="30"/>
      <c r="L69" s="30"/>
      <c r="M69" s="30"/>
      <c r="N69" s="30"/>
      <c r="O69" s="30"/>
      <c r="P69" s="30"/>
      <c r="Q69" s="4">
        <f t="shared" si="33"/>
        <v>0</v>
      </c>
      <c r="R69" s="4">
        <f t="shared" si="34"/>
        <v>13.827999999999999</v>
      </c>
      <c r="S69" s="3">
        <f t="shared" si="35"/>
        <v>0</v>
      </c>
      <c r="T69" s="3">
        <f t="shared" si="36"/>
        <v>-6914</v>
      </c>
    </row>
    <row r="70" spans="1:20" x14ac:dyDescent="0.3">
      <c r="A70" s="30">
        <v>12</v>
      </c>
      <c r="B70" s="30">
        <v>2</v>
      </c>
      <c r="C70" s="4">
        <f t="shared" si="13"/>
        <v>24</v>
      </c>
      <c r="D70" s="4">
        <f t="shared" si="14"/>
        <v>2</v>
      </c>
      <c r="E70" s="4">
        <f t="shared" si="15"/>
        <v>44</v>
      </c>
      <c r="F70" s="4">
        <f t="shared" si="16"/>
        <v>8</v>
      </c>
      <c r="G70" s="4">
        <f t="shared" si="17"/>
        <v>-4</v>
      </c>
      <c r="H70" s="4">
        <f t="shared" si="18"/>
        <v>24</v>
      </c>
      <c r="I70" s="4">
        <f t="shared" si="19"/>
        <v>0</v>
      </c>
      <c r="J70" s="4">
        <f t="shared" si="20"/>
        <v>52</v>
      </c>
      <c r="K70" s="30"/>
      <c r="L70" s="30"/>
      <c r="M70" s="30"/>
      <c r="N70" s="30"/>
      <c r="O70" s="30"/>
      <c r="P70" s="30"/>
      <c r="Q70" s="4">
        <f t="shared" si="21"/>
        <v>0</v>
      </c>
      <c r="R70" s="4">
        <f t="shared" si="22"/>
        <v>13.827999999999999</v>
      </c>
      <c r="S70" s="3">
        <f t="shared" si="23"/>
        <v>0</v>
      </c>
      <c r="T70" s="3">
        <f t="shared" si="24"/>
        <v>-6914</v>
      </c>
    </row>
    <row r="71" spans="1:20" x14ac:dyDescent="0.3">
      <c r="A71" s="30">
        <v>6</v>
      </c>
      <c r="B71" s="30">
        <v>1</v>
      </c>
      <c r="C71" s="4">
        <f t="shared" si="13"/>
        <v>6</v>
      </c>
      <c r="D71" s="4">
        <f t="shared" si="14"/>
        <v>1</v>
      </c>
      <c r="E71" s="4">
        <f t="shared" si="15"/>
        <v>10</v>
      </c>
      <c r="F71" s="4">
        <f t="shared" si="16"/>
        <v>4</v>
      </c>
      <c r="G71" s="4">
        <f t="shared" si="17"/>
        <v>-2</v>
      </c>
      <c r="H71" s="4">
        <f t="shared" si="18"/>
        <v>6</v>
      </c>
      <c r="I71" s="4">
        <f t="shared" si="19"/>
        <v>0</v>
      </c>
      <c r="J71" s="4">
        <f t="shared" si="20"/>
        <v>14</v>
      </c>
      <c r="K71" s="30"/>
      <c r="L71" s="30"/>
      <c r="M71" s="30"/>
      <c r="N71" s="30"/>
      <c r="O71" s="30"/>
      <c r="P71" s="30"/>
      <c r="Q71" s="4">
        <f t="shared" si="21"/>
        <v>0</v>
      </c>
      <c r="R71" s="4">
        <f t="shared" si="22"/>
        <v>6.903999999999999</v>
      </c>
      <c r="S71" s="3">
        <f t="shared" si="23"/>
        <v>0</v>
      </c>
      <c r="T71" s="3">
        <f t="shared" si="24"/>
        <v>-3451.9999999999995</v>
      </c>
    </row>
    <row r="72" spans="1:20" x14ac:dyDescent="0.3">
      <c r="A72" s="30">
        <v>11</v>
      </c>
      <c r="B72" s="30">
        <v>2</v>
      </c>
      <c r="C72" s="4">
        <f t="shared" si="13"/>
        <v>22</v>
      </c>
      <c r="D72" s="4">
        <f t="shared" si="14"/>
        <v>2</v>
      </c>
      <c r="E72" s="4">
        <f t="shared" si="15"/>
        <v>40</v>
      </c>
      <c r="F72" s="4">
        <f t="shared" si="16"/>
        <v>8</v>
      </c>
      <c r="G72" s="4">
        <f t="shared" si="17"/>
        <v>-4</v>
      </c>
      <c r="H72" s="4">
        <f t="shared" si="18"/>
        <v>24</v>
      </c>
      <c r="I72" s="4">
        <f t="shared" si="19"/>
        <v>0</v>
      </c>
      <c r="J72" s="4">
        <f t="shared" si="20"/>
        <v>48</v>
      </c>
      <c r="K72" s="30"/>
      <c r="L72" s="30"/>
      <c r="M72" s="30"/>
      <c r="N72" s="30"/>
      <c r="O72" s="30"/>
      <c r="P72" s="30"/>
      <c r="Q72" s="4">
        <f t="shared" si="21"/>
        <v>0</v>
      </c>
      <c r="R72" s="4">
        <f t="shared" si="22"/>
        <v>12.673999999999998</v>
      </c>
      <c r="S72" s="3">
        <f t="shared" si="23"/>
        <v>0</v>
      </c>
      <c r="T72" s="3">
        <f t="shared" si="24"/>
        <v>-6336.9999999999991</v>
      </c>
    </row>
    <row r="73" spans="1:20" x14ac:dyDescent="0.3">
      <c r="A73" s="30">
        <v>11</v>
      </c>
      <c r="B73" s="30">
        <v>3</v>
      </c>
      <c r="C73" s="4">
        <f t="shared" si="13"/>
        <v>33</v>
      </c>
      <c r="D73" s="4">
        <f t="shared" si="14"/>
        <v>3</v>
      </c>
      <c r="E73" s="4">
        <f t="shared" si="15"/>
        <v>60</v>
      </c>
      <c r="F73" s="4">
        <f t="shared" si="16"/>
        <v>12</v>
      </c>
      <c r="G73" s="4">
        <f t="shared" si="17"/>
        <v>-6</v>
      </c>
      <c r="H73" s="4">
        <f t="shared" si="18"/>
        <v>36</v>
      </c>
      <c r="I73" s="4">
        <f t="shared" si="19"/>
        <v>0</v>
      </c>
      <c r="J73" s="4">
        <f t="shared" si="20"/>
        <v>72</v>
      </c>
      <c r="K73" s="30"/>
      <c r="L73" s="30"/>
      <c r="M73" s="30"/>
      <c r="N73" s="30"/>
      <c r="O73" s="30"/>
      <c r="P73" s="30"/>
      <c r="Q73" s="4">
        <f t="shared" si="21"/>
        <v>0</v>
      </c>
      <c r="R73" s="4">
        <f t="shared" si="22"/>
        <v>12.673999999999998</v>
      </c>
      <c r="S73" s="3">
        <f t="shared" si="23"/>
        <v>0</v>
      </c>
      <c r="T73" s="3">
        <f t="shared" si="24"/>
        <v>-6336.9999999999991</v>
      </c>
    </row>
    <row r="74" spans="1:20" x14ac:dyDescent="0.3">
      <c r="A74" s="30">
        <v>12</v>
      </c>
      <c r="B74" s="30">
        <v>3</v>
      </c>
      <c r="C74" s="4">
        <f t="shared" si="13"/>
        <v>36</v>
      </c>
      <c r="D74" s="4">
        <f t="shared" si="14"/>
        <v>3</v>
      </c>
      <c r="E74" s="4">
        <f t="shared" si="15"/>
        <v>66</v>
      </c>
      <c r="F74" s="4">
        <f t="shared" si="16"/>
        <v>12</v>
      </c>
      <c r="G74" s="4">
        <f t="shared" si="17"/>
        <v>-6</v>
      </c>
      <c r="H74" s="4">
        <f t="shared" si="18"/>
        <v>36</v>
      </c>
      <c r="I74" s="4">
        <f t="shared" si="19"/>
        <v>0</v>
      </c>
      <c r="J74" s="4">
        <f t="shared" si="20"/>
        <v>78</v>
      </c>
      <c r="K74" s="30"/>
      <c r="L74" s="30"/>
      <c r="M74" s="30"/>
      <c r="N74" s="30"/>
      <c r="O74" s="30"/>
      <c r="P74" s="30"/>
      <c r="Q74" s="4">
        <f t="shared" si="21"/>
        <v>0</v>
      </c>
      <c r="R74" s="4">
        <f t="shared" si="22"/>
        <v>13.827999999999999</v>
      </c>
      <c r="S74" s="3">
        <f t="shared" si="23"/>
        <v>0</v>
      </c>
      <c r="T74" s="3">
        <f t="shared" si="24"/>
        <v>-6914</v>
      </c>
    </row>
    <row r="75" spans="1:20" x14ac:dyDescent="0.3">
      <c r="A75" s="30">
        <v>12</v>
      </c>
      <c r="B75" s="30">
        <v>3</v>
      </c>
      <c r="C75" s="4">
        <f t="shared" si="13"/>
        <v>36</v>
      </c>
      <c r="D75" s="4">
        <f t="shared" si="14"/>
        <v>3</v>
      </c>
      <c r="E75" s="4">
        <f t="shared" si="15"/>
        <v>66</v>
      </c>
      <c r="F75" s="4">
        <f t="shared" si="16"/>
        <v>12</v>
      </c>
      <c r="G75" s="4">
        <f t="shared" si="17"/>
        <v>-6</v>
      </c>
      <c r="H75" s="4">
        <f t="shared" si="18"/>
        <v>36</v>
      </c>
      <c r="I75" s="4">
        <f t="shared" si="19"/>
        <v>0</v>
      </c>
      <c r="J75" s="4">
        <f t="shared" si="20"/>
        <v>78</v>
      </c>
      <c r="K75" s="30"/>
      <c r="L75" s="30"/>
      <c r="M75" s="30"/>
      <c r="N75" s="30"/>
      <c r="O75" s="30"/>
      <c r="P75" s="30"/>
      <c r="Q75" s="4">
        <f t="shared" si="21"/>
        <v>0</v>
      </c>
      <c r="R75" s="4">
        <f t="shared" si="22"/>
        <v>13.827999999999999</v>
      </c>
      <c r="S75" s="3">
        <f t="shared" si="23"/>
        <v>0</v>
      </c>
      <c r="T75" s="3">
        <f t="shared" si="24"/>
        <v>-6914</v>
      </c>
    </row>
    <row r="76" spans="1:20" x14ac:dyDescent="0.3">
      <c r="A76" s="30">
        <v>12</v>
      </c>
      <c r="B76" s="30">
        <v>3</v>
      </c>
      <c r="C76" s="4">
        <f t="shared" si="13"/>
        <v>36</v>
      </c>
      <c r="D76" s="4">
        <f t="shared" si="14"/>
        <v>3</v>
      </c>
      <c r="E76" s="4">
        <f t="shared" si="15"/>
        <v>66</v>
      </c>
      <c r="F76" s="4">
        <f t="shared" si="16"/>
        <v>12</v>
      </c>
      <c r="G76" s="4">
        <f t="shared" si="17"/>
        <v>-6</v>
      </c>
      <c r="H76" s="4">
        <f t="shared" si="18"/>
        <v>36</v>
      </c>
      <c r="I76" s="4">
        <f t="shared" si="19"/>
        <v>0</v>
      </c>
      <c r="J76" s="4">
        <f t="shared" si="20"/>
        <v>78</v>
      </c>
      <c r="K76" s="30"/>
      <c r="L76" s="30"/>
      <c r="M76" s="30"/>
      <c r="N76" s="30"/>
      <c r="O76" s="30"/>
      <c r="P76" s="30"/>
      <c r="Q76" s="4">
        <f t="shared" si="21"/>
        <v>0</v>
      </c>
      <c r="R76" s="4">
        <f t="shared" si="22"/>
        <v>13.827999999999999</v>
      </c>
      <c r="S76" s="3">
        <f t="shared" si="23"/>
        <v>0</v>
      </c>
      <c r="T76" s="3">
        <f t="shared" si="24"/>
        <v>-6914</v>
      </c>
    </row>
    <row r="77" spans="1:20" x14ac:dyDescent="0.3">
      <c r="A77" s="30">
        <v>9</v>
      </c>
      <c r="B77" s="30">
        <v>3</v>
      </c>
      <c r="C77" s="4">
        <f t="shared" si="13"/>
        <v>27</v>
      </c>
      <c r="D77" s="4">
        <f t="shared" si="14"/>
        <v>3</v>
      </c>
      <c r="E77" s="4">
        <f t="shared" si="15"/>
        <v>48</v>
      </c>
      <c r="F77" s="4">
        <f t="shared" si="16"/>
        <v>12</v>
      </c>
      <c r="G77" s="4">
        <f t="shared" si="17"/>
        <v>-6</v>
      </c>
      <c r="H77" s="4">
        <f t="shared" si="18"/>
        <v>30</v>
      </c>
      <c r="I77" s="4">
        <f t="shared" si="19"/>
        <v>0</v>
      </c>
      <c r="J77" s="4">
        <f t="shared" si="20"/>
        <v>60</v>
      </c>
      <c r="K77" s="30"/>
      <c r="L77" s="30"/>
      <c r="M77" s="30"/>
      <c r="N77" s="30"/>
      <c r="O77" s="30"/>
      <c r="P77" s="30"/>
      <c r="Q77" s="4">
        <f t="shared" si="21"/>
        <v>0</v>
      </c>
      <c r="R77" s="4">
        <f t="shared" si="22"/>
        <v>10.366</v>
      </c>
      <c r="S77" s="3">
        <f t="shared" si="23"/>
        <v>0</v>
      </c>
      <c r="T77" s="3">
        <f t="shared" si="24"/>
        <v>-5183</v>
      </c>
    </row>
    <row r="78" spans="1:20" ht="15" thickBot="1" x14ac:dyDescent="0.35">
      <c r="A78" s="30">
        <v>9</v>
      </c>
      <c r="B78" s="30">
        <v>2</v>
      </c>
      <c r="C78" s="4">
        <f t="shared" si="13"/>
        <v>18</v>
      </c>
      <c r="D78" s="4">
        <f t="shared" si="14"/>
        <v>2</v>
      </c>
      <c r="E78" s="4">
        <f t="shared" si="15"/>
        <v>32</v>
      </c>
      <c r="F78" s="4">
        <f t="shared" si="16"/>
        <v>8</v>
      </c>
      <c r="G78" s="4">
        <f t="shared" si="17"/>
        <v>-4</v>
      </c>
      <c r="H78" s="4">
        <f t="shared" si="18"/>
        <v>20</v>
      </c>
      <c r="I78" s="4">
        <f t="shared" si="19"/>
        <v>0</v>
      </c>
      <c r="J78" s="4">
        <f t="shared" si="20"/>
        <v>40</v>
      </c>
      <c r="K78" s="30"/>
      <c r="L78" s="30"/>
      <c r="M78" s="30"/>
      <c r="N78" s="30"/>
      <c r="O78" s="30"/>
      <c r="P78" s="30"/>
      <c r="Q78" s="4">
        <f t="shared" si="21"/>
        <v>0</v>
      </c>
      <c r="R78" s="4">
        <f t="shared" si="22"/>
        <v>10.366</v>
      </c>
      <c r="S78" s="3">
        <f t="shared" si="23"/>
        <v>0</v>
      </c>
      <c r="T78" s="3">
        <f t="shared" si="24"/>
        <v>-5183</v>
      </c>
    </row>
    <row r="79" spans="1:20" hidden="1" x14ac:dyDescent="0.3">
      <c r="A79" s="30"/>
      <c r="B79" s="30"/>
      <c r="C79" s="4">
        <f t="shared" si="13"/>
        <v>0</v>
      </c>
      <c r="D79" s="4">
        <f t="shared" si="14"/>
        <v>0</v>
      </c>
      <c r="E79" s="4">
        <f t="shared" si="15"/>
        <v>0</v>
      </c>
      <c r="F79" s="4">
        <f t="shared" si="16"/>
        <v>0</v>
      </c>
      <c r="G79" s="4">
        <f t="shared" si="17"/>
        <v>0</v>
      </c>
      <c r="H79" s="4">
        <f t="shared" si="18"/>
        <v>0</v>
      </c>
      <c r="I79" s="4">
        <f t="shared" si="19"/>
        <v>0</v>
      </c>
      <c r="J79" s="4">
        <f t="shared" si="20"/>
        <v>0</v>
      </c>
      <c r="K79" s="30"/>
      <c r="L79" s="30"/>
      <c r="M79" s="30"/>
      <c r="N79" s="30"/>
      <c r="O79" s="30"/>
      <c r="P79" s="30"/>
      <c r="Q79" s="4">
        <f t="shared" si="21"/>
        <v>0</v>
      </c>
      <c r="R79" s="4">
        <f t="shared" si="22"/>
        <v>-0.02</v>
      </c>
      <c r="S79" s="3">
        <f t="shared" si="23"/>
        <v>0</v>
      </c>
      <c r="T79" s="3">
        <f t="shared" si="24"/>
        <v>10</v>
      </c>
    </row>
    <row r="80" spans="1:20" hidden="1" x14ac:dyDescent="0.3">
      <c r="A80" s="30"/>
      <c r="B80" s="30"/>
      <c r="C80" s="4">
        <f t="shared" si="13"/>
        <v>0</v>
      </c>
      <c r="D80" s="4">
        <f t="shared" si="14"/>
        <v>0</v>
      </c>
      <c r="E80" s="4">
        <f t="shared" si="15"/>
        <v>0</v>
      </c>
      <c r="F80" s="4">
        <f t="shared" si="16"/>
        <v>0</v>
      </c>
      <c r="G80" s="4">
        <f t="shared" si="17"/>
        <v>0</v>
      </c>
      <c r="H80" s="4">
        <f t="shared" si="18"/>
        <v>0</v>
      </c>
      <c r="I80" s="4">
        <f t="shared" si="19"/>
        <v>0</v>
      </c>
      <c r="J80" s="4">
        <f t="shared" si="20"/>
        <v>0</v>
      </c>
      <c r="K80" s="30"/>
      <c r="L80" s="30"/>
      <c r="M80" s="30"/>
      <c r="N80" s="30"/>
      <c r="O80" s="30"/>
      <c r="P80" s="30"/>
      <c r="Q80" s="4">
        <f t="shared" si="21"/>
        <v>0</v>
      </c>
      <c r="R80" s="4">
        <f t="shared" si="22"/>
        <v>-0.02</v>
      </c>
      <c r="S80" s="3">
        <f t="shared" si="23"/>
        <v>0</v>
      </c>
      <c r="T80" s="3">
        <f t="shared" si="24"/>
        <v>10</v>
      </c>
    </row>
    <row r="81" spans="1:20" hidden="1" x14ac:dyDescent="0.3">
      <c r="A81" s="30"/>
      <c r="B81" s="30"/>
      <c r="C81" s="4">
        <f t="shared" si="13"/>
        <v>0</v>
      </c>
      <c r="D81" s="4">
        <f t="shared" si="14"/>
        <v>0</v>
      </c>
      <c r="E81" s="4">
        <f t="shared" si="15"/>
        <v>0</v>
      </c>
      <c r="F81" s="4">
        <f t="shared" si="16"/>
        <v>0</v>
      </c>
      <c r="G81" s="4">
        <f t="shared" si="17"/>
        <v>0</v>
      </c>
      <c r="H81" s="4">
        <f t="shared" si="18"/>
        <v>0</v>
      </c>
      <c r="I81" s="4">
        <f t="shared" si="19"/>
        <v>0</v>
      </c>
      <c r="J81" s="4">
        <f t="shared" si="20"/>
        <v>0</v>
      </c>
      <c r="K81" s="30"/>
      <c r="L81" s="30"/>
      <c r="M81" s="30"/>
      <c r="N81" s="30"/>
      <c r="O81" s="30"/>
      <c r="P81" s="30"/>
      <c r="Q81" s="4">
        <f t="shared" si="21"/>
        <v>0</v>
      </c>
      <c r="R81" s="4">
        <f t="shared" si="22"/>
        <v>-0.02</v>
      </c>
      <c r="S81" s="3">
        <f t="shared" si="23"/>
        <v>0</v>
      </c>
      <c r="T81" s="3">
        <f t="shared" si="24"/>
        <v>10</v>
      </c>
    </row>
    <row r="82" spans="1:20" hidden="1" x14ac:dyDescent="0.3">
      <c r="A82" s="30"/>
      <c r="B82" s="30"/>
      <c r="C82" s="4">
        <f t="shared" si="13"/>
        <v>0</v>
      </c>
      <c r="D82" s="4">
        <f t="shared" si="14"/>
        <v>0</v>
      </c>
      <c r="E82" s="4">
        <f t="shared" si="15"/>
        <v>0</v>
      </c>
      <c r="F82" s="4">
        <f t="shared" si="16"/>
        <v>0</v>
      </c>
      <c r="G82" s="4">
        <f t="shared" si="17"/>
        <v>0</v>
      </c>
      <c r="H82" s="4">
        <f t="shared" si="18"/>
        <v>0</v>
      </c>
      <c r="I82" s="4">
        <f t="shared" si="19"/>
        <v>0</v>
      </c>
      <c r="J82" s="4">
        <f t="shared" si="20"/>
        <v>0</v>
      </c>
      <c r="K82" s="30"/>
      <c r="L82" s="30"/>
      <c r="M82" s="30"/>
      <c r="N82" s="30"/>
      <c r="O82" s="30"/>
      <c r="P82" s="30"/>
      <c r="Q82" s="4">
        <f t="shared" si="21"/>
        <v>0</v>
      </c>
      <c r="R82" s="4">
        <f t="shared" si="22"/>
        <v>-0.02</v>
      </c>
      <c r="S82" s="3">
        <f t="shared" si="23"/>
        <v>0</v>
      </c>
      <c r="T82" s="3">
        <f t="shared" si="24"/>
        <v>10</v>
      </c>
    </row>
    <row r="83" spans="1:20" hidden="1" x14ac:dyDescent="0.3">
      <c r="A83" s="30"/>
      <c r="B83" s="30"/>
      <c r="C83" s="4">
        <f t="shared" si="13"/>
        <v>0</v>
      </c>
      <c r="D83" s="4">
        <f t="shared" si="14"/>
        <v>0</v>
      </c>
      <c r="E83" s="4">
        <f t="shared" si="15"/>
        <v>0</v>
      </c>
      <c r="F83" s="4">
        <f t="shared" si="16"/>
        <v>0</v>
      </c>
      <c r="G83" s="4">
        <f t="shared" si="17"/>
        <v>0</v>
      </c>
      <c r="H83" s="4">
        <f t="shared" si="18"/>
        <v>0</v>
      </c>
      <c r="I83" s="4">
        <f t="shared" si="19"/>
        <v>0</v>
      </c>
      <c r="J83" s="4">
        <f t="shared" si="20"/>
        <v>0</v>
      </c>
      <c r="K83" s="30"/>
      <c r="L83" s="30"/>
      <c r="M83" s="30"/>
      <c r="N83" s="30"/>
      <c r="O83" s="30"/>
      <c r="P83" s="30"/>
      <c r="Q83" s="4">
        <f t="shared" si="21"/>
        <v>0</v>
      </c>
      <c r="R83" s="4">
        <f t="shared" si="22"/>
        <v>-0.02</v>
      </c>
      <c r="S83" s="3">
        <f t="shared" si="23"/>
        <v>0</v>
      </c>
      <c r="T83" s="3">
        <f t="shared" si="24"/>
        <v>10</v>
      </c>
    </row>
    <row r="84" spans="1:20" hidden="1" x14ac:dyDescent="0.3">
      <c r="A84" s="30"/>
      <c r="B84" s="30"/>
      <c r="C84" s="4">
        <f t="shared" si="13"/>
        <v>0</v>
      </c>
      <c r="D84" s="4">
        <f t="shared" si="14"/>
        <v>0</v>
      </c>
      <c r="E84" s="4">
        <f t="shared" si="15"/>
        <v>0</v>
      </c>
      <c r="F84" s="4">
        <f t="shared" si="16"/>
        <v>0</v>
      </c>
      <c r="G84" s="4">
        <f t="shared" si="17"/>
        <v>0</v>
      </c>
      <c r="H84" s="4">
        <f t="shared" si="18"/>
        <v>0</v>
      </c>
      <c r="I84" s="4">
        <f t="shared" si="19"/>
        <v>0</v>
      </c>
      <c r="J84" s="4">
        <f t="shared" si="20"/>
        <v>0</v>
      </c>
      <c r="K84" s="30"/>
      <c r="L84" s="30"/>
      <c r="M84" s="30"/>
      <c r="N84" s="30"/>
      <c r="O84" s="30"/>
      <c r="P84" s="30"/>
      <c r="Q84" s="4">
        <f t="shared" si="21"/>
        <v>0</v>
      </c>
      <c r="R84" s="4">
        <f t="shared" si="22"/>
        <v>-0.02</v>
      </c>
      <c r="S84" s="3">
        <f t="shared" si="23"/>
        <v>0</v>
      </c>
      <c r="T84" s="3">
        <f t="shared" si="24"/>
        <v>10</v>
      </c>
    </row>
    <row r="85" spans="1:20" hidden="1" x14ac:dyDescent="0.3">
      <c r="A85" s="30"/>
      <c r="B85" s="30"/>
      <c r="C85" s="4">
        <f t="shared" si="13"/>
        <v>0</v>
      </c>
      <c r="D85" s="4">
        <f t="shared" si="14"/>
        <v>0</v>
      </c>
      <c r="E85" s="4">
        <f t="shared" si="15"/>
        <v>0</v>
      </c>
      <c r="F85" s="4">
        <f t="shared" si="16"/>
        <v>0</v>
      </c>
      <c r="G85" s="4">
        <f t="shared" si="17"/>
        <v>0</v>
      </c>
      <c r="H85" s="4">
        <f t="shared" si="18"/>
        <v>0</v>
      </c>
      <c r="I85" s="4">
        <f t="shared" si="19"/>
        <v>0</v>
      </c>
      <c r="J85" s="4">
        <f t="shared" si="20"/>
        <v>0</v>
      </c>
      <c r="K85" s="30"/>
      <c r="L85" s="30"/>
      <c r="M85" s="30"/>
      <c r="N85" s="30"/>
      <c r="O85" s="30"/>
      <c r="P85" s="30"/>
      <c r="Q85" s="4">
        <f t="shared" si="21"/>
        <v>0</v>
      </c>
      <c r="R85" s="4">
        <f t="shared" si="22"/>
        <v>-0.02</v>
      </c>
      <c r="S85" s="3">
        <f t="shared" si="23"/>
        <v>0</v>
      </c>
      <c r="T85" s="3">
        <f t="shared" si="24"/>
        <v>10</v>
      </c>
    </row>
    <row r="86" spans="1:20" hidden="1" x14ac:dyDescent="0.3">
      <c r="A86" s="30"/>
      <c r="B86" s="30"/>
      <c r="C86" s="4">
        <f t="shared" si="13"/>
        <v>0</v>
      </c>
      <c r="D86" s="4">
        <f t="shared" si="14"/>
        <v>0</v>
      </c>
      <c r="E86" s="4">
        <f t="shared" si="15"/>
        <v>0</v>
      </c>
      <c r="F86" s="4">
        <f t="shared" si="16"/>
        <v>0</v>
      </c>
      <c r="G86" s="4">
        <f t="shared" si="17"/>
        <v>0</v>
      </c>
      <c r="H86" s="4">
        <f t="shared" si="18"/>
        <v>0</v>
      </c>
      <c r="I86" s="4">
        <f t="shared" si="19"/>
        <v>0</v>
      </c>
      <c r="J86" s="4">
        <f t="shared" si="20"/>
        <v>0</v>
      </c>
      <c r="K86" s="30"/>
      <c r="L86" s="30"/>
      <c r="M86" s="30"/>
      <c r="N86" s="30"/>
      <c r="O86" s="30"/>
      <c r="P86" s="30"/>
      <c r="Q86" s="4">
        <f t="shared" si="21"/>
        <v>0</v>
      </c>
      <c r="R86" s="4">
        <f t="shared" si="22"/>
        <v>-0.02</v>
      </c>
      <c r="S86" s="3">
        <f t="shared" si="23"/>
        <v>0</v>
      </c>
      <c r="T86" s="3">
        <f t="shared" si="24"/>
        <v>10</v>
      </c>
    </row>
    <row r="87" spans="1:20" hidden="1" x14ac:dyDescent="0.3">
      <c r="A87" s="30"/>
      <c r="B87" s="30"/>
      <c r="C87" s="4">
        <f t="shared" si="13"/>
        <v>0</v>
      </c>
      <c r="D87" s="4">
        <f t="shared" si="14"/>
        <v>0</v>
      </c>
      <c r="E87" s="4">
        <f t="shared" si="15"/>
        <v>0</v>
      </c>
      <c r="F87" s="4">
        <f t="shared" si="16"/>
        <v>0</v>
      </c>
      <c r="G87" s="4">
        <f t="shared" si="17"/>
        <v>0</v>
      </c>
      <c r="H87" s="4">
        <f t="shared" si="18"/>
        <v>0</v>
      </c>
      <c r="I87" s="4">
        <f t="shared" si="19"/>
        <v>0</v>
      </c>
      <c r="J87" s="4">
        <f t="shared" si="20"/>
        <v>0</v>
      </c>
      <c r="K87" s="30"/>
      <c r="L87" s="30"/>
      <c r="M87" s="30"/>
      <c r="N87" s="30"/>
      <c r="O87" s="30"/>
      <c r="P87" s="30"/>
      <c r="Q87" s="4">
        <f t="shared" si="21"/>
        <v>0</v>
      </c>
      <c r="R87" s="4">
        <f t="shared" si="22"/>
        <v>-0.02</v>
      </c>
      <c r="S87" s="3">
        <f t="shared" si="23"/>
        <v>0</v>
      </c>
      <c r="T87" s="3">
        <f t="shared" si="24"/>
        <v>10</v>
      </c>
    </row>
    <row r="88" spans="1:20" hidden="1" x14ac:dyDescent="0.3">
      <c r="A88" s="30"/>
      <c r="B88" s="30"/>
      <c r="C88" s="4">
        <f t="shared" si="13"/>
        <v>0</v>
      </c>
      <c r="D88" s="4">
        <f t="shared" si="14"/>
        <v>0</v>
      </c>
      <c r="E88" s="4">
        <f t="shared" si="15"/>
        <v>0</v>
      </c>
      <c r="F88" s="4">
        <f t="shared" si="16"/>
        <v>0</v>
      </c>
      <c r="G88" s="4">
        <f t="shared" si="17"/>
        <v>0</v>
      </c>
      <c r="H88" s="4">
        <f t="shared" si="18"/>
        <v>0</v>
      </c>
      <c r="I88" s="4">
        <f t="shared" si="19"/>
        <v>0</v>
      </c>
      <c r="J88" s="4">
        <f t="shared" si="20"/>
        <v>0</v>
      </c>
      <c r="K88" s="30"/>
      <c r="L88" s="30"/>
      <c r="M88" s="30"/>
      <c r="N88" s="30"/>
      <c r="O88" s="30"/>
      <c r="P88" s="30"/>
      <c r="Q88" s="4">
        <f t="shared" si="21"/>
        <v>0</v>
      </c>
      <c r="R88" s="4">
        <f t="shared" si="22"/>
        <v>-0.02</v>
      </c>
      <c r="S88" s="3">
        <f t="shared" si="23"/>
        <v>0</v>
      </c>
      <c r="T88" s="3">
        <f t="shared" si="24"/>
        <v>10</v>
      </c>
    </row>
    <row r="89" spans="1:20" hidden="1" x14ac:dyDescent="0.3">
      <c r="A89" s="30"/>
      <c r="B89" s="30"/>
      <c r="C89" s="4">
        <f t="shared" si="13"/>
        <v>0</v>
      </c>
      <c r="D89" s="4">
        <f t="shared" si="14"/>
        <v>0</v>
      </c>
      <c r="E89" s="4">
        <f t="shared" si="15"/>
        <v>0</v>
      </c>
      <c r="F89" s="4">
        <f t="shared" si="16"/>
        <v>0</v>
      </c>
      <c r="G89" s="4">
        <f t="shared" si="17"/>
        <v>0</v>
      </c>
      <c r="H89" s="4">
        <f t="shared" si="18"/>
        <v>0</v>
      </c>
      <c r="I89" s="4">
        <f t="shared" si="19"/>
        <v>0</v>
      </c>
      <c r="J89" s="4">
        <f t="shared" si="20"/>
        <v>0</v>
      </c>
      <c r="K89" s="30"/>
      <c r="L89" s="30"/>
      <c r="M89" s="30"/>
      <c r="N89" s="30"/>
      <c r="O89" s="30"/>
      <c r="P89" s="30"/>
      <c r="Q89" s="4">
        <f t="shared" si="21"/>
        <v>0</v>
      </c>
      <c r="R89" s="4">
        <f t="shared" si="22"/>
        <v>-0.02</v>
      </c>
      <c r="S89" s="3">
        <f t="shared" si="23"/>
        <v>0</v>
      </c>
      <c r="T89" s="3">
        <f t="shared" si="24"/>
        <v>10</v>
      </c>
    </row>
    <row r="90" spans="1:20" hidden="1" x14ac:dyDescent="0.3">
      <c r="A90" s="30"/>
      <c r="B90" s="30"/>
      <c r="C90" s="4">
        <f t="shared" si="13"/>
        <v>0</v>
      </c>
      <c r="D90" s="4">
        <f t="shared" si="14"/>
        <v>0</v>
      </c>
      <c r="E90" s="4">
        <f t="shared" si="15"/>
        <v>0</v>
      </c>
      <c r="F90" s="4">
        <f t="shared" si="16"/>
        <v>0</v>
      </c>
      <c r="G90" s="4">
        <f t="shared" si="17"/>
        <v>0</v>
      </c>
      <c r="H90" s="4">
        <f t="shared" si="18"/>
        <v>0</v>
      </c>
      <c r="I90" s="4">
        <f t="shared" si="19"/>
        <v>0</v>
      </c>
      <c r="J90" s="4">
        <f t="shared" si="20"/>
        <v>0</v>
      </c>
      <c r="K90" s="30"/>
      <c r="L90" s="30"/>
      <c r="M90" s="30"/>
      <c r="N90" s="30"/>
      <c r="O90" s="30"/>
      <c r="P90" s="30"/>
      <c r="Q90" s="4">
        <f t="shared" si="21"/>
        <v>0</v>
      </c>
      <c r="R90" s="4">
        <f t="shared" si="22"/>
        <v>-0.02</v>
      </c>
      <c r="S90" s="3">
        <f t="shared" si="23"/>
        <v>0</v>
      </c>
      <c r="T90" s="3">
        <f t="shared" si="24"/>
        <v>10</v>
      </c>
    </row>
    <row r="91" spans="1:20" ht="15" hidden="1" thickBot="1" x14ac:dyDescent="0.35">
      <c r="A91" s="30"/>
      <c r="B91" s="30"/>
      <c r="C91" s="4">
        <f t="shared" si="13"/>
        <v>0</v>
      </c>
      <c r="D91" s="4">
        <f t="shared" si="14"/>
        <v>0</v>
      </c>
      <c r="E91" s="4">
        <f t="shared" si="15"/>
        <v>0</v>
      </c>
      <c r="F91" s="4">
        <f t="shared" si="16"/>
        <v>0</v>
      </c>
      <c r="G91" s="4">
        <f t="shared" si="17"/>
        <v>0</v>
      </c>
      <c r="H91" s="4">
        <f t="shared" si="18"/>
        <v>0</v>
      </c>
      <c r="I91" s="4">
        <f t="shared" si="19"/>
        <v>0</v>
      </c>
      <c r="J91" s="4">
        <f t="shared" si="20"/>
        <v>0</v>
      </c>
      <c r="K91" s="30"/>
      <c r="L91" s="30"/>
      <c r="M91" s="30"/>
      <c r="N91" s="30"/>
      <c r="O91" s="30"/>
      <c r="P91" s="30"/>
      <c r="Q91" s="4">
        <f t="shared" si="21"/>
        <v>0</v>
      </c>
      <c r="R91" s="4">
        <f t="shared" si="22"/>
        <v>-0.02</v>
      </c>
      <c r="S91" s="3">
        <f t="shared" si="23"/>
        <v>0</v>
      </c>
      <c r="T91" s="3">
        <f t="shared" si="24"/>
        <v>10</v>
      </c>
    </row>
    <row r="92" spans="1:20" ht="15" thickBot="1" x14ac:dyDescent="0.35">
      <c r="C92" s="34">
        <f t="shared" ref="C92:J92" si="37">SUM(C55:C91)</f>
        <v>454</v>
      </c>
      <c r="D92" s="35">
        <f t="shared" si="37"/>
        <v>40</v>
      </c>
      <c r="E92" s="35">
        <f t="shared" si="37"/>
        <v>828</v>
      </c>
      <c r="F92" s="35">
        <f t="shared" si="37"/>
        <v>160</v>
      </c>
      <c r="G92" s="35">
        <f t="shared" si="37"/>
        <v>-80</v>
      </c>
      <c r="H92" s="35">
        <f>SUM(H55:H91)</f>
        <v>464</v>
      </c>
      <c r="I92" s="35">
        <f t="shared" si="37"/>
        <v>0</v>
      </c>
      <c r="J92" s="35">
        <f t="shared" si="37"/>
        <v>988</v>
      </c>
      <c r="K92" s="35">
        <f t="shared" ref="K92:P92" si="38">SUMPRODUCT(K55:K91,$B$55:$B$91)*2</f>
        <v>0</v>
      </c>
      <c r="L92" s="35">
        <f t="shared" si="38"/>
        <v>0</v>
      </c>
      <c r="M92" s="35">
        <f t="shared" si="38"/>
        <v>0</v>
      </c>
      <c r="N92" s="35">
        <f t="shared" si="38"/>
        <v>0</v>
      </c>
      <c r="O92" s="35">
        <f t="shared" si="38"/>
        <v>0</v>
      </c>
      <c r="P92" s="35">
        <f t="shared" si="38"/>
        <v>0</v>
      </c>
      <c r="Q92" s="35">
        <f>SUMPRODUCT(Q55:Q91, $B55:$B91)*2</f>
        <v>0</v>
      </c>
      <c r="R92" s="35"/>
      <c r="S92" s="36"/>
      <c r="T92" s="36"/>
    </row>
  </sheetData>
  <mergeCells count="2">
    <mergeCell ref="A29:L29"/>
    <mergeCell ref="A34:L34"/>
  </mergeCells>
  <dataValidations count="2">
    <dataValidation type="list" allowBlank="1" showInputMessage="1" showErrorMessage="1" sqref="B2" xr:uid="{5F45CBA5-1C1C-4596-96C3-ECFEF5730748}">
      <formula1>$J$1:$J$3</formula1>
    </dataValidation>
    <dataValidation type="list" allowBlank="1" showInputMessage="1" showErrorMessage="1" sqref="B3" xr:uid="{4EC261A2-1C2B-407D-9011-D183633C4464}">
      <formula1>$K$2:$K$7</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0FDA-1AB0-4036-B6BE-D0157FF0E9F5}">
  <sheetPr codeName="Sheet5"/>
  <dimension ref="A1:AJ150"/>
  <sheetViews>
    <sheetView zoomScale="140" zoomScaleNormal="140" workbookViewId="0">
      <pane xSplit="1" ySplit="11" topLeftCell="H22" activePane="bottomRight" state="frozenSplit"/>
      <selection pane="topRight" activeCell="B1" sqref="B1"/>
      <selection pane="bottomLeft" activeCell="A12" sqref="A12"/>
      <selection pane="bottomRight" activeCell="A151" sqref="A151:XFD151"/>
    </sheetView>
  </sheetViews>
  <sheetFormatPr defaultColWidth="8.5546875" defaultRowHeight="14.4" x14ac:dyDescent="0.3"/>
  <cols>
    <col min="1" max="1" width="24" style="15" customWidth="1"/>
    <col min="2" max="2" width="23.5546875" style="14" hidden="1" customWidth="1"/>
    <col min="3" max="7" width="23.5546875" style="5" hidden="1" customWidth="1"/>
    <col min="8" max="8" width="26.109375" style="5" customWidth="1"/>
    <col min="9" max="9" width="15.44140625" style="5" customWidth="1"/>
    <col min="10" max="10" width="9" style="5" customWidth="1"/>
    <col min="11" max="11" width="10.44140625" style="5" customWidth="1"/>
    <col min="12" max="15" width="11.5546875" style="5" customWidth="1"/>
    <col min="16" max="16" width="9" style="5" customWidth="1"/>
    <col min="17" max="18" width="11.5546875" style="5" customWidth="1"/>
    <col min="19" max="19" width="15.44140625" style="5" customWidth="1"/>
    <col min="20" max="20" width="14.5546875" style="5" customWidth="1"/>
    <col min="21" max="21" width="9" style="5" customWidth="1"/>
    <col min="22" max="22" width="22.44140625" style="5" customWidth="1"/>
    <col min="23" max="24" width="18.5546875" style="5" customWidth="1"/>
    <col min="25" max="26" width="9" style="5" customWidth="1"/>
    <col min="27" max="27" width="17.5546875" style="5" customWidth="1"/>
    <col min="28" max="29" width="18.5546875" style="5" customWidth="1"/>
    <col min="30" max="30" width="10.44140625" style="5" customWidth="1"/>
    <col min="31" max="31" width="12.44140625" style="5" customWidth="1"/>
    <col min="32" max="32" width="16.44140625" style="5" customWidth="1"/>
    <col min="33" max="33" width="16" style="5" customWidth="1"/>
    <col min="34" max="34" width="11.5546875" style="5" customWidth="1"/>
    <col min="35" max="35" width="11.44140625" style="5" customWidth="1"/>
    <col min="36" max="36" width="20.44140625" style="5" customWidth="1"/>
    <col min="37" max="16384" width="8.5546875" style="5"/>
  </cols>
  <sheetData>
    <row r="1" spans="1:36" hidden="1" x14ac:dyDescent="0.3">
      <c r="AD1" s="5" t="s">
        <v>2151</v>
      </c>
    </row>
    <row r="2" spans="1:36" hidden="1" x14ac:dyDescent="0.3">
      <c r="AD2" s="5" t="s">
        <v>2152</v>
      </c>
    </row>
    <row r="3" spans="1:36" hidden="1" x14ac:dyDescent="0.3">
      <c r="AD3" s="5" t="s">
        <v>2153</v>
      </c>
    </row>
    <row r="4" spans="1:36" hidden="1" x14ac:dyDescent="0.3"/>
    <row r="5" spans="1:36" hidden="1" x14ac:dyDescent="0.3"/>
    <row r="6" spans="1:36" hidden="1" x14ac:dyDescent="0.3"/>
    <row r="7" spans="1:36" hidden="1" x14ac:dyDescent="0.3"/>
    <row r="8" spans="1:36" hidden="1" x14ac:dyDescent="0.3"/>
    <row r="11" spans="1:36" s="14" customFormat="1" ht="43.2" x14ac:dyDescent="0.3">
      <c r="A11" s="16" t="s">
        <v>44</v>
      </c>
      <c r="B11" s="14" t="s">
        <v>2154</v>
      </c>
      <c r="C11" s="14" t="s">
        <v>2</v>
      </c>
      <c r="D11" s="14" t="s">
        <v>47</v>
      </c>
      <c r="E11" s="14" t="s">
        <v>56</v>
      </c>
      <c r="F11" s="14" t="s">
        <v>57</v>
      </c>
      <c r="G11" s="14" t="s">
        <v>58</v>
      </c>
      <c r="H11" s="14" t="s">
        <v>2113</v>
      </c>
      <c r="I11" s="14" t="s">
        <v>2120</v>
      </c>
      <c r="J11" s="14" t="s">
        <v>2119</v>
      </c>
      <c r="K11" s="14" t="s">
        <v>2118</v>
      </c>
      <c r="L11" s="14" t="s">
        <v>2121</v>
      </c>
      <c r="M11" s="14" t="s">
        <v>2122</v>
      </c>
      <c r="N11" s="14" t="s">
        <v>2123</v>
      </c>
      <c r="O11" s="14" t="s">
        <v>2124</v>
      </c>
      <c r="P11" s="14" t="s">
        <v>2125</v>
      </c>
      <c r="Q11" s="14" t="s">
        <v>2126</v>
      </c>
      <c r="R11" s="14" t="s">
        <v>2127</v>
      </c>
      <c r="S11" s="14" t="s">
        <v>2128</v>
      </c>
      <c r="T11" s="14" t="s">
        <v>2129</v>
      </c>
      <c r="U11" s="14" t="s">
        <v>2155</v>
      </c>
      <c r="V11" s="14" t="s">
        <v>2130</v>
      </c>
      <c r="W11" s="14" t="s">
        <v>2156</v>
      </c>
      <c r="X11" s="14" t="s">
        <v>2157</v>
      </c>
      <c r="Y11" s="14" t="s">
        <v>2158</v>
      </c>
      <c r="Z11" s="14" t="s">
        <v>2159</v>
      </c>
      <c r="AA11" s="14" t="s">
        <v>2160</v>
      </c>
      <c r="AB11" s="14" t="s">
        <v>2161</v>
      </c>
      <c r="AC11" s="14" t="s">
        <v>2162</v>
      </c>
      <c r="AD11" s="14" t="s">
        <v>2163</v>
      </c>
      <c r="AE11" s="14" t="s">
        <v>2164</v>
      </c>
      <c r="AF11" s="14" t="s">
        <v>2165</v>
      </c>
      <c r="AG11" s="14" t="s">
        <v>2166</v>
      </c>
      <c r="AH11" s="14" t="s">
        <v>206</v>
      </c>
      <c r="AI11" s="14" t="s">
        <v>2167</v>
      </c>
      <c r="AJ11" s="14" t="s">
        <v>2168</v>
      </c>
    </row>
    <row r="12" spans="1:36" hidden="1" x14ac:dyDescent="0.3">
      <c r="A12" s="15" t="s">
        <v>70</v>
      </c>
      <c r="B12" s="14" t="s">
        <v>2151</v>
      </c>
      <c r="C12" s="5">
        <v>8.0500000000000007</v>
      </c>
      <c r="D12" s="5" t="s">
        <v>0</v>
      </c>
      <c r="E12" s="5" t="s">
        <v>74</v>
      </c>
      <c r="F12" s="5">
        <v>14.000000000000002</v>
      </c>
      <c r="G12" s="5" t="s">
        <v>75</v>
      </c>
      <c r="H12" s="5" t="s">
        <v>2169</v>
      </c>
      <c r="K12" s="5">
        <v>40</v>
      </c>
      <c r="L12" s="5">
        <v>14</v>
      </c>
      <c r="P12" s="5">
        <v>8</v>
      </c>
      <c r="Q12" s="5">
        <v>20</v>
      </c>
      <c r="R12" s="5">
        <v>16</v>
      </c>
      <c r="S12" s="5">
        <v>8</v>
      </c>
      <c r="T12" s="5">
        <v>4</v>
      </c>
      <c r="W12" s="5">
        <v>80</v>
      </c>
      <c r="Y12" s="5">
        <v>8</v>
      </c>
      <c r="Z12" s="5">
        <v>8</v>
      </c>
      <c r="AA12" s="5">
        <v>1</v>
      </c>
      <c r="AC12" s="5">
        <v>1</v>
      </c>
    </row>
    <row r="13" spans="1:36" hidden="1" x14ac:dyDescent="0.3">
      <c r="A13" s="15" t="s">
        <v>82</v>
      </c>
      <c r="B13" s="14" t="s">
        <v>2151</v>
      </c>
      <c r="C13" s="5">
        <v>12.65</v>
      </c>
      <c r="D13" s="5" t="s">
        <v>0</v>
      </c>
      <c r="E13" s="5" t="s">
        <v>74</v>
      </c>
      <c r="F13" s="5">
        <v>22.000000000000004</v>
      </c>
      <c r="G13" s="5" t="s">
        <v>83</v>
      </c>
      <c r="H13" s="5" t="s">
        <v>2169</v>
      </c>
      <c r="K13" s="5">
        <v>62</v>
      </c>
      <c r="L13" s="5">
        <v>22</v>
      </c>
      <c r="P13" s="5">
        <v>16</v>
      </c>
      <c r="Q13" s="5">
        <v>36</v>
      </c>
      <c r="R13" s="5">
        <v>16</v>
      </c>
      <c r="S13" s="5">
        <v>18</v>
      </c>
      <c r="T13" s="5">
        <v>4</v>
      </c>
      <c r="W13" s="5">
        <v>80</v>
      </c>
      <c r="Y13" s="5">
        <v>8</v>
      </c>
      <c r="Z13" s="5">
        <v>8</v>
      </c>
      <c r="AA13" s="5">
        <v>1</v>
      </c>
      <c r="AC13" s="5">
        <v>1</v>
      </c>
    </row>
    <row r="14" spans="1:36" hidden="1" x14ac:dyDescent="0.3">
      <c r="A14" s="15" t="s">
        <v>181</v>
      </c>
      <c r="B14" s="14" t="s">
        <v>2151</v>
      </c>
      <c r="C14" s="5">
        <v>13.625</v>
      </c>
      <c r="D14" s="5" t="s">
        <v>0</v>
      </c>
      <c r="F14" s="5">
        <v>0</v>
      </c>
      <c r="G14" s="5" t="s">
        <v>221</v>
      </c>
      <c r="H14" s="5" t="s">
        <v>2170</v>
      </c>
      <c r="I14" s="5">
        <v>62</v>
      </c>
      <c r="K14" s="5">
        <v>0</v>
      </c>
      <c r="Q14" s="5">
        <v>38</v>
      </c>
      <c r="R14" s="5">
        <v>24</v>
      </c>
      <c r="S14" s="5">
        <v>19</v>
      </c>
      <c r="T14" s="5">
        <v>6</v>
      </c>
      <c r="W14" s="5">
        <v>80</v>
      </c>
      <c r="Y14" s="5">
        <v>8</v>
      </c>
      <c r="Z14" s="5">
        <v>8</v>
      </c>
      <c r="AA14" s="5">
        <v>1</v>
      </c>
      <c r="AC14" s="5">
        <v>1</v>
      </c>
      <c r="AJ14" s="5" t="s">
        <v>2171</v>
      </c>
    </row>
    <row r="15" spans="1:36" hidden="1" x14ac:dyDescent="0.3">
      <c r="A15" s="15" t="s">
        <v>88</v>
      </c>
      <c r="B15" s="14" t="s">
        <v>2151</v>
      </c>
      <c r="C15" s="5">
        <v>8.0500000000000007</v>
      </c>
      <c r="D15" s="5" t="s">
        <v>0</v>
      </c>
      <c r="E15" s="5" t="s">
        <v>74</v>
      </c>
      <c r="F15" s="5">
        <v>14.000000000000002</v>
      </c>
      <c r="G15" s="5" t="s">
        <v>75</v>
      </c>
      <c r="H15" s="5" t="s">
        <v>2169</v>
      </c>
      <c r="K15" s="5">
        <v>40</v>
      </c>
      <c r="L15" s="5">
        <v>14</v>
      </c>
      <c r="P15" s="5">
        <v>10</v>
      </c>
      <c r="Q15" s="5">
        <v>22</v>
      </c>
      <c r="R15" s="5">
        <v>12</v>
      </c>
      <c r="S15" s="5">
        <v>11</v>
      </c>
      <c r="T15" s="5">
        <v>3</v>
      </c>
      <c r="W15" s="5">
        <v>80</v>
      </c>
      <c r="Y15" s="5">
        <v>8</v>
      </c>
      <c r="Z15" s="5">
        <v>8</v>
      </c>
      <c r="AA15" s="5">
        <v>1</v>
      </c>
      <c r="AC15" s="5">
        <v>1</v>
      </c>
    </row>
    <row r="16" spans="1:36" hidden="1" x14ac:dyDescent="0.3">
      <c r="A16" s="15" t="s">
        <v>93</v>
      </c>
      <c r="B16" s="14" t="s">
        <v>2151</v>
      </c>
      <c r="C16" s="5">
        <v>4.5999999999999996</v>
      </c>
      <c r="D16" s="5" t="s">
        <v>0</v>
      </c>
      <c r="E16" s="5" t="s">
        <v>74</v>
      </c>
      <c r="F16" s="5">
        <v>8</v>
      </c>
      <c r="G16" s="5" t="s">
        <v>94</v>
      </c>
      <c r="H16" s="5" t="s">
        <v>2169</v>
      </c>
      <c r="K16" s="5">
        <v>23</v>
      </c>
      <c r="L16" s="5">
        <v>8</v>
      </c>
      <c r="P16" s="5">
        <v>4</v>
      </c>
      <c r="Q16" s="5">
        <v>12</v>
      </c>
      <c r="R16" s="5">
        <v>8</v>
      </c>
      <c r="S16" s="5">
        <v>6</v>
      </c>
      <c r="T16" s="5">
        <v>2</v>
      </c>
      <c r="W16" s="5">
        <v>80</v>
      </c>
      <c r="Y16" s="5">
        <v>5</v>
      </c>
      <c r="Z16" s="5">
        <v>5</v>
      </c>
      <c r="AA16" s="5">
        <v>1</v>
      </c>
      <c r="AB16" s="5">
        <v>1</v>
      </c>
    </row>
    <row r="17" spans="1:36" hidden="1" x14ac:dyDescent="0.3">
      <c r="A17" s="15" t="s">
        <v>104</v>
      </c>
      <c r="B17" s="14" t="s">
        <v>2151</v>
      </c>
      <c r="C17" s="5">
        <v>4.5999999999999996</v>
      </c>
      <c r="D17" s="5" t="s">
        <v>0</v>
      </c>
      <c r="E17" s="5" t="s">
        <v>74</v>
      </c>
      <c r="F17" s="5">
        <v>8</v>
      </c>
      <c r="G17" s="5" t="s">
        <v>94</v>
      </c>
      <c r="H17" s="5" t="s">
        <v>2169</v>
      </c>
      <c r="K17" s="5">
        <v>23</v>
      </c>
      <c r="L17" s="5">
        <v>8</v>
      </c>
      <c r="P17" s="5">
        <v>4</v>
      </c>
      <c r="Q17" s="5">
        <v>12</v>
      </c>
      <c r="R17" s="5">
        <v>8</v>
      </c>
      <c r="S17" s="5">
        <v>6</v>
      </c>
      <c r="T17" s="5">
        <v>2</v>
      </c>
      <c r="W17" s="5">
        <v>80</v>
      </c>
      <c r="Y17" s="5">
        <v>5</v>
      </c>
      <c r="Z17" s="5">
        <v>5</v>
      </c>
      <c r="AA17" s="5">
        <v>1</v>
      </c>
      <c r="AB17" s="5">
        <v>1</v>
      </c>
    </row>
    <row r="18" spans="1:36" hidden="1" x14ac:dyDescent="0.3">
      <c r="A18" s="15" t="s">
        <v>99</v>
      </c>
      <c r="B18" s="14" t="s">
        <v>2151</v>
      </c>
      <c r="C18" s="5">
        <v>12.65</v>
      </c>
      <c r="D18" s="5" t="s">
        <v>0</v>
      </c>
      <c r="E18" s="5" t="s">
        <v>74</v>
      </c>
      <c r="F18" s="5">
        <v>22.000000000000004</v>
      </c>
      <c r="G18" s="5" t="s">
        <v>83</v>
      </c>
      <c r="H18" s="5" t="s">
        <v>2169</v>
      </c>
      <c r="K18" s="5">
        <v>68</v>
      </c>
      <c r="L18" s="5">
        <v>24</v>
      </c>
      <c r="P18" s="5">
        <v>6</v>
      </c>
      <c r="Q18" s="5">
        <v>22</v>
      </c>
      <c r="R18" s="5">
        <v>48</v>
      </c>
      <c r="S18" s="5">
        <v>11</v>
      </c>
      <c r="T18" s="5">
        <v>12</v>
      </c>
      <c r="W18" s="5">
        <v>80</v>
      </c>
      <c r="Y18" s="5">
        <v>8</v>
      </c>
      <c r="Z18" s="5">
        <v>8</v>
      </c>
      <c r="AA18" s="5">
        <v>1</v>
      </c>
      <c r="AC18" s="5">
        <v>1</v>
      </c>
    </row>
    <row r="19" spans="1:36" hidden="1" x14ac:dyDescent="0.3">
      <c r="A19" s="15" t="s">
        <v>169</v>
      </c>
      <c r="B19" s="14" t="s">
        <v>2151</v>
      </c>
      <c r="C19" s="5">
        <v>12.65</v>
      </c>
      <c r="D19" s="5" t="s">
        <v>0</v>
      </c>
      <c r="E19" s="5" t="s">
        <v>74</v>
      </c>
      <c r="F19" s="5">
        <v>22.000000000000004</v>
      </c>
      <c r="G19" s="5" t="s">
        <v>170</v>
      </c>
      <c r="H19" s="5" t="s">
        <v>2170</v>
      </c>
      <c r="I19" s="5">
        <v>52</v>
      </c>
      <c r="K19" s="5">
        <v>0</v>
      </c>
      <c r="Q19" s="5">
        <v>36</v>
      </c>
      <c r="R19" s="5">
        <v>16</v>
      </c>
      <c r="S19" s="5">
        <v>18</v>
      </c>
      <c r="T19" s="5">
        <v>4</v>
      </c>
      <c r="W19" s="5">
        <v>80</v>
      </c>
      <c r="Y19" s="5">
        <v>8</v>
      </c>
      <c r="Z19" s="5">
        <v>8</v>
      </c>
      <c r="AA19" s="5">
        <v>1</v>
      </c>
      <c r="AC19" s="5">
        <v>1</v>
      </c>
    </row>
    <row r="20" spans="1:36" hidden="1" x14ac:dyDescent="0.3">
      <c r="A20" s="15" t="s">
        <v>117</v>
      </c>
      <c r="B20" s="14" t="s">
        <v>2151</v>
      </c>
      <c r="C20" s="5">
        <v>12.65</v>
      </c>
      <c r="D20" s="5" t="s">
        <v>0</v>
      </c>
      <c r="E20" s="5" t="s">
        <v>74</v>
      </c>
      <c r="F20" s="5">
        <v>22.000000000000004</v>
      </c>
      <c r="G20" s="5" t="s">
        <v>83</v>
      </c>
      <c r="H20" s="5" t="s">
        <v>2169</v>
      </c>
      <c r="K20" s="5">
        <v>62</v>
      </c>
      <c r="L20" s="5">
        <v>22</v>
      </c>
      <c r="P20" s="5">
        <v>4</v>
      </c>
      <c r="Q20" s="5">
        <v>18</v>
      </c>
      <c r="R20" s="5">
        <v>52</v>
      </c>
      <c r="S20" s="5">
        <v>9</v>
      </c>
      <c r="T20" s="5">
        <v>13</v>
      </c>
      <c r="W20" s="5">
        <v>80</v>
      </c>
      <c r="Y20" s="5">
        <v>8</v>
      </c>
      <c r="Z20" s="5">
        <v>8</v>
      </c>
      <c r="AA20" s="5">
        <v>1</v>
      </c>
      <c r="AC20" s="5">
        <v>1</v>
      </c>
    </row>
    <row r="21" spans="1:36" hidden="1" x14ac:dyDescent="0.3">
      <c r="A21" s="15" t="s">
        <v>110</v>
      </c>
      <c r="B21" s="14" t="s">
        <v>2151</v>
      </c>
      <c r="C21" s="5">
        <v>10.925000000000001</v>
      </c>
      <c r="D21" s="5" t="s">
        <v>0</v>
      </c>
      <c r="E21" s="5" t="s">
        <v>74</v>
      </c>
      <c r="F21" s="5">
        <v>19.000000000000004</v>
      </c>
      <c r="G21" s="5" t="s">
        <v>111</v>
      </c>
      <c r="H21" s="5" t="s">
        <v>2169</v>
      </c>
      <c r="K21" s="5">
        <v>56</v>
      </c>
      <c r="L21" s="5">
        <v>20</v>
      </c>
      <c r="P21" s="5">
        <v>8</v>
      </c>
      <c r="Q21" s="5">
        <v>20</v>
      </c>
      <c r="R21" s="5">
        <v>36</v>
      </c>
      <c r="S21" s="5">
        <v>11</v>
      </c>
      <c r="T21" s="5">
        <v>9</v>
      </c>
      <c r="W21" s="5">
        <v>80</v>
      </c>
      <c r="Y21" s="5">
        <v>8</v>
      </c>
      <c r="Z21" s="5">
        <v>8</v>
      </c>
      <c r="AA21" s="5">
        <v>1</v>
      </c>
      <c r="AC21" s="5">
        <v>1</v>
      </c>
    </row>
    <row r="22" spans="1:36" x14ac:dyDescent="0.3">
      <c r="A22" s="15" t="s">
        <v>2172</v>
      </c>
      <c r="B22" s="14" t="s">
        <v>2151</v>
      </c>
      <c r="C22" s="5">
        <v>51.75</v>
      </c>
      <c r="D22" s="5" t="s">
        <v>1</v>
      </c>
      <c r="E22" s="5" t="s">
        <v>74</v>
      </c>
      <c r="F22" s="5">
        <v>90</v>
      </c>
      <c r="G22" s="5" t="s">
        <v>2173</v>
      </c>
      <c r="H22" s="5" t="s">
        <v>2174</v>
      </c>
      <c r="K22" s="5">
        <v>0</v>
      </c>
      <c r="W22" s="5">
        <v>1552.5</v>
      </c>
      <c r="AD22" s="5">
        <v>1</v>
      </c>
      <c r="AE22" s="5">
        <v>1</v>
      </c>
      <c r="AJ22" s="5" t="s">
        <v>2175</v>
      </c>
    </row>
    <row r="23" spans="1:36" x14ac:dyDescent="0.3">
      <c r="A23" s="15" t="s">
        <v>2176</v>
      </c>
      <c r="B23" s="14" t="s">
        <v>2151</v>
      </c>
      <c r="C23" s="5">
        <v>283.94499999999999</v>
      </c>
      <c r="D23" s="5" t="s">
        <v>1</v>
      </c>
      <c r="F23" s="5">
        <v>0</v>
      </c>
      <c r="G23" s="5" t="s">
        <v>2177</v>
      </c>
      <c r="H23" s="5" t="s">
        <v>2178</v>
      </c>
      <c r="K23" s="5">
        <v>0</v>
      </c>
      <c r="W23" s="5">
        <v>4259.1750000000002</v>
      </c>
      <c r="X23" s="5">
        <v>4259.1750000000002</v>
      </c>
      <c r="AD23" s="5">
        <v>1</v>
      </c>
      <c r="AE23" s="5">
        <v>1</v>
      </c>
      <c r="AJ23" s="5" t="s">
        <v>2179</v>
      </c>
    </row>
    <row r="24" spans="1:36" hidden="1" x14ac:dyDescent="0.3">
      <c r="A24" s="15" t="s">
        <v>175</v>
      </c>
      <c r="B24" s="14" t="s">
        <v>2151</v>
      </c>
      <c r="C24" s="5">
        <v>4.5999999999999996</v>
      </c>
      <c r="D24" s="5" t="s">
        <v>0</v>
      </c>
      <c r="E24" s="5" t="s">
        <v>74</v>
      </c>
      <c r="F24" s="5">
        <v>8</v>
      </c>
      <c r="G24" s="5" t="s">
        <v>94</v>
      </c>
      <c r="H24" s="5" t="s">
        <v>2169</v>
      </c>
      <c r="K24" s="5">
        <v>23</v>
      </c>
      <c r="L24" s="5">
        <v>8</v>
      </c>
      <c r="P24" s="5">
        <v>4</v>
      </c>
      <c r="Q24" s="5">
        <v>12</v>
      </c>
      <c r="R24" s="5">
        <v>8</v>
      </c>
      <c r="S24" s="5">
        <v>6</v>
      </c>
      <c r="T24" s="5">
        <v>2</v>
      </c>
      <c r="V24" s="5">
        <v>0</v>
      </c>
      <c r="W24" s="5">
        <v>80</v>
      </c>
      <c r="Y24" s="5">
        <v>5</v>
      </c>
      <c r="Z24" s="5">
        <v>5</v>
      </c>
      <c r="AA24" s="5">
        <v>1</v>
      </c>
      <c r="AB24" s="5">
        <v>1</v>
      </c>
    </row>
    <row r="25" spans="1:36" hidden="1" x14ac:dyDescent="0.3">
      <c r="A25" s="15" t="s">
        <v>136</v>
      </c>
      <c r="B25" s="14" t="s">
        <v>2151</v>
      </c>
      <c r="C25" s="5">
        <v>6.9</v>
      </c>
      <c r="D25" s="5" t="s">
        <v>0</v>
      </c>
      <c r="E25" s="5" t="s">
        <v>74</v>
      </c>
      <c r="F25" s="5">
        <v>12.000000000000002</v>
      </c>
      <c r="G25" s="5" t="s">
        <v>137</v>
      </c>
      <c r="H25" s="5" t="s">
        <v>2169</v>
      </c>
      <c r="K25" s="5">
        <v>34</v>
      </c>
      <c r="L25" s="5">
        <v>12</v>
      </c>
      <c r="P25" s="5">
        <v>8</v>
      </c>
      <c r="Q25" s="5">
        <v>16</v>
      </c>
      <c r="R25" s="5">
        <v>16</v>
      </c>
      <c r="S25" s="5">
        <v>8</v>
      </c>
      <c r="T25" s="5">
        <v>4</v>
      </c>
      <c r="W25" s="5">
        <v>80</v>
      </c>
      <c r="Y25" s="5">
        <v>5</v>
      </c>
      <c r="Z25" s="5">
        <v>5</v>
      </c>
      <c r="AA25" s="5">
        <v>1</v>
      </c>
      <c r="AC25" s="5">
        <v>1</v>
      </c>
    </row>
    <row r="26" spans="1:36" hidden="1" x14ac:dyDescent="0.3">
      <c r="A26" s="15" t="s">
        <v>2180</v>
      </c>
      <c r="B26" s="14" t="s">
        <v>2151</v>
      </c>
      <c r="C26" s="5">
        <v>16.100000000000001</v>
      </c>
      <c r="D26" s="5" t="s">
        <v>0</v>
      </c>
      <c r="E26" s="5" t="s">
        <v>74</v>
      </c>
      <c r="F26" s="5">
        <v>28.000000000000004</v>
      </c>
      <c r="G26" s="5" t="s">
        <v>131</v>
      </c>
      <c r="H26" s="5" t="s">
        <v>2169</v>
      </c>
      <c r="K26" s="5">
        <v>79</v>
      </c>
      <c r="L26" s="5">
        <v>28</v>
      </c>
      <c r="P26" s="5">
        <v>18</v>
      </c>
      <c r="Q26" s="5">
        <v>44</v>
      </c>
      <c r="R26" s="5">
        <v>24</v>
      </c>
      <c r="S26" s="5">
        <v>22</v>
      </c>
      <c r="T26" s="5">
        <v>6</v>
      </c>
      <c r="W26" s="5">
        <v>80</v>
      </c>
      <c r="Y26" s="5">
        <v>4</v>
      </c>
      <c r="Z26" s="5">
        <v>4</v>
      </c>
      <c r="AA26" s="5">
        <v>1</v>
      </c>
      <c r="AC26" s="5">
        <v>1</v>
      </c>
    </row>
    <row r="27" spans="1:36" hidden="1" x14ac:dyDescent="0.3">
      <c r="A27" s="15" t="s">
        <v>2181</v>
      </c>
      <c r="B27" s="14" t="s">
        <v>2151</v>
      </c>
      <c r="C27" s="5">
        <v>8.625</v>
      </c>
      <c r="D27" s="5" t="s">
        <v>0</v>
      </c>
      <c r="E27" s="5" t="s">
        <v>74</v>
      </c>
      <c r="F27" s="5">
        <v>15.000000000000002</v>
      </c>
      <c r="G27" s="5" t="s">
        <v>75</v>
      </c>
      <c r="H27" s="5" t="s">
        <v>2170</v>
      </c>
      <c r="I27" s="5">
        <v>36</v>
      </c>
      <c r="K27" s="5">
        <v>0</v>
      </c>
      <c r="Q27" s="5">
        <v>24</v>
      </c>
      <c r="R27" s="5">
        <v>12</v>
      </c>
      <c r="S27" s="5">
        <v>12</v>
      </c>
      <c r="T27" s="5">
        <v>3</v>
      </c>
      <c r="W27" s="5">
        <v>80</v>
      </c>
      <c r="Y27" s="5">
        <v>4</v>
      </c>
      <c r="Z27" s="5">
        <v>4</v>
      </c>
      <c r="AA27" s="5">
        <v>1</v>
      </c>
      <c r="AC27" s="5">
        <v>1</v>
      </c>
    </row>
    <row r="28" spans="1:36" hidden="1" x14ac:dyDescent="0.3">
      <c r="A28" s="15" t="s">
        <v>2182</v>
      </c>
      <c r="B28" s="14" t="s">
        <v>2151</v>
      </c>
      <c r="C28" s="5">
        <v>85.1</v>
      </c>
      <c r="D28" s="5" t="s">
        <v>2183</v>
      </c>
      <c r="E28" s="5" t="s">
        <v>74</v>
      </c>
      <c r="F28" s="5">
        <v>148</v>
      </c>
      <c r="K28" s="5">
        <v>0</v>
      </c>
    </row>
    <row r="29" spans="1:36" hidden="1" x14ac:dyDescent="0.3">
      <c r="A29" s="15" t="s">
        <v>153</v>
      </c>
      <c r="B29" s="14" t="s">
        <v>2151</v>
      </c>
      <c r="C29" s="5">
        <v>16.100000000000001</v>
      </c>
      <c r="D29" s="5" t="s">
        <v>0</v>
      </c>
      <c r="E29" s="5" t="s">
        <v>74</v>
      </c>
      <c r="F29" s="5">
        <v>28.000000000000004</v>
      </c>
      <c r="G29" s="5" t="s">
        <v>131</v>
      </c>
      <c r="H29" s="5" t="s">
        <v>2169</v>
      </c>
      <c r="K29" s="5">
        <v>79</v>
      </c>
      <c r="L29" s="5">
        <v>28</v>
      </c>
      <c r="P29" s="5">
        <v>24</v>
      </c>
      <c r="Q29" s="5">
        <v>48</v>
      </c>
      <c r="R29" s="5">
        <v>16</v>
      </c>
      <c r="S29" s="5">
        <v>24</v>
      </c>
      <c r="T29" s="5">
        <v>4</v>
      </c>
      <c r="W29" s="5">
        <v>80</v>
      </c>
      <c r="Y29" s="5">
        <v>4</v>
      </c>
      <c r="Z29" s="5">
        <v>4</v>
      </c>
      <c r="AA29" s="5">
        <v>1</v>
      </c>
      <c r="AC29" s="5">
        <v>1</v>
      </c>
    </row>
    <row r="30" spans="1:36" hidden="1" x14ac:dyDescent="0.3">
      <c r="A30" s="15" t="s">
        <v>2184</v>
      </c>
      <c r="B30" s="14" t="s">
        <v>2151</v>
      </c>
      <c r="C30" s="5">
        <v>6.9</v>
      </c>
      <c r="D30" s="5" t="s">
        <v>0</v>
      </c>
      <c r="E30" s="5" t="s">
        <v>74</v>
      </c>
      <c r="F30" s="5">
        <v>12.000000000000002</v>
      </c>
      <c r="G30" s="5" t="s">
        <v>137</v>
      </c>
      <c r="H30" s="5" t="s">
        <v>2169</v>
      </c>
      <c r="K30" s="5">
        <v>34</v>
      </c>
      <c r="L30" s="5">
        <v>12</v>
      </c>
      <c r="P30" s="5">
        <v>8</v>
      </c>
      <c r="Q30" s="5">
        <v>20</v>
      </c>
      <c r="R30" s="5">
        <v>8</v>
      </c>
      <c r="S30" s="5">
        <v>10</v>
      </c>
      <c r="T30" s="5">
        <v>2</v>
      </c>
      <c r="W30" s="5">
        <v>80</v>
      </c>
      <c r="Y30" s="5">
        <v>2</v>
      </c>
      <c r="Z30" s="5">
        <v>2</v>
      </c>
      <c r="AA30" s="5">
        <v>1</v>
      </c>
      <c r="AC30" s="5">
        <v>1</v>
      </c>
    </row>
    <row r="31" spans="1:36" hidden="1" x14ac:dyDescent="0.3">
      <c r="A31" s="15" t="s">
        <v>158</v>
      </c>
      <c r="B31" s="14" t="s">
        <v>2151</v>
      </c>
      <c r="C31" s="5">
        <v>8.0500000000000007</v>
      </c>
      <c r="D31" s="5" t="s">
        <v>0</v>
      </c>
      <c r="E31" s="5" t="s">
        <v>74</v>
      </c>
      <c r="F31" s="5">
        <v>14.000000000000002</v>
      </c>
      <c r="G31" s="5" t="s">
        <v>75</v>
      </c>
      <c r="H31" s="5" t="s">
        <v>2178</v>
      </c>
      <c r="J31" s="5">
        <v>40</v>
      </c>
      <c r="L31" s="5">
        <v>14</v>
      </c>
      <c r="P31" s="5">
        <v>12</v>
      </c>
      <c r="Q31" s="5">
        <v>24</v>
      </c>
      <c r="R31" s="5">
        <v>8</v>
      </c>
      <c r="S31" s="5">
        <v>12</v>
      </c>
      <c r="T31" s="5">
        <v>2</v>
      </c>
      <c r="W31" s="5">
        <v>80</v>
      </c>
      <c r="Y31" s="5">
        <v>2</v>
      </c>
      <c r="Z31" s="5">
        <v>2</v>
      </c>
      <c r="AA31" s="5">
        <v>1</v>
      </c>
      <c r="AC31" s="5">
        <v>1</v>
      </c>
    </row>
    <row r="32" spans="1:36" hidden="1" x14ac:dyDescent="0.3">
      <c r="A32" s="15" t="s">
        <v>163</v>
      </c>
      <c r="B32" s="14" t="s">
        <v>2151</v>
      </c>
      <c r="C32" s="5">
        <v>8.0500000000000007</v>
      </c>
      <c r="D32" s="5" t="s">
        <v>0</v>
      </c>
      <c r="E32" s="5" t="s">
        <v>74</v>
      </c>
      <c r="F32" s="5">
        <v>14.000000000000002</v>
      </c>
      <c r="G32" s="5" t="s">
        <v>75</v>
      </c>
      <c r="H32" s="5" t="s">
        <v>2178</v>
      </c>
      <c r="J32" s="5">
        <v>40</v>
      </c>
      <c r="L32" s="5">
        <v>14</v>
      </c>
      <c r="P32" s="5">
        <v>12</v>
      </c>
      <c r="Q32" s="5">
        <v>24</v>
      </c>
      <c r="R32" s="5">
        <v>8</v>
      </c>
      <c r="S32" s="5">
        <v>12</v>
      </c>
      <c r="T32" s="5">
        <v>2</v>
      </c>
      <c r="W32" s="5">
        <v>80</v>
      </c>
      <c r="Y32" s="5">
        <v>2</v>
      </c>
      <c r="Z32" s="5">
        <v>2</v>
      </c>
      <c r="AA32" s="5">
        <v>1</v>
      </c>
      <c r="AC32" s="5">
        <v>1</v>
      </c>
    </row>
    <row r="33" spans="1:29" hidden="1" x14ac:dyDescent="0.3">
      <c r="A33" s="15" t="s">
        <v>208</v>
      </c>
      <c r="B33" s="14" t="s">
        <v>2151</v>
      </c>
      <c r="C33" s="5">
        <v>9.7750000000000004</v>
      </c>
      <c r="D33" s="5" t="s">
        <v>0</v>
      </c>
      <c r="E33" s="5" t="s">
        <v>74</v>
      </c>
      <c r="F33" s="5">
        <v>17.000000000000004</v>
      </c>
      <c r="G33" s="5" t="s">
        <v>75</v>
      </c>
      <c r="H33" s="5" t="s">
        <v>2169</v>
      </c>
      <c r="K33" s="5">
        <v>48</v>
      </c>
      <c r="L33" s="5">
        <v>17</v>
      </c>
      <c r="P33" s="5">
        <v>8</v>
      </c>
      <c r="Q33" s="5">
        <v>20</v>
      </c>
      <c r="R33" s="5">
        <v>30</v>
      </c>
      <c r="S33" s="5">
        <v>9</v>
      </c>
      <c r="T33" s="5">
        <v>8</v>
      </c>
      <c r="W33" s="5">
        <v>80</v>
      </c>
      <c r="Y33" s="5">
        <v>2</v>
      </c>
      <c r="Z33" s="5">
        <v>2</v>
      </c>
      <c r="AA33" s="5">
        <v>1</v>
      </c>
      <c r="AC33" s="5">
        <v>1</v>
      </c>
    </row>
    <row r="34" spans="1:29" hidden="1" x14ac:dyDescent="0.3">
      <c r="A34" s="15" t="s">
        <v>2185</v>
      </c>
      <c r="B34" s="14" t="s">
        <v>2151</v>
      </c>
      <c r="C34" s="5">
        <v>12.65</v>
      </c>
      <c r="D34" s="5" t="s">
        <v>0</v>
      </c>
      <c r="E34" s="5" t="s">
        <v>74</v>
      </c>
      <c r="F34" s="5">
        <v>22.000000000000004</v>
      </c>
      <c r="G34" s="5" t="s">
        <v>83</v>
      </c>
      <c r="H34" s="5" t="s">
        <v>2169</v>
      </c>
      <c r="K34" s="5">
        <v>62</v>
      </c>
      <c r="L34" s="5">
        <v>22</v>
      </c>
      <c r="P34" s="5">
        <v>14</v>
      </c>
      <c r="Q34" s="5">
        <v>34</v>
      </c>
      <c r="R34" s="5">
        <v>20</v>
      </c>
      <c r="S34" s="5">
        <v>17</v>
      </c>
      <c r="T34" s="5">
        <v>5</v>
      </c>
      <c r="W34" s="5">
        <v>80</v>
      </c>
      <c r="Y34" s="5">
        <v>2</v>
      </c>
      <c r="Z34" s="5">
        <v>2</v>
      </c>
      <c r="AA34" s="5">
        <v>1</v>
      </c>
      <c r="AC34" s="5">
        <v>1</v>
      </c>
    </row>
    <row r="35" spans="1:29" hidden="1" x14ac:dyDescent="0.3">
      <c r="A35" s="15" t="s">
        <v>142</v>
      </c>
      <c r="B35" s="14" t="s">
        <v>2151</v>
      </c>
      <c r="C35" s="5">
        <v>12.65</v>
      </c>
      <c r="D35" s="5" t="s">
        <v>0</v>
      </c>
      <c r="E35" s="5" t="s">
        <v>74</v>
      </c>
      <c r="F35" s="5">
        <v>22.000000000000004</v>
      </c>
      <c r="G35" s="5" t="s">
        <v>143</v>
      </c>
      <c r="H35" s="5" t="s">
        <v>2169</v>
      </c>
      <c r="K35" s="5">
        <v>62</v>
      </c>
      <c r="L35" s="5">
        <v>22</v>
      </c>
      <c r="P35" s="5">
        <v>16</v>
      </c>
      <c r="Q35" s="5">
        <v>38</v>
      </c>
      <c r="R35" s="5">
        <v>12</v>
      </c>
      <c r="S35" s="5">
        <v>19</v>
      </c>
      <c r="T35" s="5">
        <v>3</v>
      </c>
      <c r="W35" s="5">
        <v>80</v>
      </c>
      <c r="Y35" s="5">
        <v>2</v>
      </c>
      <c r="Z35" s="5">
        <v>2</v>
      </c>
      <c r="AA35" s="5">
        <v>1</v>
      </c>
      <c r="AC35" s="5">
        <v>1</v>
      </c>
    </row>
    <row r="36" spans="1:29" hidden="1" x14ac:dyDescent="0.3">
      <c r="A36" s="15" t="s">
        <v>2186</v>
      </c>
      <c r="B36" s="14" t="s">
        <v>2151</v>
      </c>
      <c r="C36" s="5">
        <v>13.8</v>
      </c>
      <c r="D36" s="5" t="s">
        <v>0</v>
      </c>
      <c r="E36" s="5" t="s">
        <v>74</v>
      </c>
      <c r="F36" s="5">
        <v>24.000000000000004</v>
      </c>
      <c r="G36" s="5" t="s">
        <v>131</v>
      </c>
      <c r="H36" s="5" t="s">
        <v>2169</v>
      </c>
      <c r="K36" s="5">
        <v>68</v>
      </c>
      <c r="L36" s="5">
        <v>24</v>
      </c>
      <c r="P36" s="5">
        <v>12</v>
      </c>
      <c r="Q36" s="5">
        <v>32</v>
      </c>
      <c r="R36" s="5">
        <v>24</v>
      </c>
      <c r="S36" s="5">
        <v>16</v>
      </c>
      <c r="T36" s="5">
        <v>8</v>
      </c>
      <c r="W36" s="5">
        <v>80</v>
      </c>
      <c r="Y36" s="5">
        <v>2</v>
      </c>
      <c r="Z36" s="5">
        <v>2</v>
      </c>
      <c r="AA36" s="5">
        <v>1</v>
      </c>
      <c r="AC36" s="5">
        <v>1</v>
      </c>
    </row>
    <row r="37" spans="1:29" hidden="1" x14ac:dyDescent="0.3">
      <c r="A37" s="15" t="s">
        <v>249</v>
      </c>
      <c r="B37" s="14" t="s">
        <v>2151</v>
      </c>
      <c r="C37" s="5">
        <v>12.074999999999999</v>
      </c>
      <c r="D37" s="5" t="s">
        <v>0</v>
      </c>
      <c r="E37" s="5" t="s">
        <v>74</v>
      </c>
      <c r="F37" s="5">
        <v>21</v>
      </c>
      <c r="G37" s="5" t="s">
        <v>83</v>
      </c>
      <c r="H37" s="5" t="s">
        <v>2169</v>
      </c>
      <c r="K37" s="5">
        <v>59</v>
      </c>
      <c r="L37" s="5">
        <v>21</v>
      </c>
      <c r="P37" s="5">
        <v>10</v>
      </c>
      <c r="Q37" s="5">
        <v>30</v>
      </c>
      <c r="R37" s="5">
        <v>28</v>
      </c>
      <c r="S37" s="5">
        <v>14</v>
      </c>
      <c r="T37" s="5">
        <v>8</v>
      </c>
      <c r="W37" s="5">
        <v>80</v>
      </c>
      <c r="Y37" s="5">
        <v>2</v>
      </c>
      <c r="Z37" s="5">
        <v>2</v>
      </c>
      <c r="AA37" s="5">
        <v>1</v>
      </c>
      <c r="AC37" s="5">
        <v>1</v>
      </c>
    </row>
    <row r="38" spans="1:29" hidden="1" x14ac:dyDescent="0.3">
      <c r="A38" s="15" t="s">
        <v>2187</v>
      </c>
      <c r="B38" s="14" t="s">
        <v>2151</v>
      </c>
      <c r="C38" s="5">
        <v>11.5</v>
      </c>
      <c r="D38" s="5" t="s">
        <v>0</v>
      </c>
      <c r="E38" s="5" t="s">
        <v>74</v>
      </c>
      <c r="F38" s="5">
        <v>20</v>
      </c>
      <c r="G38" s="5" t="s">
        <v>221</v>
      </c>
      <c r="H38" s="5" t="s">
        <v>2178</v>
      </c>
      <c r="J38" s="5">
        <v>56</v>
      </c>
      <c r="L38" s="5">
        <v>20</v>
      </c>
      <c r="P38" s="5">
        <v>14</v>
      </c>
      <c r="Q38" s="5">
        <v>28</v>
      </c>
      <c r="R38" s="5">
        <v>28</v>
      </c>
      <c r="S38" s="5">
        <v>14</v>
      </c>
      <c r="T38" s="5">
        <v>7</v>
      </c>
      <c r="W38" s="5">
        <v>80</v>
      </c>
      <c r="Y38" s="5">
        <v>2</v>
      </c>
      <c r="Z38" s="5">
        <v>2</v>
      </c>
      <c r="AC38" s="5">
        <v>1</v>
      </c>
    </row>
    <row r="39" spans="1:29" hidden="1" x14ac:dyDescent="0.3">
      <c r="A39" s="15" t="s">
        <v>358</v>
      </c>
      <c r="B39" s="14" t="s">
        <v>2151</v>
      </c>
      <c r="C39" s="5">
        <v>5.75</v>
      </c>
      <c r="D39" s="5" t="s">
        <v>0</v>
      </c>
      <c r="E39" s="5" t="s">
        <v>74</v>
      </c>
      <c r="F39" s="5">
        <v>10</v>
      </c>
      <c r="G39" s="5" t="s">
        <v>309</v>
      </c>
      <c r="H39" s="5" t="s">
        <v>2169</v>
      </c>
      <c r="K39" s="5">
        <v>28</v>
      </c>
      <c r="L39" s="5">
        <v>10</v>
      </c>
      <c r="P39" s="5">
        <v>4</v>
      </c>
      <c r="Q39" s="5">
        <v>12</v>
      </c>
      <c r="R39" s="5">
        <v>16</v>
      </c>
      <c r="S39" s="5">
        <v>6</v>
      </c>
      <c r="T39" s="5">
        <v>4</v>
      </c>
      <c r="W39" s="5">
        <v>80</v>
      </c>
      <c r="Y39" s="5">
        <v>2</v>
      </c>
      <c r="Z39" s="5">
        <v>2</v>
      </c>
      <c r="AA39" s="5">
        <v>1</v>
      </c>
      <c r="AC39" s="5">
        <v>1</v>
      </c>
    </row>
    <row r="40" spans="1:29" hidden="1" x14ac:dyDescent="0.3">
      <c r="A40" s="15" t="s">
        <v>2188</v>
      </c>
      <c r="B40" s="14" t="s">
        <v>2151</v>
      </c>
      <c r="C40" s="5">
        <v>13.8</v>
      </c>
      <c r="D40" s="5" t="s">
        <v>0</v>
      </c>
      <c r="E40" s="5" t="s">
        <v>74</v>
      </c>
      <c r="F40" s="5">
        <v>24.000000000000004</v>
      </c>
      <c r="G40" s="5" t="s">
        <v>131</v>
      </c>
      <c r="H40" s="5" t="s">
        <v>2169</v>
      </c>
      <c r="K40" s="5">
        <v>68</v>
      </c>
      <c r="L40" s="5">
        <v>24</v>
      </c>
      <c r="P40" s="5">
        <v>18</v>
      </c>
      <c r="Q40" s="5">
        <v>36</v>
      </c>
      <c r="R40" s="5">
        <v>24</v>
      </c>
      <c r="S40" s="5">
        <v>18</v>
      </c>
      <c r="T40" s="5">
        <v>6</v>
      </c>
      <c r="W40" s="5">
        <v>80</v>
      </c>
      <c r="Y40" s="5">
        <v>2</v>
      </c>
      <c r="Z40" s="5">
        <v>2</v>
      </c>
      <c r="AC40" s="5">
        <v>1</v>
      </c>
    </row>
    <row r="41" spans="1:29" x14ac:dyDescent="0.3">
      <c r="A41" s="15" t="s">
        <v>196</v>
      </c>
      <c r="B41" s="14" t="s">
        <v>2151</v>
      </c>
      <c r="C41" s="5">
        <v>23</v>
      </c>
      <c r="D41" s="5" t="s">
        <v>1</v>
      </c>
      <c r="E41" s="5" t="s">
        <v>74</v>
      </c>
      <c r="F41" s="5">
        <v>40</v>
      </c>
      <c r="G41" s="5" t="s">
        <v>2189</v>
      </c>
      <c r="H41" s="5" t="s">
        <v>2178</v>
      </c>
      <c r="J41" s="5">
        <v>112</v>
      </c>
      <c r="L41" s="5">
        <v>40</v>
      </c>
      <c r="P41" s="5">
        <v>36</v>
      </c>
      <c r="Q41" s="5">
        <v>74</v>
      </c>
      <c r="R41" s="5">
        <v>12</v>
      </c>
      <c r="S41" s="5">
        <v>37</v>
      </c>
      <c r="T41" s="5">
        <v>3</v>
      </c>
      <c r="W41" s="5">
        <v>80</v>
      </c>
      <c r="Y41" s="5">
        <v>2</v>
      </c>
      <c r="Z41" s="5">
        <v>2</v>
      </c>
      <c r="AA41" s="5">
        <v>1</v>
      </c>
      <c r="AC41" s="5">
        <v>1</v>
      </c>
    </row>
    <row r="42" spans="1:29" hidden="1" x14ac:dyDescent="0.3">
      <c r="A42" s="15" t="s">
        <v>2190</v>
      </c>
      <c r="B42" s="14" t="s">
        <v>2151</v>
      </c>
      <c r="C42" s="5">
        <v>14.625</v>
      </c>
      <c r="D42" s="5" t="s">
        <v>0</v>
      </c>
      <c r="E42" s="5" t="s">
        <v>237</v>
      </c>
      <c r="F42" s="5">
        <v>25</v>
      </c>
      <c r="G42" s="5" t="s">
        <v>131</v>
      </c>
      <c r="H42" s="5" t="s">
        <v>2169</v>
      </c>
      <c r="K42" s="5">
        <v>70</v>
      </c>
      <c r="L42" s="5">
        <v>25</v>
      </c>
      <c r="P42" s="5">
        <v>18</v>
      </c>
      <c r="Q42" s="5">
        <v>36</v>
      </c>
      <c r="R42" s="5">
        <v>28</v>
      </c>
      <c r="S42" s="5">
        <v>18</v>
      </c>
      <c r="T42" s="5">
        <v>7</v>
      </c>
      <c r="W42" s="5">
        <v>80</v>
      </c>
      <c r="Y42" s="5">
        <v>2</v>
      </c>
      <c r="Z42" s="5">
        <v>2</v>
      </c>
      <c r="AA42" s="5">
        <v>1</v>
      </c>
      <c r="AC42" s="5">
        <v>1</v>
      </c>
    </row>
    <row r="43" spans="1:29" hidden="1" x14ac:dyDescent="0.3">
      <c r="A43" s="15" t="s">
        <v>259</v>
      </c>
      <c r="B43" s="14" t="s">
        <v>2151</v>
      </c>
      <c r="C43" s="5">
        <v>11.7</v>
      </c>
      <c r="D43" s="5" t="s">
        <v>0</v>
      </c>
      <c r="E43" s="5" t="s">
        <v>237</v>
      </c>
      <c r="F43" s="5">
        <v>20</v>
      </c>
      <c r="G43" s="5" t="s">
        <v>83</v>
      </c>
      <c r="H43" s="5" t="s">
        <v>2169</v>
      </c>
      <c r="K43" s="5">
        <v>56</v>
      </c>
      <c r="L43" s="5">
        <v>20</v>
      </c>
      <c r="P43" s="5">
        <v>16</v>
      </c>
      <c r="Q43" s="5">
        <v>32</v>
      </c>
      <c r="R43" s="5">
        <v>16</v>
      </c>
      <c r="S43" s="5">
        <v>16</v>
      </c>
      <c r="T43" s="5">
        <v>4</v>
      </c>
      <c r="W43" s="5">
        <v>80</v>
      </c>
      <c r="Y43" s="5">
        <v>2</v>
      </c>
      <c r="Z43" s="5">
        <v>2</v>
      </c>
      <c r="AA43" s="5">
        <v>1</v>
      </c>
      <c r="AC43" s="5">
        <v>1</v>
      </c>
    </row>
    <row r="44" spans="1:29" hidden="1" x14ac:dyDescent="0.3">
      <c r="A44" s="15" t="s">
        <v>275</v>
      </c>
      <c r="B44" s="14" t="s">
        <v>2151</v>
      </c>
      <c r="C44" s="5">
        <v>11.7</v>
      </c>
      <c r="D44" s="5" t="s">
        <v>0</v>
      </c>
      <c r="E44" s="5" t="s">
        <v>237</v>
      </c>
      <c r="F44" s="5">
        <v>20</v>
      </c>
      <c r="G44" s="5" t="s">
        <v>111</v>
      </c>
      <c r="H44" s="5" t="s">
        <v>2169</v>
      </c>
      <c r="K44" s="5">
        <v>56</v>
      </c>
      <c r="L44" s="5">
        <v>20</v>
      </c>
      <c r="P44" s="5">
        <v>10</v>
      </c>
      <c r="Q44" s="5">
        <v>30</v>
      </c>
      <c r="R44" s="5">
        <v>20</v>
      </c>
      <c r="S44" s="5">
        <v>15</v>
      </c>
      <c r="T44" s="5">
        <v>5</v>
      </c>
      <c r="W44" s="5">
        <v>80</v>
      </c>
      <c r="Y44" s="5">
        <v>2</v>
      </c>
      <c r="Z44" s="5">
        <v>2</v>
      </c>
      <c r="AA44" s="5">
        <v>1</v>
      </c>
      <c r="AC44" s="5">
        <v>1</v>
      </c>
    </row>
    <row r="45" spans="1:29" hidden="1" x14ac:dyDescent="0.3">
      <c r="A45" s="15" t="s">
        <v>280</v>
      </c>
      <c r="B45" s="14" t="s">
        <v>2151</v>
      </c>
      <c r="C45" s="5">
        <v>11.7</v>
      </c>
      <c r="D45" s="5" t="s">
        <v>0</v>
      </c>
      <c r="E45" s="5" t="s">
        <v>237</v>
      </c>
      <c r="F45" s="5">
        <v>20</v>
      </c>
      <c r="G45" s="5" t="s">
        <v>111</v>
      </c>
      <c r="H45" s="5" t="s">
        <v>2169</v>
      </c>
      <c r="K45" s="5">
        <v>56</v>
      </c>
      <c r="L45" s="5">
        <v>20</v>
      </c>
      <c r="P45" s="5">
        <v>14</v>
      </c>
      <c r="Q45" s="5">
        <v>30</v>
      </c>
      <c r="R45" s="5">
        <v>20</v>
      </c>
      <c r="S45" s="5">
        <v>15</v>
      </c>
      <c r="T45" s="5">
        <v>5</v>
      </c>
      <c r="W45" s="5">
        <v>80</v>
      </c>
      <c r="Y45" s="5">
        <v>2</v>
      </c>
      <c r="Z45" s="5">
        <v>2</v>
      </c>
      <c r="AA45" s="5">
        <v>1</v>
      </c>
      <c r="AC45" s="5">
        <v>1</v>
      </c>
    </row>
    <row r="46" spans="1:29" hidden="1" x14ac:dyDescent="0.3">
      <c r="A46" s="15" t="s">
        <v>285</v>
      </c>
      <c r="B46" s="14" t="s">
        <v>2151</v>
      </c>
      <c r="C46" s="5">
        <v>7.02</v>
      </c>
      <c r="D46" s="5" t="s">
        <v>0</v>
      </c>
      <c r="E46" s="5" t="s">
        <v>237</v>
      </c>
      <c r="F46" s="5">
        <v>12</v>
      </c>
      <c r="G46" s="5" t="s">
        <v>286</v>
      </c>
      <c r="H46" s="5" t="s">
        <v>2169</v>
      </c>
      <c r="K46" s="5">
        <v>34</v>
      </c>
      <c r="L46" s="5">
        <v>12</v>
      </c>
      <c r="P46" s="5">
        <v>4</v>
      </c>
      <c r="Q46" s="5">
        <v>16</v>
      </c>
      <c r="R46" s="5">
        <v>16</v>
      </c>
      <c r="S46" s="5">
        <v>8</v>
      </c>
      <c r="T46" s="5">
        <v>4</v>
      </c>
      <c r="W46" s="5">
        <v>80</v>
      </c>
      <c r="Y46" s="5">
        <v>2</v>
      </c>
      <c r="Z46" s="5">
        <v>2</v>
      </c>
      <c r="AA46" s="5">
        <v>1</v>
      </c>
      <c r="AC46" s="5">
        <v>1</v>
      </c>
    </row>
    <row r="47" spans="1:29" hidden="1" x14ac:dyDescent="0.3">
      <c r="A47" s="15" t="s">
        <v>291</v>
      </c>
      <c r="B47" s="14" t="s">
        <v>2151</v>
      </c>
      <c r="C47" s="5">
        <v>17.55</v>
      </c>
      <c r="D47" s="5" t="s">
        <v>0</v>
      </c>
      <c r="E47" s="5" t="s">
        <v>237</v>
      </c>
      <c r="F47" s="5">
        <v>30.000000000000004</v>
      </c>
      <c r="G47" s="5" t="s">
        <v>143</v>
      </c>
      <c r="H47" s="5" t="s">
        <v>2169</v>
      </c>
      <c r="K47" s="5">
        <v>78</v>
      </c>
      <c r="L47" s="5">
        <v>30</v>
      </c>
      <c r="P47" s="5">
        <v>20</v>
      </c>
      <c r="Q47" s="5">
        <v>42</v>
      </c>
      <c r="R47" s="5">
        <v>36</v>
      </c>
      <c r="S47" s="5">
        <v>22</v>
      </c>
      <c r="T47" s="5">
        <v>11</v>
      </c>
      <c r="W47" s="5">
        <v>80</v>
      </c>
      <c r="Y47" s="5">
        <v>2</v>
      </c>
      <c r="Z47" s="5">
        <v>2</v>
      </c>
      <c r="AA47" s="5">
        <v>1</v>
      </c>
      <c r="AC47" s="5">
        <v>1</v>
      </c>
    </row>
    <row r="48" spans="1:29" hidden="1" x14ac:dyDescent="0.3">
      <c r="A48" s="15" t="s">
        <v>296</v>
      </c>
      <c r="B48" s="14" t="s">
        <v>2151</v>
      </c>
      <c r="C48" s="5">
        <v>10.53</v>
      </c>
      <c r="D48" s="5" t="s">
        <v>0</v>
      </c>
      <c r="E48" s="5" t="s">
        <v>237</v>
      </c>
      <c r="F48" s="5">
        <v>18</v>
      </c>
      <c r="G48" s="5" t="s">
        <v>75</v>
      </c>
      <c r="H48" s="5" t="s">
        <v>2169</v>
      </c>
      <c r="K48" s="5">
        <v>47</v>
      </c>
      <c r="L48" s="5">
        <v>18</v>
      </c>
      <c r="P48" s="5">
        <v>10</v>
      </c>
      <c r="Q48" s="5">
        <v>26</v>
      </c>
      <c r="R48" s="5">
        <v>20</v>
      </c>
      <c r="S48" s="5">
        <v>13</v>
      </c>
      <c r="T48" s="5">
        <v>5</v>
      </c>
      <c r="W48" s="5">
        <v>80</v>
      </c>
      <c r="Y48" s="5">
        <v>2</v>
      </c>
      <c r="Z48" s="5">
        <v>2</v>
      </c>
      <c r="AA48" s="5">
        <v>1</v>
      </c>
      <c r="AC48" s="5">
        <v>1</v>
      </c>
    </row>
    <row r="49" spans="1:36" hidden="1" x14ac:dyDescent="0.3">
      <c r="A49" s="15" t="s">
        <v>2191</v>
      </c>
      <c r="B49" s="14" t="s">
        <v>2151</v>
      </c>
      <c r="C49" s="5">
        <v>4.68</v>
      </c>
      <c r="D49" s="5" t="s">
        <v>0</v>
      </c>
      <c r="E49" s="5" t="s">
        <v>237</v>
      </c>
      <c r="F49" s="5">
        <v>8</v>
      </c>
      <c r="G49" s="5" t="s">
        <v>302</v>
      </c>
      <c r="H49" s="5" t="s">
        <v>2169</v>
      </c>
      <c r="K49" s="5">
        <v>23</v>
      </c>
      <c r="L49" s="5">
        <v>8</v>
      </c>
      <c r="P49" s="5">
        <v>2</v>
      </c>
      <c r="Q49" s="5">
        <v>2</v>
      </c>
      <c r="R49" s="5">
        <v>13</v>
      </c>
      <c r="S49" s="5">
        <v>2</v>
      </c>
      <c r="T49" s="5">
        <v>8</v>
      </c>
      <c r="W49" s="5">
        <v>80</v>
      </c>
      <c r="Y49" s="5">
        <v>2</v>
      </c>
      <c r="Z49" s="5">
        <v>2</v>
      </c>
      <c r="AA49" s="5">
        <v>1</v>
      </c>
      <c r="AC49" s="5">
        <v>1</v>
      </c>
    </row>
    <row r="50" spans="1:36" hidden="1" x14ac:dyDescent="0.3">
      <c r="A50" s="15" t="s">
        <v>2192</v>
      </c>
      <c r="B50" s="14" t="s">
        <v>2151</v>
      </c>
      <c r="C50" s="5">
        <v>7.02</v>
      </c>
      <c r="D50" s="5" t="s">
        <v>0</v>
      </c>
      <c r="E50" s="5" t="s">
        <v>237</v>
      </c>
      <c r="F50" s="5">
        <v>12</v>
      </c>
      <c r="G50" s="5" t="s">
        <v>309</v>
      </c>
      <c r="H50" s="5" t="s">
        <v>2169</v>
      </c>
      <c r="K50" s="5">
        <v>34</v>
      </c>
      <c r="L50" s="5">
        <v>12</v>
      </c>
      <c r="P50" s="5">
        <v>6</v>
      </c>
      <c r="Q50" s="5">
        <v>18</v>
      </c>
      <c r="R50" s="5">
        <v>12</v>
      </c>
      <c r="S50" s="5">
        <v>9</v>
      </c>
      <c r="T50" s="5">
        <v>3</v>
      </c>
      <c r="W50" s="5">
        <v>80</v>
      </c>
      <c r="Y50" s="5">
        <v>2</v>
      </c>
      <c r="Z50" s="5">
        <v>2</v>
      </c>
      <c r="AA50" s="5">
        <v>1</v>
      </c>
      <c r="AC50" s="5">
        <v>1</v>
      </c>
    </row>
    <row r="51" spans="1:36" hidden="1" x14ac:dyDescent="0.3">
      <c r="A51" s="15" t="s">
        <v>314</v>
      </c>
      <c r="B51" s="14" t="s">
        <v>2151</v>
      </c>
      <c r="C51" s="5">
        <v>7.02</v>
      </c>
      <c r="D51" s="5" t="s">
        <v>0</v>
      </c>
      <c r="E51" s="5" t="s">
        <v>237</v>
      </c>
      <c r="F51" s="5">
        <v>12</v>
      </c>
      <c r="G51" s="5" t="s">
        <v>309</v>
      </c>
      <c r="H51" s="5" t="s">
        <v>2169</v>
      </c>
      <c r="K51" s="5">
        <v>34</v>
      </c>
      <c r="L51" s="5">
        <v>12</v>
      </c>
      <c r="P51" s="5">
        <v>6</v>
      </c>
      <c r="Q51" s="5">
        <v>18</v>
      </c>
      <c r="R51" s="5">
        <v>12</v>
      </c>
      <c r="S51" s="5">
        <v>9</v>
      </c>
      <c r="T51" s="5">
        <v>3</v>
      </c>
      <c r="W51" s="5">
        <v>80</v>
      </c>
      <c r="Y51" s="5">
        <v>2</v>
      </c>
      <c r="Z51" s="5">
        <v>2</v>
      </c>
      <c r="AA51" s="5">
        <v>1</v>
      </c>
      <c r="AC51" s="5">
        <v>1</v>
      </c>
    </row>
    <row r="52" spans="1:36" hidden="1" x14ac:dyDescent="0.3">
      <c r="A52" s="15" t="s">
        <v>319</v>
      </c>
      <c r="B52" s="14" t="s">
        <v>2151</v>
      </c>
      <c r="C52" s="5">
        <v>16.38</v>
      </c>
      <c r="D52" s="5" t="s">
        <v>0</v>
      </c>
      <c r="E52" s="5" t="s">
        <v>237</v>
      </c>
      <c r="F52" s="5">
        <v>28</v>
      </c>
      <c r="G52" s="5" t="s">
        <v>131</v>
      </c>
      <c r="H52" s="5" t="s">
        <v>2169</v>
      </c>
      <c r="K52" s="5">
        <v>79</v>
      </c>
      <c r="L52" s="5">
        <v>28</v>
      </c>
      <c r="P52" s="5">
        <v>24</v>
      </c>
      <c r="Q52" s="5">
        <v>48</v>
      </c>
      <c r="R52" s="5">
        <v>16</v>
      </c>
      <c r="S52" s="5">
        <v>24</v>
      </c>
      <c r="T52" s="5">
        <v>4</v>
      </c>
      <c r="W52" s="5">
        <v>80</v>
      </c>
      <c r="Y52" s="5">
        <v>2</v>
      </c>
      <c r="Z52" s="5">
        <v>2</v>
      </c>
      <c r="AA52" s="5">
        <v>1</v>
      </c>
      <c r="AC52" s="5">
        <v>1</v>
      </c>
    </row>
    <row r="53" spans="1:36" hidden="1" x14ac:dyDescent="0.3">
      <c r="A53" s="15" t="s">
        <v>325</v>
      </c>
      <c r="B53" s="14" t="s">
        <v>2151</v>
      </c>
      <c r="C53" s="5">
        <v>7.02</v>
      </c>
      <c r="D53" s="5" t="s">
        <v>0</v>
      </c>
      <c r="E53" s="5" t="s">
        <v>237</v>
      </c>
      <c r="F53" s="5">
        <v>12</v>
      </c>
      <c r="G53" s="5" t="s">
        <v>286</v>
      </c>
      <c r="H53" s="5" t="s">
        <v>2169</v>
      </c>
      <c r="K53" s="5">
        <v>34</v>
      </c>
      <c r="L53" s="5">
        <v>12</v>
      </c>
      <c r="P53" s="5">
        <v>6</v>
      </c>
      <c r="Q53" s="5">
        <v>18</v>
      </c>
      <c r="R53" s="5">
        <v>12</v>
      </c>
      <c r="S53" s="5">
        <v>9</v>
      </c>
      <c r="T53" s="5">
        <v>3</v>
      </c>
      <c r="W53" s="5">
        <v>80</v>
      </c>
      <c r="Y53" s="5">
        <v>2</v>
      </c>
      <c r="Z53" s="5">
        <v>2</v>
      </c>
      <c r="AA53" s="5">
        <v>1</v>
      </c>
      <c r="AC53" s="5">
        <v>1</v>
      </c>
    </row>
    <row r="54" spans="1:36" x14ac:dyDescent="0.3">
      <c r="A54" s="15" t="s">
        <v>343</v>
      </c>
      <c r="B54" s="14" t="s">
        <v>2151</v>
      </c>
      <c r="C54" s="5">
        <v>290.375</v>
      </c>
      <c r="D54" s="5" t="s">
        <v>1</v>
      </c>
      <c r="E54" s="5" t="s">
        <v>344</v>
      </c>
      <c r="F54" s="5">
        <v>505.00000000000006</v>
      </c>
      <c r="G54" s="5" t="s">
        <v>345</v>
      </c>
      <c r="H54" s="5" t="s">
        <v>2178</v>
      </c>
      <c r="J54" s="5">
        <v>1140</v>
      </c>
      <c r="L54" s="5">
        <v>0</v>
      </c>
      <c r="P54" s="5">
        <v>210</v>
      </c>
      <c r="Q54" s="5">
        <v>980</v>
      </c>
      <c r="R54" s="5">
        <v>110</v>
      </c>
      <c r="S54" s="5">
        <v>525</v>
      </c>
      <c r="T54" s="5">
        <v>35</v>
      </c>
      <c r="W54" s="5">
        <v>5000</v>
      </c>
      <c r="Y54" s="5">
        <v>30</v>
      </c>
      <c r="Z54" s="5">
        <v>30</v>
      </c>
      <c r="AD54" s="5">
        <v>1</v>
      </c>
      <c r="AE54" s="5" t="s">
        <v>2193</v>
      </c>
    </row>
    <row r="55" spans="1:36" x14ac:dyDescent="0.3">
      <c r="A55" s="15" t="s">
        <v>340</v>
      </c>
      <c r="B55" s="14" t="s">
        <v>2151</v>
      </c>
      <c r="C55" s="5">
        <v>26.91</v>
      </c>
      <c r="D55" s="5" t="s">
        <v>1</v>
      </c>
      <c r="E55" s="5" t="s">
        <v>237</v>
      </c>
      <c r="F55" s="5">
        <v>46</v>
      </c>
      <c r="G55" s="5" t="s">
        <v>341</v>
      </c>
      <c r="H55" s="5" t="s">
        <v>2178</v>
      </c>
      <c r="J55" s="5">
        <v>126</v>
      </c>
      <c r="L55" s="5">
        <v>2</v>
      </c>
      <c r="P55" s="5">
        <v>0</v>
      </c>
      <c r="Q55" s="5">
        <v>72</v>
      </c>
      <c r="R55" s="5">
        <v>52</v>
      </c>
      <c r="S55" s="5">
        <v>50</v>
      </c>
      <c r="T55" s="5">
        <v>16</v>
      </c>
      <c r="W55" s="5">
        <v>295</v>
      </c>
      <c r="Y55" s="5">
        <v>4</v>
      </c>
      <c r="Z55" s="5">
        <v>4</v>
      </c>
      <c r="AE55" s="5" t="s">
        <v>2193</v>
      </c>
    </row>
    <row r="56" spans="1:36" x14ac:dyDescent="0.3">
      <c r="A56" s="15" t="s">
        <v>350</v>
      </c>
      <c r="B56" s="14" t="s">
        <v>2151</v>
      </c>
      <c r="C56" s="5">
        <v>43.29</v>
      </c>
      <c r="D56" s="5" t="s">
        <v>1</v>
      </c>
      <c r="E56" s="5" t="s">
        <v>237</v>
      </c>
      <c r="F56" s="5">
        <v>74</v>
      </c>
      <c r="G56" s="5" t="s">
        <v>351</v>
      </c>
      <c r="H56" s="5" t="s">
        <v>2178</v>
      </c>
      <c r="J56" s="5">
        <v>174</v>
      </c>
      <c r="L56" s="5">
        <v>4</v>
      </c>
      <c r="P56" s="5">
        <v>22</v>
      </c>
      <c r="Q56" s="5">
        <v>136</v>
      </c>
      <c r="R56" s="5">
        <v>35</v>
      </c>
      <c r="S56" s="5">
        <v>84</v>
      </c>
      <c r="T56" s="5">
        <v>12</v>
      </c>
      <c r="W56" s="5">
        <v>1000</v>
      </c>
      <c r="Y56" s="5">
        <v>4</v>
      </c>
      <c r="Z56" s="5">
        <v>4</v>
      </c>
      <c r="AE56" s="5" t="s">
        <v>2193</v>
      </c>
    </row>
    <row r="57" spans="1:36" ht="57.6" hidden="1" x14ac:dyDescent="0.3">
      <c r="A57" s="15" t="s">
        <v>347</v>
      </c>
      <c r="B57" s="14" t="s">
        <v>2151</v>
      </c>
      <c r="C57" s="5">
        <v>46.8</v>
      </c>
      <c r="D57" s="5" t="s">
        <v>2194</v>
      </c>
      <c r="E57" s="5" t="s">
        <v>237</v>
      </c>
      <c r="F57" s="5">
        <v>80</v>
      </c>
      <c r="G57" s="5" t="s">
        <v>348</v>
      </c>
      <c r="H57" s="5" t="s">
        <v>2178</v>
      </c>
      <c r="J57" s="5">
        <v>200</v>
      </c>
      <c r="L57" s="5">
        <v>0</v>
      </c>
      <c r="P57" s="5">
        <v>35</v>
      </c>
      <c r="Q57" s="5">
        <v>134</v>
      </c>
      <c r="R57" s="5">
        <v>70</v>
      </c>
      <c r="S57" s="5">
        <v>102</v>
      </c>
      <c r="T57" s="5">
        <v>22</v>
      </c>
      <c r="W57" s="5">
        <v>1100</v>
      </c>
      <c r="Y57" s="5">
        <v>6</v>
      </c>
      <c r="Z57" s="5">
        <v>6</v>
      </c>
      <c r="AD57" s="5">
        <v>1</v>
      </c>
      <c r="AE57" s="5" t="s">
        <v>2193</v>
      </c>
      <c r="AG57" s="17" t="s">
        <v>2195</v>
      </c>
      <c r="AH57" s="18" t="s">
        <v>2196</v>
      </c>
      <c r="AI57" s="18" t="s">
        <v>2197</v>
      </c>
      <c r="AJ57" s="19" t="s">
        <v>2198</v>
      </c>
    </row>
    <row r="58" spans="1:36" hidden="1" x14ac:dyDescent="0.3">
      <c r="A58" s="15" t="s">
        <v>353</v>
      </c>
      <c r="B58" s="14" t="s">
        <v>2151</v>
      </c>
      <c r="C58" s="5">
        <v>7.6050000000000004</v>
      </c>
      <c r="D58" s="5" t="s">
        <v>0</v>
      </c>
      <c r="E58" s="5" t="s">
        <v>237</v>
      </c>
      <c r="F58" s="5">
        <v>13.000000000000002</v>
      </c>
      <c r="G58" s="5" t="s">
        <v>244</v>
      </c>
      <c r="H58" s="5" t="s">
        <v>2169</v>
      </c>
      <c r="K58" s="5">
        <v>34</v>
      </c>
      <c r="L58" s="5">
        <v>13</v>
      </c>
      <c r="P58" s="5">
        <v>4</v>
      </c>
      <c r="Q58" s="5">
        <v>16</v>
      </c>
      <c r="R58" s="5">
        <v>20</v>
      </c>
      <c r="S58" s="5">
        <v>8</v>
      </c>
      <c r="T58" s="5">
        <v>5</v>
      </c>
      <c r="W58" s="5">
        <v>80</v>
      </c>
      <c r="Y58" s="5">
        <v>2</v>
      </c>
      <c r="Z58" s="5">
        <v>2</v>
      </c>
      <c r="AA58" s="5">
        <v>1</v>
      </c>
      <c r="AC58" s="5">
        <v>1</v>
      </c>
    </row>
    <row r="59" spans="1:36" hidden="1" x14ac:dyDescent="0.3">
      <c r="A59" s="15" t="s">
        <v>264</v>
      </c>
      <c r="B59" s="14" t="s">
        <v>2151</v>
      </c>
      <c r="C59" s="5">
        <v>17.55</v>
      </c>
      <c r="D59" s="5" t="s">
        <v>0</v>
      </c>
      <c r="E59" s="5" t="s">
        <v>237</v>
      </c>
      <c r="F59" s="5">
        <v>30.000000000000004</v>
      </c>
      <c r="G59" s="5" t="s">
        <v>143</v>
      </c>
      <c r="H59" s="5" t="s">
        <v>2178</v>
      </c>
      <c r="J59" s="5">
        <v>84</v>
      </c>
      <c r="L59" s="5">
        <v>30</v>
      </c>
      <c r="P59" s="5">
        <v>26</v>
      </c>
      <c r="Q59" s="5">
        <v>50</v>
      </c>
      <c r="R59" s="5">
        <v>20</v>
      </c>
      <c r="S59" s="5">
        <v>25</v>
      </c>
      <c r="T59" s="5">
        <v>5</v>
      </c>
      <c r="W59" s="5">
        <v>80</v>
      </c>
      <c r="Y59" s="5">
        <v>2</v>
      </c>
      <c r="Z59" s="5">
        <v>2</v>
      </c>
      <c r="AA59" s="5">
        <v>1</v>
      </c>
      <c r="AC59" s="5">
        <v>1</v>
      </c>
      <c r="AE59" s="5" t="s">
        <v>2193</v>
      </c>
    </row>
    <row r="60" spans="1:36" hidden="1" x14ac:dyDescent="0.3">
      <c r="A60" s="15" t="s">
        <v>330</v>
      </c>
      <c r="B60" s="14" t="s">
        <v>2151</v>
      </c>
      <c r="C60" s="5">
        <v>8.19</v>
      </c>
      <c r="D60" s="5" t="s">
        <v>0</v>
      </c>
      <c r="E60" s="5" t="s">
        <v>237</v>
      </c>
      <c r="F60" s="5">
        <v>14</v>
      </c>
      <c r="G60" s="5" t="s">
        <v>244</v>
      </c>
      <c r="H60" s="5" t="s">
        <v>2169</v>
      </c>
      <c r="K60" s="5">
        <v>37</v>
      </c>
      <c r="L60" s="5">
        <v>14</v>
      </c>
      <c r="P60" s="5">
        <v>8</v>
      </c>
      <c r="Q60" s="5">
        <v>22</v>
      </c>
      <c r="R60" s="5">
        <v>12</v>
      </c>
      <c r="S60" s="5">
        <v>11</v>
      </c>
      <c r="T60" s="5">
        <v>3</v>
      </c>
      <c r="W60" s="5">
        <v>80</v>
      </c>
      <c r="Y60" s="5">
        <v>2</v>
      </c>
      <c r="Z60" s="5">
        <v>2</v>
      </c>
      <c r="AA60" s="5">
        <v>1</v>
      </c>
      <c r="AC60" s="5">
        <v>1</v>
      </c>
    </row>
    <row r="61" spans="1:36" hidden="1" x14ac:dyDescent="0.3">
      <c r="A61" s="15" t="s">
        <v>335</v>
      </c>
      <c r="B61" s="14" t="s">
        <v>2151</v>
      </c>
      <c r="C61" s="5">
        <v>7.02</v>
      </c>
      <c r="D61" s="5" t="s">
        <v>0</v>
      </c>
      <c r="E61" s="5" t="s">
        <v>237</v>
      </c>
      <c r="F61" s="5">
        <v>12</v>
      </c>
      <c r="G61" s="5" t="s">
        <v>286</v>
      </c>
      <c r="H61" s="5" t="s">
        <v>2169</v>
      </c>
      <c r="K61" s="5">
        <v>34</v>
      </c>
      <c r="L61" s="5">
        <v>12</v>
      </c>
      <c r="P61" s="5">
        <v>8</v>
      </c>
      <c r="Q61" s="5">
        <v>16</v>
      </c>
      <c r="R61" s="5">
        <v>16</v>
      </c>
      <c r="S61" s="5">
        <v>8</v>
      </c>
      <c r="T61" s="5">
        <v>4</v>
      </c>
      <c r="W61" s="5">
        <v>80</v>
      </c>
      <c r="Y61" s="5">
        <v>2</v>
      </c>
      <c r="Z61" s="5">
        <v>2</v>
      </c>
      <c r="AA61" s="5">
        <v>1</v>
      </c>
      <c r="AC61" s="5">
        <v>1</v>
      </c>
    </row>
    <row r="62" spans="1:36" hidden="1" x14ac:dyDescent="0.3">
      <c r="A62" s="15" t="s">
        <v>2199</v>
      </c>
      <c r="B62" s="14" t="s">
        <v>2151</v>
      </c>
      <c r="C62" s="5">
        <v>8.19</v>
      </c>
      <c r="D62" s="5" t="s">
        <v>0</v>
      </c>
      <c r="E62" s="5" t="s">
        <v>237</v>
      </c>
      <c r="F62" s="5">
        <v>14</v>
      </c>
      <c r="G62" s="5" t="s">
        <v>244</v>
      </c>
      <c r="H62" s="5" t="s">
        <v>2169</v>
      </c>
      <c r="K62" s="5">
        <v>40</v>
      </c>
      <c r="L62" s="5">
        <v>14</v>
      </c>
      <c r="P62" s="5">
        <v>8</v>
      </c>
      <c r="Q62" s="5">
        <v>20</v>
      </c>
      <c r="R62" s="5">
        <v>16</v>
      </c>
      <c r="S62" s="5">
        <v>10</v>
      </c>
      <c r="T62" s="5">
        <v>4</v>
      </c>
      <c r="W62" s="5">
        <v>80</v>
      </c>
      <c r="Y62" s="5">
        <v>2</v>
      </c>
      <c r="Z62" s="5">
        <v>2</v>
      </c>
      <c r="AA62" s="5">
        <v>1</v>
      </c>
      <c r="AC62" s="5">
        <v>1</v>
      </c>
    </row>
    <row r="63" spans="1:36" hidden="1" x14ac:dyDescent="0.3">
      <c r="A63" s="15" t="s">
        <v>369</v>
      </c>
      <c r="B63" s="14" t="s">
        <v>2151</v>
      </c>
      <c r="C63" s="5">
        <v>8.7750000000000004</v>
      </c>
      <c r="D63" s="5" t="s">
        <v>0</v>
      </c>
      <c r="E63" s="5" t="s">
        <v>237</v>
      </c>
      <c r="F63" s="5">
        <v>15.000000000000002</v>
      </c>
      <c r="G63" s="5" t="s">
        <v>364</v>
      </c>
      <c r="H63" s="5" t="s">
        <v>2169</v>
      </c>
      <c r="K63" s="5">
        <v>42</v>
      </c>
      <c r="L63" s="5">
        <v>15</v>
      </c>
      <c r="P63" s="5">
        <v>8</v>
      </c>
      <c r="Q63" s="5">
        <v>20</v>
      </c>
      <c r="R63" s="5">
        <v>20</v>
      </c>
      <c r="S63" s="5">
        <v>10</v>
      </c>
      <c r="T63" s="5">
        <v>5</v>
      </c>
      <c r="W63" s="5">
        <v>80</v>
      </c>
      <c r="Y63" s="5">
        <v>2</v>
      </c>
      <c r="Z63" s="5">
        <v>2</v>
      </c>
      <c r="AA63" s="5">
        <v>1</v>
      </c>
    </row>
    <row r="64" spans="1:36" hidden="1" x14ac:dyDescent="0.3">
      <c r="A64" s="15" t="s">
        <v>2200</v>
      </c>
      <c r="B64" s="14" t="s">
        <v>2151</v>
      </c>
      <c r="C64" s="5">
        <v>8.7750000000000004</v>
      </c>
      <c r="D64" s="5" t="s">
        <v>0</v>
      </c>
      <c r="E64" s="5" t="s">
        <v>237</v>
      </c>
      <c r="F64" s="5">
        <v>15.000000000000002</v>
      </c>
      <c r="G64" s="5" t="s">
        <v>364</v>
      </c>
      <c r="H64" s="5" t="s">
        <v>2169</v>
      </c>
      <c r="K64" s="5">
        <v>42</v>
      </c>
      <c r="L64" s="5">
        <v>15</v>
      </c>
      <c r="P64" s="5">
        <v>8</v>
      </c>
      <c r="Q64" s="5">
        <v>22</v>
      </c>
      <c r="R64" s="5">
        <v>16</v>
      </c>
      <c r="S64" s="5">
        <v>11</v>
      </c>
      <c r="T64" s="5">
        <v>4</v>
      </c>
      <c r="W64" s="5">
        <v>80</v>
      </c>
      <c r="Y64" s="5">
        <v>2</v>
      </c>
      <c r="Z64" s="5">
        <v>2</v>
      </c>
      <c r="AA64" s="5">
        <v>1</v>
      </c>
    </row>
    <row r="65" spans="1:31" hidden="1" x14ac:dyDescent="0.3">
      <c r="A65" s="15" t="s">
        <v>374</v>
      </c>
      <c r="B65" s="14" t="s">
        <v>2151</v>
      </c>
      <c r="C65" s="5">
        <v>17.55</v>
      </c>
      <c r="D65" s="5" t="s">
        <v>0</v>
      </c>
      <c r="E65" s="5" t="s">
        <v>237</v>
      </c>
      <c r="F65" s="5">
        <v>30.000000000000004</v>
      </c>
      <c r="G65" s="5" t="s">
        <v>143</v>
      </c>
      <c r="H65" s="5" t="s">
        <v>2170</v>
      </c>
      <c r="I65" s="5">
        <v>70</v>
      </c>
      <c r="Q65" s="5">
        <v>50</v>
      </c>
      <c r="R65" s="5">
        <v>20</v>
      </c>
      <c r="S65" s="5">
        <v>25</v>
      </c>
      <c r="T65" s="5">
        <v>5</v>
      </c>
      <c r="W65" s="5">
        <v>80</v>
      </c>
      <c r="Y65" s="5">
        <v>2</v>
      </c>
      <c r="Z65" s="5">
        <v>2</v>
      </c>
      <c r="AA65" s="5">
        <v>1</v>
      </c>
      <c r="AE65" s="5" t="s">
        <v>2193</v>
      </c>
    </row>
    <row r="66" spans="1:31" hidden="1" x14ac:dyDescent="0.3">
      <c r="A66" s="15" t="s">
        <v>2201</v>
      </c>
      <c r="B66" s="14" t="s">
        <v>2151</v>
      </c>
      <c r="C66" s="5">
        <v>6.4349999999999996</v>
      </c>
      <c r="D66" s="5" t="s">
        <v>0</v>
      </c>
      <c r="E66" s="5" t="s">
        <v>237</v>
      </c>
      <c r="F66" s="5">
        <v>11</v>
      </c>
      <c r="G66" s="5" t="s">
        <v>380</v>
      </c>
      <c r="H66" s="5" t="s">
        <v>2174</v>
      </c>
      <c r="K66" s="5">
        <v>31</v>
      </c>
      <c r="L66" s="5">
        <v>11</v>
      </c>
      <c r="P66" s="5">
        <v>14</v>
      </c>
      <c r="Q66" s="5">
        <v>14</v>
      </c>
      <c r="R66" s="5">
        <v>16</v>
      </c>
      <c r="S66" s="5">
        <v>7</v>
      </c>
      <c r="T66" s="5">
        <v>4</v>
      </c>
      <c r="W66" s="5">
        <v>80</v>
      </c>
      <c r="Y66" s="5">
        <v>2</v>
      </c>
      <c r="Z66" s="5">
        <v>2</v>
      </c>
      <c r="AA66" s="5">
        <v>1</v>
      </c>
    </row>
    <row r="67" spans="1:31" hidden="1" x14ac:dyDescent="0.3">
      <c r="A67" s="15" t="s">
        <v>385</v>
      </c>
      <c r="B67" s="14" t="s">
        <v>2151</v>
      </c>
      <c r="C67" s="5">
        <v>14.625</v>
      </c>
      <c r="D67" s="5" t="s">
        <v>0</v>
      </c>
      <c r="E67" s="5" t="s">
        <v>237</v>
      </c>
      <c r="F67" s="5">
        <v>25</v>
      </c>
      <c r="G67" s="5" t="s">
        <v>143</v>
      </c>
      <c r="H67" s="5" t="s">
        <v>2169</v>
      </c>
      <c r="K67" s="5">
        <v>70</v>
      </c>
      <c r="L67" s="5">
        <v>25</v>
      </c>
      <c r="P67" s="5">
        <v>20</v>
      </c>
      <c r="Q67" s="5">
        <v>42</v>
      </c>
      <c r="R67" s="5">
        <v>16</v>
      </c>
      <c r="S67" s="5">
        <v>21</v>
      </c>
      <c r="T67" s="5">
        <v>4</v>
      </c>
      <c r="W67" s="5">
        <v>80</v>
      </c>
      <c r="Y67" s="5">
        <v>2</v>
      </c>
      <c r="Z67" s="5">
        <v>2</v>
      </c>
      <c r="AA67" s="5">
        <v>1</v>
      </c>
      <c r="AE67" s="5" t="s">
        <v>2193</v>
      </c>
    </row>
    <row r="68" spans="1:31" hidden="1" x14ac:dyDescent="0.3">
      <c r="A68" s="15" t="s">
        <v>392</v>
      </c>
      <c r="B68" s="14" t="s">
        <v>2151</v>
      </c>
      <c r="C68" s="5">
        <v>17.55</v>
      </c>
      <c r="D68" s="5" t="s">
        <v>0</v>
      </c>
      <c r="E68" s="5" t="s">
        <v>237</v>
      </c>
      <c r="F68" s="5">
        <v>30.000000000000004</v>
      </c>
      <c r="G68" s="5" t="s">
        <v>143</v>
      </c>
      <c r="H68" s="5" t="s">
        <v>2169</v>
      </c>
      <c r="K68" s="5">
        <v>84</v>
      </c>
      <c r="L68" s="5">
        <v>30</v>
      </c>
      <c r="P68" s="5">
        <v>15</v>
      </c>
      <c r="Q68" s="5">
        <v>40</v>
      </c>
      <c r="R68" s="5">
        <v>38</v>
      </c>
      <c r="S68" s="5">
        <v>21</v>
      </c>
      <c r="T68" s="5">
        <v>11</v>
      </c>
      <c r="W68" s="5">
        <v>80</v>
      </c>
      <c r="Y68" s="5">
        <v>2</v>
      </c>
      <c r="Z68" s="5">
        <v>2</v>
      </c>
      <c r="AA68" s="5">
        <v>1</v>
      </c>
      <c r="AE68" s="5" t="s">
        <v>2193</v>
      </c>
    </row>
    <row r="69" spans="1:31" hidden="1" x14ac:dyDescent="0.3">
      <c r="A69" s="15" t="s">
        <v>399</v>
      </c>
      <c r="B69" s="14" t="s">
        <v>2151</v>
      </c>
      <c r="C69" s="5">
        <v>17.55</v>
      </c>
      <c r="D69" s="5" t="s">
        <v>0</v>
      </c>
      <c r="E69" s="5" t="s">
        <v>237</v>
      </c>
      <c r="F69" s="5">
        <v>30.000000000000004</v>
      </c>
      <c r="G69" s="5" t="s">
        <v>143</v>
      </c>
      <c r="H69" s="5" t="s">
        <v>2174</v>
      </c>
      <c r="K69" s="5">
        <v>84</v>
      </c>
      <c r="L69" s="5">
        <v>30</v>
      </c>
      <c r="P69" s="5">
        <v>44</v>
      </c>
      <c r="Q69" s="5">
        <v>42</v>
      </c>
      <c r="R69" s="5">
        <v>40</v>
      </c>
      <c r="S69" s="5">
        <v>21</v>
      </c>
      <c r="T69" s="5">
        <v>11</v>
      </c>
    </row>
    <row r="70" spans="1:31" hidden="1" x14ac:dyDescent="0.3">
      <c r="A70" s="15" t="s">
        <v>404</v>
      </c>
      <c r="B70" s="14" t="s">
        <v>2151</v>
      </c>
      <c r="C70" s="5">
        <v>15.795</v>
      </c>
      <c r="D70" s="5" t="s">
        <v>0</v>
      </c>
      <c r="E70" s="5" t="s">
        <v>237</v>
      </c>
      <c r="F70" s="5">
        <v>27</v>
      </c>
      <c r="G70" s="5" t="s">
        <v>143</v>
      </c>
      <c r="H70" s="5" t="s">
        <v>2169</v>
      </c>
      <c r="K70" s="5">
        <v>76</v>
      </c>
      <c r="L70" s="5">
        <v>27</v>
      </c>
      <c r="P70" s="5">
        <v>24</v>
      </c>
      <c r="Q70" s="5">
        <v>50</v>
      </c>
      <c r="R70" s="5">
        <v>8</v>
      </c>
      <c r="S70" s="5">
        <v>25</v>
      </c>
      <c r="T70" s="5">
        <v>2</v>
      </c>
      <c r="W70" s="5">
        <v>80</v>
      </c>
      <c r="Y70" s="5">
        <v>2</v>
      </c>
      <c r="Z70" s="5">
        <v>2</v>
      </c>
      <c r="AA70" s="5">
        <v>1</v>
      </c>
      <c r="AE70" s="5" t="s">
        <v>2193</v>
      </c>
    </row>
    <row r="71" spans="1:31" x14ac:dyDescent="0.3">
      <c r="A71" s="15" t="s">
        <v>397</v>
      </c>
      <c r="B71" s="14" t="s">
        <v>2151</v>
      </c>
      <c r="C71" s="5">
        <v>26.91</v>
      </c>
      <c r="D71" s="5" t="s">
        <v>1</v>
      </c>
      <c r="E71" s="5" t="s">
        <v>237</v>
      </c>
      <c r="F71" s="5">
        <v>46</v>
      </c>
      <c r="G71" s="5" t="s">
        <v>341</v>
      </c>
      <c r="H71" s="5" t="s">
        <v>2178</v>
      </c>
      <c r="J71" s="5">
        <v>116</v>
      </c>
      <c r="K71" s="5">
        <v>6</v>
      </c>
      <c r="L71" s="5">
        <v>2</v>
      </c>
      <c r="P71" s="5">
        <v>0</v>
      </c>
      <c r="Q71" s="5">
        <v>68</v>
      </c>
      <c r="R71" s="5">
        <v>48</v>
      </c>
      <c r="S71" s="5">
        <v>46</v>
      </c>
      <c r="T71" s="5">
        <v>15</v>
      </c>
      <c r="AE71" s="5" t="s">
        <v>2193</v>
      </c>
    </row>
    <row r="72" spans="1:31" x14ac:dyDescent="0.3">
      <c r="A72" s="15" t="s">
        <v>2202</v>
      </c>
      <c r="B72" s="14" t="s">
        <v>2151</v>
      </c>
      <c r="C72" s="5">
        <v>345.15</v>
      </c>
      <c r="D72" s="5" t="s">
        <v>1</v>
      </c>
      <c r="E72" s="5" t="s">
        <v>237</v>
      </c>
      <c r="F72" s="5">
        <v>590</v>
      </c>
      <c r="G72" s="5" t="s">
        <v>413</v>
      </c>
      <c r="H72" s="5" t="s">
        <v>2170</v>
      </c>
      <c r="I72" s="5">
        <v>1326</v>
      </c>
      <c r="K72" s="5">
        <v>0</v>
      </c>
      <c r="Q72" s="5">
        <v>1118</v>
      </c>
      <c r="R72" s="5">
        <v>124</v>
      </c>
      <c r="S72" s="5">
        <v>1118</v>
      </c>
      <c r="T72" s="5">
        <v>34</v>
      </c>
      <c r="AE72" s="5" t="s">
        <v>2203</v>
      </c>
    </row>
    <row r="73" spans="1:31" hidden="1" x14ac:dyDescent="0.3">
      <c r="A73" s="15" t="s">
        <v>453</v>
      </c>
      <c r="B73" s="14" t="s">
        <v>2151</v>
      </c>
      <c r="C73" s="5">
        <v>17.55</v>
      </c>
      <c r="D73" s="5" t="s">
        <v>0</v>
      </c>
      <c r="E73" s="5" t="s">
        <v>237</v>
      </c>
      <c r="F73" s="5">
        <v>30.000000000000004</v>
      </c>
      <c r="G73" s="5" t="s">
        <v>143</v>
      </c>
      <c r="H73" s="5" t="s">
        <v>2170</v>
      </c>
      <c r="K73" s="5">
        <v>84</v>
      </c>
      <c r="L73" s="5">
        <v>30</v>
      </c>
      <c r="P73" s="5">
        <v>24</v>
      </c>
      <c r="Q73" s="5">
        <v>54</v>
      </c>
      <c r="R73" s="5">
        <v>12</v>
      </c>
      <c r="S73" s="5">
        <v>27</v>
      </c>
      <c r="T73" s="5">
        <v>4</v>
      </c>
    </row>
    <row r="74" spans="1:31" hidden="1" x14ac:dyDescent="0.3">
      <c r="A74" s="15" t="s">
        <v>420</v>
      </c>
      <c r="B74" s="14" t="s">
        <v>2151</v>
      </c>
      <c r="C74" s="5">
        <v>12.285</v>
      </c>
      <c r="D74" s="5" t="s">
        <v>0</v>
      </c>
      <c r="E74" s="5" t="s">
        <v>237</v>
      </c>
      <c r="F74" s="5">
        <v>21</v>
      </c>
      <c r="G74" s="5" t="s">
        <v>364</v>
      </c>
      <c r="H74" s="5" t="s">
        <v>2169</v>
      </c>
      <c r="K74" s="5">
        <v>56</v>
      </c>
      <c r="L74" s="5">
        <v>20</v>
      </c>
      <c r="P74" s="5">
        <v>12</v>
      </c>
      <c r="Q74" s="5">
        <v>28</v>
      </c>
      <c r="R74" s="5">
        <v>16</v>
      </c>
      <c r="S74" s="5">
        <v>14</v>
      </c>
      <c r="T74" s="5">
        <v>5</v>
      </c>
    </row>
    <row r="75" spans="1:31" hidden="1" x14ac:dyDescent="0.3">
      <c r="A75" s="15" t="s">
        <v>415</v>
      </c>
      <c r="B75" s="14" t="s">
        <v>2151</v>
      </c>
      <c r="C75" s="5">
        <v>7.6050000000000004</v>
      </c>
      <c r="D75" s="5" t="s">
        <v>0</v>
      </c>
      <c r="E75" s="5" t="s">
        <v>237</v>
      </c>
      <c r="F75" s="5">
        <v>13.000000000000002</v>
      </c>
      <c r="G75" s="5" t="s">
        <v>244</v>
      </c>
      <c r="K75" s="5">
        <v>59</v>
      </c>
      <c r="L75" s="5">
        <v>21</v>
      </c>
      <c r="P75" s="5">
        <v>8</v>
      </c>
      <c r="Q75" s="5">
        <v>14</v>
      </c>
      <c r="R75" s="5">
        <v>24</v>
      </c>
      <c r="S75" s="5">
        <v>7</v>
      </c>
      <c r="T75" s="5">
        <v>7</v>
      </c>
    </row>
    <row r="76" spans="1:31" hidden="1" x14ac:dyDescent="0.3">
      <c r="A76" s="15" t="s">
        <v>2204</v>
      </c>
      <c r="B76" s="14" t="s">
        <v>2151</v>
      </c>
      <c r="C76" s="5">
        <v>13.455</v>
      </c>
      <c r="D76" s="5" t="s">
        <v>0</v>
      </c>
      <c r="E76" s="5" t="s">
        <v>237</v>
      </c>
      <c r="F76" s="5">
        <v>23</v>
      </c>
      <c r="G76" s="5" t="s">
        <v>111</v>
      </c>
      <c r="H76" s="5" t="s">
        <v>2169</v>
      </c>
      <c r="K76" s="5">
        <v>82</v>
      </c>
      <c r="L76" s="5">
        <v>29</v>
      </c>
      <c r="P76" s="5">
        <v>14</v>
      </c>
      <c r="Q76" s="5">
        <v>28</v>
      </c>
      <c r="R76" s="5">
        <v>48</v>
      </c>
      <c r="S76" s="5">
        <v>15</v>
      </c>
      <c r="T76" s="5">
        <v>9</v>
      </c>
      <c r="W76" s="5">
        <v>80</v>
      </c>
      <c r="Y76" s="5">
        <v>8</v>
      </c>
      <c r="Z76" s="5">
        <v>8</v>
      </c>
      <c r="AA76" s="5">
        <v>1</v>
      </c>
    </row>
    <row r="77" spans="1:31" hidden="1" x14ac:dyDescent="0.3">
      <c r="A77" s="15" t="s">
        <v>426</v>
      </c>
      <c r="B77" s="14" t="s">
        <v>2151</v>
      </c>
      <c r="C77" s="5">
        <v>9.36</v>
      </c>
      <c r="D77" s="5" t="s">
        <v>0</v>
      </c>
      <c r="E77" s="5" t="s">
        <v>237</v>
      </c>
      <c r="F77" s="5">
        <v>16</v>
      </c>
      <c r="G77" s="5" t="s">
        <v>364</v>
      </c>
      <c r="K77" s="5">
        <v>45</v>
      </c>
      <c r="L77" s="5">
        <v>16</v>
      </c>
      <c r="P77" s="5">
        <v>8</v>
      </c>
      <c r="Q77" s="5">
        <v>24</v>
      </c>
      <c r="R77" s="5">
        <v>16</v>
      </c>
      <c r="S77" s="5">
        <v>12</v>
      </c>
      <c r="T77" s="5">
        <v>5</v>
      </c>
    </row>
    <row r="78" spans="1:31" hidden="1" x14ac:dyDescent="0.3">
      <c r="A78" s="15" t="s">
        <v>436</v>
      </c>
      <c r="B78" s="14" t="s">
        <v>2151</v>
      </c>
      <c r="C78" s="5">
        <v>9.36</v>
      </c>
      <c r="D78" s="5" t="s">
        <v>0</v>
      </c>
      <c r="E78" s="5" t="s">
        <v>237</v>
      </c>
      <c r="F78" s="5">
        <v>16</v>
      </c>
      <c r="G78" s="5" t="s">
        <v>364</v>
      </c>
      <c r="K78" s="5">
        <v>0</v>
      </c>
    </row>
    <row r="79" spans="1:31" hidden="1" x14ac:dyDescent="0.3">
      <c r="A79" s="15" t="s">
        <v>441</v>
      </c>
      <c r="B79" s="14" t="s">
        <v>2151</v>
      </c>
      <c r="C79" s="5">
        <v>7.02</v>
      </c>
      <c r="D79" s="5" t="s">
        <v>0</v>
      </c>
      <c r="E79" s="5" t="s">
        <v>237</v>
      </c>
      <c r="F79" s="5">
        <v>12</v>
      </c>
      <c r="G79" s="5" t="s">
        <v>286</v>
      </c>
      <c r="K79" s="5">
        <v>0</v>
      </c>
    </row>
    <row r="80" spans="1:31" hidden="1" x14ac:dyDescent="0.3">
      <c r="A80" s="15" t="s">
        <v>443</v>
      </c>
      <c r="B80" s="14" t="s">
        <v>2151</v>
      </c>
      <c r="C80" s="5">
        <v>8.7750000000000004</v>
      </c>
      <c r="D80" s="5" t="s">
        <v>0</v>
      </c>
      <c r="E80" s="5" t="s">
        <v>237</v>
      </c>
      <c r="F80" s="5">
        <v>15.000000000000002</v>
      </c>
      <c r="G80" s="5" t="s">
        <v>364</v>
      </c>
      <c r="H80" s="5" t="s">
        <v>2169</v>
      </c>
      <c r="K80" s="5">
        <v>56</v>
      </c>
      <c r="L80" s="5">
        <v>20</v>
      </c>
      <c r="P80" s="5">
        <v>10</v>
      </c>
      <c r="Q80" s="5">
        <v>20</v>
      </c>
      <c r="R80" s="5">
        <v>22</v>
      </c>
      <c r="S80" s="5">
        <v>10</v>
      </c>
      <c r="T80" s="5">
        <v>6</v>
      </c>
    </row>
    <row r="81" spans="1:31" hidden="1" x14ac:dyDescent="0.3">
      <c r="A81" s="15" t="s">
        <v>2205</v>
      </c>
      <c r="B81" s="14" t="s">
        <v>2151</v>
      </c>
      <c r="C81" s="5">
        <v>8.19</v>
      </c>
      <c r="D81" s="5" t="s">
        <v>0</v>
      </c>
      <c r="E81" s="5" t="s">
        <v>237</v>
      </c>
      <c r="F81" s="5">
        <v>14</v>
      </c>
      <c r="G81" s="5" t="s">
        <v>244</v>
      </c>
      <c r="H81" s="5" t="s">
        <v>2169</v>
      </c>
      <c r="K81" s="5">
        <v>45</v>
      </c>
      <c r="L81" s="5">
        <v>16</v>
      </c>
      <c r="P81" s="5">
        <v>10</v>
      </c>
      <c r="Q81" s="5">
        <v>22</v>
      </c>
      <c r="R81" s="5">
        <v>12</v>
      </c>
      <c r="S81" s="5">
        <v>11</v>
      </c>
      <c r="T81" s="5">
        <v>4</v>
      </c>
    </row>
    <row r="82" spans="1:31" hidden="1" x14ac:dyDescent="0.3">
      <c r="A82" s="15" t="s">
        <v>458</v>
      </c>
      <c r="B82" s="14" t="s">
        <v>2151</v>
      </c>
      <c r="C82" s="5">
        <v>13.455</v>
      </c>
      <c r="D82" s="5" t="s">
        <v>0</v>
      </c>
      <c r="E82" s="5" t="s">
        <v>237</v>
      </c>
      <c r="F82" s="5">
        <v>23</v>
      </c>
      <c r="G82" s="5" t="s">
        <v>111</v>
      </c>
      <c r="K82" s="5">
        <v>0</v>
      </c>
    </row>
    <row r="83" spans="1:31" hidden="1" x14ac:dyDescent="0.3">
      <c r="A83" s="15" t="s">
        <v>463</v>
      </c>
      <c r="B83" s="14" t="s">
        <v>2151</v>
      </c>
      <c r="C83" s="5">
        <v>7.02</v>
      </c>
      <c r="D83" s="5" t="s">
        <v>0</v>
      </c>
      <c r="E83" s="5" t="s">
        <v>237</v>
      </c>
      <c r="F83" s="5">
        <v>12</v>
      </c>
      <c r="G83" s="5" t="s">
        <v>286</v>
      </c>
      <c r="H83" s="5" t="s">
        <v>2169</v>
      </c>
      <c r="K83" s="5">
        <v>45</v>
      </c>
      <c r="L83" s="5">
        <v>16</v>
      </c>
      <c r="P83" s="5">
        <v>9</v>
      </c>
      <c r="Q83" s="5">
        <v>20</v>
      </c>
      <c r="R83" s="5">
        <v>12</v>
      </c>
      <c r="S83" s="5">
        <v>11</v>
      </c>
      <c r="T83" s="5">
        <v>5</v>
      </c>
    </row>
    <row r="84" spans="1:31" hidden="1" x14ac:dyDescent="0.3">
      <c r="A84" s="15" t="s">
        <v>468</v>
      </c>
      <c r="B84" s="14" t="s">
        <v>2151</v>
      </c>
      <c r="C84" s="5">
        <v>12.285</v>
      </c>
      <c r="D84" s="5" t="s">
        <v>0</v>
      </c>
      <c r="E84" s="5" t="s">
        <v>237</v>
      </c>
      <c r="F84" s="5">
        <v>21</v>
      </c>
      <c r="G84" s="5" t="s">
        <v>111</v>
      </c>
      <c r="H84" s="5" t="s">
        <v>2169</v>
      </c>
      <c r="K84" s="5">
        <v>0</v>
      </c>
    </row>
    <row r="85" spans="1:31" hidden="1" x14ac:dyDescent="0.3">
      <c r="A85" s="15" t="s">
        <v>473</v>
      </c>
      <c r="B85" s="14" t="s">
        <v>2151</v>
      </c>
      <c r="C85" s="5">
        <v>8.7750000000000004</v>
      </c>
      <c r="D85" s="5" t="s">
        <v>0</v>
      </c>
      <c r="E85" s="5" t="s">
        <v>237</v>
      </c>
      <c r="F85" s="5">
        <v>14</v>
      </c>
      <c r="G85" s="5" t="s">
        <v>75</v>
      </c>
      <c r="H85" s="5" t="s">
        <v>2169</v>
      </c>
      <c r="K85" s="5">
        <v>0</v>
      </c>
    </row>
    <row r="86" spans="1:31" hidden="1" x14ac:dyDescent="0.3">
      <c r="A86" s="15" t="s">
        <v>478</v>
      </c>
      <c r="B86" s="14" t="s">
        <v>2151</v>
      </c>
      <c r="C86" s="5">
        <v>14.04</v>
      </c>
      <c r="D86" s="5" t="s">
        <v>0</v>
      </c>
      <c r="E86" s="5" t="s">
        <v>237</v>
      </c>
      <c r="F86" s="5">
        <v>24</v>
      </c>
      <c r="G86" s="5" t="s">
        <v>143</v>
      </c>
      <c r="H86" s="5" t="s">
        <v>2170</v>
      </c>
      <c r="I86" s="5">
        <v>68</v>
      </c>
      <c r="K86" s="5">
        <v>0</v>
      </c>
      <c r="Q86" s="5">
        <v>28</v>
      </c>
      <c r="R86" s="5">
        <v>40</v>
      </c>
      <c r="S86" s="5">
        <v>14</v>
      </c>
      <c r="T86" s="5">
        <v>10</v>
      </c>
      <c r="W86" s="5">
        <v>80</v>
      </c>
      <c r="Y86" s="5">
        <v>8</v>
      </c>
      <c r="Z86" s="5">
        <v>8</v>
      </c>
      <c r="AA86" s="5">
        <v>1</v>
      </c>
      <c r="AE86" s="5" t="s">
        <v>2193</v>
      </c>
    </row>
    <row r="87" spans="1:31" hidden="1" x14ac:dyDescent="0.3">
      <c r="A87" s="15" t="s">
        <v>483</v>
      </c>
      <c r="B87" s="14" t="s">
        <v>2151</v>
      </c>
      <c r="C87" s="5">
        <v>11.7</v>
      </c>
      <c r="D87" s="5" t="s">
        <v>0</v>
      </c>
      <c r="E87" s="5" t="s">
        <v>237</v>
      </c>
      <c r="F87" s="5">
        <v>20</v>
      </c>
      <c r="G87" s="5" t="s">
        <v>111</v>
      </c>
      <c r="H87" s="5" t="s">
        <v>2169</v>
      </c>
      <c r="K87" s="5">
        <v>0</v>
      </c>
    </row>
    <row r="88" spans="1:31" hidden="1" x14ac:dyDescent="0.3">
      <c r="A88" s="15" t="s">
        <v>488</v>
      </c>
      <c r="B88" s="14" t="s">
        <v>2151</v>
      </c>
      <c r="C88" s="5">
        <v>7.02</v>
      </c>
      <c r="D88" s="5" t="s">
        <v>0</v>
      </c>
      <c r="E88" s="5" t="s">
        <v>237</v>
      </c>
      <c r="F88" s="5">
        <v>12</v>
      </c>
      <c r="G88" s="5" t="s">
        <v>286</v>
      </c>
      <c r="H88" s="5" t="s">
        <v>2169</v>
      </c>
      <c r="K88" s="5">
        <v>34</v>
      </c>
      <c r="L88" s="5">
        <v>12</v>
      </c>
      <c r="P88" s="5">
        <v>6</v>
      </c>
      <c r="Q88" s="5">
        <v>18</v>
      </c>
      <c r="R88" s="5">
        <v>12</v>
      </c>
      <c r="S88" s="5">
        <v>9</v>
      </c>
      <c r="T88" s="5">
        <v>4</v>
      </c>
    </row>
    <row r="89" spans="1:31" hidden="1" x14ac:dyDescent="0.3">
      <c r="A89" s="15" t="s">
        <v>493</v>
      </c>
      <c r="B89" s="14" t="s">
        <v>2151</v>
      </c>
      <c r="C89" s="5">
        <v>9.36</v>
      </c>
      <c r="D89" s="5" t="s">
        <v>0</v>
      </c>
      <c r="E89" s="5" t="s">
        <v>237</v>
      </c>
      <c r="F89" s="5">
        <v>16</v>
      </c>
      <c r="G89" s="5" t="s">
        <v>364</v>
      </c>
      <c r="H89" s="5" t="s">
        <v>2170</v>
      </c>
      <c r="I89" s="5">
        <v>62</v>
      </c>
      <c r="K89" s="5">
        <v>0</v>
      </c>
      <c r="L89" s="5">
        <v>22</v>
      </c>
      <c r="P89" s="5">
        <v>16</v>
      </c>
      <c r="Q89" s="5">
        <v>26</v>
      </c>
      <c r="R89" s="5">
        <v>12</v>
      </c>
      <c r="S89" s="5">
        <v>13</v>
      </c>
      <c r="T89" s="5">
        <v>4</v>
      </c>
    </row>
    <row r="90" spans="1:31" hidden="1" x14ac:dyDescent="0.3">
      <c r="A90" s="15" t="s">
        <v>498</v>
      </c>
      <c r="B90" s="14" t="s">
        <v>2151</v>
      </c>
      <c r="C90" s="5">
        <v>12.285</v>
      </c>
      <c r="D90" s="5" t="s">
        <v>0</v>
      </c>
      <c r="E90" s="5" t="s">
        <v>237</v>
      </c>
      <c r="F90" s="5">
        <v>21</v>
      </c>
      <c r="G90" s="5" t="s">
        <v>111</v>
      </c>
      <c r="H90" s="5" t="s">
        <v>2178</v>
      </c>
      <c r="J90" s="5">
        <v>62</v>
      </c>
      <c r="K90" s="5">
        <v>0</v>
      </c>
      <c r="L90" s="5">
        <v>22</v>
      </c>
      <c r="P90" s="5">
        <v>0</v>
      </c>
      <c r="Q90" s="5">
        <v>20</v>
      </c>
      <c r="R90" s="5">
        <v>44</v>
      </c>
      <c r="S90" s="5">
        <v>10</v>
      </c>
      <c r="T90" s="5">
        <v>12</v>
      </c>
    </row>
    <row r="91" spans="1:31" hidden="1" x14ac:dyDescent="0.3">
      <c r="A91" s="15" t="s">
        <v>505</v>
      </c>
      <c r="B91" s="14" t="s">
        <v>2151</v>
      </c>
      <c r="C91" s="5">
        <v>9.36</v>
      </c>
      <c r="D91" s="5" t="s">
        <v>0</v>
      </c>
      <c r="E91" s="5" t="s">
        <v>237</v>
      </c>
      <c r="F91" s="5">
        <v>16</v>
      </c>
      <c r="G91" s="5" t="s">
        <v>364</v>
      </c>
      <c r="H91" s="5" t="s">
        <v>2169</v>
      </c>
      <c r="K91" s="5">
        <v>56</v>
      </c>
      <c r="L91" s="5">
        <v>20</v>
      </c>
      <c r="P91" s="5">
        <v>12</v>
      </c>
      <c r="Q91" s="5">
        <v>24</v>
      </c>
      <c r="R91" s="5">
        <v>16</v>
      </c>
      <c r="S91" s="5">
        <v>12</v>
      </c>
      <c r="T91" s="5">
        <v>5</v>
      </c>
    </row>
    <row r="92" spans="1:31" hidden="1" x14ac:dyDescent="0.3">
      <c r="A92" s="15" t="s">
        <v>510</v>
      </c>
      <c r="B92" s="14" t="s">
        <v>2151</v>
      </c>
      <c r="C92" s="5">
        <v>14.04</v>
      </c>
      <c r="D92" s="5" t="s">
        <v>0</v>
      </c>
      <c r="E92" s="5" t="s">
        <v>237</v>
      </c>
      <c r="F92" s="5">
        <v>24</v>
      </c>
      <c r="G92" s="5" t="s">
        <v>143</v>
      </c>
      <c r="H92" s="5" t="s">
        <v>2170</v>
      </c>
      <c r="I92" s="5">
        <v>70</v>
      </c>
      <c r="K92" s="5">
        <v>0</v>
      </c>
      <c r="L92" s="5">
        <v>24</v>
      </c>
      <c r="P92" s="5">
        <v>16</v>
      </c>
      <c r="Q92" s="5">
        <v>40</v>
      </c>
      <c r="R92" s="5">
        <v>16</v>
      </c>
      <c r="S92" s="5">
        <v>20</v>
      </c>
      <c r="T92" s="5">
        <v>5</v>
      </c>
    </row>
    <row r="93" spans="1:31" hidden="1" x14ac:dyDescent="0.3">
      <c r="A93" s="15" t="s">
        <v>515</v>
      </c>
      <c r="B93" s="14" t="s">
        <v>2151</v>
      </c>
      <c r="C93" s="5">
        <v>8.19</v>
      </c>
      <c r="D93" s="5" t="s">
        <v>0</v>
      </c>
      <c r="E93" s="5" t="s">
        <v>237</v>
      </c>
      <c r="F93" s="5">
        <v>14</v>
      </c>
      <c r="G93" s="5" t="s">
        <v>244</v>
      </c>
      <c r="H93" s="5" t="s">
        <v>2169</v>
      </c>
      <c r="K93" s="5">
        <v>45</v>
      </c>
      <c r="L93" s="5">
        <v>16</v>
      </c>
      <c r="P93" s="5">
        <v>8</v>
      </c>
      <c r="Q93" s="5">
        <v>20</v>
      </c>
      <c r="R93" s="5">
        <v>16</v>
      </c>
      <c r="S93" s="5">
        <v>10</v>
      </c>
      <c r="T93" s="5">
        <v>5</v>
      </c>
    </row>
    <row r="94" spans="1:31" hidden="1" x14ac:dyDescent="0.3">
      <c r="A94" s="15" t="s">
        <v>520</v>
      </c>
      <c r="B94" s="14" t="s">
        <v>2151</v>
      </c>
      <c r="C94" s="5">
        <v>14.04</v>
      </c>
      <c r="D94" s="5" t="s">
        <v>0</v>
      </c>
      <c r="E94" s="5" t="s">
        <v>237</v>
      </c>
      <c r="F94" s="5">
        <v>24</v>
      </c>
      <c r="G94" s="5" t="s">
        <v>143</v>
      </c>
      <c r="H94" s="5" t="s">
        <v>2169</v>
      </c>
      <c r="K94" s="5">
        <v>68</v>
      </c>
      <c r="L94" s="5">
        <v>24</v>
      </c>
      <c r="P94" s="5">
        <v>18</v>
      </c>
      <c r="Q94" s="5">
        <v>40</v>
      </c>
      <c r="R94" s="5">
        <v>16</v>
      </c>
      <c r="S94" s="5">
        <v>20</v>
      </c>
      <c r="T94" s="5">
        <v>5</v>
      </c>
    </row>
    <row r="95" spans="1:31" hidden="1" x14ac:dyDescent="0.3">
      <c r="A95" s="15" t="s">
        <v>525</v>
      </c>
      <c r="B95" s="14" t="s">
        <v>2151</v>
      </c>
      <c r="C95" s="5">
        <v>5.2649999999999997</v>
      </c>
      <c r="D95" s="5" t="s">
        <v>0</v>
      </c>
      <c r="E95" s="5" t="s">
        <v>237</v>
      </c>
      <c r="F95" s="5">
        <v>9</v>
      </c>
      <c r="G95" s="5" t="s">
        <v>309</v>
      </c>
      <c r="H95" s="5" t="s">
        <v>2169</v>
      </c>
      <c r="K95" s="5">
        <v>34</v>
      </c>
      <c r="L95" s="5">
        <v>12</v>
      </c>
      <c r="P95" s="5">
        <v>6</v>
      </c>
      <c r="Q95" s="5">
        <v>12</v>
      </c>
      <c r="R95" s="5">
        <v>12</v>
      </c>
      <c r="S95" s="5">
        <v>6</v>
      </c>
      <c r="T95" s="5">
        <v>4</v>
      </c>
    </row>
    <row r="96" spans="1:31" hidden="1" x14ac:dyDescent="0.3">
      <c r="A96" s="15" t="s">
        <v>531</v>
      </c>
      <c r="B96" s="14" t="s">
        <v>2151</v>
      </c>
      <c r="C96" s="5">
        <v>12.87</v>
      </c>
      <c r="D96" s="5" t="s">
        <v>0</v>
      </c>
      <c r="E96" s="5" t="s">
        <v>237</v>
      </c>
      <c r="F96" s="5">
        <v>22</v>
      </c>
      <c r="G96" s="5" t="s">
        <v>111</v>
      </c>
      <c r="H96" s="5" t="s">
        <v>2169</v>
      </c>
      <c r="K96" s="5">
        <v>62</v>
      </c>
      <c r="L96" s="5">
        <v>22</v>
      </c>
      <c r="P96" s="5">
        <v>10</v>
      </c>
      <c r="Q96" s="5">
        <v>32</v>
      </c>
      <c r="R96" s="5">
        <v>24</v>
      </c>
      <c r="S96" s="5">
        <v>16</v>
      </c>
      <c r="T96" s="5">
        <v>7</v>
      </c>
    </row>
    <row r="97" spans="1:20" hidden="1" x14ac:dyDescent="0.3">
      <c r="A97" s="15" t="s">
        <v>536</v>
      </c>
      <c r="B97" s="14" t="s">
        <v>2151</v>
      </c>
      <c r="C97" s="5">
        <v>12.285</v>
      </c>
      <c r="D97" s="5" t="s">
        <v>0</v>
      </c>
      <c r="E97" s="5" t="s">
        <v>237</v>
      </c>
      <c r="F97" s="5">
        <v>21</v>
      </c>
      <c r="G97" s="5" t="s">
        <v>111</v>
      </c>
      <c r="H97" s="5" t="s">
        <v>2169</v>
      </c>
      <c r="K97" s="5">
        <v>79</v>
      </c>
      <c r="L97" s="5">
        <v>28</v>
      </c>
      <c r="P97" s="5">
        <v>13</v>
      </c>
      <c r="Q97" s="5">
        <v>30</v>
      </c>
      <c r="R97" s="5">
        <v>30</v>
      </c>
      <c r="S97" s="5">
        <v>16</v>
      </c>
      <c r="T97" s="5">
        <v>6</v>
      </c>
    </row>
    <row r="98" spans="1:20" hidden="1" x14ac:dyDescent="0.3">
      <c r="A98" s="15" t="s">
        <v>541</v>
      </c>
      <c r="B98" s="14" t="s">
        <v>2151</v>
      </c>
      <c r="C98" s="5">
        <v>8.7750000000000004</v>
      </c>
      <c r="D98" s="5" t="s">
        <v>0</v>
      </c>
      <c r="E98" s="5" t="s">
        <v>237</v>
      </c>
      <c r="F98" s="5">
        <v>15.000000000000002</v>
      </c>
      <c r="G98" s="5" t="s">
        <v>364</v>
      </c>
      <c r="H98" s="5" t="s">
        <v>2170</v>
      </c>
      <c r="I98" s="5">
        <v>56</v>
      </c>
      <c r="K98" s="5">
        <v>28</v>
      </c>
      <c r="L98" s="5">
        <v>10</v>
      </c>
      <c r="P98" s="5">
        <v>5</v>
      </c>
      <c r="Q98" s="5">
        <v>20</v>
      </c>
      <c r="R98" s="5">
        <v>20</v>
      </c>
      <c r="S98" s="5">
        <v>10</v>
      </c>
      <c r="T98" s="5">
        <v>6</v>
      </c>
    </row>
    <row r="99" spans="1:20" hidden="1" x14ac:dyDescent="0.3">
      <c r="A99" s="15" t="s">
        <v>545</v>
      </c>
      <c r="B99" s="14" t="s">
        <v>2151</v>
      </c>
      <c r="C99" s="5">
        <v>14.04</v>
      </c>
      <c r="D99" s="5" t="s">
        <v>0</v>
      </c>
      <c r="E99" s="5" t="s">
        <v>237</v>
      </c>
      <c r="F99" s="5">
        <v>24</v>
      </c>
      <c r="G99" s="5" t="s">
        <v>143</v>
      </c>
      <c r="H99" s="5" t="s">
        <v>2169</v>
      </c>
      <c r="K99" s="5">
        <v>68</v>
      </c>
      <c r="L99" s="5">
        <v>24</v>
      </c>
      <c r="P99" s="5">
        <v>18</v>
      </c>
      <c r="Q99" s="5">
        <v>40</v>
      </c>
      <c r="R99" s="5">
        <v>16</v>
      </c>
      <c r="S99" s="5">
        <v>20</v>
      </c>
      <c r="T99" s="5">
        <v>5</v>
      </c>
    </row>
    <row r="100" spans="1:20" hidden="1" x14ac:dyDescent="0.3">
      <c r="A100" s="15" t="s">
        <v>550</v>
      </c>
      <c r="B100" s="14" t="s">
        <v>2151</v>
      </c>
      <c r="C100" s="5">
        <v>12.285</v>
      </c>
      <c r="D100" s="5" t="s">
        <v>0</v>
      </c>
      <c r="E100" s="5" t="s">
        <v>237</v>
      </c>
      <c r="F100" s="5">
        <v>21</v>
      </c>
      <c r="G100" s="5" t="s">
        <v>111</v>
      </c>
      <c r="H100" s="5" t="s">
        <v>2178</v>
      </c>
      <c r="K100" s="5">
        <v>68</v>
      </c>
      <c r="L100" s="5">
        <v>24</v>
      </c>
      <c r="P100" s="5">
        <v>14</v>
      </c>
      <c r="Q100" s="5">
        <v>32</v>
      </c>
      <c r="R100" s="5">
        <v>20</v>
      </c>
      <c r="S100" s="5">
        <v>16</v>
      </c>
      <c r="T100" s="5">
        <v>5</v>
      </c>
    </row>
    <row r="101" spans="1:20" hidden="1" x14ac:dyDescent="0.3">
      <c r="A101" s="15" t="s">
        <v>555</v>
      </c>
      <c r="B101" s="14" t="s">
        <v>2151</v>
      </c>
      <c r="C101" s="5">
        <v>15.21</v>
      </c>
      <c r="D101" s="5" t="s">
        <v>0</v>
      </c>
      <c r="E101" s="5" t="s">
        <v>237</v>
      </c>
      <c r="F101" s="5">
        <v>26.000000000000004</v>
      </c>
      <c r="G101" s="5" t="s">
        <v>131</v>
      </c>
      <c r="H101" s="5" t="s">
        <v>2178</v>
      </c>
      <c r="J101" s="5">
        <v>79</v>
      </c>
      <c r="K101" s="5">
        <v>0</v>
      </c>
      <c r="L101" s="5">
        <v>28</v>
      </c>
      <c r="P101" s="5">
        <v>20</v>
      </c>
      <c r="Q101" s="5">
        <v>44</v>
      </c>
      <c r="R101" s="5">
        <v>16</v>
      </c>
      <c r="S101" s="5">
        <v>12</v>
      </c>
      <c r="T101" s="5">
        <v>5</v>
      </c>
    </row>
    <row r="102" spans="1:20" hidden="1" x14ac:dyDescent="0.3">
      <c r="A102" s="15" t="s">
        <v>569</v>
      </c>
      <c r="B102" s="14" t="s">
        <v>2151</v>
      </c>
      <c r="C102" s="5">
        <v>11.7</v>
      </c>
      <c r="D102" s="5" t="s">
        <v>0</v>
      </c>
      <c r="E102" s="5" t="s">
        <v>237</v>
      </c>
      <c r="F102" s="5">
        <v>20</v>
      </c>
      <c r="G102" s="5" t="s">
        <v>111</v>
      </c>
      <c r="H102" s="5" t="s">
        <v>2169</v>
      </c>
      <c r="K102" s="5">
        <v>79</v>
      </c>
      <c r="L102" s="5">
        <v>28</v>
      </c>
      <c r="P102" s="5">
        <v>8</v>
      </c>
      <c r="Q102" s="5">
        <v>20</v>
      </c>
      <c r="R102" s="5">
        <v>40</v>
      </c>
      <c r="S102" s="5">
        <v>10</v>
      </c>
      <c r="T102" s="5">
        <v>10</v>
      </c>
    </row>
    <row r="103" spans="1:20" hidden="1" x14ac:dyDescent="0.3">
      <c r="A103" s="15" t="s">
        <v>574</v>
      </c>
      <c r="B103" s="14" t="s">
        <v>2151</v>
      </c>
      <c r="C103" s="5">
        <v>12.285</v>
      </c>
      <c r="D103" s="5" t="s">
        <v>0</v>
      </c>
      <c r="E103" s="5" t="s">
        <v>237</v>
      </c>
      <c r="F103" s="5">
        <v>21</v>
      </c>
      <c r="G103" s="5" t="s">
        <v>111</v>
      </c>
      <c r="H103" s="5" t="s">
        <v>2169</v>
      </c>
      <c r="K103" s="5">
        <v>68</v>
      </c>
      <c r="L103" s="5">
        <v>24</v>
      </c>
      <c r="P103" s="5">
        <v>16</v>
      </c>
      <c r="Q103" s="5">
        <v>34</v>
      </c>
      <c r="R103" s="5">
        <v>16</v>
      </c>
      <c r="S103" s="5">
        <v>18</v>
      </c>
      <c r="T103" s="5">
        <v>5</v>
      </c>
    </row>
    <row r="104" spans="1:20" hidden="1" x14ac:dyDescent="0.3">
      <c r="A104" s="15" t="s">
        <v>584</v>
      </c>
      <c r="B104" s="14" t="s">
        <v>2151</v>
      </c>
      <c r="C104" s="5">
        <v>7.02</v>
      </c>
      <c r="D104" s="5" t="s">
        <v>0</v>
      </c>
      <c r="E104" s="5" t="s">
        <v>237</v>
      </c>
      <c r="F104" s="5">
        <v>12</v>
      </c>
      <c r="G104" s="5" t="s">
        <v>286</v>
      </c>
      <c r="H104" s="5" t="s">
        <v>2169</v>
      </c>
      <c r="K104" s="5">
        <v>45</v>
      </c>
      <c r="L104" s="5">
        <v>16</v>
      </c>
      <c r="P104" s="5">
        <v>6</v>
      </c>
      <c r="Q104" s="5">
        <v>14</v>
      </c>
      <c r="R104" s="5">
        <v>20</v>
      </c>
      <c r="S104" s="5">
        <v>10</v>
      </c>
      <c r="T104" s="5">
        <v>6</v>
      </c>
    </row>
    <row r="105" spans="1:20" hidden="1" x14ac:dyDescent="0.3">
      <c r="A105" s="15" t="s">
        <v>2206</v>
      </c>
      <c r="B105" s="14" t="s">
        <v>2151</v>
      </c>
      <c r="C105" s="5">
        <v>12.285</v>
      </c>
      <c r="D105" s="5" t="s">
        <v>0</v>
      </c>
      <c r="E105" s="5" t="s">
        <v>237</v>
      </c>
      <c r="F105" s="5">
        <v>21</v>
      </c>
      <c r="G105" s="5" t="s">
        <v>83</v>
      </c>
      <c r="H105" s="5" t="s">
        <v>2178</v>
      </c>
      <c r="J105" s="5">
        <v>68</v>
      </c>
      <c r="K105" s="5">
        <v>0</v>
      </c>
      <c r="L105" s="5">
        <v>24</v>
      </c>
      <c r="P105" s="5">
        <v>18</v>
      </c>
      <c r="Q105" s="5">
        <v>36</v>
      </c>
      <c r="R105" s="5">
        <v>12</v>
      </c>
      <c r="S105" s="5">
        <v>6</v>
      </c>
      <c r="T105" s="5">
        <v>4</v>
      </c>
    </row>
    <row r="106" spans="1:20" hidden="1" x14ac:dyDescent="0.3">
      <c r="A106" s="15" t="s">
        <v>2207</v>
      </c>
      <c r="B106" s="14" t="s">
        <v>2151</v>
      </c>
      <c r="C106" s="5">
        <v>7.02</v>
      </c>
      <c r="D106" s="5" t="s">
        <v>0</v>
      </c>
      <c r="E106" s="5" t="s">
        <v>237</v>
      </c>
      <c r="F106" s="5">
        <v>12</v>
      </c>
      <c r="G106" s="5" t="s">
        <v>286</v>
      </c>
      <c r="H106" s="5" t="s">
        <v>2169</v>
      </c>
      <c r="K106" s="5">
        <v>34</v>
      </c>
      <c r="L106" s="5">
        <v>12</v>
      </c>
      <c r="P106" s="5">
        <v>6</v>
      </c>
      <c r="Q106" s="5">
        <v>18</v>
      </c>
      <c r="R106" s="5">
        <v>12</v>
      </c>
      <c r="S106" s="5">
        <v>9</v>
      </c>
      <c r="T106" s="5">
        <v>4</v>
      </c>
    </row>
    <row r="107" spans="1:20" hidden="1" x14ac:dyDescent="0.3">
      <c r="A107" s="15" t="s">
        <v>594</v>
      </c>
      <c r="B107" s="14" t="s">
        <v>2151</v>
      </c>
      <c r="C107" s="5">
        <v>10.53</v>
      </c>
      <c r="D107" s="5" t="s">
        <v>0</v>
      </c>
      <c r="E107" s="5" t="s">
        <v>237</v>
      </c>
      <c r="F107" s="5">
        <v>18</v>
      </c>
      <c r="G107" s="5" t="s">
        <v>364</v>
      </c>
      <c r="H107" s="5" t="s">
        <v>2169</v>
      </c>
      <c r="K107" s="5">
        <v>45</v>
      </c>
      <c r="L107" s="5">
        <v>16</v>
      </c>
      <c r="P107" s="5">
        <v>8</v>
      </c>
      <c r="Q107" s="5">
        <v>28</v>
      </c>
      <c r="R107" s="5">
        <v>16</v>
      </c>
      <c r="S107" s="5">
        <v>14</v>
      </c>
      <c r="T107" s="5">
        <v>5</v>
      </c>
    </row>
    <row r="108" spans="1:20" hidden="1" x14ac:dyDescent="0.3">
      <c r="A108" s="15" t="s">
        <v>2208</v>
      </c>
      <c r="B108" s="14" t="s">
        <v>2151</v>
      </c>
      <c r="C108" s="5">
        <v>11.7</v>
      </c>
      <c r="D108" s="5" t="s">
        <v>0</v>
      </c>
      <c r="E108" s="5" t="s">
        <v>237</v>
      </c>
      <c r="F108" s="5">
        <v>20</v>
      </c>
      <c r="G108" s="5" t="s">
        <v>111</v>
      </c>
      <c r="H108" s="5" t="s">
        <v>2170</v>
      </c>
      <c r="I108" s="5">
        <v>75</v>
      </c>
      <c r="K108" s="5">
        <v>0</v>
      </c>
      <c r="L108" s="5">
        <v>24</v>
      </c>
      <c r="P108" s="5">
        <v>6</v>
      </c>
      <c r="Q108" s="5">
        <v>24</v>
      </c>
      <c r="R108" s="5">
        <v>36</v>
      </c>
      <c r="S108" s="5">
        <v>16</v>
      </c>
      <c r="T108" s="5">
        <v>10</v>
      </c>
    </row>
    <row r="109" spans="1:20" hidden="1" x14ac:dyDescent="0.3">
      <c r="A109" s="15" t="s">
        <v>604</v>
      </c>
      <c r="B109" s="14" t="s">
        <v>2151</v>
      </c>
      <c r="C109" s="5">
        <v>7.02</v>
      </c>
      <c r="D109" s="5" t="s">
        <v>0</v>
      </c>
      <c r="E109" s="5" t="s">
        <v>237</v>
      </c>
      <c r="F109" s="5">
        <v>12</v>
      </c>
      <c r="G109" s="5" t="s">
        <v>286</v>
      </c>
      <c r="H109" s="5" t="s">
        <v>2178</v>
      </c>
      <c r="J109" s="5">
        <v>34</v>
      </c>
      <c r="K109" s="5">
        <v>0</v>
      </c>
      <c r="L109" s="5">
        <v>12</v>
      </c>
      <c r="P109" s="5">
        <v>0</v>
      </c>
      <c r="Q109" s="5">
        <v>12</v>
      </c>
      <c r="R109" s="5">
        <v>24</v>
      </c>
      <c r="S109" s="5">
        <v>6</v>
      </c>
      <c r="T109" s="5">
        <v>7</v>
      </c>
    </row>
    <row r="110" spans="1:20" hidden="1" x14ac:dyDescent="0.3">
      <c r="A110" s="15" t="s">
        <v>609</v>
      </c>
      <c r="B110" s="14" t="s">
        <v>2151</v>
      </c>
      <c r="C110" s="5">
        <v>15.21</v>
      </c>
      <c r="D110" s="5" t="s">
        <v>0</v>
      </c>
      <c r="E110" s="5" t="s">
        <v>237</v>
      </c>
      <c r="F110" s="5">
        <v>26.000000000000004</v>
      </c>
      <c r="G110" s="5" t="s">
        <v>143</v>
      </c>
      <c r="H110" s="5" t="s">
        <v>2169</v>
      </c>
      <c r="K110" s="5">
        <v>79</v>
      </c>
      <c r="L110" s="5">
        <v>28</v>
      </c>
      <c r="P110" s="5">
        <v>20</v>
      </c>
      <c r="Q110" s="5">
        <v>44</v>
      </c>
      <c r="R110" s="5">
        <v>16</v>
      </c>
      <c r="S110" s="5">
        <v>22</v>
      </c>
      <c r="T110" s="5">
        <v>5</v>
      </c>
    </row>
    <row r="111" spans="1:20" hidden="1" x14ac:dyDescent="0.3">
      <c r="A111" s="15" t="s">
        <v>940</v>
      </c>
      <c r="B111" s="14" t="s">
        <v>2151</v>
      </c>
      <c r="C111" s="5">
        <v>10.53</v>
      </c>
      <c r="D111" s="5" t="s">
        <v>0</v>
      </c>
      <c r="E111" s="5" t="s">
        <v>237</v>
      </c>
      <c r="F111" s="5">
        <v>18</v>
      </c>
      <c r="G111" s="5" t="s">
        <v>364</v>
      </c>
      <c r="H111" s="5" t="s">
        <v>2169</v>
      </c>
      <c r="K111" s="5">
        <v>56</v>
      </c>
      <c r="L111" s="5">
        <v>20</v>
      </c>
      <c r="P111" s="5">
        <v>12</v>
      </c>
      <c r="Q111" s="5">
        <v>28</v>
      </c>
      <c r="R111" s="5">
        <v>16</v>
      </c>
      <c r="S111" s="5">
        <v>14</v>
      </c>
      <c r="T111" s="5">
        <v>5</v>
      </c>
    </row>
    <row r="112" spans="1:20" hidden="1" x14ac:dyDescent="0.3">
      <c r="A112" s="15" t="s">
        <v>614</v>
      </c>
      <c r="B112" s="14" t="s">
        <v>2151</v>
      </c>
      <c r="C112" s="5">
        <v>17.55</v>
      </c>
      <c r="D112" s="5" t="s">
        <v>0</v>
      </c>
      <c r="E112" s="5" t="s">
        <v>237</v>
      </c>
      <c r="F112" s="5">
        <v>30.000000000000004</v>
      </c>
      <c r="G112" s="5" t="s">
        <v>143</v>
      </c>
      <c r="H112" s="5" t="s">
        <v>2209</v>
      </c>
      <c r="K112" s="5">
        <v>56</v>
      </c>
      <c r="L112" s="5">
        <v>20</v>
      </c>
      <c r="P112" s="5">
        <v>20</v>
      </c>
      <c r="Q112" s="5">
        <v>50</v>
      </c>
      <c r="R112" s="5">
        <v>20</v>
      </c>
      <c r="S112" s="5">
        <v>25</v>
      </c>
      <c r="T112" s="5">
        <v>6</v>
      </c>
    </row>
    <row r="113" spans="1:22" hidden="1" x14ac:dyDescent="0.3">
      <c r="A113" s="15" t="s">
        <v>619</v>
      </c>
      <c r="B113" s="14" t="s">
        <v>2151</v>
      </c>
      <c r="C113" s="5">
        <v>10.53</v>
      </c>
      <c r="D113" s="5" t="s">
        <v>0</v>
      </c>
      <c r="E113" s="5" t="s">
        <v>237</v>
      </c>
      <c r="F113" s="5">
        <v>18</v>
      </c>
      <c r="G113" s="5" t="s">
        <v>364</v>
      </c>
      <c r="H113" s="5" t="s">
        <v>2169</v>
      </c>
      <c r="K113" s="5">
        <v>62</v>
      </c>
      <c r="L113" s="5">
        <v>22</v>
      </c>
      <c r="P113" s="5">
        <v>11</v>
      </c>
      <c r="Q113" s="5">
        <v>28</v>
      </c>
      <c r="R113" s="5">
        <v>18</v>
      </c>
      <c r="S113" s="5">
        <v>14</v>
      </c>
      <c r="T113" s="5">
        <v>6</v>
      </c>
    </row>
    <row r="114" spans="1:22" hidden="1" x14ac:dyDescent="0.3">
      <c r="A114" s="15" t="s">
        <v>2191</v>
      </c>
      <c r="B114" s="14" t="s">
        <v>2151</v>
      </c>
      <c r="C114" s="5">
        <v>7.02</v>
      </c>
      <c r="D114" s="5" t="s">
        <v>0</v>
      </c>
      <c r="E114" s="5" t="s">
        <v>237</v>
      </c>
      <c r="F114" s="5">
        <v>12</v>
      </c>
      <c r="G114" s="5" t="s">
        <v>286</v>
      </c>
      <c r="H114" s="5" t="s">
        <v>2178</v>
      </c>
      <c r="J114" s="5">
        <v>34</v>
      </c>
      <c r="K114" s="5">
        <v>0</v>
      </c>
      <c r="L114" s="5">
        <v>12</v>
      </c>
      <c r="P114" s="5">
        <v>4</v>
      </c>
      <c r="Q114" s="5">
        <v>16</v>
      </c>
      <c r="R114" s="5">
        <v>16</v>
      </c>
      <c r="S114" s="5">
        <v>8</v>
      </c>
      <c r="T114" s="5">
        <v>5</v>
      </c>
    </row>
    <row r="115" spans="1:22" hidden="1" x14ac:dyDescent="0.3">
      <c r="A115" s="15" t="s">
        <v>630</v>
      </c>
      <c r="B115" s="14" t="s">
        <v>2151</v>
      </c>
      <c r="C115" s="5">
        <v>15.21</v>
      </c>
      <c r="D115" s="5" t="s">
        <v>0</v>
      </c>
      <c r="E115" s="5" t="s">
        <v>237</v>
      </c>
      <c r="F115" s="5">
        <v>26.000000000000004</v>
      </c>
      <c r="G115" s="5" t="s">
        <v>143</v>
      </c>
      <c r="H115" s="5" t="s">
        <v>2178</v>
      </c>
      <c r="J115" s="5">
        <v>79</v>
      </c>
      <c r="K115" s="5">
        <v>0</v>
      </c>
      <c r="L115" s="5">
        <v>28</v>
      </c>
      <c r="P115" s="5">
        <v>14</v>
      </c>
      <c r="Q115" s="5">
        <v>38</v>
      </c>
      <c r="R115" s="5">
        <v>28</v>
      </c>
      <c r="S115" s="5">
        <v>20</v>
      </c>
      <c r="T115" s="5">
        <v>8</v>
      </c>
    </row>
    <row r="116" spans="1:22" hidden="1" x14ac:dyDescent="0.3">
      <c r="A116" s="15" t="s">
        <v>635</v>
      </c>
      <c r="B116" s="14" t="s">
        <v>2151</v>
      </c>
      <c r="C116" s="5">
        <v>11.7</v>
      </c>
      <c r="D116" s="5" t="s">
        <v>0</v>
      </c>
      <c r="E116" s="5" t="s">
        <v>237</v>
      </c>
      <c r="F116" s="5">
        <v>20</v>
      </c>
      <c r="G116" s="5" t="s">
        <v>111</v>
      </c>
      <c r="H116" s="5" t="s">
        <v>2169</v>
      </c>
      <c r="K116" s="5">
        <v>79</v>
      </c>
      <c r="L116" s="5">
        <v>28</v>
      </c>
      <c r="P116" s="5">
        <v>8</v>
      </c>
      <c r="Q116" s="5">
        <v>20</v>
      </c>
      <c r="R116" s="5">
        <v>40</v>
      </c>
      <c r="S116" s="5">
        <v>10</v>
      </c>
      <c r="T116" s="5">
        <v>10</v>
      </c>
    </row>
    <row r="117" spans="1:22" hidden="1" x14ac:dyDescent="0.3">
      <c r="A117" s="15" t="s">
        <v>695</v>
      </c>
      <c r="B117" s="14" t="s">
        <v>2151</v>
      </c>
      <c r="C117" s="5" t="str">
        <f>VLOOKUP(Table2[[#This Row],[Client Name]],'ECN Master Project Tracker new'!B6:J261,4,FALSE)</f>
        <v>R-PV</v>
      </c>
      <c r="D117" s="5" t="s">
        <v>0</v>
      </c>
      <c r="E117" s="5" t="str">
        <f>VLOOKUP(Table2[[#This Row],[Client Name]],'ECN Master Project Tracker new'!B6:J261,5,FALSE)</f>
        <v>NEM</v>
      </c>
      <c r="F117" s="5">
        <f>VLOOKUP(Table2[[#This Row],[Client Name]],'ECN Master Project Tracker new'!B6:J261,6,FALSE)</f>
        <v>10.53</v>
      </c>
      <c r="G117" s="5" t="str">
        <f>VLOOKUP(Table2[[#This Row],[Client Name]],'ECN Master Project Tracker new'!B6:J261,7,FALSE)</f>
        <v>Astronergy 585Wp</v>
      </c>
      <c r="H117" s="5" t="s">
        <v>2114</v>
      </c>
      <c r="I117" s="5">
        <v>0</v>
      </c>
      <c r="J117" s="5">
        <v>0</v>
      </c>
      <c r="K117" s="5">
        <v>70</v>
      </c>
      <c r="L117" s="5">
        <v>24</v>
      </c>
      <c r="M117" s="5">
        <v>0</v>
      </c>
      <c r="N117" s="5">
        <v>0</v>
      </c>
      <c r="O117" s="5">
        <v>0</v>
      </c>
      <c r="P117" s="5">
        <v>2</v>
      </c>
      <c r="Q117" s="5">
        <v>14</v>
      </c>
      <c r="R117" s="5">
        <v>44</v>
      </c>
      <c r="S117" s="5">
        <v>24</v>
      </c>
      <c r="T117" s="5">
        <v>11</v>
      </c>
      <c r="V117" s="5">
        <v>0</v>
      </c>
    </row>
    <row r="118" spans="1:22" hidden="1" x14ac:dyDescent="0.3">
      <c r="A118" s="15" t="s">
        <v>727</v>
      </c>
      <c r="B118" s="14" t="s">
        <v>2151</v>
      </c>
      <c r="C118" s="5" t="str">
        <f>VLOOKUP(Table2[[#This Row],[Client Name]],'ECN Master Project Tracker new'!B7:J262,4,FALSE)</f>
        <v>R-PV</v>
      </c>
      <c r="D118" s="5" t="s">
        <v>0</v>
      </c>
      <c r="E118" s="5" t="str">
        <f>VLOOKUP(Table2[[#This Row],[Client Name]],'ECN Master Project Tracker new'!B7:J262,5,FALSE)</f>
        <v>NEM</v>
      </c>
      <c r="F118" s="5">
        <f>VLOOKUP(Table2[[#This Row],[Client Name]],'ECN Master Project Tracker new'!B7:J262,6,FALSE)</f>
        <v>9.36</v>
      </c>
      <c r="G118" s="5" t="str">
        <f>VLOOKUP(Table2[[#This Row],[Client Name]],'ECN Master Project Tracker new'!B7:J262,7,FALSE)</f>
        <v>Astronergy 585Wp</v>
      </c>
      <c r="H118" s="5" t="s">
        <v>2114</v>
      </c>
      <c r="I118" s="5">
        <v>0</v>
      </c>
      <c r="J118" s="5">
        <v>0</v>
      </c>
      <c r="K118" s="5">
        <v>40</v>
      </c>
      <c r="L118" s="5">
        <v>16</v>
      </c>
      <c r="M118" s="5">
        <v>0</v>
      </c>
      <c r="N118" s="5">
        <v>0</v>
      </c>
      <c r="O118" s="5">
        <v>0</v>
      </c>
      <c r="P118" s="5">
        <v>8</v>
      </c>
      <c r="Q118" s="5">
        <v>24</v>
      </c>
      <c r="R118" s="5">
        <v>16</v>
      </c>
      <c r="S118" s="5">
        <v>16</v>
      </c>
      <c r="T118" s="5">
        <v>4</v>
      </c>
      <c r="V118" s="5">
        <v>0</v>
      </c>
    </row>
    <row r="119" spans="1:22" x14ac:dyDescent="0.3">
      <c r="A119" s="20" t="s">
        <v>897</v>
      </c>
      <c r="B119" s="14" t="s">
        <v>2151</v>
      </c>
      <c r="C119" s="5" t="str">
        <f>VLOOKUP(Table2[[#This Row],[Client Name]],'ECN Master Project Tracker new'!B8:J263,4,FALSE)</f>
        <v>C&amp;I-PV</v>
      </c>
      <c r="D119" s="5" t="s">
        <v>1</v>
      </c>
      <c r="E119" s="5" t="str">
        <f>VLOOKUP(Table2[[#This Row],[Client Name]],'ECN Master Project Tracker new'!B8:J263,5,FALSE)</f>
        <v>NEM</v>
      </c>
      <c r="F119" s="5">
        <f>VLOOKUP(Table2[[#This Row],[Client Name]],'ECN Master Project Tracker new'!B8:J263,6,FALSE)</f>
        <v>67.275000000000006</v>
      </c>
      <c r="G119" s="5" t="str">
        <f>VLOOKUP(Table2[[#This Row],[Client Name]],'ECN Master Project Tracker new'!B8:J263,7,FALSE)</f>
        <v>Yingli Solar 585Wp</v>
      </c>
      <c r="H119" s="5" t="s">
        <v>2116</v>
      </c>
      <c r="I119" s="5">
        <v>0</v>
      </c>
      <c r="J119" s="5">
        <v>260</v>
      </c>
      <c r="K119" s="5">
        <v>0</v>
      </c>
      <c r="L119" s="5">
        <v>6</v>
      </c>
      <c r="M119" s="5">
        <v>4</v>
      </c>
      <c r="N119" s="5">
        <v>44</v>
      </c>
      <c r="O119" s="5">
        <v>8</v>
      </c>
      <c r="P119" s="5">
        <v>46</v>
      </c>
      <c r="Q119" s="5">
        <v>214</v>
      </c>
      <c r="R119" s="5">
        <v>32</v>
      </c>
      <c r="S119" s="5">
        <v>120</v>
      </c>
      <c r="T119" s="5">
        <v>8</v>
      </c>
      <c r="V119" s="5">
        <v>0</v>
      </c>
    </row>
    <row r="120" spans="1:22" x14ac:dyDescent="0.3">
      <c r="A120" s="20" t="s">
        <v>906</v>
      </c>
      <c r="B120" s="14" t="s">
        <v>2151</v>
      </c>
      <c r="C120" s="5" t="str">
        <f>VLOOKUP(Table2[[#This Row],[Client Name]],'ECN Master Project Tracker new'!B10:J265,4,FALSE)</f>
        <v>C&amp;I-PV</v>
      </c>
      <c r="D120" s="5" t="s">
        <v>1</v>
      </c>
      <c r="E120" s="5" t="str">
        <f>VLOOKUP(Table2[[#This Row],[Client Name]],'ECN Master Project Tracker new'!B10:J265,5,FALSE)</f>
        <v>NEM</v>
      </c>
      <c r="F120" s="5">
        <f>VLOOKUP(Table2[[#This Row],[Client Name]],'ECN Master Project Tracker new'!B10:J265,6,FALSE)</f>
        <v>26.55</v>
      </c>
      <c r="G120" s="5" t="str">
        <f>VLOOKUP(Table2[[#This Row],[Client Name]],'ECN Master Project Tracker new'!B10:J265,7,FALSE)</f>
        <v>Astronergy 590Wp</v>
      </c>
      <c r="H120" s="5" t="s">
        <v>2116</v>
      </c>
      <c r="I120" s="5">
        <v>0</v>
      </c>
      <c r="J120" s="5">
        <v>112</v>
      </c>
      <c r="K120" s="5">
        <v>0</v>
      </c>
      <c r="L120" s="5">
        <v>0</v>
      </c>
      <c r="M120" s="5">
        <v>0</v>
      </c>
      <c r="N120" s="5">
        <v>0</v>
      </c>
      <c r="O120" s="5">
        <v>30</v>
      </c>
      <c r="P120" s="5">
        <v>8</v>
      </c>
      <c r="Q120" s="5">
        <v>68</v>
      </c>
      <c r="R120" s="5">
        <v>44</v>
      </c>
      <c r="S120" s="5">
        <v>52</v>
      </c>
      <c r="T120" s="5">
        <v>11</v>
      </c>
      <c r="V120" s="5">
        <v>0</v>
      </c>
    </row>
    <row r="121" spans="1:22" x14ac:dyDescent="0.3">
      <c r="A121" s="15" t="s">
        <v>889</v>
      </c>
      <c r="B121" s="14" t="s">
        <v>2151</v>
      </c>
      <c r="C121" s="5" t="str">
        <f>VLOOKUP(Table2[[#This Row],[Client Name]],'ECN Master Project Tracker new'!B11:J266,4,FALSE)</f>
        <v>C&amp;I-PV</v>
      </c>
      <c r="D121" s="5" t="s">
        <v>1</v>
      </c>
      <c r="E121" s="5" t="str">
        <f>VLOOKUP(Table2[[#This Row],[Client Name]],'ECN Master Project Tracker new'!B11:J266,5,FALSE)</f>
        <v>NEM</v>
      </c>
      <c r="F121" s="5">
        <f>VLOOKUP(Table2[[#This Row],[Client Name]],'ECN Master Project Tracker new'!B11:J266,6,FALSE)</f>
        <v>109.395</v>
      </c>
      <c r="G121" s="5" t="str">
        <f>VLOOKUP(Table2[[#This Row],[Client Name]],'ECN Master Project Tracker new'!B11:J266,7,FALSE)</f>
        <v>Yingli Solar 585Wp</v>
      </c>
      <c r="H121" s="5" t="s">
        <v>2116</v>
      </c>
      <c r="I121" s="5">
        <v>0</v>
      </c>
      <c r="J121" s="5">
        <v>412</v>
      </c>
      <c r="K121" s="5">
        <v>0</v>
      </c>
      <c r="L121" s="5">
        <v>2</v>
      </c>
      <c r="M121" s="5">
        <v>32</v>
      </c>
      <c r="N121" s="5">
        <v>46</v>
      </c>
      <c r="O121" s="5">
        <v>14</v>
      </c>
      <c r="P121" s="5">
        <v>72</v>
      </c>
      <c r="Q121" s="5">
        <v>352</v>
      </c>
      <c r="R121" s="5">
        <v>44</v>
      </c>
      <c r="S121" s="5">
        <v>194</v>
      </c>
      <c r="T121" s="5">
        <v>11</v>
      </c>
      <c r="V121" s="5">
        <v>0</v>
      </c>
    </row>
    <row r="122" spans="1:22" x14ac:dyDescent="0.3">
      <c r="A122" s="15" t="s">
        <v>894</v>
      </c>
      <c r="B122" s="14" t="s">
        <v>2151</v>
      </c>
      <c r="C122" s="5" t="str">
        <f>VLOOKUP(Table2[[#This Row],[Client Name]],'ECN Master Project Tracker new'!B12:J267,4,FALSE)</f>
        <v>C&amp;I-PV</v>
      </c>
      <c r="D122" s="5" t="s">
        <v>1</v>
      </c>
      <c r="E122" s="5" t="str">
        <f>VLOOKUP(Table2[[#This Row],[Client Name]],'ECN Master Project Tracker new'!B12:J267,5,FALSE)</f>
        <v>NEM</v>
      </c>
      <c r="F122" s="5">
        <f>VLOOKUP(Table2[[#This Row],[Client Name]],'ECN Master Project Tracker new'!B12:J267,6,FALSE)</f>
        <v>26.91</v>
      </c>
      <c r="G122" s="5" t="str">
        <f>VLOOKUP(Table2[[#This Row],[Client Name]],'ECN Master Project Tracker new'!B12:J267,7,FALSE)</f>
        <v>Yingli Solar 585Wp</v>
      </c>
      <c r="H122" s="5" t="s">
        <v>2116</v>
      </c>
      <c r="I122" s="5">
        <v>0</v>
      </c>
      <c r="J122" s="5">
        <v>104</v>
      </c>
      <c r="K122" s="5">
        <v>0</v>
      </c>
      <c r="L122" s="5">
        <v>0</v>
      </c>
      <c r="M122" s="5">
        <v>0</v>
      </c>
      <c r="N122" s="5">
        <v>20</v>
      </c>
      <c r="O122" s="5">
        <v>4</v>
      </c>
      <c r="P122" s="5">
        <v>16</v>
      </c>
      <c r="Q122" s="5">
        <v>84</v>
      </c>
      <c r="R122" s="5">
        <v>16</v>
      </c>
      <c r="S122" s="5">
        <v>48</v>
      </c>
      <c r="T122" s="5">
        <v>4</v>
      </c>
      <c r="V122" s="5">
        <v>0</v>
      </c>
    </row>
    <row r="123" spans="1:22" x14ac:dyDescent="0.3">
      <c r="A123" s="15" t="s">
        <v>564</v>
      </c>
      <c r="B123" s="14" t="s">
        <v>2151</v>
      </c>
      <c r="C123" s="5" t="str">
        <f>VLOOKUP(Table2[[#This Row],[Client Name]],'ECN Master Project Tracker new'!B13:J268,4,FALSE)</f>
        <v>C&amp;I-PV</v>
      </c>
      <c r="D123" s="5" t="s">
        <v>1</v>
      </c>
      <c r="E123" s="5" t="str">
        <f>VLOOKUP(Table2[[#This Row],[Client Name]],'ECN Master Project Tracker new'!B13:J268,5,FALSE)</f>
        <v>NEM</v>
      </c>
      <c r="F123" s="5">
        <f>VLOOKUP(Table2[[#This Row],[Client Name]],'ECN Master Project Tracker new'!B13:J268,6,FALSE)</f>
        <v>37.44</v>
      </c>
      <c r="G123" s="5" t="str">
        <f>VLOOKUP(Table2[[#This Row],[Client Name]],'ECN Master Project Tracker new'!B13:J268,7,FALSE)</f>
        <v>Astronergy 585Wp</v>
      </c>
      <c r="H123" s="5" t="s">
        <v>2116</v>
      </c>
      <c r="I123" s="5">
        <v>0</v>
      </c>
      <c r="J123" s="5">
        <v>144</v>
      </c>
      <c r="K123" s="5">
        <v>0</v>
      </c>
      <c r="L123" s="5">
        <v>0</v>
      </c>
      <c r="M123" s="5">
        <v>0</v>
      </c>
      <c r="N123" s="5">
        <v>32</v>
      </c>
      <c r="O123" s="5">
        <v>0</v>
      </c>
      <c r="P123" s="5">
        <v>16</v>
      </c>
      <c r="Q123" s="5">
        <v>112</v>
      </c>
      <c r="R123" s="5">
        <v>32</v>
      </c>
      <c r="S123" s="5">
        <v>64</v>
      </c>
      <c r="T123" s="5">
        <v>8</v>
      </c>
      <c r="V123" s="5">
        <v>0</v>
      </c>
    </row>
    <row r="124" spans="1:22" x14ac:dyDescent="0.3">
      <c r="A124" s="15" t="s">
        <v>902</v>
      </c>
      <c r="B124" s="14" t="s">
        <v>2151</v>
      </c>
      <c r="C124" s="5" t="str">
        <f>VLOOKUP(Table2[[#This Row],[Client Name]],'ECN Master Project Tracker new'!B14:J269,4,FALSE)</f>
        <v>C&amp;I-PV</v>
      </c>
      <c r="D124" s="5" t="s">
        <v>1</v>
      </c>
      <c r="E124" s="5" t="str">
        <f>VLOOKUP(Table2[[#This Row],[Client Name]],'ECN Master Project Tracker new'!B14:J269,5,FALSE)</f>
        <v>NEM</v>
      </c>
      <c r="F124" s="5">
        <f>VLOOKUP(Table2[[#This Row],[Client Name]],'ECN Master Project Tracker new'!B14:J269,6,FALSE)</f>
        <v>107.64</v>
      </c>
      <c r="G124" s="5" t="str">
        <f>VLOOKUP(Table2[[#This Row],[Client Name]],'ECN Master Project Tracker new'!B14:J269,7,FALSE)</f>
        <v>Astronergy 585Wp</v>
      </c>
      <c r="H124" s="5" t="s">
        <v>2116</v>
      </c>
      <c r="I124" s="5">
        <v>0</v>
      </c>
      <c r="J124" s="5">
        <v>418</v>
      </c>
      <c r="K124" s="5">
        <v>0</v>
      </c>
      <c r="L124" s="5">
        <v>0</v>
      </c>
      <c r="M124" s="5">
        <v>0</v>
      </c>
      <c r="N124" s="5">
        <v>92</v>
      </c>
      <c r="O124" s="5">
        <v>0</v>
      </c>
      <c r="P124" s="5">
        <v>42</v>
      </c>
      <c r="Q124" s="5">
        <v>318</v>
      </c>
      <c r="R124" s="5">
        <v>100</v>
      </c>
      <c r="S124" s="5">
        <v>184</v>
      </c>
      <c r="T124" s="5">
        <v>25</v>
      </c>
      <c r="V124" s="5">
        <v>0</v>
      </c>
    </row>
    <row r="125" spans="1:22" x14ac:dyDescent="0.3">
      <c r="A125" s="15" t="s">
        <v>908</v>
      </c>
      <c r="B125" s="14" t="s">
        <v>2151</v>
      </c>
      <c r="C125" s="5" t="str">
        <f>VLOOKUP(Table2[[#This Row],[Client Name]],'ECN Master Project Tracker new'!B15:J270,4,FALSE)</f>
        <v>C&amp;I-PV</v>
      </c>
      <c r="D125" s="5" t="s">
        <v>1</v>
      </c>
      <c r="E125" s="5" t="str">
        <f>VLOOKUP(Table2[[#This Row],[Client Name]],'ECN Master Project Tracker new'!B15:J270,5,FALSE)</f>
        <v>NEM</v>
      </c>
      <c r="F125" s="5">
        <f>VLOOKUP(Table2[[#This Row],[Client Name]],'ECN Master Project Tracker new'!B15:J270,6,FALSE)</f>
        <v>26.55</v>
      </c>
      <c r="G125" s="5" t="str">
        <f>VLOOKUP(Table2[[#This Row],[Client Name]],'ECN Master Project Tracker new'!B15:J270,7,FALSE)</f>
        <v>Astronergy 590Wp</v>
      </c>
      <c r="H125" s="5" t="s">
        <v>2116</v>
      </c>
      <c r="I125" s="5">
        <v>0</v>
      </c>
      <c r="J125" s="5">
        <v>100</v>
      </c>
      <c r="K125" s="5">
        <v>0</v>
      </c>
      <c r="L125" s="5">
        <v>0</v>
      </c>
      <c r="M125" s="5">
        <v>20</v>
      </c>
      <c r="N125" s="5">
        <v>0</v>
      </c>
      <c r="O125" s="5">
        <v>0</v>
      </c>
      <c r="P125" s="5">
        <v>10</v>
      </c>
      <c r="Q125" s="5">
        <v>80</v>
      </c>
      <c r="R125" s="5">
        <v>20</v>
      </c>
      <c r="S125" s="5">
        <v>50</v>
      </c>
      <c r="T125" s="5">
        <v>5</v>
      </c>
      <c r="V125" s="5">
        <v>0</v>
      </c>
    </row>
    <row r="126" spans="1:22" ht="36" hidden="1" customHeight="1" x14ac:dyDescent="0.3">
      <c r="A126" s="15" t="s">
        <v>1033</v>
      </c>
      <c r="B126" s="14" t="s">
        <v>2151</v>
      </c>
      <c r="C126" s="5" t="str">
        <f>VLOOKUP(Table2[[#This Row],[Client Name]],'ECN Master Project Tracker new'!B16:J271,4,FALSE)</f>
        <v>R-PV</v>
      </c>
      <c r="D126" s="5" t="s">
        <v>0</v>
      </c>
      <c r="E126" s="5" t="str">
        <f>VLOOKUP(Table2[[#This Row],[Client Name]],'ECN Master Project Tracker new'!B16:J271,5,FALSE)</f>
        <v>NEM</v>
      </c>
      <c r="F126" s="5">
        <f>VLOOKUP(Table2[[#This Row],[Client Name]],'ECN Master Project Tracker new'!B16:J271,6,FALSE)</f>
        <v>12.98</v>
      </c>
      <c r="G126" s="5" t="str">
        <f>VLOOKUP(Table2[[#This Row],[Client Name]],'ECN Master Project Tracker new'!B16:J271,7,FALSE)</f>
        <v>Astronergy 590Wp</v>
      </c>
      <c r="H126" s="5" t="s">
        <v>2114</v>
      </c>
      <c r="I126" s="5">
        <v>0</v>
      </c>
      <c r="J126" s="5">
        <v>0</v>
      </c>
      <c r="K126" s="5">
        <v>60</v>
      </c>
      <c r="L126" s="5">
        <v>24</v>
      </c>
      <c r="M126" s="5">
        <v>0</v>
      </c>
      <c r="N126" s="5">
        <v>0</v>
      </c>
      <c r="O126" s="5">
        <v>0</v>
      </c>
      <c r="P126" s="5">
        <v>16</v>
      </c>
      <c r="Q126" s="5">
        <v>36</v>
      </c>
      <c r="R126" s="5">
        <v>16</v>
      </c>
      <c r="S126" s="5">
        <v>24</v>
      </c>
      <c r="T126" s="5">
        <v>4</v>
      </c>
      <c r="V126" s="5">
        <v>0</v>
      </c>
    </row>
    <row r="127" spans="1:22" ht="36" hidden="1" customHeight="1" x14ac:dyDescent="0.3">
      <c r="A127" s="15" t="s">
        <v>1038</v>
      </c>
      <c r="B127" s="14" t="s">
        <v>2151</v>
      </c>
      <c r="C127" s="5" t="str">
        <f>VLOOKUP(Table2[[#This Row],[Client Name]],'ECN Master Project Tracker new'!B17:J272,4,FALSE)</f>
        <v>R-PV</v>
      </c>
      <c r="D127" s="5" t="s">
        <v>0</v>
      </c>
      <c r="E127" s="5" t="str">
        <f>VLOOKUP(Table2[[#This Row],[Client Name]],'ECN Master Project Tracker new'!B17:J272,5,FALSE)</f>
        <v>NEM</v>
      </c>
      <c r="F127" s="5">
        <f>VLOOKUP(Table2[[#This Row],[Client Name]],'ECN Master Project Tracker new'!B17:J272,6,FALSE)</f>
        <v>15.34</v>
      </c>
      <c r="G127" s="5" t="str">
        <f>VLOOKUP(Table2[[#This Row],[Client Name]],'ECN Master Project Tracker new'!B17:J272,7,FALSE)</f>
        <v>Astronergy 590Wp</v>
      </c>
      <c r="H127" s="5" t="s">
        <v>2114</v>
      </c>
      <c r="I127" s="5">
        <v>0</v>
      </c>
      <c r="J127" s="5">
        <v>0</v>
      </c>
      <c r="K127" s="5">
        <v>60</v>
      </c>
      <c r="L127" s="5">
        <v>24</v>
      </c>
      <c r="M127" s="5">
        <v>0</v>
      </c>
      <c r="N127" s="5">
        <v>0</v>
      </c>
      <c r="O127" s="5">
        <v>0</v>
      </c>
      <c r="P127" s="5">
        <v>16</v>
      </c>
      <c r="Q127" s="5">
        <v>44</v>
      </c>
      <c r="R127" s="5">
        <v>16</v>
      </c>
      <c r="S127" s="5">
        <v>28</v>
      </c>
      <c r="T127" s="5">
        <v>4</v>
      </c>
      <c r="V127" s="5">
        <v>0</v>
      </c>
    </row>
    <row r="128" spans="1:22" ht="36" hidden="1" customHeight="1" x14ac:dyDescent="0.3">
      <c r="A128" s="15" t="s">
        <v>1043</v>
      </c>
      <c r="B128" s="14" t="s">
        <v>2151</v>
      </c>
      <c r="C128" s="5" t="str">
        <f>VLOOKUP(Table2[[#This Row],[Client Name]],'ECN Master Project Tracker new'!B18:J273,4,FALSE)</f>
        <v>R-PV</v>
      </c>
      <c r="D128" s="5" t="s">
        <v>0</v>
      </c>
      <c r="E128" s="5" t="str">
        <f>VLOOKUP(Table2[[#This Row],[Client Name]],'ECN Master Project Tracker new'!B18:J273,5,FALSE)</f>
        <v>NEM</v>
      </c>
      <c r="F128" s="5">
        <f>VLOOKUP(Table2[[#This Row],[Client Name]],'ECN Master Project Tracker new'!B18:J273,6,FALSE)</f>
        <v>14.16</v>
      </c>
      <c r="G128" s="5" t="str">
        <f>VLOOKUP(Table2[[#This Row],[Client Name]],'ECN Master Project Tracker new'!B18:J273,7,FALSE)</f>
        <v>Astronergy 590Wp</v>
      </c>
      <c r="H128" s="5" t="s">
        <v>2114</v>
      </c>
      <c r="I128" s="5">
        <v>0</v>
      </c>
      <c r="J128" s="5">
        <v>0</v>
      </c>
      <c r="K128" s="5">
        <v>98</v>
      </c>
      <c r="L128" s="5">
        <v>36</v>
      </c>
      <c r="M128" s="5">
        <v>0</v>
      </c>
      <c r="N128" s="5">
        <v>0</v>
      </c>
      <c r="O128" s="5">
        <v>0</v>
      </c>
      <c r="P128" s="5">
        <v>16</v>
      </c>
      <c r="Q128" s="5">
        <v>28</v>
      </c>
      <c r="R128" s="5">
        <v>40</v>
      </c>
      <c r="S128" s="5">
        <v>34</v>
      </c>
      <c r="T128" s="5">
        <v>10</v>
      </c>
      <c r="V128" s="5">
        <v>0</v>
      </c>
    </row>
    <row r="129" spans="1:22" ht="36" hidden="1" customHeight="1" x14ac:dyDescent="0.3">
      <c r="A129" s="15" t="s">
        <v>254</v>
      </c>
      <c r="B129" s="14" t="s">
        <v>2151</v>
      </c>
      <c r="C129" s="5" t="str">
        <f>VLOOKUP(Table2[[#This Row],[Client Name]],'ECN Master Project Tracker new'!B19:J274,4,FALSE)</f>
        <v>R-PV</v>
      </c>
      <c r="D129" s="5" t="s">
        <v>0</v>
      </c>
      <c r="E129" s="5" t="str">
        <f>VLOOKUP(Table2[[#This Row],[Client Name]],'ECN Master Project Tracker new'!B19:J274,5,FALSE)</f>
        <v>NEM</v>
      </c>
      <c r="F129" s="5">
        <f>VLOOKUP(Table2[[#This Row],[Client Name]],'ECN Master Project Tracker new'!B19:J274,6,FALSE)</f>
        <v>13.8</v>
      </c>
      <c r="G129" s="5" t="str">
        <f>VLOOKUP(Table2[[#This Row],[Client Name]],'ECN Master Project Tracker new'!B19:J274,7,FALSE)</f>
        <v>Astronergy 575Wp</v>
      </c>
      <c r="H129" s="5" t="s">
        <v>2114</v>
      </c>
      <c r="I129" s="5">
        <v>0</v>
      </c>
      <c r="J129" s="5">
        <v>0</v>
      </c>
      <c r="K129" s="5">
        <v>72</v>
      </c>
      <c r="L129" s="5">
        <v>28</v>
      </c>
      <c r="M129" s="5">
        <v>0</v>
      </c>
      <c r="N129" s="5">
        <v>0</v>
      </c>
      <c r="O129" s="5">
        <v>0</v>
      </c>
      <c r="P129" s="5">
        <v>20</v>
      </c>
      <c r="Q129" s="5">
        <v>40</v>
      </c>
      <c r="R129" s="5">
        <v>16</v>
      </c>
      <c r="S129" s="5">
        <v>28</v>
      </c>
      <c r="T129" s="5">
        <v>4</v>
      </c>
      <c r="V129" s="5">
        <v>0</v>
      </c>
    </row>
    <row r="130" spans="1:22" ht="36" hidden="1" customHeight="1" x14ac:dyDescent="0.3">
      <c r="A130" s="15" t="s">
        <v>753</v>
      </c>
      <c r="B130" s="14" t="s">
        <v>2151</v>
      </c>
      <c r="C130" s="5" t="str">
        <f>VLOOKUP(Table2[[#This Row],[Client Name]],'ECN Master Project Tracker new'!B20:J275,4,FALSE)</f>
        <v>R-PV</v>
      </c>
      <c r="D130" s="5" t="s">
        <v>0</v>
      </c>
      <c r="E130" s="5" t="str">
        <f>VLOOKUP(Table2[[#This Row],[Client Name]],'ECN Master Project Tracker new'!B20:J275,5,FALSE)</f>
        <v>NEM</v>
      </c>
      <c r="F130" s="5">
        <f>VLOOKUP(Table2[[#This Row],[Client Name]],'ECN Master Project Tracker new'!B20:J275,6,FALSE)</f>
        <v>9.44</v>
      </c>
      <c r="G130" s="5" t="str">
        <f>VLOOKUP(Table2[[#This Row],[Client Name]],'ECN Master Project Tracker new'!B20:J275,7,FALSE)</f>
        <v>Astronergy 590Wp</v>
      </c>
      <c r="H130" s="5" t="s">
        <v>2116</v>
      </c>
      <c r="I130" s="5">
        <v>0</v>
      </c>
      <c r="J130" s="5">
        <v>80</v>
      </c>
      <c r="K130" s="5">
        <v>0</v>
      </c>
      <c r="L130" s="5">
        <v>32</v>
      </c>
      <c r="M130" s="5">
        <v>0</v>
      </c>
      <c r="N130" s="5">
        <v>0</v>
      </c>
      <c r="O130" s="5">
        <v>0</v>
      </c>
      <c r="P130" s="5">
        <v>24</v>
      </c>
      <c r="Q130" s="5">
        <v>24</v>
      </c>
      <c r="R130" s="5">
        <v>16</v>
      </c>
      <c r="S130" s="5">
        <v>16</v>
      </c>
      <c r="T130" s="5">
        <v>4</v>
      </c>
      <c r="V130" s="5">
        <v>0</v>
      </c>
    </row>
    <row r="131" spans="1:22" ht="36" hidden="1" customHeight="1" x14ac:dyDescent="0.3">
      <c r="A131" s="15" t="s">
        <v>915</v>
      </c>
      <c r="B131" s="14" t="s">
        <v>2151</v>
      </c>
      <c r="C131" s="5" t="str">
        <f>VLOOKUP(Table2[[#This Row],[Client Name]],'ECN Master Project Tracker new'!B21:J276,4,FALSE)</f>
        <v>R-PV</v>
      </c>
      <c r="D131" s="5" t="s">
        <v>0</v>
      </c>
      <c r="E131" s="5" t="str">
        <f>VLOOKUP(Table2[[#This Row],[Client Name]],'ECN Master Project Tracker new'!B21:J276,5,FALSE)</f>
        <v>NEM</v>
      </c>
      <c r="F131" s="5">
        <f>VLOOKUP(Table2[[#This Row],[Client Name]],'ECN Master Project Tracker new'!B21:J276,6,FALSE)</f>
        <v>11.7</v>
      </c>
      <c r="G131" s="5" t="str">
        <f>VLOOKUP(Table2[[#This Row],[Client Name]],'ECN Master Project Tracker new'!B21:J276,7,FALSE)</f>
        <v>Astronergy 585Wp</v>
      </c>
      <c r="H131" s="5" t="s">
        <v>2116</v>
      </c>
      <c r="I131" s="5">
        <v>0</v>
      </c>
      <c r="J131" s="5">
        <v>48</v>
      </c>
      <c r="K131" s="5">
        <v>0</v>
      </c>
      <c r="L131" s="5">
        <v>20</v>
      </c>
      <c r="M131" s="5">
        <v>0</v>
      </c>
      <c r="N131" s="5">
        <v>0</v>
      </c>
      <c r="O131" s="5">
        <v>0</v>
      </c>
      <c r="P131" s="5">
        <v>16</v>
      </c>
      <c r="Q131" s="5">
        <v>36</v>
      </c>
      <c r="R131" s="5">
        <v>8</v>
      </c>
      <c r="S131" s="5">
        <v>20</v>
      </c>
      <c r="T131" s="5">
        <v>2</v>
      </c>
      <c r="V131" s="5">
        <v>0</v>
      </c>
    </row>
    <row r="132" spans="1:22" ht="36" hidden="1" customHeight="1" x14ac:dyDescent="0.3">
      <c r="A132" s="15" t="s">
        <v>1060</v>
      </c>
      <c r="B132" s="14" t="s">
        <v>2151</v>
      </c>
      <c r="C132" s="5" t="str">
        <f>VLOOKUP(Table2[[#This Row],[Client Name]],'ECN Master Project Tracker new'!B22:J277,4,FALSE)</f>
        <v>R-PV</v>
      </c>
      <c r="D132" s="5" t="s">
        <v>0</v>
      </c>
      <c r="E132" s="5" t="str">
        <f>VLOOKUP(Table2[[#This Row],[Client Name]],'ECN Master Project Tracker new'!B22:J277,5,FALSE)</f>
        <v>NEM</v>
      </c>
      <c r="F132" s="5">
        <f>VLOOKUP(Table2[[#This Row],[Client Name]],'ECN Master Project Tracker new'!B22:J277,6,FALSE)</f>
        <v>17.7</v>
      </c>
      <c r="G132" s="5" t="str">
        <f>VLOOKUP(Table2[[#This Row],[Client Name]],'ECN Master Project Tracker new'!B22:J277,7,FALSE)</f>
        <v>Astronergy 590Wp</v>
      </c>
      <c r="H132" s="5" t="s">
        <v>2114</v>
      </c>
      <c r="I132" s="5">
        <v>0</v>
      </c>
      <c r="J132" s="5">
        <v>0</v>
      </c>
      <c r="K132" s="5">
        <v>70</v>
      </c>
      <c r="L132" s="5">
        <v>28</v>
      </c>
      <c r="M132" s="5">
        <v>0</v>
      </c>
      <c r="N132" s="5">
        <v>0</v>
      </c>
      <c r="O132" s="5">
        <v>0</v>
      </c>
      <c r="P132" s="5">
        <v>22</v>
      </c>
      <c r="Q132" s="5">
        <v>50</v>
      </c>
      <c r="R132" s="5">
        <v>12</v>
      </c>
      <c r="S132" s="5">
        <v>28</v>
      </c>
      <c r="T132" s="5">
        <v>3</v>
      </c>
      <c r="V132" s="5">
        <v>0</v>
      </c>
    </row>
    <row r="133" spans="1:22" ht="36" hidden="1" customHeight="1" x14ac:dyDescent="0.3">
      <c r="A133" s="15" t="s">
        <v>816</v>
      </c>
      <c r="B133" s="14" t="s">
        <v>2151</v>
      </c>
      <c r="C133" s="5" t="str">
        <f>VLOOKUP(Table2[[#This Row],[Client Name]],'ECN Master Project Tracker new'!B23:J278,4,FALSE)</f>
        <v>R-PV</v>
      </c>
      <c r="D133" s="5" t="s">
        <v>0</v>
      </c>
      <c r="E133" s="5" t="str">
        <f>VLOOKUP(Table2[[#This Row],[Client Name]],'ECN Master Project Tracker new'!B23:J278,5,FALSE)</f>
        <v>NEM</v>
      </c>
      <c r="F133" s="5">
        <f>VLOOKUP(Table2[[#This Row],[Client Name]],'ECN Master Project Tracker new'!B23:J278,6,FALSE)</f>
        <v>7.02</v>
      </c>
      <c r="G133" s="5" t="str">
        <f>VLOOKUP(Table2[[#This Row],[Client Name]],'ECN Master Project Tracker new'!B23:J278,7,FALSE)</f>
        <v>Astronergy 585Wp</v>
      </c>
      <c r="H133" s="5" t="s">
        <v>2114</v>
      </c>
      <c r="I133" s="5">
        <v>0</v>
      </c>
      <c r="J133" s="5">
        <v>0</v>
      </c>
      <c r="K133" s="5">
        <v>56</v>
      </c>
      <c r="L133" s="5">
        <v>20</v>
      </c>
      <c r="M133" s="5">
        <v>0</v>
      </c>
      <c r="N133" s="5">
        <v>0</v>
      </c>
      <c r="O133" s="5">
        <v>0</v>
      </c>
      <c r="P133" s="5">
        <v>4</v>
      </c>
      <c r="Q133" s="5">
        <v>8</v>
      </c>
      <c r="R133" s="5">
        <v>32</v>
      </c>
      <c r="S133" s="5">
        <v>20</v>
      </c>
      <c r="T133" s="5">
        <v>8</v>
      </c>
      <c r="V133" s="5">
        <v>0</v>
      </c>
    </row>
    <row r="134" spans="1:22" ht="36" hidden="1" customHeight="1" x14ac:dyDescent="0.3">
      <c r="A134" s="15" t="s">
        <v>803</v>
      </c>
      <c r="B134" s="14" t="s">
        <v>2151</v>
      </c>
      <c r="C134" s="5" t="str">
        <f>VLOOKUP(Table2[[#This Row],[Client Name]],'ECN Master Project Tracker new'!B24:J279,4,FALSE)</f>
        <v>R-PV</v>
      </c>
      <c r="D134" s="5" t="s">
        <v>0</v>
      </c>
      <c r="E134" s="5" t="str">
        <f>VLOOKUP(Table2[[#This Row],[Client Name]],'ECN Master Project Tracker new'!B24:J279,5,FALSE)</f>
        <v>NEM</v>
      </c>
      <c r="F134" s="5">
        <f>VLOOKUP(Table2[[#This Row],[Client Name]],'ECN Master Project Tracker new'!B24:J279,6,FALSE)</f>
        <v>17.55</v>
      </c>
      <c r="G134" s="5" t="str">
        <f>VLOOKUP(Table2[[#This Row],[Client Name]],'ECN Master Project Tracker new'!B24:J279,7,FALSE)</f>
        <v>Astronergy 585Wp</v>
      </c>
      <c r="H134" s="5" t="s">
        <v>2116</v>
      </c>
      <c r="I134" s="5">
        <v>0</v>
      </c>
      <c r="J134" s="5">
        <v>148</v>
      </c>
      <c r="K134" s="5">
        <v>0</v>
      </c>
      <c r="L134" s="5">
        <v>60</v>
      </c>
      <c r="M134" s="5">
        <v>0</v>
      </c>
      <c r="N134" s="5">
        <v>0</v>
      </c>
      <c r="O134" s="5">
        <v>0</v>
      </c>
      <c r="P134" s="5">
        <v>48</v>
      </c>
      <c r="Q134" s="5">
        <v>48</v>
      </c>
      <c r="R134" s="5">
        <v>24</v>
      </c>
      <c r="S134" s="5">
        <v>36</v>
      </c>
      <c r="T134" s="5">
        <v>6</v>
      </c>
      <c r="V134" s="5">
        <v>0</v>
      </c>
    </row>
    <row r="135" spans="1:22" ht="36" hidden="1" customHeight="1" x14ac:dyDescent="0.3">
      <c r="A135" s="15" t="s">
        <v>743</v>
      </c>
      <c r="B135" s="14" t="s">
        <v>2151</v>
      </c>
      <c r="C135" s="5" t="str">
        <f>VLOOKUP(Table2[[#This Row],[Client Name]],'ECN Master Project Tracker new'!B25:J280,4,FALSE)</f>
        <v>R-PV</v>
      </c>
      <c r="D135" s="5" t="s">
        <v>0</v>
      </c>
      <c r="E135" s="5" t="str">
        <f>VLOOKUP(Table2[[#This Row],[Client Name]],'ECN Master Project Tracker new'!B25:J280,5,FALSE)</f>
        <v>NEM</v>
      </c>
      <c r="F135" s="5">
        <f>VLOOKUP(Table2[[#This Row],[Client Name]],'ECN Master Project Tracker new'!B25:J280,6,FALSE)</f>
        <v>7.02</v>
      </c>
      <c r="G135" s="5" t="str">
        <f>VLOOKUP(Table2[[#This Row],[Client Name]],'ECN Master Project Tracker new'!B25:J280,7,FALSE)</f>
        <v>Astronergy 585Wp</v>
      </c>
      <c r="H135" s="5" t="s">
        <v>2114</v>
      </c>
      <c r="I135" s="5">
        <v>0</v>
      </c>
      <c r="J135" s="5">
        <v>0</v>
      </c>
      <c r="K135" s="5">
        <v>40</v>
      </c>
      <c r="L135" s="5">
        <v>16</v>
      </c>
      <c r="M135" s="5">
        <v>0</v>
      </c>
      <c r="N135" s="5">
        <v>0</v>
      </c>
      <c r="O135" s="5">
        <v>0</v>
      </c>
      <c r="P135" s="5">
        <v>8</v>
      </c>
      <c r="Q135" s="5">
        <v>16</v>
      </c>
      <c r="R135" s="5">
        <v>16</v>
      </c>
      <c r="S135" s="5">
        <v>16</v>
      </c>
      <c r="T135" s="5">
        <v>4</v>
      </c>
      <c r="V135" s="5">
        <v>0</v>
      </c>
    </row>
    <row r="136" spans="1:22" ht="36" hidden="1" customHeight="1" x14ac:dyDescent="0.3">
      <c r="A136" s="15" t="s">
        <v>821</v>
      </c>
      <c r="B136" s="14" t="s">
        <v>2151</v>
      </c>
      <c r="C136" s="5" t="str">
        <f>VLOOKUP(Table2[[#This Row],[Client Name]],'ECN Master Project Tracker new'!B26:J281,4,FALSE)</f>
        <v>R-PV</v>
      </c>
      <c r="D136" s="5" t="s">
        <v>0</v>
      </c>
      <c r="E136" s="5" t="str">
        <f>VLOOKUP(Table2[[#This Row],[Client Name]],'ECN Master Project Tracker new'!B26:J281,5,FALSE)</f>
        <v>NEM</v>
      </c>
      <c r="F136" s="5">
        <f>VLOOKUP(Table2[[#This Row],[Client Name]],'ECN Master Project Tracker new'!B26:J281,6,FALSE)</f>
        <v>8.26</v>
      </c>
      <c r="G136" s="5" t="str">
        <f>VLOOKUP(Table2[[#This Row],[Client Name]],'ECN Master Project Tracker new'!B26:J281,7,FALSE)</f>
        <v>Astronergy 590Wp</v>
      </c>
      <c r="H136" s="5" t="s">
        <v>2114</v>
      </c>
      <c r="I136" s="5">
        <v>0</v>
      </c>
      <c r="J136" s="5">
        <v>0</v>
      </c>
      <c r="K136" s="5">
        <v>50</v>
      </c>
      <c r="L136" s="5">
        <v>20</v>
      </c>
      <c r="M136" s="5">
        <v>0</v>
      </c>
      <c r="N136" s="5">
        <v>0</v>
      </c>
      <c r="O136" s="5">
        <v>0</v>
      </c>
      <c r="P136" s="5">
        <v>10</v>
      </c>
      <c r="Q136" s="5">
        <v>18</v>
      </c>
      <c r="R136" s="5">
        <v>20</v>
      </c>
      <c r="S136" s="5">
        <v>18</v>
      </c>
      <c r="T136" s="5">
        <v>5</v>
      </c>
      <c r="V136" s="5">
        <v>0</v>
      </c>
    </row>
    <row r="137" spans="1:22" ht="36" hidden="1" customHeight="1" x14ac:dyDescent="0.3">
      <c r="A137" s="15" t="s">
        <v>1055</v>
      </c>
      <c r="B137" s="14" t="s">
        <v>2151</v>
      </c>
      <c r="C137" s="5" t="str">
        <f>VLOOKUP(Table2[[#This Row],[Client Name]],'ECN Master Project Tracker new'!B27:J282,4,FALSE)</f>
        <v>R-PV</v>
      </c>
      <c r="D137" s="5" t="s">
        <v>0</v>
      </c>
      <c r="E137" s="5" t="str">
        <f>VLOOKUP(Table2[[#This Row],[Client Name]],'ECN Master Project Tracker new'!B27:J282,5,FALSE)</f>
        <v>NEM</v>
      </c>
      <c r="F137" s="5">
        <f>VLOOKUP(Table2[[#This Row],[Client Name]],'ECN Master Project Tracker new'!B27:J282,6,FALSE)</f>
        <v>9.44</v>
      </c>
      <c r="G137" s="5" t="str">
        <f>VLOOKUP(Table2[[#This Row],[Client Name]],'ECN Master Project Tracker new'!B27:J282,7,FALSE)</f>
        <v>Astronergy 590Wp</v>
      </c>
      <c r="H137" s="5" t="s">
        <v>2114</v>
      </c>
      <c r="I137" s="5">
        <v>0</v>
      </c>
      <c r="J137" s="5">
        <v>0</v>
      </c>
      <c r="K137" s="5">
        <v>40</v>
      </c>
      <c r="L137" s="5">
        <v>16</v>
      </c>
      <c r="M137" s="5">
        <v>0</v>
      </c>
      <c r="N137" s="5">
        <v>0</v>
      </c>
      <c r="O137" s="5">
        <v>0</v>
      </c>
      <c r="P137" s="5">
        <v>8</v>
      </c>
      <c r="Q137" s="5">
        <v>24</v>
      </c>
      <c r="R137" s="5">
        <v>16</v>
      </c>
      <c r="S137" s="5">
        <v>16</v>
      </c>
      <c r="T137" s="5">
        <v>4</v>
      </c>
      <c r="V137" s="5">
        <v>0</v>
      </c>
    </row>
    <row r="138" spans="1:22" hidden="1" x14ac:dyDescent="0.3">
      <c r="A138" s="15" t="s">
        <v>1081</v>
      </c>
      <c r="C138" s="5" t="str">
        <f>VLOOKUP(Table2[[#This Row],[Client Name]],'ECN Master Project Tracker new'!B28:J283,4,FALSE)</f>
        <v>C&amp;I-PV</v>
      </c>
      <c r="D138" s="5" t="s">
        <v>1</v>
      </c>
      <c r="E138" s="5" t="str">
        <f>VLOOKUP(Table2[[#This Row],[Client Name]],'ECN Master Project Tracker new'!B28:J283,5,FALSE)</f>
        <v>NEM</v>
      </c>
      <c r="F138" s="5">
        <f>VLOOKUP(Table2[[#This Row],[Client Name]],'ECN Master Project Tracker new'!B28:J283,6,FALSE)</f>
        <v>14.16</v>
      </c>
      <c r="G138" s="5" t="str">
        <f>VLOOKUP(Table2[[#This Row],[Client Name]],'ECN Master Project Tracker new'!B28:J283,7,FALSE)</f>
        <v>Astronergy 590Wp</v>
      </c>
      <c r="H138" s="5" t="s">
        <v>2116</v>
      </c>
      <c r="I138" s="5">
        <v>0</v>
      </c>
      <c r="J138" s="5">
        <v>68</v>
      </c>
      <c r="K138" s="5">
        <v>0</v>
      </c>
      <c r="L138" s="5">
        <v>0</v>
      </c>
      <c r="M138" s="5">
        <v>8</v>
      </c>
      <c r="N138" s="5">
        <v>6</v>
      </c>
      <c r="O138" s="5">
        <v>0</v>
      </c>
      <c r="P138" s="5">
        <v>6</v>
      </c>
      <c r="Q138" s="5">
        <v>40</v>
      </c>
      <c r="R138" s="5">
        <v>16</v>
      </c>
      <c r="S138" s="5">
        <v>24</v>
      </c>
      <c r="T138" s="5">
        <v>4</v>
      </c>
      <c r="V138" s="5">
        <v>0</v>
      </c>
    </row>
    <row r="139" spans="1:22" hidden="1" x14ac:dyDescent="0.3">
      <c r="A139" s="15" t="s">
        <v>1243</v>
      </c>
      <c r="C139" s="5" t="s">
        <v>14</v>
      </c>
      <c r="D139" s="5" t="s">
        <v>1</v>
      </c>
      <c r="E139" s="5">
        <v>26.55</v>
      </c>
      <c r="F139" s="5">
        <f>VLOOKUP(Table2[[#This Row],[Client Name]],'ECN Master Project Tracker new'!B31:J286,6,FALSE)</f>
        <v>26.55</v>
      </c>
      <c r="G139" s="5">
        <v>20</v>
      </c>
      <c r="H139" s="5" t="s">
        <v>2114</v>
      </c>
      <c r="I139" s="5">
        <v>0</v>
      </c>
      <c r="J139" s="5">
        <v>0</v>
      </c>
      <c r="K139" s="5">
        <v>120</v>
      </c>
      <c r="L139" s="5">
        <v>0</v>
      </c>
      <c r="M139" s="5">
        <v>0</v>
      </c>
      <c r="N139" s="5">
        <v>0</v>
      </c>
      <c r="O139" s="5">
        <v>30</v>
      </c>
      <c r="P139" s="5">
        <v>0</v>
      </c>
      <c r="Q139" s="5">
        <v>60</v>
      </c>
      <c r="R139" s="5">
        <v>60</v>
      </c>
      <c r="S139" s="5">
        <v>60</v>
      </c>
      <c r="T139" s="5">
        <v>15</v>
      </c>
      <c r="V139" s="5">
        <v>0</v>
      </c>
    </row>
    <row r="140" spans="1:22" hidden="1" x14ac:dyDescent="0.3">
      <c r="A140" s="15" t="s">
        <v>1345</v>
      </c>
      <c r="D140" s="5" t="s">
        <v>1</v>
      </c>
      <c r="H140" s="5" t="s">
        <v>2116</v>
      </c>
      <c r="I140" s="5">
        <v>0</v>
      </c>
      <c r="J140" s="5">
        <v>368</v>
      </c>
      <c r="K140" s="5">
        <v>0</v>
      </c>
      <c r="L140" s="5">
        <v>16</v>
      </c>
      <c r="M140" s="5">
        <v>32</v>
      </c>
      <c r="N140" s="5">
        <v>16</v>
      </c>
      <c r="O140" s="5">
        <v>24</v>
      </c>
      <c r="P140" s="5">
        <v>4</v>
      </c>
      <c r="Q140" s="5">
        <v>256</v>
      </c>
      <c r="R140" s="5">
        <v>104</v>
      </c>
      <c r="S140" s="5">
        <v>172</v>
      </c>
      <c r="T140" s="5">
        <v>26</v>
      </c>
      <c r="V140" s="5">
        <v>0</v>
      </c>
    </row>
    <row r="141" spans="1:22" x14ac:dyDescent="0.3">
      <c r="A141" s="15" t="s">
        <v>1452</v>
      </c>
      <c r="D141" s="5" t="s">
        <v>1</v>
      </c>
      <c r="H141" s="5" t="s">
        <v>2116</v>
      </c>
      <c r="I141" s="5">
        <v>0</v>
      </c>
      <c r="J141" s="5">
        <v>224</v>
      </c>
      <c r="K141" s="5">
        <v>0</v>
      </c>
      <c r="L141" s="5">
        <v>4</v>
      </c>
      <c r="M141" s="5">
        <v>20</v>
      </c>
      <c r="N141" s="5">
        <v>20</v>
      </c>
      <c r="O141" s="5">
        <v>4</v>
      </c>
      <c r="P141" s="5">
        <v>24</v>
      </c>
      <c r="Q141" s="5">
        <v>156</v>
      </c>
      <c r="R141" s="5">
        <v>48</v>
      </c>
      <c r="S141" s="5">
        <v>92</v>
      </c>
      <c r="T141" s="5">
        <v>12</v>
      </c>
      <c r="V141" s="5">
        <v>0</v>
      </c>
    </row>
    <row r="142" spans="1:22" x14ac:dyDescent="0.3">
      <c r="A142" s="15" t="s">
        <v>2210</v>
      </c>
      <c r="D142" s="5" t="s">
        <v>1</v>
      </c>
      <c r="H142" s="5" t="s">
        <v>2116</v>
      </c>
      <c r="I142" s="5">
        <v>0</v>
      </c>
      <c r="J142" s="5">
        <v>448</v>
      </c>
      <c r="K142" s="5">
        <v>0</v>
      </c>
      <c r="L142" s="5">
        <v>0</v>
      </c>
      <c r="M142" s="5">
        <v>68</v>
      </c>
      <c r="N142" s="5">
        <v>24</v>
      </c>
      <c r="O142" s="5">
        <v>0</v>
      </c>
      <c r="P142" s="5">
        <v>60</v>
      </c>
      <c r="Q142" s="5">
        <v>356</v>
      </c>
      <c r="R142" s="5">
        <v>64</v>
      </c>
      <c r="S142" s="5">
        <v>204</v>
      </c>
      <c r="T142" s="5">
        <v>16</v>
      </c>
      <c r="V142" s="5">
        <v>0</v>
      </c>
    </row>
    <row r="143" spans="1:22" x14ac:dyDescent="0.3">
      <c r="A143" s="15" t="s">
        <v>2211</v>
      </c>
      <c r="D143" s="5" t="s">
        <v>1</v>
      </c>
      <c r="H143" s="5" t="s">
        <v>2116</v>
      </c>
      <c r="I143" s="5">
        <v>0</v>
      </c>
      <c r="J143" s="5">
        <v>396</v>
      </c>
      <c r="K143" s="5">
        <v>0</v>
      </c>
      <c r="L143" s="5">
        <v>36</v>
      </c>
      <c r="M143" s="5">
        <v>20</v>
      </c>
      <c r="N143" s="5">
        <v>0</v>
      </c>
      <c r="O143" s="5">
        <v>56</v>
      </c>
      <c r="P143" s="5">
        <v>56</v>
      </c>
      <c r="Q143" s="5">
        <v>264</v>
      </c>
      <c r="R143" s="5">
        <v>112</v>
      </c>
      <c r="S143" s="5">
        <v>188</v>
      </c>
      <c r="T143" s="5">
        <v>28</v>
      </c>
      <c r="V143" s="5">
        <v>0</v>
      </c>
    </row>
    <row r="144" spans="1:22" ht="15.6" customHeight="1" x14ac:dyDescent="0.3">
      <c r="A144" s="15" t="s">
        <v>2212</v>
      </c>
      <c r="D144" s="5" t="s">
        <v>1</v>
      </c>
      <c r="H144" s="5" t="s">
        <v>2115</v>
      </c>
      <c r="I144" s="5">
        <v>1676</v>
      </c>
      <c r="J144" s="5">
        <v>0</v>
      </c>
      <c r="K144" s="5">
        <v>0</v>
      </c>
      <c r="L144" s="5">
        <v>0</v>
      </c>
      <c r="M144" s="5">
        <v>0</v>
      </c>
      <c r="N144" s="5">
        <v>0</v>
      </c>
      <c r="O144" s="5">
        <v>0</v>
      </c>
      <c r="P144" s="5">
        <v>-112</v>
      </c>
      <c r="Q144" s="5">
        <v>1452</v>
      </c>
      <c r="R144" s="5">
        <v>224</v>
      </c>
      <c r="S144" s="5">
        <v>836</v>
      </c>
      <c r="T144" s="5">
        <v>56</v>
      </c>
      <c r="V144" s="5">
        <v>0</v>
      </c>
    </row>
    <row r="145" spans="1:22" x14ac:dyDescent="0.3">
      <c r="A145" s="15" t="s">
        <v>2213</v>
      </c>
      <c r="D145" s="5" t="s">
        <v>1</v>
      </c>
      <c r="H145" s="5" t="s">
        <v>2115</v>
      </c>
      <c r="I145" s="5">
        <v>1360</v>
      </c>
      <c r="J145" s="5">
        <v>0</v>
      </c>
      <c r="K145" s="5">
        <v>0</v>
      </c>
      <c r="L145" s="5">
        <v>0</v>
      </c>
      <c r="M145" s="5">
        <v>0</v>
      </c>
      <c r="N145" s="5">
        <v>0</v>
      </c>
      <c r="O145" s="5">
        <v>0</v>
      </c>
      <c r="P145" s="5">
        <v>-152</v>
      </c>
      <c r="Q145" s="5">
        <v>1056</v>
      </c>
      <c r="R145" s="5">
        <v>304</v>
      </c>
      <c r="S145" s="5">
        <v>608</v>
      </c>
      <c r="T145" s="5">
        <v>76</v>
      </c>
      <c r="V145" s="5">
        <v>0</v>
      </c>
    </row>
    <row r="146" spans="1:22" x14ac:dyDescent="0.3">
      <c r="A146" s="15" t="s">
        <v>2214</v>
      </c>
      <c r="D146" s="5" t="s">
        <v>1</v>
      </c>
      <c r="H146" s="5" t="s">
        <v>2115</v>
      </c>
      <c r="I146" s="5">
        <v>362</v>
      </c>
      <c r="J146" s="5">
        <v>0</v>
      </c>
      <c r="K146" s="5">
        <v>0</v>
      </c>
      <c r="L146" s="5">
        <v>0</v>
      </c>
      <c r="M146" s="5">
        <v>0</v>
      </c>
      <c r="N146" s="5">
        <v>82</v>
      </c>
      <c r="O146" s="5">
        <v>2</v>
      </c>
      <c r="P146" s="5">
        <v>56</v>
      </c>
      <c r="Q146" s="5">
        <v>306</v>
      </c>
      <c r="R146" s="5">
        <v>56</v>
      </c>
      <c r="S146" s="5">
        <v>168</v>
      </c>
      <c r="T146" s="5">
        <v>14</v>
      </c>
      <c r="V146" s="5">
        <v>0</v>
      </c>
    </row>
    <row r="147" spans="1:22" x14ac:dyDescent="0.3">
      <c r="A147" s="15" t="s">
        <v>2215</v>
      </c>
      <c r="D147" s="5" t="s">
        <v>1</v>
      </c>
      <c r="H147" s="5" t="s">
        <v>2115</v>
      </c>
      <c r="I147" s="5">
        <v>358</v>
      </c>
      <c r="J147" s="5">
        <v>0</v>
      </c>
      <c r="K147" s="5">
        <v>0</v>
      </c>
      <c r="L147" s="5">
        <v>22</v>
      </c>
      <c r="M147" s="5">
        <v>6</v>
      </c>
      <c r="N147" s="5">
        <v>66</v>
      </c>
      <c r="O147" s="5">
        <v>0</v>
      </c>
      <c r="P147" s="5">
        <v>70</v>
      </c>
      <c r="Q147" s="5">
        <v>310</v>
      </c>
      <c r="R147" s="5">
        <v>48</v>
      </c>
      <c r="S147" s="5">
        <v>168</v>
      </c>
      <c r="T147" s="5">
        <v>12</v>
      </c>
      <c r="V147" s="5">
        <v>0</v>
      </c>
    </row>
    <row r="148" spans="1:22" x14ac:dyDescent="0.3">
      <c r="A148" s="15" t="s">
        <v>2216</v>
      </c>
      <c r="D148" s="5" t="s">
        <v>1</v>
      </c>
      <c r="H148" s="5" t="s">
        <v>2116</v>
      </c>
      <c r="I148" s="5">
        <v>0</v>
      </c>
      <c r="J148" s="5">
        <v>194</v>
      </c>
      <c r="K148" s="5">
        <v>0</v>
      </c>
      <c r="L148" s="5">
        <v>8</v>
      </c>
      <c r="M148" s="5">
        <v>26</v>
      </c>
      <c r="N148" s="5">
        <v>0</v>
      </c>
      <c r="O148" s="5">
        <v>12</v>
      </c>
      <c r="P148" s="5">
        <v>8</v>
      </c>
      <c r="Q148" s="5">
        <v>118</v>
      </c>
      <c r="R148" s="5">
        <v>76</v>
      </c>
      <c r="S148" s="5">
        <v>84</v>
      </c>
      <c r="T148" s="5">
        <v>19</v>
      </c>
      <c r="V148" s="5">
        <v>0</v>
      </c>
    </row>
    <row r="149" spans="1:22" x14ac:dyDescent="0.3">
      <c r="A149" s="15" t="s">
        <v>2112</v>
      </c>
      <c r="D149" s="5" t="s">
        <v>1</v>
      </c>
      <c r="H149" s="5" t="s">
        <v>2116</v>
      </c>
      <c r="I149" s="5">
        <v>0</v>
      </c>
      <c r="J149" s="5">
        <v>242</v>
      </c>
      <c r="K149" s="5">
        <v>0</v>
      </c>
      <c r="L149" s="5">
        <v>2</v>
      </c>
      <c r="M149" s="5">
        <v>24</v>
      </c>
      <c r="N149" s="5">
        <v>0</v>
      </c>
      <c r="O149" s="5">
        <v>30</v>
      </c>
      <c r="P149" s="5">
        <v>28</v>
      </c>
      <c r="Q149" s="5">
        <v>162</v>
      </c>
      <c r="R149" s="5">
        <v>56</v>
      </c>
      <c r="S149" s="5">
        <v>108</v>
      </c>
      <c r="T149" s="5">
        <v>14</v>
      </c>
      <c r="V149" s="5">
        <v>0</v>
      </c>
    </row>
    <row r="150" spans="1:22" x14ac:dyDescent="0.3">
      <c r="A150" s="15" t="s">
        <v>2112</v>
      </c>
      <c r="D150" s="5" t="s">
        <v>1</v>
      </c>
      <c r="H150" s="5" t="s">
        <v>2116</v>
      </c>
      <c r="I150" s="5">
        <v>0</v>
      </c>
      <c r="J150" s="5">
        <v>230</v>
      </c>
      <c r="K150" s="5">
        <v>0</v>
      </c>
      <c r="L150" s="5">
        <v>0</v>
      </c>
      <c r="M150" s="5">
        <v>0</v>
      </c>
      <c r="N150" s="5">
        <v>28</v>
      </c>
      <c r="O150" s="5">
        <v>10</v>
      </c>
      <c r="P150" s="5">
        <v>36</v>
      </c>
      <c r="Q150" s="5">
        <v>150</v>
      </c>
      <c r="R150" s="5">
        <v>80</v>
      </c>
      <c r="S150" s="5">
        <v>114</v>
      </c>
      <c r="T150" s="5">
        <v>20</v>
      </c>
      <c r="V150" s="5">
        <v>0</v>
      </c>
    </row>
  </sheetData>
  <conditionalFormatting sqref="AG57:AJ57">
    <cfRule type="expression" dxfId="0" priority="2">
      <formula>$C57="01. Installation Completed"</formula>
    </cfRule>
  </conditionalFormatting>
  <dataValidations count="3">
    <dataValidation type="list" allowBlank="1" showInputMessage="1" showErrorMessage="1" sqref="B12:B24" xr:uid="{91015110-49AB-4083-8D6A-586A40FF76EB}">
      <formula1>"01. Installation Completed, 02. Stock Ready, 03. Placed Order"</formula1>
    </dataValidation>
    <dataValidation type="list" allowBlank="1" showInputMessage="1" showErrorMessage="1" sqref="H12:H23" xr:uid="{5316488C-AF5B-47C7-93F1-ADF439F10532}">
      <formula1>"Tiles, Metal (screw), Klip-lok, RC"</formula1>
    </dataValidation>
    <dataValidation type="list" allowBlank="1" showInputMessage="1" showErrorMessage="1" sqref="D12:D23" xr:uid="{397C3FE3-8A0B-4C37-A677-47C1F03E8620}">
      <formula1>"Residential, C&amp;I, Utility, Off-grid, Mixed"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AA92-285D-4F51-8F6B-1B6C597C92E3}">
  <sheetPr codeName="Sheet9"/>
  <dimension ref="A2:E28"/>
  <sheetViews>
    <sheetView workbookViewId="0">
      <selection activeCell="E22" sqref="E22"/>
    </sheetView>
  </sheetViews>
  <sheetFormatPr defaultRowHeight="14.4" x14ac:dyDescent="0.3"/>
  <cols>
    <col min="1" max="1" width="27.44140625" customWidth="1"/>
    <col min="2" max="5" width="21.5546875" style="5" customWidth="1"/>
  </cols>
  <sheetData>
    <row r="2" spans="1:5" x14ac:dyDescent="0.3">
      <c r="A2" t="s">
        <v>2217</v>
      </c>
      <c r="B2" s="5" t="s">
        <v>2218</v>
      </c>
      <c r="C2" s="5" t="s">
        <v>2219</v>
      </c>
      <c r="D2" s="5" t="s">
        <v>2220</v>
      </c>
      <c r="E2" s="5" t="s">
        <v>2221</v>
      </c>
    </row>
    <row r="3" spans="1:5" x14ac:dyDescent="0.3">
      <c r="A3" t="s">
        <v>74</v>
      </c>
      <c r="E3" s="5">
        <f>SUMIFS('ECN Master Project Tracker new'!I:I,'ECN Master Project Tracker new'!H:H,$A$3,'ECN Master Project Tracker new'!AA:AA,"&gt;="&amp;DATE(2024,12,1),'ECN Master Project Tracker new'!AA:AA,"&lt;="&amp;DATE(2024,12,31))</f>
        <v>0</v>
      </c>
    </row>
    <row r="4" spans="1:5" x14ac:dyDescent="0.3">
      <c r="A4" t="s">
        <v>237</v>
      </c>
      <c r="E4" s="5">
        <f>SUMIFS('ECN Master Project Tracker new'!I:I,'ECN Master Project Tracker new'!H:H,$A$4,'ECN Master Project Tracker new'!AA:AA,"&gt;="&amp;DATE(2024,12,1),'ECN Master Project Tracker new'!AA:AA,"&lt;="&amp;DATE(2024,12,31))</f>
        <v>346</v>
      </c>
    </row>
    <row r="5" spans="1:5" x14ac:dyDescent="0.3">
      <c r="A5" t="s">
        <v>243</v>
      </c>
      <c r="E5" s="5">
        <f>SUMIFS('ECN Master Project Tracker new'!I:I,'ECN Master Project Tracker new'!H:H,$A$5,'ECN Master Project Tracker new'!AA:AA,"&gt;="&amp;DATE(2024,12,1),'ECN Master Project Tracker new'!AA:AA,"&lt;="&amp;DATE(2024,12,31))</f>
        <v>45</v>
      </c>
    </row>
    <row r="6" spans="1:5" x14ac:dyDescent="0.3">
      <c r="A6" t="s">
        <v>2222</v>
      </c>
    </row>
    <row r="7" spans="1:5" x14ac:dyDescent="0.3">
      <c r="A7" t="s">
        <v>2223</v>
      </c>
    </row>
    <row r="8" spans="1:5" x14ac:dyDescent="0.3">
      <c r="A8" t="s">
        <v>2224</v>
      </c>
    </row>
    <row r="9" spans="1:5" x14ac:dyDescent="0.3">
      <c r="A9" t="s">
        <v>2225</v>
      </c>
    </row>
    <row r="10" spans="1:5" ht="13.35" customHeight="1" x14ac:dyDescent="0.3">
      <c r="A10" t="s">
        <v>2226</v>
      </c>
    </row>
    <row r="11" spans="1:5" x14ac:dyDescent="0.3">
      <c r="A11" t="s">
        <v>2227</v>
      </c>
    </row>
    <row r="16" spans="1:5" x14ac:dyDescent="0.3">
      <c r="A16" t="s">
        <v>2118</v>
      </c>
      <c r="B16" s="5">
        <f>SUM(Table2[Tile Hook])</f>
        <v>4592</v>
      </c>
      <c r="C16" s="5">
        <f>SUMIF('Material List'!B:B,"*Installation Completed*",'Material List'!K:K)</f>
        <v>4472</v>
      </c>
      <c r="D16" s="5">
        <f>B16-C16</f>
        <v>120</v>
      </c>
    </row>
    <row r="17" spans="1:4" x14ac:dyDescent="0.3">
      <c r="A17" t="s">
        <v>2119</v>
      </c>
      <c r="B17" s="5">
        <f>SUM(Table2[L-Foot])</f>
        <v>6440</v>
      </c>
      <c r="C17" s="5">
        <f>SUMIF('Material List'!B:B,"*Installation Completed*",'Material List'!J:J)</f>
        <v>4270</v>
      </c>
      <c r="D17" s="5">
        <f t="shared" ref="D17:D28" si="0">B17-C17</f>
        <v>2170</v>
      </c>
    </row>
    <row r="18" spans="1:4" x14ac:dyDescent="0.3">
      <c r="A18" t="s">
        <v>2120</v>
      </c>
      <c r="B18" s="5">
        <f>SUM(Table2[Klip Lok Clamp])</f>
        <v>5633</v>
      </c>
      <c r="C18" s="5">
        <f>SUMIF('Material List'!B:B,"*Installation Completed*",'Material List'!I:I)</f>
        <v>1877</v>
      </c>
      <c r="D18" s="5">
        <f t="shared" si="0"/>
        <v>3756</v>
      </c>
    </row>
    <row r="19" spans="1:4" x14ac:dyDescent="0.3">
      <c r="A19" t="s">
        <v>2121</v>
      </c>
      <c r="B19" s="5">
        <f>SUM(Table2[2.6m rail])</f>
        <v>2139</v>
      </c>
      <c r="C19" s="5">
        <f>SUMIF('Material List'!B:B,"*Installation Completed*",'Material List'!L:L)</f>
        <v>2051</v>
      </c>
      <c r="D19" s="5">
        <f t="shared" si="0"/>
        <v>88</v>
      </c>
    </row>
    <row r="20" spans="1:4" x14ac:dyDescent="0.3">
      <c r="A20" t="s">
        <v>2122</v>
      </c>
      <c r="B20" s="5">
        <f>SUM(Table2[5.3m rail])</f>
        <v>260</v>
      </c>
      <c r="C20" s="5">
        <f>SUMIF('Material List'!B:B,"*Installation Completed*",'Material List'!M:M)</f>
        <v>56</v>
      </c>
      <c r="D20" s="5">
        <f t="shared" si="0"/>
        <v>204</v>
      </c>
    </row>
    <row r="21" spans="1:4" x14ac:dyDescent="0.3">
      <c r="A21" t="s">
        <v>2123</v>
      </c>
      <c r="B21" s="5">
        <f>SUM(Table2[4.7m rail])</f>
        <v>476</v>
      </c>
      <c r="C21" s="5">
        <f>SUMIF('Material List'!B:B,"*Installation Completed*",'Material List'!N:N)</f>
        <v>234</v>
      </c>
      <c r="D21" s="5">
        <f t="shared" si="0"/>
        <v>242</v>
      </c>
    </row>
    <row r="22" spans="1:4" x14ac:dyDescent="0.3">
      <c r="A22" t="s">
        <v>2124</v>
      </c>
      <c r="B22" s="5">
        <f>SUM(Table2[3.6m rail])</f>
        <v>224</v>
      </c>
      <c r="C22" s="5">
        <f>SUMIF('Material List'!B:B,"*Installation Completed*",'Material List'!O:O)</f>
        <v>56</v>
      </c>
      <c r="D22" s="5">
        <f t="shared" si="0"/>
        <v>168</v>
      </c>
    </row>
    <row r="23" spans="1:4" x14ac:dyDescent="0.3">
      <c r="A23" t="s">
        <v>2125</v>
      </c>
      <c r="B23" s="5">
        <f>SUM(Table2[Splicer])</f>
        <v>1794</v>
      </c>
      <c r="C23" s="5">
        <f>SUMIF('Material List'!B:B,"*Installation Completed*",'Material List'!P:P)</f>
        <v>1710</v>
      </c>
      <c r="D23" s="5">
        <f t="shared" si="0"/>
        <v>84</v>
      </c>
    </row>
    <row r="24" spans="1:4" x14ac:dyDescent="0.3">
      <c r="A24" t="s">
        <v>2126</v>
      </c>
      <c r="B24" s="5">
        <f>SUM(Table2[Mid Clamp])</f>
        <v>11350</v>
      </c>
      <c r="C24" s="5">
        <f>SUMIF('Material List'!B:B,"*Installation Completed*",'Material List'!Q:Q)</f>
        <v>6664</v>
      </c>
      <c r="D24" s="5">
        <f t="shared" si="0"/>
        <v>4686</v>
      </c>
    </row>
    <row r="25" spans="1:4" x14ac:dyDescent="0.3">
      <c r="A25" t="s">
        <v>2127</v>
      </c>
      <c r="B25" s="5">
        <f>SUM(Table2[End Clamp])</f>
        <v>4078</v>
      </c>
      <c r="C25" s="5">
        <f>SUMIF('Material List'!B:B,"*Installation Completed*",'Material List'!R:R)</f>
        <v>2830</v>
      </c>
      <c r="D25" s="5">
        <f t="shared" si="0"/>
        <v>1248</v>
      </c>
    </row>
    <row r="26" spans="1:4" x14ac:dyDescent="0.3">
      <c r="A26" t="s">
        <v>2128</v>
      </c>
      <c r="B26" s="5">
        <f>SUM(Table2[Grounding Clip])</f>
        <v>7036</v>
      </c>
      <c r="C26" s="5">
        <f>SUMIF('Material List'!B:B,"*Installation Completed*",'Material List'!S:S)</f>
        <v>4210</v>
      </c>
      <c r="D26" s="5">
        <f t="shared" si="0"/>
        <v>2826</v>
      </c>
    </row>
    <row r="27" spans="1:4" x14ac:dyDescent="0.3">
      <c r="A27" t="s">
        <v>2129</v>
      </c>
      <c r="B27" s="5">
        <f>SUM(Table2[Grounding Lug])</f>
        <v>1085</v>
      </c>
      <c r="C27" s="5">
        <f>SUMIF('Material List'!B:B,"*Installation Completed*",'Material List'!T:T)</f>
        <v>773</v>
      </c>
      <c r="D27" s="5">
        <f t="shared" si="0"/>
        <v>312</v>
      </c>
    </row>
    <row r="28" spans="1:4" x14ac:dyDescent="0.3">
      <c r="A28" t="s">
        <v>2130</v>
      </c>
      <c r="B28" s="5">
        <f>SUM(Table2[Precast Concrete Block])</f>
        <v>0</v>
      </c>
      <c r="C28" s="5">
        <f>SUMIF('Material List'!B:B,"*Installation Completed*",'Material List'!V:V)</f>
        <v>0</v>
      </c>
      <c r="D28" s="5">
        <f t="shared" si="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4FDF8AB664B1546AE32A81E9E107510" ma:contentTypeVersion="4" ma:contentTypeDescription="Create a new document." ma:contentTypeScope="" ma:versionID="5f3349355640f3d7a99115c67acab101">
  <xsd:schema xmlns:xsd="http://www.w3.org/2001/XMLSchema" xmlns:xs="http://www.w3.org/2001/XMLSchema" xmlns:p="http://schemas.microsoft.com/office/2006/metadata/properties" xmlns:ns2="7b187c95-76c4-4fa3-8d96-c70a2c30be60" targetNamespace="http://schemas.microsoft.com/office/2006/metadata/properties" ma:root="true" ma:fieldsID="2073da9c6db4a7faa4e39dec9c7087dd" ns2:_="">
    <xsd:import namespace="7b187c95-76c4-4fa3-8d96-c70a2c30be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187c95-76c4-4fa3-8d96-c70a2c30b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8646F258-F8C1-4C85-AE47-DD987B6F5A3C}">
  <ds:schemaRefs>
    <ds:schemaRef ds:uri="http://schemas.microsoft.com/sharepoint/v3/contenttype/forms"/>
  </ds:schemaRefs>
</ds:datastoreItem>
</file>

<file path=customXml/itemProps2.xml><?xml version="1.0" encoding="utf-8"?>
<ds:datastoreItem xmlns:ds="http://schemas.openxmlformats.org/officeDocument/2006/customXml" ds:itemID="{3E8FE917-D2FA-47C1-B66B-F7B95F41B0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187c95-76c4-4fa3-8d96-c70a2c30be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D0B848-A965-4914-B93A-EABD55437269}">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56B736D6-B40A-4825-AC2A-49453BBE4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vt:i4>
      </vt:variant>
    </vt:vector>
  </HeadingPairs>
  <TitlesOfParts>
    <vt:vector size="48" baseType="lpstr">
      <vt:lpstr>Dashboard</vt:lpstr>
      <vt:lpstr>Pivot</vt:lpstr>
      <vt:lpstr>Master Data</vt:lpstr>
      <vt:lpstr>Data</vt:lpstr>
      <vt:lpstr>ECN Master Project Tracker new</vt:lpstr>
      <vt:lpstr>In Progress</vt:lpstr>
      <vt:lpstr>Finance Tracker</vt:lpstr>
      <vt:lpstr>Insurance Tracker</vt:lpstr>
      <vt:lpstr>Material Input</vt:lpstr>
      <vt:lpstr>Material Input (2)</vt:lpstr>
      <vt:lpstr>Material List</vt:lpstr>
      <vt:lpstr>Warehouse Stock</vt:lpstr>
      <vt:lpstr>'Material Input (2)'!Category</vt:lpstr>
      <vt:lpstr>Category</vt:lpstr>
      <vt:lpstr>'Material Input (2)'!Client_Name</vt:lpstr>
      <vt:lpstr>Client_Name</vt:lpstr>
      <vt:lpstr>'Material Input (2)'!End_Clamp</vt:lpstr>
      <vt:lpstr>End_Clamp</vt:lpstr>
      <vt:lpstr>'Material Input (2)'!Grounding_Clip</vt:lpstr>
      <vt:lpstr>Grounding_Clip</vt:lpstr>
      <vt:lpstr>'Material Input (2)'!Grounding_Lug</vt:lpstr>
      <vt:lpstr>Grounding_Lug</vt:lpstr>
      <vt:lpstr>'Material Input (2)'!Klip_Lok_Clamp</vt:lpstr>
      <vt:lpstr>Klip_Lok_Clamp</vt:lpstr>
      <vt:lpstr>'Material Input (2)'!L_Foot</vt:lpstr>
      <vt:lpstr>L_Foot</vt:lpstr>
      <vt:lpstr>'Material Input (2)'!Mid_Clamp</vt:lpstr>
      <vt:lpstr>Mid_Clamp</vt:lpstr>
      <vt:lpstr>'Material Input (2)'!Precast_Concrete_Block</vt:lpstr>
      <vt:lpstr>Precast_Concrete_Block</vt:lpstr>
      <vt:lpstr>'Material Input (2)'!Rail</vt:lpstr>
      <vt:lpstr>Rail</vt:lpstr>
      <vt:lpstr>'Material Input (2)'!Rail_2.6</vt:lpstr>
      <vt:lpstr>Rail_2.6</vt:lpstr>
      <vt:lpstr>'Material Input (2)'!Rail_26</vt:lpstr>
      <vt:lpstr>Rail_26</vt:lpstr>
      <vt:lpstr>'Material Input (2)'!Rail_36</vt:lpstr>
      <vt:lpstr>Rail_36</vt:lpstr>
      <vt:lpstr>'Material Input (2)'!Rail_47</vt:lpstr>
      <vt:lpstr>Rail_47</vt:lpstr>
      <vt:lpstr>'Material Input (2)'!Rail_53</vt:lpstr>
      <vt:lpstr>Rail_53</vt:lpstr>
      <vt:lpstr>'Material Input (2)'!Roof_Type</vt:lpstr>
      <vt:lpstr>Roof_Type</vt:lpstr>
      <vt:lpstr>'Material Input (2)'!Splicer</vt:lpstr>
      <vt:lpstr>Splicer</vt:lpstr>
      <vt:lpstr>'Material Input (2)'!Tile_Hook</vt:lpstr>
      <vt:lpstr>Tile_Hook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Jolyn KHOO</dc:creator>
  <cp:keywords/>
  <dc:description/>
  <cp:lastModifiedBy>MUHAMMAD AZRUL BIN ABDUL RAHIM</cp:lastModifiedBy>
  <cp:revision/>
  <dcterms:created xsi:type="dcterms:W3CDTF">2024-09-18T05:51:52Z</dcterms:created>
  <dcterms:modified xsi:type="dcterms:W3CDTF">2025-11-21T11:53:15Z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0x01010094FDF8AB664B1546AE32A81E9E107510</vt:lpwstr>
  </property>
  <property fmtid="{D5CDD505-2E9C-101B-9397-08002B2CF9AE}" pid="3" name="MediaServiceImageTags">
    <vt:lpwstr/>
  </property>
</Properties>
</file>